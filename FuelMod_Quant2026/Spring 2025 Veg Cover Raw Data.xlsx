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mis\OneDrive\Documents\GitHub\FuelMod_Quant26\FuelMod_Quant2026\"/>
    </mc:Choice>
  </mc:AlternateContent>
  <xr:revisionPtr revIDLastSave="0" documentId="13_ncr:1_{C4F8B457-B20B-4323-9858-68B8AAC141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Point Intercept 2" sheetId="2" r:id="rId2"/>
    <sheet name="Data Validation DO NOT EDIT" sheetId="3" r:id="rId3"/>
    <sheet name="Alphabetical by species co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96" i="3" l="1"/>
  <c r="J896" i="3"/>
  <c r="I896" i="3"/>
  <c r="H896" i="3"/>
  <c r="G896" i="3"/>
  <c r="F896" i="3"/>
  <c r="E896" i="3"/>
  <c r="D896" i="3"/>
  <c r="C896" i="3"/>
  <c r="B896" i="3"/>
  <c r="A896" i="3"/>
  <c r="K895" i="3"/>
  <c r="J895" i="3"/>
  <c r="I895" i="3"/>
  <c r="H895" i="3"/>
  <c r="G895" i="3"/>
  <c r="F895" i="3"/>
  <c r="E895" i="3"/>
  <c r="D895" i="3"/>
  <c r="C895" i="3"/>
  <c r="B895" i="3"/>
  <c r="A895" i="3"/>
  <c r="K894" i="3"/>
  <c r="J894" i="3"/>
  <c r="I894" i="3"/>
  <c r="H894" i="3"/>
  <c r="G894" i="3"/>
  <c r="F894" i="3"/>
  <c r="E894" i="3"/>
  <c r="D894" i="3"/>
  <c r="C894" i="3"/>
  <c r="B894" i="3"/>
  <c r="A894" i="3"/>
  <c r="K893" i="3"/>
  <c r="J893" i="3"/>
  <c r="I893" i="3"/>
  <c r="H893" i="3"/>
  <c r="G893" i="3"/>
  <c r="F893" i="3"/>
  <c r="E893" i="3"/>
  <c r="D893" i="3"/>
  <c r="C893" i="3"/>
  <c r="B893" i="3"/>
  <c r="A893" i="3"/>
  <c r="K892" i="3"/>
  <c r="J892" i="3"/>
  <c r="I892" i="3"/>
  <c r="H892" i="3"/>
  <c r="G892" i="3"/>
  <c r="F892" i="3"/>
  <c r="E892" i="3"/>
  <c r="D892" i="3"/>
  <c r="C892" i="3"/>
  <c r="B892" i="3"/>
  <c r="A892" i="3"/>
  <c r="K891" i="3"/>
  <c r="J891" i="3"/>
  <c r="I891" i="3"/>
  <c r="H891" i="3"/>
  <c r="G891" i="3"/>
  <c r="F891" i="3"/>
  <c r="E891" i="3"/>
  <c r="D891" i="3"/>
  <c r="C891" i="3"/>
  <c r="B891" i="3"/>
  <c r="A891" i="3"/>
  <c r="K890" i="3"/>
  <c r="J890" i="3"/>
  <c r="I890" i="3"/>
  <c r="H890" i="3"/>
  <c r="G890" i="3"/>
  <c r="F890" i="3"/>
  <c r="E890" i="3"/>
  <c r="D890" i="3"/>
  <c r="C890" i="3"/>
  <c r="B890" i="3"/>
  <c r="A890" i="3"/>
  <c r="K889" i="3"/>
  <c r="J889" i="3"/>
  <c r="I889" i="3"/>
  <c r="H889" i="3"/>
  <c r="G889" i="3"/>
  <c r="F889" i="3"/>
  <c r="E889" i="3"/>
  <c r="D889" i="3"/>
  <c r="C889" i="3"/>
  <c r="B889" i="3"/>
  <c r="A889" i="3"/>
  <c r="K888" i="3"/>
  <c r="J888" i="3"/>
  <c r="I888" i="3"/>
  <c r="H888" i="3"/>
  <c r="G888" i="3"/>
  <c r="F888" i="3"/>
  <c r="E888" i="3"/>
  <c r="D888" i="3"/>
  <c r="C888" i="3"/>
  <c r="B888" i="3"/>
  <c r="A888" i="3"/>
  <c r="K887" i="3"/>
  <c r="J887" i="3"/>
  <c r="I887" i="3"/>
  <c r="H887" i="3"/>
  <c r="G887" i="3"/>
  <c r="F887" i="3"/>
  <c r="E887" i="3"/>
  <c r="D887" i="3"/>
  <c r="C887" i="3"/>
  <c r="B887" i="3"/>
  <c r="A887" i="3"/>
  <c r="K886" i="3"/>
  <c r="J886" i="3"/>
  <c r="I886" i="3"/>
  <c r="H886" i="3"/>
  <c r="G886" i="3"/>
  <c r="F886" i="3"/>
  <c r="E886" i="3"/>
  <c r="D886" i="3"/>
  <c r="C886" i="3"/>
  <c r="B886" i="3"/>
  <c r="A886" i="3"/>
  <c r="K885" i="3"/>
  <c r="J885" i="3"/>
  <c r="I885" i="3"/>
  <c r="H885" i="3"/>
  <c r="G885" i="3"/>
  <c r="F885" i="3"/>
  <c r="E885" i="3"/>
  <c r="D885" i="3"/>
  <c r="C885" i="3"/>
  <c r="B885" i="3"/>
  <c r="A885" i="3"/>
  <c r="K884" i="3"/>
  <c r="J884" i="3"/>
  <c r="I884" i="3"/>
  <c r="H884" i="3"/>
  <c r="G884" i="3"/>
  <c r="F884" i="3"/>
  <c r="E884" i="3"/>
  <c r="D884" i="3"/>
  <c r="C884" i="3"/>
  <c r="B884" i="3"/>
  <c r="A884" i="3"/>
  <c r="K883" i="3"/>
  <c r="J883" i="3"/>
  <c r="I883" i="3"/>
  <c r="H883" i="3"/>
  <c r="G883" i="3"/>
  <c r="F883" i="3"/>
  <c r="E883" i="3"/>
  <c r="D883" i="3"/>
  <c r="C883" i="3"/>
  <c r="B883" i="3"/>
  <c r="A883" i="3"/>
  <c r="K882" i="3"/>
  <c r="J882" i="3"/>
  <c r="I882" i="3"/>
  <c r="H882" i="3"/>
  <c r="G882" i="3"/>
  <c r="F882" i="3"/>
  <c r="E882" i="3"/>
  <c r="D882" i="3"/>
  <c r="C882" i="3"/>
  <c r="B882" i="3"/>
  <c r="A882" i="3"/>
  <c r="K881" i="3"/>
  <c r="J881" i="3"/>
  <c r="I881" i="3"/>
  <c r="H881" i="3"/>
  <c r="G881" i="3"/>
  <c r="F881" i="3"/>
  <c r="E881" i="3"/>
  <c r="D881" i="3"/>
  <c r="C881" i="3"/>
  <c r="B881" i="3"/>
  <c r="A881" i="3"/>
  <c r="K880" i="3"/>
  <c r="J880" i="3"/>
  <c r="I880" i="3"/>
  <c r="H880" i="3"/>
  <c r="G880" i="3"/>
  <c r="F880" i="3"/>
  <c r="E880" i="3"/>
  <c r="D880" i="3"/>
  <c r="C880" i="3"/>
  <c r="B880" i="3"/>
  <c r="A880" i="3"/>
  <c r="K879" i="3"/>
  <c r="J879" i="3"/>
  <c r="I879" i="3"/>
  <c r="H879" i="3"/>
  <c r="G879" i="3"/>
  <c r="F879" i="3"/>
  <c r="E879" i="3"/>
  <c r="D879" i="3"/>
  <c r="C879" i="3"/>
  <c r="B879" i="3"/>
  <c r="A879" i="3"/>
  <c r="K878" i="3"/>
  <c r="J878" i="3"/>
  <c r="I878" i="3"/>
  <c r="H878" i="3"/>
  <c r="G878" i="3"/>
  <c r="F878" i="3"/>
  <c r="E878" i="3"/>
  <c r="D878" i="3"/>
  <c r="C878" i="3"/>
  <c r="B878" i="3"/>
  <c r="A878" i="3"/>
  <c r="K877" i="3"/>
  <c r="J877" i="3"/>
  <c r="I877" i="3"/>
  <c r="H877" i="3"/>
  <c r="G877" i="3"/>
  <c r="F877" i="3"/>
  <c r="E877" i="3"/>
  <c r="D877" i="3"/>
  <c r="C877" i="3"/>
  <c r="B877" i="3"/>
  <c r="A877" i="3"/>
  <c r="K876" i="3"/>
  <c r="J876" i="3"/>
  <c r="I876" i="3"/>
  <c r="H876" i="3"/>
  <c r="G876" i="3"/>
  <c r="F876" i="3"/>
  <c r="E876" i="3"/>
  <c r="D876" i="3"/>
  <c r="C876" i="3"/>
  <c r="B876" i="3"/>
  <c r="A876" i="3"/>
  <c r="K875" i="3"/>
  <c r="J875" i="3"/>
  <c r="I875" i="3"/>
  <c r="H875" i="3"/>
  <c r="G875" i="3"/>
  <c r="F875" i="3"/>
  <c r="E875" i="3"/>
  <c r="D875" i="3"/>
  <c r="C875" i="3"/>
  <c r="B875" i="3"/>
  <c r="A875" i="3"/>
  <c r="K874" i="3"/>
  <c r="J874" i="3"/>
  <c r="I874" i="3"/>
  <c r="H874" i="3"/>
  <c r="G874" i="3"/>
  <c r="F874" i="3"/>
  <c r="E874" i="3"/>
  <c r="D874" i="3"/>
  <c r="C874" i="3"/>
  <c r="B874" i="3"/>
  <c r="A874" i="3"/>
  <c r="K873" i="3"/>
  <c r="J873" i="3"/>
  <c r="I873" i="3"/>
  <c r="H873" i="3"/>
  <c r="G873" i="3"/>
  <c r="F873" i="3"/>
  <c r="E873" i="3"/>
  <c r="D873" i="3"/>
  <c r="C873" i="3"/>
  <c r="B873" i="3"/>
  <c r="A873" i="3"/>
  <c r="K872" i="3"/>
  <c r="J872" i="3"/>
  <c r="I872" i="3"/>
  <c r="H872" i="3"/>
  <c r="G872" i="3"/>
  <c r="F872" i="3"/>
  <c r="E872" i="3"/>
  <c r="D872" i="3"/>
  <c r="C872" i="3"/>
  <c r="B872" i="3"/>
  <c r="A872" i="3"/>
  <c r="K871" i="3"/>
  <c r="J871" i="3"/>
  <c r="I871" i="3"/>
  <c r="H871" i="3"/>
  <c r="G871" i="3"/>
  <c r="F871" i="3"/>
  <c r="E871" i="3"/>
  <c r="D871" i="3"/>
  <c r="C871" i="3"/>
  <c r="B871" i="3"/>
  <c r="A871" i="3"/>
  <c r="K870" i="3"/>
  <c r="J870" i="3"/>
  <c r="I870" i="3"/>
  <c r="H870" i="3"/>
  <c r="G870" i="3"/>
  <c r="F870" i="3"/>
  <c r="E870" i="3"/>
  <c r="D870" i="3"/>
  <c r="C870" i="3"/>
  <c r="B870" i="3"/>
  <c r="A870" i="3"/>
  <c r="K869" i="3"/>
  <c r="J869" i="3"/>
  <c r="I869" i="3"/>
  <c r="H869" i="3"/>
  <c r="G869" i="3"/>
  <c r="F869" i="3"/>
  <c r="E869" i="3"/>
  <c r="D869" i="3"/>
  <c r="C869" i="3"/>
  <c r="B869" i="3"/>
  <c r="A869" i="3"/>
  <c r="K868" i="3"/>
  <c r="J868" i="3"/>
  <c r="I868" i="3"/>
  <c r="H868" i="3"/>
  <c r="G868" i="3"/>
  <c r="F868" i="3"/>
  <c r="E868" i="3"/>
  <c r="D868" i="3"/>
  <c r="C868" i="3"/>
  <c r="B868" i="3"/>
  <c r="A868" i="3"/>
  <c r="K867" i="3"/>
  <c r="J867" i="3"/>
  <c r="I867" i="3"/>
  <c r="H867" i="3"/>
  <c r="G867" i="3"/>
  <c r="F867" i="3"/>
  <c r="E867" i="3"/>
  <c r="D867" i="3"/>
  <c r="C867" i="3"/>
  <c r="B867" i="3"/>
  <c r="A867" i="3"/>
  <c r="K866" i="3"/>
  <c r="J866" i="3"/>
  <c r="I866" i="3"/>
  <c r="H866" i="3"/>
  <c r="G866" i="3"/>
  <c r="F866" i="3"/>
  <c r="E866" i="3"/>
  <c r="D866" i="3"/>
  <c r="C866" i="3"/>
  <c r="B866" i="3"/>
  <c r="A866" i="3"/>
  <c r="K865" i="3"/>
  <c r="J865" i="3"/>
  <c r="I865" i="3"/>
  <c r="H865" i="3"/>
  <c r="G865" i="3"/>
  <c r="F865" i="3"/>
  <c r="E865" i="3"/>
  <c r="D865" i="3"/>
  <c r="C865" i="3"/>
  <c r="B865" i="3"/>
  <c r="A865" i="3"/>
  <c r="K864" i="3"/>
  <c r="J864" i="3"/>
  <c r="I864" i="3"/>
  <c r="H864" i="3"/>
  <c r="G864" i="3"/>
  <c r="F864" i="3"/>
  <c r="E864" i="3"/>
  <c r="D864" i="3"/>
  <c r="C864" i="3"/>
  <c r="B864" i="3"/>
  <c r="A864" i="3"/>
  <c r="K863" i="3"/>
  <c r="J863" i="3"/>
  <c r="I863" i="3"/>
  <c r="H863" i="3"/>
  <c r="G863" i="3"/>
  <c r="F863" i="3"/>
  <c r="E863" i="3"/>
  <c r="D863" i="3"/>
  <c r="C863" i="3"/>
  <c r="B863" i="3"/>
  <c r="A863" i="3"/>
  <c r="K862" i="3"/>
  <c r="J862" i="3"/>
  <c r="I862" i="3"/>
  <c r="H862" i="3"/>
  <c r="G862" i="3"/>
  <c r="F862" i="3"/>
  <c r="E862" i="3"/>
  <c r="D862" i="3"/>
  <c r="C862" i="3"/>
  <c r="B862" i="3"/>
  <c r="A862" i="3"/>
  <c r="K861" i="3"/>
  <c r="J861" i="3"/>
  <c r="I861" i="3"/>
  <c r="H861" i="3"/>
  <c r="G861" i="3"/>
  <c r="F861" i="3"/>
  <c r="E861" i="3"/>
  <c r="D861" i="3"/>
  <c r="C861" i="3"/>
  <c r="B861" i="3"/>
  <c r="A861" i="3"/>
  <c r="K860" i="3"/>
  <c r="J860" i="3"/>
  <c r="I860" i="3"/>
  <c r="H860" i="3"/>
  <c r="G860" i="3"/>
  <c r="F860" i="3"/>
  <c r="E860" i="3"/>
  <c r="D860" i="3"/>
  <c r="C860" i="3"/>
  <c r="B860" i="3"/>
  <c r="A860" i="3"/>
  <c r="K859" i="3"/>
  <c r="J859" i="3"/>
  <c r="I859" i="3"/>
  <c r="H859" i="3"/>
  <c r="G859" i="3"/>
  <c r="F859" i="3"/>
  <c r="E859" i="3"/>
  <c r="D859" i="3"/>
  <c r="C859" i="3"/>
  <c r="B859" i="3"/>
  <c r="A859" i="3"/>
  <c r="K858" i="3"/>
  <c r="J858" i="3"/>
  <c r="I858" i="3"/>
  <c r="H858" i="3"/>
  <c r="G858" i="3"/>
  <c r="F858" i="3"/>
  <c r="E858" i="3"/>
  <c r="D858" i="3"/>
  <c r="C858" i="3"/>
  <c r="B858" i="3"/>
  <c r="A858" i="3"/>
  <c r="K857" i="3"/>
  <c r="J857" i="3"/>
  <c r="I857" i="3"/>
  <c r="H857" i="3"/>
  <c r="G857" i="3"/>
  <c r="F857" i="3"/>
  <c r="E857" i="3"/>
  <c r="D857" i="3"/>
  <c r="C857" i="3"/>
  <c r="B857" i="3"/>
  <c r="A857" i="3"/>
  <c r="K856" i="3"/>
  <c r="J856" i="3"/>
  <c r="I856" i="3"/>
  <c r="H856" i="3"/>
  <c r="G856" i="3"/>
  <c r="F856" i="3"/>
  <c r="E856" i="3"/>
  <c r="D856" i="3"/>
  <c r="C856" i="3"/>
  <c r="B856" i="3"/>
  <c r="A856" i="3"/>
  <c r="K855" i="3"/>
  <c r="J855" i="3"/>
  <c r="I855" i="3"/>
  <c r="H855" i="3"/>
  <c r="G855" i="3"/>
  <c r="F855" i="3"/>
  <c r="E855" i="3"/>
  <c r="D855" i="3"/>
  <c r="C855" i="3"/>
  <c r="B855" i="3"/>
  <c r="A855" i="3"/>
  <c r="K854" i="3"/>
  <c r="J854" i="3"/>
  <c r="I854" i="3"/>
  <c r="H854" i="3"/>
  <c r="G854" i="3"/>
  <c r="F854" i="3"/>
  <c r="E854" i="3"/>
  <c r="D854" i="3"/>
  <c r="C854" i="3"/>
  <c r="B854" i="3"/>
  <c r="A854" i="3"/>
  <c r="K853" i="3"/>
  <c r="J853" i="3"/>
  <c r="I853" i="3"/>
  <c r="H853" i="3"/>
  <c r="G853" i="3"/>
  <c r="F853" i="3"/>
  <c r="E853" i="3"/>
  <c r="D853" i="3"/>
  <c r="C853" i="3"/>
  <c r="B853" i="3"/>
  <c r="A853" i="3"/>
  <c r="K852" i="3"/>
  <c r="J852" i="3"/>
  <c r="I852" i="3"/>
  <c r="H852" i="3"/>
  <c r="G852" i="3"/>
  <c r="F852" i="3"/>
  <c r="E852" i="3"/>
  <c r="D852" i="3"/>
  <c r="C852" i="3"/>
  <c r="B852" i="3"/>
  <c r="A852" i="3"/>
  <c r="K851" i="3"/>
  <c r="J851" i="3"/>
  <c r="I851" i="3"/>
  <c r="H851" i="3"/>
  <c r="G851" i="3"/>
  <c r="F851" i="3"/>
  <c r="E851" i="3"/>
  <c r="D851" i="3"/>
  <c r="C851" i="3"/>
  <c r="B851" i="3"/>
  <c r="A851" i="3"/>
  <c r="K850" i="3"/>
  <c r="J850" i="3"/>
  <c r="I850" i="3"/>
  <c r="H850" i="3"/>
  <c r="G850" i="3"/>
  <c r="F850" i="3"/>
  <c r="E850" i="3"/>
  <c r="D850" i="3"/>
  <c r="C850" i="3"/>
  <c r="B850" i="3"/>
  <c r="A850" i="3"/>
  <c r="K849" i="3"/>
  <c r="J849" i="3"/>
  <c r="I849" i="3"/>
  <c r="H849" i="3"/>
  <c r="G849" i="3"/>
  <c r="F849" i="3"/>
  <c r="E849" i="3"/>
  <c r="D849" i="3"/>
  <c r="C849" i="3"/>
  <c r="B849" i="3"/>
  <c r="A849" i="3"/>
  <c r="K848" i="3"/>
  <c r="J848" i="3"/>
  <c r="I848" i="3"/>
  <c r="H848" i="3"/>
  <c r="G848" i="3"/>
  <c r="F848" i="3"/>
  <c r="E848" i="3"/>
  <c r="D848" i="3"/>
  <c r="C848" i="3"/>
  <c r="B848" i="3"/>
  <c r="A848" i="3"/>
  <c r="K847" i="3"/>
  <c r="J847" i="3"/>
  <c r="I847" i="3"/>
  <c r="H847" i="3"/>
  <c r="G847" i="3"/>
  <c r="F847" i="3"/>
  <c r="E847" i="3"/>
  <c r="D847" i="3"/>
  <c r="C847" i="3"/>
  <c r="B847" i="3"/>
  <c r="A847" i="3"/>
  <c r="K846" i="3"/>
  <c r="J846" i="3"/>
  <c r="I846" i="3"/>
  <c r="H846" i="3"/>
  <c r="G846" i="3"/>
  <c r="F846" i="3"/>
  <c r="E846" i="3"/>
  <c r="D846" i="3"/>
  <c r="C846" i="3"/>
  <c r="B846" i="3"/>
  <c r="A846" i="3"/>
  <c r="K845" i="3"/>
  <c r="J845" i="3"/>
  <c r="I845" i="3"/>
  <c r="H845" i="3"/>
  <c r="G845" i="3"/>
  <c r="F845" i="3"/>
  <c r="E845" i="3"/>
  <c r="D845" i="3"/>
  <c r="C845" i="3"/>
  <c r="B845" i="3"/>
  <c r="A845" i="3"/>
  <c r="K844" i="3"/>
  <c r="J844" i="3"/>
  <c r="I844" i="3"/>
  <c r="H844" i="3"/>
  <c r="G844" i="3"/>
  <c r="F844" i="3"/>
  <c r="E844" i="3"/>
  <c r="D844" i="3"/>
  <c r="C844" i="3"/>
  <c r="B844" i="3"/>
  <c r="A844" i="3"/>
  <c r="K843" i="3"/>
  <c r="J843" i="3"/>
  <c r="I843" i="3"/>
  <c r="H843" i="3"/>
  <c r="G843" i="3"/>
  <c r="F843" i="3"/>
  <c r="E843" i="3"/>
  <c r="D843" i="3"/>
  <c r="C843" i="3"/>
  <c r="B843" i="3"/>
  <c r="A843" i="3"/>
  <c r="K842" i="3"/>
  <c r="J842" i="3"/>
  <c r="I842" i="3"/>
  <c r="H842" i="3"/>
  <c r="G842" i="3"/>
  <c r="F842" i="3"/>
  <c r="E842" i="3"/>
  <c r="D842" i="3"/>
  <c r="C842" i="3"/>
  <c r="B842" i="3"/>
  <c r="A842" i="3"/>
  <c r="K841" i="3"/>
  <c r="J841" i="3"/>
  <c r="I841" i="3"/>
  <c r="H841" i="3"/>
  <c r="G841" i="3"/>
  <c r="F841" i="3"/>
  <c r="E841" i="3"/>
  <c r="D841" i="3"/>
  <c r="C841" i="3"/>
  <c r="B841" i="3"/>
  <c r="A841" i="3"/>
  <c r="K840" i="3"/>
  <c r="J840" i="3"/>
  <c r="I840" i="3"/>
  <c r="H840" i="3"/>
  <c r="G840" i="3"/>
  <c r="F840" i="3"/>
  <c r="E840" i="3"/>
  <c r="D840" i="3"/>
  <c r="C840" i="3"/>
  <c r="B840" i="3"/>
  <c r="A840" i="3"/>
  <c r="K839" i="3"/>
  <c r="J839" i="3"/>
  <c r="I839" i="3"/>
  <c r="H839" i="3"/>
  <c r="G839" i="3"/>
  <c r="F839" i="3"/>
  <c r="E839" i="3"/>
  <c r="D839" i="3"/>
  <c r="C839" i="3"/>
  <c r="B839" i="3"/>
  <c r="A839" i="3"/>
  <c r="K838" i="3"/>
  <c r="J838" i="3"/>
  <c r="I838" i="3"/>
  <c r="H838" i="3"/>
  <c r="G838" i="3"/>
  <c r="F838" i="3"/>
  <c r="E838" i="3"/>
  <c r="D838" i="3"/>
  <c r="C838" i="3"/>
  <c r="B838" i="3"/>
  <c r="A838" i="3"/>
  <c r="K837" i="3"/>
  <c r="J837" i="3"/>
  <c r="I837" i="3"/>
  <c r="H837" i="3"/>
  <c r="G837" i="3"/>
  <c r="F837" i="3"/>
  <c r="E837" i="3"/>
  <c r="D837" i="3"/>
  <c r="C837" i="3"/>
  <c r="B837" i="3"/>
  <c r="A837" i="3"/>
  <c r="K836" i="3"/>
  <c r="J836" i="3"/>
  <c r="I836" i="3"/>
  <c r="H836" i="3"/>
  <c r="G836" i="3"/>
  <c r="F836" i="3"/>
  <c r="E836" i="3"/>
  <c r="D836" i="3"/>
  <c r="C836" i="3"/>
  <c r="B836" i="3"/>
  <c r="A836" i="3"/>
  <c r="K835" i="3"/>
  <c r="J835" i="3"/>
  <c r="I835" i="3"/>
  <c r="H835" i="3"/>
  <c r="G835" i="3"/>
  <c r="F835" i="3"/>
  <c r="E835" i="3"/>
  <c r="D835" i="3"/>
  <c r="C835" i="3"/>
  <c r="B835" i="3"/>
  <c r="A835" i="3"/>
  <c r="K834" i="3"/>
  <c r="J834" i="3"/>
  <c r="I834" i="3"/>
  <c r="H834" i="3"/>
  <c r="G834" i="3"/>
  <c r="F834" i="3"/>
  <c r="E834" i="3"/>
  <c r="D834" i="3"/>
  <c r="C834" i="3"/>
  <c r="B834" i="3"/>
  <c r="A834" i="3"/>
  <c r="K833" i="3"/>
  <c r="J833" i="3"/>
  <c r="I833" i="3"/>
  <c r="H833" i="3"/>
  <c r="G833" i="3"/>
  <c r="F833" i="3"/>
  <c r="E833" i="3"/>
  <c r="D833" i="3"/>
  <c r="C833" i="3"/>
  <c r="B833" i="3"/>
  <c r="A833" i="3"/>
  <c r="K832" i="3"/>
  <c r="J832" i="3"/>
  <c r="I832" i="3"/>
  <c r="H832" i="3"/>
  <c r="G832" i="3"/>
  <c r="F832" i="3"/>
  <c r="E832" i="3"/>
  <c r="D832" i="3"/>
  <c r="C832" i="3"/>
  <c r="B832" i="3"/>
  <c r="A832" i="3"/>
  <c r="K831" i="3"/>
  <c r="J831" i="3"/>
  <c r="I831" i="3"/>
  <c r="H831" i="3"/>
  <c r="G831" i="3"/>
  <c r="F831" i="3"/>
  <c r="E831" i="3"/>
  <c r="D831" i="3"/>
  <c r="C831" i="3"/>
  <c r="B831" i="3"/>
  <c r="A831" i="3"/>
  <c r="K830" i="3"/>
  <c r="J830" i="3"/>
  <c r="I830" i="3"/>
  <c r="H830" i="3"/>
  <c r="G830" i="3"/>
  <c r="F830" i="3"/>
  <c r="E830" i="3"/>
  <c r="D830" i="3"/>
  <c r="C830" i="3"/>
  <c r="B830" i="3"/>
  <c r="A830" i="3"/>
  <c r="K829" i="3"/>
  <c r="J829" i="3"/>
  <c r="I829" i="3"/>
  <c r="H829" i="3"/>
  <c r="G829" i="3"/>
  <c r="F829" i="3"/>
  <c r="E829" i="3"/>
  <c r="D829" i="3"/>
  <c r="C829" i="3"/>
  <c r="B829" i="3"/>
  <c r="A829" i="3"/>
  <c r="K828" i="3"/>
  <c r="J828" i="3"/>
  <c r="I828" i="3"/>
  <c r="H828" i="3"/>
  <c r="G828" i="3"/>
  <c r="F828" i="3"/>
  <c r="E828" i="3"/>
  <c r="D828" i="3"/>
  <c r="C828" i="3"/>
  <c r="B828" i="3"/>
  <c r="A828" i="3"/>
  <c r="K827" i="3"/>
  <c r="J827" i="3"/>
  <c r="I827" i="3"/>
  <c r="H827" i="3"/>
  <c r="G827" i="3"/>
  <c r="F827" i="3"/>
  <c r="E827" i="3"/>
  <c r="D827" i="3"/>
  <c r="C827" i="3"/>
  <c r="B827" i="3"/>
  <c r="A827" i="3"/>
  <c r="K826" i="3"/>
  <c r="J826" i="3"/>
  <c r="I826" i="3"/>
  <c r="H826" i="3"/>
  <c r="G826" i="3"/>
  <c r="F826" i="3"/>
  <c r="E826" i="3"/>
  <c r="D826" i="3"/>
  <c r="C826" i="3"/>
  <c r="B826" i="3"/>
  <c r="A826" i="3"/>
  <c r="K825" i="3"/>
  <c r="J825" i="3"/>
  <c r="I825" i="3"/>
  <c r="H825" i="3"/>
  <c r="G825" i="3"/>
  <c r="F825" i="3"/>
  <c r="E825" i="3"/>
  <c r="D825" i="3"/>
  <c r="C825" i="3"/>
  <c r="B825" i="3"/>
  <c r="A825" i="3"/>
  <c r="K824" i="3"/>
  <c r="J824" i="3"/>
  <c r="I824" i="3"/>
  <c r="H824" i="3"/>
  <c r="G824" i="3"/>
  <c r="F824" i="3"/>
  <c r="E824" i="3"/>
  <c r="D824" i="3"/>
  <c r="C824" i="3"/>
  <c r="B824" i="3"/>
  <c r="A824" i="3"/>
  <c r="K823" i="3"/>
  <c r="J823" i="3"/>
  <c r="I823" i="3"/>
  <c r="H823" i="3"/>
  <c r="G823" i="3"/>
  <c r="F823" i="3"/>
  <c r="E823" i="3"/>
  <c r="D823" i="3"/>
  <c r="C823" i="3"/>
  <c r="B823" i="3"/>
  <c r="A823" i="3"/>
  <c r="K822" i="3"/>
  <c r="J822" i="3"/>
  <c r="I822" i="3"/>
  <c r="H822" i="3"/>
  <c r="G822" i="3"/>
  <c r="F822" i="3"/>
  <c r="E822" i="3"/>
  <c r="D822" i="3"/>
  <c r="C822" i="3"/>
  <c r="B822" i="3"/>
  <c r="A822" i="3"/>
  <c r="K821" i="3"/>
  <c r="J821" i="3"/>
  <c r="I821" i="3"/>
  <c r="H821" i="3"/>
  <c r="G821" i="3"/>
  <c r="F821" i="3"/>
  <c r="E821" i="3"/>
  <c r="D821" i="3"/>
  <c r="C821" i="3"/>
  <c r="B821" i="3"/>
  <c r="A821" i="3"/>
  <c r="K820" i="3"/>
  <c r="J820" i="3"/>
  <c r="I820" i="3"/>
  <c r="H820" i="3"/>
  <c r="G820" i="3"/>
  <c r="F820" i="3"/>
  <c r="E820" i="3"/>
  <c r="D820" i="3"/>
  <c r="C820" i="3"/>
  <c r="B820" i="3"/>
  <c r="A820" i="3"/>
  <c r="K819" i="3"/>
  <c r="J819" i="3"/>
  <c r="I819" i="3"/>
  <c r="H819" i="3"/>
  <c r="G819" i="3"/>
  <c r="F819" i="3"/>
  <c r="E819" i="3"/>
  <c r="D819" i="3"/>
  <c r="C819" i="3"/>
  <c r="B819" i="3"/>
  <c r="A819" i="3"/>
  <c r="K818" i="3"/>
  <c r="J818" i="3"/>
  <c r="I818" i="3"/>
  <c r="H818" i="3"/>
  <c r="G818" i="3"/>
  <c r="F818" i="3"/>
  <c r="E818" i="3"/>
  <c r="D818" i="3"/>
  <c r="C818" i="3"/>
  <c r="B818" i="3"/>
  <c r="A818" i="3"/>
  <c r="K817" i="3"/>
  <c r="J817" i="3"/>
  <c r="I817" i="3"/>
  <c r="H817" i="3"/>
  <c r="G817" i="3"/>
  <c r="F817" i="3"/>
  <c r="E817" i="3"/>
  <c r="D817" i="3"/>
  <c r="C817" i="3"/>
  <c r="B817" i="3"/>
  <c r="A817" i="3"/>
  <c r="K816" i="3"/>
  <c r="J816" i="3"/>
  <c r="I816" i="3"/>
  <c r="H816" i="3"/>
  <c r="G816" i="3"/>
  <c r="F816" i="3"/>
  <c r="E816" i="3"/>
  <c r="D816" i="3"/>
  <c r="C816" i="3"/>
  <c r="B816" i="3"/>
  <c r="A816" i="3"/>
  <c r="K815" i="3"/>
  <c r="J815" i="3"/>
  <c r="I815" i="3"/>
  <c r="H815" i="3"/>
  <c r="G815" i="3"/>
  <c r="F815" i="3"/>
  <c r="E815" i="3"/>
  <c r="D815" i="3"/>
  <c r="C815" i="3"/>
  <c r="B815" i="3"/>
  <c r="A815" i="3"/>
  <c r="K814" i="3"/>
  <c r="J814" i="3"/>
  <c r="I814" i="3"/>
  <c r="H814" i="3"/>
  <c r="G814" i="3"/>
  <c r="F814" i="3"/>
  <c r="E814" i="3"/>
  <c r="D814" i="3"/>
  <c r="C814" i="3"/>
  <c r="B814" i="3"/>
  <c r="A814" i="3"/>
  <c r="K813" i="3"/>
  <c r="J813" i="3"/>
  <c r="I813" i="3"/>
  <c r="H813" i="3"/>
  <c r="G813" i="3"/>
  <c r="F813" i="3"/>
  <c r="E813" i="3"/>
  <c r="D813" i="3"/>
  <c r="C813" i="3"/>
  <c r="B813" i="3"/>
  <c r="A813" i="3"/>
  <c r="K812" i="3"/>
  <c r="J812" i="3"/>
  <c r="I812" i="3"/>
  <c r="H812" i="3"/>
  <c r="G812" i="3"/>
  <c r="F812" i="3"/>
  <c r="E812" i="3"/>
  <c r="D812" i="3"/>
  <c r="C812" i="3"/>
  <c r="B812" i="3"/>
  <c r="A812" i="3"/>
  <c r="K811" i="3"/>
  <c r="J811" i="3"/>
  <c r="I811" i="3"/>
  <c r="H811" i="3"/>
  <c r="G811" i="3"/>
  <c r="F811" i="3"/>
  <c r="E811" i="3"/>
  <c r="D811" i="3"/>
  <c r="C811" i="3"/>
  <c r="B811" i="3"/>
  <c r="A811" i="3"/>
  <c r="K810" i="3"/>
  <c r="J810" i="3"/>
  <c r="I810" i="3"/>
  <c r="H810" i="3"/>
  <c r="G810" i="3"/>
  <c r="F810" i="3"/>
  <c r="E810" i="3"/>
  <c r="D810" i="3"/>
  <c r="C810" i="3"/>
  <c r="B810" i="3"/>
  <c r="A810" i="3"/>
  <c r="K809" i="3"/>
  <c r="J809" i="3"/>
  <c r="I809" i="3"/>
  <c r="H809" i="3"/>
  <c r="G809" i="3"/>
  <c r="F809" i="3"/>
  <c r="E809" i="3"/>
  <c r="D809" i="3"/>
  <c r="C809" i="3"/>
  <c r="B809" i="3"/>
  <c r="A809" i="3"/>
  <c r="K808" i="3"/>
  <c r="J808" i="3"/>
  <c r="I808" i="3"/>
  <c r="H808" i="3"/>
  <c r="G808" i="3"/>
  <c r="F808" i="3"/>
  <c r="E808" i="3"/>
  <c r="D808" i="3"/>
  <c r="C808" i="3"/>
  <c r="B808" i="3"/>
  <c r="A808" i="3"/>
  <c r="K807" i="3"/>
  <c r="J807" i="3"/>
  <c r="I807" i="3"/>
  <c r="H807" i="3"/>
  <c r="G807" i="3"/>
  <c r="F807" i="3"/>
  <c r="E807" i="3"/>
  <c r="D807" i="3"/>
  <c r="C807" i="3"/>
  <c r="B807" i="3"/>
  <c r="A807" i="3"/>
  <c r="K806" i="3"/>
  <c r="J806" i="3"/>
  <c r="I806" i="3"/>
  <c r="H806" i="3"/>
  <c r="G806" i="3"/>
  <c r="F806" i="3"/>
  <c r="E806" i="3"/>
  <c r="D806" i="3"/>
  <c r="C806" i="3"/>
  <c r="B806" i="3"/>
  <c r="A806" i="3"/>
  <c r="K805" i="3"/>
  <c r="J805" i="3"/>
  <c r="I805" i="3"/>
  <c r="H805" i="3"/>
  <c r="G805" i="3"/>
  <c r="F805" i="3"/>
  <c r="E805" i="3"/>
  <c r="D805" i="3"/>
  <c r="C805" i="3"/>
  <c r="B805" i="3"/>
  <c r="A805" i="3"/>
  <c r="K804" i="3"/>
  <c r="J804" i="3"/>
  <c r="I804" i="3"/>
  <c r="H804" i="3"/>
  <c r="G804" i="3"/>
  <c r="F804" i="3"/>
  <c r="E804" i="3"/>
  <c r="D804" i="3"/>
  <c r="C804" i="3"/>
  <c r="B804" i="3"/>
  <c r="A804" i="3"/>
  <c r="K803" i="3"/>
  <c r="J803" i="3"/>
  <c r="I803" i="3"/>
  <c r="H803" i="3"/>
  <c r="G803" i="3"/>
  <c r="F803" i="3"/>
  <c r="E803" i="3"/>
  <c r="D803" i="3"/>
  <c r="C803" i="3"/>
  <c r="B803" i="3"/>
  <c r="A803" i="3"/>
  <c r="K802" i="3"/>
  <c r="J802" i="3"/>
  <c r="I802" i="3"/>
  <c r="H802" i="3"/>
  <c r="G802" i="3"/>
  <c r="F802" i="3"/>
  <c r="E802" i="3"/>
  <c r="D802" i="3"/>
  <c r="C802" i="3"/>
  <c r="B802" i="3"/>
  <c r="A802" i="3"/>
  <c r="K801" i="3"/>
  <c r="J801" i="3"/>
  <c r="I801" i="3"/>
  <c r="H801" i="3"/>
  <c r="G801" i="3"/>
  <c r="F801" i="3"/>
  <c r="E801" i="3"/>
  <c r="D801" i="3"/>
  <c r="C801" i="3"/>
  <c r="B801" i="3"/>
  <c r="A801" i="3"/>
  <c r="K800" i="3"/>
  <c r="J800" i="3"/>
  <c r="I800" i="3"/>
  <c r="H800" i="3"/>
  <c r="G800" i="3"/>
  <c r="F800" i="3"/>
  <c r="E800" i="3"/>
  <c r="D800" i="3"/>
  <c r="C800" i="3"/>
  <c r="B800" i="3"/>
  <c r="A800" i="3"/>
  <c r="K799" i="3"/>
  <c r="J799" i="3"/>
  <c r="I799" i="3"/>
  <c r="H799" i="3"/>
  <c r="G799" i="3"/>
  <c r="F799" i="3"/>
  <c r="E799" i="3"/>
  <c r="D799" i="3"/>
  <c r="C799" i="3"/>
  <c r="B799" i="3"/>
  <c r="A799" i="3"/>
  <c r="K798" i="3"/>
  <c r="J798" i="3"/>
  <c r="I798" i="3"/>
  <c r="H798" i="3"/>
  <c r="G798" i="3"/>
  <c r="F798" i="3"/>
  <c r="E798" i="3"/>
  <c r="D798" i="3"/>
  <c r="C798" i="3"/>
  <c r="B798" i="3"/>
  <c r="A798" i="3"/>
  <c r="K797" i="3"/>
  <c r="J797" i="3"/>
  <c r="I797" i="3"/>
  <c r="H797" i="3"/>
  <c r="G797" i="3"/>
  <c r="F797" i="3"/>
  <c r="E797" i="3"/>
  <c r="D797" i="3"/>
  <c r="C797" i="3"/>
  <c r="B797" i="3"/>
  <c r="A797" i="3"/>
  <c r="K796" i="3"/>
  <c r="J796" i="3"/>
  <c r="I796" i="3"/>
  <c r="H796" i="3"/>
  <c r="G796" i="3"/>
  <c r="F796" i="3"/>
  <c r="E796" i="3"/>
  <c r="D796" i="3"/>
  <c r="C796" i="3"/>
  <c r="B796" i="3"/>
  <c r="A796" i="3"/>
  <c r="K795" i="3"/>
  <c r="J795" i="3"/>
  <c r="I795" i="3"/>
  <c r="H795" i="3"/>
  <c r="G795" i="3"/>
  <c r="F795" i="3"/>
  <c r="E795" i="3"/>
  <c r="D795" i="3"/>
  <c r="C795" i="3"/>
  <c r="B795" i="3"/>
  <c r="A795" i="3"/>
  <c r="K794" i="3"/>
  <c r="J794" i="3"/>
  <c r="I794" i="3"/>
  <c r="H794" i="3"/>
  <c r="G794" i="3"/>
  <c r="F794" i="3"/>
  <c r="E794" i="3"/>
  <c r="D794" i="3"/>
  <c r="C794" i="3"/>
  <c r="B794" i="3"/>
  <c r="A794" i="3"/>
  <c r="K793" i="3"/>
  <c r="J793" i="3"/>
  <c r="I793" i="3"/>
  <c r="H793" i="3"/>
  <c r="G793" i="3"/>
  <c r="F793" i="3"/>
  <c r="E793" i="3"/>
  <c r="D793" i="3"/>
  <c r="C793" i="3"/>
  <c r="B793" i="3"/>
  <c r="A793" i="3"/>
  <c r="K792" i="3"/>
  <c r="J792" i="3"/>
  <c r="I792" i="3"/>
  <c r="H792" i="3"/>
  <c r="G792" i="3"/>
  <c r="F792" i="3"/>
  <c r="E792" i="3"/>
  <c r="D792" i="3"/>
  <c r="C792" i="3"/>
  <c r="B792" i="3"/>
  <c r="A792" i="3"/>
  <c r="K791" i="3"/>
  <c r="J791" i="3"/>
  <c r="I791" i="3"/>
  <c r="H791" i="3"/>
  <c r="G791" i="3"/>
  <c r="F791" i="3"/>
  <c r="E791" i="3"/>
  <c r="D791" i="3"/>
  <c r="C791" i="3"/>
  <c r="B791" i="3"/>
  <c r="A791" i="3"/>
  <c r="K790" i="3"/>
  <c r="J790" i="3"/>
  <c r="I790" i="3"/>
  <c r="H790" i="3"/>
  <c r="G790" i="3"/>
  <c r="F790" i="3"/>
  <c r="E790" i="3"/>
  <c r="D790" i="3"/>
  <c r="C790" i="3"/>
  <c r="B790" i="3"/>
  <c r="A790" i="3"/>
  <c r="K789" i="3"/>
  <c r="J789" i="3"/>
  <c r="I789" i="3"/>
  <c r="H789" i="3"/>
  <c r="G789" i="3"/>
  <c r="F789" i="3"/>
  <c r="E789" i="3"/>
  <c r="D789" i="3"/>
  <c r="C789" i="3"/>
  <c r="B789" i="3"/>
  <c r="A789" i="3"/>
  <c r="K788" i="3"/>
  <c r="J788" i="3"/>
  <c r="I788" i="3"/>
  <c r="H788" i="3"/>
  <c r="G788" i="3"/>
  <c r="F788" i="3"/>
  <c r="E788" i="3"/>
  <c r="D788" i="3"/>
  <c r="C788" i="3"/>
  <c r="B788" i="3"/>
  <c r="A788" i="3"/>
  <c r="K787" i="3"/>
  <c r="J787" i="3"/>
  <c r="I787" i="3"/>
  <c r="H787" i="3"/>
  <c r="G787" i="3"/>
  <c r="F787" i="3"/>
  <c r="E787" i="3"/>
  <c r="D787" i="3"/>
  <c r="C787" i="3"/>
  <c r="B787" i="3"/>
  <c r="A787" i="3"/>
  <c r="K786" i="3"/>
  <c r="J786" i="3"/>
  <c r="I786" i="3"/>
  <c r="H786" i="3"/>
  <c r="G786" i="3"/>
  <c r="F786" i="3"/>
  <c r="E786" i="3"/>
  <c r="D786" i="3"/>
  <c r="C786" i="3"/>
  <c r="B786" i="3"/>
  <c r="A786" i="3"/>
  <c r="K785" i="3"/>
  <c r="J785" i="3"/>
  <c r="I785" i="3"/>
  <c r="H785" i="3"/>
  <c r="G785" i="3"/>
  <c r="F785" i="3"/>
  <c r="E785" i="3"/>
  <c r="D785" i="3"/>
  <c r="C785" i="3"/>
  <c r="B785" i="3"/>
  <c r="A785" i="3"/>
  <c r="K784" i="3"/>
  <c r="J784" i="3"/>
  <c r="I784" i="3"/>
  <c r="H784" i="3"/>
  <c r="G784" i="3"/>
  <c r="F784" i="3"/>
  <c r="E784" i="3"/>
  <c r="D784" i="3"/>
  <c r="C784" i="3"/>
  <c r="B784" i="3"/>
  <c r="A784" i="3"/>
  <c r="K783" i="3"/>
  <c r="J783" i="3"/>
  <c r="I783" i="3"/>
  <c r="H783" i="3"/>
  <c r="G783" i="3"/>
  <c r="F783" i="3"/>
  <c r="E783" i="3"/>
  <c r="D783" i="3"/>
  <c r="C783" i="3"/>
  <c r="B783" i="3"/>
  <c r="A783" i="3"/>
  <c r="K782" i="3"/>
  <c r="J782" i="3"/>
  <c r="I782" i="3"/>
  <c r="H782" i="3"/>
  <c r="G782" i="3"/>
  <c r="F782" i="3"/>
  <c r="E782" i="3"/>
  <c r="D782" i="3"/>
  <c r="C782" i="3"/>
  <c r="B782" i="3"/>
  <c r="A782" i="3"/>
  <c r="K781" i="3"/>
  <c r="J781" i="3"/>
  <c r="I781" i="3"/>
  <c r="H781" i="3"/>
  <c r="G781" i="3"/>
  <c r="F781" i="3"/>
  <c r="E781" i="3"/>
  <c r="D781" i="3"/>
  <c r="C781" i="3"/>
  <c r="B781" i="3"/>
  <c r="A781" i="3"/>
  <c r="K780" i="3"/>
  <c r="J780" i="3"/>
  <c r="I780" i="3"/>
  <c r="H780" i="3"/>
  <c r="G780" i="3"/>
  <c r="F780" i="3"/>
  <c r="E780" i="3"/>
  <c r="D780" i="3"/>
  <c r="C780" i="3"/>
  <c r="B780" i="3"/>
  <c r="A780" i="3"/>
  <c r="K779" i="3"/>
  <c r="J779" i="3"/>
  <c r="I779" i="3"/>
  <c r="H779" i="3"/>
  <c r="G779" i="3"/>
  <c r="F779" i="3"/>
  <c r="E779" i="3"/>
  <c r="D779" i="3"/>
  <c r="C779" i="3"/>
  <c r="B779" i="3"/>
  <c r="A779" i="3"/>
  <c r="K778" i="3"/>
  <c r="J778" i="3"/>
  <c r="I778" i="3"/>
  <c r="H778" i="3"/>
  <c r="G778" i="3"/>
  <c r="F778" i="3"/>
  <c r="E778" i="3"/>
  <c r="D778" i="3"/>
  <c r="C778" i="3"/>
  <c r="B778" i="3"/>
  <c r="A778" i="3"/>
  <c r="K777" i="3"/>
  <c r="J777" i="3"/>
  <c r="I777" i="3"/>
  <c r="H777" i="3"/>
  <c r="G777" i="3"/>
  <c r="F777" i="3"/>
  <c r="E777" i="3"/>
  <c r="D777" i="3"/>
  <c r="C777" i="3"/>
  <c r="B777" i="3"/>
  <c r="A777" i="3"/>
  <c r="K776" i="3"/>
  <c r="J776" i="3"/>
  <c r="I776" i="3"/>
  <c r="H776" i="3"/>
  <c r="G776" i="3"/>
  <c r="F776" i="3"/>
  <c r="E776" i="3"/>
  <c r="D776" i="3"/>
  <c r="C776" i="3"/>
  <c r="B776" i="3"/>
  <c r="A776" i="3"/>
  <c r="K775" i="3"/>
  <c r="J775" i="3"/>
  <c r="I775" i="3"/>
  <c r="H775" i="3"/>
  <c r="G775" i="3"/>
  <c r="F775" i="3"/>
  <c r="E775" i="3"/>
  <c r="D775" i="3"/>
  <c r="C775" i="3"/>
  <c r="B775" i="3"/>
  <c r="A775" i="3"/>
  <c r="K774" i="3"/>
  <c r="J774" i="3"/>
  <c r="I774" i="3"/>
  <c r="H774" i="3"/>
  <c r="G774" i="3"/>
  <c r="F774" i="3"/>
  <c r="E774" i="3"/>
  <c r="D774" i="3"/>
  <c r="C774" i="3"/>
  <c r="B774" i="3"/>
  <c r="A774" i="3"/>
  <c r="K773" i="3"/>
  <c r="J773" i="3"/>
  <c r="I773" i="3"/>
  <c r="H773" i="3"/>
  <c r="G773" i="3"/>
  <c r="F773" i="3"/>
  <c r="E773" i="3"/>
  <c r="D773" i="3"/>
  <c r="C773" i="3"/>
  <c r="B773" i="3"/>
  <c r="A773" i="3"/>
  <c r="K772" i="3"/>
  <c r="J772" i="3"/>
  <c r="I772" i="3"/>
  <c r="H772" i="3"/>
  <c r="G772" i="3"/>
  <c r="F772" i="3"/>
  <c r="E772" i="3"/>
  <c r="D772" i="3"/>
  <c r="C772" i="3"/>
  <c r="B772" i="3"/>
  <c r="A772" i="3"/>
  <c r="K771" i="3"/>
  <c r="J771" i="3"/>
  <c r="I771" i="3"/>
  <c r="H771" i="3"/>
  <c r="G771" i="3"/>
  <c r="F771" i="3"/>
  <c r="E771" i="3"/>
  <c r="D771" i="3"/>
  <c r="C771" i="3"/>
  <c r="B771" i="3"/>
  <c r="A771" i="3"/>
  <c r="K770" i="3"/>
  <c r="J770" i="3"/>
  <c r="I770" i="3"/>
  <c r="H770" i="3"/>
  <c r="G770" i="3"/>
  <c r="F770" i="3"/>
  <c r="E770" i="3"/>
  <c r="D770" i="3"/>
  <c r="C770" i="3"/>
  <c r="B770" i="3"/>
  <c r="A770" i="3"/>
  <c r="K769" i="3"/>
  <c r="J769" i="3"/>
  <c r="I769" i="3"/>
  <c r="H769" i="3"/>
  <c r="G769" i="3"/>
  <c r="F769" i="3"/>
  <c r="E769" i="3"/>
  <c r="D769" i="3"/>
  <c r="C769" i="3"/>
  <c r="B769" i="3"/>
  <c r="A769" i="3"/>
  <c r="K768" i="3"/>
  <c r="J768" i="3"/>
  <c r="I768" i="3"/>
  <c r="H768" i="3"/>
  <c r="G768" i="3"/>
  <c r="F768" i="3"/>
  <c r="E768" i="3"/>
  <c r="D768" i="3"/>
  <c r="C768" i="3"/>
  <c r="B768" i="3"/>
  <c r="A768" i="3"/>
  <c r="K767" i="3"/>
  <c r="J767" i="3"/>
  <c r="I767" i="3"/>
  <c r="H767" i="3"/>
  <c r="G767" i="3"/>
  <c r="F767" i="3"/>
  <c r="E767" i="3"/>
  <c r="D767" i="3"/>
  <c r="C767" i="3"/>
  <c r="B767" i="3"/>
  <c r="A767" i="3"/>
  <c r="K766" i="3"/>
  <c r="J766" i="3"/>
  <c r="I766" i="3"/>
  <c r="H766" i="3"/>
  <c r="G766" i="3"/>
  <c r="F766" i="3"/>
  <c r="E766" i="3"/>
  <c r="D766" i="3"/>
  <c r="C766" i="3"/>
  <c r="B766" i="3"/>
  <c r="A766" i="3"/>
  <c r="K765" i="3"/>
  <c r="J765" i="3"/>
  <c r="I765" i="3"/>
  <c r="H765" i="3"/>
  <c r="G765" i="3"/>
  <c r="F765" i="3"/>
  <c r="E765" i="3"/>
  <c r="D765" i="3"/>
  <c r="C765" i="3"/>
  <c r="B765" i="3"/>
  <c r="A765" i="3"/>
  <c r="K764" i="3"/>
  <c r="J764" i="3"/>
  <c r="I764" i="3"/>
  <c r="H764" i="3"/>
  <c r="G764" i="3"/>
  <c r="F764" i="3"/>
  <c r="E764" i="3"/>
  <c r="D764" i="3"/>
  <c r="C764" i="3"/>
  <c r="B764" i="3"/>
  <c r="A764" i="3"/>
  <c r="K763" i="3"/>
  <c r="J763" i="3"/>
  <c r="I763" i="3"/>
  <c r="H763" i="3"/>
  <c r="G763" i="3"/>
  <c r="F763" i="3"/>
  <c r="E763" i="3"/>
  <c r="D763" i="3"/>
  <c r="C763" i="3"/>
  <c r="B763" i="3"/>
  <c r="A763" i="3"/>
  <c r="K762" i="3"/>
  <c r="J762" i="3"/>
  <c r="I762" i="3"/>
  <c r="H762" i="3"/>
  <c r="G762" i="3"/>
  <c r="F762" i="3"/>
  <c r="E762" i="3"/>
  <c r="D762" i="3"/>
  <c r="C762" i="3"/>
  <c r="B762" i="3"/>
  <c r="A762" i="3"/>
  <c r="K761" i="3"/>
  <c r="J761" i="3"/>
  <c r="I761" i="3"/>
  <c r="H761" i="3"/>
  <c r="G761" i="3"/>
  <c r="F761" i="3"/>
  <c r="E761" i="3"/>
  <c r="D761" i="3"/>
  <c r="C761" i="3"/>
  <c r="B761" i="3"/>
  <c r="A761" i="3"/>
  <c r="K760" i="3"/>
  <c r="J760" i="3"/>
  <c r="I760" i="3"/>
  <c r="H760" i="3"/>
  <c r="G760" i="3"/>
  <c r="F760" i="3"/>
  <c r="E760" i="3"/>
  <c r="D760" i="3"/>
  <c r="C760" i="3"/>
  <c r="B760" i="3"/>
  <c r="A760" i="3"/>
  <c r="K759" i="3"/>
  <c r="J759" i="3"/>
  <c r="I759" i="3"/>
  <c r="H759" i="3"/>
  <c r="G759" i="3"/>
  <c r="F759" i="3"/>
  <c r="E759" i="3"/>
  <c r="D759" i="3"/>
  <c r="C759" i="3"/>
  <c r="B759" i="3"/>
  <c r="A759" i="3"/>
  <c r="K758" i="3"/>
  <c r="J758" i="3"/>
  <c r="I758" i="3"/>
  <c r="H758" i="3"/>
  <c r="G758" i="3"/>
  <c r="F758" i="3"/>
  <c r="E758" i="3"/>
  <c r="D758" i="3"/>
  <c r="C758" i="3"/>
  <c r="B758" i="3"/>
  <c r="A758" i="3"/>
  <c r="K757" i="3"/>
  <c r="J757" i="3"/>
  <c r="I757" i="3"/>
  <c r="H757" i="3"/>
  <c r="G757" i="3"/>
  <c r="F757" i="3"/>
  <c r="E757" i="3"/>
  <c r="D757" i="3"/>
  <c r="C757" i="3"/>
  <c r="B757" i="3"/>
  <c r="A757" i="3"/>
  <c r="K756" i="3"/>
  <c r="J756" i="3"/>
  <c r="I756" i="3"/>
  <c r="H756" i="3"/>
  <c r="G756" i="3"/>
  <c r="F756" i="3"/>
  <c r="E756" i="3"/>
  <c r="D756" i="3"/>
  <c r="C756" i="3"/>
  <c r="B756" i="3"/>
  <c r="A756" i="3"/>
  <c r="K755" i="3"/>
  <c r="J755" i="3"/>
  <c r="I755" i="3"/>
  <c r="H755" i="3"/>
  <c r="G755" i="3"/>
  <c r="F755" i="3"/>
  <c r="E755" i="3"/>
  <c r="D755" i="3"/>
  <c r="C755" i="3"/>
  <c r="B755" i="3"/>
  <c r="A755" i="3"/>
  <c r="K754" i="3"/>
  <c r="J754" i="3"/>
  <c r="I754" i="3"/>
  <c r="H754" i="3"/>
  <c r="G754" i="3"/>
  <c r="F754" i="3"/>
  <c r="E754" i="3"/>
  <c r="D754" i="3"/>
  <c r="C754" i="3"/>
  <c r="B754" i="3"/>
  <c r="A754" i="3"/>
  <c r="K753" i="3"/>
  <c r="J753" i="3"/>
  <c r="I753" i="3"/>
  <c r="H753" i="3"/>
  <c r="G753" i="3"/>
  <c r="F753" i="3"/>
  <c r="E753" i="3"/>
  <c r="D753" i="3"/>
  <c r="C753" i="3"/>
  <c r="B753" i="3"/>
  <c r="A753" i="3"/>
  <c r="K752" i="3"/>
  <c r="J752" i="3"/>
  <c r="I752" i="3"/>
  <c r="H752" i="3"/>
  <c r="G752" i="3"/>
  <c r="F752" i="3"/>
  <c r="E752" i="3"/>
  <c r="D752" i="3"/>
  <c r="C752" i="3"/>
  <c r="B752" i="3"/>
  <c r="A752" i="3"/>
  <c r="K751" i="3"/>
  <c r="J751" i="3"/>
  <c r="I751" i="3"/>
  <c r="H751" i="3"/>
  <c r="G751" i="3"/>
  <c r="F751" i="3"/>
  <c r="E751" i="3"/>
  <c r="D751" i="3"/>
  <c r="C751" i="3"/>
  <c r="B751" i="3"/>
  <c r="A751" i="3"/>
  <c r="K750" i="3"/>
  <c r="J750" i="3"/>
  <c r="I750" i="3"/>
  <c r="H750" i="3"/>
  <c r="G750" i="3"/>
  <c r="F750" i="3"/>
  <c r="E750" i="3"/>
  <c r="D750" i="3"/>
  <c r="C750" i="3"/>
  <c r="B750" i="3"/>
  <c r="A750" i="3"/>
  <c r="K749" i="3"/>
  <c r="J749" i="3"/>
  <c r="I749" i="3"/>
  <c r="H749" i="3"/>
  <c r="G749" i="3"/>
  <c r="F749" i="3"/>
  <c r="E749" i="3"/>
  <c r="D749" i="3"/>
  <c r="C749" i="3"/>
  <c r="B749" i="3"/>
  <c r="A749" i="3"/>
  <c r="K748" i="3"/>
  <c r="J748" i="3"/>
  <c r="I748" i="3"/>
  <c r="H748" i="3"/>
  <c r="G748" i="3"/>
  <c r="F748" i="3"/>
  <c r="E748" i="3"/>
  <c r="D748" i="3"/>
  <c r="C748" i="3"/>
  <c r="B748" i="3"/>
  <c r="A748" i="3"/>
  <c r="K747" i="3"/>
  <c r="J747" i="3"/>
  <c r="I747" i="3"/>
  <c r="H747" i="3"/>
  <c r="G747" i="3"/>
  <c r="F747" i="3"/>
  <c r="E747" i="3"/>
  <c r="D747" i="3"/>
  <c r="C747" i="3"/>
  <c r="B747" i="3"/>
  <c r="A747" i="3"/>
  <c r="K746" i="3"/>
  <c r="J746" i="3"/>
  <c r="I746" i="3"/>
  <c r="H746" i="3"/>
  <c r="G746" i="3"/>
  <c r="F746" i="3"/>
  <c r="E746" i="3"/>
  <c r="D746" i="3"/>
  <c r="C746" i="3"/>
  <c r="B746" i="3"/>
  <c r="A746" i="3"/>
  <c r="K745" i="3"/>
  <c r="J745" i="3"/>
  <c r="I745" i="3"/>
  <c r="H745" i="3"/>
  <c r="G745" i="3"/>
  <c r="F745" i="3"/>
  <c r="E745" i="3"/>
  <c r="D745" i="3"/>
  <c r="C745" i="3"/>
  <c r="B745" i="3"/>
  <c r="A745" i="3"/>
  <c r="K744" i="3"/>
  <c r="J744" i="3"/>
  <c r="I744" i="3"/>
  <c r="H744" i="3"/>
  <c r="G744" i="3"/>
  <c r="F744" i="3"/>
  <c r="E744" i="3"/>
  <c r="D744" i="3"/>
  <c r="C744" i="3"/>
  <c r="B744" i="3"/>
  <c r="A744" i="3"/>
  <c r="K743" i="3"/>
  <c r="J743" i="3"/>
  <c r="I743" i="3"/>
  <c r="H743" i="3"/>
  <c r="G743" i="3"/>
  <c r="F743" i="3"/>
  <c r="E743" i="3"/>
  <c r="D743" i="3"/>
  <c r="C743" i="3"/>
  <c r="B743" i="3"/>
  <c r="A743" i="3"/>
  <c r="K742" i="3"/>
  <c r="J742" i="3"/>
  <c r="I742" i="3"/>
  <c r="H742" i="3"/>
  <c r="G742" i="3"/>
  <c r="F742" i="3"/>
  <c r="E742" i="3"/>
  <c r="D742" i="3"/>
  <c r="C742" i="3"/>
  <c r="B742" i="3"/>
  <c r="A742" i="3"/>
  <c r="K741" i="3"/>
  <c r="J741" i="3"/>
  <c r="I741" i="3"/>
  <c r="H741" i="3"/>
  <c r="G741" i="3"/>
  <c r="F741" i="3"/>
  <c r="E741" i="3"/>
  <c r="D741" i="3"/>
  <c r="C741" i="3"/>
  <c r="B741" i="3"/>
  <c r="A741" i="3"/>
  <c r="K740" i="3"/>
  <c r="J740" i="3"/>
  <c r="I740" i="3"/>
  <c r="H740" i="3"/>
  <c r="G740" i="3"/>
  <c r="F740" i="3"/>
  <c r="E740" i="3"/>
  <c r="D740" i="3"/>
  <c r="C740" i="3"/>
  <c r="B740" i="3"/>
  <c r="A740" i="3"/>
  <c r="K739" i="3"/>
  <c r="J739" i="3"/>
  <c r="I739" i="3"/>
  <c r="H739" i="3"/>
  <c r="G739" i="3"/>
  <c r="F739" i="3"/>
  <c r="E739" i="3"/>
  <c r="D739" i="3"/>
  <c r="C739" i="3"/>
  <c r="B739" i="3"/>
  <c r="A739" i="3"/>
  <c r="K738" i="3"/>
  <c r="J738" i="3"/>
  <c r="I738" i="3"/>
  <c r="H738" i="3"/>
  <c r="G738" i="3"/>
  <c r="F738" i="3"/>
  <c r="E738" i="3"/>
  <c r="D738" i="3"/>
  <c r="C738" i="3"/>
  <c r="B738" i="3"/>
  <c r="A738" i="3"/>
  <c r="K737" i="3"/>
  <c r="J737" i="3"/>
  <c r="I737" i="3"/>
  <c r="H737" i="3"/>
  <c r="G737" i="3"/>
  <c r="F737" i="3"/>
  <c r="E737" i="3"/>
  <c r="D737" i="3"/>
  <c r="C737" i="3"/>
  <c r="B737" i="3"/>
  <c r="A737" i="3"/>
  <c r="K736" i="3"/>
  <c r="J736" i="3"/>
  <c r="I736" i="3"/>
  <c r="H736" i="3"/>
  <c r="G736" i="3"/>
  <c r="F736" i="3"/>
  <c r="E736" i="3"/>
  <c r="D736" i="3"/>
  <c r="C736" i="3"/>
  <c r="B736" i="3"/>
  <c r="A736" i="3"/>
  <c r="K735" i="3"/>
  <c r="J735" i="3"/>
  <c r="I735" i="3"/>
  <c r="H735" i="3"/>
  <c r="G735" i="3"/>
  <c r="F735" i="3"/>
  <c r="E735" i="3"/>
  <c r="D735" i="3"/>
  <c r="C735" i="3"/>
  <c r="B735" i="3"/>
  <c r="A735" i="3"/>
  <c r="K734" i="3"/>
  <c r="J734" i="3"/>
  <c r="I734" i="3"/>
  <c r="H734" i="3"/>
  <c r="G734" i="3"/>
  <c r="F734" i="3"/>
  <c r="E734" i="3"/>
  <c r="D734" i="3"/>
  <c r="C734" i="3"/>
  <c r="B734" i="3"/>
  <c r="A734" i="3"/>
  <c r="K733" i="3"/>
  <c r="J733" i="3"/>
  <c r="I733" i="3"/>
  <c r="H733" i="3"/>
  <c r="G733" i="3"/>
  <c r="F733" i="3"/>
  <c r="E733" i="3"/>
  <c r="D733" i="3"/>
  <c r="C733" i="3"/>
  <c r="B733" i="3"/>
  <c r="A733" i="3"/>
  <c r="K732" i="3"/>
  <c r="J732" i="3"/>
  <c r="I732" i="3"/>
  <c r="H732" i="3"/>
  <c r="G732" i="3"/>
  <c r="F732" i="3"/>
  <c r="E732" i="3"/>
  <c r="D732" i="3"/>
  <c r="C732" i="3"/>
  <c r="B732" i="3"/>
  <c r="A732" i="3"/>
  <c r="K731" i="3"/>
  <c r="J731" i="3"/>
  <c r="I731" i="3"/>
  <c r="H731" i="3"/>
  <c r="G731" i="3"/>
  <c r="F731" i="3"/>
  <c r="E731" i="3"/>
  <c r="D731" i="3"/>
  <c r="C731" i="3"/>
  <c r="B731" i="3"/>
  <c r="A731" i="3"/>
  <c r="K730" i="3"/>
  <c r="J730" i="3"/>
  <c r="I730" i="3"/>
  <c r="H730" i="3"/>
  <c r="G730" i="3"/>
  <c r="F730" i="3"/>
  <c r="E730" i="3"/>
  <c r="D730" i="3"/>
  <c r="C730" i="3"/>
  <c r="B730" i="3"/>
  <c r="A730" i="3"/>
  <c r="K729" i="3"/>
  <c r="J729" i="3"/>
  <c r="I729" i="3"/>
  <c r="H729" i="3"/>
  <c r="G729" i="3"/>
  <c r="F729" i="3"/>
  <c r="E729" i="3"/>
  <c r="D729" i="3"/>
  <c r="C729" i="3"/>
  <c r="B729" i="3"/>
  <c r="A729" i="3"/>
  <c r="K728" i="3"/>
  <c r="J728" i="3"/>
  <c r="I728" i="3"/>
  <c r="H728" i="3"/>
  <c r="G728" i="3"/>
  <c r="F728" i="3"/>
  <c r="E728" i="3"/>
  <c r="D728" i="3"/>
  <c r="C728" i="3"/>
  <c r="B728" i="3"/>
  <c r="A728" i="3"/>
  <c r="K727" i="3"/>
  <c r="J727" i="3"/>
  <c r="I727" i="3"/>
  <c r="H727" i="3"/>
  <c r="G727" i="3"/>
  <c r="F727" i="3"/>
  <c r="E727" i="3"/>
  <c r="D727" i="3"/>
  <c r="C727" i="3"/>
  <c r="B727" i="3"/>
  <c r="A727" i="3"/>
  <c r="K726" i="3"/>
  <c r="J726" i="3"/>
  <c r="I726" i="3"/>
  <c r="H726" i="3"/>
  <c r="G726" i="3"/>
  <c r="F726" i="3"/>
  <c r="E726" i="3"/>
  <c r="D726" i="3"/>
  <c r="C726" i="3"/>
  <c r="B726" i="3"/>
  <c r="A726" i="3"/>
  <c r="K725" i="3"/>
  <c r="J725" i="3"/>
  <c r="I725" i="3"/>
  <c r="H725" i="3"/>
  <c r="G725" i="3"/>
  <c r="F725" i="3"/>
  <c r="E725" i="3"/>
  <c r="D725" i="3"/>
  <c r="C725" i="3"/>
  <c r="B725" i="3"/>
  <c r="A725" i="3"/>
  <c r="K724" i="3"/>
  <c r="J724" i="3"/>
  <c r="I724" i="3"/>
  <c r="H724" i="3"/>
  <c r="G724" i="3"/>
  <c r="F724" i="3"/>
  <c r="E724" i="3"/>
  <c r="D724" i="3"/>
  <c r="C724" i="3"/>
  <c r="B724" i="3"/>
  <c r="A724" i="3"/>
  <c r="K723" i="3"/>
  <c r="J723" i="3"/>
  <c r="I723" i="3"/>
  <c r="H723" i="3"/>
  <c r="G723" i="3"/>
  <c r="F723" i="3"/>
  <c r="E723" i="3"/>
  <c r="D723" i="3"/>
  <c r="C723" i="3"/>
  <c r="B723" i="3"/>
  <c r="A723" i="3"/>
  <c r="K722" i="3"/>
  <c r="J722" i="3"/>
  <c r="I722" i="3"/>
  <c r="H722" i="3"/>
  <c r="G722" i="3"/>
  <c r="F722" i="3"/>
  <c r="E722" i="3"/>
  <c r="D722" i="3"/>
  <c r="C722" i="3"/>
  <c r="B722" i="3"/>
  <c r="A722" i="3"/>
  <c r="K721" i="3"/>
  <c r="J721" i="3"/>
  <c r="I721" i="3"/>
  <c r="H721" i="3"/>
  <c r="G721" i="3"/>
  <c r="F721" i="3"/>
  <c r="E721" i="3"/>
  <c r="D721" i="3"/>
  <c r="C721" i="3"/>
  <c r="B721" i="3"/>
  <c r="A721" i="3"/>
  <c r="K720" i="3"/>
  <c r="J720" i="3"/>
  <c r="I720" i="3"/>
  <c r="H720" i="3"/>
  <c r="G720" i="3"/>
  <c r="F720" i="3"/>
  <c r="E720" i="3"/>
  <c r="D720" i="3"/>
  <c r="C720" i="3"/>
  <c r="B720" i="3"/>
  <c r="A720" i="3"/>
  <c r="K719" i="3"/>
  <c r="J719" i="3"/>
  <c r="I719" i="3"/>
  <c r="H719" i="3"/>
  <c r="G719" i="3"/>
  <c r="F719" i="3"/>
  <c r="E719" i="3"/>
  <c r="D719" i="3"/>
  <c r="C719" i="3"/>
  <c r="B719" i="3"/>
  <c r="A719" i="3"/>
  <c r="K718" i="3"/>
  <c r="J718" i="3"/>
  <c r="I718" i="3"/>
  <c r="H718" i="3"/>
  <c r="G718" i="3"/>
  <c r="F718" i="3"/>
  <c r="E718" i="3"/>
  <c r="D718" i="3"/>
  <c r="C718" i="3"/>
  <c r="B718" i="3"/>
  <c r="A718" i="3"/>
  <c r="K717" i="3"/>
  <c r="J717" i="3"/>
  <c r="I717" i="3"/>
  <c r="H717" i="3"/>
  <c r="G717" i="3"/>
  <c r="F717" i="3"/>
  <c r="E717" i="3"/>
  <c r="D717" i="3"/>
  <c r="C717" i="3"/>
  <c r="B717" i="3"/>
  <c r="A717" i="3"/>
  <c r="K716" i="3"/>
  <c r="J716" i="3"/>
  <c r="I716" i="3"/>
  <c r="H716" i="3"/>
  <c r="G716" i="3"/>
  <c r="F716" i="3"/>
  <c r="E716" i="3"/>
  <c r="D716" i="3"/>
  <c r="C716" i="3"/>
  <c r="B716" i="3"/>
  <c r="A716" i="3"/>
  <c r="K715" i="3"/>
  <c r="J715" i="3"/>
  <c r="I715" i="3"/>
  <c r="H715" i="3"/>
  <c r="G715" i="3"/>
  <c r="F715" i="3"/>
  <c r="E715" i="3"/>
  <c r="D715" i="3"/>
  <c r="C715" i="3"/>
  <c r="B715" i="3"/>
  <c r="A715" i="3"/>
  <c r="K714" i="3"/>
  <c r="J714" i="3"/>
  <c r="I714" i="3"/>
  <c r="H714" i="3"/>
  <c r="G714" i="3"/>
  <c r="F714" i="3"/>
  <c r="E714" i="3"/>
  <c r="D714" i="3"/>
  <c r="C714" i="3"/>
  <c r="B714" i="3"/>
  <c r="A714" i="3"/>
  <c r="K713" i="3"/>
  <c r="J713" i="3"/>
  <c r="I713" i="3"/>
  <c r="H713" i="3"/>
  <c r="G713" i="3"/>
  <c r="F713" i="3"/>
  <c r="E713" i="3"/>
  <c r="D713" i="3"/>
  <c r="C713" i="3"/>
  <c r="B713" i="3"/>
  <c r="A713" i="3"/>
  <c r="K712" i="3"/>
  <c r="J712" i="3"/>
  <c r="I712" i="3"/>
  <c r="H712" i="3"/>
  <c r="G712" i="3"/>
  <c r="F712" i="3"/>
  <c r="E712" i="3"/>
  <c r="D712" i="3"/>
  <c r="C712" i="3"/>
  <c r="B712" i="3"/>
  <c r="A712" i="3"/>
  <c r="K711" i="3"/>
  <c r="J711" i="3"/>
  <c r="I711" i="3"/>
  <c r="H711" i="3"/>
  <c r="G711" i="3"/>
  <c r="F711" i="3"/>
  <c r="E711" i="3"/>
  <c r="D711" i="3"/>
  <c r="C711" i="3"/>
  <c r="B711" i="3"/>
  <c r="A711" i="3"/>
  <c r="K710" i="3"/>
  <c r="J710" i="3"/>
  <c r="I710" i="3"/>
  <c r="H710" i="3"/>
  <c r="G710" i="3"/>
  <c r="F710" i="3"/>
  <c r="E710" i="3"/>
  <c r="D710" i="3"/>
  <c r="C710" i="3"/>
  <c r="B710" i="3"/>
  <c r="A710" i="3"/>
  <c r="K709" i="3"/>
  <c r="J709" i="3"/>
  <c r="I709" i="3"/>
  <c r="H709" i="3"/>
  <c r="G709" i="3"/>
  <c r="F709" i="3"/>
  <c r="E709" i="3"/>
  <c r="D709" i="3"/>
  <c r="C709" i="3"/>
  <c r="B709" i="3"/>
  <c r="A709" i="3"/>
  <c r="K708" i="3"/>
  <c r="J708" i="3"/>
  <c r="I708" i="3"/>
  <c r="H708" i="3"/>
  <c r="G708" i="3"/>
  <c r="F708" i="3"/>
  <c r="E708" i="3"/>
  <c r="D708" i="3"/>
  <c r="C708" i="3"/>
  <c r="B708" i="3"/>
  <c r="A708" i="3"/>
  <c r="K707" i="3"/>
  <c r="J707" i="3"/>
  <c r="I707" i="3"/>
  <c r="H707" i="3"/>
  <c r="G707" i="3"/>
  <c r="F707" i="3"/>
  <c r="E707" i="3"/>
  <c r="D707" i="3"/>
  <c r="C707" i="3"/>
  <c r="B707" i="3"/>
  <c r="A707" i="3"/>
  <c r="K706" i="3"/>
  <c r="J706" i="3"/>
  <c r="I706" i="3"/>
  <c r="H706" i="3"/>
  <c r="G706" i="3"/>
  <c r="F706" i="3"/>
  <c r="E706" i="3"/>
  <c r="D706" i="3"/>
  <c r="C706" i="3"/>
  <c r="B706" i="3"/>
  <c r="A706" i="3"/>
  <c r="K705" i="3"/>
  <c r="J705" i="3"/>
  <c r="I705" i="3"/>
  <c r="H705" i="3"/>
  <c r="G705" i="3"/>
  <c r="F705" i="3"/>
  <c r="E705" i="3"/>
  <c r="D705" i="3"/>
  <c r="C705" i="3"/>
  <c r="B705" i="3"/>
  <c r="A705" i="3"/>
  <c r="K704" i="3"/>
  <c r="J704" i="3"/>
  <c r="I704" i="3"/>
  <c r="H704" i="3"/>
  <c r="G704" i="3"/>
  <c r="F704" i="3"/>
  <c r="E704" i="3"/>
  <c r="D704" i="3"/>
  <c r="C704" i="3"/>
  <c r="B704" i="3"/>
  <c r="A704" i="3"/>
  <c r="K703" i="3"/>
  <c r="J703" i="3"/>
  <c r="I703" i="3"/>
  <c r="H703" i="3"/>
  <c r="G703" i="3"/>
  <c r="F703" i="3"/>
  <c r="E703" i="3"/>
  <c r="D703" i="3"/>
  <c r="C703" i="3"/>
  <c r="B703" i="3"/>
  <c r="A703" i="3"/>
  <c r="K702" i="3"/>
  <c r="J702" i="3"/>
  <c r="I702" i="3"/>
  <c r="H702" i="3"/>
  <c r="G702" i="3"/>
  <c r="F702" i="3"/>
  <c r="E702" i="3"/>
  <c r="D702" i="3"/>
  <c r="C702" i="3"/>
  <c r="B702" i="3"/>
  <c r="A702" i="3"/>
  <c r="K701" i="3"/>
  <c r="J701" i="3"/>
  <c r="I701" i="3"/>
  <c r="H701" i="3"/>
  <c r="G701" i="3"/>
  <c r="F701" i="3"/>
  <c r="E701" i="3"/>
  <c r="D701" i="3"/>
  <c r="C701" i="3"/>
  <c r="B701" i="3"/>
  <c r="A701" i="3"/>
  <c r="K700" i="3"/>
  <c r="J700" i="3"/>
  <c r="I700" i="3"/>
  <c r="H700" i="3"/>
  <c r="G700" i="3"/>
  <c r="F700" i="3"/>
  <c r="E700" i="3"/>
  <c r="D700" i="3"/>
  <c r="C700" i="3"/>
  <c r="B700" i="3"/>
  <c r="A700" i="3"/>
  <c r="K699" i="3"/>
  <c r="J699" i="3"/>
  <c r="I699" i="3"/>
  <c r="H699" i="3"/>
  <c r="G699" i="3"/>
  <c r="F699" i="3"/>
  <c r="E699" i="3"/>
  <c r="D699" i="3"/>
  <c r="C699" i="3"/>
  <c r="B699" i="3"/>
  <c r="A699" i="3"/>
  <c r="K698" i="3"/>
  <c r="J698" i="3"/>
  <c r="I698" i="3"/>
  <c r="H698" i="3"/>
  <c r="G698" i="3"/>
  <c r="F698" i="3"/>
  <c r="E698" i="3"/>
  <c r="D698" i="3"/>
  <c r="C698" i="3"/>
  <c r="B698" i="3"/>
  <c r="A698" i="3"/>
  <c r="K697" i="3"/>
  <c r="J697" i="3"/>
  <c r="I697" i="3"/>
  <c r="H697" i="3"/>
  <c r="G697" i="3"/>
  <c r="F697" i="3"/>
  <c r="E697" i="3"/>
  <c r="D697" i="3"/>
  <c r="C697" i="3"/>
  <c r="B697" i="3"/>
  <c r="A697" i="3"/>
  <c r="K696" i="3"/>
  <c r="J696" i="3"/>
  <c r="I696" i="3"/>
  <c r="H696" i="3"/>
  <c r="G696" i="3"/>
  <c r="F696" i="3"/>
  <c r="E696" i="3"/>
  <c r="D696" i="3"/>
  <c r="C696" i="3"/>
  <c r="B696" i="3"/>
  <c r="A696" i="3"/>
  <c r="K695" i="3"/>
  <c r="J695" i="3"/>
  <c r="I695" i="3"/>
  <c r="H695" i="3"/>
  <c r="G695" i="3"/>
  <c r="F695" i="3"/>
  <c r="E695" i="3"/>
  <c r="D695" i="3"/>
  <c r="C695" i="3"/>
  <c r="B695" i="3"/>
  <c r="A695" i="3"/>
  <c r="K694" i="3"/>
  <c r="J694" i="3"/>
  <c r="I694" i="3"/>
  <c r="H694" i="3"/>
  <c r="G694" i="3"/>
  <c r="F694" i="3"/>
  <c r="E694" i="3"/>
  <c r="D694" i="3"/>
  <c r="C694" i="3"/>
  <c r="B694" i="3"/>
  <c r="A694" i="3"/>
  <c r="K693" i="3"/>
  <c r="J693" i="3"/>
  <c r="I693" i="3"/>
  <c r="H693" i="3"/>
  <c r="G693" i="3"/>
  <c r="F693" i="3"/>
  <c r="E693" i="3"/>
  <c r="D693" i="3"/>
  <c r="C693" i="3"/>
  <c r="B693" i="3"/>
  <c r="A693" i="3"/>
  <c r="K692" i="3"/>
  <c r="J692" i="3"/>
  <c r="I692" i="3"/>
  <c r="H692" i="3"/>
  <c r="G692" i="3"/>
  <c r="F692" i="3"/>
  <c r="E692" i="3"/>
  <c r="D692" i="3"/>
  <c r="C692" i="3"/>
  <c r="B692" i="3"/>
  <c r="A692" i="3"/>
  <c r="K691" i="3"/>
  <c r="J691" i="3"/>
  <c r="I691" i="3"/>
  <c r="H691" i="3"/>
  <c r="G691" i="3"/>
  <c r="F691" i="3"/>
  <c r="E691" i="3"/>
  <c r="D691" i="3"/>
  <c r="C691" i="3"/>
  <c r="B691" i="3"/>
  <c r="A691" i="3"/>
  <c r="K690" i="3"/>
  <c r="J690" i="3"/>
  <c r="I690" i="3"/>
  <c r="H690" i="3"/>
  <c r="G690" i="3"/>
  <c r="F690" i="3"/>
  <c r="E690" i="3"/>
  <c r="D690" i="3"/>
  <c r="C690" i="3"/>
  <c r="B690" i="3"/>
  <c r="A690" i="3"/>
  <c r="K689" i="3"/>
  <c r="J689" i="3"/>
  <c r="I689" i="3"/>
  <c r="H689" i="3"/>
  <c r="G689" i="3"/>
  <c r="F689" i="3"/>
  <c r="E689" i="3"/>
  <c r="D689" i="3"/>
  <c r="C689" i="3"/>
  <c r="B689" i="3"/>
  <c r="A689" i="3"/>
  <c r="K688" i="3"/>
  <c r="J688" i="3"/>
  <c r="I688" i="3"/>
  <c r="H688" i="3"/>
  <c r="G688" i="3"/>
  <c r="F688" i="3"/>
  <c r="E688" i="3"/>
  <c r="D688" i="3"/>
  <c r="C688" i="3"/>
  <c r="B688" i="3"/>
  <c r="A688" i="3"/>
  <c r="K687" i="3"/>
  <c r="J687" i="3"/>
  <c r="I687" i="3"/>
  <c r="H687" i="3"/>
  <c r="G687" i="3"/>
  <c r="F687" i="3"/>
  <c r="E687" i="3"/>
  <c r="D687" i="3"/>
  <c r="C687" i="3"/>
  <c r="B687" i="3"/>
  <c r="A687" i="3"/>
  <c r="K686" i="3"/>
  <c r="J686" i="3"/>
  <c r="I686" i="3"/>
  <c r="H686" i="3"/>
  <c r="G686" i="3"/>
  <c r="F686" i="3"/>
  <c r="E686" i="3"/>
  <c r="D686" i="3"/>
  <c r="C686" i="3"/>
  <c r="B686" i="3"/>
  <c r="A686" i="3"/>
  <c r="K685" i="3"/>
  <c r="J685" i="3"/>
  <c r="I685" i="3"/>
  <c r="H685" i="3"/>
  <c r="G685" i="3"/>
  <c r="F685" i="3"/>
  <c r="E685" i="3"/>
  <c r="D685" i="3"/>
  <c r="C685" i="3"/>
  <c r="B685" i="3"/>
  <c r="A685" i="3"/>
  <c r="K684" i="3"/>
  <c r="J684" i="3"/>
  <c r="I684" i="3"/>
  <c r="H684" i="3"/>
  <c r="G684" i="3"/>
  <c r="F684" i="3"/>
  <c r="E684" i="3"/>
  <c r="D684" i="3"/>
  <c r="C684" i="3"/>
  <c r="B684" i="3"/>
  <c r="A684" i="3"/>
  <c r="K683" i="3"/>
  <c r="J683" i="3"/>
  <c r="I683" i="3"/>
  <c r="H683" i="3"/>
  <c r="G683" i="3"/>
  <c r="F683" i="3"/>
  <c r="E683" i="3"/>
  <c r="D683" i="3"/>
  <c r="C683" i="3"/>
  <c r="B683" i="3"/>
  <c r="A683" i="3"/>
  <c r="K682" i="3"/>
  <c r="J682" i="3"/>
  <c r="I682" i="3"/>
  <c r="H682" i="3"/>
  <c r="G682" i="3"/>
  <c r="F682" i="3"/>
  <c r="E682" i="3"/>
  <c r="D682" i="3"/>
  <c r="C682" i="3"/>
  <c r="B682" i="3"/>
  <c r="A682" i="3"/>
  <c r="K681" i="3"/>
  <c r="J681" i="3"/>
  <c r="I681" i="3"/>
  <c r="H681" i="3"/>
  <c r="G681" i="3"/>
  <c r="F681" i="3"/>
  <c r="E681" i="3"/>
  <c r="D681" i="3"/>
  <c r="C681" i="3"/>
  <c r="B681" i="3"/>
  <c r="A681" i="3"/>
  <c r="K680" i="3"/>
  <c r="J680" i="3"/>
  <c r="I680" i="3"/>
  <c r="H680" i="3"/>
  <c r="G680" i="3"/>
  <c r="F680" i="3"/>
  <c r="E680" i="3"/>
  <c r="D680" i="3"/>
  <c r="C680" i="3"/>
  <c r="B680" i="3"/>
  <c r="A680" i="3"/>
  <c r="K679" i="3"/>
  <c r="J679" i="3"/>
  <c r="I679" i="3"/>
  <c r="H679" i="3"/>
  <c r="G679" i="3"/>
  <c r="F679" i="3"/>
  <c r="E679" i="3"/>
  <c r="D679" i="3"/>
  <c r="C679" i="3"/>
  <c r="B679" i="3"/>
  <c r="A679" i="3"/>
  <c r="K678" i="3"/>
  <c r="J678" i="3"/>
  <c r="I678" i="3"/>
  <c r="H678" i="3"/>
  <c r="G678" i="3"/>
  <c r="F678" i="3"/>
  <c r="E678" i="3"/>
  <c r="D678" i="3"/>
  <c r="C678" i="3"/>
  <c r="B678" i="3"/>
  <c r="A678" i="3"/>
  <c r="K677" i="3"/>
  <c r="J677" i="3"/>
  <c r="I677" i="3"/>
  <c r="H677" i="3"/>
  <c r="G677" i="3"/>
  <c r="F677" i="3"/>
  <c r="E677" i="3"/>
  <c r="D677" i="3"/>
  <c r="C677" i="3"/>
  <c r="B677" i="3"/>
  <c r="A677" i="3"/>
  <c r="K676" i="3"/>
  <c r="J676" i="3"/>
  <c r="I676" i="3"/>
  <c r="H676" i="3"/>
  <c r="G676" i="3"/>
  <c r="F676" i="3"/>
  <c r="E676" i="3"/>
  <c r="D676" i="3"/>
  <c r="C676" i="3"/>
  <c r="B676" i="3"/>
  <c r="A676" i="3"/>
  <c r="K675" i="3"/>
  <c r="J675" i="3"/>
  <c r="I675" i="3"/>
  <c r="H675" i="3"/>
  <c r="G675" i="3"/>
  <c r="F675" i="3"/>
  <c r="E675" i="3"/>
  <c r="D675" i="3"/>
  <c r="C675" i="3"/>
  <c r="B675" i="3"/>
  <c r="A675" i="3"/>
  <c r="K674" i="3"/>
  <c r="J674" i="3"/>
  <c r="I674" i="3"/>
  <c r="H674" i="3"/>
  <c r="G674" i="3"/>
  <c r="F674" i="3"/>
  <c r="E674" i="3"/>
  <c r="D674" i="3"/>
  <c r="C674" i="3"/>
  <c r="B674" i="3"/>
  <c r="A674" i="3"/>
  <c r="K673" i="3"/>
  <c r="J673" i="3"/>
  <c r="I673" i="3"/>
  <c r="H673" i="3"/>
  <c r="G673" i="3"/>
  <c r="F673" i="3"/>
  <c r="E673" i="3"/>
  <c r="D673" i="3"/>
  <c r="C673" i="3"/>
  <c r="B673" i="3"/>
  <c r="A673" i="3"/>
  <c r="K672" i="3"/>
  <c r="J672" i="3"/>
  <c r="I672" i="3"/>
  <c r="H672" i="3"/>
  <c r="G672" i="3"/>
  <c r="F672" i="3"/>
  <c r="E672" i="3"/>
  <c r="D672" i="3"/>
  <c r="C672" i="3"/>
  <c r="B672" i="3"/>
  <c r="A672" i="3"/>
  <c r="K671" i="3"/>
  <c r="J671" i="3"/>
  <c r="I671" i="3"/>
  <c r="H671" i="3"/>
  <c r="G671" i="3"/>
  <c r="F671" i="3"/>
  <c r="E671" i="3"/>
  <c r="D671" i="3"/>
  <c r="C671" i="3"/>
  <c r="B671" i="3"/>
  <c r="A671" i="3"/>
  <c r="K670" i="3"/>
  <c r="J670" i="3"/>
  <c r="I670" i="3"/>
  <c r="H670" i="3"/>
  <c r="G670" i="3"/>
  <c r="F670" i="3"/>
  <c r="E670" i="3"/>
  <c r="D670" i="3"/>
  <c r="C670" i="3"/>
  <c r="B670" i="3"/>
  <c r="A670" i="3"/>
  <c r="K669" i="3"/>
  <c r="J669" i="3"/>
  <c r="I669" i="3"/>
  <c r="H669" i="3"/>
  <c r="G669" i="3"/>
  <c r="F669" i="3"/>
  <c r="E669" i="3"/>
  <c r="D669" i="3"/>
  <c r="C669" i="3"/>
  <c r="B669" i="3"/>
  <c r="A669" i="3"/>
  <c r="K668" i="3"/>
  <c r="J668" i="3"/>
  <c r="I668" i="3"/>
  <c r="H668" i="3"/>
  <c r="G668" i="3"/>
  <c r="F668" i="3"/>
  <c r="E668" i="3"/>
  <c r="D668" i="3"/>
  <c r="C668" i="3"/>
  <c r="B668" i="3"/>
  <c r="A668" i="3"/>
  <c r="K667" i="3"/>
  <c r="J667" i="3"/>
  <c r="I667" i="3"/>
  <c r="H667" i="3"/>
  <c r="G667" i="3"/>
  <c r="F667" i="3"/>
  <c r="E667" i="3"/>
  <c r="D667" i="3"/>
  <c r="C667" i="3"/>
  <c r="B667" i="3"/>
  <c r="A667" i="3"/>
  <c r="K666" i="3"/>
  <c r="J666" i="3"/>
  <c r="I666" i="3"/>
  <c r="H666" i="3"/>
  <c r="G666" i="3"/>
  <c r="F666" i="3"/>
  <c r="E666" i="3"/>
  <c r="D666" i="3"/>
  <c r="C666" i="3"/>
  <c r="B666" i="3"/>
  <c r="A666" i="3"/>
  <c r="K665" i="3"/>
  <c r="J665" i="3"/>
  <c r="I665" i="3"/>
  <c r="H665" i="3"/>
  <c r="G665" i="3"/>
  <c r="F665" i="3"/>
  <c r="E665" i="3"/>
  <c r="D665" i="3"/>
  <c r="C665" i="3"/>
  <c r="B665" i="3"/>
  <c r="A665" i="3"/>
  <c r="K664" i="3"/>
  <c r="J664" i="3"/>
  <c r="I664" i="3"/>
  <c r="H664" i="3"/>
  <c r="G664" i="3"/>
  <c r="F664" i="3"/>
  <c r="E664" i="3"/>
  <c r="D664" i="3"/>
  <c r="C664" i="3"/>
  <c r="B664" i="3"/>
  <c r="A664" i="3"/>
  <c r="K663" i="3"/>
  <c r="J663" i="3"/>
  <c r="I663" i="3"/>
  <c r="H663" i="3"/>
  <c r="G663" i="3"/>
  <c r="F663" i="3"/>
  <c r="E663" i="3"/>
  <c r="D663" i="3"/>
  <c r="C663" i="3"/>
  <c r="B663" i="3"/>
  <c r="A663" i="3"/>
  <c r="K662" i="3"/>
  <c r="J662" i="3"/>
  <c r="I662" i="3"/>
  <c r="H662" i="3"/>
  <c r="G662" i="3"/>
  <c r="F662" i="3"/>
  <c r="E662" i="3"/>
  <c r="D662" i="3"/>
  <c r="C662" i="3"/>
  <c r="B662" i="3"/>
  <c r="A662" i="3"/>
  <c r="K661" i="3"/>
  <c r="J661" i="3"/>
  <c r="I661" i="3"/>
  <c r="H661" i="3"/>
  <c r="G661" i="3"/>
  <c r="F661" i="3"/>
  <c r="E661" i="3"/>
  <c r="D661" i="3"/>
  <c r="C661" i="3"/>
  <c r="B661" i="3"/>
  <c r="A661" i="3"/>
  <c r="K660" i="3"/>
  <c r="J660" i="3"/>
  <c r="I660" i="3"/>
  <c r="H660" i="3"/>
  <c r="G660" i="3"/>
  <c r="F660" i="3"/>
  <c r="E660" i="3"/>
  <c r="D660" i="3"/>
  <c r="C660" i="3"/>
  <c r="B660" i="3"/>
  <c r="A660" i="3"/>
  <c r="K659" i="3"/>
  <c r="J659" i="3"/>
  <c r="I659" i="3"/>
  <c r="H659" i="3"/>
  <c r="G659" i="3"/>
  <c r="F659" i="3"/>
  <c r="E659" i="3"/>
  <c r="D659" i="3"/>
  <c r="C659" i="3"/>
  <c r="B659" i="3"/>
  <c r="A659" i="3"/>
  <c r="K658" i="3"/>
  <c r="J658" i="3"/>
  <c r="I658" i="3"/>
  <c r="H658" i="3"/>
  <c r="G658" i="3"/>
  <c r="F658" i="3"/>
  <c r="E658" i="3"/>
  <c r="D658" i="3"/>
  <c r="C658" i="3"/>
  <c r="B658" i="3"/>
  <c r="A658" i="3"/>
  <c r="K657" i="3"/>
  <c r="J657" i="3"/>
  <c r="I657" i="3"/>
  <c r="H657" i="3"/>
  <c r="G657" i="3"/>
  <c r="F657" i="3"/>
  <c r="E657" i="3"/>
  <c r="D657" i="3"/>
  <c r="C657" i="3"/>
  <c r="B657" i="3"/>
  <c r="A657" i="3"/>
  <c r="K656" i="3"/>
  <c r="J656" i="3"/>
  <c r="I656" i="3"/>
  <c r="H656" i="3"/>
  <c r="G656" i="3"/>
  <c r="F656" i="3"/>
  <c r="E656" i="3"/>
  <c r="D656" i="3"/>
  <c r="C656" i="3"/>
  <c r="B656" i="3"/>
  <c r="A656" i="3"/>
  <c r="K655" i="3"/>
  <c r="J655" i="3"/>
  <c r="I655" i="3"/>
  <c r="H655" i="3"/>
  <c r="G655" i="3"/>
  <c r="F655" i="3"/>
  <c r="E655" i="3"/>
  <c r="D655" i="3"/>
  <c r="C655" i="3"/>
  <c r="B655" i="3"/>
  <c r="A655" i="3"/>
  <c r="K654" i="3"/>
  <c r="J654" i="3"/>
  <c r="I654" i="3"/>
  <c r="H654" i="3"/>
  <c r="G654" i="3"/>
  <c r="F654" i="3"/>
  <c r="E654" i="3"/>
  <c r="D654" i="3"/>
  <c r="C654" i="3"/>
  <c r="B654" i="3"/>
  <c r="A654" i="3"/>
  <c r="K653" i="3"/>
  <c r="J653" i="3"/>
  <c r="I653" i="3"/>
  <c r="H653" i="3"/>
  <c r="G653" i="3"/>
  <c r="F653" i="3"/>
  <c r="E653" i="3"/>
  <c r="D653" i="3"/>
  <c r="C653" i="3"/>
  <c r="B653" i="3"/>
  <c r="A653" i="3"/>
  <c r="K652" i="3"/>
  <c r="J652" i="3"/>
  <c r="I652" i="3"/>
  <c r="H652" i="3"/>
  <c r="G652" i="3"/>
  <c r="F652" i="3"/>
  <c r="E652" i="3"/>
  <c r="D652" i="3"/>
  <c r="C652" i="3"/>
  <c r="B652" i="3"/>
  <c r="A652" i="3"/>
  <c r="K651" i="3"/>
  <c r="J651" i="3"/>
  <c r="I651" i="3"/>
  <c r="H651" i="3"/>
  <c r="G651" i="3"/>
  <c r="F651" i="3"/>
  <c r="E651" i="3"/>
  <c r="D651" i="3"/>
  <c r="C651" i="3"/>
  <c r="B651" i="3"/>
  <c r="A651" i="3"/>
  <c r="K650" i="3"/>
  <c r="J650" i="3"/>
  <c r="I650" i="3"/>
  <c r="H650" i="3"/>
  <c r="G650" i="3"/>
  <c r="F650" i="3"/>
  <c r="E650" i="3"/>
  <c r="D650" i="3"/>
  <c r="C650" i="3"/>
  <c r="B650" i="3"/>
  <c r="A650" i="3"/>
  <c r="K649" i="3"/>
  <c r="J649" i="3"/>
  <c r="I649" i="3"/>
  <c r="H649" i="3"/>
  <c r="G649" i="3"/>
  <c r="F649" i="3"/>
  <c r="E649" i="3"/>
  <c r="D649" i="3"/>
  <c r="C649" i="3"/>
  <c r="B649" i="3"/>
  <c r="A649" i="3"/>
  <c r="K648" i="3"/>
  <c r="J648" i="3"/>
  <c r="I648" i="3"/>
  <c r="H648" i="3"/>
  <c r="G648" i="3"/>
  <c r="F648" i="3"/>
  <c r="E648" i="3"/>
  <c r="D648" i="3"/>
  <c r="C648" i="3"/>
  <c r="B648" i="3"/>
  <c r="A648" i="3"/>
  <c r="K647" i="3"/>
  <c r="J647" i="3"/>
  <c r="I647" i="3"/>
  <c r="H647" i="3"/>
  <c r="G647" i="3"/>
  <c r="F647" i="3"/>
  <c r="E647" i="3"/>
  <c r="D647" i="3"/>
  <c r="C647" i="3"/>
  <c r="B647" i="3"/>
  <c r="A647" i="3"/>
  <c r="K646" i="3"/>
  <c r="J646" i="3"/>
  <c r="I646" i="3"/>
  <c r="H646" i="3"/>
  <c r="G646" i="3"/>
  <c r="F646" i="3"/>
  <c r="E646" i="3"/>
  <c r="D646" i="3"/>
  <c r="C646" i="3"/>
  <c r="B646" i="3"/>
  <c r="A646" i="3"/>
  <c r="K645" i="3"/>
  <c r="J645" i="3"/>
  <c r="I645" i="3"/>
  <c r="H645" i="3"/>
  <c r="G645" i="3"/>
  <c r="F645" i="3"/>
  <c r="E645" i="3"/>
  <c r="D645" i="3"/>
  <c r="C645" i="3"/>
  <c r="B645" i="3"/>
  <c r="A645" i="3"/>
  <c r="K644" i="3"/>
  <c r="J644" i="3"/>
  <c r="I644" i="3"/>
  <c r="H644" i="3"/>
  <c r="G644" i="3"/>
  <c r="F644" i="3"/>
  <c r="E644" i="3"/>
  <c r="D644" i="3"/>
  <c r="C644" i="3"/>
  <c r="B644" i="3"/>
  <c r="A644" i="3"/>
  <c r="K643" i="3"/>
  <c r="J643" i="3"/>
  <c r="I643" i="3"/>
  <c r="H643" i="3"/>
  <c r="G643" i="3"/>
  <c r="F643" i="3"/>
  <c r="E643" i="3"/>
  <c r="D643" i="3"/>
  <c r="C643" i="3"/>
  <c r="B643" i="3"/>
  <c r="A643" i="3"/>
  <c r="K642" i="3"/>
  <c r="J642" i="3"/>
  <c r="I642" i="3"/>
  <c r="H642" i="3"/>
  <c r="G642" i="3"/>
  <c r="F642" i="3"/>
  <c r="E642" i="3"/>
  <c r="D642" i="3"/>
  <c r="C642" i="3"/>
  <c r="B642" i="3"/>
  <c r="A642" i="3"/>
  <c r="K641" i="3"/>
  <c r="J641" i="3"/>
  <c r="I641" i="3"/>
  <c r="H641" i="3"/>
  <c r="G641" i="3"/>
  <c r="F641" i="3"/>
  <c r="E641" i="3"/>
  <c r="D641" i="3"/>
  <c r="C641" i="3"/>
  <c r="B641" i="3"/>
  <c r="A641" i="3"/>
  <c r="K640" i="3"/>
  <c r="J640" i="3"/>
  <c r="I640" i="3"/>
  <c r="H640" i="3"/>
  <c r="G640" i="3"/>
  <c r="F640" i="3"/>
  <c r="E640" i="3"/>
  <c r="D640" i="3"/>
  <c r="C640" i="3"/>
  <c r="B640" i="3"/>
  <c r="A640" i="3"/>
  <c r="K639" i="3"/>
  <c r="J639" i="3"/>
  <c r="I639" i="3"/>
  <c r="H639" i="3"/>
  <c r="G639" i="3"/>
  <c r="F639" i="3"/>
  <c r="E639" i="3"/>
  <c r="D639" i="3"/>
  <c r="C639" i="3"/>
  <c r="B639" i="3"/>
  <c r="A639" i="3"/>
  <c r="K638" i="3"/>
  <c r="J638" i="3"/>
  <c r="I638" i="3"/>
  <c r="H638" i="3"/>
  <c r="G638" i="3"/>
  <c r="F638" i="3"/>
  <c r="E638" i="3"/>
  <c r="D638" i="3"/>
  <c r="C638" i="3"/>
  <c r="B638" i="3"/>
  <c r="A638" i="3"/>
  <c r="K637" i="3"/>
  <c r="J637" i="3"/>
  <c r="I637" i="3"/>
  <c r="H637" i="3"/>
  <c r="G637" i="3"/>
  <c r="F637" i="3"/>
  <c r="E637" i="3"/>
  <c r="D637" i="3"/>
  <c r="C637" i="3"/>
  <c r="B637" i="3"/>
  <c r="A637" i="3"/>
  <c r="K636" i="3"/>
  <c r="J636" i="3"/>
  <c r="I636" i="3"/>
  <c r="H636" i="3"/>
  <c r="G636" i="3"/>
  <c r="F636" i="3"/>
  <c r="E636" i="3"/>
  <c r="D636" i="3"/>
  <c r="C636" i="3"/>
  <c r="B636" i="3"/>
  <c r="A636" i="3"/>
  <c r="K635" i="3"/>
  <c r="J635" i="3"/>
  <c r="I635" i="3"/>
  <c r="H635" i="3"/>
  <c r="G635" i="3"/>
  <c r="F635" i="3"/>
  <c r="E635" i="3"/>
  <c r="D635" i="3"/>
  <c r="C635" i="3"/>
  <c r="B635" i="3"/>
  <c r="A635" i="3"/>
  <c r="K634" i="3"/>
  <c r="J634" i="3"/>
  <c r="I634" i="3"/>
  <c r="H634" i="3"/>
  <c r="G634" i="3"/>
  <c r="F634" i="3"/>
  <c r="E634" i="3"/>
  <c r="D634" i="3"/>
  <c r="C634" i="3"/>
  <c r="B634" i="3"/>
  <c r="A634" i="3"/>
  <c r="K633" i="3"/>
  <c r="J633" i="3"/>
  <c r="I633" i="3"/>
  <c r="H633" i="3"/>
  <c r="G633" i="3"/>
  <c r="F633" i="3"/>
  <c r="E633" i="3"/>
  <c r="D633" i="3"/>
  <c r="C633" i="3"/>
  <c r="B633" i="3"/>
  <c r="A633" i="3"/>
  <c r="K632" i="3"/>
  <c r="J632" i="3"/>
  <c r="I632" i="3"/>
  <c r="H632" i="3"/>
  <c r="G632" i="3"/>
  <c r="F632" i="3"/>
  <c r="E632" i="3"/>
  <c r="D632" i="3"/>
  <c r="C632" i="3"/>
  <c r="B632" i="3"/>
  <c r="A632" i="3"/>
  <c r="K631" i="3"/>
  <c r="J631" i="3"/>
  <c r="I631" i="3"/>
  <c r="H631" i="3"/>
  <c r="G631" i="3"/>
  <c r="F631" i="3"/>
  <c r="E631" i="3"/>
  <c r="D631" i="3"/>
  <c r="C631" i="3"/>
  <c r="B631" i="3"/>
  <c r="A631" i="3"/>
  <c r="K630" i="3"/>
  <c r="J630" i="3"/>
  <c r="I630" i="3"/>
  <c r="H630" i="3"/>
  <c r="G630" i="3"/>
  <c r="F630" i="3"/>
  <c r="E630" i="3"/>
  <c r="D630" i="3"/>
  <c r="C630" i="3"/>
  <c r="B630" i="3"/>
  <c r="A630" i="3"/>
  <c r="K629" i="3"/>
  <c r="J629" i="3"/>
  <c r="I629" i="3"/>
  <c r="H629" i="3"/>
  <c r="G629" i="3"/>
  <c r="F629" i="3"/>
  <c r="E629" i="3"/>
  <c r="D629" i="3"/>
  <c r="C629" i="3"/>
  <c r="B629" i="3"/>
  <c r="A629" i="3"/>
  <c r="K628" i="3"/>
  <c r="J628" i="3"/>
  <c r="I628" i="3"/>
  <c r="H628" i="3"/>
  <c r="G628" i="3"/>
  <c r="F628" i="3"/>
  <c r="E628" i="3"/>
  <c r="D628" i="3"/>
  <c r="C628" i="3"/>
  <c r="B628" i="3"/>
  <c r="A628" i="3"/>
  <c r="K627" i="3"/>
  <c r="J627" i="3"/>
  <c r="I627" i="3"/>
  <c r="H627" i="3"/>
  <c r="G627" i="3"/>
  <c r="F627" i="3"/>
  <c r="E627" i="3"/>
  <c r="D627" i="3"/>
  <c r="C627" i="3"/>
  <c r="B627" i="3"/>
  <c r="A627" i="3"/>
  <c r="K626" i="3"/>
  <c r="J626" i="3"/>
  <c r="I626" i="3"/>
  <c r="H626" i="3"/>
  <c r="G626" i="3"/>
  <c r="F626" i="3"/>
  <c r="E626" i="3"/>
  <c r="D626" i="3"/>
  <c r="C626" i="3"/>
  <c r="B626" i="3"/>
  <c r="A626" i="3"/>
  <c r="K625" i="3"/>
  <c r="J625" i="3"/>
  <c r="I625" i="3"/>
  <c r="H625" i="3"/>
  <c r="G625" i="3"/>
  <c r="F625" i="3"/>
  <c r="E625" i="3"/>
  <c r="D625" i="3"/>
  <c r="C625" i="3"/>
  <c r="B625" i="3"/>
  <c r="A625" i="3"/>
  <c r="K624" i="3"/>
  <c r="J624" i="3"/>
  <c r="I624" i="3"/>
  <c r="H624" i="3"/>
  <c r="G624" i="3"/>
  <c r="F624" i="3"/>
  <c r="E624" i="3"/>
  <c r="D624" i="3"/>
  <c r="C624" i="3"/>
  <c r="B624" i="3"/>
  <c r="A624" i="3"/>
  <c r="K623" i="3"/>
  <c r="J623" i="3"/>
  <c r="I623" i="3"/>
  <c r="H623" i="3"/>
  <c r="G623" i="3"/>
  <c r="F623" i="3"/>
  <c r="E623" i="3"/>
  <c r="D623" i="3"/>
  <c r="C623" i="3"/>
  <c r="B623" i="3"/>
  <c r="A623" i="3"/>
  <c r="K622" i="3"/>
  <c r="J622" i="3"/>
  <c r="I622" i="3"/>
  <c r="H622" i="3"/>
  <c r="G622" i="3"/>
  <c r="F622" i="3"/>
  <c r="E622" i="3"/>
  <c r="D622" i="3"/>
  <c r="C622" i="3"/>
  <c r="B622" i="3"/>
  <c r="A622" i="3"/>
  <c r="K621" i="3"/>
  <c r="J621" i="3"/>
  <c r="I621" i="3"/>
  <c r="H621" i="3"/>
  <c r="G621" i="3"/>
  <c r="F621" i="3"/>
  <c r="E621" i="3"/>
  <c r="D621" i="3"/>
  <c r="C621" i="3"/>
  <c r="B621" i="3"/>
  <c r="A621" i="3"/>
  <c r="K620" i="3"/>
  <c r="J620" i="3"/>
  <c r="I620" i="3"/>
  <c r="H620" i="3"/>
  <c r="G620" i="3"/>
  <c r="F620" i="3"/>
  <c r="E620" i="3"/>
  <c r="D620" i="3"/>
  <c r="C620" i="3"/>
  <c r="B620" i="3"/>
  <c r="A620" i="3"/>
  <c r="K619" i="3"/>
  <c r="J619" i="3"/>
  <c r="I619" i="3"/>
  <c r="H619" i="3"/>
  <c r="G619" i="3"/>
  <c r="F619" i="3"/>
  <c r="E619" i="3"/>
  <c r="D619" i="3"/>
  <c r="C619" i="3"/>
  <c r="B619" i="3"/>
  <c r="A619" i="3"/>
  <c r="K618" i="3"/>
  <c r="J618" i="3"/>
  <c r="I618" i="3"/>
  <c r="H618" i="3"/>
  <c r="G618" i="3"/>
  <c r="F618" i="3"/>
  <c r="E618" i="3"/>
  <c r="D618" i="3"/>
  <c r="C618" i="3"/>
  <c r="B618" i="3"/>
  <c r="A618" i="3"/>
  <c r="K617" i="3"/>
  <c r="J617" i="3"/>
  <c r="I617" i="3"/>
  <c r="H617" i="3"/>
  <c r="G617" i="3"/>
  <c r="F617" i="3"/>
  <c r="E617" i="3"/>
  <c r="D617" i="3"/>
  <c r="C617" i="3"/>
  <c r="B617" i="3"/>
  <c r="A617" i="3"/>
  <c r="K616" i="3"/>
  <c r="J616" i="3"/>
  <c r="I616" i="3"/>
  <c r="H616" i="3"/>
  <c r="G616" i="3"/>
  <c r="F616" i="3"/>
  <c r="E616" i="3"/>
  <c r="D616" i="3"/>
  <c r="C616" i="3"/>
  <c r="B616" i="3"/>
  <c r="A616" i="3"/>
  <c r="K615" i="3"/>
  <c r="J615" i="3"/>
  <c r="I615" i="3"/>
  <c r="H615" i="3"/>
  <c r="G615" i="3"/>
  <c r="F615" i="3"/>
  <c r="E615" i="3"/>
  <c r="D615" i="3"/>
  <c r="C615" i="3"/>
  <c r="B615" i="3"/>
  <c r="A615" i="3"/>
  <c r="K614" i="3"/>
  <c r="J614" i="3"/>
  <c r="I614" i="3"/>
  <c r="H614" i="3"/>
  <c r="G614" i="3"/>
  <c r="F614" i="3"/>
  <c r="E614" i="3"/>
  <c r="D614" i="3"/>
  <c r="C614" i="3"/>
  <c r="B614" i="3"/>
  <c r="A614" i="3"/>
  <c r="K613" i="3"/>
  <c r="J613" i="3"/>
  <c r="I613" i="3"/>
  <c r="H613" i="3"/>
  <c r="G613" i="3"/>
  <c r="F613" i="3"/>
  <c r="E613" i="3"/>
  <c r="D613" i="3"/>
  <c r="C613" i="3"/>
  <c r="B613" i="3"/>
  <c r="A613" i="3"/>
  <c r="K612" i="3"/>
  <c r="J612" i="3"/>
  <c r="I612" i="3"/>
  <c r="H612" i="3"/>
  <c r="G612" i="3"/>
  <c r="F612" i="3"/>
  <c r="E612" i="3"/>
  <c r="D612" i="3"/>
  <c r="C612" i="3"/>
  <c r="B612" i="3"/>
  <c r="A612" i="3"/>
  <c r="K611" i="3"/>
  <c r="J611" i="3"/>
  <c r="I611" i="3"/>
  <c r="H611" i="3"/>
  <c r="G611" i="3"/>
  <c r="F611" i="3"/>
  <c r="E611" i="3"/>
  <c r="D611" i="3"/>
  <c r="C611" i="3"/>
  <c r="B611" i="3"/>
  <c r="A611" i="3"/>
  <c r="K610" i="3"/>
  <c r="J610" i="3"/>
  <c r="I610" i="3"/>
  <c r="H610" i="3"/>
  <c r="G610" i="3"/>
  <c r="F610" i="3"/>
  <c r="E610" i="3"/>
  <c r="D610" i="3"/>
  <c r="C610" i="3"/>
  <c r="B610" i="3"/>
  <c r="A610" i="3"/>
  <c r="K609" i="3"/>
  <c r="J609" i="3"/>
  <c r="I609" i="3"/>
  <c r="H609" i="3"/>
  <c r="G609" i="3"/>
  <c r="F609" i="3"/>
  <c r="E609" i="3"/>
  <c r="D609" i="3"/>
  <c r="C609" i="3"/>
  <c r="B609" i="3"/>
  <c r="A609" i="3"/>
  <c r="K608" i="3"/>
  <c r="J608" i="3"/>
  <c r="I608" i="3"/>
  <c r="H608" i="3"/>
  <c r="G608" i="3"/>
  <c r="F608" i="3"/>
  <c r="E608" i="3"/>
  <c r="D608" i="3"/>
  <c r="C608" i="3"/>
  <c r="B608" i="3"/>
  <c r="A608" i="3"/>
  <c r="K607" i="3"/>
  <c r="J607" i="3"/>
  <c r="I607" i="3"/>
  <c r="H607" i="3"/>
  <c r="G607" i="3"/>
  <c r="F607" i="3"/>
  <c r="E607" i="3"/>
  <c r="D607" i="3"/>
  <c r="C607" i="3"/>
  <c r="B607" i="3"/>
  <c r="A607" i="3"/>
  <c r="K606" i="3"/>
  <c r="J606" i="3"/>
  <c r="I606" i="3"/>
  <c r="H606" i="3"/>
  <c r="G606" i="3"/>
  <c r="F606" i="3"/>
  <c r="E606" i="3"/>
  <c r="D606" i="3"/>
  <c r="C606" i="3"/>
  <c r="B606" i="3"/>
  <c r="A606" i="3"/>
  <c r="K605" i="3"/>
  <c r="J605" i="3"/>
  <c r="I605" i="3"/>
  <c r="H605" i="3"/>
  <c r="G605" i="3"/>
  <c r="F605" i="3"/>
  <c r="E605" i="3"/>
  <c r="D605" i="3"/>
  <c r="C605" i="3"/>
  <c r="B605" i="3"/>
  <c r="A605" i="3"/>
  <c r="K604" i="3"/>
  <c r="J604" i="3"/>
  <c r="I604" i="3"/>
  <c r="H604" i="3"/>
  <c r="G604" i="3"/>
  <c r="F604" i="3"/>
  <c r="E604" i="3"/>
  <c r="D604" i="3"/>
  <c r="C604" i="3"/>
  <c r="B604" i="3"/>
  <c r="A604" i="3"/>
  <c r="K603" i="3"/>
  <c r="J603" i="3"/>
  <c r="I603" i="3"/>
  <c r="H603" i="3"/>
  <c r="G603" i="3"/>
  <c r="F603" i="3"/>
  <c r="E603" i="3"/>
  <c r="D603" i="3"/>
  <c r="C603" i="3"/>
  <c r="B603" i="3"/>
  <c r="A603" i="3"/>
  <c r="K602" i="3"/>
  <c r="J602" i="3"/>
  <c r="I602" i="3"/>
  <c r="H602" i="3"/>
  <c r="G602" i="3"/>
  <c r="F602" i="3"/>
  <c r="E602" i="3"/>
  <c r="D602" i="3"/>
  <c r="C602" i="3"/>
  <c r="B602" i="3"/>
  <c r="A602" i="3"/>
  <c r="K601" i="3"/>
  <c r="J601" i="3"/>
  <c r="I601" i="3"/>
  <c r="H601" i="3"/>
  <c r="G601" i="3"/>
  <c r="F601" i="3"/>
  <c r="E601" i="3"/>
  <c r="D601" i="3"/>
  <c r="C601" i="3"/>
  <c r="B601" i="3"/>
  <c r="A601" i="3"/>
  <c r="K600" i="3"/>
  <c r="J600" i="3"/>
  <c r="I600" i="3"/>
  <c r="H600" i="3"/>
  <c r="G600" i="3"/>
  <c r="F600" i="3"/>
  <c r="E600" i="3"/>
  <c r="D600" i="3"/>
  <c r="C600" i="3"/>
  <c r="B600" i="3"/>
  <c r="A600" i="3"/>
  <c r="K599" i="3"/>
  <c r="J599" i="3"/>
  <c r="I599" i="3"/>
  <c r="H599" i="3"/>
  <c r="G599" i="3"/>
  <c r="F599" i="3"/>
  <c r="E599" i="3"/>
  <c r="D599" i="3"/>
  <c r="C599" i="3"/>
  <c r="B599" i="3"/>
  <c r="A599" i="3"/>
  <c r="K598" i="3"/>
  <c r="J598" i="3"/>
  <c r="I598" i="3"/>
  <c r="H598" i="3"/>
  <c r="G598" i="3"/>
  <c r="F598" i="3"/>
  <c r="E598" i="3"/>
  <c r="D598" i="3"/>
  <c r="C598" i="3"/>
  <c r="B598" i="3"/>
  <c r="A598" i="3"/>
  <c r="K597" i="3"/>
  <c r="J597" i="3"/>
  <c r="I597" i="3"/>
  <c r="H597" i="3"/>
  <c r="G597" i="3"/>
  <c r="F597" i="3"/>
  <c r="E597" i="3"/>
  <c r="D597" i="3"/>
  <c r="C597" i="3"/>
  <c r="B597" i="3"/>
  <c r="A597" i="3"/>
  <c r="K596" i="3"/>
  <c r="J596" i="3"/>
  <c r="I596" i="3"/>
  <c r="H596" i="3"/>
  <c r="G596" i="3"/>
  <c r="F596" i="3"/>
  <c r="E596" i="3"/>
  <c r="D596" i="3"/>
  <c r="C596" i="3"/>
  <c r="B596" i="3"/>
  <c r="A596" i="3"/>
  <c r="K595" i="3"/>
  <c r="J595" i="3"/>
  <c r="I595" i="3"/>
  <c r="H595" i="3"/>
  <c r="G595" i="3"/>
  <c r="F595" i="3"/>
  <c r="E595" i="3"/>
  <c r="D595" i="3"/>
  <c r="C595" i="3"/>
  <c r="B595" i="3"/>
  <c r="A595" i="3"/>
  <c r="K594" i="3"/>
  <c r="J594" i="3"/>
  <c r="I594" i="3"/>
  <c r="H594" i="3"/>
  <c r="G594" i="3"/>
  <c r="F594" i="3"/>
  <c r="E594" i="3"/>
  <c r="D594" i="3"/>
  <c r="C594" i="3"/>
  <c r="B594" i="3"/>
  <c r="A594" i="3"/>
  <c r="K593" i="3"/>
  <c r="J593" i="3"/>
  <c r="I593" i="3"/>
  <c r="H593" i="3"/>
  <c r="G593" i="3"/>
  <c r="F593" i="3"/>
  <c r="E593" i="3"/>
  <c r="D593" i="3"/>
  <c r="C593" i="3"/>
  <c r="B593" i="3"/>
  <c r="A593" i="3"/>
  <c r="K592" i="3"/>
  <c r="J592" i="3"/>
  <c r="I592" i="3"/>
  <c r="H592" i="3"/>
  <c r="G592" i="3"/>
  <c r="F592" i="3"/>
  <c r="E592" i="3"/>
  <c r="D592" i="3"/>
  <c r="C592" i="3"/>
  <c r="B592" i="3"/>
  <c r="A592" i="3"/>
  <c r="K591" i="3"/>
  <c r="J591" i="3"/>
  <c r="I591" i="3"/>
  <c r="H591" i="3"/>
  <c r="G591" i="3"/>
  <c r="F591" i="3"/>
  <c r="E591" i="3"/>
  <c r="D591" i="3"/>
  <c r="C591" i="3"/>
  <c r="B591" i="3"/>
  <c r="A591" i="3"/>
  <c r="K590" i="3"/>
  <c r="J590" i="3"/>
  <c r="I590" i="3"/>
  <c r="H590" i="3"/>
  <c r="G590" i="3"/>
  <c r="F590" i="3"/>
  <c r="E590" i="3"/>
  <c r="D590" i="3"/>
  <c r="C590" i="3"/>
  <c r="B590" i="3"/>
  <c r="A590" i="3"/>
  <c r="K589" i="3"/>
  <c r="J589" i="3"/>
  <c r="I589" i="3"/>
  <c r="H589" i="3"/>
  <c r="G589" i="3"/>
  <c r="F589" i="3"/>
  <c r="E589" i="3"/>
  <c r="D589" i="3"/>
  <c r="C589" i="3"/>
  <c r="B589" i="3"/>
  <c r="A589" i="3"/>
  <c r="K588" i="3"/>
  <c r="J588" i="3"/>
  <c r="I588" i="3"/>
  <c r="H588" i="3"/>
  <c r="G588" i="3"/>
  <c r="F588" i="3"/>
  <c r="E588" i="3"/>
  <c r="D588" i="3"/>
  <c r="C588" i="3"/>
  <c r="B588" i="3"/>
  <c r="A588" i="3"/>
  <c r="K587" i="3"/>
  <c r="J587" i="3"/>
  <c r="I587" i="3"/>
  <c r="H587" i="3"/>
  <c r="G587" i="3"/>
  <c r="F587" i="3"/>
  <c r="E587" i="3"/>
  <c r="D587" i="3"/>
  <c r="C587" i="3"/>
  <c r="B587" i="3"/>
  <c r="A587" i="3"/>
  <c r="K586" i="3"/>
  <c r="J586" i="3"/>
  <c r="I586" i="3"/>
  <c r="H586" i="3"/>
  <c r="G586" i="3"/>
  <c r="F586" i="3"/>
  <c r="E586" i="3"/>
  <c r="D586" i="3"/>
  <c r="C586" i="3"/>
  <c r="B586" i="3"/>
  <c r="A586" i="3"/>
  <c r="K585" i="3"/>
  <c r="J585" i="3"/>
  <c r="I585" i="3"/>
  <c r="H585" i="3"/>
  <c r="G585" i="3"/>
  <c r="F585" i="3"/>
  <c r="E585" i="3"/>
  <c r="D585" i="3"/>
  <c r="C585" i="3"/>
  <c r="B585" i="3"/>
  <c r="A585" i="3"/>
  <c r="K584" i="3"/>
  <c r="J584" i="3"/>
  <c r="I584" i="3"/>
  <c r="H584" i="3"/>
  <c r="G584" i="3"/>
  <c r="F584" i="3"/>
  <c r="E584" i="3"/>
  <c r="D584" i="3"/>
  <c r="C584" i="3"/>
  <c r="B584" i="3"/>
  <c r="A584" i="3"/>
  <c r="K583" i="3"/>
  <c r="J583" i="3"/>
  <c r="I583" i="3"/>
  <c r="H583" i="3"/>
  <c r="G583" i="3"/>
  <c r="F583" i="3"/>
  <c r="E583" i="3"/>
  <c r="D583" i="3"/>
  <c r="C583" i="3"/>
  <c r="B583" i="3"/>
  <c r="A583" i="3"/>
  <c r="K582" i="3"/>
  <c r="J582" i="3"/>
  <c r="I582" i="3"/>
  <c r="H582" i="3"/>
  <c r="G582" i="3"/>
  <c r="F582" i="3"/>
  <c r="E582" i="3"/>
  <c r="D582" i="3"/>
  <c r="C582" i="3"/>
  <c r="B582" i="3"/>
  <c r="A582" i="3"/>
  <c r="K581" i="3"/>
  <c r="J581" i="3"/>
  <c r="I581" i="3"/>
  <c r="H581" i="3"/>
  <c r="G581" i="3"/>
  <c r="F581" i="3"/>
  <c r="E581" i="3"/>
  <c r="D581" i="3"/>
  <c r="C581" i="3"/>
  <c r="B581" i="3"/>
  <c r="A581" i="3"/>
  <c r="K580" i="3"/>
  <c r="J580" i="3"/>
  <c r="I580" i="3"/>
  <c r="H580" i="3"/>
  <c r="G580" i="3"/>
  <c r="F580" i="3"/>
  <c r="E580" i="3"/>
  <c r="D580" i="3"/>
  <c r="C580" i="3"/>
  <c r="B580" i="3"/>
  <c r="A580" i="3"/>
  <c r="K579" i="3"/>
  <c r="J579" i="3"/>
  <c r="I579" i="3"/>
  <c r="H579" i="3"/>
  <c r="G579" i="3"/>
  <c r="F579" i="3"/>
  <c r="E579" i="3"/>
  <c r="D579" i="3"/>
  <c r="C579" i="3"/>
  <c r="B579" i="3"/>
  <c r="A579" i="3"/>
  <c r="K578" i="3"/>
  <c r="J578" i="3"/>
  <c r="I578" i="3"/>
  <c r="H578" i="3"/>
  <c r="G578" i="3"/>
  <c r="F578" i="3"/>
  <c r="E578" i="3"/>
  <c r="D578" i="3"/>
  <c r="C578" i="3"/>
  <c r="B578" i="3"/>
  <c r="A578" i="3"/>
  <c r="K577" i="3"/>
  <c r="J577" i="3"/>
  <c r="I577" i="3"/>
  <c r="H577" i="3"/>
  <c r="G577" i="3"/>
  <c r="F577" i="3"/>
  <c r="E577" i="3"/>
  <c r="D577" i="3"/>
  <c r="C577" i="3"/>
  <c r="B577" i="3"/>
  <c r="A577" i="3"/>
  <c r="K576" i="3"/>
  <c r="J576" i="3"/>
  <c r="I576" i="3"/>
  <c r="H576" i="3"/>
  <c r="G576" i="3"/>
  <c r="F576" i="3"/>
  <c r="E576" i="3"/>
  <c r="D576" i="3"/>
  <c r="C576" i="3"/>
  <c r="B576" i="3"/>
  <c r="A576" i="3"/>
  <c r="K575" i="3"/>
  <c r="J575" i="3"/>
  <c r="I575" i="3"/>
  <c r="H575" i="3"/>
  <c r="G575" i="3"/>
  <c r="F575" i="3"/>
  <c r="E575" i="3"/>
  <c r="D575" i="3"/>
  <c r="C575" i="3"/>
  <c r="B575" i="3"/>
  <c r="A575" i="3"/>
  <c r="K574" i="3"/>
  <c r="J574" i="3"/>
  <c r="I574" i="3"/>
  <c r="H574" i="3"/>
  <c r="G574" i="3"/>
  <c r="F574" i="3"/>
  <c r="E574" i="3"/>
  <c r="D574" i="3"/>
  <c r="C574" i="3"/>
  <c r="B574" i="3"/>
  <c r="A574" i="3"/>
  <c r="K573" i="3"/>
  <c r="J573" i="3"/>
  <c r="I573" i="3"/>
  <c r="H573" i="3"/>
  <c r="G573" i="3"/>
  <c r="F573" i="3"/>
  <c r="E573" i="3"/>
  <c r="D573" i="3"/>
  <c r="C573" i="3"/>
  <c r="B573" i="3"/>
  <c r="A573" i="3"/>
  <c r="K572" i="3"/>
  <c r="J572" i="3"/>
  <c r="I572" i="3"/>
  <c r="H572" i="3"/>
  <c r="G572" i="3"/>
  <c r="F572" i="3"/>
  <c r="E572" i="3"/>
  <c r="D572" i="3"/>
  <c r="C572" i="3"/>
  <c r="B572" i="3"/>
  <c r="A572" i="3"/>
  <c r="K571" i="3"/>
  <c r="J571" i="3"/>
  <c r="I571" i="3"/>
  <c r="H571" i="3"/>
  <c r="G571" i="3"/>
  <c r="F571" i="3"/>
  <c r="E571" i="3"/>
  <c r="D571" i="3"/>
  <c r="C571" i="3"/>
  <c r="B571" i="3"/>
  <c r="A571" i="3"/>
  <c r="K570" i="3"/>
  <c r="J570" i="3"/>
  <c r="I570" i="3"/>
  <c r="H570" i="3"/>
  <c r="G570" i="3"/>
  <c r="F570" i="3"/>
  <c r="E570" i="3"/>
  <c r="D570" i="3"/>
  <c r="C570" i="3"/>
  <c r="B570" i="3"/>
  <c r="A570" i="3"/>
  <c r="K569" i="3"/>
  <c r="J569" i="3"/>
  <c r="I569" i="3"/>
  <c r="H569" i="3"/>
  <c r="G569" i="3"/>
  <c r="F569" i="3"/>
  <c r="E569" i="3"/>
  <c r="D569" i="3"/>
  <c r="C569" i="3"/>
  <c r="B569" i="3"/>
  <c r="A569" i="3"/>
  <c r="K568" i="3"/>
  <c r="J568" i="3"/>
  <c r="I568" i="3"/>
  <c r="H568" i="3"/>
  <c r="G568" i="3"/>
  <c r="F568" i="3"/>
  <c r="E568" i="3"/>
  <c r="D568" i="3"/>
  <c r="C568" i="3"/>
  <c r="B568" i="3"/>
  <c r="A568" i="3"/>
  <c r="K567" i="3"/>
  <c r="J567" i="3"/>
  <c r="I567" i="3"/>
  <c r="H567" i="3"/>
  <c r="G567" i="3"/>
  <c r="F567" i="3"/>
  <c r="E567" i="3"/>
  <c r="D567" i="3"/>
  <c r="C567" i="3"/>
  <c r="B567" i="3"/>
  <c r="A567" i="3"/>
  <c r="K566" i="3"/>
  <c r="J566" i="3"/>
  <c r="I566" i="3"/>
  <c r="H566" i="3"/>
  <c r="G566" i="3"/>
  <c r="F566" i="3"/>
  <c r="E566" i="3"/>
  <c r="D566" i="3"/>
  <c r="C566" i="3"/>
  <c r="B566" i="3"/>
  <c r="A566" i="3"/>
  <c r="K565" i="3"/>
  <c r="J565" i="3"/>
  <c r="I565" i="3"/>
  <c r="H565" i="3"/>
  <c r="G565" i="3"/>
  <c r="F565" i="3"/>
  <c r="E565" i="3"/>
  <c r="D565" i="3"/>
  <c r="C565" i="3"/>
  <c r="B565" i="3"/>
  <c r="A565" i="3"/>
  <c r="K564" i="3"/>
  <c r="J564" i="3"/>
  <c r="I564" i="3"/>
  <c r="H564" i="3"/>
  <c r="G564" i="3"/>
  <c r="F564" i="3"/>
  <c r="E564" i="3"/>
  <c r="D564" i="3"/>
  <c r="C564" i="3"/>
  <c r="B564" i="3"/>
  <c r="A564" i="3"/>
  <c r="K563" i="3"/>
  <c r="J563" i="3"/>
  <c r="I563" i="3"/>
  <c r="H563" i="3"/>
  <c r="G563" i="3"/>
  <c r="F563" i="3"/>
  <c r="E563" i="3"/>
  <c r="D563" i="3"/>
  <c r="C563" i="3"/>
  <c r="B563" i="3"/>
  <c r="A563" i="3"/>
  <c r="K562" i="3"/>
  <c r="J562" i="3"/>
  <c r="I562" i="3"/>
  <c r="H562" i="3"/>
  <c r="G562" i="3"/>
  <c r="F562" i="3"/>
  <c r="E562" i="3"/>
  <c r="D562" i="3"/>
  <c r="C562" i="3"/>
  <c r="B562" i="3"/>
  <c r="A562" i="3"/>
  <c r="K561" i="3"/>
  <c r="J561" i="3"/>
  <c r="I561" i="3"/>
  <c r="H561" i="3"/>
  <c r="G561" i="3"/>
  <c r="F561" i="3"/>
  <c r="E561" i="3"/>
  <c r="D561" i="3"/>
  <c r="C561" i="3"/>
  <c r="B561" i="3"/>
  <c r="A561" i="3"/>
  <c r="K560" i="3"/>
  <c r="J560" i="3"/>
  <c r="I560" i="3"/>
  <c r="H560" i="3"/>
  <c r="G560" i="3"/>
  <c r="F560" i="3"/>
  <c r="E560" i="3"/>
  <c r="D560" i="3"/>
  <c r="C560" i="3"/>
  <c r="B560" i="3"/>
  <c r="A560" i="3"/>
  <c r="K559" i="3"/>
  <c r="J559" i="3"/>
  <c r="I559" i="3"/>
  <c r="H559" i="3"/>
  <c r="G559" i="3"/>
  <c r="F559" i="3"/>
  <c r="E559" i="3"/>
  <c r="D559" i="3"/>
  <c r="C559" i="3"/>
  <c r="B559" i="3"/>
  <c r="A559" i="3"/>
  <c r="K558" i="3"/>
  <c r="J558" i="3"/>
  <c r="I558" i="3"/>
  <c r="H558" i="3"/>
  <c r="G558" i="3"/>
  <c r="F558" i="3"/>
  <c r="E558" i="3"/>
  <c r="D558" i="3"/>
  <c r="C558" i="3"/>
  <c r="B558" i="3"/>
  <c r="A558" i="3"/>
  <c r="K557" i="3"/>
  <c r="J557" i="3"/>
  <c r="I557" i="3"/>
  <c r="H557" i="3"/>
  <c r="G557" i="3"/>
  <c r="F557" i="3"/>
  <c r="E557" i="3"/>
  <c r="D557" i="3"/>
  <c r="C557" i="3"/>
  <c r="B557" i="3"/>
  <c r="A557" i="3"/>
  <c r="K556" i="3"/>
  <c r="J556" i="3"/>
  <c r="I556" i="3"/>
  <c r="H556" i="3"/>
  <c r="G556" i="3"/>
  <c r="F556" i="3"/>
  <c r="E556" i="3"/>
  <c r="D556" i="3"/>
  <c r="C556" i="3"/>
  <c r="B556" i="3"/>
  <c r="A556" i="3"/>
  <c r="K555" i="3"/>
  <c r="J555" i="3"/>
  <c r="I555" i="3"/>
  <c r="H555" i="3"/>
  <c r="G555" i="3"/>
  <c r="F555" i="3"/>
  <c r="E555" i="3"/>
  <c r="D555" i="3"/>
  <c r="C555" i="3"/>
  <c r="B555" i="3"/>
  <c r="A555" i="3"/>
  <c r="K554" i="3"/>
  <c r="J554" i="3"/>
  <c r="I554" i="3"/>
  <c r="H554" i="3"/>
  <c r="G554" i="3"/>
  <c r="F554" i="3"/>
  <c r="E554" i="3"/>
  <c r="D554" i="3"/>
  <c r="C554" i="3"/>
  <c r="B554" i="3"/>
  <c r="A554" i="3"/>
  <c r="K553" i="3"/>
  <c r="J553" i="3"/>
  <c r="I553" i="3"/>
  <c r="H553" i="3"/>
  <c r="G553" i="3"/>
  <c r="F553" i="3"/>
  <c r="E553" i="3"/>
  <c r="D553" i="3"/>
  <c r="C553" i="3"/>
  <c r="B553" i="3"/>
  <c r="A553" i="3"/>
  <c r="K552" i="3"/>
  <c r="J552" i="3"/>
  <c r="I552" i="3"/>
  <c r="H552" i="3"/>
  <c r="G552" i="3"/>
  <c r="F552" i="3"/>
  <c r="E552" i="3"/>
  <c r="D552" i="3"/>
  <c r="C552" i="3"/>
  <c r="B552" i="3"/>
  <c r="A552" i="3"/>
  <c r="K551" i="3"/>
  <c r="J551" i="3"/>
  <c r="I551" i="3"/>
  <c r="H551" i="3"/>
  <c r="G551" i="3"/>
  <c r="F551" i="3"/>
  <c r="E551" i="3"/>
  <c r="D551" i="3"/>
  <c r="C551" i="3"/>
  <c r="B551" i="3"/>
  <c r="A551" i="3"/>
  <c r="K550" i="3"/>
  <c r="J550" i="3"/>
  <c r="I550" i="3"/>
  <c r="H550" i="3"/>
  <c r="G550" i="3"/>
  <c r="F550" i="3"/>
  <c r="E550" i="3"/>
  <c r="D550" i="3"/>
  <c r="C550" i="3"/>
  <c r="B550" i="3"/>
  <c r="A550" i="3"/>
  <c r="K549" i="3"/>
  <c r="J549" i="3"/>
  <c r="I549" i="3"/>
  <c r="H549" i="3"/>
  <c r="G549" i="3"/>
  <c r="F549" i="3"/>
  <c r="E549" i="3"/>
  <c r="D549" i="3"/>
  <c r="C549" i="3"/>
  <c r="B549" i="3"/>
  <c r="A549" i="3"/>
  <c r="K548" i="3"/>
  <c r="J548" i="3"/>
  <c r="I548" i="3"/>
  <c r="H548" i="3"/>
  <c r="G548" i="3"/>
  <c r="F548" i="3"/>
  <c r="E548" i="3"/>
  <c r="D548" i="3"/>
  <c r="C548" i="3"/>
  <c r="B548" i="3"/>
  <c r="A548" i="3"/>
  <c r="K547" i="3"/>
  <c r="J547" i="3"/>
  <c r="I547" i="3"/>
  <c r="H547" i="3"/>
  <c r="G547" i="3"/>
  <c r="F547" i="3"/>
  <c r="E547" i="3"/>
  <c r="D547" i="3"/>
  <c r="C547" i="3"/>
  <c r="B547" i="3"/>
  <c r="A547" i="3"/>
  <c r="K546" i="3"/>
  <c r="J546" i="3"/>
  <c r="I546" i="3"/>
  <c r="H546" i="3"/>
  <c r="G546" i="3"/>
  <c r="F546" i="3"/>
  <c r="E546" i="3"/>
  <c r="D546" i="3"/>
  <c r="C546" i="3"/>
  <c r="B546" i="3"/>
  <c r="A546" i="3"/>
  <c r="K545" i="3"/>
  <c r="J545" i="3"/>
  <c r="I545" i="3"/>
  <c r="H545" i="3"/>
  <c r="G545" i="3"/>
  <c r="F545" i="3"/>
  <c r="E545" i="3"/>
  <c r="D545" i="3"/>
  <c r="C545" i="3"/>
  <c r="B545" i="3"/>
  <c r="A545" i="3"/>
  <c r="K544" i="3"/>
  <c r="J544" i="3"/>
  <c r="I544" i="3"/>
  <c r="H544" i="3"/>
  <c r="G544" i="3"/>
  <c r="F544" i="3"/>
  <c r="E544" i="3"/>
  <c r="D544" i="3"/>
  <c r="C544" i="3"/>
  <c r="B544" i="3"/>
  <c r="A544" i="3"/>
  <c r="K543" i="3"/>
  <c r="J543" i="3"/>
  <c r="I543" i="3"/>
  <c r="H543" i="3"/>
  <c r="G543" i="3"/>
  <c r="F543" i="3"/>
  <c r="E543" i="3"/>
  <c r="D543" i="3"/>
  <c r="C543" i="3"/>
  <c r="B543" i="3"/>
  <c r="A543" i="3"/>
  <c r="K542" i="3"/>
  <c r="J542" i="3"/>
  <c r="I542" i="3"/>
  <c r="H542" i="3"/>
  <c r="G542" i="3"/>
  <c r="F542" i="3"/>
  <c r="E542" i="3"/>
  <c r="D542" i="3"/>
  <c r="C542" i="3"/>
  <c r="B542" i="3"/>
  <c r="A542" i="3"/>
  <c r="K541" i="3"/>
  <c r="J541" i="3"/>
  <c r="I541" i="3"/>
  <c r="H541" i="3"/>
  <c r="G541" i="3"/>
  <c r="F541" i="3"/>
  <c r="E541" i="3"/>
  <c r="D541" i="3"/>
  <c r="C541" i="3"/>
  <c r="B541" i="3"/>
  <c r="A541" i="3"/>
  <c r="K540" i="3"/>
  <c r="J540" i="3"/>
  <c r="I540" i="3"/>
  <c r="H540" i="3"/>
  <c r="G540" i="3"/>
  <c r="F540" i="3"/>
  <c r="E540" i="3"/>
  <c r="D540" i="3"/>
  <c r="C540" i="3"/>
  <c r="B540" i="3"/>
  <c r="A540" i="3"/>
  <c r="K539" i="3"/>
  <c r="J539" i="3"/>
  <c r="I539" i="3"/>
  <c r="H539" i="3"/>
  <c r="G539" i="3"/>
  <c r="F539" i="3"/>
  <c r="E539" i="3"/>
  <c r="D539" i="3"/>
  <c r="C539" i="3"/>
  <c r="B539" i="3"/>
  <c r="A539" i="3"/>
  <c r="K538" i="3"/>
  <c r="J538" i="3"/>
  <c r="I538" i="3"/>
  <c r="H538" i="3"/>
  <c r="G538" i="3"/>
  <c r="F538" i="3"/>
  <c r="E538" i="3"/>
  <c r="D538" i="3"/>
  <c r="C538" i="3"/>
  <c r="B538" i="3"/>
  <c r="A538" i="3"/>
  <c r="K537" i="3"/>
  <c r="J537" i="3"/>
  <c r="I537" i="3"/>
  <c r="H537" i="3"/>
  <c r="G537" i="3"/>
  <c r="F537" i="3"/>
  <c r="E537" i="3"/>
  <c r="D537" i="3"/>
  <c r="C537" i="3"/>
  <c r="B537" i="3"/>
  <c r="A537" i="3"/>
  <c r="K536" i="3"/>
  <c r="J536" i="3"/>
  <c r="I536" i="3"/>
  <c r="H536" i="3"/>
  <c r="G536" i="3"/>
  <c r="F536" i="3"/>
  <c r="E536" i="3"/>
  <c r="D536" i="3"/>
  <c r="C536" i="3"/>
  <c r="B536" i="3"/>
  <c r="A536" i="3"/>
  <c r="K535" i="3"/>
  <c r="J535" i="3"/>
  <c r="I535" i="3"/>
  <c r="H535" i="3"/>
  <c r="G535" i="3"/>
  <c r="F535" i="3"/>
  <c r="E535" i="3"/>
  <c r="D535" i="3"/>
  <c r="C535" i="3"/>
  <c r="B535" i="3"/>
  <c r="A535" i="3"/>
  <c r="K534" i="3"/>
  <c r="J534" i="3"/>
  <c r="I534" i="3"/>
  <c r="H534" i="3"/>
  <c r="G534" i="3"/>
  <c r="F534" i="3"/>
  <c r="E534" i="3"/>
  <c r="D534" i="3"/>
  <c r="C534" i="3"/>
  <c r="B534" i="3"/>
  <c r="A534" i="3"/>
  <c r="K533" i="3"/>
  <c r="J533" i="3"/>
  <c r="I533" i="3"/>
  <c r="H533" i="3"/>
  <c r="G533" i="3"/>
  <c r="F533" i="3"/>
  <c r="E533" i="3"/>
  <c r="D533" i="3"/>
  <c r="C533" i="3"/>
  <c r="B533" i="3"/>
  <c r="A533" i="3"/>
  <c r="K532" i="3"/>
  <c r="J532" i="3"/>
  <c r="I532" i="3"/>
  <c r="H532" i="3"/>
  <c r="G532" i="3"/>
  <c r="F532" i="3"/>
  <c r="E532" i="3"/>
  <c r="D532" i="3"/>
  <c r="C532" i="3"/>
  <c r="B532" i="3"/>
  <c r="A532" i="3"/>
  <c r="K531" i="3"/>
  <c r="J531" i="3"/>
  <c r="I531" i="3"/>
  <c r="H531" i="3"/>
  <c r="G531" i="3"/>
  <c r="F531" i="3"/>
  <c r="E531" i="3"/>
  <c r="D531" i="3"/>
  <c r="C531" i="3"/>
  <c r="B531" i="3"/>
  <c r="A531" i="3"/>
  <c r="K530" i="3"/>
  <c r="J530" i="3"/>
  <c r="I530" i="3"/>
  <c r="H530" i="3"/>
  <c r="G530" i="3"/>
  <c r="F530" i="3"/>
  <c r="E530" i="3"/>
  <c r="D530" i="3"/>
  <c r="C530" i="3"/>
  <c r="B530" i="3"/>
  <c r="A530" i="3"/>
  <c r="K529" i="3"/>
  <c r="J529" i="3"/>
  <c r="I529" i="3"/>
  <c r="H529" i="3"/>
  <c r="G529" i="3"/>
  <c r="F529" i="3"/>
  <c r="E529" i="3"/>
  <c r="D529" i="3"/>
  <c r="C529" i="3"/>
  <c r="B529" i="3"/>
  <c r="A529" i="3"/>
  <c r="K528" i="3"/>
  <c r="J528" i="3"/>
  <c r="I528" i="3"/>
  <c r="H528" i="3"/>
  <c r="G528" i="3"/>
  <c r="F528" i="3"/>
  <c r="E528" i="3"/>
  <c r="D528" i="3"/>
  <c r="C528" i="3"/>
  <c r="B528" i="3"/>
  <c r="A528" i="3"/>
  <c r="K527" i="3"/>
  <c r="J527" i="3"/>
  <c r="I527" i="3"/>
  <c r="H527" i="3"/>
  <c r="G527" i="3"/>
  <c r="F527" i="3"/>
  <c r="E527" i="3"/>
  <c r="D527" i="3"/>
  <c r="C527" i="3"/>
  <c r="B527" i="3"/>
  <c r="A527" i="3"/>
  <c r="K526" i="3"/>
  <c r="J526" i="3"/>
  <c r="I526" i="3"/>
  <c r="H526" i="3"/>
  <c r="G526" i="3"/>
  <c r="F526" i="3"/>
  <c r="E526" i="3"/>
  <c r="D526" i="3"/>
  <c r="C526" i="3"/>
  <c r="B526" i="3"/>
  <c r="A526" i="3"/>
  <c r="K525" i="3"/>
  <c r="J525" i="3"/>
  <c r="I525" i="3"/>
  <c r="H525" i="3"/>
  <c r="G525" i="3"/>
  <c r="F525" i="3"/>
  <c r="E525" i="3"/>
  <c r="D525" i="3"/>
  <c r="C525" i="3"/>
  <c r="B525" i="3"/>
  <c r="A525" i="3"/>
  <c r="K524" i="3"/>
  <c r="J524" i="3"/>
  <c r="I524" i="3"/>
  <c r="H524" i="3"/>
  <c r="G524" i="3"/>
  <c r="F524" i="3"/>
  <c r="E524" i="3"/>
  <c r="D524" i="3"/>
  <c r="C524" i="3"/>
  <c r="B524" i="3"/>
  <c r="A524" i="3"/>
  <c r="K523" i="3"/>
  <c r="J523" i="3"/>
  <c r="I523" i="3"/>
  <c r="H523" i="3"/>
  <c r="G523" i="3"/>
  <c r="F523" i="3"/>
  <c r="E523" i="3"/>
  <c r="D523" i="3"/>
  <c r="C523" i="3"/>
  <c r="B523" i="3"/>
  <c r="A523" i="3"/>
  <c r="K522" i="3"/>
  <c r="J522" i="3"/>
  <c r="I522" i="3"/>
  <c r="H522" i="3"/>
  <c r="G522" i="3"/>
  <c r="F522" i="3"/>
  <c r="E522" i="3"/>
  <c r="D522" i="3"/>
  <c r="C522" i="3"/>
  <c r="B522" i="3"/>
  <c r="A522" i="3"/>
  <c r="K521" i="3"/>
  <c r="J521" i="3"/>
  <c r="I521" i="3"/>
  <c r="H521" i="3"/>
  <c r="G521" i="3"/>
  <c r="F521" i="3"/>
  <c r="E521" i="3"/>
  <c r="D521" i="3"/>
  <c r="C521" i="3"/>
  <c r="B521" i="3"/>
  <c r="A521" i="3"/>
  <c r="K520" i="3"/>
  <c r="J520" i="3"/>
  <c r="I520" i="3"/>
  <c r="H520" i="3"/>
  <c r="G520" i="3"/>
  <c r="F520" i="3"/>
  <c r="E520" i="3"/>
  <c r="D520" i="3"/>
  <c r="C520" i="3"/>
  <c r="B520" i="3"/>
  <c r="A520" i="3"/>
  <c r="K519" i="3"/>
  <c r="J519" i="3"/>
  <c r="I519" i="3"/>
  <c r="H519" i="3"/>
  <c r="G519" i="3"/>
  <c r="F519" i="3"/>
  <c r="E519" i="3"/>
  <c r="D519" i="3"/>
  <c r="C519" i="3"/>
  <c r="B519" i="3"/>
  <c r="A519" i="3"/>
  <c r="K518" i="3"/>
  <c r="J518" i="3"/>
  <c r="I518" i="3"/>
  <c r="H518" i="3"/>
  <c r="G518" i="3"/>
  <c r="F518" i="3"/>
  <c r="E518" i="3"/>
  <c r="D518" i="3"/>
  <c r="C518" i="3"/>
  <c r="B518" i="3"/>
  <c r="A518" i="3"/>
  <c r="K517" i="3"/>
  <c r="J517" i="3"/>
  <c r="I517" i="3"/>
  <c r="H517" i="3"/>
  <c r="G517" i="3"/>
  <c r="F517" i="3"/>
  <c r="E517" i="3"/>
  <c r="D517" i="3"/>
  <c r="C517" i="3"/>
  <c r="B517" i="3"/>
  <c r="A517" i="3"/>
  <c r="K516" i="3"/>
  <c r="J516" i="3"/>
  <c r="I516" i="3"/>
  <c r="H516" i="3"/>
  <c r="G516" i="3"/>
  <c r="F516" i="3"/>
  <c r="E516" i="3"/>
  <c r="D516" i="3"/>
  <c r="C516" i="3"/>
  <c r="B516" i="3"/>
  <c r="A516" i="3"/>
  <c r="K515" i="3"/>
  <c r="J515" i="3"/>
  <c r="I515" i="3"/>
  <c r="H515" i="3"/>
  <c r="G515" i="3"/>
  <c r="F515" i="3"/>
  <c r="E515" i="3"/>
  <c r="D515" i="3"/>
  <c r="C515" i="3"/>
  <c r="B515" i="3"/>
  <c r="A515" i="3"/>
  <c r="K514" i="3"/>
  <c r="J514" i="3"/>
  <c r="I514" i="3"/>
  <c r="H514" i="3"/>
  <c r="G514" i="3"/>
  <c r="F514" i="3"/>
  <c r="E514" i="3"/>
  <c r="D514" i="3"/>
  <c r="C514" i="3"/>
  <c r="B514" i="3"/>
  <c r="A514" i="3"/>
  <c r="K513" i="3"/>
  <c r="J513" i="3"/>
  <c r="I513" i="3"/>
  <c r="H513" i="3"/>
  <c r="G513" i="3"/>
  <c r="F513" i="3"/>
  <c r="E513" i="3"/>
  <c r="D513" i="3"/>
  <c r="C513" i="3"/>
  <c r="B513" i="3"/>
  <c r="A513" i="3"/>
  <c r="K512" i="3"/>
  <c r="J512" i="3"/>
  <c r="I512" i="3"/>
  <c r="H512" i="3"/>
  <c r="G512" i="3"/>
  <c r="F512" i="3"/>
  <c r="E512" i="3"/>
  <c r="D512" i="3"/>
  <c r="C512" i="3"/>
  <c r="B512" i="3"/>
  <c r="A512" i="3"/>
  <c r="K511" i="3"/>
  <c r="J511" i="3"/>
  <c r="I511" i="3"/>
  <c r="H511" i="3"/>
  <c r="G511" i="3"/>
  <c r="F511" i="3"/>
  <c r="E511" i="3"/>
  <c r="D511" i="3"/>
  <c r="C511" i="3"/>
  <c r="B511" i="3"/>
  <c r="A511" i="3"/>
  <c r="K510" i="3"/>
  <c r="J510" i="3"/>
  <c r="I510" i="3"/>
  <c r="H510" i="3"/>
  <c r="G510" i="3"/>
  <c r="F510" i="3"/>
  <c r="E510" i="3"/>
  <c r="D510" i="3"/>
  <c r="C510" i="3"/>
  <c r="B510" i="3"/>
  <c r="A510" i="3"/>
  <c r="K509" i="3"/>
  <c r="J509" i="3"/>
  <c r="I509" i="3"/>
  <c r="H509" i="3"/>
  <c r="G509" i="3"/>
  <c r="F509" i="3"/>
  <c r="E509" i="3"/>
  <c r="D509" i="3"/>
  <c r="C509" i="3"/>
  <c r="B509" i="3"/>
  <c r="A509" i="3"/>
  <c r="K508" i="3"/>
  <c r="J508" i="3"/>
  <c r="I508" i="3"/>
  <c r="H508" i="3"/>
  <c r="G508" i="3"/>
  <c r="F508" i="3"/>
  <c r="E508" i="3"/>
  <c r="D508" i="3"/>
  <c r="C508" i="3"/>
  <c r="B508" i="3"/>
  <c r="A508" i="3"/>
  <c r="K507" i="3"/>
  <c r="J507" i="3"/>
  <c r="I507" i="3"/>
  <c r="H507" i="3"/>
  <c r="G507" i="3"/>
  <c r="F507" i="3"/>
  <c r="E507" i="3"/>
  <c r="D507" i="3"/>
  <c r="C507" i="3"/>
  <c r="B507" i="3"/>
  <c r="A507" i="3"/>
  <c r="K506" i="3"/>
  <c r="J506" i="3"/>
  <c r="I506" i="3"/>
  <c r="H506" i="3"/>
  <c r="G506" i="3"/>
  <c r="F506" i="3"/>
  <c r="E506" i="3"/>
  <c r="D506" i="3"/>
  <c r="C506" i="3"/>
  <c r="B506" i="3"/>
  <c r="A506" i="3"/>
  <c r="K505" i="3"/>
  <c r="J505" i="3"/>
  <c r="I505" i="3"/>
  <c r="H505" i="3"/>
  <c r="G505" i="3"/>
  <c r="F505" i="3"/>
  <c r="E505" i="3"/>
  <c r="D505" i="3"/>
  <c r="C505" i="3"/>
  <c r="B505" i="3"/>
  <c r="A505" i="3"/>
  <c r="K504" i="3"/>
  <c r="J504" i="3"/>
  <c r="I504" i="3"/>
  <c r="H504" i="3"/>
  <c r="G504" i="3"/>
  <c r="F504" i="3"/>
  <c r="E504" i="3"/>
  <c r="D504" i="3"/>
  <c r="C504" i="3"/>
  <c r="B504" i="3"/>
  <c r="A504" i="3"/>
  <c r="K503" i="3"/>
  <c r="J503" i="3"/>
  <c r="I503" i="3"/>
  <c r="H503" i="3"/>
  <c r="G503" i="3"/>
  <c r="F503" i="3"/>
  <c r="E503" i="3"/>
  <c r="D503" i="3"/>
  <c r="C503" i="3"/>
  <c r="B503" i="3"/>
  <c r="A503" i="3"/>
  <c r="K502" i="3"/>
  <c r="J502" i="3"/>
  <c r="I502" i="3"/>
  <c r="H502" i="3"/>
  <c r="G502" i="3"/>
  <c r="F502" i="3"/>
  <c r="E502" i="3"/>
  <c r="D502" i="3"/>
  <c r="C502" i="3"/>
  <c r="B502" i="3"/>
  <c r="A502" i="3"/>
  <c r="K501" i="3"/>
  <c r="J501" i="3"/>
  <c r="I501" i="3"/>
  <c r="H501" i="3"/>
  <c r="G501" i="3"/>
  <c r="F501" i="3"/>
  <c r="E501" i="3"/>
  <c r="D501" i="3"/>
  <c r="C501" i="3"/>
  <c r="B501" i="3"/>
  <c r="A501" i="3"/>
  <c r="K500" i="3"/>
  <c r="J500" i="3"/>
  <c r="I500" i="3"/>
  <c r="H500" i="3"/>
  <c r="G500" i="3"/>
  <c r="F500" i="3"/>
  <c r="E500" i="3"/>
  <c r="D500" i="3"/>
  <c r="C500" i="3"/>
  <c r="B500" i="3"/>
  <c r="A500" i="3"/>
  <c r="K499" i="3"/>
  <c r="J499" i="3"/>
  <c r="I499" i="3"/>
  <c r="H499" i="3"/>
  <c r="G499" i="3"/>
  <c r="F499" i="3"/>
  <c r="E499" i="3"/>
  <c r="D499" i="3"/>
  <c r="C499" i="3"/>
  <c r="B499" i="3"/>
  <c r="A499" i="3"/>
  <c r="K498" i="3"/>
  <c r="J498" i="3"/>
  <c r="I498" i="3"/>
  <c r="H498" i="3"/>
  <c r="G498" i="3"/>
  <c r="F498" i="3"/>
  <c r="E498" i="3"/>
  <c r="D498" i="3"/>
  <c r="C498" i="3"/>
  <c r="B498" i="3"/>
  <c r="A498" i="3"/>
  <c r="K497" i="3"/>
  <c r="J497" i="3"/>
  <c r="I497" i="3"/>
  <c r="H497" i="3"/>
  <c r="G497" i="3"/>
  <c r="F497" i="3"/>
  <c r="E497" i="3"/>
  <c r="D497" i="3"/>
  <c r="C497" i="3"/>
  <c r="B497" i="3"/>
  <c r="A497" i="3"/>
  <c r="K496" i="3"/>
  <c r="J496" i="3"/>
  <c r="I496" i="3"/>
  <c r="H496" i="3"/>
  <c r="G496" i="3"/>
  <c r="F496" i="3"/>
  <c r="E496" i="3"/>
  <c r="D496" i="3"/>
  <c r="C496" i="3"/>
  <c r="B496" i="3"/>
  <c r="A496" i="3"/>
  <c r="K495" i="3"/>
  <c r="J495" i="3"/>
  <c r="I495" i="3"/>
  <c r="H495" i="3"/>
  <c r="G495" i="3"/>
  <c r="F495" i="3"/>
  <c r="E495" i="3"/>
  <c r="D495" i="3"/>
  <c r="C495" i="3"/>
  <c r="B495" i="3"/>
  <c r="A495" i="3"/>
  <c r="K494" i="3"/>
  <c r="J494" i="3"/>
  <c r="I494" i="3"/>
  <c r="H494" i="3"/>
  <c r="G494" i="3"/>
  <c r="F494" i="3"/>
  <c r="E494" i="3"/>
  <c r="D494" i="3"/>
  <c r="C494" i="3"/>
  <c r="B494" i="3"/>
  <c r="A494" i="3"/>
  <c r="K493" i="3"/>
  <c r="J493" i="3"/>
  <c r="I493" i="3"/>
  <c r="H493" i="3"/>
  <c r="G493" i="3"/>
  <c r="F493" i="3"/>
  <c r="E493" i="3"/>
  <c r="D493" i="3"/>
  <c r="C493" i="3"/>
  <c r="B493" i="3"/>
  <c r="A493" i="3"/>
  <c r="K492" i="3"/>
  <c r="J492" i="3"/>
  <c r="I492" i="3"/>
  <c r="H492" i="3"/>
  <c r="G492" i="3"/>
  <c r="F492" i="3"/>
  <c r="E492" i="3"/>
  <c r="D492" i="3"/>
  <c r="C492" i="3"/>
  <c r="B492" i="3"/>
  <c r="A492" i="3"/>
  <c r="K491" i="3"/>
  <c r="J491" i="3"/>
  <c r="I491" i="3"/>
  <c r="H491" i="3"/>
  <c r="G491" i="3"/>
  <c r="F491" i="3"/>
  <c r="E491" i="3"/>
  <c r="D491" i="3"/>
  <c r="C491" i="3"/>
  <c r="B491" i="3"/>
  <c r="A491" i="3"/>
  <c r="K490" i="3"/>
  <c r="J490" i="3"/>
  <c r="I490" i="3"/>
  <c r="H490" i="3"/>
  <c r="G490" i="3"/>
  <c r="F490" i="3"/>
  <c r="E490" i="3"/>
  <c r="D490" i="3"/>
  <c r="C490" i="3"/>
  <c r="B490" i="3"/>
  <c r="A490" i="3"/>
  <c r="K489" i="3"/>
  <c r="J489" i="3"/>
  <c r="I489" i="3"/>
  <c r="H489" i="3"/>
  <c r="G489" i="3"/>
  <c r="F489" i="3"/>
  <c r="E489" i="3"/>
  <c r="D489" i="3"/>
  <c r="C489" i="3"/>
  <c r="B489" i="3"/>
  <c r="A489" i="3"/>
  <c r="K488" i="3"/>
  <c r="J488" i="3"/>
  <c r="I488" i="3"/>
  <c r="H488" i="3"/>
  <c r="G488" i="3"/>
  <c r="F488" i="3"/>
  <c r="E488" i="3"/>
  <c r="D488" i="3"/>
  <c r="C488" i="3"/>
  <c r="B488" i="3"/>
  <c r="A488" i="3"/>
  <c r="K487" i="3"/>
  <c r="J487" i="3"/>
  <c r="I487" i="3"/>
  <c r="H487" i="3"/>
  <c r="G487" i="3"/>
  <c r="F487" i="3"/>
  <c r="E487" i="3"/>
  <c r="D487" i="3"/>
  <c r="C487" i="3"/>
  <c r="B487" i="3"/>
  <c r="A487" i="3"/>
  <c r="K486" i="3"/>
  <c r="J486" i="3"/>
  <c r="I486" i="3"/>
  <c r="H486" i="3"/>
  <c r="G486" i="3"/>
  <c r="F486" i="3"/>
  <c r="E486" i="3"/>
  <c r="D486" i="3"/>
  <c r="C486" i="3"/>
  <c r="B486" i="3"/>
  <c r="A486" i="3"/>
  <c r="K485" i="3"/>
  <c r="J485" i="3"/>
  <c r="I485" i="3"/>
  <c r="H485" i="3"/>
  <c r="G485" i="3"/>
  <c r="F485" i="3"/>
  <c r="E485" i="3"/>
  <c r="D485" i="3"/>
  <c r="C485" i="3"/>
  <c r="B485" i="3"/>
  <c r="A485" i="3"/>
  <c r="K484" i="3"/>
  <c r="J484" i="3"/>
  <c r="I484" i="3"/>
  <c r="H484" i="3"/>
  <c r="G484" i="3"/>
  <c r="F484" i="3"/>
  <c r="E484" i="3"/>
  <c r="D484" i="3"/>
  <c r="C484" i="3"/>
  <c r="B484" i="3"/>
  <c r="A484" i="3"/>
  <c r="K483" i="3"/>
  <c r="J483" i="3"/>
  <c r="I483" i="3"/>
  <c r="H483" i="3"/>
  <c r="G483" i="3"/>
  <c r="F483" i="3"/>
  <c r="E483" i="3"/>
  <c r="D483" i="3"/>
  <c r="C483" i="3"/>
  <c r="B483" i="3"/>
  <c r="A483" i="3"/>
  <c r="K482" i="3"/>
  <c r="J482" i="3"/>
  <c r="I482" i="3"/>
  <c r="H482" i="3"/>
  <c r="G482" i="3"/>
  <c r="F482" i="3"/>
  <c r="E482" i="3"/>
  <c r="D482" i="3"/>
  <c r="C482" i="3"/>
  <c r="B482" i="3"/>
  <c r="A482" i="3"/>
  <c r="K481" i="3"/>
  <c r="J481" i="3"/>
  <c r="I481" i="3"/>
  <c r="H481" i="3"/>
  <c r="G481" i="3"/>
  <c r="F481" i="3"/>
  <c r="E481" i="3"/>
  <c r="D481" i="3"/>
  <c r="C481" i="3"/>
  <c r="B481" i="3"/>
  <c r="A481" i="3"/>
  <c r="K480" i="3"/>
  <c r="J480" i="3"/>
  <c r="I480" i="3"/>
  <c r="H480" i="3"/>
  <c r="G480" i="3"/>
  <c r="F480" i="3"/>
  <c r="E480" i="3"/>
  <c r="D480" i="3"/>
  <c r="C480" i="3"/>
  <c r="B480" i="3"/>
  <c r="A480" i="3"/>
  <c r="K479" i="3"/>
  <c r="J479" i="3"/>
  <c r="I479" i="3"/>
  <c r="H479" i="3"/>
  <c r="G479" i="3"/>
  <c r="F479" i="3"/>
  <c r="E479" i="3"/>
  <c r="D479" i="3"/>
  <c r="C479" i="3"/>
  <c r="B479" i="3"/>
  <c r="A479" i="3"/>
  <c r="K478" i="3"/>
  <c r="J478" i="3"/>
  <c r="I478" i="3"/>
  <c r="H478" i="3"/>
  <c r="G478" i="3"/>
  <c r="F478" i="3"/>
  <c r="E478" i="3"/>
  <c r="D478" i="3"/>
  <c r="C478" i="3"/>
  <c r="B478" i="3"/>
  <c r="A478" i="3"/>
  <c r="K477" i="3"/>
  <c r="J477" i="3"/>
  <c r="I477" i="3"/>
  <c r="H477" i="3"/>
  <c r="G477" i="3"/>
  <c r="F477" i="3"/>
  <c r="E477" i="3"/>
  <c r="D477" i="3"/>
  <c r="C477" i="3"/>
  <c r="B477" i="3"/>
  <c r="A477" i="3"/>
  <c r="K476" i="3"/>
  <c r="J476" i="3"/>
  <c r="I476" i="3"/>
  <c r="H476" i="3"/>
  <c r="G476" i="3"/>
  <c r="F476" i="3"/>
  <c r="E476" i="3"/>
  <c r="D476" i="3"/>
  <c r="C476" i="3"/>
  <c r="B476" i="3"/>
  <c r="A476" i="3"/>
  <c r="K475" i="3"/>
  <c r="J475" i="3"/>
  <c r="I475" i="3"/>
  <c r="H475" i="3"/>
  <c r="G475" i="3"/>
  <c r="F475" i="3"/>
  <c r="E475" i="3"/>
  <c r="D475" i="3"/>
  <c r="C475" i="3"/>
  <c r="B475" i="3"/>
  <c r="A475" i="3"/>
  <c r="K474" i="3"/>
  <c r="J474" i="3"/>
  <c r="I474" i="3"/>
  <c r="H474" i="3"/>
  <c r="G474" i="3"/>
  <c r="F474" i="3"/>
  <c r="E474" i="3"/>
  <c r="D474" i="3"/>
  <c r="C474" i="3"/>
  <c r="B474" i="3"/>
  <c r="A474" i="3"/>
  <c r="K473" i="3"/>
  <c r="J473" i="3"/>
  <c r="I473" i="3"/>
  <c r="H473" i="3"/>
  <c r="G473" i="3"/>
  <c r="F473" i="3"/>
  <c r="E473" i="3"/>
  <c r="D473" i="3"/>
  <c r="C473" i="3"/>
  <c r="B473" i="3"/>
  <c r="A473" i="3"/>
  <c r="K472" i="3"/>
  <c r="J472" i="3"/>
  <c r="I472" i="3"/>
  <c r="H472" i="3"/>
  <c r="G472" i="3"/>
  <c r="F472" i="3"/>
  <c r="E472" i="3"/>
  <c r="D472" i="3"/>
  <c r="C472" i="3"/>
  <c r="B472" i="3"/>
  <c r="A472" i="3"/>
  <c r="K471" i="3"/>
  <c r="J471" i="3"/>
  <c r="I471" i="3"/>
  <c r="H471" i="3"/>
  <c r="G471" i="3"/>
  <c r="F471" i="3"/>
  <c r="E471" i="3"/>
  <c r="D471" i="3"/>
  <c r="C471" i="3"/>
  <c r="B471" i="3"/>
  <c r="A471" i="3"/>
  <c r="K470" i="3"/>
  <c r="J470" i="3"/>
  <c r="I470" i="3"/>
  <c r="H470" i="3"/>
  <c r="G470" i="3"/>
  <c r="F470" i="3"/>
  <c r="E470" i="3"/>
  <c r="D470" i="3"/>
  <c r="C470" i="3"/>
  <c r="B470" i="3"/>
  <c r="A470" i="3"/>
  <c r="K469" i="3"/>
  <c r="J469" i="3"/>
  <c r="I469" i="3"/>
  <c r="H469" i="3"/>
  <c r="G469" i="3"/>
  <c r="F469" i="3"/>
  <c r="E469" i="3"/>
  <c r="D469" i="3"/>
  <c r="C469" i="3"/>
  <c r="B469" i="3"/>
  <c r="A469" i="3"/>
  <c r="K468" i="3"/>
  <c r="J468" i="3"/>
  <c r="I468" i="3"/>
  <c r="H468" i="3"/>
  <c r="G468" i="3"/>
  <c r="F468" i="3"/>
  <c r="E468" i="3"/>
  <c r="D468" i="3"/>
  <c r="C468" i="3"/>
  <c r="B468" i="3"/>
  <c r="A468" i="3"/>
  <c r="K467" i="3"/>
  <c r="J467" i="3"/>
  <c r="I467" i="3"/>
  <c r="H467" i="3"/>
  <c r="G467" i="3"/>
  <c r="F467" i="3"/>
  <c r="E467" i="3"/>
  <c r="D467" i="3"/>
  <c r="C467" i="3"/>
  <c r="B467" i="3"/>
  <c r="A467" i="3"/>
  <c r="K466" i="3"/>
  <c r="J466" i="3"/>
  <c r="I466" i="3"/>
  <c r="H466" i="3"/>
  <c r="G466" i="3"/>
  <c r="F466" i="3"/>
  <c r="E466" i="3"/>
  <c r="D466" i="3"/>
  <c r="C466" i="3"/>
  <c r="B466" i="3"/>
  <c r="A466" i="3"/>
  <c r="K465" i="3"/>
  <c r="J465" i="3"/>
  <c r="I465" i="3"/>
  <c r="H465" i="3"/>
  <c r="G465" i="3"/>
  <c r="F465" i="3"/>
  <c r="E465" i="3"/>
  <c r="D465" i="3"/>
  <c r="C465" i="3"/>
  <c r="B465" i="3"/>
  <c r="A465" i="3"/>
  <c r="K464" i="3"/>
  <c r="J464" i="3"/>
  <c r="I464" i="3"/>
  <c r="H464" i="3"/>
  <c r="G464" i="3"/>
  <c r="F464" i="3"/>
  <c r="E464" i="3"/>
  <c r="D464" i="3"/>
  <c r="C464" i="3"/>
  <c r="B464" i="3"/>
  <c r="A464" i="3"/>
  <c r="K463" i="3"/>
  <c r="J463" i="3"/>
  <c r="I463" i="3"/>
  <c r="H463" i="3"/>
  <c r="G463" i="3"/>
  <c r="F463" i="3"/>
  <c r="E463" i="3"/>
  <c r="D463" i="3"/>
  <c r="C463" i="3"/>
  <c r="B463" i="3"/>
  <c r="A463" i="3"/>
  <c r="K462" i="3"/>
  <c r="J462" i="3"/>
  <c r="I462" i="3"/>
  <c r="H462" i="3"/>
  <c r="G462" i="3"/>
  <c r="F462" i="3"/>
  <c r="E462" i="3"/>
  <c r="D462" i="3"/>
  <c r="C462" i="3"/>
  <c r="B462" i="3"/>
  <c r="A462" i="3"/>
  <c r="K461" i="3"/>
  <c r="J461" i="3"/>
  <c r="I461" i="3"/>
  <c r="H461" i="3"/>
  <c r="G461" i="3"/>
  <c r="F461" i="3"/>
  <c r="E461" i="3"/>
  <c r="D461" i="3"/>
  <c r="C461" i="3"/>
  <c r="B461" i="3"/>
  <c r="A461" i="3"/>
  <c r="K460" i="3"/>
  <c r="J460" i="3"/>
  <c r="I460" i="3"/>
  <c r="H460" i="3"/>
  <c r="G460" i="3"/>
  <c r="F460" i="3"/>
  <c r="E460" i="3"/>
  <c r="D460" i="3"/>
  <c r="C460" i="3"/>
  <c r="B460" i="3"/>
  <c r="A460" i="3"/>
  <c r="K459" i="3"/>
  <c r="J459" i="3"/>
  <c r="I459" i="3"/>
  <c r="H459" i="3"/>
  <c r="G459" i="3"/>
  <c r="F459" i="3"/>
  <c r="E459" i="3"/>
  <c r="D459" i="3"/>
  <c r="C459" i="3"/>
  <c r="B459" i="3"/>
  <c r="A459" i="3"/>
  <c r="K458" i="3"/>
  <c r="J458" i="3"/>
  <c r="I458" i="3"/>
  <c r="H458" i="3"/>
  <c r="G458" i="3"/>
  <c r="F458" i="3"/>
  <c r="E458" i="3"/>
  <c r="D458" i="3"/>
  <c r="C458" i="3"/>
  <c r="B458" i="3"/>
  <c r="A458" i="3"/>
  <c r="K457" i="3"/>
  <c r="J457" i="3"/>
  <c r="I457" i="3"/>
  <c r="H457" i="3"/>
  <c r="G457" i="3"/>
  <c r="F457" i="3"/>
  <c r="E457" i="3"/>
  <c r="D457" i="3"/>
  <c r="C457" i="3"/>
  <c r="B457" i="3"/>
  <c r="A457" i="3"/>
  <c r="K456" i="3"/>
  <c r="J456" i="3"/>
  <c r="I456" i="3"/>
  <c r="H456" i="3"/>
  <c r="G456" i="3"/>
  <c r="F456" i="3"/>
  <c r="E456" i="3"/>
  <c r="D456" i="3"/>
  <c r="C456" i="3"/>
  <c r="B456" i="3"/>
  <c r="A456" i="3"/>
  <c r="K455" i="3"/>
  <c r="J455" i="3"/>
  <c r="I455" i="3"/>
  <c r="H455" i="3"/>
  <c r="G455" i="3"/>
  <c r="F455" i="3"/>
  <c r="E455" i="3"/>
  <c r="D455" i="3"/>
  <c r="C455" i="3"/>
  <c r="B455" i="3"/>
  <c r="A455" i="3"/>
  <c r="K454" i="3"/>
  <c r="J454" i="3"/>
  <c r="I454" i="3"/>
  <c r="H454" i="3"/>
  <c r="G454" i="3"/>
  <c r="F454" i="3"/>
  <c r="E454" i="3"/>
  <c r="D454" i="3"/>
  <c r="C454" i="3"/>
  <c r="B454" i="3"/>
  <c r="A454" i="3"/>
  <c r="K453" i="3"/>
  <c r="J453" i="3"/>
  <c r="I453" i="3"/>
  <c r="H453" i="3"/>
  <c r="G453" i="3"/>
  <c r="F453" i="3"/>
  <c r="E453" i="3"/>
  <c r="D453" i="3"/>
  <c r="C453" i="3"/>
  <c r="B453" i="3"/>
  <c r="A453" i="3"/>
  <c r="K452" i="3"/>
  <c r="J452" i="3"/>
  <c r="I452" i="3"/>
  <c r="H452" i="3"/>
  <c r="G452" i="3"/>
  <c r="F452" i="3"/>
  <c r="E452" i="3"/>
  <c r="D452" i="3"/>
  <c r="C452" i="3"/>
  <c r="B452" i="3"/>
  <c r="A452" i="3"/>
  <c r="K451" i="3"/>
  <c r="J451" i="3"/>
  <c r="I451" i="3"/>
  <c r="H451" i="3"/>
  <c r="G451" i="3"/>
  <c r="F451" i="3"/>
  <c r="E451" i="3"/>
  <c r="D451" i="3"/>
  <c r="C451" i="3"/>
  <c r="B451" i="3"/>
  <c r="A451" i="3"/>
  <c r="K450" i="3"/>
  <c r="J450" i="3"/>
  <c r="I450" i="3"/>
  <c r="H450" i="3"/>
  <c r="G450" i="3"/>
  <c r="F450" i="3"/>
  <c r="E450" i="3"/>
  <c r="D450" i="3"/>
  <c r="C450" i="3"/>
  <c r="B450" i="3"/>
  <c r="A450" i="3"/>
  <c r="K449" i="3"/>
  <c r="J449" i="3"/>
  <c r="I449" i="3"/>
  <c r="H449" i="3"/>
  <c r="G449" i="3"/>
  <c r="F449" i="3"/>
  <c r="E449" i="3"/>
  <c r="D449" i="3"/>
  <c r="C449" i="3"/>
  <c r="B449" i="3"/>
  <c r="A449" i="3"/>
  <c r="K448" i="3"/>
  <c r="J448" i="3"/>
  <c r="I448" i="3"/>
  <c r="H448" i="3"/>
  <c r="G448" i="3"/>
  <c r="F448" i="3"/>
  <c r="E448" i="3"/>
  <c r="D448" i="3"/>
  <c r="C448" i="3"/>
  <c r="B448" i="3"/>
  <c r="A448" i="3"/>
  <c r="K447" i="3"/>
  <c r="J447" i="3"/>
  <c r="I447" i="3"/>
  <c r="H447" i="3"/>
  <c r="G447" i="3"/>
  <c r="F447" i="3"/>
  <c r="E447" i="3"/>
  <c r="D447" i="3"/>
  <c r="C447" i="3"/>
  <c r="B447" i="3"/>
  <c r="A447" i="3"/>
  <c r="K446" i="3"/>
  <c r="J446" i="3"/>
  <c r="I446" i="3"/>
  <c r="H446" i="3"/>
  <c r="G446" i="3"/>
  <c r="F446" i="3"/>
  <c r="E446" i="3"/>
  <c r="D446" i="3"/>
  <c r="C446" i="3"/>
  <c r="B446" i="3"/>
  <c r="A446" i="3"/>
  <c r="O445" i="3"/>
  <c r="N445" i="3"/>
  <c r="M445" i="3"/>
  <c r="K445" i="3"/>
  <c r="J445" i="3"/>
  <c r="I445" i="3"/>
  <c r="H445" i="3"/>
  <c r="G445" i="3"/>
  <c r="F445" i="3"/>
  <c r="E445" i="3"/>
  <c r="D445" i="3"/>
  <c r="C445" i="3"/>
  <c r="B445" i="3"/>
  <c r="A445" i="3"/>
  <c r="O444" i="3"/>
  <c r="N444" i="3"/>
  <c r="M444" i="3"/>
  <c r="K444" i="3"/>
  <c r="J444" i="3"/>
  <c r="I444" i="3"/>
  <c r="H444" i="3"/>
  <c r="G444" i="3"/>
  <c r="F444" i="3"/>
  <c r="E444" i="3"/>
  <c r="D444" i="3"/>
  <c r="C444" i="3"/>
  <c r="B444" i="3"/>
  <c r="A444" i="3"/>
  <c r="O443" i="3"/>
  <c r="N443" i="3"/>
  <c r="M443" i="3"/>
  <c r="K443" i="3"/>
  <c r="J443" i="3"/>
  <c r="I443" i="3"/>
  <c r="H443" i="3"/>
  <c r="G443" i="3"/>
  <c r="F443" i="3"/>
  <c r="E443" i="3"/>
  <c r="D443" i="3"/>
  <c r="C443" i="3"/>
  <c r="B443" i="3"/>
  <c r="A443" i="3"/>
  <c r="O442" i="3"/>
  <c r="N442" i="3"/>
  <c r="M442" i="3"/>
  <c r="K442" i="3"/>
  <c r="J442" i="3"/>
  <c r="I442" i="3"/>
  <c r="H442" i="3"/>
  <c r="G442" i="3"/>
  <c r="F442" i="3"/>
  <c r="E442" i="3"/>
  <c r="D442" i="3"/>
  <c r="C442" i="3"/>
  <c r="B442" i="3"/>
  <c r="A442" i="3"/>
  <c r="O441" i="3"/>
  <c r="N441" i="3"/>
  <c r="M441" i="3"/>
  <c r="K441" i="3"/>
  <c r="J441" i="3"/>
  <c r="I441" i="3"/>
  <c r="H441" i="3"/>
  <c r="G441" i="3"/>
  <c r="F441" i="3"/>
  <c r="E441" i="3"/>
  <c r="D441" i="3"/>
  <c r="C441" i="3"/>
  <c r="B441" i="3"/>
  <c r="A441" i="3"/>
  <c r="O440" i="3"/>
  <c r="N440" i="3"/>
  <c r="M440" i="3"/>
  <c r="K440" i="3"/>
  <c r="J440" i="3"/>
  <c r="I440" i="3"/>
  <c r="H440" i="3"/>
  <c r="G440" i="3"/>
  <c r="F440" i="3"/>
  <c r="E440" i="3"/>
  <c r="D440" i="3"/>
  <c r="C440" i="3"/>
  <c r="B440" i="3"/>
  <c r="A440" i="3"/>
  <c r="O439" i="3"/>
  <c r="N439" i="3"/>
  <c r="M439" i="3"/>
  <c r="K439" i="3"/>
  <c r="J439" i="3"/>
  <c r="I439" i="3"/>
  <c r="H439" i="3"/>
  <c r="G439" i="3"/>
  <c r="F439" i="3"/>
  <c r="E439" i="3"/>
  <c r="D439" i="3"/>
  <c r="C439" i="3"/>
  <c r="B439" i="3"/>
  <c r="A439" i="3"/>
  <c r="O438" i="3"/>
  <c r="N438" i="3"/>
  <c r="M438" i="3"/>
  <c r="K438" i="3"/>
  <c r="J438" i="3"/>
  <c r="I438" i="3"/>
  <c r="H438" i="3"/>
  <c r="G438" i="3"/>
  <c r="F438" i="3"/>
  <c r="E438" i="3"/>
  <c r="D438" i="3"/>
  <c r="C438" i="3"/>
  <c r="B438" i="3"/>
  <c r="A438" i="3"/>
  <c r="O437" i="3"/>
  <c r="N437" i="3"/>
  <c r="M437" i="3"/>
  <c r="K437" i="3"/>
  <c r="J437" i="3"/>
  <c r="I437" i="3"/>
  <c r="H437" i="3"/>
  <c r="G437" i="3"/>
  <c r="F437" i="3"/>
  <c r="E437" i="3"/>
  <c r="D437" i="3"/>
  <c r="C437" i="3"/>
  <c r="B437" i="3"/>
  <c r="A437" i="3"/>
  <c r="O436" i="3"/>
  <c r="N436" i="3"/>
  <c r="M436" i="3"/>
  <c r="K436" i="3"/>
  <c r="J436" i="3"/>
  <c r="I436" i="3"/>
  <c r="H436" i="3"/>
  <c r="G436" i="3"/>
  <c r="F436" i="3"/>
  <c r="E436" i="3"/>
  <c r="D436" i="3"/>
  <c r="C436" i="3"/>
  <c r="B436" i="3"/>
  <c r="A436" i="3"/>
  <c r="O435" i="3"/>
  <c r="N435" i="3"/>
  <c r="M435" i="3"/>
  <c r="K435" i="3"/>
  <c r="J435" i="3"/>
  <c r="I435" i="3"/>
  <c r="H435" i="3"/>
  <c r="G435" i="3"/>
  <c r="F435" i="3"/>
  <c r="E435" i="3"/>
  <c r="D435" i="3"/>
  <c r="C435" i="3"/>
  <c r="B435" i="3"/>
  <c r="A435" i="3"/>
  <c r="O434" i="3"/>
  <c r="N434" i="3"/>
  <c r="M434" i="3"/>
  <c r="K434" i="3"/>
  <c r="J434" i="3"/>
  <c r="I434" i="3"/>
  <c r="H434" i="3"/>
  <c r="G434" i="3"/>
  <c r="F434" i="3"/>
  <c r="E434" i="3"/>
  <c r="D434" i="3"/>
  <c r="C434" i="3"/>
  <c r="B434" i="3"/>
  <c r="A434" i="3"/>
  <c r="O433" i="3"/>
  <c r="N433" i="3"/>
  <c r="M433" i="3"/>
  <c r="K433" i="3"/>
  <c r="J433" i="3"/>
  <c r="I433" i="3"/>
  <c r="H433" i="3"/>
  <c r="G433" i="3"/>
  <c r="F433" i="3"/>
  <c r="E433" i="3"/>
  <c r="D433" i="3"/>
  <c r="C433" i="3"/>
  <c r="B433" i="3"/>
  <c r="A433" i="3"/>
  <c r="O432" i="3"/>
  <c r="N432" i="3"/>
  <c r="M432" i="3"/>
  <c r="K432" i="3"/>
  <c r="J432" i="3"/>
  <c r="I432" i="3"/>
  <c r="H432" i="3"/>
  <c r="G432" i="3"/>
  <c r="F432" i="3"/>
  <c r="E432" i="3"/>
  <c r="D432" i="3"/>
  <c r="C432" i="3"/>
  <c r="B432" i="3"/>
  <c r="A432" i="3"/>
  <c r="O431" i="3"/>
  <c r="N431" i="3"/>
  <c r="M431" i="3"/>
  <c r="K431" i="3"/>
  <c r="J431" i="3"/>
  <c r="I431" i="3"/>
  <c r="H431" i="3"/>
  <c r="G431" i="3"/>
  <c r="F431" i="3"/>
  <c r="E431" i="3"/>
  <c r="D431" i="3"/>
  <c r="C431" i="3"/>
  <c r="B431" i="3"/>
  <c r="A431" i="3"/>
  <c r="O430" i="3"/>
  <c r="N430" i="3"/>
  <c r="M430" i="3"/>
  <c r="K430" i="3"/>
  <c r="J430" i="3"/>
  <c r="I430" i="3"/>
  <c r="H430" i="3"/>
  <c r="G430" i="3"/>
  <c r="F430" i="3"/>
  <c r="E430" i="3"/>
  <c r="D430" i="3"/>
  <c r="C430" i="3"/>
  <c r="B430" i="3"/>
  <c r="A430" i="3"/>
  <c r="O429" i="3"/>
  <c r="N429" i="3"/>
  <c r="M429" i="3"/>
  <c r="K429" i="3"/>
  <c r="J429" i="3"/>
  <c r="I429" i="3"/>
  <c r="H429" i="3"/>
  <c r="G429" i="3"/>
  <c r="F429" i="3"/>
  <c r="E429" i="3"/>
  <c r="D429" i="3"/>
  <c r="C429" i="3"/>
  <c r="B429" i="3"/>
  <c r="A429" i="3"/>
  <c r="O428" i="3"/>
  <c r="N428" i="3"/>
  <c r="M428" i="3"/>
  <c r="K428" i="3"/>
  <c r="J428" i="3"/>
  <c r="I428" i="3"/>
  <c r="H428" i="3"/>
  <c r="G428" i="3"/>
  <c r="F428" i="3"/>
  <c r="E428" i="3"/>
  <c r="D428" i="3"/>
  <c r="C428" i="3"/>
  <c r="B428" i="3"/>
  <c r="A428" i="3"/>
  <c r="O427" i="3"/>
  <c r="N427" i="3"/>
  <c r="M427" i="3"/>
  <c r="K427" i="3"/>
  <c r="J427" i="3"/>
  <c r="I427" i="3"/>
  <c r="H427" i="3"/>
  <c r="G427" i="3"/>
  <c r="F427" i="3"/>
  <c r="E427" i="3"/>
  <c r="D427" i="3"/>
  <c r="C427" i="3"/>
  <c r="B427" i="3"/>
  <c r="A427" i="3"/>
  <c r="O426" i="3"/>
  <c r="N426" i="3"/>
  <c r="M426" i="3"/>
  <c r="K426" i="3"/>
  <c r="J426" i="3"/>
  <c r="I426" i="3"/>
  <c r="H426" i="3"/>
  <c r="G426" i="3"/>
  <c r="F426" i="3"/>
  <c r="E426" i="3"/>
  <c r="D426" i="3"/>
  <c r="C426" i="3"/>
  <c r="B426" i="3"/>
  <c r="A426" i="3"/>
  <c r="O425" i="3"/>
  <c r="N425" i="3"/>
  <c r="M425" i="3"/>
  <c r="K425" i="3"/>
  <c r="J425" i="3"/>
  <c r="I425" i="3"/>
  <c r="H425" i="3"/>
  <c r="G425" i="3"/>
  <c r="F425" i="3"/>
  <c r="E425" i="3"/>
  <c r="D425" i="3"/>
  <c r="C425" i="3"/>
  <c r="B425" i="3"/>
  <c r="A425" i="3"/>
  <c r="O424" i="3"/>
  <c r="N424" i="3"/>
  <c r="M424" i="3"/>
  <c r="K424" i="3"/>
  <c r="J424" i="3"/>
  <c r="I424" i="3"/>
  <c r="H424" i="3"/>
  <c r="G424" i="3"/>
  <c r="F424" i="3"/>
  <c r="E424" i="3"/>
  <c r="D424" i="3"/>
  <c r="C424" i="3"/>
  <c r="B424" i="3"/>
  <c r="A424" i="3"/>
  <c r="O423" i="3"/>
  <c r="N423" i="3"/>
  <c r="M423" i="3"/>
  <c r="K423" i="3"/>
  <c r="J423" i="3"/>
  <c r="I423" i="3"/>
  <c r="H423" i="3"/>
  <c r="G423" i="3"/>
  <c r="F423" i="3"/>
  <c r="E423" i="3"/>
  <c r="D423" i="3"/>
  <c r="C423" i="3"/>
  <c r="B423" i="3"/>
  <c r="A423" i="3"/>
  <c r="O422" i="3"/>
  <c r="N422" i="3"/>
  <c r="M422" i="3"/>
  <c r="K422" i="3"/>
  <c r="J422" i="3"/>
  <c r="I422" i="3"/>
  <c r="H422" i="3"/>
  <c r="G422" i="3"/>
  <c r="F422" i="3"/>
  <c r="E422" i="3"/>
  <c r="D422" i="3"/>
  <c r="C422" i="3"/>
  <c r="B422" i="3"/>
  <c r="A422" i="3"/>
  <c r="O421" i="3"/>
  <c r="N421" i="3"/>
  <c r="M421" i="3"/>
  <c r="K421" i="3"/>
  <c r="J421" i="3"/>
  <c r="I421" i="3"/>
  <c r="H421" i="3"/>
  <c r="G421" i="3"/>
  <c r="F421" i="3"/>
  <c r="E421" i="3"/>
  <c r="D421" i="3"/>
  <c r="C421" i="3"/>
  <c r="B421" i="3"/>
  <c r="A421" i="3"/>
  <c r="O420" i="3"/>
  <c r="N420" i="3"/>
  <c r="M420" i="3"/>
  <c r="K420" i="3"/>
  <c r="J420" i="3"/>
  <c r="I420" i="3"/>
  <c r="H420" i="3"/>
  <c r="G420" i="3"/>
  <c r="F420" i="3"/>
  <c r="E420" i="3"/>
  <c r="D420" i="3"/>
  <c r="C420" i="3"/>
  <c r="B420" i="3"/>
  <c r="A420" i="3"/>
  <c r="O419" i="3"/>
  <c r="N419" i="3"/>
  <c r="M419" i="3"/>
  <c r="K419" i="3"/>
  <c r="J419" i="3"/>
  <c r="I419" i="3"/>
  <c r="H419" i="3"/>
  <c r="G419" i="3"/>
  <c r="F419" i="3"/>
  <c r="E419" i="3"/>
  <c r="D419" i="3"/>
  <c r="C419" i="3"/>
  <c r="B419" i="3"/>
  <c r="A419" i="3"/>
  <c r="O418" i="3"/>
  <c r="N418" i="3"/>
  <c r="M418" i="3"/>
  <c r="K418" i="3"/>
  <c r="J418" i="3"/>
  <c r="I418" i="3"/>
  <c r="H418" i="3"/>
  <c r="G418" i="3"/>
  <c r="F418" i="3"/>
  <c r="E418" i="3"/>
  <c r="D418" i="3"/>
  <c r="C418" i="3"/>
  <c r="B418" i="3"/>
  <c r="A418" i="3"/>
  <c r="O417" i="3"/>
  <c r="N417" i="3"/>
  <c r="M417" i="3"/>
  <c r="K417" i="3"/>
  <c r="J417" i="3"/>
  <c r="I417" i="3"/>
  <c r="H417" i="3"/>
  <c r="G417" i="3"/>
  <c r="F417" i="3"/>
  <c r="E417" i="3"/>
  <c r="D417" i="3"/>
  <c r="C417" i="3"/>
  <c r="B417" i="3"/>
  <c r="A417" i="3"/>
  <c r="O416" i="3"/>
  <c r="N416" i="3"/>
  <c r="M416" i="3"/>
  <c r="K416" i="3"/>
  <c r="J416" i="3"/>
  <c r="I416" i="3"/>
  <c r="H416" i="3"/>
  <c r="G416" i="3"/>
  <c r="F416" i="3"/>
  <c r="E416" i="3"/>
  <c r="D416" i="3"/>
  <c r="C416" i="3"/>
  <c r="B416" i="3"/>
  <c r="A416" i="3"/>
  <c r="O415" i="3"/>
  <c r="N415" i="3"/>
  <c r="M415" i="3"/>
  <c r="K415" i="3"/>
  <c r="J415" i="3"/>
  <c r="I415" i="3"/>
  <c r="H415" i="3"/>
  <c r="G415" i="3"/>
  <c r="F415" i="3"/>
  <c r="E415" i="3"/>
  <c r="D415" i="3"/>
  <c r="C415" i="3"/>
  <c r="B415" i="3"/>
  <c r="A415" i="3"/>
  <c r="O414" i="3"/>
  <c r="N414" i="3"/>
  <c r="M414" i="3"/>
  <c r="K414" i="3"/>
  <c r="J414" i="3"/>
  <c r="I414" i="3"/>
  <c r="H414" i="3"/>
  <c r="G414" i="3"/>
  <c r="F414" i="3"/>
  <c r="E414" i="3"/>
  <c r="D414" i="3"/>
  <c r="C414" i="3"/>
  <c r="B414" i="3"/>
  <c r="A414" i="3"/>
  <c r="O413" i="3"/>
  <c r="N413" i="3"/>
  <c r="M413" i="3"/>
  <c r="K413" i="3"/>
  <c r="J413" i="3"/>
  <c r="I413" i="3"/>
  <c r="H413" i="3"/>
  <c r="G413" i="3"/>
  <c r="F413" i="3"/>
  <c r="E413" i="3"/>
  <c r="D413" i="3"/>
  <c r="C413" i="3"/>
  <c r="B413" i="3"/>
  <c r="A413" i="3"/>
  <c r="O412" i="3"/>
  <c r="N412" i="3"/>
  <c r="M412" i="3"/>
  <c r="K412" i="3"/>
  <c r="J412" i="3"/>
  <c r="I412" i="3"/>
  <c r="H412" i="3"/>
  <c r="G412" i="3"/>
  <c r="F412" i="3"/>
  <c r="E412" i="3"/>
  <c r="D412" i="3"/>
  <c r="C412" i="3"/>
  <c r="B412" i="3"/>
  <c r="A412" i="3"/>
  <c r="O411" i="3"/>
  <c r="N411" i="3"/>
  <c r="M411" i="3"/>
  <c r="K411" i="3"/>
  <c r="J411" i="3"/>
  <c r="I411" i="3"/>
  <c r="H411" i="3"/>
  <c r="G411" i="3"/>
  <c r="F411" i="3"/>
  <c r="E411" i="3"/>
  <c r="D411" i="3"/>
  <c r="C411" i="3"/>
  <c r="B411" i="3"/>
  <c r="A411" i="3"/>
  <c r="O410" i="3"/>
  <c r="N410" i="3"/>
  <c r="M410" i="3"/>
  <c r="K410" i="3"/>
  <c r="J410" i="3"/>
  <c r="I410" i="3"/>
  <c r="H410" i="3"/>
  <c r="G410" i="3"/>
  <c r="F410" i="3"/>
  <c r="E410" i="3"/>
  <c r="D410" i="3"/>
  <c r="C410" i="3"/>
  <c r="B410" i="3"/>
  <c r="A410" i="3"/>
  <c r="O409" i="3"/>
  <c r="N409" i="3"/>
  <c r="M409" i="3"/>
  <c r="K409" i="3"/>
  <c r="J409" i="3"/>
  <c r="I409" i="3"/>
  <c r="H409" i="3"/>
  <c r="G409" i="3"/>
  <c r="F409" i="3"/>
  <c r="E409" i="3"/>
  <c r="D409" i="3"/>
  <c r="C409" i="3"/>
  <c r="B409" i="3"/>
  <c r="A409" i="3"/>
  <c r="O408" i="3"/>
  <c r="N408" i="3"/>
  <c r="M408" i="3"/>
  <c r="K408" i="3"/>
  <c r="J408" i="3"/>
  <c r="I408" i="3"/>
  <c r="H408" i="3"/>
  <c r="G408" i="3"/>
  <c r="F408" i="3"/>
  <c r="E408" i="3"/>
  <c r="D408" i="3"/>
  <c r="C408" i="3"/>
  <c r="B408" i="3"/>
  <c r="A408" i="3"/>
  <c r="O407" i="3"/>
  <c r="N407" i="3"/>
  <c r="M407" i="3"/>
  <c r="K407" i="3"/>
  <c r="J407" i="3"/>
  <c r="I407" i="3"/>
  <c r="H407" i="3"/>
  <c r="G407" i="3"/>
  <c r="F407" i="3"/>
  <c r="E407" i="3"/>
  <c r="D407" i="3"/>
  <c r="C407" i="3"/>
  <c r="B407" i="3"/>
  <c r="A407" i="3"/>
  <c r="O406" i="3"/>
  <c r="N406" i="3"/>
  <c r="M406" i="3"/>
  <c r="K406" i="3"/>
  <c r="J406" i="3"/>
  <c r="I406" i="3"/>
  <c r="H406" i="3"/>
  <c r="G406" i="3"/>
  <c r="F406" i="3"/>
  <c r="E406" i="3"/>
  <c r="D406" i="3"/>
  <c r="C406" i="3"/>
  <c r="B406" i="3"/>
  <c r="A406" i="3"/>
  <c r="O405" i="3"/>
  <c r="N405" i="3"/>
  <c r="M405" i="3"/>
  <c r="K405" i="3"/>
  <c r="J405" i="3"/>
  <c r="I405" i="3"/>
  <c r="H405" i="3"/>
  <c r="G405" i="3"/>
  <c r="F405" i="3"/>
  <c r="E405" i="3"/>
  <c r="D405" i="3"/>
  <c r="C405" i="3"/>
  <c r="B405" i="3"/>
  <c r="A405" i="3"/>
  <c r="O404" i="3"/>
  <c r="N404" i="3"/>
  <c r="M404" i="3"/>
  <c r="K404" i="3"/>
  <c r="J404" i="3"/>
  <c r="I404" i="3"/>
  <c r="H404" i="3"/>
  <c r="G404" i="3"/>
  <c r="F404" i="3"/>
  <c r="E404" i="3"/>
  <c r="D404" i="3"/>
  <c r="C404" i="3"/>
  <c r="B404" i="3"/>
  <c r="A404" i="3"/>
  <c r="O403" i="3"/>
  <c r="N403" i="3"/>
  <c r="M403" i="3"/>
  <c r="K403" i="3"/>
  <c r="J403" i="3"/>
  <c r="I403" i="3"/>
  <c r="H403" i="3"/>
  <c r="G403" i="3"/>
  <c r="F403" i="3"/>
  <c r="E403" i="3"/>
  <c r="D403" i="3"/>
  <c r="C403" i="3"/>
  <c r="B403" i="3"/>
  <c r="A403" i="3"/>
  <c r="O402" i="3"/>
  <c r="N402" i="3"/>
  <c r="M402" i="3"/>
  <c r="K402" i="3"/>
  <c r="J402" i="3"/>
  <c r="I402" i="3"/>
  <c r="H402" i="3"/>
  <c r="G402" i="3"/>
  <c r="F402" i="3"/>
  <c r="E402" i="3"/>
  <c r="D402" i="3"/>
  <c r="C402" i="3"/>
  <c r="B402" i="3"/>
  <c r="A402" i="3"/>
  <c r="O401" i="3"/>
  <c r="N401" i="3"/>
  <c r="M401" i="3"/>
  <c r="K401" i="3"/>
  <c r="J401" i="3"/>
  <c r="I401" i="3"/>
  <c r="H401" i="3"/>
  <c r="G401" i="3"/>
  <c r="F401" i="3"/>
  <c r="E401" i="3"/>
  <c r="D401" i="3"/>
  <c r="C401" i="3"/>
  <c r="B401" i="3"/>
  <c r="A401" i="3"/>
  <c r="O400" i="3"/>
  <c r="N400" i="3"/>
  <c r="M400" i="3"/>
  <c r="K400" i="3"/>
  <c r="J400" i="3"/>
  <c r="I400" i="3"/>
  <c r="H400" i="3"/>
  <c r="G400" i="3"/>
  <c r="F400" i="3"/>
  <c r="E400" i="3"/>
  <c r="D400" i="3"/>
  <c r="C400" i="3"/>
  <c r="B400" i="3"/>
  <c r="A400" i="3"/>
  <c r="O399" i="3"/>
  <c r="N399" i="3"/>
  <c r="M399" i="3"/>
  <c r="K399" i="3"/>
  <c r="J399" i="3"/>
  <c r="I399" i="3"/>
  <c r="H399" i="3"/>
  <c r="G399" i="3"/>
  <c r="F399" i="3"/>
  <c r="E399" i="3"/>
  <c r="D399" i="3"/>
  <c r="C399" i="3"/>
  <c r="B399" i="3"/>
  <c r="A399" i="3"/>
  <c r="O398" i="3"/>
  <c r="N398" i="3"/>
  <c r="M398" i="3"/>
  <c r="K398" i="3"/>
  <c r="J398" i="3"/>
  <c r="I398" i="3"/>
  <c r="H398" i="3"/>
  <c r="G398" i="3"/>
  <c r="F398" i="3"/>
  <c r="E398" i="3"/>
  <c r="D398" i="3"/>
  <c r="C398" i="3"/>
  <c r="B398" i="3"/>
  <c r="A398" i="3"/>
  <c r="O397" i="3"/>
  <c r="N397" i="3"/>
  <c r="M397" i="3"/>
  <c r="K397" i="3"/>
  <c r="J397" i="3"/>
  <c r="I397" i="3"/>
  <c r="H397" i="3"/>
  <c r="G397" i="3"/>
  <c r="F397" i="3"/>
  <c r="E397" i="3"/>
  <c r="D397" i="3"/>
  <c r="C397" i="3"/>
  <c r="B397" i="3"/>
  <c r="A397" i="3"/>
  <c r="O396" i="3"/>
  <c r="N396" i="3"/>
  <c r="M396" i="3"/>
  <c r="K396" i="3"/>
  <c r="J396" i="3"/>
  <c r="I396" i="3"/>
  <c r="H396" i="3"/>
  <c r="G396" i="3"/>
  <c r="F396" i="3"/>
  <c r="E396" i="3"/>
  <c r="D396" i="3"/>
  <c r="C396" i="3"/>
  <c r="B396" i="3"/>
  <c r="A396" i="3"/>
  <c r="O395" i="3"/>
  <c r="N395" i="3"/>
  <c r="M395" i="3"/>
  <c r="K395" i="3"/>
  <c r="J395" i="3"/>
  <c r="I395" i="3"/>
  <c r="H395" i="3"/>
  <c r="G395" i="3"/>
  <c r="F395" i="3"/>
  <c r="E395" i="3"/>
  <c r="D395" i="3"/>
  <c r="C395" i="3"/>
  <c r="B395" i="3"/>
  <c r="A395" i="3"/>
  <c r="O394" i="3"/>
  <c r="N394" i="3"/>
  <c r="M394" i="3"/>
  <c r="K394" i="3"/>
  <c r="J394" i="3"/>
  <c r="I394" i="3"/>
  <c r="H394" i="3"/>
  <c r="G394" i="3"/>
  <c r="F394" i="3"/>
  <c r="E394" i="3"/>
  <c r="D394" i="3"/>
  <c r="C394" i="3"/>
  <c r="B394" i="3"/>
  <c r="A394" i="3"/>
  <c r="O393" i="3"/>
  <c r="N393" i="3"/>
  <c r="M393" i="3"/>
  <c r="K393" i="3"/>
  <c r="J393" i="3"/>
  <c r="I393" i="3"/>
  <c r="H393" i="3"/>
  <c r="G393" i="3"/>
  <c r="F393" i="3"/>
  <c r="E393" i="3"/>
  <c r="D393" i="3"/>
  <c r="C393" i="3"/>
  <c r="B393" i="3"/>
  <c r="A393" i="3"/>
  <c r="O392" i="3"/>
  <c r="N392" i="3"/>
  <c r="M392" i="3"/>
  <c r="K392" i="3"/>
  <c r="J392" i="3"/>
  <c r="I392" i="3"/>
  <c r="H392" i="3"/>
  <c r="G392" i="3"/>
  <c r="F392" i="3"/>
  <c r="E392" i="3"/>
  <c r="D392" i="3"/>
  <c r="C392" i="3"/>
  <c r="B392" i="3"/>
  <c r="A392" i="3"/>
  <c r="O391" i="3"/>
  <c r="N391" i="3"/>
  <c r="M391" i="3"/>
  <c r="K391" i="3"/>
  <c r="J391" i="3"/>
  <c r="I391" i="3"/>
  <c r="H391" i="3"/>
  <c r="G391" i="3"/>
  <c r="F391" i="3"/>
  <c r="E391" i="3"/>
  <c r="D391" i="3"/>
  <c r="C391" i="3"/>
  <c r="B391" i="3"/>
  <c r="A391" i="3"/>
  <c r="O390" i="3"/>
  <c r="N390" i="3"/>
  <c r="M390" i="3"/>
  <c r="K390" i="3"/>
  <c r="J390" i="3"/>
  <c r="I390" i="3"/>
  <c r="H390" i="3"/>
  <c r="G390" i="3"/>
  <c r="F390" i="3"/>
  <c r="E390" i="3"/>
  <c r="D390" i="3"/>
  <c r="C390" i="3"/>
  <c r="B390" i="3"/>
  <c r="A390" i="3"/>
  <c r="O389" i="3"/>
  <c r="N389" i="3"/>
  <c r="M389" i="3"/>
  <c r="K389" i="3"/>
  <c r="J389" i="3"/>
  <c r="I389" i="3"/>
  <c r="H389" i="3"/>
  <c r="G389" i="3"/>
  <c r="F389" i="3"/>
  <c r="E389" i="3"/>
  <c r="D389" i="3"/>
  <c r="C389" i="3"/>
  <c r="B389" i="3"/>
  <c r="A389" i="3"/>
  <c r="O388" i="3"/>
  <c r="N388" i="3"/>
  <c r="M388" i="3"/>
  <c r="K388" i="3"/>
  <c r="J388" i="3"/>
  <c r="I388" i="3"/>
  <c r="H388" i="3"/>
  <c r="G388" i="3"/>
  <c r="F388" i="3"/>
  <c r="E388" i="3"/>
  <c r="D388" i="3"/>
  <c r="C388" i="3"/>
  <c r="B388" i="3"/>
  <c r="A388" i="3"/>
  <c r="O387" i="3"/>
  <c r="N387" i="3"/>
  <c r="M387" i="3"/>
  <c r="K387" i="3"/>
  <c r="J387" i="3"/>
  <c r="I387" i="3"/>
  <c r="H387" i="3"/>
  <c r="G387" i="3"/>
  <c r="F387" i="3"/>
  <c r="E387" i="3"/>
  <c r="D387" i="3"/>
  <c r="C387" i="3"/>
  <c r="B387" i="3"/>
  <c r="A387" i="3"/>
  <c r="O386" i="3"/>
  <c r="N386" i="3"/>
  <c r="M386" i="3"/>
  <c r="K386" i="3"/>
  <c r="J386" i="3"/>
  <c r="I386" i="3"/>
  <c r="H386" i="3"/>
  <c r="G386" i="3"/>
  <c r="F386" i="3"/>
  <c r="E386" i="3"/>
  <c r="D386" i="3"/>
  <c r="C386" i="3"/>
  <c r="B386" i="3"/>
  <c r="A386" i="3"/>
  <c r="O385" i="3"/>
  <c r="N385" i="3"/>
  <c r="M385" i="3"/>
  <c r="K385" i="3"/>
  <c r="J385" i="3"/>
  <c r="I385" i="3"/>
  <c r="H385" i="3"/>
  <c r="G385" i="3"/>
  <c r="F385" i="3"/>
  <c r="E385" i="3"/>
  <c r="D385" i="3"/>
  <c r="C385" i="3"/>
  <c r="B385" i="3"/>
  <c r="A385" i="3"/>
  <c r="O384" i="3"/>
  <c r="N384" i="3"/>
  <c r="M384" i="3"/>
  <c r="K384" i="3"/>
  <c r="J384" i="3"/>
  <c r="I384" i="3"/>
  <c r="H384" i="3"/>
  <c r="G384" i="3"/>
  <c r="F384" i="3"/>
  <c r="E384" i="3"/>
  <c r="D384" i="3"/>
  <c r="C384" i="3"/>
  <c r="B384" i="3"/>
  <c r="A384" i="3"/>
  <c r="O383" i="3"/>
  <c r="N383" i="3"/>
  <c r="M383" i="3"/>
  <c r="K383" i="3"/>
  <c r="J383" i="3"/>
  <c r="I383" i="3"/>
  <c r="H383" i="3"/>
  <c r="G383" i="3"/>
  <c r="F383" i="3"/>
  <c r="E383" i="3"/>
  <c r="D383" i="3"/>
  <c r="C383" i="3"/>
  <c r="B383" i="3"/>
  <c r="A383" i="3"/>
  <c r="O382" i="3"/>
  <c r="N382" i="3"/>
  <c r="M382" i="3"/>
  <c r="K382" i="3"/>
  <c r="J382" i="3"/>
  <c r="I382" i="3"/>
  <c r="H382" i="3"/>
  <c r="G382" i="3"/>
  <c r="F382" i="3"/>
  <c r="E382" i="3"/>
  <c r="D382" i="3"/>
  <c r="C382" i="3"/>
  <c r="B382" i="3"/>
  <c r="A382" i="3"/>
  <c r="O381" i="3"/>
  <c r="N381" i="3"/>
  <c r="M381" i="3"/>
  <c r="K381" i="3"/>
  <c r="J381" i="3"/>
  <c r="I381" i="3"/>
  <c r="H381" i="3"/>
  <c r="G381" i="3"/>
  <c r="F381" i="3"/>
  <c r="E381" i="3"/>
  <c r="D381" i="3"/>
  <c r="C381" i="3"/>
  <c r="B381" i="3"/>
  <c r="A381" i="3"/>
  <c r="O380" i="3"/>
  <c r="N380" i="3"/>
  <c r="M380" i="3"/>
  <c r="K380" i="3"/>
  <c r="J380" i="3"/>
  <c r="I380" i="3"/>
  <c r="H380" i="3"/>
  <c r="G380" i="3"/>
  <c r="F380" i="3"/>
  <c r="E380" i="3"/>
  <c r="D380" i="3"/>
  <c r="C380" i="3"/>
  <c r="B380" i="3"/>
  <c r="A380" i="3"/>
  <c r="O379" i="3"/>
  <c r="N379" i="3"/>
  <c r="M379" i="3"/>
  <c r="K379" i="3"/>
  <c r="J379" i="3"/>
  <c r="I379" i="3"/>
  <c r="H379" i="3"/>
  <c r="G379" i="3"/>
  <c r="F379" i="3"/>
  <c r="E379" i="3"/>
  <c r="D379" i="3"/>
  <c r="C379" i="3"/>
  <c r="B379" i="3"/>
  <c r="A379" i="3"/>
  <c r="O378" i="3"/>
  <c r="N378" i="3"/>
  <c r="M378" i="3"/>
  <c r="K378" i="3"/>
  <c r="J378" i="3"/>
  <c r="I378" i="3"/>
  <c r="H378" i="3"/>
  <c r="G378" i="3"/>
  <c r="F378" i="3"/>
  <c r="E378" i="3"/>
  <c r="D378" i="3"/>
  <c r="C378" i="3"/>
  <c r="B378" i="3"/>
  <c r="A378" i="3"/>
  <c r="O377" i="3"/>
  <c r="N377" i="3"/>
  <c r="M377" i="3"/>
  <c r="K377" i="3"/>
  <c r="J377" i="3"/>
  <c r="I377" i="3"/>
  <c r="H377" i="3"/>
  <c r="G377" i="3"/>
  <c r="F377" i="3"/>
  <c r="E377" i="3"/>
  <c r="D377" i="3"/>
  <c r="C377" i="3"/>
  <c r="B377" i="3"/>
  <c r="A377" i="3"/>
  <c r="O376" i="3"/>
  <c r="N376" i="3"/>
  <c r="M376" i="3"/>
  <c r="K376" i="3"/>
  <c r="J376" i="3"/>
  <c r="I376" i="3"/>
  <c r="H376" i="3"/>
  <c r="G376" i="3"/>
  <c r="F376" i="3"/>
  <c r="E376" i="3"/>
  <c r="D376" i="3"/>
  <c r="C376" i="3"/>
  <c r="B376" i="3"/>
  <c r="A376" i="3"/>
  <c r="O375" i="3"/>
  <c r="N375" i="3"/>
  <c r="M375" i="3"/>
  <c r="K375" i="3"/>
  <c r="J375" i="3"/>
  <c r="I375" i="3"/>
  <c r="H375" i="3"/>
  <c r="G375" i="3"/>
  <c r="F375" i="3"/>
  <c r="E375" i="3"/>
  <c r="D375" i="3"/>
  <c r="C375" i="3"/>
  <c r="B375" i="3"/>
  <c r="A375" i="3"/>
  <c r="O374" i="3"/>
  <c r="N374" i="3"/>
  <c r="M374" i="3"/>
  <c r="K374" i="3"/>
  <c r="J374" i="3"/>
  <c r="I374" i="3"/>
  <c r="H374" i="3"/>
  <c r="G374" i="3"/>
  <c r="F374" i="3"/>
  <c r="E374" i="3"/>
  <c r="D374" i="3"/>
  <c r="C374" i="3"/>
  <c r="B374" i="3"/>
  <c r="A374" i="3"/>
  <c r="O373" i="3"/>
  <c r="N373" i="3"/>
  <c r="M373" i="3"/>
  <c r="K373" i="3"/>
  <c r="J373" i="3"/>
  <c r="I373" i="3"/>
  <c r="H373" i="3"/>
  <c r="G373" i="3"/>
  <c r="F373" i="3"/>
  <c r="E373" i="3"/>
  <c r="D373" i="3"/>
  <c r="C373" i="3"/>
  <c r="B373" i="3"/>
  <c r="A373" i="3"/>
  <c r="O372" i="3"/>
  <c r="N372" i="3"/>
  <c r="M372" i="3"/>
  <c r="K372" i="3"/>
  <c r="J372" i="3"/>
  <c r="I372" i="3"/>
  <c r="H372" i="3"/>
  <c r="G372" i="3"/>
  <c r="F372" i="3"/>
  <c r="E372" i="3"/>
  <c r="D372" i="3"/>
  <c r="C372" i="3"/>
  <c r="B372" i="3"/>
  <c r="A372" i="3"/>
  <c r="O371" i="3"/>
  <c r="N371" i="3"/>
  <c r="M371" i="3"/>
  <c r="K371" i="3"/>
  <c r="J371" i="3"/>
  <c r="I371" i="3"/>
  <c r="H371" i="3"/>
  <c r="G371" i="3"/>
  <c r="F371" i="3"/>
  <c r="E371" i="3"/>
  <c r="D371" i="3"/>
  <c r="C371" i="3"/>
  <c r="B371" i="3"/>
  <c r="A371" i="3"/>
  <c r="O370" i="3"/>
  <c r="N370" i="3"/>
  <c r="M370" i="3"/>
  <c r="K370" i="3"/>
  <c r="J370" i="3"/>
  <c r="I370" i="3"/>
  <c r="H370" i="3"/>
  <c r="G370" i="3"/>
  <c r="F370" i="3"/>
  <c r="E370" i="3"/>
  <c r="D370" i="3"/>
  <c r="C370" i="3"/>
  <c r="B370" i="3"/>
  <c r="A370" i="3"/>
  <c r="O369" i="3"/>
  <c r="N369" i="3"/>
  <c r="M369" i="3"/>
  <c r="K369" i="3"/>
  <c r="J369" i="3"/>
  <c r="I369" i="3"/>
  <c r="H369" i="3"/>
  <c r="G369" i="3"/>
  <c r="F369" i="3"/>
  <c r="E369" i="3"/>
  <c r="D369" i="3"/>
  <c r="C369" i="3"/>
  <c r="B369" i="3"/>
  <c r="A369" i="3"/>
  <c r="O368" i="3"/>
  <c r="N368" i="3"/>
  <c r="M368" i="3"/>
  <c r="K368" i="3"/>
  <c r="J368" i="3"/>
  <c r="I368" i="3"/>
  <c r="H368" i="3"/>
  <c r="G368" i="3"/>
  <c r="F368" i="3"/>
  <c r="E368" i="3"/>
  <c r="D368" i="3"/>
  <c r="C368" i="3"/>
  <c r="B368" i="3"/>
  <c r="A368" i="3"/>
  <c r="O367" i="3"/>
  <c r="N367" i="3"/>
  <c r="M367" i="3"/>
  <c r="K367" i="3"/>
  <c r="J367" i="3"/>
  <c r="I367" i="3"/>
  <c r="H367" i="3"/>
  <c r="G367" i="3"/>
  <c r="F367" i="3"/>
  <c r="E367" i="3"/>
  <c r="D367" i="3"/>
  <c r="C367" i="3"/>
  <c r="B367" i="3"/>
  <c r="A367" i="3"/>
  <c r="O366" i="3"/>
  <c r="N366" i="3"/>
  <c r="M366" i="3"/>
  <c r="K366" i="3"/>
  <c r="J366" i="3"/>
  <c r="I366" i="3"/>
  <c r="H366" i="3"/>
  <c r="G366" i="3"/>
  <c r="F366" i="3"/>
  <c r="E366" i="3"/>
  <c r="D366" i="3"/>
  <c r="C366" i="3"/>
  <c r="B366" i="3"/>
  <c r="A366" i="3"/>
  <c r="O365" i="3"/>
  <c r="N365" i="3"/>
  <c r="M365" i="3"/>
  <c r="K365" i="3"/>
  <c r="J365" i="3"/>
  <c r="I365" i="3"/>
  <c r="H365" i="3"/>
  <c r="G365" i="3"/>
  <c r="F365" i="3"/>
  <c r="E365" i="3"/>
  <c r="D365" i="3"/>
  <c r="C365" i="3"/>
  <c r="B365" i="3"/>
  <c r="A365" i="3"/>
  <c r="O364" i="3"/>
  <c r="N364" i="3"/>
  <c r="M364" i="3"/>
  <c r="K364" i="3"/>
  <c r="J364" i="3"/>
  <c r="I364" i="3"/>
  <c r="H364" i="3"/>
  <c r="G364" i="3"/>
  <c r="F364" i="3"/>
  <c r="E364" i="3"/>
  <c r="D364" i="3"/>
  <c r="C364" i="3"/>
  <c r="B364" i="3"/>
  <c r="A364" i="3"/>
  <c r="O363" i="3"/>
  <c r="N363" i="3"/>
  <c r="M363" i="3"/>
  <c r="K363" i="3"/>
  <c r="J363" i="3"/>
  <c r="I363" i="3"/>
  <c r="H363" i="3"/>
  <c r="G363" i="3"/>
  <c r="F363" i="3"/>
  <c r="E363" i="3"/>
  <c r="D363" i="3"/>
  <c r="C363" i="3"/>
  <c r="B363" i="3"/>
  <c r="A363" i="3"/>
  <c r="O362" i="3"/>
  <c r="N362" i="3"/>
  <c r="M362" i="3"/>
  <c r="K362" i="3"/>
  <c r="J362" i="3"/>
  <c r="I362" i="3"/>
  <c r="H362" i="3"/>
  <c r="G362" i="3"/>
  <c r="F362" i="3"/>
  <c r="E362" i="3"/>
  <c r="D362" i="3"/>
  <c r="C362" i="3"/>
  <c r="B362" i="3"/>
  <c r="A362" i="3"/>
  <c r="O361" i="3"/>
  <c r="N361" i="3"/>
  <c r="M361" i="3"/>
  <c r="K361" i="3"/>
  <c r="J361" i="3"/>
  <c r="I361" i="3"/>
  <c r="H361" i="3"/>
  <c r="G361" i="3"/>
  <c r="F361" i="3"/>
  <c r="E361" i="3"/>
  <c r="D361" i="3"/>
  <c r="C361" i="3"/>
  <c r="B361" i="3"/>
  <c r="A361" i="3"/>
  <c r="O360" i="3"/>
  <c r="N360" i="3"/>
  <c r="M360" i="3"/>
  <c r="K360" i="3"/>
  <c r="J360" i="3"/>
  <c r="I360" i="3"/>
  <c r="H360" i="3"/>
  <c r="G360" i="3"/>
  <c r="F360" i="3"/>
  <c r="E360" i="3"/>
  <c r="D360" i="3"/>
  <c r="C360" i="3"/>
  <c r="B360" i="3"/>
  <c r="A360" i="3"/>
  <c r="O359" i="3"/>
  <c r="N359" i="3"/>
  <c r="M359" i="3"/>
  <c r="K359" i="3"/>
  <c r="J359" i="3"/>
  <c r="I359" i="3"/>
  <c r="H359" i="3"/>
  <c r="G359" i="3"/>
  <c r="F359" i="3"/>
  <c r="E359" i="3"/>
  <c r="D359" i="3"/>
  <c r="C359" i="3"/>
  <c r="B359" i="3"/>
  <c r="A359" i="3"/>
  <c r="O358" i="3"/>
  <c r="N358" i="3"/>
  <c r="M358" i="3"/>
  <c r="K358" i="3"/>
  <c r="J358" i="3"/>
  <c r="I358" i="3"/>
  <c r="H358" i="3"/>
  <c r="G358" i="3"/>
  <c r="F358" i="3"/>
  <c r="E358" i="3"/>
  <c r="D358" i="3"/>
  <c r="C358" i="3"/>
  <c r="B358" i="3"/>
  <c r="A358" i="3"/>
  <c r="O357" i="3"/>
  <c r="N357" i="3"/>
  <c r="M357" i="3"/>
  <c r="K357" i="3"/>
  <c r="J357" i="3"/>
  <c r="I357" i="3"/>
  <c r="H357" i="3"/>
  <c r="G357" i="3"/>
  <c r="F357" i="3"/>
  <c r="E357" i="3"/>
  <c r="D357" i="3"/>
  <c r="C357" i="3"/>
  <c r="B357" i="3"/>
  <c r="A357" i="3"/>
  <c r="O356" i="3"/>
  <c r="N356" i="3"/>
  <c r="M356" i="3"/>
  <c r="K356" i="3"/>
  <c r="J356" i="3"/>
  <c r="I356" i="3"/>
  <c r="H356" i="3"/>
  <c r="G356" i="3"/>
  <c r="F356" i="3"/>
  <c r="E356" i="3"/>
  <c r="D356" i="3"/>
  <c r="C356" i="3"/>
  <c r="B356" i="3"/>
  <c r="A356" i="3"/>
  <c r="O355" i="3"/>
  <c r="N355" i="3"/>
  <c r="M355" i="3"/>
  <c r="K355" i="3"/>
  <c r="J355" i="3"/>
  <c r="I355" i="3"/>
  <c r="H355" i="3"/>
  <c r="G355" i="3"/>
  <c r="F355" i="3"/>
  <c r="E355" i="3"/>
  <c r="D355" i="3"/>
  <c r="C355" i="3"/>
  <c r="B355" i="3"/>
  <c r="A355" i="3"/>
  <c r="O354" i="3"/>
  <c r="N354" i="3"/>
  <c r="M354" i="3"/>
  <c r="K354" i="3"/>
  <c r="J354" i="3"/>
  <c r="I354" i="3"/>
  <c r="H354" i="3"/>
  <c r="G354" i="3"/>
  <c r="F354" i="3"/>
  <c r="E354" i="3"/>
  <c r="D354" i="3"/>
  <c r="C354" i="3"/>
  <c r="B354" i="3"/>
  <c r="A354" i="3"/>
  <c r="O353" i="3"/>
  <c r="N353" i="3"/>
  <c r="M353" i="3"/>
  <c r="K353" i="3"/>
  <c r="J353" i="3"/>
  <c r="I353" i="3"/>
  <c r="H353" i="3"/>
  <c r="G353" i="3"/>
  <c r="F353" i="3"/>
  <c r="E353" i="3"/>
  <c r="D353" i="3"/>
  <c r="C353" i="3"/>
  <c r="B353" i="3"/>
  <c r="A353" i="3"/>
  <c r="O352" i="3"/>
  <c r="N352" i="3"/>
  <c r="M352" i="3"/>
  <c r="K352" i="3"/>
  <c r="J352" i="3"/>
  <c r="I352" i="3"/>
  <c r="H352" i="3"/>
  <c r="G352" i="3"/>
  <c r="F352" i="3"/>
  <c r="E352" i="3"/>
  <c r="D352" i="3"/>
  <c r="C352" i="3"/>
  <c r="B352" i="3"/>
  <c r="A352" i="3"/>
  <c r="O351" i="3"/>
  <c r="N351" i="3"/>
  <c r="M351" i="3"/>
  <c r="K351" i="3"/>
  <c r="J351" i="3"/>
  <c r="I351" i="3"/>
  <c r="H351" i="3"/>
  <c r="G351" i="3"/>
  <c r="F351" i="3"/>
  <c r="E351" i="3"/>
  <c r="D351" i="3"/>
  <c r="C351" i="3"/>
  <c r="B351" i="3"/>
  <c r="A351" i="3"/>
  <c r="O350" i="3"/>
  <c r="N350" i="3"/>
  <c r="M350" i="3"/>
  <c r="K350" i="3"/>
  <c r="J350" i="3"/>
  <c r="I350" i="3"/>
  <c r="H350" i="3"/>
  <c r="G350" i="3"/>
  <c r="F350" i="3"/>
  <c r="E350" i="3"/>
  <c r="D350" i="3"/>
  <c r="C350" i="3"/>
  <c r="B350" i="3"/>
  <c r="A350" i="3"/>
  <c r="O349" i="3"/>
  <c r="N349" i="3"/>
  <c r="M349" i="3"/>
  <c r="K349" i="3"/>
  <c r="J349" i="3"/>
  <c r="I349" i="3"/>
  <c r="H349" i="3"/>
  <c r="G349" i="3"/>
  <c r="F349" i="3"/>
  <c r="E349" i="3"/>
  <c r="D349" i="3"/>
  <c r="C349" i="3"/>
  <c r="B349" i="3"/>
  <c r="A349" i="3"/>
  <c r="O348" i="3"/>
  <c r="N348" i="3"/>
  <c r="M348" i="3"/>
  <c r="K348" i="3"/>
  <c r="J348" i="3"/>
  <c r="I348" i="3"/>
  <c r="H348" i="3"/>
  <c r="G348" i="3"/>
  <c r="F348" i="3"/>
  <c r="E348" i="3"/>
  <c r="D348" i="3"/>
  <c r="C348" i="3"/>
  <c r="B348" i="3"/>
  <c r="A348" i="3"/>
  <c r="O347" i="3"/>
  <c r="N347" i="3"/>
  <c r="M347" i="3"/>
  <c r="K347" i="3"/>
  <c r="J347" i="3"/>
  <c r="I347" i="3"/>
  <c r="H347" i="3"/>
  <c r="G347" i="3"/>
  <c r="F347" i="3"/>
  <c r="E347" i="3"/>
  <c r="D347" i="3"/>
  <c r="C347" i="3"/>
  <c r="B347" i="3"/>
  <c r="A347" i="3"/>
  <c r="O346" i="3"/>
  <c r="N346" i="3"/>
  <c r="M346" i="3"/>
  <c r="K346" i="3"/>
  <c r="J346" i="3"/>
  <c r="I346" i="3"/>
  <c r="H346" i="3"/>
  <c r="G346" i="3"/>
  <c r="F346" i="3"/>
  <c r="E346" i="3"/>
  <c r="D346" i="3"/>
  <c r="C346" i="3"/>
  <c r="B346" i="3"/>
  <c r="A346" i="3"/>
  <c r="O345" i="3"/>
  <c r="N345" i="3"/>
  <c r="M345" i="3"/>
  <c r="K345" i="3"/>
  <c r="J345" i="3"/>
  <c r="I345" i="3"/>
  <c r="H345" i="3"/>
  <c r="G345" i="3"/>
  <c r="F345" i="3"/>
  <c r="E345" i="3"/>
  <c r="D345" i="3"/>
  <c r="C345" i="3"/>
  <c r="B345" i="3"/>
  <c r="A345" i="3"/>
  <c r="O344" i="3"/>
  <c r="N344" i="3"/>
  <c r="M344" i="3"/>
  <c r="K344" i="3"/>
  <c r="J344" i="3"/>
  <c r="I344" i="3"/>
  <c r="H344" i="3"/>
  <c r="G344" i="3"/>
  <c r="F344" i="3"/>
  <c r="E344" i="3"/>
  <c r="D344" i="3"/>
  <c r="C344" i="3"/>
  <c r="B344" i="3"/>
  <c r="A344" i="3"/>
  <c r="O343" i="3"/>
  <c r="N343" i="3"/>
  <c r="M343" i="3"/>
  <c r="K343" i="3"/>
  <c r="J343" i="3"/>
  <c r="I343" i="3"/>
  <c r="H343" i="3"/>
  <c r="G343" i="3"/>
  <c r="F343" i="3"/>
  <c r="E343" i="3"/>
  <c r="D343" i="3"/>
  <c r="C343" i="3"/>
  <c r="B343" i="3"/>
  <c r="A343" i="3"/>
  <c r="O342" i="3"/>
  <c r="N342" i="3"/>
  <c r="M342" i="3"/>
  <c r="K342" i="3"/>
  <c r="J342" i="3"/>
  <c r="I342" i="3"/>
  <c r="H342" i="3"/>
  <c r="G342" i="3"/>
  <c r="F342" i="3"/>
  <c r="E342" i="3"/>
  <c r="D342" i="3"/>
  <c r="C342" i="3"/>
  <c r="B342" i="3"/>
  <c r="A342" i="3"/>
  <c r="O341" i="3"/>
  <c r="N341" i="3"/>
  <c r="M341" i="3"/>
  <c r="K341" i="3"/>
  <c r="J341" i="3"/>
  <c r="I341" i="3"/>
  <c r="H341" i="3"/>
  <c r="G341" i="3"/>
  <c r="F341" i="3"/>
  <c r="E341" i="3"/>
  <c r="D341" i="3"/>
  <c r="C341" i="3"/>
  <c r="B341" i="3"/>
  <c r="A341" i="3"/>
  <c r="O340" i="3"/>
  <c r="N340" i="3"/>
  <c r="M340" i="3"/>
  <c r="K340" i="3"/>
  <c r="J340" i="3"/>
  <c r="I340" i="3"/>
  <c r="H340" i="3"/>
  <c r="G340" i="3"/>
  <c r="F340" i="3"/>
  <c r="E340" i="3"/>
  <c r="D340" i="3"/>
  <c r="C340" i="3"/>
  <c r="B340" i="3"/>
  <c r="A340" i="3"/>
  <c r="O339" i="3"/>
  <c r="N339" i="3"/>
  <c r="M339" i="3"/>
  <c r="K339" i="3"/>
  <c r="J339" i="3"/>
  <c r="I339" i="3"/>
  <c r="H339" i="3"/>
  <c r="G339" i="3"/>
  <c r="F339" i="3"/>
  <c r="E339" i="3"/>
  <c r="D339" i="3"/>
  <c r="C339" i="3"/>
  <c r="B339" i="3"/>
  <c r="A339" i="3"/>
  <c r="O338" i="3"/>
  <c r="N338" i="3"/>
  <c r="M338" i="3"/>
  <c r="K338" i="3"/>
  <c r="J338" i="3"/>
  <c r="I338" i="3"/>
  <c r="H338" i="3"/>
  <c r="G338" i="3"/>
  <c r="F338" i="3"/>
  <c r="E338" i="3"/>
  <c r="D338" i="3"/>
  <c r="C338" i="3"/>
  <c r="B338" i="3"/>
  <c r="A338" i="3"/>
  <c r="O337" i="3"/>
  <c r="N337" i="3"/>
  <c r="M337" i="3"/>
  <c r="K337" i="3"/>
  <c r="J337" i="3"/>
  <c r="I337" i="3"/>
  <c r="H337" i="3"/>
  <c r="G337" i="3"/>
  <c r="F337" i="3"/>
  <c r="E337" i="3"/>
  <c r="D337" i="3"/>
  <c r="C337" i="3"/>
  <c r="B337" i="3"/>
  <c r="A337" i="3"/>
  <c r="O336" i="3"/>
  <c r="N336" i="3"/>
  <c r="M336" i="3"/>
  <c r="K336" i="3"/>
  <c r="J336" i="3"/>
  <c r="I336" i="3"/>
  <c r="H336" i="3"/>
  <c r="G336" i="3"/>
  <c r="F336" i="3"/>
  <c r="E336" i="3"/>
  <c r="D336" i="3"/>
  <c r="C336" i="3"/>
  <c r="B336" i="3"/>
  <c r="A336" i="3"/>
  <c r="O335" i="3"/>
  <c r="N335" i="3"/>
  <c r="M335" i="3"/>
  <c r="K335" i="3"/>
  <c r="J335" i="3"/>
  <c r="I335" i="3"/>
  <c r="H335" i="3"/>
  <c r="G335" i="3"/>
  <c r="F335" i="3"/>
  <c r="E335" i="3"/>
  <c r="D335" i="3"/>
  <c r="C335" i="3"/>
  <c r="B335" i="3"/>
  <c r="A335" i="3"/>
  <c r="O334" i="3"/>
  <c r="N334" i="3"/>
  <c r="M334" i="3"/>
  <c r="K334" i="3"/>
  <c r="J334" i="3"/>
  <c r="I334" i="3"/>
  <c r="H334" i="3"/>
  <c r="G334" i="3"/>
  <c r="F334" i="3"/>
  <c r="E334" i="3"/>
  <c r="D334" i="3"/>
  <c r="C334" i="3"/>
  <c r="B334" i="3"/>
  <c r="A334" i="3"/>
  <c r="O333" i="3"/>
  <c r="N333" i="3"/>
  <c r="M333" i="3"/>
  <c r="K333" i="3"/>
  <c r="J333" i="3"/>
  <c r="I333" i="3"/>
  <c r="H333" i="3"/>
  <c r="G333" i="3"/>
  <c r="F333" i="3"/>
  <c r="E333" i="3"/>
  <c r="D333" i="3"/>
  <c r="C333" i="3"/>
  <c r="B333" i="3"/>
  <c r="A333" i="3"/>
  <c r="O332" i="3"/>
  <c r="N332" i="3"/>
  <c r="M332" i="3"/>
  <c r="K332" i="3"/>
  <c r="J332" i="3"/>
  <c r="I332" i="3"/>
  <c r="H332" i="3"/>
  <c r="G332" i="3"/>
  <c r="F332" i="3"/>
  <c r="E332" i="3"/>
  <c r="D332" i="3"/>
  <c r="C332" i="3"/>
  <c r="B332" i="3"/>
  <c r="A332" i="3"/>
  <c r="O331" i="3"/>
  <c r="N331" i="3"/>
  <c r="M331" i="3"/>
  <c r="K331" i="3"/>
  <c r="J331" i="3"/>
  <c r="I331" i="3"/>
  <c r="H331" i="3"/>
  <c r="G331" i="3"/>
  <c r="F331" i="3"/>
  <c r="E331" i="3"/>
  <c r="D331" i="3"/>
  <c r="C331" i="3"/>
  <c r="B331" i="3"/>
  <c r="A331" i="3"/>
  <c r="O330" i="3"/>
  <c r="N330" i="3"/>
  <c r="M330" i="3"/>
  <c r="K330" i="3"/>
  <c r="J330" i="3"/>
  <c r="I330" i="3"/>
  <c r="H330" i="3"/>
  <c r="G330" i="3"/>
  <c r="F330" i="3"/>
  <c r="E330" i="3"/>
  <c r="D330" i="3"/>
  <c r="C330" i="3"/>
  <c r="B330" i="3"/>
  <c r="A330" i="3"/>
  <c r="O329" i="3"/>
  <c r="N329" i="3"/>
  <c r="M329" i="3"/>
  <c r="K329" i="3"/>
  <c r="J329" i="3"/>
  <c r="I329" i="3"/>
  <c r="H329" i="3"/>
  <c r="G329" i="3"/>
  <c r="F329" i="3"/>
  <c r="E329" i="3"/>
  <c r="D329" i="3"/>
  <c r="C329" i="3"/>
  <c r="B329" i="3"/>
  <c r="A329" i="3"/>
  <c r="O328" i="3"/>
  <c r="N328" i="3"/>
  <c r="M328" i="3"/>
  <c r="K328" i="3"/>
  <c r="J328" i="3"/>
  <c r="I328" i="3"/>
  <c r="H328" i="3"/>
  <c r="G328" i="3"/>
  <c r="F328" i="3"/>
  <c r="E328" i="3"/>
  <c r="D328" i="3"/>
  <c r="C328" i="3"/>
  <c r="B328" i="3"/>
  <c r="A328" i="3"/>
  <c r="O327" i="3"/>
  <c r="N327" i="3"/>
  <c r="M327" i="3"/>
  <c r="K327" i="3"/>
  <c r="J327" i="3"/>
  <c r="I327" i="3"/>
  <c r="H327" i="3"/>
  <c r="G327" i="3"/>
  <c r="F327" i="3"/>
  <c r="E327" i="3"/>
  <c r="D327" i="3"/>
  <c r="C327" i="3"/>
  <c r="B327" i="3"/>
  <c r="A327" i="3"/>
  <c r="O326" i="3"/>
  <c r="N326" i="3"/>
  <c r="M326" i="3"/>
  <c r="K326" i="3"/>
  <c r="J326" i="3"/>
  <c r="I326" i="3"/>
  <c r="H326" i="3"/>
  <c r="G326" i="3"/>
  <c r="F326" i="3"/>
  <c r="E326" i="3"/>
  <c r="D326" i="3"/>
  <c r="C326" i="3"/>
  <c r="B326" i="3"/>
  <c r="A326" i="3"/>
  <c r="O325" i="3"/>
  <c r="N325" i="3"/>
  <c r="M325" i="3"/>
  <c r="K325" i="3"/>
  <c r="J325" i="3"/>
  <c r="I325" i="3"/>
  <c r="H325" i="3"/>
  <c r="G325" i="3"/>
  <c r="F325" i="3"/>
  <c r="E325" i="3"/>
  <c r="D325" i="3"/>
  <c r="C325" i="3"/>
  <c r="B325" i="3"/>
  <c r="A325" i="3"/>
  <c r="O324" i="3"/>
  <c r="N324" i="3"/>
  <c r="M324" i="3"/>
  <c r="K324" i="3"/>
  <c r="J324" i="3"/>
  <c r="I324" i="3"/>
  <c r="H324" i="3"/>
  <c r="G324" i="3"/>
  <c r="F324" i="3"/>
  <c r="E324" i="3"/>
  <c r="D324" i="3"/>
  <c r="C324" i="3"/>
  <c r="B324" i="3"/>
  <c r="A324" i="3"/>
  <c r="O323" i="3"/>
  <c r="N323" i="3"/>
  <c r="M323" i="3"/>
  <c r="K323" i="3"/>
  <c r="J323" i="3"/>
  <c r="I323" i="3"/>
  <c r="H323" i="3"/>
  <c r="G323" i="3"/>
  <c r="F323" i="3"/>
  <c r="E323" i="3"/>
  <c r="D323" i="3"/>
  <c r="C323" i="3"/>
  <c r="B323" i="3"/>
  <c r="A323" i="3"/>
  <c r="O322" i="3"/>
  <c r="N322" i="3"/>
  <c r="M322" i="3"/>
  <c r="K322" i="3"/>
  <c r="J322" i="3"/>
  <c r="I322" i="3"/>
  <c r="H322" i="3"/>
  <c r="G322" i="3"/>
  <c r="F322" i="3"/>
  <c r="E322" i="3"/>
  <c r="D322" i="3"/>
  <c r="C322" i="3"/>
  <c r="B322" i="3"/>
  <c r="A322" i="3"/>
  <c r="O321" i="3"/>
  <c r="N321" i="3"/>
  <c r="M321" i="3"/>
  <c r="K321" i="3"/>
  <c r="J321" i="3"/>
  <c r="I321" i="3"/>
  <c r="H321" i="3"/>
  <c r="G321" i="3"/>
  <c r="F321" i="3"/>
  <c r="E321" i="3"/>
  <c r="D321" i="3"/>
  <c r="C321" i="3"/>
  <c r="B321" i="3"/>
  <c r="A321" i="3"/>
  <c r="O320" i="3"/>
  <c r="N320" i="3"/>
  <c r="M320" i="3"/>
  <c r="K320" i="3"/>
  <c r="J320" i="3"/>
  <c r="I320" i="3"/>
  <c r="H320" i="3"/>
  <c r="G320" i="3"/>
  <c r="F320" i="3"/>
  <c r="E320" i="3"/>
  <c r="D320" i="3"/>
  <c r="C320" i="3"/>
  <c r="B320" i="3"/>
  <c r="A320" i="3"/>
  <c r="O319" i="3"/>
  <c r="N319" i="3"/>
  <c r="M319" i="3"/>
  <c r="K319" i="3"/>
  <c r="J319" i="3"/>
  <c r="I319" i="3"/>
  <c r="H319" i="3"/>
  <c r="G319" i="3"/>
  <c r="F319" i="3"/>
  <c r="E319" i="3"/>
  <c r="D319" i="3"/>
  <c r="C319" i="3"/>
  <c r="B319" i="3"/>
  <c r="A319" i="3"/>
  <c r="O318" i="3"/>
  <c r="N318" i="3"/>
  <c r="M318" i="3"/>
  <c r="K318" i="3"/>
  <c r="J318" i="3"/>
  <c r="I318" i="3"/>
  <c r="H318" i="3"/>
  <c r="G318" i="3"/>
  <c r="F318" i="3"/>
  <c r="E318" i="3"/>
  <c r="D318" i="3"/>
  <c r="C318" i="3"/>
  <c r="B318" i="3"/>
  <c r="A318" i="3"/>
  <c r="O317" i="3"/>
  <c r="N317" i="3"/>
  <c r="M317" i="3"/>
  <c r="K317" i="3"/>
  <c r="J317" i="3"/>
  <c r="I317" i="3"/>
  <c r="H317" i="3"/>
  <c r="G317" i="3"/>
  <c r="F317" i="3"/>
  <c r="E317" i="3"/>
  <c r="D317" i="3"/>
  <c r="C317" i="3"/>
  <c r="B317" i="3"/>
  <c r="A317" i="3"/>
  <c r="O316" i="3"/>
  <c r="N316" i="3"/>
  <c r="M316" i="3"/>
  <c r="K316" i="3"/>
  <c r="J316" i="3"/>
  <c r="I316" i="3"/>
  <c r="H316" i="3"/>
  <c r="G316" i="3"/>
  <c r="F316" i="3"/>
  <c r="E316" i="3"/>
  <c r="D316" i="3"/>
  <c r="C316" i="3"/>
  <c r="B316" i="3"/>
  <c r="A316" i="3"/>
  <c r="O315" i="3"/>
  <c r="N315" i="3"/>
  <c r="M315" i="3"/>
  <c r="K315" i="3"/>
  <c r="J315" i="3"/>
  <c r="I315" i="3"/>
  <c r="H315" i="3"/>
  <c r="G315" i="3"/>
  <c r="F315" i="3"/>
  <c r="E315" i="3"/>
  <c r="D315" i="3"/>
  <c r="C315" i="3"/>
  <c r="B315" i="3"/>
  <c r="A315" i="3"/>
  <c r="O314" i="3"/>
  <c r="N314" i="3"/>
  <c r="M314" i="3"/>
  <c r="K314" i="3"/>
  <c r="J314" i="3"/>
  <c r="I314" i="3"/>
  <c r="H314" i="3"/>
  <c r="G314" i="3"/>
  <c r="F314" i="3"/>
  <c r="E314" i="3"/>
  <c r="D314" i="3"/>
  <c r="C314" i="3"/>
  <c r="B314" i="3"/>
  <c r="A314" i="3"/>
  <c r="O313" i="3"/>
  <c r="N313" i="3"/>
  <c r="M313" i="3"/>
  <c r="K313" i="3"/>
  <c r="J313" i="3"/>
  <c r="I313" i="3"/>
  <c r="H313" i="3"/>
  <c r="G313" i="3"/>
  <c r="F313" i="3"/>
  <c r="E313" i="3"/>
  <c r="D313" i="3"/>
  <c r="C313" i="3"/>
  <c r="B313" i="3"/>
  <c r="A313" i="3"/>
  <c r="O312" i="3"/>
  <c r="N312" i="3"/>
  <c r="M312" i="3"/>
  <c r="K312" i="3"/>
  <c r="J312" i="3"/>
  <c r="I312" i="3"/>
  <c r="H312" i="3"/>
  <c r="G312" i="3"/>
  <c r="F312" i="3"/>
  <c r="E312" i="3"/>
  <c r="D312" i="3"/>
  <c r="C312" i="3"/>
  <c r="B312" i="3"/>
  <c r="A312" i="3"/>
  <c r="O311" i="3"/>
  <c r="N311" i="3"/>
  <c r="M311" i="3"/>
  <c r="K311" i="3"/>
  <c r="J311" i="3"/>
  <c r="I311" i="3"/>
  <c r="H311" i="3"/>
  <c r="G311" i="3"/>
  <c r="F311" i="3"/>
  <c r="E311" i="3"/>
  <c r="D311" i="3"/>
  <c r="C311" i="3"/>
  <c r="B311" i="3"/>
  <c r="A311" i="3"/>
  <c r="O310" i="3"/>
  <c r="N310" i="3"/>
  <c r="M310" i="3"/>
  <c r="K310" i="3"/>
  <c r="J310" i="3"/>
  <c r="I310" i="3"/>
  <c r="H310" i="3"/>
  <c r="G310" i="3"/>
  <c r="F310" i="3"/>
  <c r="E310" i="3"/>
  <c r="D310" i="3"/>
  <c r="C310" i="3"/>
  <c r="B310" i="3"/>
  <c r="A310" i="3"/>
  <c r="O309" i="3"/>
  <c r="N309" i="3"/>
  <c r="M309" i="3"/>
  <c r="K309" i="3"/>
  <c r="J309" i="3"/>
  <c r="I309" i="3"/>
  <c r="H309" i="3"/>
  <c r="G309" i="3"/>
  <c r="F309" i="3"/>
  <c r="E309" i="3"/>
  <c r="D309" i="3"/>
  <c r="C309" i="3"/>
  <c r="B309" i="3"/>
  <c r="A309" i="3"/>
  <c r="O308" i="3"/>
  <c r="N308" i="3"/>
  <c r="M308" i="3"/>
  <c r="K308" i="3"/>
  <c r="J308" i="3"/>
  <c r="I308" i="3"/>
  <c r="H308" i="3"/>
  <c r="G308" i="3"/>
  <c r="F308" i="3"/>
  <c r="E308" i="3"/>
  <c r="D308" i="3"/>
  <c r="C308" i="3"/>
  <c r="B308" i="3"/>
  <c r="A308" i="3"/>
  <c r="O307" i="3"/>
  <c r="N307" i="3"/>
  <c r="M307" i="3"/>
  <c r="K307" i="3"/>
  <c r="J307" i="3"/>
  <c r="I307" i="3"/>
  <c r="H307" i="3"/>
  <c r="G307" i="3"/>
  <c r="F307" i="3"/>
  <c r="E307" i="3"/>
  <c r="D307" i="3"/>
  <c r="C307" i="3"/>
  <c r="B307" i="3"/>
  <c r="A307" i="3"/>
  <c r="O306" i="3"/>
  <c r="N306" i="3"/>
  <c r="M306" i="3"/>
  <c r="K306" i="3"/>
  <c r="J306" i="3"/>
  <c r="I306" i="3"/>
  <c r="H306" i="3"/>
  <c r="G306" i="3"/>
  <c r="F306" i="3"/>
  <c r="E306" i="3"/>
  <c r="D306" i="3"/>
  <c r="C306" i="3"/>
  <c r="B306" i="3"/>
  <c r="A306" i="3"/>
  <c r="O305" i="3"/>
  <c r="N305" i="3"/>
  <c r="M305" i="3"/>
  <c r="K305" i="3"/>
  <c r="J305" i="3"/>
  <c r="I305" i="3"/>
  <c r="H305" i="3"/>
  <c r="G305" i="3"/>
  <c r="F305" i="3"/>
  <c r="E305" i="3"/>
  <c r="D305" i="3"/>
  <c r="C305" i="3"/>
  <c r="B305" i="3"/>
  <c r="A305" i="3"/>
  <c r="O304" i="3"/>
  <c r="N304" i="3"/>
  <c r="M304" i="3"/>
  <c r="K304" i="3"/>
  <c r="J304" i="3"/>
  <c r="I304" i="3"/>
  <c r="H304" i="3"/>
  <c r="G304" i="3"/>
  <c r="F304" i="3"/>
  <c r="E304" i="3"/>
  <c r="D304" i="3"/>
  <c r="C304" i="3"/>
  <c r="B304" i="3"/>
  <c r="A304" i="3"/>
  <c r="O303" i="3"/>
  <c r="N303" i="3"/>
  <c r="M303" i="3"/>
  <c r="K303" i="3"/>
  <c r="J303" i="3"/>
  <c r="I303" i="3"/>
  <c r="H303" i="3"/>
  <c r="G303" i="3"/>
  <c r="F303" i="3"/>
  <c r="E303" i="3"/>
  <c r="D303" i="3"/>
  <c r="C303" i="3"/>
  <c r="B303" i="3"/>
  <c r="A303" i="3"/>
  <c r="O302" i="3"/>
  <c r="N302" i="3"/>
  <c r="M302" i="3"/>
  <c r="K302" i="3"/>
  <c r="J302" i="3"/>
  <c r="I302" i="3"/>
  <c r="H302" i="3"/>
  <c r="G302" i="3"/>
  <c r="F302" i="3"/>
  <c r="E302" i="3"/>
  <c r="D302" i="3"/>
  <c r="C302" i="3"/>
  <c r="B302" i="3"/>
  <c r="A302" i="3"/>
  <c r="O301" i="3"/>
  <c r="N301" i="3"/>
  <c r="M301" i="3"/>
  <c r="K301" i="3"/>
  <c r="J301" i="3"/>
  <c r="I301" i="3"/>
  <c r="H301" i="3"/>
  <c r="G301" i="3"/>
  <c r="F301" i="3"/>
  <c r="E301" i="3"/>
  <c r="D301" i="3"/>
  <c r="C301" i="3"/>
  <c r="B301" i="3"/>
  <c r="A301" i="3"/>
  <c r="O300" i="3"/>
  <c r="N300" i="3"/>
  <c r="M300" i="3"/>
  <c r="K300" i="3"/>
  <c r="J300" i="3"/>
  <c r="I300" i="3"/>
  <c r="H300" i="3"/>
  <c r="G300" i="3"/>
  <c r="F300" i="3"/>
  <c r="E300" i="3"/>
  <c r="D300" i="3"/>
  <c r="C300" i="3"/>
  <c r="B300" i="3"/>
  <c r="A300" i="3"/>
  <c r="O299" i="3"/>
  <c r="N299" i="3"/>
  <c r="M299" i="3"/>
  <c r="K299" i="3"/>
  <c r="J299" i="3"/>
  <c r="I299" i="3"/>
  <c r="H299" i="3"/>
  <c r="G299" i="3"/>
  <c r="F299" i="3"/>
  <c r="E299" i="3"/>
  <c r="D299" i="3"/>
  <c r="C299" i="3"/>
  <c r="B299" i="3"/>
  <c r="A299" i="3"/>
  <c r="O298" i="3"/>
  <c r="N298" i="3"/>
  <c r="M298" i="3"/>
  <c r="K298" i="3"/>
  <c r="J298" i="3"/>
  <c r="I298" i="3"/>
  <c r="H298" i="3"/>
  <c r="G298" i="3"/>
  <c r="F298" i="3"/>
  <c r="E298" i="3"/>
  <c r="D298" i="3"/>
  <c r="C298" i="3"/>
  <c r="B298" i="3"/>
  <c r="A298" i="3"/>
  <c r="O297" i="3"/>
  <c r="N297" i="3"/>
  <c r="M297" i="3"/>
  <c r="K297" i="3"/>
  <c r="J297" i="3"/>
  <c r="I297" i="3"/>
  <c r="H297" i="3"/>
  <c r="G297" i="3"/>
  <c r="F297" i="3"/>
  <c r="E297" i="3"/>
  <c r="D297" i="3"/>
  <c r="C297" i="3"/>
  <c r="B297" i="3"/>
  <c r="A297" i="3"/>
  <c r="O296" i="3"/>
  <c r="N296" i="3"/>
  <c r="M296" i="3"/>
  <c r="K296" i="3"/>
  <c r="J296" i="3"/>
  <c r="I296" i="3"/>
  <c r="H296" i="3"/>
  <c r="G296" i="3"/>
  <c r="F296" i="3"/>
  <c r="E296" i="3"/>
  <c r="D296" i="3"/>
  <c r="C296" i="3"/>
  <c r="B296" i="3"/>
  <c r="A296" i="3"/>
  <c r="O295" i="3"/>
  <c r="N295" i="3"/>
  <c r="M295" i="3"/>
  <c r="K295" i="3"/>
  <c r="J295" i="3"/>
  <c r="I295" i="3"/>
  <c r="H295" i="3"/>
  <c r="G295" i="3"/>
  <c r="F295" i="3"/>
  <c r="E295" i="3"/>
  <c r="D295" i="3"/>
  <c r="C295" i="3"/>
  <c r="B295" i="3"/>
  <c r="A295" i="3"/>
  <c r="O294" i="3"/>
  <c r="N294" i="3"/>
  <c r="M294" i="3"/>
  <c r="K294" i="3"/>
  <c r="J294" i="3"/>
  <c r="I294" i="3"/>
  <c r="H294" i="3"/>
  <c r="G294" i="3"/>
  <c r="F294" i="3"/>
  <c r="E294" i="3"/>
  <c r="D294" i="3"/>
  <c r="C294" i="3"/>
  <c r="B294" i="3"/>
  <c r="A294" i="3"/>
  <c r="O293" i="3"/>
  <c r="N293" i="3"/>
  <c r="M293" i="3"/>
  <c r="K293" i="3"/>
  <c r="J293" i="3"/>
  <c r="I293" i="3"/>
  <c r="H293" i="3"/>
  <c r="G293" i="3"/>
  <c r="F293" i="3"/>
  <c r="E293" i="3"/>
  <c r="D293" i="3"/>
  <c r="C293" i="3"/>
  <c r="B293" i="3"/>
  <c r="A293" i="3"/>
  <c r="O292" i="3"/>
  <c r="N292" i="3"/>
  <c r="M292" i="3"/>
  <c r="K292" i="3"/>
  <c r="J292" i="3"/>
  <c r="I292" i="3"/>
  <c r="H292" i="3"/>
  <c r="G292" i="3"/>
  <c r="F292" i="3"/>
  <c r="E292" i="3"/>
  <c r="D292" i="3"/>
  <c r="C292" i="3"/>
  <c r="B292" i="3"/>
  <c r="A292" i="3"/>
  <c r="O291" i="3"/>
  <c r="N291" i="3"/>
  <c r="M291" i="3"/>
  <c r="K291" i="3"/>
  <c r="J291" i="3"/>
  <c r="I291" i="3"/>
  <c r="H291" i="3"/>
  <c r="G291" i="3"/>
  <c r="F291" i="3"/>
  <c r="E291" i="3"/>
  <c r="D291" i="3"/>
  <c r="C291" i="3"/>
  <c r="B291" i="3"/>
  <c r="A291" i="3"/>
  <c r="O290" i="3"/>
  <c r="N290" i="3"/>
  <c r="M290" i="3"/>
  <c r="K290" i="3"/>
  <c r="J290" i="3"/>
  <c r="I290" i="3"/>
  <c r="H290" i="3"/>
  <c r="G290" i="3"/>
  <c r="F290" i="3"/>
  <c r="E290" i="3"/>
  <c r="D290" i="3"/>
  <c r="C290" i="3"/>
  <c r="B290" i="3"/>
  <c r="A290" i="3"/>
  <c r="O289" i="3"/>
  <c r="N289" i="3"/>
  <c r="M289" i="3"/>
  <c r="K289" i="3"/>
  <c r="J289" i="3"/>
  <c r="I289" i="3"/>
  <c r="H289" i="3"/>
  <c r="G289" i="3"/>
  <c r="F289" i="3"/>
  <c r="E289" i="3"/>
  <c r="D289" i="3"/>
  <c r="C289" i="3"/>
  <c r="B289" i="3"/>
  <c r="A289" i="3"/>
  <c r="O288" i="3"/>
  <c r="N288" i="3"/>
  <c r="M288" i="3"/>
  <c r="K288" i="3"/>
  <c r="J288" i="3"/>
  <c r="I288" i="3"/>
  <c r="H288" i="3"/>
  <c r="G288" i="3"/>
  <c r="F288" i="3"/>
  <c r="E288" i="3"/>
  <c r="D288" i="3"/>
  <c r="C288" i="3"/>
  <c r="B288" i="3"/>
  <c r="A288" i="3"/>
  <c r="O287" i="3"/>
  <c r="N287" i="3"/>
  <c r="M287" i="3"/>
  <c r="K287" i="3"/>
  <c r="J287" i="3"/>
  <c r="I287" i="3"/>
  <c r="H287" i="3"/>
  <c r="G287" i="3"/>
  <c r="F287" i="3"/>
  <c r="E287" i="3"/>
  <c r="D287" i="3"/>
  <c r="C287" i="3"/>
  <c r="B287" i="3"/>
  <c r="A287" i="3"/>
  <c r="O286" i="3"/>
  <c r="N286" i="3"/>
  <c r="M286" i="3"/>
  <c r="K286" i="3"/>
  <c r="J286" i="3"/>
  <c r="I286" i="3"/>
  <c r="H286" i="3"/>
  <c r="G286" i="3"/>
  <c r="F286" i="3"/>
  <c r="E286" i="3"/>
  <c r="D286" i="3"/>
  <c r="C286" i="3"/>
  <c r="B286" i="3"/>
  <c r="A286" i="3"/>
  <c r="O285" i="3"/>
  <c r="N285" i="3"/>
  <c r="M285" i="3"/>
  <c r="K285" i="3"/>
  <c r="J285" i="3"/>
  <c r="I285" i="3"/>
  <c r="H285" i="3"/>
  <c r="G285" i="3"/>
  <c r="F285" i="3"/>
  <c r="E285" i="3"/>
  <c r="D285" i="3"/>
  <c r="C285" i="3"/>
  <c r="B285" i="3"/>
  <c r="A285" i="3"/>
  <c r="O284" i="3"/>
  <c r="N284" i="3"/>
  <c r="M284" i="3"/>
  <c r="K284" i="3"/>
  <c r="J284" i="3"/>
  <c r="I284" i="3"/>
  <c r="H284" i="3"/>
  <c r="G284" i="3"/>
  <c r="F284" i="3"/>
  <c r="E284" i="3"/>
  <c r="D284" i="3"/>
  <c r="C284" i="3"/>
  <c r="B284" i="3"/>
  <c r="A284" i="3"/>
  <c r="O283" i="3"/>
  <c r="N283" i="3"/>
  <c r="M283" i="3"/>
  <c r="K283" i="3"/>
  <c r="J283" i="3"/>
  <c r="I283" i="3"/>
  <c r="H283" i="3"/>
  <c r="G283" i="3"/>
  <c r="F283" i="3"/>
  <c r="E283" i="3"/>
  <c r="D283" i="3"/>
  <c r="C283" i="3"/>
  <c r="B283" i="3"/>
  <c r="A283" i="3"/>
  <c r="O282" i="3"/>
  <c r="N282" i="3"/>
  <c r="M282" i="3"/>
  <c r="K282" i="3"/>
  <c r="J282" i="3"/>
  <c r="I282" i="3"/>
  <c r="H282" i="3"/>
  <c r="G282" i="3"/>
  <c r="F282" i="3"/>
  <c r="E282" i="3"/>
  <c r="D282" i="3"/>
  <c r="C282" i="3"/>
  <c r="B282" i="3"/>
  <c r="A282" i="3"/>
  <c r="O281" i="3"/>
  <c r="N281" i="3"/>
  <c r="M281" i="3"/>
  <c r="K281" i="3"/>
  <c r="J281" i="3"/>
  <c r="I281" i="3"/>
  <c r="H281" i="3"/>
  <c r="G281" i="3"/>
  <c r="F281" i="3"/>
  <c r="E281" i="3"/>
  <c r="D281" i="3"/>
  <c r="C281" i="3"/>
  <c r="B281" i="3"/>
  <c r="A281" i="3"/>
  <c r="O280" i="3"/>
  <c r="N280" i="3"/>
  <c r="M280" i="3"/>
  <c r="K280" i="3"/>
  <c r="J280" i="3"/>
  <c r="I280" i="3"/>
  <c r="H280" i="3"/>
  <c r="G280" i="3"/>
  <c r="F280" i="3"/>
  <c r="E280" i="3"/>
  <c r="D280" i="3"/>
  <c r="C280" i="3"/>
  <c r="B280" i="3"/>
  <c r="A280" i="3"/>
  <c r="O279" i="3"/>
  <c r="N279" i="3"/>
  <c r="M279" i="3"/>
  <c r="K279" i="3"/>
  <c r="J279" i="3"/>
  <c r="I279" i="3"/>
  <c r="H279" i="3"/>
  <c r="G279" i="3"/>
  <c r="F279" i="3"/>
  <c r="E279" i="3"/>
  <c r="D279" i="3"/>
  <c r="C279" i="3"/>
  <c r="B279" i="3"/>
  <c r="A279" i="3"/>
  <c r="O278" i="3"/>
  <c r="N278" i="3"/>
  <c r="M278" i="3"/>
  <c r="K278" i="3"/>
  <c r="J278" i="3"/>
  <c r="I278" i="3"/>
  <c r="H278" i="3"/>
  <c r="G278" i="3"/>
  <c r="F278" i="3"/>
  <c r="E278" i="3"/>
  <c r="D278" i="3"/>
  <c r="C278" i="3"/>
  <c r="B278" i="3"/>
  <c r="A278" i="3"/>
  <c r="O277" i="3"/>
  <c r="N277" i="3"/>
  <c r="M277" i="3"/>
  <c r="K277" i="3"/>
  <c r="J277" i="3"/>
  <c r="I277" i="3"/>
  <c r="H277" i="3"/>
  <c r="G277" i="3"/>
  <c r="F277" i="3"/>
  <c r="E277" i="3"/>
  <c r="D277" i="3"/>
  <c r="C277" i="3"/>
  <c r="B277" i="3"/>
  <c r="A277" i="3"/>
  <c r="O276" i="3"/>
  <c r="N276" i="3"/>
  <c r="M276" i="3"/>
  <c r="K276" i="3"/>
  <c r="J276" i="3"/>
  <c r="I276" i="3"/>
  <c r="H276" i="3"/>
  <c r="G276" i="3"/>
  <c r="F276" i="3"/>
  <c r="E276" i="3"/>
  <c r="D276" i="3"/>
  <c r="C276" i="3"/>
  <c r="B276" i="3"/>
  <c r="A276" i="3"/>
  <c r="O275" i="3"/>
  <c r="N275" i="3"/>
  <c r="M275" i="3"/>
  <c r="K275" i="3"/>
  <c r="J275" i="3"/>
  <c r="I275" i="3"/>
  <c r="H275" i="3"/>
  <c r="G275" i="3"/>
  <c r="F275" i="3"/>
  <c r="E275" i="3"/>
  <c r="D275" i="3"/>
  <c r="C275" i="3"/>
  <c r="B275" i="3"/>
  <c r="A275" i="3"/>
  <c r="O274" i="3"/>
  <c r="N274" i="3"/>
  <c r="M274" i="3"/>
  <c r="K274" i="3"/>
  <c r="J274" i="3"/>
  <c r="I274" i="3"/>
  <c r="H274" i="3"/>
  <c r="G274" i="3"/>
  <c r="F274" i="3"/>
  <c r="E274" i="3"/>
  <c r="D274" i="3"/>
  <c r="C274" i="3"/>
  <c r="B274" i="3"/>
  <c r="A274" i="3"/>
  <c r="O273" i="3"/>
  <c r="N273" i="3"/>
  <c r="M273" i="3"/>
  <c r="K273" i="3"/>
  <c r="J273" i="3"/>
  <c r="I273" i="3"/>
  <c r="H273" i="3"/>
  <c r="G273" i="3"/>
  <c r="F273" i="3"/>
  <c r="E273" i="3"/>
  <c r="D273" i="3"/>
  <c r="C273" i="3"/>
  <c r="B273" i="3"/>
  <c r="A273" i="3"/>
  <c r="O272" i="3"/>
  <c r="N272" i="3"/>
  <c r="M272" i="3"/>
  <c r="K272" i="3"/>
  <c r="J272" i="3"/>
  <c r="I272" i="3"/>
  <c r="H272" i="3"/>
  <c r="G272" i="3"/>
  <c r="F272" i="3"/>
  <c r="E272" i="3"/>
  <c r="D272" i="3"/>
  <c r="C272" i="3"/>
  <c r="B272" i="3"/>
  <c r="A272" i="3"/>
  <c r="O271" i="3"/>
  <c r="N271" i="3"/>
  <c r="M271" i="3"/>
  <c r="K271" i="3"/>
  <c r="J271" i="3"/>
  <c r="I271" i="3"/>
  <c r="H271" i="3"/>
  <c r="G271" i="3"/>
  <c r="F271" i="3"/>
  <c r="E271" i="3"/>
  <c r="D271" i="3"/>
  <c r="C271" i="3"/>
  <c r="B271" i="3"/>
  <c r="A271" i="3"/>
  <c r="O270" i="3"/>
  <c r="N270" i="3"/>
  <c r="M270" i="3"/>
  <c r="K270" i="3"/>
  <c r="J270" i="3"/>
  <c r="I270" i="3"/>
  <c r="H270" i="3"/>
  <c r="G270" i="3"/>
  <c r="F270" i="3"/>
  <c r="E270" i="3"/>
  <c r="D270" i="3"/>
  <c r="C270" i="3"/>
  <c r="B270" i="3"/>
  <c r="A270" i="3"/>
  <c r="O269" i="3"/>
  <c r="N269" i="3"/>
  <c r="M269" i="3"/>
  <c r="K269" i="3"/>
  <c r="J269" i="3"/>
  <c r="I269" i="3"/>
  <c r="H269" i="3"/>
  <c r="G269" i="3"/>
  <c r="F269" i="3"/>
  <c r="E269" i="3"/>
  <c r="D269" i="3"/>
  <c r="C269" i="3"/>
  <c r="B269" i="3"/>
  <c r="A269" i="3"/>
  <c r="O268" i="3"/>
  <c r="N268" i="3"/>
  <c r="M268" i="3"/>
  <c r="K268" i="3"/>
  <c r="J268" i="3"/>
  <c r="I268" i="3"/>
  <c r="H268" i="3"/>
  <c r="G268" i="3"/>
  <c r="F268" i="3"/>
  <c r="E268" i="3"/>
  <c r="D268" i="3"/>
  <c r="C268" i="3"/>
  <c r="B268" i="3"/>
  <c r="A268" i="3"/>
  <c r="O267" i="3"/>
  <c r="N267" i="3"/>
  <c r="M267" i="3"/>
  <c r="K267" i="3"/>
  <c r="J267" i="3"/>
  <c r="I267" i="3"/>
  <c r="H267" i="3"/>
  <c r="G267" i="3"/>
  <c r="F267" i="3"/>
  <c r="E267" i="3"/>
  <c r="D267" i="3"/>
  <c r="C267" i="3"/>
  <c r="B267" i="3"/>
  <c r="A267" i="3"/>
  <c r="O266" i="3"/>
  <c r="N266" i="3"/>
  <c r="M266" i="3"/>
  <c r="K266" i="3"/>
  <c r="J266" i="3"/>
  <c r="I266" i="3"/>
  <c r="H266" i="3"/>
  <c r="G266" i="3"/>
  <c r="F266" i="3"/>
  <c r="E266" i="3"/>
  <c r="D266" i="3"/>
  <c r="C266" i="3"/>
  <c r="B266" i="3"/>
  <c r="A266" i="3"/>
  <c r="O265" i="3"/>
  <c r="N265" i="3"/>
  <c r="M265" i="3"/>
  <c r="K265" i="3"/>
  <c r="J265" i="3"/>
  <c r="I265" i="3"/>
  <c r="H265" i="3"/>
  <c r="G265" i="3"/>
  <c r="F265" i="3"/>
  <c r="E265" i="3"/>
  <c r="D265" i="3"/>
  <c r="C265" i="3"/>
  <c r="B265" i="3"/>
  <c r="A265" i="3"/>
  <c r="O264" i="3"/>
  <c r="N264" i="3"/>
  <c r="M264" i="3"/>
  <c r="K264" i="3"/>
  <c r="J264" i="3"/>
  <c r="I264" i="3"/>
  <c r="H264" i="3"/>
  <c r="G264" i="3"/>
  <c r="F264" i="3"/>
  <c r="E264" i="3"/>
  <c r="D264" i="3"/>
  <c r="C264" i="3"/>
  <c r="B264" i="3"/>
  <c r="A264" i="3"/>
  <c r="O263" i="3"/>
  <c r="N263" i="3"/>
  <c r="M263" i="3"/>
  <c r="K263" i="3"/>
  <c r="J263" i="3"/>
  <c r="I263" i="3"/>
  <c r="H263" i="3"/>
  <c r="G263" i="3"/>
  <c r="F263" i="3"/>
  <c r="E263" i="3"/>
  <c r="D263" i="3"/>
  <c r="C263" i="3"/>
  <c r="B263" i="3"/>
  <c r="A263" i="3"/>
  <c r="O262" i="3"/>
  <c r="N262" i="3"/>
  <c r="M262" i="3"/>
  <c r="K262" i="3"/>
  <c r="J262" i="3"/>
  <c r="I262" i="3"/>
  <c r="H262" i="3"/>
  <c r="G262" i="3"/>
  <c r="F262" i="3"/>
  <c r="E262" i="3"/>
  <c r="D262" i="3"/>
  <c r="C262" i="3"/>
  <c r="B262" i="3"/>
  <c r="A262" i="3"/>
  <c r="O261" i="3"/>
  <c r="N261" i="3"/>
  <c r="M261" i="3"/>
  <c r="K261" i="3"/>
  <c r="J261" i="3"/>
  <c r="I261" i="3"/>
  <c r="H261" i="3"/>
  <c r="G261" i="3"/>
  <c r="F261" i="3"/>
  <c r="E261" i="3"/>
  <c r="D261" i="3"/>
  <c r="C261" i="3"/>
  <c r="B261" i="3"/>
  <c r="A261" i="3"/>
  <c r="O260" i="3"/>
  <c r="N260" i="3"/>
  <c r="M260" i="3"/>
  <c r="K260" i="3"/>
  <c r="J260" i="3"/>
  <c r="I260" i="3"/>
  <c r="H260" i="3"/>
  <c r="G260" i="3"/>
  <c r="F260" i="3"/>
  <c r="E260" i="3"/>
  <c r="D260" i="3"/>
  <c r="C260" i="3"/>
  <c r="B260" i="3"/>
  <c r="A260" i="3"/>
  <c r="O259" i="3"/>
  <c r="N259" i="3"/>
  <c r="M259" i="3"/>
  <c r="K259" i="3"/>
  <c r="J259" i="3"/>
  <c r="I259" i="3"/>
  <c r="H259" i="3"/>
  <c r="G259" i="3"/>
  <c r="F259" i="3"/>
  <c r="E259" i="3"/>
  <c r="D259" i="3"/>
  <c r="C259" i="3"/>
  <c r="B259" i="3"/>
  <c r="A259" i="3"/>
  <c r="O258" i="3"/>
  <c r="N258" i="3"/>
  <c r="M258" i="3"/>
  <c r="K258" i="3"/>
  <c r="J258" i="3"/>
  <c r="I258" i="3"/>
  <c r="H258" i="3"/>
  <c r="G258" i="3"/>
  <c r="F258" i="3"/>
  <c r="E258" i="3"/>
  <c r="D258" i="3"/>
  <c r="C258" i="3"/>
  <c r="B258" i="3"/>
  <c r="A258" i="3"/>
  <c r="O257" i="3"/>
  <c r="N257" i="3"/>
  <c r="M257" i="3"/>
  <c r="K257" i="3"/>
  <c r="J257" i="3"/>
  <c r="I257" i="3"/>
  <c r="H257" i="3"/>
  <c r="G257" i="3"/>
  <c r="F257" i="3"/>
  <c r="E257" i="3"/>
  <c r="D257" i="3"/>
  <c r="C257" i="3"/>
  <c r="B257" i="3"/>
  <c r="A257" i="3"/>
  <c r="O256" i="3"/>
  <c r="N256" i="3"/>
  <c r="M256" i="3"/>
  <c r="K256" i="3"/>
  <c r="J256" i="3"/>
  <c r="I256" i="3"/>
  <c r="H256" i="3"/>
  <c r="G256" i="3"/>
  <c r="F256" i="3"/>
  <c r="E256" i="3"/>
  <c r="D256" i="3"/>
  <c r="C256" i="3"/>
  <c r="B256" i="3"/>
  <c r="A256" i="3"/>
  <c r="O255" i="3"/>
  <c r="N255" i="3"/>
  <c r="M255" i="3"/>
  <c r="K255" i="3"/>
  <c r="J255" i="3"/>
  <c r="I255" i="3"/>
  <c r="H255" i="3"/>
  <c r="G255" i="3"/>
  <c r="F255" i="3"/>
  <c r="E255" i="3"/>
  <c r="D255" i="3"/>
  <c r="C255" i="3"/>
  <c r="B255" i="3"/>
  <c r="A255" i="3"/>
  <c r="O254" i="3"/>
  <c r="N254" i="3"/>
  <c r="M254" i="3"/>
  <c r="K254" i="3"/>
  <c r="J254" i="3"/>
  <c r="I254" i="3"/>
  <c r="H254" i="3"/>
  <c r="G254" i="3"/>
  <c r="F254" i="3"/>
  <c r="E254" i="3"/>
  <c r="D254" i="3"/>
  <c r="C254" i="3"/>
  <c r="B254" i="3"/>
  <c r="A254" i="3"/>
  <c r="O253" i="3"/>
  <c r="N253" i="3"/>
  <c r="M253" i="3"/>
  <c r="K253" i="3"/>
  <c r="J253" i="3"/>
  <c r="I253" i="3"/>
  <c r="H253" i="3"/>
  <c r="G253" i="3"/>
  <c r="F253" i="3"/>
  <c r="E253" i="3"/>
  <c r="D253" i="3"/>
  <c r="C253" i="3"/>
  <c r="B253" i="3"/>
  <c r="A253" i="3"/>
  <c r="O252" i="3"/>
  <c r="N252" i="3"/>
  <c r="M252" i="3"/>
  <c r="K252" i="3"/>
  <c r="J252" i="3"/>
  <c r="I252" i="3"/>
  <c r="H252" i="3"/>
  <c r="G252" i="3"/>
  <c r="F252" i="3"/>
  <c r="E252" i="3"/>
  <c r="D252" i="3"/>
  <c r="C252" i="3"/>
  <c r="B252" i="3"/>
  <c r="A252" i="3"/>
  <c r="O251" i="3"/>
  <c r="N251" i="3"/>
  <c r="M251" i="3"/>
  <c r="K251" i="3"/>
  <c r="J251" i="3"/>
  <c r="I251" i="3"/>
  <c r="H251" i="3"/>
  <c r="G251" i="3"/>
  <c r="F251" i="3"/>
  <c r="E251" i="3"/>
  <c r="D251" i="3"/>
  <c r="C251" i="3"/>
  <c r="B251" i="3"/>
  <c r="A251" i="3"/>
  <c r="O250" i="3"/>
  <c r="N250" i="3"/>
  <c r="M250" i="3"/>
  <c r="K250" i="3"/>
  <c r="J250" i="3"/>
  <c r="I250" i="3"/>
  <c r="H250" i="3"/>
  <c r="G250" i="3"/>
  <c r="F250" i="3"/>
  <c r="E250" i="3"/>
  <c r="D250" i="3"/>
  <c r="C250" i="3"/>
  <c r="B250" i="3"/>
  <c r="A250" i="3"/>
  <c r="O249" i="3"/>
  <c r="N249" i="3"/>
  <c r="M249" i="3"/>
  <c r="K249" i="3"/>
  <c r="J249" i="3"/>
  <c r="I249" i="3"/>
  <c r="H249" i="3"/>
  <c r="G249" i="3"/>
  <c r="F249" i="3"/>
  <c r="E249" i="3"/>
  <c r="D249" i="3"/>
  <c r="C249" i="3"/>
  <c r="B249" i="3"/>
  <c r="A249" i="3"/>
  <c r="O248" i="3"/>
  <c r="N248" i="3"/>
  <c r="M248" i="3"/>
  <c r="K248" i="3"/>
  <c r="J248" i="3"/>
  <c r="I248" i="3"/>
  <c r="H248" i="3"/>
  <c r="G248" i="3"/>
  <c r="F248" i="3"/>
  <c r="E248" i="3"/>
  <c r="D248" i="3"/>
  <c r="C248" i="3"/>
  <c r="B248" i="3"/>
  <c r="A248" i="3"/>
  <c r="O247" i="3"/>
  <c r="N247" i="3"/>
  <c r="M247" i="3"/>
  <c r="K247" i="3"/>
  <c r="J247" i="3"/>
  <c r="I247" i="3"/>
  <c r="H247" i="3"/>
  <c r="G247" i="3"/>
  <c r="F247" i="3"/>
  <c r="E247" i="3"/>
  <c r="D247" i="3"/>
  <c r="C247" i="3"/>
  <c r="B247" i="3"/>
  <c r="A247" i="3"/>
  <c r="O246" i="3"/>
  <c r="N246" i="3"/>
  <c r="M246" i="3"/>
  <c r="K246" i="3"/>
  <c r="J246" i="3"/>
  <c r="I246" i="3"/>
  <c r="H246" i="3"/>
  <c r="G246" i="3"/>
  <c r="F246" i="3"/>
  <c r="E246" i="3"/>
  <c r="D246" i="3"/>
  <c r="C246" i="3"/>
  <c r="B246" i="3"/>
  <c r="A246" i="3"/>
  <c r="O245" i="3"/>
  <c r="N245" i="3"/>
  <c r="M245" i="3"/>
  <c r="K245" i="3"/>
  <c r="J245" i="3"/>
  <c r="I245" i="3"/>
  <c r="H245" i="3"/>
  <c r="G245" i="3"/>
  <c r="F245" i="3"/>
  <c r="E245" i="3"/>
  <c r="D245" i="3"/>
  <c r="C245" i="3"/>
  <c r="B245" i="3"/>
  <c r="A245" i="3"/>
  <c r="O244" i="3"/>
  <c r="N244" i="3"/>
  <c r="M244" i="3"/>
  <c r="K244" i="3"/>
  <c r="J244" i="3"/>
  <c r="I244" i="3"/>
  <c r="H244" i="3"/>
  <c r="G244" i="3"/>
  <c r="F244" i="3"/>
  <c r="E244" i="3"/>
  <c r="D244" i="3"/>
  <c r="C244" i="3"/>
  <c r="B244" i="3"/>
  <c r="A244" i="3"/>
  <c r="O243" i="3"/>
  <c r="N243" i="3"/>
  <c r="M243" i="3"/>
  <c r="K243" i="3"/>
  <c r="J243" i="3"/>
  <c r="I243" i="3"/>
  <c r="H243" i="3"/>
  <c r="G243" i="3"/>
  <c r="F243" i="3"/>
  <c r="E243" i="3"/>
  <c r="D243" i="3"/>
  <c r="C243" i="3"/>
  <c r="B243" i="3"/>
  <c r="A243" i="3"/>
  <c r="O242" i="3"/>
  <c r="N242" i="3"/>
  <c r="M242" i="3"/>
  <c r="K242" i="3"/>
  <c r="J242" i="3"/>
  <c r="I242" i="3"/>
  <c r="H242" i="3"/>
  <c r="G242" i="3"/>
  <c r="F242" i="3"/>
  <c r="E242" i="3"/>
  <c r="D242" i="3"/>
  <c r="C242" i="3"/>
  <c r="B242" i="3"/>
  <c r="A242" i="3"/>
  <c r="O241" i="3"/>
  <c r="N241" i="3"/>
  <c r="M241" i="3"/>
  <c r="K241" i="3"/>
  <c r="J241" i="3"/>
  <c r="I241" i="3"/>
  <c r="H241" i="3"/>
  <c r="G241" i="3"/>
  <c r="F241" i="3"/>
  <c r="E241" i="3"/>
  <c r="D241" i="3"/>
  <c r="C241" i="3"/>
  <c r="B241" i="3"/>
  <c r="A241" i="3"/>
  <c r="O240" i="3"/>
  <c r="N240" i="3"/>
  <c r="M240" i="3"/>
  <c r="K240" i="3"/>
  <c r="J240" i="3"/>
  <c r="I240" i="3"/>
  <c r="H240" i="3"/>
  <c r="G240" i="3"/>
  <c r="F240" i="3"/>
  <c r="E240" i="3"/>
  <c r="D240" i="3"/>
  <c r="C240" i="3"/>
  <c r="B240" i="3"/>
  <c r="A240" i="3"/>
  <c r="O239" i="3"/>
  <c r="N239" i="3"/>
  <c r="M239" i="3"/>
  <c r="K239" i="3"/>
  <c r="J239" i="3"/>
  <c r="I239" i="3"/>
  <c r="H239" i="3"/>
  <c r="G239" i="3"/>
  <c r="F239" i="3"/>
  <c r="E239" i="3"/>
  <c r="D239" i="3"/>
  <c r="C239" i="3"/>
  <c r="B239" i="3"/>
  <c r="A239" i="3"/>
  <c r="O238" i="3"/>
  <c r="N238" i="3"/>
  <c r="M238" i="3"/>
  <c r="K238" i="3"/>
  <c r="J238" i="3"/>
  <c r="I238" i="3"/>
  <c r="H238" i="3"/>
  <c r="G238" i="3"/>
  <c r="F238" i="3"/>
  <c r="E238" i="3"/>
  <c r="D238" i="3"/>
  <c r="C238" i="3"/>
  <c r="B238" i="3"/>
  <c r="A238" i="3"/>
  <c r="O237" i="3"/>
  <c r="N237" i="3"/>
  <c r="M237" i="3"/>
  <c r="K237" i="3"/>
  <c r="J237" i="3"/>
  <c r="I237" i="3"/>
  <c r="H237" i="3"/>
  <c r="G237" i="3"/>
  <c r="F237" i="3"/>
  <c r="E237" i="3"/>
  <c r="D237" i="3"/>
  <c r="C237" i="3"/>
  <c r="B237" i="3"/>
  <c r="A237" i="3"/>
  <c r="O236" i="3"/>
  <c r="N236" i="3"/>
  <c r="M236" i="3"/>
  <c r="K236" i="3"/>
  <c r="J236" i="3"/>
  <c r="I236" i="3"/>
  <c r="H236" i="3"/>
  <c r="G236" i="3"/>
  <c r="F236" i="3"/>
  <c r="E236" i="3"/>
  <c r="D236" i="3"/>
  <c r="C236" i="3"/>
  <c r="B236" i="3"/>
  <c r="A236" i="3"/>
  <c r="O235" i="3"/>
  <c r="N235" i="3"/>
  <c r="M235" i="3"/>
  <c r="K235" i="3"/>
  <c r="J235" i="3"/>
  <c r="I235" i="3"/>
  <c r="H235" i="3"/>
  <c r="G235" i="3"/>
  <c r="F235" i="3"/>
  <c r="E235" i="3"/>
  <c r="D235" i="3"/>
  <c r="C235" i="3"/>
  <c r="B235" i="3"/>
  <c r="A235" i="3"/>
  <c r="O234" i="3"/>
  <c r="N234" i="3"/>
  <c r="M234" i="3"/>
  <c r="K234" i="3"/>
  <c r="J234" i="3"/>
  <c r="I234" i="3"/>
  <c r="H234" i="3"/>
  <c r="G234" i="3"/>
  <c r="F234" i="3"/>
  <c r="E234" i="3"/>
  <c r="D234" i="3"/>
  <c r="C234" i="3"/>
  <c r="B234" i="3"/>
  <c r="A234" i="3"/>
  <c r="O233" i="3"/>
  <c r="N233" i="3"/>
  <c r="M233" i="3"/>
  <c r="K233" i="3"/>
  <c r="J233" i="3"/>
  <c r="I233" i="3"/>
  <c r="H233" i="3"/>
  <c r="G233" i="3"/>
  <c r="F233" i="3"/>
  <c r="E233" i="3"/>
  <c r="D233" i="3"/>
  <c r="C233" i="3"/>
  <c r="B233" i="3"/>
  <c r="A233" i="3"/>
  <c r="O232" i="3"/>
  <c r="N232" i="3"/>
  <c r="M232" i="3"/>
  <c r="K232" i="3"/>
  <c r="J232" i="3"/>
  <c r="I232" i="3"/>
  <c r="H232" i="3"/>
  <c r="G232" i="3"/>
  <c r="F232" i="3"/>
  <c r="E232" i="3"/>
  <c r="D232" i="3"/>
  <c r="C232" i="3"/>
  <c r="B232" i="3"/>
  <c r="A232" i="3"/>
  <c r="O231" i="3"/>
  <c r="N231" i="3"/>
  <c r="M231" i="3"/>
  <c r="K231" i="3"/>
  <c r="J231" i="3"/>
  <c r="I231" i="3"/>
  <c r="H231" i="3"/>
  <c r="G231" i="3"/>
  <c r="F231" i="3"/>
  <c r="E231" i="3"/>
  <c r="D231" i="3"/>
  <c r="C231" i="3"/>
  <c r="B231" i="3"/>
  <c r="A231" i="3"/>
  <c r="O230" i="3"/>
  <c r="N230" i="3"/>
  <c r="M230" i="3"/>
  <c r="K230" i="3"/>
  <c r="J230" i="3"/>
  <c r="I230" i="3"/>
  <c r="H230" i="3"/>
  <c r="G230" i="3"/>
  <c r="F230" i="3"/>
  <c r="E230" i="3"/>
  <c r="D230" i="3"/>
  <c r="C230" i="3"/>
  <c r="B230" i="3"/>
  <c r="A230" i="3"/>
  <c r="O229" i="3"/>
  <c r="N229" i="3"/>
  <c r="M229" i="3"/>
  <c r="K229" i="3"/>
  <c r="J229" i="3"/>
  <c r="I229" i="3"/>
  <c r="H229" i="3"/>
  <c r="G229" i="3"/>
  <c r="F229" i="3"/>
  <c r="E229" i="3"/>
  <c r="D229" i="3"/>
  <c r="C229" i="3"/>
  <c r="B229" i="3"/>
  <c r="A229" i="3"/>
  <c r="O228" i="3"/>
  <c r="N228" i="3"/>
  <c r="M228" i="3"/>
  <c r="K228" i="3"/>
  <c r="J228" i="3"/>
  <c r="I228" i="3"/>
  <c r="H228" i="3"/>
  <c r="G228" i="3"/>
  <c r="F228" i="3"/>
  <c r="E228" i="3"/>
  <c r="D228" i="3"/>
  <c r="C228" i="3"/>
  <c r="B228" i="3"/>
  <c r="A228" i="3"/>
  <c r="O227" i="3"/>
  <c r="N227" i="3"/>
  <c r="M227" i="3"/>
  <c r="K227" i="3"/>
  <c r="J227" i="3"/>
  <c r="I227" i="3"/>
  <c r="H227" i="3"/>
  <c r="G227" i="3"/>
  <c r="F227" i="3"/>
  <c r="E227" i="3"/>
  <c r="D227" i="3"/>
  <c r="C227" i="3"/>
  <c r="B227" i="3"/>
  <c r="A227" i="3"/>
  <c r="O226" i="3"/>
  <c r="N226" i="3"/>
  <c r="M226" i="3"/>
  <c r="K226" i="3"/>
  <c r="J226" i="3"/>
  <c r="I226" i="3"/>
  <c r="H226" i="3"/>
  <c r="G226" i="3"/>
  <c r="F226" i="3"/>
  <c r="E226" i="3"/>
  <c r="D226" i="3"/>
  <c r="C226" i="3"/>
  <c r="B226" i="3"/>
  <c r="A226" i="3"/>
  <c r="O225" i="3"/>
  <c r="N225" i="3"/>
  <c r="M225" i="3"/>
  <c r="K225" i="3"/>
  <c r="J225" i="3"/>
  <c r="I225" i="3"/>
  <c r="H225" i="3"/>
  <c r="G225" i="3"/>
  <c r="F225" i="3"/>
  <c r="E225" i="3"/>
  <c r="D225" i="3"/>
  <c r="C225" i="3"/>
  <c r="B225" i="3"/>
  <c r="A225" i="3"/>
  <c r="O224" i="3"/>
  <c r="N224" i="3"/>
  <c r="M224" i="3"/>
  <c r="K224" i="3"/>
  <c r="J224" i="3"/>
  <c r="I224" i="3"/>
  <c r="H224" i="3"/>
  <c r="G224" i="3"/>
  <c r="F224" i="3"/>
  <c r="E224" i="3"/>
  <c r="D224" i="3"/>
  <c r="C224" i="3"/>
  <c r="B224" i="3"/>
  <c r="A224" i="3"/>
  <c r="O223" i="3"/>
  <c r="N223" i="3"/>
  <c r="M223" i="3"/>
  <c r="K223" i="3"/>
  <c r="J223" i="3"/>
  <c r="I223" i="3"/>
  <c r="H223" i="3"/>
  <c r="G223" i="3"/>
  <c r="F223" i="3"/>
  <c r="E223" i="3"/>
  <c r="D223" i="3"/>
  <c r="C223" i="3"/>
  <c r="B223" i="3"/>
  <c r="A223" i="3"/>
  <c r="O222" i="3"/>
  <c r="N222" i="3"/>
  <c r="M222" i="3"/>
  <c r="K222" i="3"/>
  <c r="J222" i="3"/>
  <c r="I222" i="3"/>
  <c r="H222" i="3"/>
  <c r="G222" i="3"/>
  <c r="F222" i="3"/>
  <c r="E222" i="3"/>
  <c r="D222" i="3"/>
  <c r="C222" i="3"/>
  <c r="B222" i="3"/>
  <c r="A222" i="3"/>
  <c r="O221" i="3"/>
  <c r="N221" i="3"/>
  <c r="M221" i="3"/>
  <c r="K221" i="3"/>
  <c r="J221" i="3"/>
  <c r="I221" i="3"/>
  <c r="H221" i="3"/>
  <c r="G221" i="3"/>
  <c r="F221" i="3"/>
  <c r="E221" i="3"/>
  <c r="D221" i="3"/>
  <c r="C221" i="3"/>
  <c r="B221" i="3"/>
  <c r="A221" i="3"/>
  <c r="O220" i="3"/>
  <c r="N220" i="3"/>
  <c r="M220" i="3"/>
  <c r="K220" i="3"/>
  <c r="J220" i="3"/>
  <c r="I220" i="3"/>
  <c r="H220" i="3"/>
  <c r="G220" i="3"/>
  <c r="F220" i="3"/>
  <c r="E220" i="3"/>
  <c r="D220" i="3"/>
  <c r="C220" i="3"/>
  <c r="B220" i="3"/>
  <c r="A220" i="3"/>
  <c r="O219" i="3"/>
  <c r="N219" i="3"/>
  <c r="M219" i="3"/>
  <c r="K219" i="3"/>
  <c r="J219" i="3"/>
  <c r="I219" i="3"/>
  <c r="H219" i="3"/>
  <c r="G219" i="3"/>
  <c r="F219" i="3"/>
  <c r="E219" i="3"/>
  <c r="D219" i="3"/>
  <c r="C219" i="3"/>
  <c r="B219" i="3"/>
  <c r="A219" i="3"/>
  <c r="O218" i="3"/>
  <c r="N218" i="3"/>
  <c r="M218" i="3"/>
  <c r="K218" i="3"/>
  <c r="J218" i="3"/>
  <c r="I218" i="3"/>
  <c r="H218" i="3"/>
  <c r="G218" i="3"/>
  <c r="F218" i="3"/>
  <c r="E218" i="3"/>
  <c r="D218" i="3"/>
  <c r="C218" i="3"/>
  <c r="B218" i="3"/>
  <c r="A218" i="3"/>
  <c r="O217" i="3"/>
  <c r="N217" i="3"/>
  <c r="M217" i="3"/>
  <c r="K217" i="3"/>
  <c r="J217" i="3"/>
  <c r="I217" i="3"/>
  <c r="H217" i="3"/>
  <c r="G217" i="3"/>
  <c r="F217" i="3"/>
  <c r="E217" i="3"/>
  <c r="D217" i="3"/>
  <c r="C217" i="3"/>
  <c r="B217" i="3"/>
  <c r="A217" i="3"/>
  <c r="O216" i="3"/>
  <c r="N216" i="3"/>
  <c r="M216" i="3"/>
  <c r="K216" i="3"/>
  <c r="J216" i="3"/>
  <c r="I216" i="3"/>
  <c r="H216" i="3"/>
  <c r="G216" i="3"/>
  <c r="F216" i="3"/>
  <c r="E216" i="3"/>
  <c r="D216" i="3"/>
  <c r="C216" i="3"/>
  <c r="B216" i="3"/>
  <c r="A216" i="3"/>
  <c r="O215" i="3"/>
  <c r="N215" i="3"/>
  <c r="M215" i="3"/>
  <c r="K215" i="3"/>
  <c r="J215" i="3"/>
  <c r="I215" i="3"/>
  <c r="H215" i="3"/>
  <c r="G215" i="3"/>
  <c r="F215" i="3"/>
  <c r="E215" i="3"/>
  <c r="D215" i="3"/>
  <c r="C215" i="3"/>
  <c r="B215" i="3"/>
  <c r="A215" i="3"/>
  <c r="O214" i="3"/>
  <c r="N214" i="3"/>
  <c r="M214" i="3"/>
  <c r="K214" i="3"/>
  <c r="J214" i="3"/>
  <c r="I214" i="3"/>
  <c r="H214" i="3"/>
  <c r="G214" i="3"/>
  <c r="F214" i="3"/>
  <c r="E214" i="3"/>
  <c r="D214" i="3"/>
  <c r="C214" i="3"/>
  <c r="B214" i="3"/>
  <c r="A214" i="3"/>
  <c r="O213" i="3"/>
  <c r="N213" i="3"/>
  <c r="M213" i="3"/>
  <c r="K213" i="3"/>
  <c r="J213" i="3"/>
  <c r="I213" i="3"/>
  <c r="H213" i="3"/>
  <c r="G213" i="3"/>
  <c r="F213" i="3"/>
  <c r="E213" i="3"/>
  <c r="D213" i="3"/>
  <c r="C213" i="3"/>
  <c r="B213" i="3"/>
  <c r="A213" i="3"/>
  <c r="O212" i="3"/>
  <c r="N212" i="3"/>
  <c r="M212" i="3"/>
  <c r="K212" i="3"/>
  <c r="J212" i="3"/>
  <c r="I212" i="3"/>
  <c r="H212" i="3"/>
  <c r="G212" i="3"/>
  <c r="F212" i="3"/>
  <c r="E212" i="3"/>
  <c r="D212" i="3"/>
  <c r="C212" i="3"/>
  <c r="B212" i="3"/>
  <c r="A212" i="3"/>
  <c r="O211" i="3"/>
  <c r="N211" i="3"/>
  <c r="M211" i="3"/>
  <c r="K211" i="3"/>
  <c r="J211" i="3"/>
  <c r="I211" i="3"/>
  <c r="H211" i="3"/>
  <c r="G211" i="3"/>
  <c r="F211" i="3"/>
  <c r="E211" i="3"/>
  <c r="D211" i="3"/>
  <c r="C211" i="3"/>
  <c r="B211" i="3"/>
  <c r="A211" i="3"/>
  <c r="O210" i="3"/>
  <c r="N210" i="3"/>
  <c r="M210" i="3"/>
  <c r="K210" i="3"/>
  <c r="J210" i="3"/>
  <c r="I210" i="3"/>
  <c r="H210" i="3"/>
  <c r="G210" i="3"/>
  <c r="F210" i="3"/>
  <c r="E210" i="3"/>
  <c r="D210" i="3"/>
  <c r="C210" i="3"/>
  <c r="B210" i="3"/>
  <c r="A210" i="3"/>
  <c r="O209" i="3"/>
  <c r="N209" i="3"/>
  <c r="M209" i="3"/>
  <c r="K209" i="3"/>
  <c r="J209" i="3"/>
  <c r="I209" i="3"/>
  <c r="H209" i="3"/>
  <c r="G209" i="3"/>
  <c r="F209" i="3"/>
  <c r="E209" i="3"/>
  <c r="D209" i="3"/>
  <c r="C209" i="3"/>
  <c r="B209" i="3"/>
  <c r="A209" i="3"/>
  <c r="O208" i="3"/>
  <c r="N208" i="3"/>
  <c r="M208" i="3"/>
  <c r="K208" i="3"/>
  <c r="J208" i="3"/>
  <c r="I208" i="3"/>
  <c r="H208" i="3"/>
  <c r="G208" i="3"/>
  <c r="F208" i="3"/>
  <c r="E208" i="3"/>
  <c r="D208" i="3"/>
  <c r="C208" i="3"/>
  <c r="B208" i="3"/>
  <c r="A208" i="3"/>
  <c r="O207" i="3"/>
  <c r="N207" i="3"/>
  <c r="M207" i="3"/>
  <c r="K207" i="3"/>
  <c r="J207" i="3"/>
  <c r="I207" i="3"/>
  <c r="H207" i="3"/>
  <c r="G207" i="3"/>
  <c r="F207" i="3"/>
  <c r="E207" i="3"/>
  <c r="D207" i="3"/>
  <c r="C207" i="3"/>
  <c r="B207" i="3"/>
  <c r="A207" i="3"/>
  <c r="O206" i="3"/>
  <c r="N206" i="3"/>
  <c r="M206" i="3"/>
  <c r="K206" i="3"/>
  <c r="J206" i="3"/>
  <c r="I206" i="3"/>
  <c r="H206" i="3"/>
  <c r="G206" i="3"/>
  <c r="F206" i="3"/>
  <c r="E206" i="3"/>
  <c r="D206" i="3"/>
  <c r="C206" i="3"/>
  <c r="B206" i="3"/>
  <c r="A206" i="3"/>
  <c r="O205" i="3"/>
  <c r="N205" i="3"/>
  <c r="M205" i="3"/>
  <c r="K205" i="3"/>
  <c r="J205" i="3"/>
  <c r="I205" i="3"/>
  <c r="H205" i="3"/>
  <c r="G205" i="3"/>
  <c r="F205" i="3"/>
  <c r="E205" i="3"/>
  <c r="D205" i="3"/>
  <c r="C205" i="3"/>
  <c r="B205" i="3"/>
  <c r="A205" i="3"/>
  <c r="O204" i="3"/>
  <c r="N204" i="3"/>
  <c r="M204" i="3"/>
  <c r="K204" i="3"/>
  <c r="J204" i="3"/>
  <c r="I204" i="3"/>
  <c r="H204" i="3"/>
  <c r="G204" i="3"/>
  <c r="F204" i="3"/>
  <c r="E204" i="3"/>
  <c r="D204" i="3"/>
  <c r="C204" i="3"/>
  <c r="B204" i="3"/>
  <c r="A204" i="3"/>
  <c r="O203" i="3"/>
  <c r="N203" i="3"/>
  <c r="M203" i="3"/>
  <c r="K203" i="3"/>
  <c r="J203" i="3"/>
  <c r="I203" i="3"/>
  <c r="H203" i="3"/>
  <c r="G203" i="3"/>
  <c r="F203" i="3"/>
  <c r="E203" i="3"/>
  <c r="D203" i="3"/>
  <c r="C203" i="3"/>
  <c r="B203" i="3"/>
  <c r="A203" i="3"/>
  <c r="O202" i="3"/>
  <c r="N202" i="3"/>
  <c r="M202" i="3"/>
  <c r="K202" i="3"/>
  <c r="J202" i="3"/>
  <c r="I202" i="3"/>
  <c r="H202" i="3"/>
  <c r="G202" i="3"/>
  <c r="F202" i="3"/>
  <c r="E202" i="3"/>
  <c r="D202" i="3"/>
  <c r="C202" i="3"/>
  <c r="B202" i="3"/>
  <c r="A202" i="3"/>
  <c r="O201" i="3"/>
  <c r="N201" i="3"/>
  <c r="M201" i="3"/>
  <c r="K201" i="3"/>
  <c r="J201" i="3"/>
  <c r="I201" i="3"/>
  <c r="H201" i="3"/>
  <c r="G201" i="3"/>
  <c r="F201" i="3"/>
  <c r="E201" i="3"/>
  <c r="D201" i="3"/>
  <c r="C201" i="3"/>
  <c r="B201" i="3"/>
  <c r="A201" i="3"/>
  <c r="O200" i="3"/>
  <c r="N200" i="3"/>
  <c r="M200" i="3"/>
  <c r="K200" i="3"/>
  <c r="J200" i="3"/>
  <c r="I200" i="3"/>
  <c r="H200" i="3"/>
  <c r="G200" i="3"/>
  <c r="F200" i="3"/>
  <c r="E200" i="3"/>
  <c r="D200" i="3"/>
  <c r="C200" i="3"/>
  <c r="B200" i="3"/>
  <c r="A200" i="3"/>
  <c r="O199" i="3"/>
  <c r="N199" i="3"/>
  <c r="M199" i="3"/>
  <c r="K199" i="3"/>
  <c r="J199" i="3"/>
  <c r="I199" i="3"/>
  <c r="H199" i="3"/>
  <c r="G199" i="3"/>
  <c r="F199" i="3"/>
  <c r="E199" i="3"/>
  <c r="D199" i="3"/>
  <c r="C199" i="3"/>
  <c r="B199" i="3"/>
  <c r="A199" i="3"/>
  <c r="O198" i="3"/>
  <c r="N198" i="3"/>
  <c r="M198" i="3"/>
  <c r="K198" i="3"/>
  <c r="J198" i="3"/>
  <c r="I198" i="3"/>
  <c r="H198" i="3"/>
  <c r="G198" i="3"/>
  <c r="F198" i="3"/>
  <c r="E198" i="3"/>
  <c r="D198" i="3"/>
  <c r="C198" i="3"/>
  <c r="B198" i="3"/>
  <c r="A198" i="3"/>
  <c r="O197" i="3"/>
  <c r="N197" i="3"/>
  <c r="M197" i="3"/>
  <c r="K197" i="3"/>
  <c r="J197" i="3"/>
  <c r="I197" i="3"/>
  <c r="H197" i="3"/>
  <c r="G197" i="3"/>
  <c r="F197" i="3"/>
  <c r="E197" i="3"/>
  <c r="D197" i="3"/>
  <c r="C197" i="3"/>
  <c r="B197" i="3"/>
  <c r="A197" i="3"/>
  <c r="O196" i="3"/>
  <c r="N196" i="3"/>
  <c r="M196" i="3"/>
  <c r="K196" i="3"/>
  <c r="J196" i="3"/>
  <c r="I196" i="3"/>
  <c r="H196" i="3"/>
  <c r="G196" i="3"/>
  <c r="F196" i="3"/>
  <c r="E196" i="3"/>
  <c r="D196" i="3"/>
  <c r="C196" i="3"/>
  <c r="B196" i="3"/>
  <c r="A196" i="3"/>
  <c r="O195" i="3"/>
  <c r="N195" i="3"/>
  <c r="M195" i="3"/>
  <c r="K195" i="3"/>
  <c r="J195" i="3"/>
  <c r="I195" i="3"/>
  <c r="H195" i="3"/>
  <c r="G195" i="3"/>
  <c r="F195" i="3"/>
  <c r="E195" i="3"/>
  <c r="D195" i="3"/>
  <c r="C195" i="3"/>
  <c r="B195" i="3"/>
  <c r="A195" i="3"/>
  <c r="O194" i="3"/>
  <c r="N194" i="3"/>
  <c r="M194" i="3"/>
  <c r="K194" i="3"/>
  <c r="J194" i="3"/>
  <c r="I194" i="3"/>
  <c r="H194" i="3"/>
  <c r="G194" i="3"/>
  <c r="F194" i="3"/>
  <c r="E194" i="3"/>
  <c r="D194" i="3"/>
  <c r="C194" i="3"/>
  <c r="B194" i="3"/>
  <c r="A194" i="3"/>
  <c r="O193" i="3"/>
  <c r="N193" i="3"/>
  <c r="M193" i="3"/>
  <c r="K193" i="3"/>
  <c r="J193" i="3"/>
  <c r="I193" i="3"/>
  <c r="H193" i="3"/>
  <c r="G193" i="3"/>
  <c r="F193" i="3"/>
  <c r="E193" i="3"/>
  <c r="D193" i="3"/>
  <c r="C193" i="3"/>
  <c r="B193" i="3"/>
  <c r="A193" i="3"/>
  <c r="O192" i="3"/>
  <c r="N192" i="3"/>
  <c r="M192" i="3"/>
  <c r="K192" i="3"/>
  <c r="J192" i="3"/>
  <c r="I192" i="3"/>
  <c r="H192" i="3"/>
  <c r="G192" i="3"/>
  <c r="F192" i="3"/>
  <c r="E192" i="3"/>
  <c r="D192" i="3"/>
  <c r="C192" i="3"/>
  <c r="B192" i="3"/>
  <c r="A192" i="3"/>
  <c r="O191" i="3"/>
  <c r="N191" i="3"/>
  <c r="M191" i="3"/>
  <c r="K191" i="3"/>
  <c r="J191" i="3"/>
  <c r="I191" i="3"/>
  <c r="H191" i="3"/>
  <c r="G191" i="3"/>
  <c r="F191" i="3"/>
  <c r="E191" i="3"/>
  <c r="D191" i="3"/>
  <c r="C191" i="3"/>
  <c r="B191" i="3"/>
  <c r="A191" i="3"/>
  <c r="O190" i="3"/>
  <c r="N190" i="3"/>
  <c r="M190" i="3"/>
  <c r="K190" i="3"/>
  <c r="J190" i="3"/>
  <c r="I190" i="3"/>
  <c r="H190" i="3"/>
  <c r="G190" i="3"/>
  <c r="F190" i="3"/>
  <c r="E190" i="3"/>
  <c r="D190" i="3"/>
  <c r="C190" i="3"/>
  <c r="B190" i="3"/>
  <c r="A190" i="3"/>
  <c r="O189" i="3"/>
  <c r="N189" i="3"/>
  <c r="M189" i="3"/>
  <c r="K189" i="3"/>
  <c r="J189" i="3"/>
  <c r="I189" i="3"/>
  <c r="H189" i="3"/>
  <c r="G189" i="3"/>
  <c r="F189" i="3"/>
  <c r="E189" i="3"/>
  <c r="D189" i="3"/>
  <c r="C189" i="3"/>
  <c r="B189" i="3"/>
  <c r="A189" i="3"/>
  <c r="O188" i="3"/>
  <c r="N188" i="3"/>
  <c r="M188" i="3"/>
  <c r="K188" i="3"/>
  <c r="J188" i="3"/>
  <c r="I188" i="3"/>
  <c r="H188" i="3"/>
  <c r="G188" i="3"/>
  <c r="F188" i="3"/>
  <c r="E188" i="3"/>
  <c r="D188" i="3"/>
  <c r="C188" i="3"/>
  <c r="B188" i="3"/>
  <c r="A188" i="3"/>
  <c r="O187" i="3"/>
  <c r="N187" i="3"/>
  <c r="M187" i="3"/>
  <c r="K187" i="3"/>
  <c r="J187" i="3"/>
  <c r="I187" i="3"/>
  <c r="H187" i="3"/>
  <c r="G187" i="3"/>
  <c r="F187" i="3"/>
  <c r="E187" i="3"/>
  <c r="D187" i="3"/>
  <c r="C187" i="3"/>
  <c r="B187" i="3"/>
  <c r="A187" i="3"/>
  <c r="O186" i="3"/>
  <c r="N186" i="3"/>
  <c r="M186" i="3"/>
  <c r="K186" i="3"/>
  <c r="J186" i="3"/>
  <c r="I186" i="3"/>
  <c r="H186" i="3"/>
  <c r="G186" i="3"/>
  <c r="F186" i="3"/>
  <c r="E186" i="3"/>
  <c r="D186" i="3"/>
  <c r="C186" i="3"/>
  <c r="B186" i="3"/>
  <c r="A186" i="3"/>
  <c r="O185" i="3"/>
  <c r="N185" i="3"/>
  <c r="M185" i="3"/>
  <c r="K185" i="3"/>
  <c r="J185" i="3"/>
  <c r="I185" i="3"/>
  <c r="H185" i="3"/>
  <c r="G185" i="3"/>
  <c r="F185" i="3"/>
  <c r="E185" i="3"/>
  <c r="D185" i="3"/>
  <c r="C185" i="3"/>
  <c r="B185" i="3"/>
  <c r="A185" i="3"/>
  <c r="O184" i="3"/>
  <c r="N184" i="3"/>
  <c r="M184" i="3"/>
  <c r="K184" i="3"/>
  <c r="J184" i="3"/>
  <c r="I184" i="3"/>
  <c r="H184" i="3"/>
  <c r="G184" i="3"/>
  <c r="F184" i="3"/>
  <c r="E184" i="3"/>
  <c r="D184" i="3"/>
  <c r="C184" i="3"/>
  <c r="B184" i="3"/>
  <c r="A184" i="3"/>
  <c r="O183" i="3"/>
  <c r="N183" i="3"/>
  <c r="M183" i="3"/>
  <c r="K183" i="3"/>
  <c r="J183" i="3"/>
  <c r="I183" i="3"/>
  <c r="H183" i="3"/>
  <c r="G183" i="3"/>
  <c r="F183" i="3"/>
  <c r="E183" i="3"/>
  <c r="D183" i="3"/>
  <c r="C183" i="3"/>
  <c r="B183" i="3"/>
  <c r="A183" i="3"/>
  <c r="O182" i="3"/>
  <c r="N182" i="3"/>
  <c r="M182" i="3"/>
  <c r="K182" i="3"/>
  <c r="J182" i="3"/>
  <c r="I182" i="3"/>
  <c r="H182" i="3"/>
  <c r="G182" i="3"/>
  <c r="F182" i="3"/>
  <c r="E182" i="3"/>
  <c r="D182" i="3"/>
  <c r="C182" i="3"/>
  <c r="B182" i="3"/>
  <c r="A182" i="3"/>
  <c r="O181" i="3"/>
  <c r="N181" i="3"/>
  <c r="M181" i="3"/>
  <c r="K181" i="3"/>
  <c r="J181" i="3"/>
  <c r="I181" i="3"/>
  <c r="H181" i="3"/>
  <c r="G181" i="3"/>
  <c r="F181" i="3"/>
  <c r="E181" i="3"/>
  <c r="D181" i="3"/>
  <c r="C181" i="3"/>
  <c r="B181" i="3"/>
  <c r="A181" i="3"/>
  <c r="O180" i="3"/>
  <c r="N180" i="3"/>
  <c r="M180" i="3"/>
  <c r="K180" i="3"/>
  <c r="J180" i="3"/>
  <c r="I180" i="3"/>
  <c r="H180" i="3"/>
  <c r="G180" i="3"/>
  <c r="F180" i="3"/>
  <c r="E180" i="3"/>
  <c r="D180" i="3"/>
  <c r="C180" i="3"/>
  <c r="B180" i="3"/>
  <c r="A180" i="3"/>
  <c r="O179" i="3"/>
  <c r="N179" i="3"/>
  <c r="M179" i="3"/>
  <c r="K179" i="3"/>
  <c r="J179" i="3"/>
  <c r="I179" i="3"/>
  <c r="H179" i="3"/>
  <c r="G179" i="3"/>
  <c r="F179" i="3"/>
  <c r="E179" i="3"/>
  <c r="D179" i="3"/>
  <c r="C179" i="3"/>
  <c r="B179" i="3"/>
  <c r="A179" i="3"/>
  <c r="O178" i="3"/>
  <c r="N178" i="3"/>
  <c r="M178" i="3"/>
  <c r="K178" i="3"/>
  <c r="J178" i="3"/>
  <c r="I178" i="3"/>
  <c r="H178" i="3"/>
  <c r="G178" i="3"/>
  <c r="F178" i="3"/>
  <c r="E178" i="3"/>
  <c r="D178" i="3"/>
  <c r="C178" i="3"/>
  <c r="B178" i="3"/>
  <c r="A178" i="3"/>
  <c r="O177" i="3"/>
  <c r="N177" i="3"/>
  <c r="M177" i="3"/>
  <c r="K177" i="3"/>
  <c r="J177" i="3"/>
  <c r="I177" i="3"/>
  <c r="H177" i="3"/>
  <c r="G177" i="3"/>
  <c r="F177" i="3"/>
  <c r="E177" i="3"/>
  <c r="D177" i="3"/>
  <c r="C177" i="3"/>
  <c r="B177" i="3"/>
  <c r="A177" i="3"/>
  <c r="O176" i="3"/>
  <c r="N176" i="3"/>
  <c r="M176" i="3"/>
  <c r="K176" i="3"/>
  <c r="J176" i="3"/>
  <c r="I176" i="3"/>
  <c r="H176" i="3"/>
  <c r="G176" i="3"/>
  <c r="F176" i="3"/>
  <c r="E176" i="3"/>
  <c r="D176" i="3"/>
  <c r="C176" i="3"/>
  <c r="B176" i="3"/>
  <c r="A176" i="3"/>
  <c r="O175" i="3"/>
  <c r="N175" i="3"/>
  <c r="M175" i="3"/>
  <c r="K175" i="3"/>
  <c r="J175" i="3"/>
  <c r="I175" i="3"/>
  <c r="H175" i="3"/>
  <c r="G175" i="3"/>
  <c r="F175" i="3"/>
  <c r="E175" i="3"/>
  <c r="D175" i="3"/>
  <c r="C175" i="3"/>
  <c r="B175" i="3"/>
  <c r="A175" i="3"/>
  <c r="O174" i="3"/>
  <c r="N174" i="3"/>
  <c r="M174" i="3"/>
  <c r="K174" i="3"/>
  <c r="J174" i="3"/>
  <c r="I174" i="3"/>
  <c r="H174" i="3"/>
  <c r="G174" i="3"/>
  <c r="F174" i="3"/>
  <c r="E174" i="3"/>
  <c r="D174" i="3"/>
  <c r="C174" i="3"/>
  <c r="B174" i="3"/>
  <c r="A174" i="3"/>
  <c r="O173" i="3"/>
  <c r="N173" i="3"/>
  <c r="M173" i="3"/>
  <c r="K173" i="3"/>
  <c r="J173" i="3"/>
  <c r="I173" i="3"/>
  <c r="H173" i="3"/>
  <c r="G173" i="3"/>
  <c r="F173" i="3"/>
  <c r="E173" i="3"/>
  <c r="D173" i="3"/>
  <c r="C173" i="3"/>
  <c r="B173" i="3"/>
  <c r="A173" i="3"/>
  <c r="O172" i="3"/>
  <c r="N172" i="3"/>
  <c r="M172" i="3"/>
  <c r="K172" i="3"/>
  <c r="J172" i="3"/>
  <c r="I172" i="3"/>
  <c r="H172" i="3"/>
  <c r="G172" i="3"/>
  <c r="F172" i="3"/>
  <c r="E172" i="3"/>
  <c r="D172" i="3"/>
  <c r="C172" i="3"/>
  <c r="B172" i="3"/>
  <c r="A172" i="3"/>
  <c r="O171" i="3"/>
  <c r="N171" i="3"/>
  <c r="M171" i="3"/>
  <c r="K171" i="3"/>
  <c r="J171" i="3"/>
  <c r="I171" i="3"/>
  <c r="H171" i="3"/>
  <c r="G171" i="3"/>
  <c r="F171" i="3"/>
  <c r="E171" i="3"/>
  <c r="D171" i="3"/>
  <c r="C171" i="3"/>
  <c r="B171" i="3"/>
  <c r="A171" i="3"/>
  <c r="O170" i="3"/>
  <c r="N170" i="3"/>
  <c r="M170" i="3"/>
  <c r="K170" i="3"/>
  <c r="J170" i="3"/>
  <c r="I170" i="3"/>
  <c r="H170" i="3"/>
  <c r="G170" i="3"/>
  <c r="F170" i="3"/>
  <c r="E170" i="3"/>
  <c r="D170" i="3"/>
  <c r="C170" i="3"/>
  <c r="B170" i="3"/>
  <c r="A170" i="3"/>
  <c r="O169" i="3"/>
  <c r="N169" i="3"/>
  <c r="M169" i="3"/>
  <c r="K169" i="3"/>
  <c r="J169" i="3"/>
  <c r="I169" i="3"/>
  <c r="H169" i="3"/>
  <c r="G169" i="3"/>
  <c r="F169" i="3"/>
  <c r="E169" i="3"/>
  <c r="D169" i="3"/>
  <c r="C169" i="3"/>
  <c r="B169" i="3"/>
  <c r="A169" i="3"/>
  <c r="O168" i="3"/>
  <c r="N168" i="3"/>
  <c r="M168" i="3"/>
  <c r="K168" i="3"/>
  <c r="J168" i="3"/>
  <c r="I168" i="3"/>
  <c r="H168" i="3"/>
  <c r="G168" i="3"/>
  <c r="F168" i="3"/>
  <c r="E168" i="3"/>
  <c r="D168" i="3"/>
  <c r="C168" i="3"/>
  <c r="B168" i="3"/>
  <c r="A168" i="3"/>
  <c r="O167" i="3"/>
  <c r="N167" i="3"/>
  <c r="M167" i="3"/>
  <c r="K167" i="3"/>
  <c r="J167" i="3"/>
  <c r="I167" i="3"/>
  <c r="H167" i="3"/>
  <c r="G167" i="3"/>
  <c r="F167" i="3"/>
  <c r="E167" i="3"/>
  <c r="D167" i="3"/>
  <c r="C167" i="3"/>
  <c r="B167" i="3"/>
  <c r="A167" i="3"/>
  <c r="O166" i="3"/>
  <c r="N166" i="3"/>
  <c r="M166" i="3"/>
  <c r="K166" i="3"/>
  <c r="J166" i="3"/>
  <c r="I166" i="3"/>
  <c r="H166" i="3"/>
  <c r="G166" i="3"/>
  <c r="F166" i="3"/>
  <c r="E166" i="3"/>
  <c r="D166" i="3"/>
  <c r="C166" i="3"/>
  <c r="B166" i="3"/>
  <c r="A166" i="3"/>
  <c r="O165" i="3"/>
  <c r="N165" i="3"/>
  <c r="M165" i="3"/>
  <c r="K165" i="3"/>
  <c r="J165" i="3"/>
  <c r="I165" i="3"/>
  <c r="H165" i="3"/>
  <c r="G165" i="3"/>
  <c r="F165" i="3"/>
  <c r="E165" i="3"/>
  <c r="D165" i="3"/>
  <c r="C165" i="3"/>
  <c r="B165" i="3"/>
  <c r="A165" i="3"/>
  <c r="O164" i="3"/>
  <c r="N164" i="3"/>
  <c r="M164" i="3"/>
  <c r="K164" i="3"/>
  <c r="J164" i="3"/>
  <c r="I164" i="3"/>
  <c r="H164" i="3"/>
  <c r="G164" i="3"/>
  <c r="F164" i="3"/>
  <c r="E164" i="3"/>
  <c r="D164" i="3"/>
  <c r="C164" i="3"/>
  <c r="B164" i="3"/>
  <c r="A164" i="3"/>
  <c r="O163" i="3"/>
  <c r="N163" i="3"/>
  <c r="M163" i="3"/>
  <c r="K163" i="3"/>
  <c r="J163" i="3"/>
  <c r="I163" i="3"/>
  <c r="H163" i="3"/>
  <c r="G163" i="3"/>
  <c r="F163" i="3"/>
  <c r="E163" i="3"/>
  <c r="D163" i="3"/>
  <c r="C163" i="3"/>
  <c r="B163" i="3"/>
  <c r="A163" i="3"/>
  <c r="O162" i="3"/>
  <c r="N162" i="3"/>
  <c r="M162" i="3"/>
  <c r="K162" i="3"/>
  <c r="J162" i="3"/>
  <c r="I162" i="3"/>
  <c r="H162" i="3"/>
  <c r="G162" i="3"/>
  <c r="F162" i="3"/>
  <c r="E162" i="3"/>
  <c r="D162" i="3"/>
  <c r="C162" i="3"/>
  <c r="B162" i="3"/>
  <c r="A162" i="3"/>
  <c r="O161" i="3"/>
  <c r="N161" i="3"/>
  <c r="M161" i="3"/>
  <c r="K161" i="3"/>
  <c r="J161" i="3"/>
  <c r="I161" i="3"/>
  <c r="H161" i="3"/>
  <c r="G161" i="3"/>
  <c r="F161" i="3"/>
  <c r="E161" i="3"/>
  <c r="D161" i="3"/>
  <c r="C161" i="3"/>
  <c r="B161" i="3"/>
  <c r="A161" i="3"/>
  <c r="O160" i="3"/>
  <c r="N160" i="3"/>
  <c r="M160" i="3"/>
  <c r="K160" i="3"/>
  <c r="J160" i="3"/>
  <c r="I160" i="3"/>
  <c r="H160" i="3"/>
  <c r="G160" i="3"/>
  <c r="F160" i="3"/>
  <c r="E160" i="3"/>
  <c r="D160" i="3"/>
  <c r="C160" i="3"/>
  <c r="B160" i="3"/>
  <c r="A160" i="3"/>
  <c r="O159" i="3"/>
  <c r="N159" i="3"/>
  <c r="M159" i="3"/>
  <c r="K159" i="3"/>
  <c r="J159" i="3"/>
  <c r="I159" i="3"/>
  <c r="H159" i="3"/>
  <c r="G159" i="3"/>
  <c r="F159" i="3"/>
  <c r="E159" i="3"/>
  <c r="D159" i="3"/>
  <c r="C159" i="3"/>
  <c r="B159" i="3"/>
  <c r="A159" i="3"/>
  <c r="O158" i="3"/>
  <c r="N158" i="3"/>
  <c r="M158" i="3"/>
  <c r="K158" i="3"/>
  <c r="J158" i="3"/>
  <c r="I158" i="3"/>
  <c r="H158" i="3"/>
  <c r="G158" i="3"/>
  <c r="F158" i="3"/>
  <c r="E158" i="3"/>
  <c r="D158" i="3"/>
  <c r="C158" i="3"/>
  <c r="B158" i="3"/>
  <c r="A158" i="3"/>
  <c r="O157" i="3"/>
  <c r="N157" i="3"/>
  <c r="M157" i="3"/>
  <c r="K157" i="3"/>
  <c r="J157" i="3"/>
  <c r="I157" i="3"/>
  <c r="H157" i="3"/>
  <c r="G157" i="3"/>
  <c r="F157" i="3"/>
  <c r="E157" i="3"/>
  <c r="D157" i="3"/>
  <c r="C157" i="3"/>
  <c r="B157" i="3"/>
  <c r="A157" i="3"/>
  <c r="O156" i="3"/>
  <c r="N156" i="3"/>
  <c r="M156" i="3"/>
  <c r="K156" i="3"/>
  <c r="J156" i="3"/>
  <c r="I156" i="3"/>
  <c r="H156" i="3"/>
  <c r="G156" i="3"/>
  <c r="F156" i="3"/>
  <c r="E156" i="3"/>
  <c r="D156" i="3"/>
  <c r="C156" i="3"/>
  <c r="B156" i="3"/>
  <c r="A156" i="3"/>
  <c r="O155" i="3"/>
  <c r="N155" i="3"/>
  <c r="M155" i="3"/>
  <c r="K155" i="3"/>
  <c r="J155" i="3"/>
  <c r="I155" i="3"/>
  <c r="H155" i="3"/>
  <c r="G155" i="3"/>
  <c r="F155" i="3"/>
  <c r="E155" i="3"/>
  <c r="D155" i="3"/>
  <c r="C155" i="3"/>
  <c r="B155" i="3"/>
  <c r="A155" i="3"/>
  <c r="O154" i="3"/>
  <c r="N154" i="3"/>
  <c r="M154" i="3"/>
  <c r="K154" i="3"/>
  <c r="J154" i="3"/>
  <c r="I154" i="3"/>
  <c r="H154" i="3"/>
  <c r="G154" i="3"/>
  <c r="F154" i="3"/>
  <c r="E154" i="3"/>
  <c r="D154" i="3"/>
  <c r="C154" i="3"/>
  <c r="B154" i="3"/>
  <c r="A154" i="3"/>
  <c r="O153" i="3"/>
  <c r="N153" i="3"/>
  <c r="M153" i="3"/>
  <c r="K153" i="3"/>
  <c r="J153" i="3"/>
  <c r="I153" i="3"/>
  <c r="H153" i="3"/>
  <c r="G153" i="3"/>
  <c r="F153" i="3"/>
  <c r="E153" i="3"/>
  <c r="D153" i="3"/>
  <c r="C153" i="3"/>
  <c r="B153" i="3"/>
  <c r="A153" i="3"/>
  <c r="O152" i="3"/>
  <c r="N152" i="3"/>
  <c r="M152" i="3"/>
  <c r="K152" i="3"/>
  <c r="J152" i="3"/>
  <c r="I152" i="3"/>
  <c r="H152" i="3"/>
  <c r="G152" i="3"/>
  <c r="F152" i="3"/>
  <c r="E152" i="3"/>
  <c r="D152" i="3"/>
  <c r="C152" i="3"/>
  <c r="B152" i="3"/>
  <c r="A152" i="3"/>
  <c r="O151" i="3"/>
  <c r="N151" i="3"/>
  <c r="M151" i="3"/>
  <c r="K151" i="3"/>
  <c r="J151" i="3"/>
  <c r="I151" i="3"/>
  <c r="H151" i="3"/>
  <c r="G151" i="3"/>
  <c r="F151" i="3"/>
  <c r="E151" i="3"/>
  <c r="D151" i="3"/>
  <c r="C151" i="3"/>
  <c r="B151" i="3"/>
  <c r="A151" i="3"/>
  <c r="O150" i="3"/>
  <c r="N150" i="3"/>
  <c r="M150" i="3"/>
  <c r="K150" i="3"/>
  <c r="J150" i="3"/>
  <c r="I150" i="3"/>
  <c r="H150" i="3"/>
  <c r="G150" i="3"/>
  <c r="F150" i="3"/>
  <c r="E150" i="3"/>
  <c r="D150" i="3"/>
  <c r="C150" i="3"/>
  <c r="B150" i="3"/>
  <c r="A150" i="3"/>
  <c r="O149" i="3"/>
  <c r="N149" i="3"/>
  <c r="M149" i="3"/>
  <c r="K149" i="3"/>
  <c r="J149" i="3"/>
  <c r="I149" i="3"/>
  <c r="H149" i="3"/>
  <c r="G149" i="3"/>
  <c r="F149" i="3"/>
  <c r="E149" i="3"/>
  <c r="D149" i="3"/>
  <c r="C149" i="3"/>
  <c r="B149" i="3"/>
  <c r="A149" i="3"/>
  <c r="O148" i="3"/>
  <c r="N148" i="3"/>
  <c r="M148" i="3"/>
  <c r="K148" i="3"/>
  <c r="J148" i="3"/>
  <c r="I148" i="3"/>
  <c r="H148" i="3"/>
  <c r="G148" i="3"/>
  <c r="F148" i="3"/>
  <c r="E148" i="3"/>
  <c r="D148" i="3"/>
  <c r="C148" i="3"/>
  <c r="B148" i="3"/>
  <c r="A148" i="3"/>
  <c r="O147" i="3"/>
  <c r="N147" i="3"/>
  <c r="M147" i="3"/>
  <c r="K147" i="3"/>
  <c r="J147" i="3"/>
  <c r="I147" i="3"/>
  <c r="H147" i="3"/>
  <c r="G147" i="3"/>
  <c r="F147" i="3"/>
  <c r="E147" i="3"/>
  <c r="D147" i="3"/>
  <c r="C147" i="3"/>
  <c r="B147" i="3"/>
  <c r="A147" i="3"/>
  <c r="O146" i="3"/>
  <c r="N146" i="3"/>
  <c r="M146" i="3"/>
  <c r="K146" i="3"/>
  <c r="J146" i="3"/>
  <c r="I146" i="3"/>
  <c r="H146" i="3"/>
  <c r="G146" i="3"/>
  <c r="F146" i="3"/>
  <c r="E146" i="3"/>
  <c r="D146" i="3"/>
  <c r="C146" i="3"/>
  <c r="B146" i="3"/>
  <c r="A146" i="3"/>
  <c r="O145" i="3"/>
  <c r="N145" i="3"/>
  <c r="M145" i="3"/>
  <c r="K145" i="3"/>
  <c r="J145" i="3"/>
  <c r="I145" i="3"/>
  <c r="H145" i="3"/>
  <c r="G145" i="3"/>
  <c r="F145" i="3"/>
  <c r="E145" i="3"/>
  <c r="D145" i="3"/>
  <c r="C145" i="3"/>
  <c r="B145" i="3"/>
  <c r="A145" i="3"/>
  <c r="O144" i="3"/>
  <c r="N144" i="3"/>
  <c r="M144" i="3"/>
  <c r="K144" i="3"/>
  <c r="J144" i="3"/>
  <c r="I144" i="3"/>
  <c r="H144" i="3"/>
  <c r="G144" i="3"/>
  <c r="F144" i="3"/>
  <c r="E144" i="3"/>
  <c r="D144" i="3"/>
  <c r="C144" i="3"/>
  <c r="B144" i="3"/>
  <c r="A144" i="3"/>
  <c r="O143" i="3"/>
  <c r="N143" i="3"/>
  <c r="M143" i="3"/>
  <c r="K143" i="3"/>
  <c r="J143" i="3"/>
  <c r="I143" i="3"/>
  <c r="H143" i="3"/>
  <c r="G143" i="3"/>
  <c r="F143" i="3"/>
  <c r="E143" i="3"/>
  <c r="D143" i="3"/>
  <c r="C143" i="3"/>
  <c r="B143" i="3"/>
  <c r="A143" i="3"/>
  <c r="O142" i="3"/>
  <c r="N142" i="3"/>
  <c r="M142" i="3"/>
  <c r="K142" i="3"/>
  <c r="J142" i="3"/>
  <c r="I142" i="3"/>
  <c r="H142" i="3"/>
  <c r="G142" i="3"/>
  <c r="F142" i="3"/>
  <c r="E142" i="3"/>
  <c r="D142" i="3"/>
  <c r="C142" i="3"/>
  <c r="B142" i="3"/>
  <c r="A142" i="3"/>
  <c r="O141" i="3"/>
  <c r="N141" i="3"/>
  <c r="M141" i="3"/>
  <c r="K141" i="3"/>
  <c r="J141" i="3"/>
  <c r="I141" i="3"/>
  <c r="H141" i="3"/>
  <c r="G141" i="3"/>
  <c r="F141" i="3"/>
  <c r="E141" i="3"/>
  <c r="D141" i="3"/>
  <c r="C141" i="3"/>
  <c r="B141" i="3"/>
  <c r="A141" i="3"/>
  <c r="O140" i="3"/>
  <c r="N140" i="3"/>
  <c r="M140" i="3"/>
  <c r="K140" i="3"/>
  <c r="J140" i="3"/>
  <c r="I140" i="3"/>
  <c r="H140" i="3"/>
  <c r="G140" i="3"/>
  <c r="F140" i="3"/>
  <c r="E140" i="3"/>
  <c r="D140" i="3"/>
  <c r="C140" i="3"/>
  <c r="B140" i="3"/>
  <c r="A140" i="3"/>
  <c r="O139" i="3"/>
  <c r="N139" i="3"/>
  <c r="M139" i="3"/>
  <c r="K139" i="3"/>
  <c r="J139" i="3"/>
  <c r="I139" i="3"/>
  <c r="H139" i="3"/>
  <c r="G139" i="3"/>
  <c r="F139" i="3"/>
  <c r="E139" i="3"/>
  <c r="D139" i="3"/>
  <c r="C139" i="3"/>
  <c r="B139" i="3"/>
  <c r="A139" i="3"/>
  <c r="O138" i="3"/>
  <c r="N138" i="3"/>
  <c r="M138" i="3"/>
  <c r="K138" i="3"/>
  <c r="J138" i="3"/>
  <c r="I138" i="3"/>
  <c r="H138" i="3"/>
  <c r="G138" i="3"/>
  <c r="F138" i="3"/>
  <c r="E138" i="3"/>
  <c r="D138" i="3"/>
  <c r="C138" i="3"/>
  <c r="B138" i="3"/>
  <c r="A138" i="3"/>
  <c r="O137" i="3"/>
  <c r="N137" i="3"/>
  <c r="M137" i="3"/>
  <c r="K137" i="3"/>
  <c r="J137" i="3"/>
  <c r="I137" i="3"/>
  <c r="H137" i="3"/>
  <c r="G137" i="3"/>
  <c r="F137" i="3"/>
  <c r="E137" i="3"/>
  <c r="D137" i="3"/>
  <c r="C137" i="3"/>
  <c r="B137" i="3"/>
  <c r="A137" i="3"/>
  <c r="O136" i="3"/>
  <c r="N136" i="3"/>
  <c r="M136" i="3"/>
  <c r="K136" i="3"/>
  <c r="J136" i="3"/>
  <c r="I136" i="3"/>
  <c r="H136" i="3"/>
  <c r="G136" i="3"/>
  <c r="F136" i="3"/>
  <c r="E136" i="3"/>
  <c r="D136" i="3"/>
  <c r="C136" i="3"/>
  <c r="B136" i="3"/>
  <c r="A136" i="3"/>
  <c r="O135" i="3"/>
  <c r="N135" i="3"/>
  <c r="M135" i="3"/>
  <c r="K135" i="3"/>
  <c r="J135" i="3"/>
  <c r="I135" i="3"/>
  <c r="H135" i="3"/>
  <c r="G135" i="3"/>
  <c r="F135" i="3"/>
  <c r="E135" i="3"/>
  <c r="D135" i="3"/>
  <c r="C135" i="3"/>
  <c r="B135" i="3"/>
  <c r="A135" i="3"/>
  <c r="O134" i="3"/>
  <c r="N134" i="3"/>
  <c r="M134" i="3"/>
  <c r="K134" i="3"/>
  <c r="J134" i="3"/>
  <c r="I134" i="3"/>
  <c r="H134" i="3"/>
  <c r="G134" i="3"/>
  <c r="F134" i="3"/>
  <c r="E134" i="3"/>
  <c r="D134" i="3"/>
  <c r="C134" i="3"/>
  <c r="B134" i="3"/>
  <c r="A134" i="3"/>
  <c r="O133" i="3"/>
  <c r="N133" i="3"/>
  <c r="M133" i="3"/>
  <c r="K133" i="3"/>
  <c r="J133" i="3"/>
  <c r="I133" i="3"/>
  <c r="H133" i="3"/>
  <c r="G133" i="3"/>
  <c r="F133" i="3"/>
  <c r="E133" i="3"/>
  <c r="D133" i="3"/>
  <c r="C133" i="3"/>
  <c r="B133" i="3"/>
  <c r="A133" i="3"/>
  <c r="O132" i="3"/>
  <c r="N132" i="3"/>
  <c r="M132" i="3"/>
  <c r="K132" i="3"/>
  <c r="J132" i="3"/>
  <c r="I132" i="3"/>
  <c r="H132" i="3"/>
  <c r="G132" i="3"/>
  <c r="F132" i="3"/>
  <c r="E132" i="3"/>
  <c r="D132" i="3"/>
  <c r="C132" i="3"/>
  <c r="B132" i="3"/>
  <c r="A132" i="3"/>
  <c r="O131" i="3"/>
  <c r="N131" i="3"/>
  <c r="M131" i="3"/>
  <c r="K131" i="3"/>
  <c r="J131" i="3"/>
  <c r="I131" i="3"/>
  <c r="H131" i="3"/>
  <c r="G131" i="3"/>
  <c r="F131" i="3"/>
  <c r="E131" i="3"/>
  <c r="D131" i="3"/>
  <c r="C131" i="3"/>
  <c r="B131" i="3"/>
  <c r="A131" i="3"/>
  <c r="O130" i="3"/>
  <c r="N130" i="3"/>
  <c r="M130" i="3"/>
  <c r="K130" i="3"/>
  <c r="J130" i="3"/>
  <c r="I130" i="3"/>
  <c r="H130" i="3"/>
  <c r="G130" i="3"/>
  <c r="F130" i="3"/>
  <c r="E130" i="3"/>
  <c r="D130" i="3"/>
  <c r="C130" i="3"/>
  <c r="B130" i="3"/>
  <c r="A130" i="3"/>
  <c r="O129" i="3"/>
  <c r="N129" i="3"/>
  <c r="M129" i="3"/>
  <c r="K129" i="3"/>
  <c r="J129" i="3"/>
  <c r="I129" i="3"/>
  <c r="H129" i="3"/>
  <c r="G129" i="3"/>
  <c r="F129" i="3"/>
  <c r="E129" i="3"/>
  <c r="D129" i="3"/>
  <c r="C129" i="3"/>
  <c r="B129" i="3"/>
  <c r="A129" i="3"/>
  <c r="O128" i="3"/>
  <c r="N128" i="3"/>
  <c r="M128" i="3"/>
  <c r="K128" i="3"/>
  <c r="J128" i="3"/>
  <c r="I128" i="3"/>
  <c r="H128" i="3"/>
  <c r="G128" i="3"/>
  <c r="F128" i="3"/>
  <c r="E128" i="3"/>
  <c r="D128" i="3"/>
  <c r="C128" i="3"/>
  <c r="B128" i="3"/>
  <c r="A128" i="3"/>
  <c r="O127" i="3"/>
  <c r="N127" i="3"/>
  <c r="M127" i="3"/>
  <c r="K127" i="3"/>
  <c r="J127" i="3"/>
  <c r="I127" i="3"/>
  <c r="H127" i="3"/>
  <c r="G127" i="3"/>
  <c r="F127" i="3"/>
  <c r="E127" i="3"/>
  <c r="D127" i="3"/>
  <c r="C127" i="3"/>
  <c r="B127" i="3"/>
  <c r="A127" i="3"/>
  <c r="O126" i="3"/>
  <c r="N126" i="3"/>
  <c r="M126" i="3"/>
  <c r="K126" i="3"/>
  <c r="J126" i="3"/>
  <c r="I126" i="3"/>
  <c r="H126" i="3"/>
  <c r="G126" i="3"/>
  <c r="F126" i="3"/>
  <c r="E126" i="3"/>
  <c r="D126" i="3"/>
  <c r="C126" i="3"/>
  <c r="B126" i="3"/>
  <c r="A126" i="3"/>
  <c r="O125" i="3"/>
  <c r="N125" i="3"/>
  <c r="M125" i="3"/>
  <c r="K125" i="3"/>
  <c r="J125" i="3"/>
  <c r="I125" i="3"/>
  <c r="H125" i="3"/>
  <c r="G125" i="3"/>
  <c r="F125" i="3"/>
  <c r="E125" i="3"/>
  <c r="D125" i="3"/>
  <c r="C125" i="3"/>
  <c r="B125" i="3"/>
  <c r="A125" i="3"/>
  <c r="O124" i="3"/>
  <c r="N124" i="3"/>
  <c r="M124" i="3"/>
  <c r="K124" i="3"/>
  <c r="J124" i="3"/>
  <c r="I124" i="3"/>
  <c r="H124" i="3"/>
  <c r="G124" i="3"/>
  <c r="F124" i="3"/>
  <c r="E124" i="3"/>
  <c r="D124" i="3"/>
  <c r="C124" i="3"/>
  <c r="B124" i="3"/>
  <c r="A124" i="3"/>
  <c r="O123" i="3"/>
  <c r="N123" i="3"/>
  <c r="M123" i="3"/>
  <c r="K123" i="3"/>
  <c r="J123" i="3"/>
  <c r="I123" i="3"/>
  <c r="H123" i="3"/>
  <c r="G123" i="3"/>
  <c r="F123" i="3"/>
  <c r="E123" i="3"/>
  <c r="D123" i="3"/>
  <c r="C123" i="3"/>
  <c r="B123" i="3"/>
  <c r="A123" i="3"/>
  <c r="O122" i="3"/>
  <c r="N122" i="3"/>
  <c r="M122" i="3"/>
  <c r="K122" i="3"/>
  <c r="J122" i="3"/>
  <c r="I122" i="3"/>
  <c r="H122" i="3"/>
  <c r="G122" i="3"/>
  <c r="F122" i="3"/>
  <c r="E122" i="3"/>
  <c r="D122" i="3"/>
  <c r="C122" i="3"/>
  <c r="B122" i="3"/>
  <c r="A122" i="3"/>
  <c r="O121" i="3"/>
  <c r="N121" i="3"/>
  <c r="M121" i="3"/>
  <c r="K121" i="3"/>
  <c r="J121" i="3"/>
  <c r="I121" i="3"/>
  <c r="H121" i="3"/>
  <c r="G121" i="3"/>
  <c r="F121" i="3"/>
  <c r="E121" i="3"/>
  <c r="D121" i="3"/>
  <c r="C121" i="3"/>
  <c r="B121" i="3"/>
  <c r="A121" i="3"/>
  <c r="O120" i="3"/>
  <c r="N120" i="3"/>
  <c r="M120" i="3"/>
  <c r="K120" i="3"/>
  <c r="J120" i="3"/>
  <c r="I120" i="3"/>
  <c r="H120" i="3"/>
  <c r="G120" i="3"/>
  <c r="F120" i="3"/>
  <c r="E120" i="3"/>
  <c r="D120" i="3"/>
  <c r="C120" i="3"/>
  <c r="B120" i="3"/>
  <c r="A120" i="3"/>
  <c r="O119" i="3"/>
  <c r="N119" i="3"/>
  <c r="M119" i="3"/>
  <c r="K119" i="3"/>
  <c r="J119" i="3"/>
  <c r="I119" i="3"/>
  <c r="H119" i="3"/>
  <c r="G119" i="3"/>
  <c r="F119" i="3"/>
  <c r="E119" i="3"/>
  <c r="D119" i="3"/>
  <c r="C119" i="3"/>
  <c r="B119" i="3"/>
  <c r="A119" i="3"/>
  <c r="O118" i="3"/>
  <c r="N118" i="3"/>
  <c r="M118" i="3"/>
  <c r="K118" i="3"/>
  <c r="J118" i="3"/>
  <c r="I118" i="3"/>
  <c r="H118" i="3"/>
  <c r="G118" i="3"/>
  <c r="F118" i="3"/>
  <c r="E118" i="3"/>
  <c r="D118" i="3"/>
  <c r="C118" i="3"/>
  <c r="B118" i="3"/>
  <c r="A118" i="3"/>
  <c r="O117" i="3"/>
  <c r="N117" i="3"/>
  <c r="M117" i="3"/>
  <c r="K117" i="3"/>
  <c r="J117" i="3"/>
  <c r="I117" i="3"/>
  <c r="H117" i="3"/>
  <c r="G117" i="3"/>
  <c r="F117" i="3"/>
  <c r="E117" i="3"/>
  <c r="D117" i="3"/>
  <c r="C117" i="3"/>
  <c r="B117" i="3"/>
  <c r="A117" i="3"/>
  <c r="O116" i="3"/>
  <c r="N116" i="3"/>
  <c r="M116" i="3"/>
  <c r="K116" i="3"/>
  <c r="J116" i="3"/>
  <c r="I116" i="3"/>
  <c r="H116" i="3"/>
  <c r="G116" i="3"/>
  <c r="F116" i="3"/>
  <c r="E116" i="3"/>
  <c r="D116" i="3"/>
  <c r="C116" i="3"/>
  <c r="B116" i="3"/>
  <c r="A116" i="3"/>
  <c r="O115" i="3"/>
  <c r="N115" i="3"/>
  <c r="M115" i="3"/>
  <c r="K115" i="3"/>
  <c r="J115" i="3"/>
  <c r="I115" i="3"/>
  <c r="H115" i="3"/>
  <c r="G115" i="3"/>
  <c r="F115" i="3"/>
  <c r="E115" i="3"/>
  <c r="D115" i="3"/>
  <c r="C115" i="3"/>
  <c r="B115" i="3"/>
  <c r="A115" i="3"/>
  <c r="O114" i="3"/>
  <c r="N114" i="3"/>
  <c r="M114" i="3"/>
  <c r="K114" i="3"/>
  <c r="J114" i="3"/>
  <c r="I114" i="3"/>
  <c r="H114" i="3"/>
  <c r="G114" i="3"/>
  <c r="F114" i="3"/>
  <c r="E114" i="3"/>
  <c r="D114" i="3"/>
  <c r="C114" i="3"/>
  <c r="B114" i="3"/>
  <c r="A114" i="3"/>
  <c r="O113" i="3"/>
  <c r="N113" i="3"/>
  <c r="M113" i="3"/>
  <c r="K113" i="3"/>
  <c r="J113" i="3"/>
  <c r="I113" i="3"/>
  <c r="H113" i="3"/>
  <c r="G113" i="3"/>
  <c r="F113" i="3"/>
  <c r="E113" i="3"/>
  <c r="D113" i="3"/>
  <c r="C113" i="3"/>
  <c r="B113" i="3"/>
  <c r="A113" i="3"/>
  <c r="O112" i="3"/>
  <c r="N112" i="3"/>
  <c r="M112" i="3"/>
  <c r="K112" i="3"/>
  <c r="J112" i="3"/>
  <c r="I112" i="3"/>
  <c r="H112" i="3"/>
  <c r="G112" i="3"/>
  <c r="F112" i="3"/>
  <c r="E112" i="3"/>
  <c r="D112" i="3"/>
  <c r="C112" i="3"/>
  <c r="B112" i="3"/>
  <c r="A112" i="3"/>
  <c r="O111" i="3"/>
  <c r="N111" i="3"/>
  <c r="M111" i="3"/>
  <c r="K111" i="3"/>
  <c r="J111" i="3"/>
  <c r="I111" i="3"/>
  <c r="H111" i="3"/>
  <c r="G111" i="3"/>
  <c r="F111" i="3"/>
  <c r="E111" i="3"/>
  <c r="D111" i="3"/>
  <c r="C111" i="3"/>
  <c r="B111" i="3"/>
  <c r="A111" i="3"/>
  <c r="O110" i="3"/>
  <c r="N110" i="3"/>
  <c r="M110" i="3"/>
  <c r="K110" i="3"/>
  <c r="J110" i="3"/>
  <c r="I110" i="3"/>
  <c r="H110" i="3"/>
  <c r="G110" i="3"/>
  <c r="F110" i="3"/>
  <c r="E110" i="3"/>
  <c r="D110" i="3"/>
  <c r="C110" i="3"/>
  <c r="B110" i="3"/>
  <c r="A110" i="3"/>
  <c r="O109" i="3"/>
  <c r="N109" i="3"/>
  <c r="M109" i="3"/>
  <c r="K109" i="3"/>
  <c r="J109" i="3"/>
  <c r="I109" i="3"/>
  <c r="H109" i="3"/>
  <c r="G109" i="3"/>
  <c r="F109" i="3"/>
  <c r="E109" i="3"/>
  <c r="D109" i="3"/>
  <c r="C109" i="3"/>
  <c r="B109" i="3"/>
  <c r="A109" i="3"/>
  <c r="O108" i="3"/>
  <c r="N108" i="3"/>
  <c r="M108" i="3"/>
  <c r="K108" i="3"/>
  <c r="J108" i="3"/>
  <c r="I108" i="3"/>
  <c r="H108" i="3"/>
  <c r="G108" i="3"/>
  <c r="F108" i="3"/>
  <c r="E108" i="3"/>
  <c r="D108" i="3"/>
  <c r="C108" i="3"/>
  <c r="B108" i="3"/>
  <c r="A108" i="3"/>
  <c r="O107" i="3"/>
  <c r="N107" i="3"/>
  <c r="M107" i="3"/>
  <c r="K107" i="3"/>
  <c r="J107" i="3"/>
  <c r="I107" i="3"/>
  <c r="H107" i="3"/>
  <c r="G107" i="3"/>
  <c r="F107" i="3"/>
  <c r="E107" i="3"/>
  <c r="D107" i="3"/>
  <c r="C107" i="3"/>
  <c r="B107" i="3"/>
  <c r="A107" i="3"/>
  <c r="O106" i="3"/>
  <c r="N106" i="3"/>
  <c r="M106" i="3"/>
  <c r="K106" i="3"/>
  <c r="J106" i="3"/>
  <c r="I106" i="3"/>
  <c r="H106" i="3"/>
  <c r="G106" i="3"/>
  <c r="F106" i="3"/>
  <c r="E106" i="3"/>
  <c r="D106" i="3"/>
  <c r="C106" i="3"/>
  <c r="B106" i="3"/>
  <c r="A106" i="3"/>
  <c r="O105" i="3"/>
  <c r="N105" i="3"/>
  <c r="M105" i="3"/>
  <c r="K105" i="3"/>
  <c r="J105" i="3"/>
  <c r="I105" i="3"/>
  <c r="H105" i="3"/>
  <c r="G105" i="3"/>
  <c r="F105" i="3"/>
  <c r="E105" i="3"/>
  <c r="D105" i="3"/>
  <c r="C105" i="3"/>
  <c r="B105" i="3"/>
  <c r="A105" i="3"/>
  <c r="O104" i="3"/>
  <c r="N104" i="3"/>
  <c r="M104" i="3"/>
  <c r="K104" i="3"/>
  <c r="J104" i="3"/>
  <c r="I104" i="3"/>
  <c r="H104" i="3"/>
  <c r="G104" i="3"/>
  <c r="F104" i="3"/>
  <c r="E104" i="3"/>
  <c r="D104" i="3"/>
  <c r="C104" i="3"/>
  <c r="B104" i="3"/>
  <c r="A104" i="3"/>
  <c r="O103" i="3"/>
  <c r="N103" i="3"/>
  <c r="M103" i="3"/>
  <c r="K103" i="3"/>
  <c r="J103" i="3"/>
  <c r="I103" i="3"/>
  <c r="H103" i="3"/>
  <c r="G103" i="3"/>
  <c r="F103" i="3"/>
  <c r="E103" i="3"/>
  <c r="D103" i="3"/>
  <c r="C103" i="3"/>
  <c r="B103" i="3"/>
  <c r="A103" i="3"/>
  <c r="O102" i="3"/>
  <c r="N102" i="3"/>
  <c r="M102" i="3"/>
  <c r="K102" i="3"/>
  <c r="J102" i="3"/>
  <c r="I102" i="3"/>
  <c r="H102" i="3"/>
  <c r="G102" i="3"/>
  <c r="F102" i="3"/>
  <c r="E102" i="3"/>
  <c r="D102" i="3"/>
  <c r="C102" i="3"/>
  <c r="B102" i="3"/>
  <c r="A102" i="3"/>
  <c r="O101" i="3"/>
  <c r="N101" i="3"/>
  <c r="M101" i="3"/>
  <c r="K101" i="3"/>
  <c r="J101" i="3"/>
  <c r="I101" i="3"/>
  <c r="H101" i="3"/>
  <c r="G101" i="3"/>
  <c r="F101" i="3"/>
  <c r="E101" i="3"/>
  <c r="D101" i="3"/>
  <c r="C101" i="3"/>
  <c r="B101" i="3"/>
  <c r="A101" i="3"/>
  <c r="O100" i="3"/>
  <c r="N100" i="3"/>
  <c r="M100" i="3"/>
  <c r="K100" i="3"/>
  <c r="J100" i="3"/>
  <c r="I100" i="3"/>
  <c r="H100" i="3"/>
  <c r="G100" i="3"/>
  <c r="F100" i="3"/>
  <c r="E100" i="3"/>
  <c r="D100" i="3"/>
  <c r="C100" i="3"/>
  <c r="B100" i="3"/>
  <c r="A100" i="3"/>
  <c r="O99" i="3"/>
  <c r="N99" i="3"/>
  <c r="M99" i="3"/>
  <c r="K99" i="3"/>
  <c r="J99" i="3"/>
  <c r="I99" i="3"/>
  <c r="H99" i="3"/>
  <c r="G99" i="3"/>
  <c r="F99" i="3"/>
  <c r="E99" i="3"/>
  <c r="D99" i="3"/>
  <c r="C99" i="3"/>
  <c r="B99" i="3"/>
  <c r="A99" i="3"/>
  <c r="O98" i="3"/>
  <c r="N98" i="3"/>
  <c r="M98" i="3"/>
  <c r="K98" i="3"/>
  <c r="J98" i="3"/>
  <c r="I98" i="3"/>
  <c r="H98" i="3"/>
  <c r="G98" i="3"/>
  <c r="F98" i="3"/>
  <c r="E98" i="3"/>
  <c r="D98" i="3"/>
  <c r="C98" i="3"/>
  <c r="B98" i="3"/>
  <c r="A98" i="3"/>
  <c r="O97" i="3"/>
  <c r="N97" i="3"/>
  <c r="M97" i="3"/>
  <c r="K97" i="3"/>
  <c r="J97" i="3"/>
  <c r="I97" i="3"/>
  <c r="H97" i="3"/>
  <c r="G97" i="3"/>
  <c r="F97" i="3"/>
  <c r="E97" i="3"/>
  <c r="D97" i="3"/>
  <c r="C97" i="3"/>
  <c r="B97" i="3"/>
  <c r="A97" i="3"/>
  <c r="O96" i="3"/>
  <c r="N96" i="3"/>
  <c r="M96" i="3"/>
  <c r="K96" i="3"/>
  <c r="J96" i="3"/>
  <c r="I96" i="3"/>
  <c r="H96" i="3"/>
  <c r="G96" i="3"/>
  <c r="F96" i="3"/>
  <c r="E96" i="3"/>
  <c r="D96" i="3"/>
  <c r="C96" i="3"/>
  <c r="B96" i="3"/>
  <c r="A96" i="3"/>
  <c r="O95" i="3"/>
  <c r="N95" i="3"/>
  <c r="M95" i="3"/>
  <c r="K95" i="3"/>
  <c r="J95" i="3"/>
  <c r="I95" i="3"/>
  <c r="H95" i="3"/>
  <c r="G95" i="3"/>
  <c r="F95" i="3"/>
  <c r="E95" i="3"/>
  <c r="D95" i="3"/>
  <c r="C95" i="3"/>
  <c r="B95" i="3"/>
  <c r="A95" i="3"/>
  <c r="O94" i="3"/>
  <c r="N94" i="3"/>
  <c r="M94" i="3"/>
  <c r="K94" i="3"/>
  <c r="J94" i="3"/>
  <c r="I94" i="3"/>
  <c r="H94" i="3"/>
  <c r="G94" i="3"/>
  <c r="F94" i="3"/>
  <c r="E94" i="3"/>
  <c r="D94" i="3"/>
  <c r="C94" i="3"/>
  <c r="B94" i="3"/>
  <c r="A94" i="3"/>
  <c r="O93" i="3"/>
  <c r="N93" i="3"/>
  <c r="M93" i="3"/>
  <c r="K93" i="3"/>
  <c r="J93" i="3"/>
  <c r="I93" i="3"/>
  <c r="H93" i="3"/>
  <c r="G93" i="3"/>
  <c r="F93" i="3"/>
  <c r="E93" i="3"/>
  <c r="D93" i="3"/>
  <c r="C93" i="3"/>
  <c r="B93" i="3"/>
  <c r="A93" i="3"/>
  <c r="O92" i="3"/>
  <c r="N92" i="3"/>
  <c r="M92" i="3"/>
  <c r="K92" i="3"/>
  <c r="J92" i="3"/>
  <c r="I92" i="3"/>
  <c r="H92" i="3"/>
  <c r="G92" i="3"/>
  <c r="F92" i="3"/>
  <c r="E92" i="3"/>
  <c r="D92" i="3"/>
  <c r="C92" i="3"/>
  <c r="B92" i="3"/>
  <c r="A92" i="3"/>
  <c r="O91" i="3"/>
  <c r="N91" i="3"/>
  <c r="M91" i="3"/>
  <c r="K91" i="3"/>
  <c r="J91" i="3"/>
  <c r="I91" i="3"/>
  <c r="H91" i="3"/>
  <c r="G91" i="3"/>
  <c r="F91" i="3"/>
  <c r="E91" i="3"/>
  <c r="D91" i="3"/>
  <c r="C91" i="3"/>
  <c r="B91" i="3"/>
  <c r="A91" i="3"/>
  <c r="O90" i="3"/>
  <c r="N90" i="3"/>
  <c r="M90" i="3"/>
  <c r="K90" i="3"/>
  <c r="J90" i="3"/>
  <c r="I90" i="3"/>
  <c r="H90" i="3"/>
  <c r="G90" i="3"/>
  <c r="F90" i="3"/>
  <c r="E90" i="3"/>
  <c r="D90" i="3"/>
  <c r="C90" i="3"/>
  <c r="B90" i="3"/>
  <c r="A90" i="3"/>
  <c r="O89" i="3"/>
  <c r="N89" i="3"/>
  <c r="M89" i="3"/>
  <c r="K89" i="3"/>
  <c r="J89" i="3"/>
  <c r="I89" i="3"/>
  <c r="H89" i="3"/>
  <c r="G89" i="3"/>
  <c r="F89" i="3"/>
  <c r="E89" i="3"/>
  <c r="D89" i="3"/>
  <c r="C89" i="3"/>
  <c r="B89" i="3"/>
  <c r="A89" i="3"/>
  <c r="O88" i="3"/>
  <c r="N88" i="3"/>
  <c r="M88" i="3"/>
  <c r="K88" i="3"/>
  <c r="J88" i="3"/>
  <c r="I88" i="3"/>
  <c r="H88" i="3"/>
  <c r="G88" i="3"/>
  <c r="F88" i="3"/>
  <c r="E88" i="3"/>
  <c r="D88" i="3"/>
  <c r="C88" i="3"/>
  <c r="B88" i="3"/>
  <c r="A88" i="3"/>
  <c r="O87" i="3"/>
  <c r="N87" i="3"/>
  <c r="M87" i="3"/>
  <c r="K87" i="3"/>
  <c r="J87" i="3"/>
  <c r="I87" i="3"/>
  <c r="H87" i="3"/>
  <c r="G87" i="3"/>
  <c r="F87" i="3"/>
  <c r="E87" i="3"/>
  <c r="D87" i="3"/>
  <c r="C87" i="3"/>
  <c r="B87" i="3"/>
  <c r="A87" i="3"/>
  <c r="O86" i="3"/>
  <c r="N86" i="3"/>
  <c r="M86" i="3"/>
  <c r="K86" i="3"/>
  <c r="J86" i="3"/>
  <c r="I86" i="3"/>
  <c r="H86" i="3"/>
  <c r="G86" i="3"/>
  <c r="F86" i="3"/>
  <c r="E86" i="3"/>
  <c r="D86" i="3"/>
  <c r="C86" i="3"/>
  <c r="B86" i="3"/>
  <c r="A86" i="3"/>
  <c r="O85" i="3"/>
  <c r="N85" i="3"/>
  <c r="M85" i="3"/>
  <c r="K85" i="3"/>
  <c r="J85" i="3"/>
  <c r="I85" i="3"/>
  <c r="H85" i="3"/>
  <c r="G85" i="3"/>
  <c r="F85" i="3"/>
  <c r="E85" i="3"/>
  <c r="D85" i="3"/>
  <c r="C85" i="3"/>
  <c r="B85" i="3"/>
  <c r="A85" i="3"/>
  <c r="O84" i="3"/>
  <c r="N84" i="3"/>
  <c r="M84" i="3"/>
  <c r="K84" i="3"/>
  <c r="J84" i="3"/>
  <c r="I84" i="3"/>
  <c r="H84" i="3"/>
  <c r="G84" i="3"/>
  <c r="F84" i="3"/>
  <c r="E84" i="3"/>
  <c r="D84" i="3"/>
  <c r="C84" i="3"/>
  <c r="B84" i="3"/>
  <c r="A84" i="3"/>
  <c r="O83" i="3"/>
  <c r="N83" i="3"/>
  <c r="M83" i="3"/>
  <c r="K83" i="3"/>
  <c r="J83" i="3"/>
  <c r="I83" i="3"/>
  <c r="H83" i="3"/>
  <c r="G83" i="3"/>
  <c r="F83" i="3"/>
  <c r="E83" i="3"/>
  <c r="D83" i="3"/>
  <c r="C83" i="3"/>
  <c r="B83" i="3"/>
  <c r="A83" i="3"/>
  <c r="O82" i="3"/>
  <c r="N82" i="3"/>
  <c r="M82" i="3"/>
  <c r="K82" i="3"/>
  <c r="J82" i="3"/>
  <c r="I82" i="3"/>
  <c r="H82" i="3"/>
  <c r="G82" i="3"/>
  <c r="F82" i="3"/>
  <c r="E82" i="3"/>
  <c r="D82" i="3"/>
  <c r="C82" i="3"/>
  <c r="B82" i="3"/>
  <c r="A82" i="3"/>
  <c r="O81" i="3"/>
  <c r="N81" i="3"/>
  <c r="M81" i="3"/>
  <c r="K81" i="3"/>
  <c r="J81" i="3"/>
  <c r="I81" i="3"/>
  <c r="H81" i="3"/>
  <c r="G81" i="3"/>
  <c r="F81" i="3"/>
  <c r="E81" i="3"/>
  <c r="D81" i="3"/>
  <c r="C81" i="3"/>
  <c r="B81" i="3"/>
  <c r="A81" i="3"/>
  <c r="O80" i="3"/>
  <c r="N80" i="3"/>
  <c r="M80" i="3"/>
  <c r="K80" i="3"/>
  <c r="J80" i="3"/>
  <c r="I80" i="3"/>
  <c r="H80" i="3"/>
  <c r="G80" i="3"/>
  <c r="F80" i="3"/>
  <c r="E80" i="3"/>
  <c r="D80" i="3"/>
  <c r="C80" i="3"/>
  <c r="B80" i="3"/>
  <c r="A80" i="3"/>
  <c r="O79" i="3"/>
  <c r="N79" i="3"/>
  <c r="M79" i="3"/>
  <c r="K79" i="3"/>
  <c r="J79" i="3"/>
  <c r="I79" i="3"/>
  <c r="H79" i="3"/>
  <c r="G79" i="3"/>
  <c r="F79" i="3"/>
  <c r="E79" i="3"/>
  <c r="D79" i="3"/>
  <c r="C79" i="3"/>
  <c r="B79" i="3"/>
  <c r="A79" i="3"/>
  <c r="O78" i="3"/>
  <c r="N78" i="3"/>
  <c r="M78" i="3"/>
  <c r="K78" i="3"/>
  <c r="J78" i="3"/>
  <c r="I78" i="3"/>
  <c r="H78" i="3"/>
  <c r="G78" i="3"/>
  <c r="F78" i="3"/>
  <c r="E78" i="3"/>
  <c r="D78" i="3"/>
  <c r="C78" i="3"/>
  <c r="B78" i="3"/>
  <c r="A78" i="3"/>
  <c r="O77" i="3"/>
  <c r="N77" i="3"/>
  <c r="M77" i="3"/>
  <c r="K77" i="3"/>
  <c r="J77" i="3"/>
  <c r="I77" i="3"/>
  <c r="H77" i="3"/>
  <c r="G77" i="3"/>
  <c r="F77" i="3"/>
  <c r="E77" i="3"/>
  <c r="D77" i="3"/>
  <c r="C77" i="3"/>
  <c r="B77" i="3"/>
  <c r="A77" i="3"/>
  <c r="O76" i="3"/>
  <c r="N76" i="3"/>
  <c r="M76" i="3"/>
  <c r="K76" i="3"/>
  <c r="J76" i="3"/>
  <c r="I76" i="3"/>
  <c r="H76" i="3"/>
  <c r="G76" i="3"/>
  <c r="F76" i="3"/>
  <c r="E76" i="3"/>
  <c r="D76" i="3"/>
  <c r="C76" i="3"/>
  <c r="B76" i="3"/>
  <c r="A76" i="3"/>
  <c r="O75" i="3"/>
  <c r="N75" i="3"/>
  <c r="M75" i="3"/>
  <c r="K75" i="3"/>
  <c r="J75" i="3"/>
  <c r="I75" i="3"/>
  <c r="H75" i="3"/>
  <c r="G75" i="3"/>
  <c r="F75" i="3"/>
  <c r="E75" i="3"/>
  <c r="D75" i="3"/>
  <c r="C75" i="3"/>
  <c r="B75" i="3"/>
  <c r="A75" i="3"/>
  <c r="O74" i="3"/>
  <c r="N74" i="3"/>
  <c r="M74" i="3"/>
  <c r="K74" i="3"/>
  <c r="J74" i="3"/>
  <c r="I74" i="3"/>
  <c r="H74" i="3"/>
  <c r="G74" i="3"/>
  <c r="F74" i="3"/>
  <c r="E74" i="3"/>
  <c r="D74" i="3"/>
  <c r="C74" i="3"/>
  <c r="B74" i="3"/>
  <c r="A74" i="3"/>
  <c r="O73" i="3"/>
  <c r="N73" i="3"/>
  <c r="M73" i="3"/>
  <c r="K73" i="3"/>
  <c r="J73" i="3"/>
  <c r="I73" i="3"/>
  <c r="H73" i="3"/>
  <c r="G73" i="3"/>
  <c r="F73" i="3"/>
  <c r="E73" i="3"/>
  <c r="D73" i="3"/>
  <c r="C73" i="3"/>
  <c r="B73" i="3"/>
  <c r="A73" i="3"/>
  <c r="O72" i="3"/>
  <c r="N72" i="3"/>
  <c r="M72" i="3"/>
  <c r="K72" i="3"/>
  <c r="J72" i="3"/>
  <c r="I72" i="3"/>
  <c r="H72" i="3"/>
  <c r="G72" i="3"/>
  <c r="F72" i="3"/>
  <c r="E72" i="3"/>
  <c r="D72" i="3"/>
  <c r="C72" i="3"/>
  <c r="B72" i="3"/>
  <c r="A72" i="3"/>
  <c r="O71" i="3"/>
  <c r="N71" i="3"/>
  <c r="M71" i="3"/>
  <c r="K71" i="3"/>
  <c r="J71" i="3"/>
  <c r="I71" i="3"/>
  <c r="H71" i="3"/>
  <c r="G71" i="3"/>
  <c r="F71" i="3"/>
  <c r="E71" i="3"/>
  <c r="D71" i="3"/>
  <c r="C71" i="3"/>
  <c r="B71" i="3"/>
  <c r="A71" i="3"/>
  <c r="O70" i="3"/>
  <c r="N70" i="3"/>
  <c r="M70" i="3"/>
  <c r="K70" i="3"/>
  <c r="J70" i="3"/>
  <c r="I70" i="3"/>
  <c r="H70" i="3"/>
  <c r="G70" i="3"/>
  <c r="F70" i="3"/>
  <c r="E70" i="3"/>
  <c r="D70" i="3"/>
  <c r="C70" i="3"/>
  <c r="B70" i="3"/>
  <c r="A70" i="3"/>
  <c r="O69" i="3"/>
  <c r="N69" i="3"/>
  <c r="M69" i="3"/>
  <c r="K69" i="3"/>
  <c r="J69" i="3"/>
  <c r="I69" i="3"/>
  <c r="H69" i="3"/>
  <c r="G69" i="3"/>
  <c r="F69" i="3"/>
  <c r="E69" i="3"/>
  <c r="D69" i="3"/>
  <c r="C69" i="3"/>
  <c r="B69" i="3"/>
  <c r="A69" i="3"/>
  <c r="O68" i="3"/>
  <c r="N68" i="3"/>
  <c r="M68" i="3"/>
  <c r="K68" i="3"/>
  <c r="J68" i="3"/>
  <c r="I68" i="3"/>
  <c r="H68" i="3"/>
  <c r="G68" i="3"/>
  <c r="F68" i="3"/>
  <c r="E68" i="3"/>
  <c r="D68" i="3"/>
  <c r="C68" i="3"/>
  <c r="B68" i="3"/>
  <c r="A68" i="3"/>
  <c r="O67" i="3"/>
  <c r="N67" i="3"/>
  <c r="M67" i="3"/>
  <c r="K67" i="3"/>
  <c r="J67" i="3"/>
  <c r="I67" i="3"/>
  <c r="H67" i="3"/>
  <c r="G67" i="3"/>
  <c r="F67" i="3"/>
  <c r="E67" i="3"/>
  <c r="D67" i="3"/>
  <c r="C67" i="3"/>
  <c r="B67" i="3"/>
  <c r="A67" i="3"/>
  <c r="O66" i="3"/>
  <c r="N66" i="3"/>
  <c r="M66" i="3"/>
  <c r="K66" i="3"/>
  <c r="J66" i="3"/>
  <c r="I66" i="3"/>
  <c r="H66" i="3"/>
  <c r="G66" i="3"/>
  <c r="F66" i="3"/>
  <c r="E66" i="3"/>
  <c r="D66" i="3"/>
  <c r="C66" i="3"/>
  <c r="B66" i="3"/>
  <c r="A66" i="3"/>
  <c r="O65" i="3"/>
  <c r="N65" i="3"/>
  <c r="M65" i="3"/>
  <c r="K65" i="3"/>
  <c r="J65" i="3"/>
  <c r="I65" i="3"/>
  <c r="H65" i="3"/>
  <c r="G65" i="3"/>
  <c r="F65" i="3"/>
  <c r="E65" i="3"/>
  <c r="D65" i="3"/>
  <c r="C65" i="3"/>
  <c r="B65" i="3"/>
  <c r="A65" i="3"/>
  <c r="O64" i="3"/>
  <c r="N64" i="3"/>
  <c r="M64" i="3"/>
  <c r="K64" i="3"/>
  <c r="J64" i="3"/>
  <c r="I64" i="3"/>
  <c r="H64" i="3"/>
  <c r="G64" i="3"/>
  <c r="F64" i="3"/>
  <c r="E64" i="3"/>
  <c r="D64" i="3"/>
  <c r="C64" i="3"/>
  <c r="B64" i="3"/>
  <c r="A64" i="3"/>
  <c r="O63" i="3"/>
  <c r="N63" i="3"/>
  <c r="M63" i="3"/>
  <c r="K63" i="3"/>
  <c r="J63" i="3"/>
  <c r="I63" i="3"/>
  <c r="H63" i="3"/>
  <c r="G63" i="3"/>
  <c r="F63" i="3"/>
  <c r="E63" i="3"/>
  <c r="D63" i="3"/>
  <c r="C63" i="3"/>
  <c r="B63" i="3"/>
  <c r="A63" i="3"/>
  <c r="O62" i="3"/>
  <c r="N62" i="3"/>
  <c r="M62" i="3"/>
  <c r="K62" i="3"/>
  <c r="J62" i="3"/>
  <c r="I62" i="3"/>
  <c r="H62" i="3"/>
  <c r="G62" i="3"/>
  <c r="F62" i="3"/>
  <c r="E62" i="3"/>
  <c r="D62" i="3"/>
  <c r="C62" i="3"/>
  <c r="B62" i="3"/>
  <c r="A62" i="3"/>
  <c r="O61" i="3"/>
  <c r="N61" i="3"/>
  <c r="M61" i="3"/>
  <c r="K61" i="3"/>
  <c r="J61" i="3"/>
  <c r="I61" i="3"/>
  <c r="H61" i="3"/>
  <c r="G61" i="3"/>
  <c r="F61" i="3"/>
  <c r="E61" i="3"/>
  <c r="D61" i="3"/>
  <c r="C61" i="3"/>
  <c r="B61" i="3"/>
  <c r="A61" i="3"/>
  <c r="O60" i="3"/>
  <c r="N60" i="3"/>
  <c r="M60" i="3"/>
  <c r="K60" i="3"/>
  <c r="J60" i="3"/>
  <c r="I60" i="3"/>
  <c r="H60" i="3"/>
  <c r="G60" i="3"/>
  <c r="F60" i="3"/>
  <c r="E60" i="3"/>
  <c r="D60" i="3"/>
  <c r="C60" i="3"/>
  <c r="B60" i="3"/>
  <c r="A60" i="3"/>
  <c r="O59" i="3"/>
  <c r="N59" i="3"/>
  <c r="M59" i="3"/>
  <c r="K59" i="3"/>
  <c r="J59" i="3"/>
  <c r="I59" i="3"/>
  <c r="H59" i="3"/>
  <c r="G59" i="3"/>
  <c r="F59" i="3"/>
  <c r="E59" i="3"/>
  <c r="D59" i="3"/>
  <c r="C59" i="3"/>
  <c r="B59" i="3"/>
  <c r="A59" i="3"/>
  <c r="O58" i="3"/>
  <c r="N58" i="3"/>
  <c r="M58" i="3"/>
  <c r="K58" i="3"/>
  <c r="J58" i="3"/>
  <c r="I58" i="3"/>
  <c r="H58" i="3"/>
  <c r="G58" i="3"/>
  <c r="F58" i="3"/>
  <c r="E58" i="3"/>
  <c r="D58" i="3"/>
  <c r="C58" i="3"/>
  <c r="B58" i="3"/>
  <c r="A58" i="3"/>
  <c r="O57" i="3"/>
  <c r="N57" i="3"/>
  <c r="M57" i="3"/>
  <c r="K57" i="3"/>
  <c r="J57" i="3"/>
  <c r="I57" i="3"/>
  <c r="H57" i="3"/>
  <c r="G57" i="3"/>
  <c r="F57" i="3"/>
  <c r="E57" i="3"/>
  <c r="D57" i="3"/>
  <c r="C57" i="3"/>
  <c r="B57" i="3"/>
  <c r="A57" i="3"/>
  <c r="O56" i="3"/>
  <c r="N56" i="3"/>
  <c r="M56" i="3"/>
  <c r="K56" i="3"/>
  <c r="J56" i="3"/>
  <c r="I56" i="3"/>
  <c r="H56" i="3"/>
  <c r="G56" i="3"/>
  <c r="F56" i="3"/>
  <c r="E56" i="3"/>
  <c r="D56" i="3"/>
  <c r="C56" i="3"/>
  <c r="B56" i="3"/>
  <c r="A56" i="3"/>
  <c r="O55" i="3"/>
  <c r="N55" i="3"/>
  <c r="M55" i="3"/>
  <c r="K55" i="3"/>
  <c r="J55" i="3"/>
  <c r="I55" i="3"/>
  <c r="H55" i="3"/>
  <c r="G55" i="3"/>
  <c r="F55" i="3"/>
  <c r="E55" i="3"/>
  <c r="D55" i="3"/>
  <c r="C55" i="3"/>
  <c r="B55" i="3"/>
  <c r="A55" i="3"/>
  <c r="O54" i="3"/>
  <c r="N54" i="3"/>
  <c r="M54" i="3"/>
  <c r="K54" i="3"/>
  <c r="J54" i="3"/>
  <c r="I54" i="3"/>
  <c r="H54" i="3"/>
  <c r="G54" i="3"/>
  <c r="F54" i="3"/>
  <c r="E54" i="3"/>
  <c r="D54" i="3"/>
  <c r="C54" i="3"/>
  <c r="B54" i="3"/>
  <c r="A54" i="3"/>
  <c r="O53" i="3"/>
  <c r="N53" i="3"/>
  <c r="M53" i="3"/>
  <c r="K53" i="3"/>
  <c r="J53" i="3"/>
  <c r="I53" i="3"/>
  <c r="H53" i="3"/>
  <c r="G53" i="3"/>
  <c r="F53" i="3"/>
  <c r="E53" i="3"/>
  <c r="D53" i="3"/>
  <c r="C53" i="3"/>
  <c r="B53" i="3"/>
  <c r="A53" i="3"/>
  <c r="O52" i="3"/>
  <c r="N52" i="3"/>
  <c r="M52" i="3"/>
  <c r="K52" i="3"/>
  <c r="J52" i="3"/>
  <c r="I52" i="3"/>
  <c r="H52" i="3"/>
  <c r="G52" i="3"/>
  <c r="F52" i="3"/>
  <c r="E52" i="3"/>
  <c r="D52" i="3"/>
  <c r="C52" i="3"/>
  <c r="B52" i="3"/>
  <c r="A52" i="3"/>
  <c r="O51" i="3"/>
  <c r="N51" i="3"/>
  <c r="M51" i="3"/>
  <c r="K51" i="3"/>
  <c r="J51" i="3"/>
  <c r="I51" i="3"/>
  <c r="H51" i="3"/>
  <c r="G51" i="3"/>
  <c r="F51" i="3"/>
  <c r="E51" i="3"/>
  <c r="D51" i="3"/>
  <c r="C51" i="3"/>
  <c r="B51" i="3"/>
  <c r="A51" i="3"/>
  <c r="O50" i="3"/>
  <c r="N50" i="3"/>
  <c r="M50" i="3"/>
  <c r="K50" i="3"/>
  <c r="J50" i="3"/>
  <c r="I50" i="3"/>
  <c r="H50" i="3"/>
  <c r="G50" i="3"/>
  <c r="F50" i="3"/>
  <c r="E50" i="3"/>
  <c r="D50" i="3"/>
  <c r="C50" i="3"/>
  <c r="B50" i="3"/>
  <c r="A50" i="3"/>
  <c r="O49" i="3"/>
  <c r="N49" i="3"/>
  <c r="M49" i="3"/>
  <c r="K49" i="3"/>
  <c r="J49" i="3"/>
  <c r="I49" i="3"/>
  <c r="H49" i="3"/>
  <c r="G49" i="3"/>
  <c r="F49" i="3"/>
  <c r="E49" i="3"/>
  <c r="D49" i="3"/>
  <c r="C49" i="3"/>
  <c r="B49" i="3"/>
  <c r="A49" i="3"/>
  <c r="O48" i="3"/>
  <c r="N48" i="3"/>
  <c r="M48" i="3"/>
  <c r="K48" i="3"/>
  <c r="J48" i="3"/>
  <c r="I48" i="3"/>
  <c r="H48" i="3"/>
  <c r="G48" i="3"/>
  <c r="F48" i="3"/>
  <c r="E48" i="3"/>
  <c r="D48" i="3"/>
  <c r="C48" i="3"/>
  <c r="B48" i="3"/>
  <c r="A48" i="3"/>
  <c r="O47" i="3"/>
  <c r="N47" i="3"/>
  <c r="M47" i="3"/>
  <c r="K47" i="3"/>
  <c r="J47" i="3"/>
  <c r="I47" i="3"/>
  <c r="H47" i="3"/>
  <c r="G47" i="3"/>
  <c r="F47" i="3"/>
  <c r="E47" i="3"/>
  <c r="D47" i="3"/>
  <c r="C47" i="3"/>
  <c r="B47" i="3"/>
  <c r="A47" i="3"/>
  <c r="O46" i="3"/>
  <c r="N46" i="3"/>
  <c r="M46" i="3"/>
  <c r="K46" i="3"/>
  <c r="J46" i="3"/>
  <c r="I46" i="3"/>
  <c r="H46" i="3"/>
  <c r="G46" i="3"/>
  <c r="F46" i="3"/>
  <c r="E46" i="3"/>
  <c r="D46" i="3"/>
  <c r="C46" i="3"/>
  <c r="B46" i="3"/>
  <c r="A46" i="3"/>
  <c r="O45" i="3"/>
  <c r="N45" i="3"/>
  <c r="M45" i="3"/>
  <c r="K45" i="3"/>
  <c r="J45" i="3"/>
  <c r="I45" i="3"/>
  <c r="H45" i="3"/>
  <c r="G45" i="3"/>
  <c r="F45" i="3"/>
  <c r="E45" i="3"/>
  <c r="D45" i="3"/>
  <c r="C45" i="3"/>
  <c r="B45" i="3"/>
  <c r="A45" i="3"/>
  <c r="O44" i="3"/>
  <c r="N44" i="3"/>
  <c r="M44" i="3"/>
  <c r="K44" i="3"/>
  <c r="J44" i="3"/>
  <c r="I44" i="3"/>
  <c r="H44" i="3"/>
  <c r="G44" i="3"/>
  <c r="F44" i="3"/>
  <c r="E44" i="3"/>
  <c r="D44" i="3"/>
  <c r="C44" i="3"/>
  <c r="B44" i="3"/>
  <c r="A44" i="3"/>
  <c r="O43" i="3"/>
  <c r="N43" i="3"/>
  <c r="M43" i="3"/>
  <c r="K43" i="3"/>
  <c r="J43" i="3"/>
  <c r="I43" i="3"/>
  <c r="H43" i="3"/>
  <c r="G43" i="3"/>
  <c r="F43" i="3"/>
  <c r="E43" i="3"/>
  <c r="D43" i="3"/>
  <c r="C43" i="3"/>
  <c r="B43" i="3"/>
  <c r="A43" i="3"/>
  <c r="O42" i="3"/>
  <c r="N42" i="3"/>
  <c r="M42" i="3"/>
  <c r="K42" i="3"/>
  <c r="J42" i="3"/>
  <c r="I42" i="3"/>
  <c r="H42" i="3"/>
  <c r="G42" i="3"/>
  <c r="F42" i="3"/>
  <c r="E42" i="3"/>
  <c r="D42" i="3"/>
  <c r="C42" i="3"/>
  <c r="B42" i="3"/>
  <c r="A42" i="3"/>
  <c r="O41" i="3"/>
  <c r="N41" i="3"/>
  <c r="M41" i="3"/>
  <c r="K41" i="3"/>
  <c r="J41" i="3"/>
  <c r="I41" i="3"/>
  <c r="H41" i="3"/>
  <c r="G41" i="3"/>
  <c r="F41" i="3"/>
  <c r="E41" i="3"/>
  <c r="D41" i="3"/>
  <c r="C41" i="3"/>
  <c r="B41" i="3"/>
  <c r="A41" i="3"/>
  <c r="O40" i="3"/>
  <c r="N40" i="3"/>
  <c r="M40" i="3"/>
  <c r="K40" i="3"/>
  <c r="J40" i="3"/>
  <c r="I40" i="3"/>
  <c r="H40" i="3"/>
  <c r="G40" i="3"/>
  <c r="F40" i="3"/>
  <c r="E40" i="3"/>
  <c r="D40" i="3"/>
  <c r="C40" i="3"/>
  <c r="B40" i="3"/>
  <c r="A40" i="3"/>
  <c r="O39" i="3"/>
  <c r="N39" i="3"/>
  <c r="M39" i="3"/>
  <c r="K39" i="3"/>
  <c r="J39" i="3"/>
  <c r="I39" i="3"/>
  <c r="H39" i="3"/>
  <c r="G39" i="3"/>
  <c r="F39" i="3"/>
  <c r="E39" i="3"/>
  <c r="D39" i="3"/>
  <c r="C39" i="3"/>
  <c r="B39" i="3"/>
  <c r="A39" i="3"/>
  <c r="O38" i="3"/>
  <c r="N38" i="3"/>
  <c r="M38" i="3"/>
  <c r="K38" i="3"/>
  <c r="J38" i="3"/>
  <c r="I38" i="3"/>
  <c r="H38" i="3"/>
  <c r="G38" i="3"/>
  <c r="F38" i="3"/>
  <c r="E38" i="3"/>
  <c r="D38" i="3"/>
  <c r="C38" i="3"/>
  <c r="B38" i="3"/>
  <c r="A38" i="3"/>
  <c r="O37" i="3"/>
  <c r="N37" i="3"/>
  <c r="M37" i="3"/>
  <c r="K37" i="3"/>
  <c r="J37" i="3"/>
  <c r="I37" i="3"/>
  <c r="H37" i="3"/>
  <c r="G37" i="3"/>
  <c r="F37" i="3"/>
  <c r="E37" i="3"/>
  <c r="D37" i="3"/>
  <c r="C37" i="3"/>
  <c r="B37" i="3"/>
  <c r="A37" i="3"/>
  <c r="O36" i="3"/>
  <c r="N36" i="3"/>
  <c r="M36" i="3"/>
  <c r="K36" i="3"/>
  <c r="J36" i="3"/>
  <c r="I36" i="3"/>
  <c r="H36" i="3"/>
  <c r="G36" i="3"/>
  <c r="F36" i="3"/>
  <c r="E36" i="3"/>
  <c r="D36" i="3"/>
  <c r="C36" i="3"/>
  <c r="B36" i="3"/>
  <c r="A36" i="3"/>
  <c r="O35" i="3"/>
  <c r="N35" i="3"/>
  <c r="M35" i="3"/>
  <c r="K35" i="3"/>
  <c r="J35" i="3"/>
  <c r="I35" i="3"/>
  <c r="H35" i="3"/>
  <c r="G35" i="3"/>
  <c r="F35" i="3"/>
  <c r="E35" i="3"/>
  <c r="D35" i="3"/>
  <c r="C35" i="3"/>
  <c r="B35" i="3"/>
  <c r="A35" i="3"/>
  <c r="O34" i="3"/>
  <c r="N34" i="3"/>
  <c r="M34" i="3"/>
  <c r="K34" i="3"/>
  <c r="J34" i="3"/>
  <c r="I34" i="3"/>
  <c r="H34" i="3"/>
  <c r="G34" i="3"/>
  <c r="F34" i="3"/>
  <c r="E34" i="3"/>
  <c r="D34" i="3"/>
  <c r="C34" i="3"/>
  <c r="B34" i="3"/>
  <c r="A34" i="3"/>
  <c r="O33" i="3"/>
  <c r="N33" i="3"/>
  <c r="M33" i="3"/>
  <c r="K33" i="3"/>
  <c r="J33" i="3"/>
  <c r="I33" i="3"/>
  <c r="H33" i="3"/>
  <c r="G33" i="3"/>
  <c r="F33" i="3"/>
  <c r="E33" i="3"/>
  <c r="D33" i="3"/>
  <c r="C33" i="3"/>
  <c r="B33" i="3"/>
  <c r="A33" i="3"/>
  <c r="O32" i="3"/>
  <c r="N32" i="3"/>
  <c r="M32" i="3"/>
  <c r="K32" i="3"/>
  <c r="J32" i="3"/>
  <c r="I32" i="3"/>
  <c r="H32" i="3"/>
  <c r="G32" i="3"/>
  <c r="F32" i="3"/>
  <c r="E32" i="3"/>
  <c r="D32" i="3"/>
  <c r="C32" i="3"/>
  <c r="B32" i="3"/>
  <c r="A32" i="3"/>
  <c r="O31" i="3"/>
  <c r="N31" i="3"/>
  <c r="M31" i="3"/>
  <c r="K31" i="3"/>
  <c r="J31" i="3"/>
  <c r="I31" i="3"/>
  <c r="H31" i="3"/>
  <c r="G31" i="3"/>
  <c r="F31" i="3"/>
  <c r="E31" i="3"/>
  <c r="D31" i="3"/>
  <c r="C31" i="3"/>
  <c r="B31" i="3"/>
  <c r="A31" i="3"/>
  <c r="O30" i="3"/>
  <c r="N30" i="3"/>
  <c r="M30" i="3"/>
  <c r="K30" i="3"/>
  <c r="J30" i="3"/>
  <c r="I30" i="3"/>
  <c r="H30" i="3"/>
  <c r="G30" i="3"/>
  <c r="F30" i="3"/>
  <c r="E30" i="3"/>
  <c r="D30" i="3"/>
  <c r="C30" i="3"/>
  <c r="B30" i="3"/>
  <c r="A30" i="3"/>
  <c r="O29" i="3"/>
  <c r="N29" i="3"/>
  <c r="M29" i="3"/>
  <c r="K29" i="3"/>
  <c r="J29" i="3"/>
  <c r="I29" i="3"/>
  <c r="H29" i="3"/>
  <c r="G29" i="3"/>
  <c r="F29" i="3"/>
  <c r="E29" i="3"/>
  <c r="D29" i="3"/>
  <c r="C29" i="3"/>
  <c r="B29" i="3"/>
  <c r="A29" i="3"/>
  <c r="O28" i="3"/>
  <c r="N28" i="3"/>
  <c r="M28" i="3"/>
  <c r="K28" i="3"/>
  <c r="J28" i="3"/>
  <c r="I28" i="3"/>
  <c r="H28" i="3"/>
  <c r="G28" i="3"/>
  <c r="F28" i="3"/>
  <c r="E28" i="3"/>
  <c r="D28" i="3"/>
  <c r="C28" i="3"/>
  <c r="B28" i="3"/>
  <c r="A28" i="3"/>
  <c r="O27" i="3"/>
  <c r="N27" i="3"/>
  <c r="M27" i="3"/>
  <c r="K27" i="3"/>
  <c r="J27" i="3"/>
  <c r="I27" i="3"/>
  <c r="H27" i="3"/>
  <c r="G27" i="3"/>
  <c r="F27" i="3"/>
  <c r="E27" i="3"/>
  <c r="D27" i="3"/>
  <c r="C27" i="3"/>
  <c r="B27" i="3"/>
  <c r="A27" i="3"/>
  <c r="O26" i="3"/>
  <c r="N26" i="3"/>
  <c r="M26" i="3"/>
  <c r="K26" i="3"/>
  <c r="J26" i="3"/>
  <c r="I26" i="3"/>
  <c r="H26" i="3"/>
  <c r="G26" i="3"/>
  <c r="F26" i="3"/>
  <c r="E26" i="3"/>
  <c r="D26" i="3"/>
  <c r="C26" i="3"/>
  <c r="B26" i="3"/>
  <c r="A26" i="3"/>
  <c r="O25" i="3"/>
  <c r="N25" i="3"/>
  <c r="M25" i="3"/>
  <c r="K25" i="3"/>
  <c r="J25" i="3"/>
  <c r="I25" i="3"/>
  <c r="H25" i="3"/>
  <c r="G25" i="3"/>
  <c r="F25" i="3"/>
  <c r="E25" i="3"/>
  <c r="D25" i="3"/>
  <c r="C25" i="3"/>
  <c r="B25" i="3"/>
  <c r="A25" i="3"/>
  <c r="O24" i="3"/>
  <c r="N24" i="3"/>
  <c r="M24" i="3"/>
  <c r="K24" i="3"/>
  <c r="J24" i="3"/>
  <c r="I24" i="3"/>
  <c r="H24" i="3"/>
  <c r="G24" i="3"/>
  <c r="F24" i="3"/>
  <c r="E24" i="3"/>
  <c r="D24" i="3"/>
  <c r="C24" i="3"/>
  <c r="B24" i="3"/>
  <c r="A24" i="3"/>
  <c r="O23" i="3"/>
  <c r="N23" i="3"/>
  <c r="M23" i="3"/>
  <c r="K23" i="3"/>
  <c r="J23" i="3"/>
  <c r="I23" i="3"/>
  <c r="H23" i="3"/>
  <c r="G23" i="3"/>
  <c r="F23" i="3"/>
  <c r="E23" i="3"/>
  <c r="D23" i="3"/>
  <c r="C23" i="3"/>
  <c r="B23" i="3"/>
  <c r="A23" i="3"/>
  <c r="O22" i="3"/>
  <c r="N22" i="3"/>
  <c r="M22" i="3"/>
  <c r="K22" i="3"/>
  <c r="J22" i="3"/>
  <c r="I22" i="3"/>
  <c r="H22" i="3"/>
  <c r="G22" i="3"/>
  <c r="F22" i="3"/>
  <c r="E22" i="3"/>
  <c r="D22" i="3"/>
  <c r="C22" i="3"/>
  <c r="B22" i="3"/>
  <c r="A22" i="3"/>
  <c r="O21" i="3"/>
  <c r="N21" i="3"/>
  <c r="M21" i="3"/>
  <c r="K21" i="3"/>
  <c r="J21" i="3"/>
  <c r="I21" i="3"/>
  <c r="H21" i="3"/>
  <c r="G21" i="3"/>
  <c r="F21" i="3"/>
  <c r="E21" i="3"/>
  <c r="D21" i="3"/>
  <c r="C21" i="3"/>
  <c r="B21" i="3"/>
  <c r="A21" i="3"/>
  <c r="O20" i="3"/>
  <c r="N20" i="3"/>
  <c r="M20" i="3"/>
  <c r="K20" i="3"/>
  <c r="J20" i="3"/>
  <c r="I20" i="3"/>
  <c r="H20" i="3"/>
  <c r="G20" i="3"/>
  <c r="F20" i="3"/>
  <c r="E20" i="3"/>
  <c r="D20" i="3"/>
  <c r="C20" i="3"/>
  <c r="B20" i="3"/>
  <c r="A20" i="3"/>
  <c r="O19" i="3"/>
  <c r="N19" i="3"/>
  <c r="M19" i="3"/>
  <c r="K19" i="3"/>
  <c r="J19" i="3"/>
  <c r="I19" i="3"/>
  <c r="H19" i="3"/>
  <c r="G19" i="3"/>
  <c r="F19" i="3"/>
  <c r="E19" i="3"/>
  <c r="D19" i="3"/>
  <c r="C19" i="3"/>
  <c r="B19" i="3"/>
  <c r="A19" i="3"/>
  <c r="O18" i="3"/>
  <c r="N18" i="3"/>
  <c r="M18" i="3"/>
  <c r="K18" i="3"/>
  <c r="J18" i="3"/>
  <c r="I18" i="3"/>
  <c r="H18" i="3"/>
  <c r="G18" i="3"/>
  <c r="F18" i="3"/>
  <c r="E18" i="3"/>
  <c r="D18" i="3"/>
  <c r="C18" i="3"/>
  <c r="B18" i="3"/>
  <c r="A18" i="3"/>
  <c r="O17" i="3"/>
  <c r="N17" i="3"/>
  <c r="M17" i="3"/>
  <c r="K17" i="3"/>
  <c r="J17" i="3"/>
  <c r="I17" i="3"/>
  <c r="H17" i="3"/>
  <c r="G17" i="3"/>
  <c r="F17" i="3"/>
  <c r="E17" i="3"/>
  <c r="D17" i="3"/>
  <c r="C17" i="3"/>
  <c r="B17" i="3"/>
  <c r="A17" i="3"/>
  <c r="O16" i="3"/>
  <c r="N16" i="3"/>
  <c r="M16" i="3"/>
  <c r="K16" i="3"/>
  <c r="J16" i="3"/>
  <c r="I16" i="3"/>
  <c r="H16" i="3"/>
  <c r="G16" i="3"/>
  <c r="F16" i="3"/>
  <c r="E16" i="3"/>
  <c r="D16" i="3"/>
  <c r="C16" i="3"/>
  <c r="B16" i="3"/>
  <c r="A16" i="3"/>
  <c r="O15" i="3"/>
  <c r="N15" i="3"/>
  <c r="M15" i="3"/>
  <c r="K15" i="3"/>
  <c r="J15" i="3"/>
  <c r="I15" i="3"/>
  <c r="H15" i="3"/>
  <c r="G15" i="3"/>
  <c r="F15" i="3"/>
  <c r="E15" i="3"/>
  <c r="D15" i="3"/>
  <c r="C15" i="3"/>
  <c r="B15" i="3"/>
  <c r="A15" i="3"/>
  <c r="O14" i="3"/>
  <c r="N14" i="3"/>
  <c r="M14" i="3"/>
  <c r="K14" i="3"/>
  <c r="J14" i="3"/>
  <c r="I14" i="3"/>
  <c r="H14" i="3"/>
  <c r="G14" i="3"/>
  <c r="F14" i="3"/>
  <c r="E14" i="3"/>
  <c r="D14" i="3"/>
  <c r="C14" i="3"/>
  <c r="B14" i="3"/>
  <c r="A14" i="3"/>
  <c r="O13" i="3"/>
  <c r="N13" i="3"/>
  <c r="M13" i="3"/>
  <c r="K13" i="3"/>
  <c r="J13" i="3"/>
  <c r="I13" i="3"/>
  <c r="H13" i="3"/>
  <c r="G13" i="3"/>
  <c r="F13" i="3"/>
  <c r="E13" i="3"/>
  <c r="D13" i="3"/>
  <c r="C13" i="3"/>
  <c r="B13" i="3"/>
  <c r="A13" i="3"/>
  <c r="O12" i="3"/>
  <c r="N12" i="3"/>
  <c r="M12" i="3"/>
  <c r="K12" i="3"/>
  <c r="J12" i="3"/>
  <c r="I12" i="3"/>
  <c r="H12" i="3"/>
  <c r="G12" i="3"/>
  <c r="F12" i="3"/>
  <c r="E12" i="3"/>
  <c r="D12" i="3"/>
  <c r="C12" i="3"/>
  <c r="B12" i="3"/>
  <c r="A12" i="3"/>
  <c r="O11" i="3"/>
  <c r="N11" i="3"/>
  <c r="M11" i="3"/>
  <c r="K11" i="3"/>
  <c r="J11" i="3"/>
  <c r="I11" i="3"/>
  <c r="H11" i="3"/>
  <c r="G11" i="3"/>
  <c r="F11" i="3"/>
  <c r="E11" i="3"/>
  <c r="D11" i="3"/>
  <c r="C11" i="3"/>
  <c r="B11" i="3"/>
  <c r="A11" i="3"/>
  <c r="O10" i="3"/>
  <c r="N10" i="3"/>
  <c r="M10" i="3"/>
  <c r="K10" i="3"/>
  <c r="J10" i="3"/>
  <c r="I10" i="3"/>
  <c r="H10" i="3"/>
  <c r="G10" i="3"/>
  <c r="F10" i="3"/>
  <c r="E10" i="3"/>
  <c r="D10" i="3"/>
  <c r="C10" i="3"/>
  <c r="B10" i="3"/>
  <c r="A10" i="3"/>
  <c r="O9" i="3"/>
  <c r="N9" i="3"/>
  <c r="M9" i="3"/>
  <c r="K9" i="3"/>
  <c r="J9" i="3"/>
  <c r="I9" i="3"/>
  <c r="H9" i="3"/>
  <c r="G9" i="3"/>
  <c r="F9" i="3"/>
  <c r="E9" i="3"/>
  <c r="D9" i="3"/>
  <c r="C9" i="3"/>
  <c r="B9" i="3"/>
  <c r="A9" i="3"/>
  <c r="O8" i="3"/>
  <c r="N8" i="3"/>
  <c r="M8" i="3"/>
  <c r="K8" i="3"/>
  <c r="J8" i="3"/>
  <c r="I8" i="3"/>
  <c r="H8" i="3"/>
  <c r="G8" i="3"/>
  <c r="F8" i="3"/>
  <c r="E8" i="3"/>
  <c r="D8" i="3"/>
  <c r="C8" i="3"/>
  <c r="B8" i="3"/>
  <c r="A8" i="3"/>
  <c r="O7" i="3"/>
  <c r="N7" i="3"/>
  <c r="M7" i="3"/>
  <c r="K7" i="3"/>
  <c r="J7" i="3"/>
  <c r="I7" i="3"/>
  <c r="H7" i="3"/>
  <c r="G7" i="3"/>
  <c r="F7" i="3"/>
  <c r="E7" i="3"/>
  <c r="D7" i="3"/>
  <c r="C7" i="3"/>
  <c r="B7" i="3"/>
  <c r="A7" i="3"/>
  <c r="O6" i="3"/>
  <c r="N6" i="3"/>
  <c r="M6" i="3"/>
  <c r="K6" i="3"/>
  <c r="J6" i="3"/>
  <c r="I6" i="3"/>
  <c r="H6" i="3"/>
  <c r="G6" i="3"/>
  <c r="F6" i="3"/>
  <c r="E6" i="3"/>
  <c r="D6" i="3"/>
  <c r="C6" i="3"/>
  <c r="B6" i="3"/>
  <c r="A6" i="3"/>
  <c r="O5" i="3"/>
  <c r="N5" i="3"/>
  <c r="M5" i="3"/>
  <c r="K5" i="3"/>
  <c r="J5" i="3"/>
  <c r="I5" i="3"/>
  <c r="H5" i="3"/>
  <c r="G5" i="3"/>
  <c r="F5" i="3"/>
  <c r="E5" i="3"/>
  <c r="D5" i="3"/>
  <c r="C5" i="3"/>
  <c r="B5" i="3"/>
  <c r="A5" i="3"/>
  <c r="O4" i="3"/>
  <c r="N4" i="3"/>
  <c r="K4" i="3"/>
  <c r="J4" i="3"/>
  <c r="I4" i="3"/>
  <c r="H4" i="3"/>
  <c r="G4" i="3"/>
  <c r="F4" i="3"/>
  <c r="E4" i="3"/>
  <c r="D4" i="3"/>
  <c r="C4" i="3"/>
  <c r="B4" i="3"/>
  <c r="A4" i="3"/>
  <c r="O3" i="3"/>
  <c r="N3" i="3"/>
  <c r="M3" i="3"/>
  <c r="K3" i="3"/>
  <c r="J3" i="3"/>
  <c r="I3" i="3"/>
  <c r="H3" i="3"/>
  <c r="G3" i="3"/>
  <c r="F3" i="3"/>
  <c r="E3" i="3"/>
  <c r="D3" i="3"/>
  <c r="C3" i="3"/>
  <c r="B3" i="3"/>
  <c r="A3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4" i="1"/>
  <c r="M1244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2" i="1"/>
  <c r="M1052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5" i="1"/>
  <c r="M1025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M1015" i="1"/>
  <c r="L1015" i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896" i="3" l="1"/>
  <c r="M896" i="1"/>
  <c r="L895" i="3"/>
  <c r="M895" i="1"/>
  <c r="L894" i="3"/>
  <c r="M894" i="1"/>
  <c r="L893" i="3"/>
  <c r="M893" i="1"/>
  <c r="L892" i="3"/>
  <c r="M892" i="1"/>
  <c r="L891" i="3"/>
  <c r="M891" i="1"/>
  <c r="L890" i="3"/>
  <c r="M890" i="1"/>
  <c r="L889" i="3"/>
  <c r="M889" i="1"/>
  <c r="L888" i="3"/>
  <c r="M888" i="1"/>
  <c r="L887" i="3"/>
  <c r="M887" i="1"/>
  <c r="L886" i="3"/>
  <c r="M886" i="1"/>
  <c r="L885" i="3"/>
  <c r="M885" i="1"/>
  <c r="M884" i="1"/>
  <c r="L884" i="3"/>
  <c r="M883" i="1"/>
  <c r="L883" i="3"/>
  <c r="M882" i="1"/>
  <c r="L882" i="3"/>
  <c r="M881" i="1"/>
  <c r="L881" i="3"/>
  <c r="M880" i="1"/>
  <c r="L880" i="3"/>
  <c r="M879" i="1"/>
  <c r="L879" i="3"/>
  <c r="M878" i="1"/>
  <c r="L878" i="3"/>
  <c r="M877" i="1"/>
  <c r="L877" i="3"/>
  <c r="L876" i="3"/>
  <c r="M876" i="1"/>
  <c r="L875" i="3"/>
  <c r="M875" i="1"/>
  <c r="L874" i="3"/>
  <c r="M874" i="1"/>
  <c r="L873" i="3"/>
  <c r="M873" i="1"/>
  <c r="L872" i="3"/>
  <c r="M872" i="1"/>
  <c r="L871" i="3"/>
  <c r="M871" i="1"/>
  <c r="L870" i="3"/>
  <c r="M870" i="1"/>
  <c r="L869" i="3"/>
  <c r="M869" i="1"/>
  <c r="L868" i="3"/>
  <c r="M868" i="1"/>
  <c r="L867" i="3"/>
  <c r="M867" i="1"/>
  <c r="L866" i="3"/>
  <c r="M866" i="1"/>
  <c r="L865" i="3"/>
  <c r="M865" i="1"/>
  <c r="L864" i="3"/>
  <c r="M864" i="1"/>
  <c r="L863" i="3"/>
  <c r="M863" i="1"/>
  <c r="L862" i="3"/>
  <c r="M862" i="1"/>
  <c r="M861" i="1"/>
  <c r="L861" i="3"/>
  <c r="M860" i="1"/>
  <c r="L860" i="3"/>
  <c r="M859" i="1"/>
  <c r="L859" i="3"/>
  <c r="M858" i="1"/>
  <c r="L858" i="3"/>
  <c r="L857" i="3"/>
  <c r="M857" i="1"/>
  <c r="L856" i="3"/>
  <c r="M856" i="1"/>
  <c r="M855" i="1"/>
  <c r="L855" i="3"/>
  <c r="L854" i="3"/>
  <c r="M854" i="1"/>
  <c r="L853" i="3"/>
  <c r="M853" i="1"/>
  <c r="M852" i="1"/>
  <c r="L852" i="3"/>
  <c r="L851" i="3"/>
  <c r="M851" i="1"/>
  <c r="L850" i="3"/>
  <c r="M850" i="1"/>
  <c r="M849" i="1"/>
  <c r="L849" i="3"/>
  <c r="M848" i="1"/>
  <c r="L848" i="3"/>
  <c r="M847" i="1"/>
  <c r="L847" i="3"/>
  <c r="L846" i="3"/>
  <c r="M846" i="1"/>
  <c r="L845" i="3"/>
  <c r="M845" i="1"/>
  <c r="L844" i="3"/>
  <c r="M844" i="1"/>
  <c r="L843" i="3"/>
  <c r="M843" i="1"/>
  <c r="L842" i="3"/>
  <c r="M842" i="1"/>
  <c r="L841" i="3"/>
  <c r="M841" i="1"/>
  <c r="L840" i="3"/>
  <c r="M840" i="1"/>
  <c r="L839" i="3"/>
  <c r="M839" i="1"/>
  <c r="L838" i="3"/>
  <c r="M838" i="1"/>
  <c r="M837" i="1"/>
  <c r="L837" i="3"/>
  <c r="M836" i="1"/>
  <c r="L836" i="3"/>
  <c r="L835" i="3"/>
  <c r="M835" i="1"/>
  <c r="M834" i="1"/>
  <c r="L834" i="3"/>
  <c r="M833" i="1"/>
  <c r="L833" i="3"/>
  <c r="M832" i="1"/>
  <c r="L832" i="3"/>
  <c r="M831" i="1"/>
  <c r="L831" i="3"/>
  <c r="M830" i="1"/>
  <c r="L830" i="3"/>
  <c r="M829" i="1"/>
  <c r="L829" i="3"/>
  <c r="M828" i="1"/>
  <c r="L828" i="3"/>
  <c r="M827" i="1"/>
  <c r="L827" i="3"/>
  <c r="M826" i="1"/>
  <c r="L826" i="3"/>
  <c r="M825" i="1"/>
  <c r="L825" i="3"/>
  <c r="M824" i="1"/>
  <c r="L824" i="3"/>
  <c r="M823" i="1"/>
  <c r="L823" i="3"/>
  <c r="L822" i="3"/>
  <c r="M822" i="1"/>
  <c r="L821" i="3"/>
  <c r="M821" i="1"/>
  <c r="L820" i="3"/>
  <c r="M820" i="1"/>
  <c r="L819" i="3"/>
  <c r="M819" i="1"/>
  <c r="L818" i="3"/>
  <c r="M818" i="1"/>
  <c r="L817" i="3"/>
  <c r="M817" i="1"/>
  <c r="L816" i="3"/>
  <c r="M816" i="1"/>
  <c r="L815" i="3"/>
  <c r="M815" i="1"/>
  <c r="L814" i="3"/>
  <c r="M814" i="1"/>
  <c r="L813" i="3"/>
  <c r="M813" i="1"/>
  <c r="L812" i="3"/>
  <c r="M812" i="1"/>
  <c r="L811" i="3"/>
  <c r="M811" i="1"/>
  <c r="L810" i="3"/>
  <c r="M810" i="1"/>
  <c r="L809" i="3"/>
  <c r="M809" i="1"/>
  <c r="L808" i="3"/>
  <c r="M808" i="1"/>
  <c r="L807" i="3"/>
  <c r="M807" i="1"/>
  <c r="L806" i="3"/>
  <c r="M806" i="1"/>
  <c r="M805" i="1"/>
  <c r="L805" i="3"/>
  <c r="L804" i="3"/>
  <c r="M804" i="1"/>
  <c r="L803" i="3"/>
  <c r="M803" i="1"/>
  <c r="L802" i="3"/>
  <c r="M802" i="1"/>
  <c r="L801" i="3"/>
  <c r="M801" i="1"/>
  <c r="L800" i="3"/>
  <c r="M800" i="1"/>
  <c r="L799" i="3"/>
  <c r="M799" i="1"/>
  <c r="M798" i="1"/>
  <c r="L798" i="3"/>
  <c r="L797" i="3"/>
  <c r="M797" i="1"/>
  <c r="M796" i="1"/>
  <c r="L796" i="3"/>
  <c r="M795" i="1"/>
  <c r="L795" i="3"/>
  <c r="L794" i="3"/>
  <c r="M794" i="1"/>
  <c r="L793" i="3"/>
  <c r="M793" i="1"/>
  <c r="L792" i="3"/>
  <c r="M792" i="1"/>
  <c r="M791" i="1"/>
  <c r="L791" i="3"/>
  <c r="M790" i="1"/>
  <c r="L790" i="3"/>
  <c r="M789" i="1"/>
  <c r="L789" i="3"/>
  <c r="M788" i="1"/>
  <c r="L788" i="3"/>
  <c r="M787" i="1"/>
  <c r="L787" i="3"/>
  <c r="M786" i="1"/>
  <c r="L786" i="3"/>
  <c r="M785" i="1"/>
  <c r="L785" i="3"/>
  <c r="M784" i="1"/>
  <c r="L784" i="3"/>
  <c r="M783" i="1"/>
  <c r="L783" i="3"/>
  <c r="M782" i="1"/>
  <c r="L782" i="3"/>
  <c r="L781" i="3"/>
  <c r="M781" i="1"/>
  <c r="L780" i="3"/>
  <c r="M780" i="1"/>
  <c r="L779" i="3"/>
  <c r="M779" i="1"/>
  <c r="L778" i="3"/>
  <c r="M778" i="1"/>
  <c r="L777" i="3"/>
  <c r="M777" i="1"/>
  <c r="L776" i="3"/>
  <c r="M776" i="1"/>
  <c r="L775" i="3"/>
  <c r="M775" i="1"/>
  <c r="L774" i="3"/>
  <c r="M774" i="1"/>
  <c r="L773" i="3"/>
  <c r="M773" i="1"/>
  <c r="L772" i="3"/>
  <c r="M772" i="1"/>
  <c r="L771" i="3"/>
  <c r="M771" i="1"/>
  <c r="L770" i="3"/>
  <c r="M770" i="1"/>
  <c r="L769" i="3"/>
  <c r="M769" i="1"/>
  <c r="L768" i="3"/>
  <c r="M768" i="1"/>
  <c r="L767" i="3"/>
  <c r="M767" i="1"/>
  <c r="L766" i="3"/>
  <c r="M766" i="1"/>
  <c r="M765" i="1"/>
  <c r="L765" i="3"/>
  <c r="M764" i="1"/>
  <c r="L764" i="3"/>
  <c r="M763" i="1"/>
  <c r="L763" i="3"/>
  <c r="M762" i="1"/>
  <c r="L762" i="3"/>
  <c r="M761" i="1"/>
  <c r="L761" i="3"/>
  <c r="M760" i="1"/>
  <c r="L760" i="3"/>
  <c r="M759" i="1"/>
  <c r="L759" i="3"/>
  <c r="M758" i="1"/>
  <c r="L758" i="3"/>
  <c r="M757" i="1"/>
  <c r="L757" i="3"/>
  <c r="M756" i="1"/>
  <c r="L756" i="3"/>
  <c r="M755" i="1"/>
  <c r="L755" i="3"/>
  <c r="M754" i="1"/>
  <c r="L754" i="3"/>
  <c r="M753" i="1"/>
  <c r="L753" i="3"/>
  <c r="M752" i="1"/>
  <c r="L752" i="3"/>
  <c r="M751" i="1"/>
  <c r="L751" i="3"/>
  <c r="M750" i="1"/>
  <c r="L750" i="3"/>
  <c r="M749" i="1"/>
  <c r="L749" i="3"/>
  <c r="M748" i="1"/>
  <c r="L748" i="3"/>
  <c r="M747" i="1"/>
  <c r="L747" i="3"/>
  <c r="M746" i="1"/>
  <c r="L746" i="3"/>
  <c r="M745" i="1"/>
  <c r="L745" i="3"/>
  <c r="M744" i="1"/>
  <c r="L744" i="3"/>
  <c r="M743" i="1"/>
  <c r="L743" i="3"/>
  <c r="M742" i="1"/>
  <c r="L742" i="3"/>
  <c r="L741" i="3"/>
  <c r="M741" i="1"/>
  <c r="L740" i="3"/>
  <c r="M740" i="1"/>
  <c r="L739" i="3"/>
  <c r="M739" i="1"/>
  <c r="M738" i="1"/>
  <c r="L738" i="3"/>
  <c r="L737" i="3"/>
  <c r="M737" i="1"/>
  <c r="M736" i="1"/>
  <c r="L736" i="3"/>
  <c r="L735" i="3"/>
  <c r="M735" i="1"/>
  <c r="M734" i="1"/>
  <c r="L734" i="3"/>
  <c r="M733" i="1"/>
  <c r="L733" i="3"/>
  <c r="M732" i="1"/>
  <c r="L732" i="3"/>
  <c r="M731" i="1"/>
  <c r="L731" i="3"/>
  <c r="M730" i="1"/>
  <c r="L730" i="3"/>
  <c r="L729" i="3"/>
  <c r="M729" i="1"/>
  <c r="L728" i="3"/>
  <c r="M728" i="1"/>
  <c r="M727" i="1"/>
  <c r="L727" i="3"/>
  <c r="M726" i="1"/>
  <c r="L726" i="3"/>
  <c r="L725" i="3"/>
  <c r="M725" i="1"/>
  <c r="M724" i="1"/>
  <c r="L724" i="3"/>
  <c r="M723" i="1"/>
  <c r="L723" i="3"/>
  <c r="M722" i="1"/>
  <c r="L722" i="3"/>
  <c r="L721" i="3"/>
  <c r="M721" i="1"/>
  <c r="M720" i="1"/>
  <c r="L720" i="3"/>
  <c r="L719" i="3"/>
  <c r="M719" i="1"/>
  <c r="L718" i="3"/>
  <c r="M718" i="1"/>
  <c r="L717" i="3"/>
  <c r="M717" i="1"/>
  <c r="L716" i="3"/>
  <c r="M716" i="1"/>
  <c r="L715" i="3"/>
  <c r="M715" i="1"/>
  <c r="L714" i="3"/>
  <c r="M714" i="1"/>
  <c r="L713" i="3"/>
  <c r="M713" i="1"/>
  <c r="L712" i="3"/>
  <c r="M712" i="1"/>
  <c r="M711" i="1"/>
  <c r="L711" i="3"/>
  <c r="L710" i="3"/>
  <c r="M710" i="1"/>
  <c r="M709" i="1"/>
  <c r="L709" i="3"/>
  <c r="L708" i="3"/>
  <c r="M708" i="1"/>
  <c r="L707" i="3"/>
  <c r="M707" i="1"/>
  <c r="L706" i="3"/>
  <c r="M706" i="1"/>
  <c r="L705" i="3"/>
  <c r="M705" i="1"/>
  <c r="L704" i="3"/>
  <c r="M704" i="1"/>
  <c r="M703" i="1"/>
  <c r="L703" i="3"/>
  <c r="M702" i="1"/>
  <c r="L702" i="3"/>
  <c r="M701" i="1"/>
  <c r="L701" i="3"/>
  <c r="M700" i="1"/>
  <c r="L700" i="3"/>
  <c r="M699" i="1"/>
  <c r="L699" i="3"/>
  <c r="M698" i="1"/>
  <c r="L698" i="3"/>
  <c r="M697" i="1"/>
  <c r="L697" i="3"/>
  <c r="L696" i="3"/>
  <c r="M696" i="1"/>
  <c r="L695" i="3"/>
  <c r="M695" i="1"/>
  <c r="M694" i="1"/>
  <c r="L694" i="3"/>
  <c r="L693" i="3"/>
  <c r="M693" i="1"/>
  <c r="L692" i="3"/>
  <c r="M692" i="1"/>
  <c r="L691" i="3"/>
  <c r="M691" i="1"/>
  <c r="L690" i="3"/>
  <c r="M690" i="1"/>
  <c r="M689" i="1"/>
  <c r="L689" i="3"/>
  <c r="M688" i="1"/>
  <c r="L688" i="3"/>
  <c r="L687" i="3"/>
  <c r="M687" i="1"/>
  <c r="L686" i="3"/>
  <c r="M686" i="1"/>
  <c r="L685" i="3"/>
  <c r="M685" i="1"/>
  <c r="L684" i="3"/>
  <c r="M684" i="1"/>
  <c r="L683" i="3"/>
  <c r="M683" i="1"/>
  <c r="M682" i="1"/>
  <c r="L682" i="3"/>
  <c r="L681" i="3"/>
  <c r="M681" i="1"/>
  <c r="L680" i="3"/>
  <c r="M680" i="1"/>
  <c r="L679" i="3"/>
  <c r="M679" i="1"/>
  <c r="L678" i="3"/>
  <c r="M678" i="1"/>
  <c r="L677" i="3"/>
  <c r="M677" i="1"/>
  <c r="L676" i="3"/>
  <c r="M676" i="1"/>
  <c r="L675" i="3"/>
  <c r="M675" i="1"/>
  <c r="L674" i="3"/>
  <c r="M674" i="1"/>
  <c r="L673" i="3"/>
  <c r="M673" i="1"/>
  <c r="M672" i="1"/>
  <c r="L672" i="3"/>
  <c r="L671" i="3"/>
  <c r="M671" i="1"/>
  <c r="L670" i="3"/>
  <c r="M670" i="1"/>
  <c r="M669" i="1"/>
  <c r="L669" i="3"/>
  <c r="L668" i="3"/>
  <c r="M668" i="1"/>
  <c r="M667" i="1"/>
  <c r="L667" i="3"/>
  <c r="M666" i="1"/>
  <c r="L666" i="3"/>
  <c r="L665" i="3"/>
  <c r="M665" i="1"/>
  <c r="L664" i="3"/>
  <c r="M664" i="1"/>
  <c r="L663" i="3"/>
  <c r="M663" i="1"/>
  <c r="L662" i="3"/>
  <c r="M662" i="1"/>
  <c r="L661" i="3"/>
  <c r="M661" i="1"/>
  <c r="L660" i="3"/>
  <c r="M660" i="1"/>
  <c r="L659" i="3"/>
  <c r="M659" i="1"/>
  <c r="L658" i="3"/>
  <c r="M658" i="1"/>
  <c r="L657" i="3"/>
  <c r="M657" i="1"/>
  <c r="L656" i="3"/>
  <c r="M656" i="1"/>
  <c r="L655" i="3"/>
  <c r="M655" i="1"/>
  <c r="L654" i="3"/>
  <c r="M654" i="1"/>
  <c r="L653" i="3"/>
  <c r="M653" i="1"/>
  <c r="M652" i="1"/>
  <c r="L652" i="3"/>
  <c r="M651" i="1"/>
  <c r="L651" i="3"/>
  <c r="M650" i="1"/>
  <c r="L650" i="3"/>
  <c r="M649" i="1"/>
  <c r="L649" i="3"/>
  <c r="L648" i="3"/>
  <c r="M648" i="1"/>
  <c r="M647" i="1"/>
  <c r="L647" i="3"/>
  <c r="M646" i="1"/>
  <c r="L646" i="3"/>
  <c r="M645" i="1"/>
  <c r="L645" i="3"/>
  <c r="M644" i="1"/>
  <c r="L644" i="3"/>
  <c r="M643" i="1"/>
  <c r="L643" i="3"/>
  <c r="L642" i="3"/>
  <c r="M642" i="1"/>
  <c r="L641" i="3"/>
  <c r="M641" i="1"/>
  <c r="L640" i="3"/>
  <c r="M640" i="1"/>
  <c r="L639" i="3"/>
  <c r="M639" i="1"/>
  <c r="L638" i="3"/>
  <c r="M638" i="1"/>
  <c r="M637" i="1"/>
  <c r="L637" i="3"/>
  <c r="M636" i="1"/>
  <c r="L636" i="3"/>
  <c r="M635" i="1"/>
  <c r="L635" i="3"/>
  <c r="M634" i="1"/>
  <c r="L634" i="3"/>
  <c r="L633" i="3"/>
  <c r="M633" i="1"/>
  <c r="L632" i="3"/>
  <c r="M632" i="1"/>
  <c r="L631" i="3"/>
  <c r="M631" i="1"/>
  <c r="L630" i="3"/>
  <c r="M630" i="1"/>
  <c r="L629" i="3"/>
  <c r="M629" i="1"/>
  <c r="M628" i="1"/>
  <c r="L628" i="3"/>
  <c r="L627" i="3"/>
  <c r="M627" i="1"/>
  <c r="L626" i="3"/>
  <c r="M626" i="1"/>
  <c r="L625" i="3"/>
  <c r="M625" i="1"/>
  <c r="M624" i="1"/>
  <c r="L624" i="3"/>
  <c r="M623" i="1"/>
  <c r="L623" i="3"/>
  <c r="L622" i="3"/>
  <c r="M622" i="1"/>
  <c r="M621" i="1"/>
  <c r="L621" i="3"/>
  <c r="M620" i="1"/>
  <c r="L620" i="3"/>
  <c r="M619" i="1"/>
  <c r="L619" i="3"/>
  <c r="M618" i="1"/>
  <c r="L618" i="3"/>
  <c r="M617" i="1"/>
  <c r="L617" i="3"/>
  <c r="L616" i="3"/>
  <c r="M616" i="1"/>
  <c r="M615" i="1"/>
  <c r="L615" i="3"/>
  <c r="M614" i="1"/>
  <c r="L614" i="3"/>
  <c r="M613" i="1"/>
  <c r="L613" i="3"/>
  <c r="M612" i="1"/>
  <c r="L612" i="3"/>
  <c r="L611" i="3"/>
  <c r="M611" i="1"/>
  <c r="L610" i="3"/>
  <c r="M610" i="1"/>
  <c r="M609" i="1"/>
  <c r="L609" i="3"/>
  <c r="L608" i="3"/>
  <c r="M608" i="1"/>
  <c r="L607" i="3"/>
  <c r="M607" i="1"/>
  <c r="L606" i="3"/>
  <c r="M606" i="1"/>
  <c r="L605" i="3"/>
  <c r="M605" i="1"/>
  <c r="L604" i="3"/>
  <c r="M604" i="1"/>
  <c r="M603" i="1"/>
  <c r="L603" i="3"/>
  <c r="L602" i="3"/>
  <c r="M602" i="1"/>
  <c r="L601" i="3"/>
  <c r="M601" i="1"/>
  <c r="M600" i="1"/>
  <c r="L600" i="3"/>
  <c r="M599" i="1"/>
  <c r="L599" i="3"/>
  <c r="M598" i="1"/>
  <c r="L598" i="3"/>
  <c r="M597" i="1"/>
  <c r="L597" i="3"/>
  <c r="M596" i="1"/>
  <c r="L596" i="3"/>
  <c r="M595" i="1"/>
  <c r="L595" i="3"/>
  <c r="M594" i="1"/>
  <c r="L594" i="3"/>
  <c r="M593" i="1"/>
  <c r="L593" i="3"/>
  <c r="M592" i="1"/>
  <c r="L592" i="3"/>
  <c r="M591" i="1"/>
  <c r="L591" i="3"/>
  <c r="M590" i="1"/>
  <c r="L590" i="3"/>
  <c r="M589" i="1"/>
  <c r="L589" i="3"/>
  <c r="M588" i="1"/>
  <c r="L588" i="3"/>
  <c r="L587" i="3"/>
  <c r="M587" i="1"/>
  <c r="M586" i="1"/>
  <c r="L586" i="3"/>
  <c r="L585" i="3"/>
  <c r="M585" i="1"/>
  <c r="M584" i="1"/>
  <c r="L584" i="3"/>
  <c r="L583" i="3"/>
  <c r="M583" i="1"/>
  <c r="M582" i="1"/>
  <c r="L582" i="3"/>
  <c r="L581" i="3"/>
  <c r="M581" i="1"/>
  <c r="M580" i="1"/>
  <c r="L580" i="3"/>
  <c r="M579" i="1"/>
  <c r="L579" i="3"/>
  <c r="L578" i="3"/>
  <c r="M578" i="1"/>
  <c r="L577" i="3"/>
  <c r="M577" i="1"/>
  <c r="L576" i="3"/>
  <c r="M576" i="1"/>
  <c r="L575" i="3"/>
  <c r="M575" i="1"/>
  <c r="M574" i="1"/>
  <c r="L574" i="3"/>
  <c r="L573" i="3"/>
  <c r="M573" i="1"/>
  <c r="L572" i="3"/>
  <c r="M572" i="1"/>
  <c r="L571" i="3"/>
  <c r="M571" i="1"/>
  <c r="L570" i="3"/>
  <c r="M570" i="1"/>
  <c r="L569" i="3"/>
  <c r="M569" i="1"/>
  <c r="L568" i="3"/>
  <c r="M568" i="1"/>
  <c r="L567" i="3"/>
  <c r="M567" i="1"/>
  <c r="L566" i="3"/>
  <c r="M566" i="1"/>
  <c r="L565" i="3"/>
  <c r="M565" i="1"/>
  <c r="L564" i="3"/>
  <c r="M564" i="1"/>
  <c r="L563" i="3"/>
  <c r="M563" i="1"/>
  <c r="L562" i="3"/>
  <c r="M562" i="1"/>
  <c r="L561" i="3"/>
  <c r="M561" i="1"/>
  <c r="M560" i="1"/>
  <c r="L560" i="3"/>
  <c r="L559" i="3"/>
  <c r="M559" i="1"/>
  <c r="M558" i="1"/>
  <c r="L558" i="3"/>
  <c r="L557" i="3"/>
  <c r="M557" i="1"/>
  <c r="L556" i="3"/>
  <c r="M556" i="1"/>
  <c r="L555" i="3"/>
  <c r="M555" i="1"/>
  <c r="L554" i="3"/>
  <c r="M554" i="1"/>
  <c r="L553" i="3"/>
  <c r="M553" i="1"/>
  <c r="L552" i="3"/>
  <c r="M552" i="1"/>
  <c r="L551" i="3"/>
  <c r="M551" i="1"/>
  <c r="M550" i="1"/>
  <c r="L550" i="3"/>
  <c r="L549" i="3"/>
  <c r="M549" i="1"/>
  <c r="M548" i="1"/>
  <c r="L548" i="3"/>
  <c r="L547" i="3"/>
  <c r="M547" i="1"/>
  <c r="L546" i="3"/>
  <c r="M546" i="1"/>
  <c r="L545" i="3"/>
  <c r="M545" i="1"/>
  <c r="M544" i="1"/>
  <c r="L544" i="3"/>
  <c r="M543" i="1"/>
  <c r="L543" i="3"/>
  <c r="M542" i="1"/>
  <c r="L542" i="3"/>
  <c r="M541" i="1"/>
  <c r="L541" i="3"/>
  <c r="M540" i="1"/>
  <c r="L540" i="3"/>
  <c r="L539" i="3"/>
  <c r="M539" i="1"/>
  <c r="M538" i="1"/>
  <c r="L538" i="3"/>
  <c r="M537" i="1"/>
  <c r="L537" i="3"/>
  <c r="L536" i="3"/>
  <c r="M536" i="1"/>
  <c r="M535" i="1"/>
  <c r="L535" i="3"/>
  <c r="M534" i="1"/>
  <c r="L534" i="3"/>
  <c r="M533" i="1"/>
  <c r="L533" i="3"/>
  <c r="L532" i="3"/>
  <c r="M532" i="1"/>
  <c r="L531" i="3"/>
  <c r="M531" i="1"/>
  <c r="M530" i="1"/>
  <c r="L530" i="3"/>
  <c r="M529" i="1"/>
  <c r="L529" i="3"/>
  <c r="M528" i="1"/>
  <c r="L528" i="3"/>
  <c r="M527" i="1"/>
  <c r="L527" i="3"/>
  <c r="L526" i="3"/>
  <c r="M526" i="1"/>
  <c r="M525" i="1"/>
  <c r="L525" i="3"/>
  <c r="M524" i="1"/>
  <c r="L524" i="3"/>
  <c r="M523" i="1"/>
  <c r="L523" i="3"/>
  <c r="M522" i="1"/>
  <c r="L522" i="3"/>
  <c r="M521" i="1"/>
  <c r="L521" i="3"/>
  <c r="L520" i="3"/>
  <c r="M520" i="1"/>
  <c r="L519" i="3"/>
  <c r="M519" i="1"/>
  <c r="L518" i="3"/>
  <c r="M518" i="1"/>
  <c r="L517" i="3"/>
  <c r="M517" i="1"/>
  <c r="L516" i="3"/>
  <c r="M516" i="1"/>
  <c r="M515" i="1"/>
  <c r="L515" i="3"/>
  <c r="L514" i="3"/>
  <c r="M514" i="1"/>
  <c r="L513" i="3"/>
  <c r="M513" i="1"/>
  <c r="L512" i="3"/>
  <c r="M512" i="1"/>
  <c r="L511" i="3"/>
  <c r="M511" i="1"/>
  <c r="L510" i="3"/>
  <c r="M510" i="1"/>
  <c r="L509" i="3"/>
  <c r="M509" i="1"/>
  <c r="L508" i="3"/>
  <c r="M508" i="1"/>
  <c r="L507" i="3"/>
  <c r="M507" i="1"/>
  <c r="M506" i="1"/>
  <c r="L506" i="3"/>
  <c r="L505" i="3"/>
  <c r="M505" i="1"/>
  <c r="M504" i="1"/>
  <c r="L504" i="3"/>
  <c r="M503" i="1"/>
  <c r="L503" i="3"/>
  <c r="M502" i="1"/>
  <c r="L502" i="3"/>
  <c r="L501" i="3"/>
  <c r="M501" i="1"/>
  <c r="M500" i="1"/>
  <c r="L500" i="3"/>
  <c r="M499" i="1"/>
  <c r="L499" i="3"/>
  <c r="M498" i="1"/>
  <c r="L498" i="3"/>
  <c r="M497" i="1"/>
  <c r="L497" i="3"/>
  <c r="M496" i="1"/>
  <c r="L496" i="3"/>
  <c r="M495" i="1"/>
  <c r="L495" i="3"/>
  <c r="M494" i="1"/>
  <c r="L494" i="3"/>
  <c r="M493" i="1"/>
  <c r="L493" i="3"/>
  <c r="M492" i="1"/>
  <c r="L492" i="3"/>
  <c r="M491" i="1"/>
  <c r="L491" i="3"/>
  <c r="M490" i="1"/>
  <c r="L490" i="3"/>
  <c r="M489" i="1"/>
  <c r="L489" i="3"/>
  <c r="M488" i="1"/>
  <c r="L488" i="3"/>
  <c r="M487" i="1"/>
  <c r="L487" i="3"/>
  <c r="M486" i="1"/>
  <c r="L486" i="3"/>
  <c r="M485" i="1"/>
  <c r="L485" i="3"/>
  <c r="L484" i="3"/>
  <c r="M484" i="1"/>
  <c r="M483" i="1"/>
  <c r="L483" i="3"/>
  <c r="M482" i="1"/>
  <c r="L482" i="3"/>
  <c r="M481" i="1"/>
  <c r="L481" i="3"/>
  <c r="L480" i="3"/>
  <c r="M480" i="1"/>
  <c r="M479" i="1"/>
  <c r="L479" i="3"/>
  <c r="L478" i="3"/>
  <c r="M478" i="1"/>
  <c r="L477" i="3"/>
  <c r="M477" i="1"/>
  <c r="M476" i="1"/>
  <c r="L476" i="3"/>
  <c r="L475" i="3"/>
  <c r="M475" i="1"/>
  <c r="M474" i="1"/>
  <c r="L474" i="3"/>
  <c r="L473" i="3"/>
  <c r="M473" i="1"/>
  <c r="M472" i="1"/>
  <c r="L472" i="3"/>
  <c r="M471" i="1"/>
  <c r="L471" i="3"/>
  <c r="M470" i="1"/>
  <c r="L470" i="3"/>
  <c r="M469" i="1"/>
  <c r="L469" i="3"/>
  <c r="M468" i="1"/>
  <c r="L468" i="3"/>
  <c r="M467" i="1"/>
  <c r="L467" i="3"/>
  <c r="L466" i="3"/>
  <c r="M466" i="1"/>
  <c r="L465" i="3"/>
  <c r="M465" i="1"/>
  <c r="L464" i="3"/>
  <c r="M464" i="1"/>
  <c r="L463" i="3"/>
  <c r="M463" i="1"/>
  <c r="L462" i="3"/>
  <c r="M462" i="1"/>
  <c r="L461" i="3"/>
  <c r="M461" i="1"/>
  <c r="L460" i="3"/>
  <c r="M460" i="1"/>
  <c r="L459" i="3"/>
  <c r="M459" i="1"/>
  <c r="M458" i="1"/>
  <c r="L458" i="3"/>
  <c r="L457" i="3"/>
  <c r="M457" i="1"/>
  <c r="L456" i="3"/>
  <c r="M456" i="1"/>
  <c r="L455" i="3"/>
  <c r="M455" i="1"/>
  <c r="L454" i="3"/>
  <c r="M454" i="1"/>
  <c r="M453" i="1"/>
  <c r="L453" i="3"/>
  <c r="M452" i="1"/>
  <c r="L452" i="3"/>
  <c r="L451" i="3"/>
  <c r="M451" i="1"/>
  <c r="M450" i="1"/>
  <c r="L450" i="3"/>
  <c r="L449" i="3"/>
  <c r="M449" i="1"/>
  <c r="M448" i="1"/>
  <c r="L448" i="3"/>
  <c r="L447" i="3"/>
  <c r="M447" i="1"/>
  <c r="L446" i="3"/>
  <c r="M446" i="1"/>
  <c r="L445" i="3"/>
  <c r="M445" i="1"/>
  <c r="L444" i="3"/>
  <c r="M444" i="1"/>
  <c r="L443" i="3"/>
  <c r="M443" i="1"/>
  <c r="L442" i="3"/>
  <c r="M442" i="1"/>
  <c r="L441" i="3"/>
  <c r="M441" i="1"/>
  <c r="L440" i="3"/>
  <c r="M440" i="1"/>
  <c r="M439" i="1"/>
  <c r="L439" i="3"/>
  <c r="L438" i="3"/>
  <c r="M438" i="1"/>
  <c r="L437" i="3"/>
  <c r="M437" i="1"/>
  <c r="L436" i="3"/>
  <c r="M436" i="1"/>
  <c r="M435" i="1"/>
  <c r="L435" i="3"/>
  <c r="M434" i="1"/>
  <c r="L434" i="3"/>
  <c r="L433" i="3"/>
  <c r="M433" i="1"/>
  <c r="L432" i="3"/>
  <c r="M432" i="1"/>
  <c r="L431" i="3"/>
  <c r="M431" i="1"/>
  <c r="L430" i="3"/>
  <c r="M430" i="1"/>
  <c r="L429" i="3"/>
  <c r="M429" i="1"/>
  <c r="L428" i="3"/>
  <c r="M428" i="1"/>
  <c r="L427" i="3"/>
  <c r="M427" i="1"/>
  <c r="L426" i="3"/>
  <c r="M426" i="1"/>
  <c r="M425" i="1"/>
  <c r="L425" i="3"/>
  <c r="L424" i="3"/>
  <c r="M424" i="1"/>
  <c r="L423" i="3"/>
  <c r="M423" i="1"/>
  <c r="L422" i="3"/>
  <c r="M422" i="1"/>
  <c r="M421" i="1"/>
  <c r="L421" i="3"/>
  <c r="L420" i="3"/>
  <c r="M420" i="1"/>
  <c r="M419" i="1"/>
  <c r="L419" i="3"/>
  <c r="M418" i="1"/>
  <c r="L418" i="3"/>
  <c r="L417" i="3"/>
  <c r="M417" i="1"/>
  <c r="M416" i="1"/>
  <c r="L416" i="3"/>
  <c r="L415" i="3"/>
  <c r="M415" i="1"/>
  <c r="L414" i="3"/>
  <c r="M414" i="1"/>
  <c r="L413" i="3"/>
  <c r="M413" i="1"/>
  <c r="L412" i="3"/>
  <c r="M412" i="1"/>
  <c r="M411" i="1"/>
  <c r="L411" i="3"/>
  <c r="M410" i="1"/>
  <c r="L410" i="3"/>
  <c r="M409" i="1"/>
  <c r="L409" i="3"/>
  <c r="L408" i="3"/>
  <c r="M408" i="1"/>
  <c r="M407" i="1"/>
  <c r="L407" i="3"/>
  <c r="L406" i="3"/>
  <c r="M406" i="1"/>
  <c r="L405" i="3"/>
  <c r="M405" i="1"/>
  <c r="L404" i="3"/>
  <c r="M404" i="1"/>
  <c r="L403" i="3"/>
  <c r="M403" i="1"/>
  <c r="M402" i="1"/>
  <c r="L402" i="3"/>
  <c r="L401" i="3"/>
  <c r="M401" i="1"/>
  <c r="L400" i="3"/>
  <c r="M400" i="1"/>
  <c r="L399" i="3"/>
  <c r="M399" i="1"/>
  <c r="M398" i="1"/>
  <c r="L398" i="3"/>
  <c r="M397" i="1"/>
  <c r="L397" i="3"/>
  <c r="M396" i="1"/>
  <c r="L396" i="3"/>
  <c r="M395" i="1"/>
  <c r="L395" i="3"/>
  <c r="M394" i="1"/>
  <c r="L394" i="3"/>
  <c r="M393" i="1"/>
  <c r="L393" i="3"/>
  <c r="L392" i="3"/>
  <c r="M392" i="1"/>
  <c r="M391" i="1"/>
  <c r="L391" i="3"/>
  <c r="M390" i="1"/>
  <c r="L390" i="3"/>
  <c r="M389" i="1"/>
  <c r="L389" i="3"/>
  <c r="M388" i="1"/>
  <c r="L388" i="3"/>
  <c r="M387" i="1"/>
  <c r="L387" i="3"/>
  <c r="L386" i="3"/>
  <c r="M386" i="1"/>
  <c r="M385" i="1"/>
  <c r="L385" i="3"/>
  <c r="M384" i="1"/>
  <c r="L384" i="3"/>
  <c r="M383" i="1"/>
  <c r="L383" i="3"/>
  <c r="L382" i="3"/>
  <c r="M382" i="1"/>
  <c r="L381" i="3"/>
  <c r="M381" i="1"/>
  <c r="L380" i="3"/>
  <c r="M380" i="1"/>
  <c r="L379" i="3"/>
  <c r="M379" i="1"/>
  <c r="L378" i="3"/>
  <c r="M378" i="1"/>
  <c r="L377" i="3"/>
  <c r="M377" i="1"/>
  <c r="L376" i="3"/>
  <c r="M376" i="1"/>
  <c r="L375" i="3"/>
  <c r="M375" i="1"/>
  <c r="L374" i="3"/>
  <c r="M374" i="1"/>
  <c r="L373" i="3"/>
  <c r="M373" i="1"/>
  <c r="L372" i="3"/>
  <c r="M372" i="1"/>
  <c r="L371" i="3"/>
  <c r="M371" i="1"/>
  <c r="L370" i="3"/>
  <c r="M370" i="1"/>
  <c r="L369" i="3"/>
  <c r="M369" i="1"/>
  <c r="L368" i="3"/>
  <c r="M368" i="1"/>
  <c r="L367" i="3"/>
  <c r="M367" i="1"/>
  <c r="L366" i="3"/>
  <c r="M366" i="1"/>
  <c r="L365" i="3"/>
  <c r="M365" i="1"/>
  <c r="L364" i="3"/>
  <c r="M364" i="1"/>
  <c r="L363" i="3"/>
  <c r="M363" i="1"/>
  <c r="L362" i="3"/>
  <c r="M362" i="1"/>
  <c r="L361" i="3"/>
  <c r="M361" i="1"/>
  <c r="L360" i="3"/>
  <c r="M360" i="1"/>
  <c r="L359" i="3"/>
  <c r="M359" i="1"/>
  <c r="L358" i="3"/>
  <c r="M358" i="1"/>
  <c r="L357" i="3"/>
  <c r="M357" i="1"/>
  <c r="M356" i="1"/>
  <c r="L356" i="3"/>
  <c r="M355" i="1"/>
  <c r="L355" i="3"/>
  <c r="M354" i="1"/>
  <c r="L354" i="3"/>
  <c r="M353" i="1"/>
  <c r="L353" i="3"/>
  <c r="M352" i="1"/>
  <c r="L352" i="3"/>
  <c r="M351" i="1"/>
  <c r="L351" i="3"/>
  <c r="M350" i="1"/>
  <c r="L350" i="3"/>
  <c r="L349" i="3"/>
  <c r="M349" i="1"/>
  <c r="L348" i="3"/>
  <c r="M348" i="1"/>
  <c r="L347" i="3"/>
  <c r="M347" i="1"/>
  <c r="M346" i="1"/>
  <c r="L346" i="3"/>
  <c r="L345" i="3"/>
  <c r="M345" i="1"/>
  <c r="M344" i="1"/>
  <c r="L344" i="3"/>
  <c r="L343" i="3"/>
  <c r="M343" i="1"/>
  <c r="M342" i="1"/>
  <c r="L342" i="3"/>
  <c r="L341" i="3"/>
  <c r="M341" i="1"/>
  <c r="M340" i="1"/>
  <c r="L340" i="3"/>
  <c r="M339" i="1"/>
  <c r="L339" i="3"/>
  <c r="M338" i="1"/>
  <c r="L338" i="3"/>
  <c r="M337" i="1"/>
  <c r="L337" i="3"/>
  <c r="L336" i="3"/>
  <c r="M336" i="1"/>
  <c r="L335" i="3"/>
  <c r="M335" i="1"/>
  <c r="L334" i="3"/>
  <c r="M334" i="1"/>
  <c r="L333" i="3"/>
  <c r="M333" i="1"/>
  <c r="L332" i="3"/>
  <c r="M332" i="1"/>
  <c r="L331" i="3"/>
  <c r="M331" i="1"/>
  <c r="M330" i="1"/>
  <c r="L330" i="3"/>
  <c r="M329" i="1"/>
  <c r="L329" i="3"/>
  <c r="L328" i="3"/>
  <c r="M328" i="1"/>
  <c r="M327" i="1"/>
  <c r="L327" i="3"/>
  <c r="M326" i="1"/>
  <c r="L326" i="3"/>
  <c r="M325" i="1"/>
  <c r="L325" i="3"/>
  <c r="M324" i="1"/>
  <c r="L324" i="3"/>
  <c r="L323" i="3"/>
  <c r="M323" i="1"/>
  <c r="M322" i="1"/>
  <c r="L322" i="3"/>
  <c r="M321" i="1"/>
  <c r="L321" i="3"/>
  <c r="M320" i="1"/>
  <c r="L320" i="3"/>
  <c r="M319" i="1"/>
  <c r="L319" i="3"/>
  <c r="M318" i="1"/>
  <c r="L318" i="3"/>
  <c r="M317" i="1"/>
  <c r="L317" i="3"/>
  <c r="M316" i="1"/>
  <c r="L316" i="3"/>
  <c r="L315" i="3"/>
  <c r="M315" i="1"/>
  <c r="M314" i="1"/>
  <c r="L314" i="3"/>
  <c r="M313" i="1"/>
  <c r="L313" i="3"/>
  <c r="L312" i="3"/>
  <c r="M312" i="1"/>
  <c r="M311" i="1"/>
  <c r="L311" i="3"/>
  <c r="M310" i="1"/>
  <c r="L310" i="3"/>
  <c r="M309" i="1"/>
  <c r="L309" i="3"/>
  <c r="M308" i="1"/>
  <c r="L308" i="3"/>
  <c r="M307" i="1"/>
  <c r="L307" i="3"/>
  <c r="M306" i="1"/>
  <c r="L306" i="3"/>
  <c r="M305" i="1"/>
  <c r="L305" i="3"/>
  <c r="M304" i="1"/>
  <c r="L304" i="3"/>
  <c r="M303" i="1"/>
  <c r="L303" i="3"/>
  <c r="M302" i="1"/>
  <c r="L302" i="3"/>
  <c r="M301" i="1"/>
  <c r="L301" i="3"/>
  <c r="L300" i="3"/>
  <c r="M300" i="1"/>
  <c r="L299" i="3"/>
  <c r="M299" i="1"/>
  <c r="L298" i="3"/>
  <c r="M298" i="1"/>
  <c r="L297" i="3"/>
  <c r="M297" i="1"/>
  <c r="L296" i="3"/>
  <c r="M296" i="1"/>
  <c r="L295" i="3"/>
  <c r="M295" i="1"/>
  <c r="L294" i="3"/>
  <c r="M294" i="1"/>
  <c r="M293" i="1"/>
  <c r="L293" i="3"/>
  <c r="M292" i="1"/>
  <c r="L292" i="3"/>
  <c r="M291" i="1"/>
  <c r="L291" i="3"/>
  <c r="M290" i="1"/>
  <c r="L290" i="3"/>
  <c r="M289" i="1"/>
  <c r="L289" i="3"/>
  <c r="M288" i="1"/>
  <c r="L288" i="3"/>
  <c r="M287" i="1"/>
  <c r="L287" i="3"/>
  <c r="M286" i="1"/>
  <c r="L286" i="3"/>
  <c r="M285" i="1"/>
  <c r="L285" i="3"/>
  <c r="M284" i="1"/>
  <c r="L284" i="3"/>
  <c r="L283" i="3"/>
  <c r="M283" i="1"/>
  <c r="M282" i="1"/>
  <c r="L282" i="3"/>
  <c r="L281" i="3"/>
  <c r="M281" i="1"/>
  <c r="M280" i="1"/>
  <c r="L280" i="3"/>
  <c r="M279" i="1"/>
  <c r="L279" i="3"/>
  <c r="M278" i="1"/>
  <c r="L278" i="3"/>
  <c r="M277" i="1"/>
  <c r="L277" i="3"/>
  <c r="M276" i="1"/>
  <c r="L276" i="3"/>
  <c r="M275" i="1"/>
  <c r="L275" i="3"/>
  <c r="M274" i="1"/>
  <c r="L274" i="3"/>
  <c r="M273" i="1"/>
  <c r="L273" i="3"/>
  <c r="M272" i="1"/>
  <c r="L272" i="3"/>
  <c r="M271" i="1"/>
  <c r="L271" i="3"/>
  <c r="M270" i="1"/>
  <c r="L270" i="3"/>
  <c r="M269" i="1"/>
  <c r="L269" i="3"/>
  <c r="M268" i="1"/>
  <c r="L268" i="3"/>
  <c r="M267" i="1"/>
  <c r="L267" i="3"/>
  <c r="M266" i="1"/>
  <c r="L266" i="3"/>
  <c r="L265" i="3"/>
  <c r="M265" i="1"/>
  <c r="M264" i="1"/>
  <c r="L264" i="3"/>
  <c r="M263" i="1"/>
  <c r="L263" i="3"/>
  <c r="M262" i="1"/>
  <c r="L262" i="3"/>
  <c r="M261" i="1"/>
  <c r="L261" i="3"/>
  <c r="L260" i="3"/>
  <c r="M260" i="1"/>
  <c r="L259" i="3"/>
  <c r="M259" i="1"/>
  <c r="L258" i="3"/>
  <c r="M258" i="1"/>
  <c r="M257" i="1"/>
  <c r="L257" i="3"/>
  <c r="L256" i="3"/>
  <c r="M256" i="1"/>
  <c r="M255" i="1"/>
  <c r="L255" i="3"/>
  <c r="M254" i="1"/>
  <c r="L254" i="3"/>
  <c r="L253" i="3"/>
  <c r="M253" i="1"/>
  <c r="M252" i="1"/>
  <c r="L252" i="3"/>
  <c r="L251" i="3"/>
  <c r="M251" i="1"/>
  <c r="L250" i="3"/>
  <c r="M250" i="1"/>
  <c r="L249" i="3"/>
  <c r="M249" i="1"/>
  <c r="M248" i="1"/>
  <c r="L248" i="3"/>
  <c r="M247" i="1"/>
  <c r="L247" i="3"/>
  <c r="L246" i="3"/>
  <c r="M246" i="1"/>
  <c r="M245" i="1"/>
  <c r="L245" i="3"/>
  <c r="L244" i="3"/>
  <c r="M244" i="1"/>
  <c r="L243" i="3"/>
  <c r="M243" i="1"/>
  <c r="M242" i="1"/>
  <c r="L242" i="3"/>
  <c r="M241" i="1"/>
  <c r="L241" i="3"/>
  <c r="M240" i="1"/>
  <c r="L240" i="3"/>
  <c r="M239" i="1"/>
  <c r="L239" i="3"/>
  <c r="L238" i="3"/>
  <c r="M238" i="1"/>
  <c r="L237" i="3"/>
  <c r="M237" i="1"/>
  <c r="L236" i="3"/>
  <c r="M236" i="1"/>
  <c r="M235" i="1"/>
  <c r="L235" i="3"/>
  <c r="M234" i="1"/>
  <c r="L234" i="3"/>
  <c r="M233" i="1"/>
  <c r="L233" i="3"/>
  <c r="M232" i="1"/>
  <c r="L232" i="3"/>
  <c r="L231" i="3"/>
  <c r="M231" i="1"/>
  <c r="L230" i="3"/>
  <c r="M230" i="1"/>
  <c r="M229" i="1"/>
  <c r="L229" i="3"/>
  <c r="L228" i="3"/>
  <c r="M228" i="1"/>
  <c r="L227" i="3"/>
  <c r="M227" i="1"/>
  <c r="M226" i="1"/>
  <c r="L226" i="3"/>
  <c r="M225" i="1"/>
  <c r="L225" i="3"/>
  <c r="L224" i="3"/>
  <c r="M224" i="1"/>
  <c r="L223" i="3"/>
  <c r="M223" i="1"/>
  <c r="M222" i="1"/>
  <c r="L222" i="3"/>
  <c r="M221" i="1"/>
  <c r="L221" i="3"/>
  <c r="M220" i="1"/>
  <c r="L220" i="3"/>
  <c r="M219" i="1"/>
  <c r="L219" i="3"/>
  <c r="M218" i="1"/>
  <c r="L218" i="3"/>
  <c r="M217" i="1"/>
  <c r="L217" i="3"/>
  <c r="M216" i="1"/>
  <c r="L216" i="3"/>
  <c r="L215" i="3"/>
  <c r="M215" i="1"/>
  <c r="L214" i="3"/>
  <c r="M214" i="1"/>
  <c r="L213" i="3"/>
  <c r="M213" i="1"/>
  <c r="L212" i="3"/>
  <c r="M212" i="1"/>
  <c r="L211" i="3"/>
  <c r="M211" i="1"/>
  <c r="M210" i="1"/>
  <c r="L210" i="3"/>
  <c r="L209" i="3"/>
  <c r="M209" i="1"/>
  <c r="L208" i="3"/>
  <c r="M208" i="1"/>
  <c r="M207" i="1"/>
  <c r="L207" i="3"/>
  <c r="M206" i="1"/>
  <c r="L206" i="3"/>
  <c r="M205" i="1"/>
  <c r="L205" i="3"/>
  <c r="L204" i="3"/>
  <c r="M204" i="1"/>
  <c r="M203" i="1"/>
  <c r="L203" i="3"/>
  <c r="M202" i="1"/>
  <c r="L202" i="3"/>
  <c r="L201" i="3"/>
  <c r="M201" i="1"/>
  <c r="L200" i="3"/>
  <c r="M200" i="1"/>
  <c r="L199" i="3"/>
  <c r="M199" i="1"/>
  <c r="L198" i="3"/>
  <c r="M198" i="1"/>
  <c r="L197" i="3"/>
  <c r="M197" i="1"/>
  <c r="L196" i="3"/>
  <c r="M196" i="1"/>
  <c r="M195" i="1"/>
  <c r="L195" i="3"/>
  <c r="M194" i="1"/>
  <c r="L194" i="3"/>
  <c r="M193" i="1"/>
  <c r="L193" i="3"/>
  <c r="M192" i="1"/>
  <c r="L192" i="3"/>
  <c r="M191" i="1"/>
  <c r="L191" i="3"/>
  <c r="L190" i="3"/>
  <c r="M190" i="1"/>
  <c r="L189" i="3"/>
  <c r="M189" i="1"/>
  <c r="M188" i="1"/>
  <c r="L188" i="3"/>
  <c r="L187" i="3"/>
  <c r="M187" i="1"/>
  <c r="L186" i="3"/>
  <c r="M186" i="1"/>
  <c r="L185" i="3"/>
  <c r="M185" i="1"/>
  <c r="L184" i="3"/>
  <c r="M184" i="1"/>
  <c r="L183" i="3"/>
  <c r="M183" i="1"/>
  <c r="M182" i="1"/>
  <c r="L182" i="3"/>
  <c r="M181" i="1"/>
  <c r="L181" i="3"/>
  <c r="L180" i="3"/>
  <c r="M180" i="1"/>
  <c r="M179" i="1"/>
  <c r="L179" i="3"/>
  <c r="L178" i="3"/>
  <c r="M178" i="1"/>
  <c r="L177" i="3"/>
  <c r="M177" i="1"/>
  <c r="L176" i="3"/>
  <c r="M176" i="1"/>
  <c r="L175" i="3"/>
  <c r="M175" i="1"/>
  <c r="L174" i="3"/>
  <c r="M174" i="1"/>
  <c r="L173" i="3"/>
  <c r="M173" i="1"/>
  <c r="L172" i="3"/>
  <c r="M172" i="1"/>
  <c r="L171" i="3"/>
  <c r="M171" i="1"/>
  <c r="L170" i="3"/>
  <c r="M170" i="1"/>
  <c r="L169" i="3"/>
  <c r="M169" i="1"/>
  <c r="L168" i="3"/>
  <c r="M168" i="1"/>
  <c r="L167" i="3"/>
  <c r="M167" i="1"/>
  <c r="M166" i="1"/>
  <c r="L166" i="3"/>
  <c r="L165" i="3"/>
  <c r="M165" i="1"/>
  <c r="L164" i="3"/>
  <c r="M164" i="1"/>
  <c r="M163" i="1"/>
  <c r="L163" i="3"/>
  <c r="M162" i="1"/>
  <c r="L162" i="3"/>
  <c r="M161" i="1"/>
  <c r="L161" i="3"/>
  <c r="M160" i="1"/>
  <c r="L160" i="3"/>
  <c r="M159" i="1"/>
  <c r="L159" i="3"/>
  <c r="M158" i="1"/>
  <c r="L158" i="3"/>
  <c r="M157" i="1"/>
  <c r="L157" i="3"/>
  <c r="M156" i="1"/>
  <c r="L156" i="3"/>
  <c r="L155" i="3"/>
  <c r="M155" i="1"/>
  <c r="L154" i="3"/>
  <c r="M154" i="1"/>
  <c r="L153" i="3"/>
  <c r="M153" i="1"/>
  <c r="L152" i="3"/>
  <c r="M152" i="1"/>
  <c r="L151" i="3"/>
  <c r="M151" i="1"/>
  <c r="L150" i="3"/>
  <c r="M150" i="1"/>
  <c r="L149" i="3"/>
  <c r="M149" i="1"/>
  <c r="L148" i="3"/>
  <c r="M148" i="1"/>
  <c r="L147" i="3"/>
  <c r="M147" i="1"/>
  <c r="M146" i="1"/>
  <c r="L146" i="3"/>
  <c r="M145" i="1"/>
  <c r="L145" i="3"/>
  <c r="M144" i="1"/>
  <c r="L144" i="3"/>
  <c r="M143" i="1"/>
  <c r="L143" i="3"/>
  <c r="L142" i="3"/>
  <c r="M142" i="1"/>
  <c r="L141" i="3"/>
  <c r="M141" i="1"/>
  <c r="L140" i="3"/>
  <c r="M140" i="1"/>
  <c r="L139" i="3"/>
  <c r="M139" i="1"/>
  <c r="L138" i="3"/>
  <c r="M138" i="1"/>
  <c r="L137" i="3"/>
  <c r="M137" i="1"/>
  <c r="M136" i="1"/>
  <c r="L136" i="3"/>
  <c r="M135" i="1"/>
  <c r="L135" i="3"/>
  <c r="M134" i="1"/>
  <c r="L134" i="3"/>
  <c r="L133" i="3"/>
  <c r="M133" i="1"/>
  <c r="L132" i="3"/>
  <c r="M132" i="1"/>
  <c r="L131" i="3"/>
  <c r="M131" i="1"/>
  <c r="M130" i="1"/>
  <c r="L130" i="3"/>
  <c r="L129" i="3"/>
  <c r="M129" i="1"/>
  <c r="L128" i="3"/>
  <c r="M128" i="1"/>
  <c r="L127" i="3"/>
  <c r="M127" i="1"/>
  <c r="M126" i="1"/>
  <c r="L126" i="3"/>
  <c r="L125" i="3"/>
  <c r="M125" i="1"/>
  <c r="L124" i="3"/>
  <c r="M124" i="1"/>
  <c r="L123" i="3"/>
  <c r="M123" i="1"/>
  <c r="L122" i="3"/>
  <c r="M122" i="1"/>
  <c r="L121" i="3"/>
  <c r="M121" i="1"/>
  <c r="M120" i="1"/>
  <c r="L120" i="3"/>
  <c r="L119" i="3"/>
  <c r="M119" i="1"/>
  <c r="M118" i="1"/>
  <c r="L118" i="3"/>
  <c r="L117" i="3"/>
  <c r="M117" i="1"/>
  <c r="L116" i="3"/>
  <c r="M116" i="1"/>
  <c r="L115" i="3"/>
  <c r="M115" i="1"/>
  <c r="L114" i="3"/>
  <c r="M114" i="1"/>
  <c r="L113" i="3"/>
  <c r="M113" i="1"/>
  <c r="L112" i="3"/>
  <c r="M112" i="1"/>
  <c r="M111" i="1"/>
  <c r="L111" i="3"/>
  <c r="L110" i="3"/>
  <c r="M110" i="1"/>
  <c r="L109" i="3"/>
  <c r="M109" i="1"/>
  <c r="L108" i="3"/>
  <c r="M108" i="1"/>
  <c r="L107" i="3"/>
  <c r="M107" i="1"/>
  <c r="L106" i="3"/>
  <c r="M106" i="1"/>
  <c r="L105" i="3"/>
  <c r="M105" i="1"/>
  <c r="L104" i="3"/>
  <c r="M104" i="1"/>
  <c r="L103" i="3"/>
  <c r="M103" i="1"/>
  <c r="L102" i="3"/>
  <c r="M102" i="1"/>
  <c r="M101" i="1"/>
  <c r="L101" i="3"/>
  <c r="L100" i="3"/>
  <c r="M100" i="1"/>
  <c r="M99" i="1"/>
  <c r="L99" i="3"/>
  <c r="L98" i="3"/>
  <c r="M98" i="1"/>
  <c r="M97" i="1"/>
  <c r="L97" i="3"/>
  <c r="M96" i="1"/>
  <c r="L96" i="3"/>
  <c r="M95" i="1"/>
  <c r="L95" i="3"/>
  <c r="M94" i="1"/>
  <c r="L94" i="3"/>
  <c r="M93" i="1"/>
  <c r="L93" i="3"/>
  <c r="L92" i="3"/>
  <c r="M92" i="1"/>
  <c r="M91" i="1"/>
  <c r="L91" i="3"/>
  <c r="M90" i="1"/>
  <c r="L90" i="3"/>
  <c r="L89" i="3"/>
  <c r="M89" i="1"/>
  <c r="M88" i="1"/>
  <c r="L88" i="3"/>
  <c r="M87" i="1"/>
  <c r="L87" i="3"/>
  <c r="M86" i="1"/>
  <c r="L86" i="3"/>
  <c r="M85" i="1"/>
  <c r="L85" i="3"/>
  <c r="M84" i="1"/>
  <c r="L84" i="3"/>
  <c r="L83" i="3"/>
  <c r="M83" i="1"/>
  <c r="M82" i="1"/>
  <c r="L82" i="3"/>
  <c r="M81" i="1"/>
  <c r="L81" i="3"/>
  <c r="L80" i="3"/>
  <c r="M80" i="1"/>
  <c r="L79" i="3"/>
  <c r="M79" i="1"/>
  <c r="L78" i="3"/>
  <c r="M78" i="1"/>
  <c r="M77" i="1"/>
  <c r="L77" i="3"/>
  <c r="M76" i="1"/>
  <c r="L76" i="3"/>
  <c r="M75" i="1"/>
  <c r="L75" i="3"/>
  <c r="M74" i="1"/>
  <c r="L74" i="3"/>
  <c r="M73" i="1"/>
  <c r="L73" i="3"/>
  <c r="M72" i="1"/>
  <c r="L72" i="3"/>
  <c r="M71" i="1"/>
  <c r="L71" i="3"/>
  <c r="L70" i="3"/>
  <c r="M70" i="1"/>
  <c r="L69" i="3"/>
  <c r="M69" i="1"/>
  <c r="L68" i="3"/>
  <c r="M68" i="1"/>
  <c r="L67" i="3"/>
  <c r="M67" i="1"/>
  <c r="L66" i="3"/>
  <c r="M66" i="1"/>
  <c r="M65" i="1"/>
  <c r="L65" i="3"/>
  <c r="M64" i="1"/>
  <c r="L64" i="3"/>
  <c r="M63" i="1"/>
  <c r="L63" i="3"/>
  <c r="M62" i="1"/>
  <c r="L62" i="3"/>
  <c r="M61" i="1"/>
  <c r="L61" i="3"/>
  <c r="L60" i="3"/>
  <c r="M60" i="1"/>
  <c r="M59" i="1"/>
  <c r="L59" i="3"/>
  <c r="L58" i="3"/>
  <c r="M58" i="1"/>
  <c r="L57" i="3"/>
  <c r="M57" i="1"/>
  <c r="L56" i="3"/>
  <c r="M56" i="1"/>
  <c r="M55" i="1"/>
  <c r="L55" i="3"/>
  <c r="L54" i="3"/>
  <c r="M54" i="1"/>
  <c r="M53" i="1"/>
  <c r="L53" i="3"/>
  <c r="M52" i="1"/>
  <c r="L52" i="3"/>
  <c r="L51" i="3"/>
  <c r="M51" i="1"/>
  <c r="M50" i="1"/>
  <c r="L50" i="3"/>
  <c r="M49" i="1"/>
  <c r="L49" i="3"/>
  <c r="M48" i="1"/>
  <c r="L48" i="3"/>
  <c r="M47" i="1"/>
  <c r="L47" i="3"/>
  <c r="M46" i="1"/>
  <c r="L46" i="3"/>
  <c r="L45" i="3"/>
  <c r="M45" i="1"/>
  <c r="M44" i="1"/>
  <c r="L44" i="3"/>
  <c r="M43" i="1"/>
  <c r="L43" i="3"/>
  <c r="L42" i="3"/>
  <c r="M42" i="1"/>
  <c r="M41" i="1"/>
  <c r="L41" i="3"/>
  <c r="M40" i="1"/>
  <c r="L40" i="3"/>
  <c r="M39" i="1"/>
  <c r="L39" i="3"/>
  <c r="M38" i="1"/>
  <c r="L38" i="3"/>
  <c r="M37" i="1"/>
  <c r="L37" i="3"/>
  <c r="M36" i="1"/>
  <c r="L36" i="3"/>
  <c r="M35" i="1"/>
  <c r="L35" i="3"/>
  <c r="M34" i="1"/>
  <c r="L34" i="3"/>
  <c r="M33" i="1"/>
  <c r="L33" i="3"/>
  <c r="L32" i="3"/>
  <c r="M32" i="1"/>
  <c r="M31" i="1"/>
  <c r="L31" i="3"/>
  <c r="L30" i="3"/>
  <c r="M30" i="1"/>
  <c r="M29" i="1"/>
  <c r="L29" i="3"/>
  <c r="M28" i="1"/>
  <c r="L28" i="3"/>
  <c r="M27" i="1"/>
  <c r="L27" i="3"/>
  <c r="L26" i="3"/>
  <c r="M26" i="1"/>
  <c r="L25" i="3"/>
  <c r="M25" i="1"/>
  <c r="L24" i="3"/>
  <c r="M24" i="1"/>
  <c r="L23" i="3"/>
  <c r="M23" i="1"/>
  <c r="L22" i="3"/>
  <c r="M22" i="1"/>
  <c r="L21" i="3"/>
  <c r="M21" i="1"/>
  <c r="L20" i="3"/>
  <c r="M20" i="1"/>
  <c r="L19" i="3"/>
  <c r="M19" i="1"/>
  <c r="L18" i="3"/>
  <c r="M18" i="1"/>
  <c r="L17" i="3"/>
  <c r="M17" i="1"/>
  <c r="L16" i="3"/>
  <c r="M16" i="1"/>
  <c r="L15" i="3"/>
  <c r="M15" i="1"/>
  <c r="L14" i="3"/>
  <c r="M14" i="1"/>
  <c r="L13" i="3"/>
  <c r="M13" i="1"/>
  <c r="L12" i="3"/>
  <c r="M12" i="1"/>
  <c r="L11" i="3"/>
  <c r="M11" i="1"/>
  <c r="M10" i="1"/>
  <c r="L10" i="3"/>
  <c r="M9" i="1"/>
  <c r="L9" i="3"/>
  <c r="M8" i="1"/>
  <c r="L8" i="3"/>
  <c r="L7" i="3"/>
  <c r="M7" i="1"/>
  <c r="M6" i="1"/>
  <c r="L6" i="3"/>
  <c r="L5" i="3"/>
  <c r="M5" i="1"/>
  <c r="L4" i="3"/>
  <c r="M4" i="1"/>
  <c r="N4" i="1"/>
  <c r="M4" i="3" s="1"/>
  <c r="M3" i="1"/>
  <c r="L3" i="3"/>
</calcChain>
</file>

<file path=xl/sharedStrings.xml><?xml version="1.0" encoding="utf-8"?>
<sst xmlns="http://schemas.openxmlformats.org/spreadsheetml/2006/main" count="16909" uniqueCount="2695">
  <si>
    <t>Page #</t>
  </si>
  <si>
    <t>Year</t>
  </si>
  <si>
    <t>Date</t>
  </si>
  <si>
    <t>Team</t>
  </si>
  <si>
    <t>Site</t>
  </si>
  <si>
    <t>Block #</t>
  </si>
  <si>
    <t>Treatment</t>
  </si>
  <si>
    <t>Transect</t>
  </si>
  <si>
    <t>Point</t>
  </si>
  <si>
    <t>Distance</t>
  </si>
  <si>
    <t>Code</t>
  </si>
  <si>
    <t>Species</t>
  </si>
  <si>
    <t>Native/Non-Native</t>
  </si>
  <si>
    <t>Notes</t>
  </si>
  <si>
    <t>(#)</t>
  </si>
  <si>
    <t>mm/dd/yy</t>
  </si>
  <si>
    <t>initials</t>
  </si>
  <si>
    <t>CU/VB/GB</t>
  </si>
  <si>
    <t>LS/LU/SS/SU</t>
  </si>
  <si>
    <t>1 or 2</t>
  </si>
  <si>
    <t>1-30</t>
  </si>
  <si>
    <t>0-12m</t>
  </si>
  <si>
    <t>six-letter code</t>
  </si>
  <si>
    <t>do not enter - autofill formula</t>
  </si>
  <si>
    <t>enter as written</t>
  </si>
  <si>
    <t>TL, CG, BN</t>
  </si>
  <si>
    <t>VB</t>
  </si>
  <si>
    <t>LS</t>
  </si>
  <si>
    <t>L</t>
  </si>
  <si>
    <t>OPULIT</t>
  </si>
  <si>
    <t>EROMOS</t>
  </si>
  <si>
    <t>FESMYU</t>
  </si>
  <si>
    <t>MEDPOL</t>
  </si>
  <si>
    <t>UNKNNGRASS</t>
  </si>
  <si>
    <t>EROCIC</t>
  </si>
  <si>
    <t>DEIFAS</t>
  </si>
  <si>
    <t>BROMAD</t>
  </si>
  <si>
    <t>SONOLE</t>
  </si>
  <si>
    <t>TH</t>
  </si>
  <si>
    <t>STEDIE</t>
  </si>
  <si>
    <t>CYLPRO</t>
  </si>
  <si>
    <t>S</t>
  </si>
  <si>
    <t>CENMEL</t>
  </si>
  <si>
    <t>UROLIN</t>
  </si>
  <si>
    <t>AMSMEN</t>
  </si>
  <si>
    <t>MP, TL, CG, BN</t>
  </si>
  <si>
    <t>LU</t>
  </si>
  <si>
    <t>SONSPP</t>
  </si>
  <si>
    <t>SONASP</t>
  </si>
  <si>
    <t>ANAARV</t>
  </si>
  <si>
    <t>CRYMAR</t>
  </si>
  <si>
    <t>B</t>
  </si>
  <si>
    <t>R</t>
  </si>
  <si>
    <t>EROBOT</t>
  </si>
  <si>
    <t>JC, TL</t>
  </si>
  <si>
    <t>DAUPUS</t>
  </si>
  <si>
    <t>GRICAM</t>
  </si>
  <si>
    <t>STIPUL</t>
  </si>
  <si>
    <t>CRACON</t>
  </si>
  <si>
    <t>CRYMIC</t>
  </si>
  <si>
    <t>M</t>
  </si>
  <si>
    <t>PHACIC</t>
  </si>
  <si>
    <t>TL, JC</t>
  </si>
  <si>
    <t>SS</t>
  </si>
  <si>
    <t>BRANIG</t>
  </si>
  <si>
    <t>CRYINT</t>
  </si>
  <si>
    <t>SU</t>
  </si>
  <si>
    <t>GALAPA</t>
  </si>
  <si>
    <t>UNKNOWN</t>
  </si>
  <si>
    <t>TL, CC, BN</t>
  </si>
  <si>
    <t>LUPSUC</t>
  </si>
  <si>
    <t>LASCAL</t>
  </si>
  <si>
    <t>TL, BN, JR, AA</t>
  </si>
  <si>
    <t>ERIFAS</t>
  </si>
  <si>
    <t>TL, JR, AA</t>
  </si>
  <si>
    <t>CU</t>
  </si>
  <si>
    <t>AVEFAT</t>
  </si>
  <si>
    <t>CG, JD</t>
  </si>
  <si>
    <t>LICHEN</t>
  </si>
  <si>
    <t>SENVUL</t>
  </si>
  <si>
    <t>EROSPP</t>
  </si>
  <si>
    <t>BRADIS</t>
  </si>
  <si>
    <t>PICECH</t>
  </si>
  <si>
    <t>JV, MP</t>
  </si>
  <si>
    <t>BRODIA</t>
  </si>
  <si>
    <t>GB</t>
  </si>
  <si>
    <t>ARTCAL</t>
  </si>
  <si>
    <t>UNKPLANT</t>
  </si>
  <si>
    <t>BROHOR</t>
  </si>
  <si>
    <t>full name</t>
  </si>
  <si>
    <t>Moss? No Hit?</t>
  </si>
  <si>
    <t>SENVIL</t>
  </si>
  <si>
    <t>MP, JV</t>
  </si>
  <si>
    <t>UNK MUSTARD</t>
  </si>
  <si>
    <t>Species Code (A-Z)</t>
  </si>
  <si>
    <t>Full Scientific Name (Genus species)</t>
  </si>
  <si>
    <t>Common Name</t>
  </si>
  <si>
    <t>other scientific names</t>
  </si>
  <si>
    <t>Plant Family</t>
  </si>
  <si>
    <t>.</t>
  </si>
  <si>
    <t>ACHMIL</t>
  </si>
  <si>
    <t>Achillea millefolium</t>
  </si>
  <si>
    <t>Native</t>
  </si>
  <si>
    <t>Yarrow</t>
  </si>
  <si>
    <t>Asteraceae</t>
  </si>
  <si>
    <t>ACMAME</t>
  </si>
  <si>
    <t>Acmispon americanus</t>
  </si>
  <si>
    <t>American bird's foot trefoil</t>
  </si>
  <si>
    <t>Lotus purshianus</t>
  </si>
  <si>
    <t>Fabaceae</t>
  </si>
  <si>
    <t>ACMGLA</t>
  </si>
  <si>
    <t>Acmispon glaber</t>
  </si>
  <si>
    <t>Deerweed, California Broom</t>
  </si>
  <si>
    <t>Lotus scoparius</t>
  </si>
  <si>
    <t>ACMMAR</t>
  </si>
  <si>
    <t>Acmispon maritimus</t>
  </si>
  <si>
    <t>Coastal Lotus</t>
  </si>
  <si>
    <t>Lotus salsuginosus</t>
  </si>
  <si>
    <t>ACMMIC</t>
  </si>
  <si>
    <t>Acmicspon micranthus</t>
  </si>
  <si>
    <t>Small flowered lotus, grab lotus</t>
  </si>
  <si>
    <t>Lotus hamatus</t>
  </si>
  <si>
    <t>ACMPRO</t>
  </si>
  <si>
    <t>Acmispon prostratus</t>
  </si>
  <si>
    <t>prostrate lotus</t>
  </si>
  <si>
    <t>ACMSPP</t>
  </si>
  <si>
    <t>Acmispon species</t>
  </si>
  <si>
    <t>bird's foot trefoil</t>
  </si>
  <si>
    <t>ACMSTR</t>
  </si>
  <si>
    <t>Acmispon strigosus</t>
  </si>
  <si>
    <t>Strigose lotus</t>
  </si>
  <si>
    <t>Lotus strigosus</t>
  </si>
  <si>
    <t>ACMWRA</t>
  </si>
  <si>
    <t>Acmispon wrangelianus</t>
  </si>
  <si>
    <t>ACOMIC</t>
  </si>
  <si>
    <t>Acourtia microcephala</t>
  </si>
  <si>
    <t>Sacapellote</t>
  </si>
  <si>
    <t>ADEFAS</t>
  </si>
  <si>
    <t>Adenostoma fasciculatum</t>
  </si>
  <si>
    <t>Chamise</t>
  </si>
  <si>
    <t>Rosaceae</t>
  </si>
  <si>
    <t>AGOGRA</t>
  </si>
  <si>
    <t>Agoseris grandiflora</t>
  </si>
  <si>
    <t>Large-flowered Mountain Dandelion</t>
  </si>
  <si>
    <t>AGOSPP</t>
  </si>
  <si>
    <t>Agoseris species</t>
  </si>
  <si>
    <t>AGRPAL</t>
  </si>
  <si>
    <t>Agrostis pallens</t>
  </si>
  <si>
    <t>bent grass</t>
  </si>
  <si>
    <t>Poaceae</t>
  </si>
  <si>
    <t>ALLAMP</t>
  </si>
  <si>
    <t>Allium amplectens</t>
  </si>
  <si>
    <t>onion</t>
  </si>
  <si>
    <t>Alliaceae</t>
  </si>
  <si>
    <t>ALLGLU</t>
  </si>
  <si>
    <t>Allophyllum glutinosum</t>
  </si>
  <si>
    <t>sticky false gilia</t>
  </si>
  <si>
    <t>Polemoniaceae</t>
  </si>
  <si>
    <t>ALLPEN</t>
  </si>
  <si>
    <t>Allium peninsulare</t>
  </si>
  <si>
    <t>ALLPRA</t>
  </si>
  <si>
    <t>Allium praecox</t>
  </si>
  <si>
    <t>ALLSPP</t>
  </si>
  <si>
    <t>Allium species</t>
  </si>
  <si>
    <t>AMAALB</t>
  </si>
  <si>
    <t>Amaranthus albus</t>
  </si>
  <si>
    <t>Non-Native</t>
  </si>
  <si>
    <t>pigweed</t>
  </si>
  <si>
    <t>Amaranthaceae</t>
  </si>
  <si>
    <t>AMBACA</t>
  </si>
  <si>
    <t>Ambrosia acanthicarpa</t>
  </si>
  <si>
    <t>ragweed</t>
  </si>
  <si>
    <t>AMBCON</t>
  </si>
  <si>
    <t>Ambrosia confertiflora</t>
  </si>
  <si>
    <t>weak leaf burweed/ragweed</t>
  </si>
  <si>
    <t>AMBPSI</t>
  </si>
  <si>
    <t>Ambrosia psilostachya</t>
  </si>
  <si>
    <t>AMOCAL</t>
  </si>
  <si>
    <t>Amorpha californica</t>
  </si>
  <si>
    <t>false indigo</t>
  </si>
  <si>
    <t>AMOFRU</t>
  </si>
  <si>
    <t>Amorpha fruticosa</t>
  </si>
  <si>
    <t>western false indigo</t>
  </si>
  <si>
    <t>AMSINT</t>
  </si>
  <si>
    <t>Amsinckia intermedia</t>
  </si>
  <si>
    <t>common fiddleneck</t>
  </si>
  <si>
    <t>Boraginaceae</t>
  </si>
  <si>
    <t>Amsinckia menziesii</t>
  </si>
  <si>
    <t>fiddleneck</t>
  </si>
  <si>
    <t>AMSRET</t>
  </si>
  <si>
    <t>Amsinckia retrorsa</t>
  </si>
  <si>
    <t>Gray Fiddleneck</t>
  </si>
  <si>
    <t>Anagallis arvensis</t>
  </si>
  <si>
    <t>scarlet pimpernel</t>
  </si>
  <si>
    <t>Primulaceae</t>
  </si>
  <si>
    <t>ANECAL</t>
  </si>
  <si>
    <t>Anemopsis californica</t>
  </si>
  <si>
    <t>Yerba mansa</t>
  </si>
  <si>
    <t>Saururaceae</t>
  </si>
  <si>
    <t>ANTCAU</t>
  </si>
  <si>
    <t>Anthriscus caucalis</t>
  </si>
  <si>
    <t>Bur chervil</t>
  </si>
  <si>
    <t>Apiaceae</t>
  </si>
  <si>
    <t>ANTCOU</t>
  </si>
  <si>
    <t>Antirrhinum coulterianum</t>
  </si>
  <si>
    <t>Coulter's snapdragon</t>
  </si>
  <si>
    <t>Plantaginaceae</t>
  </si>
  <si>
    <t>ANTKEL</t>
  </si>
  <si>
    <t>Antirrhinum kelloggii</t>
  </si>
  <si>
    <t>climbing snapdragon</t>
  </si>
  <si>
    <t>ANTNUT</t>
  </si>
  <si>
    <t>Antirrhinum nuttallianum</t>
  </si>
  <si>
    <t>Nuttall's snapdragon</t>
  </si>
  <si>
    <t>APIANG</t>
  </si>
  <si>
    <t>Apiastrum angustifolium</t>
  </si>
  <si>
    <t>wild celery</t>
  </si>
  <si>
    <t>APIGRA</t>
  </si>
  <si>
    <t>Apium graveolens</t>
  </si>
  <si>
    <t>celery</t>
  </si>
  <si>
    <t>APOCAN</t>
  </si>
  <si>
    <t>Apocynum cannabinum</t>
  </si>
  <si>
    <t>Indian hemp</t>
  </si>
  <si>
    <t>Apocynaceae</t>
  </si>
  <si>
    <t>ARASER</t>
  </si>
  <si>
    <t>Araujia sericifera</t>
  </si>
  <si>
    <t>bladder flower</t>
  </si>
  <si>
    <t>ARIDIV</t>
  </si>
  <si>
    <t>Aristida divaricata</t>
  </si>
  <si>
    <t>three-awn grass</t>
  </si>
  <si>
    <t>ARIPUR</t>
  </si>
  <si>
    <t>Aristida purpurea</t>
  </si>
  <si>
    <t>ARISPP</t>
  </si>
  <si>
    <t>Aristida species</t>
  </si>
  <si>
    <t>Artemisia californica</t>
  </si>
  <si>
    <t>California Sage brush</t>
  </si>
  <si>
    <t>ARTCAL resprout</t>
  </si>
  <si>
    <t>Artemisia californica resprout</t>
  </si>
  <si>
    <t>ARTCAL seedling</t>
  </si>
  <si>
    <t>Artemisia californica seedling</t>
  </si>
  <si>
    <t>ARTDOU</t>
  </si>
  <si>
    <t>Artemisia douglasiana</t>
  </si>
  <si>
    <t>Mugwort</t>
  </si>
  <si>
    <t>ARTDRA</t>
  </si>
  <si>
    <t>Artemisia dracunculus</t>
  </si>
  <si>
    <t>wild tarragon</t>
  </si>
  <si>
    <t>ARTPAL</t>
  </si>
  <si>
    <t>Artemisia palmeri</t>
  </si>
  <si>
    <t>ARUDON</t>
  </si>
  <si>
    <t>Arundo donax</t>
  </si>
  <si>
    <t>giant reed</t>
  </si>
  <si>
    <t>ASCERI</t>
  </si>
  <si>
    <t>Asclepias eriocarpa</t>
  </si>
  <si>
    <t>wooly fruited milkweed</t>
  </si>
  <si>
    <t>ASCFAS</t>
  </si>
  <si>
    <t>Asclepias fascicularis</t>
  </si>
  <si>
    <t>narrow- leaf milkweed</t>
  </si>
  <si>
    <t>ASTGAM</t>
  </si>
  <si>
    <t>Astragalus gambelianus</t>
  </si>
  <si>
    <t>locoweed</t>
  </si>
  <si>
    <t>ASTTRI</t>
  </si>
  <si>
    <t>Astragalus trichopodus</t>
  </si>
  <si>
    <t>santa barbara milk vetch</t>
  </si>
  <si>
    <t>ATHPUS</t>
  </si>
  <si>
    <t>Athysanus pusillus</t>
  </si>
  <si>
    <t>dwarf athysanus, sandweed</t>
  </si>
  <si>
    <t>Brassicaceae</t>
  </si>
  <si>
    <t>ATRCAN</t>
  </si>
  <si>
    <t>Atriplex canescens</t>
  </si>
  <si>
    <t>four-wing saltbush</t>
  </si>
  <si>
    <t>Chenopodiaceae</t>
  </si>
  <si>
    <t>ATRLEN</t>
  </si>
  <si>
    <t>Atriplex lentiformis</t>
  </si>
  <si>
    <t>big saltbush</t>
  </si>
  <si>
    <t>ATRSEM</t>
  </si>
  <si>
    <t>Atriplex semibaccata</t>
  </si>
  <si>
    <t>australian saltbush</t>
  </si>
  <si>
    <t>AVEBAR</t>
  </si>
  <si>
    <t>Avena barbata</t>
  </si>
  <si>
    <t>wild oat</t>
  </si>
  <si>
    <t>Avena fatua</t>
  </si>
  <si>
    <t>AVESPP</t>
  </si>
  <si>
    <t>Avena species</t>
  </si>
  <si>
    <t>Avena fatua, Avena Barbata</t>
  </si>
  <si>
    <t>Bareground</t>
  </si>
  <si>
    <t>Ground Cover</t>
  </si>
  <si>
    <t>BACPIL</t>
  </si>
  <si>
    <t>Baccharis pilularis</t>
  </si>
  <si>
    <t>coyote bush</t>
  </si>
  <si>
    <t>BACSAL</t>
  </si>
  <si>
    <t>Baccharis salicifolia</t>
  </si>
  <si>
    <t>mulefat</t>
  </si>
  <si>
    <t>BACSALICINA</t>
  </si>
  <si>
    <t>Baccharis salicina</t>
  </si>
  <si>
    <t>willow baccharis</t>
  </si>
  <si>
    <t>BACSAR</t>
  </si>
  <si>
    <t>Baccharis sarothroides</t>
  </si>
  <si>
    <t>broom baccharis</t>
  </si>
  <si>
    <t>BAHLAC</t>
  </si>
  <si>
    <t>Bahiopsis laciniata</t>
  </si>
  <si>
    <t>BEBJUN</t>
  </si>
  <si>
    <t>Bebbia juncea</t>
  </si>
  <si>
    <t>sweetbush</t>
  </si>
  <si>
    <t>BLOCRO</t>
  </si>
  <si>
    <t>Bloomeria crocea</t>
  </si>
  <si>
    <t>Golden stars</t>
  </si>
  <si>
    <t>Themidaceae</t>
  </si>
  <si>
    <t>BOESPA</t>
  </si>
  <si>
    <t>Boechera sparsiflora</t>
  </si>
  <si>
    <t>BOWINC</t>
  </si>
  <si>
    <t>Bowlesia incana</t>
  </si>
  <si>
    <t>Bowelesia</t>
  </si>
  <si>
    <t>Brachypodium distachyon</t>
  </si>
  <si>
    <t>false brome</t>
  </si>
  <si>
    <t>BRAGEN</t>
  </si>
  <si>
    <t>Hirschfeldia incana</t>
  </si>
  <si>
    <t>Summer mustard, short pod mustard</t>
  </si>
  <si>
    <t>Brassica nigra</t>
  </si>
  <si>
    <t>Black Mustard</t>
  </si>
  <si>
    <t>BRARAP</t>
  </si>
  <si>
    <t>Brassica rapa</t>
  </si>
  <si>
    <t>BRATOU</t>
  </si>
  <si>
    <t>Brassica tournefortii</t>
  </si>
  <si>
    <t>Sahara mustard</t>
  </si>
  <si>
    <t>BRICAL</t>
  </si>
  <si>
    <t>Brickellia californica</t>
  </si>
  <si>
    <t>bricklebush</t>
  </si>
  <si>
    <t>BROCAR</t>
  </si>
  <si>
    <t>Bromus carinatus</t>
  </si>
  <si>
    <t>California brome</t>
  </si>
  <si>
    <t>BROCAT</t>
  </si>
  <si>
    <t>Bromus catharticus</t>
  </si>
  <si>
    <t>rescue grass</t>
  </si>
  <si>
    <t>Bromus diandrus</t>
  </si>
  <si>
    <t>ripgut brome</t>
  </si>
  <si>
    <t>Bromus hordeaceus</t>
  </si>
  <si>
    <t>soft chess brome</t>
  </si>
  <si>
    <t>Bromus madritensis</t>
  </si>
  <si>
    <t>red brome, foxtail brome</t>
  </si>
  <si>
    <t>Bromus Rubens (BRORUB)</t>
  </si>
  <si>
    <t>BROTEC</t>
  </si>
  <si>
    <t>Bromus Tectorum</t>
  </si>
  <si>
    <t>downy brome, drooping brome</t>
  </si>
  <si>
    <t>BROSPP</t>
  </si>
  <si>
    <t>Bromus species</t>
  </si>
  <si>
    <t>C</t>
  </si>
  <si>
    <t>Crypto-biotic Crust</t>
  </si>
  <si>
    <t>CALBRE</t>
  </si>
  <si>
    <t>Calandrinia breweri</t>
  </si>
  <si>
    <t>Brewer's Red Maids</t>
  </si>
  <si>
    <t>Montiaceae</t>
  </si>
  <si>
    <t>CALCAT</t>
  </si>
  <si>
    <t>Calochortus catalinae</t>
  </si>
  <si>
    <t>Mariposa lily</t>
  </si>
  <si>
    <t>Liliaceae</t>
  </si>
  <si>
    <t>CALCIL</t>
  </si>
  <si>
    <t>Calandrinia ciliata</t>
  </si>
  <si>
    <t>Red maids</t>
  </si>
  <si>
    <t>CALMAC</t>
  </si>
  <si>
    <t>Calystegia macrostegia</t>
  </si>
  <si>
    <t>morning glory</t>
  </si>
  <si>
    <t>Convovulaceae</t>
  </si>
  <si>
    <t>CALSOL</t>
  </si>
  <si>
    <t>Calystegia soldanella</t>
  </si>
  <si>
    <t>beach morning glory</t>
  </si>
  <si>
    <t>CALSPL</t>
  </si>
  <si>
    <t>Calochortus splendens</t>
  </si>
  <si>
    <t>CALSPP</t>
  </si>
  <si>
    <t>Calochortus species</t>
  </si>
  <si>
    <t>CALWEE</t>
  </si>
  <si>
    <t>Calochortus weedii var. weedii</t>
  </si>
  <si>
    <t>CALWEEI</t>
  </si>
  <si>
    <t>Calochortus weedii var. intermedius</t>
  </si>
  <si>
    <t>CALWEEW</t>
  </si>
  <si>
    <t>CAMBIS</t>
  </si>
  <si>
    <t>Camissoniopsis bistorta</t>
  </si>
  <si>
    <t>suncup, primrose</t>
  </si>
  <si>
    <t>Onagraceae</t>
  </si>
  <si>
    <t>CAMBIS?</t>
  </si>
  <si>
    <t>CAMCON</t>
  </si>
  <si>
    <t>Camissonia confusa</t>
  </si>
  <si>
    <t>CAMHIR</t>
  </si>
  <si>
    <t>Camissonia hirtella</t>
  </si>
  <si>
    <t>hairy suncup</t>
  </si>
  <si>
    <t>CAMMIC</t>
  </si>
  <si>
    <t>Camissoniopsis micrantha</t>
  </si>
  <si>
    <t>CAMSPP</t>
  </si>
  <si>
    <t>Camissoniopsis species</t>
  </si>
  <si>
    <t>CAPBUR</t>
  </si>
  <si>
    <t>Capsella bursa-pastoris</t>
  </si>
  <si>
    <t>shepherd's purse</t>
  </si>
  <si>
    <t>CARCAL</t>
  </si>
  <si>
    <t>Cardamine californica</t>
  </si>
  <si>
    <t>bittercress, milkmaids</t>
  </si>
  <si>
    <t>CAREDU</t>
  </si>
  <si>
    <t>Carpobrotus edulis</t>
  </si>
  <si>
    <t>Common Iceplant</t>
  </si>
  <si>
    <t>chilensis-pink flowers, edulis-yellow flowers</t>
  </si>
  <si>
    <t>Aizoaceae</t>
  </si>
  <si>
    <t>CARPRA</t>
  </si>
  <si>
    <t>Carex praegracilis</t>
  </si>
  <si>
    <t>field sedge</t>
  </si>
  <si>
    <t>Cyperaceae</t>
  </si>
  <si>
    <t>CARPYC</t>
  </si>
  <si>
    <t>Carduus pycnocephalus</t>
  </si>
  <si>
    <t>Italian thistle</t>
  </si>
  <si>
    <t>CARRAM</t>
  </si>
  <si>
    <t>Cardionema ramosissimum</t>
  </si>
  <si>
    <t>sandmat</t>
  </si>
  <si>
    <t>Caryophyllacaeae</t>
  </si>
  <si>
    <t>CARSPP</t>
  </si>
  <si>
    <t>Carex species</t>
  </si>
  <si>
    <t>sedge</t>
  </si>
  <si>
    <t>CARTRI</t>
  </si>
  <si>
    <t>Carex triquetra</t>
  </si>
  <si>
    <t>triangular fruit sedge</t>
  </si>
  <si>
    <t>CASAFF</t>
  </si>
  <si>
    <t>Castilleja affinis</t>
  </si>
  <si>
    <t>Coastal Paintbrush</t>
  </si>
  <si>
    <t>Orobanchaceae</t>
  </si>
  <si>
    <t>CASDEN</t>
  </si>
  <si>
    <t>Castilleja densiflora</t>
  </si>
  <si>
    <t>CASEXE</t>
  </si>
  <si>
    <t>Castilleja exserta</t>
  </si>
  <si>
    <t>Purple Owl's clover</t>
  </si>
  <si>
    <t>CASFOL</t>
  </si>
  <si>
    <t>Castilleja foliolosa</t>
  </si>
  <si>
    <t>texas paintbrush</t>
  </si>
  <si>
    <t>CAULAS</t>
  </si>
  <si>
    <t>Caulanthus lasiophyllus</t>
  </si>
  <si>
    <t>California mustard</t>
  </si>
  <si>
    <t>CEACRA</t>
  </si>
  <si>
    <t>Ceanothus crassifolius</t>
  </si>
  <si>
    <t>hoary leaved ceantothus</t>
  </si>
  <si>
    <t>Rhamnaceae</t>
  </si>
  <si>
    <t>CEAGRE</t>
  </si>
  <si>
    <t>Ceanothus greggii</t>
  </si>
  <si>
    <t>CEALEU</t>
  </si>
  <si>
    <t>Ceanothus leucodermis</t>
  </si>
  <si>
    <t>CEAMEG</t>
  </si>
  <si>
    <t>Ceanothus megacarpus</t>
  </si>
  <si>
    <t>bigpod ceanothus</t>
  </si>
  <si>
    <t>CEAOLI</t>
  </si>
  <si>
    <t>Ceanothus oliganthus</t>
  </si>
  <si>
    <t>hairy ceanothus</t>
  </si>
  <si>
    <t>CEASPP</t>
  </si>
  <si>
    <t>Ceanothus species</t>
  </si>
  <si>
    <t>CEATOM</t>
  </si>
  <si>
    <t>Ceanothus tomentosus</t>
  </si>
  <si>
    <t>CEAVER</t>
  </si>
  <si>
    <t>Ceanothus verrucosus</t>
  </si>
  <si>
    <t>CENCAL</t>
  </si>
  <si>
    <t>Centaurea calcitrapa</t>
  </si>
  <si>
    <t>Centaurea melitensis</t>
  </si>
  <si>
    <t>tocalote, malta star thistle</t>
  </si>
  <si>
    <t>CERBET</t>
  </si>
  <si>
    <t>Cercocarpus betuloides</t>
  </si>
  <si>
    <t>mountain mahogany</t>
  </si>
  <si>
    <t>CERGLO</t>
  </si>
  <si>
    <t>Cerastium glomeratum</t>
  </si>
  <si>
    <t>sticky mouse ears</t>
  </si>
  <si>
    <t>CHAALB</t>
  </si>
  <si>
    <t>Chamaesyce albomarginata</t>
  </si>
  <si>
    <t>rattlesnake spurge</t>
  </si>
  <si>
    <t>Euphorbiaceae</t>
  </si>
  <si>
    <t>CHAART</t>
  </si>
  <si>
    <t>Chaenactis artemisiifolia</t>
  </si>
  <si>
    <t>white pincushion</t>
  </si>
  <si>
    <t>CHAGLA</t>
  </si>
  <si>
    <t>Chaenactis glabriuscula</t>
  </si>
  <si>
    <t>yellow pincushion</t>
  </si>
  <si>
    <t>CHAPOL</t>
  </si>
  <si>
    <t>Chamaesyce polycarpa</t>
  </si>
  <si>
    <t>small-seeded spurge</t>
  </si>
  <si>
    <t>CHEALB</t>
  </si>
  <si>
    <t>Chenopodium album</t>
  </si>
  <si>
    <t>lamb's quarters</t>
  </si>
  <si>
    <t>CHECAL</t>
  </si>
  <si>
    <t>Chenopodium californicum</t>
  </si>
  <si>
    <t>soaproot</t>
  </si>
  <si>
    <t>CHEMUL</t>
  </si>
  <si>
    <t>Chenopodium multifidum</t>
  </si>
  <si>
    <t>CHEMUR</t>
  </si>
  <si>
    <t>Chenopodium murale</t>
  </si>
  <si>
    <t>CHESPP</t>
  </si>
  <si>
    <t>Chenopodium species</t>
  </si>
  <si>
    <t>unknown chenopode</t>
  </si>
  <si>
    <t>CHEVID</t>
  </si>
  <si>
    <t>Cheilanthes viscida</t>
  </si>
  <si>
    <t>Pteridaceae</t>
  </si>
  <si>
    <t>CHLPAR</t>
  </si>
  <si>
    <t>Chlorogalum parviflorum</t>
  </si>
  <si>
    <t>small-flowered soapplant</t>
  </si>
  <si>
    <t>Agavaceae</t>
  </si>
  <si>
    <t>CHLPOM</t>
  </si>
  <si>
    <t>Chloragalum pomeridianum</t>
  </si>
  <si>
    <t>soap plant (wavy)</t>
  </si>
  <si>
    <t>CHOFIM</t>
  </si>
  <si>
    <t>Chorizanthe fimbriata</t>
  </si>
  <si>
    <t>spine flower</t>
  </si>
  <si>
    <t>Polygonaceae</t>
  </si>
  <si>
    <t>CHOPRO</t>
  </si>
  <si>
    <t>Chorizanthe procumbens</t>
  </si>
  <si>
    <t>CHOSPP</t>
  </si>
  <si>
    <t>Chorizanthe species</t>
  </si>
  <si>
    <t>CIROCC</t>
  </si>
  <si>
    <t>Cirsium occidentale</t>
  </si>
  <si>
    <t>Cobweb thistle</t>
  </si>
  <si>
    <t>CIROCC var CAL</t>
  </si>
  <si>
    <t>Cirsium occidentale  var. californicum</t>
  </si>
  <si>
    <t>CIROCC var OCC</t>
  </si>
  <si>
    <t>Cirsium occidentale var. occidentale </t>
  </si>
  <si>
    <t>CIRVUL</t>
  </si>
  <si>
    <t>Cirsium vulgare</t>
  </si>
  <si>
    <t>Bull thistle</t>
  </si>
  <si>
    <t>CLABOT</t>
  </si>
  <si>
    <t>Clarkia bottae</t>
  </si>
  <si>
    <t>punch bowl clarkia</t>
  </si>
  <si>
    <t>CLAPAR</t>
  </si>
  <si>
    <t>Claytonia parviflora</t>
  </si>
  <si>
    <t>narrow-leaved miner's lettuce</t>
  </si>
  <si>
    <t>CLAPER</t>
  </si>
  <si>
    <t>Claytonia perfoliata</t>
  </si>
  <si>
    <t>miner's lettuce</t>
  </si>
  <si>
    <t>CLAPUR</t>
  </si>
  <si>
    <t>Clarkia purpurea</t>
  </si>
  <si>
    <t>purple clarkia</t>
  </si>
  <si>
    <t>CLELAS</t>
  </si>
  <si>
    <t>Clematis lasiantha</t>
  </si>
  <si>
    <t>virgin's bower</t>
  </si>
  <si>
    <t>Ranunculaceae</t>
  </si>
  <si>
    <t>CLELIN</t>
  </si>
  <si>
    <t>Clematis ligusticifolia</t>
  </si>
  <si>
    <t>CNEDUM</t>
  </si>
  <si>
    <t>Cneoridium dumosum</t>
  </si>
  <si>
    <t>bushrue</t>
  </si>
  <si>
    <t>Rutaceae</t>
  </si>
  <si>
    <t>CO</t>
  </si>
  <si>
    <t>Cobble</t>
  </si>
  <si>
    <t>COLHET</t>
  </si>
  <si>
    <t>Collinsia heterophylla</t>
  </si>
  <si>
    <t>chinese houses</t>
  </si>
  <si>
    <t>CONARV</t>
  </si>
  <si>
    <t>Convolvulus arvensis</t>
  </si>
  <si>
    <t>bindweed</t>
  </si>
  <si>
    <t>CONCAN</t>
  </si>
  <si>
    <t>Conyza canadensis</t>
  </si>
  <si>
    <t>horsetail</t>
  </si>
  <si>
    <t>CONMAC</t>
  </si>
  <si>
    <t>Conium maculatum</t>
  </si>
  <si>
    <t>poison hemlock</t>
  </si>
  <si>
    <t>CONSIM</t>
  </si>
  <si>
    <t>Convolvulus simulans</t>
  </si>
  <si>
    <t>small-flowered morning glory</t>
  </si>
  <si>
    <t>CONYZA</t>
  </si>
  <si>
    <t>Conyza species</t>
  </si>
  <si>
    <t>horseweed</t>
  </si>
  <si>
    <t>Conyza canadensis, Conyza floribunda</t>
  </si>
  <si>
    <t>CORFIL</t>
  </si>
  <si>
    <t>Corethrogyne filaginifolia</t>
  </si>
  <si>
    <t>common sandaster</t>
  </si>
  <si>
    <t>Lessingia filaginifolia</t>
  </si>
  <si>
    <t>CORRIG</t>
  </si>
  <si>
    <t>Cordylanthus rigidus</t>
  </si>
  <si>
    <t>bird's beak</t>
  </si>
  <si>
    <t>CORSEL</t>
  </si>
  <si>
    <t>Cortaderia selloana</t>
  </si>
  <si>
    <t>Pampas grass</t>
  </si>
  <si>
    <t>COTAUS</t>
  </si>
  <si>
    <t>Cotula australis</t>
  </si>
  <si>
    <t>brass buttons</t>
  </si>
  <si>
    <t>Crassula connata</t>
  </si>
  <si>
    <t>sand pygmy weed</t>
  </si>
  <si>
    <t>Crassulaceae</t>
  </si>
  <si>
    <t>CROCAL</t>
  </si>
  <si>
    <t>Croton californica</t>
  </si>
  <si>
    <t>Desert croton</t>
  </si>
  <si>
    <t>CROSET</t>
  </si>
  <si>
    <t>Croton setigerus</t>
  </si>
  <si>
    <t>doveweed, turkey mullein</t>
  </si>
  <si>
    <t>CRYANG</t>
  </si>
  <si>
    <t>Cryptantha angustifolia</t>
  </si>
  <si>
    <t>Cryptantha intermedia</t>
  </si>
  <si>
    <t>common cryptantha</t>
  </si>
  <si>
    <t>Cryptantha micromeres</t>
  </si>
  <si>
    <t>CRYMUR</t>
  </si>
  <si>
    <t>Cryptantha muricata var. jonesii</t>
  </si>
  <si>
    <t>Jone's Cat's-eyes</t>
  </si>
  <si>
    <t>Crypantha maritima</t>
  </si>
  <si>
    <t>CRYSPP</t>
  </si>
  <si>
    <t>Cryptantha species</t>
  </si>
  <si>
    <t>cat's eyes</t>
  </si>
  <si>
    <t>CS(ADEFAS)</t>
  </si>
  <si>
    <t>Crown sprouting Adenostoma fasciculatum</t>
  </si>
  <si>
    <t>CS(ARTCAL)</t>
  </si>
  <si>
    <t>Crown sprouting Artemesia californica</t>
  </si>
  <si>
    <t>California Sagebrush</t>
  </si>
  <si>
    <t>CS(ERIFAS)</t>
  </si>
  <si>
    <t>Crown sprouting Eriogonum fasciculatum</t>
  </si>
  <si>
    <t>Buckwheat</t>
  </si>
  <si>
    <t>CS(MALFAS)</t>
  </si>
  <si>
    <t>Crown sprouting Malacothamnus fasciculatus</t>
  </si>
  <si>
    <t>CS(MALLAU)</t>
  </si>
  <si>
    <t>Crown sprouting Mallosma laurina</t>
  </si>
  <si>
    <t>CS(QUEAGR)</t>
  </si>
  <si>
    <t>Crown sprouting Quercus agrifolia</t>
  </si>
  <si>
    <t>CS(SALAPI)</t>
  </si>
  <si>
    <t>Crown sprouting Salvia apiana</t>
  </si>
  <si>
    <t>white sage</t>
  </si>
  <si>
    <t>Lamiaceae</t>
  </si>
  <si>
    <t>CS(SALMEL)</t>
  </si>
  <si>
    <t>Crown sprouting Salvia mellifera</t>
  </si>
  <si>
    <t>black sage</t>
  </si>
  <si>
    <t>CS(SAMMEX)</t>
  </si>
  <si>
    <t>Crown sprouting Sambucus nigra ssp. caerulea</t>
  </si>
  <si>
    <t>CUCFOE</t>
  </si>
  <si>
    <t>Cucurbita foetidissima</t>
  </si>
  <si>
    <t>coyote gourd</t>
  </si>
  <si>
    <t>Cucurbitaceae</t>
  </si>
  <si>
    <t>CUP THING</t>
  </si>
  <si>
    <t>Unknown plant</t>
  </si>
  <si>
    <t>CUPSPP</t>
  </si>
  <si>
    <t>Hesperocyparis species</t>
  </si>
  <si>
    <t>CUSCAL</t>
  </si>
  <si>
    <t>Cuscuta californica</t>
  </si>
  <si>
    <t>california dodder</t>
  </si>
  <si>
    <t>CUSSPP</t>
  </si>
  <si>
    <t>Cuscuta species</t>
  </si>
  <si>
    <t>dodder, witch's hair</t>
  </si>
  <si>
    <t>CUSCAL, other species</t>
  </si>
  <si>
    <t>CUSSUB</t>
  </si>
  <si>
    <t>Cuscuta subinclusa</t>
  </si>
  <si>
    <t>canyon dodder</t>
  </si>
  <si>
    <t>CYLBIG</t>
  </si>
  <si>
    <t>Cylindropuntia bigelovii</t>
  </si>
  <si>
    <t>teddy bear cholla</t>
  </si>
  <si>
    <t>Cactaceae</t>
  </si>
  <si>
    <t>CYLCAL</t>
  </si>
  <si>
    <t>Cylindropuntia californica</t>
  </si>
  <si>
    <t>california cholla</t>
  </si>
  <si>
    <t>Cylindropuntia prolifera</t>
  </si>
  <si>
    <t>Coast cholla</t>
  </si>
  <si>
    <t>CYNCAR</t>
  </si>
  <si>
    <t>Cynara cardunculus</t>
  </si>
  <si>
    <t>artichoke thistle</t>
  </si>
  <si>
    <t>CYNDAC</t>
  </si>
  <si>
    <t>Cynodon dactylon</t>
  </si>
  <si>
    <t>bermuda grass</t>
  </si>
  <si>
    <t>CYPINV</t>
  </si>
  <si>
    <t>Cyperus involucratus</t>
  </si>
  <si>
    <t>umbrella plant</t>
  </si>
  <si>
    <t>D(ACHMIL)</t>
  </si>
  <si>
    <t>dead Achillea millefolium</t>
  </si>
  <si>
    <t>Dead Native</t>
  </si>
  <si>
    <t>yarrow</t>
  </si>
  <si>
    <t>D(ACMAME)</t>
  </si>
  <si>
    <t>dead Acmispon americanus</t>
  </si>
  <si>
    <t>D(ACMGLA)</t>
  </si>
  <si>
    <t>dead Acmispon glaber</t>
  </si>
  <si>
    <t>D(ACMMIC)</t>
  </si>
  <si>
    <t>dead Acmicspon micranthus</t>
  </si>
  <si>
    <t>grab lotus</t>
  </si>
  <si>
    <t>D(ACMSPP)</t>
  </si>
  <si>
    <t>dead Acmispon species</t>
  </si>
  <si>
    <t>D(ACMSTR)</t>
  </si>
  <si>
    <t>dead Acmispon strigosus</t>
  </si>
  <si>
    <t>D(ADEFAS)</t>
  </si>
  <si>
    <t>dead Adenostoma fasciculatum</t>
  </si>
  <si>
    <t>D(AGRPAL)</t>
  </si>
  <si>
    <t>dead Agrostis pallens</t>
  </si>
  <si>
    <t>D(AMAALB)</t>
  </si>
  <si>
    <t>dead Amaranthus albus</t>
  </si>
  <si>
    <t>Dead Non-Native</t>
  </si>
  <si>
    <t>D(AMBACA)</t>
  </si>
  <si>
    <t>dead Ambrosia acanthicarpa</t>
  </si>
  <si>
    <t>D(AMBPSI)</t>
  </si>
  <si>
    <t>dead Ambrosia psilostachya</t>
  </si>
  <si>
    <t>D(AMOCAL)</t>
  </si>
  <si>
    <t>dead Amorpha californica</t>
  </si>
  <si>
    <t>D(AMOFRU)</t>
  </si>
  <si>
    <t>dead Amorpha fruticosa</t>
  </si>
  <si>
    <t>D(AMSINT)</t>
  </si>
  <si>
    <t>dead Amsinckia intermedia</t>
  </si>
  <si>
    <t>D(AMSMEN)</t>
  </si>
  <si>
    <t>dead Amsinckia menziesii var intermedia</t>
  </si>
  <si>
    <t>D(ANAARV)</t>
  </si>
  <si>
    <t>dead Anagallis arvensis</t>
  </si>
  <si>
    <t>D(ANECAL)</t>
  </si>
  <si>
    <t>dead Anemopsis californica</t>
  </si>
  <si>
    <t>D(ANTCAU)</t>
  </si>
  <si>
    <t>dead Anthriscus caucalis</t>
  </si>
  <si>
    <t>D(ANTCOU)</t>
  </si>
  <si>
    <t>dead Antirrhinum coulterianum</t>
  </si>
  <si>
    <t>Scrophulariaceae</t>
  </si>
  <si>
    <t>D(ANTKEL)</t>
  </si>
  <si>
    <t>dead Antirrhinum kelloggii</t>
  </si>
  <si>
    <t>D(ANTNUT)</t>
  </si>
  <si>
    <t>dead Antirrhinum nuttallianum</t>
  </si>
  <si>
    <t>D(APIANG)</t>
  </si>
  <si>
    <t>dead Apiastrum angustifolium</t>
  </si>
  <si>
    <t>D(APIGRA)</t>
  </si>
  <si>
    <t>dead Apium graveolens</t>
  </si>
  <si>
    <t>D(APOCAN)</t>
  </si>
  <si>
    <t>dead Apocynum cannabinum</t>
  </si>
  <si>
    <t>D(ARASER)</t>
  </si>
  <si>
    <t>dead Araujia sericifera</t>
  </si>
  <si>
    <t>D(ARTCAL)</t>
  </si>
  <si>
    <t>dead Artemisia californica</t>
  </si>
  <si>
    <t>D(ARTDOU)</t>
  </si>
  <si>
    <t>dead Artemisia douglasiana</t>
  </si>
  <si>
    <t>D(ARTDRA)</t>
  </si>
  <si>
    <t>dead Artemisia dracunculus</t>
  </si>
  <si>
    <t>D(ARUDON)</t>
  </si>
  <si>
    <t>dead Arundo donax</t>
  </si>
  <si>
    <t>D(ASCERI)</t>
  </si>
  <si>
    <t>dead Asclepias eriocarpa</t>
  </si>
  <si>
    <t>D(ASCFAS)</t>
  </si>
  <si>
    <t>dead Asclepias fascicularis</t>
  </si>
  <si>
    <t>D(ASTGAM)</t>
  </si>
  <si>
    <t>dead Astragalus gambelianus</t>
  </si>
  <si>
    <t>D(ASTTRI)</t>
  </si>
  <si>
    <t>dead Astragalus trichopodus</t>
  </si>
  <si>
    <t>D(ATHPUS)</t>
  </si>
  <si>
    <t>dead Athysanus pusillus</t>
  </si>
  <si>
    <t>D(ATRCAN)</t>
  </si>
  <si>
    <t>dead Atriplex canescens</t>
  </si>
  <si>
    <t>Chenopodaceae</t>
  </si>
  <si>
    <t>D(ATRLEN)</t>
  </si>
  <si>
    <t>dead Atriplex lentiformis</t>
  </si>
  <si>
    <t>D(ATRSEM)</t>
  </si>
  <si>
    <t>dead Atriplex semibaccata</t>
  </si>
  <si>
    <t>D(AVEBAR)</t>
  </si>
  <si>
    <t>dead Avena barbata</t>
  </si>
  <si>
    <t>D(AVEFAT)</t>
  </si>
  <si>
    <t>dead Avena fatua</t>
  </si>
  <si>
    <t>D(AVESPP)</t>
  </si>
  <si>
    <t>dead Avena species</t>
  </si>
  <si>
    <t>D(BACPIL)</t>
  </si>
  <si>
    <t>dead Baccharis pilularis</t>
  </si>
  <si>
    <t>D(BACSAL)</t>
  </si>
  <si>
    <t>dead Baccharis salicifolia</t>
  </si>
  <si>
    <t>D(BACSALICINA)</t>
  </si>
  <si>
    <t>dead Baccharis salicina</t>
  </si>
  <si>
    <t>D(BACSAR)</t>
  </si>
  <si>
    <t>dead Baccharis sarothroides</t>
  </si>
  <si>
    <t>D(BEBJUN)</t>
  </si>
  <si>
    <t>dead Bebbia juncea</t>
  </si>
  <si>
    <t>D(BLOCRO)</t>
  </si>
  <si>
    <t>dead Bloomeria crocea</t>
  </si>
  <si>
    <t>D(BRADIS)</t>
  </si>
  <si>
    <t>dead Brachypodium distachyon</t>
  </si>
  <si>
    <t>D(BRANIG)</t>
  </si>
  <si>
    <t>dead Brassica nigra</t>
  </si>
  <si>
    <t>D(BRATOU)</t>
  </si>
  <si>
    <t>dead Brassica tournefortii</t>
  </si>
  <si>
    <t>D(BRICAL)</t>
  </si>
  <si>
    <t>dead Brickellia californica</t>
  </si>
  <si>
    <t>D(BROCAR)</t>
  </si>
  <si>
    <t>dead Bromus carinatus</t>
  </si>
  <si>
    <t>D(BROCAT)</t>
  </si>
  <si>
    <t>dead Bromus catharticus</t>
  </si>
  <si>
    <t>D(BRODIA)</t>
  </si>
  <si>
    <t>dead Bromus diandrus</t>
  </si>
  <si>
    <t>D(BROHOR)</t>
  </si>
  <si>
    <t>dead Bromus hordeaceus</t>
  </si>
  <si>
    <t>D(BROMAD)</t>
  </si>
  <si>
    <t>dead Bromus madritensis</t>
  </si>
  <si>
    <t>D(CALCAT)</t>
  </si>
  <si>
    <t>dead Calochortus catalinae</t>
  </si>
  <si>
    <t>D(CALCIL)</t>
  </si>
  <si>
    <t>dead Calandrina ciliata</t>
  </si>
  <si>
    <t>D(CALMAC)</t>
  </si>
  <si>
    <t>dead Calystegia macrostegia</t>
  </si>
  <si>
    <t>D(CALSPL)</t>
  </si>
  <si>
    <t>dead Calochortus splendens</t>
  </si>
  <si>
    <t>D(CALWEEI)</t>
  </si>
  <si>
    <t>dead Calochortus weedii var. intermedius</t>
  </si>
  <si>
    <t>D(CALWEEW)</t>
  </si>
  <si>
    <t>dead Calochortus weedii var. weedii</t>
  </si>
  <si>
    <t>D(CAMBIS)</t>
  </si>
  <si>
    <t>dead Camissoniopsis bistorta</t>
  </si>
  <si>
    <t>D(CAMMIC)</t>
  </si>
  <si>
    <t>dead Camissoniopsis micrantha</t>
  </si>
  <si>
    <t>D(CAMSPP)</t>
  </si>
  <si>
    <t>dead Camissoniopsis species</t>
  </si>
  <si>
    <t>D(CAPBUR)</t>
  </si>
  <si>
    <t>dead Capsella bursa-pastoris</t>
  </si>
  <si>
    <t>D(CARCAL)</t>
  </si>
  <si>
    <t>dead Cardamine californica</t>
  </si>
  <si>
    <t>D(CAREDU)</t>
  </si>
  <si>
    <t>dead Carpobrotus edulis</t>
  </si>
  <si>
    <t>D(CARPYC)</t>
  </si>
  <si>
    <t>dead Carduus pycnocephalus</t>
  </si>
  <si>
    <t>D(CASAFF)</t>
  </si>
  <si>
    <t>dead Castilleja affinis</t>
  </si>
  <si>
    <t>D(CASEXE)</t>
  </si>
  <si>
    <t>dead Castilleja exserta</t>
  </si>
  <si>
    <t>D(CASFOL)</t>
  </si>
  <si>
    <t>dead Castilleja foliolosa</t>
  </si>
  <si>
    <t>D(CEACRA)</t>
  </si>
  <si>
    <t>dead Ceanothus crassifolius</t>
  </si>
  <si>
    <t>D(CEAMEG)</t>
  </si>
  <si>
    <t>dead Ceanothus megacarpus</t>
  </si>
  <si>
    <t>D(CEAOLI)</t>
  </si>
  <si>
    <t>dead Ceanothus oliganthus</t>
  </si>
  <si>
    <t>D(CENMEL)</t>
  </si>
  <si>
    <t>dead Centaurea melitensis</t>
  </si>
  <si>
    <t>D(CERBET)</t>
  </si>
  <si>
    <t>dead Cercocarpus betuloides</t>
  </si>
  <si>
    <t>D(CHAALB)</t>
  </si>
  <si>
    <t>dead Chamaesyce albomarginata</t>
  </si>
  <si>
    <t>Euphorbidaceae</t>
  </si>
  <si>
    <t>D(CHAART)</t>
  </si>
  <si>
    <t>dead Chaenactis artemisiifolia</t>
  </si>
  <si>
    <t>D(CHAGLA)</t>
  </si>
  <si>
    <t>dead Chaenactis glabriuscula</t>
  </si>
  <si>
    <t>D(CHAPOL)</t>
  </si>
  <si>
    <t>dead Chamaesyce polycarpa</t>
  </si>
  <si>
    <t>D(CHECAL)</t>
  </si>
  <si>
    <t>dead Chenopodium californicum</t>
  </si>
  <si>
    <t>D(CHLPOM)</t>
  </si>
  <si>
    <t>dead Chloragalum pomeridianum</t>
  </si>
  <si>
    <t>D(CIROCC var CAL)</t>
  </si>
  <si>
    <t>dead Cirsium occidentale  var. californicum</t>
  </si>
  <si>
    <t>D(CIROCC var OCC)</t>
  </si>
  <si>
    <t>dead Cirsium occidentale var. occidentale </t>
  </si>
  <si>
    <t>D(CIROCC)</t>
  </si>
  <si>
    <t>dead Cirsium occidentale</t>
  </si>
  <si>
    <t>D(CIRVUL)</t>
  </si>
  <si>
    <t>dead Cirsium vulgare</t>
  </si>
  <si>
    <t>D(CLABOT)</t>
  </si>
  <si>
    <t>dead Clarkia bottae</t>
  </si>
  <si>
    <t>D(CLALAS)</t>
  </si>
  <si>
    <t>dead Clematis lasiantha</t>
  </si>
  <si>
    <t>D(CLAPAR)</t>
  </si>
  <si>
    <t>dead Claytonia parviflora</t>
  </si>
  <si>
    <t>D(CLAPER)</t>
  </si>
  <si>
    <t>dead Claytonia perfoliata</t>
  </si>
  <si>
    <t>D(CLAPUR)</t>
  </si>
  <si>
    <t>dead Clarkia purpurea</t>
  </si>
  <si>
    <t>D(CLELIN)</t>
  </si>
  <si>
    <t>dead Clematis ligusticifolia</t>
  </si>
  <si>
    <t>D(COLHET)</t>
  </si>
  <si>
    <t>dead Collinsia heterophylla</t>
  </si>
  <si>
    <t>D(CONARV)</t>
  </si>
  <si>
    <t>dead Convolvulus arvensis</t>
  </si>
  <si>
    <t>D(CONCAN)</t>
  </si>
  <si>
    <t>dead Conyza canadensis</t>
  </si>
  <si>
    <t>D(CONMAC)</t>
  </si>
  <si>
    <t>dead Conium maculatum</t>
  </si>
  <si>
    <t>D(CONSIM)</t>
  </si>
  <si>
    <t>dead Convolvulus simulans</t>
  </si>
  <si>
    <t>D(CONYZA)</t>
  </si>
  <si>
    <t>dead Conyza species</t>
  </si>
  <si>
    <t>D(CORFIL)</t>
  </si>
  <si>
    <t>dead Corethrogyne filaginifolia</t>
  </si>
  <si>
    <t>D(CORRIG)</t>
  </si>
  <si>
    <t>dead Cordylanthus rigidus</t>
  </si>
  <si>
    <t>D(CORSEL)</t>
  </si>
  <si>
    <t>dead Cortaderia selloana</t>
  </si>
  <si>
    <t>D(CRACON)</t>
  </si>
  <si>
    <t>dead Crassula connata</t>
  </si>
  <si>
    <t>D(CROCAL)</t>
  </si>
  <si>
    <t>dead Croton californica</t>
  </si>
  <si>
    <t>D(CROSET)</t>
  </si>
  <si>
    <t>dead Croton setigerus</t>
  </si>
  <si>
    <t>doveweed</t>
  </si>
  <si>
    <t>D(CRYINT)</t>
  </si>
  <si>
    <t>dead Cryptantha intermedia</t>
  </si>
  <si>
    <t>D(CRYSPP)</t>
  </si>
  <si>
    <t>dead Cryptantha species</t>
  </si>
  <si>
    <t>D(CUCFOE)</t>
  </si>
  <si>
    <t>dead Cucurbita foetidissima</t>
  </si>
  <si>
    <t>D(CUSCAL)</t>
  </si>
  <si>
    <t>dead Cuscuta californica</t>
  </si>
  <si>
    <t>D(CUSSPP)</t>
  </si>
  <si>
    <t>dead Cuscuta species</t>
  </si>
  <si>
    <t>D(CUSSUB)</t>
  </si>
  <si>
    <t>dead Cuscuta subinclusa</t>
  </si>
  <si>
    <t>D(CYLPRO)</t>
  </si>
  <si>
    <t>dead Cylindropuntia prolifera</t>
  </si>
  <si>
    <t>D(CYNCAR)</t>
  </si>
  <si>
    <t>dead Cynara cardunculus</t>
  </si>
  <si>
    <t>D(CYNDAC)</t>
  </si>
  <si>
    <t>dead Cynodon dactylon</t>
  </si>
  <si>
    <t>D(CYPINV)</t>
  </si>
  <si>
    <t>dead Cyperus involucratus</t>
  </si>
  <si>
    <t>D(DATSTR)</t>
  </si>
  <si>
    <t>dead Datura stramonium</t>
  </si>
  <si>
    <t>Jimsom weed</t>
  </si>
  <si>
    <t>Solanaceae</t>
  </si>
  <si>
    <t>D(DATWRI)</t>
  </si>
  <si>
    <t>dead Datura wrightii</t>
  </si>
  <si>
    <t>D(DAUPUS)</t>
  </si>
  <si>
    <t>dead Daucus pusillus</t>
  </si>
  <si>
    <t>wild carrot</t>
  </si>
  <si>
    <t>D(DEIFAS)</t>
  </si>
  <si>
    <t>dead Deinandra fasciculata</t>
  </si>
  <si>
    <t>clustered tarweed</t>
  </si>
  <si>
    <t>Hemizonia fasciculata</t>
  </si>
  <si>
    <t>D(DEIKEL)</t>
  </si>
  <si>
    <t>dead Deinandra kellogii</t>
  </si>
  <si>
    <t>tarweed</t>
  </si>
  <si>
    <t>D(DEIPAN)</t>
  </si>
  <si>
    <t>dead Deinandra paniculata</t>
  </si>
  <si>
    <t>paniculate tarweed</t>
  </si>
  <si>
    <t>D(DEISPP)</t>
  </si>
  <si>
    <t>dead Deinadra species</t>
  </si>
  <si>
    <t>D(DELCAR)</t>
  </si>
  <si>
    <t>dead Delphinium cardinale</t>
  </si>
  <si>
    <t>scarlett larkspur</t>
  </si>
  <si>
    <t>D(DELPAR)</t>
  </si>
  <si>
    <t>dead Delphinum parryi</t>
  </si>
  <si>
    <t>larkspur</t>
  </si>
  <si>
    <t>D(DENRIG)</t>
  </si>
  <si>
    <t>dead Dendromecon rigida</t>
  </si>
  <si>
    <t>D(DICCAP)</t>
  </si>
  <si>
    <t>dead Dichelostemma capitatum</t>
  </si>
  <si>
    <t>school bells</t>
  </si>
  <si>
    <t>D(DISSPI)</t>
  </si>
  <si>
    <t xml:space="preserve">dead Distichlis spicata </t>
  </si>
  <si>
    <t>saltgrass</t>
  </si>
  <si>
    <t>D(DUDLAN)</t>
  </si>
  <si>
    <t>dead Dudleya lanceolata</t>
  </si>
  <si>
    <t>lanceleaf liveforever</t>
  </si>
  <si>
    <t>D(DUDMUL)</t>
  </si>
  <si>
    <t>dead Dudleya multicaulis</t>
  </si>
  <si>
    <t>D(DUDPUL)</t>
  </si>
  <si>
    <t>dead Dudleya pulverulenta</t>
  </si>
  <si>
    <t>chalk dudleya</t>
  </si>
  <si>
    <t>D(ELYCON)</t>
  </si>
  <si>
    <t>dead Elymus condensatus</t>
  </si>
  <si>
    <t>Giant Wild Rye</t>
  </si>
  <si>
    <t>Leymus condensatus (LEYCON)</t>
  </si>
  <si>
    <t>D(ELYGLA)</t>
  </si>
  <si>
    <t>dead Elymus glaucus</t>
  </si>
  <si>
    <t>blue wild rye</t>
  </si>
  <si>
    <t>D(EMMPEN)</t>
  </si>
  <si>
    <t>dead Emmenanthe penduliflora</t>
  </si>
  <si>
    <t>whispering bells</t>
  </si>
  <si>
    <t>D(ENCCAL)</t>
  </si>
  <si>
    <t>dead Encelia californica</t>
  </si>
  <si>
    <t>Bush sunflower</t>
  </si>
  <si>
    <t>D(ENCFAR)</t>
  </si>
  <si>
    <t>dead Encelia farinosa</t>
  </si>
  <si>
    <t>brittle bush</t>
  </si>
  <si>
    <t>D(EPICAN spp can)</t>
  </si>
  <si>
    <t>dead Epilobium canum ssp canum</t>
  </si>
  <si>
    <t>California fuschia</t>
  </si>
  <si>
    <t>D(EPICAN ssp lat)</t>
  </si>
  <si>
    <t>dead Epilobium canum ssp latifolium</t>
  </si>
  <si>
    <t>D(EPICAN)</t>
  </si>
  <si>
    <t>dead Epilobium canum</t>
  </si>
  <si>
    <t>D(EPICIL)</t>
  </si>
  <si>
    <t>dead Epilobium ciliatum</t>
  </si>
  <si>
    <t>willow herb</t>
  </si>
  <si>
    <t>D(ERICON)</t>
  </si>
  <si>
    <t>dead Eriophyllum confertiflorum</t>
  </si>
  <si>
    <t>Golden yarrow</t>
  </si>
  <si>
    <t>D(ERICRA)</t>
  </si>
  <si>
    <t>dead Eriodictyon crassifolium</t>
  </si>
  <si>
    <t>Yerba Santa</t>
  </si>
  <si>
    <t>D(ERIELO)</t>
  </si>
  <si>
    <t>dead Eriogonum elongatum</t>
  </si>
  <si>
    <t>long-stemmed buckwheat</t>
  </si>
  <si>
    <t>D(ERIFAS-S)</t>
  </si>
  <si>
    <t>dead Eriogonum fasciculatum ssp. Foliosum</t>
  </si>
  <si>
    <t>D(ERIFAS)</t>
  </si>
  <si>
    <t>dead Eriogonum fasciculatum</t>
  </si>
  <si>
    <t>California Buckwheat</t>
  </si>
  <si>
    <t>D(ERIPAL)</t>
  </si>
  <si>
    <t>dead Ericameria palmeri</t>
  </si>
  <si>
    <t>Palmer's goldenbush</t>
  </si>
  <si>
    <t>D(ERIPIN)</t>
  </si>
  <si>
    <t>dead Ericameria pinifolia</t>
  </si>
  <si>
    <t>pine bush</t>
  </si>
  <si>
    <t>D(ERISAP)</t>
  </si>
  <si>
    <t>dead Eriastrum sapphirinum</t>
  </si>
  <si>
    <t>sapphire woolly star</t>
  </si>
  <si>
    <t>D(EROBOT)</t>
  </si>
  <si>
    <t>dead Erodium botrys</t>
  </si>
  <si>
    <t>long beak filaree</t>
  </si>
  <si>
    <t>Geraniaceae</t>
  </si>
  <si>
    <t>D(EROBRA)</t>
  </si>
  <si>
    <t>dead Erodium brachycarpum</t>
  </si>
  <si>
    <t>white stem, fat leaves</t>
  </si>
  <si>
    <t>D(EROCIC)</t>
  </si>
  <si>
    <t>dead Erodium cicutarium</t>
  </si>
  <si>
    <t>red stem filaree</t>
  </si>
  <si>
    <t>D(EROMOS)</t>
  </si>
  <si>
    <t>dead Erodium moschatum</t>
  </si>
  <si>
    <t>white stem filaree</t>
  </si>
  <si>
    <t>D(EROSPP)</t>
  </si>
  <si>
    <t>dead Erodium species</t>
  </si>
  <si>
    <t>filaree</t>
  </si>
  <si>
    <t>D(ESCCAL)</t>
  </si>
  <si>
    <t>dead Eschscholzia californica</t>
  </si>
  <si>
    <t>California Poppy</t>
  </si>
  <si>
    <t>Papaveraceae</t>
  </si>
  <si>
    <t>D(EUCCHR)</t>
  </si>
  <si>
    <t>dead Eucrypta crysanthemfolia</t>
  </si>
  <si>
    <t>common eucrypta</t>
  </si>
  <si>
    <t>D(EULCAL)</t>
  </si>
  <si>
    <t>dead Eulobus californicus</t>
  </si>
  <si>
    <t>california primrose</t>
  </si>
  <si>
    <t>D(EUPPEP)</t>
  </si>
  <si>
    <t>dead Euphorbia peplus</t>
  </si>
  <si>
    <t>pertty spurge</t>
  </si>
  <si>
    <t>D(FOEVUL)</t>
  </si>
  <si>
    <t>dead Foeniculum vulgare</t>
  </si>
  <si>
    <t>Fennel</t>
  </si>
  <si>
    <t>D(FRIBIF)</t>
  </si>
  <si>
    <t>dead Fritillaria biflora</t>
  </si>
  <si>
    <t>Chocolate lily</t>
  </si>
  <si>
    <t>D(FUNCYN)</t>
  </si>
  <si>
    <t>dead Funastrum cynanchoides</t>
  </si>
  <si>
    <t>climbing milkweed</t>
  </si>
  <si>
    <t>Asclepiadaceae</t>
  </si>
  <si>
    <t>D(GALANG)</t>
  </si>
  <si>
    <t>dead Galium angustifolium</t>
  </si>
  <si>
    <t>bedstraw (Shrubby)</t>
  </si>
  <si>
    <t>Rubiaceae</t>
  </si>
  <si>
    <t>D(GALAPA)</t>
  </si>
  <si>
    <t>dead Galium aparine</t>
  </si>
  <si>
    <t>common bedstraw</t>
  </si>
  <si>
    <t>or Galium parisiense (not-native)</t>
  </si>
  <si>
    <t>D(GAZLIN)</t>
  </si>
  <si>
    <t>dead Gazania linearis</t>
  </si>
  <si>
    <t>treasureflower</t>
  </si>
  <si>
    <t>D(GERROT)</t>
  </si>
  <si>
    <t>dead Geranium rotundifolium</t>
  </si>
  <si>
    <t>round leaf geranium</t>
  </si>
  <si>
    <t>D(GILANG)</t>
  </si>
  <si>
    <t>dead Gilia angelensis</t>
  </si>
  <si>
    <t>D(GLECOR)</t>
  </si>
  <si>
    <t>dead Glebionis coronaria</t>
  </si>
  <si>
    <t>garland Daisy</t>
  </si>
  <si>
    <t>D(GRICAM)</t>
  </si>
  <si>
    <t>dead Grindelia camporum</t>
  </si>
  <si>
    <t>Gumplant</t>
  </si>
  <si>
    <t>D(GUTCAL)</t>
  </si>
  <si>
    <t>dead Gutierrezia californica</t>
  </si>
  <si>
    <t>california matchweed</t>
  </si>
  <si>
    <t>D(HARPAL)</t>
  </si>
  <si>
    <t>dead Harpagonella palmeri</t>
  </si>
  <si>
    <t>palmer's grappling hook</t>
  </si>
  <si>
    <t>D(HAZSQU)</t>
  </si>
  <si>
    <t>dead Hazardia squarrosa</t>
  </si>
  <si>
    <t>sawtooth goldenbush</t>
  </si>
  <si>
    <t>D(HEDCRE)</t>
  </si>
  <si>
    <t>dead Hedypnois cretica</t>
  </si>
  <si>
    <t>crete weed</t>
  </si>
  <si>
    <t>D(HELANN)</t>
  </si>
  <si>
    <t>dead Helianthus annuus</t>
  </si>
  <si>
    <t>Annual sunflower</t>
  </si>
  <si>
    <t>D(HELCUR)</t>
  </si>
  <si>
    <t>dead Heliotropium curassavicum</t>
  </si>
  <si>
    <t>seaside heliotrope</t>
  </si>
  <si>
    <t>D(HELGRA)</t>
  </si>
  <si>
    <t>dead Helianthus gracilentus</t>
  </si>
  <si>
    <t>slender sunflower</t>
  </si>
  <si>
    <t>D(HELSCO)</t>
  </si>
  <si>
    <t>dead Helianthemum scoparium</t>
  </si>
  <si>
    <t>rock rose</t>
  </si>
  <si>
    <t>Cistaceae</t>
  </si>
  <si>
    <t>D(HESFOR)</t>
  </si>
  <si>
    <t>dead Hesperocyparis forbesii </t>
  </si>
  <si>
    <t>Tecate Cypress</t>
  </si>
  <si>
    <t>Cupressaceae</t>
  </si>
  <si>
    <t>D(HESWHI)</t>
  </si>
  <si>
    <t>dead Hesperoyucca whipplei</t>
  </si>
  <si>
    <t>Chaparral Yucca</t>
  </si>
  <si>
    <t>Yucca whipplei</t>
  </si>
  <si>
    <t>D(HETARB)</t>
  </si>
  <si>
    <t>dead Heteromeles arbutifolia</t>
  </si>
  <si>
    <t>Toyon, holly berry</t>
  </si>
  <si>
    <t>D(HETGRA)</t>
  </si>
  <si>
    <t>dead Heterotheca grandiflora</t>
  </si>
  <si>
    <t>telegraph weed</t>
  </si>
  <si>
    <t>D(HIRINC)</t>
  </si>
  <si>
    <t>dead Hirschfeldia incana</t>
  </si>
  <si>
    <t>D(HORMUR)</t>
  </si>
  <si>
    <t>dead Hordeum murinum</t>
  </si>
  <si>
    <t>foxtail barley</t>
  </si>
  <si>
    <t>D(HYPGLA)</t>
  </si>
  <si>
    <t>dead Hypochaeris glabra</t>
  </si>
  <si>
    <t>smooth cat's ear</t>
  </si>
  <si>
    <t>D(ISOMEN)</t>
  </si>
  <si>
    <t>dead Isocoma menziesii</t>
  </si>
  <si>
    <t>goldenbush</t>
  </si>
  <si>
    <t>D(JEPPAR)</t>
  </si>
  <si>
    <t>dead Jepsonia parryi</t>
  </si>
  <si>
    <t>Parry's jepsonia</t>
  </si>
  <si>
    <t>Saxifragaceae</t>
  </si>
  <si>
    <t>D(JUNSPP)</t>
  </si>
  <si>
    <t>dead Juncus species</t>
  </si>
  <si>
    <t>Juncaceae</t>
  </si>
  <si>
    <t>D(KECANT)</t>
  </si>
  <si>
    <t>dead Keckiella antirrhinoides</t>
  </si>
  <si>
    <t>chaparral beardtongue</t>
  </si>
  <si>
    <t>D(KECCOR)</t>
  </si>
  <si>
    <t>dead Keckiella cordifolia</t>
  </si>
  <si>
    <t>climbing penstemmon</t>
  </si>
  <si>
    <t>D(LACSER)</t>
  </si>
  <si>
    <t>dead Lactuca serriola</t>
  </si>
  <si>
    <t>Prickly lettuce</t>
  </si>
  <si>
    <t>D(LAECOU)</t>
  </si>
  <si>
    <t>dead Laennecia coulteri</t>
  </si>
  <si>
    <t>Conyza coulteri</t>
  </si>
  <si>
    <t>D(LAMAMP)</t>
  </si>
  <si>
    <t>dead Lamium amplexicaule</t>
  </si>
  <si>
    <t>henbit</t>
  </si>
  <si>
    <t>D(LAMAUR)</t>
  </si>
  <si>
    <t>dead Lamarchia aurea</t>
  </si>
  <si>
    <t>moustache grass</t>
  </si>
  <si>
    <t>D(LASGRA)</t>
  </si>
  <si>
    <t>dead Lasthenia gracilis</t>
  </si>
  <si>
    <t>needle golden fields</t>
  </si>
  <si>
    <t>D(LASSPP)</t>
  </si>
  <si>
    <t>dead Lasthenia species</t>
  </si>
  <si>
    <t>golden fields</t>
  </si>
  <si>
    <t>D(LATVES)</t>
  </si>
  <si>
    <t>dead Lathyrus vestitus</t>
  </si>
  <si>
    <t>pacific pea</t>
  </si>
  <si>
    <t>D(LAYPLA)</t>
  </si>
  <si>
    <t>dead Layia platyglossa</t>
  </si>
  <si>
    <t>tidy tips</t>
  </si>
  <si>
    <t>D(LEPFLO)</t>
  </si>
  <si>
    <t>dead Leptosiphon floribundus</t>
  </si>
  <si>
    <t>many-flowered linanthus</t>
  </si>
  <si>
    <t>D(LEPLAT)</t>
  </si>
  <si>
    <t>dead Lepidium latifolium</t>
  </si>
  <si>
    <t>perennial pepperweed</t>
  </si>
  <si>
    <t>D(LEPLIN)</t>
  </si>
  <si>
    <t>dead Leptosiphon liniflorus</t>
  </si>
  <si>
    <t>narrow-flower flaxflower</t>
  </si>
  <si>
    <t>D(LEPNIT)</t>
  </si>
  <si>
    <t>dead Lepidium nitidum</t>
  </si>
  <si>
    <t>shining peppergrass</t>
  </si>
  <si>
    <t>D(LEPSQU)</t>
  </si>
  <si>
    <t>dead Lepidospartum squamatum </t>
  </si>
  <si>
    <t>scalebroom</t>
  </si>
  <si>
    <t>D(LINCAL)</t>
  </si>
  <si>
    <t>dead Linanthus californicus</t>
  </si>
  <si>
    <t>prickly phlox</t>
  </si>
  <si>
    <t>Leptodactylon californicum</t>
  </si>
  <si>
    <t>D(LINDIA)</t>
  </si>
  <si>
    <t>dead Linanthus dianthiflorus</t>
  </si>
  <si>
    <t>fringed linanthus</t>
  </si>
  <si>
    <t>D(LOGFIL)</t>
  </si>
  <si>
    <t>dead Logfia filanginoides</t>
  </si>
  <si>
    <t>california cottonrose</t>
  </si>
  <si>
    <t>D(LOGGAL)</t>
  </si>
  <si>
    <t>dead Logfia gallica</t>
  </si>
  <si>
    <t>similar native</t>
  </si>
  <si>
    <t>D(LOLMUL)</t>
  </si>
  <si>
    <t>dead Lolium multiflorum</t>
  </si>
  <si>
    <t>Festuca perennis (current)</t>
  </si>
  <si>
    <t>D(LONSUB)</t>
  </si>
  <si>
    <t>dead Lonicera subspicata</t>
  </si>
  <si>
    <t>southern honeysuckle</t>
  </si>
  <si>
    <t>Caprifoliaceae</t>
  </si>
  <si>
    <t>D(LOTHAM)</t>
  </si>
  <si>
    <t>D(LOTPUR)</t>
  </si>
  <si>
    <t>D(LOTSCO)</t>
  </si>
  <si>
    <t>D(LOTSTR)</t>
  </si>
  <si>
    <t>D(LUPALB)</t>
  </si>
  <si>
    <t>dead Lupinus albifrons</t>
  </si>
  <si>
    <t>bush lupin</t>
  </si>
  <si>
    <t>D(LUPBIC)</t>
  </si>
  <si>
    <t>dead Lupinus bicolor</t>
  </si>
  <si>
    <t>miniature lupine</t>
  </si>
  <si>
    <t>D(LUPEXC)</t>
  </si>
  <si>
    <t>dead Lupinus excubitus</t>
  </si>
  <si>
    <t>grapesoda lupine</t>
  </si>
  <si>
    <t>D(LUPLON)</t>
  </si>
  <si>
    <t xml:space="preserve">dead Lupinus longifolius </t>
  </si>
  <si>
    <t>confused with albifrons</t>
  </si>
  <si>
    <t>D(LUPMIC)</t>
  </si>
  <si>
    <t>dead Lupinus microcarpus</t>
  </si>
  <si>
    <t>Chick Lupine</t>
  </si>
  <si>
    <t>D(LUPSPA)</t>
  </si>
  <si>
    <t>dead Lupinus sparsiflorus</t>
  </si>
  <si>
    <t>D(LUPSUC)</t>
  </si>
  <si>
    <t>dead Lupinus succulentus</t>
  </si>
  <si>
    <t>Arroyo Lupine</t>
  </si>
  <si>
    <t>D(LUPTRU)</t>
  </si>
  <si>
    <t>dead Lupinus truncatus</t>
  </si>
  <si>
    <t>collar lupine</t>
  </si>
  <si>
    <t>D(MALFAS)</t>
  </si>
  <si>
    <t>dead Malacothamnus fasciculatus</t>
  </si>
  <si>
    <t>Bush mallow</t>
  </si>
  <si>
    <t>Malvaceae</t>
  </si>
  <si>
    <t>D(MALLAU)</t>
  </si>
  <si>
    <t>dead Malosma laurina</t>
  </si>
  <si>
    <t>laurel sumac</t>
  </si>
  <si>
    <t>Anacardiaceae</t>
  </si>
  <si>
    <t>D(MALPAR)</t>
  </si>
  <si>
    <t>dead Malva parviflora</t>
  </si>
  <si>
    <t>cheeseweed</t>
  </si>
  <si>
    <t>D(MALSAX)</t>
  </si>
  <si>
    <t>dead Malacothrix saxatilis</t>
  </si>
  <si>
    <t>Cliff aster</t>
  </si>
  <si>
    <t>D(MARMAC)</t>
  </si>
  <si>
    <t>dead Marah macrocarpa</t>
  </si>
  <si>
    <t>wild cucumber vine</t>
  </si>
  <si>
    <t>D(MARVUL)</t>
  </si>
  <si>
    <t>dead Marrubium vulgare</t>
  </si>
  <si>
    <t>horehound</t>
  </si>
  <si>
    <t>D(MEDPOL)</t>
  </si>
  <si>
    <t>dead Medicago polymorpha</t>
  </si>
  <si>
    <t>Bur clover</t>
  </si>
  <si>
    <t>D(MELALB)</t>
  </si>
  <si>
    <t>dead Melilotus albus</t>
  </si>
  <si>
    <t>white sweetclover</t>
  </si>
  <si>
    <t>D(MELIMP)</t>
  </si>
  <si>
    <t>dead Melica imperfecta</t>
  </si>
  <si>
    <t>D(MELIND)</t>
  </si>
  <si>
    <t>dead Melilotus indicus</t>
  </si>
  <si>
    <t>Annual yellow sweetclover</t>
  </si>
  <si>
    <t>D(MENSPI)</t>
  </si>
  <si>
    <t>dead Mentha spicata</t>
  </si>
  <si>
    <t>spearmint</t>
  </si>
  <si>
    <t>D(MIMAUR)</t>
  </si>
  <si>
    <t>dead Mimulus aurantiacus</t>
  </si>
  <si>
    <t>Sticky monkeyflower</t>
  </si>
  <si>
    <t>Diplacus puniceus</t>
  </si>
  <si>
    <t>Phrymaceae</t>
  </si>
  <si>
    <t>D(MIMCAR)</t>
  </si>
  <si>
    <t>dead Mimulus cardinalis</t>
  </si>
  <si>
    <t>scarlett monkeyflower</t>
  </si>
  <si>
    <t>Erythranthe cardinalis</t>
  </si>
  <si>
    <t>D(MIRLAE)</t>
  </si>
  <si>
    <t>dead Mirabilis laevis</t>
  </si>
  <si>
    <t>California four o'clock</t>
  </si>
  <si>
    <t>Mirabilis californica</t>
  </si>
  <si>
    <t>Nyctaginaceae</t>
  </si>
  <si>
    <t>D(NASOFF)</t>
  </si>
  <si>
    <t>dead Nasturtium officinale</t>
  </si>
  <si>
    <t>watercress</t>
  </si>
  <si>
    <t>D(NATSHRUB)</t>
  </si>
  <si>
    <t>dead native shrub</t>
  </si>
  <si>
    <t>dead Native Shrub</t>
  </si>
  <si>
    <t>D(NEMMEN)</t>
  </si>
  <si>
    <t>dead Nemophila menziesii</t>
  </si>
  <si>
    <t>baby blue eyes</t>
  </si>
  <si>
    <t>D(NICGLA)</t>
  </si>
  <si>
    <t>dead Nicotiana glauca</t>
  </si>
  <si>
    <t>tree tobacco</t>
  </si>
  <si>
    <t>D(NICQUA)</t>
  </si>
  <si>
    <t>dead Nicotiana quadrivalvis</t>
  </si>
  <si>
    <t>coyote tobacco</t>
  </si>
  <si>
    <t>D(NNF)</t>
  </si>
  <si>
    <t>dead Non Native Forb</t>
  </si>
  <si>
    <t>D(NNG)</t>
  </si>
  <si>
    <t>dead Non Native Grass</t>
  </si>
  <si>
    <t>D(NOLCIS)</t>
  </si>
  <si>
    <t>dead Nolina cismontana</t>
  </si>
  <si>
    <t>Peninsular beargrass</t>
  </si>
  <si>
    <t>D(NUTTEX)</t>
  </si>
  <si>
    <t>dead Nuttallanthus texanus</t>
  </si>
  <si>
    <t>toadflax</t>
  </si>
  <si>
    <t>D(OENELA)</t>
  </si>
  <si>
    <t>dead Oenothera elata</t>
  </si>
  <si>
    <t>evening primrose</t>
  </si>
  <si>
    <t>D(OPULIT)</t>
  </si>
  <si>
    <t>dead Opuntia littoralis</t>
  </si>
  <si>
    <t>Prickly pear cactus</t>
  </si>
  <si>
    <t>D(OSMTEN)</t>
  </si>
  <si>
    <t>dead Osmadenia tenella</t>
  </si>
  <si>
    <t>false rosinweed</t>
  </si>
  <si>
    <t>D(OXAPES)</t>
  </si>
  <si>
    <t>dead Oxalis pes-caprae</t>
  </si>
  <si>
    <t>sourgrass</t>
  </si>
  <si>
    <t>Oxalidaceae</t>
  </si>
  <si>
    <t>D(PENHET)</t>
  </si>
  <si>
    <t>dead Penstemon heterophyllus</t>
  </si>
  <si>
    <t>foothill penstemmon</t>
  </si>
  <si>
    <t>D(PENSPE)</t>
  </si>
  <si>
    <t>dead Penstemon spectabilis</t>
  </si>
  <si>
    <t>showy penstemmon</t>
  </si>
  <si>
    <t>D(PERARB)</t>
  </si>
  <si>
    <t>dead Peritoma arborea</t>
  </si>
  <si>
    <t>Bladderpod</t>
  </si>
  <si>
    <t>Isomeris arborea (ISOARB)</t>
  </si>
  <si>
    <t>Cleomaceae</t>
  </si>
  <si>
    <t>D(PHACIC)</t>
  </si>
  <si>
    <t>dead Phacelia cicutaria</t>
  </si>
  <si>
    <t>Caterpillar Phacelia</t>
  </si>
  <si>
    <t>D(PHACIL)</t>
  </si>
  <si>
    <t>dead Phacelia ciliata</t>
  </si>
  <si>
    <t>Great Valley Phacelia</t>
  </si>
  <si>
    <t>D(PHADIS)</t>
  </si>
  <si>
    <t>dead Phacelia distans</t>
  </si>
  <si>
    <t>common phacelia</t>
  </si>
  <si>
    <t>D(PHAHUB)</t>
  </si>
  <si>
    <t>dead Phacelia hubbyi</t>
  </si>
  <si>
    <t>Hubby's Phacelia</t>
  </si>
  <si>
    <t>D(PHAPAR)</t>
  </si>
  <si>
    <t>dead Phacelia parryi</t>
  </si>
  <si>
    <t>D(PHARAM)</t>
  </si>
  <si>
    <t>dead Phacelia ramosissima</t>
  </si>
  <si>
    <t>Branching phacelia</t>
  </si>
  <si>
    <t>D(PHOAUR)</t>
  </si>
  <si>
    <t>dead Pholistoma auritum</t>
  </si>
  <si>
    <t>fiesta flower</t>
  </si>
  <si>
    <t>D(PIBIND)</t>
  </si>
  <si>
    <t>dead Ribes indecorum</t>
  </si>
  <si>
    <t>white flowered currant</t>
  </si>
  <si>
    <t>Grossulariaceae</t>
  </si>
  <si>
    <t>D(PICECH)</t>
  </si>
  <si>
    <t>dead Picris echiodes</t>
  </si>
  <si>
    <t>Bristly ox-tongue</t>
  </si>
  <si>
    <t>D(PICMON)</t>
  </si>
  <si>
    <t>dead Pickeringia montana</t>
  </si>
  <si>
    <t>chaparral pea</t>
  </si>
  <si>
    <t>D(PLACOL)</t>
  </si>
  <si>
    <t>dead Plagiobothrys collinus</t>
  </si>
  <si>
    <t>Cooper's popcornflower</t>
  </si>
  <si>
    <t>D(PLAERE)</t>
  </si>
  <si>
    <t>dead Plantago erecta</t>
  </si>
  <si>
    <t>California plantain</t>
  </si>
  <si>
    <t>D(PLALAN)</t>
  </si>
  <si>
    <t>dead Plantago lanceolata</t>
  </si>
  <si>
    <t>English Plantain</t>
  </si>
  <si>
    <t>D(PLAMAJ)</t>
  </si>
  <si>
    <t>dead Plantago major</t>
  </si>
  <si>
    <t>common plantain</t>
  </si>
  <si>
    <t>D(PLANOT)</t>
  </si>
  <si>
    <t>dead Plagiobothrys nothofulvus</t>
  </si>
  <si>
    <t>Rusty popcornflower</t>
  </si>
  <si>
    <t>D(PLARAC)</t>
  </si>
  <si>
    <t>dead Platanus racemosa</t>
  </si>
  <si>
    <t>California Sycamore</t>
  </si>
  <si>
    <t>Platanaceae</t>
  </si>
  <si>
    <t>D(PLASPP)</t>
  </si>
  <si>
    <t>dead Plagiobothrys species</t>
  </si>
  <si>
    <t>D(PLUSER)</t>
  </si>
  <si>
    <t>dead Pluchea sericea</t>
  </si>
  <si>
    <t>arrow weed</t>
  </si>
  <si>
    <t>D(PSEBEN)</t>
  </si>
  <si>
    <t>dead Pseudognaphalium beneolens</t>
  </si>
  <si>
    <t>D(PSEBIC)</t>
  </si>
  <si>
    <t>dead Pseudognaphalium bicolor</t>
  </si>
  <si>
    <t>two-color rabbit tobacco</t>
  </si>
  <si>
    <t>D(PSEBIO)</t>
  </si>
  <si>
    <t xml:space="preserve">dead Pseudognaphalium biolettii </t>
  </si>
  <si>
    <t>D(PSECAL)</t>
  </si>
  <si>
    <t xml:space="preserve">dead Pseudognaphalium californicum </t>
  </si>
  <si>
    <t>D(PSEMIC)</t>
  </si>
  <si>
    <t>dead Pseudognaphalium microcephalum</t>
  </si>
  <si>
    <t>D(PSERAM)</t>
  </si>
  <si>
    <t>dead Pseudognaphalium ramosissimum</t>
  </si>
  <si>
    <t>D(PTEDRY)</t>
  </si>
  <si>
    <t>dead Pterostegia drymarioides</t>
  </si>
  <si>
    <t>fairy mist</t>
  </si>
  <si>
    <t>D(PULPAL)</t>
  </si>
  <si>
    <t>dead Pulicaria paludosa</t>
  </si>
  <si>
    <t>spanish sunflower</t>
  </si>
  <si>
    <t>D(QUEAGR)</t>
  </si>
  <si>
    <t>dead Quercus agrifolia</t>
  </si>
  <si>
    <t>coast live oak</t>
  </si>
  <si>
    <t>Fagaceae</t>
  </si>
  <si>
    <t>D(QUEBER)</t>
  </si>
  <si>
    <t>dead Quercus berberidifolia</t>
  </si>
  <si>
    <t>scrub oak</t>
  </si>
  <si>
    <t>D(RAFCAL)</t>
  </si>
  <si>
    <t>dead Rafinesquia californica</t>
  </si>
  <si>
    <t>chicory</t>
  </si>
  <si>
    <t>D(RANCAL)</t>
  </si>
  <si>
    <t>dead Ranunculus californicus</t>
  </si>
  <si>
    <t>California buttercup</t>
  </si>
  <si>
    <t>D(RAPSAT)</t>
  </si>
  <si>
    <t>dead Raphanus sativus</t>
  </si>
  <si>
    <t>wild radish</t>
  </si>
  <si>
    <t>D(RHAILI)</t>
  </si>
  <si>
    <t>dead Rhamnus ilicifolia</t>
  </si>
  <si>
    <t>evergreen buckthorn</t>
  </si>
  <si>
    <t>D(RHUINT)</t>
  </si>
  <si>
    <t>dead Rhus integrifolia</t>
  </si>
  <si>
    <t>lemonade berry</t>
  </si>
  <si>
    <t>D(RHUOVA)</t>
  </si>
  <si>
    <t>dead Rhus ovata</t>
  </si>
  <si>
    <t>sugarbush</t>
  </si>
  <si>
    <t>D(RIBSPE)</t>
  </si>
  <si>
    <t>dead Ribes speciosum</t>
  </si>
  <si>
    <t>fuschia-flowered gooseberry</t>
  </si>
  <si>
    <t>D(RICCOM)</t>
  </si>
  <si>
    <t>dead Ricinus communis</t>
  </si>
  <si>
    <t>Castor Bean</t>
  </si>
  <si>
    <t>D(ROMCOU)</t>
  </si>
  <si>
    <t>dead Romneya coulteri</t>
  </si>
  <si>
    <t>matilija poppy</t>
  </si>
  <si>
    <t>D(ROSCAL)</t>
  </si>
  <si>
    <t>dead Rosa californica</t>
  </si>
  <si>
    <t>california wild rose</t>
  </si>
  <si>
    <t>D(RUBURS)</t>
  </si>
  <si>
    <t>dead Rubus ursinus</t>
  </si>
  <si>
    <t>california blackberry</t>
  </si>
  <si>
    <t>D(RUMCRI)</t>
  </si>
  <si>
    <t>dead Rumex crispus</t>
  </si>
  <si>
    <t>curly dock</t>
  </si>
  <si>
    <t>D(RUMEX)</t>
  </si>
  <si>
    <t>dead Rumex species</t>
  </si>
  <si>
    <t>D(RUMHYM)</t>
  </si>
  <si>
    <t>dead Rumex hymenosepalus</t>
  </si>
  <si>
    <t>D(SALAPI)</t>
  </si>
  <si>
    <t>dead Salvia apiana</t>
  </si>
  <si>
    <t>White Sage</t>
  </si>
  <si>
    <t>D(SALCOL)</t>
  </si>
  <si>
    <t>dead Salvia columbariae</t>
  </si>
  <si>
    <t>Chia sage</t>
  </si>
  <si>
    <t>D(SALEXI)</t>
  </si>
  <si>
    <t>dead Salix exigua</t>
  </si>
  <si>
    <t>sandbar willow</t>
  </si>
  <si>
    <t>Salicaceae</t>
  </si>
  <si>
    <t>D(SALGOO)</t>
  </si>
  <si>
    <t>dead Salix gooddingii</t>
  </si>
  <si>
    <t>black willow</t>
  </si>
  <si>
    <t>D(SALIXSPP)</t>
  </si>
  <si>
    <t>dead Salix species</t>
  </si>
  <si>
    <t>willow</t>
  </si>
  <si>
    <t>D(SALLAE)</t>
  </si>
  <si>
    <t>dead Salix laevigata</t>
  </si>
  <si>
    <t>red willow</t>
  </si>
  <si>
    <t>D(SALLAS)</t>
  </si>
  <si>
    <t>dead Salix lasiolepis</t>
  </si>
  <si>
    <t>arroyo willow</t>
  </si>
  <si>
    <t>D(SALLEU)</t>
  </si>
  <si>
    <t>dead Salvia leucophylla</t>
  </si>
  <si>
    <t>purple sage</t>
  </si>
  <si>
    <t>D(SALMEL)</t>
  </si>
  <si>
    <t>dead Salvia mellifera</t>
  </si>
  <si>
    <t>Black Sage</t>
  </si>
  <si>
    <t>D(SALSPA)</t>
  </si>
  <si>
    <t>dead Salvia spathacea</t>
  </si>
  <si>
    <t>Hummingbird sage</t>
  </si>
  <si>
    <t>D(SALTRA)</t>
  </si>
  <si>
    <t>dead Salsola tragus</t>
  </si>
  <si>
    <t>Russian thistle, tumbleweed</t>
  </si>
  <si>
    <t>D(SAMNIG)</t>
  </si>
  <si>
    <t>dead Sambucus nigra</t>
  </si>
  <si>
    <t>Elderberry</t>
  </si>
  <si>
    <t>Sambucus mexicana (SAMMEX)</t>
  </si>
  <si>
    <t>Adoxaceae</t>
  </si>
  <si>
    <t>D(SANARG)</t>
  </si>
  <si>
    <t>dead Sanicula arguta</t>
  </si>
  <si>
    <t>sharp toothed snakeroot</t>
  </si>
  <si>
    <t>D(SANBIP)</t>
  </si>
  <si>
    <t>dead Sanicula bipinnatifida</t>
  </si>
  <si>
    <t>purple sanicle</t>
  </si>
  <si>
    <t>D(SANCRA)</t>
  </si>
  <si>
    <t>dead Sanicula crassicaulis</t>
  </si>
  <si>
    <t>pacific sanicle</t>
  </si>
  <si>
    <t>D(SCHBAR)</t>
  </si>
  <si>
    <t>dead Schismus barbatus</t>
  </si>
  <si>
    <t>D(SCRCAL)</t>
  </si>
  <si>
    <t>dead Scrophularia californica</t>
  </si>
  <si>
    <t>California figwort</t>
  </si>
  <si>
    <t>D(SENVUL)</t>
  </si>
  <si>
    <t>dead Senecio vulgaris</t>
  </si>
  <si>
    <t>D(SHRUB)</t>
  </si>
  <si>
    <t>dead shrub</t>
  </si>
  <si>
    <t>D(SIDMAL)</t>
  </si>
  <si>
    <t>dead Sidalcea malviflora</t>
  </si>
  <si>
    <t>checker bloom</t>
  </si>
  <si>
    <t>D(SILGAL)</t>
  </si>
  <si>
    <t>dead Silene gallica</t>
  </si>
  <si>
    <t>D(SILLAC)</t>
  </si>
  <si>
    <t>dead Silene laciniata</t>
  </si>
  <si>
    <t>cardinal catchfly</t>
  </si>
  <si>
    <t>D(SILMAR)</t>
  </si>
  <si>
    <t>dead Silybum marianum</t>
  </si>
  <si>
    <t>Milk thistle</t>
  </si>
  <si>
    <t>D(SISBEL)</t>
  </si>
  <si>
    <t>dead Sisyrinchium bellum</t>
  </si>
  <si>
    <t>blue-eyed grass</t>
  </si>
  <si>
    <t>Iridaceae</t>
  </si>
  <si>
    <t>D(SISIRI)</t>
  </si>
  <si>
    <t>dead Sisymbrium irio</t>
  </si>
  <si>
    <t>london rocket</t>
  </si>
  <si>
    <t>D(SISOFF)</t>
  </si>
  <si>
    <t>dead Sisymbrium officinale</t>
  </si>
  <si>
    <t>hedge mustard</t>
  </si>
  <si>
    <t>D(SOLAME)</t>
  </si>
  <si>
    <t>dead Solanum americanum</t>
  </si>
  <si>
    <t>white nightshade</t>
  </si>
  <si>
    <t>D(SOLDOU)</t>
  </si>
  <si>
    <t>dead Solanum douglasii</t>
  </si>
  <si>
    <t>nightshade</t>
  </si>
  <si>
    <t>D(SOLELA)</t>
  </si>
  <si>
    <t>dead Solanum elaeagnifolium</t>
  </si>
  <si>
    <t>silver leaved horse nettle</t>
  </si>
  <si>
    <t>D(SOLSPP)</t>
  </si>
  <si>
    <t>dead Solanum species</t>
  </si>
  <si>
    <t>americanum, sarrachoides, etc.</t>
  </si>
  <si>
    <t>D(SOLUMB)</t>
  </si>
  <si>
    <t>dead Solanum umbelliferum</t>
  </si>
  <si>
    <t>blue witch nightshade</t>
  </si>
  <si>
    <t>D(SOLVEL)</t>
  </si>
  <si>
    <t>dead Solidago velutina  ssp. californica</t>
  </si>
  <si>
    <t>goldenrod</t>
  </si>
  <si>
    <t>Solidago californica</t>
  </si>
  <si>
    <t>D(SOLXAN)</t>
  </si>
  <si>
    <t>dead Solanum xanti</t>
  </si>
  <si>
    <t>purple nightshade</t>
  </si>
  <si>
    <t>D(SONASP)</t>
  </si>
  <si>
    <t>dead Sonchus asper</t>
  </si>
  <si>
    <t>pricky sowthistle</t>
  </si>
  <si>
    <t>D(SONOLE)</t>
  </si>
  <si>
    <t>dead Sonchus oleraceus</t>
  </si>
  <si>
    <t>sowthistle</t>
  </si>
  <si>
    <t>D(SONSPP)</t>
  </si>
  <si>
    <t>dead Sonchus species</t>
  </si>
  <si>
    <t>Sonchus asper (prickly), Sonchus oleraceus</t>
  </si>
  <si>
    <t>D(SPAJUN)</t>
  </si>
  <si>
    <t>dead Spartium junceum</t>
  </si>
  <si>
    <t>Spanish broom</t>
  </si>
  <si>
    <t>D(STAAJU)</t>
  </si>
  <si>
    <t>dead Stachys ajugoides</t>
  </si>
  <si>
    <t>hedge nettle</t>
  </si>
  <si>
    <t>similat to STARIG</t>
  </si>
  <si>
    <t>D(STARIG)</t>
  </si>
  <si>
    <t>dead Stachys rigida var. rigida</t>
  </si>
  <si>
    <t>D(STEDIE)</t>
  </si>
  <si>
    <t>dead Stephanomeria diegensis</t>
  </si>
  <si>
    <t>wreath plant</t>
  </si>
  <si>
    <t>D(STEEXI)</t>
  </si>
  <si>
    <t>dead Stephanomeria exigua</t>
  </si>
  <si>
    <t>small wreath plant</t>
  </si>
  <si>
    <t>D(STEHET)</t>
  </si>
  <si>
    <t>dead Stebbinsoseris heterocarpa</t>
  </si>
  <si>
    <t>brown puffs</t>
  </si>
  <si>
    <t>D(STEMED)</t>
  </si>
  <si>
    <t>dead Stellaria media</t>
  </si>
  <si>
    <t>common chickweed</t>
  </si>
  <si>
    <t>D(STEVIR)</t>
  </si>
  <si>
    <t>dead Stephanomeria virgata</t>
  </si>
  <si>
    <t>tall wreath plant</t>
  </si>
  <si>
    <t>similar to STEEXI</t>
  </si>
  <si>
    <t>D(STILEP)</t>
  </si>
  <si>
    <t>dead Stipa lepida</t>
  </si>
  <si>
    <t>Foothill needlegrass</t>
  </si>
  <si>
    <t>Nassela lepida (NASLEP)</t>
  </si>
  <si>
    <t>D(STIMIL)</t>
  </si>
  <si>
    <t>dead Stipa miliacea</t>
  </si>
  <si>
    <t>smilo grass</t>
  </si>
  <si>
    <t>D(STIPUL)</t>
  </si>
  <si>
    <t>dead Stipa pulchra</t>
  </si>
  <si>
    <t>Purple Needle Grass</t>
  </si>
  <si>
    <t>Nasella pulchra (NASPUL)</t>
  </si>
  <si>
    <t>D(TAMRAM)</t>
  </si>
  <si>
    <t>dead Tamarix ramosissima</t>
  </si>
  <si>
    <t>Tamarisk</t>
  </si>
  <si>
    <t>Tamariacaeae</t>
  </si>
  <si>
    <t>D(THYCUR)</t>
  </si>
  <si>
    <t>dead Thysanocarpus curvipes</t>
  </si>
  <si>
    <t>fringepod</t>
  </si>
  <si>
    <t>D(THYLAC)</t>
  </si>
  <si>
    <t>dead Thysanocarpus lacianatus</t>
  </si>
  <si>
    <t>D(TOXDIV)</t>
  </si>
  <si>
    <t>dead Toxicodendron diversilobum</t>
  </si>
  <si>
    <t>Poison Oak</t>
  </si>
  <si>
    <t>D(TREE)</t>
  </si>
  <si>
    <t>dead tree</t>
  </si>
  <si>
    <t>D(TRILANA)</t>
  </si>
  <si>
    <t>dead Trichostema lanatum</t>
  </si>
  <si>
    <t>wooly bluecurls</t>
  </si>
  <si>
    <t>D(TRILANC)</t>
  </si>
  <si>
    <t>dead Trichostema lanceolatum</t>
  </si>
  <si>
    <t>vinegarweed</t>
  </si>
  <si>
    <t>D(TRISPP)</t>
  </si>
  <si>
    <t>dead Trifolium species</t>
  </si>
  <si>
    <t>D(TYPDOM)</t>
  </si>
  <si>
    <t>dead Typha domingensis</t>
  </si>
  <si>
    <t>southern cattail</t>
  </si>
  <si>
    <t>Typhaceae</t>
  </si>
  <si>
    <t>D(TYPLAT)</t>
  </si>
  <si>
    <t>dead Typha latifolia</t>
  </si>
  <si>
    <t>common cattail</t>
  </si>
  <si>
    <t>D(TYPSPP)</t>
  </si>
  <si>
    <t>dead Typha species</t>
  </si>
  <si>
    <t>cattail species</t>
  </si>
  <si>
    <t>D(ULMPAR)</t>
  </si>
  <si>
    <t>dead Ulmus parvifolia</t>
  </si>
  <si>
    <t>Siberian elm</t>
  </si>
  <si>
    <t>Ulmaceae</t>
  </si>
  <si>
    <t>D(UNKFORB)</t>
  </si>
  <si>
    <t>dead Unknown Forb</t>
  </si>
  <si>
    <t>D(UNKGRASS)</t>
  </si>
  <si>
    <t>dead Unknown Grass</t>
  </si>
  <si>
    <t>D(UNKNOWN)</t>
  </si>
  <si>
    <t>dead Unknown Species</t>
  </si>
  <si>
    <t>D(UROLIN)</t>
  </si>
  <si>
    <t>dead Uropappus lindleyi</t>
  </si>
  <si>
    <t>silverpuffs</t>
  </si>
  <si>
    <t>Microseris lindleyi</t>
  </si>
  <si>
    <t>D(URTDIO)</t>
  </si>
  <si>
    <t>dead Urtica dioica</t>
  </si>
  <si>
    <t>stinging nettle</t>
  </si>
  <si>
    <t>Urticaceae</t>
  </si>
  <si>
    <t>D(URTURE)</t>
  </si>
  <si>
    <t>dead Urtica urens</t>
  </si>
  <si>
    <t>D(VERLAS)</t>
  </si>
  <si>
    <t>dead Verbena lasiostachys</t>
  </si>
  <si>
    <t>common verbena</t>
  </si>
  <si>
    <t>Verbenaceae</t>
  </si>
  <si>
    <t>D(VERVIR)</t>
  </si>
  <si>
    <t>dead Verbascum virgatum</t>
  </si>
  <si>
    <t>wand mullein</t>
  </si>
  <si>
    <t>D(VICVIL)</t>
  </si>
  <si>
    <t>dead Vicia villosa</t>
  </si>
  <si>
    <t>vetch</t>
  </si>
  <si>
    <t>D(VIOPED)</t>
  </si>
  <si>
    <t>dead Viola pedunculata</t>
  </si>
  <si>
    <t>california golden violet</t>
  </si>
  <si>
    <t>Violaceae</t>
  </si>
  <si>
    <t>D(VULMYU)</t>
  </si>
  <si>
    <t>dead Vulpia myuros</t>
  </si>
  <si>
    <t>rattail grass</t>
  </si>
  <si>
    <t>Festuca myuros</t>
  </si>
  <si>
    <t>D(XANSTR)</t>
  </si>
  <si>
    <t>dead Xanthium strumarium</t>
  </si>
  <si>
    <t>cockle burr</t>
  </si>
  <si>
    <t>D(ZELVEN)</t>
  </si>
  <si>
    <t>dead Zeltnera venusta</t>
  </si>
  <si>
    <t>charming centaury</t>
  </si>
  <si>
    <t>Gentianaceae</t>
  </si>
  <si>
    <t>DATSTR</t>
  </si>
  <si>
    <t>Datura stramonium</t>
  </si>
  <si>
    <t>DATWRI</t>
  </si>
  <si>
    <t>Datura wrightii</t>
  </si>
  <si>
    <t>Daucus pusillus</t>
  </si>
  <si>
    <t>DCS(ADEFAS)</t>
  </si>
  <si>
    <t>Dead part of crown sprouting Adenostoma fasciculatum</t>
  </si>
  <si>
    <t>DCS(ERIFAS)</t>
  </si>
  <si>
    <t>Dead part of crown sprouting Eriogonum fasciculatum</t>
  </si>
  <si>
    <t>DCS(MALFAS)</t>
  </si>
  <si>
    <t>Dead part of crown sprouting Malacothamnus fasciculatus</t>
  </si>
  <si>
    <t>DCS(MALLAU)</t>
  </si>
  <si>
    <t>Dead part of crown sprouting Mallosma laurina</t>
  </si>
  <si>
    <t>DCS(QUEAGR)</t>
  </si>
  <si>
    <t>Dead part of crown sprouting Quercus agrifolia</t>
  </si>
  <si>
    <t>DCS(SALAPI)</t>
  </si>
  <si>
    <t>Dead part of crown sprouting Salvia apiana</t>
  </si>
  <si>
    <t>DCS(SALMEL)</t>
  </si>
  <si>
    <t>Dead part of crown sprouting Salvia mellifera</t>
  </si>
  <si>
    <t>DCS(SAMMEX)</t>
  </si>
  <si>
    <t>Dead part  of crown sprouting Sambucus nigra ssp. Caerulea</t>
  </si>
  <si>
    <t>Deinandra fasciculata</t>
  </si>
  <si>
    <t>DEIKEL</t>
  </si>
  <si>
    <t>Deinandra kellogii</t>
  </si>
  <si>
    <t>DEIPAN</t>
  </si>
  <si>
    <t>Deinandra paniculata</t>
  </si>
  <si>
    <t>DEISPP</t>
  </si>
  <si>
    <t>Deinadra species</t>
  </si>
  <si>
    <t>DELCAR</t>
  </si>
  <si>
    <t>Delphinium cardinale</t>
  </si>
  <si>
    <t>DELPAR</t>
  </si>
  <si>
    <t>Delphinum parryi</t>
  </si>
  <si>
    <t>DENRIG</t>
  </si>
  <si>
    <t>Dendromecon rigida</t>
  </si>
  <si>
    <t>bush poppy</t>
  </si>
  <si>
    <t>DESPIN</t>
  </si>
  <si>
    <t>Descurainia pinnata</t>
  </si>
  <si>
    <t>tansy mustard</t>
  </si>
  <si>
    <t>DICCAP</t>
  </si>
  <si>
    <t>Dichelostemma capitatum</t>
  </si>
  <si>
    <t>DICOCC</t>
  </si>
  <si>
    <t>Dichondra occidentalis</t>
  </si>
  <si>
    <t>western dichondra</t>
  </si>
  <si>
    <t>DIPAUR</t>
  </si>
  <si>
    <t>Mimulus aurantiacus</t>
  </si>
  <si>
    <t>DIPPUN</t>
  </si>
  <si>
    <t>DISLIT</t>
  </si>
  <si>
    <t>Distichlis littoralis</t>
  </si>
  <si>
    <t>shore grass</t>
  </si>
  <si>
    <t>DISSPI</t>
  </si>
  <si>
    <t xml:space="preserve">Distichlis spicata </t>
  </si>
  <si>
    <t>DODCLE</t>
  </si>
  <si>
    <t>Dodecatheon clevelandii</t>
  </si>
  <si>
    <t>shooting star</t>
  </si>
  <si>
    <t>DPL(ADEFAS)</t>
  </si>
  <si>
    <t>Dead part of living Adenostoma fasciculatum</t>
  </si>
  <si>
    <t>DPL(ARTCAL)</t>
  </si>
  <si>
    <t>Dead part of living Artemisia californica</t>
  </si>
  <si>
    <t>DPL(CEACRA)</t>
  </si>
  <si>
    <t>Dead part of living Ceanothus crassifolius</t>
  </si>
  <si>
    <t>DPL(CEAMEG)</t>
  </si>
  <si>
    <t>Dead part of living Ceanothus megacarpus</t>
  </si>
  <si>
    <t>DPL(ENCCAL)</t>
  </si>
  <si>
    <t>Dead part of living Encelia californica</t>
  </si>
  <si>
    <t>California bush sunflower</t>
  </si>
  <si>
    <t>DPL(ERIFAS)</t>
  </si>
  <si>
    <t>Dead part of living Eriogonum fasciculatum</t>
  </si>
  <si>
    <t>DPL(HETARB)</t>
  </si>
  <si>
    <t>Dead part of living Heteromeles arbutifolia</t>
  </si>
  <si>
    <t>DPL(KECANT)</t>
  </si>
  <si>
    <t>Dead part of living Keckiella antirrhinoides</t>
  </si>
  <si>
    <t>DPL(MALFAS)</t>
  </si>
  <si>
    <t>Dead part of living Malocothamnus fasciculatus</t>
  </si>
  <si>
    <t>DPL(MALLAU)</t>
  </si>
  <si>
    <t>Dead part of living Mallosma laurina</t>
  </si>
  <si>
    <t>Dead part of living Malosma laurina</t>
  </si>
  <si>
    <t>DPL(MIMAUR)</t>
  </si>
  <si>
    <t>Dead part of living Mimulus aurantiacus</t>
  </si>
  <si>
    <t>Monkeyflower</t>
  </si>
  <si>
    <t>DPL(QUEAGR)</t>
  </si>
  <si>
    <t>Dead part of living Quercus agrifolia</t>
  </si>
  <si>
    <t>DPL(QUEBER)</t>
  </si>
  <si>
    <t>Dead part of living Quercus berberidifolia</t>
  </si>
  <si>
    <t>DPL(RHUINT)</t>
  </si>
  <si>
    <t>Dead part of living Rhus integrifolia</t>
  </si>
  <si>
    <t>DPL(SALLEU)</t>
  </si>
  <si>
    <t>Dead part of living Salvia leucophylla</t>
  </si>
  <si>
    <t>DPL(SALMEL)</t>
  </si>
  <si>
    <t>Dead part of living Salvia Mellifera</t>
  </si>
  <si>
    <t>DUDLAN</t>
  </si>
  <si>
    <t>Dudleya lanceolata</t>
  </si>
  <si>
    <t>DUDMUL</t>
  </si>
  <si>
    <t>Dudleya multicaulis</t>
  </si>
  <si>
    <t>many stemmed dudleya</t>
  </si>
  <si>
    <t>DUDPUL</t>
  </si>
  <si>
    <t>Dudleya pulverulenta</t>
  </si>
  <si>
    <t>DUDVIS</t>
  </si>
  <si>
    <t>Dudleya viscida</t>
  </si>
  <si>
    <t>stick live-forever</t>
  </si>
  <si>
    <t>DYSSPP</t>
  </si>
  <si>
    <t>Dysphania spp</t>
  </si>
  <si>
    <t>mexican tea</t>
  </si>
  <si>
    <t>EHRCAL</t>
  </si>
  <si>
    <t>Ehrharta calycina</t>
  </si>
  <si>
    <t>perennial veldtgrass</t>
  </si>
  <si>
    <t>EHRCHR</t>
  </si>
  <si>
    <t>Ehrendorferia chrysantha</t>
  </si>
  <si>
    <t>golden eardrops</t>
  </si>
  <si>
    <t>ELEMON</t>
  </si>
  <si>
    <t>Eleocharis montevidensis</t>
  </si>
  <si>
    <t>spike rush</t>
  </si>
  <si>
    <t>ELYCON</t>
  </si>
  <si>
    <t>Elymus condensatus</t>
  </si>
  <si>
    <t>ELYGLA</t>
  </si>
  <si>
    <t>Elymus glaucus</t>
  </si>
  <si>
    <t>EMMPEN</t>
  </si>
  <si>
    <t>Emmenanthe penduliflora</t>
  </si>
  <si>
    <t>ENCCAL</t>
  </si>
  <si>
    <t>Encelia californica</t>
  </si>
  <si>
    <t>ENCFAR</t>
  </si>
  <si>
    <t>Encelia farinosa</t>
  </si>
  <si>
    <t>EPICAN</t>
  </si>
  <si>
    <t>Epilobium canum</t>
  </si>
  <si>
    <t>EPICAN spp can</t>
  </si>
  <si>
    <t>Epilobium canum ssp canum</t>
  </si>
  <si>
    <t>EPICAN ssp lat</t>
  </si>
  <si>
    <t>Epilobium canum ssp latifolium</t>
  </si>
  <si>
    <t>EPICIL</t>
  </si>
  <si>
    <t>Epilobium ciliatum</t>
  </si>
  <si>
    <t>ERIBON</t>
  </si>
  <si>
    <t>Erigeron bonariensis</t>
  </si>
  <si>
    <t>ERICAN</t>
  </si>
  <si>
    <t>Erigeron canadensis</t>
  </si>
  <si>
    <t>ERICON</t>
  </si>
  <si>
    <t>Eriophyllum confertiflorum</t>
  </si>
  <si>
    <t>ERICRA</t>
  </si>
  <si>
    <t>Eriodictyon crassifolium</t>
  </si>
  <si>
    <t>ERIELO</t>
  </si>
  <si>
    <t>Eriogonum elongatum</t>
  </si>
  <si>
    <t>Eriogonum fasciculatum</t>
  </si>
  <si>
    <t>ERIFAS-S</t>
  </si>
  <si>
    <t>Eriogonum fasciculatum ssp. Foliosum</t>
  </si>
  <si>
    <t>ERIFIL</t>
  </si>
  <si>
    <t>Eriastrum filifolium</t>
  </si>
  <si>
    <t>ERIFOL</t>
  </si>
  <si>
    <t>Erigeron foliosus</t>
  </si>
  <si>
    <t>Fleabane daisy</t>
  </si>
  <si>
    <t>ERIPAL</t>
  </si>
  <si>
    <t>Ericameria palmeri</t>
  </si>
  <si>
    <t>ERIPIN</t>
  </si>
  <si>
    <t>Ericameria pinifolia</t>
  </si>
  <si>
    <t>ERISAP</t>
  </si>
  <si>
    <t>Eriastrum sapphirinum</t>
  </si>
  <si>
    <t>Erodium botrys</t>
  </si>
  <si>
    <t>EROBRA</t>
  </si>
  <si>
    <t>Erodium brachycarpum</t>
  </si>
  <si>
    <t>Erodium cicutarium</t>
  </si>
  <si>
    <t>Erodium moschatum</t>
  </si>
  <si>
    <t>Erodium species</t>
  </si>
  <si>
    <t>ERYCAP</t>
  </si>
  <si>
    <t>Erysimum capitatum</t>
  </si>
  <si>
    <t>wallflower</t>
  </si>
  <si>
    <t>ESCCAL</t>
  </si>
  <si>
    <t>Eschscholzia californica</t>
  </si>
  <si>
    <t>EUCCHR</t>
  </si>
  <si>
    <t>Eucrypta chrysanthemifolia</t>
  </si>
  <si>
    <t>EULCAL</t>
  </si>
  <si>
    <t>Eulobus californicus</t>
  </si>
  <si>
    <t>EUPALB</t>
  </si>
  <si>
    <t>Euphorbia albomarginata</t>
  </si>
  <si>
    <t>rattlesnake sandmat</t>
  </si>
  <si>
    <t>EUPMIS</t>
  </si>
  <si>
    <t>Euphorbia misera</t>
  </si>
  <si>
    <t>cliff spurge</t>
  </si>
  <si>
    <t>EUPPEP</t>
  </si>
  <si>
    <t>Euphorbia peplus</t>
  </si>
  <si>
    <t>F</t>
  </si>
  <si>
    <t>Fine woody debris</t>
  </si>
  <si>
    <t>FERVIR</t>
  </si>
  <si>
    <t>Ferocactus viridescens</t>
  </si>
  <si>
    <t>san diego barrel cactus</t>
  </si>
  <si>
    <t>FESARU</t>
  </si>
  <si>
    <t>Festuca arundinacea</t>
  </si>
  <si>
    <t>tall fescue</t>
  </si>
  <si>
    <t>Vulpia myuros</t>
  </si>
  <si>
    <t>FESPER</t>
  </si>
  <si>
    <t>Festuca perennis</t>
  </si>
  <si>
    <t>Italian rye</t>
  </si>
  <si>
    <t>Lolium multiflorum</t>
  </si>
  <si>
    <t>FILGAL</t>
  </si>
  <si>
    <t>Logfia gallica</t>
  </si>
  <si>
    <t>narrow leaf cottonrose</t>
  </si>
  <si>
    <t>FOEVUL</t>
  </si>
  <si>
    <t>Foeniculum vulgare</t>
  </si>
  <si>
    <t>FRAPAR</t>
  </si>
  <si>
    <t>Frasera parryi</t>
  </si>
  <si>
    <t>FRASPP</t>
  </si>
  <si>
    <t>Fraxinus species</t>
  </si>
  <si>
    <t>ash</t>
  </si>
  <si>
    <t>Oleaceae</t>
  </si>
  <si>
    <t>FRIBIF</t>
  </si>
  <si>
    <t>Fritillaria biflora</t>
  </si>
  <si>
    <t>FUNCYN</t>
  </si>
  <si>
    <t>Funastrum cynanchoides</t>
  </si>
  <si>
    <t>GALAND</t>
  </si>
  <si>
    <t>Galium andrewsii</t>
  </si>
  <si>
    <t>phlox-leaved bedstraw</t>
  </si>
  <si>
    <t>GALANG</t>
  </si>
  <si>
    <t>Galium angustifolium</t>
  </si>
  <si>
    <t>Galium aparine</t>
  </si>
  <si>
    <t>GALNUT</t>
  </si>
  <si>
    <t>Galium nuttallii</t>
  </si>
  <si>
    <t>climbing bedstraw</t>
  </si>
  <si>
    <t>GALPAR</t>
  </si>
  <si>
    <t>Galium parisiense</t>
  </si>
  <si>
    <t>Parisian bedstraw</t>
  </si>
  <si>
    <t>GALSPP</t>
  </si>
  <si>
    <t>Galium species</t>
  </si>
  <si>
    <t>GASPHL</t>
  </si>
  <si>
    <t>Gastridium phleoides</t>
  </si>
  <si>
    <t>nit grass</t>
  </si>
  <si>
    <t>GAZLIN</t>
  </si>
  <si>
    <t>Gazania linearis</t>
  </si>
  <si>
    <t>GERDIS</t>
  </si>
  <si>
    <t>Geranium dissectum</t>
  </si>
  <si>
    <t>wild geranium</t>
  </si>
  <si>
    <t>GERROT</t>
  </si>
  <si>
    <t>Geranium rotundifolium</t>
  </si>
  <si>
    <t>GILANG</t>
  </si>
  <si>
    <t>Gilia angelensis</t>
  </si>
  <si>
    <t>chaparral gilia</t>
  </si>
  <si>
    <t>GILAUS</t>
  </si>
  <si>
    <t>Gilia australis</t>
  </si>
  <si>
    <t>GILCAP</t>
  </si>
  <si>
    <t>Gilia capitata</t>
  </si>
  <si>
    <t>GILDIE</t>
  </si>
  <si>
    <t>Gilia diegensis</t>
  </si>
  <si>
    <t>GILSPP</t>
  </si>
  <si>
    <t>Gilia species</t>
  </si>
  <si>
    <t>GILSTE</t>
  </si>
  <si>
    <t>Gilia stellata</t>
  </si>
  <si>
    <t>GLECOR</t>
  </si>
  <si>
    <t>Glebionis coronaria</t>
  </si>
  <si>
    <t>GNAPAL</t>
  </si>
  <si>
    <t>Gnaphalium palustre</t>
  </si>
  <si>
    <t>GNASPP</t>
  </si>
  <si>
    <t>Gnaphalium spp</t>
  </si>
  <si>
    <t>unknown gnaphalium</t>
  </si>
  <si>
    <t>Grindelia camporum</t>
  </si>
  <si>
    <t>GUTCAL</t>
  </si>
  <si>
    <t>Gutierrezia californica</t>
  </si>
  <si>
    <t>GUTSAR</t>
  </si>
  <si>
    <t>Gutierrezia sarothrae</t>
  </si>
  <si>
    <t>HARPAL</t>
  </si>
  <si>
    <t>Harpagonella palmeri</t>
  </si>
  <si>
    <t>HAZSQU</t>
  </si>
  <si>
    <t>Hazardia squarrosa</t>
  </si>
  <si>
    <t>HEDCRE</t>
  </si>
  <si>
    <t>Hedypnois cretica</t>
  </si>
  <si>
    <t>HELANN</t>
  </si>
  <si>
    <t>Helianthus annuus</t>
  </si>
  <si>
    <t>HELCUR</t>
  </si>
  <si>
    <t>Heliotropium curassavicum</t>
  </si>
  <si>
    <t>HELECH</t>
  </si>
  <si>
    <t>Helminthotheca echioides</t>
  </si>
  <si>
    <t>Picris echiodes</t>
  </si>
  <si>
    <t>HELGRA</t>
  </si>
  <si>
    <t>Helianthus gracilentus</t>
  </si>
  <si>
    <t>HELSCO</t>
  </si>
  <si>
    <t>Helianthemum scoparium</t>
  </si>
  <si>
    <t>HESFOR</t>
  </si>
  <si>
    <t>Hesperocyparis forbesii </t>
  </si>
  <si>
    <t>HESWHI</t>
  </si>
  <si>
    <t>Hesperoyucca whipplei</t>
  </si>
  <si>
    <t>HETARB</t>
  </si>
  <si>
    <t>Heteromeles arbutifolia</t>
  </si>
  <si>
    <t>HETGRA</t>
  </si>
  <si>
    <t>Heterotheca grandiflora</t>
  </si>
  <si>
    <t>HIRINC</t>
  </si>
  <si>
    <t>HORMUR</t>
  </si>
  <si>
    <t>Hordeum murinum</t>
  </si>
  <si>
    <t>HUTPRO</t>
  </si>
  <si>
    <t>Hutchinsia procumbens</t>
  </si>
  <si>
    <t>HYPGLA</t>
  </si>
  <si>
    <t>Hypochaeris glabra</t>
  </si>
  <si>
    <t>HYPRAD</t>
  </si>
  <si>
    <t>Hypochaeris radicata</t>
  </si>
  <si>
    <t>hairy cat's ears</t>
  </si>
  <si>
    <t>ISOACR</t>
  </si>
  <si>
    <t>Isocoma acradenia</t>
  </si>
  <si>
    <t>ISOARB</t>
  </si>
  <si>
    <t>Peritoma arborea</t>
  </si>
  <si>
    <t>ISOMEN</t>
  </si>
  <si>
    <t>Isocoma menziesii</t>
  </si>
  <si>
    <t>JEPPAR</t>
  </si>
  <si>
    <t>Jepsonia parryi</t>
  </si>
  <si>
    <t>JUNACU</t>
  </si>
  <si>
    <t>Juncus acutus</t>
  </si>
  <si>
    <t>spiny rush</t>
  </si>
  <si>
    <t>JUNBAL</t>
  </si>
  <si>
    <t>Juncus balticus</t>
  </si>
  <si>
    <t>Baltic rush</t>
  </si>
  <si>
    <t>JUNBUF</t>
  </si>
  <si>
    <t>Juncus bufonius</t>
  </si>
  <si>
    <t>JUNMEX</t>
  </si>
  <si>
    <t>Juncus mexicanus</t>
  </si>
  <si>
    <t>JUNSPP</t>
  </si>
  <si>
    <t>Juncus species</t>
  </si>
  <si>
    <t>rush</t>
  </si>
  <si>
    <t>JUNXIP</t>
  </si>
  <si>
    <t>Juncus xiphioides</t>
  </si>
  <si>
    <t>iris leaf rush</t>
  </si>
  <si>
    <t>KECANT</t>
  </si>
  <si>
    <t>Keckiella antirrhinoides</t>
  </si>
  <si>
    <t>KECCOR</t>
  </si>
  <si>
    <t>Keckiella cordifolia</t>
  </si>
  <si>
    <t>Litter</t>
  </si>
  <si>
    <t>LACSER</t>
  </si>
  <si>
    <t>Lactuca serriola</t>
  </si>
  <si>
    <t>LAECOU</t>
  </si>
  <si>
    <t>Laennecia coulteri</t>
  </si>
  <si>
    <t>LAMAMP</t>
  </si>
  <si>
    <t>Lamium amplexicaule</t>
  </si>
  <si>
    <t>LAMAUR</t>
  </si>
  <si>
    <t>Lamarchia aurea</t>
  </si>
  <si>
    <t>Lasthenia californica</t>
  </si>
  <si>
    <t>LASCOR</t>
  </si>
  <si>
    <t>Lasthenia coronaria</t>
  </si>
  <si>
    <t>LASGRA</t>
  </si>
  <si>
    <t>Lasthenia gracilis</t>
  </si>
  <si>
    <t>LASSPP</t>
  </si>
  <si>
    <t>Lasthenia species</t>
  </si>
  <si>
    <t>LATVES</t>
  </si>
  <si>
    <t>Lathyrus vestitus</t>
  </si>
  <si>
    <t>LAYPLA</t>
  </si>
  <si>
    <t>Layia platyglossa</t>
  </si>
  <si>
    <t>LEPFLO</t>
  </si>
  <si>
    <t>Leptosiphon floribundus</t>
  </si>
  <si>
    <t>LEPGIG</t>
  </si>
  <si>
    <t>Leptosyne gigantea</t>
  </si>
  <si>
    <t>giant coreopsis</t>
  </si>
  <si>
    <t>LEPLAS</t>
  </si>
  <si>
    <t>Lepidium lasiocarpum</t>
  </si>
  <si>
    <t>LEPLAT</t>
  </si>
  <si>
    <t>Lepidium latifolium</t>
  </si>
  <si>
    <t>LEPLIN</t>
  </si>
  <si>
    <t>Leptosiphon liniflorus</t>
  </si>
  <si>
    <t>LEPMAR</t>
  </si>
  <si>
    <t>Leptosyne maritima</t>
  </si>
  <si>
    <t>sea dahlia</t>
  </si>
  <si>
    <t>LEPNIT</t>
  </si>
  <si>
    <t>Lepidium nitidum</t>
  </si>
  <si>
    <t>LEPRAM</t>
  </si>
  <si>
    <t>Lepidium ramosissimum</t>
  </si>
  <si>
    <t>LEPSPP</t>
  </si>
  <si>
    <t>Lepidium species</t>
  </si>
  <si>
    <t>LEPSQU</t>
  </si>
  <si>
    <t>Lepidospartum squamatum </t>
  </si>
  <si>
    <t>LESFIL</t>
  </si>
  <si>
    <t>LEYCON</t>
  </si>
  <si>
    <t>LIMCAL</t>
  </si>
  <si>
    <t>Limonium californicum</t>
  </si>
  <si>
    <t>california sea lavender, march rosemary</t>
  </si>
  <si>
    <t>Plumbaginaceae</t>
  </si>
  <si>
    <t>LIMDUR</t>
  </si>
  <si>
    <t>Limonium duriusculum</t>
  </si>
  <si>
    <t>European sea lavender</t>
  </si>
  <si>
    <t>LIMPER</t>
  </si>
  <si>
    <t>Limonium perezii</t>
  </si>
  <si>
    <t>Perez's sea lavender</t>
  </si>
  <si>
    <t>LIMRAM</t>
  </si>
  <si>
    <t>Limonium ramosissimum</t>
  </si>
  <si>
    <t>Algerian sea lavender</t>
  </si>
  <si>
    <t>LINCAL</t>
  </si>
  <si>
    <t>Linanthus californicus</t>
  </si>
  <si>
    <t>LINDIA</t>
  </si>
  <si>
    <t>Linanthus dianthiflorus</t>
  </si>
  <si>
    <t>LINSIN</t>
  </si>
  <si>
    <t>Limonium sinuatum</t>
  </si>
  <si>
    <t>winged sea-lavender</t>
  </si>
  <si>
    <t>LOGCAL</t>
  </si>
  <si>
    <t>Lofgia filanginoides</t>
  </si>
  <si>
    <t>logfia californica, filago californica</t>
  </si>
  <si>
    <t>LOGDEP</t>
  </si>
  <si>
    <t>Logfia depressa</t>
  </si>
  <si>
    <t>LOGFIL</t>
  </si>
  <si>
    <t>Logfia filanginoides</t>
  </si>
  <si>
    <t>filago californica</t>
  </si>
  <si>
    <t>LOGGAL</t>
  </si>
  <si>
    <t>LOGSPP</t>
  </si>
  <si>
    <t>Logfia species</t>
  </si>
  <si>
    <t>LOLMUL</t>
  </si>
  <si>
    <t>LOLPER</t>
  </si>
  <si>
    <t>Lolium perennis</t>
  </si>
  <si>
    <t>LOMDAS</t>
  </si>
  <si>
    <t>Lomatium dasycarpum</t>
  </si>
  <si>
    <t>LOMLUC</t>
  </si>
  <si>
    <t>Lomatium lucidum</t>
  </si>
  <si>
    <t>shiny lomatium</t>
  </si>
  <si>
    <t>LOMSPP</t>
  </si>
  <si>
    <t>Lomatium species</t>
  </si>
  <si>
    <t>LOMUTR</t>
  </si>
  <si>
    <t>Lomatium utriculatum</t>
  </si>
  <si>
    <t>LONSUB</t>
  </si>
  <si>
    <t>Lonicera subspicata</t>
  </si>
  <si>
    <t>LOTHAM</t>
  </si>
  <si>
    <t>LOTPUR</t>
  </si>
  <si>
    <t>LOTSCO</t>
  </si>
  <si>
    <t>deerweed</t>
  </si>
  <si>
    <t>LOTSPP</t>
  </si>
  <si>
    <t>LOTSTR</t>
  </si>
  <si>
    <t>LUPALB</t>
  </si>
  <si>
    <t>Lupinus albifrons</t>
  </si>
  <si>
    <t>LUPBIC</t>
  </si>
  <si>
    <t>Lupinus bicolor</t>
  </si>
  <si>
    <t>LUPCOC</t>
  </si>
  <si>
    <t>Lupinus concinnus</t>
  </si>
  <si>
    <t>LUPEXC</t>
  </si>
  <si>
    <t>Lupinus excubitus</t>
  </si>
  <si>
    <t>LUPHIR</t>
  </si>
  <si>
    <t>Lupinus hirsutissimus</t>
  </si>
  <si>
    <t>stinging lupine</t>
  </si>
  <si>
    <t>LUPLON</t>
  </si>
  <si>
    <t xml:space="preserve">Lupinus longifolius </t>
  </si>
  <si>
    <t>LUPMIC</t>
  </si>
  <si>
    <t>Lupinus microcarpus</t>
  </si>
  <si>
    <t>LUPSPA</t>
  </si>
  <si>
    <t>Lupinus sparsiflorus</t>
  </si>
  <si>
    <t>coulter's lupine</t>
  </si>
  <si>
    <t>LUPSPP</t>
  </si>
  <si>
    <t>Lupinus species</t>
  </si>
  <si>
    <t>Lupinus succulentus</t>
  </si>
  <si>
    <t>LUPTRU</t>
  </si>
  <si>
    <t>Lupinus truncatus</t>
  </si>
  <si>
    <t>LYCAND</t>
  </si>
  <si>
    <t>Lycium andersonii</t>
  </si>
  <si>
    <t>thornbush</t>
  </si>
  <si>
    <t>Moss</t>
  </si>
  <si>
    <t>MALCLE</t>
  </si>
  <si>
    <t>Malacothamnus clementius</t>
  </si>
  <si>
    <t>MALCRO</t>
  </si>
  <si>
    <t>Malephora crocea</t>
  </si>
  <si>
    <t>Croceum iceplant</t>
  </si>
  <si>
    <t>MALFAS</t>
  </si>
  <si>
    <t>Malacothamnus fasciculatus</t>
  </si>
  <si>
    <t>MALLAU</t>
  </si>
  <si>
    <t>Malosma laurina</t>
  </si>
  <si>
    <t>MALLAU resprout</t>
  </si>
  <si>
    <t>Malosma laurina resprout</t>
  </si>
  <si>
    <t>MALLAU seedling</t>
  </si>
  <si>
    <t>Malosma laurina seedling</t>
  </si>
  <si>
    <t>MALPAR</t>
  </si>
  <si>
    <t>Malva parviflora</t>
  </si>
  <si>
    <t>MALSAX</t>
  </si>
  <si>
    <t>Malacothrix saxatilis</t>
  </si>
  <si>
    <t>MALSPP</t>
  </si>
  <si>
    <t>Malacothamnus species</t>
  </si>
  <si>
    <t>MARMAC</t>
  </si>
  <si>
    <t>Marah macrocarpa</t>
  </si>
  <si>
    <t>MARSPP</t>
  </si>
  <si>
    <t>Marchantia</t>
  </si>
  <si>
    <t>liverwort</t>
  </si>
  <si>
    <t>Marchantiaceae</t>
  </si>
  <si>
    <t>MARVUL</t>
  </si>
  <si>
    <t>Marrubium vulgare</t>
  </si>
  <si>
    <t>MATDIS</t>
  </si>
  <si>
    <t>Matricaria discoidea</t>
  </si>
  <si>
    <t>pineapple weed</t>
  </si>
  <si>
    <t>Medicago polymorpha</t>
  </si>
  <si>
    <t>MEDSAT</t>
  </si>
  <si>
    <t>Medicago sativa</t>
  </si>
  <si>
    <t>alfalfa</t>
  </si>
  <si>
    <t>MEDSPP</t>
  </si>
  <si>
    <t>Medicago species</t>
  </si>
  <si>
    <t>MELALB</t>
  </si>
  <si>
    <t>Melilotus albus</t>
  </si>
  <si>
    <t>MELIMP</t>
  </si>
  <si>
    <t>Melica imperfecta</t>
  </si>
  <si>
    <t>coast range melic</t>
  </si>
  <si>
    <t>MELIND</t>
  </si>
  <si>
    <t>Melilotus indicus</t>
  </si>
  <si>
    <t>MELOFF</t>
  </si>
  <si>
    <t>Melilotus officinalis</t>
  </si>
  <si>
    <t>MELSPP</t>
  </si>
  <si>
    <t>Melitotus species</t>
  </si>
  <si>
    <t>MENSPI</t>
  </si>
  <si>
    <t>Mentha spicata</t>
  </si>
  <si>
    <t>MESCRY</t>
  </si>
  <si>
    <t>Mesembryanthemum crystallinium</t>
  </si>
  <si>
    <t>crystal iceplant</t>
  </si>
  <si>
    <t>MESNOD</t>
  </si>
  <si>
    <t>Mesembryanthemum nodiflorum</t>
  </si>
  <si>
    <t>small-flowered iceplant</t>
  </si>
  <si>
    <t>MICCAL</t>
  </si>
  <si>
    <t>Micropus californicus</t>
  </si>
  <si>
    <t>Q tips</t>
  </si>
  <si>
    <t>MICDOU</t>
  </si>
  <si>
    <t>Microseris douglasii</t>
  </si>
  <si>
    <t>silver puffs</t>
  </si>
  <si>
    <t>MICLIN</t>
  </si>
  <si>
    <t>MIMAUR</t>
  </si>
  <si>
    <t>MIMCAR</t>
  </si>
  <si>
    <t>Mimulus cardinalis</t>
  </si>
  <si>
    <t>MIRCAL</t>
  </si>
  <si>
    <t>Mirabilis laevis</t>
  </si>
  <si>
    <t>MIRLAE</t>
  </si>
  <si>
    <t>MONSPP</t>
  </si>
  <si>
    <t>Monardella species</t>
  </si>
  <si>
    <t>MUHMIC</t>
  </si>
  <si>
    <t>Muhlenburgia microsperma</t>
  </si>
  <si>
    <t>Littleseed muhly</t>
  </si>
  <si>
    <t>MUHRIG</t>
  </si>
  <si>
    <t>Muhlenbergia rigens</t>
  </si>
  <si>
    <t>MUHSPP</t>
  </si>
  <si>
    <t>Muhlenburgia species</t>
  </si>
  <si>
    <t>MUIMAR</t>
  </si>
  <si>
    <t>Muilla maritima</t>
  </si>
  <si>
    <t>NASLEP</t>
  </si>
  <si>
    <t>Stipa lepida</t>
  </si>
  <si>
    <t>NASOFF</t>
  </si>
  <si>
    <t>Nasturtium officinale</t>
  </si>
  <si>
    <t>NASPUL</t>
  </si>
  <si>
    <t>Stipa pulchra</t>
  </si>
  <si>
    <t>NAVATR</t>
  </si>
  <si>
    <t>Navarretia atractyloides</t>
  </si>
  <si>
    <t>Navarretia hamata</t>
  </si>
  <si>
    <t>Navarretia species</t>
  </si>
  <si>
    <t>NEMMEN</t>
  </si>
  <si>
    <t>Nemophila menziesii</t>
  </si>
  <si>
    <t>NEMRUB</t>
  </si>
  <si>
    <t>Nemacladus rubescens</t>
  </si>
  <si>
    <t>desert thread plant</t>
  </si>
  <si>
    <t>Campanulaceae</t>
  </si>
  <si>
    <t>NICGLA</t>
  </si>
  <si>
    <t>Nicotiana glauca</t>
  </si>
  <si>
    <t>NICQUA</t>
  </si>
  <si>
    <t>Nicotiana quadrivalvis</t>
  </si>
  <si>
    <t>NNF</t>
  </si>
  <si>
    <t>Non Native Forb</t>
  </si>
  <si>
    <t>NNG</t>
  </si>
  <si>
    <t>Non Native Grass</t>
  </si>
  <si>
    <t>NoAdditional</t>
  </si>
  <si>
    <t>No Additional Species</t>
  </si>
  <si>
    <t>NoCanopy</t>
  </si>
  <si>
    <t>NOLCIS</t>
  </si>
  <si>
    <t>Nolina cismontana</t>
  </si>
  <si>
    <t>Ruscaceae</t>
  </si>
  <si>
    <t>NoNatVeg</t>
  </si>
  <si>
    <t>No Native Vegetation</t>
  </si>
  <si>
    <t>No_Native</t>
  </si>
  <si>
    <t>NoNNVeg</t>
  </si>
  <si>
    <t>No Non-Native Vegetation</t>
  </si>
  <si>
    <t>No_Non-Native</t>
  </si>
  <si>
    <t>NR</t>
  </si>
  <si>
    <t>NUTTEX</t>
  </si>
  <si>
    <t>Nuttallanthus texanus</t>
  </si>
  <si>
    <t>OENELA</t>
  </si>
  <si>
    <t>Oenothera elata</t>
  </si>
  <si>
    <t>OENSAR</t>
  </si>
  <si>
    <t>Oenanthe sarmentosa</t>
  </si>
  <si>
    <t>ONCPIL</t>
  </si>
  <si>
    <t>Oncosiphon piluliferum</t>
  </si>
  <si>
    <t>stinknet</t>
  </si>
  <si>
    <t>OPHCAL</t>
  </si>
  <si>
    <t>Ophioglossum californicum</t>
  </si>
  <si>
    <t>Ophioglossaceae</t>
  </si>
  <si>
    <t>Opuntia littoralis</t>
  </si>
  <si>
    <t>OPUORI</t>
  </si>
  <si>
    <t>Opuntia oricola</t>
  </si>
  <si>
    <t>chaparral prickly pear</t>
  </si>
  <si>
    <t>OSMTEN</t>
  </si>
  <si>
    <t>Osmadenia tenella</t>
  </si>
  <si>
    <t>OXAALB</t>
  </si>
  <si>
    <t>Oxalis albicans</t>
  </si>
  <si>
    <t>OXACAL</t>
  </si>
  <si>
    <t>Oxalis californica</t>
  </si>
  <si>
    <t>OXAPES</t>
  </si>
  <si>
    <t>Oxalis pes-caprae</t>
  </si>
  <si>
    <t>OXASPP</t>
  </si>
  <si>
    <t>Oxalis species</t>
  </si>
  <si>
    <t>PAECAL</t>
  </si>
  <si>
    <t>Paeonia californica</t>
  </si>
  <si>
    <t>California peony</t>
  </si>
  <si>
    <t>Paeoniaceae</t>
  </si>
  <si>
    <t>PANSPP</t>
  </si>
  <si>
    <t>Panicum species</t>
  </si>
  <si>
    <t>Panic grass</t>
  </si>
  <si>
    <t>PECLIN</t>
  </si>
  <si>
    <t>Pectocarya linearis</t>
  </si>
  <si>
    <t>combseed</t>
  </si>
  <si>
    <t>PELAND</t>
  </si>
  <si>
    <t>Pellaea andromedaefolia</t>
  </si>
  <si>
    <t>coffee fern</t>
  </si>
  <si>
    <t>PELMUR</t>
  </si>
  <si>
    <t>Pellaea mucronata</t>
  </si>
  <si>
    <t>bird's foot fern</t>
  </si>
  <si>
    <t>PENAUR</t>
  </si>
  <si>
    <t>Pentachaeta aurea</t>
  </si>
  <si>
    <t>PENCEN</t>
  </si>
  <si>
    <t>Penstemon centranthifolius</t>
  </si>
  <si>
    <t>scarlet burglar</t>
  </si>
  <si>
    <t>PENCLA</t>
  </si>
  <si>
    <t>Pennisetum clandestinum</t>
  </si>
  <si>
    <t>PENHET</t>
  </si>
  <si>
    <t>Penstemon heterophyllus</t>
  </si>
  <si>
    <t>PENSPE</t>
  </si>
  <si>
    <t>Penstemon spectabilis</t>
  </si>
  <si>
    <t>PENTRI</t>
  </si>
  <si>
    <t>Pentagramma triangularis</t>
  </si>
  <si>
    <t>golden back fern</t>
  </si>
  <si>
    <t>PERARB</t>
  </si>
  <si>
    <t>PHAAQU</t>
  </si>
  <si>
    <t>Phalaris aquatica</t>
  </si>
  <si>
    <t>harding grass</t>
  </si>
  <si>
    <t>Phacelia cicutaria</t>
  </si>
  <si>
    <t>PHACIL</t>
  </si>
  <si>
    <t>Phacelia ciliata</t>
  </si>
  <si>
    <t>PHADIS</t>
  </si>
  <si>
    <t>Phacelia distans</t>
  </si>
  <si>
    <t>PHAHUB</t>
  </si>
  <si>
    <t>Phacelia hubbyi</t>
  </si>
  <si>
    <t>PHAPAR</t>
  </si>
  <si>
    <t>Phacelia parryi</t>
  </si>
  <si>
    <t>Parry's phacelia</t>
  </si>
  <si>
    <t>PHARAM</t>
  </si>
  <si>
    <t>Phacelia ramosissima</t>
  </si>
  <si>
    <t>PHASPP</t>
  </si>
  <si>
    <t>Phacelia species</t>
  </si>
  <si>
    <t>PHOAUR</t>
  </si>
  <si>
    <t>Pholistoma auritum</t>
  </si>
  <si>
    <t>PHOBOL</t>
  </si>
  <si>
    <t>Phoradendron bolleanum</t>
  </si>
  <si>
    <t>Dense Mistletoe</t>
  </si>
  <si>
    <t>Viscaceae</t>
  </si>
  <si>
    <t>PHOLEU-M</t>
  </si>
  <si>
    <t>Phoradendron leucarpum ssp. macrophyllum</t>
  </si>
  <si>
    <t>Large-leaved mistletoe</t>
  </si>
  <si>
    <t>PHOLEU-T</t>
  </si>
  <si>
    <t>Phoradendron leucarpum ssp. Tomentosum</t>
  </si>
  <si>
    <t>hairy mistletoe, oak mistletoe</t>
  </si>
  <si>
    <t>PHORAM</t>
  </si>
  <si>
    <t>Pholistoma racemosum</t>
  </si>
  <si>
    <t>PICMON</t>
  </si>
  <si>
    <t>Pickeringia montana</t>
  </si>
  <si>
    <t>PLACAL</t>
  </si>
  <si>
    <t>Platystemon californicus</t>
  </si>
  <si>
    <t>cream cups</t>
  </si>
  <si>
    <t>PLACAN</t>
  </si>
  <si>
    <t>Plagiobothrys canescens</t>
  </si>
  <si>
    <t>Valley popcorn flower</t>
  </si>
  <si>
    <t>PLACOL</t>
  </si>
  <si>
    <t>Plagiobothrys collinus</t>
  </si>
  <si>
    <t>PLAERE</t>
  </si>
  <si>
    <t>Plantago erecta</t>
  </si>
  <si>
    <t>PLALAN</t>
  </si>
  <si>
    <t>Plantago lanceolata</t>
  </si>
  <si>
    <t>PLAMAJ</t>
  </si>
  <si>
    <t>Plantago major</t>
  </si>
  <si>
    <t>PLANOT</t>
  </si>
  <si>
    <t>Plagiobothrys nothofulvus</t>
  </si>
  <si>
    <t>PLAOVA</t>
  </si>
  <si>
    <t>Plantago ovata</t>
  </si>
  <si>
    <t>PLAPAT</t>
  </si>
  <si>
    <t>Plantago patagonica</t>
  </si>
  <si>
    <t>Woolly plantain</t>
  </si>
  <si>
    <t>PLARAC</t>
  </si>
  <si>
    <t>Platanus racemosa</t>
  </si>
  <si>
    <t>PLASPP</t>
  </si>
  <si>
    <t>Plagiobothrys species</t>
  </si>
  <si>
    <t>popcorn flower</t>
  </si>
  <si>
    <t>PLUSER</t>
  </si>
  <si>
    <t>Pluchea sericea</t>
  </si>
  <si>
    <t>POAANN</t>
  </si>
  <si>
    <t>Poa annua</t>
  </si>
  <si>
    <t>POASEC</t>
  </si>
  <si>
    <t>Poa secunda</t>
  </si>
  <si>
    <t>POASPP</t>
  </si>
  <si>
    <t>Poa species</t>
  </si>
  <si>
    <t>POLAVI</t>
  </si>
  <si>
    <t>Polygonum aviculare</t>
  </si>
  <si>
    <t>knotweed</t>
  </si>
  <si>
    <t>POLCAL</t>
  </si>
  <si>
    <t>Polypodium californicum</t>
  </si>
  <si>
    <t>Polypodaceae</t>
  </si>
  <si>
    <t>POLDEP</t>
  </si>
  <si>
    <t>Polycarpon depressum</t>
  </si>
  <si>
    <t>POLMON</t>
  </si>
  <si>
    <t>Polypogon monspeliensis</t>
  </si>
  <si>
    <t>rabbit foot grass</t>
  </si>
  <si>
    <t>POLTET</t>
  </si>
  <si>
    <t>Polycarpon tetraphyllum</t>
  </si>
  <si>
    <t>POLVIR</t>
  </si>
  <si>
    <t>Polypogon viridis</t>
  </si>
  <si>
    <t>PORGRA</t>
  </si>
  <si>
    <t>Porophyllum gracile</t>
  </si>
  <si>
    <t>odora</t>
  </si>
  <si>
    <t>POROLE</t>
  </si>
  <si>
    <t>Portulaca oleracea</t>
  </si>
  <si>
    <t>common purslane</t>
  </si>
  <si>
    <t>Portulacaceae</t>
  </si>
  <si>
    <t>PRUILI</t>
  </si>
  <si>
    <t>Prunus ilicifolia</t>
  </si>
  <si>
    <t>hollyleaf cherry</t>
  </si>
  <si>
    <t>PSEBEN</t>
  </si>
  <si>
    <t>Pseudognaphalium beneolens</t>
  </si>
  <si>
    <t>cudweed</t>
  </si>
  <si>
    <t>PSEBIC</t>
  </si>
  <si>
    <t>Pseudognaphalium bicolor</t>
  </si>
  <si>
    <t>PSEBIO</t>
  </si>
  <si>
    <t xml:space="preserve">Pseudognaphalium biolettii </t>
  </si>
  <si>
    <t>PSECAL</t>
  </si>
  <si>
    <t xml:space="preserve">Pseudognaphalium californicum </t>
  </si>
  <si>
    <t>ladies tobacco</t>
  </si>
  <si>
    <t>PSELUT</t>
  </si>
  <si>
    <t>Pseudognaphalium luteoalbum</t>
  </si>
  <si>
    <t>jersey cudweed</t>
  </si>
  <si>
    <t>PSEMIC</t>
  </si>
  <si>
    <t>Pseudognaphalium microcephalum</t>
  </si>
  <si>
    <t>Wright's cudweed</t>
  </si>
  <si>
    <t>PSERAM</t>
  </si>
  <si>
    <t>Pseudognaphalium ramosissimum</t>
  </si>
  <si>
    <t>pink cudweed</t>
  </si>
  <si>
    <t>PSESPP</t>
  </si>
  <si>
    <t>Pseudognaphalium species</t>
  </si>
  <si>
    <t>PSESTR</t>
  </si>
  <si>
    <t>Pseudognaphalium stramineum</t>
  </si>
  <si>
    <t>PSIBRE</t>
  </si>
  <si>
    <t>Psilocarphus brevissimus</t>
  </si>
  <si>
    <t>wooly marbles</t>
  </si>
  <si>
    <t>PSISPP</t>
  </si>
  <si>
    <t>Psilocarphus species</t>
  </si>
  <si>
    <t>PSITEN</t>
  </si>
  <si>
    <t>Psilocarphus tenellus</t>
  </si>
  <si>
    <t>PTEDRY</t>
  </si>
  <si>
    <t>Pterostegia drymarioides</t>
  </si>
  <si>
    <t>PULPAL</t>
  </si>
  <si>
    <t>Pulicaria paludosa</t>
  </si>
  <si>
    <t>QUEAGR</t>
  </si>
  <si>
    <t>Quercus agrifolia</t>
  </si>
  <si>
    <t>QUEBER</t>
  </si>
  <si>
    <t>Quercus berberidifolia</t>
  </si>
  <si>
    <t>QUEDUM</t>
  </si>
  <si>
    <t>Quercus dumosa</t>
  </si>
  <si>
    <t>QUESPP</t>
  </si>
  <si>
    <t>Quercus species</t>
  </si>
  <si>
    <t>Rock</t>
  </si>
  <si>
    <t>RAFCAL</t>
  </si>
  <si>
    <t>Rafinesquia californica</t>
  </si>
  <si>
    <t>RANCAL</t>
  </si>
  <si>
    <t>Ranunculus californicus</t>
  </si>
  <si>
    <t>RAPSAT</t>
  </si>
  <si>
    <t>Raphanus sativus</t>
  </si>
  <si>
    <t>RHACRO</t>
  </si>
  <si>
    <t>Rhamnus crocea</t>
  </si>
  <si>
    <t>redberry</t>
  </si>
  <si>
    <t>RHAILI</t>
  </si>
  <si>
    <t>Rhamnus ilicifolia</t>
  </si>
  <si>
    <t>RHUINT</t>
  </si>
  <si>
    <t>Rhus integrifolia</t>
  </si>
  <si>
    <t>RHUOVA</t>
  </si>
  <si>
    <t>Rhus ovata</t>
  </si>
  <si>
    <t>RIBIND</t>
  </si>
  <si>
    <t>Ribes indecorum</t>
  </si>
  <si>
    <t>RIBSPE</t>
  </si>
  <si>
    <t>Ribes speciosum</t>
  </si>
  <si>
    <t>RICCOM</t>
  </si>
  <si>
    <t>Ricinus communis</t>
  </si>
  <si>
    <t>ROMCOU</t>
  </si>
  <si>
    <t>Romneya coulteri</t>
  </si>
  <si>
    <t>ROSCAL</t>
  </si>
  <si>
    <t>Rosa californica</t>
  </si>
  <si>
    <t>RUBURS</t>
  </si>
  <si>
    <t>Rubus ursinus</t>
  </si>
  <si>
    <t>RUMCRI</t>
  </si>
  <si>
    <t>Rumex crispus</t>
  </si>
  <si>
    <t>RUMEX</t>
  </si>
  <si>
    <t>Rumex species</t>
  </si>
  <si>
    <t>unknown rumex</t>
  </si>
  <si>
    <t>RUMHYM</t>
  </si>
  <si>
    <t>Rumex hymenosepalus</t>
  </si>
  <si>
    <t>wild rhubarb</t>
  </si>
  <si>
    <t>Stem</t>
  </si>
  <si>
    <t>Sa</t>
  </si>
  <si>
    <t>Sand</t>
  </si>
  <si>
    <t>SALAPI</t>
  </si>
  <si>
    <t>Salvia apiana</t>
  </si>
  <si>
    <t>SALAPIxSALMEL</t>
  </si>
  <si>
    <t>Salvia apiana x mellifera</t>
  </si>
  <si>
    <t>White/Black sage hybrid</t>
  </si>
  <si>
    <t>SALAUS</t>
  </si>
  <si>
    <t>Saltugilia australis</t>
  </si>
  <si>
    <t>SALCLE</t>
  </si>
  <si>
    <t>Salvia clevelandii</t>
  </si>
  <si>
    <t>Cleveland Sage</t>
  </si>
  <si>
    <t>SALCOL</t>
  </si>
  <si>
    <t>Salvia columbariae</t>
  </si>
  <si>
    <t>SALEXI</t>
  </si>
  <si>
    <t>Salix exigua</t>
  </si>
  <si>
    <t>SALGOO</t>
  </si>
  <si>
    <t>Salix gooddingii</t>
  </si>
  <si>
    <t>SALIXSPP</t>
  </si>
  <si>
    <t>Salix species</t>
  </si>
  <si>
    <t>SALLAE</t>
  </si>
  <si>
    <t>Salix laevigata</t>
  </si>
  <si>
    <t>SALLAS</t>
  </si>
  <si>
    <t>Salix lasiolepis</t>
  </si>
  <si>
    <t>SALLEU</t>
  </si>
  <si>
    <t>Salvia leucophylla</t>
  </si>
  <si>
    <t>SALMEL</t>
  </si>
  <si>
    <t>Salvia mellifera</t>
  </si>
  <si>
    <t>SALMEL resprout</t>
  </si>
  <si>
    <t>Salvia mellifera resprout</t>
  </si>
  <si>
    <t>SALMEL seedling</t>
  </si>
  <si>
    <t>Salvia mellifera seedling</t>
  </si>
  <si>
    <t>SALSPA</t>
  </si>
  <si>
    <t>Salvia spathacea</t>
  </si>
  <si>
    <t>SALTRA</t>
  </si>
  <si>
    <t>Salsola tragus</t>
  </si>
  <si>
    <t>SAMMEX</t>
  </si>
  <si>
    <t>Sambucus nigra ssp. caerulea</t>
  </si>
  <si>
    <t>SAMNIG</t>
  </si>
  <si>
    <t>SANARG</t>
  </si>
  <si>
    <t>Sanicula arguta</t>
  </si>
  <si>
    <t>SANBIP</t>
  </si>
  <si>
    <t>Sanicula bipinnatifida</t>
  </si>
  <si>
    <t>SANCRA</t>
  </si>
  <si>
    <t>Sanicula crassicaulis</t>
  </si>
  <si>
    <t>SANSPP</t>
  </si>
  <si>
    <t>Sanicula species</t>
  </si>
  <si>
    <t>unknown sanicula</t>
  </si>
  <si>
    <t>SANTUB</t>
  </si>
  <si>
    <t>Sanicula tuberosa</t>
  </si>
  <si>
    <t>SCHBAR</t>
  </si>
  <si>
    <t>Schismus barbatus</t>
  </si>
  <si>
    <t>old han schismus</t>
  </si>
  <si>
    <t>SCICAL</t>
  </si>
  <si>
    <t>Scirpus californicus</t>
  </si>
  <si>
    <t>SCRCAL</t>
  </si>
  <si>
    <t>Scrophularia californica</t>
  </si>
  <si>
    <t>SCUTUB</t>
  </si>
  <si>
    <t>Scutellaria tuberosa</t>
  </si>
  <si>
    <t>danny's skullcap</t>
  </si>
  <si>
    <t>SELBIG</t>
  </si>
  <si>
    <t>Selaginella bigelovii</t>
  </si>
  <si>
    <t>spike moss</t>
  </si>
  <si>
    <t>Selaginellaceae</t>
  </si>
  <si>
    <t>SELCIN</t>
  </si>
  <si>
    <t>Selaginella cinerascens</t>
  </si>
  <si>
    <t>SENCAL</t>
  </si>
  <si>
    <t>Senecio californicus</t>
  </si>
  <si>
    <t>SENSPP</t>
  </si>
  <si>
    <t>Senecio species</t>
  </si>
  <si>
    <t>Senecio vulgaris</t>
  </si>
  <si>
    <t>common groundsel, old man in the spring</t>
  </si>
  <si>
    <t>SHRUBBY MALLOW</t>
  </si>
  <si>
    <t>SIDMAL</t>
  </si>
  <si>
    <t>Sidalcea malviflora</t>
  </si>
  <si>
    <t>SIDSPA</t>
  </si>
  <si>
    <t>Sidalcea sparsifolia</t>
  </si>
  <si>
    <t>SILGAL</t>
  </si>
  <si>
    <t>Silene gallica</t>
  </si>
  <si>
    <t>common catchfly</t>
  </si>
  <si>
    <t>SILLAC</t>
  </si>
  <si>
    <t>Silene laciniata</t>
  </si>
  <si>
    <t>SILMAR</t>
  </si>
  <si>
    <t>Silybum marianum</t>
  </si>
  <si>
    <t>SIMCHI</t>
  </si>
  <si>
    <t>Simmondsia chinensis</t>
  </si>
  <si>
    <t>Jojoba</t>
  </si>
  <si>
    <t>Simmodsiaceae</t>
  </si>
  <si>
    <t>SISBEL</t>
  </si>
  <si>
    <t>Sisyrinchium bellum</t>
  </si>
  <si>
    <t>SISIRI</t>
  </si>
  <si>
    <t>Sisymbrium irio</t>
  </si>
  <si>
    <t>SISOFF</t>
  </si>
  <si>
    <t>Sisymbrium officinale</t>
  </si>
  <si>
    <t>SISSPP</t>
  </si>
  <si>
    <t>Sisymbrium species</t>
  </si>
  <si>
    <t>SOLAME</t>
  </si>
  <si>
    <t>Solanum americanum</t>
  </si>
  <si>
    <t>SOLCAL</t>
  </si>
  <si>
    <t>Solidago velutina  ssp. californica</t>
  </si>
  <si>
    <t>SOLDOU</t>
  </si>
  <si>
    <t>Solanum douglasii</t>
  </si>
  <si>
    <t>SOLELA</t>
  </si>
  <si>
    <t>Solanum elaeagnifolium</t>
  </si>
  <si>
    <t>SOLSPP</t>
  </si>
  <si>
    <t>Solanum species</t>
  </si>
  <si>
    <t>SOLUMB</t>
  </si>
  <si>
    <t>Solanum umbelliferum</t>
  </si>
  <si>
    <t>SOLVEL</t>
  </si>
  <si>
    <t>SOLXAN</t>
  </si>
  <si>
    <t>Solanum xanti</t>
  </si>
  <si>
    <t>Sonchus asper</t>
  </si>
  <si>
    <t>Sonchus oleraceus</t>
  </si>
  <si>
    <t>Sonchus species</t>
  </si>
  <si>
    <t>SPAJUN</t>
  </si>
  <si>
    <t>Spartium junceum</t>
  </si>
  <si>
    <t>SPEBOC</t>
  </si>
  <si>
    <t>Spergularia bocconi</t>
  </si>
  <si>
    <t>sand spurrey</t>
  </si>
  <si>
    <t>SPESPP</t>
  </si>
  <si>
    <t>Spergularia species</t>
  </si>
  <si>
    <t>ST</t>
  </si>
  <si>
    <t>STAAJU</t>
  </si>
  <si>
    <t>Stachys ajugoides</t>
  </si>
  <si>
    <t>STARIG</t>
  </si>
  <si>
    <t>Stachys rigida var. rigida</t>
  </si>
  <si>
    <t>Stephanomeria diegensis</t>
  </si>
  <si>
    <t>STEEXI</t>
  </si>
  <si>
    <t>Stephanomeria exigua</t>
  </si>
  <si>
    <t>STEHET</t>
  </si>
  <si>
    <t>Stebbinsoseris heterocarpa</t>
  </si>
  <si>
    <t>STEMED</t>
  </si>
  <si>
    <t>Stellaria media</t>
  </si>
  <si>
    <t>STENIT</t>
  </si>
  <si>
    <t>Stellaria nitens</t>
  </si>
  <si>
    <t>STEPAL</t>
  </si>
  <si>
    <t>Stellaria pallida</t>
  </si>
  <si>
    <t>STESPP</t>
  </si>
  <si>
    <t>Stephanomeria species</t>
  </si>
  <si>
    <t>STEVIR</t>
  </si>
  <si>
    <t>Stephanomeria virgata</t>
  </si>
  <si>
    <t>STICER</t>
  </si>
  <si>
    <t>Stipa cernua</t>
  </si>
  <si>
    <t>nodding needle graas</t>
  </si>
  <si>
    <t>STICOR</t>
  </si>
  <si>
    <t>Stipa coronata</t>
  </si>
  <si>
    <t>Crested needle grass</t>
  </si>
  <si>
    <t>STILEM</t>
  </si>
  <si>
    <t>Stipa lemmonii</t>
  </si>
  <si>
    <t>STILEP</t>
  </si>
  <si>
    <t>STIMIL</t>
  </si>
  <si>
    <t>Stipa miliacea</t>
  </si>
  <si>
    <t>STISPE</t>
  </si>
  <si>
    <t>Stipa speciosa</t>
  </si>
  <si>
    <t>desert needlegrass</t>
  </si>
  <si>
    <t>STISPP</t>
  </si>
  <si>
    <t>Stipa species</t>
  </si>
  <si>
    <t>STYGNA</t>
  </si>
  <si>
    <t>Stylocline gnaphaloides</t>
  </si>
  <si>
    <t>TAMRAM</t>
  </si>
  <si>
    <t>Tamarix ramosissima</t>
  </si>
  <si>
    <t>TAROFF</t>
  </si>
  <si>
    <t>Taraxacum officinale</t>
  </si>
  <si>
    <t>common dandelion</t>
  </si>
  <si>
    <t>TAUARG</t>
  </si>
  <si>
    <t>Tauschia arguta</t>
  </si>
  <si>
    <t>TAUSPP</t>
  </si>
  <si>
    <t>Tauschia species</t>
  </si>
  <si>
    <t>TENNIS LEAF</t>
  </si>
  <si>
    <t>Thatch</t>
  </si>
  <si>
    <t>THYCUR</t>
  </si>
  <si>
    <t>Thysanocarpus curvipes</t>
  </si>
  <si>
    <t>THYLAC</t>
  </si>
  <si>
    <t>Thysanocarpus lacianatus</t>
  </si>
  <si>
    <t>TOXDIV</t>
  </si>
  <si>
    <t>Toxicodendron diversilobum</t>
  </si>
  <si>
    <t>TOXFRE</t>
  </si>
  <si>
    <t>Toxicoscordion fremontii</t>
  </si>
  <si>
    <t>Fremont's Death Camas</t>
  </si>
  <si>
    <t>Zigadenus fremontii</t>
  </si>
  <si>
    <t>Melanthiaceae</t>
  </si>
  <si>
    <t>TRIALB</t>
  </si>
  <si>
    <t>Trifolium albopurpureum</t>
  </si>
  <si>
    <t>ranheria clover</t>
  </si>
  <si>
    <t>TRICIL</t>
  </si>
  <si>
    <t>Trifolium ciliolatum</t>
  </si>
  <si>
    <t>TRILANA</t>
  </si>
  <si>
    <t>Trichostema lanatum</t>
  </si>
  <si>
    <t>TRILANC</t>
  </si>
  <si>
    <t>Trichostema lanceolatum</t>
  </si>
  <si>
    <t>TRIMIC</t>
  </si>
  <si>
    <t>Trifolium microcephalum</t>
  </si>
  <si>
    <t>TRIREP</t>
  </si>
  <si>
    <t>Trifolium repens</t>
  </si>
  <si>
    <t>white clover</t>
  </si>
  <si>
    <t>TRISPP</t>
  </si>
  <si>
    <t>Trifolium species</t>
  </si>
  <si>
    <t>clover</t>
  </si>
  <si>
    <t>TRITRI</t>
  </si>
  <si>
    <t>Trifolium trichocalyx</t>
  </si>
  <si>
    <t>TRIWIL</t>
  </si>
  <si>
    <t>Trifolium willdenovii</t>
  </si>
  <si>
    <t>TRIWOR</t>
  </si>
  <si>
    <t>Trifolium wormskioldii</t>
  </si>
  <si>
    <t>cow clover</t>
  </si>
  <si>
    <t>TYPDOM</t>
  </si>
  <si>
    <t>Typha domingensis</t>
  </si>
  <si>
    <t>TYPLAT</t>
  </si>
  <si>
    <t>Typha latifolia</t>
  </si>
  <si>
    <t>UK 2</t>
  </si>
  <si>
    <t>ULMPAR</t>
  </si>
  <si>
    <t>Ulmus parvifolia</t>
  </si>
  <si>
    <t>UNK (LINEAR LEAVED GALLIUM?)</t>
  </si>
  <si>
    <t>UNK GILLIA</t>
  </si>
  <si>
    <t>UNK PUFF</t>
  </si>
  <si>
    <t>UNK SOW THISTLE</t>
  </si>
  <si>
    <t>Unk Striped Yellow</t>
  </si>
  <si>
    <t>UNKFORB</t>
  </si>
  <si>
    <t>Unknown Forb</t>
  </si>
  <si>
    <t>UNKFORB 1</t>
  </si>
  <si>
    <t>Unknown Forb 1</t>
  </si>
  <si>
    <t>UNKGRASS</t>
  </si>
  <si>
    <t>Unknown Grass</t>
  </si>
  <si>
    <t>Unknown non-native grass</t>
  </si>
  <si>
    <t>Unknown Species</t>
  </si>
  <si>
    <t>UNKNOWN 1</t>
  </si>
  <si>
    <t>UNKNOWN ENCELIA LOOKALIKE (POSSIBLE SOLUMB)</t>
  </si>
  <si>
    <t>UNKNOWN LETTUCE (HYPGLA?)</t>
  </si>
  <si>
    <t>UNKNOWN STRIPEY YELLOW FLOWER</t>
  </si>
  <si>
    <t>UNKNOWN THISTLE</t>
  </si>
  <si>
    <t>Unkown Herb Seedling</t>
  </si>
  <si>
    <t>UNKOWN JAGGED LEAF</t>
  </si>
  <si>
    <t>UNKSHRUB</t>
  </si>
  <si>
    <t>Unknown Native Shrub</t>
  </si>
  <si>
    <t>UNKTREE</t>
  </si>
  <si>
    <t>Unknown Tree</t>
  </si>
  <si>
    <t>Uropappus lindleyi</t>
  </si>
  <si>
    <t>URTDIO</t>
  </si>
  <si>
    <t>Urtica dioica</t>
  </si>
  <si>
    <t>URTURE</t>
  </si>
  <si>
    <t>Urtica urens</t>
  </si>
  <si>
    <t>VERANA</t>
  </si>
  <si>
    <t>Veronica anagallis-aquatica</t>
  </si>
  <si>
    <t>great water speedwell</t>
  </si>
  <si>
    <t>VERLAS</t>
  </si>
  <si>
    <t>Verbena lasiostachys</t>
  </si>
  <si>
    <t>VERVIR</t>
  </si>
  <si>
    <t>Verbascum virgatum</t>
  </si>
  <si>
    <t>VICAME</t>
  </si>
  <si>
    <t>Vicia americana var. americana</t>
  </si>
  <si>
    <t>american vetch</t>
  </si>
  <si>
    <t>VICLUD</t>
  </si>
  <si>
    <t>Vicia ludoviciana</t>
  </si>
  <si>
    <t>VICVIL</t>
  </si>
  <si>
    <t>Vicia villosa</t>
  </si>
  <si>
    <t>VINMAJ</t>
  </si>
  <si>
    <t>Vinca major</t>
  </si>
  <si>
    <t>periwinkle</t>
  </si>
  <si>
    <t>VIOPED</t>
  </si>
  <si>
    <t>Viola pedunculata</t>
  </si>
  <si>
    <t>VIOPUR</t>
  </si>
  <si>
    <t>Viola purpurea</t>
  </si>
  <si>
    <t>VIOSPP</t>
  </si>
  <si>
    <t>Viola species</t>
  </si>
  <si>
    <t>VITGIR</t>
  </si>
  <si>
    <t>Vitis girdiana</t>
  </si>
  <si>
    <t>desert wild grape</t>
  </si>
  <si>
    <t>Vitacaeae</t>
  </si>
  <si>
    <t>VULMYU</t>
  </si>
  <si>
    <t>W</t>
  </si>
  <si>
    <t>Woody debris (coarse)</t>
  </si>
  <si>
    <t>WAT</t>
  </si>
  <si>
    <t>Water</t>
  </si>
  <si>
    <t>XANSTR</t>
  </si>
  <si>
    <t>Xanthium strumarium</t>
  </si>
  <si>
    <t>XYLBIC</t>
  </si>
  <si>
    <t>Xylococcus bicolor</t>
  </si>
  <si>
    <t>mission manzanita</t>
  </si>
  <si>
    <t>Ericaceae</t>
  </si>
  <si>
    <t>yellow hooded</t>
  </si>
  <si>
    <t>YUCSCH</t>
  </si>
  <si>
    <t>Yucca schidigera</t>
  </si>
  <si>
    <t>mojave yucca</t>
  </si>
  <si>
    <t>YUCWHI</t>
  </si>
  <si>
    <t>ZELVEN</t>
  </si>
  <si>
    <t>Zeltnera venusta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</si>
</sst>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mm/dd/yyyy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FF0000"/>
      <name val="Arial"/>
    </font>
    <font>
      <sz val="10"/>
      <color theme="1"/>
      <name val="Arial"/>
      <scheme val="minor"/>
    </font>
    <font>
      <b/>
      <sz val="11"/>
      <color theme="1"/>
      <name val="Calibri"/>
    </font>
    <font>
      <sz val="10"/>
      <color theme="1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/>
    <xf numFmtId="14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49" fontId="4" fillId="0" borderId="0" xfId="0" applyNumberFormat="1" applyFont="1"/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6" fillId="0" borderId="0" xfId="0" applyFont="1" applyAlignment="1">
      <alignment wrapText="1"/>
    </xf>
    <xf numFmtId="0" fontId="6" fillId="0" borderId="0" xfId="0" applyFont="1"/>
    <xf numFmtId="0" fontId="6" fillId="4" borderId="1" xfId="0" applyFont="1" applyFill="1" applyBorder="1"/>
    <xf numFmtId="0" fontId="7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7" fillId="0" borderId="0" xfId="0" applyFont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6" fillId="0" borderId="1" xfId="0" applyFont="1" applyBorder="1"/>
    <xf numFmtId="0" fontId="6" fillId="4" borderId="2" xfId="0" applyFont="1" applyFill="1" applyBorder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6" fillId="4" borderId="0" xfId="0" applyFont="1" applyFill="1" applyAlignment="1">
      <alignment vertical="top"/>
    </xf>
    <xf numFmtId="0" fontId="6" fillId="0" borderId="1" xfId="0" applyFont="1" applyBorder="1" applyAlignment="1">
      <alignment vertical="top"/>
    </xf>
    <xf numFmtId="0" fontId="6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/>
    </xf>
    <xf numFmtId="0" fontId="6" fillId="5" borderId="2" xfId="0" applyFont="1" applyFill="1" applyBorder="1" applyAlignment="1">
      <alignment vertical="top" wrapText="1"/>
    </xf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/>
    <xf numFmtId="0" fontId="6" fillId="5" borderId="0" xfId="0" applyFont="1" applyFill="1" applyAlignment="1">
      <alignment vertical="top" wrapText="1"/>
    </xf>
    <xf numFmtId="0" fontId="6" fillId="5" borderId="0" xfId="0" applyFont="1" applyFill="1" applyAlignment="1">
      <alignment vertical="top"/>
    </xf>
    <xf numFmtId="0" fontId="7" fillId="5" borderId="1" xfId="0" applyFont="1" applyFill="1" applyBorder="1" applyAlignment="1">
      <alignment vertical="top"/>
    </xf>
    <xf numFmtId="0" fontId="6" fillId="5" borderId="0" xfId="0" applyFont="1" applyFill="1"/>
    <xf numFmtId="0" fontId="7" fillId="4" borderId="0" xfId="0" applyFont="1" applyFill="1" applyAlignment="1">
      <alignment vertical="top"/>
    </xf>
    <xf numFmtId="0" fontId="6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/>
    </xf>
    <xf numFmtId="0" fontId="6" fillId="4" borderId="0" xfId="0" applyFont="1" applyFill="1" applyAlignment="1">
      <alignment wrapText="1"/>
    </xf>
    <xf numFmtId="0" fontId="6" fillId="4" borderId="0" xfId="0" applyFont="1" applyFill="1"/>
    <xf numFmtId="0" fontId="6" fillId="0" borderId="1" xfId="0" applyFont="1" applyBorder="1" applyAlignment="1">
      <alignment wrapText="1"/>
    </xf>
    <xf numFmtId="0" fontId="7" fillId="4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2003"/>
  <sheetViews>
    <sheetView tabSelected="1" workbookViewId="0">
      <pane ySplit="2" topLeftCell="A3" activePane="bottomLeft" state="frozen"/>
      <selection pane="bottomLeft" activeCell="C1" sqref="C1:C1048576"/>
    </sheetView>
  </sheetViews>
  <sheetFormatPr defaultColWidth="12.6640625" defaultRowHeight="15.75" customHeight="1" x14ac:dyDescent="0.25"/>
  <cols>
    <col min="3" max="3" width="12.6640625" style="52"/>
    <col min="12" max="12" width="22.21875" customWidth="1"/>
    <col min="13" max="13" width="15.21875" customWidth="1"/>
  </cols>
  <sheetData>
    <row r="1" spans="1:14" x14ac:dyDescent="0.25">
      <c r="A1" s="1" t="s">
        <v>0</v>
      </c>
      <c r="B1" s="1" t="s">
        <v>1</v>
      </c>
      <c r="C1" s="5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>
        <v>2025</v>
      </c>
      <c r="C2" s="51" t="s">
        <v>15</v>
      </c>
      <c r="D2" s="2" t="s">
        <v>16</v>
      </c>
      <c r="E2" s="2" t="s">
        <v>17</v>
      </c>
      <c r="F2" s="3">
        <v>43469</v>
      </c>
      <c r="G2" s="2" t="s">
        <v>18</v>
      </c>
      <c r="H2" s="2" t="s">
        <v>19</v>
      </c>
      <c r="I2" s="4" t="s">
        <v>20</v>
      </c>
      <c r="J2" s="2" t="s">
        <v>21</v>
      </c>
      <c r="K2" s="2" t="s">
        <v>22</v>
      </c>
      <c r="L2" s="5" t="s">
        <v>23</v>
      </c>
      <c r="M2" s="2"/>
      <c r="N2" s="2" t="s">
        <v>24</v>
      </c>
    </row>
    <row r="3" spans="1:14" x14ac:dyDescent="0.25">
      <c r="A3" s="6">
        <v>1</v>
      </c>
      <c r="B3" s="6">
        <v>2025</v>
      </c>
      <c r="C3" s="7">
        <v>45764</v>
      </c>
      <c r="D3" s="6" t="s">
        <v>25</v>
      </c>
      <c r="E3" s="6" t="s">
        <v>26</v>
      </c>
      <c r="F3" s="6">
        <v>1</v>
      </c>
      <c r="G3" s="6" t="s">
        <v>27</v>
      </c>
      <c r="H3" s="6">
        <v>1</v>
      </c>
      <c r="I3" s="6">
        <v>1</v>
      </c>
      <c r="J3" s="6">
        <v>0</v>
      </c>
      <c r="K3" s="6" t="s">
        <v>28</v>
      </c>
      <c r="L3" s="6" t="str">
        <f>VLOOKUP(K3, 'Alphabetical by species code'!A:B, 2, FALSE)</f>
        <v>Litter</v>
      </c>
      <c r="M3" s="6" t="str">
        <f>VLOOKUP(L3, 'Alphabetical by species code'!B:C, 2, FALSE)</f>
        <v>Ground Cover</v>
      </c>
    </row>
    <row r="4" spans="1:14" x14ac:dyDescent="0.25">
      <c r="A4" s="6">
        <v>1</v>
      </c>
      <c r="B4" s="6">
        <v>2025</v>
      </c>
      <c r="C4" s="7">
        <v>45764</v>
      </c>
      <c r="D4" s="6" t="s">
        <v>25</v>
      </c>
      <c r="E4" s="6" t="s">
        <v>26</v>
      </c>
      <c r="F4" s="6">
        <v>1</v>
      </c>
      <c r="G4" s="6" t="s">
        <v>27</v>
      </c>
      <c r="H4" s="6">
        <v>1</v>
      </c>
      <c r="I4" s="6">
        <v>1</v>
      </c>
      <c r="J4" s="6">
        <v>0</v>
      </c>
      <c r="K4" s="6" t="s">
        <v>29</v>
      </c>
      <c r="L4" s="6" t="str">
        <f>VLOOKUP(K4, 'Alphabetical by species code'!A:B, 2, FALSE)</f>
        <v>Opuntia littoralis</v>
      </c>
      <c r="M4" s="6" t="str">
        <f>VLOOKUP(L4, 'Alphabetical by species code'!B:C, 2, FALSE)</f>
        <v>Native</v>
      </c>
      <c r="N4" s="6" t="str">
        <f>VLOOKUP(L4, 'Alphabetical by species code'!B:C, 2, FALSE)</f>
        <v>Native</v>
      </c>
    </row>
    <row r="5" spans="1:14" x14ac:dyDescent="0.25">
      <c r="A5" s="6">
        <v>1</v>
      </c>
      <c r="B5" s="6">
        <v>2025</v>
      </c>
      <c r="C5" s="7">
        <v>45764</v>
      </c>
      <c r="D5" s="6" t="s">
        <v>25</v>
      </c>
      <c r="E5" s="6" t="s">
        <v>26</v>
      </c>
      <c r="F5" s="6">
        <v>1</v>
      </c>
      <c r="G5" s="6" t="s">
        <v>27</v>
      </c>
      <c r="H5" s="6">
        <v>1</v>
      </c>
      <c r="I5" s="6">
        <v>1</v>
      </c>
      <c r="J5" s="6">
        <v>0</v>
      </c>
      <c r="K5" s="6" t="s">
        <v>30</v>
      </c>
      <c r="L5" s="6" t="str">
        <f>VLOOKUP(K5, 'Alphabetical by species code'!A:B, 2, FALSE)</f>
        <v>Erodium moschatum</v>
      </c>
      <c r="M5" s="6" t="str">
        <f>VLOOKUP(L5, 'Alphabetical by species code'!B:C, 2, FALSE)</f>
        <v>Non-Native</v>
      </c>
    </row>
    <row r="6" spans="1:14" x14ac:dyDescent="0.25">
      <c r="A6" s="6">
        <v>1</v>
      </c>
      <c r="B6" s="6">
        <v>2025</v>
      </c>
      <c r="C6" s="7">
        <v>45764</v>
      </c>
      <c r="D6" s="6" t="s">
        <v>25</v>
      </c>
      <c r="E6" s="6" t="s">
        <v>26</v>
      </c>
      <c r="F6" s="6">
        <v>1</v>
      </c>
      <c r="G6" s="6" t="s">
        <v>27</v>
      </c>
      <c r="H6" s="6">
        <v>1</v>
      </c>
      <c r="I6" s="6">
        <v>1</v>
      </c>
      <c r="J6" s="6">
        <v>0</v>
      </c>
      <c r="K6" s="6" t="s">
        <v>31</v>
      </c>
      <c r="L6" s="6" t="str">
        <f>VLOOKUP(K6, 'Alphabetical by species code'!A:B, 2, FALSE)</f>
        <v>Festuca myuros</v>
      </c>
      <c r="M6" s="6" t="str">
        <f>VLOOKUP(L6, 'Alphabetical by species code'!B:C, 2, FALSE)</f>
        <v>Non-Native</v>
      </c>
    </row>
    <row r="7" spans="1:14" x14ac:dyDescent="0.25">
      <c r="A7" s="6">
        <v>1</v>
      </c>
      <c r="B7" s="6">
        <v>2025</v>
      </c>
      <c r="C7" s="7">
        <v>45764</v>
      </c>
      <c r="D7" s="6" t="s">
        <v>25</v>
      </c>
      <c r="E7" s="6" t="s">
        <v>26</v>
      </c>
      <c r="F7" s="6">
        <v>1</v>
      </c>
      <c r="G7" s="6" t="s">
        <v>27</v>
      </c>
      <c r="H7" s="6">
        <v>1</v>
      </c>
      <c r="I7" s="6">
        <v>2</v>
      </c>
      <c r="J7" s="6">
        <v>0.5</v>
      </c>
      <c r="K7" s="6" t="s">
        <v>28</v>
      </c>
      <c r="L7" s="6" t="str">
        <f>VLOOKUP(K7, 'Alphabetical by species code'!A:B, 2, FALSE)</f>
        <v>Litter</v>
      </c>
      <c r="M7" s="6" t="str">
        <f>VLOOKUP(L7, 'Alphabetical by species code'!B:C, 2, FALSE)</f>
        <v>Ground Cover</v>
      </c>
    </row>
    <row r="8" spans="1:14" x14ac:dyDescent="0.25">
      <c r="A8" s="6">
        <v>1</v>
      </c>
      <c r="B8" s="6">
        <v>2025</v>
      </c>
      <c r="C8" s="7">
        <v>45764</v>
      </c>
      <c r="D8" s="6" t="s">
        <v>25</v>
      </c>
      <c r="E8" s="6" t="s">
        <v>26</v>
      </c>
      <c r="F8" s="6">
        <v>1</v>
      </c>
      <c r="G8" s="6" t="s">
        <v>27</v>
      </c>
      <c r="H8" s="6">
        <v>1</v>
      </c>
      <c r="I8" s="6">
        <v>2</v>
      </c>
      <c r="J8" s="6">
        <v>0.5</v>
      </c>
      <c r="K8" s="6" t="s">
        <v>32</v>
      </c>
      <c r="L8" s="6" t="str">
        <f>VLOOKUP(K8, 'Alphabetical by species code'!A:B, 2, FALSE)</f>
        <v>Medicago polymorpha</v>
      </c>
      <c r="M8" s="6" t="str">
        <f>VLOOKUP(L8, 'Alphabetical by species code'!B:C, 2, FALSE)</f>
        <v>Non-Native</v>
      </c>
    </row>
    <row r="9" spans="1:14" x14ac:dyDescent="0.25">
      <c r="A9" s="6">
        <v>1</v>
      </c>
      <c r="B9" s="6">
        <v>2025</v>
      </c>
      <c r="C9" s="7">
        <v>45764</v>
      </c>
      <c r="D9" s="6" t="s">
        <v>25</v>
      </c>
      <c r="E9" s="6" t="s">
        <v>26</v>
      </c>
      <c r="F9" s="6">
        <v>1</v>
      </c>
      <c r="G9" s="6" t="s">
        <v>27</v>
      </c>
      <c r="H9" s="6">
        <v>1</v>
      </c>
      <c r="I9" s="6">
        <v>2</v>
      </c>
      <c r="J9" s="6">
        <v>0.5</v>
      </c>
      <c r="K9" s="6" t="s">
        <v>29</v>
      </c>
      <c r="L9" s="6" t="str">
        <f>VLOOKUP(K9, 'Alphabetical by species code'!A:B, 2, FALSE)</f>
        <v>Opuntia littoralis</v>
      </c>
      <c r="M9" s="6" t="str">
        <f>VLOOKUP(L9, 'Alphabetical by species code'!B:C, 2, FALSE)</f>
        <v>Native</v>
      </c>
    </row>
    <row r="10" spans="1:14" x14ac:dyDescent="0.25">
      <c r="A10" s="6">
        <v>1</v>
      </c>
      <c r="B10" s="6">
        <v>2025</v>
      </c>
      <c r="C10" s="7">
        <v>45764</v>
      </c>
      <c r="D10" s="6" t="s">
        <v>25</v>
      </c>
      <c r="E10" s="6" t="s">
        <v>26</v>
      </c>
      <c r="F10" s="6">
        <v>1</v>
      </c>
      <c r="G10" s="6" t="s">
        <v>27</v>
      </c>
      <c r="H10" s="6">
        <v>1</v>
      </c>
      <c r="I10" s="6">
        <v>2</v>
      </c>
      <c r="J10" s="6">
        <v>0.5</v>
      </c>
      <c r="K10" s="6" t="s">
        <v>33</v>
      </c>
      <c r="L10" s="6" t="str">
        <f>VLOOKUP(K10, 'Alphabetical by species code'!A:B, 2, FALSE)</f>
        <v>Unknown non-native grass</v>
      </c>
      <c r="M10" s="6">
        <f>VLOOKUP(L10, 'Alphabetical by species code'!B:C, 2, FALSE)</f>
        <v>0</v>
      </c>
    </row>
    <row r="11" spans="1:14" x14ac:dyDescent="0.25">
      <c r="A11" s="6">
        <v>1</v>
      </c>
      <c r="B11" s="6">
        <v>2025</v>
      </c>
      <c r="C11" s="7">
        <v>45764</v>
      </c>
      <c r="D11" s="6" t="s">
        <v>25</v>
      </c>
      <c r="E11" s="6" t="s">
        <v>26</v>
      </c>
      <c r="F11" s="6">
        <v>1</v>
      </c>
      <c r="G11" s="6" t="s">
        <v>27</v>
      </c>
      <c r="H11" s="6">
        <v>1</v>
      </c>
      <c r="I11" s="6">
        <v>3</v>
      </c>
      <c r="J11" s="6">
        <v>1</v>
      </c>
      <c r="K11" s="6" t="s">
        <v>28</v>
      </c>
      <c r="L11" s="6" t="str">
        <f>VLOOKUP(K11, 'Alphabetical by species code'!A:B, 2, FALSE)</f>
        <v>Litter</v>
      </c>
      <c r="M11" s="6" t="str">
        <f>VLOOKUP(L11, 'Alphabetical by species code'!B:C, 2, FALSE)</f>
        <v>Ground Cover</v>
      </c>
    </row>
    <row r="12" spans="1:14" x14ac:dyDescent="0.25">
      <c r="A12" s="6">
        <v>1</v>
      </c>
      <c r="B12" s="6">
        <v>2025</v>
      </c>
      <c r="C12" s="7">
        <v>45764</v>
      </c>
      <c r="D12" s="6" t="s">
        <v>25</v>
      </c>
      <c r="E12" s="6" t="s">
        <v>26</v>
      </c>
      <c r="F12" s="6">
        <v>1</v>
      </c>
      <c r="G12" s="6" t="s">
        <v>27</v>
      </c>
      <c r="H12" s="6">
        <v>1</v>
      </c>
      <c r="I12" s="6">
        <v>3</v>
      </c>
      <c r="J12" s="6">
        <v>1</v>
      </c>
      <c r="K12" s="6" t="s">
        <v>32</v>
      </c>
      <c r="L12" s="6" t="str">
        <f>VLOOKUP(K12, 'Alphabetical by species code'!A:B, 2, FALSE)</f>
        <v>Medicago polymorpha</v>
      </c>
      <c r="M12" s="6" t="str">
        <f>VLOOKUP(L12, 'Alphabetical by species code'!B:C, 2, FALSE)</f>
        <v>Non-Native</v>
      </c>
    </row>
    <row r="13" spans="1:14" x14ac:dyDescent="0.25">
      <c r="A13" s="6">
        <v>1</v>
      </c>
      <c r="B13" s="6">
        <v>2025</v>
      </c>
      <c r="C13" s="7">
        <v>45764</v>
      </c>
      <c r="D13" s="6" t="s">
        <v>25</v>
      </c>
      <c r="E13" s="6" t="s">
        <v>26</v>
      </c>
      <c r="F13" s="6">
        <v>1</v>
      </c>
      <c r="G13" s="6" t="s">
        <v>27</v>
      </c>
      <c r="H13" s="6">
        <v>1</v>
      </c>
      <c r="I13" s="6">
        <v>3</v>
      </c>
      <c r="J13" s="6">
        <v>1</v>
      </c>
      <c r="K13" s="6" t="s">
        <v>31</v>
      </c>
      <c r="L13" s="6" t="str">
        <f>VLOOKUP(K13, 'Alphabetical by species code'!A:B, 2, FALSE)</f>
        <v>Festuca myuros</v>
      </c>
      <c r="M13" s="6" t="str">
        <f>VLOOKUP(L13, 'Alphabetical by species code'!B:C, 2, FALSE)</f>
        <v>Non-Native</v>
      </c>
    </row>
    <row r="14" spans="1:14" x14ac:dyDescent="0.25">
      <c r="A14" s="6">
        <v>1</v>
      </c>
      <c r="B14" s="6">
        <v>2025</v>
      </c>
      <c r="C14" s="7">
        <v>45764</v>
      </c>
      <c r="D14" s="6" t="s">
        <v>25</v>
      </c>
      <c r="E14" s="6" t="s">
        <v>26</v>
      </c>
      <c r="F14" s="6">
        <v>1</v>
      </c>
      <c r="G14" s="6" t="s">
        <v>27</v>
      </c>
      <c r="H14" s="6">
        <v>1</v>
      </c>
      <c r="I14" s="6">
        <v>3</v>
      </c>
      <c r="J14" s="6">
        <v>1</v>
      </c>
      <c r="K14" s="6" t="s">
        <v>34</v>
      </c>
      <c r="L14" s="6" t="str">
        <f>VLOOKUP(K14, 'Alphabetical by species code'!A:B, 2, FALSE)</f>
        <v>Erodium cicutarium</v>
      </c>
      <c r="M14" s="6" t="str">
        <f>VLOOKUP(L14, 'Alphabetical by species code'!B:C, 2, FALSE)</f>
        <v>Non-Native</v>
      </c>
    </row>
    <row r="15" spans="1:14" x14ac:dyDescent="0.25">
      <c r="A15" s="6">
        <v>1</v>
      </c>
      <c r="B15" s="6">
        <v>2025</v>
      </c>
      <c r="C15" s="7">
        <v>45764</v>
      </c>
      <c r="D15" s="6" t="s">
        <v>25</v>
      </c>
      <c r="E15" s="6" t="s">
        <v>26</v>
      </c>
      <c r="F15" s="6">
        <v>1</v>
      </c>
      <c r="G15" s="6" t="s">
        <v>27</v>
      </c>
      <c r="H15" s="6">
        <v>1</v>
      </c>
      <c r="I15" s="6">
        <v>4</v>
      </c>
      <c r="J15" s="6">
        <v>1.5</v>
      </c>
      <c r="K15" s="6" t="s">
        <v>28</v>
      </c>
      <c r="L15" s="6" t="str">
        <f>VLOOKUP(K15, 'Alphabetical by species code'!A:B, 2, FALSE)</f>
        <v>Litter</v>
      </c>
      <c r="M15" s="6" t="str">
        <f>VLOOKUP(L15, 'Alphabetical by species code'!B:C, 2, FALSE)</f>
        <v>Ground Cover</v>
      </c>
    </row>
    <row r="16" spans="1:14" x14ac:dyDescent="0.25">
      <c r="A16" s="6">
        <v>1</v>
      </c>
      <c r="B16" s="6">
        <v>2025</v>
      </c>
      <c r="C16" s="7">
        <v>45764</v>
      </c>
      <c r="D16" s="6" t="s">
        <v>25</v>
      </c>
      <c r="E16" s="6" t="s">
        <v>26</v>
      </c>
      <c r="F16" s="6">
        <v>1</v>
      </c>
      <c r="G16" s="6" t="s">
        <v>27</v>
      </c>
      <c r="H16" s="6">
        <v>1</v>
      </c>
      <c r="I16" s="6">
        <v>4</v>
      </c>
      <c r="J16" s="6">
        <v>1.5</v>
      </c>
      <c r="K16" s="6" t="s">
        <v>29</v>
      </c>
      <c r="L16" s="6" t="str">
        <f>VLOOKUP(K16, 'Alphabetical by species code'!A:B, 2, FALSE)</f>
        <v>Opuntia littoralis</v>
      </c>
      <c r="M16" s="6" t="str">
        <f>VLOOKUP(L16, 'Alphabetical by species code'!B:C, 2, FALSE)</f>
        <v>Native</v>
      </c>
    </row>
    <row r="17" spans="1:13" x14ac:dyDescent="0.25">
      <c r="A17" s="6">
        <v>1</v>
      </c>
      <c r="B17" s="6">
        <v>2025</v>
      </c>
      <c r="C17" s="7">
        <v>45764</v>
      </c>
      <c r="D17" s="6" t="s">
        <v>25</v>
      </c>
      <c r="E17" s="6" t="s">
        <v>26</v>
      </c>
      <c r="F17" s="6">
        <v>1</v>
      </c>
      <c r="G17" s="6" t="s">
        <v>27</v>
      </c>
      <c r="H17" s="6">
        <v>1</v>
      </c>
      <c r="I17" s="6">
        <v>4</v>
      </c>
      <c r="J17" s="6">
        <v>1.5</v>
      </c>
      <c r="K17" s="6" t="s">
        <v>32</v>
      </c>
      <c r="L17" s="6" t="str">
        <f>VLOOKUP(K17, 'Alphabetical by species code'!A:B, 2, FALSE)</f>
        <v>Medicago polymorpha</v>
      </c>
      <c r="M17" s="6" t="str">
        <f>VLOOKUP(L17, 'Alphabetical by species code'!B:C, 2, FALSE)</f>
        <v>Non-Native</v>
      </c>
    </row>
    <row r="18" spans="1:13" x14ac:dyDescent="0.25">
      <c r="A18" s="6">
        <v>1</v>
      </c>
      <c r="B18" s="6">
        <v>2025</v>
      </c>
      <c r="C18" s="7">
        <v>45764</v>
      </c>
      <c r="D18" s="6" t="s">
        <v>25</v>
      </c>
      <c r="E18" s="6" t="s">
        <v>26</v>
      </c>
      <c r="F18" s="6">
        <v>1</v>
      </c>
      <c r="G18" s="6" t="s">
        <v>27</v>
      </c>
      <c r="H18" s="6">
        <v>1</v>
      </c>
      <c r="I18" s="6">
        <v>4</v>
      </c>
      <c r="J18" s="6">
        <v>1.5</v>
      </c>
      <c r="K18" s="6" t="s">
        <v>35</v>
      </c>
      <c r="L18" s="6" t="str">
        <f>VLOOKUP(K18, 'Alphabetical by species code'!A:B, 2, FALSE)</f>
        <v>Deinandra fasciculata</v>
      </c>
      <c r="M18" s="6" t="str">
        <f>VLOOKUP(L18, 'Alphabetical by species code'!B:C, 2, FALSE)</f>
        <v>Native</v>
      </c>
    </row>
    <row r="19" spans="1:13" x14ac:dyDescent="0.25">
      <c r="A19" s="6">
        <v>1</v>
      </c>
      <c r="B19" s="6">
        <v>2025</v>
      </c>
      <c r="C19" s="7">
        <v>45764</v>
      </c>
      <c r="D19" s="6" t="s">
        <v>25</v>
      </c>
      <c r="E19" s="6" t="s">
        <v>26</v>
      </c>
      <c r="F19" s="6">
        <v>1</v>
      </c>
      <c r="G19" s="6" t="s">
        <v>27</v>
      </c>
      <c r="H19" s="6">
        <v>1</v>
      </c>
      <c r="I19" s="6">
        <v>5</v>
      </c>
      <c r="J19" s="6">
        <v>2</v>
      </c>
      <c r="K19" s="6" t="s">
        <v>28</v>
      </c>
      <c r="L19" s="6" t="str">
        <f>VLOOKUP(K19, 'Alphabetical by species code'!A:B, 2, FALSE)</f>
        <v>Litter</v>
      </c>
      <c r="M19" s="6" t="str">
        <f>VLOOKUP(L19, 'Alphabetical by species code'!B:C, 2, FALSE)</f>
        <v>Ground Cover</v>
      </c>
    </row>
    <row r="20" spans="1:13" x14ac:dyDescent="0.25">
      <c r="A20" s="6">
        <v>1</v>
      </c>
      <c r="B20" s="6">
        <v>2025</v>
      </c>
      <c r="C20" s="7">
        <v>45764</v>
      </c>
      <c r="D20" s="6" t="s">
        <v>25</v>
      </c>
      <c r="E20" s="6" t="s">
        <v>26</v>
      </c>
      <c r="F20" s="6">
        <v>1</v>
      </c>
      <c r="G20" s="6" t="s">
        <v>27</v>
      </c>
      <c r="H20" s="6">
        <v>1</v>
      </c>
      <c r="I20" s="6">
        <v>5</v>
      </c>
      <c r="J20" s="6">
        <v>2</v>
      </c>
      <c r="K20" s="6" t="s">
        <v>29</v>
      </c>
      <c r="L20" s="6" t="str">
        <f>VLOOKUP(K20, 'Alphabetical by species code'!A:B, 2, FALSE)</f>
        <v>Opuntia littoralis</v>
      </c>
      <c r="M20" s="6" t="str">
        <f>VLOOKUP(L20, 'Alphabetical by species code'!B:C, 2, FALSE)</f>
        <v>Native</v>
      </c>
    </row>
    <row r="21" spans="1:13" x14ac:dyDescent="0.25">
      <c r="A21" s="6">
        <v>1</v>
      </c>
      <c r="B21" s="6">
        <v>2025</v>
      </c>
      <c r="C21" s="7">
        <v>45764</v>
      </c>
      <c r="D21" s="6" t="s">
        <v>25</v>
      </c>
      <c r="E21" s="6" t="s">
        <v>26</v>
      </c>
      <c r="F21" s="6">
        <v>1</v>
      </c>
      <c r="G21" s="6" t="s">
        <v>27</v>
      </c>
      <c r="H21" s="6">
        <v>1</v>
      </c>
      <c r="I21" s="6">
        <v>5</v>
      </c>
      <c r="J21" s="6">
        <v>2</v>
      </c>
      <c r="K21" s="6" t="s">
        <v>36</v>
      </c>
      <c r="L21" s="6" t="str">
        <f>VLOOKUP(K21, 'Alphabetical by species code'!A:B, 2, FALSE)</f>
        <v>Bromus madritensis</v>
      </c>
      <c r="M21" s="6" t="str">
        <f>VLOOKUP(L21, 'Alphabetical by species code'!B:C, 2, FALSE)</f>
        <v>Non-Native</v>
      </c>
    </row>
    <row r="22" spans="1:13" x14ac:dyDescent="0.25">
      <c r="A22" s="6">
        <v>1</v>
      </c>
      <c r="B22" s="6">
        <v>2025</v>
      </c>
      <c r="C22" s="7">
        <v>45764</v>
      </c>
      <c r="D22" s="6" t="s">
        <v>25</v>
      </c>
      <c r="E22" s="6" t="s">
        <v>26</v>
      </c>
      <c r="F22" s="6">
        <v>1</v>
      </c>
      <c r="G22" s="6" t="s">
        <v>27</v>
      </c>
      <c r="H22" s="6">
        <v>1</v>
      </c>
      <c r="I22" s="6">
        <v>5</v>
      </c>
      <c r="J22" s="6">
        <v>2</v>
      </c>
      <c r="K22" s="6" t="s">
        <v>30</v>
      </c>
      <c r="L22" s="6" t="str">
        <f>VLOOKUP(K22, 'Alphabetical by species code'!A:B, 2, FALSE)</f>
        <v>Erodium moschatum</v>
      </c>
      <c r="M22" s="6" t="str">
        <f>VLOOKUP(L22, 'Alphabetical by species code'!B:C, 2, FALSE)</f>
        <v>Non-Native</v>
      </c>
    </row>
    <row r="23" spans="1:13" x14ac:dyDescent="0.25">
      <c r="A23" s="6">
        <v>1</v>
      </c>
      <c r="B23" s="6">
        <v>2025</v>
      </c>
      <c r="C23" s="7">
        <v>45764</v>
      </c>
      <c r="D23" s="6" t="s">
        <v>25</v>
      </c>
      <c r="E23" s="6" t="s">
        <v>26</v>
      </c>
      <c r="F23" s="6">
        <v>1</v>
      </c>
      <c r="G23" s="6" t="s">
        <v>27</v>
      </c>
      <c r="H23" s="6">
        <v>1</v>
      </c>
      <c r="I23" s="6">
        <v>6</v>
      </c>
      <c r="J23" s="6">
        <v>2.5</v>
      </c>
      <c r="K23" s="6" t="s">
        <v>28</v>
      </c>
      <c r="L23" s="6" t="str">
        <f>VLOOKUP(K23, 'Alphabetical by species code'!A:B, 2, FALSE)</f>
        <v>Litter</v>
      </c>
      <c r="M23" s="6" t="str">
        <f>VLOOKUP(L23, 'Alphabetical by species code'!B:C, 2, FALSE)</f>
        <v>Ground Cover</v>
      </c>
    </row>
    <row r="24" spans="1:13" x14ac:dyDescent="0.25">
      <c r="A24" s="6">
        <v>1</v>
      </c>
      <c r="B24" s="6">
        <v>2025</v>
      </c>
      <c r="C24" s="7">
        <v>45764</v>
      </c>
      <c r="D24" s="6" t="s">
        <v>25</v>
      </c>
      <c r="E24" s="6" t="s">
        <v>26</v>
      </c>
      <c r="F24" s="6">
        <v>1</v>
      </c>
      <c r="G24" s="6" t="s">
        <v>27</v>
      </c>
      <c r="H24" s="6">
        <v>1</v>
      </c>
      <c r="I24" s="6">
        <v>6</v>
      </c>
      <c r="J24" s="6">
        <v>2.5</v>
      </c>
      <c r="K24" s="6" t="s">
        <v>37</v>
      </c>
      <c r="L24" s="6" t="str">
        <f>VLOOKUP(K24, 'Alphabetical by species code'!A:B, 2, FALSE)</f>
        <v>Sonchus oleraceus</v>
      </c>
      <c r="M24" s="6" t="str">
        <f>VLOOKUP(L24, 'Alphabetical by species code'!B:C, 2, FALSE)</f>
        <v>Non-Native</v>
      </c>
    </row>
    <row r="25" spans="1:13" x14ac:dyDescent="0.25">
      <c r="A25" s="6">
        <v>1</v>
      </c>
      <c r="B25" s="6">
        <v>2025</v>
      </c>
      <c r="C25" s="7">
        <v>45764</v>
      </c>
      <c r="D25" s="6" t="s">
        <v>25</v>
      </c>
      <c r="E25" s="6" t="s">
        <v>26</v>
      </c>
      <c r="F25" s="6">
        <v>1</v>
      </c>
      <c r="G25" s="6" t="s">
        <v>27</v>
      </c>
      <c r="H25" s="6">
        <v>1</v>
      </c>
      <c r="I25" s="6">
        <v>6</v>
      </c>
      <c r="J25" s="6">
        <v>2.5</v>
      </c>
      <c r="K25" s="6" t="s">
        <v>31</v>
      </c>
      <c r="L25" s="6" t="str">
        <f>VLOOKUP(K25, 'Alphabetical by species code'!A:B, 2, FALSE)</f>
        <v>Festuca myuros</v>
      </c>
      <c r="M25" s="6" t="str">
        <f>VLOOKUP(L25, 'Alphabetical by species code'!B:C, 2, FALSE)</f>
        <v>Non-Native</v>
      </c>
    </row>
    <row r="26" spans="1:13" x14ac:dyDescent="0.25">
      <c r="A26" s="6">
        <v>1</v>
      </c>
      <c r="B26" s="6">
        <v>2025</v>
      </c>
      <c r="C26" s="7">
        <v>45764</v>
      </c>
      <c r="D26" s="6" t="s">
        <v>25</v>
      </c>
      <c r="E26" s="6" t="s">
        <v>26</v>
      </c>
      <c r="F26" s="6">
        <v>1</v>
      </c>
      <c r="G26" s="6" t="s">
        <v>27</v>
      </c>
      <c r="H26" s="6">
        <v>1</v>
      </c>
      <c r="I26" s="6">
        <v>7</v>
      </c>
      <c r="J26" s="6">
        <v>3</v>
      </c>
      <c r="K26" s="6" t="s">
        <v>38</v>
      </c>
      <c r="L26" s="6" t="str">
        <f>VLOOKUP(K26, 'Alphabetical by species code'!A:B, 2, FALSE)</f>
        <v>Thatch</v>
      </c>
      <c r="M26" s="6" t="str">
        <f>VLOOKUP(L26, 'Alphabetical by species code'!B:C, 2, FALSE)</f>
        <v>Ground Cover</v>
      </c>
    </row>
    <row r="27" spans="1:13" x14ac:dyDescent="0.25">
      <c r="A27" s="6">
        <v>1</v>
      </c>
      <c r="B27" s="6">
        <v>2025</v>
      </c>
      <c r="C27" s="7">
        <v>45764</v>
      </c>
      <c r="D27" s="6" t="s">
        <v>25</v>
      </c>
      <c r="E27" s="6" t="s">
        <v>26</v>
      </c>
      <c r="F27" s="6">
        <v>1</v>
      </c>
      <c r="G27" s="6" t="s">
        <v>27</v>
      </c>
      <c r="H27" s="6">
        <v>1</v>
      </c>
      <c r="I27" s="6">
        <v>7</v>
      </c>
      <c r="J27" s="6">
        <v>3</v>
      </c>
      <c r="K27" s="6" t="s">
        <v>31</v>
      </c>
      <c r="L27" s="6" t="str">
        <f>VLOOKUP(K27, 'Alphabetical by species code'!A:B, 2, FALSE)</f>
        <v>Festuca myuros</v>
      </c>
      <c r="M27" s="6" t="str">
        <f>VLOOKUP(L27, 'Alphabetical by species code'!B:C, 2, FALSE)</f>
        <v>Non-Native</v>
      </c>
    </row>
    <row r="28" spans="1:13" x14ac:dyDescent="0.25">
      <c r="A28" s="6">
        <v>1</v>
      </c>
      <c r="B28" s="6">
        <v>2025</v>
      </c>
      <c r="C28" s="7">
        <v>45764</v>
      </c>
      <c r="D28" s="6" t="s">
        <v>25</v>
      </c>
      <c r="E28" s="6" t="s">
        <v>26</v>
      </c>
      <c r="F28" s="6">
        <v>1</v>
      </c>
      <c r="G28" s="6" t="s">
        <v>27</v>
      </c>
      <c r="H28" s="6">
        <v>1</v>
      </c>
      <c r="I28" s="6">
        <v>8</v>
      </c>
      <c r="J28" s="6">
        <v>3.5</v>
      </c>
      <c r="K28" s="6" t="s">
        <v>38</v>
      </c>
      <c r="L28" s="6" t="str">
        <f>VLOOKUP(K28, 'Alphabetical by species code'!A:B, 2, FALSE)</f>
        <v>Thatch</v>
      </c>
      <c r="M28" s="6" t="str">
        <f>VLOOKUP(L28, 'Alphabetical by species code'!B:C, 2, FALSE)</f>
        <v>Ground Cover</v>
      </c>
    </row>
    <row r="29" spans="1:13" x14ac:dyDescent="0.25">
      <c r="A29" s="6">
        <v>1</v>
      </c>
      <c r="B29" s="6">
        <v>2025</v>
      </c>
      <c r="C29" s="7">
        <v>45764</v>
      </c>
      <c r="D29" s="6" t="s">
        <v>25</v>
      </c>
      <c r="E29" s="6" t="s">
        <v>26</v>
      </c>
      <c r="F29" s="6">
        <v>1</v>
      </c>
      <c r="G29" s="6" t="s">
        <v>27</v>
      </c>
      <c r="H29" s="6">
        <v>1</v>
      </c>
      <c r="I29" s="6">
        <v>8</v>
      </c>
      <c r="J29" s="6">
        <v>3.5</v>
      </c>
      <c r="K29" s="6" t="s">
        <v>30</v>
      </c>
      <c r="L29" s="6" t="str">
        <f>VLOOKUP(K29, 'Alphabetical by species code'!A:B, 2, FALSE)</f>
        <v>Erodium moschatum</v>
      </c>
      <c r="M29" s="6" t="str">
        <f>VLOOKUP(L29, 'Alphabetical by species code'!B:C, 2, FALSE)</f>
        <v>Non-Native</v>
      </c>
    </row>
    <row r="30" spans="1:13" x14ac:dyDescent="0.25">
      <c r="A30" s="6">
        <v>1</v>
      </c>
      <c r="B30" s="6">
        <v>2025</v>
      </c>
      <c r="C30" s="7">
        <v>45764</v>
      </c>
      <c r="D30" s="6" t="s">
        <v>25</v>
      </c>
      <c r="E30" s="6" t="s">
        <v>26</v>
      </c>
      <c r="F30" s="6">
        <v>1</v>
      </c>
      <c r="G30" s="6" t="s">
        <v>27</v>
      </c>
      <c r="H30" s="6">
        <v>1</v>
      </c>
      <c r="I30" s="6">
        <v>9</v>
      </c>
      <c r="J30" s="6">
        <v>4</v>
      </c>
      <c r="K30" s="6" t="s">
        <v>38</v>
      </c>
      <c r="L30" s="6" t="str">
        <f>VLOOKUP(K30, 'Alphabetical by species code'!A:B, 2, FALSE)</f>
        <v>Thatch</v>
      </c>
      <c r="M30" s="6" t="str">
        <f>VLOOKUP(L30, 'Alphabetical by species code'!B:C, 2, FALSE)</f>
        <v>Ground Cover</v>
      </c>
    </row>
    <row r="31" spans="1:13" x14ac:dyDescent="0.25">
      <c r="A31" s="6">
        <v>1</v>
      </c>
      <c r="B31" s="6">
        <v>2025</v>
      </c>
      <c r="C31" s="7">
        <v>45764</v>
      </c>
      <c r="D31" s="6" t="s">
        <v>25</v>
      </c>
      <c r="E31" s="6" t="s">
        <v>26</v>
      </c>
      <c r="F31" s="6">
        <v>1</v>
      </c>
      <c r="G31" s="6" t="s">
        <v>27</v>
      </c>
      <c r="H31" s="6">
        <v>1</v>
      </c>
      <c r="I31" s="6">
        <v>9</v>
      </c>
      <c r="J31" s="6">
        <v>4</v>
      </c>
      <c r="K31" s="6" t="s">
        <v>30</v>
      </c>
      <c r="L31" s="6" t="str">
        <f>VLOOKUP(K31, 'Alphabetical by species code'!A:B, 2, FALSE)</f>
        <v>Erodium moschatum</v>
      </c>
      <c r="M31" s="6" t="str">
        <f>VLOOKUP(L31, 'Alphabetical by species code'!B:C, 2, FALSE)</f>
        <v>Non-Native</v>
      </c>
    </row>
    <row r="32" spans="1:13" x14ac:dyDescent="0.25">
      <c r="A32" s="6">
        <v>1</v>
      </c>
      <c r="B32" s="6">
        <v>2025</v>
      </c>
      <c r="C32" s="7">
        <v>45764</v>
      </c>
      <c r="D32" s="6" t="s">
        <v>25</v>
      </c>
      <c r="E32" s="6" t="s">
        <v>26</v>
      </c>
      <c r="F32" s="6">
        <v>1</v>
      </c>
      <c r="G32" s="6" t="s">
        <v>27</v>
      </c>
      <c r="H32" s="6">
        <v>1</v>
      </c>
      <c r="I32" s="6">
        <v>9</v>
      </c>
      <c r="J32" s="6">
        <v>4</v>
      </c>
      <c r="K32" s="6" t="s">
        <v>37</v>
      </c>
      <c r="L32" s="6" t="str">
        <f>VLOOKUP(K32, 'Alphabetical by species code'!A:B, 2, FALSE)</f>
        <v>Sonchus oleraceus</v>
      </c>
      <c r="M32" s="6" t="str">
        <f>VLOOKUP(L32, 'Alphabetical by species code'!B:C, 2, FALSE)</f>
        <v>Non-Native</v>
      </c>
    </row>
    <row r="33" spans="1:13" x14ac:dyDescent="0.25">
      <c r="A33" s="6">
        <v>1</v>
      </c>
      <c r="B33" s="6">
        <v>2025</v>
      </c>
      <c r="C33" s="7">
        <v>45764</v>
      </c>
      <c r="D33" s="6" t="s">
        <v>25</v>
      </c>
      <c r="E33" s="6" t="s">
        <v>26</v>
      </c>
      <c r="F33" s="6">
        <v>1</v>
      </c>
      <c r="G33" s="6" t="s">
        <v>27</v>
      </c>
      <c r="H33" s="6">
        <v>1</v>
      </c>
      <c r="I33" s="6">
        <v>9</v>
      </c>
      <c r="J33" s="6">
        <v>4</v>
      </c>
      <c r="K33" s="6" t="s">
        <v>39</v>
      </c>
      <c r="L33" s="6" t="str">
        <f>VLOOKUP(K33, 'Alphabetical by species code'!A:B, 2, FALSE)</f>
        <v>Stephanomeria diegensis</v>
      </c>
      <c r="M33" s="6" t="str">
        <f>VLOOKUP(L33, 'Alphabetical by species code'!B:C, 2, FALSE)</f>
        <v>Native</v>
      </c>
    </row>
    <row r="34" spans="1:13" x14ac:dyDescent="0.25">
      <c r="A34" s="6">
        <v>1</v>
      </c>
      <c r="B34" s="6">
        <v>2025</v>
      </c>
      <c r="C34" s="7">
        <v>45764</v>
      </c>
      <c r="D34" s="6" t="s">
        <v>25</v>
      </c>
      <c r="E34" s="6" t="s">
        <v>26</v>
      </c>
      <c r="F34" s="6">
        <v>1</v>
      </c>
      <c r="G34" s="6" t="s">
        <v>27</v>
      </c>
      <c r="H34" s="6">
        <v>1</v>
      </c>
      <c r="I34" s="6">
        <v>10</v>
      </c>
      <c r="J34" s="6">
        <v>4.5</v>
      </c>
      <c r="K34" s="6" t="s">
        <v>38</v>
      </c>
      <c r="L34" s="6" t="str">
        <f>VLOOKUP(K34, 'Alphabetical by species code'!A:B, 2, FALSE)</f>
        <v>Thatch</v>
      </c>
      <c r="M34" s="6" t="str">
        <f>VLOOKUP(L34, 'Alphabetical by species code'!B:C, 2, FALSE)</f>
        <v>Ground Cover</v>
      </c>
    </row>
    <row r="35" spans="1:13" x14ac:dyDescent="0.25">
      <c r="A35" s="6">
        <v>1</v>
      </c>
      <c r="B35" s="6">
        <v>2025</v>
      </c>
      <c r="C35" s="7">
        <v>45764</v>
      </c>
      <c r="D35" s="6" t="s">
        <v>25</v>
      </c>
      <c r="E35" s="6" t="s">
        <v>26</v>
      </c>
      <c r="F35" s="6">
        <v>1</v>
      </c>
      <c r="G35" s="6" t="s">
        <v>27</v>
      </c>
      <c r="H35" s="6">
        <v>1</v>
      </c>
      <c r="I35" s="6">
        <v>10</v>
      </c>
      <c r="J35" s="6">
        <v>4.5</v>
      </c>
      <c r="K35" s="6" t="s">
        <v>36</v>
      </c>
      <c r="L35" s="6" t="str">
        <f>VLOOKUP(K35, 'Alphabetical by species code'!A:B, 2, FALSE)</f>
        <v>Bromus madritensis</v>
      </c>
      <c r="M35" s="6" t="str">
        <f>VLOOKUP(L35, 'Alphabetical by species code'!B:C, 2, FALSE)</f>
        <v>Non-Native</v>
      </c>
    </row>
    <row r="36" spans="1:13" x14ac:dyDescent="0.25">
      <c r="A36" s="6">
        <v>1</v>
      </c>
      <c r="B36" s="6">
        <v>2025</v>
      </c>
      <c r="C36" s="7">
        <v>45764</v>
      </c>
      <c r="D36" s="6" t="s">
        <v>25</v>
      </c>
      <c r="E36" s="6" t="s">
        <v>26</v>
      </c>
      <c r="F36" s="6">
        <v>1</v>
      </c>
      <c r="G36" s="6" t="s">
        <v>27</v>
      </c>
      <c r="H36" s="6">
        <v>1</v>
      </c>
      <c r="I36" s="6">
        <v>10</v>
      </c>
      <c r="J36" s="6">
        <v>4.5</v>
      </c>
      <c r="K36" s="6" t="s">
        <v>30</v>
      </c>
      <c r="L36" s="6" t="str">
        <f>VLOOKUP(K36, 'Alphabetical by species code'!A:B, 2, FALSE)</f>
        <v>Erodium moschatum</v>
      </c>
      <c r="M36" s="6" t="str">
        <f>VLOOKUP(L36, 'Alphabetical by species code'!B:C, 2, FALSE)</f>
        <v>Non-Native</v>
      </c>
    </row>
    <row r="37" spans="1:13" x14ac:dyDescent="0.25">
      <c r="A37" s="6">
        <v>1</v>
      </c>
      <c r="B37" s="6">
        <v>2025</v>
      </c>
      <c r="C37" s="7">
        <v>45764</v>
      </c>
      <c r="D37" s="6" t="s">
        <v>25</v>
      </c>
      <c r="E37" s="6" t="s">
        <v>26</v>
      </c>
      <c r="F37" s="6">
        <v>1</v>
      </c>
      <c r="G37" s="6" t="s">
        <v>27</v>
      </c>
      <c r="H37" s="6">
        <v>1</v>
      </c>
      <c r="I37" s="6">
        <v>11</v>
      </c>
      <c r="J37" s="6">
        <v>5</v>
      </c>
      <c r="K37" s="6" t="s">
        <v>38</v>
      </c>
      <c r="L37" s="6" t="str">
        <f>VLOOKUP(K37, 'Alphabetical by species code'!A:B, 2, FALSE)</f>
        <v>Thatch</v>
      </c>
      <c r="M37" s="6" t="str">
        <f>VLOOKUP(L37, 'Alphabetical by species code'!B:C, 2, FALSE)</f>
        <v>Ground Cover</v>
      </c>
    </row>
    <row r="38" spans="1:13" x14ac:dyDescent="0.25">
      <c r="A38" s="6">
        <v>1</v>
      </c>
      <c r="B38" s="6">
        <v>2025</v>
      </c>
      <c r="C38" s="7">
        <v>45764</v>
      </c>
      <c r="D38" s="6" t="s">
        <v>25</v>
      </c>
      <c r="E38" s="6" t="s">
        <v>26</v>
      </c>
      <c r="F38" s="6">
        <v>1</v>
      </c>
      <c r="G38" s="6" t="s">
        <v>27</v>
      </c>
      <c r="H38" s="6">
        <v>1</v>
      </c>
      <c r="I38" s="6">
        <v>11</v>
      </c>
      <c r="J38" s="6">
        <v>5</v>
      </c>
      <c r="K38" s="6" t="s">
        <v>35</v>
      </c>
      <c r="L38" s="6" t="str">
        <f>VLOOKUP(K38, 'Alphabetical by species code'!A:B, 2, FALSE)</f>
        <v>Deinandra fasciculata</v>
      </c>
      <c r="M38" s="6" t="str">
        <f>VLOOKUP(L38, 'Alphabetical by species code'!B:C, 2, FALSE)</f>
        <v>Native</v>
      </c>
    </row>
    <row r="39" spans="1:13" x14ac:dyDescent="0.25">
      <c r="A39" s="6">
        <v>1</v>
      </c>
      <c r="B39" s="6">
        <v>2025</v>
      </c>
      <c r="C39" s="7">
        <v>45764</v>
      </c>
      <c r="D39" s="6" t="s">
        <v>25</v>
      </c>
      <c r="E39" s="6" t="s">
        <v>26</v>
      </c>
      <c r="F39" s="6">
        <v>1</v>
      </c>
      <c r="G39" s="6" t="s">
        <v>27</v>
      </c>
      <c r="H39" s="6">
        <v>1</v>
      </c>
      <c r="I39" s="6">
        <v>11</v>
      </c>
      <c r="J39" s="6">
        <v>5</v>
      </c>
      <c r="K39" s="6" t="s">
        <v>37</v>
      </c>
      <c r="L39" s="6" t="str">
        <f>VLOOKUP(K39, 'Alphabetical by species code'!A:B, 2, FALSE)</f>
        <v>Sonchus oleraceus</v>
      </c>
      <c r="M39" s="6" t="str">
        <f>VLOOKUP(L39, 'Alphabetical by species code'!B:C, 2, FALSE)</f>
        <v>Non-Native</v>
      </c>
    </row>
    <row r="40" spans="1:13" x14ac:dyDescent="0.25">
      <c r="A40" s="6">
        <v>1</v>
      </c>
      <c r="B40" s="6">
        <v>2025</v>
      </c>
      <c r="C40" s="7">
        <v>45764</v>
      </c>
      <c r="D40" s="6" t="s">
        <v>25</v>
      </c>
      <c r="E40" s="6" t="s">
        <v>26</v>
      </c>
      <c r="F40" s="6">
        <v>1</v>
      </c>
      <c r="G40" s="6" t="s">
        <v>27</v>
      </c>
      <c r="H40" s="6">
        <v>1</v>
      </c>
      <c r="I40" s="6">
        <v>11</v>
      </c>
      <c r="J40" s="6">
        <v>5</v>
      </c>
      <c r="K40" s="6" t="s">
        <v>31</v>
      </c>
      <c r="L40" s="6" t="str">
        <f>VLOOKUP(K40, 'Alphabetical by species code'!A:B, 2, FALSE)</f>
        <v>Festuca myuros</v>
      </c>
      <c r="M40" s="6" t="str">
        <f>VLOOKUP(L40, 'Alphabetical by species code'!B:C, 2, FALSE)</f>
        <v>Non-Native</v>
      </c>
    </row>
    <row r="41" spans="1:13" x14ac:dyDescent="0.25">
      <c r="A41" s="6">
        <v>1</v>
      </c>
      <c r="B41" s="6">
        <v>2025</v>
      </c>
      <c r="C41" s="7">
        <v>45764</v>
      </c>
      <c r="D41" s="6" t="s">
        <v>25</v>
      </c>
      <c r="E41" s="6" t="s">
        <v>26</v>
      </c>
      <c r="F41" s="6">
        <v>1</v>
      </c>
      <c r="G41" s="6" t="s">
        <v>27</v>
      </c>
      <c r="H41" s="6">
        <v>1</v>
      </c>
      <c r="I41" s="6">
        <v>12</v>
      </c>
      <c r="J41" s="6">
        <v>5.5</v>
      </c>
      <c r="K41" s="6" t="s">
        <v>38</v>
      </c>
      <c r="L41" s="6" t="str">
        <f>VLOOKUP(K41, 'Alphabetical by species code'!A:B, 2, FALSE)</f>
        <v>Thatch</v>
      </c>
      <c r="M41" s="6" t="str">
        <f>VLOOKUP(L41, 'Alphabetical by species code'!B:C, 2, FALSE)</f>
        <v>Ground Cover</v>
      </c>
    </row>
    <row r="42" spans="1:13" x14ac:dyDescent="0.25">
      <c r="A42" s="6">
        <v>1</v>
      </c>
      <c r="B42" s="6">
        <v>2025</v>
      </c>
      <c r="C42" s="7">
        <v>45764</v>
      </c>
      <c r="D42" s="6" t="s">
        <v>25</v>
      </c>
      <c r="E42" s="6" t="s">
        <v>26</v>
      </c>
      <c r="F42" s="6">
        <v>1</v>
      </c>
      <c r="G42" s="6" t="s">
        <v>27</v>
      </c>
      <c r="H42" s="6">
        <v>1</v>
      </c>
      <c r="I42" s="6">
        <v>12</v>
      </c>
      <c r="J42" s="6">
        <v>5.5</v>
      </c>
      <c r="K42" s="6" t="s">
        <v>29</v>
      </c>
      <c r="L42" s="6" t="str">
        <f>VLOOKUP(K42, 'Alphabetical by species code'!A:B, 2, FALSE)</f>
        <v>Opuntia littoralis</v>
      </c>
      <c r="M42" s="6" t="str">
        <f>VLOOKUP(L42, 'Alphabetical by species code'!B:C, 2, FALSE)</f>
        <v>Native</v>
      </c>
    </row>
    <row r="43" spans="1:13" x14ac:dyDescent="0.25">
      <c r="A43" s="6">
        <v>1</v>
      </c>
      <c r="B43" s="6">
        <v>2025</v>
      </c>
      <c r="C43" s="7">
        <v>45764</v>
      </c>
      <c r="D43" s="6" t="s">
        <v>25</v>
      </c>
      <c r="E43" s="6" t="s">
        <v>26</v>
      </c>
      <c r="F43" s="6">
        <v>1</v>
      </c>
      <c r="G43" s="6" t="s">
        <v>27</v>
      </c>
      <c r="H43" s="6">
        <v>1</v>
      </c>
      <c r="I43" s="6">
        <v>12</v>
      </c>
      <c r="J43" s="6">
        <v>5.5</v>
      </c>
      <c r="K43" s="6" t="s">
        <v>30</v>
      </c>
      <c r="L43" s="6" t="str">
        <f>VLOOKUP(K43, 'Alphabetical by species code'!A:B, 2, FALSE)</f>
        <v>Erodium moschatum</v>
      </c>
      <c r="M43" s="6" t="str">
        <f>VLOOKUP(L43, 'Alphabetical by species code'!B:C, 2, FALSE)</f>
        <v>Non-Native</v>
      </c>
    </row>
    <row r="44" spans="1:13" x14ac:dyDescent="0.25">
      <c r="A44" s="6">
        <v>1</v>
      </c>
      <c r="B44" s="6">
        <v>2025</v>
      </c>
      <c r="C44" s="7">
        <v>45764</v>
      </c>
      <c r="D44" s="6" t="s">
        <v>25</v>
      </c>
      <c r="E44" s="6" t="s">
        <v>26</v>
      </c>
      <c r="F44" s="6">
        <v>1</v>
      </c>
      <c r="G44" s="6" t="s">
        <v>27</v>
      </c>
      <c r="H44" s="6">
        <v>1</v>
      </c>
      <c r="I44" s="6">
        <v>12</v>
      </c>
      <c r="J44" s="6">
        <v>5.5</v>
      </c>
      <c r="K44" s="6" t="s">
        <v>37</v>
      </c>
      <c r="L44" s="6" t="str">
        <f>VLOOKUP(K44, 'Alphabetical by species code'!A:B, 2, FALSE)</f>
        <v>Sonchus oleraceus</v>
      </c>
      <c r="M44" s="6" t="str">
        <f>VLOOKUP(L44, 'Alphabetical by species code'!B:C, 2, FALSE)</f>
        <v>Non-Native</v>
      </c>
    </row>
    <row r="45" spans="1:13" x14ac:dyDescent="0.25">
      <c r="A45" s="6">
        <v>1</v>
      </c>
      <c r="B45" s="6">
        <v>2025</v>
      </c>
      <c r="C45" s="7">
        <v>45764</v>
      </c>
      <c r="D45" s="6" t="s">
        <v>25</v>
      </c>
      <c r="E45" s="6" t="s">
        <v>26</v>
      </c>
      <c r="F45" s="6">
        <v>1</v>
      </c>
      <c r="G45" s="6" t="s">
        <v>27</v>
      </c>
      <c r="H45" s="6">
        <v>1</v>
      </c>
      <c r="I45" s="6">
        <v>13</v>
      </c>
      <c r="J45" s="6">
        <v>6.5</v>
      </c>
      <c r="K45" s="6" t="s">
        <v>28</v>
      </c>
      <c r="L45" s="6" t="str">
        <f>VLOOKUP(K45, 'Alphabetical by species code'!A:B, 2, FALSE)</f>
        <v>Litter</v>
      </c>
      <c r="M45" s="6" t="str">
        <f>VLOOKUP(L45, 'Alphabetical by species code'!B:C, 2, FALSE)</f>
        <v>Ground Cover</v>
      </c>
    </row>
    <row r="46" spans="1:13" x14ac:dyDescent="0.25">
      <c r="A46" s="6">
        <v>1</v>
      </c>
      <c r="B46" s="6">
        <v>2025</v>
      </c>
      <c r="C46" s="7">
        <v>45764</v>
      </c>
      <c r="D46" s="6" t="s">
        <v>25</v>
      </c>
      <c r="E46" s="6" t="s">
        <v>26</v>
      </c>
      <c r="F46" s="6">
        <v>1</v>
      </c>
      <c r="G46" s="6" t="s">
        <v>27</v>
      </c>
      <c r="H46" s="6">
        <v>1</v>
      </c>
      <c r="I46" s="6">
        <v>13</v>
      </c>
      <c r="J46" s="6">
        <v>6.5</v>
      </c>
      <c r="K46" s="6" t="s">
        <v>40</v>
      </c>
      <c r="L46" s="6" t="str">
        <f>VLOOKUP(K46, 'Alphabetical by species code'!A:B, 2, FALSE)</f>
        <v>Cylindropuntia prolifera</v>
      </c>
      <c r="M46" s="6" t="str">
        <f>VLOOKUP(L46, 'Alphabetical by species code'!B:C, 2, FALSE)</f>
        <v>Native</v>
      </c>
    </row>
    <row r="47" spans="1:13" x14ac:dyDescent="0.25">
      <c r="A47" s="6">
        <v>1</v>
      </c>
      <c r="B47" s="6">
        <v>2025</v>
      </c>
      <c r="C47" s="7">
        <v>45764</v>
      </c>
      <c r="D47" s="6" t="s">
        <v>25</v>
      </c>
      <c r="E47" s="6" t="s">
        <v>26</v>
      </c>
      <c r="F47" s="6">
        <v>1</v>
      </c>
      <c r="G47" s="6" t="s">
        <v>27</v>
      </c>
      <c r="H47" s="6">
        <v>1</v>
      </c>
      <c r="I47" s="6">
        <v>13</v>
      </c>
      <c r="J47" s="6">
        <v>6.5</v>
      </c>
      <c r="K47" s="6" t="s">
        <v>32</v>
      </c>
      <c r="L47" s="6" t="str">
        <f>VLOOKUP(K47, 'Alphabetical by species code'!A:B, 2, FALSE)</f>
        <v>Medicago polymorpha</v>
      </c>
      <c r="M47" s="6" t="str">
        <f>VLOOKUP(L47, 'Alphabetical by species code'!B:C, 2, FALSE)</f>
        <v>Non-Native</v>
      </c>
    </row>
    <row r="48" spans="1:13" x14ac:dyDescent="0.25">
      <c r="A48" s="6">
        <v>1</v>
      </c>
      <c r="B48" s="6">
        <v>2025</v>
      </c>
      <c r="C48" s="7">
        <v>45764</v>
      </c>
      <c r="D48" s="6" t="s">
        <v>25</v>
      </c>
      <c r="E48" s="6" t="s">
        <v>26</v>
      </c>
      <c r="F48" s="6">
        <v>1</v>
      </c>
      <c r="G48" s="6" t="s">
        <v>27</v>
      </c>
      <c r="H48" s="6">
        <v>1</v>
      </c>
      <c r="I48" s="6">
        <v>14</v>
      </c>
      <c r="J48" s="6">
        <v>7</v>
      </c>
      <c r="K48" s="6" t="s">
        <v>41</v>
      </c>
      <c r="L48" s="6" t="str">
        <f>VLOOKUP(K48, 'Alphabetical by species code'!A:B, 2, FALSE)</f>
        <v>Stem</v>
      </c>
      <c r="M48" s="6" t="str">
        <f>VLOOKUP(L48, 'Alphabetical by species code'!B:C, 2, FALSE)</f>
        <v>Ground Cover</v>
      </c>
    </row>
    <row r="49" spans="1:13" x14ac:dyDescent="0.25">
      <c r="A49" s="6">
        <v>1</v>
      </c>
      <c r="B49" s="6">
        <v>2025</v>
      </c>
      <c r="C49" s="7">
        <v>45764</v>
      </c>
      <c r="D49" s="6" t="s">
        <v>25</v>
      </c>
      <c r="E49" s="6" t="s">
        <v>26</v>
      </c>
      <c r="F49" s="6">
        <v>1</v>
      </c>
      <c r="G49" s="6" t="s">
        <v>27</v>
      </c>
      <c r="H49" s="6">
        <v>1</v>
      </c>
      <c r="I49" s="6">
        <v>14</v>
      </c>
      <c r="J49" s="6">
        <v>7</v>
      </c>
      <c r="K49" s="6" t="s">
        <v>29</v>
      </c>
      <c r="L49" s="6" t="str">
        <f>VLOOKUP(K49, 'Alphabetical by species code'!A:B, 2, FALSE)</f>
        <v>Opuntia littoralis</v>
      </c>
      <c r="M49" s="6" t="str">
        <f>VLOOKUP(L49, 'Alphabetical by species code'!B:C, 2, FALSE)</f>
        <v>Native</v>
      </c>
    </row>
    <row r="50" spans="1:13" x14ac:dyDescent="0.25">
      <c r="A50" s="6">
        <v>1</v>
      </c>
      <c r="B50" s="6">
        <v>2025</v>
      </c>
      <c r="C50" s="7">
        <v>45764</v>
      </c>
      <c r="D50" s="6" t="s">
        <v>25</v>
      </c>
      <c r="E50" s="6" t="s">
        <v>26</v>
      </c>
      <c r="F50" s="6">
        <v>1</v>
      </c>
      <c r="G50" s="6" t="s">
        <v>27</v>
      </c>
      <c r="H50" s="6">
        <v>1</v>
      </c>
      <c r="I50" s="6">
        <v>15</v>
      </c>
      <c r="J50" s="6">
        <v>7.5</v>
      </c>
      <c r="K50" s="6" t="s">
        <v>28</v>
      </c>
      <c r="L50" s="6" t="str">
        <f>VLOOKUP(K50, 'Alphabetical by species code'!A:B, 2, FALSE)</f>
        <v>Litter</v>
      </c>
      <c r="M50" s="6" t="str">
        <f>VLOOKUP(L50, 'Alphabetical by species code'!B:C, 2, FALSE)</f>
        <v>Ground Cover</v>
      </c>
    </row>
    <row r="51" spans="1:13" x14ac:dyDescent="0.25">
      <c r="A51" s="6">
        <v>1</v>
      </c>
      <c r="B51" s="6">
        <v>2025</v>
      </c>
      <c r="C51" s="7">
        <v>45764</v>
      </c>
      <c r="D51" s="6" t="s">
        <v>25</v>
      </c>
      <c r="E51" s="6" t="s">
        <v>26</v>
      </c>
      <c r="F51" s="6">
        <v>1</v>
      </c>
      <c r="G51" s="6" t="s">
        <v>27</v>
      </c>
      <c r="H51" s="6">
        <v>1</v>
      </c>
      <c r="I51" s="6">
        <v>15</v>
      </c>
      <c r="J51" s="6">
        <v>7.5</v>
      </c>
      <c r="K51" s="6" t="s">
        <v>29</v>
      </c>
      <c r="L51" s="6" t="str">
        <f>VLOOKUP(K51, 'Alphabetical by species code'!A:B, 2, FALSE)</f>
        <v>Opuntia littoralis</v>
      </c>
      <c r="M51" s="6" t="str">
        <f>VLOOKUP(L51, 'Alphabetical by species code'!B:C, 2, FALSE)</f>
        <v>Native</v>
      </c>
    </row>
    <row r="52" spans="1:13" x14ac:dyDescent="0.25">
      <c r="A52" s="6">
        <v>1</v>
      </c>
      <c r="B52" s="6">
        <v>2025</v>
      </c>
      <c r="C52" s="7">
        <v>45764</v>
      </c>
      <c r="D52" s="6" t="s">
        <v>25</v>
      </c>
      <c r="E52" s="6" t="s">
        <v>26</v>
      </c>
      <c r="F52" s="6">
        <v>1</v>
      </c>
      <c r="G52" s="6" t="s">
        <v>27</v>
      </c>
      <c r="H52" s="6">
        <v>1</v>
      </c>
      <c r="I52" s="6">
        <v>15</v>
      </c>
      <c r="J52" s="6">
        <v>7.5</v>
      </c>
      <c r="K52" s="6" t="s">
        <v>32</v>
      </c>
      <c r="L52" s="6" t="str">
        <f>VLOOKUP(K52, 'Alphabetical by species code'!A:B, 2, FALSE)</f>
        <v>Medicago polymorpha</v>
      </c>
      <c r="M52" s="6" t="str">
        <f>VLOOKUP(L52, 'Alphabetical by species code'!B:C, 2, FALSE)</f>
        <v>Non-Native</v>
      </c>
    </row>
    <row r="53" spans="1:13" x14ac:dyDescent="0.25">
      <c r="A53" s="6">
        <v>1</v>
      </c>
      <c r="B53" s="6">
        <v>2025</v>
      </c>
      <c r="C53" s="7">
        <v>45764</v>
      </c>
      <c r="D53" s="6" t="s">
        <v>25</v>
      </c>
      <c r="E53" s="6" t="s">
        <v>26</v>
      </c>
      <c r="F53" s="6">
        <v>1</v>
      </c>
      <c r="G53" s="6" t="s">
        <v>27</v>
      </c>
      <c r="H53" s="6">
        <v>2</v>
      </c>
      <c r="I53" s="6">
        <v>1</v>
      </c>
      <c r="J53" s="6">
        <v>0</v>
      </c>
      <c r="K53" s="6" t="s">
        <v>38</v>
      </c>
      <c r="L53" s="6" t="str">
        <f>VLOOKUP(K53, 'Alphabetical by species code'!A:B, 2, FALSE)</f>
        <v>Thatch</v>
      </c>
      <c r="M53" s="6" t="str">
        <f>VLOOKUP(L53, 'Alphabetical by species code'!B:C, 2, FALSE)</f>
        <v>Ground Cover</v>
      </c>
    </row>
    <row r="54" spans="1:13" x14ac:dyDescent="0.25">
      <c r="A54" s="6">
        <v>1</v>
      </c>
      <c r="B54" s="6">
        <v>2025</v>
      </c>
      <c r="C54" s="7">
        <v>45764</v>
      </c>
      <c r="D54" s="6" t="s">
        <v>25</v>
      </c>
      <c r="E54" s="6" t="s">
        <v>26</v>
      </c>
      <c r="F54" s="6">
        <v>1</v>
      </c>
      <c r="G54" s="6" t="s">
        <v>27</v>
      </c>
      <c r="H54" s="6">
        <v>2</v>
      </c>
      <c r="I54" s="6">
        <v>1</v>
      </c>
      <c r="J54" s="6">
        <v>0</v>
      </c>
      <c r="K54" s="6" t="s">
        <v>39</v>
      </c>
      <c r="L54" s="6" t="str">
        <f>VLOOKUP(K54, 'Alphabetical by species code'!A:B, 2, FALSE)</f>
        <v>Stephanomeria diegensis</v>
      </c>
      <c r="M54" s="6" t="str">
        <f>VLOOKUP(L54, 'Alphabetical by species code'!B:C, 2, FALSE)</f>
        <v>Native</v>
      </c>
    </row>
    <row r="55" spans="1:13" x14ac:dyDescent="0.25">
      <c r="A55" s="6">
        <v>1</v>
      </c>
      <c r="B55" s="6">
        <v>2025</v>
      </c>
      <c r="C55" s="7">
        <v>45764</v>
      </c>
      <c r="D55" s="6" t="s">
        <v>25</v>
      </c>
      <c r="E55" s="6" t="s">
        <v>26</v>
      </c>
      <c r="F55" s="6">
        <v>1</v>
      </c>
      <c r="G55" s="6" t="s">
        <v>27</v>
      </c>
      <c r="H55" s="6">
        <v>2</v>
      </c>
      <c r="I55" s="6">
        <v>1</v>
      </c>
      <c r="J55" s="6">
        <v>0</v>
      </c>
      <c r="K55" s="6" t="s">
        <v>32</v>
      </c>
      <c r="L55" s="6" t="str">
        <f>VLOOKUP(K55, 'Alphabetical by species code'!A:B, 2, FALSE)</f>
        <v>Medicago polymorpha</v>
      </c>
      <c r="M55" s="6" t="str">
        <f>VLOOKUP(L55, 'Alphabetical by species code'!B:C, 2, FALSE)</f>
        <v>Non-Native</v>
      </c>
    </row>
    <row r="56" spans="1:13" x14ac:dyDescent="0.25">
      <c r="A56" s="6">
        <v>1</v>
      </c>
      <c r="B56" s="6">
        <v>2025</v>
      </c>
      <c r="C56" s="7">
        <v>45764</v>
      </c>
      <c r="D56" s="6" t="s">
        <v>25</v>
      </c>
      <c r="E56" s="6" t="s">
        <v>26</v>
      </c>
      <c r="F56" s="6">
        <v>1</v>
      </c>
      <c r="G56" s="6" t="s">
        <v>27</v>
      </c>
      <c r="H56" s="6">
        <v>2</v>
      </c>
      <c r="I56" s="6">
        <v>1</v>
      </c>
      <c r="J56" s="6">
        <v>0</v>
      </c>
      <c r="K56" s="6" t="s">
        <v>31</v>
      </c>
      <c r="L56" s="6" t="str">
        <f>VLOOKUP(K56, 'Alphabetical by species code'!A:B, 2, FALSE)</f>
        <v>Festuca myuros</v>
      </c>
      <c r="M56" s="6" t="str">
        <f>VLOOKUP(L56, 'Alphabetical by species code'!B:C, 2, FALSE)</f>
        <v>Non-Native</v>
      </c>
    </row>
    <row r="57" spans="1:13" x14ac:dyDescent="0.25">
      <c r="A57" s="6">
        <v>1</v>
      </c>
      <c r="B57" s="6">
        <v>2025</v>
      </c>
      <c r="C57" s="7">
        <v>45764</v>
      </c>
      <c r="D57" s="6" t="s">
        <v>25</v>
      </c>
      <c r="E57" s="6" t="s">
        <v>26</v>
      </c>
      <c r="F57" s="6">
        <v>1</v>
      </c>
      <c r="G57" s="6" t="s">
        <v>27</v>
      </c>
      <c r="H57" s="6">
        <v>2</v>
      </c>
      <c r="I57" s="6">
        <v>2</v>
      </c>
      <c r="J57" s="6">
        <v>0.5</v>
      </c>
      <c r="K57" s="6" t="s">
        <v>38</v>
      </c>
      <c r="L57" s="6" t="str">
        <f>VLOOKUP(K57, 'Alphabetical by species code'!A:B, 2, FALSE)</f>
        <v>Thatch</v>
      </c>
      <c r="M57" s="6" t="str">
        <f>VLOOKUP(L57, 'Alphabetical by species code'!B:C, 2, FALSE)</f>
        <v>Ground Cover</v>
      </c>
    </row>
    <row r="58" spans="1:13" x14ac:dyDescent="0.25">
      <c r="A58" s="6">
        <v>1</v>
      </c>
      <c r="B58" s="6">
        <v>2025</v>
      </c>
      <c r="C58" s="7">
        <v>45764</v>
      </c>
      <c r="D58" s="6" t="s">
        <v>25</v>
      </c>
      <c r="E58" s="6" t="s">
        <v>26</v>
      </c>
      <c r="F58" s="6">
        <v>1</v>
      </c>
      <c r="G58" s="6" t="s">
        <v>27</v>
      </c>
      <c r="H58" s="6">
        <v>2</v>
      </c>
      <c r="I58" s="6">
        <v>2</v>
      </c>
      <c r="J58" s="6">
        <v>0.5</v>
      </c>
      <c r="K58" s="6" t="s">
        <v>31</v>
      </c>
      <c r="L58" s="6" t="str">
        <f>VLOOKUP(K58, 'Alphabetical by species code'!A:B, 2, FALSE)</f>
        <v>Festuca myuros</v>
      </c>
      <c r="M58" s="6" t="str">
        <f>VLOOKUP(L58, 'Alphabetical by species code'!B:C, 2, FALSE)</f>
        <v>Non-Native</v>
      </c>
    </row>
    <row r="59" spans="1:13" x14ac:dyDescent="0.25">
      <c r="A59" s="6">
        <v>1</v>
      </c>
      <c r="B59" s="6">
        <v>2025</v>
      </c>
      <c r="C59" s="7">
        <v>45764</v>
      </c>
      <c r="D59" s="6" t="s">
        <v>25</v>
      </c>
      <c r="E59" s="6" t="s">
        <v>26</v>
      </c>
      <c r="F59" s="6">
        <v>1</v>
      </c>
      <c r="G59" s="6" t="s">
        <v>27</v>
      </c>
      <c r="H59" s="6">
        <v>2</v>
      </c>
      <c r="I59" s="6">
        <v>2</v>
      </c>
      <c r="J59" s="6">
        <v>0.5</v>
      </c>
      <c r="K59" s="6" t="s">
        <v>32</v>
      </c>
      <c r="L59" s="6" t="str">
        <f>VLOOKUP(K59, 'Alphabetical by species code'!A:B, 2, FALSE)</f>
        <v>Medicago polymorpha</v>
      </c>
      <c r="M59" s="6" t="str">
        <f>VLOOKUP(L59, 'Alphabetical by species code'!B:C, 2, FALSE)</f>
        <v>Non-Native</v>
      </c>
    </row>
    <row r="60" spans="1:13" x14ac:dyDescent="0.25">
      <c r="A60" s="6">
        <v>1</v>
      </c>
      <c r="B60" s="6">
        <v>2025</v>
      </c>
      <c r="C60" s="7">
        <v>45764</v>
      </c>
      <c r="D60" s="6" t="s">
        <v>25</v>
      </c>
      <c r="E60" s="6" t="s">
        <v>26</v>
      </c>
      <c r="F60" s="6">
        <v>1</v>
      </c>
      <c r="G60" s="6" t="s">
        <v>27</v>
      </c>
      <c r="H60" s="6">
        <v>2</v>
      </c>
      <c r="I60" s="6">
        <v>2</v>
      </c>
      <c r="J60" s="6">
        <v>0.5</v>
      </c>
      <c r="K60" s="6" t="s">
        <v>42</v>
      </c>
      <c r="L60" s="6" t="str">
        <f>VLOOKUP(K60, 'Alphabetical by species code'!A:B, 2, FALSE)</f>
        <v>Centaurea melitensis</v>
      </c>
      <c r="M60" s="6" t="str">
        <f>VLOOKUP(L60, 'Alphabetical by species code'!B:C, 2, FALSE)</f>
        <v>Non-Native</v>
      </c>
    </row>
    <row r="61" spans="1:13" x14ac:dyDescent="0.25">
      <c r="A61" s="6">
        <v>1</v>
      </c>
      <c r="B61" s="6">
        <v>2025</v>
      </c>
      <c r="C61" s="7">
        <v>45764</v>
      </c>
      <c r="D61" s="6" t="s">
        <v>25</v>
      </c>
      <c r="E61" s="6" t="s">
        <v>26</v>
      </c>
      <c r="F61" s="6">
        <v>1</v>
      </c>
      <c r="G61" s="6" t="s">
        <v>27</v>
      </c>
      <c r="H61" s="6">
        <v>2</v>
      </c>
      <c r="I61" s="6">
        <v>3</v>
      </c>
      <c r="J61" s="6">
        <v>1</v>
      </c>
      <c r="K61" s="6" t="s">
        <v>28</v>
      </c>
      <c r="L61" s="6" t="str">
        <f>VLOOKUP(K61, 'Alphabetical by species code'!A:B, 2, FALSE)</f>
        <v>Litter</v>
      </c>
      <c r="M61" s="6" t="str">
        <f>VLOOKUP(L61, 'Alphabetical by species code'!B:C, 2, FALSE)</f>
        <v>Ground Cover</v>
      </c>
    </row>
    <row r="62" spans="1:13" x14ac:dyDescent="0.25">
      <c r="A62" s="6">
        <v>1</v>
      </c>
      <c r="B62" s="6">
        <v>2025</v>
      </c>
      <c r="C62" s="7">
        <v>45764</v>
      </c>
      <c r="D62" s="6" t="s">
        <v>25</v>
      </c>
      <c r="E62" s="6" t="s">
        <v>26</v>
      </c>
      <c r="F62" s="6">
        <v>1</v>
      </c>
      <c r="G62" s="6" t="s">
        <v>27</v>
      </c>
      <c r="H62" s="6">
        <v>2</v>
      </c>
      <c r="I62" s="6">
        <v>3</v>
      </c>
      <c r="J62" s="6">
        <v>1</v>
      </c>
      <c r="K62" s="6" t="s">
        <v>43</v>
      </c>
      <c r="L62" s="6" t="str">
        <f>VLOOKUP(K62, 'Alphabetical by species code'!A:B, 2, FALSE)</f>
        <v>Uropappus lindleyi</v>
      </c>
      <c r="M62" s="6" t="str">
        <f>VLOOKUP(L62, 'Alphabetical by species code'!B:C, 2, FALSE)</f>
        <v>Native</v>
      </c>
    </row>
    <row r="63" spans="1:13" x14ac:dyDescent="0.25">
      <c r="A63" s="6">
        <v>1</v>
      </c>
      <c r="B63" s="6">
        <v>2025</v>
      </c>
      <c r="C63" s="7">
        <v>45764</v>
      </c>
      <c r="D63" s="6" t="s">
        <v>25</v>
      </c>
      <c r="E63" s="6" t="s">
        <v>26</v>
      </c>
      <c r="F63" s="6">
        <v>1</v>
      </c>
      <c r="G63" s="6" t="s">
        <v>27</v>
      </c>
      <c r="H63" s="6">
        <v>2</v>
      </c>
      <c r="I63" s="6">
        <v>3</v>
      </c>
      <c r="J63" s="6">
        <v>1</v>
      </c>
      <c r="K63" s="6" t="s">
        <v>32</v>
      </c>
      <c r="L63" s="6" t="str">
        <f>VLOOKUP(K63, 'Alphabetical by species code'!A:B, 2, FALSE)</f>
        <v>Medicago polymorpha</v>
      </c>
      <c r="M63" s="6" t="str">
        <f>VLOOKUP(L63, 'Alphabetical by species code'!B:C, 2, FALSE)</f>
        <v>Non-Native</v>
      </c>
    </row>
    <row r="64" spans="1:13" x14ac:dyDescent="0.25">
      <c r="A64" s="6">
        <v>1</v>
      </c>
      <c r="B64" s="6">
        <v>2025</v>
      </c>
      <c r="C64" s="7">
        <v>45764</v>
      </c>
      <c r="D64" s="6" t="s">
        <v>25</v>
      </c>
      <c r="E64" s="6" t="s">
        <v>26</v>
      </c>
      <c r="F64" s="6">
        <v>1</v>
      </c>
      <c r="G64" s="6" t="s">
        <v>27</v>
      </c>
      <c r="H64" s="6">
        <v>2</v>
      </c>
      <c r="I64" s="6">
        <v>4</v>
      </c>
      <c r="J64" s="6">
        <v>1.5</v>
      </c>
      <c r="K64" s="6" t="s">
        <v>28</v>
      </c>
      <c r="L64" s="6" t="str">
        <f>VLOOKUP(K64, 'Alphabetical by species code'!A:B, 2, FALSE)</f>
        <v>Litter</v>
      </c>
      <c r="M64" s="6" t="str">
        <f>VLOOKUP(L64, 'Alphabetical by species code'!B:C, 2, FALSE)</f>
        <v>Ground Cover</v>
      </c>
    </row>
    <row r="65" spans="1:13" x14ac:dyDescent="0.25">
      <c r="A65" s="6">
        <v>1</v>
      </c>
      <c r="B65" s="6">
        <v>2025</v>
      </c>
      <c r="C65" s="7">
        <v>45764</v>
      </c>
      <c r="D65" s="6" t="s">
        <v>25</v>
      </c>
      <c r="E65" s="6" t="s">
        <v>26</v>
      </c>
      <c r="F65" s="6">
        <v>1</v>
      </c>
      <c r="G65" s="6" t="s">
        <v>27</v>
      </c>
      <c r="H65" s="6">
        <v>2</v>
      </c>
      <c r="I65" s="6">
        <v>4</v>
      </c>
      <c r="J65" s="6">
        <v>1.5</v>
      </c>
      <c r="K65" s="6" t="s">
        <v>32</v>
      </c>
      <c r="L65" s="6" t="str">
        <f>VLOOKUP(K65, 'Alphabetical by species code'!A:B, 2, FALSE)</f>
        <v>Medicago polymorpha</v>
      </c>
      <c r="M65" s="6" t="str">
        <f>VLOOKUP(L65, 'Alphabetical by species code'!B:C, 2, FALSE)</f>
        <v>Non-Native</v>
      </c>
    </row>
    <row r="66" spans="1:13" x14ac:dyDescent="0.25">
      <c r="A66" s="6">
        <v>1</v>
      </c>
      <c r="B66" s="6">
        <v>2025</v>
      </c>
      <c r="C66" s="7">
        <v>45764</v>
      </c>
      <c r="D66" s="6" t="s">
        <v>25</v>
      </c>
      <c r="E66" s="6" t="s">
        <v>26</v>
      </c>
      <c r="F66" s="6">
        <v>1</v>
      </c>
      <c r="G66" s="6" t="s">
        <v>27</v>
      </c>
      <c r="H66" s="6">
        <v>2</v>
      </c>
      <c r="I66" s="6">
        <v>4</v>
      </c>
      <c r="J66" s="6">
        <v>1.5</v>
      </c>
      <c r="K66" s="6" t="s">
        <v>44</v>
      </c>
      <c r="L66" s="6" t="str">
        <f>VLOOKUP(K66, 'Alphabetical by species code'!A:B, 2, FALSE)</f>
        <v>Amsinckia menziesii</v>
      </c>
      <c r="M66" s="6" t="str">
        <f>VLOOKUP(L66, 'Alphabetical by species code'!B:C, 2, FALSE)</f>
        <v>Native</v>
      </c>
    </row>
    <row r="67" spans="1:13" x14ac:dyDescent="0.25">
      <c r="A67" s="6">
        <v>1</v>
      </c>
      <c r="B67" s="6">
        <v>2025</v>
      </c>
      <c r="C67" s="7">
        <v>45764</v>
      </c>
      <c r="D67" s="6" t="s">
        <v>25</v>
      </c>
      <c r="E67" s="6" t="s">
        <v>26</v>
      </c>
      <c r="F67" s="6">
        <v>1</v>
      </c>
      <c r="G67" s="6" t="s">
        <v>27</v>
      </c>
      <c r="H67" s="6">
        <v>2</v>
      </c>
      <c r="I67" s="6">
        <v>4</v>
      </c>
      <c r="J67" s="6">
        <v>1.5</v>
      </c>
      <c r="K67" s="6" t="s">
        <v>31</v>
      </c>
      <c r="L67" s="6" t="str">
        <f>VLOOKUP(K67, 'Alphabetical by species code'!A:B, 2, FALSE)</f>
        <v>Festuca myuros</v>
      </c>
      <c r="M67" s="6" t="str">
        <f>VLOOKUP(L67, 'Alphabetical by species code'!B:C, 2, FALSE)</f>
        <v>Non-Native</v>
      </c>
    </row>
    <row r="68" spans="1:13" x14ac:dyDescent="0.25">
      <c r="A68" s="6">
        <v>1</v>
      </c>
      <c r="B68" s="6">
        <v>2025</v>
      </c>
      <c r="C68" s="7">
        <v>45764</v>
      </c>
      <c r="D68" s="6" t="s">
        <v>25</v>
      </c>
      <c r="E68" s="6" t="s">
        <v>26</v>
      </c>
      <c r="F68" s="6">
        <v>1</v>
      </c>
      <c r="G68" s="6" t="s">
        <v>27</v>
      </c>
      <c r="H68" s="6">
        <v>2</v>
      </c>
      <c r="I68" s="6">
        <v>5</v>
      </c>
      <c r="J68" s="6">
        <v>2.5</v>
      </c>
      <c r="K68" s="6" t="s">
        <v>28</v>
      </c>
      <c r="L68" s="6" t="str">
        <f>VLOOKUP(K68, 'Alphabetical by species code'!A:B, 2, FALSE)</f>
        <v>Litter</v>
      </c>
      <c r="M68" s="6" t="str">
        <f>VLOOKUP(L68, 'Alphabetical by species code'!B:C, 2, FALSE)</f>
        <v>Ground Cover</v>
      </c>
    </row>
    <row r="69" spans="1:13" x14ac:dyDescent="0.25">
      <c r="A69" s="6">
        <v>1</v>
      </c>
      <c r="B69" s="6">
        <v>2025</v>
      </c>
      <c r="C69" s="7">
        <v>45764</v>
      </c>
      <c r="D69" s="6" t="s">
        <v>25</v>
      </c>
      <c r="E69" s="6" t="s">
        <v>26</v>
      </c>
      <c r="F69" s="6">
        <v>1</v>
      </c>
      <c r="G69" s="6" t="s">
        <v>27</v>
      </c>
      <c r="H69" s="6">
        <v>2</v>
      </c>
      <c r="I69" s="6">
        <v>5</v>
      </c>
      <c r="J69" s="6">
        <v>2.5</v>
      </c>
      <c r="K69" s="6" t="s">
        <v>31</v>
      </c>
      <c r="L69" s="6" t="str">
        <f>VLOOKUP(K69, 'Alphabetical by species code'!A:B, 2, FALSE)</f>
        <v>Festuca myuros</v>
      </c>
      <c r="M69" s="6" t="str">
        <f>VLOOKUP(L69, 'Alphabetical by species code'!B:C, 2, FALSE)</f>
        <v>Non-Native</v>
      </c>
    </row>
    <row r="70" spans="1:13" x14ac:dyDescent="0.25">
      <c r="A70" s="6">
        <v>1</v>
      </c>
      <c r="B70" s="6">
        <v>2025</v>
      </c>
      <c r="C70" s="7">
        <v>45764</v>
      </c>
      <c r="D70" s="6" t="s">
        <v>25</v>
      </c>
      <c r="E70" s="6" t="s">
        <v>26</v>
      </c>
      <c r="F70" s="6">
        <v>1</v>
      </c>
      <c r="G70" s="6" t="s">
        <v>27</v>
      </c>
      <c r="H70" s="6">
        <v>2</v>
      </c>
      <c r="I70" s="6">
        <v>5</v>
      </c>
      <c r="J70" s="6">
        <v>2.5</v>
      </c>
      <c r="K70" s="6" t="s">
        <v>32</v>
      </c>
      <c r="L70" s="6" t="str">
        <f>VLOOKUP(K70, 'Alphabetical by species code'!A:B, 2, FALSE)</f>
        <v>Medicago polymorpha</v>
      </c>
      <c r="M70" s="6" t="str">
        <f>VLOOKUP(L70, 'Alphabetical by species code'!B:C, 2, FALSE)</f>
        <v>Non-Native</v>
      </c>
    </row>
    <row r="71" spans="1:13" x14ac:dyDescent="0.25">
      <c r="A71" s="6">
        <v>1</v>
      </c>
      <c r="B71" s="6">
        <v>2025</v>
      </c>
      <c r="C71" s="7">
        <v>45764</v>
      </c>
      <c r="D71" s="6" t="s">
        <v>25</v>
      </c>
      <c r="E71" s="6" t="s">
        <v>26</v>
      </c>
      <c r="F71" s="6">
        <v>1</v>
      </c>
      <c r="G71" s="6" t="s">
        <v>27</v>
      </c>
      <c r="H71" s="6">
        <v>2</v>
      </c>
      <c r="I71" s="6">
        <v>6</v>
      </c>
      <c r="J71" s="6">
        <v>3</v>
      </c>
      <c r="K71" s="6" t="s">
        <v>28</v>
      </c>
      <c r="L71" s="6" t="str">
        <f>VLOOKUP(K71, 'Alphabetical by species code'!A:B, 2, FALSE)</f>
        <v>Litter</v>
      </c>
      <c r="M71" s="6" t="str">
        <f>VLOOKUP(L71, 'Alphabetical by species code'!B:C, 2, FALSE)</f>
        <v>Ground Cover</v>
      </c>
    </row>
    <row r="72" spans="1:13" x14ac:dyDescent="0.25">
      <c r="A72" s="6">
        <v>1</v>
      </c>
      <c r="B72" s="6">
        <v>2025</v>
      </c>
      <c r="C72" s="7">
        <v>45764</v>
      </c>
      <c r="D72" s="6" t="s">
        <v>25</v>
      </c>
      <c r="E72" s="6" t="s">
        <v>26</v>
      </c>
      <c r="F72" s="6">
        <v>1</v>
      </c>
      <c r="G72" s="6" t="s">
        <v>27</v>
      </c>
      <c r="H72" s="6">
        <v>2</v>
      </c>
      <c r="I72" s="6">
        <v>6</v>
      </c>
      <c r="J72" s="6">
        <v>3</v>
      </c>
      <c r="K72" s="6" t="s">
        <v>32</v>
      </c>
      <c r="L72" s="6" t="str">
        <f>VLOOKUP(K72, 'Alphabetical by species code'!A:B, 2, FALSE)</f>
        <v>Medicago polymorpha</v>
      </c>
      <c r="M72" s="6" t="str">
        <f>VLOOKUP(L72, 'Alphabetical by species code'!B:C, 2, FALSE)</f>
        <v>Non-Native</v>
      </c>
    </row>
    <row r="73" spans="1:13" x14ac:dyDescent="0.25">
      <c r="A73" s="6">
        <v>1</v>
      </c>
      <c r="B73" s="6">
        <v>2025</v>
      </c>
      <c r="C73" s="7">
        <v>45764</v>
      </c>
      <c r="D73" s="6" t="s">
        <v>25</v>
      </c>
      <c r="E73" s="6" t="s">
        <v>26</v>
      </c>
      <c r="F73" s="6">
        <v>1</v>
      </c>
      <c r="G73" s="6" t="s">
        <v>27</v>
      </c>
      <c r="H73" s="6">
        <v>2</v>
      </c>
      <c r="I73" s="6">
        <v>6</v>
      </c>
      <c r="J73" s="6">
        <v>3</v>
      </c>
      <c r="K73" s="6" t="s">
        <v>30</v>
      </c>
      <c r="L73" s="6" t="str">
        <f>VLOOKUP(K73, 'Alphabetical by species code'!A:B, 2, FALSE)</f>
        <v>Erodium moschatum</v>
      </c>
      <c r="M73" s="6" t="str">
        <f>VLOOKUP(L73, 'Alphabetical by species code'!B:C, 2, FALSE)</f>
        <v>Non-Native</v>
      </c>
    </row>
    <row r="74" spans="1:13" x14ac:dyDescent="0.25">
      <c r="A74" s="6">
        <v>1</v>
      </c>
      <c r="B74" s="6">
        <v>2025</v>
      </c>
      <c r="C74" s="7">
        <v>45764</v>
      </c>
      <c r="D74" s="6" t="s">
        <v>25</v>
      </c>
      <c r="E74" s="6" t="s">
        <v>26</v>
      </c>
      <c r="F74" s="6">
        <v>1</v>
      </c>
      <c r="G74" s="6" t="s">
        <v>27</v>
      </c>
      <c r="H74" s="6">
        <v>2</v>
      </c>
      <c r="I74" s="6">
        <v>7</v>
      </c>
      <c r="J74" s="6">
        <v>3.5</v>
      </c>
      <c r="K74" s="6" t="s">
        <v>28</v>
      </c>
      <c r="L74" s="6" t="str">
        <f>VLOOKUP(K74, 'Alphabetical by species code'!A:B, 2, FALSE)</f>
        <v>Litter</v>
      </c>
      <c r="M74" s="6" t="str">
        <f>VLOOKUP(L74, 'Alphabetical by species code'!B:C, 2, FALSE)</f>
        <v>Ground Cover</v>
      </c>
    </row>
    <row r="75" spans="1:13" x14ac:dyDescent="0.25">
      <c r="A75" s="6">
        <v>1</v>
      </c>
      <c r="B75" s="6">
        <v>2025</v>
      </c>
      <c r="C75" s="7">
        <v>45764</v>
      </c>
      <c r="D75" s="6" t="s">
        <v>25</v>
      </c>
      <c r="E75" s="6" t="s">
        <v>26</v>
      </c>
      <c r="F75" s="6">
        <v>1</v>
      </c>
      <c r="G75" s="6" t="s">
        <v>27</v>
      </c>
      <c r="H75" s="6">
        <v>2</v>
      </c>
      <c r="I75" s="6">
        <v>7</v>
      </c>
      <c r="J75" s="6">
        <v>3.5</v>
      </c>
      <c r="K75" s="6" t="s">
        <v>32</v>
      </c>
      <c r="L75" s="6" t="str">
        <f>VLOOKUP(K75, 'Alphabetical by species code'!A:B, 2, FALSE)</f>
        <v>Medicago polymorpha</v>
      </c>
      <c r="M75" s="6" t="str">
        <f>VLOOKUP(L75, 'Alphabetical by species code'!B:C, 2, FALSE)</f>
        <v>Non-Native</v>
      </c>
    </row>
    <row r="76" spans="1:13" x14ac:dyDescent="0.25">
      <c r="A76" s="6">
        <v>1</v>
      </c>
      <c r="B76" s="6">
        <v>2025</v>
      </c>
      <c r="C76" s="7">
        <v>45764</v>
      </c>
      <c r="D76" s="6" t="s">
        <v>25</v>
      </c>
      <c r="E76" s="6" t="s">
        <v>26</v>
      </c>
      <c r="F76" s="6">
        <v>1</v>
      </c>
      <c r="G76" s="6" t="s">
        <v>27</v>
      </c>
      <c r="H76" s="6">
        <v>2</v>
      </c>
      <c r="I76" s="6">
        <v>7</v>
      </c>
      <c r="J76" s="6">
        <v>3.5</v>
      </c>
      <c r="K76" s="6" t="s">
        <v>30</v>
      </c>
      <c r="L76" s="6" t="str">
        <f>VLOOKUP(K76, 'Alphabetical by species code'!A:B, 2, FALSE)</f>
        <v>Erodium moschatum</v>
      </c>
      <c r="M76" s="6" t="str">
        <f>VLOOKUP(L76, 'Alphabetical by species code'!B:C, 2, FALSE)</f>
        <v>Non-Native</v>
      </c>
    </row>
    <row r="77" spans="1:13" x14ac:dyDescent="0.25">
      <c r="A77" s="6">
        <v>1</v>
      </c>
      <c r="B77" s="6">
        <v>2025</v>
      </c>
      <c r="C77" s="7">
        <v>45764</v>
      </c>
      <c r="D77" s="6" t="s">
        <v>25</v>
      </c>
      <c r="E77" s="6" t="s">
        <v>26</v>
      </c>
      <c r="F77" s="6">
        <v>1</v>
      </c>
      <c r="G77" s="6" t="s">
        <v>27</v>
      </c>
      <c r="H77" s="6">
        <v>2</v>
      </c>
      <c r="I77" s="6">
        <v>7</v>
      </c>
      <c r="J77" s="6">
        <v>3.5</v>
      </c>
      <c r="K77" s="6" t="s">
        <v>35</v>
      </c>
      <c r="L77" s="6" t="str">
        <f>VLOOKUP(K77, 'Alphabetical by species code'!A:B, 2, FALSE)</f>
        <v>Deinandra fasciculata</v>
      </c>
      <c r="M77" s="6" t="str">
        <f>VLOOKUP(L77, 'Alphabetical by species code'!B:C, 2, FALSE)</f>
        <v>Native</v>
      </c>
    </row>
    <row r="78" spans="1:13" x14ac:dyDescent="0.25">
      <c r="A78" s="6">
        <v>1</v>
      </c>
      <c r="B78" s="6">
        <v>2025</v>
      </c>
      <c r="C78" s="7">
        <v>45764</v>
      </c>
      <c r="D78" s="6" t="s">
        <v>25</v>
      </c>
      <c r="E78" s="6" t="s">
        <v>26</v>
      </c>
      <c r="F78" s="6">
        <v>1</v>
      </c>
      <c r="G78" s="6" t="s">
        <v>27</v>
      </c>
      <c r="H78" s="6">
        <v>2</v>
      </c>
      <c r="I78" s="6">
        <v>8</v>
      </c>
      <c r="J78" s="6">
        <v>4</v>
      </c>
      <c r="K78" s="6" t="s">
        <v>28</v>
      </c>
      <c r="L78" s="6" t="str">
        <f>VLOOKUP(K78, 'Alphabetical by species code'!A:B, 2, FALSE)</f>
        <v>Litter</v>
      </c>
      <c r="M78" s="6" t="str">
        <f>VLOOKUP(L78, 'Alphabetical by species code'!B:C, 2, FALSE)</f>
        <v>Ground Cover</v>
      </c>
    </row>
    <row r="79" spans="1:13" x14ac:dyDescent="0.25">
      <c r="A79" s="6">
        <v>1</v>
      </c>
      <c r="B79" s="6">
        <v>2025</v>
      </c>
      <c r="C79" s="7">
        <v>45764</v>
      </c>
      <c r="D79" s="6" t="s">
        <v>25</v>
      </c>
      <c r="E79" s="6" t="s">
        <v>26</v>
      </c>
      <c r="F79" s="6">
        <v>1</v>
      </c>
      <c r="G79" s="6" t="s">
        <v>27</v>
      </c>
      <c r="H79" s="6">
        <v>2</v>
      </c>
      <c r="I79" s="6">
        <v>8</v>
      </c>
      <c r="J79" s="6">
        <v>4</v>
      </c>
      <c r="K79" s="6" t="s">
        <v>30</v>
      </c>
      <c r="L79" s="6" t="str">
        <f>VLOOKUP(K79, 'Alphabetical by species code'!A:B, 2, FALSE)</f>
        <v>Erodium moschatum</v>
      </c>
      <c r="M79" s="6" t="str">
        <f>VLOOKUP(L79, 'Alphabetical by species code'!B:C, 2, FALSE)</f>
        <v>Non-Native</v>
      </c>
    </row>
    <row r="80" spans="1:13" x14ac:dyDescent="0.25">
      <c r="A80" s="6">
        <v>1</v>
      </c>
      <c r="B80" s="6">
        <v>2025</v>
      </c>
      <c r="C80" s="7">
        <v>45764</v>
      </c>
      <c r="D80" s="6" t="s">
        <v>25</v>
      </c>
      <c r="E80" s="6" t="s">
        <v>26</v>
      </c>
      <c r="F80" s="6">
        <v>1</v>
      </c>
      <c r="G80" s="6" t="s">
        <v>27</v>
      </c>
      <c r="H80" s="6">
        <v>2</v>
      </c>
      <c r="I80" s="6">
        <v>9</v>
      </c>
      <c r="J80" s="6">
        <v>4.5</v>
      </c>
      <c r="K80" s="6" t="s">
        <v>28</v>
      </c>
      <c r="L80" s="6" t="str">
        <f>VLOOKUP(K80, 'Alphabetical by species code'!A:B, 2, FALSE)</f>
        <v>Litter</v>
      </c>
      <c r="M80" s="6" t="str">
        <f>VLOOKUP(L80, 'Alphabetical by species code'!B:C, 2, FALSE)</f>
        <v>Ground Cover</v>
      </c>
    </row>
    <row r="81" spans="1:13" x14ac:dyDescent="0.25">
      <c r="A81" s="6">
        <v>1</v>
      </c>
      <c r="B81" s="6">
        <v>2025</v>
      </c>
      <c r="C81" s="7">
        <v>45764</v>
      </c>
      <c r="D81" s="6" t="s">
        <v>25</v>
      </c>
      <c r="E81" s="6" t="s">
        <v>26</v>
      </c>
      <c r="F81" s="6">
        <v>1</v>
      </c>
      <c r="G81" s="6" t="s">
        <v>27</v>
      </c>
      <c r="H81" s="6">
        <v>2</v>
      </c>
      <c r="I81" s="6">
        <v>9</v>
      </c>
      <c r="J81" s="6">
        <v>4.5</v>
      </c>
      <c r="K81" s="6" t="s">
        <v>36</v>
      </c>
      <c r="L81" s="6" t="str">
        <f>VLOOKUP(K81, 'Alphabetical by species code'!A:B, 2, FALSE)</f>
        <v>Bromus madritensis</v>
      </c>
      <c r="M81" s="6" t="str">
        <f>VLOOKUP(L81, 'Alphabetical by species code'!B:C, 2, FALSE)</f>
        <v>Non-Native</v>
      </c>
    </row>
    <row r="82" spans="1:13" x14ac:dyDescent="0.25">
      <c r="A82" s="6">
        <v>1</v>
      </c>
      <c r="B82" s="6">
        <v>2025</v>
      </c>
      <c r="C82" s="7">
        <v>45764</v>
      </c>
      <c r="D82" s="6" t="s">
        <v>25</v>
      </c>
      <c r="E82" s="6" t="s">
        <v>26</v>
      </c>
      <c r="F82" s="6">
        <v>1</v>
      </c>
      <c r="G82" s="6" t="s">
        <v>27</v>
      </c>
      <c r="H82" s="6">
        <v>2</v>
      </c>
      <c r="I82" s="6">
        <v>9</v>
      </c>
      <c r="J82" s="6">
        <v>4.5</v>
      </c>
      <c r="K82" s="6" t="s">
        <v>30</v>
      </c>
      <c r="L82" s="6" t="str">
        <f>VLOOKUP(K82, 'Alphabetical by species code'!A:B, 2, FALSE)</f>
        <v>Erodium moschatum</v>
      </c>
      <c r="M82" s="6" t="str">
        <f>VLOOKUP(L82, 'Alphabetical by species code'!B:C, 2, FALSE)</f>
        <v>Non-Native</v>
      </c>
    </row>
    <row r="83" spans="1:13" x14ac:dyDescent="0.25">
      <c r="A83" s="6">
        <v>1</v>
      </c>
      <c r="B83" s="6">
        <v>2025</v>
      </c>
      <c r="C83" s="7">
        <v>45764</v>
      </c>
      <c r="D83" s="6" t="s">
        <v>25</v>
      </c>
      <c r="E83" s="6" t="s">
        <v>26</v>
      </c>
      <c r="F83" s="6">
        <v>1</v>
      </c>
      <c r="G83" s="6" t="s">
        <v>27</v>
      </c>
      <c r="H83" s="6">
        <v>2</v>
      </c>
      <c r="I83" s="6">
        <v>10</v>
      </c>
      <c r="J83" s="6">
        <v>5</v>
      </c>
      <c r="K83" s="6" t="s">
        <v>28</v>
      </c>
      <c r="L83" s="6" t="str">
        <f>VLOOKUP(K83, 'Alphabetical by species code'!A:B, 2, FALSE)</f>
        <v>Litter</v>
      </c>
      <c r="M83" s="6" t="str">
        <f>VLOOKUP(L83, 'Alphabetical by species code'!B:C, 2, FALSE)</f>
        <v>Ground Cover</v>
      </c>
    </row>
    <row r="84" spans="1:13" x14ac:dyDescent="0.25">
      <c r="A84" s="6">
        <v>1</v>
      </c>
      <c r="B84" s="6">
        <v>2025</v>
      </c>
      <c r="C84" s="7">
        <v>45764</v>
      </c>
      <c r="D84" s="6" t="s">
        <v>25</v>
      </c>
      <c r="E84" s="6" t="s">
        <v>26</v>
      </c>
      <c r="F84" s="6">
        <v>1</v>
      </c>
      <c r="G84" s="6" t="s">
        <v>27</v>
      </c>
      <c r="H84" s="6">
        <v>2</v>
      </c>
      <c r="I84" s="6">
        <v>10</v>
      </c>
      <c r="J84" s="6">
        <v>5</v>
      </c>
      <c r="K84" s="6" t="s">
        <v>37</v>
      </c>
      <c r="L84" s="6" t="str">
        <f>VLOOKUP(K84, 'Alphabetical by species code'!A:B, 2, FALSE)</f>
        <v>Sonchus oleraceus</v>
      </c>
      <c r="M84" s="6" t="str">
        <f>VLOOKUP(L84, 'Alphabetical by species code'!B:C, 2, FALSE)</f>
        <v>Non-Native</v>
      </c>
    </row>
    <row r="85" spans="1:13" x14ac:dyDescent="0.25">
      <c r="A85" s="6">
        <v>1</v>
      </c>
      <c r="B85" s="6">
        <v>2025</v>
      </c>
      <c r="C85" s="7">
        <v>45764</v>
      </c>
      <c r="D85" s="6" t="s">
        <v>25</v>
      </c>
      <c r="E85" s="6" t="s">
        <v>26</v>
      </c>
      <c r="F85" s="6">
        <v>1</v>
      </c>
      <c r="G85" s="6" t="s">
        <v>27</v>
      </c>
      <c r="H85" s="6">
        <v>2</v>
      </c>
      <c r="I85" s="6">
        <v>10</v>
      </c>
      <c r="J85" s="6">
        <v>5</v>
      </c>
      <c r="K85" s="6" t="s">
        <v>30</v>
      </c>
      <c r="L85" s="6" t="str">
        <f>VLOOKUP(K85, 'Alphabetical by species code'!A:B, 2, FALSE)</f>
        <v>Erodium moschatum</v>
      </c>
      <c r="M85" s="6" t="str">
        <f>VLOOKUP(L85, 'Alphabetical by species code'!B:C, 2, FALSE)</f>
        <v>Non-Native</v>
      </c>
    </row>
    <row r="86" spans="1:13" x14ac:dyDescent="0.25">
      <c r="A86" s="6">
        <v>1</v>
      </c>
      <c r="B86" s="6">
        <v>2025</v>
      </c>
      <c r="C86" s="7">
        <v>45764</v>
      </c>
      <c r="D86" s="6" t="s">
        <v>25</v>
      </c>
      <c r="E86" s="6" t="s">
        <v>26</v>
      </c>
      <c r="F86" s="6">
        <v>1</v>
      </c>
      <c r="G86" s="6" t="s">
        <v>27</v>
      </c>
      <c r="H86" s="6">
        <v>2</v>
      </c>
      <c r="I86" s="6">
        <v>10</v>
      </c>
      <c r="J86" s="6">
        <v>5</v>
      </c>
      <c r="K86" s="6" t="s">
        <v>36</v>
      </c>
      <c r="L86" s="6" t="str">
        <f>VLOOKUP(K86, 'Alphabetical by species code'!A:B, 2, FALSE)</f>
        <v>Bromus madritensis</v>
      </c>
      <c r="M86" s="6" t="str">
        <f>VLOOKUP(L86, 'Alphabetical by species code'!B:C, 2, FALSE)</f>
        <v>Non-Native</v>
      </c>
    </row>
    <row r="87" spans="1:13" x14ac:dyDescent="0.25">
      <c r="A87" s="6">
        <v>1</v>
      </c>
      <c r="B87" s="6">
        <v>2025</v>
      </c>
      <c r="C87" s="7">
        <v>45764</v>
      </c>
      <c r="D87" s="6" t="s">
        <v>25</v>
      </c>
      <c r="E87" s="6" t="s">
        <v>26</v>
      </c>
      <c r="F87" s="6">
        <v>1</v>
      </c>
      <c r="G87" s="6" t="s">
        <v>27</v>
      </c>
      <c r="H87" s="6">
        <v>2</v>
      </c>
      <c r="I87" s="6">
        <v>11</v>
      </c>
      <c r="J87" s="6">
        <v>5.5</v>
      </c>
      <c r="K87" s="6" t="s">
        <v>28</v>
      </c>
      <c r="L87" s="6" t="str">
        <f>VLOOKUP(K87, 'Alphabetical by species code'!A:B, 2, FALSE)</f>
        <v>Litter</v>
      </c>
      <c r="M87" s="6" t="str">
        <f>VLOOKUP(L87, 'Alphabetical by species code'!B:C, 2, FALSE)</f>
        <v>Ground Cover</v>
      </c>
    </row>
    <row r="88" spans="1:13" x14ac:dyDescent="0.25">
      <c r="A88" s="6">
        <v>1</v>
      </c>
      <c r="B88" s="6">
        <v>2025</v>
      </c>
      <c r="C88" s="7">
        <v>45764</v>
      </c>
      <c r="D88" s="6" t="s">
        <v>25</v>
      </c>
      <c r="E88" s="6" t="s">
        <v>26</v>
      </c>
      <c r="F88" s="6">
        <v>1</v>
      </c>
      <c r="G88" s="6" t="s">
        <v>27</v>
      </c>
      <c r="H88" s="6">
        <v>2</v>
      </c>
      <c r="I88" s="6">
        <v>11</v>
      </c>
      <c r="J88" s="6">
        <v>5.5</v>
      </c>
      <c r="K88" s="6" t="s">
        <v>29</v>
      </c>
      <c r="L88" s="6" t="str">
        <f>VLOOKUP(K88, 'Alphabetical by species code'!A:B, 2, FALSE)</f>
        <v>Opuntia littoralis</v>
      </c>
      <c r="M88" s="6" t="str">
        <f>VLOOKUP(L88, 'Alphabetical by species code'!B:C, 2, FALSE)</f>
        <v>Native</v>
      </c>
    </row>
    <row r="89" spans="1:13" x14ac:dyDescent="0.25">
      <c r="A89" s="6">
        <v>1</v>
      </c>
      <c r="B89" s="6">
        <v>2025</v>
      </c>
      <c r="C89" s="7">
        <v>45764</v>
      </c>
      <c r="D89" s="6" t="s">
        <v>25</v>
      </c>
      <c r="E89" s="6" t="s">
        <v>26</v>
      </c>
      <c r="F89" s="6">
        <v>1</v>
      </c>
      <c r="G89" s="6" t="s">
        <v>27</v>
      </c>
      <c r="H89" s="6">
        <v>2</v>
      </c>
      <c r="I89" s="6">
        <v>11</v>
      </c>
      <c r="J89" s="6">
        <v>5.5</v>
      </c>
      <c r="K89" s="6" t="s">
        <v>37</v>
      </c>
      <c r="L89" s="6" t="str">
        <f>VLOOKUP(K89, 'Alphabetical by species code'!A:B, 2, FALSE)</f>
        <v>Sonchus oleraceus</v>
      </c>
      <c r="M89" s="6" t="str">
        <f>VLOOKUP(L89, 'Alphabetical by species code'!B:C, 2, FALSE)</f>
        <v>Non-Native</v>
      </c>
    </row>
    <row r="90" spans="1:13" x14ac:dyDescent="0.25">
      <c r="A90" s="6">
        <v>1</v>
      </c>
      <c r="B90" s="6">
        <v>2025</v>
      </c>
      <c r="C90" s="7">
        <v>45764</v>
      </c>
      <c r="D90" s="6" t="s">
        <v>25</v>
      </c>
      <c r="E90" s="6" t="s">
        <v>26</v>
      </c>
      <c r="F90" s="6">
        <v>1</v>
      </c>
      <c r="G90" s="6" t="s">
        <v>27</v>
      </c>
      <c r="H90" s="6">
        <v>2</v>
      </c>
      <c r="I90" s="6">
        <v>12</v>
      </c>
      <c r="J90" s="6">
        <v>6</v>
      </c>
      <c r="K90" s="6" t="s">
        <v>28</v>
      </c>
      <c r="L90" s="6" t="str">
        <f>VLOOKUP(K90, 'Alphabetical by species code'!A:B, 2, FALSE)</f>
        <v>Litter</v>
      </c>
      <c r="M90" s="6" t="str">
        <f>VLOOKUP(L90, 'Alphabetical by species code'!B:C, 2, FALSE)</f>
        <v>Ground Cover</v>
      </c>
    </row>
    <row r="91" spans="1:13" x14ac:dyDescent="0.25">
      <c r="A91" s="6">
        <v>1</v>
      </c>
      <c r="B91" s="6">
        <v>2025</v>
      </c>
      <c r="C91" s="7">
        <v>45764</v>
      </c>
      <c r="D91" s="6" t="s">
        <v>25</v>
      </c>
      <c r="E91" s="6" t="s">
        <v>26</v>
      </c>
      <c r="F91" s="6">
        <v>1</v>
      </c>
      <c r="G91" s="6" t="s">
        <v>27</v>
      </c>
      <c r="H91" s="6">
        <v>2</v>
      </c>
      <c r="I91" s="6">
        <v>12</v>
      </c>
      <c r="J91" s="6">
        <v>6</v>
      </c>
      <c r="K91" s="6" t="s">
        <v>36</v>
      </c>
      <c r="L91" s="6" t="str">
        <f>VLOOKUP(K91, 'Alphabetical by species code'!A:B, 2, FALSE)</f>
        <v>Bromus madritensis</v>
      </c>
      <c r="M91" s="6" t="str">
        <f>VLOOKUP(L91, 'Alphabetical by species code'!B:C, 2, FALSE)</f>
        <v>Non-Native</v>
      </c>
    </row>
    <row r="92" spans="1:13" x14ac:dyDescent="0.25">
      <c r="A92" s="6">
        <v>1</v>
      </c>
      <c r="B92" s="6">
        <v>2025</v>
      </c>
      <c r="C92" s="7">
        <v>45764</v>
      </c>
      <c r="D92" s="6" t="s">
        <v>25</v>
      </c>
      <c r="E92" s="6" t="s">
        <v>26</v>
      </c>
      <c r="F92" s="6">
        <v>1</v>
      </c>
      <c r="G92" s="6" t="s">
        <v>27</v>
      </c>
      <c r="H92" s="6">
        <v>2</v>
      </c>
      <c r="I92" s="6">
        <v>12</v>
      </c>
      <c r="J92" s="6">
        <v>6</v>
      </c>
      <c r="K92" s="6" t="s">
        <v>37</v>
      </c>
      <c r="L92" s="6" t="str">
        <f>VLOOKUP(K92, 'Alphabetical by species code'!A:B, 2, FALSE)</f>
        <v>Sonchus oleraceus</v>
      </c>
      <c r="M92" s="6" t="str">
        <f>VLOOKUP(L92, 'Alphabetical by species code'!B:C, 2, FALSE)</f>
        <v>Non-Native</v>
      </c>
    </row>
    <row r="93" spans="1:13" x14ac:dyDescent="0.25">
      <c r="A93" s="6">
        <v>1</v>
      </c>
      <c r="B93" s="6">
        <v>2025</v>
      </c>
      <c r="C93" s="7">
        <v>45764</v>
      </c>
      <c r="D93" s="6" t="s">
        <v>25</v>
      </c>
      <c r="E93" s="6" t="s">
        <v>26</v>
      </c>
      <c r="F93" s="6">
        <v>1</v>
      </c>
      <c r="G93" s="6" t="s">
        <v>27</v>
      </c>
      <c r="H93" s="6">
        <v>2</v>
      </c>
      <c r="I93" s="6">
        <v>12</v>
      </c>
      <c r="J93" s="6">
        <v>6</v>
      </c>
      <c r="K93" s="6" t="s">
        <v>32</v>
      </c>
      <c r="L93" s="6" t="str">
        <f>VLOOKUP(K93, 'Alphabetical by species code'!A:B, 2, FALSE)</f>
        <v>Medicago polymorpha</v>
      </c>
      <c r="M93" s="6" t="str">
        <f>VLOOKUP(L93, 'Alphabetical by species code'!B:C, 2, FALSE)</f>
        <v>Non-Native</v>
      </c>
    </row>
    <row r="94" spans="1:13" x14ac:dyDescent="0.25">
      <c r="A94" s="6">
        <v>1</v>
      </c>
      <c r="B94" s="6">
        <v>2025</v>
      </c>
      <c r="C94" s="7">
        <v>45764</v>
      </c>
      <c r="D94" s="6" t="s">
        <v>25</v>
      </c>
      <c r="E94" s="6" t="s">
        <v>26</v>
      </c>
      <c r="F94" s="6">
        <v>1</v>
      </c>
      <c r="G94" s="6" t="s">
        <v>27</v>
      </c>
      <c r="H94" s="6">
        <v>2</v>
      </c>
      <c r="I94" s="6">
        <v>13</v>
      </c>
      <c r="J94" s="6">
        <v>6.5</v>
      </c>
      <c r="K94" s="6" t="s">
        <v>28</v>
      </c>
      <c r="L94" s="6" t="str">
        <f>VLOOKUP(K94, 'Alphabetical by species code'!A:B, 2, FALSE)</f>
        <v>Litter</v>
      </c>
      <c r="M94" s="6" t="str">
        <f>VLOOKUP(L94, 'Alphabetical by species code'!B:C, 2, FALSE)</f>
        <v>Ground Cover</v>
      </c>
    </row>
    <row r="95" spans="1:13" x14ac:dyDescent="0.25">
      <c r="A95" s="6">
        <v>1</v>
      </c>
      <c r="B95" s="6">
        <v>2025</v>
      </c>
      <c r="C95" s="7">
        <v>45764</v>
      </c>
      <c r="D95" s="6" t="s">
        <v>25</v>
      </c>
      <c r="E95" s="6" t="s">
        <v>26</v>
      </c>
      <c r="F95" s="6">
        <v>1</v>
      </c>
      <c r="G95" s="6" t="s">
        <v>27</v>
      </c>
      <c r="H95" s="6">
        <v>2</v>
      </c>
      <c r="I95" s="6">
        <v>13</v>
      </c>
      <c r="J95" s="6">
        <v>6.5</v>
      </c>
      <c r="K95" s="6" t="s">
        <v>36</v>
      </c>
      <c r="L95" s="6" t="str">
        <f>VLOOKUP(K95, 'Alphabetical by species code'!A:B, 2, FALSE)</f>
        <v>Bromus madritensis</v>
      </c>
      <c r="M95" s="6" t="str">
        <f>VLOOKUP(L95, 'Alphabetical by species code'!B:C, 2, FALSE)</f>
        <v>Non-Native</v>
      </c>
    </row>
    <row r="96" spans="1:13" x14ac:dyDescent="0.25">
      <c r="A96" s="6">
        <v>1</v>
      </c>
      <c r="B96" s="6">
        <v>2025</v>
      </c>
      <c r="C96" s="7">
        <v>45764</v>
      </c>
      <c r="D96" s="6" t="s">
        <v>25</v>
      </c>
      <c r="E96" s="6" t="s">
        <v>26</v>
      </c>
      <c r="F96" s="6">
        <v>1</v>
      </c>
      <c r="G96" s="6" t="s">
        <v>27</v>
      </c>
      <c r="H96" s="6">
        <v>2</v>
      </c>
      <c r="I96" s="6">
        <v>13</v>
      </c>
      <c r="J96" s="6">
        <v>6.5</v>
      </c>
      <c r="K96" s="6" t="s">
        <v>35</v>
      </c>
      <c r="L96" s="6" t="str">
        <f>VLOOKUP(K96, 'Alphabetical by species code'!A:B, 2, FALSE)</f>
        <v>Deinandra fasciculata</v>
      </c>
      <c r="M96" s="6" t="str">
        <f>VLOOKUP(L96, 'Alphabetical by species code'!B:C, 2, FALSE)</f>
        <v>Native</v>
      </c>
    </row>
    <row r="97" spans="1:13" x14ac:dyDescent="0.25">
      <c r="A97" s="6">
        <v>1</v>
      </c>
      <c r="B97" s="6">
        <v>2025</v>
      </c>
      <c r="C97" s="7">
        <v>45764</v>
      </c>
      <c r="D97" s="6" t="s">
        <v>25</v>
      </c>
      <c r="E97" s="6" t="s">
        <v>26</v>
      </c>
      <c r="F97" s="6">
        <v>1</v>
      </c>
      <c r="G97" s="6" t="s">
        <v>27</v>
      </c>
      <c r="H97" s="6">
        <v>2</v>
      </c>
      <c r="I97" s="6">
        <v>14</v>
      </c>
      <c r="J97" s="6">
        <v>7</v>
      </c>
      <c r="K97" s="6" t="s">
        <v>28</v>
      </c>
      <c r="L97" s="6" t="str">
        <f>VLOOKUP(K97, 'Alphabetical by species code'!A:B, 2, FALSE)</f>
        <v>Litter</v>
      </c>
      <c r="M97" s="6" t="str">
        <f>VLOOKUP(L97, 'Alphabetical by species code'!B:C, 2, FALSE)</f>
        <v>Ground Cover</v>
      </c>
    </row>
    <row r="98" spans="1:13" x14ac:dyDescent="0.25">
      <c r="A98" s="6">
        <v>1</v>
      </c>
      <c r="B98" s="6">
        <v>2025</v>
      </c>
      <c r="C98" s="7">
        <v>45764</v>
      </c>
      <c r="D98" s="6" t="s">
        <v>25</v>
      </c>
      <c r="E98" s="6" t="s">
        <v>26</v>
      </c>
      <c r="F98" s="6">
        <v>1</v>
      </c>
      <c r="G98" s="6" t="s">
        <v>27</v>
      </c>
      <c r="H98" s="6">
        <v>2</v>
      </c>
      <c r="I98" s="6">
        <v>14</v>
      </c>
      <c r="J98" s="6">
        <v>7</v>
      </c>
      <c r="K98" s="6" t="s">
        <v>36</v>
      </c>
      <c r="L98" s="6" t="str">
        <f>VLOOKUP(K98, 'Alphabetical by species code'!A:B, 2, FALSE)</f>
        <v>Bromus madritensis</v>
      </c>
      <c r="M98" s="6" t="str">
        <f>VLOOKUP(L98, 'Alphabetical by species code'!B:C, 2, FALSE)</f>
        <v>Non-Native</v>
      </c>
    </row>
    <row r="99" spans="1:13" x14ac:dyDescent="0.25">
      <c r="A99" s="6">
        <v>1</v>
      </c>
      <c r="B99" s="6">
        <v>2025</v>
      </c>
      <c r="C99" s="7">
        <v>45764</v>
      </c>
      <c r="D99" s="6" t="s">
        <v>25</v>
      </c>
      <c r="E99" s="6" t="s">
        <v>26</v>
      </c>
      <c r="F99" s="6">
        <v>1</v>
      </c>
      <c r="G99" s="6" t="s">
        <v>27</v>
      </c>
      <c r="H99" s="6">
        <v>2</v>
      </c>
      <c r="I99" s="6">
        <v>14</v>
      </c>
      <c r="J99" s="6">
        <v>7</v>
      </c>
      <c r="K99" s="6" t="s">
        <v>37</v>
      </c>
      <c r="L99" s="6" t="str">
        <f>VLOOKUP(K99, 'Alphabetical by species code'!A:B, 2, FALSE)</f>
        <v>Sonchus oleraceus</v>
      </c>
      <c r="M99" s="6" t="str">
        <f>VLOOKUP(L99, 'Alphabetical by species code'!B:C, 2, FALSE)</f>
        <v>Non-Native</v>
      </c>
    </row>
    <row r="100" spans="1:13" x14ac:dyDescent="0.25">
      <c r="A100" s="6">
        <v>1</v>
      </c>
      <c r="B100" s="6">
        <v>2025</v>
      </c>
      <c r="C100" s="7">
        <v>45764</v>
      </c>
      <c r="D100" s="6" t="s">
        <v>25</v>
      </c>
      <c r="E100" s="6" t="s">
        <v>26</v>
      </c>
      <c r="F100" s="6">
        <v>1</v>
      </c>
      <c r="G100" s="6" t="s">
        <v>27</v>
      </c>
      <c r="H100" s="6">
        <v>2</v>
      </c>
      <c r="I100" s="6">
        <v>14</v>
      </c>
      <c r="J100" s="6">
        <v>7</v>
      </c>
      <c r="K100" s="6" t="s">
        <v>32</v>
      </c>
      <c r="L100" s="6" t="str">
        <f>VLOOKUP(K100, 'Alphabetical by species code'!A:B, 2, FALSE)</f>
        <v>Medicago polymorpha</v>
      </c>
      <c r="M100" s="6" t="str">
        <f>VLOOKUP(L100, 'Alphabetical by species code'!B:C, 2, FALSE)</f>
        <v>Non-Native</v>
      </c>
    </row>
    <row r="101" spans="1:13" x14ac:dyDescent="0.25">
      <c r="A101" s="6">
        <v>1</v>
      </c>
      <c r="B101" s="6">
        <v>2025</v>
      </c>
      <c r="C101" s="7">
        <v>45764</v>
      </c>
      <c r="D101" s="6" t="s">
        <v>25</v>
      </c>
      <c r="E101" s="6" t="s">
        <v>26</v>
      </c>
      <c r="F101" s="6">
        <v>1</v>
      </c>
      <c r="G101" s="6" t="s">
        <v>27</v>
      </c>
      <c r="H101" s="6">
        <v>2</v>
      </c>
      <c r="I101" s="6">
        <v>15</v>
      </c>
      <c r="J101" s="6">
        <v>7.5</v>
      </c>
      <c r="K101" s="6" t="s">
        <v>28</v>
      </c>
      <c r="L101" s="6" t="str">
        <f>VLOOKUP(K101, 'Alphabetical by species code'!A:B, 2, FALSE)</f>
        <v>Litter</v>
      </c>
      <c r="M101" s="6" t="str">
        <f>VLOOKUP(L101, 'Alphabetical by species code'!B:C, 2, FALSE)</f>
        <v>Ground Cover</v>
      </c>
    </row>
    <row r="102" spans="1:13" x14ac:dyDescent="0.25">
      <c r="A102" s="6">
        <v>1</v>
      </c>
      <c r="B102" s="6">
        <v>2025</v>
      </c>
      <c r="C102" s="7">
        <v>45764</v>
      </c>
      <c r="D102" s="6" t="s">
        <v>25</v>
      </c>
      <c r="E102" s="6" t="s">
        <v>26</v>
      </c>
      <c r="F102" s="6">
        <v>1</v>
      </c>
      <c r="G102" s="6" t="s">
        <v>27</v>
      </c>
      <c r="H102" s="6">
        <v>2</v>
      </c>
      <c r="I102" s="6">
        <v>15</v>
      </c>
      <c r="J102" s="6">
        <v>7.5</v>
      </c>
      <c r="K102" s="6" t="s">
        <v>32</v>
      </c>
      <c r="L102" s="6" t="str">
        <f>VLOOKUP(K102, 'Alphabetical by species code'!A:B, 2, FALSE)</f>
        <v>Medicago polymorpha</v>
      </c>
      <c r="M102" s="6" t="str">
        <f>VLOOKUP(L102, 'Alphabetical by species code'!B:C, 2, FALSE)</f>
        <v>Non-Native</v>
      </c>
    </row>
    <row r="103" spans="1:13" x14ac:dyDescent="0.25">
      <c r="A103" s="6">
        <v>1</v>
      </c>
      <c r="B103" s="6">
        <v>2025</v>
      </c>
      <c r="C103" s="7">
        <v>45764</v>
      </c>
      <c r="D103" s="6" t="s">
        <v>25</v>
      </c>
      <c r="E103" s="6" t="s">
        <v>26</v>
      </c>
      <c r="F103" s="6">
        <v>1</v>
      </c>
      <c r="G103" s="6" t="s">
        <v>27</v>
      </c>
      <c r="H103" s="6">
        <v>2</v>
      </c>
      <c r="I103" s="6">
        <v>15</v>
      </c>
      <c r="J103" s="6">
        <v>7.5</v>
      </c>
      <c r="K103" s="6" t="s">
        <v>35</v>
      </c>
      <c r="L103" s="6" t="str">
        <f>VLOOKUP(K103, 'Alphabetical by species code'!A:B, 2, FALSE)</f>
        <v>Deinandra fasciculata</v>
      </c>
      <c r="M103" s="6" t="str">
        <f>VLOOKUP(L103, 'Alphabetical by species code'!B:C, 2, FALSE)</f>
        <v>Native</v>
      </c>
    </row>
    <row r="104" spans="1:13" x14ac:dyDescent="0.25">
      <c r="A104" s="6">
        <v>1</v>
      </c>
      <c r="B104" s="6">
        <v>2025</v>
      </c>
      <c r="C104" s="7">
        <v>45764</v>
      </c>
      <c r="D104" s="6" t="s">
        <v>25</v>
      </c>
      <c r="E104" s="6" t="s">
        <v>26</v>
      </c>
      <c r="F104" s="6">
        <v>1</v>
      </c>
      <c r="G104" s="6" t="s">
        <v>27</v>
      </c>
      <c r="H104" s="6">
        <v>2</v>
      </c>
      <c r="I104" s="6">
        <v>15</v>
      </c>
      <c r="J104" s="6">
        <v>7.5</v>
      </c>
      <c r="K104" s="6" t="s">
        <v>30</v>
      </c>
      <c r="L104" s="6" t="str">
        <f>VLOOKUP(K104, 'Alphabetical by species code'!A:B, 2, FALSE)</f>
        <v>Erodium moschatum</v>
      </c>
      <c r="M104" s="6" t="str">
        <f>VLOOKUP(L104, 'Alphabetical by species code'!B:C, 2, FALSE)</f>
        <v>Non-Native</v>
      </c>
    </row>
    <row r="105" spans="1:13" x14ac:dyDescent="0.25">
      <c r="A105" s="6">
        <v>2</v>
      </c>
      <c r="B105" s="6">
        <v>2025</v>
      </c>
      <c r="C105" s="7">
        <v>45755</v>
      </c>
      <c r="D105" s="6" t="s">
        <v>45</v>
      </c>
      <c r="E105" s="6" t="s">
        <v>26</v>
      </c>
      <c r="F105" s="6">
        <v>1</v>
      </c>
      <c r="G105" s="6" t="s">
        <v>46</v>
      </c>
      <c r="H105" s="6">
        <v>1</v>
      </c>
      <c r="I105" s="6">
        <v>1</v>
      </c>
      <c r="J105" s="6">
        <v>0</v>
      </c>
      <c r="K105" s="6" t="s">
        <v>28</v>
      </c>
      <c r="L105" s="6" t="str">
        <f>VLOOKUP(K105, 'Alphabetical by species code'!A:B, 2, FALSE)</f>
        <v>Litter</v>
      </c>
      <c r="M105" s="6" t="str">
        <f>VLOOKUP(L105, 'Alphabetical by species code'!B:C, 2, FALSE)</f>
        <v>Ground Cover</v>
      </c>
    </row>
    <row r="106" spans="1:13" x14ac:dyDescent="0.25">
      <c r="A106" s="6">
        <v>2</v>
      </c>
      <c r="B106" s="6">
        <v>2025</v>
      </c>
      <c r="C106" s="7">
        <v>45755</v>
      </c>
      <c r="D106" s="6" t="s">
        <v>45</v>
      </c>
      <c r="E106" s="6" t="s">
        <v>26</v>
      </c>
      <c r="F106" s="6">
        <v>1</v>
      </c>
      <c r="G106" s="6" t="s">
        <v>46</v>
      </c>
      <c r="H106" s="6">
        <v>1</v>
      </c>
      <c r="I106" s="6">
        <v>1</v>
      </c>
      <c r="J106" s="6">
        <v>0</v>
      </c>
      <c r="K106" s="6" t="s">
        <v>42</v>
      </c>
      <c r="L106" s="6" t="str">
        <f>VLOOKUP(K106, 'Alphabetical by species code'!A:B, 2, FALSE)</f>
        <v>Centaurea melitensis</v>
      </c>
      <c r="M106" s="6" t="str">
        <f>VLOOKUP(L106, 'Alphabetical by species code'!B:C, 2, FALSE)</f>
        <v>Non-Native</v>
      </c>
    </row>
    <row r="107" spans="1:13" x14ac:dyDescent="0.25">
      <c r="A107" s="6">
        <v>2</v>
      </c>
      <c r="B107" s="6">
        <v>2025</v>
      </c>
      <c r="C107" s="7">
        <v>45755</v>
      </c>
      <c r="D107" s="6" t="s">
        <v>45</v>
      </c>
      <c r="E107" s="6" t="s">
        <v>26</v>
      </c>
      <c r="F107" s="6">
        <v>1</v>
      </c>
      <c r="G107" s="6" t="s">
        <v>46</v>
      </c>
      <c r="H107" s="6">
        <v>1</v>
      </c>
      <c r="I107" s="6">
        <v>1</v>
      </c>
      <c r="J107" s="6">
        <v>0</v>
      </c>
      <c r="K107" s="6" t="s">
        <v>35</v>
      </c>
      <c r="L107" s="6" t="str">
        <f>VLOOKUP(K107, 'Alphabetical by species code'!A:B, 2, FALSE)</f>
        <v>Deinandra fasciculata</v>
      </c>
      <c r="M107" s="6" t="str">
        <f>VLOOKUP(L107, 'Alphabetical by species code'!B:C, 2, FALSE)</f>
        <v>Native</v>
      </c>
    </row>
    <row r="108" spans="1:13" x14ac:dyDescent="0.25">
      <c r="A108" s="6">
        <v>2</v>
      </c>
      <c r="B108" s="6">
        <v>2025</v>
      </c>
      <c r="C108" s="7">
        <v>45755</v>
      </c>
      <c r="D108" s="6" t="s">
        <v>45</v>
      </c>
      <c r="E108" s="6" t="s">
        <v>26</v>
      </c>
      <c r="F108" s="6">
        <v>1</v>
      </c>
      <c r="G108" s="6" t="s">
        <v>46</v>
      </c>
      <c r="H108" s="6">
        <v>1</v>
      </c>
      <c r="I108" s="6">
        <v>2</v>
      </c>
      <c r="J108" s="6">
        <v>0.5</v>
      </c>
      <c r="K108" s="6" t="s">
        <v>28</v>
      </c>
      <c r="L108" s="6" t="str">
        <f>VLOOKUP(K108, 'Alphabetical by species code'!A:B, 2, FALSE)</f>
        <v>Litter</v>
      </c>
      <c r="M108" s="6" t="str">
        <f>VLOOKUP(L108, 'Alphabetical by species code'!B:C, 2, FALSE)</f>
        <v>Ground Cover</v>
      </c>
    </row>
    <row r="109" spans="1:13" x14ac:dyDescent="0.25">
      <c r="A109" s="6">
        <v>2</v>
      </c>
      <c r="B109" s="6">
        <v>2025</v>
      </c>
      <c r="C109" s="7">
        <v>45755</v>
      </c>
      <c r="D109" s="6" t="s">
        <v>45</v>
      </c>
      <c r="E109" s="6" t="s">
        <v>26</v>
      </c>
      <c r="F109" s="6">
        <v>1</v>
      </c>
      <c r="G109" s="6" t="s">
        <v>46</v>
      </c>
      <c r="H109" s="6">
        <v>1</v>
      </c>
      <c r="I109" s="6">
        <v>3</v>
      </c>
      <c r="J109" s="6">
        <v>1</v>
      </c>
      <c r="K109" s="6" t="s">
        <v>28</v>
      </c>
      <c r="L109" s="6" t="str">
        <f>VLOOKUP(K109, 'Alphabetical by species code'!A:B, 2, FALSE)</f>
        <v>Litter</v>
      </c>
      <c r="M109" s="6" t="str">
        <f>VLOOKUP(L109, 'Alphabetical by species code'!B:C, 2, FALSE)</f>
        <v>Ground Cover</v>
      </c>
    </row>
    <row r="110" spans="1:13" x14ac:dyDescent="0.25">
      <c r="A110" s="6">
        <v>2</v>
      </c>
      <c r="B110" s="6">
        <v>2025</v>
      </c>
      <c r="C110" s="7">
        <v>45755</v>
      </c>
      <c r="D110" s="6" t="s">
        <v>45</v>
      </c>
      <c r="E110" s="6" t="s">
        <v>26</v>
      </c>
      <c r="F110" s="6">
        <v>1</v>
      </c>
      <c r="G110" s="6" t="s">
        <v>46</v>
      </c>
      <c r="H110" s="6">
        <v>1</v>
      </c>
      <c r="I110" s="6">
        <v>3</v>
      </c>
      <c r="J110" s="6">
        <v>1</v>
      </c>
      <c r="K110" s="6" t="s">
        <v>29</v>
      </c>
      <c r="L110" s="6" t="str">
        <f>VLOOKUP(K110, 'Alphabetical by species code'!A:B, 2, FALSE)</f>
        <v>Opuntia littoralis</v>
      </c>
      <c r="M110" s="6" t="str">
        <f>VLOOKUP(L110, 'Alphabetical by species code'!B:C, 2, FALSE)</f>
        <v>Native</v>
      </c>
    </row>
    <row r="111" spans="1:13" x14ac:dyDescent="0.25">
      <c r="A111" s="6">
        <v>2</v>
      </c>
      <c r="B111" s="6">
        <v>2025</v>
      </c>
      <c r="C111" s="7">
        <v>45755</v>
      </c>
      <c r="D111" s="6" t="s">
        <v>45</v>
      </c>
      <c r="E111" s="6" t="s">
        <v>26</v>
      </c>
      <c r="F111" s="6">
        <v>1</v>
      </c>
      <c r="G111" s="6" t="s">
        <v>46</v>
      </c>
      <c r="H111" s="6">
        <v>1</v>
      </c>
      <c r="I111" s="6">
        <v>3</v>
      </c>
      <c r="J111" s="6">
        <v>1</v>
      </c>
      <c r="K111" s="6" t="s">
        <v>31</v>
      </c>
      <c r="L111" s="6" t="str">
        <f>VLOOKUP(K111, 'Alphabetical by species code'!A:B, 2, FALSE)</f>
        <v>Festuca myuros</v>
      </c>
      <c r="M111" s="6" t="str">
        <f>VLOOKUP(L111, 'Alphabetical by species code'!B:C, 2, FALSE)</f>
        <v>Non-Native</v>
      </c>
    </row>
    <row r="112" spans="1:13" x14ac:dyDescent="0.25">
      <c r="A112" s="6">
        <v>2</v>
      </c>
      <c r="B112" s="6">
        <v>2025</v>
      </c>
      <c r="C112" s="7">
        <v>45755</v>
      </c>
      <c r="D112" s="6" t="s">
        <v>45</v>
      </c>
      <c r="E112" s="6" t="s">
        <v>26</v>
      </c>
      <c r="F112" s="6">
        <v>1</v>
      </c>
      <c r="G112" s="6" t="s">
        <v>46</v>
      </c>
      <c r="H112" s="6">
        <v>1</v>
      </c>
      <c r="I112" s="6">
        <v>4</v>
      </c>
      <c r="J112" s="6">
        <v>1.5</v>
      </c>
      <c r="K112" s="6" t="s">
        <v>28</v>
      </c>
      <c r="L112" s="6" t="str">
        <f>VLOOKUP(K112, 'Alphabetical by species code'!A:B, 2, FALSE)</f>
        <v>Litter</v>
      </c>
      <c r="M112" s="6" t="str">
        <f>VLOOKUP(L112, 'Alphabetical by species code'!B:C, 2, FALSE)</f>
        <v>Ground Cover</v>
      </c>
    </row>
    <row r="113" spans="1:13" x14ac:dyDescent="0.25">
      <c r="A113" s="6">
        <v>2</v>
      </c>
      <c r="B113" s="6">
        <v>2025</v>
      </c>
      <c r="C113" s="7">
        <v>45755</v>
      </c>
      <c r="D113" s="6" t="s">
        <v>45</v>
      </c>
      <c r="E113" s="6" t="s">
        <v>26</v>
      </c>
      <c r="F113" s="6">
        <v>1</v>
      </c>
      <c r="G113" s="6" t="s">
        <v>46</v>
      </c>
      <c r="H113" s="6">
        <v>1</v>
      </c>
      <c r="I113" s="6">
        <v>4</v>
      </c>
      <c r="J113" s="6">
        <v>1.5</v>
      </c>
      <c r="K113" s="6" t="s">
        <v>35</v>
      </c>
      <c r="L113" s="6" t="str">
        <f>VLOOKUP(K113, 'Alphabetical by species code'!A:B, 2, FALSE)</f>
        <v>Deinandra fasciculata</v>
      </c>
      <c r="M113" s="6" t="str">
        <f>VLOOKUP(L113, 'Alphabetical by species code'!B:C, 2, FALSE)</f>
        <v>Native</v>
      </c>
    </row>
    <row r="114" spans="1:13" x14ac:dyDescent="0.25">
      <c r="A114" s="6">
        <v>2</v>
      </c>
      <c r="B114" s="6">
        <v>2025</v>
      </c>
      <c r="C114" s="7">
        <v>45755</v>
      </c>
      <c r="D114" s="6" t="s">
        <v>45</v>
      </c>
      <c r="E114" s="6" t="s">
        <v>26</v>
      </c>
      <c r="F114" s="6">
        <v>1</v>
      </c>
      <c r="G114" s="6" t="s">
        <v>46</v>
      </c>
      <c r="H114" s="6">
        <v>1</v>
      </c>
      <c r="I114" s="6">
        <v>4</v>
      </c>
      <c r="J114" s="6">
        <v>1.5</v>
      </c>
      <c r="K114" s="6" t="s">
        <v>31</v>
      </c>
      <c r="L114" s="6" t="str">
        <f>VLOOKUP(K114, 'Alphabetical by species code'!A:B, 2, FALSE)</f>
        <v>Festuca myuros</v>
      </c>
      <c r="M114" s="6" t="str">
        <f>VLOOKUP(L114, 'Alphabetical by species code'!B:C, 2, FALSE)</f>
        <v>Non-Native</v>
      </c>
    </row>
    <row r="115" spans="1:13" x14ac:dyDescent="0.25">
      <c r="A115" s="6">
        <v>2</v>
      </c>
      <c r="B115" s="6">
        <v>2025</v>
      </c>
      <c r="C115" s="7">
        <v>45755</v>
      </c>
      <c r="D115" s="6" t="s">
        <v>45</v>
      </c>
      <c r="E115" s="6" t="s">
        <v>26</v>
      </c>
      <c r="F115" s="6">
        <v>1</v>
      </c>
      <c r="G115" s="6" t="s">
        <v>46</v>
      </c>
      <c r="H115" s="6">
        <v>1</v>
      </c>
      <c r="I115" s="6">
        <v>5</v>
      </c>
      <c r="J115" s="6">
        <v>2</v>
      </c>
      <c r="K115" s="6" t="s">
        <v>28</v>
      </c>
      <c r="L115" s="6" t="str">
        <f>VLOOKUP(K115, 'Alphabetical by species code'!A:B, 2, FALSE)</f>
        <v>Litter</v>
      </c>
      <c r="M115" s="6" t="str">
        <f>VLOOKUP(L115, 'Alphabetical by species code'!B:C, 2, FALSE)</f>
        <v>Ground Cover</v>
      </c>
    </row>
    <row r="116" spans="1:13" x14ac:dyDescent="0.25">
      <c r="A116" s="6">
        <v>2</v>
      </c>
      <c r="B116" s="6">
        <v>2025</v>
      </c>
      <c r="C116" s="7">
        <v>45755</v>
      </c>
      <c r="D116" s="6" t="s">
        <v>45</v>
      </c>
      <c r="E116" s="6" t="s">
        <v>26</v>
      </c>
      <c r="F116" s="6">
        <v>1</v>
      </c>
      <c r="G116" s="6" t="s">
        <v>46</v>
      </c>
      <c r="H116" s="6">
        <v>1</v>
      </c>
      <c r="I116" s="6">
        <v>5</v>
      </c>
      <c r="J116" s="6">
        <v>2</v>
      </c>
      <c r="K116" s="6" t="s">
        <v>42</v>
      </c>
      <c r="L116" s="6" t="str">
        <f>VLOOKUP(K116, 'Alphabetical by species code'!A:B, 2, FALSE)</f>
        <v>Centaurea melitensis</v>
      </c>
      <c r="M116" s="6" t="str">
        <f>VLOOKUP(L116, 'Alphabetical by species code'!B:C, 2, FALSE)</f>
        <v>Non-Native</v>
      </c>
    </row>
    <row r="117" spans="1:13" x14ac:dyDescent="0.25">
      <c r="A117" s="6">
        <v>2</v>
      </c>
      <c r="B117" s="6">
        <v>2025</v>
      </c>
      <c r="C117" s="7">
        <v>45755</v>
      </c>
      <c r="D117" s="6" t="s">
        <v>45</v>
      </c>
      <c r="E117" s="6" t="s">
        <v>26</v>
      </c>
      <c r="F117" s="6">
        <v>1</v>
      </c>
      <c r="G117" s="6" t="s">
        <v>46</v>
      </c>
      <c r="H117" s="6">
        <v>1</v>
      </c>
      <c r="I117" s="6">
        <v>6</v>
      </c>
      <c r="J117" s="6">
        <v>2.5</v>
      </c>
      <c r="K117" s="6" t="s">
        <v>28</v>
      </c>
      <c r="L117" s="6" t="str">
        <f>VLOOKUP(K117, 'Alphabetical by species code'!A:B, 2, FALSE)</f>
        <v>Litter</v>
      </c>
      <c r="M117" s="6" t="str">
        <f>VLOOKUP(L117, 'Alphabetical by species code'!B:C, 2, FALSE)</f>
        <v>Ground Cover</v>
      </c>
    </row>
    <row r="118" spans="1:13" x14ac:dyDescent="0.25">
      <c r="A118" s="6">
        <v>2</v>
      </c>
      <c r="B118" s="6">
        <v>2025</v>
      </c>
      <c r="C118" s="7">
        <v>45755</v>
      </c>
      <c r="D118" s="6" t="s">
        <v>45</v>
      </c>
      <c r="E118" s="6" t="s">
        <v>26</v>
      </c>
      <c r="F118" s="6">
        <v>1</v>
      </c>
      <c r="G118" s="6" t="s">
        <v>46</v>
      </c>
      <c r="H118" s="6">
        <v>1</v>
      </c>
      <c r="I118" s="6">
        <v>6</v>
      </c>
      <c r="J118" s="6">
        <v>2.5</v>
      </c>
      <c r="K118" s="6" t="s">
        <v>34</v>
      </c>
      <c r="L118" s="6" t="str">
        <f>VLOOKUP(K118, 'Alphabetical by species code'!A:B, 2, FALSE)</f>
        <v>Erodium cicutarium</v>
      </c>
      <c r="M118" s="6" t="str">
        <f>VLOOKUP(L118, 'Alphabetical by species code'!B:C, 2, FALSE)</f>
        <v>Non-Native</v>
      </c>
    </row>
    <row r="119" spans="1:13" x14ac:dyDescent="0.25">
      <c r="A119" s="6">
        <v>2</v>
      </c>
      <c r="B119" s="6">
        <v>2025</v>
      </c>
      <c r="C119" s="7">
        <v>45755</v>
      </c>
      <c r="D119" s="6" t="s">
        <v>45</v>
      </c>
      <c r="E119" s="6" t="s">
        <v>26</v>
      </c>
      <c r="F119" s="6">
        <v>1</v>
      </c>
      <c r="G119" s="6" t="s">
        <v>46</v>
      </c>
      <c r="H119" s="6">
        <v>1</v>
      </c>
      <c r="I119" s="6">
        <v>6</v>
      </c>
      <c r="J119" s="6">
        <v>2.5</v>
      </c>
      <c r="K119" s="6" t="s">
        <v>42</v>
      </c>
      <c r="L119" s="6" t="str">
        <f>VLOOKUP(K119, 'Alphabetical by species code'!A:B, 2, FALSE)</f>
        <v>Centaurea melitensis</v>
      </c>
      <c r="M119" s="6" t="str">
        <f>VLOOKUP(L119, 'Alphabetical by species code'!B:C, 2, FALSE)</f>
        <v>Non-Native</v>
      </c>
    </row>
    <row r="120" spans="1:13" x14ac:dyDescent="0.25">
      <c r="A120" s="6">
        <v>2</v>
      </c>
      <c r="B120" s="6">
        <v>2025</v>
      </c>
      <c r="C120" s="7">
        <v>45755</v>
      </c>
      <c r="D120" s="6" t="s">
        <v>45</v>
      </c>
      <c r="E120" s="6" t="s">
        <v>26</v>
      </c>
      <c r="F120" s="6">
        <v>1</v>
      </c>
      <c r="G120" s="6" t="s">
        <v>46</v>
      </c>
      <c r="H120" s="6">
        <v>1</v>
      </c>
      <c r="I120" s="6">
        <v>6</v>
      </c>
      <c r="J120" s="6">
        <v>2.5</v>
      </c>
      <c r="K120" s="6" t="s">
        <v>47</v>
      </c>
      <c r="L120" s="6" t="str">
        <f>VLOOKUP(K120, 'Alphabetical by species code'!A:B, 2, FALSE)</f>
        <v>Sonchus species</v>
      </c>
      <c r="M120" s="6" t="str">
        <f>VLOOKUP(L120, 'Alphabetical by species code'!B:C, 2, FALSE)</f>
        <v>Non-Native</v>
      </c>
    </row>
    <row r="121" spans="1:13" x14ac:dyDescent="0.25">
      <c r="A121" s="6">
        <v>2</v>
      </c>
      <c r="B121" s="6">
        <v>2025</v>
      </c>
      <c r="C121" s="7">
        <v>45755</v>
      </c>
      <c r="D121" s="6" t="s">
        <v>45</v>
      </c>
      <c r="E121" s="6" t="s">
        <v>26</v>
      </c>
      <c r="F121" s="6">
        <v>1</v>
      </c>
      <c r="G121" s="6" t="s">
        <v>46</v>
      </c>
      <c r="H121" s="6">
        <v>1</v>
      </c>
      <c r="I121" s="6">
        <v>7</v>
      </c>
      <c r="J121" s="6">
        <v>3</v>
      </c>
      <c r="K121" s="6" t="s">
        <v>28</v>
      </c>
      <c r="L121" s="6" t="str">
        <f>VLOOKUP(K121, 'Alphabetical by species code'!A:B, 2, FALSE)</f>
        <v>Litter</v>
      </c>
      <c r="M121" s="6" t="str">
        <f>VLOOKUP(L121, 'Alphabetical by species code'!B:C, 2, FALSE)</f>
        <v>Ground Cover</v>
      </c>
    </row>
    <row r="122" spans="1:13" x14ac:dyDescent="0.25">
      <c r="A122" s="6">
        <v>2</v>
      </c>
      <c r="B122" s="6">
        <v>2025</v>
      </c>
      <c r="C122" s="7">
        <v>45755</v>
      </c>
      <c r="D122" s="6" t="s">
        <v>45</v>
      </c>
      <c r="E122" s="6" t="s">
        <v>26</v>
      </c>
      <c r="F122" s="6">
        <v>1</v>
      </c>
      <c r="G122" s="6" t="s">
        <v>46</v>
      </c>
      <c r="H122" s="6">
        <v>1</v>
      </c>
      <c r="I122" s="6">
        <v>7</v>
      </c>
      <c r="J122" s="6">
        <v>3</v>
      </c>
      <c r="K122" s="6" t="s">
        <v>29</v>
      </c>
      <c r="L122" s="6" t="str">
        <f>VLOOKUP(K122, 'Alphabetical by species code'!A:B, 2, FALSE)</f>
        <v>Opuntia littoralis</v>
      </c>
      <c r="M122" s="6" t="str">
        <f>VLOOKUP(L122, 'Alphabetical by species code'!B:C, 2, FALSE)</f>
        <v>Native</v>
      </c>
    </row>
    <row r="123" spans="1:13" x14ac:dyDescent="0.25">
      <c r="A123" s="6">
        <v>2</v>
      </c>
      <c r="B123" s="6">
        <v>2025</v>
      </c>
      <c r="C123" s="7">
        <v>45755</v>
      </c>
      <c r="D123" s="6" t="s">
        <v>45</v>
      </c>
      <c r="E123" s="6" t="s">
        <v>26</v>
      </c>
      <c r="F123" s="6">
        <v>1</v>
      </c>
      <c r="G123" s="6" t="s">
        <v>46</v>
      </c>
      <c r="H123" s="6">
        <v>1</v>
      </c>
      <c r="I123" s="6">
        <v>7</v>
      </c>
      <c r="J123" s="6">
        <v>3</v>
      </c>
      <c r="K123" s="6" t="s">
        <v>35</v>
      </c>
      <c r="L123" s="6" t="str">
        <f>VLOOKUP(K123, 'Alphabetical by species code'!A:B, 2, FALSE)</f>
        <v>Deinandra fasciculata</v>
      </c>
      <c r="M123" s="6" t="str">
        <f>VLOOKUP(L123, 'Alphabetical by species code'!B:C, 2, FALSE)</f>
        <v>Native</v>
      </c>
    </row>
    <row r="124" spans="1:13" x14ac:dyDescent="0.25">
      <c r="A124" s="6">
        <v>2</v>
      </c>
      <c r="B124" s="6">
        <v>2025</v>
      </c>
      <c r="C124" s="7">
        <v>45755</v>
      </c>
      <c r="D124" s="6" t="s">
        <v>45</v>
      </c>
      <c r="E124" s="6" t="s">
        <v>26</v>
      </c>
      <c r="F124" s="6">
        <v>1</v>
      </c>
      <c r="G124" s="6" t="s">
        <v>46</v>
      </c>
      <c r="H124" s="6">
        <v>1</v>
      </c>
      <c r="I124" s="6">
        <v>7</v>
      </c>
      <c r="J124" s="6">
        <v>3</v>
      </c>
      <c r="K124" s="6" t="s">
        <v>39</v>
      </c>
      <c r="L124" s="6" t="str">
        <f>VLOOKUP(K124, 'Alphabetical by species code'!A:B, 2, FALSE)</f>
        <v>Stephanomeria diegensis</v>
      </c>
      <c r="M124" s="6" t="str">
        <f>VLOOKUP(L124, 'Alphabetical by species code'!B:C, 2, FALSE)</f>
        <v>Native</v>
      </c>
    </row>
    <row r="125" spans="1:13" x14ac:dyDescent="0.25">
      <c r="A125" s="6">
        <v>2</v>
      </c>
      <c r="B125" s="6">
        <v>2025</v>
      </c>
      <c r="C125" s="7">
        <v>45755</v>
      </c>
      <c r="D125" s="6" t="s">
        <v>45</v>
      </c>
      <c r="E125" s="6" t="s">
        <v>26</v>
      </c>
      <c r="F125" s="6">
        <v>1</v>
      </c>
      <c r="G125" s="6" t="s">
        <v>46</v>
      </c>
      <c r="H125" s="6">
        <v>1</v>
      </c>
      <c r="I125" s="6">
        <v>8</v>
      </c>
      <c r="J125" s="6">
        <v>3.5</v>
      </c>
      <c r="K125" s="6" t="s">
        <v>28</v>
      </c>
      <c r="L125" s="6" t="str">
        <f>VLOOKUP(K125, 'Alphabetical by species code'!A:B, 2, FALSE)</f>
        <v>Litter</v>
      </c>
      <c r="M125" s="6" t="str">
        <f>VLOOKUP(L125, 'Alphabetical by species code'!B:C, 2, FALSE)</f>
        <v>Ground Cover</v>
      </c>
    </row>
    <row r="126" spans="1:13" x14ac:dyDescent="0.25">
      <c r="A126" s="6">
        <v>2</v>
      </c>
      <c r="B126" s="6">
        <v>2025</v>
      </c>
      <c r="C126" s="7">
        <v>45755</v>
      </c>
      <c r="D126" s="6" t="s">
        <v>45</v>
      </c>
      <c r="E126" s="6" t="s">
        <v>26</v>
      </c>
      <c r="F126" s="6">
        <v>1</v>
      </c>
      <c r="G126" s="6" t="s">
        <v>46</v>
      </c>
      <c r="H126" s="6">
        <v>1</v>
      </c>
      <c r="I126" s="6">
        <v>8</v>
      </c>
      <c r="J126" s="6">
        <v>3.5</v>
      </c>
      <c r="K126" s="6" t="s">
        <v>35</v>
      </c>
      <c r="L126" s="6" t="str">
        <f>VLOOKUP(K126, 'Alphabetical by species code'!A:B, 2, FALSE)</f>
        <v>Deinandra fasciculata</v>
      </c>
      <c r="M126" s="6" t="str">
        <f>VLOOKUP(L126, 'Alphabetical by species code'!B:C, 2, FALSE)</f>
        <v>Native</v>
      </c>
    </row>
    <row r="127" spans="1:13" x14ac:dyDescent="0.25">
      <c r="A127" s="6">
        <v>2</v>
      </c>
      <c r="B127" s="6">
        <v>2025</v>
      </c>
      <c r="C127" s="7">
        <v>45755</v>
      </c>
      <c r="D127" s="6" t="s">
        <v>45</v>
      </c>
      <c r="E127" s="6" t="s">
        <v>26</v>
      </c>
      <c r="F127" s="6">
        <v>1</v>
      </c>
      <c r="G127" s="6" t="s">
        <v>46</v>
      </c>
      <c r="H127" s="6">
        <v>1</v>
      </c>
      <c r="I127" s="6">
        <v>8</v>
      </c>
      <c r="J127" s="6">
        <v>3.5</v>
      </c>
      <c r="K127" s="6" t="s">
        <v>34</v>
      </c>
      <c r="L127" s="6" t="str">
        <f>VLOOKUP(K127, 'Alphabetical by species code'!A:B, 2, FALSE)</f>
        <v>Erodium cicutarium</v>
      </c>
      <c r="M127" s="6" t="str">
        <f>VLOOKUP(L127, 'Alphabetical by species code'!B:C, 2, FALSE)</f>
        <v>Non-Native</v>
      </c>
    </row>
    <row r="128" spans="1:13" x14ac:dyDescent="0.25">
      <c r="A128" s="6">
        <v>2</v>
      </c>
      <c r="B128" s="6">
        <v>2025</v>
      </c>
      <c r="C128" s="7">
        <v>45755</v>
      </c>
      <c r="D128" s="6" t="s">
        <v>45</v>
      </c>
      <c r="E128" s="6" t="s">
        <v>26</v>
      </c>
      <c r="F128" s="6">
        <v>1</v>
      </c>
      <c r="G128" s="6" t="s">
        <v>46</v>
      </c>
      <c r="H128" s="6">
        <v>1</v>
      </c>
      <c r="I128" s="6">
        <v>9</v>
      </c>
      <c r="J128" s="6">
        <v>4</v>
      </c>
      <c r="K128" s="6" t="s">
        <v>28</v>
      </c>
      <c r="L128" s="6" t="str">
        <f>VLOOKUP(K128, 'Alphabetical by species code'!A:B, 2, FALSE)</f>
        <v>Litter</v>
      </c>
      <c r="M128" s="6" t="str">
        <f>VLOOKUP(L128, 'Alphabetical by species code'!B:C, 2, FALSE)</f>
        <v>Ground Cover</v>
      </c>
    </row>
    <row r="129" spans="1:13" x14ac:dyDescent="0.25">
      <c r="A129" s="6">
        <v>2</v>
      </c>
      <c r="B129" s="6">
        <v>2025</v>
      </c>
      <c r="C129" s="7">
        <v>45755</v>
      </c>
      <c r="D129" s="6" t="s">
        <v>45</v>
      </c>
      <c r="E129" s="6" t="s">
        <v>26</v>
      </c>
      <c r="F129" s="6">
        <v>1</v>
      </c>
      <c r="G129" s="6" t="s">
        <v>46</v>
      </c>
      <c r="H129" s="6">
        <v>1</v>
      </c>
      <c r="I129" s="6">
        <v>9</v>
      </c>
      <c r="J129" s="6">
        <v>4</v>
      </c>
      <c r="K129" s="6" t="s">
        <v>35</v>
      </c>
      <c r="L129" s="6" t="str">
        <f>VLOOKUP(K129, 'Alphabetical by species code'!A:B, 2, FALSE)</f>
        <v>Deinandra fasciculata</v>
      </c>
      <c r="M129" s="6" t="str">
        <f>VLOOKUP(L129, 'Alphabetical by species code'!B:C, 2, FALSE)</f>
        <v>Native</v>
      </c>
    </row>
    <row r="130" spans="1:13" x14ac:dyDescent="0.25">
      <c r="A130" s="6">
        <v>2</v>
      </c>
      <c r="B130" s="6">
        <v>2025</v>
      </c>
      <c r="C130" s="7">
        <v>45755</v>
      </c>
      <c r="D130" s="6" t="s">
        <v>45</v>
      </c>
      <c r="E130" s="6" t="s">
        <v>26</v>
      </c>
      <c r="F130" s="6">
        <v>1</v>
      </c>
      <c r="G130" s="6" t="s">
        <v>46</v>
      </c>
      <c r="H130" s="6">
        <v>1</v>
      </c>
      <c r="I130" s="6">
        <v>9</v>
      </c>
      <c r="J130" s="6">
        <v>4</v>
      </c>
      <c r="K130" s="6" t="s">
        <v>34</v>
      </c>
      <c r="L130" s="6" t="str">
        <f>VLOOKUP(K130, 'Alphabetical by species code'!A:B, 2, FALSE)</f>
        <v>Erodium cicutarium</v>
      </c>
      <c r="M130" s="6" t="str">
        <f>VLOOKUP(L130, 'Alphabetical by species code'!B:C, 2, FALSE)</f>
        <v>Non-Native</v>
      </c>
    </row>
    <row r="131" spans="1:13" x14ac:dyDescent="0.25">
      <c r="A131" s="6">
        <v>2</v>
      </c>
      <c r="B131" s="6">
        <v>2025</v>
      </c>
      <c r="C131" s="7">
        <v>45755</v>
      </c>
      <c r="D131" s="6" t="s">
        <v>45</v>
      </c>
      <c r="E131" s="6" t="s">
        <v>26</v>
      </c>
      <c r="F131" s="6">
        <v>1</v>
      </c>
      <c r="G131" s="6" t="s">
        <v>46</v>
      </c>
      <c r="H131" s="6">
        <v>1</v>
      </c>
      <c r="I131" s="6">
        <v>10</v>
      </c>
      <c r="J131" s="6">
        <v>4.5</v>
      </c>
      <c r="K131" s="6" t="s">
        <v>28</v>
      </c>
      <c r="L131" s="6" t="str">
        <f>VLOOKUP(K131, 'Alphabetical by species code'!A:B, 2, FALSE)</f>
        <v>Litter</v>
      </c>
      <c r="M131" s="6" t="str">
        <f>VLOOKUP(L131, 'Alphabetical by species code'!B:C, 2, FALSE)</f>
        <v>Ground Cover</v>
      </c>
    </row>
    <row r="132" spans="1:13" x14ac:dyDescent="0.25">
      <c r="A132" s="6">
        <v>2</v>
      </c>
      <c r="B132" s="6">
        <v>2025</v>
      </c>
      <c r="C132" s="7">
        <v>45755</v>
      </c>
      <c r="D132" s="6" t="s">
        <v>45</v>
      </c>
      <c r="E132" s="6" t="s">
        <v>26</v>
      </c>
      <c r="F132" s="6">
        <v>1</v>
      </c>
      <c r="G132" s="6" t="s">
        <v>46</v>
      </c>
      <c r="H132" s="6">
        <v>1</v>
      </c>
      <c r="I132" s="6">
        <v>10</v>
      </c>
      <c r="J132" s="6">
        <v>4.5</v>
      </c>
      <c r="K132" s="6" t="s">
        <v>35</v>
      </c>
      <c r="L132" s="6" t="str">
        <f>VLOOKUP(K132, 'Alphabetical by species code'!A:B, 2, FALSE)</f>
        <v>Deinandra fasciculata</v>
      </c>
      <c r="M132" s="6" t="str">
        <f>VLOOKUP(L132, 'Alphabetical by species code'!B:C, 2, FALSE)</f>
        <v>Native</v>
      </c>
    </row>
    <row r="133" spans="1:13" x14ac:dyDescent="0.25">
      <c r="A133" s="6">
        <v>2</v>
      </c>
      <c r="B133" s="6">
        <v>2025</v>
      </c>
      <c r="C133" s="7">
        <v>45755</v>
      </c>
      <c r="D133" s="6" t="s">
        <v>45</v>
      </c>
      <c r="E133" s="6" t="s">
        <v>26</v>
      </c>
      <c r="F133" s="6">
        <v>1</v>
      </c>
      <c r="G133" s="6" t="s">
        <v>46</v>
      </c>
      <c r="H133" s="6">
        <v>1</v>
      </c>
      <c r="I133" s="6">
        <v>10</v>
      </c>
      <c r="J133" s="6">
        <v>4.5</v>
      </c>
      <c r="K133" s="6" t="s">
        <v>36</v>
      </c>
      <c r="L133" s="6" t="str">
        <f>VLOOKUP(K133, 'Alphabetical by species code'!A:B, 2, FALSE)</f>
        <v>Bromus madritensis</v>
      </c>
      <c r="M133" s="6" t="str">
        <f>VLOOKUP(L133, 'Alphabetical by species code'!B:C, 2, FALSE)</f>
        <v>Non-Native</v>
      </c>
    </row>
    <row r="134" spans="1:13" x14ac:dyDescent="0.25">
      <c r="A134" s="6">
        <v>2</v>
      </c>
      <c r="B134" s="6">
        <v>2025</v>
      </c>
      <c r="C134" s="7">
        <v>45755</v>
      </c>
      <c r="D134" s="6" t="s">
        <v>45</v>
      </c>
      <c r="E134" s="6" t="s">
        <v>26</v>
      </c>
      <c r="F134" s="6">
        <v>1</v>
      </c>
      <c r="G134" s="6" t="s">
        <v>46</v>
      </c>
      <c r="H134" s="6">
        <v>1</v>
      </c>
      <c r="I134" s="6">
        <v>11</v>
      </c>
      <c r="J134" s="6">
        <v>5</v>
      </c>
      <c r="K134" s="6" t="s">
        <v>28</v>
      </c>
      <c r="L134" s="6" t="str">
        <f>VLOOKUP(K134, 'Alphabetical by species code'!A:B, 2, FALSE)</f>
        <v>Litter</v>
      </c>
      <c r="M134" s="6" t="str">
        <f>VLOOKUP(L134, 'Alphabetical by species code'!B:C, 2, FALSE)</f>
        <v>Ground Cover</v>
      </c>
    </row>
    <row r="135" spans="1:13" x14ac:dyDescent="0.25">
      <c r="A135" s="6">
        <v>2</v>
      </c>
      <c r="B135" s="6">
        <v>2025</v>
      </c>
      <c r="C135" s="7">
        <v>45755</v>
      </c>
      <c r="D135" s="6" t="s">
        <v>45</v>
      </c>
      <c r="E135" s="6" t="s">
        <v>26</v>
      </c>
      <c r="F135" s="6">
        <v>1</v>
      </c>
      <c r="G135" s="6" t="s">
        <v>46</v>
      </c>
      <c r="H135" s="6">
        <v>1</v>
      </c>
      <c r="I135" s="6">
        <v>11</v>
      </c>
      <c r="J135" s="6">
        <v>5</v>
      </c>
      <c r="K135" s="6" t="s">
        <v>35</v>
      </c>
      <c r="L135" s="6" t="str">
        <f>VLOOKUP(K135, 'Alphabetical by species code'!A:B, 2, FALSE)</f>
        <v>Deinandra fasciculata</v>
      </c>
      <c r="M135" s="6" t="str">
        <f>VLOOKUP(L135, 'Alphabetical by species code'!B:C, 2, FALSE)</f>
        <v>Native</v>
      </c>
    </row>
    <row r="136" spans="1:13" x14ac:dyDescent="0.25">
      <c r="A136" s="6">
        <v>2</v>
      </c>
      <c r="B136" s="6">
        <v>2025</v>
      </c>
      <c r="C136" s="7">
        <v>45755</v>
      </c>
      <c r="D136" s="6" t="s">
        <v>45</v>
      </c>
      <c r="E136" s="6" t="s">
        <v>26</v>
      </c>
      <c r="F136" s="6">
        <v>1</v>
      </c>
      <c r="G136" s="6" t="s">
        <v>46</v>
      </c>
      <c r="H136" s="6">
        <v>1</v>
      </c>
      <c r="I136" s="6">
        <v>11</v>
      </c>
      <c r="J136" s="6">
        <v>5</v>
      </c>
      <c r="K136" s="6" t="s">
        <v>36</v>
      </c>
      <c r="L136" s="6" t="str">
        <f>VLOOKUP(K136, 'Alphabetical by species code'!A:B, 2, FALSE)</f>
        <v>Bromus madritensis</v>
      </c>
      <c r="M136" s="6" t="str">
        <f>VLOOKUP(L136, 'Alphabetical by species code'!B:C, 2, FALSE)</f>
        <v>Non-Native</v>
      </c>
    </row>
    <row r="137" spans="1:13" x14ac:dyDescent="0.25">
      <c r="A137" s="6">
        <v>2</v>
      </c>
      <c r="B137" s="6">
        <v>2025</v>
      </c>
      <c r="C137" s="7">
        <v>45755</v>
      </c>
      <c r="D137" s="6" t="s">
        <v>45</v>
      </c>
      <c r="E137" s="6" t="s">
        <v>26</v>
      </c>
      <c r="F137" s="6">
        <v>1</v>
      </c>
      <c r="G137" s="6" t="s">
        <v>46</v>
      </c>
      <c r="H137" s="6">
        <v>1</v>
      </c>
      <c r="I137" s="6">
        <v>12</v>
      </c>
      <c r="J137" s="6">
        <v>5.5</v>
      </c>
      <c r="K137" s="6" t="s">
        <v>28</v>
      </c>
      <c r="L137" s="6" t="str">
        <f>VLOOKUP(K137, 'Alphabetical by species code'!A:B, 2, FALSE)</f>
        <v>Litter</v>
      </c>
      <c r="M137" s="6" t="str">
        <f>VLOOKUP(L137, 'Alphabetical by species code'!B:C, 2, FALSE)</f>
        <v>Ground Cover</v>
      </c>
    </row>
    <row r="138" spans="1:13" x14ac:dyDescent="0.25">
      <c r="A138" s="6">
        <v>2</v>
      </c>
      <c r="B138" s="6">
        <v>2025</v>
      </c>
      <c r="C138" s="7">
        <v>45755</v>
      </c>
      <c r="D138" s="6" t="s">
        <v>45</v>
      </c>
      <c r="E138" s="6" t="s">
        <v>26</v>
      </c>
      <c r="F138" s="6">
        <v>1</v>
      </c>
      <c r="G138" s="6" t="s">
        <v>46</v>
      </c>
      <c r="H138" s="6">
        <v>1</v>
      </c>
      <c r="I138" s="6">
        <v>12</v>
      </c>
      <c r="J138" s="6">
        <v>5.5</v>
      </c>
      <c r="K138" s="6" t="s">
        <v>48</v>
      </c>
      <c r="L138" s="6" t="str">
        <f>VLOOKUP(K138, 'Alphabetical by species code'!A:B, 2, FALSE)</f>
        <v>Sonchus asper</v>
      </c>
      <c r="M138" s="6" t="str">
        <f>VLOOKUP(L138, 'Alphabetical by species code'!B:C, 2, FALSE)</f>
        <v>Non-Native</v>
      </c>
    </row>
    <row r="139" spans="1:13" x14ac:dyDescent="0.25">
      <c r="A139" s="6">
        <v>2</v>
      </c>
      <c r="B139" s="6">
        <v>2025</v>
      </c>
      <c r="C139" s="7">
        <v>45755</v>
      </c>
      <c r="D139" s="6" t="s">
        <v>45</v>
      </c>
      <c r="E139" s="6" t="s">
        <v>26</v>
      </c>
      <c r="F139" s="6">
        <v>1</v>
      </c>
      <c r="G139" s="6" t="s">
        <v>46</v>
      </c>
      <c r="H139" s="6">
        <v>1</v>
      </c>
      <c r="I139" s="6">
        <v>13</v>
      </c>
      <c r="J139" s="6">
        <v>6.5</v>
      </c>
      <c r="K139" s="6" t="s">
        <v>28</v>
      </c>
      <c r="L139" s="6" t="str">
        <f>VLOOKUP(K139, 'Alphabetical by species code'!A:B, 2, FALSE)</f>
        <v>Litter</v>
      </c>
      <c r="M139" s="6" t="str">
        <f>VLOOKUP(L139, 'Alphabetical by species code'!B:C, 2, FALSE)</f>
        <v>Ground Cover</v>
      </c>
    </row>
    <row r="140" spans="1:13" x14ac:dyDescent="0.25">
      <c r="A140" s="6">
        <v>2</v>
      </c>
      <c r="B140" s="6">
        <v>2025</v>
      </c>
      <c r="C140" s="7">
        <v>45755</v>
      </c>
      <c r="D140" s="6" t="s">
        <v>45</v>
      </c>
      <c r="E140" s="6" t="s">
        <v>26</v>
      </c>
      <c r="F140" s="6">
        <v>1</v>
      </c>
      <c r="G140" s="6" t="s">
        <v>46</v>
      </c>
      <c r="H140" s="6">
        <v>1</v>
      </c>
      <c r="I140" s="6">
        <v>13</v>
      </c>
      <c r="J140" s="6">
        <v>6.5</v>
      </c>
      <c r="K140" s="6" t="s">
        <v>42</v>
      </c>
      <c r="L140" s="6" t="str">
        <f>VLOOKUP(K140, 'Alphabetical by species code'!A:B, 2, FALSE)</f>
        <v>Centaurea melitensis</v>
      </c>
      <c r="M140" s="6" t="str">
        <f>VLOOKUP(L140, 'Alphabetical by species code'!B:C, 2, FALSE)</f>
        <v>Non-Native</v>
      </c>
    </row>
    <row r="141" spans="1:13" x14ac:dyDescent="0.25">
      <c r="A141" s="6">
        <v>2</v>
      </c>
      <c r="B141" s="6">
        <v>2025</v>
      </c>
      <c r="C141" s="7">
        <v>45755</v>
      </c>
      <c r="D141" s="6" t="s">
        <v>45</v>
      </c>
      <c r="E141" s="6" t="s">
        <v>26</v>
      </c>
      <c r="F141" s="6">
        <v>1</v>
      </c>
      <c r="G141" s="6" t="s">
        <v>46</v>
      </c>
      <c r="H141" s="6">
        <v>1</v>
      </c>
      <c r="I141" s="6">
        <v>13</v>
      </c>
      <c r="J141" s="6">
        <v>6.5</v>
      </c>
      <c r="K141" s="6" t="s">
        <v>34</v>
      </c>
      <c r="L141" s="6" t="str">
        <f>VLOOKUP(K141, 'Alphabetical by species code'!A:B, 2, FALSE)</f>
        <v>Erodium cicutarium</v>
      </c>
      <c r="M141" s="6" t="str">
        <f>VLOOKUP(L141, 'Alphabetical by species code'!B:C, 2, FALSE)</f>
        <v>Non-Native</v>
      </c>
    </row>
    <row r="142" spans="1:13" x14ac:dyDescent="0.25">
      <c r="A142" s="6">
        <v>2</v>
      </c>
      <c r="B142" s="6">
        <v>2025</v>
      </c>
      <c r="C142" s="7">
        <v>45755</v>
      </c>
      <c r="D142" s="6" t="s">
        <v>45</v>
      </c>
      <c r="E142" s="6" t="s">
        <v>26</v>
      </c>
      <c r="F142" s="6">
        <v>1</v>
      </c>
      <c r="G142" s="6" t="s">
        <v>46</v>
      </c>
      <c r="H142" s="6">
        <v>1</v>
      </c>
      <c r="I142" s="6">
        <v>14</v>
      </c>
      <c r="J142" s="6">
        <v>7</v>
      </c>
      <c r="K142" s="6" t="s">
        <v>28</v>
      </c>
      <c r="L142" s="6" t="str">
        <f>VLOOKUP(K142, 'Alphabetical by species code'!A:B, 2, FALSE)</f>
        <v>Litter</v>
      </c>
      <c r="M142" s="6" t="str">
        <f>VLOOKUP(L142, 'Alphabetical by species code'!B:C, 2, FALSE)</f>
        <v>Ground Cover</v>
      </c>
    </row>
    <row r="143" spans="1:13" x14ac:dyDescent="0.25">
      <c r="A143" s="6">
        <v>2</v>
      </c>
      <c r="B143" s="6">
        <v>2025</v>
      </c>
      <c r="C143" s="7">
        <v>45755</v>
      </c>
      <c r="D143" s="6" t="s">
        <v>45</v>
      </c>
      <c r="E143" s="6" t="s">
        <v>26</v>
      </c>
      <c r="F143" s="6">
        <v>1</v>
      </c>
      <c r="G143" s="6" t="s">
        <v>46</v>
      </c>
      <c r="H143" s="6">
        <v>1</v>
      </c>
      <c r="I143" s="6">
        <v>14</v>
      </c>
      <c r="J143" s="6">
        <v>7</v>
      </c>
      <c r="K143" s="6" t="s">
        <v>37</v>
      </c>
      <c r="L143" s="6" t="str">
        <f>VLOOKUP(K143, 'Alphabetical by species code'!A:B, 2, FALSE)</f>
        <v>Sonchus oleraceus</v>
      </c>
      <c r="M143" s="6" t="str">
        <f>VLOOKUP(L143, 'Alphabetical by species code'!B:C, 2, FALSE)</f>
        <v>Non-Native</v>
      </c>
    </row>
    <row r="144" spans="1:13" x14ac:dyDescent="0.25">
      <c r="A144" s="6">
        <v>2</v>
      </c>
      <c r="B144" s="6">
        <v>2025</v>
      </c>
      <c r="C144" s="7">
        <v>45755</v>
      </c>
      <c r="D144" s="6" t="s">
        <v>45</v>
      </c>
      <c r="E144" s="6" t="s">
        <v>26</v>
      </c>
      <c r="F144" s="6">
        <v>1</v>
      </c>
      <c r="G144" s="6" t="s">
        <v>46</v>
      </c>
      <c r="H144" s="6">
        <v>1</v>
      </c>
      <c r="I144" s="6">
        <v>15</v>
      </c>
      <c r="J144" s="6">
        <v>7.5</v>
      </c>
      <c r="K144" s="6" t="s">
        <v>28</v>
      </c>
      <c r="L144" s="6" t="str">
        <f>VLOOKUP(K144, 'Alphabetical by species code'!A:B, 2, FALSE)</f>
        <v>Litter</v>
      </c>
      <c r="M144" s="6" t="str">
        <f>VLOOKUP(L144, 'Alphabetical by species code'!B:C, 2, FALSE)</f>
        <v>Ground Cover</v>
      </c>
    </row>
    <row r="145" spans="1:13" x14ac:dyDescent="0.25">
      <c r="A145" s="6">
        <v>2</v>
      </c>
      <c r="B145" s="6">
        <v>2025</v>
      </c>
      <c r="C145" s="7">
        <v>45755</v>
      </c>
      <c r="D145" s="6" t="s">
        <v>45</v>
      </c>
      <c r="E145" s="6" t="s">
        <v>26</v>
      </c>
      <c r="F145" s="6">
        <v>1</v>
      </c>
      <c r="G145" s="6" t="s">
        <v>46</v>
      </c>
      <c r="H145" s="6">
        <v>1</v>
      </c>
      <c r="I145" s="6">
        <v>15</v>
      </c>
      <c r="J145" s="6">
        <v>7.5</v>
      </c>
      <c r="K145" s="6" t="s">
        <v>49</v>
      </c>
      <c r="L145" s="6" t="str">
        <f>VLOOKUP(K145, 'Alphabetical by species code'!A:B, 2, FALSE)</f>
        <v>Anagallis arvensis</v>
      </c>
      <c r="M145" s="6" t="str">
        <f>VLOOKUP(L145, 'Alphabetical by species code'!B:C, 2, FALSE)</f>
        <v>Non-Native</v>
      </c>
    </row>
    <row r="146" spans="1:13" x14ac:dyDescent="0.25">
      <c r="A146" s="6">
        <v>2</v>
      </c>
      <c r="B146" s="6">
        <v>2025</v>
      </c>
      <c r="C146" s="7">
        <v>45755</v>
      </c>
      <c r="D146" s="6" t="s">
        <v>45</v>
      </c>
      <c r="E146" s="6" t="s">
        <v>26</v>
      </c>
      <c r="F146" s="6">
        <v>1</v>
      </c>
      <c r="G146" s="6" t="s">
        <v>46</v>
      </c>
      <c r="H146" s="6">
        <v>1</v>
      </c>
      <c r="I146" s="6">
        <v>15</v>
      </c>
      <c r="J146" s="6">
        <v>7.5</v>
      </c>
      <c r="K146" s="6" t="s">
        <v>34</v>
      </c>
      <c r="L146" s="6" t="str">
        <f>VLOOKUP(K146, 'Alphabetical by species code'!A:B, 2, FALSE)</f>
        <v>Erodium cicutarium</v>
      </c>
      <c r="M146" s="6" t="str">
        <f>VLOOKUP(L146, 'Alphabetical by species code'!B:C, 2, FALSE)</f>
        <v>Non-Native</v>
      </c>
    </row>
    <row r="147" spans="1:13" x14ac:dyDescent="0.25">
      <c r="A147" s="6">
        <v>2</v>
      </c>
      <c r="B147" s="6">
        <v>2025</v>
      </c>
      <c r="C147" s="7">
        <v>45755</v>
      </c>
      <c r="D147" s="6" t="s">
        <v>45</v>
      </c>
      <c r="E147" s="6" t="s">
        <v>26</v>
      </c>
      <c r="F147" s="6">
        <v>1</v>
      </c>
      <c r="G147" s="6" t="s">
        <v>46</v>
      </c>
      <c r="H147" s="6">
        <v>2</v>
      </c>
      <c r="I147" s="6">
        <v>1</v>
      </c>
      <c r="J147" s="6">
        <v>0</v>
      </c>
      <c r="K147" s="6" t="s">
        <v>28</v>
      </c>
      <c r="L147" s="6" t="str">
        <f>VLOOKUP(K147, 'Alphabetical by species code'!A:B, 2, FALSE)</f>
        <v>Litter</v>
      </c>
      <c r="M147" s="6" t="str">
        <f>VLOOKUP(L147, 'Alphabetical by species code'!B:C, 2, FALSE)</f>
        <v>Ground Cover</v>
      </c>
    </row>
    <row r="148" spans="1:13" x14ac:dyDescent="0.25">
      <c r="A148" s="6">
        <v>2</v>
      </c>
      <c r="B148" s="6">
        <v>2025</v>
      </c>
      <c r="C148" s="7">
        <v>45755</v>
      </c>
      <c r="D148" s="6" t="s">
        <v>45</v>
      </c>
      <c r="E148" s="6" t="s">
        <v>26</v>
      </c>
      <c r="F148" s="6">
        <v>1</v>
      </c>
      <c r="G148" s="6" t="s">
        <v>46</v>
      </c>
      <c r="H148" s="6">
        <v>2</v>
      </c>
      <c r="I148" s="6">
        <v>1</v>
      </c>
      <c r="J148" s="6">
        <v>0</v>
      </c>
      <c r="K148" s="6" t="s">
        <v>42</v>
      </c>
      <c r="L148" s="6" t="str">
        <f>VLOOKUP(K148, 'Alphabetical by species code'!A:B, 2, FALSE)</f>
        <v>Centaurea melitensis</v>
      </c>
      <c r="M148" s="6" t="str">
        <f>VLOOKUP(L148, 'Alphabetical by species code'!B:C, 2, FALSE)</f>
        <v>Non-Native</v>
      </c>
    </row>
    <row r="149" spans="1:13" x14ac:dyDescent="0.25">
      <c r="A149" s="6">
        <v>2</v>
      </c>
      <c r="B149" s="6">
        <v>2025</v>
      </c>
      <c r="C149" s="7">
        <v>45755</v>
      </c>
      <c r="D149" s="6" t="s">
        <v>45</v>
      </c>
      <c r="E149" s="6" t="s">
        <v>26</v>
      </c>
      <c r="F149" s="6">
        <v>1</v>
      </c>
      <c r="G149" s="6" t="s">
        <v>46</v>
      </c>
      <c r="H149" s="6">
        <v>2</v>
      </c>
      <c r="I149" s="6">
        <v>1</v>
      </c>
      <c r="J149" s="6">
        <v>0</v>
      </c>
      <c r="K149" s="6" t="s">
        <v>32</v>
      </c>
      <c r="L149" s="6" t="str">
        <f>VLOOKUP(K149, 'Alphabetical by species code'!A:B, 2, FALSE)</f>
        <v>Medicago polymorpha</v>
      </c>
      <c r="M149" s="6" t="str">
        <f>VLOOKUP(L149, 'Alphabetical by species code'!B:C, 2, FALSE)</f>
        <v>Non-Native</v>
      </c>
    </row>
    <row r="150" spans="1:13" x14ac:dyDescent="0.25">
      <c r="A150" s="6">
        <v>2</v>
      </c>
      <c r="B150" s="6">
        <v>2025</v>
      </c>
      <c r="C150" s="7">
        <v>45755</v>
      </c>
      <c r="D150" s="6" t="s">
        <v>45</v>
      </c>
      <c r="E150" s="6" t="s">
        <v>26</v>
      </c>
      <c r="F150" s="6">
        <v>1</v>
      </c>
      <c r="G150" s="6" t="s">
        <v>46</v>
      </c>
      <c r="H150" s="6">
        <v>2</v>
      </c>
      <c r="I150" s="6">
        <v>1</v>
      </c>
      <c r="J150" s="6">
        <v>0</v>
      </c>
      <c r="K150" s="6" t="s">
        <v>31</v>
      </c>
      <c r="L150" s="6" t="str">
        <f>VLOOKUP(K150, 'Alphabetical by species code'!A:B, 2, FALSE)</f>
        <v>Festuca myuros</v>
      </c>
      <c r="M150" s="6" t="str">
        <f>VLOOKUP(L150, 'Alphabetical by species code'!B:C, 2, FALSE)</f>
        <v>Non-Native</v>
      </c>
    </row>
    <row r="151" spans="1:13" x14ac:dyDescent="0.25">
      <c r="A151" s="6">
        <v>2</v>
      </c>
      <c r="B151" s="6">
        <v>2025</v>
      </c>
      <c r="C151" s="7">
        <v>45755</v>
      </c>
      <c r="D151" s="6" t="s">
        <v>45</v>
      </c>
      <c r="E151" s="6" t="s">
        <v>26</v>
      </c>
      <c r="F151" s="6">
        <v>1</v>
      </c>
      <c r="G151" s="6" t="s">
        <v>46</v>
      </c>
      <c r="H151" s="6">
        <v>2</v>
      </c>
      <c r="I151" s="6">
        <v>2</v>
      </c>
      <c r="J151" s="6">
        <v>0.5</v>
      </c>
      <c r="K151" s="6" t="s">
        <v>28</v>
      </c>
      <c r="L151" s="6" t="str">
        <f>VLOOKUP(K151, 'Alphabetical by species code'!A:B, 2, FALSE)</f>
        <v>Litter</v>
      </c>
      <c r="M151" s="6" t="str">
        <f>VLOOKUP(L151, 'Alphabetical by species code'!B:C, 2, FALSE)</f>
        <v>Ground Cover</v>
      </c>
    </row>
    <row r="152" spans="1:13" x14ac:dyDescent="0.25">
      <c r="A152" s="6">
        <v>2</v>
      </c>
      <c r="B152" s="6">
        <v>2025</v>
      </c>
      <c r="C152" s="7">
        <v>45755</v>
      </c>
      <c r="D152" s="6" t="s">
        <v>45</v>
      </c>
      <c r="E152" s="6" t="s">
        <v>26</v>
      </c>
      <c r="F152" s="6">
        <v>1</v>
      </c>
      <c r="G152" s="6" t="s">
        <v>46</v>
      </c>
      <c r="H152" s="6">
        <v>2</v>
      </c>
      <c r="I152" s="6">
        <v>2</v>
      </c>
      <c r="J152" s="6">
        <v>0.5</v>
      </c>
      <c r="K152" s="6" t="s">
        <v>29</v>
      </c>
      <c r="L152" s="6" t="str">
        <f>VLOOKUP(K152, 'Alphabetical by species code'!A:B, 2, FALSE)</f>
        <v>Opuntia littoralis</v>
      </c>
      <c r="M152" s="6" t="str">
        <f>VLOOKUP(L152, 'Alphabetical by species code'!B:C, 2, FALSE)</f>
        <v>Native</v>
      </c>
    </row>
    <row r="153" spans="1:13" x14ac:dyDescent="0.25">
      <c r="A153" s="6">
        <v>2</v>
      </c>
      <c r="B153" s="6">
        <v>2025</v>
      </c>
      <c r="C153" s="7">
        <v>45755</v>
      </c>
      <c r="D153" s="6" t="s">
        <v>45</v>
      </c>
      <c r="E153" s="6" t="s">
        <v>26</v>
      </c>
      <c r="F153" s="6">
        <v>1</v>
      </c>
      <c r="G153" s="6" t="s">
        <v>46</v>
      </c>
      <c r="H153" s="6">
        <v>2</v>
      </c>
      <c r="I153" s="6">
        <v>2</v>
      </c>
      <c r="J153" s="6">
        <v>0.5</v>
      </c>
      <c r="K153" s="6" t="s">
        <v>32</v>
      </c>
      <c r="L153" s="6" t="str">
        <f>VLOOKUP(K153, 'Alphabetical by species code'!A:B, 2, FALSE)</f>
        <v>Medicago polymorpha</v>
      </c>
      <c r="M153" s="6" t="str">
        <f>VLOOKUP(L153, 'Alphabetical by species code'!B:C, 2, FALSE)</f>
        <v>Non-Native</v>
      </c>
    </row>
    <row r="154" spans="1:13" x14ac:dyDescent="0.25">
      <c r="A154" s="6">
        <v>2</v>
      </c>
      <c r="B154" s="6">
        <v>2025</v>
      </c>
      <c r="C154" s="7">
        <v>45755</v>
      </c>
      <c r="D154" s="6" t="s">
        <v>45</v>
      </c>
      <c r="E154" s="6" t="s">
        <v>26</v>
      </c>
      <c r="F154" s="6">
        <v>1</v>
      </c>
      <c r="G154" s="6" t="s">
        <v>46</v>
      </c>
      <c r="H154" s="6">
        <v>2</v>
      </c>
      <c r="I154" s="6">
        <v>2</v>
      </c>
      <c r="J154" s="6">
        <v>0.5</v>
      </c>
      <c r="K154" s="6" t="s">
        <v>50</v>
      </c>
      <c r="L154" s="6" t="str">
        <f>VLOOKUP(K154, 'Alphabetical by species code'!A:B, 2, FALSE)</f>
        <v>Crypantha maritima</v>
      </c>
      <c r="M154" s="6" t="str">
        <f>VLOOKUP(L154, 'Alphabetical by species code'!B:C, 2, FALSE)</f>
        <v>Native</v>
      </c>
    </row>
    <row r="155" spans="1:13" x14ac:dyDescent="0.25">
      <c r="A155" s="6">
        <v>2</v>
      </c>
      <c r="B155" s="6">
        <v>2025</v>
      </c>
      <c r="C155" s="7">
        <v>45755</v>
      </c>
      <c r="D155" s="6" t="s">
        <v>45</v>
      </c>
      <c r="E155" s="6" t="s">
        <v>26</v>
      </c>
      <c r="F155" s="6">
        <v>1</v>
      </c>
      <c r="G155" s="6" t="s">
        <v>46</v>
      </c>
      <c r="H155" s="6">
        <v>2</v>
      </c>
      <c r="I155" s="6">
        <v>2</v>
      </c>
      <c r="J155" s="6">
        <v>0.5</v>
      </c>
      <c r="K155" s="6" t="s">
        <v>42</v>
      </c>
      <c r="L155" s="6" t="str">
        <f>VLOOKUP(K155, 'Alphabetical by species code'!A:B, 2, FALSE)</f>
        <v>Centaurea melitensis</v>
      </c>
      <c r="M155" s="6" t="str">
        <f>VLOOKUP(L155, 'Alphabetical by species code'!B:C, 2, FALSE)</f>
        <v>Non-Native</v>
      </c>
    </row>
    <row r="156" spans="1:13" x14ac:dyDescent="0.25">
      <c r="A156" s="6">
        <v>2</v>
      </c>
      <c r="B156" s="6">
        <v>2025</v>
      </c>
      <c r="C156" s="7">
        <v>45755</v>
      </c>
      <c r="D156" s="6" t="s">
        <v>45</v>
      </c>
      <c r="E156" s="6" t="s">
        <v>26</v>
      </c>
      <c r="F156" s="6">
        <v>1</v>
      </c>
      <c r="G156" s="6" t="s">
        <v>46</v>
      </c>
      <c r="H156" s="6">
        <v>2</v>
      </c>
      <c r="I156" s="6">
        <v>3</v>
      </c>
      <c r="J156" s="6">
        <v>1</v>
      </c>
      <c r="K156" s="6" t="s">
        <v>41</v>
      </c>
      <c r="L156" s="6" t="str">
        <f>VLOOKUP(K156, 'Alphabetical by species code'!A:B, 2, FALSE)</f>
        <v>Stem</v>
      </c>
      <c r="M156" s="6" t="str">
        <f>VLOOKUP(L156, 'Alphabetical by species code'!B:C, 2, FALSE)</f>
        <v>Ground Cover</v>
      </c>
    </row>
    <row r="157" spans="1:13" x14ac:dyDescent="0.25">
      <c r="A157" s="6">
        <v>2</v>
      </c>
      <c r="B157" s="6">
        <v>2025</v>
      </c>
      <c r="C157" s="7">
        <v>45755</v>
      </c>
      <c r="D157" s="6" t="s">
        <v>45</v>
      </c>
      <c r="E157" s="6" t="s">
        <v>26</v>
      </c>
      <c r="F157" s="6">
        <v>1</v>
      </c>
      <c r="G157" s="6" t="s">
        <v>46</v>
      </c>
      <c r="H157" s="6">
        <v>2</v>
      </c>
      <c r="I157" s="6">
        <v>3</v>
      </c>
      <c r="J157" s="6">
        <v>1</v>
      </c>
      <c r="K157" s="6" t="s">
        <v>42</v>
      </c>
      <c r="L157" s="6" t="str">
        <f>VLOOKUP(K157, 'Alphabetical by species code'!A:B, 2, FALSE)</f>
        <v>Centaurea melitensis</v>
      </c>
      <c r="M157" s="6" t="str">
        <f>VLOOKUP(L157, 'Alphabetical by species code'!B:C, 2, FALSE)</f>
        <v>Non-Native</v>
      </c>
    </row>
    <row r="158" spans="1:13" x14ac:dyDescent="0.25">
      <c r="A158" s="6">
        <v>2</v>
      </c>
      <c r="B158" s="6">
        <v>2025</v>
      </c>
      <c r="C158" s="7">
        <v>45755</v>
      </c>
      <c r="D158" s="6" t="s">
        <v>45</v>
      </c>
      <c r="E158" s="6" t="s">
        <v>26</v>
      </c>
      <c r="F158" s="6">
        <v>1</v>
      </c>
      <c r="G158" s="6" t="s">
        <v>46</v>
      </c>
      <c r="H158" s="6">
        <v>2</v>
      </c>
      <c r="I158" s="6">
        <v>3</v>
      </c>
      <c r="J158" s="6">
        <v>1</v>
      </c>
      <c r="K158" s="6" t="s">
        <v>34</v>
      </c>
      <c r="L158" s="6" t="str">
        <f>VLOOKUP(K158, 'Alphabetical by species code'!A:B, 2, FALSE)</f>
        <v>Erodium cicutarium</v>
      </c>
      <c r="M158" s="6" t="str">
        <f>VLOOKUP(L158, 'Alphabetical by species code'!B:C, 2, FALSE)</f>
        <v>Non-Native</v>
      </c>
    </row>
    <row r="159" spans="1:13" x14ac:dyDescent="0.25">
      <c r="A159" s="6">
        <v>2</v>
      </c>
      <c r="B159" s="6">
        <v>2025</v>
      </c>
      <c r="C159" s="7">
        <v>45755</v>
      </c>
      <c r="D159" s="6" t="s">
        <v>45</v>
      </c>
      <c r="E159" s="6" t="s">
        <v>26</v>
      </c>
      <c r="F159" s="6">
        <v>1</v>
      </c>
      <c r="G159" s="6" t="s">
        <v>46</v>
      </c>
      <c r="H159" s="6">
        <v>2</v>
      </c>
      <c r="I159" s="6">
        <v>3</v>
      </c>
      <c r="J159" s="6">
        <v>1</v>
      </c>
      <c r="K159" s="6" t="s">
        <v>31</v>
      </c>
      <c r="L159" s="6" t="str">
        <f>VLOOKUP(K159, 'Alphabetical by species code'!A:B, 2, FALSE)</f>
        <v>Festuca myuros</v>
      </c>
      <c r="M159" s="6" t="str">
        <f>VLOOKUP(L159, 'Alphabetical by species code'!B:C, 2, FALSE)</f>
        <v>Non-Native</v>
      </c>
    </row>
    <row r="160" spans="1:13" x14ac:dyDescent="0.25">
      <c r="A160" s="6">
        <v>2</v>
      </c>
      <c r="B160" s="6">
        <v>2025</v>
      </c>
      <c r="C160" s="7">
        <v>45755</v>
      </c>
      <c r="D160" s="6" t="s">
        <v>45</v>
      </c>
      <c r="E160" s="6" t="s">
        <v>26</v>
      </c>
      <c r="F160" s="6">
        <v>1</v>
      </c>
      <c r="G160" s="6" t="s">
        <v>46</v>
      </c>
      <c r="H160" s="6">
        <v>2</v>
      </c>
      <c r="I160" s="6">
        <v>4</v>
      </c>
      <c r="J160" s="6">
        <v>1.5</v>
      </c>
      <c r="K160" s="6" t="s">
        <v>28</v>
      </c>
      <c r="L160" s="6" t="str">
        <f>VLOOKUP(K160, 'Alphabetical by species code'!A:B, 2, FALSE)</f>
        <v>Litter</v>
      </c>
      <c r="M160" s="6" t="str">
        <f>VLOOKUP(L160, 'Alphabetical by species code'!B:C, 2, FALSE)</f>
        <v>Ground Cover</v>
      </c>
    </row>
    <row r="161" spans="1:13" x14ac:dyDescent="0.25">
      <c r="A161" s="6">
        <v>2</v>
      </c>
      <c r="B161" s="6">
        <v>2025</v>
      </c>
      <c r="C161" s="7">
        <v>45755</v>
      </c>
      <c r="D161" s="6" t="s">
        <v>45</v>
      </c>
      <c r="E161" s="6" t="s">
        <v>26</v>
      </c>
      <c r="F161" s="6">
        <v>1</v>
      </c>
      <c r="G161" s="6" t="s">
        <v>46</v>
      </c>
      <c r="H161" s="6">
        <v>2</v>
      </c>
      <c r="I161" s="6">
        <v>4</v>
      </c>
      <c r="J161" s="6">
        <v>1.5</v>
      </c>
      <c r="K161" s="6" t="s">
        <v>32</v>
      </c>
      <c r="L161" s="6" t="str">
        <f>VLOOKUP(K161, 'Alphabetical by species code'!A:B, 2, FALSE)</f>
        <v>Medicago polymorpha</v>
      </c>
      <c r="M161" s="6" t="str">
        <f>VLOOKUP(L161, 'Alphabetical by species code'!B:C, 2, FALSE)</f>
        <v>Non-Native</v>
      </c>
    </row>
    <row r="162" spans="1:13" x14ac:dyDescent="0.25">
      <c r="A162" s="6">
        <v>2</v>
      </c>
      <c r="B162" s="6">
        <v>2025</v>
      </c>
      <c r="C162" s="7">
        <v>45755</v>
      </c>
      <c r="D162" s="6" t="s">
        <v>45</v>
      </c>
      <c r="E162" s="6" t="s">
        <v>26</v>
      </c>
      <c r="F162" s="6">
        <v>1</v>
      </c>
      <c r="G162" s="6" t="s">
        <v>46</v>
      </c>
      <c r="H162" s="6">
        <v>2</v>
      </c>
      <c r="I162" s="6">
        <v>4</v>
      </c>
      <c r="J162" s="6">
        <v>1.5</v>
      </c>
      <c r="K162" s="6" t="s">
        <v>40</v>
      </c>
      <c r="L162" s="6" t="str">
        <f>VLOOKUP(K162, 'Alphabetical by species code'!A:B, 2, FALSE)</f>
        <v>Cylindropuntia prolifera</v>
      </c>
      <c r="M162" s="6" t="str">
        <f>VLOOKUP(L162, 'Alphabetical by species code'!B:C, 2, FALSE)</f>
        <v>Native</v>
      </c>
    </row>
    <row r="163" spans="1:13" x14ac:dyDescent="0.25">
      <c r="A163" s="6">
        <v>2</v>
      </c>
      <c r="B163" s="6">
        <v>2025</v>
      </c>
      <c r="C163" s="7">
        <v>45755</v>
      </c>
      <c r="D163" s="6" t="s">
        <v>45</v>
      </c>
      <c r="E163" s="6" t="s">
        <v>26</v>
      </c>
      <c r="F163" s="6">
        <v>1</v>
      </c>
      <c r="G163" s="6" t="s">
        <v>46</v>
      </c>
      <c r="H163" s="6">
        <v>2</v>
      </c>
      <c r="I163" s="6">
        <v>4</v>
      </c>
      <c r="J163" s="6">
        <v>1.5</v>
      </c>
      <c r="K163" s="6" t="s">
        <v>42</v>
      </c>
      <c r="L163" s="6" t="str">
        <f>VLOOKUP(K163, 'Alphabetical by species code'!A:B, 2, FALSE)</f>
        <v>Centaurea melitensis</v>
      </c>
      <c r="M163" s="6" t="str">
        <f>VLOOKUP(L163, 'Alphabetical by species code'!B:C, 2, FALSE)</f>
        <v>Non-Native</v>
      </c>
    </row>
    <row r="164" spans="1:13" x14ac:dyDescent="0.25">
      <c r="A164" s="6">
        <v>2</v>
      </c>
      <c r="B164" s="6">
        <v>2025</v>
      </c>
      <c r="C164" s="7">
        <v>45755</v>
      </c>
      <c r="D164" s="6" t="s">
        <v>45</v>
      </c>
      <c r="E164" s="6" t="s">
        <v>26</v>
      </c>
      <c r="F164" s="6">
        <v>1</v>
      </c>
      <c r="G164" s="6" t="s">
        <v>46</v>
      </c>
      <c r="H164" s="6">
        <v>2</v>
      </c>
      <c r="I164" s="6">
        <v>5</v>
      </c>
      <c r="J164" s="6">
        <v>2.5</v>
      </c>
      <c r="K164" s="6" t="s">
        <v>28</v>
      </c>
      <c r="L164" s="6" t="str">
        <f>VLOOKUP(K164, 'Alphabetical by species code'!A:B, 2, FALSE)</f>
        <v>Litter</v>
      </c>
      <c r="M164" s="6" t="str">
        <f>VLOOKUP(L164, 'Alphabetical by species code'!B:C, 2, FALSE)</f>
        <v>Ground Cover</v>
      </c>
    </row>
    <row r="165" spans="1:13" x14ac:dyDescent="0.25">
      <c r="A165" s="6">
        <v>2</v>
      </c>
      <c r="B165" s="6">
        <v>2025</v>
      </c>
      <c r="C165" s="7">
        <v>45755</v>
      </c>
      <c r="D165" s="6" t="s">
        <v>45</v>
      </c>
      <c r="E165" s="6" t="s">
        <v>26</v>
      </c>
      <c r="F165" s="6">
        <v>1</v>
      </c>
      <c r="G165" s="6" t="s">
        <v>46</v>
      </c>
      <c r="H165" s="6">
        <v>2</v>
      </c>
      <c r="I165" s="6">
        <v>5</v>
      </c>
      <c r="J165" s="6">
        <v>2.5</v>
      </c>
      <c r="K165" s="6" t="s">
        <v>32</v>
      </c>
      <c r="L165" s="6" t="str">
        <f>VLOOKUP(K165, 'Alphabetical by species code'!A:B, 2, FALSE)</f>
        <v>Medicago polymorpha</v>
      </c>
      <c r="M165" s="6" t="str">
        <f>VLOOKUP(L165, 'Alphabetical by species code'!B:C, 2, FALSE)</f>
        <v>Non-Native</v>
      </c>
    </row>
    <row r="166" spans="1:13" x14ac:dyDescent="0.25">
      <c r="A166" s="6">
        <v>2</v>
      </c>
      <c r="B166" s="6">
        <v>2025</v>
      </c>
      <c r="C166" s="7">
        <v>45755</v>
      </c>
      <c r="D166" s="6" t="s">
        <v>45</v>
      </c>
      <c r="E166" s="6" t="s">
        <v>26</v>
      </c>
      <c r="F166" s="6">
        <v>1</v>
      </c>
      <c r="G166" s="6" t="s">
        <v>46</v>
      </c>
      <c r="H166" s="6">
        <v>2</v>
      </c>
      <c r="I166" s="6">
        <v>5</v>
      </c>
      <c r="J166" s="6">
        <v>2.5</v>
      </c>
      <c r="K166" s="6" t="s">
        <v>30</v>
      </c>
      <c r="L166" s="6" t="str">
        <f>VLOOKUP(K166, 'Alphabetical by species code'!A:B, 2, FALSE)</f>
        <v>Erodium moschatum</v>
      </c>
      <c r="M166" s="6" t="str">
        <f>VLOOKUP(L166, 'Alphabetical by species code'!B:C, 2, FALSE)</f>
        <v>Non-Native</v>
      </c>
    </row>
    <row r="167" spans="1:13" x14ac:dyDescent="0.25">
      <c r="A167" s="6">
        <v>2</v>
      </c>
      <c r="B167" s="6">
        <v>2025</v>
      </c>
      <c r="C167" s="7">
        <v>45755</v>
      </c>
      <c r="D167" s="6" t="s">
        <v>45</v>
      </c>
      <c r="E167" s="6" t="s">
        <v>26</v>
      </c>
      <c r="F167" s="6">
        <v>1</v>
      </c>
      <c r="G167" s="6" t="s">
        <v>46</v>
      </c>
      <c r="H167" s="6">
        <v>2</v>
      </c>
      <c r="I167" s="6">
        <v>5</v>
      </c>
      <c r="J167" s="6">
        <v>2.5</v>
      </c>
      <c r="K167" s="6" t="s">
        <v>39</v>
      </c>
      <c r="L167" s="6" t="str">
        <f>VLOOKUP(K167, 'Alphabetical by species code'!A:B, 2, FALSE)</f>
        <v>Stephanomeria diegensis</v>
      </c>
      <c r="M167" s="6" t="str">
        <f>VLOOKUP(L167, 'Alphabetical by species code'!B:C, 2, FALSE)</f>
        <v>Native</v>
      </c>
    </row>
    <row r="168" spans="1:13" x14ac:dyDescent="0.25">
      <c r="A168" s="6">
        <v>2</v>
      </c>
      <c r="B168" s="6">
        <v>2025</v>
      </c>
      <c r="C168" s="7">
        <v>45755</v>
      </c>
      <c r="D168" s="6" t="s">
        <v>45</v>
      </c>
      <c r="E168" s="6" t="s">
        <v>26</v>
      </c>
      <c r="F168" s="6">
        <v>1</v>
      </c>
      <c r="G168" s="6" t="s">
        <v>46</v>
      </c>
      <c r="H168" s="6">
        <v>2</v>
      </c>
      <c r="I168" s="6">
        <v>6</v>
      </c>
      <c r="J168" s="6">
        <v>3</v>
      </c>
      <c r="K168" s="6" t="s">
        <v>28</v>
      </c>
      <c r="L168" s="6" t="str">
        <f>VLOOKUP(K168, 'Alphabetical by species code'!A:B, 2, FALSE)</f>
        <v>Litter</v>
      </c>
      <c r="M168" s="6" t="str">
        <f>VLOOKUP(L168, 'Alphabetical by species code'!B:C, 2, FALSE)</f>
        <v>Ground Cover</v>
      </c>
    </row>
    <row r="169" spans="1:13" x14ac:dyDescent="0.25">
      <c r="A169" s="6">
        <v>2</v>
      </c>
      <c r="B169" s="6">
        <v>2025</v>
      </c>
      <c r="C169" s="7">
        <v>45755</v>
      </c>
      <c r="D169" s="6" t="s">
        <v>45</v>
      </c>
      <c r="E169" s="6" t="s">
        <v>26</v>
      </c>
      <c r="F169" s="6">
        <v>1</v>
      </c>
      <c r="G169" s="6" t="s">
        <v>46</v>
      </c>
      <c r="H169" s="6">
        <v>2</v>
      </c>
      <c r="I169" s="6">
        <v>6</v>
      </c>
      <c r="J169" s="6">
        <v>3</v>
      </c>
      <c r="K169" s="6" t="s">
        <v>32</v>
      </c>
      <c r="L169" s="6" t="str">
        <f>VLOOKUP(K169, 'Alphabetical by species code'!A:B, 2, FALSE)</f>
        <v>Medicago polymorpha</v>
      </c>
      <c r="M169" s="6" t="str">
        <f>VLOOKUP(L169, 'Alphabetical by species code'!B:C, 2, FALSE)</f>
        <v>Non-Native</v>
      </c>
    </row>
    <row r="170" spans="1:13" x14ac:dyDescent="0.25">
      <c r="A170" s="6">
        <v>2</v>
      </c>
      <c r="B170" s="6">
        <v>2025</v>
      </c>
      <c r="C170" s="7">
        <v>45755</v>
      </c>
      <c r="D170" s="6" t="s">
        <v>45</v>
      </c>
      <c r="E170" s="6" t="s">
        <v>26</v>
      </c>
      <c r="F170" s="6">
        <v>1</v>
      </c>
      <c r="G170" s="6" t="s">
        <v>46</v>
      </c>
      <c r="H170" s="6">
        <v>2</v>
      </c>
      <c r="I170" s="6">
        <v>6</v>
      </c>
      <c r="J170" s="6">
        <v>3</v>
      </c>
      <c r="K170" s="6" t="s">
        <v>37</v>
      </c>
      <c r="L170" s="6" t="str">
        <f>VLOOKUP(K170, 'Alphabetical by species code'!A:B, 2, FALSE)</f>
        <v>Sonchus oleraceus</v>
      </c>
      <c r="M170" s="6" t="str">
        <f>VLOOKUP(L170, 'Alphabetical by species code'!B:C, 2, FALSE)</f>
        <v>Non-Native</v>
      </c>
    </row>
    <row r="171" spans="1:13" x14ac:dyDescent="0.25">
      <c r="A171" s="6">
        <v>2</v>
      </c>
      <c r="B171" s="6">
        <v>2025</v>
      </c>
      <c r="C171" s="7">
        <v>45755</v>
      </c>
      <c r="D171" s="6" t="s">
        <v>45</v>
      </c>
      <c r="E171" s="6" t="s">
        <v>26</v>
      </c>
      <c r="F171" s="6">
        <v>1</v>
      </c>
      <c r="G171" s="6" t="s">
        <v>46</v>
      </c>
      <c r="H171" s="6">
        <v>2</v>
      </c>
      <c r="I171" s="6">
        <v>7</v>
      </c>
      <c r="J171" s="6">
        <v>3.5</v>
      </c>
      <c r="K171" s="6" t="s">
        <v>51</v>
      </c>
      <c r="L171" s="6" t="str">
        <f>VLOOKUP(K171, 'Alphabetical by species code'!A:B, 2, FALSE)</f>
        <v>Bareground</v>
      </c>
      <c r="M171" s="6" t="str">
        <f>VLOOKUP(L171, 'Alphabetical by species code'!B:C, 2, FALSE)</f>
        <v>Ground Cover</v>
      </c>
    </row>
    <row r="172" spans="1:13" x14ac:dyDescent="0.25">
      <c r="A172" s="6">
        <v>2</v>
      </c>
      <c r="B172" s="6">
        <v>2025</v>
      </c>
      <c r="C172" s="7">
        <v>45755</v>
      </c>
      <c r="D172" s="6" t="s">
        <v>45</v>
      </c>
      <c r="E172" s="6" t="s">
        <v>26</v>
      </c>
      <c r="F172" s="6">
        <v>1</v>
      </c>
      <c r="G172" s="6" t="s">
        <v>46</v>
      </c>
      <c r="H172" s="6">
        <v>2</v>
      </c>
      <c r="I172" s="6">
        <v>8</v>
      </c>
      <c r="J172" s="6">
        <v>4</v>
      </c>
      <c r="K172" s="6" t="s">
        <v>28</v>
      </c>
      <c r="L172" s="6" t="str">
        <f>VLOOKUP(K172, 'Alphabetical by species code'!A:B, 2, FALSE)</f>
        <v>Litter</v>
      </c>
      <c r="M172" s="6" t="str">
        <f>VLOOKUP(L172, 'Alphabetical by species code'!B:C, 2, FALSE)</f>
        <v>Ground Cover</v>
      </c>
    </row>
    <row r="173" spans="1:13" x14ac:dyDescent="0.25">
      <c r="A173" s="6">
        <v>2</v>
      </c>
      <c r="B173" s="6">
        <v>2025</v>
      </c>
      <c r="C173" s="7">
        <v>45755</v>
      </c>
      <c r="D173" s="6" t="s">
        <v>45</v>
      </c>
      <c r="E173" s="6" t="s">
        <v>26</v>
      </c>
      <c r="F173" s="6">
        <v>1</v>
      </c>
      <c r="G173" s="6" t="s">
        <v>46</v>
      </c>
      <c r="H173" s="6">
        <v>2</v>
      </c>
      <c r="I173" s="6">
        <v>8</v>
      </c>
      <c r="J173" s="6">
        <v>4</v>
      </c>
      <c r="K173" s="6" t="s">
        <v>37</v>
      </c>
      <c r="L173" s="6" t="str">
        <f>VLOOKUP(K173, 'Alphabetical by species code'!A:B, 2, FALSE)</f>
        <v>Sonchus oleraceus</v>
      </c>
      <c r="M173" s="6" t="str">
        <f>VLOOKUP(L173, 'Alphabetical by species code'!B:C, 2, FALSE)</f>
        <v>Non-Native</v>
      </c>
    </row>
    <row r="174" spans="1:13" x14ac:dyDescent="0.25">
      <c r="A174" s="6">
        <v>2</v>
      </c>
      <c r="B174" s="6">
        <v>2025</v>
      </c>
      <c r="C174" s="7">
        <v>45755</v>
      </c>
      <c r="D174" s="6" t="s">
        <v>45</v>
      </c>
      <c r="E174" s="6" t="s">
        <v>26</v>
      </c>
      <c r="F174" s="6">
        <v>1</v>
      </c>
      <c r="G174" s="6" t="s">
        <v>46</v>
      </c>
      <c r="H174" s="6">
        <v>2</v>
      </c>
      <c r="I174" s="6">
        <v>8</v>
      </c>
      <c r="J174" s="6">
        <v>4</v>
      </c>
      <c r="K174" s="6" t="s">
        <v>34</v>
      </c>
      <c r="L174" s="6" t="str">
        <f>VLOOKUP(K174, 'Alphabetical by species code'!A:B, 2, FALSE)</f>
        <v>Erodium cicutarium</v>
      </c>
      <c r="M174" s="6" t="str">
        <f>VLOOKUP(L174, 'Alphabetical by species code'!B:C, 2, FALSE)</f>
        <v>Non-Native</v>
      </c>
    </row>
    <row r="175" spans="1:13" x14ac:dyDescent="0.25">
      <c r="A175" s="6">
        <v>2</v>
      </c>
      <c r="B175" s="6">
        <v>2025</v>
      </c>
      <c r="C175" s="7">
        <v>45755</v>
      </c>
      <c r="D175" s="6" t="s">
        <v>45</v>
      </c>
      <c r="E175" s="6" t="s">
        <v>26</v>
      </c>
      <c r="F175" s="6">
        <v>1</v>
      </c>
      <c r="G175" s="6" t="s">
        <v>46</v>
      </c>
      <c r="H175" s="6">
        <v>2</v>
      </c>
      <c r="I175" s="6">
        <v>9</v>
      </c>
      <c r="J175" s="6">
        <v>4.5</v>
      </c>
      <c r="K175" s="6" t="s">
        <v>28</v>
      </c>
      <c r="L175" s="6" t="str">
        <f>VLOOKUP(K175, 'Alphabetical by species code'!A:B, 2, FALSE)</f>
        <v>Litter</v>
      </c>
      <c r="M175" s="6" t="str">
        <f>VLOOKUP(L175, 'Alphabetical by species code'!B:C, 2, FALSE)</f>
        <v>Ground Cover</v>
      </c>
    </row>
    <row r="176" spans="1:13" x14ac:dyDescent="0.25">
      <c r="A176" s="6">
        <v>2</v>
      </c>
      <c r="B176" s="6">
        <v>2025</v>
      </c>
      <c r="C176" s="7">
        <v>45755</v>
      </c>
      <c r="D176" s="6" t="s">
        <v>45</v>
      </c>
      <c r="E176" s="6" t="s">
        <v>26</v>
      </c>
      <c r="F176" s="6">
        <v>1</v>
      </c>
      <c r="G176" s="6" t="s">
        <v>46</v>
      </c>
      <c r="H176" s="6">
        <v>2</v>
      </c>
      <c r="I176" s="6">
        <v>9</v>
      </c>
      <c r="J176" s="6">
        <v>4.5</v>
      </c>
      <c r="K176" s="6" t="s">
        <v>35</v>
      </c>
      <c r="L176" s="6" t="str">
        <f>VLOOKUP(K176, 'Alphabetical by species code'!A:B, 2, FALSE)</f>
        <v>Deinandra fasciculata</v>
      </c>
      <c r="M176" s="6" t="str">
        <f>VLOOKUP(L176, 'Alphabetical by species code'!B:C, 2, FALSE)</f>
        <v>Native</v>
      </c>
    </row>
    <row r="177" spans="1:13" x14ac:dyDescent="0.25">
      <c r="A177" s="6">
        <v>2</v>
      </c>
      <c r="B177" s="6">
        <v>2025</v>
      </c>
      <c r="C177" s="7">
        <v>45755</v>
      </c>
      <c r="D177" s="6" t="s">
        <v>45</v>
      </c>
      <c r="E177" s="6" t="s">
        <v>26</v>
      </c>
      <c r="F177" s="6">
        <v>1</v>
      </c>
      <c r="G177" s="6" t="s">
        <v>46</v>
      </c>
      <c r="H177" s="6">
        <v>2</v>
      </c>
      <c r="I177" s="6">
        <v>9</v>
      </c>
      <c r="J177" s="6">
        <v>4.5</v>
      </c>
      <c r="K177" s="6" t="s">
        <v>37</v>
      </c>
      <c r="L177" s="6" t="str">
        <f>VLOOKUP(K177, 'Alphabetical by species code'!A:B, 2, FALSE)</f>
        <v>Sonchus oleraceus</v>
      </c>
      <c r="M177" s="6" t="str">
        <f>VLOOKUP(L177, 'Alphabetical by species code'!B:C, 2, FALSE)</f>
        <v>Non-Native</v>
      </c>
    </row>
    <row r="178" spans="1:13" x14ac:dyDescent="0.25">
      <c r="A178" s="6">
        <v>2</v>
      </c>
      <c r="B178" s="6">
        <v>2025</v>
      </c>
      <c r="C178" s="7">
        <v>45755</v>
      </c>
      <c r="D178" s="6" t="s">
        <v>45</v>
      </c>
      <c r="E178" s="6" t="s">
        <v>26</v>
      </c>
      <c r="F178" s="6">
        <v>1</v>
      </c>
      <c r="G178" s="6" t="s">
        <v>46</v>
      </c>
      <c r="H178" s="6">
        <v>2</v>
      </c>
      <c r="I178" s="6">
        <v>10</v>
      </c>
      <c r="J178" s="6">
        <v>5</v>
      </c>
      <c r="K178" s="6" t="s">
        <v>28</v>
      </c>
      <c r="L178" s="6" t="str">
        <f>VLOOKUP(K178, 'Alphabetical by species code'!A:B, 2, FALSE)</f>
        <v>Litter</v>
      </c>
      <c r="M178" s="6" t="str">
        <f>VLOOKUP(L178, 'Alphabetical by species code'!B:C, 2, FALSE)</f>
        <v>Ground Cover</v>
      </c>
    </row>
    <row r="179" spans="1:13" x14ac:dyDescent="0.25">
      <c r="A179" s="6">
        <v>2</v>
      </c>
      <c r="B179" s="6">
        <v>2025</v>
      </c>
      <c r="C179" s="7">
        <v>45755</v>
      </c>
      <c r="D179" s="6" t="s">
        <v>45</v>
      </c>
      <c r="E179" s="6" t="s">
        <v>26</v>
      </c>
      <c r="F179" s="6">
        <v>1</v>
      </c>
      <c r="G179" s="6" t="s">
        <v>46</v>
      </c>
      <c r="H179" s="6">
        <v>2</v>
      </c>
      <c r="I179" s="6">
        <v>10</v>
      </c>
      <c r="J179" s="6">
        <v>5</v>
      </c>
      <c r="K179" s="6" t="s">
        <v>34</v>
      </c>
      <c r="L179" s="6" t="str">
        <f>VLOOKUP(K179, 'Alphabetical by species code'!A:B, 2, FALSE)</f>
        <v>Erodium cicutarium</v>
      </c>
      <c r="M179" s="6" t="str">
        <f>VLOOKUP(L179, 'Alphabetical by species code'!B:C, 2, FALSE)</f>
        <v>Non-Native</v>
      </c>
    </row>
    <row r="180" spans="1:13" x14ac:dyDescent="0.25">
      <c r="A180" s="6">
        <v>2</v>
      </c>
      <c r="B180" s="6">
        <v>2025</v>
      </c>
      <c r="C180" s="7">
        <v>45755</v>
      </c>
      <c r="D180" s="6" t="s">
        <v>45</v>
      </c>
      <c r="E180" s="6" t="s">
        <v>26</v>
      </c>
      <c r="F180" s="6">
        <v>1</v>
      </c>
      <c r="G180" s="6" t="s">
        <v>46</v>
      </c>
      <c r="H180" s="6">
        <v>2</v>
      </c>
      <c r="I180" s="6">
        <v>10</v>
      </c>
      <c r="J180" s="6">
        <v>5</v>
      </c>
      <c r="K180" s="6" t="s">
        <v>42</v>
      </c>
      <c r="L180" s="6" t="str">
        <f>VLOOKUP(K180, 'Alphabetical by species code'!A:B, 2, FALSE)</f>
        <v>Centaurea melitensis</v>
      </c>
      <c r="M180" s="6" t="str">
        <f>VLOOKUP(L180, 'Alphabetical by species code'!B:C, 2, FALSE)</f>
        <v>Non-Native</v>
      </c>
    </row>
    <row r="181" spans="1:13" x14ac:dyDescent="0.25">
      <c r="A181" s="6">
        <v>2</v>
      </c>
      <c r="B181" s="6">
        <v>2025</v>
      </c>
      <c r="C181" s="7">
        <v>45755</v>
      </c>
      <c r="D181" s="6" t="s">
        <v>45</v>
      </c>
      <c r="E181" s="6" t="s">
        <v>26</v>
      </c>
      <c r="F181" s="6">
        <v>1</v>
      </c>
      <c r="G181" s="6" t="s">
        <v>46</v>
      </c>
      <c r="H181" s="6">
        <v>2</v>
      </c>
      <c r="I181" s="6">
        <v>11</v>
      </c>
      <c r="J181" s="6">
        <v>5.5</v>
      </c>
      <c r="K181" s="6" t="s">
        <v>28</v>
      </c>
      <c r="L181" s="6" t="str">
        <f>VLOOKUP(K181, 'Alphabetical by species code'!A:B, 2, FALSE)</f>
        <v>Litter</v>
      </c>
      <c r="M181" s="6" t="str">
        <f>VLOOKUP(L181, 'Alphabetical by species code'!B:C, 2, FALSE)</f>
        <v>Ground Cover</v>
      </c>
    </row>
    <row r="182" spans="1:13" x14ac:dyDescent="0.25">
      <c r="A182" s="6">
        <v>2</v>
      </c>
      <c r="B182" s="6">
        <v>2025</v>
      </c>
      <c r="C182" s="7">
        <v>45755</v>
      </c>
      <c r="D182" s="6" t="s">
        <v>45</v>
      </c>
      <c r="E182" s="6" t="s">
        <v>26</v>
      </c>
      <c r="F182" s="6">
        <v>1</v>
      </c>
      <c r="G182" s="6" t="s">
        <v>46</v>
      </c>
      <c r="H182" s="6">
        <v>2</v>
      </c>
      <c r="I182" s="6">
        <v>11</v>
      </c>
      <c r="J182" s="6">
        <v>5.5</v>
      </c>
      <c r="K182" s="6" t="s">
        <v>34</v>
      </c>
      <c r="L182" s="6" t="str">
        <f>VLOOKUP(K182, 'Alphabetical by species code'!A:B, 2, FALSE)</f>
        <v>Erodium cicutarium</v>
      </c>
      <c r="M182" s="6" t="str">
        <f>VLOOKUP(L182, 'Alphabetical by species code'!B:C, 2, FALSE)</f>
        <v>Non-Native</v>
      </c>
    </row>
    <row r="183" spans="1:13" x14ac:dyDescent="0.25">
      <c r="A183" s="6">
        <v>2</v>
      </c>
      <c r="B183" s="6">
        <v>2025</v>
      </c>
      <c r="C183" s="7">
        <v>45755</v>
      </c>
      <c r="D183" s="6" t="s">
        <v>45</v>
      </c>
      <c r="E183" s="6" t="s">
        <v>26</v>
      </c>
      <c r="F183" s="6">
        <v>1</v>
      </c>
      <c r="G183" s="6" t="s">
        <v>46</v>
      </c>
      <c r="H183" s="6">
        <v>2</v>
      </c>
      <c r="I183" s="6">
        <v>11</v>
      </c>
      <c r="J183" s="6">
        <v>5.5</v>
      </c>
      <c r="K183" s="6" t="s">
        <v>42</v>
      </c>
      <c r="L183" s="6" t="str">
        <f>VLOOKUP(K183, 'Alphabetical by species code'!A:B, 2, FALSE)</f>
        <v>Centaurea melitensis</v>
      </c>
      <c r="M183" s="6" t="str">
        <f>VLOOKUP(L183, 'Alphabetical by species code'!B:C, 2, FALSE)</f>
        <v>Non-Native</v>
      </c>
    </row>
    <row r="184" spans="1:13" x14ac:dyDescent="0.25">
      <c r="A184" s="6">
        <v>2</v>
      </c>
      <c r="B184" s="6">
        <v>2025</v>
      </c>
      <c r="C184" s="7">
        <v>45755</v>
      </c>
      <c r="D184" s="6" t="s">
        <v>45</v>
      </c>
      <c r="E184" s="6" t="s">
        <v>26</v>
      </c>
      <c r="F184" s="6">
        <v>1</v>
      </c>
      <c r="G184" s="6" t="s">
        <v>46</v>
      </c>
      <c r="H184" s="6">
        <v>2</v>
      </c>
      <c r="I184" s="6">
        <v>12</v>
      </c>
      <c r="J184" s="6">
        <v>6</v>
      </c>
      <c r="K184" s="6" t="s">
        <v>28</v>
      </c>
      <c r="L184" s="6" t="str">
        <f>VLOOKUP(K184, 'Alphabetical by species code'!A:B, 2, FALSE)</f>
        <v>Litter</v>
      </c>
      <c r="M184" s="6" t="str">
        <f>VLOOKUP(L184, 'Alphabetical by species code'!B:C, 2, FALSE)</f>
        <v>Ground Cover</v>
      </c>
    </row>
    <row r="185" spans="1:13" x14ac:dyDescent="0.25">
      <c r="A185" s="6">
        <v>2</v>
      </c>
      <c r="B185" s="6">
        <v>2025</v>
      </c>
      <c r="C185" s="7">
        <v>45755</v>
      </c>
      <c r="D185" s="6" t="s">
        <v>45</v>
      </c>
      <c r="E185" s="6" t="s">
        <v>26</v>
      </c>
      <c r="F185" s="6">
        <v>1</v>
      </c>
      <c r="G185" s="6" t="s">
        <v>46</v>
      </c>
      <c r="H185" s="6">
        <v>2</v>
      </c>
      <c r="I185" s="6">
        <v>12</v>
      </c>
      <c r="J185" s="6">
        <v>6</v>
      </c>
      <c r="K185" s="6" t="s">
        <v>39</v>
      </c>
      <c r="L185" s="6" t="str">
        <f>VLOOKUP(K185, 'Alphabetical by species code'!A:B, 2, FALSE)</f>
        <v>Stephanomeria diegensis</v>
      </c>
      <c r="M185" s="6" t="str">
        <f>VLOOKUP(L185, 'Alphabetical by species code'!B:C, 2, FALSE)</f>
        <v>Native</v>
      </c>
    </row>
    <row r="186" spans="1:13" x14ac:dyDescent="0.25">
      <c r="A186" s="6">
        <v>2</v>
      </c>
      <c r="B186" s="6">
        <v>2025</v>
      </c>
      <c r="C186" s="7">
        <v>45755</v>
      </c>
      <c r="D186" s="6" t="s">
        <v>45</v>
      </c>
      <c r="E186" s="6" t="s">
        <v>26</v>
      </c>
      <c r="F186" s="6">
        <v>1</v>
      </c>
      <c r="G186" s="6" t="s">
        <v>46</v>
      </c>
      <c r="H186" s="6">
        <v>2</v>
      </c>
      <c r="I186" s="6">
        <v>12</v>
      </c>
      <c r="J186" s="6">
        <v>6</v>
      </c>
      <c r="K186" s="6" t="s">
        <v>30</v>
      </c>
      <c r="L186" s="6" t="str">
        <f>VLOOKUP(K186, 'Alphabetical by species code'!A:B, 2, FALSE)</f>
        <v>Erodium moschatum</v>
      </c>
      <c r="M186" s="6" t="str">
        <f>VLOOKUP(L186, 'Alphabetical by species code'!B:C, 2, FALSE)</f>
        <v>Non-Native</v>
      </c>
    </row>
    <row r="187" spans="1:13" x14ac:dyDescent="0.25">
      <c r="A187" s="6">
        <v>2</v>
      </c>
      <c r="B187" s="6">
        <v>2025</v>
      </c>
      <c r="C187" s="7">
        <v>45755</v>
      </c>
      <c r="D187" s="6" t="s">
        <v>45</v>
      </c>
      <c r="E187" s="6" t="s">
        <v>26</v>
      </c>
      <c r="F187" s="6">
        <v>1</v>
      </c>
      <c r="G187" s="6" t="s">
        <v>46</v>
      </c>
      <c r="H187" s="6">
        <v>2</v>
      </c>
      <c r="I187" s="6">
        <v>13</v>
      </c>
      <c r="J187" s="6">
        <v>6.5</v>
      </c>
      <c r="K187" s="6" t="s">
        <v>28</v>
      </c>
      <c r="L187" s="6" t="str">
        <f>VLOOKUP(K187, 'Alphabetical by species code'!A:B, 2, FALSE)</f>
        <v>Litter</v>
      </c>
      <c r="M187" s="6" t="str">
        <f>VLOOKUP(L187, 'Alphabetical by species code'!B:C, 2, FALSE)</f>
        <v>Ground Cover</v>
      </c>
    </row>
    <row r="188" spans="1:13" x14ac:dyDescent="0.25">
      <c r="A188" s="6">
        <v>2</v>
      </c>
      <c r="B188" s="6">
        <v>2025</v>
      </c>
      <c r="C188" s="7">
        <v>45755</v>
      </c>
      <c r="D188" s="6" t="s">
        <v>45</v>
      </c>
      <c r="E188" s="6" t="s">
        <v>26</v>
      </c>
      <c r="F188" s="6">
        <v>1</v>
      </c>
      <c r="G188" s="6" t="s">
        <v>46</v>
      </c>
      <c r="H188" s="6">
        <v>2</v>
      </c>
      <c r="I188" s="6">
        <v>13</v>
      </c>
      <c r="J188" s="6">
        <v>6.5</v>
      </c>
      <c r="K188" s="6" t="s">
        <v>48</v>
      </c>
      <c r="L188" s="6" t="str">
        <f>VLOOKUP(K188, 'Alphabetical by species code'!A:B, 2, FALSE)</f>
        <v>Sonchus asper</v>
      </c>
      <c r="M188" s="6" t="str">
        <f>VLOOKUP(L188, 'Alphabetical by species code'!B:C, 2, FALSE)</f>
        <v>Non-Native</v>
      </c>
    </row>
    <row r="189" spans="1:13" x14ac:dyDescent="0.25">
      <c r="A189" s="6">
        <v>2</v>
      </c>
      <c r="B189" s="6">
        <v>2025</v>
      </c>
      <c r="C189" s="7">
        <v>45755</v>
      </c>
      <c r="D189" s="6" t="s">
        <v>45</v>
      </c>
      <c r="E189" s="6" t="s">
        <v>26</v>
      </c>
      <c r="F189" s="6">
        <v>1</v>
      </c>
      <c r="G189" s="6" t="s">
        <v>46</v>
      </c>
      <c r="H189" s="6">
        <v>2</v>
      </c>
      <c r="I189" s="6">
        <v>13</v>
      </c>
      <c r="J189" s="6">
        <v>6.5</v>
      </c>
      <c r="K189" s="6" t="s">
        <v>39</v>
      </c>
      <c r="L189" s="6" t="str">
        <f>VLOOKUP(K189, 'Alphabetical by species code'!A:B, 2, FALSE)</f>
        <v>Stephanomeria diegensis</v>
      </c>
      <c r="M189" s="6" t="str">
        <f>VLOOKUP(L189, 'Alphabetical by species code'!B:C, 2, FALSE)</f>
        <v>Native</v>
      </c>
    </row>
    <row r="190" spans="1:13" x14ac:dyDescent="0.25">
      <c r="A190" s="6">
        <v>2</v>
      </c>
      <c r="B190" s="6">
        <v>2025</v>
      </c>
      <c r="C190" s="7">
        <v>45755</v>
      </c>
      <c r="D190" s="6" t="s">
        <v>45</v>
      </c>
      <c r="E190" s="6" t="s">
        <v>26</v>
      </c>
      <c r="F190" s="6">
        <v>1</v>
      </c>
      <c r="G190" s="6" t="s">
        <v>46</v>
      </c>
      <c r="H190" s="6">
        <v>2</v>
      </c>
      <c r="I190" s="6">
        <v>13</v>
      </c>
      <c r="J190" s="6">
        <v>6.5</v>
      </c>
      <c r="K190" s="6" t="s">
        <v>31</v>
      </c>
      <c r="L190" s="6" t="str">
        <f>VLOOKUP(K190, 'Alphabetical by species code'!A:B, 2, FALSE)</f>
        <v>Festuca myuros</v>
      </c>
      <c r="M190" s="6" t="str">
        <f>VLOOKUP(L190, 'Alphabetical by species code'!B:C, 2, FALSE)</f>
        <v>Non-Native</v>
      </c>
    </row>
    <row r="191" spans="1:13" x14ac:dyDescent="0.25">
      <c r="A191" s="6">
        <v>2</v>
      </c>
      <c r="B191" s="6">
        <v>2025</v>
      </c>
      <c r="C191" s="7">
        <v>45755</v>
      </c>
      <c r="D191" s="6" t="s">
        <v>45</v>
      </c>
      <c r="E191" s="6" t="s">
        <v>26</v>
      </c>
      <c r="F191" s="6">
        <v>1</v>
      </c>
      <c r="G191" s="6" t="s">
        <v>46</v>
      </c>
      <c r="H191" s="6">
        <v>2</v>
      </c>
      <c r="I191" s="6">
        <v>14</v>
      </c>
      <c r="J191" s="6">
        <v>7</v>
      </c>
      <c r="K191" s="6" t="s">
        <v>52</v>
      </c>
      <c r="L191" s="6" t="str">
        <f>VLOOKUP(K191, 'Alphabetical by species code'!A:B, 2, FALSE)</f>
        <v>Rock</v>
      </c>
      <c r="M191" s="6" t="str">
        <f>VLOOKUP(L191, 'Alphabetical by species code'!B:C, 2, FALSE)</f>
        <v>Ground Cover</v>
      </c>
    </row>
    <row r="192" spans="1:13" x14ac:dyDescent="0.25">
      <c r="A192" s="6">
        <v>2</v>
      </c>
      <c r="B192" s="6">
        <v>2025</v>
      </c>
      <c r="C192" s="7">
        <v>45755</v>
      </c>
      <c r="D192" s="6" t="s">
        <v>45</v>
      </c>
      <c r="E192" s="6" t="s">
        <v>26</v>
      </c>
      <c r="F192" s="6">
        <v>1</v>
      </c>
      <c r="G192" s="6" t="s">
        <v>46</v>
      </c>
      <c r="H192" s="6">
        <v>2</v>
      </c>
      <c r="I192" s="6">
        <v>14</v>
      </c>
      <c r="J192" s="6">
        <v>7</v>
      </c>
      <c r="K192" s="6" t="s">
        <v>48</v>
      </c>
      <c r="L192" s="6" t="str">
        <f>VLOOKUP(K192, 'Alphabetical by species code'!A:B, 2, FALSE)</f>
        <v>Sonchus asper</v>
      </c>
      <c r="M192" s="6" t="str">
        <f>VLOOKUP(L192, 'Alphabetical by species code'!B:C, 2, FALSE)</f>
        <v>Non-Native</v>
      </c>
    </row>
    <row r="193" spans="1:13" x14ac:dyDescent="0.25">
      <c r="A193" s="6">
        <v>2</v>
      </c>
      <c r="B193" s="6">
        <v>2025</v>
      </c>
      <c r="C193" s="7">
        <v>45755</v>
      </c>
      <c r="D193" s="6" t="s">
        <v>45</v>
      </c>
      <c r="E193" s="6" t="s">
        <v>26</v>
      </c>
      <c r="F193" s="6">
        <v>1</v>
      </c>
      <c r="G193" s="6" t="s">
        <v>46</v>
      </c>
      <c r="H193" s="6">
        <v>2</v>
      </c>
      <c r="I193" s="6">
        <v>14</v>
      </c>
      <c r="J193" s="6">
        <v>7</v>
      </c>
      <c r="K193" s="6" t="s">
        <v>36</v>
      </c>
      <c r="L193" s="6" t="str">
        <f>VLOOKUP(K193, 'Alphabetical by species code'!A:B, 2, FALSE)</f>
        <v>Bromus madritensis</v>
      </c>
      <c r="M193" s="6" t="str">
        <f>VLOOKUP(L193, 'Alphabetical by species code'!B:C, 2, FALSE)</f>
        <v>Non-Native</v>
      </c>
    </row>
    <row r="194" spans="1:13" x14ac:dyDescent="0.25">
      <c r="A194" s="6">
        <v>2</v>
      </c>
      <c r="B194" s="6">
        <v>2025</v>
      </c>
      <c r="C194" s="7">
        <v>45755</v>
      </c>
      <c r="D194" s="6" t="s">
        <v>45</v>
      </c>
      <c r="E194" s="6" t="s">
        <v>26</v>
      </c>
      <c r="F194" s="6">
        <v>1</v>
      </c>
      <c r="G194" s="6" t="s">
        <v>46</v>
      </c>
      <c r="H194" s="6">
        <v>2</v>
      </c>
      <c r="I194" s="6">
        <v>14</v>
      </c>
      <c r="J194" s="6">
        <v>7</v>
      </c>
      <c r="K194" s="6" t="s">
        <v>30</v>
      </c>
      <c r="L194" s="6" t="str">
        <f>VLOOKUP(K194, 'Alphabetical by species code'!A:B, 2, FALSE)</f>
        <v>Erodium moschatum</v>
      </c>
      <c r="M194" s="6" t="str">
        <f>VLOOKUP(L194, 'Alphabetical by species code'!B:C, 2, FALSE)</f>
        <v>Non-Native</v>
      </c>
    </row>
    <row r="195" spans="1:13" x14ac:dyDescent="0.25">
      <c r="A195" s="6">
        <v>2</v>
      </c>
      <c r="B195" s="6">
        <v>2025</v>
      </c>
      <c r="C195" s="7">
        <v>45755</v>
      </c>
      <c r="D195" s="6" t="s">
        <v>45</v>
      </c>
      <c r="E195" s="6" t="s">
        <v>26</v>
      </c>
      <c r="F195" s="6">
        <v>1</v>
      </c>
      <c r="G195" s="6" t="s">
        <v>46</v>
      </c>
      <c r="H195" s="6">
        <v>2</v>
      </c>
      <c r="I195" s="6">
        <v>15</v>
      </c>
      <c r="J195" s="6">
        <v>7.5</v>
      </c>
      <c r="K195" s="6" t="s">
        <v>28</v>
      </c>
      <c r="L195" s="6" t="str">
        <f>VLOOKUP(K195, 'Alphabetical by species code'!A:B, 2, FALSE)</f>
        <v>Litter</v>
      </c>
      <c r="M195" s="6" t="str">
        <f>VLOOKUP(L195, 'Alphabetical by species code'!B:C, 2, FALSE)</f>
        <v>Ground Cover</v>
      </c>
    </row>
    <row r="196" spans="1:13" x14ac:dyDescent="0.25">
      <c r="A196" s="6">
        <v>2</v>
      </c>
      <c r="B196" s="6">
        <v>2025</v>
      </c>
      <c r="C196" s="7">
        <v>45755</v>
      </c>
      <c r="D196" s="6" t="s">
        <v>45</v>
      </c>
      <c r="E196" s="6" t="s">
        <v>26</v>
      </c>
      <c r="F196" s="6">
        <v>1</v>
      </c>
      <c r="G196" s="6" t="s">
        <v>46</v>
      </c>
      <c r="H196" s="6">
        <v>2</v>
      </c>
      <c r="I196" s="6">
        <v>15</v>
      </c>
      <c r="J196" s="6">
        <v>7.5</v>
      </c>
      <c r="K196" s="6" t="s">
        <v>42</v>
      </c>
      <c r="L196" s="6" t="str">
        <f>VLOOKUP(K196, 'Alphabetical by species code'!A:B, 2, FALSE)</f>
        <v>Centaurea melitensis</v>
      </c>
      <c r="M196" s="6" t="str">
        <f>VLOOKUP(L196, 'Alphabetical by species code'!B:C, 2, FALSE)</f>
        <v>Non-Native</v>
      </c>
    </row>
    <row r="197" spans="1:13" x14ac:dyDescent="0.25">
      <c r="A197" s="6">
        <v>2</v>
      </c>
      <c r="B197" s="6">
        <v>2025</v>
      </c>
      <c r="C197" s="7">
        <v>45755</v>
      </c>
      <c r="D197" s="6" t="s">
        <v>45</v>
      </c>
      <c r="E197" s="6" t="s">
        <v>26</v>
      </c>
      <c r="F197" s="6">
        <v>1</v>
      </c>
      <c r="G197" s="6" t="s">
        <v>46</v>
      </c>
      <c r="H197" s="6">
        <v>2</v>
      </c>
      <c r="I197" s="6">
        <v>15</v>
      </c>
      <c r="J197" s="6">
        <v>7.5</v>
      </c>
      <c r="K197" s="6" t="s">
        <v>35</v>
      </c>
      <c r="L197" s="6" t="str">
        <f>VLOOKUP(K197, 'Alphabetical by species code'!A:B, 2, FALSE)</f>
        <v>Deinandra fasciculata</v>
      </c>
      <c r="M197" s="6" t="str">
        <f>VLOOKUP(L197, 'Alphabetical by species code'!B:C, 2, FALSE)</f>
        <v>Native</v>
      </c>
    </row>
    <row r="198" spans="1:13" x14ac:dyDescent="0.25">
      <c r="A198" s="6">
        <v>2</v>
      </c>
      <c r="B198" s="6">
        <v>2025</v>
      </c>
      <c r="C198" s="7">
        <v>45755</v>
      </c>
      <c r="D198" s="6" t="s">
        <v>45</v>
      </c>
      <c r="E198" s="6" t="s">
        <v>26</v>
      </c>
      <c r="F198" s="6">
        <v>1</v>
      </c>
      <c r="G198" s="6" t="s">
        <v>46</v>
      </c>
      <c r="H198" s="6">
        <v>2</v>
      </c>
      <c r="I198" s="6">
        <v>15</v>
      </c>
      <c r="J198" s="6">
        <v>7.5</v>
      </c>
      <c r="K198" s="6" t="s">
        <v>53</v>
      </c>
      <c r="L198" s="6" t="str">
        <f>VLOOKUP(K198, 'Alphabetical by species code'!A:B, 2, FALSE)</f>
        <v>Erodium botrys</v>
      </c>
      <c r="M198" s="6" t="str">
        <f>VLOOKUP(L198, 'Alphabetical by species code'!B:C, 2, FALSE)</f>
        <v>Non-Native</v>
      </c>
    </row>
    <row r="199" spans="1:13" x14ac:dyDescent="0.25">
      <c r="A199" s="6">
        <v>3</v>
      </c>
      <c r="B199" s="6">
        <v>2025</v>
      </c>
      <c r="C199" s="7">
        <v>45755</v>
      </c>
      <c r="D199" s="6" t="s">
        <v>54</v>
      </c>
      <c r="E199" s="6" t="s">
        <v>26</v>
      </c>
      <c r="F199" s="6">
        <v>3</v>
      </c>
      <c r="G199" s="6" t="s">
        <v>46</v>
      </c>
      <c r="H199" s="6">
        <v>1</v>
      </c>
      <c r="I199" s="6">
        <v>1</v>
      </c>
      <c r="J199" s="6">
        <v>0</v>
      </c>
      <c r="K199" s="6" t="s">
        <v>51</v>
      </c>
      <c r="L199" s="6" t="str">
        <f>VLOOKUP(K199, 'Alphabetical by species code'!A:B, 2, FALSE)</f>
        <v>Bareground</v>
      </c>
      <c r="M199" s="6" t="str">
        <f>VLOOKUP(L199, 'Alphabetical by species code'!B:C, 2, FALSE)</f>
        <v>Ground Cover</v>
      </c>
    </row>
    <row r="200" spans="1:13" x14ac:dyDescent="0.25">
      <c r="A200" s="6">
        <v>3</v>
      </c>
      <c r="B200" s="6">
        <v>2025</v>
      </c>
      <c r="C200" s="7">
        <v>45755</v>
      </c>
      <c r="D200" s="6" t="s">
        <v>54</v>
      </c>
      <c r="E200" s="6" t="s">
        <v>26</v>
      </c>
      <c r="F200" s="6">
        <v>3</v>
      </c>
      <c r="G200" s="6" t="s">
        <v>46</v>
      </c>
      <c r="H200" s="6">
        <v>1</v>
      </c>
      <c r="I200" s="6">
        <v>1</v>
      </c>
      <c r="J200" s="6">
        <v>0</v>
      </c>
      <c r="K200" s="6" t="s">
        <v>32</v>
      </c>
      <c r="L200" s="6" t="str">
        <f>VLOOKUP(K200, 'Alphabetical by species code'!A:B, 2, FALSE)</f>
        <v>Medicago polymorpha</v>
      </c>
      <c r="M200" s="6" t="str">
        <f>VLOOKUP(L200, 'Alphabetical by species code'!B:C, 2, FALSE)</f>
        <v>Non-Native</v>
      </c>
    </row>
    <row r="201" spans="1:13" x14ac:dyDescent="0.25">
      <c r="A201" s="6">
        <v>3</v>
      </c>
      <c r="B201" s="6">
        <v>2025</v>
      </c>
      <c r="C201" s="7">
        <v>45755</v>
      </c>
      <c r="D201" s="6" t="s">
        <v>54</v>
      </c>
      <c r="E201" s="6" t="s">
        <v>26</v>
      </c>
      <c r="F201" s="6">
        <v>3</v>
      </c>
      <c r="G201" s="6" t="s">
        <v>46</v>
      </c>
      <c r="H201" s="6">
        <v>1</v>
      </c>
      <c r="I201" s="6">
        <v>1</v>
      </c>
      <c r="J201" s="6">
        <v>0</v>
      </c>
      <c r="K201" s="6" t="s">
        <v>42</v>
      </c>
      <c r="L201" s="6" t="str">
        <f>VLOOKUP(K201, 'Alphabetical by species code'!A:B, 2, FALSE)</f>
        <v>Centaurea melitensis</v>
      </c>
      <c r="M201" s="6" t="str">
        <f>VLOOKUP(L201, 'Alphabetical by species code'!B:C, 2, FALSE)</f>
        <v>Non-Native</v>
      </c>
    </row>
    <row r="202" spans="1:13" x14ac:dyDescent="0.25">
      <c r="A202" s="6">
        <v>3</v>
      </c>
      <c r="B202" s="6">
        <v>2025</v>
      </c>
      <c r="C202" s="7">
        <v>45755</v>
      </c>
      <c r="D202" s="6" t="s">
        <v>54</v>
      </c>
      <c r="E202" s="6" t="s">
        <v>26</v>
      </c>
      <c r="F202" s="6">
        <v>3</v>
      </c>
      <c r="G202" s="6" t="s">
        <v>46</v>
      </c>
      <c r="H202" s="6">
        <v>1</v>
      </c>
      <c r="I202" s="6">
        <v>2</v>
      </c>
      <c r="J202" s="6">
        <v>0.5</v>
      </c>
      <c r="K202" s="6" t="s">
        <v>28</v>
      </c>
      <c r="L202" s="6" t="str">
        <f>VLOOKUP(K202, 'Alphabetical by species code'!A:B, 2, FALSE)</f>
        <v>Litter</v>
      </c>
      <c r="M202" s="6" t="str">
        <f>VLOOKUP(L202, 'Alphabetical by species code'!B:C, 2, FALSE)</f>
        <v>Ground Cover</v>
      </c>
    </row>
    <row r="203" spans="1:13" x14ac:dyDescent="0.25">
      <c r="A203" s="6">
        <v>3</v>
      </c>
      <c r="B203" s="6">
        <v>2025</v>
      </c>
      <c r="C203" s="7">
        <v>45755</v>
      </c>
      <c r="D203" s="6" t="s">
        <v>54</v>
      </c>
      <c r="E203" s="6" t="s">
        <v>26</v>
      </c>
      <c r="F203" s="6">
        <v>3</v>
      </c>
      <c r="G203" s="6" t="s">
        <v>46</v>
      </c>
      <c r="H203" s="6">
        <v>1</v>
      </c>
      <c r="I203" s="6">
        <v>2</v>
      </c>
      <c r="J203" s="6">
        <v>0.5</v>
      </c>
      <c r="K203" s="6" t="s">
        <v>29</v>
      </c>
      <c r="L203" s="6" t="str">
        <f>VLOOKUP(K203, 'Alphabetical by species code'!A:B, 2, FALSE)</f>
        <v>Opuntia littoralis</v>
      </c>
      <c r="M203" s="6" t="str">
        <f>VLOOKUP(L203, 'Alphabetical by species code'!B:C, 2, FALSE)</f>
        <v>Native</v>
      </c>
    </row>
    <row r="204" spans="1:13" x14ac:dyDescent="0.25">
      <c r="A204" s="6">
        <v>3</v>
      </c>
      <c r="B204" s="6">
        <v>2025</v>
      </c>
      <c r="C204" s="7">
        <v>45755</v>
      </c>
      <c r="D204" s="6" t="s">
        <v>54</v>
      </c>
      <c r="E204" s="6" t="s">
        <v>26</v>
      </c>
      <c r="F204" s="6">
        <v>3</v>
      </c>
      <c r="G204" s="6" t="s">
        <v>46</v>
      </c>
      <c r="H204" s="6">
        <v>1</v>
      </c>
      <c r="I204" s="6">
        <v>2</v>
      </c>
      <c r="J204" s="6">
        <v>0.5</v>
      </c>
      <c r="K204" s="6" t="s">
        <v>31</v>
      </c>
      <c r="L204" s="6" t="str">
        <f>VLOOKUP(K204, 'Alphabetical by species code'!A:B, 2, FALSE)</f>
        <v>Festuca myuros</v>
      </c>
      <c r="M204" s="6" t="str">
        <f>VLOOKUP(L204, 'Alphabetical by species code'!B:C, 2, FALSE)</f>
        <v>Non-Native</v>
      </c>
    </row>
    <row r="205" spans="1:13" x14ac:dyDescent="0.25">
      <c r="A205" s="6">
        <v>3</v>
      </c>
      <c r="B205" s="6">
        <v>2025</v>
      </c>
      <c r="C205" s="7">
        <v>45755</v>
      </c>
      <c r="D205" s="6" t="s">
        <v>54</v>
      </c>
      <c r="E205" s="6" t="s">
        <v>26</v>
      </c>
      <c r="F205" s="6">
        <v>3</v>
      </c>
      <c r="G205" s="6" t="s">
        <v>46</v>
      </c>
      <c r="H205" s="6">
        <v>1</v>
      </c>
      <c r="I205" s="6">
        <v>2</v>
      </c>
      <c r="J205" s="6">
        <v>0.5</v>
      </c>
      <c r="K205" s="6" t="s">
        <v>32</v>
      </c>
      <c r="L205" s="6" t="str">
        <f>VLOOKUP(K205, 'Alphabetical by species code'!A:B, 2, FALSE)</f>
        <v>Medicago polymorpha</v>
      </c>
      <c r="M205" s="6" t="str">
        <f>VLOOKUP(L205, 'Alphabetical by species code'!B:C, 2, FALSE)</f>
        <v>Non-Native</v>
      </c>
    </row>
    <row r="206" spans="1:13" x14ac:dyDescent="0.25">
      <c r="A206" s="6">
        <v>3</v>
      </c>
      <c r="B206" s="6">
        <v>2025</v>
      </c>
      <c r="C206" s="7">
        <v>45755</v>
      </c>
      <c r="D206" s="6" t="s">
        <v>54</v>
      </c>
      <c r="E206" s="6" t="s">
        <v>26</v>
      </c>
      <c r="F206" s="6">
        <v>3</v>
      </c>
      <c r="G206" s="6" t="s">
        <v>46</v>
      </c>
      <c r="H206" s="6">
        <v>1</v>
      </c>
      <c r="I206" s="6">
        <v>3</v>
      </c>
      <c r="J206" s="6">
        <v>1</v>
      </c>
      <c r="K206" s="6" t="s">
        <v>51</v>
      </c>
      <c r="L206" s="6" t="str">
        <f>VLOOKUP(K206, 'Alphabetical by species code'!A:B, 2, FALSE)</f>
        <v>Bareground</v>
      </c>
      <c r="M206" s="6" t="str">
        <f>VLOOKUP(L206, 'Alphabetical by species code'!B:C, 2, FALSE)</f>
        <v>Ground Cover</v>
      </c>
    </row>
    <row r="207" spans="1:13" x14ac:dyDescent="0.25">
      <c r="A207" s="6">
        <v>3</v>
      </c>
      <c r="B207" s="6">
        <v>2025</v>
      </c>
      <c r="C207" s="7">
        <v>45755</v>
      </c>
      <c r="D207" s="6" t="s">
        <v>54</v>
      </c>
      <c r="E207" s="6" t="s">
        <v>26</v>
      </c>
      <c r="F207" s="6">
        <v>3</v>
      </c>
      <c r="G207" s="6" t="s">
        <v>46</v>
      </c>
      <c r="H207" s="6">
        <v>1</v>
      </c>
      <c r="I207" s="6">
        <v>3</v>
      </c>
      <c r="J207" s="6">
        <v>1</v>
      </c>
      <c r="K207" s="6" t="s">
        <v>31</v>
      </c>
      <c r="L207" s="6" t="str">
        <f>VLOOKUP(K207, 'Alphabetical by species code'!A:B, 2, FALSE)</f>
        <v>Festuca myuros</v>
      </c>
      <c r="M207" s="6" t="str">
        <f>VLOOKUP(L207, 'Alphabetical by species code'!B:C, 2, FALSE)</f>
        <v>Non-Native</v>
      </c>
    </row>
    <row r="208" spans="1:13" x14ac:dyDescent="0.25">
      <c r="A208" s="6">
        <v>3</v>
      </c>
      <c r="B208" s="6">
        <v>2025</v>
      </c>
      <c r="C208" s="7">
        <v>45755</v>
      </c>
      <c r="D208" s="6" t="s">
        <v>54</v>
      </c>
      <c r="E208" s="6" t="s">
        <v>26</v>
      </c>
      <c r="F208" s="6">
        <v>3</v>
      </c>
      <c r="G208" s="6" t="s">
        <v>46</v>
      </c>
      <c r="H208" s="6">
        <v>1</v>
      </c>
      <c r="I208" s="6">
        <v>3</v>
      </c>
      <c r="J208" s="6">
        <v>1</v>
      </c>
      <c r="K208" s="6" t="s">
        <v>55</v>
      </c>
      <c r="L208" s="6" t="str">
        <f>VLOOKUP(K208, 'Alphabetical by species code'!A:B, 2, FALSE)</f>
        <v>Daucus pusillus</v>
      </c>
      <c r="M208" s="6" t="str">
        <f>VLOOKUP(L208, 'Alphabetical by species code'!B:C, 2, FALSE)</f>
        <v>Native</v>
      </c>
    </row>
    <row r="209" spans="1:13" x14ac:dyDescent="0.25">
      <c r="A209" s="6">
        <v>3</v>
      </c>
      <c r="B209" s="6">
        <v>2025</v>
      </c>
      <c r="C209" s="7">
        <v>45755</v>
      </c>
      <c r="D209" s="6" t="s">
        <v>54</v>
      </c>
      <c r="E209" s="6" t="s">
        <v>26</v>
      </c>
      <c r="F209" s="6">
        <v>3</v>
      </c>
      <c r="G209" s="6" t="s">
        <v>46</v>
      </c>
      <c r="H209" s="6">
        <v>1</v>
      </c>
      <c r="I209" s="6">
        <v>3</v>
      </c>
      <c r="J209" s="6">
        <v>1</v>
      </c>
      <c r="K209" s="6" t="s">
        <v>35</v>
      </c>
      <c r="L209" s="6" t="str">
        <f>VLOOKUP(K209, 'Alphabetical by species code'!A:B, 2, FALSE)</f>
        <v>Deinandra fasciculata</v>
      </c>
      <c r="M209" s="6" t="str">
        <f>VLOOKUP(L209, 'Alphabetical by species code'!B:C, 2, FALSE)</f>
        <v>Native</v>
      </c>
    </row>
    <row r="210" spans="1:13" x14ac:dyDescent="0.25">
      <c r="A210" s="6">
        <v>3</v>
      </c>
      <c r="B210" s="6">
        <v>2025</v>
      </c>
      <c r="C210" s="7">
        <v>45755</v>
      </c>
      <c r="D210" s="6" t="s">
        <v>54</v>
      </c>
      <c r="E210" s="6" t="s">
        <v>26</v>
      </c>
      <c r="F210" s="6">
        <v>3</v>
      </c>
      <c r="G210" s="6" t="s">
        <v>46</v>
      </c>
      <c r="H210" s="6">
        <v>1</v>
      </c>
      <c r="I210" s="6">
        <v>3</v>
      </c>
      <c r="J210" s="6">
        <v>1</v>
      </c>
      <c r="K210" s="6" t="s">
        <v>56</v>
      </c>
      <c r="L210" s="6" t="str">
        <f>VLOOKUP(K210, 'Alphabetical by species code'!A:B, 2, FALSE)</f>
        <v>Grindelia camporum</v>
      </c>
      <c r="M210" s="6" t="str">
        <f>VLOOKUP(L210, 'Alphabetical by species code'!B:C, 2, FALSE)</f>
        <v>Native</v>
      </c>
    </row>
    <row r="211" spans="1:13" x14ac:dyDescent="0.25">
      <c r="A211" s="6">
        <v>3</v>
      </c>
      <c r="B211" s="6">
        <v>2025</v>
      </c>
      <c r="C211" s="7">
        <v>45755</v>
      </c>
      <c r="D211" s="6" t="s">
        <v>54</v>
      </c>
      <c r="E211" s="6" t="s">
        <v>26</v>
      </c>
      <c r="F211" s="6">
        <v>3</v>
      </c>
      <c r="G211" s="6" t="s">
        <v>46</v>
      </c>
      <c r="H211" s="6">
        <v>1</v>
      </c>
      <c r="I211" s="6">
        <v>4</v>
      </c>
      <c r="J211" s="6">
        <v>1.5</v>
      </c>
      <c r="K211" s="6" t="s">
        <v>28</v>
      </c>
      <c r="L211" s="6" t="str">
        <f>VLOOKUP(K211, 'Alphabetical by species code'!A:B, 2, FALSE)</f>
        <v>Litter</v>
      </c>
      <c r="M211" s="6" t="str">
        <f>VLOOKUP(L211, 'Alphabetical by species code'!B:C, 2, FALSE)</f>
        <v>Ground Cover</v>
      </c>
    </row>
    <row r="212" spans="1:13" x14ac:dyDescent="0.25">
      <c r="A212" s="6">
        <v>3</v>
      </c>
      <c r="B212" s="6">
        <v>2025</v>
      </c>
      <c r="C212" s="7">
        <v>45755</v>
      </c>
      <c r="D212" s="6" t="s">
        <v>54</v>
      </c>
      <c r="E212" s="6" t="s">
        <v>26</v>
      </c>
      <c r="F212" s="6">
        <v>3</v>
      </c>
      <c r="G212" s="6" t="s">
        <v>46</v>
      </c>
      <c r="H212" s="6">
        <v>1</v>
      </c>
      <c r="I212" s="6">
        <v>4</v>
      </c>
      <c r="J212" s="6">
        <v>1.5</v>
      </c>
      <c r="K212" s="6" t="s">
        <v>34</v>
      </c>
      <c r="L212" s="6" t="str">
        <f>VLOOKUP(K212, 'Alphabetical by species code'!A:B, 2, FALSE)</f>
        <v>Erodium cicutarium</v>
      </c>
      <c r="M212" s="6" t="str">
        <f>VLOOKUP(L212, 'Alphabetical by species code'!B:C, 2, FALSE)</f>
        <v>Non-Native</v>
      </c>
    </row>
    <row r="213" spans="1:13" x14ac:dyDescent="0.25">
      <c r="A213" s="6">
        <v>3</v>
      </c>
      <c r="B213" s="6">
        <v>2025</v>
      </c>
      <c r="C213" s="7">
        <v>45755</v>
      </c>
      <c r="D213" s="6" t="s">
        <v>54</v>
      </c>
      <c r="E213" s="6" t="s">
        <v>26</v>
      </c>
      <c r="F213" s="6">
        <v>3</v>
      </c>
      <c r="G213" s="6" t="s">
        <v>46</v>
      </c>
      <c r="H213" s="6">
        <v>1</v>
      </c>
      <c r="I213" s="6">
        <v>4</v>
      </c>
      <c r="J213" s="6">
        <v>1.5</v>
      </c>
      <c r="K213" s="6" t="s">
        <v>31</v>
      </c>
      <c r="L213" s="6" t="str">
        <f>VLOOKUP(K213, 'Alphabetical by species code'!A:B, 2, FALSE)</f>
        <v>Festuca myuros</v>
      </c>
      <c r="M213" s="6" t="str">
        <f>VLOOKUP(L213, 'Alphabetical by species code'!B:C, 2, FALSE)</f>
        <v>Non-Native</v>
      </c>
    </row>
    <row r="214" spans="1:13" x14ac:dyDescent="0.25">
      <c r="A214" s="6">
        <v>3</v>
      </c>
      <c r="B214" s="6">
        <v>2025</v>
      </c>
      <c r="C214" s="7">
        <v>45755</v>
      </c>
      <c r="D214" s="6" t="s">
        <v>54</v>
      </c>
      <c r="E214" s="6" t="s">
        <v>26</v>
      </c>
      <c r="F214" s="6">
        <v>3</v>
      </c>
      <c r="G214" s="6" t="s">
        <v>46</v>
      </c>
      <c r="H214" s="6">
        <v>1</v>
      </c>
      <c r="I214" s="6">
        <v>5</v>
      </c>
      <c r="J214" s="6">
        <v>2</v>
      </c>
      <c r="K214" s="6" t="s">
        <v>28</v>
      </c>
      <c r="L214" s="6" t="str">
        <f>VLOOKUP(K214, 'Alphabetical by species code'!A:B, 2, FALSE)</f>
        <v>Litter</v>
      </c>
      <c r="M214" s="6" t="str">
        <f>VLOOKUP(L214, 'Alphabetical by species code'!B:C, 2, FALSE)</f>
        <v>Ground Cover</v>
      </c>
    </row>
    <row r="215" spans="1:13" x14ac:dyDescent="0.25">
      <c r="A215" s="6">
        <v>3</v>
      </c>
      <c r="B215" s="6">
        <v>2025</v>
      </c>
      <c r="C215" s="7">
        <v>45755</v>
      </c>
      <c r="D215" s="6" t="s">
        <v>54</v>
      </c>
      <c r="E215" s="6" t="s">
        <v>26</v>
      </c>
      <c r="F215" s="6">
        <v>3</v>
      </c>
      <c r="G215" s="6" t="s">
        <v>46</v>
      </c>
      <c r="H215" s="6">
        <v>1</v>
      </c>
      <c r="I215" s="6">
        <v>5</v>
      </c>
      <c r="J215" s="6">
        <v>2</v>
      </c>
      <c r="K215" s="6" t="s">
        <v>37</v>
      </c>
      <c r="L215" s="6" t="str">
        <f>VLOOKUP(K215, 'Alphabetical by species code'!A:B, 2, FALSE)</f>
        <v>Sonchus oleraceus</v>
      </c>
      <c r="M215" s="6" t="str">
        <f>VLOOKUP(L215, 'Alphabetical by species code'!B:C, 2, FALSE)</f>
        <v>Non-Native</v>
      </c>
    </row>
    <row r="216" spans="1:13" x14ac:dyDescent="0.25">
      <c r="A216" s="6">
        <v>3</v>
      </c>
      <c r="B216" s="6">
        <v>2025</v>
      </c>
      <c r="C216" s="7">
        <v>45755</v>
      </c>
      <c r="D216" s="6" t="s">
        <v>54</v>
      </c>
      <c r="E216" s="6" t="s">
        <v>26</v>
      </c>
      <c r="F216" s="6">
        <v>3</v>
      </c>
      <c r="G216" s="6" t="s">
        <v>46</v>
      </c>
      <c r="H216" s="6">
        <v>1</v>
      </c>
      <c r="I216" s="6">
        <v>5</v>
      </c>
      <c r="J216" s="6">
        <v>2</v>
      </c>
      <c r="K216" s="6" t="s">
        <v>32</v>
      </c>
      <c r="L216" s="6" t="str">
        <f>VLOOKUP(K216, 'Alphabetical by species code'!A:B, 2, FALSE)</f>
        <v>Medicago polymorpha</v>
      </c>
      <c r="M216" s="6" t="str">
        <f>VLOOKUP(L216, 'Alphabetical by species code'!B:C, 2, FALSE)</f>
        <v>Non-Native</v>
      </c>
    </row>
    <row r="217" spans="1:13" x14ac:dyDescent="0.25">
      <c r="A217" s="6">
        <v>3</v>
      </c>
      <c r="B217" s="6">
        <v>2025</v>
      </c>
      <c r="C217" s="7">
        <v>45755</v>
      </c>
      <c r="D217" s="6" t="s">
        <v>54</v>
      </c>
      <c r="E217" s="6" t="s">
        <v>26</v>
      </c>
      <c r="F217" s="6">
        <v>3</v>
      </c>
      <c r="G217" s="6" t="s">
        <v>46</v>
      </c>
      <c r="H217" s="6">
        <v>1</v>
      </c>
      <c r="I217" s="6">
        <v>5</v>
      </c>
      <c r="J217" s="6">
        <v>2</v>
      </c>
      <c r="K217" s="6" t="s">
        <v>55</v>
      </c>
      <c r="L217" s="6" t="str">
        <f>VLOOKUP(K217, 'Alphabetical by species code'!A:B, 2, FALSE)</f>
        <v>Daucus pusillus</v>
      </c>
      <c r="M217" s="6" t="str">
        <f>VLOOKUP(L217, 'Alphabetical by species code'!B:C, 2, FALSE)</f>
        <v>Native</v>
      </c>
    </row>
    <row r="218" spans="1:13" x14ac:dyDescent="0.25">
      <c r="A218" s="6">
        <v>3</v>
      </c>
      <c r="B218" s="6">
        <v>2025</v>
      </c>
      <c r="C218" s="7">
        <v>45755</v>
      </c>
      <c r="D218" s="6" t="s">
        <v>54</v>
      </c>
      <c r="E218" s="6" t="s">
        <v>26</v>
      </c>
      <c r="F218" s="6">
        <v>3</v>
      </c>
      <c r="G218" s="6" t="s">
        <v>46</v>
      </c>
      <c r="H218" s="6">
        <v>1</v>
      </c>
      <c r="I218" s="6">
        <v>6</v>
      </c>
      <c r="J218" s="6">
        <v>2.5</v>
      </c>
      <c r="K218" s="6" t="s">
        <v>51</v>
      </c>
      <c r="L218" s="6" t="str">
        <f>VLOOKUP(K218, 'Alphabetical by species code'!A:B, 2, FALSE)</f>
        <v>Bareground</v>
      </c>
      <c r="M218" s="6" t="str">
        <f>VLOOKUP(L218, 'Alphabetical by species code'!B:C, 2, FALSE)</f>
        <v>Ground Cover</v>
      </c>
    </row>
    <row r="219" spans="1:13" x14ac:dyDescent="0.25">
      <c r="A219" s="6">
        <v>3</v>
      </c>
      <c r="B219" s="6">
        <v>2025</v>
      </c>
      <c r="C219" s="7">
        <v>45755</v>
      </c>
      <c r="D219" s="6" t="s">
        <v>54</v>
      </c>
      <c r="E219" s="6" t="s">
        <v>26</v>
      </c>
      <c r="F219" s="6">
        <v>3</v>
      </c>
      <c r="G219" s="6" t="s">
        <v>46</v>
      </c>
      <c r="H219" s="6">
        <v>1</v>
      </c>
      <c r="I219" s="6">
        <v>6</v>
      </c>
      <c r="J219" s="6">
        <v>2.5</v>
      </c>
      <c r="K219" s="6" t="s">
        <v>29</v>
      </c>
      <c r="L219" s="6" t="str">
        <f>VLOOKUP(K219, 'Alphabetical by species code'!A:B, 2, FALSE)</f>
        <v>Opuntia littoralis</v>
      </c>
      <c r="M219" s="6" t="str">
        <f>VLOOKUP(L219, 'Alphabetical by species code'!B:C, 2, FALSE)</f>
        <v>Native</v>
      </c>
    </row>
    <row r="220" spans="1:13" x14ac:dyDescent="0.25">
      <c r="A220" s="6">
        <v>3</v>
      </c>
      <c r="B220" s="6">
        <v>2025</v>
      </c>
      <c r="C220" s="7">
        <v>45755</v>
      </c>
      <c r="D220" s="6" t="s">
        <v>54</v>
      </c>
      <c r="E220" s="6" t="s">
        <v>26</v>
      </c>
      <c r="F220" s="6">
        <v>3</v>
      </c>
      <c r="G220" s="6" t="s">
        <v>46</v>
      </c>
      <c r="H220" s="6">
        <v>1</v>
      </c>
      <c r="I220" s="6">
        <v>6</v>
      </c>
      <c r="J220" s="6">
        <v>2.5</v>
      </c>
      <c r="K220" s="6" t="s">
        <v>55</v>
      </c>
      <c r="L220" s="6" t="str">
        <f>VLOOKUP(K220, 'Alphabetical by species code'!A:B, 2, FALSE)</f>
        <v>Daucus pusillus</v>
      </c>
      <c r="M220" s="6" t="str">
        <f>VLOOKUP(L220, 'Alphabetical by species code'!B:C, 2, FALSE)</f>
        <v>Native</v>
      </c>
    </row>
    <row r="221" spans="1:13" x14ac:dyDescent="0.25">
      <c r="A221" s="6">
        <v>3</v>
      </c>
      <c r="B221" s="6">
        <v>2025</v>
      </c>
      <c r="C221" s="7">
        <v>45755</v>
      </c>
      <c r="D221" s="6" t="s">
        <v>54</v>
      </c>
      <c r="E221" s="6" t="s">
        <v>26</v>
      </c>
      <c r="F221" s="6">
        <v>3</v>
      </c>
      <c r="G221" s="6" t="s">
        <v>46</v>
      </c>
      <c r="H221" s="6">
        <v>1</v>
      </c>
      <c r="I221" s="6">
        <v>6</v>
      </c>
      <c r="J221" s="6">
        <v>2.5</v>
      </c>
      <c r="K221" s="6" t="s">
        <v>31</v>
      </c>
      <c r="L221" s="6" t="str">
        <f>VLOOKUP(K221, 'Alphabetical by species code'!A:B, 2, FALSE)</f>
        <v>Festuca myuros</v>
      </c>
      <c r="M221" s="6" t="str">
        <f>VLOOKUP(L221, 'Alphabetical by species code'!B:C, 2, FALSE)</f>
        <v>Non-Native</v>
      </c>
    </row>
    <row r="222" spans="1:13" x14ac:dyDescent="0.25">
      <c r="A222" s="6">
        <v>3</v>
      </c>
      <c r="B222" s="6">
        <v>2025</v>
      </c>
      <c r="C222" s="7">
        <v>45755</v>
      </c>
      <c r="D222" s="6" t="s">
        <v>54</v>
      </c>
      <c r="E222" s="6" t="s">
        <v>26</v>
      </c>
      <c r="F222" s="6">
        <v>3</v>
      </c>
      <c r="G222" s="6" t="s">
        <v>46</v>
      </c>
      <c r="H222" s="6">
        <v>1</v>
      </c>
      <c r="I222" s="6">
        <v>6</v>
      </c>
      <c r="J222" s="6">
        <v>2.5</v>
      </c>
      <c r="K222" s="6" t="s">
        <v>37</v>
      </c>
      <c r="L222" s="6" t="str">
        <f>VLOOKUP(K222, 'Alphabetical by species code'!A:B, 2, FALSE)</f>
        <v>Sonchus oleraceus</v>
      </c>
      <c r="M222" s="6" t="str">
        <f>VLOOKUP(L222, 'Alphabetical by species code'!B:C, 2, FALSE)</f>
        <v>Non-Native</v>
      </c>
    </row>
    <row r="223" spans="1:13" x14ac:dyDescent="0.25">
      <c r="A223" s="6">
        <v>3</v>
      </c>
      <c r="B223" s="6">
        <v>2025</v>
      </c>
      <c r="C223" s="7">
        <v>45755</v>
      </c>
      <c r="D223" s="6" t="s">
        <v>54</v>
      </c>
      <c r="E223" s="6" t="s">
        <v>26</v>
      </c>
      <c r="F223" s="6">
        <v>3</v>
      </c>
      <c r="G223" s="6" t="s">
        <v>46</v>
      </c>
      <c r="H223" s="6">
        <v>1</v>
      </c>
      <c r="I223" s="6">
        <v>7</v>
      </c>
      <c r="J223" s="6">
        <v>3</v>
      </c>
      <c r="K223" s="6" t="s">
        <v>51</v>
      </c>
      <c r="L223" s="6" t="str">
        <f>VLOOKUP(K223, 'Alphabetical by species code'!A:B, 2, FALSE)</f>
        <v>Bareground</v>
      </c>
      <c r="M223" s="6" t="str">
        <f>VLOOKUP(L223, 'Alphabetical by species code'!B:C, 2, FALSE)</f>
        <v>Ground Cover</v>
      </c>
    </row>
    <row r="224" spans="1:13" x14ac:dyDescent="0.25">
      <c r="A224" s="6">
        <v>3</v>
      </c>
      <c r="B224" s="6">
        <v>2025</v>
      </c>
      <c r="C224" s="7">
        <v>45755</v>
      </c>
      <c r="D224" s="6" t="s">
        <v>54</v>
      </c>
      <c r="E224" s="6" t="s">
        <v>26</v>
      </c>
      <c r="F224" s="6">
        <v>3</v>
      </c>
      <c r="G224" s="6" t="s">
        <v>46</v>
      </c>
      <c r="H224" s="6">
        <v>1</v>
      </c>
      <c r="I224" s="6">
        <v>7</v>
      </c>
      <c r="J224" s="6">
        <v>3</v>
      </c>
      <c r="K224" s="6" t="s">
        <v>36</v>
      </c>
      <c r="L224" s="6" t="str">
        <f>VLOOKUP(K224, 'Alphabetical by species code'!A:B, 2, FALSE)</f>
        <v>Bromus madritensis</v>
      </c>
      <c r="M224" s="6" t="str">
        <f>VLOOKUP(L224, 'Alphabetical by species code'!B:C, 2, FALSE)</f>
        <v>Non-Native</v>
      </c>
    </row>
    <row r="225" spans="1:13" x14ac:dyDescent="0.25">
      <c r="A225" s="6">
        <v>3</v>
      </c>
      <c r="B225" s="6">
        <v>2025</v>
      </c>
      <c r="C225" s="7">
        <v>45755</v>
      </c>
      <c r="D225" s="6" t="s">
        <v>54</v>
      </c>
      <c r="E225" s="6" t="s">
        <v>26</v>
      </c>
      <c r="F225" s="6">
        <v>3</v>
      </c>
      <c r="G225" s="6" t="s">
        <v>46</v>
      </c>
      <c r="H225" s="6">
        <v>1</v>
      </c>
      <c r="I225" s="6">
        <v>7</v>
      </c>
      <c r="J225" s="6">
        <v>3</v>
      </c>
      <c r="K225" s="6" t="s">
        <v>55</v>
      </c>
      <c r="L225" s="6" t="str">
        <f>VLOOKUP(K225, 'Alphabetical by species code'!A:B, 2, FALSE)</f>
        <v>Daucus pusillus</v>
      </c>
      <c r="M225" s="6" t="str">
        <f>VLOOKUP(L225, 'Alphabetical by species code'!B:C, 2, FALSE)</f>
        <v>Native</v>
      </c>
    </row>
    <row r="226" spans="1:13" x14ac:dyDescent="0.25">
      <c r="A226" s="6">
        <v>3</v>
      </c>
      <c r="B226" s="6">
        <v>2025</v>
      </c>
      <c r="C226" s="7">
        <v>45755</v>
      </c>
      <c r="D226" s="6" t="s">
        <v>54</v>
      </c>
      <c r="E226" s="6" t="s">
        <v>26</v>
      </c>
      <c r="F226" s="6">
        <v>3</v>
      </c>
      <c r="G226" s="6" t="s">
        <v>46</v>
      </c>
      <c r="H226" s="6">
        <v>1</v>
      </c>
      <c r="I226" s="6">
        <v>7</v>
      </c>
      <c r="J226" s="6">
        <v>3</v>
      </c>
      <c r="K226" s="6" t="s">
        <v>31</v>
      </c>
      <c r="L226" s="6" t="str">
        <f>VLOOKUP(K226, 'Alphabetical by species code'!A:B, 2, FALSE)</f>
        <v>Festuca myuros</v>
      </c>
      <c r="M226" s="6" t="str">
        <f>VLOOKUP(L226, 'Alphabetical by species code'!B:C, 2, FALSE)</f>
        <v>Non-Native</v>
      </c>
    </row>
    <row r="227" spans="1:13" x14ac:dyDescent="0.25">
      <c r="A227" s="6">
        <v>3</v>
      </c>
      <c r="B227" s="6">
        <v>2025</v>
      </c>
      <c r="C227" s="7">
        <v>45755</v>
      </c>
      <c r="D227" s="6" t="s">
        <v>54</v>
      </c>
      <c r="E227" s="6" t="s">
        <v>26</v>
      </c>
      <c r="F227" s="6">
        <v>3</v>
      </c>
      <c r="G227" s="6" t="s">
        <v>46</v>
      </c>
      <c r="H227" s="6">
        <v>1</v>
      </c>
      <c r="I227" s="6">
        <v>7</v>
      </c>
      <c r="J227" s="6">
        <v>3</v>
      </c>
      <c r="K227" s="6" t="s">
        <v>35</v>
      </c>
      <c r="L227" s="6" t="str">
        <f>VLOOKUP(K227, 'Alphabetical by species code'!A:B, 2, FALSE)</f>
        <v>Deinandra fasciculata</v>
      </c>
      <c r="M227" s="6" t="str">
        <f>VLOOKUP(L227, 'Alphabetical by species code'!B:C, 2, FALSE)</f>
        <v>Native</v>
      </c>
    </row>
    <row r="228" spans="1:13" x14ac:dyDescent="0.25">
      <c r="A228" s="6">
        <v>3</v>
      </c>
      <c r="B228" s="6">
        <v>2025</v>
      </c>
      <c r="C228" s="7">
        <v>45755</v>
      </c>
      <c r="D228" s="6" t="s">
        <v>54</v>
      </c>
      <c r="E228" s="6" t="s">
        <v>26</v>
      </c>
      <c r="F228" s="6">
        <v>3</v>
      </c>
      <c r="G228" s="6" t="s">
        <v>46</v>
      </c>
      <c r="H228" s="6">
        <v>1</v>
      </c>
      <c r="I228" s="6">
        <v>8</v>
      </c>
      <c r="J228" s="6">
        <v>3.5</v>
      </c>
      <c r="K228" s="6" t="s">
        <v>51</v>
      </c>
      <c r="L228" s="6" t="str">
        <f>VLOOKUP(K228, 'Alphabetical by species code'!A:B, 2, FALSE)</f>
        <v>Bareground</v>
      </c>
      <c r="M228" s="6" t="str">
        <f>VLOOKUP(L228, 'Alphabetical by species code'!B:C, 2, FALSE)</f>
        <v>Ground Cover</v>
      </c>
    </row>
    <row r="229" spans="1:13" x14ac:dyDescent="0.25">
      <c r="A229" s="6">
        <v>3</v>
      </c>
      <c r="B229" s="6">
        <v>2025</v>
      </c>
      <c r="C229" s="7">
        <v>45755</v>
      </c>
      <c r="D229" s="6" t="s">
        <v>54</v>
      </c>
      <c r="E229" s="6" t="s">
        <v>26</v>
      </c>
      <c r="F229" s="6">
        <v>3</v>
      </c>
      <c r="G229" s="6" t="s">
        <v>46</v>
      </c>
      <c r="H229" s="6">
        <v>1</v>
      </c>
      <c r="I229" s="6">
        <v>8</v>
      </c>
      <c r="J229" s="6">
        <v>3.5</v>
      </c>
      <c r="K229" s="6" t="s">
        <v>55</v>
      </c>
      <c r="L229" s="6" t="str">
        <f>VLOOKUP(K229, 'Alphabetical by species code'!A:B, 2, FALSE)</f>
        <v>Daucus pusillus</v>
      </c>
      <c r="M229" s="6" t="str">
        <f>VLOOKUP(L229, 'Alphabetical by species code'!B:C, 2, FALSE)</f>
        <v>Native</v>
      </c>
    </row>
    <row r="230" spans="1:13" x14ac:dyDescent="0.25">
      <c r="A230" s="6">
        <v>3</v>
      </c>
      <c r="B230" s="6">
        <v>2025</v>
      </c>
      <c r="C230" s="7">
        <v>45755</v>
      </c>
      <c r="D230" s="6" t="s">
        <v>54</v>
      </c>
      <c r="E230" s="6" t="s">
        <v>26</v>
      </c>
      <c r="F230" s="6">
        <v>3</v>
      </c>
      <c r="G230" s="6" t="s">
        <v>46</v>
      </c>
      <c r="H230" s="6">
        <v>1</v>
      </c>
      <c r="I230" s="6">
        <v>8</v>
      </c>
      <c r="J230" s="6">
        <v>3.5</v>
      </c>
      <c r="K230" s="6" t="s">
        <v>31</v>
      </c>
      <c r="L230" s="6" t="str">
        <f>VLOOKUP(K230, 'Alphabetical by species code'!A:B, 2, FALSE)</f>
        <v>Festuca myuros</v>
      </c>
      <c r="M230" s="6" t="str">
        <f>VLOOKUP(L230, 'Alphabetical by species code'!B:C, 2, FALSE)</f>
        <v>Non-Native</v>
      </c>
    </row>
    <row r="231" spans="1:13" x14ac:dyDescent="0.25">
      <c r="A231" s="6">
        <v>3</v>
      </c>
      <c r="B231" s="6">
        <v>2025</v>
      </c>
      <c r="C231" s="7">
        <v>45755</v>
      </c>
      <c r="D231" s="6" t="s">
        <v>54</v>
      </c>
      <c r="E231" s="6" t="s">
        <v>26</v>
      </c>
      <c r="F231" s="6">
        <v>3</v>
      </c>
      <c r="G231" s="6" t="s">
        <v>46</v>
      </c>
      <c r="H231" s="6">
        <v>1</v>
      </c>
      <c r="I231" s="6">
        <v>9</v>
      </c>
      <c r="J231" s="6">
        <v>4</v>
      </c>
      <c r="K231" s="6" t="s">
        <v>51</v>
      </c>
      <c r="L231" s="6" t="str">
        <f>VLOOKUP(K231, 'Alphabetical by species code'!A:B, 2, FALSE)</f>
        <v>Bareground</v>
      </c>
      <c r="M231" s="6" t="str">
        <f>VLOOKUP(L231, 'Alphabetical by species code'!B:C, 2, FALSE)</f>
        <v>Ground Cover</v>
      </c>
    </row>
    <row r="232" spans="1:13" x14ac:dyDescent="0.25">
      <c r="A232" s="6">
        <v>3</v>
      </c>
      <c r="B232" s="6">
        <v>2025</v>
      </c>
      <c r="C232" s="7">
        <v>45755</v>
      </c>
      <c r="D232" s="6" t="s">
        <v>54</v>
      </c>
      <c r="E232" s="6" t="s">
        <v>26</v>
      </c>
      <c r="F232" s="6">
        <v>3</v>
      </c>
      <c r="G232" s="6" t="s">
        <v>46</v>
      </c>
      <c r="H232" s="6">
        <v>1</v>
      </c>
      <c r="I232" s="6">
        <v>9</v>
      </c>
      <c r="J232" s="6">
        <v>4</v>
      </c>
      <c r="K232" s="6" t="s">
        <v>32</v>
      </c>
      <c r="L232" s="6" t="str">
        <f>VLOOKUP(K232, 'Alphabetical by species code'!A:B, 2, FALSE)</f>
        <v>Medicago polymorpha</v>
      </c>
      <c r="M232" s="6" t="str">
        <f>VLOOKUP(L232, 'Alphabetical by species code'!B:C, 2, FALSE)</f>
        <v>Non-Native</v>
      </c>
    </row>
    <row r="233" spans="1:13" x14ac:dyDescent="0.25">
      <c r="A233" s="6">
        <v>3</v>
      </c>
      <c r="B233" s="6">
        <v>2025</v>
      </c>
      <c r="C233" s="7">
        <v>45755</v>
      </c>
      <c r="D233" s="6" t="s">
        <v>54</v>
      </c>
      <c r="E233" s="6" t="s">
        <v>26</v>
      </c>
      <c r="F233" s="6">
        <v>3</v>
      </c>
      <c r="G233" s="6" t="s">
        <v>46</v>
      </c>
      <c r="H233" s="6">
        <v>1</v>
      </c>
      <c r="I233" s="6">
        <v>9</v>
      </c>
      <c r="J233" s="6">
        <v>4</v>
      </c>
      <c r="K233" s="6" t="s">
        <v>31</v>
      </c>
      <c r="L233" s="6" t="str">
        <f>VLOOKUP(K233, 'Alphabetical by species code'!A:B, 2, FALSE)</f>
        <v>Festuca myuros</v>
      </c>
      <c r="M233" s="6" t="str">
        <f>VLOOKUP(L233, 'Alphabetical by species code'!B:C, 2, FALSE)</f>
        <v>Non-Native</v>
      </c>
    </row>
    <row r="234" spans="1:13" x14ac:dyDescent="0.25">
      <c r="A234" s="6">
        <v>3</v>
      </c>
      <c r="B234" s="6">
        <v>2025</v>
      </c>
      <c r="C234" s="7">
        <v>45755</v>
      </c>
      <c r="D234" s="6" t="s">
        <v>54</v>
      </c>
      <c r="E234" s="6" t="s">
        <v>26</v>
      </c>
      <c r="F234" s="6">
        <v>3</v>
      </c>
      <c r="G234" s="6" t="s">
        <v>46</v>
      </c>
      <c r="H234" s="6">
        <v>1</v>
      </c>
      <c r="I234" s="6">
        <v>10</v>
      </c>
      <c r="J234" s="6">
        <v>4.5</v>
      </c>
      <c r="K234" s="6" t="s">
        <v>28</v>
      </c>
      <c r="L234" s="6" t="str">
        <f>VLOOKUP(K234, 'Alphabetical by species code'!A:B, 2, FALSE)</f>
        <v>Litter</v>
      </c>
      <c r="M234" s="6" t="str">
        <f>VLOOKUP(L234, 'Alphabetical by species code'!B:C, 2, FALSE)</f>
        <v>Ground Cover</v>
      </c>
    </row>
    <row r="235" spans="1:13" x14ac:dyDescent="0.25">
      <c r="A235" s="6">
        <v>3</v>
      </c>
      <c r="B235" s="6">
        <v>2025</v>
      </c>
      <c r="C235" s="7">
        <v>45755</v>
      </c>
      <c r="D235" s="6" t="s">
        <v>54</v>
      </c>
      <c r="E235" s="6" t="s">
        <v>26</v>
      </c>
      <c r="F235" s="6">
        <v>3</v>
      </c>
      <c r="G235" s="6" t="s">
        <v>46</v>
      </c>
      <c r="H235" s="6">
        <v>1</v>
      </c>
      <c r="I235" s="6">
        <v>10</v>
      </c>
      <c r="J235" s="6">
        <v>4.5</v>
      </c>
      <c r="K235" s="6" t="s">
        <v>55</v>
      </c>
      <c r="L235" s="6" t="str">
        <f>VLOOKUP(K235, 'Alphabetical by species code'!A:B, 2, FALSE)</f>
        <v>Daucus pusillus</v>
      </c>
      <c r="M235" s="6" t="str">
        <f>VLOOKUP(L235, 'Alphabetical by species code'!B:C, 2, FALSE)</f>
        <v>Native</v>
      </c>
    </row>
    <row r="236" spans="1:13" x14ac:dyDescent="0.25">
      <c r="A236" s="6">
        <v>3</v>
      </c>
      <c r="B236" s="6">
        <v>2025</v>
      </c>
      <c r="C236" s="7">
        <v>45755</v>
      </c>
      <c r="D236" s="6" t="s">
        <v>54</v>
      </c>
      <c r="E236" s="6" t="s">
        <v>26</v>
      </c>
      <c r="F236" s="6">
        <v>3</v>
      </c>
      <c r="G236" s="6" t="s">
        <v>46</v>
      </c>
      <c r="H236" s="6">
        <v>1</v>
      </c>
      <c r="I236" s="6">
        <v>10</v>
      </c>
      <c r="J236" s="6">
        <v>4.5</v>
      </c>
      <c r="K236" s="6" t="s">
        <v>48</v>
      </c>
      <c r="L236" s="6" t="str">
        <f>VLOOKUP(K236, 'Alphabetical by species code'!A:B, 2, FALSE)</f>
        <v>Sonchus asper</v>
      </c>
      <c r="M236" s="6" t="str">
        <f>VLOOKUP(L236, 'Alphabetical by species code'!B:C, 2, FALSE)</f>
        <v>Non-Native</v>
      </c>
    </row>
    <row r="237" spans="1:13" x14ac:dyDescent="0.25">
      <c r="A237" s="6">
        <v>3</v>
      </c>
      <c r="B237" s="6">
        <v>2025</v>
      </c>
      <c r="C237" s="7">
        <v>45755</v>
      </c>
      <c r="D237" s="6" t="s">
        <v>54</v>
      </c>
      <c r="E237" s="6" t="s">
        <v>26</v>
      </c>
      <c r="F237" s="6">
        <v>3</v>
      </c>
      <c r="G237" s="6" t="s">
        <v>46</v>
      </c>
      <c r="H237" s="6">
        <v>1</v>
      </c>
      <c r="I237" s="6">
        <v>11</v>
      </c>
      <c r="J237" s="6">
        <v>5</v>
      </c>
      <c r="K237" s="6" t="s">
        <v>28</v>
      </c>
      <c r="L237" s="6" t="str">
        <f>VLOOKUP(K237, 'Alphabetical by species code'!A:B, 2, FALSE)</f>
        <v>Litter</v>
      </c>
      <c r="M237" s="6" t="str">
        <f>VLOOKUP(L237, 'Alphabetical by species code'!B:C, 2, FALSE)</f>
        <v>Ground Cover</v>
      </c>
    </row>
    <row r="238" spans="1:13" x14ac:dyDescent="0.25">
      <c r="A238" s="6">
        <v>3</v>
      </c>
      <c r="B238" s="6">
        <v>2025</v>
      </c>
      <c r="C238" s="7">
        <v>45755</v>
      </c>
      <c r="D238" s="6" t="s">
        <v>54</v>
      </c>
      <c r="E238" s="6" t="s">
        <v>26</v>
      </c>
      <c r="F238" s="6">
        <v>3</v>
      </c>
      <c r="G238" s="6" t="s">
        <v>46</v>
      </c>
      <c r="H238" s="6">
        <v>1</v>
      </c>
      <c r="I238" s="6">
        <v>11</v>
      </c>
      <c r="J238" s="6">
        <v>5</v>
      </c>
      <c r="K238" s="6" t="s">
        <v>35</v>
      </c>
      <c r="L238" s="6" t="str">
        <f>VLOOKUP(K238, 'Alphabetical by species code'!A:B, 2, FALSE)</f>
        <v>Deinandra fasciculata</v>
      </c>
      <c r="M238" s="6" t="str">
        <f>VLOOKUP(L238, 'Alphabetical by species code'!B:C, 2, FALSE)</f>
        <v>Native</v>
      </c>
    </row>
    <row r="239" spans="1:13" x14ac:dyDescent="0.25">
      <c r="A239" s="6">
        <v>3</v>
      </c>
      <c r="B239" s="6">
        <v>2025</v>
      </c>
      <c r="C239" s="7">
        <v>45755</v>
      </c>
      <c r="D239" s="6" t="s">
        <v>54</v>
      </c>
      <c r="E239" s="6" t="s">
        <v>26</v>
      </c>
      <c r="F239" s="6">
        <v>3</v>
      </c>
      <c r="G239" s="6" t="s">
        <v>46</v>
      </c>
      <c r="H239" s="6">
        <v>1</v>
      </c>
      <c r="I239" s="6">
        <v>11</v>
      </c>
      <c r="J239" s="6">
        <v>5</v>
      </c>
      <c r="K239" s="6" t="s">
        <v>31</v>
      </c>
      <c r="L239" s="6" t="str">
        <f>VLOOKUP(K239, 'Alphabetical by species code'!A:B, 2, FALSE)</f>
        <v>Festuca myuros</v>
      </c>
      <c r="M239" s="6" t="str">
        <f>VLOOKUP(L239, 'Alphabetical by species code'!B:C, 2, FALSE)</f>
        <v>Non-Native</v>
      </c>
    </row>
    <row r="240" spans="1:13" x14ac:dyDescent="0.25">
      <c r="A240" s="6">
        <v>3</v>
      </c>
      <c r="B240" s="6">
        <v>2025</v>
      </c>
      <c r="C240" s="7">
        <v>45755</v>
      </c>
      <c r="D240" s="6" t="s">
        <v>54</v>
      </c>
      <c r="E240" s="6" t="s">
        <v>26</v>
      </c>
      <c r="F240" s="6">
        <v>3</v>
      </c>
      <c r="G240" s="6" t="s">
        <v>46</v>
      </c>
      <c r="H240" s="6">
        <v>1</v>
      </c>
      <c r="I240" s="6">
        <v>12</v>
      </c>
      <c r="J240" s="6">
        <v>5.5</v>
      </c>
      <c r="K240" s="6" t="s">
        <v>28</v>
      </c>
      <c r="L240" s="6" t="str">
        <f>VLOOKUP(K240, 'Alphabetical by species code'!A:B, 2, FALSE)</f>
        <v>Litter</v>
      </c>
      <c r="M240" s="6" t="str">
        <f>VLOOKUP(L240, 'Alphabetical by species code'!B:C, 2, FALSE)</f>
        <v>Ground Cover</v>
      </c>
    </row>
    <row r="241" spans="1:13" x14ac:dyDescent="0.25">
      <c r="A241" s="6">
        <v>3</v>
      </c>
      <c r="B241" s="6">
        <v>2025</v>
      </c>
      <c r="C241" s="7">
        <v>45755</v>
      </c>
      <c r="D241" s="6" t="s">
        <v>54</v>
      </c>
      <c r="E241" s="6" t="s">
        <v>26</v>
      </c>
      <c r="F241" s="6">
        <v>3</v>
      </c>
      <c r="G241" s="6" t="s">
        <v>46</v>
      </c>
      <c r="H241" s="6">
        <v>1</v>
      </c>
      <c r="I241" s="6">
        <v>12</v>
      </c>
      <c r="J241" s="6">
        <v>5.5</v>
      </c>
      <c r="K241" s="6" t="s">
        <v>31</v>
      </c>
      <c r="L241" s="6" t="str">
        <f>VLOOKUP(K241, 'Alphabetical by species code'!A:B, 2, FALSE)</f>
        <v>Festuca myuros</v>
      </c>
      <c r="M241" s="6" t="str">
        <f>VLOOKUP(L241, 'Alphabetical by species code'!B:C, 2, FALSE)</f>
        <v>Non-Native</v>
      </c>
    </row>
    <row r="242" spans="1:13" x14ac:dyDescent="0.25">
      <c r="A242" s="6">
        <v>3</v>
      </c>
      <c r="B242" s="6">
        <v>2025</v>
      </c>
      <c r="C242" s="7">
        <v>45755</v>
      </c>
      <c r="D242" s="6" t="s">
        <v>54</v>
      </c>
      <c r="E242" s="6" t="s">
        <v>26</v>
      </c>
      <c r="F242" s="6">
        <v>3</v>
      </c>
      <c r="G242" s="6" t="s">
        <v>46</v>
      </c>
      <c r="H242" s="6">
        <v>1</v>
      </c>
      <c r="I242" s="6">
        <v>13</v>
      </c>
      <c r="J242" s="6">
        <v>6.5</v>
      </c>
      <c r="K242" s="6" t="s">
        <v>28</v>
      </c>
      <c r="L242" s="6" t="str">
        <f>VLOOKUP(K242, 'Alphabetical by species code'!A:B, 2, FALSE)</f>
        <v>Litter</v>
      </c>
      <c r="M242" s="6" t="str">
        <f>VLOOKUP(L242, 'Alphabetical by species code'!B:C, 2, FALSE)</f>
        <v>Ground Cover</v>
      </c>
    </row>
    <row r="243" spans="1:13" x14ac:dyDescent="0.25">
      <c r="A243" s="6">
        <v>3</v>
      </c>
      <c r="B243" s="6">
        <v>2025</v>
      </c>
      <c r="C243" s="7">
        <v>45755</v>
      </c>
      <c r="D243" s="6" t="s">
        <v>54</v>
      </c>
      <c r="E243" s="6" t="s">
        <v>26</v>
      </c>
      <c r="F243" s="6">
        <v>3</v>
      </c>
      <c r="G243" s="6" t="s">
        <v>46</v>
      </c>
      <c r="H243" s="6">
        <v>1</v>
      </c>
      <c r="I243" s="6">
        <v>13</v>
      </c>
      <c r="J243" s="6">
        <v>6.5</v>
      </c>
      <c r="K243" s="6" t="s">
        <v>55</v>
      </c>
      <c r="L243" s="6" t="str">
        <f>VLOOKUP(K243, 'Alphabetical by species code'!A:B, 2, FALSE)</f>
        <v>Daucus pusillus</v>
      </c>
      <c r="M243" s="6" t="str">
        <f>VLOOKUP(L243, 'Alphabetical by species code'!B:C, 2, FALSE)</f>
        <v>Native</v>
      </c>
    </row>
    <row r="244" spans="1:13" x14ac:dyDescent="0.25">
      <c r="A244" s="6">
        <v>3</v>
      </c>
      <c r="B244" s="6">
        <v>2025</v>
      </c>
      <c r="C244" s="7">
        <v>45755</v>
      </c>
      <c r="D244" s="6" t="s">
        <v>54</v>
      </c>
      <c r="E244" s="6" t="s">
        <v>26</v>
      </c>
      <c r="F244" s="6">
        <v>3</v>
      </c>
      <c r="G244" s="6" t="s">
        <v>46</v>
      </c>
      <c r="H244" s="6">
        <v>1</v>
      </c>
      <c r="I244" s="6">
        <v>13</v>
      </c>
      <c r="J244" s="6">
        <v>6.5</v>
      </c>
      <c r="K244" s="6" t="s">
        <v>35</v>
      </c>
      <c r="L244" s="6" t="str">
        <f>VLOOKUP(K244, 'Alphabetical by species code'!A:B, 2, FALSE)</f>
        <v>Deinandra fasciculata</v>
      </c>
      <c r="M244" s="6" t="str">
        <f>VLOOKUP(L244, 'Alphabetical by species code'!B:C, 2, FALSE)</f>
        <v>Native</v>
      </c>
    </row>
    <row r="245" spans="1:13" x14ac:dyDescent="0.25">
      <c r="A245" s="6">
        <v>3</v>
      </c>
      <c r="B245" s="6">
        <v>2025</v>
      </c>
      <c r="C245" s="7">
        <v>45755</v>
      </c>
      <c r="D245" s="6" t="s">
        <v>54</v>
      </c>
      <c r="E245" s="6" t="s">
        <v>26</v>
      </c>
      <c r="F245" s="6">
        <v>3</v>
      </c>
      <c r="G245" s="6" t="s">
        <v>46</v>
      </c>
      <c r="H245" s="6">
        <v>1</v>
      </c>
      <c r="I245" s="6">
        <v>13</v>
      </c>
      <c r="J245" s="6">
        <v>6.5</v>
      </c>
      <c r="K245" s="6" t="s">
        <v>32</v>
      </c>
      <c r="L245" s="6" t="str">
        <f>VLOOKUP(K245, 'Alphabetical by species code'!A:B, 2, FALSE)</f>
        <v>Medicago polymorpha</v>
      </c>
      <c r="M245" s="6" t="str">
        <f>VLOOKUP(L245, 'Alphabetical by species code'!B:C, 2, FALSE)</f>
        <v>Non-Native</v>
      </c>
    </row>
    <row r="246" spans="1:13" x14ac:dyDescent="0.25">
      <c r="A246" s="6">
        <v>3</v>
      </c>
      <c r="B246" s="6">
        <v>2025</v>
      </c>
      <c r="C246" s="7">
        <v>45755</v>
      </c>
      <c r="D246" s="6" t="s">
        <v>54</v>
      </c>
      <c r="E246" s="6" t="s">
        <v>26</v>
      </c>
      <c r="F246" s="6">
        <v>3</v>
      </c>
      <c r="G246" s="6" t="s">
        <v>46</v>
      </c>
      <c r="H246" s="6">
        <v>1</v>
      </c>
      <c r="I246" s="6">
        <v>13</v>
      </c>
      <c r="J246" s="6">
        <v>6.5</v>
      </c>
      <c r="K246" s="6" t="s">
        <v>31</v>
      </c>
      <c r="L246" s="6" t="str">
        <f>VLOOKUP(K246, 'Alphabetical by species code'!A:B, 2, FALSE)</f>
        <v>Festuca myuros</v>
      </c>
      <c r="M246" s="6" t="str">
        <f>VLOOKUP(L246, 'Alphabetical by species code'!B:C, 2, FALSE)</f>
        <v>Non-Native</v>
      </c>
    </row>
    <row r="247" spans="1:13" x14ac:dyDescent="0.25">
      <c r="A247" s="6">
        <v>3</v>
      </c>
      <c r="B247" s="6">
        <v>2025</v>
      </c>
      <c r="C247" s="7">
        <v>45755</v>
      </c>
      <c r="D247" s="6" t="s">
        <v>54</v>
      </c>
      <c r="E247" s="6" t="s">
        <v>26</v>
      </c>
      <c r="F247" s="6">
        <v>3</v>
      </c>
      <c r="G247" s="6" t="s">
        <v>46</v>
      </c>
      <c r="H247" s="6">
        <v>1</v>
      </c>
      <c r="I247" s="6">
        <v>14</v>
      </c>
      <c r="J247" s="6">
        <v>7</v>
      </c>
      <c r="K247" s="6" t="s">
        <v>41</v>
      </c>
      <c r="L247" s="6" t="str">
        <f>VLOOKUP(K247, 'Alphabetical by species code'!A:B, 2, FALSE)</f>
        <v>Stem</v>
      </c>
      <c r="M247" s="6" t="str">
        <f>VLOOKUP(L247, 'Alphabetical by species code'!B:C, 2, FALSE)</f>
        <v>Ground Cover</v>
      </c>
    </row>
    <row r="248" spans="1:13" x14ac:dyDescent="0.25">
      <c r="A248" s="6">
        <v>3</v>
      </c>
      <c r="B248" s="6">
        <v>2025</v>
      </c>
      <c r="C248" s="7">
        <v>45755</v>
      </c>
      <c r="D248" s="6" t="s">
        <v>54</v>
      </c>
      <c r="E248" s="6" t="s">
        <v>26</v>
      </c>
      <c r="F248" s="6">
        <v>3</v>
      </c>
      <c r="G248" s="6" t="s">
        <v>46</v>
      </c>
      <c r="H248" s="6">
        <v>1</v>
      </c>
      <c r="I248" s="6">
        <v>14</v>
      </c>
      <c r="J248" s="6">
        <v>7</v>
      </c>
      <c r="K248" s="6" t="s">
        <v>32</v>
      </c>
      <c r="L248" s="6" t="str">
        <f>VLOOKUP(K248, 'Alphabetical by species code'!A:B, 2, FALSE)</f>
        <v>Medicago polymorpha</v>
      </c>
      <c r="M248" s="6" t="str">
        <f>VLOOKUP(L248, 'Alphabetical by species code'!B:C, 2, FALSE)</f>
        <v>Non-Native</v>
      </c>
    </row>
    <row r="249" spans="1:13" x14ac:dyDescent="0.25">
      <c r="A249" s="6">
        <v>3</v>
      </c>
      <c r="B249" s="6">
        <v>2025</v>
      </c>
      <c r="C249" s="7">
        <v>45755</v>
      </c>
      <c r="D249" s="6" t="s">
        <v>54</v>
      </c>
      <c r="E249" s="6" t="s">
        <v>26</v>
      </c>
      <c r="F249" s="6">
        <v>3</v>
      </c>
      <c r="G249" s="6" t="s">
        <v>46</v>
      </c>
      <c r="H249" s="6">
        <v>1</v>
      </c>
      <c r="I249" s="6">
        <v>14</v>
      </c>
      <c r="J249" s="6">
        <v>7</v>
      </c>
      <c r="K249" s="6" t="s">
        <v>29</v>
      </c>
      <c r="L249" s="6" t="str">
        <f>VLOOKUP(K249, 'Alphabetical by species code'!A:B, 2, FALSE)</f>
        <v>Opuntia littoralis</v>
      </c>
      <c r="M249" s="6" t="str">
        <f>VLOOKUP(L249, 'Alphabetical by species code'!B:C, 2, FALSE)</f>
        <v>Native</v>
      </c>
    </row>
    <row r="250" spans="1:13" x14ac:dyDescent="0.25">
      <c r="A250" s="6">
        <v>3</v>
      </c>
      <c r="B250" s="6">
        <v>2025</v>
      </c>
      <c r="C250" s="7">
        <v>45755</v>
      </c>
      <c r="D250" s="6" t="s">
        <v>54</v>
      </c>
      <c r="E250" s="6" t="s">
        <v>26</v>
      </c>
      <c r="F250" s="6">
        <v>3</v>
      </c>
      <c r="G250" s="6" t="s">
        <v>46</v>
      </c>
      <c r="H250" s="6">
        <v>1</v>
      </c>
      <c r="I250" s="6">
        <v>15</v>
      </c>
      <c r="J250" s="6">
        <v>7.5</v>
      </c>
      <c r="K250" s="6" t="s">
        <v>28</v>
      </c>
      <c r="L250" s="6" t="str">
        <f>VLOOKUP(K250, 'Alphabetical by species code'!A:B, 2, FALSE)</f>
        <v>Litter</v>
      </c>
      <c r="M250" s="6" t="str">
        <f>VLOOKUP(L250, 'Alphabetical by species code'!B:C, 2, FALSE)</f>
        <v>Ground Cover</v>
      </c>
    </row>
    <row r="251" spans="1:13" x14ac:dyDescent="0.25">
      <c r="A251" s="6">
        <v>3</v>
      </c>
      <c r="B251" s="6">
        <v>2025</v>
      </c>
      <c r="C251" s="7">
        <v>45755</v>
      </c>
      <c r="D251" s="6" t="s">
        <v>54</v>
      </c>
      <c r="E251" s="6" t="s">
        <v>26</v>
      </c>
      <c r="F251" s="6">
        <v>3</v>
      </c>
      <c r="G251" s="6" t="s">
        <v>46</v>
      </c>
      <c r="H251" s="6">
        <v>1</v>
      </c>
      <c r="I251" s="6">
        <v>15</v>
      </c>
      <c r="J251" s="6">
        <v>7.5</v>
      </c>
      <c r="K251" s="6" t="s">
        <v>31</v>
      </c>
      <c r="L251" s="6" t="str">
        <f>VLOOKUP(K251, 'Alphabetical by species code'!A:B, 2, FALSE)</f>
        <v>Festuca myuros</v>
      </c>
      <c r="M251" s="6" t="str">
        <f>VLOOKUP(L251, 'Alphabetical by species code'!B:C, 2, FALSE)</f>
        <v>Non-Native</v>
      </c>
    </row>
    <row r="252" spans="1:13" x14ac:dyDescent="0.25">
      <c r="A252" s="6">
        <v>3</v>
      </c>
      <c r="B252" s="6">
        <v>2025</v>
      </c>
      <c r="C252" s="7">
        <v>45755</v>
      </c>
      <c r="D252" s="6" t="s">
        <v>54</v>
      </c>
      <c r="E252" s="6" t="s">
        <v>26</v>
      </c>
      <c r="F252" s="6">
        <v>3</v>
      </c>
      <c r="G252" s="6" t="s">
        <v>46</v>
      </c>
      <c r="H252" s="6">
        <v>1</v>
      </c>
      <c r="I252" s="6">
        <v>15</v>
      </c>
      <c r="J252" s="6">
        <v>7.5</v>
      </c>
      <c r="K252" s="6" t="s">
        <v>35</v>
      </c>
      <c r="L252" s="6" t="str">
        <f>VLOOKUP(K252, 'Alphabetical by species code'!A:B, 2, FALSE)</f>
        <v>Deinandra fasciculata</v>
      </c>
      <c r="M252" s="6" t="str">
        <f>VLOOKUP(L252, 'Alphabetical by species code'!B:C, 2, FALSE)</f>
        <v>Native</v>
      </c>
    </row>
    <row r="253" spans="1:13" x14ac:dyDescent="0.25">
      <c r="A253" s="6">
        <v>3</v>
      </c>
      <c r="B253" s="6">
        <v>2025</v>
      </c>
      <c r="C253" s="7">
        <v>45755</v>
      </c>
      <c r="D253" s="6" t="s">
        <v>54</v>
      </c>
      <c r="E253" s="6" t="s">
        <v>26</v>
      </c>
      <c r="F253" s="6">
        <v>3</v>
      </c>
      <c r="G253" s="6" t="s">
        <v>46</v>
      </c>
      <c r="H253" s="6">
        <v>1</v>
      </c>
      <c r="I253" s="6">
        <v>15</v>
      </c>
      <c r="J253" s="6">
        <v>7.5</v>
      </c>
      <c r="K253" s="6" t="s">
        <v>42</v>
      </c>
      <c r="L253" s="6" t="str">
        <f>VLOOKUP(K253, 'Alphabetical by species code'!A:B, 2, FALSE)</f>
        <v>Centaurea melitensis</v>
      </c>
      <c r="M253" s="6" t="str">
        <f>VLOOKUP(L253, 'Alphabetical by species code'!B:C, 2, FALSE)</f>
        <v>Non-Native</v>
      </c>
    </row>
    <row r="254" spans="1:13" x14ac:dyDescent="0.25">
      <c r="A254" s="6">
        <v>3</v>
      </c>
      <c r="B254" s="6">
        <v>2025</v>
      </c>
      <c r="C254" s="7">
        <v>45755</v>
      </c>
      <c r="D254" s="6" t="s">
        <v>54</v>
      </c>
      <c r="E254" s="6" t="s">
        <v>26</v>
      </c>
      <c r="F254" s="6">
        <v>3</v>
      </c>
      <c r="G254" s="6" t="s">
        <v>46</v>
      </c>
      <c r="H254" s="6">
        <v>2</v>
      </c>
      <c r="I254" s="6">
        <v>1</v>
      </c>
      <c r="J254" s="6">
        <v>0</v>
      </c>
      <c r="K254" s="6" t="s">
        <v>28</v>
      </c>
      <c r="L254" s="6" t="str">
        <f>VLOOKUP(K254, 'Alphabetical by species code'!A:B, 2, FALSE)</f>
        <v>Litter</v>
      </c>
      <c r="M254" s="6" t="str">
        <f>VLOOKUP(L254, 'Alphabetical by species code'!B:C, 2, FALSE)</f>
        <v>Ground Cover</v>
      </c>
    </row>
    <row r="255" spans="1:13" x14ac:dyDescent="0.25">
      <c r="A255" s="6">
        <v>3</v>
      </c>
      <c r="B255" s="6">
        <v>2025</v>
      </c>
      <c r="C255" s="7">
        <v>45755</v>
      </c>
      <c r="D255" s="6" t="s">
        <v>54</v>
      </c>
      <c r="E255" s="6" t="s">
        <v>26</v>
      </c>
      <c r="F255" s="6">
        <v>3</v>
      </c>
      <c r="G255" s="6" t="s">
        <v>46</v>
      </c>
      <c r="H255" s="6">
        <v>2</v>
      </c>
      <c r="I255" s="6">
        <v>1</v>
      </c>
      <c r="J255" s="6">
        <v>0</v>
      </c>
      <c r="K255" s="6" t="s">
        <v>49</v>
      </c>
      <c r="L255" s="6" t="str">
        <f>VLOOKUP(K255, 'Alphabetical by species code'!A:B, 2, FALSE)</f>
        <v>Anagallis arvensis</v>
      </c>
      <c r="M255" s="6" t="str">
        <f>VLOOKUP(L255, 'Alphabetical by species code'!B:C, 2, FALSE)</f>
        <v>Non-Native</v>
      </c>
    </row>
    <row r="256" spans="1:13" x14ac:dyDescent="0.25">
      <c r="A256" s="6">
        <v>3</v>
      </c>
      <c r="B256" s="6">
        <v>2025</v>
      </c>
      <c r="C256" s="7">
        <v>45755</v>
      </c>
      <c r="D256" s="6" t="s">
        <v>54</v>
      </c>
      <c r="E256" s="6" t="s">
        <v>26</v>
      </c>
      <c r="F256" s="6">
        <v>3</v>
      </c>
      <c r="G256" s="6" t="s">
        <v>46</v>
      </c>
      <c r="H256" s="6">
        <v>2</v>
      </c>
      <c r="I256" s="6">
        <v>1</v>
      </c>
      <c r="J256" s="6">
        <v>0</v>
      </c>
      <c r="K256" s="6" t="s">
        <v>32</v>
      </c>
      <c r="L256" s="6" t="str">
        <f>VLOOKUP(K256, 'Alphabetical by species code'!A:B, 2, FALSE)</f>
        <v>Medicago polymorpha</v>
      </c>
      <c r="M256" s="6" t="str">
        <f>VLOOKUP(L256, 'Alphabetical by species code'!B:C, 2, FALSE)</f>
        <v>Non-Native</v>
      </c>
    </row>
    <row r="257" spans="1:13" x14ac:dyDescent="0.25">
      <c r="A257" s="6">
        <v>3</v>
      </c>
      <c r="B257" s="6">
        <v>2025</v>
      </c>
      <c r="C257" s="7">
        <v>45755</v>
      </c>
      <c r="D257" s="6" t="s">
        <v>54</v>
      </c>
      <c r="E257" s="6" t="s">
        <v>26</v>
      </c>
      <c r="F257" s="6">
        <v>3</v>
      </c>
      <c r="G257" s="6" t="s">
        <v>46</v>
      </c>
      <c r="H257" s="6">
        <v>2</v>
      </c>
      <c r="I257" s="6">
        <v>1</v>
      </c>
      <c r="J257" s="6">
        <v>0</v>
      </c>
      <c r="K257" s="6" t="s">
        <v>31</v>
      </c>
      <c r="L257" s="6" t="str">
        <f>VLOOKUP(K257, 'Alphabetical by species code'!A:B, 2, FALSE)</f>
        <v>Festuca myuros</v>
      </c>
      <c r="M257" s="6" t="str">
        <f>VLOOKUP(L257, 'Alphabetical by species code'!B:C, 2, FALSE)</f>
        <v>Non-Native</v>
      </c>
    </row>
    <row r="258" spans="1:13" x14ac:dyDescent="0.25">
      <c r="A258" s="6">
        <v>3</v>
      </c>
      <c r="B258" s="6">
        <v>2025</v>
      </c>
      <c r="C258" s="7">
        <v>45755</v>
      </c>
      <c r="D258" s="6" t="s">
        <v>54</v>
      </c>
      <c r="E258" s="6" t="s">
        <v>26</v>
      </c>
      <c r="F258" s="6">
        <v>3</v>
      </c>
      <c r="G258" s="6" t="s">
        <v>46</v>
      </c>
      <c r="H258" s="6">
        <v>2</v>
      </c>
      <c r="I258" s="6">
        <v>2</v>
      </c>
      <c r="J258" s="6">
        <v>0.5</v>
      </c>
      <c r="K258" s="6" t="s">
        <v>28</v>
      </c>
      <c r="L258" s="6" t="str">
        <f>VLOOKUP(K258, 'Alphabetical by species code'!A:B, 2, FALSE)</f>
        <v>Litter</v>
      </c>
      <c r="M258" s="6" t="str">
        <f>VLOOKUP(L258, 'Alphabetical by species code'!B:C, 2, FALSE)</f>
        <v>Ground Cover</v>
      </c>
    </row>
    <row r="259" spans="1:13" x14ac:dyDescent="0.25">
      <c r="A259" s="6">
        <v>3</v>
      </c>
      <c r="B259" s="6">
        <v>2025</v>
      </c>
      <c r="C259" s="7">
        <v>45755</v>
      </c>
      <c r="D259" s="6" t="s">
        <v>54</v>
      </c>
      <c r="E259" s="6" t="s">
        <v>26</v>
      </c>
      <c r="F259" s="6">
        <v>3</v>
      </c>
      <c r="G259" s="6" t="s">
        <v>46</v>
      </c>
      <c r="H259" s="6">
        <v>2</v>
      </c>
      <c r="I259" s="6">
        <v>2</v>
      </c>
      <c r="J259" s="6">
        <v>0.5</v>
      </c>
      <c r="K259" s="6" t="s">
        <v>49</v>
      </c>
      <c r="L259" s="6" t="str">
        <f>VLOOKUP(K259, 'Alphabetical by species code'!A:B, 2, FALSE)</f>
        <v>Anagallis arvensis</v>
      </c>
      <c r="M259" s="6" t="str">
        <f>VLOOKUP(L259, 'Alphabetical by species code'!B:C, 2, FALSE)</f>
        <v>Non-Native</v>
      </c>
    </row>
    <row r="260" spans="1:13" x14ac:dyDescent="0.25">
      <c r="A260" s="6">
        <v>3</v>
      </c>
      <c r="B260" s="6">
        <v>2025</v>
      </c>
      <c r="C260" s="7">
        <v>45755</v>
      </c>
      <c r="D260" s="6" t="s">
        <v>54</v>
      </c>
      <c r="E260" s="6" t="s">
        <v>26</v>
      </c>
      <c r="F260" s="6">
        <v>3</v>
      </c>
      <c r="G260" s="6" t="s">
        <v>46</v>
      </c>
      <c r="H260" s="6">
        <v>2</v>
      </c>
      <c r="I260" s="6">
        <v>2</v>
      </c>
      <c r="J260" s="6">
        <v>0.5</v>
      </c>
      <c r="K260" s="6" t="s">
        <v>57</v>
      </c>
      <c r="L260" s="6" t="str">
        <f>VLOOKUP(K260, 'Alphabetical by species code'!A:B, 2, FALSE)</f>
        <v>Stipa pulchra</v>
      </c>
      <c r="M260" s="6" t="str">
        <f>VLOOKUP(L260, 'Alphabetical by species code'!B:C, 2, FALSE)</f>
        <v>Native</v>
      </c>
    </row>
    <row r="261" spans="1:13" x14ac:dyDescent="0.25">
      <c r="A261" s="6">
        <v>3</v>
      </c>
      <c r="B261" s="6">
        <v>2025</v>
      </c>
      <c r="C261" s="7">
        <v>45755</v>
      </c>
      <c r="D261" s="6" t="s">
        <v>54</v>
      </c>
      <c r="E261" s="6" t="s">
        <v>26</v>
      </c>
      <c r="F261" s="6">
        <v>3</v>
      </c>
      <c r="G261" s="6" t="s">
        <v>46</v>
      </c>
      <c r="H261" s="6">
        <v>2</v>
      </c>
      <c r="I261" s="6">
        <v>2</v>
      </c>
      <c r="J261" s="6">
        <v>0.5</v>
      </c>
      <c r="K261" s="6" t="s">
        <v>55</v>
      </c>
      <c r="L261" s="6" t="str">
        <f>VLOOKUP(K261, 'Alphabetical by species code'!A:B, 2, FALSE)</f>
        <v>Daucus pusillus</v>
      </c>
      <c r="M261" s="6" t="str">
        <f>VLOOKUP(L261, 'Alphabetical by species code'!B:C, 2, FALSE)</f>
        <v>Native</v>
      </c>
    </row>
    <row r="262" spans="1:13" x14ac:dyDescent="0.25">
      <c r="A262" s="6">
        <v>3</v>
      </c>
      <c r="B262" s="6">
        <v>2025</v>
      </c>
      <c r="C262" s="7">
        <v>45755</v>
      </c>
      <c r="D262" s="6" t="s">
        <v>54</v>
      </c>
      <c r="E262" s="6" t="s">
        <v>26</v>
      </c>
      <c r="F262" s="6">
        <v>3</v>
      </c>
      <c r="G262" s="6" t="s">
        <v>46</v>
      </c>
      <c r="H262" s="6">
        <v>2</v>
      </c>
      <c r="I262" s="6">
        <v>2</v>
      </c>
      <c r="J262" s="6">
        <v>0.5</v>
      </c>
      <c r="K262" s="6" t="s">
        <v>32</v>
      </c>
      <c r="L262" s="6" t="str">
        <f>VLOOKUP(K262, 'Alphabetical by species code'!A:B, 2, FALSE)</f>
        <v>Medicago polymorpha</v>
      </c>
      <c r="M262" s="6" t="str">
        <f>VLOOKUP(L262, 'Alphabetical by species code'!B:C, 2, FALSE)</f>
        <v>Non-Native</v>
      </c>
    </row>
    <row r="263" spans="1:13" x14ac:dyDescent="0.25">
      <c r="A263" s="6">
        <v>3</v>
      </c>
      <c r="B263" s="6">
        <v>2025</v>
      </c>
      <c r="C263" s="7">
        <v>45755</v>
      </c>
      <c r="D263" s="6" t="s">
        <v>54</v>
      </c>
      <c r="E263" s="6" t="s">
        <v>26</v>
      </c>
      <c r="F263" s="6">
        <v>3</v>
      </c>
      <c r="G263" s="6" t="s">
        <v>46</v>
      </c>
      <c r="H263" s="6">
        <v>2</v>
      </c>
      <c r="I263" s="6">
        <v>3</v>
      </c>
      <c r="J263" s="6">
        <v>1</v>
      </c>
      <c r="K263" s="6" t="s">
        <v>41</v>
      </c>
      <c r="L263" s="6" t="str">
        <f>VLOOKUP(K263, 'Alphabetical by species code'!A:B, 2, FALSE)</f>
        <v>Stem</v>
      </c>
      <c r="M263" s="6" t="str">
        <f>VLOOKUP(L263, 'Alphabetical by species code'!B:C, 2, FALSE)</f>
        <v>Ground Cover</v>
      </c>
    </row>
    <row r="264" spans="1:13" x14ac:dyDescent="0.25">
      <c r="A264" s="6">
        <v>3</v>
      </c>
      <c r="B264" s="6">
        <v>2025</v>
      </c>
      <c r="C264" s="7">
        <v>45755</v>
      </c>
      <c r="D264" s="6" t="s">
        <v>54</v>
      </c>
      <c r="E264" s="6" t="s">
        <v>26</v>
      </c>
      <c r="F264" s="6">
        <v>3</v>
      </c>
      <c r="G264" s="6" t="s">
        <v>46</v>
      </c>
      <c r="H264" s="6">
        <v>2</v>
      </c>
      <c r="I264" s="6">
        <v>3</v>
      </c>
      <c r="J264" s="6">
        <v>1</v>
      </c>
      <c r="K264" s="6" t="s">
        <v>40</v>
      </c>
      <c r="L264" s="6" t="str">
        <f>VLOOKUP(K264, 'Alphabetical by species code'!A:B, 2, FALSE)</f>
        <v>Cylindropuntia prolifera</v>
      </c>
      <c r="M264" s="6" t="str">
        <f>VLOOKUP(L264, 'Alphabetical by species code'!B:C, 2, FALSE)</f>
        <v>Native</v>
      </c>
    </row>
    <row r="265" spans="1:13" x14ac:dyDescent="0.25">
      <c r="A265" s="6">
        <v>3</v>
      </c>
      <c r="B265" s="6">
        <v>2025</v>
      </c>
      <c r="C265" s="7">
        <v>45755</v>
      </c>
      <c r="D265" s="6" t="s">
        <v>54</v>
      </c>
      <c r="E265" s="6" t="s">
        <v>26</v>
      </c>
      <c r="F265" s="6">
        <v>3</v>
      </c>
      <c r="G265" s="6" t="s">
        <v>46</v>
      </c>
      <c r="H265" s="6">
        <v>2</v>
      </c>
      <c r="I265" s="6">
        <v>4</v>
      </c>
      <c r="J265" s="6">
        <v>1.5</v>
      </c>
      <c r="K265" s="6" t="s">
        <v>51</v>
      </c>
      <c r="L265" s="6" t="str">
        <f>VLOOKUP(K265, 'Alphabetical by species code'!A:B, 2, FALSE)</f>
        <v>Bareground</v>
      </c>
      <c r="M265" s="6" t="str">
        <f>VLOOKUP(L265, 'Alphabetical by species code'!B:C, 2, FALSE)</f>
        <v>Ground Cover</v>
      </c>
    </row>
    <row r="266" spans="1:13" x14ac:dyDescent="0.25">
      <c r="A266" s="6">
        <v>3</v>
      </c>
      <c r="B266" s="6">
        <v>2025</v>
      </c>
      <c r="C266" s="7">
        <v>45755</v>
      </c>
      <c r="D266" s="6" t="s">
        <v>54</v>
      </c>
      <c r="E266" s="6" t="s">
        <v>26</v>
      </c>
      <c r="F266" s="6">
        <v>3</v>
      </c>
      <c r="G266" s="6" t="s">
        <v>46</v>
      </c>
      <c r="H266" s="6">
        <v>2</v>
      </c>
      <c r="I266" s="6">
        <v>4</v>
      </c>
      <c r="J266" s="6">
        <v>1.5</v>
      </c>
      <c r="K266" s="6" t="s">
        <v>57</v>
      </c>
      <c r="L266" s="6" t="str">
        <f>VLOOKUP(K266, 'Alphabetical by species code'!A:B, 2, FALSE)</f>
        <v>Stipa pulchra</v>
      </c>
      <c r="M266" s="6" t="str">
        <f>VLOOKUP(L266, 'Alphabetical by species code'!B:C, 2, FALSE)</f>
        <v>Native</v>
      </c>
    </row>
    <row r="267" spans="1:13" x14ac:dyDescent="0.25">
      <c r="A267" s="6">
        <v>3</v>
      </c>
      <c r="B267" s="6">
        <v>2025</v>
      </c>
      <c r="C267" s="7">
        <v>45755</v>
      </c>
      <c r="D267" s="6" t="s">
        <v>54</v>
      </c>
      <c r="E267" s="6" t="s">
        <v>26</v>
      </c>
      <c r="F267" s="6">
        <v>3</v>
      </c>
      <c r="G267" s="6" t="s">
        <v>46</v>
      </c>
      <c r="H267" s="6">
        <v>2</v>
      </c>
      <c r="I267" s="6">
        <v>4</v>
      </c>
      <c r="J267" s="6">
        <v>1.5</v>
      </c>
      <c r="K267" s="6" t="s">
        <v>58</v>
      </c>
      <c r="L267" s="6" t="str">
        <f>VLOOKUP(K267, 'Alphabetical by species code'!A:B, 2, FALSE)</f>
        <v>Crassula connata</v>
      </c>
      <c r="M267" s="6" t="str">
        <f>VLOOKUP(L267, 'Alphabetical by species code'!B:C, 2, FALSE)</f>
        <v>Native</v>
      </c>
    </row>
    <row r="268" spans="1:13" x14ac:dyDescent="0.25">
      <c r="A268" s="6">
        <v>3</v>
      </c>
      <c r="B268" s="6">
        <v>2025</v>
      </c>
      <c r="C268" s="7">
        <v>45755</v>
      </c>
      <c r="D268" s="6" t="s">
        <v>54</v>
      </c>
      <c r="E268" s="6" t="s">
        <v>26</v>
      </c>
      <c r="F268" s="6">
        <v>3</v>
      </c>
      <c r="G268" s="6" t="s">
        <v>46</v>
      </c>
      <c r="H268" s="6">
        <v>2</v>
      </c>
      <c r="I268" s="6">
        <v>4</v>
      </c>
      <c r="J268" s="6">
        <v>1.5</v>
      </c>
      <c r="K268" s="6" t="s">
        <v>55</v>
      </c>
      <c r="L268" s="6" t="str">
        <f>VLOOKUP(K268, 'Alphabetical by species code'!A:B, 2, FALSE)</f>
        <v>Daucus pusillus</v>
      </c>
      <c r="M268" s="6" t="str">
        <f>VLOOKUP(L268, 'Alphabetical by species code'!B:C, 2, FALSE)</f>
        <v>Native</v>
      </c>
    </row>
    <row r="269" spans="1:13" x14ac:dyDescent="0.25">
      <c r="A269" s="6">
        <v>3</v>
      </c>
      <c r="B269" s="6">
        <v>2025</v>
      </c>
      <c r="C269" s="7">
        <v>45755</v>
      </c>
      <c r="D269" s="6" t="s">
        <v>54</v>
      </c>
      <c r="E269" s="6" t="s">
        <v>26</v>
      </c>
      <c r="F269" s="6">
        <v>3</v>
      </c>
      <c r="G269" s="6" t="s">
        <v>46</v>
      </c>
      <c r="H269" s="6">
        <v>2</v>
      </c>
      <c r="I269" s="6">
        <v>4</v>
      </c>
      <c r="J269" s="6">
        <v>1.5</v>
      </c>
      <c r="K269" s="6" t="s">
        <v>31</v>
      </c>
      <c r="L269" s="6" t="str">
        <f>VLOOKUP(K269, 'Alphabetical by species code'!A:B, 2, FALSE)</f>
        <v>Festuca myuros</v>
      </c>
      <c r="M269" s="6" t="str">
        <f>VLOOKUP(L269, 'Alphabetical by species code'!B:C, 2, FALSE)</f>
        <v>Non-Native</v>
      </c>
    </row>
    <row r="270" spans="1:13" x14ac:dyDescent="0.25">
      <c r="A270" s="6">
        <v>3</v>
      </c>
      <c r="B270" s="6">
        <v>2025</v>
      </c>
      <c r="C270" s="7">
        <v>45755</v>
      </c>
      <c r="D270" s="6" t="s">
        <v>54</v>
      </c>
      <c r="E270" s="6" t="s">
        <v>26</v>
      </c>
      <c r="F270" s="6">
        <v>3</v>
      </c>
      <c r="G270" s="6" t="s">
        <v>46</v>
      </c>
      <c r="H270" s="6">
        <v>2</v>
      </c>
      <c r="I270" s="6">
        <v>5</v>
      </c>
      <c r="J270" s="6">
        <v>2.5</v>
      </c>
      <c r="K270" s="6" t="s">
        <v>51</v>
      </c>
      <c r="L270" s="6" t="str">
        <f>VLOOKUP(K270, 'Alphabetical by species code'!A:B, 2, FALSE)</f>
        <v>Bareground</v>
      </c>
      <c r="M270" s="6" t="str">
        <f>VLOOKUP(L270, 'Alphabetical by species code'!B:C, 2, FALSE)</f>
        <v>Ground Cover</v>
      </c>
    </row>
    <row r="271" spans="1:13" x14ac:dyDescent="0.25">
      <c r="A271" s="6">
        <v>3</v>
      </c>
      <c r="B271" s="6">
        <v>2025</v>
      </c>
      <c r="C271" s="7">
        <v>45755</v>
      </c>
      <c r="D271" s="6" t="s">
        <v>54</v>
      </c>
      <c r="E271" s="6" t="s">
        <v>26</v>
      </c>
      <c r="F271" s="6">
        <v>3</v>
      </c>
      <c r="G271" s="6" t="s">
        <v>46</v>
      </c>
      <c r="H271" s="6">
        <v>2</v>
      </c>
      <c r="I271" s="6">
        <v>5</v>
      </c>
      <c r="J271" s="6">
        <v>2.5</v>
      </c>
      <c r="K271" s="6" t="s">
        <v>31</v>
      </c>
      <c r="L271" s="6" t="str">
        <f>VLOOKUP(K271, 'Alphabetical by species code'!A:B, 2, FALSE)</f>
        <v>Festuca myuros</v>
      </c>
      <c r="M271" s="6" t="str">
        <f>VLOOKUP(L271, 'Alphabetical by species code'!B:C, 2, FALSE)</f>
        <v>Non-Native</v>
      </c>
    </row>
    <row r="272" spans="1:13" x14ac:dyDescent="0.25">
      <c r="A272" s="6">
        <v>3</v>
      </c>
      <c r="B272" s="6">
        <v>2025</v>
      </c>
      <c r="C272" s="7">
        <v>45755</v>
      </c>
      <c r="D272" s="6" t="s">
        <v>54</v>
      </c>
      <c r="E272" s="6" t="s">
        <v>26</v>
      </c>
      <c r="F272" s="6">
        <v>3</v>
      </c>
      <c r="G272" s="6" t="s">
        <v>46</v>
      </c>
      <c r="H272" s="6">
        <v>2</v>
      </c>
      <c r="I272" s="6">
        <v>6</v>
      </c>
      <c r="J272" s="6">
        <v>3</v>
      </c>
      <c r="K272" s="6" t="s">
        <v>28</v>
      </c>
      <c r="L272" s="6" t="str">
        <f>VLOOKUP(K272, 'Alphabetical by species code'!A:B, 2, FALSE)</f>
        <v>Litter</v>
      </c>
      <c r="M272" s="6" t="str">
        <f>VLOOKUP(L272, 'Alphabetical by species code'!B:C, 2, FALSE)</f>
        <v>Ground Cover</v>
      </c>
    </row>
    <row r="273" spans="1:13" x14ac:dyDescent="0.25">
      <c r="A273" s="6">
        <v>3</v>
      </c>
      <c r="B273" s="6">
        <v>2025</v>
      </c>
      <c r="C273" s="7">
        <v>45755</v>
      </c>
      <c r="D273" s="6" t="s">
        <v>54</v>
      </c>
      <c r="E273" s="6" t="s">
        <v>26</v>
      </c>
      <c r="F273" s="6">
        <v>3</v>
      </c>
      <c r="G273" s="6" t="s">
        <v>46</v>
      </c>
      <c r="H273" s="6">
        <v>2</v>
      </c>
      <c r="I273" s="6">
        <v>6</v>
      </c>
      <c r="J273" s="6">
        <v>3</v>
      </c>
      <c r="K273" s="6" t="s">
        <v>58</v>
      </c>
      <c r="L273" s="6" t="str">
        <f>VLOOKUP(K273, 'Alphabetical by species code'!A:B, 2, FALSE)</f>
        <v>Crassula connata</v>
      </c>
      <c r="M273" s="6" t="str">
        <f>VLOOKUP(L273, 'Alphabetical by species code'!B:C, 2, FALSE)</f>
        <v>Native</v>
      </c>
    </row>
    <row r="274" spans="1:13" x14ac:dyDescent="0.25">
      <c r="A274" s="6">
        <v>3</v>
      </c>
      <c r="B274" s="6">
        <v>2025</v>
      </c>
      <c r="C274" s="7">
        <v>45755</v>
      </c>
      <c r="D274" s="6" t="s">
        <v>54</v>
      </c>
      <c r="E274" s="6" t="s">
        <v>26</v>
      </c>
      <c r="F274" s="6">
        <v>3</v>
      </c>
      <c r="G274" s="6" t="s">
        <v>46</v>
      </c>
      <c r="H274" s="6">
        <v>2</v>
      </c>
      <c r="I274" s="6">
        <v>6</v>
      </c>
      <c r="J274" s="6">
        <v>3</v>
      </c>
      <c r="K274" s="6" t="s">
        <v>31</v>
      </c>
      <c r="L274" s="6" t="str">
        <f>VLOOKUP(K274, 'Alphabetical by species code'!A:B, 2, FALSE)</f>
        <v>Festuca myuros</v>
      </c>
      <c r="M274" s="6" t="str">
        <f>VLOOKUP(L274, 'Alphabetical by species code'!B:C, 2, FALSE)</f>
        <v>Non-Native</v>
      </c>
    </row>
    <row r="275" spans="1:13" x14ac:dyDescent="0.25">
      <c r="A275" s="6">
        <v>3</v>
      </c>
      <c r="B275" s="6">
        <v>2025</v>
      </c>
      <c r="C275" s="7">
        <v>45755</v>
      </c>
      <c r="D275" s="6" t="s">
        <v>54</v>
      </c>
      <c r="E275" s="6" t="s">
        <v>26</v>
      </c>
      <c r="F275" s="6">
        <v>3</v>
      </c>
      <c r="G275" s="6" t="s">
        <v>46</v>
      </c>
      <c r="H275" s="6">
        <v>2</v>
      </c>
      <c r="I275" s="6">
        <v>6</v>
      </c>
      <c r="J275" s="6">
        <v>3</v>
      </c>
      <c r="K275" s="6" t="s">
        <v>32</v>
      </c>
      <c r="L275" s="6" t="str">
        <f>VLOOKUP(K275, 'Alphabetical by species code'!A:B, 2, FALSE)</f>
        <v>Medicago polymorpha</v>
      </c>
      <c r="M275" s="6" t="str">
        <f>VLOOKUP(L275, 'Alphabetical by species code'!B:C, 2, FALSE)</f>
        <v>Non-Native</v>
      </c>
    </row>
    <row r="276" spans="1:13" x14ac:dyDescent="0.25">
      <c r="A276" s="6">
        <v>3</v>
      </c>
      <c r="B276" s="6">
        <v>2025</v>
      </c>
      <c r="C276" s="7">
        <v>45755</v>
      </c>
      <c r="D276" s="6" t="s">
        <v>54</v>
      </c>
      <c r="E276" s="6" t="s">
        <v>26</v>
      </c>
      <c r="F276" s="6">
        <v>3</v>
      </c>
      <c r="G276" s="6" t="s">
        <v>46</v>
      </c>
      <c r="H276" s="6">
        <v>2</v>
      </c>
      <c r="I276" s="6">
        <v>6</v>
      </c>
      <c r="J276" s="6">
        <v>3</v>
      </c>
      <c r="K276" s="6" t="s">
        <v>29</v>
      </c>
      <c r="L276" s="6" t="str">
        <f>VLOOKUP(K276, 'Alphabetical by species code'!A:B, 2, FALSE)</f>
        <v>Opuntia littoralis</v>
      </c>
      <c r="M276" s="6" t="str">
        <f>VLOOKUP(L276, 'Alphabetical by species code'!B:C, 2, FALSE)</f>
        <v>Native</v>
      </c>
    </row>
    <row r="277" spans="1:13" x14ac:dyDescent="0.25">
      <c r="A277" s="6">
        <v>3</v>
      </c>
      <c r="B277" s="6">
        <v>2025</v>
      </c>
      <c r="C277" s="7">
        <v>45755</v>
      </c>
      <c r="D277" s="6" t="s">
        <v>54</v>
      </c>
      <c r="E277" s="6" t="s">
        <v>26</v>
      </c>
      <c r="F277" s="6">
        <v>3</v>
      </c>
      <c r="G277" s="6" t="s">
        <v>46</v>
      </c>
      <c r="H277" s="6">
        <v>2</v>
      </c>
      <c r="I277" s="6">
        <v>7</v>
      </c>
      <c r="J277" s="6">
        <v>3.5</v>
      </c>
      <c r="K277" s="6" t="s">
        <v>28</v>
      </c>
      <c r="L277" s="6" t="str">
        <f>VLOOKUP(K277, 'Alphabetical by species code'!A:B, 2, FALSE)</f>
        <v>Litter</v>
      </c>
      <c r="M277" s="6" t="str">
        <f>VLOOKUP(L277, 'Alphabetical by species code'!B:C, 2, FALSE)</f>
        <v>Ground Cover</v>
      </c>
    </row>
    <row r="278" spans="1:13" x14ac:dyDescent="0.25">
      <c r="A278" s="6">
        <v>3</v>
      </c>
      <c r="B278" s="6">
        <v>2025</v>
      </c>
      <c r="C278" s="7">
        <v>45755</v>
      </c>
      <c r="D278" s="6" t="s">
        <v>54</v>
      </c>
      <c r="E278" s="6" t="s">
        <v>26</v>
      </c>
      <c r="F278" s="6">
        <v>3</v>
      </c>
      <c r="G278" s="6" t="s">
        <v>46</v>
      </c>
      <c r="H278" s="6">
        <v>2</v>
      </c>
      <c r="I278" s="6">
        <v>7</v>
      </c>
      <c r="J278" s="6">
        <v>3.5</v>
      </c>
      <c r="K278" s="6" t="s">
        <v>31</v>
      </c>
      <c r="L278" s="6" t="str">
        <f>VLOOKUP(K278, 'Alphabetical by species code'!A:B, 2, FALSE)</f>
        <v>Festuca myuros</v>
      </c>
      <c r="M278" s="6" t="str">
        <f>VLOOKUP(L278, 'Alphabetical by species code'!B:C, 2, FALSE)</f>
        <v>Non-Native</v>
      </c>
    </row>
    <row r="279" spans="1:13" x14ac:dyDescent="0.25">
      <c r="A279" s="6">
        <v>3</v>
      </c>
      <c r="B279" s="6">
        <v>2025</v>
      </c>
      <c r="C279" s="7">
        <v>45755</v>
      </c>
      <c r="D279" s="6" t="s">
        <v>54</v>
      </c>
      <c r="E279" s="6" t="s">
        <v>26</v>
      </c>
      <c r="F279" s="6">
        <v>3</v>
      </c>
      <c r="G279" s="6" t="s">
        <v>46</v>
      </c>
      <c r="H279" s="6">
        <v>2</v>
      </c>
      <c r="I279" s="6">
        <v>8</v>
      </c>
      <c r="J279" s="6">
        <v>4</v>
      </c>
      <c r="K279" s="6" t="s">
        <v>51</v>
      </c>
      <c r="L279" s="6" t="str">
        <f>VLOOKUP(K279, 'Alphabetical by species code'!A:B, 2, FALSE)</f>
        <v>Bareground</v>
      </c>
      <c r="M279" s="6" t="str">
        <f>VLOOKUP(L279, 'Alphabetical by species code'!B:C, 2, FALSE)</f>
        <v>Ground Cover</v>
      </c>
    </row>
    <row r="280" spans="1:13" x14ac:dyDescent="0.25">
      <c r="A280" s="6">
        <v>3</v>
      </c>
      <c r="B280" s="6">
        <v>2025</v>
      </c>
      <c r="C280" s="7">
        <v>45755</v>
      </c>
      <c r="D280" s="6" t="s">
        <v>54</v>
      </c>
      <c r="E280" s="6" t="s">
        <v>26</v>
      </c>
      <c r="F280" s="6">
        <v>3</v>
      </c>
      <c r="G280" s="6" t="s">
        <v>46</v>
      </c>
      <c r="H280" s="6">
        <v>2</v>
      </c>
      <c r="I280" s="6">
        <v>8</v>
      </c>
      <c r="J280" s="6">
        <v>4</v>
      </c>
      <c r="K280" s="6" t="s">
        <v>55</v>
      </c>
      <c r="L280" s="6" t="str">
        <f>VLOOKUP(K280, 'Alphabetical by species code'!A:B, 2, FALSE)</f>
        <v>Daucus pusillus</v>
      </c>
      <c r="M280" s="6" t="str">
        <f>VLOOKUP(L280, 'Alphabetical by species code'!B:C, 2, FALSE)</f>
        <v>Native</v>
      </c>
    </row>
    <row r="281" spans="1:13" x14ac:dyDescent="0.25">
      <c r="A281" s="6">
        <v>3</v>
      </c>
      <c r="B281" s="6">
        <v>2025</v>
      </c>
      <c r="C281" s="7">
        <v>45755</v>
      </c>
      <c r="D281" s="6" t="s">
        <v>54</v>
      </c>
      <c r="E281" s="6" t="s">
        <v>26</v>
      </c>
      <c r="F281" s="6">
        <v>3</v>
      </c>
      <c r="G281" s="6" t="s">
        <v>46</v>
      </c>
      <c r="H281" s="6">
        <v>2</v>
      </c>
      <c r="I281" s="6">
        <v>8</v>
      </c>
      <c r="J281" s="6">
        <v>4</v>
      </c>
      <c r="K281" s="6" t="s">
        <v>56</v>
      </c>
      <c r="L281" s="6" t="str">
        <f>VLOOKUP(K281, 'Alphabetical by species code'!A:B, 2, FALSE)</f>
        <v>Grindelia camporum</v>
      </c>
      <c r="M281" s="6" t="str">
        <f>VLOOKUP(L281, 'Alphabetical by species code'!B:C, 2, FALSE)</f>
        <v>Native</v>
      </c>
    </row>
    <row r="282" spans="1:13" x14ac:dyDescent="0.25">
      <c r="A282" s="6">
        <v>3</v>
      </c>
      <c r="B282" s="6">
        <v>2025</v>
      </c>
      <c r="C282" s="7">
        <v>45755</v>
      </c>
      <c r="D282" s="6" t="s">
        <v>54</v>
      </c>
      <c r="E282" s="6" t="s">
        <v>26</v>
      </c>
      <c r="F282" s="6">
        <v>3</v>
      </c>
      <c r="G282" s="6" t="s">
        <v>46</v>
      </c>
      <c r="H282" s="6">
        <v>2</v>
      </c>
      <c r="I282" s="6">
        <v>9</v>
      </c>
      <c r="J282" s="6">
        <v>4.5</v>
      </c>
      <c r="K282" s="6" t="s">
        <v>28</v>
      </c>
      <c r="L282" s="6" t="str">
        <f>VLOOKUP(K282, 'Alphabetical by species code'!A:B, 2, FALSE)</f>
        <v>Litter</v>
      </c>
      <c r="M282" s="6" t="str">
        <f>VLOOKUP(L282, 'Alphabetical by species code'!B:C, 2, FALSE)</f>
        <v>Ground Cover</v>
      </c>
    </row>
    <row r="283" spans="1:13" x14ac:dyDescent="0.25">
      <c r="A283" s="6">
        <v>3</v>
      </c>
      <c r="B283" s="6">
        <v>2025</v>
      </c>
      <c r="C283" s="7">
        <v>45755</v>
      </c>
      <c r="D283" s="6" t="s">
        <v>54</v>
      </c>
      <c r="E283" s="6" t="s">
        <v>26</v>
      </c>
      <c r="F283" s="6">
        <v>3</v>
      </c>
      <c r="G283" s="6" t="s">
        <v>46</v>
      </c>
      <c r="H283" s="6">
        <v>2</v>
      </c>
      <c r="I283" s="6">
        <v>9</v>
      </c>
      <c r="J283" s="6">
        <v>4.5</v>
      </c>
      <c r="K283" s="6" t="s">
        <v>59</v>
      </c>
      <c r="L283" s="6" t="str">
        <f>VLOOKUP(K283, 'Alphabetical by species code'!A:B, 2, FALSE)</f>
        <v>Cryptantha micromeres</v>
      </c>
      <c r="M283" s="6" t="str">
        <f>VLOOKUP(L283, 'Alphabetical by species code'!B:C, 2, FALSE)</f>
        <v>Native</v>
      </c>
    </row>
    <row r="284" spans="1:13" x14ac:dyDescent="0.25">
      <c r="A284" s="6">
        <v>3</v>
      </c>
      <c r="B284" s="6">
        <v>2025</v>
      </c>
      <c r="C284" s="7">
        <v>45755</v>
      </c>
      <c r="D284" s="6" t="s">
        <v>54</v>
      </c>
      <c r="E284" s="6" t="s">
        <v>26</v>
      </c>
      <c r="F284" s="6">
        <v>3</v>
      </c>
      <c r="G284" s="6" t="s">
        <v>46</v>
      </c>
      <c r="H284" s="6">
        <v>2</v>
      </c>
      <c r="I284" s="6">
        <v>9</v>
      </c>
      <c r="J284" s="6">
        <v>4.5</v>
      </c>
      <c r="K284" s="6" t="s">
        <v>35</v>
      </c>
      <c r="L284" s="6" t="str">
        <f>VLOOKUP(K284, 'Alphabetical by species code'!A:B, 2, FALSE)</f>
        <v>Deinandra fasciculata</v>
      </c>
      <c r="M284" s="6" t="str">
        <f>VLOOKUP(L284, 'Alphabetical by species code'!B:C, 2, FALSE)</f>
        <v>Native</v>
      </c>
    </row>
    <row r="285" spans="1:13" x14ac:dyDescent="0.25">
      <c r="A285" s="6">
        <v>3</v>
      </c>
      <c r="B285" s="6">
        <v>2025</v>
      </c>
      <c r="C285" s="7">
        <v>45755</v>
      </c>
      <c r="D285" s="6" t="s">
        <v>54</v>
      </c>
      <c r="E285" s="6" t="s">
        <v>26</v>
      </c>
      <c r="F285" s="6">
        <v>3</v>
      </c>
      <c r="G285" s="6" t="s">
        <v>46</v>
      </c>
      <c r="H285" s="6">
        <v>2</v>
      </c>
      <c r="I285" s="6">
        <v>9</v>
      </c>
      <c r="J285" s="6">
        <v>4.5</v>
      </c>
      <c r="K285" s="6" t="s">
        <v>31</v>
      </c>
      <c r="L285" s="6" t="str">
        <f>VLOOKUP(K285, 'Alphabetical by species code'!A:B, 2, FALSE)</f>
        <v>Festuca myuros</v>
      </c>
      <c r="M285" s="6" t="str">
        <f>VLOOKUP(L285, 'Alphabetical by species code'!B:C, 2, FALSE)</f>
        <v>Non-Native</v>
      </c>
    </row>
    <row r="286" spans="1:13" x14ac:dyDescent="0.25">
      <c r="A286" s="6">
        <v>3</v>
      </c>
      <c r="B286" s="6">
        <v>2025</v>
      </c>
      <c r="C286" s="7">
        <v>45755</v>
      </c>
      <c r="D286" s="6" t="s">
        <v>54</v>
      </c>
      <c r="E286" s="6" t="s">
        <v>26</v>
      </c>
      <c r="F286" s="6">
        <v>3</v>
      </c>
      <c r="G286" s="6" t="s">
        <v>46</v>
      </c>
      <c r="H286" s="6">
        <v>2</v>
      </c>
      <c r="I286" s="6">
        <v>9</v>
      </c>
      <c r="J286" s="6">
        <v>4.5</v>
      </c>
      <c r="K286" s="6" t="s">
        <v>58</v>
      </c>
      <c r="L286" s="6" t="str">
        <f>VLOOKUP(K286, 'Alphabetical by species code'!A:B, 2, FALSE)</f>
        <v>Crassula connata</v>
      </c>
      <c r="M286" s="6" t="str">
        <f>VLOOKUP(L286, 'Alphabetical by species code'!B:C, 2, FALSE)</f>
        <v>Native</v>
      </c>
    </row>
    <row r="287" spans="1:13" x14ac:dyDescent="0.25">
      <c r="A287" s="6">
        <v>3</v>
      </c>
      <c r="B287" s="6">
        <v>2025</v>
      </c>
      <c r="C287" s="7">
        <v>45755</v>
      </c>
      <c r="D287" s="6" t="s">
        <v>54</v>
      </c>
      <c r="E287" s="6" t="s">
        <v>26</v>
      </c>
      <c r="F287" s="6">
        <v>3</v>
      </c>
      <c r="G287" s="6" t="s">
        <v>46</v>
      </c>
      <c r="H287" s="6">
        <v>2</v>
      </c>
      <c r="I287" s="6">
        <v>10</v>
      </c>
      <c r="J287" s="6">
        <v>5</v>
      </c>
      <c r="K287" s="6" t="s">
        <v>28</v>
      </c>
      <c r="L287" s="6" t="str">
        <f>VLOOKUP(K287, 'Alphabetical by species code'!A:B, 2, FALSE)</f>
        <v>Litter</v>
      </c>
      <c r="M287" s="6" t="str">
        <f>VLOOKUP(L287, 'Alphabetical by species code'!B:C, 2, FALSE)</f>
        <v>Ground Cover</v>
      </c>
    </row>
    <row r="288" spans="1:13" x14ac:dyDescent="0.25">
      <c r="A288" s="6">
        <v>3</v>
      </c>
      <c r="B288" s="6">
        <v>2025</v>
      </c>
      <c r="C288" s="7">
        <v>45755</v>
      </c>
      <c r="D288" s="6" t="s">
        <v>54</v>
      </c>
      <c r="E288" s="6" t="s">
        <v>26</v>
      </c>
      <c r="F288" s="6">
        <v>3</v>
      </c>
      <c r="G288" s="6" t="s">
        <v>46</v>
      </c>
      <c r="H288" s="6">
        <v>2</v>
      </c>
      <c r="I288" s="6">
        <v>10</v>
      </c>
      <c r="J288" s="6">
        <v>5</v>
      </c>
      <c r="K288" s="6" t="s">
        <v>58</v>
      </c>
      <c r="L288" s="6" t="str">
        <f>VLOOKUP(K288, 'Alphabetical by species code'!A:B, 2, FALSE)</f>
        <v>Crassula connata</v>
      </c>
      <c r="M288" s="6" t="str">
        <f>VLOOKUP(L288, 'Alphabetical by species code'!B:C, 2, FALSE)</f>
        <v>Native</v>
      </c>
    </row>
    <row r="289" spans="1:13" x14ac:dyDescent="0.25">
      <c r="A289" s="6">
        <v>3</v>
      </c>
      <c r="B289" s="6">
        <v>2025</v>
      </c>
      <c r="C289" s="7">
        <v>45755</v>
      </c>
      <c r="D289" s="6" t="s">
        <v>54</v>
      </c>
      <c r="E289" s="6" t="s">
        <v>26</v>
      </c>
      <c r="F289" s="6">
        <v>3</v>
      </c>
      <c r="G289" s="6" t="s">
        <v>46</v>
      </c>
      <c r="H289" s="6">
        <v>2</v>
      </c>
      <c r="I289" s="6">
        <v>10</v>
      </c>
      <c r="J289" s="6">
        <v>5</v>
      </c>
      <c r="K289" s="6" t="s">
        <v>34</v>
      </c>
      <c r="L289" s="6" t="str">
        <f>VLOOKUP(K289, 'Alphabetical by species code'!A:B, 2, FALSE)</f>
        <v>Erodium cicutarium</v>
      </c>
      <c r="M289" s="6" t="str">
        <f>VLOOKUP(L289, 'Alphabetical by species code'!B:C, 2, FALSE)</f>
        <v>Non-Native</v>
      </c>
    </row>
    <row r="290" spans="1:13" x14ac:dyDescent="0.25">
      <c r="A290" s="6">
        <v>3</v>
      </c>
      <c r="B290" s="6">
        <v>2025</v>
      </c>
      <c r="C290" s="7">
        <v>45755</v>
      </c>
      <c r="D290" s="6" t="s">
        <v>54</v>
      </c>
      <c r="E290" s="6" t="s">
        <v>26</v>
      </c>
      <c r="F290" s="6">
        <v>3</v>
      </c>
      <c r="G290" s="6" t="s">
        <v>46</v>
      </c>
      <c r="H290" s="6">
        <v>2</v>
      </c>
      <c r="I290" s="6">
        <v>10</v>
      </c>
      <c r="J290" s="6">
        <v>5</v>
      </c>
      <c r="K290" s="6" t="s">
        <v>55</v>
      </c>
      <c r="L290" s="6" t="str">
        <f>VLOOKUP(K290, 'Alphabetical by species code'!A:B, 2, FALSE)</f>
        <v>Daucus pusillus</v>
      </c>
      <c r="M290" s="6" t="str">
        <f>VLOOKUP(L290, 'Alphabetical by species code'!B:C, 2, FALSE)</f>
        <v>Native</v>
      </c>
    </row>
    <row r="291" spans="1:13" x14ac:dyDescent="0.25">
      <c r="A291" s="6">
        <v>3</v>
      </c>
      <c r="B291" s="6">
        <v>2025</v>
      </c>
      <c r="C291" s="7">
        <v>45755</v>
      </c>
      <c r="D291" s="6" t="s">
        <v>54</v>
      </c>
      <c r="E291" s="6" t="s">
        <v>26</v>
      </c>
      <c r="F291" s="6">
        <v>3</v>
      </c>
      <c r="G291" s="6" t="s">
        <v>46</v>
      </c>
      <c r="H291" s="6">
        <v>2</v>
      </c>
      <c r="I291" s="6">
        <v>10</v>
      </c>
      <c r="J291" s="6">
        <v>5</v>
      </c>
      <c r="K291" s="6" t="s">
        <v>35</v>
      </c>
      <c r="L291" s="6" t="str">
        <f>VLOOKUP(K291, 'Alphabetical by species code'!A:B, 2, FALSE)</f>
        <v>Deinandra fasciculata</v>
      </c>
      <c r="M291" s="6" t="str">
        <f>VLOOKUP(L291, 'Alphabetical by species code'!B:C, 2, FALSE)</f>
        <v>Native</v>
      </c>
    </row>
    <row r="292" spans="1:13" x14ac:dyDescent="0.25">
      <c r="A292" s="6">
        <v>3</v>
      </c>
      <c r="B292" s="6">
        <v>2025</v>
      </c>
      <c r="C292" s="7">
        <v>45755</v>
      </c>
      <c r="D292" s="6" t="s">
        <v>54</v>
      </c>
      <c r="E292" s="6" t="s">
        <v>26</v>
      </c>
      <c r="F292" s="6">
        <v>3</v>
      </c>
      <c r="G292" s="6" t="s">
        <v>46</v>
      </c>
      <c r="H292" s="6">
        <v>2</v>
      </c>
      <c r="I292" s="6">
        <v>11</v>
      </c>
      <c r="J292" s="6">
        <v>5.5</v>
      </c>
      <c r="K292" s="6" t="s">
        <v>41</v>
      </c>
      <c r="L292" s="6" t="str">
        <f>VLOOKUP(K292, 'Alphabetical by species code'!A:B, 2, FALSE)</f>
        <v>Stem</v>
      </c>
      <c r="M292" s="6" t="str">
        <f>VLOOKUP(L292, 'Alphabetical by species code'!B:C, 2, FALSE)</f>
        <v>Ground Cover</v>
      </c>
    </row>
    <row r="293" spans="1:13" x14ac:dyDescent="0.25">
      <c r="A293" s="6">
        <v>3</v>
      </c>
      <c r="B293" s="6">
        <v>2025</v>
      </c>
      <c r="C293" s="7">
        <v>45755</v>
      </c>
      <c r="D293" s="6" t="s">
        <v>54</v>
      </c>
      <c r="E293" s="6" t="s">
        <v>26</v>
      </c>
      <c r="F293" s="6">
        <v>3</v>
      </c>
      <c r="G293" s="6" t="s">
        <v>46</v>
      </c>
      <c r="H293" s="6">
        <v>2</v>
      </c>
      <c r="I293" s="6">
        <v>11</v>
      </c>
      <c r="J293" s="6">
        <v>5.5</v>
      </c>
      <c r="K293" s="6" t="s">
        <v>34</v>
      </c>
      <c r="L293" s="6" t="str">
        <f>VLOOKUP(K293, 'Alphabetical by species code'!A:B, 2, FALSE)</f>
        <v>Erodium cicutarium</v>
      </c>
      <c r="M293" s="6" t="str">
        <f>VLOOKUP(L293, 'Alphabetical by species code'!B:C, 2, FALSE)</f>
        <v>Non-Native</v>
      </c>
    </row>
    <row r="294" spans="1:13" x14ac:dyDescent="0.25">
      <c r="A294" s="6">
        <v>3</v>
      </c>
      <c r="B294" s="6">
        <v>2025</v>
      </c>
      <c r="C294" s="7">
        <v>45755</v>
      </c>
      <c r="D294" s="6" t="s">
        <v>54</v>
      </c>
      <c r="E294" s="6" t="s">
        <v>26</v>
      </c>
      <c r="F294" s="6">
        <v>3</v>
      </c>
      <c r="G294" s="6" t="s">
        <v>46</v>
      </c>
      <c r="H294" s="6">
        <v>2</v>
      </c>
      <c r="I294" s="6">
        <v>11</v>
      </c>
      <c r="J294" s="6">
        <v>5.5</v>
      </c>
      <c r="K294" s="6" t="s">
        <v>55</v>
      </c>
      <c r="L294" s="6" t="str">
        <f>VLOOKUP(K294, 'Alphabetical by species code'!A:B, 2, FALSE)</f>
        <v>Daucus pusillus</v>
      </c>
      <c r="M294" s="6" t="str">
        <f>VLOOKUP(L294, 'Alphabetical by species code'!B:C, 2, FALSE)</f>
        <v>Native</v>
      </c>
    </row>
    <row r="295" spans="1:13" x14ac:dyDescent="0.25">
      <c r="A295" s="6">
        <v>3</v>
      </c>
      <c r="B295" s="6">
        <v>2025</v>
      </c>
      <c r="C295" s="7">
        <v>45755</v>
      </c>
      <c r="D295" s="6" t="s">
        <v>54</v>
      </c>
      <c r="E295" s="6" t="s">
        <v>26</v>
      </c>
      <c r="F295" s="6">
        <v>3</v>
      </c>
      <c r="G295" s="6" t="s">
        <v>46</v>
      </c>
      <c r="H295" s="6">
        <v>2</v>
      </c>
      <c r="I295" s="6">
        <v>11</v>
      </c>
      <c r="J295" s="6">
        <v>5.5</v>
      </c>
      <c r="K295" s="6" t="s">
        <v>35</v>
      </c>
      <c r="L295" s="6" t="str">
        <f>VLOOKUP(K295, 'Alphabetical by species code'!A:B, 2, FALSE)</f>
        <v>Deinandra fasciculata</v>
      </c>
      <c r="M295" s="6" t="str">
        <f>VLOOKUP(L295, 'Alphabetical by species code'!B:C, 2, FALSE)</f>
        <v>Native</v>
      </c>
    </row>
    <row r="296" spans="1:13" x14ac:dyDescent="0.25">
      <c r="A296" s="6">
        <v>3</v>
      </c>
      <c r="B296" s="6">
        <v>2025</v>
      </c>
      <c r="C296" s="7">
        <v>45755</v>
      </c>
      <c r="D296" s="6" t="s">
        <v>54</v>
      </c>
      <c r="E296" s="6" t="s">
        <v>26</v>
      </c>
      <c r="F296" s="6">
        <v>3</v>
      </c>
      <c r="G296" s="6" t="s">
        <v>46</v>
      </c>
      <c r="H296" s="6">
        <v>2</v>
      </c>
      <c r="I296" s="6">
        <v>11</v>
      </c>
      <c r="J296" s="6">
        <v>5.5</v>
      </c>
      <c r="K296" s="6" t="s">
        <v>32</v>
      </c>
      <c r="L296" s="6" t="str">
        <f>VLOOKUP(K296, 'Alphabetical by species code'!A:B, 2, FALSE)</f>
        <v>Medicago polymorpha</v>
      </c>
      <c r="M296" s="6" t="str">
        <f>VLOOKUP(L296, 'Alphabetical by species code'!B:C, 2, FALSE)</f>
        <v>Non-Native</v>
      </c>
    </row>
    <row r="297" spans="1:13" x14ac:dyDescent="0.25">
      <c r="A297" s="6">
        <v>3</v>
      </c>
      <c r="B297" s="6">
        <v>2025</v>
      </c>
      <c r="C297" s="7">
        <v>45755</v>
      </c>
      <c r="D297" s="6" t="s">
        <v>54</v>
      </c>
      <c r="E297" s="6" t="s">
        <v>26</v>
      </c>
      <c r="F297" s="6">
        <v>3</v>
      </c>
      <c r="G297" s="6" t="s">
        <v>46</v>
      </c>
      <c r="H297" s="6">
        <v>2</v>
      </c>
      <c r="I297" s="6">
        <v>12</v>
      </c>
      <c r="J297" s="6">
        <v>6</v>
      </c>
      <c r="K297" s="6" t="s">
        <v>28</v>
      </c>
      <c r="L297" s="6" t="str">
        <f>VLOOKUP(K297, 'Alphabetical by species code'!A:B, 2, FALSE)</f>
        <v>Litter</v>
      </c>
      <c r="M297" s="6" t="str">
        <f>VLOOKUP(L297, 'Alphabetical by species code'!B:C, 2, FALSE)</f>
        <v>Ground Cover</v>
      </c>
    </row>
    <row r="298" spans="1:13" x14ac:dyDescent="0.25">
      <c r="A298" s="6">
        <v>3</v>
      </c>
      <c r="B298" s="6">
        <v>2025</v>
      </c>
      <c r="C298" s="7">
        <v>45755</v>
      </c>
      <c r="D298" s="6" t="s">
        <v>54</v>
      </c>
      <c r="E298" s="6" t="s">
        <v>26</v>
      </c>
      <c r="F298" s="6">
        <v>3</v>
      </c>
      <c r="G298" s="6" t="s">
        <v>46</v>
      </c>
      <c r="H298" s="6">
        <v>2</v>
      </c>
      <c r="I298" s="6">
        <v>12</v>
      </c>
      <c r="J298" s="6">
        <v>6</v>
      </c>
      <c r="K298" s="6" t="s">
        <v>58</v>
      </c>
      <c r="L298" s="6" t="str">
        <f>VLOOKUP(K298, 'Alphabetical by species code'!A:B, 2, FALSE)</f>
        <v>Crassula connata</v>
      </c>
      <c r="M298" s="6" t="str">
        <f>VLOOKUP(L298, 'Alphabetical by species code'!B:C, 2, FALSE)</f>
        <v>Native</v>
      </c>
    </row>
    <row r="299" spans="1:13" x14ac:dyDescent="0.25">
      <c r="A299" s="6">
        <v>3</v>
      </c>
      <c r="B299" s="6">
        <v>2025</v>
      </c>
      <c r="C299" s="7">
        <v>45755</v>
      </c>
      <c r="D299" s="6" t="s">
        <v>54</v>
      </c>
      <c r="E299" s="6" t="s">
        <v>26</v>
      </c>
      <c r="F299" s="6">
        <v>3</v>
      </c>
      <c r="G299" s="6" t="s">
        <v>46</v>
      </c>
      <c r="H299" s="6">
        <v>2</v>
      </c>
      <c r="I299" s="6">
        <v>12</v>
      </c>
      <c r="J299" s="6">
        <v>6</v>
      </c>
      <c r="K299" s="6" t="s">
        <v>35</v>
      </c>
      <c r="L299" s="6" t="str">
        <f>VLOOKUP(K299, 'Alphabetical by species code'!A:B, 2, FALSE)</f>
        <v>Deinandra fasciculata</v>
      </c>
      <c r="M299" s="6" t="str">
        <f>VLOOKUP(L299, 'Alphabetical by species code'!B:C, 2, FALSE)</f>
        <v>Native</v>
      </c>
    </row>
    <row r="300" spans="1:13" x14ac:dyDescent="0.25">
      <c r="A300" s="6">
        <v>3</v>
      </c>
      <c r="B300" s="6">
        <v>2025</v>
      </c>
      <c r="C300" s="7">
        <v>45755</v>
      </c>
      <c r="D300" s="6" t="s">
        <v>54</v>
      </c>
      <c r="E300" s="6" t="s">
        <v>26</v>
      </c>
      <c r="F300" s="6">
        <v>3</v>
      </c>
      <c r="G300" s="6" t="s">
        <v>46</v>
      </c>
      <c r="H300" s="6">
        <v>2</v>
      </c>
      <c r="I300" s="6">
        <v>12</v>
      </c>
      <c r="J300" s="6">
        <v>6</v>
      </c>
      <c r="K300" s="6" t="s">
        <v>31</v>
      </c>
      <c r="L300" s="6" t="str">
        <f>VLOOKUP(K300, 'Alphabetical by species code'!A:B, 2, FALSE)</f>
        <v>Festuca myuros</v>
      </c>
      <c r="M300" s="6" t="str">
        <f>VLOOKUP(L300, 'Alphabetical by species code'!B:C, 2, FALSE)</f>
        <v>Non-Native</v>
      </c>
    </row>
    <row r="301" spans="1:13" x14ac:dyDescent="0.25">
      <c r="A301" s="6">
        <v>3</v>
      </c>
      <c r="B301" s="6">
        <v>2025</v>
      </c>
      <c r="C301" s="7">
        <v>45755</v>
      </c>
      <c r="D301" s="6" t="s">
        <v>54</v>
      </c>
      <c r="E301" s="6" t="s">
        <v>26</v>
      </c>
      <c r="F301" s="6">
        <v>3</v>
      </c>
      <c r="G301" s="6" t="s">
        <v>46</v>
      </c>
      <c r="H301" s="6">
        <v>2</v>
      </c>
      <c r="I301" s="6">
        <v>13</v>
      </c>
      <c r="J301" s="6">
        <v>6.5</v>
      </c>
      <c r="K301" s="6" t="s">
        <v>51</v>
      </c>
      <c r="L301" s="6" t="str">
        <f>VLOOKUP(K301, 'Alphabetical by species code'!A:B, 2, FALSE)</f>
        <v>Bareground</v>
      </c>
      <c r="M301" s="6" t="str">
        <f>VLOOKUP(L301, 'Alphabetical by species code'!B:C, 2, FALSE)</f>
        <v>Ground Cover</v>
      </c>
    </row>
    <row r="302" spans="1:13" x14ac:dyDescent="0.25">
      <c r="A302" s="6">
        <v>3</v>
      </c>
      <c r="B302" s="6">
        <v>2025</v>
      </c>
      <c r="C302" s="7">
        <v>45755</v>
      </c>
      <c r="D302" s="6" t="s">
        <v>54</v>
      </c>
      <c r="E302" s="6" t="s">
        <v>26</v>
      </c>
      <c r="F302" s="6">
        <v>3</v>
      </c>
      <c r="G302" s="6" t="s">
        <v>46</v>
      </c>
      <c r="H302" s="6">
        <v>2</v>
      </c>
      <c r="I302" s="6">
        <v>13</v>
      </c>
      <c r="J302" s="6">
        <v>6.5</v>
      </c>
      <c r="K302" s="6" t="s">
        <v>31</v>
      </c>
      <c r="L302" s="6" t="str">
        <f>VLOOKUP(K302, 'Alphabetical by species code'!A:B, 2, FALSE)</f>
        <v>Festuca myuros</v>
      </c>
      <c r="M302" s="6" t="str">
        <f>VLOOKUP(L302, 'Alphabetical by species code'!B:C, 2, FALSE)</f>
        <v>Non-Native</v>
      </c>
    </row>
    <row r="303" spans="1:13" x14ac:dyDescent="0.25">
      <c r="A303" s="6">
        <v>3</v>
      </c>
      <c r="B303" s="6">
        <v>2025</v>
      </c>
      <c r="C303" s="7">
        <v>45755</v>
      </c>
      <c r="D303" s="6" t="s">
        <v>54</v>
      </c>
      <c r="E303" s="6" t="s">
        <v>26</v>
      </c>
      <c r="F303" s="6">
        <v>3</v>
      </c>
      <c r="G303" s="6" t="s">
        <v>46</v>
      </c>
      <c r="H303" s="6">
        <v>2</v>
      </c>
      <c r="I303" s="6">
        <v>14</v>
      </c>
      <c r="J303" s="6">
        <v>7</v>
      </c>
      <c r="K303" s="6" t="s">
        <v>41</v>
      </c>
      <c r="L303" s="6" t="str">
        <f>VLOOKUP(K303, 'Alphabetical by species code'!A:B, 2, FALSE)</f>
        <v>Stem</v>
      </c>
      <c r="M303" s="6" t="str">
        <f>VLOOKUP(L303, 'Alphabetical by species code'!B:C, 2, FALSE)</f>
        <v>Ground Cover</v>
      </c>
    </row>
    <row r="304" spans="1:13" x14ac:dyDescent="0.25">
      <c r="A304" s="6">
        <v>3</v>
      </c>
      <c r="B304" s="6">
        <v>2025</v>
      </c>
      <c r="C304" s="7">
        <v>45755</v>
      </c>
      <c r="D304" s="6" t="s">
        <v>54</v>
      </c>
      <c r="E304" s="6" t="s">
        <v>26</v>
      </c>
      <c r="F304" s="6">
        <v>3</v>
      </c>
      <c r="G304" s="6" t="s">
        <v>46</v>
      </c>
      <c r="H304" s="6">
        <v>2</v>
      </c>
      <c r="I304" s="6">
        <v>14</v>
      </c>
      <c r="J304" s="6">
        <v>7</v>
      </c>
      <c r="K304" s="6" t="s">
        <v>29</v>
      </c>
      <c r="L304" s="6" t="str">
        <f>VLOOKUP(K304, 'Alphabetical by species code'!A:B, 2, FALSE)</f>
        <v>Opuntia littoralis</v>
      </c>
      <c r="M304" s="6" t="str">
        <f>VLOOKUP(L304, 'Alphabetical by species code'!B:C, 2, FALSE)</f>
        <v>Native</v>
      </c>
    </row>
    <row r="305" spans="1:13" x14ac:dyDescent="0.25">
      <c r="A305" s="6">
        <v>3</v>
      </c>
      <c r="B305" s="6">
        <v>2025</v>
      </c>
      <c r="C305" s="7">
        <v>45755</v>
      </c>
      <c r="D305" s="6" t="s">
        <v>54</v>
      </c>
      <c r="E305" s="6" t="s">
        <v>26</v>
      </c>
      <c r="F305" s="6">
        <v>3</v>
      </c>
      <c r="G305" s="6" t="s">
        <v>46</v>
      </c>
      <c r="H305" s="6">
        <v>2</v>
      </c>
      <c r="I305" s="6">
        <v>15</v>
      </c>
      <c r="J305" s="6">
        <v>7.5</v>
      </c>
      <c r="K305" s="6" t="s">
        <v>60</v>
      </c>
      <c r="L305" s="6" t="str">
        <f>VLOOKUP(K305, 'Alphabetical by species code'!A:B, 2, FALSE)</f>
        <v>Moss</v>
      </c>
      <c r="M305" s="6" t="str">
        <f>VLOOKUP(L305, 'Alphabetical by species code'!B:C, 2, FALSE)</f>
        <v>Ground Cover</v>
      </c>
    </row>
    <row r="306" spans="1:13" x14ac:dyDescent="0.25">
      <c r="A306" s="6">
        <v>3</v>
      </c>
      <c r="B306" s="6">
        <v>2025</v>
      </c>
      <c r="C306" s="7">
        <v>45755</v>
      </c>
      <c r="D306" s="6" t="s">
        <v>54</v>
      </c>
      <c r="E306" s="6" t="s">
        <v>26</v>
      </c>
      <c r="F306" s="6">
        <v>3</v>
      </c>
      <c r="G306" s="6" t="s">
        <v>46</v>
      </c>
      <c r="H306" s="6">
        <v>2</v>
      </c>
      <c r="I306" s="6">
        <v>15</v>
      </c>
      <c r="J306" s="6">
        <v>7.5</v>
      </c>
      <c r="K306" s="6" t="s">
        <v>50</v>
      </c>
      <c r="L306" s="6" t="str">
        <f>VLOOKUP(K306, 'Alphabetical by species code'!A:B, 2, FALSE)</f>
        <v>Crypantha maritima</v>
      </c>
      <c r="M306" s="6" t="str">
        <f>VLOOKUP(L306, 'Alphabetical by species code'!B:C, 2, FALSE)</f>
        <v>Native</v>
      </c>
    </row>
    <row r="307" spans="1:13" x14ac:dyDescent="0.25">
      <c r="A307" s="6">
        <v>3</v>
      </c>
      <c r="B307" s="6">
        <v>2025</v>
      </c>
      <c r="C307" s="7">
        <v>45755</v>
      </c>
      <c r="D307" s="6" t="s">
        <v>54</v>
      </c>
      <c r="E307" s="6" t="s">
        <v>26</v>
      </c>
      <c r="F307" s="6">
        <v>3</v>
      </c>
      <c r="G307" s="6" t="s">
        <v>46</v>
      </c>
      <c r="H307" s="6">
        <v>2</v>
      </c>
      <c r="I307" s="6">
        <v>15</v>
      </c>
      <c r="J307" s="6">
        <v>7.5</v>
      </c>
      <c r="K307" s="6" t="s">
        <v>55</v>
      </c>
      <c r="L307" s="6" t="str">
        <f>VLOOKUP(K307, 'Alphabetical by species code'!A:B, 2, FALSE)</f>
        <v>Daucus pusillus</v>
      </c>
      <c r="M307" s="6" t="str">
        <f>VLOOKUP(L307, 'Alphabetical by species code'!B:C, 2, FALSE)</f>
        <v>Native</v>
      </c>
    </row>
    <row r="308" spans="1:13" x14ac:dyDescent="0.25">
      <c r="A308" s="6">
        <v>4</v>
      </c>
      <c r="B308" s="6">
        <v>2025</v>
      </c>
      <c r="C308" s="7">
        <v>45755</v>
      </c>
      <c r="D308" s="6" t="s">
        <v>54</v>
      </c>
      <c r="E308" s="6" t="s">
        <v>26</v>
      </c>
      <c r="F308" s="6">
        <v>3</v>
      </c>
      <c r="G308" s="6" t="s">
        <v>27</v>
      </c>
      <c r="H308" s="6">
        <v>1</v>
      </c>
      <c r="I308" s="6">
        <v>1</v>
      </c>
      <c r="J308" s="6">
        <v>0</v>
      </c>
      <c r="K308" s="6" t="s">
        <v>51</v>
      </c>
      <c r="L308" s="6" t="str">
        <f>VLOOKUP(K308, 'Alphabetical by species code'!A:B, 2, FALSE)</f>
        <v>Bareground</v>
      </c>
      <c r="M308" s="6" t="str">
        <f>VLOOKUP(L308, 'Alphabetical by species code'!B:C, 2, FALSE)</f>
        <v>Ground Cover</v>
      </c>
    </row>
    <row r="309" spans="1:13" x14ac:dyDescent="0.25">
      <c r="A309" s="6">
        <v>4</v>
      </c>
      <c r="B309" s="6">
        <v>2025</v>
      </c>
      <c r="C309" s="7">
        <v>45755</v>
      </c>
      <c r="D309" s="6" t="s">
        <v>54</v>
      </c>
      <c r="E309" s="6" t="s">
        <v>26</v>
      </c>
      <c r="F309" s="6">
        <v>3</v>
      </c>
      <c r="G309" s="6" t="s">
        <v>27</v>
      </c>
      <c r="H309" s="6">
        <v>1</v>
      </c>
      <c r="I309" s="6">
        <v>1</v>
      </c>
      <c r="J309" s="6">
        <v>0</v>
      </c>
      <c r="K309" s="6" t="s">
        <v>49</v>
      </c>
      <c r="L309" s="6" t="str">
        <f>VLOOKUP(K309, 'Alphabetical by species code'!A:B, 2, FALSE)</f>
        <v>Anagallis arvensis</v>
      </c>
      <c r="M309" s="6" t="str">
        <f>VLOOKUP(L309, 'Alphabetical by species code'!B:C, 2, FALSE)</f>
        <v>Non-Native</v>
      </c>
    </row>
    <row r="310" spans="1:13" x14ac:dyDescent="0.25">
      <c r="A310" s="6">
        <v>4</v>
      </c>
      <c r="B310" s="6">
        <v>2025</v>
      </c>
      <c r="C310" s="7">
        <v>45755</v>
      </c>
      <c r="D310" s="6" t="s">
        <v>54</v>
      </c>
      <c r="E310" s="6" t="s">
        <v>26</v>
      </c>
      <c r="F310" s="6">
        <v>3</v>
      </c>
      <c r="G310" s="6" t="s">
        <v>27</v>
      </c>
      <c r="H310" s="6">
        <v>1</v>
      </c>
      <c r="I310" s="6">
        <v>1</v>
      </c>
      <c r="J310" s="6">
        <v>0</v>
      </c>
      <c r="K310" s="6" t="s">
        <v>29</v>
      </c>
      <c r="L310" s="6" t="str">
        <f>VLOOKUP(K310, 'Alphabetical by species code'!A:B, 2, FALSE)</f>
        <v>Opuntia littoralis</v>
      </c>
      <c r="M310" s="6" t="str">
        <f>VLOOKUP(L310, 'Alphabetical by species code'!B:C, 2, FALSE)</f>
        <v>Native</v>
      </c>
    </row>
    <row r="311" spans="1:13" x14ac:dyDescent="0.25">
      <c r="A311" s="6">
        <v>4</v>
      </c>
      <c r="B311" s="6">
        <v>2025</v>
      </c>
      <c r="C311" s="7">
        <v>45755</v>
      </c>
      <c r="D311" s="6" t="s">
        <v>54</v>
      </c>
      <c r="E311" s="6" t="s">
        <v>26</v>
      </c>
      <c r="F311" s="6">
        <v>3</v>
      </c>
      <c r="G311" s="6" t="s">
        <v>27</v>
      </c>
      <c r="H311" s="6">
        <v>1</v>
      </c>
      <c r="I311" s="6">
        <v>1</v>
      </c>
      <c r="J311" s="6">
        <v>0</v>
      </c>
      <c r="K311" s="6" t="s">
        <v>37</v>
      </c>
      <c r="L311" s="6" t="str">
        <f>VLOOKUP(K311, 'Alphabetical by species code'!A:B, 2, FALSE)</f>
        <v>Sonchus oleraceus</v>
      </c>
      <c r="M311" s="6" t="str">
        <f>VLOOKUP(L311, 'Alphabetical by species code'!B:C, 2, FALSE)</f>
        <v>Non-Native</v>
      </c>
    </row>
    <row r="312" spans="1:13" x14ac:dyDescent="0.25">
      <c r="A312" s="6">
        <v>4</v>
      </c>
      <c r="B312" s="6">
        <v>2025</v>
      </c>
      <c r="C312" s="7">
        <v>45755</v>
      </c>
      <c r="D312" s="6" t="s">
        <v>54</v>
      </c>
      <c r="E312" s="6" t="s">
        <v>26</v>
      </c>
      <c r="F312" s="6">
        <v>3</v>
      </c>
      <c r="G312" s="6" t="s">
        <v>27</v>
      </c>
      <c r="H312" s="6">
        <v>1</v>
      </c>
      <c r="I312" s="6">
        <v>1</v>
      </c>
      <c r="J312" s="6">
        <v>0</v>
      </c>
      <c r="K312" s="6" t="s">
        <v>35</v>
      </c>
      <c r="L312" s="6" t="str">
        <f>VLOOKUP(K312, 'Alphabetical by species code'!A:B, 2, FALSE)</f>
        <v>Deinandra fasciculata</v>
      </c>
      <c r="M312" s="6" t="str">
        <f>VLOOKUP(L312, 'Alphabetical by species code'!B:C, 2, FALSE)</f>
        <v>Native</v>
      </c>
    </row>
    <row r="313" spans="1:13" x14ac:dyDescent="0.25">
      <c r="A313" s="6">
        <v>4</v>
      </c>
      <c r="B313" s="6">
        <v>2025</v>
      </c>
      <c r="C313" s="7">
        <v>45755</v>
      </c>
      <c r="D313" s="6" t="s">
        <v>54</v>
      </c>
      <c r="E313" s="6" t="s">
        <v>26</v>
      </c>
      <c r="F313" s="6">
        <v>3</v>
      </c>
      <c r="G313" s="6" t="s">
        <v>27</v>
      </c>
      <c r="H313" s="6">
        <v>1</v>
      </c>
      <c r="I313" s="6">
        <v>2</v>
      </c>
      <c r="J313" s="6">
        <v>0.5</v>
      </c>
      <c r="K313" s="6" t="s">
        <v>28</v>
      </c>
      <c r="L313" s="6" t="str">
        <f>VLOOKUP(K313, 'Alphabetical by species code'!A:B, 2, FALSE)</f>
        <v>Litter</v>
      </c>
      <c r="M313" s="6" t="str">
        <f>VLOOKUP(L313, 'Alphabetical by species code'!B:C, 2, FALSE)</f>
        <v>Ground Cover</v>
      </c>
    </row>
    <row r="314" spans="1:13" x14ac:dyDescent="0.25">
      <c r="A314" s="6">
        <v>4</v>
      </c>
      <c r="B314" s="6">
        <v>2025</v>
      </c>
      <c r="C314" s="7">
        <v>45755</v>
      </c>
      <c r="D314" s="6" t="s">
        <v>54</v>
      </c>
      <c r="E314" s="6" t="s">
        <v>26</v>
      </c>
      <c r="F314" s="6">
        <v>3</v>
      </c>
      <c r="G314" s="6" t="s">
        <v>27</v>
      </c>
      <c r="H314" s="6">
        <v>1</v>
      </c>
      <c r="I314" s="6">
        <v>2</v>
      </c>
      <c r="J314" s="6">
        <v>0.5</v>
      </c>
      <c r="K314" s="6" t="s">
        <v>31</v>
      </c>
      <c r="L314" s="6" t="str">
        <f>VLOOKUP(K314, 'Alphabetical by species code'!A:B, 2, FALSE)</f>
        <v>Festuca myuros</v>
      </c>
      <c r="M314" s="6" t="str">
        <f>VLOOKUP(L314, 'Alphabetical by species code'!B:C, 2, FALSE)</f>
        <v>Non-Native</v>
      </c>
    </row>
    <row r="315" spans="1:13" x14ac:dyDescent="0.25">
      <c r="A315" s="6">
        <v>4</v>
      </c>
      <c r="B315" s="6">
        <v>2025</v>
      </c>
      <c r="C315" s="7">
        <v>45755</v>
      </c>
      <c r="D315" s="6" t="s">
        <v>54</v>
      </c>
      <c r="E315" s="6" t="s">
        <v>26</v>
      </c>
      <c r="F315" s="6">
        <v>3</v>
      </c>
      <c r="G315" s="6" t="s">
        <v>27</v>
      </c>
      <c r="H315" s="6">
        <v>1</v>
      </c>
      <c r="I315" s="6">
        <v>3</v>
      </c>
      <c r="J315" s="6">
        <v>1</v>
      </c>
      <c r="K315" s="6" t="s">
        <v>28</v>
      </c>
      <c r="L315" s="6" t="str">
        <f>VLOOKUP(K315, 'Alphabetical by species code'!A:B, 2, FALSE)</f>
        <v>Litter</v>
      </c>
      <c r="M315" s="6" t="str">
        <f>VLOOKUP(L315, 'Alphabetical by species code'!B:C, 2, FALSE)</f>
        <v>Ground Cover</v>
      </c>
    </row>
    <row r="316" spans="1:13" x14ac:dyDescent="0.25">
      <c r="A316" s="6">
        <v>4</v>
      </c>
      <c r="B316" s="6">
        <v>2025</v>
      </c>
      <c r="C316" s="7">
        <v>45755</v>
      </c>
      <c r="D316" s="6" t="s">
        <v>54</v>
      </c>
      <c r="E316" s="6" t="s">
        <v>26</v>
      </c>
      <c r="F316" s="6">
        <v>3</v>
      </c>
      <c r="G316" s="6" t="s">
        <v>27</v>
      </c>
      <c r="H316" s="6">
        <v>1</v>
      </c>
      <c r="I316" s="6">
        <v>3</v>
      </c>
      <c r="J316" s="6">
        <v>1</v>
      </c>
      <c r="K316" s="6" t="s">
        <v>31</v>
      </c>
      <c r="L316" s="6" t="str">
        <f>VLOOKUP(K316, 'Alphabetical by species code'!A:B, 2, FALSE)</f>
        <v>Festuca myuros</v>
      </c>
      <c r="M316" s="6" t="str">
        <f>VLOOKUP(L316, 'Alphabetical by species code'!B:C, 2, FALSE)</f>
        <v>Non-Native</v>
      </c>
    </row>
    <row r="317" spans="1:13" x14ac:dyDescent="0.25">
      <c r="A317" s="6">
        <v>4</v>
      </c>
      <c r="B317" s="6">
        <v>2025</v>
      </c>
      <c r="C317" s="7">
        <v>45755</v>
      </c>
      <c r="D317" s="6" t="s">
        <v>54</v>
      </c>
      <c r="E317" s="6" t="s">
        <v>26</v>
      </c>
      <c r="F317" s="6">
        <v>3</v>
      </c>
      <c r="G317" s="6" t="s">
        <v>27</v>
      </c>
      <c r="H317" s="6">
        <v>1</v>
      </c>
      <c r="I317" s="6">
        <v>3</v>
      </c>
      <c r="J317" s="6">
        <v>1</v>
      </c>
      <c r="K317" s="6" t="s">
        <v>36</v>
      </c>
      <c r="L317" s="6" t="str">
        <f>VLOOKUP(K317, 'Alphabetical by species code'!A:B, 2, FALSE)</f>
        <v>Bromus madritensis</v>
      </c>
      <c r="M317" s="6" t="str">
        <f>VLOOKUP(L317, 'Alphabetical by species code'!B:C, 2, FALSE)</f>
        <v>Non-Native</v>
      </c>
    </row>
    <row r="318" spans="1:13" x14ac:dyDescent="0.25">
      <c r="A318" s="6">
        <v>4</v>
      </c>
      <c r="B318" s="6">
        <v>2025</v>
      </c>
      <c r="C318" s="7">
        <v>45755</v>
      </c>
      <c r="D318" s="6" t="s">
        <v>54</v>
      </c>
      <c r="E318" s="6" t="s">
        <v>26</v>
      </c>
      <c r="F318" s="6">
        <v>3</v>
      </c>
      <c r="G318" s="6" t="s">
        <v>27</v>
      </c>
      <c r="H318" s="6">
        <v>1</v>
      </c>
      <c r="I318" s="6">
        <v>3</v>
      </c>
      <c r="J318" s="6">
        <v>1</v>
      </c>
      <c r="K318" s="6" t="s">
        <v>34</v>
      </c>
      <c r="L318" s="6" t="str">
        <f>VLOOKUP(K318, 'Alphabetical by species code'!A:B, 2, FALSE)</f>
        <v>Erodium cicutarium</v>
      </c>
      <c r="M318" s="6" t="str">
        <f>VLOOKUP(L318, 'Alphabetical by species code'!B:C, 2, FALSE)</f>
        <v>Non-Native</v>
      </c>
    </row>
    <row r="319" spans="1:13" x14ac:dyDescent="0.25">
      <c r="A319" s="6">
        <v>4</v>
      </c>
      <c r="B319" s="6">
        <v>2025</v>
      </c>
      <c r="C319" s="7">
        <v>45755</v>
      </c>
      <c r="D319" s="6" t="s">
        <v>54</v>
      </c>
      <c r="E319" s="6" t="s">
        <v>26</v>
      </c>
      <c r="F319" s="6">
        <v>3</v>
      </c>
      <c r="G319" s="6" t="s">
        <v>27</v>
      </c>
      <c r="H319" s="6">
        <v>1</v>
      </c>
      <c r="I319" s="6">
        <v>4</v>
      </c>
      <c r="J319" s="6">
        <v>1.5</v>
      </c>
      <c r="K319" s="6" t="s">
        <v>51</v>
      </c>
      <c r="L319" s="6" t="str">
        <f>VLOOKUP(K319, 'Alphabetical by species code'!A:B, 2, FALSE)</f>
        <v>Bareground</v>
      </c>
      <c r="M319" s="6" t="str">
        <f>VLOOKUP(L319, 'Alphabetical by species code'!B:C, 2, FALSE)</f>
        <v>Ground Cover</v>
      </c>
    </row>
    <row r="320" spans="1:13" x14ac:dyDescent="0.25">
      <c r="A320" s="6">
        <v>4</v>
      </c>
      <c r="B320" s="6">
        <v>2025</v>
      </c>
      <c r="C320" s="7">
        <v>45755</v>
      </c>
      <c r="D320" s="6" t="s">
        <v>54</v>
      </c>
      <c r="E320" s="6" t="s">
        <v>26</v>
      </c>
      <c r="F320" s="6">
        <v>3</v>
      </c>
      <c r="G320" s="6" t="s">
        <v>27</v>
      </c>
      <c r="H320" s="6">
        <v>1</v>
      </c>
      <c r="I320" s="6">
        <v>4</v>
      </c>
      <c r="J320" s="6">
        <v>1.5</v>
      </c>
      <c r="K320" s="6" t="s">
        <v>37</v>
      </c>
      <c r="L320" s="6" t="str">
        <f>VLOOKUP(K320, 'Alphabetical by species code'!A:B, 2, FALSE)</f>
        <v>Sonchus oleraceus</v>
      </c>
      <c r="M320" s="6" t="str">
        <f>VLOOKUP(L320, 'Alphabetical by species code'!B:C, 2, FALSE)</f>
        <v>Non-Native</v>
      </c>
    </row>
    <row r="321" spans="1:13" x14ac:dyDescent="0.25">
      <c r="A321" s="6">
        <v>4</v>
      </c>
      <c r="B321" s="6">
        <v>2025</v>
      </c>
      <c r="C321" s="7">
        <v>45755</v>
      </c>
      <c r="D321" s="6" t="s">
        <v>54</v>
      </c>
      <c r="E321" s="6" t="s">
        <v>26</v>
      </c>
      <c r="F321" s="6">
        <v>3</v>
      </c>
      <c r="G321" s="6" t="s">
        <v>27</v>
      </c>
      <c r="H321" s="6">
        <v>1</v>
      </c>
      <c r="I321" s="6">
        <v>4</v>
      </c>
      <c r="J321" s="6">
        <v>1.5</v>
      </c>
      <c r="K321" s="6" t="s">
        <v>32</v>
      </c>
      <c r="L321" s="6" t="str">
        <f>VLOOKUP(K321, 'Alphabetical by species code'!A:B, 2, FALSE)</f>
        <v>Medicago polymorpha</v>
      </c>
      <c r="M321" s="6" t="str">
        <f>VLOOKUP(L321, 'Alphabetical by species code'!B:C, 2, FALSE)</f>
        <v>Non-Native</v>
      </c>
    </row>
    <row r="322" spans="1:13" x14ac:dyDescent="0.25">
      <c r="A322" s="6">
        <v>4</v>
      </c>
      <c r="B322" s="6">
        <v>2025</v>
      </c>
      <c r="C322" s="7">
        <v>45755</v>
      </c>
      <c r="D322" s="6" t="s">
        <v>54</v>
      </c>
      <c r="E322" s="6" t="s">
        <v>26</v>
      </c>
      <c r="F322" s="6">
        <v>3</v>
      </c>
      <c r="G322" s="6" t="s">
        <v>27</v>
      </c>
      <c r="H322" s="6">
        <v>1</v>
      </c>
      <c r="I322" s="6">
        <v>4</v>
      </c>
      <c r="J322" s="6">
        <v>1.5</v>
      </c>
      <c r="K322" s="6" t="s">
        <v>31</v>
      </c>
      <c r="L322" s="6" t="str">
        <f>VLOOKUP(K322, 'Alphabetical by species code'!A:B, 2, FALSE)</f>
        <v>Festuca myuros</v>
      </c>
      <c r="M322" s="6" t="str">
        <f>VLOOKUP(L322, 'Alphabetical by species code'!B:C, 2, FALSE)</f>
        <v>Non-Native</v>
      </c>
    </row>
    <row r="323" spans="1:13" x14ac:dyDescent="0.25">
      <c r="A323" s="6">
        <v>4</v>
      </c>
      <c r="B323" s="6">
        <v>2025</v>
      </c>
      <c r="C323" s="7">
        <v>45755</v>
      </c>
      <c r="D323" s="6" t="s">
        <v>54</v>
      </c>
      <c r="E323" s="6" t="s">
        <v>26</v>
      </c>
      <c r="F323" s="6">
        <v>3</v>
      </c>
      <c r="G323" s="6" t="s">
        <v>27</v>
      </c>
      <c r="H323" s="6">
        <v>1</v>
      </c>
      <c r="I323" s="6">
        <v>5</v>
      </c>
      <c r="J323" s="6">
        <v>2</v>
      </c>
      <c r="K323" s="6" t="s">
        <v>51</v>
      </c>
      <c r="L323" s="6" t="str">
        <f>VLOOKUP(K323, 'Alphabetical by species code'!A:B, 2, FALSE)</f>
        <v>Bareground</v>
      </c>
      <c r="M323" s="6" t="str">
        <f>VLOOKUP(L323, 'Alphabetical by species code'!B:C, 2, FALSE)</f>
        <v>Ground Cover</v>
      </c>
    </row>
    <row r="324" spans="1:13" x14ac:dyDescent="0.25">
      <c r="A324" s="6">
        <v>4</v>
      </c>
      <c r="B324" s="6">
        <v>2025</v>
      </c>
      <c r="C324" s="7">
        <v>45755</v>
      </c>
      <c r="D324" s="6" t="s">
        <v>54</v>
      </c>
      <c r="E324" s="6" t="s">
        <v>26</v>
      </c>
      <c r="F324" s="6">
        <v>3</v>
      </c>
      <c r="G324" s="6" t="s">
        <v>27</v>
      </c>
      <c r="H324" s="6">
        <v>1</v>
      </c>
      <c r="I324" s="6">
        <v>5</v>
      </c>
      <c r="J324" s="6">
        <v>2</v>
      </c>
      <c r="K324" s="6" t="s">
        <v>31</v>
      </c>
      <c r="L324" s="6" t="str">
        <f>VLOOKUP(K324, 'Alphabetical by species code'!A:B, 2, FALSE)</f>
        <v>Festuca myuros</v>
      </c>
      <c r="M324" s="6" t="str">
        <f>VLOOKUP(L324, 'Alphabetical by species code'!B:C, 2, FALSE)</f>
        <v>Non-Native</v>
      </c>
    </row>
    <row r="325" spans="1:13" x14ac:dyDescent="0.25">
      <c r="A325" s="6">
        <v>4</v>
      </c>
      <c r="B325" s="6">
        <v>2025</v>
      </c>
      <c r="C325" s="7">
        <v>45755</v>
      </c>
      <c r="D325" s="6" t="s">
        <v>54</v>
      </c>
      <c r="E325" s="6" t="s">
        <v>26</v>
      </c>
      <c r="F325" s="6">
        <v>3</v>
      </c>
      <c r="G325" s="6" t="s">
        <v>27</v>
      </c>
      <c r="H325" s="6">
        <v>1</v>
      </c>
      <c r="I325" s="6">
        <v>5</v>
      </c>
      <c r="J325" s="6">
        <v>2</v>
      </c>
      <c r="K325" s="6" t="s">
        <v>37</v>
      </c>
      <c r="L325" s="6" t="str">
        <f>VLOOKUP(K325, 'Alphabetical by species code'!A:B, 2, FALSE)</f>
        <v>Sonchus oleraceus</v>
      </c>
      <c r="M325" s="6" t="str">
        <f>VLOOKUP(L325, 'Alphabetical by species code'!B:C, 2, FALSE)</f>
        <v>Non-Native</v>
      </c>
    </row>
    <row r="326" spans="1:13" x14ac:dyDescent="0.25">
      <c r="A326" s="6">
        <v>4</v>
      </c>
      <c r="B326" s="6">
        <v>2025</v>
      </c>
      <c r="C326" s="7">
        <v>45755</v>
      </c>
      <c r="D326" s="6" t="s">
        <v>54</v>
      </c>
      <c r="E326" s="6" t="s">
        <v>26</v>
      </c>
      <c r="F326" s="6">
        <v>3</v>
      </c>
      <c r="G326" s="6" t="s">
        <v>27</v>
      </c>
      <c r="H326" s="6">
        <v>1</v>
      </c>
      <c r="I326" s="6">
        <v>6</v>
      </c>
      <c r="J326" s="6">
        <v>2.5</v>
      </c>
      <c r="K326" s="6" t="s">
        <v>41</v>
      </c>
      <c r="L326" s="6" t="str">
        <f>VLOOKUP(K326, 'Alphabetical by species code'!A:B, 2, FALSE)</f>
        <v>Stem</v>
      </c>
      <c r="M326" s="6" t="str">
        <f>VLOOKUP(L326, 'Alphabetical by species code'!B:C, 2, FALSE)</f>
        <v>Ground Cover</v>
      </c>
    </row>
    <row r="327" spans="1:13" x14ac:dyDescent="0.25">
      <c r="A327" s="6">
        <v>4</v>
      </c>
      <c r="B327" s="6">
        <v>2025</v>
      </c>
      <c r="C327" s="7">
        <v>45755</v>
      </c>
      <c r="D327" s="6" t="s">
        <v>54</v>
      </c>
      <c r="E327" s="6" t="s">
        <v>26</v>
      </c>
      <c r="F327" s="6">
        <v>3</v>
      </c>
      <c r="G327" s="6" t="s">
        <v>27</v>
      </c>
      <c r="H327" s="6">
        <v>1</v>
      </c>
      <c r="I327" s="6">
        <v>6</v>
      </c>
      <c r="J327" s="6">
        <v>2.5</v>
      </c>
      <c r="K327" s="6" t="s">
        <v>29</v>
      </c>
      <c r="L327" s="6" t="str">
        <f>VLOOKUP(K327, 'Alphabetical by species code'!A:B, 2, FALSE)</f>
        <v>Opuntia littoralis</v>
      </c>
      <c r="M327" s="6" t="str">
        <f>VLOOKUP(L327, 'Alphabetical by species code'!B:C, 2, FALSE)</f>
        <v>Native</v>
      </c>
    </row>
    <row r="328" spans="1:13" x14ac:dyDescent="0.25">
      <c r="A328" s="6">
        <v>4</v>
      </c>
      <c r="B328" s="6">
        <v>2025</v>
      </c>
      <c r="C328" s="7">
        <v>45755</v>
      </c>
      <c r="D328" s="6" t="s">
        <v>54</v>
      </c>
      <c r="E328" s="6" t="s">
        <v>26</v>
      </c>
      <c r="F328" s="6">
        <v>3</v>
      </c>
      <c r="G328" s="6" t="s">
        <v>27</v>
      </c>
      <c r="H328" s="6">
        <v>1</v>
      </c>
      <c r="I328" s="6">
        <v>7</v>
      </c>
      <c r="J328" s="6">
        <v>3</v>
      </c>
      <c r="K328" s="6" t="s">
        <v>51</v>
      </c>
      <c r="L328" s="6" t="str">
        <f>VLOOKUP(K328, 'Alphabetical by species code'!A:B, 2, FALSE)</f>
        <v>Bareground</v>
      </c>
      <c r="M328" s="6" t="str">
        <f>VLOOKUP(L328, 'Alphabetical by species code'!B:C, 2, FALSE)</f>
        <v>Ground Cover</v>
      </c>
    </row>
    <row r="329" spans="1:13" x14ac:dyDescent="0.25">
      <c r="A329" s="6">
        <v>4</v>
      </c>
      <c r="B329" s="6">
        <v>2025</v>
      </c>
      <c r="C329" s="7">
        <v>45755</v>
      </c>
      <c r="D329" s="6" t="s">
        <v>54</v>
      </c>
      <c r="E329" s="6" t="s">
        <v>26</v>
      </c>
      <c r="F329" s="6">
        <v>3</v>
      </c>
      <c r="G329" s="6" t="s">
        <v>27</v>
      </c>
      <c r="H329" s="6">
        <v>1</v>
      </c>
      <c r="I329" s="6">
        <v>7</v>
      </c>
      <c r="J329" s="6">
        <v>3</v>
      </c>
      <c r="K329" s="6" t="s">
        <v>31</v>
      </c>
      <c r="L329" s="6" t="str">
        <f>VLOOKUP(K329, 'Alphabetical by species code'!A:B, 2, FALSE)</f>
        <v>Festuca myuros</v>
      </c>
      <c r="M329" s="6" t="str">
        <f>VLOOKUP(L329, 'Alphabetical by species code'!B:C, 2, FALSE)</f>
        <v>Non-Native</v>
      </c>
    </row>
    <row r="330" spans="1:13" x14ac:dyDescent="0.25">
      <c r="A330" s="6">
        <v>4</v>
      </c>
      <c r="B330" s="6">
        <v>2025</v>
      </c>
      <c r="C330" s="7">
        <v>45755</v>
      </c>
      <c r="D330" s="6" t="s">
        <v>54</v>
      </c>
      <c r="E330" s="6" t="s">
        <v>26</v>
      </c>
      <c r="F330" s="6">
        <v>3</v>
      </c>
      <c r="G330" s="6" t="s">
        <v>27</v>
      </c>
      <c r="H330" s="6">
        <v>1</v>
      </c>
      <c r="I330" s="6">
        <v>7</v>
      </c>
      <c r="J330" s="6">
        <v>3</v>
      </c>
      <c r="K330" s="6" t="s">
        <v>37</v>
      </c>
      <c r="L330" s="6" t="str">
        <f>VLOOKUP(K330, 'Alphabetical by species code'!A:B, 2, FALSE)</f>
        <v>Sonchus oleraceus</v>
      </c>
      <c r="M330" s="6" t="str">
        <f>VLOOKUP(L330, 'Alphabetical by species code'!B:C, 2, FALSE)</f>
        <v>Non-Native</v>
      </c>
    </row>
    <row r="331" spans="1:13" x14ac:dyDescent="0.25">
      <c r="A331" s="6">
        <v>4</v>
      </c>
      <c r="B331" s="6">
        <v>2025</v>
      </c>
      <c r="C331" s="7">
        <v>45755</v>
      </c>
      <c r="D331" s="6" t="s">
        <v>54</v>
      </c>
      <c r="E331" s="6" t="s">
        <v>26</v>
      </c>
      <c r="F331" s="6">
        <v>3</v>
      </c>
      <c r="G331" s="6" t="s">
        <v>27</v>
      </c>
      <c r="H331" s="6">
        <v>1</v>
      </c>
      <c r="I331" s="6">
        <v>8</v>
      </c>
      <c r="J331" s="6">
        <v>3.5</v>
      </c>
      <c r="K331" s="6" t="s">
        <v>28</v>
      </c>
      <c r="L331" s="6" t="str">
        <f>VLOOKUP(K331, 'Alphabetical by species code'!A:B, 2, FALSE)</f>
        <v>Litter</v>
      </c>
      <c r="M331" s="6" t="str">
        <f>VLOOKUP(L331, 'Alphabetical by species code'!B:C, 2, FALSE)</f>
        <v>Ground Cover</v>
      </c>
    </row>
    <row r="332" spans="1:13" x14ac:dyDescent="0.25">
      <c r="A332" s="6">
        <v>4</v>
      </c>
      <c r="B332" s="6">
        <v>2025</v>
      </c>
      <c r="C332" s="7">
        <v>45755</v>
      </c>
      <c r="D332" s="6" t="s">
        <v>54</v>
      </c>
      <c r="E332" s="6" t="s">
        <v>26</v>
      </c>
      <c r="F332" s="6">
        <v>3</v>
      </c>
      <c r="G332" s="6" t="s">
        <v>27</v>
      </c>
      <c r="H332" s="6">
        <v>1</v>
      </c>
      <c r="I332" s="6">
        <v>8</v>
      </c>
      <c r="J332" s="6">
        <v>3.5</v>
      </c>
      <c r="K332" s="6" t="s">
        <v>31</v>
      </c>
      <c r="L332" s="6" t="str">
        <f>VLOOKUP(K332, 'Alphabetical by species code'!A:B, 2, FALSE)</f>
        <v>Festuca myuros</v>
      </c>
      <c r="M332" s="6" t="str">
        <f>VLOOKUP(L332, 'Alphabetical by species code'!B:C, 2, FALSE)</f>
        <v>Non-Native</v>
      </c>
    </row>
    <row r="333" spans="1:13" x14ac:dyDescent="0.25">
      <c r="A333" s="6">
        <v>4</v>
      </c>
      <c r="B333" s="6">
        <v>2025</v>
      </c>
      <c r="C333" s="7">
        <v>45755</v>
      </c>
      <c r="D333" s="6" t="s">
        <v>54</v>
      </c>
      <c r="E333" s="6" t="s">
        <v>26</v>
      </c>
      <c r="F333" s="6">
        <v>3</v>
      </c>
      <c r="G333" s="6" t="s">
        <v>27</v>
      </c>
      <c r="H333" s="6">
        <v>1</v>
      </c>
      <c r="I333" s="6">
        <v>8</v>
      </c>
      <c r="J333" s="6">
        <v>3.5</v>
      </c>
      <c r="K333" s="6" t="s">
        <v>35</v>
      </c>
      <c r="L333" s="6" t="str">
        <f>VLOOKUP(K333, 'Alphabetical by species code'!A:B, 2, FALSE)</f>
        <v>Deinandra fasciculata</v>
      </c>
      <c r="M333" s="6" t="str">
        <f>VLOOKUP(L333, 'Alphabetical by species code'!B:C, 2, FALSE)</f>
        <v>Native</v>
      </c>
    </row>
    <row r="334" spans="1:13" x14ac:dyDescent="0.25">
      <c r="A334" s="6">
        <v>4</v>
      </c>
      <c r="B334" s="6">
        <v>2025</v>
      </c>
      <c r="C334" s="7">
        <v>45755</v>
      </c>
      <c r="D334" s="6" t="s">
        <v>54</v>
      </c>
      <c r="E334" s="6" t="s">
        <v>26</v>
      </c>
      <c r="F334" s="6">
        <v>3</v>
      </c>
      <c r="G334" s="6" t="s">
        <v>27</v>
      </c>
      <c r="H334" s="6">
        <v>1</v>
      </c>
      <c r="I334" s="6">
        <v>8</v>
      </c>
      <c r="J334" s="6">
        <v>3.5</v>
      </c>
      <c r="K334" s="6" t="s">
        <v>32</v>
      </c>
      <c r="L334" s="6" t="str">
        <f>VLOOKUP(K334, 'Alphabetical by species code'!A:B, 2, FALSE)</f>
        <v>Medicago polymorpha</v>
      </c>
      <c r="M334" s="6" t="str">
        <f>VLOOKUP(L334, 'Alphabetical by species code'!B:C, 2, FALSE)</f>
        <v>Non-Native</v>
      </c>
    </row>
    <row r="335" spans="1:13" x14ac:dyDescent="0.25">
      <c r="A335" s="6">
        <v>4</v>
      </c>
      <c r="B335" s="6">
        <v>2025</v>
      </c>
      <c r="C335" s="7">
        <v>45755</v>
      </c>
      <c r="D335" s="6" t="s">
        <v>54</v>
      </c>
      <c r="E335" s="6" t="s">
        <v>26</v>
      </c>
      <c r="F335" s="6">
        <v>3</v>
      </c>
      <c r="G335" s="6" t="s">
        <v>27</v>
      </c>
      <c r="H335" s="6">
        <v>1</v>
      </c>
      <c r="I335" s="6">
        <v>9</v>
      </c>
      <c r="J335" s="6">
        <v>4</v>
      </c>
      <c r="K335" s="6" t="s">
        <v>28</v>
      </c>
      <c r="L335" s="6" t="str">
        <f>VLOOKUP(K335, 'Alphabetical by species code'!A:B, 2, FALSE)</f>
        <v>Litter</v>
      </c>
      <c r="M335" s="6" t="str">
        <f>VLOOKUP(L335, 'Alphabetical by species code'!B:C, 2, FALSE)</f>
        <v>Ground Cover</v>
      </c>
    </row>
    <row r="336" spans="1:13" x14ac:dyDescent="0.25">
      <c r="A336" s="6">
        <v>4</v>
      </c>
      <c r="B336" s="6">
        <v>2025</v>
      </c>
      <c r="C336" s="7">
        <v>45755</v>
      </c>
      <c r="D336" s="6" t="s">
        <v>54</v>
      </c>
      <c r="E336" s="6" t="s">
        <v>26</v>
      </c>
      <c r="F336" s="6">
        <v>3</v>
      </c>
      <c r="G336" s="6" t="s">
        <v>27</v>
      </c>
      <c r="H336" s="6">
        <v>1</v>
      </c>
      <c r="I336" s="6">
        <v>9</v>
      </c>
      <c r="J336" s="6">
        <v>4</v>
      </c>
      <c r="K336" s="6" t="s">
        <v>32</v>
      </c>
      <c r="L336" s="6" t="str">
        <f>VLOOKUP(K336, 'Alphabetical by species code'!A:B, 2, FALSE)</f>
        <v>Medicago polymorpha</v>
      </c>
      <c r="M336" s="6" t="str">
        <f>VLOOKUP(L336, 'Alphabetical by species code'!B:C, 2, FALSE)</f>
        <v>Non-Native</v>
      </c>
    </row>
    <row r="337" spans="1:13" x14ac:dyDescent="0.25">
      <c r="A337" s="6">
        <v>4</v>
      </c>
      <c r="B337" s="6">
        <v>2025</v>
      </c>
      <c r="C337" s="7">
        <v>45755</v>
      </c>
      <c r="D337" s="6" t="s">
        <v>54</v>
      </c>
      <c r="E337" s="6" t="s">
        <v>26</v>
      </c>
      <c r="F337" s="6">
        <v>3</v>
      </c>
      <c r="G337" s="6" t="s">
        <v>27</v>
      </c>
      <c r="H337" s="6">
        <v>1</v>
      </c>
      <c r="I337" s="6">
        <v>10</v>
      </c>
      <c r="J337" s="6">
        <v>4.5</v>
      </c>
      <c r="K337" s="6" t="s">
        <v>28</v>
      </c>
      <c r="L337" s="6" t="str">
        <f>VLOOKUP(K337, 'Alphabetical by species code'!A:B, 2, FALSE)</f>
        <v>Litter</v>
      </c>
      <c r="M337" s="6" t="str">
        <f>VLOOKUP(L337, 'Alphabetical by species code'!B:C, 2, FALSE)</f>
        <v>Ground Cover</v>
      </c>
    </row>
    <row r="338" spans="1:13" x14ac:dyDescent="0.25">
      <c r="A338" s="6">
        <v>4</v>
      </c>
      <c r="B338" s="6">
        <v>2025</v>
      </c>
      <c r="C338" s="7">
        <v>45755</v>
      </c>
      <c r="D338" s="6" t="s">
        <v>54</v>
      </c>
      <c r="E338" s="6" t="s">
        <v>26</v>
      </c>
      <c r="F338" s="6">
        <v>3</v>
      </c>
      <c r="G338" s="6" t="s">
        <v>27</v>
      </c>
      <c r="H338" s="6">
        <v>1</v>
      </c>
      <c r="I338" s="6">
        <v>10</v>
      </c>
      <c r="J338" s="6">
        <v>4.5</v>
      </c>
      <c r="K338" s="6" t="s">
        <v>55</v>
      </c>
      <c r="L338" s="6" t="str">
        <f>VLOOKUP(K338, 'Alphabetical by species code'!A:B, 2, FALSE)</f>
        <v>Daucus pusillus</v>
      </c>
      <c r="M338" s="6" t="str">
        <f>VLOOKUP(L338, 'Alphabetical by species code'!B:C, 2, FALSE)</f>
        <v>Native</v>
      </c>
    </row>
    <row r="339" spans="1:13" x14ac:dyDescent="0.25">
      <c r="A339" s="6">
        <v>4</v>
      </c>
      <c r="B339" s="6">
        <v>2025</v>
      </c>
      <c r="C339" s="7">
        <v>45755</v>
      </c>
      <c r="D339" s="6" t="s">
        <v>54</v>
      </c>
      <c r="E339" s="6" t="s">
        <v>26</v>
      </c>
      <c r="F339" s="6">
        <v>3</v>
      </c>
      <c r="G339" s="6" t="s">
        <v>27</v>
      </c>
      <c r="H339" s="6">
        <v>1</v>
      </c>
      <c r="I339" s="6">
        <v>10</v>
      </c>
      <c r="J339" s="6">
        <v>4.5</v>
      </c>
      <c r="K339" s="6" t="s">
        <v>35</v>
      </c>
      <c r="L339" s="6" t="str">
        <f>VLOOKUP(K339, 'Alphabetical by species code'!A:B, 2, FALSE)</f>
        <v>Deinandra fasciculata</v>
      </c>
      <c r="M339" s="6" t="str">
        <f>VLOOKUP(L339, 'Alphabetical by species code'!B:C, 2, FALSE)</f>
        <v>Native</v>
      </c>
    </row>
    <row r="340" spans="1:13" x14ac:dyDescent="0.25">
      <c r="A340" s="6">
        <v>4</v>
      </c>
      <c r="B340" s="6">
        <v>2025</v>
      </c>
      <c r="C340" s="7">
        <v>45755</v>
      </c>
      <c r="D340" s="6" t="s">
        <v>54</v>
      </c>
      <c r="E340" s="6" t="s">
        <v>26</v>
      </c>
      <c r="F340" s="6">
        <v>3</v>
      </c>
      <c r="G340" s="6" t="s">
        <v>27</v>
      </c>
      <c r="H340" s="6">
        <v>1</v>
      </c>
      <c r="I340" s="6">
        <v>10</v>
      </c>
      <c r="J340" s="6">
        <v>4.5</v>
      </c>
      <c r="K340" s="6" t="s">
        <v>31</v>
      </c>
      <c r="L340" s="6" t="str">
        <f>VLOOKUP(K340, 'Alphabetical by species code'!A:B, 2, FALSE)</f>
        <v>Festuca myuros</v>
      </c>
      <c r="M340" s="6" t="str">
        <f>VLOOKUP(L340, 'Alphabetical by species code'!B:C, 2, FALSE)</f>
        <v>Non-Native</v>
      </c>
    </row>
    <row r="341" spans="1:13" x14ac:dyDescent="0.25">
      <c r="A341" s="6">
        <v>4</v>
      </c>
      <c r="B341" s="6">
        <v>2025</v>
      </c>
      <c r="C341" s="7">
        <v>45755</v>
      </c>
      <c r="D341" s="6" t="s">
        <v>54</v>
      </c>
      <c r="E341" s="6" t="s">
        <v>26</v>
      </c>
      <c r="F341" s="6">
        <v>3</v>
      </c>
      <c r="G341" s="6" t="s">
        <v>27</v>
      </c>
      <c r="H341" s="6">
        <v>1</v>
      </c>
      <c r="I341" s="6">
        <v>11</v>
      </c>
      <c r="J341" s="6">
        <v>5</v>
      </c>
      <c r="K341" s="6" t="s">
        <v>28</v>
      </c>
      <c r="L341" s="6" t="str">
        <f>VLOOKUP(K341, 'Alphabetical by species code'!A:B, 2, FALSE)</f>
        <v>Litter</v>
      </c>
      <c r="M341" s="6" t="str">
        <f>VLOOKUP(L341, 'Alphabetical by species code'!B:C, 2, FALSE)</f>
        <v>Ground Cover</v>
      </c>
    </row>
    <row r="342" spans="1:13" x14ac:dyDescent="0.25">
      <c r="A342" s="6">
        <v>4</v>
      </c>
      <c r="B342" s="6">
        <v>2025</v>
      </c>
      <c r="C342" s="7">
        <v>45755</v>
      </c>
      <c r="D342" s="6" t="s">
        <v>54</v>
      </c>
      <c r="E342" s="6" t="s">
        <v>26</v>
      </c>
      <c r="F342" s="6">
        <v>3</v>
      </c>
      <c r="G342" s="6" t="s">
        <v>27</v>
      </c>
      <c r="H342" s="6">
        <v>1</v>
      </c>
      <c r="I342" s="6">
        <v>11</v>
      </c>
      <c r="J342" s="6">
        <v>5</v>
      </c>
      <c r="K342" s="6" t="s">
        <v>31</v>
      </c>
      <c r="L342" s="6" t="str">
        <f>VLOOKUP(K342, 'Alphabetical by species code'!A:B, 2, FALSE)</f>
        <v>Festuca myuros</v>
      </c>
      <c r="M342" s="6" t="str">
        <f>VLOOKUP(L342, 'Alphabetical by species code'!B:C, 2, FALSE)</f>
        <v>Non-Native</v>
      </c>
    </row>
    <row r="343" spans="1:13" x14ac:dyDescent="0.25">
      <c r="A343" s="6">
        <v>4</v>
      </c>
      <c r="B343" s="6">
        <v>2025</v>
      </c>
      <c r="C343" s="7">
        <v>45755</v>
      </c>
      <c r="D343" s="6" t="s">
        <v>54</v>
      </c>
      <c r="E343" s="6" t="s">
        <v>26</v>
      </c>
      <c r="F343" s="6">
        <v>3</v>
      </c>
      <c r="G343" s="6" t="s">
        <v>27</v>
      </c>
      <c r="H343" s="6">
        <v>1</v>
      </c>
      <c r="I343" s="6">
        <v>11</v>
      </c>
      <c r="J343" s="6">
        <v>5</v>
      </c>
      <c r="K343" s="6" t="s">
        <v>37</v>
      </c>
      <c r="L343" s="6" t="str">
        <f>VLOOKUP(K343, 'Alphabetical by species code'!A:B, 2, FALSE)</f>
        <v>Sonchus oleraceus</v>
      </c>
      <c r="M343" s="6" t="str">
        <f>VLOOKUP(L343, 'Alphabetical by species code'!B:C, 2, FALSE)</f>
        <v>Non-Native</v>
      </c>
    </row>
    <row r="344" spans="1:13" x14ac:dyDescent="0.25">
      <c r="A344" s="6">
        <v>4</v>
      </c>
      <c r="B344" s="6">
        <v>2025</v>
      </c>
      <c r="C344" s="7">
        <v>45755</v>
      </c>
      <c r="D344" s="6" t="s">
        <v>54</v>
      </c>
      <c r="E344" s="6" t="s">
        <v>26</v>
      </c>
      <c r="F344" s="6">
        <v>3</v>
      </c>
      <c r="G344" s="6" t="s">
        <v>27</v>
      </c>
      <c r="H344" s="6">
        <v>1</v>
      </c>
      <c r="I344" s="6">
        <v>11</v>
      </c>
      <c r="J344" s="6">
        <v>5</v>
      </c>
      <c r="K344" s="6" t="s">
        <v>39</v>
      </c>
      <c r="L344" s="6" t="str">
        <f>VLOOKUP(K344, 'Alphabetical by species code'!A:B, 2, FALSE)</f>
        <v>Stephanomeria diegensis</v>
      </c>
      <c r="M344" s="6" t="str">
        <f>VLOOKUP(L344, 'Alphabetical by species code'!B:C, 2, FALSE)</f>
        <v>Native</v>
      </c>
    </row>
    <row r="345" spans="1:13" x14ac:dyDescent="0.25">
      <c r="A345" s="6">
        <v>4</v>
      </c>
      <c r="B345" s="6">
        <v>2025</v>
      </c>
      <c r="C345" s="7">
        <v>45755</v>
      </c>
      <c r="D345" s="6" t="s">
        <v>54</v>
      </c>
      <c r="E345" s="6" t="s">
        <v>26</v>
      </c>
      <c r="F345" s="6">
        <v>3</v>
      </c>
      <c r="G345" s="6" t="s">
        <v>27</v>
      </c>
      <c r="H345" s="6">
        <v>1</v>
      </c>
      <c r="I345" s="6">
        <v>12</v>
      </c>
      <c r="J345" s="6">
        <v>5.5</v>
      </c>
      <c r="K345" s="6" t="s">
        <v>38</v>
      </c>
      <c r="L345" s="6" t="str">
        <f>VLOOKUP(K345, 'Alphabetical by species code'!A:B, 2, FALSE)</f>
        <v>Thatch</v>
      </c>
      <c r="M345" s="6" t="str">
        <f>VLOOKUP(L345, 'Alphabetical by species code'!B:C, 2, FALSE)</f>
        <v>Ground Cover</v>
      </c>
    </row>
    <row r="346" spans="1:13" x14ac:dyDescent="0.25">
      <c r="A346" s="6">
        <v>4</v>
      </c>
      <c r="B346" s="6">
        <v>2025</v>
      </c>
      <c r="C346" s="7">
        <v>45755</v>
      </c>
      <c r="D346" s="6" t="s">
        <v>54</v>
      </c>
      <c r="E346" s="6" t="s">
        <v>26</v>
      </c>
      <c r="F346" s="6">
        <v>3</v>
      </c>
      <c r="G346" s="6" t="s">
        <v>27</v>
      </c>
      <c r="H346" s="6">
        <v>1</v>
      </c>
      <c r="I346" s="6">
        <v>13</v>
      </c>
      <c r="J346" s="6">
        <v>6.5</v>
      </c>
      <c r="K346" s="6" t="s">
        <v>38</v>
      </c>
      <c r="L346" s="6" t="str">
        <f>VLOOKUP(K346, 'Alphabetical by species code'!A:B, 2, FALSE)</f>
        <v>Thatch</v>
      </c>
      <c r="M346" s="6" t="str">
        <f>VLOOKUP(L346, 'Alphabetical by species code'!B:C, 2, FALSE)</f>
        <v>Ground Cover</v>
      </c>
    </row>
    <row r="347" spans="1:13" x14ac:dyDescent="0.25">
      <c r="A347" s="6">
        <v>4</v>
      </c>
      <c r="B347" s="6">
        <v>2025</v>
      </c>
      <c r="C347" s="7">
        <v>45755</v>
      </c>
      <c r="D347" s="6" t="s">
        <v>54</v>
      </c>
      <c r="E347" s="6" t="s">
        <v>26</v>
      </c>
      <c r="F347" s="6">
        <v>3</v>
      </c>
      <c r="G347" s="6" t="s">
        <v>27</v>
      </c>
      <c r="H347" s="6">
        <v>1</v>
      </c>
      <c r="I347" s="6">
        <v>13</v>
      </c>
      <c r="J347" s="6">
        <v>6.5</v>
      </c>
      <c r="K347" s="6" t="s">
        <v>43</v>
      </c>
      <c r="L347" s="6" t="str">
        <f>VLOOKUP(K347, 'Alphabetical by species code'!A:B, 2, FALSE)</f>
        <v>Uropappus lindleyi</v>
      </c>
      <c r="M347" s="6" t="str">
        <f>VLOOKUP(L347, 'Alphabetical by species code'!B:C, 2, FALSE)</f>
        <v>Native</v>
      </c>
    </row>
    <row r="348" spans="1:13" x14ac:dyDescent="0.25">
      <c r="A348" s="6">
        <v>4</v>
      </c>
      <c r="B348" s="6">
        <v>2025</v>
      </c>
      <c r="C348" s="7">
        <v>45755</v>
      </c>
      <c r="D348" s="6" t="s">
        <v>54</v>
      </c>
      <c r="E348" s="6" t="s">
        <v>26</v>
      </c>
      <c r="F348" s="6">
        <v>3</v>
      </c>
      <c r="G348" s="6" t="s">
        <v>27</v>
      </c>
      <c r="H348" s="6">
        <v>1</v>
      </c>
      <c r="I348" s="6">
        <v>14</v>
      </c>
      <c r="J348" s="6">
        <v>7</v>
      </c>
      <c r="K348" s="6" t="s">
        <v>28</v>
      </c>
      <c r="L348" s="6" t="str">
        <f>VLOOKUP(K348, 'Alphabetical by species code'!A:B, 2, FALSE)</f>
        <v>Litter</v>
      </c>
      <c r="M348" s="6" t="str">
        <f>VLOOKUP(L348, 'Alphabetical by species code'!B:C, 2, FALSE)</f>
        <v>Ground Cover</v>
      </c>
    </row>
    <row r="349" spans="1:13" x14ac:dyDescent="0.25">
      <c r="A349" s="6">
        <v>4</v>
      </c>
      <c r="B349" s="6">
        <v>2025</v>
      </c>
      <c r="C349" s="7">
        <v>45755</v>
      </c>
      <c r="D349" s="6" t="s">
        <v>54</v>
      </c>
      <c r="E349" s="6" t="s">
        <v>26</v>
      </c>
      <c r="F349" s="6">
        <v>3</v>
      </c>
      <c r="G349" s="6" t="s">
        <v>27</v>
      </c>
      <c r="H349" s="6">
        <v>1</v>
      </c>
      <c r="I349" s="6">
        <v>14</v>
      </c>
      <c r="J349" s="6">
        <v>7</v>
      </c>
      <c r="K349" s="6" t="s">
        <v>32</v>
      </c>
      <c r="L349" s="6" t="str">
        <f>VLOOKUP(K349, 'Alphabetical by species code'!A:B, 2, FALSE)</f>
        <v>Medicago polymorpha</v>
      </c>
      <c r="M349" s="6" t="str">
        <f>VLOOKUP(L349, 'Alphabetical by species code'!B:C, 2, FALSE)</f>
        <v>Non-Native</v>
      </c>
    </row>
    <row r="350" spans="1:13" x14ac:dyDescent="0.25">
      <c r="A350" s="6">
        <v>4</v>
      </c>
      <c r="B350" s="6">
        <v>2025</v>
      </c>
      <c r="C350" s="7">
        <v>45755</v>
      </c>
      <c r="D350" s="6" t="s">
        <v>54</v>
      </c>
      <c r="E350" s="6" t="s">
        <v>26</v>
      </c>
      <c r="F350" s="6">
        <v>3</v>
      </c>
      <c r="G350" s="6" t="s">
        <v>27</v>
      </c>
      <c r="H350" s="6">
        <v>1</v>
      </c>
      <c r="I350" s="6">
        <v>14</v>
      </c>
      <c r="J350" s="6">
        <v>7</v>
      </c>
      <c r="K350" s="6" t="s">
        <v>42</v>
      </c>
      <c r="L350" s="6" t="str">
        <f>VLOOKUP(K350, 'Alphabetical by species code'!A:B, 2, FALSE)</f>
        <v>Centaurea melitensis</v>
      </c>
      <c r="M350" s="6" t="str">
        <f>VLOOKUP(L350, 'Alphabetical by species code'!B:C, 2, FALSE)</f>
        <v>Non-Native</v>
      </c>
    </row>
    <row r="351" spans="1:13" x14ac:dyDescent="0.25">
      <c r="A351" s="6">
        <v>4</v>
      </c>
      <c r="B351" s="6">
        <v>2025</v>
      </c>
      <c r="C351" s="7">
        <v>45755</v>
      </c>
      <c r="D351" s="6" t="s">
        <v>54</v>
      </c>
      <c r="E351" s="6" t="s">
        <v>26</v>
      </c>
      <c r="F351" s="6">
        <v>3</v>
      </c>
      <c r="G351" s="6" t="s">
        <v>27</v>
      </c>
      <c r="H351" s="6">
        <v>1</v>
      </c>
      <c r="I351" s="6">
        <v>14</v>
      </c>
      <c r="J351" s="6">
        <v>7</v>
      </c>
      <c r="K351" s="6" t="s">
        <v>31</v>
      </c>
      <c r="L351" s="6" t="str">
        <f>VLOOKUP(K351, 'Alphabetical by species code'!A:B, 2, FALSE)</f>
        <v>Festuca myuros</v>
      </c>
      <c r="M351" s="6" t="str">
        <f>VLOOKUP(L351, 'Alphabetical by species code'!B:C, 2, FALSE)</f>
        <v>Non-Native</v>
      </c>
    </row>
    <row r="352" spans="1:13" x14ac:dyDescent="0.25">
      <c r="A352" s="6">
        <v>4</v>
      </c>
      <c r="B352" s="6">
        <v>2025</v>
      </c>
      <c r="C352" s="7">
        <v>45755</v>
      </c>
      <c r="D352" s="6" t="s">
        <v>54</v>
      </c>
      <c r="E352" s="6" t="s">
        <v>26</v>
      </c>
      <c r="F352" s="6">
        <v>3</v>
      </c>
      <c r="G352" s="6" t="s">
        <v>27</v>
      </c>
      <c r="H352" s="6">
        <v>1</v>
      </c>
      <c r="I352" s="6">
        <v>15</v>
      </c>
      <c r="J352" s="6">
        <v>7.5</v>
      </c>
      <c r="K352" s="6" t="s">
        <v>41</v>
      </c>
      <c r="L352" s="6" t="str">
        <f>VLOOKUP(K352, 'Alphabetical by species code'!A:B, 2, FALSE)</f>
        <v>Stem</v>
      </c>
      <c r="M352" s="6" t="str">
        <f>VLOOKUP(L352, 'Alphabetical by species code'!B:C, 2, FALSE)</f>
        <v>Ground Cover</v>
      </c>
    </row>
    <row r="353" spans="1:13" x14ac:dyDescent="0.25">
      <c r="A353" s="6">
        <v>4</v>
      </c>
      <c r="B353" s="6">
        <v>2025</v>
      </c>
      <c r="C353" s="7">
        <v>45755</v>
      </c>
      <c r="D353" s="6" t="s">
        <v>54</v>
      </c>
      <c r="E353" s="6" t="s">
        <v>26</v>
      </c>
      <c r="F353" s="6">
        <v>3</v>
      </c>
      <c r="G353" s="6" t="s">
        <v>27</v>
      </c>
      <c r="H353" s="6">
        <v>1</v>
      </c>
      <c r="I353" s="6">
        <v>15</v>
      </c>
      <c r="J353" s="6">
        <v>7.5</v>
      </c>
      <c r="K353" s="6" t="s">
        <v>29</v>
      </c>
      <c r="L353" s="6" t="str">
        <f>VLOOKUP(K353, 'Alphabetical by species code'!A:B, 2, FALSE)</f>
        <v>Opuntia littoralis</v>
      </c>
      <c r="M353" s="6" t="str">
        <f>VLOOKUP(L353, 'Alphabetical by species code'!B:C, 2, FALSE)</f>
        <v>Native</v>
      </c>
    </row>
    <row r="354" spans="1:13" x14ac:dyDescent="0.25">
      <c r="A354" s="6">
        <v>4</v>
      </c>
      <c r="B354" s="6">
        <v>2025</v>
      </c>
      <c r="C354" s="7">
        <v>45755</v>
      </c>
      <c r="D354" s="6" t="s">
        <v>54</v>
      </c>
      <c r="E354" s="6" t="s">
        <v>26</v>
      </c>
      <c r="F354" s="6">
        <v>3</v>
      </c>
      <c r="G354" s="6" t="s">
        <v>27</v>
      </c>
      <c r="H354" s="6">
        <v>2</v>
      </c>
      <c r="I354" s="6">
        <v>1</v>
      </c>
      <c r="J354" s="6">
        <v>0</v>
      </c>
      <c r="K354" s="6" t="s">
        <v>28</v>
      </c>
      <c r="L354" s="6" t="str">
        <f>VLOOKUP(K354, 'Alphabetical by species code'!A:B, 2, FALSE)</f>
        <v>Litter</v>
      </c>
      <c r="M354" s="6" t="str">
        <f>VLOOKUP(L354, 'Alphabetical by species code'!B:C, 2, FALSE)</f>
        <v>Ground Cover</v>
      </c>
    </row>
    <row r="355" spans="1:13" x14ac:dyDescent="0.25">
      <c r="A355" s="6">
        <v>4</v>
      </c>
      <c r="B355" s="6">
        <v>2025</v>
      </c>
      <c r="C355" s="7">
        <v>45755</v>
      </c>
      <c r="D355" s="6" t="s">
        <v>54</v>
      </c>
      <c r="E355" s="6" t="s">
        <v>26</v>
      </c>
      <c r="F355" s="6">
        <v>3</v>
      </c>
      <c r="G355" s="6" t="s">
        <v>27</v>
      </c>
      <c r="H355" s="6">
        <v>2</v>
      </c>
      <c r="I355" s="6">
        <v>1</v>
      </c>
      <c r="J355" s="6">
        <v>0</v>
      </c>
      <c r="K355" s="6" t="s">
        <v>48</v>
      </c>
      <c r="L355" s="6" t="str">
        <f>VLOOKUP(K355, 'Alphabetical by species code'!A:B, 2, FALSE)</f>
        <v>Sonchus asper</v>
      </c>
      <c r="M355" s="6" t="str">
        <f>VLOOKUP(L355, 'Alphabetical by species code'!B:C, 2, FALSE)</f>
        <v>Non-Native</v>
      </c>
    </row>
    <row r="356" spans="1:13" x14ac:dyDescent="0.25">
      <c r="A356" s="6">
        <v>4</v>
      </c>
      <c r="B356" s="6">
        <v>2025</v>
      </c>
      <c r="C356" s="7">
        <v>45755</v>
      </c>
      <c r="D356" s="6" t="s">
        <v>54</v>
      </c>
      <c r="E356" s="6" t="s">
        <v>26</v>
      </c>
      <c r="F356" s="6">
        <v>3</v>
      </c>
      <c r="G356" s="6" t="s">
        <v>27</v>
      </c>
      <c r="H356" s="6">
        <v>2</v>
      </c>
      <c r="I356" s="6">
        <v>1</v>
      </c>
      <c r="J356" s="6">
        <v>0</v>
      </c>
      <c r="K356" s="6" t="s">
        <v>31</v>
      </c>
      <c r="L356" s="6" t="str">
        <f>VLOOKUP(K356, 'Alphabetical by species code'!A:B, 2, FALSE)</f>
        <v>Festuca myuros</v>
      </c>
      <c r="M356" s="6" t="str">
        <f>VLOOKUP(L356, 'Alphabetical by species code'!B:C, 2, FALSE)</f>
        <v>Non-Native</v>
      </c>
    </row>
    <row r="357" spans="1:13" x14ac:dyDescent="0.25">
      <c r="A357" s="6">
        <v>4</v>
      </c>
      <c r="B357" s="6">
        <v>2025</v>
      </c>
      <c r="C357" s="7">
        <v>45755</v>
      </c>
      <c r="D357" s="6" t="s">
        <v>54</v>
      </c>
      <c r="E357" s="6" t="s">
        <v>26</v>
      </c>
      <c r="F357" s="6">
        <v>3</v>
      </c>
      <c r="G357" s="6" t="s">
        <v>27</v>
      </c>
      <c r="H357" s="6">
        <v>2</v>
      </c>
      <c r="I357" s="6">
        <v>1</v>
      </c>
      <c r="J357" s="6">
        <v>0</v>
      </c>
      <c r="K357" s="6" t="s">
        <v>49</v>
      </c>
      <c r="L357" s="6" t="str">
        <f>VLOOKUP(K357, 'Alphabetical by species code'!A:B, 2, FALSE)</f>
        <v>Anagallis arvensis</v>
      </c>
      <c r="M357" s="6" t="str">
        <f>VLOOKUP(L357, 'Alphabetical by species code'!B:C, 2, FALSE)</f>
        <v>Non-Native</v>
      </c>
    </row>
    <row r="358" spans="1:13" x14ac:dyDescent="0.25">
      <c r="A358" s="6">
        <v>4</v>
      </c>
      <c r="B358" s="6">
        <v>2025</v>
      </c>
      <c r="C358" s="7">
        <v>45755</v>
      </c>
      <c r="D358" s="6" t="s">
        <v>54</v>
      </c>
      <c r="E358" s="6" t="s">
        <v>26</v>
      </c>
      <c r="F358" s="6">
        <v>3</v>
      </c>
      <c r="G358" s="6" t="s">
        <v>27</v>
      </c>
      <c r="H358" s="6">
        <v>2</v>
      </c>
      <c r="I358" s="6">
        <v>1</v>
      </c>
      <c r="J358" s="6">
        <v>0</v>
      </c>
      <c r="K358" s="6" t="s">
        <v>55</v>
      </c>
      <c r="L358" s="6" t="str">
        <f>VLOOKUP(K358, 'Alphabetical by species code'!A:B, 2, FALSE)</f>
        <v>Daucus pusillus</v>
      </c>
      <c r="M358" s="6" t="str">
        <f>VLOOKUP(L358, 'Alphabetical by species code'!B:C, 2, FALSE)</f>
        <v>Native</v>
      </c>
    </row>
    <row r="359" spans="1:13" x14ac:dyDescent="0.25">
      <c r="A359" s="6">
        <v>4</v>
      </c>
      <c r="B359" s="6">
        <v>2025</v>
      </c>
      <c r="C359" s="7">
        <v>45755</v>
      </c>
      <c r="D359" s="6" t="s">
        <v>54</v>
      </c>
      <c r="E359" s="6" t="s">
        <v>26</v>
      </c>
      <c r="F359" s="6">
        <v>3</v>
      </c>
      <c r="G359" s="6" t="s">
        <v>27</v>
      </c>
      <c r="H359" s="6">
        <v>2</v>
      </c>
      <c r="I359" s="6">
        <v>2</v>
      </c>
      <c r="J359" s="6">
        <v>0.5</v>
      </c>
      <c r="K359" s="6" t="s">
        <v>51</v>
      </c>
      <c r="L359" s="6" t="str">
        <f>VLOOKUP(K359, 'Alphabetical by species code'!A:B, 2, FALSE)</f>
        <v>Bareground</v>
      </c>
      <c r="M359" s="6" t="str">
        <f>VLOOKUP(L359, 'Alphabetical by species code'!B:C, 2, FALSE)</f>
        <v>Ground Cover</v>
      </c>
    </row>
    <row r="360" spans="1:13" x14ac:dyDescent="0.25">
      <c r="A360" s="6">
        <v>4</v>
      </c>
      <c r="B360" s="6">
        <v>2025</v>
      </c>
      <c r="C360" s="7">
        <v>45755</v>
      </c>
      <c r="D360" s="6" t="s">
        <v>54</v>
      </c>
      <c r="E360" s="6" t="s">
        <v>26</v>
      </c>
      <c r="F360" s="6">
        <v>3</v>
      </c>
      <c r="G360" s="6" t="s">
        <v>27</v>
      </c>
      <c r="H360" s="6">
        <v>2</v>
      </c>
      <c r="I360" s="6">
        <v>2</v>
      </c>
      <c r="J360" s="6">
        <v>0.5</v>
      </c>
      <c r="K360" s="6" t="s">
        <v>31</v>
      </c>
      <c r="L360" s="6" t="str">
        <f>VLOOKUP(K360, 'Alphabetical by species code'!A:B, 2, FALSE)</f>
        <v>Festuca myuros</v>
      </c>
      <c r="M360" s="6" t="str">
        <f>VLOOKUP(L360, 'Alphabetical by species code'!B:C, 2, FALSE)</f>
        <v>Non-Native</v>
      </c>
    </row>
    <row r="361" spans="1:13" x14ac:dyDescent="0.25">
      <c r="A361" s="6">
        <v>4</v>
      </c>
      <c r="B361" s="6">
        <v>2025</v>
      </c>
      <c r="C361" s="7">
        <v>45755</v>
      </c>
      <c r="D361" s="6" t="s">
        <v>54</v>
      </c>
      <c r="E361" s="6" t="s">
        <v>26</v>
      </c>
      <c r="F361" s="6">
        <v>3</v>
      </c>
      <c r="G361" s="6" t="s">
        <v>27</v>
      </c>
      <c r="H361" s="6">
        <v>2</v>
      </c>
      <c r="I361" s="6">
        <v>3</v>
      </c>
      <c r="J361" s="6">
        <v>1</v>
      </c>
      <c r="K361" s="6" t="s">
        <v>41</v>
      </c>
      <c r="L361" s="6" t="str">
        <f>VLOOKUP(K361, 'Alphabetical by species code'!A:B, 2, FALSE)</f>
        <v>Stem</v>
      </c>
      <c r="M361" s="6" t="str">
        <f>VLOOKUP(L361, 'Alphabetical by species code'!B:C, 2, FALSE)</f>
        <v>Ground Cover</v>
      </c>
    </row>
    <row r="362" spans="1:13" x14ac:dyDescent="0.25">
      <c r="A362" s="6">
        <v>4</v>
      </c>
      <c r="B362" s="6">
        <v>2025</v>
      </c>
      <c r="C362" s="7">
        <v>45755</v>
      </c>
      <c r="D362" s="6" t="s">
        <v>54</v>
      </c>
      <c r="E362" s="6" t="s">
        <v>26</v>
      </c>
      <c r="F362" s="6">
        <v>3</v>
      </c>
      <c r="G362" s="6" t="s">
        <v>27</v>
      </c>
      <c r="H362" s="6">
        <v>2</v>
      </c>
      <c r="I362" s="6">
        <v>3</v>
      </c>
      <c r="J362" s="6">
        <v>1</v>
      </c>
      <c r="K362" s="6" t="s">
        <v>29</v>
      </c>
      <c r="L362" s="6" t="str">
        <f>VLOOKUP(K362, 'Alphabetical by species code'!A:B, 2, FALSE)</f>
        <v>Opuntia littoralis</v>
      </c>
      <c r="M362" s="6" t="str">
        <f>VLOOKUP(L362, 'Alphabetical by species code'!B:C, 2, FALSE)</f>
        <v>Native</v>
      </c>
    </row>
    <row r="363" spans="1:13" x14ac:dyDescent="0.25">
      <c r="A363" s="6">
        <v>4</v>
      </c>
      <c r="B363" s="6">
        <v>2025</v>
      </c>
      <c r="C363" s="7">
        <v>45755</v>
      </c>
      <c r="D363" s="6" t="s">
        <v>54</v>
      </c>
      <c r="E363" s="6" t="s">
        <v>26</v>
      </c>
      <c r="F363" s="6">
        <v>3</v>
      </c>
      <c r="G363" s="6" t="s">
        <v>27</v>
      </c>
      <c r="H363" s="6">
        <v>2</v>
      </c>
      <c r="I363" s="6">
        <v>4</v>
      </c>
      <c r="J363" s="6">
        <v>1.5</v>
      </c>
      <c r="K363" s="6" t="s">
        <v>41</v>
      </c>
      <c r="L363" s="6" t="str">
        <f>VLOOKUP(K363, 'Alphabetical by species code'!A:B, 2, FALSE)</f>
        <v>Stem</v>
      </c>
      <c r="M363" s="6" t="str">
        <f>VLOOKUP(L363, 'Alphabetical by species code'!B:C, 2, FALSE)</f>
        <v>Ground Cover</v>
      </c>
    </row>
    <row r="364" spans="1:13" x14ac:dyDescent="0.25">
      <c r="A364" s="6">
        <v>4</v>
      </c>
      <c r="B364" s="6">
        <v>2025</v>
      </c>
      <c r="C364" s="7">
        <v>45755</v>
      </c>
      <c r="D364" s="6" t="s">
        <v>54</v>
      </c>
      <c r="E364" s="6" t="s">
        <v>26</v>
      </c>
      <c r="F364" s="6">
        <v>3</v>
      </c>
      <c r="G364" s="6" t="s">
        <v>27</v>
      </c>
      <c r="H364" s="6">
        <v>2</v>
      </c>
      <c r="I364" s="6">
        <v>4</v>
      </c>
      <c r="J364" s="6">
        <v>1.5</v>
      </c>
      <c r="K364" s="6" t="s">
        <v>29</v>
      </c>
      <c r="L364" s="6" t="str">
        <f>VLOOKUP(K364, 'Alphabetical by species code'!A:B, 2, FALSE)</f>
        <v>Opuntia littoralis</v>
      </c>
      <c r="M364" s="6" t="str">
        <f>VLOOKUP(L364, 'Alphabetical by species code'!B:C, 2, FALSE)</f>
        <v>Native</v>
      </c>
    </row>
    <row r="365" spans="1:13" x14ac:dyDescent="0.25">
      <c r="A365" s="6">
        <v>4</v>
      </c>
      <c r="B365" s="6">
        <v>2025</v>
      </c>
      <c r="C365" s="7">
        <v>45755</v>
      </c>
      <c r="D365" s="6" t="s">
        <v>54</v>
      </c>
      <c r="E365" s="6" t="s">
        <v>26</v>
      </c>
      <c r="F365" s="6">
        <v>3</v>
      </c>
      <c r="G365" s="6" t="s">
        <v>27</v>
      </c>
      <c r="H365" s="6">
        <v>2</v>
      </c>
      <c r="I365" s="6">
        <v>4</v>
      </c>
      <c r="J365" s="6">
        <v>1.5</v>
      </c>
      <c r="K365" s="6" t="s">
        <v>31</v>
      </c>
      <c r="L365" s="6" t="str">
        <f>VLOOKUP(K365, 'Alphabetical by species code'!A:B, 2, FALSE)</f>
        <v>Festuca myuros</v>
      </c>
      <c r="M365" s="6" t="str">
        <f>VLOOKUP(L365, 'Alphabetical by species code'!B:C, 2, FALSE)</f>
        <v>Non-Native</v>
      </c>
    </row>
    <row r="366" spans="1:13" x14ac:dyDescent="0.25">
      <c r="A366" s="6">
        <v>4</v>
      </c>
      <c r="B366" s="6">
        <v>2025</v>
      </c>
      <c r="C366" s="7">
        <v>45755</v>
      </c>
      <c r="D366" s="6" t="s">
        <v>54</v>
      </c>
      <c r="E366" s="6" t="s">
        <v>26</v>
      </c>
      <c r="F366" s="6">
        <v>3</v>
      </c>
      <c r="G366" s="6" t="s">
        <v>27</v>
      </c>
      <c r="H366" s="6">
        <v>2</v>
      </c>
      <c r="I366" s="6">
        <v>5</v>
      </c>
      <c r="J366" s="6">
        <v>2.5</v>
      </c>
      <c r="K366" s="6" t="s">
        <v>51</v>
      </c>
      <c r="L366" s="6" t="str">
        <f>VLOOKUP(K366, 'Alphabetical by species code'!A:B, 2, FALSE)</f>
        <v>Bareground</v>
      </c>
      <c r="M366" s="6" t="str">
        <f>VLOOKUP(L366, 'Alphabetical by species code'!B:C, 2, FALSE)</f>
        <v>Ground Cover</v>
      </c>
    </row>
    <row r="367" spans="1:13" x14ac:dyDescent="0.25">
      <c r="A367" s="6">
        <v>4</v>
      </c>
      <c r="B367" s="6">
        <v>2025</v>
      </c>
      <c r="C367" s="7">
        <v>45755</v>
      </c>
      <c r="D367" s="6" t="s">
        <v>54</v>
      </c>
      <c r="E367" s="6" t="s">
        <v>26</v>
      </c>
      <c r="F367" s="6">
        <v>3</v>
      </c>
      <c r="G367" s="6" t="s">
        <v>27</v>
      </c>
      <c r="H367" s="6">
        <v>2</v>
      </c>
      <c r="I367" s="6">
        <v>5</v>
      </c>
      <c r="J367" s="6">
        <v>2.5</v>
      </c>
      <c r="K367" s="6" t="s">
        <v>31</v>
      </c>
      <c r="L367" s="6" t="str">
        <f>VLOOKUP(K367, 'Alphabetical by species code'!A:B, 2, FALSE)</f>
        <v>Festuca myuros</v>
      </c>
      <c r="M367" s="6" t="str">
        <f>VLOOKUP(L367, 'Alphabetical by species code'!B:C, 2, FALSE)</f>
        <v>Non-Native</v>
      </c>
    </row>
    <row r="368" spans="1:13" x14ac:dyDescent="0.25">
      <c r="A368" s="6">
        <v>4</v>
      </c>
      <c r="B368" s="6">
        <v>2025</v>
      </c>
      <c r="C368" s="7">
        <v>45755</v>
      </c>
      <c r="D368" s="6" t="s">
        <v>54</v>
      </c>
      <c r="E368" s="6" t="s">
        <v>26</v>
      </c>
      <c r="F368" s="6">
        <v>3</v>
      </c>
      <c r="G368" s="6" t="s">
        <v>27</v>
      </c>
      <c r="H368" s="6">
        <v>2</v>
      </c>
      <c r="I368" s="6">
        <v>5</v>
      </c>
      <c r="J368" s="6">
        <v>2.5</v>
      </c>
      <c r="K368" s="6" t="s">
        <v>32</v>
      </c>
      <c r="L368" s="6" t="str">
        <f>VLOOKUP(K368, 'Alphabetical by species code'!A:B, 2, FALSE)</f>
        <v>Medicago polymorpha</v>
      </c>
      <c r="M368" s="6" t="str">
        <f>VLOOKUP(L368, 'Alphabetical by species code'!B:C, 2, FALSE)</f>
        <v>Non-Native</v>
      </c>
    </row>
    <row r="369" spans="1:13" x14ac:dyDescent="0.25">
      <c r="A369" s="6">
        <v>4</v>
      </c>
      <c r="B369" s="6">
        <v>2025</v>
      </c>
      <c r="C369" s="7">
        <v>45755</v>
      </c>
      <c r="D369" s="6" t="s">
        <v>54</v>
      </c>
      <c r="E369" s="6" t="s">
        <v>26</v>
      </c>
      <c r="F369" s="6">
        <v>3</v>
      </c>
      <c r="G369" s="6" t="s">
        <v>27</v>
      </c>
      <c r="H369" s="6">
        <v>2</v>
      </c>
      <c r="I369" s="6">
        <v>6</v>
      </c>
      <c r="J369" s="6">
        <v>3</v>
      </c>
      <c r="K369" s="6" t="s">
        <v>52</v>
      </c>
      <c r="L369" s="6" t="str">
        <f>VLOOKUP(K369, 'Alphabetical by species code'!A:B, 2, FALSE)</f>
        <v>Rock</v>
      </c>
      <c r="M369" s="6" t="str">
        <f>VLOOKUP(L369, 'Alphabetical by species code'!B:C, 2, FALSE)</f>
        <v>Ground Cover</v>
      </c>
    </row>
    <row r="370" spans="1:13" x14ac:dyDescent="0.25">
      <c r="A370" s="6">
        <v>4</v>
      </c>
      <c r="B370" s="6">
        <v>2025</v>
      </c>
      <c r="C370" s="7">
        <v>45755</v>
      </c>
      <c r="D370" s="6" t="s">
        <v>54</v>
      </c>
      <c r="E370" s="6" t="s">
        <v>26</v>
      </c>
      <c r="F370" s="6">
        <v>3</v>
      </c>
      <c r="G370" s="6" t="s">
        <v>27</v>
      </c>
      <c r="H370" s="6">
        <v>2</v>
      </c>
      <c r="I370" s="6">
        <v>6</v>
      </c>
      <c r="J370" s="6">
        <v>3</v>
      </c>
      <c r="K370" s="6" t="s">
        <v>31</v>
      </c>
      <c r="L370" s="6" t="str">
        <f>VLOOKUP(K370, 'Alphabetical by species code'!A:B, 2, FALSE)</f>
        <v>Festuca myuros</v>
      </c>
      <c r="M370" s="6" t="str">
        <f>VLOOKUP(L370, 'Alphabetical by species code'!B:C, 2, FALSE)</f>
        <v>Non-Native</v>
      </c>
    </row>
    <row r="371" spans="1:13" x14ac:dyDescent="0.25">
      <c r="A371" s="6">
        <v>4</v>
      </c>
      <c r="B371" s="6">
        <v>2025</v>
      </c>
      <c r="C371" s="7">
        <v>45755</v>
      </c>
      <c r="D371" s="6" t="s">
        <v>54</v>
      </c>
      <c r="E371" s="6" t="s">
        <v>26</v>
      </c>
      <c r="F371" s="6">
        <v>3</v>
      </c>
      <c r="G371" s="6" t="s">
        <v>27</v>
      </c>
      <c r="H371" s="6">
        <v>2</v>
      </c>
      <c r="I371" s="6">
        <v>7</v>
      </c>
      <c r="J371" s="6">
        <v>3.5</v>
      </c>
      <c r="K371" s="6" t="s">
        <v>28</v>
      </c>
      <c r="L371" s="6" t="str">
        <f>VLOOKUP(K371, 'Alphabetical by species code'!A:B, 2, FALSE)</f>
        <v>Litter</v>
      </c>
      <c r="M371" s="6" t="str">
        <f>VLOOKUP(L371, 'Alphabetical by species code'!B:C, 2, FALSE)</f>
        <v>Ground Cover</v>
      </c>
    </row>
    <row r="372" spans="1:13" x14ac:dyDescent="0.25">
      <c r="A372" s="6">
        <v>4</v>
      </c>
      <c r="B372" s="6">
        <v>2025</v>
      </c>
      <c r="C372" s="7">
        <v>45755</v>
      </c>
      <c r="D372" s="6" t="s">
        <v>54</v>
      </c>
      <c r="E372" s="6" t="s">
        <v>26</v>
      </c>
      <c r="F372" s="6">
        <v>3</v>
      </c>
      <c r="G372" s="6" t="s">
        <v>27</v>
      </c>
      <c r="H372" s="6">
        <v>2</v>
      </c>
      <c r="I372" s="6">
        <v>7</v>
      </c>
      <c r="J372" s="6">
        <v>3.5</v>
      </c>
      <c r="K372" s="6" t="s">
        <v>32</v>
      </c>
      <c r="L372" s="6" t="str">
        <f>VLOOKUP(K372, 'Alphabetical by species code'!A:B, 2, FALSE)</f>
        <v>Medicago polymorpha</v>
      </c>
      <c r="M372" s="6" t="str">
        <f>VLOOKUP(L372, 'Alphabetical by species code'!B:C, 2, FALSE)</f>
        <v>Non-Native</v>
      </c>
    </row>
    <row r="373" spans="1:13" x14ac:dyDescent="0.25">
      <c r="A373" s="6">
        <v>4</v>
      </c>
      <c r="B373" s="6">
        <v>2025</v>
      </c>
      <c r="C373" s="7">
        <v>45755</v>
      </c>
      <c r="D373" s="6" t="s">
        <v>54</v>
      </c>
      <c r="E373" s="6" t="s">
        <v>26</v>
      </c>
      <c r="F373" s="6">
        <v>3</v>
      </c>
      <c r="G373" s="6" t="s">
        <v>27</v>
      </c>
      <c r="H373" s="6">
        <v>2</v>
      </c>
      <c r="I373" s="6">
        <v>7</v>
      </c>
      <c r="J373" s="6">
        <v>3.5</v>
      </c>
      <c r="K373" s="6" t="s">
        <v>31</v>
      </c>
      <c r="L373" s="6" t="str">
        <f>VLOOKUP(K373, 'Alphabetical by species code'!A:B, 2, FALSE)</f>
        <v>Festuca myuros</v>
      </c>
      <c r="M373" s="6" t="str">
        <f>VLOOKUP(L373, 'Alphabetical by species code'!B:C, 2, FALSE)</f>
        <v>Non-Native</v>
      </c>
    </row>
    <row r="374" spans="1:13" x14ac:dyDescent="0.25">
      <c r="A374" s="6">
        <v>4</v>
      </c>
      <c r="B374" s="6">
        <v>2025</v>
      </c>
      <c r="C374" s="7">
        <v>45755</v>
      </c>
      <c r="D374" s="6" t="s">
        <v>54</v>
      </c>
      <c r="E374" s="6" t="s">
        <v>26</v>
      </c>
      <c r="F374" s="6">
        <v>3</v>
      </c>
      <c r="G374" s="6" t="s">
        <v>27</v>
      </c>
      <c r="H374" s="6">
        <v>2</v>
      </c>
      <c r="I374" s="6">
        <v>7</v>
      </c>
      <c r="J374" s="6">
        <v>3.5</v>
      </c>
      <c r="K374" s="6" t="s">
        <v>48</v>
      </c>
      <c r="L374" s="6" t="str">
        <f>VLOOKUP(K374, 'Alphabetical by species code'!A:B, 2, FALSE)</f>
        <v>Sonchus asper</v>
      </c>
      <c r="M374" s="6" t="str">
        <f>VLOOKUP(L374, 'Alphabetical by species code'!B:C, 2, FALSE)</f>
        <v>Non-Native</v>
      </c>
    </row>
    <row r="375" spans="1:13" x14ac:dyDescent="0.25">
      <c r="A375" s="6">
        <v>4</v>
      </c>
      <c r="B375" s="6">
        <v>2025</v>
      </c>
      <c r="C375" s="7">
        <v>45755</v>
      </c>
      <c r="D375" s="6" t="s">
        <v>54</v>
      </c>
      <c r="E375" s="6" t="s">
        <v>26</v>
      </c>
      <c r="F375" s="6">
        <v>3</v>
      </c>
      <c r="G375" s="6" t="s">
        <v>27</v>
      </c>
      <c r="H375" s="6">
        <v>2</v>
      </c>
      <c r="I375" s="6">
        <v>8</v>
      </c>
      <c r="J375" s="6">
        <v>4</v>
      </c>
      <c r="K375" s="6" t="s">
        <v>28</v>
      </c>
      <c r="L375" s="6" t="str">
        <f>VLOOKUP(K375, 'Alphabetical by species code'!A:B, 2, FALSE)</f>
        <v>Litter</v>
      </c>
      <c r="M375" s="6" t="str">
        <f>VLOOKUP(L375, 'Alphabetical by species code'!B:C, 2, FALSE)</f>
        <v>Ground Cover</v>
      </c>
    </row>
    <row r="376" spans="1:13" x14ac:dyDescent="0.25">
      <c r="A376" s="6">
        <v>4</v>
      </c>
      <c r="B376" s="6">
        <v>2025</v>
      </c>
      <c r="C376" s="7">
        <v>45755</v>
      </c>
      <c r="D376" s="6" t="s">
        <v>54</v>
      </c>
      <c r="E376" s="6" t="s">
        <v>26</v>
      </c>
      <c r="F376" s="6">
        <v>3</v>
      </c>
      <c r="G376" s="6" t="s">
        <v>27</v>
      </c>
      <c r="H376" s="6">
        <v>2</v>
      </c>
      <c r="I376" s="6">
        <v>8</v>
      </c>
      <c r="J376" s="6">
        <v>4</v>
      </c>
      <c r="K376" s="6" t="s">
        <v>55</v>
      </c>
      <c r="L376" s="6" t="str">
        <f>VLOOKUP(K376, 'Alphabetical by species code'!A:B, 2, FALSE)</f>
        <v>Daucus pusillus</v>
      </c>
      <c r="M376" s="6" t="str">
        <f>VLOOKUP(L376, 'Alphabetical by species code'!B:C, 2, FALSE)</f>
        <v>Native</v>
      </c>
    </row>
    <row r="377" spans="1:13" x14ac:dyDescent="0.25">
      <c r="A377" s="6">
        <v>4</v>
      </c>
      <c r="B377" s="6">
        <v>2025</v>
      </c>
      <c r="C377" s="7">
        <v>45755</v>
      </c>
      <c r="D377" s="6" t="s">
        <v>54</v>
      </c>
      <c r="E377" s="6" t="s">
        <v>26</v>
      </c>
      <c r="F377" s="6">
        <v>3</v>
      </c>
      <c r="G377" s="6" t="s">
        <v>27</v>
      </c>
      <c r="H377" s="6">
        <v>2</v>
      </c>
      <c r="I377" s="6">
        <v>8</v>
      </c>
      <c r="J377" s="6">
        <v>4</v>
      </c>
      <c r="K377" s="6" t="s">
        <v>35</v>
      </c>
      <c r="L377" s="6" t="str">
        <f>VLOOKUP(K377, 'Alphabetical by species code'!A:B, 2, FALSE)</f>
        <v>Deinandra fasciculata</v>
      </c>
      <c r="M377" s="6" t="str">
        <f>VLOOKUP(L377, 'Alphabetical by species code'!B:C, 2, FALSE)</f>
        <v>Native</v>
      </c>
    </row>
    <row r="378" spans="1:13" x14ac:dyDescent="0.25">
      <c r="A378" s="6">
        <v>4</v>
      </c>
      <c r="B378" s="6">
        <v>2025</v>
      </c>
      <c r="C378" s="7">
        <v>45755</v>
      </c>
      <c r="D378" s="6" t="s">
        <v>54</v>
      </c>
      <c r="E378" s="6" t="s">
        <v>26</v>
      </c>
      <c r="F378" s="6">
        <v>3</v>
      </c>
      <c r="G378" s="6" t="s">
        <v>27</v>
      </c>
      <c r="H378" s="6">
        <v>2</v>
      </c>
      <c r="I378" s="6">
        <v>8</v>
      </c>
      <c r="J378" s="6">
        <v>4</v>
      </c>
      <c r="K378" s="6" t="s">
        <v>31</v>
      </c>
      <c r="L378" s="6" t="str">
        <f>VLOOKUP(K378, 'Alphabetical by species code'!A:B, 2, FALSE)</f>
        <v>Festuca myuros</v>
      </c>
      <c r="M378" s="6" t="str">
        <f>VLOOKUP(L378, 'Alphabetical by species code'!B:C, 2, FALSE)</f>
        <v>Non-Native</v>
      </c>
    </row>
    <row r="379" spans="1:13" x14ac:dyDescent="0.25">
      <c r="A379" s="6">
        <v>4</v>
      </c>
      <c r="B379" s="6">
        <v>2025</v>
      </c>
      <c r="C379" s="7">
        <v>45755</v>
      </c>
      <c r="D379" s="6" t="s">
        <v>54</v>
      </c>
      <c r="E379" s="6" t="s">
        <v>26</v>
      </c>
      <c r="F379" s="6">
        <v>3</v>
      </c>
      <c r="G379" s="6" t="s">
        <v>27</v>
      </c>
      <c r="H379" s="6">
        <v>2</v>
      </c>
      <c r="I379" s="6">
        <v>8</v>
      </c>
      <c r="J379" s="6">
        <v>4</v>
      </c>
      <c r="K379" s="6" t="s">
        <v>42</v>
      </c>
      <c r="L379" s="6" t="str">
        <f>VLOOKUP(K379, 'Alphabetical by species code'!A:B, 2, FALSE)</f>
        <v>Centaurea melitensis</v>
      </c>
      <c r="M379" s="6" t="str">
        <f>VLOOKUP(L379, 'Alphabetical by species code'!B:C, 2, FALSE)</f>
        <v>Non-Native</v>
      </c>
    </row>
    <row r="380" spans="1:13" x14ac:dyDescent="0.25">
      <c r="A380" s="6">
        <v>4</v>
      </c>
      <c r="B380" s="6">
        <v>2025</v>
      </c>
      <c r="C380" s="7">
        <v>45755</v>
      </c>
      <c r="D380" s="6" t="s">
        <v>54</v>
      </c>
      <c r="E380" s="6" t="s">
        <v>26</v>
      </c>
      <c r="F380" s="6">
        <v>3</v>
      </c>
      <c r="G380" s="6" t="s">
        <v>27</v>
      </c>
      <c r="H380" s="6">
        <v>2</v>
      </c>
      <c r="I380" s="6">
        <v>9</v>
      </c>
      <c r="J380" s="6">
        <v>4.5</v>
      </c>
      <c r="K380" s="6" t="s">
        <v>51</v>
      </c>
      <c r="L380" s="6" t="str">
        <f>VLOOKUP(K380, 'Alphabetical by species code'!A:B, 2, FALSE)</f>
        <v>Bareground</v>
      </c>
      <c r="M380" s="6" t="str">
        <f>VLOOKUP(L380, 'Alphabetical by species code'!B:C, 2, FALSE)</f>
        <v>Ground Cover</v>
      </c>
    </row>
    <row r="381" spans="1:13" x14ac:dyDescent="0.25">
      <c r="A381" s="6">
        <v>4</v>
      </c>
      <c r="B381" s="6">
        <v>2025</v>
      </c>
      <c r="C381" s="7">
        <v>45755</v>
      </c>
      <c r="D381" s="6" t="s">
        <v>54</v>
      </c>
      <c r="E381" s="6" t="s">
        <v>26</v>
      </c>
      <c r="F381" s="6">
        <v>3</v>
      </c>
      <c r="G381" s="6" t="s">
        <v>27</v>
      </c>
      <c r="H381" s="6">
        <v>2</v>
      </c>
      <c r="I381" s="6">
        <v>9</v>
      </c>
      <c r="J381" s="6">
        <v>4.5</v>
      </c>
      <c r="K381" s="6" t="s">
        <v>32</v>
      </c>
      <c r="L381" s="6" t="str">
        <f>VLOOKUP(K381, 'Alphabetical by species code'!A:B, 2, FALSE)</f>
        <v>Medicago polymorpha</v>
      </c>
      <c r="M381" s="6" t="str">
        <f>VLOOKUP(L381, 'Alphabetical by species code'!B:C, 2, FALSE)</f>
        <v>Non-Native</v>
      </c>
    </row>
    <row r="382" spans="1:13" x14ac:dyDescent="0.25">
      <c r="A382" s="6">
        <v>4</v>
      </c>
      <c r="B382" s="6">
        <v>2025</v>
      </c>
      <c r="C382" s="7">
        <v>45755</v>
      </c>
      <c r="D382" s="6" t="s">
        <v>54</v>
      </c>
      <c r="E382" s="6" t="s">
        <v>26</v>
      </c>
      <c r="F382" s="6">
        <v>3</v>
      </c>
      <c r="G382" s="6" t="s">
        <v>27</v>
      </c>
      <c r="H382" s="6">
        <v>2</v>
      </c>
      <c r="I382" s="6">
        <v>9</v>
      </c>
      <c r="J382" s="6">
        <v>4.5</v>
      </c>
      <c r="K382" s="6" t="s">
        <v>31</v>
      </c>
      <c r="L382" s="6" t="str">
        <f>VLOOKUP(K382, 'Alphabetical by species code'!A:B, 2, FALSE)</f>
        <v>Festuca myuros</v>
      </c>
      <c r="M382" s="6" t="str">
        <f>VLOOKUP(L382, 'Alphabetical by species code'!B:C, 2, FALSE)</f>
        <v>Non-Native</v>
      </c>
    </row>
    <row r="383" spans="1:13" x14ac:dyDescent="0.25">
      <c r="A383" s="6">
        <v>4</v>
      </c>
      <c r="B383" s="6">
        <v>2025</v>
      </c>
      <c r="C383" s="7">
        <v>45755</v>
      </c>
      <c r="D383" s="6" t="s">
        <v>54</v>
      </c>
      <c r="E383" s="6" t="s">
        <v>26</v>
      </c>
      <c r="F383" s="6">
        <v>3</v>
      </c>
      <c r="G383" s="6" t="s">
        <v>27</v>
      </c>
      <c r="H383" s="6">
        <v>2</v>
      </c>
      <c r="I383" s="6">
        <v>9</v>
      </c>
      <c r="J383" s="6">
        <v>4.5</v>
      </c>
      <c r="K383" s="6" t="s">
        <v>57</v>
      </c>
      <c r="L383" s="6" t="str">
        <f>VLOOKUP(K383, 'Alphabetical by species code'!A:B, 2, FALSE)</f>
        <v>Stipa pulchra</v>
      </c>
      <c r="M383" s="6" t="str">
        <f>VLOOKUP(L383, 'Alphabetical by species code'!B:C, 2, FALSE)</f>
        <v>Native</v>
      </c>
    </row>
    <row r="384" spans="1:13" x14ac:dyDescent="0.25">
      <c r="A384" s="6">
        <v>4</v>
      </c>
      <c r="B384" s="6">
        <v>2025</v>
      </c>
      <c r="C384" s="7">
        <v>45755</v>
      </c>
      <c r="D384" s="6" t="s">
        <v>54</v>
      </c>
      <c r="E384" s="6" t="s">
        <v>26</v>
      </c>
      <c r="F384" s="6">
        <v>3</v>
      </c>
      <c r="G384" s="6" t="s">
        <v>27</v>
      </c>
      <c r="H384" s="6">
        <v>2</v>
      </c>
      <c r="I384" s="6">
        <v>10</v>
      </c>
      <c r="J384" s="6">
        <v>5</v>
      </c>
      <c r="K384" s="6" t="s">
        <v>28</v>
      </c>
      <c r="L384" s="6" t="str">
        <f>VLOOKUP(K384, 'Alphabetical by species code'!A:B, 2, FALSE)</f>
        <v>Litter</v>
      </c>
      <c r="M384" s="6" t="str">
        <f>VLOOKUP(L384, 'Alphabetical by species code'!B:C, 2, FALSE)</f>
        <v>Ground Cover</v>
      </c>
    </row>
    <row r="385" spans="1:13" x14ac:dyDescent="0.25">
      <c r="A385" s="6">
        <v>4</v>
      </c>
      <c r="B385" s="6">
        <v>2025</v>
      </c>
      <c r="C385" s="7">
        <v>45755</v>
      </c>
      <c r="D385" s="6" t="s">
        <v>54</v>
      </c>
      <c r="E385" s="6" t="s">
        <v>26</v>
      </c>
      <c r="F385" s="6">
        <v>3</v>
      </c>
      <c r="G385" s="6" t="s">
        <v>27</v>
      </c>
      <c r="H385" s="6">
        <v>2</v>
      </c>
      <c r="I385" s="6">
        <v>10</v>
      </c>
      <c r="J385" s="6">
        <v>5</v>
      </c>
      <c r="K385" s="6" t="s">
        <v>49</v>
      </c>
      <c r="L385" s="6" t="str">
        <f>VLOOKUP(K385, 'Alphabetical by species code'!A:B, 2, FALSE)</f>
        <v>Anagallis arvensis</v>
      </c>
      <c r="M385" s="6" t="str">
        <f>VLOOKUP(L385, 'Alphabetical by species code'!B:C, 2, FALSE)</f>
        <v>Non-Native</v>
      </c>
    </row>
    <row r="386" spans="1:13" x14ac:dyDescent="0.25">
      <c r="A386" s="6">
        <v>4</v>
      </c>
      <c r="B386" s="6">
        <v>2025</v>
      </c>
      <c r="C386" s="7">
        <v>45755</v>
      </c>
      <c r="D386" s="6" t="s">
        <v>54</v>
      </c>
      <c r="E386" s="6" t="s">
        <v>26</v>
      </c>
      <c r="F386" s="6">
        <v>3</v>
      </c>
      <c r="G386" s="6" t="s">
        <v>27</v>
      </c>
      <c r="H386" s="6">
        <v>2</v>
      </c>
      <c r="I386" s="6">
        <v>10</v>
      </c>
      <c r="J386" s="6">
        <v>5</v>
      </c>
      <c r="K386" s="6" t="s">
        <v>31</v>
      </c>
      <c r="L386" s="6" t="str">
        <f>VLOOKUP(K386, 'Alphabetical by species code'!A:B, 2, FALSE)</f>
        <v>Festuca myuros</v>
      </c>
      <c r="M386" s="6" t="str">
        <f>VLOOKUP(L386, 'Alphabetical by species code'!B:C, 2, FALSE)</f>
        <v>Non-Native</v>
      </c>
    </row>
    <row r="387" spans="1:13" x14ac:dyDescent="0.25">
      <c r="A387" s="6">
        <v>4</v>
      </c>
      <c r="B387" s="6">
        <v>2025</v>
      </c>
      <c r="C387" s="7">
        <v>45755</v>
      </c>
      <c r="D387" s="6" t="s">
        <v>54</v>
      </c>
      <c r="E387" s="6" t="s">
        <v>26</v>
      </c>
      <c r="F387" s="6">
        <v>3</v>
      </c>
      <c r="G387" s="6" t="s">
        <v>27</v>
      </c>
      <c r="H387" s="6">
        <v>2</v>
      </c>
      <c r="I387" s="6">
        <v>11</v>
      </c>
      <c r="J387" s="6">
        <v>5.5</v>
      </c>
      <c r="K387" s="6" t="s">
        <v>38</v>
      </c>
      <c r="L387" s="6" t="str">
        <f>VLOOKUP(K387, 'Alphabetical by species code'!A:B, 2, FALSE)</f>
        <v>Thatch</v>
      </c>
      <c r="M387" s="6" t="str">
        <f>VLOOKUP(L387, 'Alphabetical by species code'!B:C, 2, FALSE)</f>
        <v>Ground Cover</v>
      </c>
    </row>
    <row r="388" spans="1:13" x14ac:dyDescent="0.25">
      <c r="A388" s="6">
        <v>4</v>
      </c>
      <c r="B388" s="6">
        <v>2025</v>
      </c>
      <c r="C388" s="7">
        <v>45755</v>
      </c>
      <c r="D388" s="6" t="s">
        <v>54</v>
      </c>
      <c r="E388" s="6" t="s">
        <v>26</v>
      </c>
      <c r="F388" s="6">
        <v>3</v>
      </c>
      <c r="G388" s="6" t="s">
        <v>27</v>
      </c>
      <c r="H388" s="6">
        <v>2</v>
      </c>
      <c r="I388" s="6">
        <v>11</v>
      </c>
      <c r="J388" s="6">
        <v>5.5</v>
      </c>
      <c r="K388" s="6" t="s">
        <v>35</v>
      </c>
      <c r="L388" s="6" t="str">
        <f>VLOOKUP(K388, 'Alphabetical by species code'!A:B, 2, FALSE)</f>
        <v>Deinandra fasciculata</v>
      </c>
      <c r="M388" s="6" t="str">
        <f>VLOOKUP(L388, 'Alphabetical by species code'!B:C, 2, FALSE)</f>
        <v>Native</v>
      </c>
    </row>
    <row r="389" spans="1:13" x14ac:dyDescent="0.25">
      <c r="A389" s="6">
        <v>4</v>
      </c>
      <c r="B389" s="6">
        <v>2025</v>
      </c>
      <c r="C389" s="7">
        <v>45755</v>
      </c>
      <c r="D389" s="6" t="s">
        <v>54</v>
      </c>
      <c r="E389" s="6" t="s">
        <v>26</v>
      </c>
      <c r="F389" s="6">
        <v>3</v>
      </c>
      <c r="G389" s="6" t="s">
        <v>27</v>
      </c>
      <c r="H389" s="6">
        <v>2</v>
      </c>
      <c r="I389" s="6">
        <v>11</v>
      </c>
      <c r="J389" s="6">
        <v>5.5</v>
      </c>
      <c r="K389" s="6" t="s">
        <v>42</v>
      </c>
      <c r="L389" s="6" t="str">
        <f>VLOOKUP(K389, 'Alphabetical by species code'!A:B, 2, FALSE)</f>
        <v>Centaurea melitensis</v>
      </c>
      <c r="M389" s="6" t="str">
        <f>VLOOKUP(L389, 'Alphabetical by species code'!B:C, 2, FALSE)</f>
        <v>Non-Native</v>
      </c>
    </row>
    <row r="390" spans="1:13" x14ac:dyDescent="0.25">
      <c r="A390" s="6">
        <v>4</v>
      </c>
      <c r="B390" s="6">
        <v>2025</v>
      </c>
      <c r="C390" s="7">
        <v>45755</v>
      </c>
      <c r="D390" s="6" t="s">
        <v>54</v>
      </c>
      <c r="E390" s="6" t="s">
        <v>26</v>
      </c>
      <c r="F390" s="6">
        <v>3</v>
      </c>
      <c r="G390" s="6" t="s">
        <v>27</v>
      </c>
      <c r="H390" s="6">
        <v>2</v>
      </c>
      <c r="I390" s="6">
        <v>11</v>
      </c>
      <c r="J390" s="6">
        <v>5.5</v>
      </c>
      <c r="K390" s="6" t="s">
        <v>31</v>
      </c>
      <c r="L390" s="6" t="str">
        <f>VLOOKUP(K390, 'Alphabetical by species code'!A:B, 2, FALSE)</f>
        <v>Festuca myuros</v>
      </c>
      <c r="M390" s="6" t="str">
        <f>VLOOKUP(L390, 'Alphabetical by species code'!B:C, 2, FALSE)</f>
        <v>Non-Native</v>
      </c>
    </row>
    <row r="391" spans="1:13" x14ac:dyDescent="0.25">
      <c r="A391" s="6">
        <v>4</v>
      </c>
      <c r="B391" s="6">
        <v>2025</v>
      </c>
      <c r="C391" s="7">
        <v>45755</v>
      </c>
      <c r="D391" s="6" t="s">
        <v>54</v>
      </c>
      <c r="E391" s="6" t="s">
        <v>26</v>
      </c>
      <c r="F391" s="6">
        <v>3</v>
      </c>
      <c r="G391" s="6" t="s">
        <v>27</v>
      </c>
      <c r="H391" s="6">
        <v>2</v>
      </c>
      <c r="I391" s="6">
        <v>12</v>
      </c>
      <c r="J391" s="6">
        <v>6</v>
      </c>
      <c r="K391" s="6" t="s">
        <v>28</v>
      </c>
      <c r="L391" s="6" t="str">
        <f>VLOOKUP(K391, 'Alphabetical by species code'!A:B, 2, FALSE)</f>
        <v>Litter</v>
      </c>
      <c r="M391" s="6" t="str">
        <f>VLOOKUP(L391, 'Alphabetical by species code'!B:C, 2, FALSE)</f>
        <v>Ground Cover</v>
      </c>
    </row>
    <row r="392" spans="1:13" x14ac:dyDescent="0.25">
      <c r="A392" s="6">
        <v>4</v>
      </c>
      <c r="B392" s="6">
        <v>2025</v>
      </c>
      <c r="C392" s="7">
        <v>45755</v>
      </c>
      <c r="D392" s="6" t="s">
        <v>54</v>
      </c>
      <c r="E392" s="6" t="s">
        <v>26</v>
      </c>
      <c r="F392" s="6">
        <v>3</v>
      </c>
      <c r="G392" s="6" t="s">
        <v>27</v>
      </c>
      <c r="H392" s="6">
        <v>2</v>
      </c>
      <c r="I392" s="6">
        <v>12</v>
      </c>
      <c r="J392" s="6">
        <v>6</v>
      </c>
      <c r="K392" s="6" t="s">
        <v>43</v>
      </c>
      <c r="L392" s="6" t="str">
        <f>VLOOKUP(K392, 'Alphabetical by species code'!A:B, 2, FALSE)</f>
        <v>Uropappus lindleyi</v>
      </c>
      <c r="M392" s="6" t="str">
        <f>VLOOKUP(L392, 'Alphabetical by species code'!B:C, 2, FALSE)</f>
        <v>Native</v>
      </c>
    </row>
    <row r="393" spans="1:13" x14ac:dyDescent="0.25">
      <c r="A393" s="6">
        <v>4</v>
      </c>
      <c r="B393" s="6">
        <v>2025</v>
      </c>
      <c r="C393" s="7">
        <v>45755</v>
      </c>
      <c r="D393" s="6" t="s">
        <v>54</v>
      </c>
      <c r="E393" s="6" t="s">
        <v>26</v>
      </c>
      <c r="F393" s="6">
        <v>3</v>
      </c>
      <c r="G393" s="6" t="s">
        <v>27</v>
      </c>
      <c r="H393" s="6">
        <v>2</v>
      </c>
      <c r="I393" s="6">
        <v>12</v>
      </c>
      <c r="J393" s="6">
        <v>6</v>
      </c>
      <c r="K393" s="6" t="s">
        <v>31</v>
      </c>
      <c r="L393" s="6" t="str">
        <f>VLOOKUP(K393, 'Alphabetical by species code'!A:B, 2, FALSE)</f>
        <v>Festuca myuros</v>
      </c>
      <c r="M393" s="6" t="str">
        <f>VLOOKUP(L393, 'Alphabetical by species code'!B:C, 2, FALSE)</f>
        <v>Non-Native</v>
      </c>
    </row>
    <row r="394" spans="1:13" x14ac:dyDescent="0.25">
      <c r="A394" s="6">
        <v>4</v>
      </c>
      <c r="B394" s="6">
        <v>2025</v>
      </c>
      <c r="C394" s="7">
        <v>45755</v>
      </c>
      <c r="D394" s="6" t="s">
        <v>54</v>
      </c>
      <c r="E394" s="6" t="s">
        <v>26</v>
      </c>
      <c r="F394" s="6">
        <v>3</v>
      </c>
      <c r="G394" s="6" t="s">
        <v>27</v>
      </c>
      <c r="H394" s="6">
        <v>2</v>
      </c>
      <c r="I394" s="6">
        <v>13</v>
      </c>
      <c r="J394" s="6">
        <v>6.5</v>
      </c>
      <c r="K394" s="6" t="s">
        <v>28</v>
      </c>
      <c r="L394" s="6" t="str">
        <f>VLOOKUP(K394, 'Alphabetical by species code'!A:B, 2, FALSE)</f>
        <v>Litter</v>
      </c>
      <c r="M394" s="6" t="str">
        <f>VLOOKUP(L394, 'Alphabetical by species code'!B:C, 2, FALSE)</f>
        <v>Ground Cover</v>
      </c>
    </row>
    <row r="395" spans="1:13" x14ac:dyDescent="0.25">
      <c r="A395" s="6">
        <v>4</v>
      </c>
      <c r="B395" s="6">
        <v>2025</v>
      </c>
      <c r="C395" s="7">
        <v>45755</v>
      </c>
      <c r="D395" s="6" t="s">
        <v>54</v>
      </c>
      <c r="E395" s="6" t="s">
        <v>26</v>
      </c>
      <c r="F395" s="6">
        <v>3</v>
      </c>
      <c r="G395" s="6" t="s">
        <v>27</v>
      </c>
      <c r="H395" s="6">
        <v>2</v>
      </c>
      <c r="I395" s="6">
        <v>13</v>
      </c>
      <c r="J395" s="6">
        <v>6.5</v>
      </c>
      <c r="K395" s="6" t="s">
        <v>35</v>
      </c>
      <c r="L395" s="6" t="str">
        <f>VLOOKUP(K395, 'Alphabetical by species code'!A:B, 2, FALSE)</f>
        <v>Deinandra fasciculata</v>
      </c>
      <c r="M395" s="6" t="str">
        <f>VLOOKUP(L395, 'Alphabetical by species code'!B:C, 2, FALSE)</f>
        <v>Native</v>
      </c>
    </row>
    <row r="396" spans="1:13" x14ac:dyDescent="0.25">
      <c r="A396" s="6">
        <v>4</v>
      </c>
      <c r="B396" s="6">
        <v>2025</v>
      </c>
      <c r="C396" s="7">
        <v>45755</v>
      </c>
      <c r="D396" s="6" t="s">
        <v>54</v>
      </c>
      <c r="E396" s="6" t="s">
        <v>26</v>
      </c>
      <c r="F396" s="6">
        <v>3</v>
      </c>
      <c r="G396" s="6" t="s">
        <v>27</v>
      </c>
      <c r="H396" s="6">
        <v>2</v>
      </c>
      <c r="I396" s="6">
        <v>14</v>
      </c>
      <c r="J396" s="6">
        <v>7</v>
      </c>
      <c r="K396" s="6" t="s">
        <v>28</v>
      </c>
      <c r="L396" s="6" t="str">
        <f>VLOOKUP(K396, 'Alphabetical by species code'!A:B, 2, FALSE)</f>
        <v>Litter</v>
      </c>
      <c r="M396" s="6" t="str">
        <f>VLOOKUP(L396, 'Alphabetical by species code'!B:C, 2, FALSE)</f>
        <v>Ground Cover</v>
      </c>
    </row>
    <row r="397" spans="1:13" x14ac:dyDescent="0.25">
      <c r="A397" s="6">
        <v>4</v>
      </c>
      <c r="B397" s="6">
        <v>2025</v>
      </c>
      <c r="C397" s="7">
        <v>45755</v>
      </c>
      <c r="D397" s="6" t="s">
        <v>54</v>
      </c>
      <c r="E397" s="6" t="s">
        <v>26</v>
      </c>
      <c r="F397" s="6">
        <v>3</v>
      </c>
      <c r="G397" s="6" t="s">
        <v>27</v>
      </c>
      <c r="H397" s="6">
        <v>2</v>
      </c>
      <c r="I397" s="6">
        <v>14</v>
      </c>
      <c r="J397" s="6">
        <v>7</v>
      </c>
      <c r="K397" s="6" t="s">
        <v>42</v>
      </c>
      <c r="L397" s="6" t="str">
        <f>VLOOKUP(K397, 'Alphabetical by species code'!A:B, 2, FALSE)</f>
        <v>Centaurea melitensis</v>
      </c>
      <c r="M397" s="6" t="str">
        <f>VLOOKUP(L397, 'Alphabetical by species code'!B:C, 2, FALSE)</f>
        <v>Non-Native</v>
      </c>
    </row>
    <row r="398" spans="1:13" x14ac:dyDescent="0.25">
      <c r="A398" s="6">
        <v>4</v>
      </c>
      <c r="B398" s="6">
        <v>2025</v>
      </c>
      <c r="C398" s="7">
        <v>45755</v>
      </c>
      <c r="D398" s="6" t="s">
        <v>54</v>
      </c>
      <c r="E398" s="6" t="s">
        <v>26</v>
      </c>
      <c r="F398" s="6">
        <v>3</v>
      </c>
      <c r="G398" s="6" t="s">
        <v>27</v>
      </c>
      <c r="H398" s="6">
        <v>2</v>
      </c>
      <c r="I398" s="6">
        <v>14</v>
      </c>
      <c r="J398" s="6">
        <v>7</v>
      </c>
      <c r="K398" s="6" t="s">
        <v>29</v>
      </c>
      <c r="L398" s="6" t="str">
        <f>VLOOKUP(K398, 'Alphabetical by species code'!A:B, 2, FALSE)</f>
        <v>Opuntia littoralis</v>
      </c>
      <c r="M398" s="6" t="str">
        <f>VLOOKUP(L398, 'Alphabetical by species code'!B:C, 2, FALSE)</f>
        <v>Native</v>
      </c>
    </row>
    <row r="399" spans="1:13" x14ac:dyDescent="0.25">
      <c r="A399" s="6">
        <v>4</v>
      </c>
      <c r="B399" s="6">
        <v>2025</v>
      </c>
      <c r="C399" s="7">
        <v>45755</v>
      </c>
      <c r="D399" s="6" t="s">
        <v>54</v>
      </c>
      <c r="E399" s="6" t="s">
        <v>26</v>
      </c>
      <c r="F399" s="6">
        <v>3</v>
      </c>
      <c r="G399" s="6" t="s">
        <v>27</v>
      </c>
      <c r="H399" s="6">
        <v>2</v>
      </c>
      <c r="I399" s="6">
        <v>14</v>
      </c>
      <c r="J399" s="6">
        <v>7</v>
      </c>
      <c r="K399" s="6" t="s">
        <v>61</v>
      </c>
      <c r="L399" s="6" t="str">
        <f>VLOOKUP(K399, 'Alphabetical by species code'!A:B, 2, FALSE)</f>
        <v>Phacelia cicutaria</v>
      </c>
      <c r="M399" s="6" t="str">
        <f>VLOOKUP(L399, 'Alphabetical by species code'!B:C, 2, FALSE)</f>
        <v>Native</v>
      </c>
    </row>
    <row r="400" spans="1:13" x14ac:dyDescent="0.25">
      <c r="A400" s="6">
        <v>4</v>
      </c>
      <c r="B400" s="6">
        <v>2025</v>
      </c>
      <c r="C400" s="7">
        <v>45755</v>
      </c>
      <c r="D400" s="6" t="s">
        <v>54</v>
      </c>
      <c r="E400" s="6" t="s">
        <v>26</v>
      </c>
      <c r="F400" s="6">
        <v>3</v>
      </c>
      <c r="G400" s="6" t="s">
        <v>27</v>
      </c>
      <c r="H400" s="6">
        <v>2</v>
      </c>
      <c r="I400" s="6">
        <v>15</v>
      </c>
      <c r="J400" s="6">
        <v>7.5</v>
      </c>
      <c r="K400" s="6" t="s">
        <v>28</v>
      </c>
      <c r="L400" s="6" t="str">
        <f>VLOOKUP(K400, 'Alphabetical by species code'!A:B, 2, FALSE)</f>
        <v>Litter</v>
      </c>
      <c r="M400" s="6" t="str">
        <f>VLOOKUP(L400, 'Alphabetical by species code'!B:C, 2, FALSE)</f>
        <v>Ground Cover</v>
      </c>
    </row>
    <row r="401" spans="1:13" x14ac:dyDescent="0.25">
      <c r="A401" s="6">
        <v>4</v>
      </c>
      <c r="B401" s="6">
        <v>2025</v>
      </c>
      <c r="C401" s="7">
        <v>45755</v>
      </c>
      <c r="D401" s="6" t="s">
        <v>54</v>
      </c>
      <c r="E401" s="6" t="s">
        <v>26</v>
      </c>
      <c r="F401" s="6">
        <v>3</v>
      </c>
      <c r="G401" s="6" t="s">
        <v>27</v>
      </c>
      <c r="H401" s="6">
        <v>2</v>
      </c>
      <c r="I401" s="6">
        <v>15</v>
      </c>
      <c r="J401" s="6">
        <v>7.5</v>
      </c>
      <c r="K401" s="6" t="s">
        <v>35</v>
      </c>
      <c r="L401" s="6" t="str">
        <f>VLOOKUP(K401, 'Alphabetical by species code'!A:B, 2, FALSE)</f>
        <v>Deinandra fasciculata</v>
      </c>
      <c r="M401" s="6" t="str">
        <f>VLOOKUP(L401, 'Alphabetical by species code'!B:C, 2, FALSE)</f>
        <v>Native</v>
      </c>
    </row>
    <row r="402" spans="1:13" x14ac:dyDescent="0.25">
      <c r="A402" s="6">
        <v>4</v>
      </c>
      <c r="B402" s="6">
        <v>2025</v>
      </c>
      <c r="C402" s="7">
        <v>45755</v>
      </c>
      <c r="D402" s="6" t="s">
        <v>54</v>
      </c>
      <c r="E402" s="6" t="s">
        <v>26</v>
      </c>
      <c r="F402" s="6">
        <v>3</v>
      </c>
      <c r="G402" s="6" t="s">
        <v>27</v>
      </c>
      <c r="H402" s="6">
        <v>2</v>
      </c>
      <c r="I402" s="6">
        <v>15</v>
      </c>
      <c r="J402" s="6">
        <v>7.5</v>
      </c>
      <c r="K402" s="6" t="s">
        <v>42</v>
      </c>
      <c r="L402" s="6" t="str">
        <f>VLOOKUP(K402, 'Alphabetical by species code'!A:B, 2, FALSE)</f>
        <v>Centaurea melitensis</v>
      </c>
      <c r="M402" s="6" t="str">
        <f>VLOOKUP(L402, 'Alphabetical by species code'!B:C, 2, FALSE)</f>
        <v>Non-Native</v>
      </c>
    </row>
    <row r="403" spans="1:13" x14ac:dyDescent="0.25">
      <c r="A403" s="6">
        <v>5</v>
      </c>
      <c r="B403" s="6">
        <v>2025</v>
      </c>
      <c r="C403" s="7">
        <v>45755</v>
      </c>
      <c r="D403" s="6" t="s">
        <v>62</v>
      </c>
      <c r="E403" s="6" t="s">
        <v>26</v>
      </c>
      <c r="F403" s="6">
        <v>3</v>
      </c>
      <c r="G403" s="6" t="s">
        <v>63</v>
      </c>
      <c r="H403" s="6">
        <v>1</v>
      </c>
      <c r="I403" s="6">
        <v>1</v>
      </c>
      <c r="J403" s="6">
        <v>0</v>
      </c>
      <c r="K403" s="6" t="s">
        <v>28</v>
      </c>
      <c r="L403" s="6" t="str">
        <f>VLOOKUP(K403, 'Alphabetical by species code'!A:B, 2, FALSE)</f>
        <v>Litter</v>
      </c>
      <c r="M403" s="6" t="str">
        <f>VLOOKUP(L403, 'Alphabetical by species code'!B:C, 2, FALSE)</f>
        <v>Ground Cover</v>
      </c>
    </row>
    <row r="404" spans="1:13" x14ac:dyDescent="0.25">
      <c r="A404" s="6">
        <v>5</v>
      </c>
      <c r="B404" s="6">
        <v>2025</v>
      </c>
      <c r="C404" s="7">
        <v>45755</v>
      </c>
      <c r="D404" s="6" t="s">
        <v>62</v>
      </c>
      <c r="E404" s="6" t="s">
        <v>26</v>
      </c>
      <c r="F404" s="6">
        <v>3</v>
      </c>
      <c r="G404" s="6" t="s">
        <v>63</v>
      </c>
      <c r="H404" s="6">
        <v>1</v>
      </c>
      <c r="I404" s="6">
        <v>1</v>
      </c>
      <c r="J404" s="6">
        <v>0</v>
      </c>
      <c r="K404" s="6" t="s">
        <v>31</v>
      </c>
      <c r="L404" s="6" t="str">
        <f>VLOOKUP(K404, 'Alphabetical by species code'!A:B, 2, FALSE)</f>
        <v>Festuca myuros</v>
      </c>
      <c r="M404" s="6" t="str">
        <f>VLOOKUP(L404, 'Alphabetical by species code'!B:C, 2, FALSE)</f>
        <v>Non-Native</v>
      </c>
    </row>
    <row r="405" spans="1:13" x14ac:dyDescent="0.25">
      <c r="A405" s="6">
        <v>5</v>
      </c>
      <c r="B405" s="6">
        <v>2025</v>
      </c>
      <c r="C405" s="7">
        <v>45755</v>
      </c>
      <c r="D405" s="6" t="s">
        <v>62</v>
      </c>
      <c r="E405" s="6" t="s">
        <v>26</v>
      </c>
      <c r="F405" s="6">
        <v>3</v>
      </c>
      <c r="G405" s="6" t="s">
        <v>63</v>
      </c>
      <c r="H405" s="6">
        <v>1</v>
      </c>
      <c r="I405" s="6">
        <v>1</v>
      </c>
      <c r="J405" s="6">
        <v>0</v>
      </c>
      <c r="K405" s="6" t="s">
        <v>32</v>
      </c>
      <c r="L405" s="6" t="str">
        <f>VLOOKUP(K405, 'Alphabetical by species code'!A:B, 2, FALSE)</f>
        <v>Medicago polymorpha</v>
      </c>
      <c r="M405" s="6" t="str">
        <f>VLOOKUP(L405, 'Alphabetical by species code'!B:C, 2, FALSE)</f>
        <v>Non-Native</v>
      </c>
    </row>
    <row r="406" spans="1:13" x14ac:dyDescent="0.25">
      <c r="A406" s="6">
        <v>5</v>
      </c>
      <c r="B406" s="6">
        <v>2025</v>
      </c>
      <c r="C406" s="7">
        <v>45755</v>
      </c>
      <c r="D406" s="6" t="s">
        <v>62</v>
      </c>
      <c r="E406" s="6" t="s">
        <v>26</v>
      </c>
      <c r="F406" s="6">
        <v>3</v>
      </c>
      <c r="G406" s="6" t="s">
        <v>63</v>
      </c>
      <c r="H406" s="6">
        <v>1</v>
      </c>
      <c r="I406" s="6">
        <v>1</v>
      </c>
      <c r="J406" s="6">
        <v>0</v>
      </c>
      <c r="K406" s="6" t="s">
        <v>42</v>
      </c>
      <c r="L406" s="6" t="str">
        <f>VLOOKUP(K406, 'Alphabetical by species code'!A:B, 2, FALSE)</f>
        <v>Centaurea melitensis</v>
      </c>
      <c r="M406" s="6" t="str">
        <f>VLOOKUP(L406, 'Alphabetical by species code'!B:C, 2, FALSE)</f>
        <v>Non-Native</v>
      </c>
    </row>
    <row r="407" spans="1:13" x14ac:dyDescent="0.25">
      <c r="A407" s="6">
        <v>5</v>
      </c>
      <c r="B407" s="6">
        <v>2025</v>
      </c>
      <c r="C407" s="7">
        <v>45755</v>
      </c>
      <c r="D407" s="6" t="s">
        <v>62</v>
      </c>
      <c r="E407" s="6" t="s">
        <v>26</v>
      </c>
      <c r="F407" s="6">
        <v>3</v>
      </c>
      <c r="G407" s="6" t="s">
        <v>63</v>
      </c>
      <c r="H407" s="6">
        <v>1</v>
      </c>
      <c r="I407" s="6">
        <v>2</v>
      </c>
      <c r="J407" s="6">
        <v>1</v>
      </c>
      <c r="K407" s="6" t="s">
        <v>28</v>
      </c>
      <c r="L407" s="6" t="str">
        <f>VLOOKUP(K407, 'Alphabetical by species code'!A:B, 2, FALSE)</f>
        <v>Litter</v>
      </c>
      <c r="M407" s="6" t="str">
        <f>VLOOKUP(L407, 'Alphabetical by species code'!B:C, 2, FALSE)</f>
        <v>Ground Cover</v>
      </c>
    </row>
    <row r="408" spans="1:13" x14ac:dyDescent="0.25">
      <c r="A408" s="6">
        <v>5</v>
      </c>
      <c r="B408" s="6">
        <v>2025</v>
      </c>
      <c r="C408" s="7">
        <v>45755</v>
      </c>
      <c r="D408" s="6" t="s">
        <v>62</v>
      </c>
      <c r="E408" s="6" t="s">
        <v>26</v>
      </c>
      <c r="F408" s="6">
        <v>3</v>
      </c>
      <c r="G408" s="6" t="s">
        <v>63</v>
      </c>
      <c r="H408" s="6">
        <v>1</v>
      </c>
      <c r="I408" s="6">
        <v>2</v>
      </c>
      <c r="J408" s="6">
        <v>1</v>
      </c>
      <c r="K408" s="6" t="s">
        <v>31</v>
      </c>
      <c r="L408" s="6" t="str">
        <f>VLOOKUP(K408, 'Alphabetical by species code'!A:B, 2, FALSE)</f>
        <v>Festuca myuros</v>
      </c>
      <c r="M408" s="6" t="str">
        <f>VLOOKUP(L408, 'Alphabetical by species code'!B:C, 2, FALSE)</f>
        <v>Non-Native</v>
      </c>
    </row>
    <row r="409" spans="1:13" x14ac:dyDescent="0.25">
      <c r="A409" s="6">
        <v>5</v>
      </c>
      <c r="B409" s="6">
        <v>2025</v>
      </c>
      <c r="C409" s="7">
        <v>45755</v>
      </c>
      <c r="D409" s="6" t="s">
        <v>62</v>
      </c>
      <c r="E409" s="6" t="s">
        <v>26</v>
      </c>
      <c r="F409" s="6">
        <v>3</v>
      </c>
      <c r="G409" s="6" t="s">
        <v>63</v>
      </c>
      <c r="H409" s="6">
        <v>1</v>
      </c>
      <c r="I409" s="6">
        <v>2</v>
      </c>
      <c r="J409" s="6">
        <v>1</v>
      </c>
      <c r="K409" s="6" t="s">
        <v>39</v>
      </c>
      <c r="L409" s="6" t="str">
        <f>VLOOKUP(K409, 'Alphabetical by species code'!A:B, 2, FALSE)</f>
        <v>Stephanomeria diegensis</v>
      </c>
      <c r="M409" s="6" t="str">
        <f>VLOOKUP(L409, 'Alphabetical by species code'!B:C, 2, FALSE)</f>
        <v>Native</v>
      </c>
    </row>
    <row r="410" spans="1:13" x14ac:dyDescent="0.25">
      <c r="A410" s="6">
        <v>5</v>
      </c>
      <c r="B410" s="6">
        <v>2025</v>
      </c>
      <c r="C410" s="7">
        <v>45755</v>
      </c>
      <c r="D410" s="6" t="s">
        <v>62</v>
      </c>
      <c r="E410" s="6" t="s">
        <v>26</v>
      </c>
      <c r="F410" s="6">
        <v>3</v>
      </c>
      <c r="G410" s="6" t="s">
        <v>63</v>
      </c>
      <c r="H410" s="6">
        <v>1</v>
      </c>
      <c r="I410" s="6">
        <v>3</v>
      </c>
      <c r="J410" s="6">
        <v>1.5</v>
      </c>
      <c r="K410" s="6" t="s">
        <v>28</v>
      </c>
      <c r="L410" s="6" t="str">
        <f>VLOOKUP(K410, 'Alphabetical by species code'!A:B, 2, FALSE)</f>
        <v>Litter</v>
      </c>
      <c r="M410" s="6" t="str">
        <f>VLOOKUP(L410, 'Alphabetical by species code'!B:C, 2, FALSE)</f>
        <v>Ground Cover</v>
      </c>
    </row>
    <row r="411" spans="1:13" x14ac:dyDescent="0.25">
      <c r="A411" s="6">
        <v>5</v>
      </c>
      <c r="B411" s="6">
        <v>2025</v>
      </c>
      <c r="C411" s="7">
        <v>45755</v>
      </c>
      <c r="D411" s="6" t="s">
        <v>62</v>
      </c>
      <c r="E411" s="6" t="s">
        <v>26</v>
      </c>
      <c r="F411" s="6">
        <v>3</v>
      </c>
      <c r="G411" s="6" t="s">
        <v>63</v>
      </c>
      <c r="H411" s="6">
        <v>1</v>
      </c>
      <c r="I411" s="6">
        <v>3</v>
      </c>
      <c r="J411" s="6">
        <v>1.5</v>
      </c>
      <c r="K411" s="6" t="s">
        <v>55</v>
      </c>
      <c r="L411" s="6" t="str">
        <f>VLOOKUP(K411, 'Alphabetical by species code'!A:B, 2, FALSE)</f>
        <v>Daucus pusillus</v>
      </c>
      <c r="M411" s="6" t="str">
        <f>VLOOKUP(L411, 'Alphabetical by species code'!B:C, 2, FALSE)</f>
        <v>Native</v>
      </c>
    </row>
    <row r="412" spans="1:13" x14ac:dyDescent="0.25">
      <c r="A412" s="6">
        <v>5</v>
      </c>
      <c r="B412" s="6">
        <v>2025</v>
      </c>
      <c r="C412" s="7">
        <v>45755</v>
      </c>
      <c r="D412" s="6" t="s">
        <v>62</v>
      </c>
      <c r="E412" s="6" t="s">
        <v>26</v>
      </c>
      <c r="F412" s="6">
        <v>3</v>
      </c>
      <c r="G412" s="6" t="s">
        <v>63</v>
      </c>
      <c r="H412" s="6">
        <v>1</v>
      </c>
      <c r="I412" s="6">
        <v>3</v>
      </c>
      <c r="J412" s="6">
        <v>1.5</v>
      </c>
      <c r="K412" s="6" t="s">
        <v>49</v>
      </c>
      <c r="L412" s="6" t="str">
        <f>VLOOKUP(K412, 'Alphabetical by species code'!A:B, 2, FALSE)</f>
        <v>Anagallis arvensis</v>
      </c>
      <c r="M412" s="6" t="str">
        <f>VLOOKUP(L412, 'Alphabetical by species code'!B:C, 2, FALSE)</f>
        <v>Non-Native</v>
      </c>
    </row>
    <row r="413" spans="1:13" x14ac:dyDescent="0.25">
      <c r="A413" s="6">
        <v>5</v>
      </c>
      <c r="B413" s="6">
        <v>2025</v>
      </c>
      <c r="C413" s="7">
        <v>45755</v>
      </c>
      <c r="D413" s="6" t="s">
        <v>62</v>
      </c>
      <c r="E413" s="6" t="s">
        <v>26</v>
      </c>
      <c r="F413" s="6">
        <v>3</v>
      </c>
      <c r="G413" s="6" t="s">
        <v>63</v>
      </c>
      <c r="H413" s="6">
        <v>1</v>
      </c>
      <c r="I413" s="6">
        <v>3</v>
      </c>
      <c r="J413" s="6">
        <v>1.5</v>
      </c>
      <c r="K413" s="6" t="s">
        <v>31</v>
      </c>
      <c r="L413" s="6" t="str">
        <f>VLOOKUP(K413, 'Alphabetical by species code'!A:B, 2, FALSE)</f>
        <v>Festuca myuros</v>
      </c>
      <c r="M413" s="6" t="str">
        <f>VLOOKUP(L413, 'Alphabetical by species code'!B:C, 2, FALSE)</f>
        <v>Non-Native</v>
      </c>
    </row>
    <row r="414" spans="1:13" x14ac:dyDescent="0.25">
      <c r="A414" s="6">
        <v>5</v>
      </c>
      <c r="B414" s="6">
        <v>2025</v>
      </c>
      <c r="C414" s="7">
        <v>45755</v>
      </c>
      <c r="D414" s="6" t="s">
        <v>62</v>
      </c>
      <c r="E414" s="6" t="s">
        <v>26</v>
      </c>
      <c r="F414" s="6">
        <v>3</v>
      </c>
      <c r="G414" s="6" t="s">
        <v>63</v>
      </c>
      <c r="H414" s="6">
        <v>1</v>
      </c>
      <c r="I414" s="6">
        <v>4</v>
      </c>
      <c r="J414" s="6">
        <v>2</v>
      </c>
      <c r="K414" s="6" t="s">
        <v>28</v>
      </c>
      <c r="L414" s="6" t="str">
        <f>VLOOKUP(K414, 'Alphabetical by species code'!A:B, 2, FALSE)</f>
        <v>Litter</v>
      </c>
      <c r="M414" s="6" t="str">
        <f>VLOOKUP(L414, 'Alphabetical by species code'!B:C, 2, FALSE)</f>
        <v>Ground Cover</v>
      </c>
    </row>
    <row r="415" spans="1:13" x14ac:dyDescent="0.25">
      <c r="A415" s="6">
        <v>5</v>
      </c>
      <c r="B415" s="6">
        <v>2025</v>
      </c>
      <c r="C415" s="7">
        <v>45755</v>
      </c>
      <c r="D415" s="6" t="s">
        <v>62</v>
      </c>
      <c r="E415" s="6" t="s">
        <v>26</v>
      </c>
      <c r="F415" s="6">
        <v>3</v>
      </c>
      <c r="G415" s="6" t="s">
        <v>63</v>
      </c>
      <c r="H415" s="6">
        <v>1</v>
      </c>
      <c r="I415" s="6">
        <v>4</v>
      </c>
      <c r="J415" s="6">
        <v>2</v>
      </c>
      <c r="K415" s="6" t="s">
        <v>32</v>
      </c>
      <c r="L415" s="6" t="str">
        <f>VLOOKUP(K415, 'Alphabetical by species code'!A:B, 2, FALSE)</f>
        <v>Medicago polymorpha</v>
      </c>
      <c r="M415" s="6" t="str">
        <f>VLOOKUP(L415, 'Alphabetical by species code'!B:C, 2, FALSE)</f>
        <v>Non-Native</v>
      </c>
    </row>
    <row r="416" spans="1:13" x14ac:dyDescent="0.25">
      <c r="A416" s="6">
        <v>5</v>
      </c>
      <c r="B416" s="6">
        <v>2025</v>
      </c>
      <c r="C416" s="7">
        <v>45755</v>
      </c>
      <c r="D416" s="6" t="s">
        <v>62</v>
      </c>
      <c r="E416" s="6" t="s">
        <v>26</v>
      </c>
      <c r="F416" s="6">
        <v>3</v>
      </c>
      <c r="G416" s="6" t="s">
        <v>63</v>
      </c>
      <c r="H416" s="6">
        <v>1</v>
      </c>
      <c r="I416" s="6">
        <v>4</v>
      </c>
      <c r="J416" s="6">
        <v>2</v>
      </c>
      <c r="K416" s="6" t="s">
        <v>31</v>
      </c>
      <c r="L416" s="6" t="str">
        <f>VLOOKUP(K416, 'Alphabetical by species code'!A:B, 2, FALSE)</f>
        <v>Festuca myuros</v>
      </c>
      <c r="M416" s="6" t="str">
        <f>VLOOKUP(L416, 'Alphabetical by species code'!B:C, 2, FALSE)</f>
        <v>Non-Native</v>
      </c>
    </row>
    <row r="417" spans="1:13" x14ac:dyDescent="0.25">
      <c r="A417" s="6">
        <v>5</v>
      </c>
      <c r="B417" s="6">
        <v>2025</v>
      </c>
      <c r="C417" s="7">
        <v>45755</v>
      </c>
      <c r="D417" s="6" t="s">
        <v>62</v>
      </c>
      <c r="E417" s="6" t="s">
        <v>26</v>
      </c>
      <c r="F417" s="6">
        <v>3</v>
      </c>
      <c r="G417" s="6" t="s">
        <v>63</v>
      </c>
      <c r="H417" s="6">
        <v>1</v>
      </c>
      <c r="I417" s="6">
        <v>4</v>
      </c>
      <c r="J417" s="6">
        <v>2</v>
      </c>
      <c r="K417" s="6" t="s">
        <v>64</v>
      </c>
      <c r="L417" s="6" t="str">
        <f>VLOOKUP(K417, 'Alphabetical by species code'!A:B, 2, FALSE)</f>
        <v>Brassica nigra</v>
      </c>
      <c r="M417" s="6" t="str">
        <f>VLOOKUP(L417, 'Alphabetical by species code'!B:C, 2, FALSE)</f>
        <v>Non-Native</v>
      </c>
    </row>
    <row r="418" spans="1:13" x14ac:dyDescent="0.25">
      <c r="A418" s="6">
        <v>5</v>
      </c>
      <c r="B418" s="6">
        <v>2025</v>
      </c>
      <c r="C418" s="7">
        <v>45755</v>
      </c>
      <c r="D418" s="6" t="s">
        <v>62</v>
      </c>
      <c r="E418" s="6" t="s">
        <v>26</v>
      </c>
      <c r="F418" s="6">
        <v>3</v>
      </c>
      <c r="G418" s="6" t="s">
        <v>63</v>
      </c>
      <c r="H418" s="6">
        <v>1</v>
      </c>
      <c r="I418" s="6">
        <v>5</v>
      </c>
      <c r="J418" s="6">
        <v>3</v>
      </c>
      <c r="K418" s="6" t="s">
        <v>28</v>
      </c>
      <c r="L418" s="6" t="str">
        <f>VLOOKUP(K418, 'Alphabetical by species code'!A:B, 2, FALSE)</f>
        <v>Litter</v>
      </c>
      <c r="M418" s="6" t="str">
        <f>VLOOKUP(L418, 'Alphabetical by species code'!B:C, 2, FALSE)</f>
        <v>Ground Cover</v>
      </c>
    </row>
    <row r="419" spans="1:13" x14ac:dyDescent="0.25">
      <c r="A419" s="6">
        <v>5</v>
      </c>
      <c r="B419" s="6">
        <v>2025</v>
      </c>
      <c r="C419" s="7">
        <v>45755</v>
      </c>
      <c r="D419" s="6" t="s">
        <v>62</v>
      </c>
      <c r="E419" s="6" t="s">
        <v>26</v>
      </c>
      <c r="F419" s="6">
        <v>3</v>
      </c>
      <c r="G419" s="6" t="s">
        <v>63</v>
      </c>
      <c r="H419" s="6">
        <v>1</v>
      </c>
      <c r="I419" s="6">
        <v>5</v>
      </c>
      <c r="J419" s="6">
        <v>3</v>
      </c>
      <c r="K419" s="6" t="s">
        <v>49</v>
      </c>
      <c r="L419" s="6" t="str">
        <f>VLOOKUP(K419, 'Alphabetical by species code'!A:B, 2, FALSE)</f>
        <v>Anagallis arvensis</v>
      </c>
      <c r="M419" s="6" t="str">
        <f>VLOOKUP(L419, 'Alphabetical by species code'!B:C, 2, FALSE)</f>
        <v>Non-Native</v>
      </c>
    </row>
    <row r="420" spans="1:13" x14ac:dyDescent="0.25">
      <c r="A420" s="6">
        <v>5</v>
      </c>
      <c r="B420" s="6">
        <v>2025</v>
      </c>
      <c r="C420" s="7">
        <v>45755</v>
      </c>
      <c r="D420" s="6" t="s">
        <v>62</v>
      </c>
      <c r="E420" s="6" t="s">
        <v>26</v>
      </c>
      <c r="F420" s="6">
        <v>3</v>
      </c>
      <c r="G420" s="6" t="s">
        <v>63</v>
      </c>
      <c r="H420" s="6">
        <v>1</v>
      </c>
      <c r="I420" s="6">
        <v>5</v>
      </c>
      <c r="J420" s="6">
        <v>3</v>
      </c>
      <c r="K420" s="6" t="s">
        <v>32</v>
      </c>
      <c r="L420" s="6" t="str">
        <f>VLOOKUP(K420, 'Alphabetical by species code'!A:B, 2, FALSE)</f>
        <v>Medicago polymorpha</v>
      </c>
      <c r="M420" s="6" t="str">
        <f>VLOOKUP(L420, 'Alphabetical by species code'!B:C, 2, FALSE)</f>
        <v>Non-Native</v>
      </c>
    </row>
    <row r="421" spans="1:13" x14ac:dyDescent="0.25">
      <c r="A421" s="6">
        <v>5</v>
      </c>
      <c r="B421" s="6">
        <v>2025</v>
      </c>
      <c r="C421" s="7">
        <v>45755</v>
      </c>
      <c r="D421" s="6" t="s">
        <v>62</v>
      </c>
      <c r="E421" s="6" t="s">
        <v>26</v>
      </c>
      <c r="F421" s="6">
        <v>3</v>
      </c>
      <c r="G421" s="6" t="s">
        <v>63</v>
      </c>
      <c r="H421" s="6">
        <v>1</v>
      </c>
      <c r="I421" s="6">
        <v>5</v>
      </c>
      <c r="J421" s="6">
        <v>3</v>
      </c>
      <c r="K421" s="6" t="s">
        <v>42</v>
      </c>
      <c r="L421" s="6" t="str">
        <f>VLOOKUP(K421, 'Alphabetical by species code'!A:B, 2, FALSE)</f>
        <v>Centaurea melitensis</v>
      </c>
      <c r="M421" s="6" t="str">
        <f>VLOOKUP(L421, 'Alphabetical by species code'!B:C, 2, FALSE)</f>
        <v>Non-Native</v>
      </c>
    </row>
    <row r="422" spans="1:13" x14ac:dyDescent="0.25">
      <c r="A422" s="6">
        <v>5</v>
      </c>
      <c r="B422" s="6">
        <v>2025</v>
      </c>
      <c r="C422" s="7">
        <v>45755</v>
      </c>
      <c r="D422" s="6" t="s">
        <v>62</v>
      </c>
      <c r="E422" s="6" t="s">
        <v>26</v>
      </c>
      <c r="F422" s="6">
        <v>3</v>
      </c>
      <c r="G422" s="6" t="s">
        <v>63</v>
      </c>
      <c r="H422" s="6">
        <v>1</v>
      </c>
      <c r="I422" s="6">
        <v>6</v>
      </c>
      <c r="J422" s="6">
        <v>3.5</v>
      </c>
      <c r="K422" s="6" t="s">
        <v>28</v>
      </c>
      <c r="L422" s="6" t="str">
        <f>VLOOKUP(K422, 'Alphabetical by species code'!A:B, 2, FALSE)</f>
        <v>Litter</v>
      </c>
      <c r="M422" s="6" t="str">
        <f>VLOOKUP(L422, 'Alphabetical by species code'!B:C, 2, FALSE)</f>
        <v>Ground Cover</v>
      </c>
    </row>
    <row r="423" spans="1:13" x14ac:dyDescent="0.25">
      <c r="A423" s="6">
        <v>5</v>
      </c>
      <c r="B423" s="6">
        <v>2025</v>
      </c>
      <c r="C423" s="7">
        <v>45755</v>
      </c>
      <c r="D423" s="6" t="s">
        <v>62</v>
      </c>
      <c r="E423" s="6" t="s">
        <v>26</v>
      </c>
      <c r="F423" s="6">
        <v>3</v>
      </c>
      <c r="G423" s="6" t="s">
        <v>63</v>
      </c>
      <c r="H423" s="6">
        <v>1</v>
      </c>
      <c r="I423" s="6">
        <v>6</v>
      </c>
      <c r="J423" s="6">
        <v>3.5</v>
      </c>
      <c r="K423" s="6" t="s">
        <v>32</v>
      </c>
      <c r="L423" s="6" t="str">
        <f>VLOOKUP(K423, 'Alphabetical by species code'!A:B, 2, FALSE)</f>
        <v>Medicago polymorpha</v>
      </c>
      <c r="M423" s="6" t="str">
        <f>VLOOKUP(L423, 'Alphabetical by species code'!B:C, 2, FALSE)</f>
        <v>Non-Native</v>
      </c>
    </row>
    <row r="424" spans="1:13" x14ac:dyDescent="0.25">
      <c r="A424" s="6">
        <v>5</v>
      </c>
      <c r="B424" s="6">
        <v>2025</v>
      </c>
      <c r="C424" s="7">
        <v>45755</v>
      </c>
      <c r="D424" s="6" t="s">
        <v>62</v>
      </c>
      <c r="E424" s="6" t="s">
        <v>26</v>
      </c>
      <c r="F424" s="6">
        <v>3</v>
      </c>
      <c r="G424" s="6" t="s">
        <v>63</v>
      </c>
      <c r="H424" s="6">
        <v>1</v>
      </c>
      <c r="I424" s="6">
        <v>6</v>
      </c>
      <c r="J424" s="6">
        <v>3.5</v>
      </c>
      <c r="K424" s="6" t="s">
        <v>31</v>
      </c>
      <c r="L424" s="6" t="str">
        <f>VLOOKUP(K424, 'Alphabetical by species code'!A:B, 2, FALSE)</f>
        <v>Festuca myuros</v>
      </c>
      <c r="M424" s="6" t="str">
        <f>VLOOKUP(L424, 'Alphabetical by species code'!B:C, 2, FALSE)</f>
        <v>Non-Native</v>
      </c>
    </row>
    <row r="425" spans="1:13" x14ac:dyDescent="0.25">
      <c r="A425" s="6">
        <v>5</v>
      </c>
      <c r="B425" s="6">
        <v>2025</v>
      </c>
      <c r="C425" s="7">
        <v>45755</v>
      </c>
      <c r="D425" s="6" t="s">
        <v>62</v>
      </c>
      <c r="E425" s="6" t="s">
        <v>26</v>
      </c>
      <c r="F425" s="6">
        <v>3</v>
      </c>
      <c r="G425" s="6" t="s">
        <v>63</v>
      </c>
      <c r="H425" s="6">
        <v>1</v>
      </c>
      <c r="I425" s="6">
        <v>6</v>
      </c>
      <c r="J425" s="6">
        <v>3.5</v>
      </c>
      <c r="K425" s="6" t="s">
        <v>42</v>
      </c>
      <c r="L425" s="6" t="str">
        <f>VLOOKUP(K425, 'Alphabetical by species code'!A:B, 2, FALSE)</f>
        <v>Centaurea melitensis</v>
      </c>
      <c r="M425" s="6" t="str">
        <f>VLOOKUP(L425, 'Alphabetical by species code'!B:C, 2, FALSE)</f>
        <v>Non-Native</v>
      </c>
    </row>
    <row r="426" spans="1:13" x14ac:dyDescent="0.25">
      <c r="A426" s="6">
        <v>5</v>
      </c>
      <c r="B426" s="6">
        <v>2025</v>
      </c>
      <c r="C426" s="7">
        <v>45755</v>
      </c>
      <c r="D426" s="6" t="s">
        <v>62</v>
      </c>
      <c r="E426" s="6" t="s">
        <v>26</v>
      </c>
      <c r="F426" s="6">
        <v>3</v>
      </c>
      <c r="G426" s="6" t="s">
        <v>63</v>
      </c>
      <c r="H426" s="6">
        <v>1</v>
      </c>
      <c r="I426" s="6">
        <v>6</v>
      </c>
      <c r="J426" s="6">
        <v>3.5</v>
      </c>
      <c r="K426" s="6" t="s">
        <v>48</v>
      </c>
      <c r="L426" s="6" t="str">
        <f>VLOOKUP(K426, 'Alphabetical by species code'!A:B, 2, FALSE)</f>
        <v>Sonchus asper</v>
      </c>
      <c r="M426" s="6" t="str">
        <f>VLOOKUP(L426, 'Alphabetical by species code'!B:C, 2, FALSE)</f>
        <v>Non-Native</v>
      </c>
    </row>
    <row r="427" spans="1:13" x14ac:dyDescent="0.25">
      <c r="A427" s="6">
        <v>5</v>
      </c>
      <c r="B427" s="6">
        <v>2025</v>
      </c>
      <c r="C427" s="7">
        <v>45755</v>
      </c>
      <c r="D427" s="6" t="s">
        <v>62</v>
      </c>
      <c r="E427" s="6" t="s">
        <v>26</v>
      </c>
      <c r="F427" s="6">
        <v>3</v>
      </c>
      <c r="G427" s="6" t="s">
        <v>63</v>
      </c>
      <c r="H427" s="6">
        <v>1</v>
      </c>
      <c r="I427" s="6">
        <v>7</v>
      </c>
      <c r="J427" s="6">
        <v>4</v>
      </c>
      <c r="K427" s="6" t="s">
        <v>28</v>
      </c>
      <c r="L427" s="6" t="str">
        <f>VLOOKUP(K427, 'Alphabetical by species code'!A:B, 2, FALSE)</f>
        <v>Litter</v>
      </c>
      <c r="M427" s="6" t="str">
        <f>VLOOKUP(L427, 'Alphabetical by species code'!B:C, 2, FALSE)</f>
        <v>Ground Cover</v>
      </c>
    </row>
    <row r="428" spans="1:13" x14ac:dyDescent="0.25">
      <c r="A428" s="6">
        <v>5</v>
      </c>
      <c r="B428" s="6">
        <v>2025</v>
      </c>
      <c r="C428" s="7">
        <v>45755</v>
      </c>
      <c r="D428" s="6" t="s">
        <v>62</v>
      </c>
      <c r="E428" s="6" t="s">
        <v>26</v>
      </c>
      <c r="F428" s="6">
        <v>3</v>
      </c>
      <c r="G428" s="6" t="s">
        <v>63</v>
      </c>
      <c r="H428" s="6">
        <v>1</v>
      </c>
      <c r="I428" s="6">
        <v>7</v>
      </c>
      <c r="J428" s="6">
        <v>4</v>
      </c>
      <c r="K428" s="6" t="s">
        <v>32</v>
      </c>
      <c r="L428" s="6" t="str">
        <f>VLOOKUP(K428, 'Alphabetical by species code'!A:B, 2, FALSE)</f>
        <v>Medicago polymorpha</v>
      </c>
      <c r="M428" s="6" t="str">
        <f>VLOOKUP(L428, 'Alphabetical by species code'!B:C, 2, FALSE)</f>
        <v>Non-Native</v>
      </c>
    </row>
    <row r="429" spans="1:13" x14ac:dyDescent="0.25">
      <c r="A429" s="6">
        <v>5</v>
      </c>
      <c r="B429" s="6">
        <v>2025</v>
      </c>
      <c r="C429" s="7">
        <v>45755</v>
      </c>
      <c r="D429" s="6" t="s">
        <v>62</v>
      </c>
      <c r="E429" s="6" t="s">
        <v>26</v>
      </c>
      <c r="F429" s="6">
        <v>3</v>
      </c>
      <c r="G429" s="6" t="s">
        <v>63</v>
      </c>
      <c r="H429" s="6">
        <v>1</v>
      </c>
      <c r="I429" s="6">
        <v>7</v>
      </c>
      <c r="J429" s="6">
        <v>4</v>
      </c>
      <c r="K429" s="6" t="s">
        <v>42</v>
      </c>
      <c r="L429" s="6" t="str">
        <f>VLOOKUP(K429, 'Alphabetical by species code'!A:B, 2, FALSE)</f>
        <v>Centaurea melitensis</v>
      </c>
      <c r="M429" s="6" t="str">
        <f>VLOOKUP(L429, 'Alphabetical by species code'!B:C, 2, FALSE)</f>
        <v>Non-Native</v>
      </c>
    </row>
    <row r="430" spans="1:13" x14ac:dyDescent="0.25">
      <c r="A430" s="6">
        <v>5</v>
      </c>
      <c r="B430" s="6">
        <v>2025</v>
      </c>
      <c r="C430" s="7">
        <v>45755</v>
      </c>
      <c r="D430" s="6" t="s">
        <v>62</v>
      </c>
      <c r="E430" s="6" t="s">
        <v>26</v>
      </c>
      <c r="F430" s="6">
        <v>3</v>
      </c>
      <c r="G430" s="6" t="s">
        <v>63</v>
      </c>
      <c r="H430" s="6">
        <v>1</v>
      </c>
      <c r="I430" s="6">
        <v>7</v>
      </c>
      <c r="J430" s="6">
        <v>4</v>
      </c>
      <c r="K430" s="6" t="s">
        <v>31</v>
      </c>
      <c r="L430" s="6" t="str">
        <f>VLOOKUP(K430, 'Alphabetical by species code'!A:B, 2, FALSE)</f>
        <v>Festuca myuros</v>
      </c>
      <c r="M430" s="6" t="str">
        <f>VLOOKUP(L430, 'Alphabetical by species code'!B:C, 2, FALSE)</f>
        <v>Non-Native</v>
      </c>
    </row>
    <row r="431" spans="1:13" x14ac:dyDescent="0.25">
      <c r="A431" s="6">
        <v>5</v>
      </c>
      <c r="B431" s="6">
        <v>2025</v>
      </c>
      <c r="C431" s="7">
        <v>45755</v>
      </c>
      <c r="D431" s="6" t="s">
        <v>62</v>
      </c>
      <c r="E431" s="6" t="s">
        <v>26</v>
      </c>
      <c r="F431" s="6">
        <v>3</v>
      </c>
      <c r="G431" s="6" t="s">
        <v>63</v>
      </c>
      <c r="H431" s="6">
        <v>1</v>
      </c>
      <c r="I431" s="6">
        <v>8</v>
      </c>
      <c r="J431" s="6">
        <v>5</v>
      </c>
      <c r="K431" s="6" t="s">
        <v>28</v>
      </c>
      <c r="L431" s="6" t="str">
        <f>VLOOKUP(K431, 'Alphabetical by species code'!A:B, 2, FALSE)</f>
        <v>Litter</v>
      </c>
      <c r="M431" s="6" t="str">
        <f>VLOOKUP(L431, 'Alphabetical by species code'!B:C, 2, FALSE)</f>
        <v>Ground Cover</v>
      </c>
    </row>
    <row r="432" spans="1:13" x14ac:dyDescent="0.25">
      <c r="A432" s="6">
        <v>5</v>
      </c>
      <c r="B432" s="6">
        <v>2025</v>
      </c>
      <c r="C432" s="7">
        <v>45755</v>
      </c>
      <c r="D432" s="6" t="s">
        <v>62</v>
      </c>
      <c r="E432" s="6" t="s">
        <v>26</v>
      </c>
      <c r="F432" s="6">
        <v>3</v>
      </c>
      <c r="G432" s="6" t="s">
        <v>63</v>
      </c>
      <c r="H432" s="6">
        <v>1</v>
      </c>
      <c r="I432" s="6">
        <v>8</v>
      </c>
      <c r="J432" s="6">
        <v>5</v>
      </c>
      <c r="K432" s="6" t="s">
        <v>35</v>
      </c>
      <c r="L432" s="6" t="str">
        <f>VLOOKUP(K432, 'Alphabetical by species code'!A:B, 2, FALSE)</f>
        <v>Deinandra fasciculata</v>
      </c>
      <c r="M432" s="6" t="str">
        <f>VLOOKUP(L432, 'Alphabetical by species code'!B:C, 2, FALSE)</f>
        <v>Native</v>
      </c>
    </row>
    <row r="433" spans="1:13" x14ac:dyDescent="0.25">
      <c r="A433" s="6">
        <v>5</v>
      </c>
      <c r="B433" s="6">
        <v>2025</v>
      </c>
      <c r="C433" s="7">
        <v>45755</v>
      </c>
      <c r="D433" s="6" t="s">
        <v>62</v>
      </c>
      <c r="E433" s="6" t="s">
        <v>26</v>
      </c>
      <c r="F433" s="6">
        <v>3</v>
      </c>
      <c r="G433" s="6" t="s">
        <v>63</v>
      </c>
      <c r="H433" s="6">
        <v>1</v>
      </c>
      <c r="I433" s="6">
        <v>8</v>
      </c>
      <c r="J433" s="6">
        <v>5</v>
      </c>
      <c r="K433" s="6" t="s">
        <v>31</v>
      </c>
      <c r="L433" s="6" t="str">
        <f>VLOOKUP(K433, 'Alphabetical by species code'!A:B, 2, FALSE)</f>
        <v>Festuca myuros</v>
      </c>
      <c r="M433" s="6" t="str">
        <f>VLOOKUP(L433, 'Alphabetical by species code'!B:C, 2, FALSE)</f>
        <v>Non-Native</v>
      </c>
    </row>
    <row r="434" spans="1:13" x14ac:dyDescent="0.25">
      <c r="A434" s="6">
        <v>5</v>
      </c>
      <c r="B434" s="6">
        <v>2025</v>
      </c>
      <c r="C434" s="7">
        <v>45755</v>
      </c>
      <c r="D434" s="6" t="s">
        <v>62</v>
      </c>
      <c r="E434" s="6" t="s">
        <v>26</v>
      </c>
      <c r="F434" s="6">
        <v>3</v>
      </c>
      <c r="G434" s="6" t="s">
        <v>63</v>
      </c>
      <c r="H434" s="6">
        <v>1</v>
      </c>
      <c r="I434" s="6">
        <v>8</v>
      </c>
      <c r="J434" s="6">
        <v>5</v>
      </c>
      <c r="K434" s="6" t="s">
        <v>48</v>
      </c>
      <c r="L434" s="6" t="str">
        <f>VLOOKUP(K434, 'Alphabetical by species code'!A:B, 2, FALSE)</f>
        <v>Sonchus asper</v>
      </c>
      <c r="M434" s="6" t="str">
        <f>VLOOKUP(L434, 'Alphabetical by species code'!B:C, 2, FALSE)</f>
        <v>Non-Native</v>
      </c>
    </row>
    <row r="435" spans="1:13" x14ac:dyDescent="0.25">
      <c r="A435" s="6">
        <v>5</v>
      </c>
      <c r="B435" s="6">
        <v>2025</v>
      </c>
      <c r="C435" s="7">
        <v>45755</v>
      </c>
      <c r="D435" s="6" t="s">
        <v>62</v>
      </c>
      <c r="E435" s="6" t="s">
        <v>26</v>
      </c>
      <c r="F435" s="6">
        <v>3</v>
      </c>
      <c r="G435" s="6" t="s">
        <v>63</v>
      </c>
      <c r="H435" s="6">
        <v>1</v>
      </c>
      <c r="I435" s="6">
        <v>8</v>
      </c>
      <c r="J435" s="6">
        <v>5</v>
      </c>
      <c r="K435" s="6" t="s">
        <v>39</v>
      </c>
      <c r="L435" s="6" t="str">
        <f>VLOOKUP(K435, 'Alphabetical by species code'!A:B, 2, FALSE)</f>
        <v>Stephanomeria diegensis</v>
      </c>
      <c r="M435" s="6" t="str">
        <f>VLOOKUP(L435, 'Alphabetical by species code'!B:C, 2, FALSE)</f>
        <v>Native</v>
      </c>
    </row>
    <row r="436" spans="1:13" x14ac:dyDescent="0.25">
      <c r="A436" s="6">
        <v>5</v>
      </c>
      <c r="B436" s="6">
        <v>2025</v>
      </c>
      <c r="C436" s="7">
        <v>45755</v>
      </c>
      <c r="D436" s="6" t="s">
        <v>62</v>
      </c>
      <c r="E436" s="6" t="s">
        <v>26</v>
      </c>
      <c r="F436" s="6">
        <v>3</v>
      </c>
      <c r="G436" s="6" t="s">
        <v>63</v>
      </c>
      <c r="H436" s="6">
        <v>1</v>
      </c>
      <c r="I436" s="6">
        <v>9</v>
      </c>
      <c r="J436" s="6">
        <v>7</v>
      </c>
      <c r="K436" s="6" t="s">
        <v>28</v>
      </c>
      <c r="L436" s="6" t="str">
        <f>VLOOKUP(K436, 'Alphabetical by species code'!A:B, 2, FALSE)</f>
        <v>Litter</v>
      </c>
      <c r="M436" s="6" t="str">
        <f>VLOOKUP(L436, 'Alphabetical by species code'!B:C, 2, FALSE)</f>
        <v>Ground Cover</v>
      </c>
    </row>
    <row r="437" spans="1:13" x14ac:dyDescent="0.25">
      <c r="A437" s="6">
        <v>5</v>
      </c>
      <c r="B437" s="6">
        <v>2025</v>
      </c>
      <c r="C437" s="7">
        <v>45755</v>
      </c>
      <c r="D437" s="6" t="s">
        <v>62</v>
      </c>
      <c r="E437" s="6" t="s">
        <v>26</v>
      </c>
      <c r="F437" s="6">
        <v>3</v>
      </c>
      <c r="G437" s="6" t="s">
        <v>63</v>
      </c>
      <c r="H437" s="6">
        <v>1</v>
      </c>
      <c r="I437" s="6">
        <v>9</v>
      </c>
      <c r="J437" s="6">
        <v>7</v>
      </c>
      <c r="K437" s="6" t="s">
        <v>49</v>
      </c>
      <c r="L437" s="6" t="str">
        <f>VLOOKUP(K437, 'Alphabetical by species code'!A:B, 2, FALSE)</f>
        <v>Anagallis arvensis</v>
      </c>
      <c r="M437" s="6" t="str">
        <f>VLOOKUP(L437, 'Alphabetical by species code'!B:C, 2, FALSE)</f>
        <v>Non-Native</v>
      </c>
    </row>
    <row r="438" spans="1:13" x14ac:dyDescent="0.25">
      <c r="A438" s="6">
        <v>5</v>
      </c>
      <c r="B438" s="6">
        <v>2025</v>
      </c>
      <c r="C438" s="7">
        <v>45755</v>
      </c>
      <c r="D438" s="6" t="s">
        <v>62</v>
      </c>
      <c r="E438" s="6" t="s">
        <v>26</v>
      </c>
      <c r="F438" s="6">
        <v>3</v>
      </c>
      <c r="G438" s="6" t="s">
        <v>63</v>
      </c>
      <c r="H438" s="6">
        <v>1</v>
      </c>
      <c r="I438" s="6">
        <v>9</v>
      </c>
      <c r="J438" s="6">
        <v>7</v>
      </c>
      <c r="K438" s="6" t="s">
        <v>34</v>
      </c>
      <c r="L438" s="6" t="str">
        <f>VLOOKUP(K438, 'Alphabetical by species code'!A:B, 2, FALSE)</f>
        <v>Erodium cicutarium</v>
      </c>
      <c r="M438" s="6" t="str">
        <f>VLOOKUP(L438, 'Alphabetical by species code'!B:C, 2, FALSE)</f>
        <v>Non-Native</v>
      </c>
    </row>
    <row r="439" spans="1:13" x14ac:dyDescent="0.25">
      <c r="A439" s="6">
        <v>5</v>
      </c>
      <c r="B439" s="6">
        <v>2025</v>
      </c>
      <c r="C439" s="7">
        <v>45755</v>
      </c>
      <c r="D439" s="6" t="s">
        <v>62</v>
      </c>
      <c r="E439" s="6" t="s">
        <v>26</v>
      </c>
      <c r="F439" s="6">
        <v>3</v>
      </c>
      <c r="G439" s="6" t="s">
        <v>63</v>
      </c>
      <c r="H439" s="6">
        <v>1</v>
      </c>
      <c r="I439" s="6">
        <v>10</v>
      </c>
      <c r="J439" s="6">
        <v>8</v>
      </c>
      <c r="K439" s="6" t="s">
        <v>28</v>
      </c>
      <c r="L439" s="6" t="str">
        <f>VLOOKUP(K439, 'Alphabetical by species code'!A:B, 2, FALSE)</f>
        <v>Litter</v>
      </c>
      <c r="M439" s="6" t="str">
        <f>VLOOKUP(L439, 'Alphabetical by species code'!B:C, 2, FALSE)</f>
        <v>Ground Cover</v>
      </c>
    </row>
    <row r="440" spans="1:13" x14ac:dyDescent="0.25">
      <c r="A440" s="6">
        <v>5</v>
      </c>
      <c r="B440" s="6">
        <v>2025</v>
      </c>
      <c r="C440" s="7">
        <v>45755</v>
      </c>
      <c r="D440" s="6" t="s">
        <v>62</v>
      </c>
      <c r="E440" s="6" t="s">
        <v>26</v>
      </c>
      <c r="F440" s="6">
        <v>3</v>
      </c>
      <c r="G440" s="6" t="s">
        <v>63</v>
      </c>
      <c r="H440" s="6">
        <v>1</v>
      </c>
      <c r="I440" s="6">
        <v>10</v>
      </c>
      <c r="J440" s="6">
        <v>8</v>
      </c>
      <c r="K440" s="6" t="s">
        <v>31</v>
      </c>
      <c r="L440" s="6" t="str">
        <f>VLOOKUP(K440, 'Alphabetical by species code'!A:B, 2, FALSE)</f>
        <v>Festuca myuros</v>
      </c>
      <c r="M440" s="6" t="str">
        <f>VLOOKUP(L440, 'Alphabetical by species code'!B:C, 2, FALSE)</f>
        <v>Non-Native</v>
      </c>
    </row>
    <row r="441" spans="1:13" x14ac:dyDescent="0.25">
      <c r="A441" s="6">
        <v>5</v>
      </c>
      <c r="B441" s="6">
        <v>2025</v>
      </c>
      <c r="C441" s="7">
        <v>45755</v>
      </c>
      <c r="D441" s="6" t="s">
        <v>62</v>
      </c>
      <c r="E441" s="6" t="s">
        <v>26</v>
      </c>
      <c r="F441" s="6">
        <v>3</v>
      </c>
      <c r="G441" s="6" t="s">
        <v>63</v>
      </c>
      <c r="H441" s="6">
        <v>1</v>
      </c>
      <c r="I441" s="6">
        <v>10</v>
      </c>
      <c r="J441" s="6">
        <v>8</v>
      </c>
      <c r="K441" s="6" t="s">
        <v>35</v>
      </c>
      <c r="L441" s="6" t="str">
        <f>VLOOKUP(K441, 'Alphabetical by species code'!A:B, 2, FALSE)</f>
        <v>Deinandra fasciculata</v>
      </c>
      <c r="M441" s="6" t="str">
        <f>VLOOKUP(L441, 'Alphabetical by species code'!B:C, 2, FALSE)</f>
        <v>Native</v>
      </c>
    </row>
    <row r="442" spans="1:13" x14ac:dyDescent="0.25">
      <c r="A442" s="6">
        <v>5</v>
      </c>
      <c r="B442" s="6">
        <v>2025</v>
      </c>
      <c r="C442" s="7">
        <v>45755</v>
      </c>
      <c r="D442" s="6" t="s">
        <v>62</v>
      </c>
      <c r="E442" s="6" t="s">
        <v>26</v>
      </c>
      <c r="F442" s="6">
        <v>3</v>
      </c>
      <c r="G442" s="6" t="s">
        <v>63</v>
      </c>
      <c r="H442" s="6">
        <v>1</v>
      </c>
      <c r="I442" s="6">
        <v>10</v>
      </c>
      <c r="J442" s="6">
        <v>8</v>
      </c>
      <c r="K442" s="6" t="s">
        <v>34</v>
      </c>
      <c r="L442" s="6" t="str">
        <f>VLOOKUP(K442, 'Alphabetical by species code'!A:B, 2, FALSE)</f>
        <v>Erodium cicutarium</v>
      </c>
      <c r="M442" s="6" t="str">
        <f>VLOOKUP(L442, 'Alphabetical by species code'!B:C, 2, FALSE)</f>
        <v>Non-Native</v>
      </c>
    </row>
    <row r="443" spans="1:13" x14ac:dyDescent="0.25">
      <c r="A443" s="6">
        <v>5</v>
      </c>
      <c r="B443" s="6">
        <v>2025</v>
      </c>
      <c r="C443" s="7">
        <v>45755</v>
      </c>
      <c r="D443" s="6" t="s">
        <v>62</v>
      </c>
      <c r="E443" s="6" t="s">
        <v>26</v>
      </c>
      <c r="F443" s="6">
        <v>3</v>
      </c>
      <c r="G443" s="6" t="s">
        <v>63</v>
      </c>
      <c r="H443" s="6">
        <v>1</v>
      </c>
      <c r="I443" s="6">
        <v>11</v>
      </c>
      <c r="J443" s="6">
        <v>8.5</v>
      </c>
      <c r="K443" s="6" t="s">
        <v>51</v>
      </c>
      <c r="L443" s="6" t="str">
        <f>VLOOKUP(K443, 'Alphabetical by species code'!A:B, 2, FALSE)</f>
        <v>Bareground</v>
      </c>
      <c r="M443" s="6" t="str">
        <f>VLOOKUP(L443, 'Alphabetical by species code'!B:C, 2, FALSE)</f>
        <v>Ground Cover</v>
      </c>
    </row>
    <row r="444" spans="1:13" x14ac:dyDescent="0.25">
      <c r="A444" s="6">
        <v>5</v>
      </c>
      <c r="B444" s="6">
        <v>2025</v>
      </c>
      <c r="C444" s="7">
        <v>45755</v>
      </c>
      <c r="D444" s="6" t="s">
        <v>62</v>
      </c>
      <c r="E444" s="6" t="s">
        <v>26</v>
      </c>
      <c r="F444" s="6">
        <v>3</v>
      </c>
      <c r="G444" s="6" t="s">
        <v>63</v>
      </c>
      <c r="H444" s="6">
        <v>1</v>
      </c>
      <c r="I444" s="6">
        <v>11</v>
      </c>
      <c r="J444" s="6">
        <v>8.5</v>
      </c>
      <c r="K444" s="6" t="s">
        <v>64</v>
      </c>
      <c r="L444" s="6" t="str">
        <f>VLOOKUP(K444, 'Alphabetical by species code'!A:B, 2, FALSE)</f>
        <v>Brassica nigra</v>
      </c>
      <c r="M444" s="6" t="str">
        <f>VLOOKUP(L444, 'Alphabetical by species code'!B:C, 2, FALSE)</f>
        <v>Non-Native</v>
      </c>
    </row>
    <row r="445" spans="1:13" x14ac:dyDescent="0.25">
      <c r="A445" s="6">
        <v>5</v>
      </c>
      <c r="B445" s="6">
        <v>2025</v>
      </c>
      <c r="C445" s="7">
        <v>45755</v>
      </c>
      <c r="D445" s="6" t="s">
        <v>62</v>
      </c>
      <c r="E445" s="6" t="s">
        <v>26</v>
      </c>
      <c r="F445" s="6">
        <v>3</v>
      </c>
      <c r="G445" s="6" t="s">
        <v>63</v>
      </c>
      <c r="H445" s="6">
        <v>1</v>
      </c>
      <c r="I445" s="6">
        <v>12</v>
      </c>
      <c r="J445" s="6">
        <v>9</v>
      </c>
      <c r="K445" s="6" t="s">
        <v>28</v>
      </c>
      <c r="L445" s="6" t="str">
        <f>VLOOKUP(K445, 'Alphabetical by species code'!A:B, 2, FALSE)</f>
        <v>Litter</v>
      </c>
      <c r="M445" s="6" t="str">
        <f>VLOOKUP(L445, 'Alphabetical by species code'!B:C, 2, FALSE)</f>
        <v>Ground Cover</v>
      </c>
    </row>
    <row r="446" spans="1:13" x14ac:dyDescent="0.25">
      <c r="A446" s="6">
        <v>5</v>
      </c>
      <c r="B446" s="6">
        <v>2025</v>
      </c>
      <c r="C446" s="7">
        <v>45755</v>
      </c>
      <c r="D446" s="6" t="s">
        <v>62</v>
      </c>
      <c r="E446" s="6" t="s">
        <v>26</v>
      </c>
      <c r="F446" s="6">
        <v>3</v>
      </c>
      <c r="G446" s="6" t="s">
        <v>63</v>
      </c>
      <c r="H446" s="6">
        <v>1</v>
      </c>
      <c r="I446" s="6">
        <v>12</v>
      </c>
      <c r="J446" s="6">
        <v>9</v>
      </c>
      <c r="K446" s="6" t="s">
        <v>48</v>
      </c>
      <c r="L446" s="6" t="str">
        <f>VLOOKUP(K446, 'Alphabetical by species code'!A:B, 2, FALSE)</f>
        <v>Sonchus asper</v>
      </c>
      <c r="M446" s="6" t="str">
        <f>VLOOKUP(L446, 'Alphabetical by species code'!B:C, 2, FALSE)</f>
        <v>Non-Native</v>
      </c>
    </row>
    <row r="447" spans="1:13" x14ac:dyDescent="0.25">
      <c r="A447" s="6">
        <v>5</v>
      </c>
      <c r="B447" s="6">
        <v>2025</v>
      </c>
      <c r="C447" s="7">
        <v>45755</v>
      </c>
      <c r="D447" s="6" t="s">
        <v>62</v>
      </c>
      <c r="E447" s="6" t="s">
        <v>26</v>
      </c>
      <c r="F447" s="6">
        <v>3</v>
      </c>
      <c r="G447" s="6" t="s">
        <v>63</v>
      </c>
      <c r="H447" s="6">
        <v>1</v>
      </c>
      <c r="I447" s="6">
        <v>13</v>
      </c>
      <c r="J447" s="6">
        <v>10</v>
      </c>
      <c r="K447" s="6" t="s">
        <v>28</v>
      </c>
      <c r="L447" s="6" t="str">
        <f>VLOOKUP(K447, 'Alphabetical by species code'!A:B, 2, FALSE)</f>
        <v>Litter</v>
      </c>
      <c r="M447" s="6" t="str">
        <f>VLOOKUP(L447, 'Alphabetical by species code'!B:C, 2, FALSE)</f>
        <v>Ground Cover</v>
      </c>
    </row>
    <row r="448" spans="1:13" x14ac:dyDescent="0.25">
      <c r="A448" s="6">
        <v>5</v>
      </c>
      <c r="B448" s="6">
        <v>2025</v>
      </c>
      <c r="C448" s="7">
        <v>45755</v>
      </c>
      <c r="D448" s="6" t="s">
        <v>62</v>
      </c>
      <c r="E448" s="6" t="s">
        <v>26</v>
      </c>
      <c r="F448" s="6">
        <v>3</v>
      </c>
      <c r="G448" s="6" t="s">
        <v>63</v>
      </c>
      <c r="H448" s="6">
        <v>1</v>
      </c>
      <c r="I448" s="6">
        <v>13</v>
      </c>
      <c r="J448" s="6">
        <v>10</v>
      </c>
      <c r="K448" s="6" t="s">
        <v>48</v>
      </c>
      <c r="L448" s="6" t="str">
        <f>VLOOKUP(K448, 'Alphabetical by species code'!A:B, 2, FALSE)</f>
        <v>Sonchus asper</v>
      </c>
      <c r="M448" s="6" t="str">
        <f>VLOOKUP(L448, 'Alphabetical by species code'!B:C, 2, FALSE)</f>
        <v>Non-Native</v>
      </c>
    </row>
    <row r="449" spans="1:13" x14ac:dyDescent="0.25">
      <c r="A449" s="6">
        <v>5</v>
      </c>
      <c r="B449" s="6">
        <v>2025</v>
      </c>
      <c r="C449" s="7">
        <v>45755</v>
      </c>
      <c r="D449" s="6" t="s">
        <v>62</v>
      </c>
      <c r="E449" s="6" t="s">
        <v>26</v>
      </c>
      <c r="F449" s="6">
        <v>3</v>
      </c>
      <c r="G449" s="6" t="s">
        <v>63</v>
      </c>
      <c r="H449" s="6">
        <v>1</v>
      </c>
      <c r="I449" s="6">
        <v>14</v>
      </c>
      <c r="J449" s="6">
        <v>11</v>
      </c>
      <c r="K449" s="6" t="s">
        <v>51</v>
      </c>
      <c r="L449" s="6" t="str">
        <f>VLOOKUP(K449, 'Alphabetical by species code'!A:B, 2, FALSE)</f>
        <v>Bareground</v>
      </c>
      <c r="M449" s="6" t="str">
        <f>VLOOKUP(L449, 'Alphabetical by species code'!B:C, 2, FALSE)</f>
        <v>Ground Cover</v>
      </c>
    </row>
    <row r="450" spans="1:13" x14ac:dyDescent="0.25">
      <c r="A450" s="6">
        <v>5</v>
      </c>
      <c r="B450" s="6">
        <v>2025</v>
      </c>
      <c r="C450" s="7">
        <v>45755</v>
      </c>
      <c r="D450" s="6" t="s">
        <v>62</v>
      </c>
      <c r="E450" s="6" t="s">
        <v>26</v>
      </c>
      <c r="F450" s="6">
        <v>3</v>
      </c>
      <c r="G450" s="6" t="s">
        <v>63</v>
      </c>
      <c r="H450" s="6">
        <v>1</v>
      </c>
      <c r="I450" s="6">
        <v>15</v>
      </c>
      <c r="J450" s="6">
        <v>12</v>
      </c>
      <c r="K450" s="6" t="s">
        <v>51</v>
      </c>
      <c r="L450" s="6" t="str">
        <f>VLOOKUP(K450, 'Alphabetical by species code'!A:B, 2, FALSE)</f>
        <v>Bareground</v>
      </c>
      <c r="M450" s="6" t="str">
        <f>VLOOKUP(L450, 'Alphabetical by species code'!B:C, 2, FALSE)</f>
        <v>Ground Cover</v>
      </c>
    </row>
    <row r="451" spans="1:13" x14ac:dyDescent="0.25">
      <c r="A451" s="6">
        <v>5</v>
      </c>
      <c r="B451" s="6">
        <v>2025</v>
      </c>
      <c r="C451" s="7">
        <v>45755</v>
      </c>
      <c r="D451" s="6" t="s">
        <v>62</v>
      </c>
      <c r="E451" s="6" t="s">
        <v>26</v>
      </c>
      <c r="F451" s="6">
        <v>3</v>
      </c>
      <c r="G451" s="6" t="s">
        <v>63</v>
      </c>
      <c r="H451" s="6">
        <v>2</v>
      </c>
      <c r="I451" s="6">
        <v>1</v>
      </c>
      <c r="J451" s="6">
        <v>0</v>
      </c>
      <c r="K451" s="6" t="s">
        <v>28</v>
      </c>
      <c r="L451" s="6" t="str">
        <f>VLOOKUP(K451, 'Alphabetical by species code'!A:B, 2, FALSE)</f>
        <v>Litter</v>
      </c>
      <c r="M451" s="6" t="str">
        <f>VLOOKUP(L451, 'Alphabetical by species code'!B:C, 2, FALSE)</f>
        <v>Ground Cover</v>
      </c>
    </row>
    <row r="452" spans="1:13" x14ac:dyDescent="0.25">
      <c r="A452" s="6">
        <v>5</v>
      </c>
      <c r="B452" s="6">
        <v>2025</v>
      </c>
      <c r="C452" s="7">
        <v>45755</v>
      </c>
      <c r="D452" s="6" t="s">
        <v>62</v>
      </c>
      <c r="E452" s="6" t="s">
        <v>26</v>
      </c>
      <c r="F452" s="6">
        <v>3</v>
      </c>
      <c r="G452" s="6" t="s">
        <v>63</v>
      </c>
      <c r="H452" s="6">
        <v>2</v>
      </c>
      <c r="I452" s="6">
        <v>1</v>
      </c>
      <c r="J452" s="6">
        <v>0</v>
      </c>
      <c r="K452" s="6" t="s">
        <v>40</v>
      </c>
      <c r="L452" s="6" t="str">
        <f>VLOOKUP(K452, 'Alphabetical by species code'!A:B, 2, FALSE)</f>
        <v>Cylindropuntia prolifera</v>
      </c>
      <c r="M452" s="6" t="str">
        <f>VLOOKUP(L452, 'Alphabetical by species code'!B:C, 2, FALSE)</f>
        <v>Native</v>
      </c>
    </row>
    <row r="453" spans="1:13" x14ac:dyDescent="0.25">
      <c r="A453" s="6">
        <v>5</v>
      </c>
      <c r="B453" s="6">
        <v>2025</v>
      </c>
      <c r="C453" s="7">
        <v>45755</v>
      </c>
      <c r="D453" s="6" t="s">
        <v>62</v>
      </c>
      <c r="E453" s="6" t="s">
        <v>26</v>
      </c>
      <c r="F453" s="6">
        <v>3</v>
      </c>
      <c r="G453" s="6" t="s">
        <v>63</v>
      </c>
      <c r="H453" s="6">
        <v>2</v>
      </c>
      <c r="I453" s="6">
        <v>1</v>
      </c>
      <c r="J453" s="6">
        <v>0</v>
      </c>
      <c r="K453" s="6" t="s">
        <v>32</v>
      </c>
      <c r="L453" s="6" t="str">
        <f>VLOOKUP(K453, 'Alphabetical by species code'!A:B, 2, FALSE)</f>
        <v>Medicago polymorpha</v>
      </c>
      <c r="M453" s="6" t="str">
        <f>VLOOKUP(L453, 'Alphabetical by species code'!B:C, 2, FALSE)</f>
        <v>Non-Native</v>
      </c>
    </row>
    <row r="454" spans="1:13" x14ac:dyDescent="0.25">
      <c r="A454" s="6">
        <v>5</v>
      </c>
      <c r="B454" s="6">
        <v>2025</v>
      </c>
      <c r="C454" s="7">
        <v>45755</v>
      </c>
      <c r="D454" s="6" t="s">
        <v>62</v>
      </c>
      <c r="E454" s="6" t="s">
        <v>26</v>
      </c>
      <c r="F454" s="6">
        <v>3</v>
      </c>
      <c r="G454" s="6" t="s">
        <v>63</v>
      </c>
      <c r="H454" s="6">
        <v>2</v>
      </c>
      <c r="I454" s="6">
        <v>1</v>
      </c>
      <c r="J454" s="6">
        <v>0</v>
      </c>
      <c r="K454" s="6" t="s">
        <v>31</v>
      </c>
      <c r="L454" s="6" t="str">
        <f>VLOOKUP(K454, 'Alphabetical by species code'!A:B, 2, FALSE)</f>
        <v>Festuca myuros</v>
      </c>
      <c r="M454" s="6" t="str">
        <f>VLOOKUP(L454, 'Alphabetical by species code'!B:C, 2, FALSE)</f>
        <v>Non-Native</v>
      </c>
    </row>
    <row r="455" spans="1:13" x14ac:dyDescent="0.25">
      <c r="A455" s="6">
        <v>5</v>
      </c>
      <c r="B455" s="6">
        <v>2025</v>
      </c>
      <c r="C455" s="7">
        <v>45755</v>
      </c>
      <c r="D455" s="6" t="s">
        <v>62</v>
      </c>
      <c r="E455" s="6" t="s">
        <v>26</v>
      </c>
      <c r="F455" s="6">
        <v>3</v>
      </c>
      <c r="G455" s="6" t="s">
        <v>63</v>
      </c>
      <c r="H455" s="6">
        <v>2</v>
      </c>
      <c r="I455" s="6">
        <v>1</v>
      </c>
      <c r="J455" s="6">
        <v>0</v>
      </c>
      <c r="K455" s="6" t="s">
        <v>37</v>
      </c>
      <c r="L455" s="6" t="str">
        <f>VLOOKUP(K455, 'Alphabetical by species code'!A:B, 2, FALSE)</f>
        <v>Sonchus oleraceus</v>
      </c>
      <c r="M455" s="6" t="str">
        <f>VLOOKUP(L455, 'Alphabetical by species code'!B:C, 2, FALSE)</f>
        <v>Non-Native</v>
      </c>
    </row>
    <row r="456" spans="1:13" x14ac:dyDescent="0.25">
      <c r="A456" s="6">
        <v>5</v>
      </c>
      <c r="B456" s="6">
        <v>2025</v>
      </c>
      <c r="C456" s="7">
        <v>45755</v>
      </c>
      <c r="D456" s="6" t="s">
        <v>62</v>
      </c>
      <c r="E456" s="6" t="s">
        <v>26</v>
      </c>
      <c r="F456" s="6">
        <v>3</v>
      </c>
      <c r="G456" s="6" t="s">
        <v>63</v>
      </c>
      <c r="H456" s="6">
        <v>2</v>
      </c>
      <c r="I456" s="6">
        <v>2</v>
      </c>
      <c r="J456" s="6">
        <v>1</v>
      </c>
      <c r="K456" s="6" t="s">
        <v>28</v>
      </c>
      <c r="L456" s="6" t="str">
        <f>VLOOKUP(K456, 'Alphabetical by species code'!A:B, 2, FALSE)</f>
        <v>Litter</v>
      </c>
      <c r="M456" s="6" t="str">
        <f>VLOOKUP(L456, 'Alphabetical by species code'!B:C, 2, FALSE)</f>
        <v>Ground Cover</v>
      </c>
    </row>
    <row r="457" spans="1:13" x14ac:dyDescent="0.25">
      <c r="A457" s="6">
        <v>5</v>
      </c>
      <c r="B457" s="6">
        <v>2025</v>
      </c>
      <c r="C457" s="7">
        <v>45755</v>
      </c>
      <c r="D457" s="6" t="s">
        <v>62</v>
      </c>
      <c r="E457" s="6" t="s">
        <v>26</v>
      </c>
      <c r="F457" s="6">
        <v>3</v>
      </c>
      <c r="G457" s="6" t="s">
        <v>63</v>
      </c>
      <c r="H457" s="6">
        <v>2</v>
      </c>
      <c r="I457" s="6">
        <v>2</v>
      </c>
      <c r="J457" s="6">
        <v>1</v>
      </c>
      <c r="K457" s="6" t="s">
        <v>37</v>
      </c>
      <c r="L457" s="6" t="str">
        <f>VLOOKUP(K457, 'Alphabetical by species code'!A:B, 2, FALSE)</f>
        <v>Sonchus oleraceus</v>
      </c>
      <c r="M457" s="6" t="str">
        <f>VLOOKUP(L457, 'Alphabetical by species code'!B:C, 2, FALSE)</f>
        <v>Non-Native</v>
      </c>
    </row>
    <row r="458" spans="1:13" x14ac:dyDescent="0.25">
      <c r="A458" s="6">
        <v>5</v>
      </c>
      <c r="B458" s="6">
        <v>2025</v>
      </c>
      <c r="C458" s="7">
        <v>45755</v>
      </c>
      <c r="D458" s="6" t="s">
        <v>62</v>
      </c>
      <c r="E458" s="6" t="s">
        <v>26</v>
      </c>
      <c r="F458" s="6">
        <v>3</v>
      </c>
      <c r="G458" s="6" t="s">
        <v>63</v>
      </c>
      <c r="H458" s="6">
        <v>2</v>
      </c>
      <c r="I458" s="6">
        <v>2</v>
      </c>
      <c r="J458" s="6">
        <v>1</v>
      </c>
      <c r="K458" s="6" t="s">
        <v>32</v>
      </c>
      <c r="L458" s="6" t="str">
        <f>VLOOKUP(K458, 'Alphabetical by species code'!A:B, 2, FALSE)</f>
        <v>Medicago polymorpha</v>
      </c>
      <c r="M458" s="6" t="str">
        <f>VLOOKUP(L458, 'Alphabetical by species code'!B:C, 2, FALSE)</f>
        <v>Non-Native</v>
      </c>
    </row>
    <row r="459" spans="1:13" x14ac:dyDescent="0.25">
      <c r="A459" s="6">
        <v>5</v>
      </c>
      <c r="B459" s="6">
        <v>2025</v>
      </c>
      <c r="C459" s="7">
        <v>45755</v>
      </c>
      <c r="D459" s="6" t="s">
        <v>62</v>
      </c>
      <c r="E459" s="6" t="s">
        <v>26</v>
      </c>
      <c r="F459" s="6">
        <v>3</v>
      </c>
      <c r="G459" s="6" t="s">
        <v>63</v>
      </c>
      <c r="H459" s="6">
        <v>2</v>
      </c>
      <c r="I459" s="6">
        <v>3</v>
      </c>
      <c r="J459" s="6">
        <v>1.5</v>
      </c>
      <c r="K459" s="6" t="s">
        <v>28</v>
      </c>
      <c r="L459" s="6" t="str">
        <f>VLOOKUP(K459, 'Alphabetical by species code'!A:B, 2, FALSE)</f>
        <v>Litter</v>
      </c>
      <c r="M459" s="6" t="str">
        <f>VLOOKUP(L459, 'Alphabetical by species code'!B:C, 2, FALSE)</f>
        <v>Ground Cover</v>
      </c>
    </row>
    <row r="460" spans="1:13" x14ac:dyDescent="0.25">
      <c r="A460" s="6">
        <v>5</v>
      </c>
      <c r="B460" s="6">
        <v>2025</v>
      </c>
      <c r="C460" s="7">
        <v>45755</v>
      </c>
      <c r="D460" s="6" t="s">
        <v>62</v>
      </c>
      <c r="E460" s="6" t="s">
        <v>26</v>
      </c>
      <c r="F460" s="6">
        <v>3</v>
      </c>
      <c r="G460" s="6" t="s">
        <v>63</v>
      </c>
      <c r="H460" s="6">
        <v>2</v>
      </c>
      <c r="I460" s="6">
        <v>3</v>
      </c>
      <c r="J460" s="6">
        <v>1.5</v>
      </c>
      <c r="K460" s="6" t="s">
        <v>49</v>
      </c>
      <c r="L460" s="6" t="str">
        <f>VLOOKUP(K460, 'Alphabetical by species code'!A:B, 2, FALSE)</f>
        <v>Anagallis arvensis</v>
      </c>
      <c r="M460" s="6" t="str">
        <f>VLOOKUP(L460, 'Alphabetical by species code'!B:C, 2, FALSE)</f>
        <v>Non-Native</v>
      </c>
    </row>
    <row r="461" spans="1:13" x14ac:dyDescent="0.25">
      <c r="A461" s="6">
        <v>5</v>
      </c>
      <c r="B461" s="6">
        <v>2025</v>
      </c>
      <c r="C461" s="7">
        <v>45755</v>
      </c>
      <c r="D461" s="6" t="s">
        <v>62</v>
      </c>
      <c r="E461" s="6" t="s">
        <v>26</v>
      </c>
      <c r="F461" s="6">
        <v>3</v>
      </c>
      <c r="G461" s="6" t="s">
        <v>63</v>
      </c>
      <c r="H461" s="6">
        <v>2</v>
      </c>
      <c r="I461" s="6">
        <v>3</v>
      </c>
      <c r="J461" s="6">
        <v>1.5</v>
      </c>
      <c r="K461" s="6" t="s">
        <v>40</v>
      </c>
      <c r="L461" s="6" t="str">
        <f>VLOOKUP(K461, 'Alphabetical by species code'!A:B, 2, FALSE)</f>
        <v>Cylindropuntia prolifera</v>
      </c>
      <c r="M461" s="6" t="str">
        <f>VLOOKUP(L461, 'Alphabetical by species code'!B:C, 2, FALSE)</f>
        <v>Native</v>
      </c>
    </row>
    <row r="462" spans="1:13" x14ac:dyDescent="0.25">
      <c r="A462" s="6">
        <v>5</v>
      </c>
      <c r="B462" s="6">
        <v>2025</v>
      </c>
      <c r="C462" s="7">
        <v>45755</v>
      </c>
      <c r="D462" s="6" t="s">
        <v>62</v>
      </c>
      <c r="E462" s="6" t="s">
        <v>26</v>
      </c>
      <c r="F462" s="6">
        <v>3</v>
      </c>
      <c r="G462" s="6" t="s">
        <v>63</v>
      </c>
      <c r="H462" s="6">
        <v>2</v>
      </c>
      <c r="I462" s="6">
        <v>3</v>
      </c>
      <c r="J462" s="6">
        <v>1.5</v>
      </c>
      <c r="K462" s="6" t="s">
        <v>48</v>
      </c>
      <c r="L462" s="6" t="str">
        <f>VLOOKUP(K462, 'Alphabetical by species code'!A:B, 2, FALSE)</f>
        <v>Sonchus asper</v>
      </c>
      <c r="M462" s="6" t="str">
        <f>VLOOKUP(L462, 'Alphabetical by species code'!B:C, 2, FALSE)</f>
        <v>Non-Native</v>
      </c>
    </row>
    <row r="463" spans="1:13" x14ac:dyDescent="0.25">
      <c r="A463" s="6">
        <v>5</v>
      </c>
      <c r="B463" s="6">
        <v>2025</v>
      </c>
      <c r="C463" s="7">
        <v>45755</v>
      </c>
      <c r="D463" s="6" t="s">
        <v>62</v>
      </c>
      <c r="E463" s="6" t="s">
        <v>26</v>
      </c>
      <c r="F463" s="6">
        <v>3</v>
      </c>
      <c r="G463" s="6" t="s">
        <v>63</v>
      </c>
      <c r="H463" s="6">
        <v>2</v>
      </c>
      <c r="I463" s="6">
        <v>3</v>
      </c>
      <c r="J463" s="6">
        <v>1.5</v>
      </c>
      <c r="K463" s="6" t="s">
        <v>31</v>
      </c>
      <c r="L463" s="6" t="str">
        <f>VLOOKUP(K463, 'Alphabetical by species code'!A:B, 2, FALSE)</f>
        <v>Festuca myuros</v>
      </c>
      <c r="M463" s="6" t="str">
        <f>VLOOKUP(L463, 'Alphabetical by species code'!B:C, 2, FALSE)</f>
        <v>Non-Native</v>
      </c>
    </row>
    <row r="464" spans="1:13" x14ac:dyDescent="0.25">
      <c r="A464" s="6">
        <v>5</v>
      </c>
      <c r="B464" s="6">
        <v>2025</v>
      </c>
      <c r="C464" s="7">
        <v>45755</v>
      </c>
      <c r="D464" s="6" t="s">
        <v>62</v>
      </c>
      <c r="E464" s="6" t="s">
        <v>26</v>
      </c>
      <c r="F464" s="6">
        <v>3</v>
      </c>
      <c r="G464" s="6" t="s">
        <v>63</v>
      </c>
      <c r="H464" s="6">
        <v>2</v>
      </c>
      <c r="I464" s="6">
        <v>4</v>
      </c>
      <c r="J464" s="6">
        <v>2</v>
      </c>
      <c r="K464" s="6" t="s">
        <v>28</v>
      </c>
      <c r="L464" s="6" t="str">
        <f>VLOOKUP(K464, 'Alphabetical by species code'!A:B, 2, FALSE)</f>
        <v>Litter</v>
      </c>
      <c r="M464" s="6" t="str">
        <f>VLOOKUP(L464, 'Alphabetical by species code'!B:C, 2, FALSE)</f>
        <v>Ground Cover</v>
      </c>
    </row>
    <row r="465" spans="1:13" x14ac:dyDescent="0.25">
      <c r="A465" s="6">
        <v>5</v>
      </c>
      <c r="B465" s="6">
        <v>2025</v>
      </c>
      <c r="C465" s="7">
        <v>45755</v>
      </c>
      <c r="D465" s="6" t="s">
        <v>62</v>
      </c>
      <c r="E465" s="6" t="s">
        <v>26</v>
      </c>
      <c r="F465" s="6">
        <v>3</v>
      </c>
      <c r="G465" s="6" t="s">
        <v>63</v>
      </c>
      <c r="H465" s="6">
        <v>2</v>
      </c>
      <c r="I465" s="6">
        <v>4</v>
      </c>
      <c r="J465" s="6">
        <v>2</v>
      </c>
      <c r="K465" s="6" t="s">
        <v>32</v>
      </c>
      <c r="L465" s="6" t="str">
        <f>VLOOKUP(K465, 'Alphabetical by species code'!A:B, 2, FALSE)</f>
        <v>Medicago polymorpha</v>
      </c>
      <c r="M465" s="6" t="str">
        <f>VLOOKUP(L465, 'Alphabetical by species code'!B:C, 2, FALSE)</f>
        <v>Non-Native</v>
      </c>
    </row>
    <row r="466" spans="1:13" x14ac:dyDescent="0.25">
      <c r="A466" s="6">
        <v>5</v>
      </c>
      <c r="B466" s="6">
        <v>2025</v>
      </c>
      <c r="C466" s="7">
        <v>45755</v>
      </c>
      <c r="D466" s="6" t="s">
        <v>62</v>
      </c>
      <c r="E466" s="6" t="s">
        <v>26</v>
      </c>
      <c r="F466" s="6">
        <v>3</v>
      </c>
      <c r="G466" s="6" t="s">
        <v>63</v>
      </c>
      <c r="H466" s="6">
        <v>2</v>
      </c>
      <c r="I466" s="6">
        <v>4</v>
      </c>
      <c r="J466" s="6">
        <v>2</v>
      </c>
      <c r="K466" s="6" t="s">
        <v>35</v>
      </c>
      <c r="L466" s="6" t="str">
        <f>VLOOKUP(K466, 'Alphabetical by species code'!A:B, 2, FALSE)</f>
        <v>Deinandra fasciculata</v>
      </c>
      <c r="M466" s="6" t="str">
        <f>VLOOKUP(L466, 'Alphabetical by species code'!B:C, 2, FALSE)</f>
        <v>Native</v>
      </c>
    </row>
    <row r="467" spans="1:13" x14ac:dyDescent="0.25">
      <c r="A467" s="6">
        <v>5</v>
      </c>
      <c r="B467" s="6">
        <v>2025</v>
      </c>
      <c r="C467" s="7">
        <v>45755</v>
      </c>
      <c r="D467" s="6" t="s">
        <v>62</v>
      </c>
      <c r="E467" s="6" t="s">
        <v>26</v>
      </c>
      <c r="F467" s="6">
        <v>3</v>
      </c>
      <c r="G467" s="6" t="s">
        <v>63</v>
      </c>
      <c r="H467" s="6">
        <v>2</v>
      </c>
      <c r="I467" s="6">
        <v>4</v>
      </c>
      <c r="J467" s="6">
        <v>2</v>
      </c>
      <c r="K467" s="6" t="s">
        <v>31</v>
      </c>
      <c r="L467" s="6" t="str">
        <f>VLOOKUP(K467, 'Alphabetical by species code'!A:B, 2, FALSE)</f>
        <v>Festuca myuros</v>
      </c>
      <c r="M467" s="6" t="str">
        <f>VLOOKUP(L467, 'Alphabetical by species code'!B:C, 2, FALSE)</f>
        <v>Non-Native</v>
      </c>
    </row>
    <row r="468" spans="1:13" x14ac:dyDescent="0.25">
      <c r="A468" s="6">
        <v>5</v>
      </c>
      <c r="B468" s="6">
        <v>2025</v>
      </c>
      <c r="C468" s="7">
        <v>45755</v>
      </c>
      <c r="D468" s="6" t="s">
        <v>62</v>
      </c>
      <c r="E468" s="6" t="s">
        <v>26</v>
      </c>
      <c r="F468" s="6">
        <v>3</v>
      </c>
      <c r="G468" s="6" t="s">
        <v>63</v>
      </c>
      <c r="H468" s="6">
        <v>2</v>
      </c>
      <c r="I468" s="6">
        <v>5</v>
      </c>
      <c r="J468" s="6">
        <v>3</v>
      </c>
      <c r="K468" s="6" t="s">
        <v>28</v>
      </c>
      <c r="L468" s="6" t="str">
        <f>VLOOKUP(K468, 'Alphabetical by species code'!A:B, 2, FALSE)</f>
        <v>Litter</v>
      </c>
      <c r="M468" s="6" t="str">
        <f>VLOOKUP(L468, 'Alphabetical by species code'!B:C, 2, FALSE)</f>
        <v>Ground Cover</v>
      </c>
    </row>
    <row r="469" spans="1:13" x14ac:dyDescent="0.25">
      <c r="A469" s="6">
        <v>5</v>
      </c>
      <c r="B469" s="6">
        <v>2025</v>
      </c>
      <c r="C469" s="7">
        <v>45755</v>
      </c>
      <c r="D469" s="6" t="s">
        <v>62</v>
      </c>
      <c r="E469" s="6" t="s">
        <v>26</v>
      </c>
      <c r="F469" s="6">
        <v>3</v>
      </c>
      <c r="G469" s="6" t="s">
        <v>63</v>
      </c>
      <c r="H469" s="6">
        <v>2</v>
      </c>
      <c r="I469" s="6">
        <v>5</v>
      </c>
      <c r="J469" s="6">
        <v>3</v>
      </c>
      <c r="K469" s="6" t="s">
        <v>55</v>
      </c>
      <c r="L469" s="6" t="str">
        <f>VLOOKUP(K469, 'Alphabetical by species code'!A:B, 2, FALSE)</f>
        <v>Daucus pusillus</v>
      </c>
      <c r="M469" s="6" t="str">
        <f>VLOOKUP(L469, 'Alphabetical by species code'!B:C, 2, FALSE)</f>
        <v>Native</v>
      </c>
    </row>
    <row r="470" spans="1:13" x14ac:dyDescent="0.25">
      <c r="A470" s="6">
        <v>5</v>
      </c>
      <c r="B470" s="6">
        <v>2025</v>
      </c>
      <c r="C470" s="7">
        <v>45755</v>
      </c>
      <c r="D470" s="6" t="s">
        <v>62</v>
      </c>
      <c r="E470" s="6" t="s">
        <v>26</v>
      </c>
      <c r="F470" s="6">
        <v>3</v>
      </c>
      <c r="G470" s="6" t="s">
        <v>63</v>
      </c>
      <c r="H470" s="6">
        <v>2</v>
      </c>
      <c r="I470" s="6">
        <v>5</v>
      </c>
      <c r="J470" s="6">
        <v>3</v>
      </c>
      <c r="K470" s="6" t="s">
        <v>42</v>
      </c>
      <c r="L470" s="6" t="str">
        <f>VLOOKUP(K470, 'Alphabetical by species code'!A:B, 2, FALSE)</f>
        <v>Centaurea melitensis</v>
      </c>
      <c r="M470" s="6" t="str">
        <f>VLOOKUP(L470, 'Alphabetical by species code'!B:C, 2, FALSE)</f>
        <v>Non-Native</v>
      </c>
    </row>
    <row r="471" spans="1:13" x14ac:dyDescent="0.25">
      <c r="A471" s="6">
        <v>5</v>
      </c>
      <c r="B471" s="6">
        <v>2025</v>
      </c>
      <c r="C471" s="7">
        <v>45755</v>
      </c>
      <c r="D471" s="6" t="s">
        <v>62</v>
      </c>
      <c r="E471" s="6" t="s">
        <v>26</v>
      </c>
      <c r="F471" s="6">
        <v>3</v>
      </c>
      <c r="G471" s="6" t="s">
        <v>63</v>
      </c>
      <c r="H471" s="6">
        <v>2</v>
      </c>
      <c r="I471" s="6">
        <v>5</v>
      </c>
      <c r="J471" s="6">
        <v>3</v>
      </c>
      <c r="K471" s="6" t="s">
        <v>59</v>
      </c>
      <c r="L471" s="6" t="str">
        <f>VLOOKUP(K471, 'Alphabetical by species code'!A:B, 2, FALSE)</f>
        <v>Cryptantha micromeres</v>
      </c>
      <c r="M471" s="6" t="str">
        <f>VLOOKUP(L471, 'Alphabetical by species code'!B:C, 2, FALSE)</f>
        <v>Native</v>
      </c>
    </row>
    <row r="472" spans="1:13" x14ac:dyDescent="0.25">
      <c r="A472" s="6">
        <v>5</v>
      </c>
      <c r="B472" s="6">
        <v>2025</v>
      </c>
      <c r="C472" s="7">
        <v>45755</v>
      </c>
      <c r="D472" s="6" t="s">
        <v>62</v>
      </c>
      <c r="E472" s="6" t="s">
        <v>26</v>
      </c>
      <c r="F472" s="6">
        <v>3</v>
      </c>
      <c r="G472" s="6" t="s">
        <v>63</v>
      </c>
      <c r="H472" s="6">
        <v>2</v>
      </c>
      <c r="I472" s="6">
        <v>6</v>
      </c>
      <c r="J472" s="6">
        <v>3.5</v>
      </c>
      <c r="K472" s="6" t="s">
        <v>28</v>
      </c>
      <c r="L472" s="6" t="str">
        <f>VLOOKUP(K472, 'Alphabetical by species code'!A:B, 2, FALSE)</f>
        <v>Litter</v>
      </c>
      <c r="M472" s="6" t="str">
        <f>VLOOKUP(L472, 'Alphabetical by species code'!B:C, 2, FALSE)</f>
        <v>Ground Cover</v>
      </c>
    </row>
    <row r="473" spans="1:13" x14ac:dyDescent="0.25">
      <c r="A473" s="6">
        <v>5</v>
      </c>
      <c r="B473" s="6">
        <v>2025</v>
      </c>
      <c r="C473" s="7">
        <v>45755</v>
      </c>
      <c r="D473" s="6" t="s">
        <v>62</v>
      </c>
      <c r="E473" s="6" t="s">
        <v>26</v>
      </c>
      <c r="F473" s="6">
        <v>3</v>
      </c>
      <c r="G473" s="6" t="s">
        <v>63</v>
      </c>
      <c r="H473" s="6">
        <v>2</v>
      </c>
      <c r="I473" s="6">
        <v>6</v>
      </c>
      <c r="J473" s="6">
        <v>3.5</v>
      </c>
      <c r="K473" s="6" t="s">
        <v>49</v>
      </c>
      <c r="L473" s="6" t="str">
        <f>VLOOKUP(K473, 'Alphabetical by species code'!A:B, 2, FALSE)</f>
        <v>Anagallis arvensis</v>
      </c>
      <c r="M473" s="6" t="str">
        <f>VLOOKUP(L473, 'Alphabetical by species code'!B:C, 2, FALSE)</f>
        <v>Non-Native</v>
      </c>
    </row>
    <row r="474" spans="1:13" x14ac:dyDescent="0.25">
      <c r="A474" s="6">
        <v>5</v>
      </c>
      <c r="B474" s="6">
        <v>2025</v>
      </c>
      <c r="C474" s="7">
        <v>45755</v>
      </c>
      <c r="D474" s="6" t="s">
        <v>62</v>
      </c>
      <c r="E474" s="6" t="s">
        <v>26</v>
      </c>
      <c r="F474" s="6">
        <v>3</v>
      </c>
      <c r="G474" s="6" t="s">
        <v>63</v>
      </c>
      <c r="H474" s="6">
        <v>2</v>
      </c>
      <c r="I474" s="6">
        <v>6</v>
      </c>
      <c r="J474" s="6">
        <v>3.5</v>
      </c>
      <c r="K474" s="6" t="s">
        <v>42</v>
      </c>
      <c r="L474" s="6" t="str">
        <f>VLOOKUP(K474, 'Alphabetical by species code'!A:B, 2, FALSE)</f>
        <v>Centaurea melitensis</v>
      </c>
      <c r="M474" s="6" t="str">
        <f>VLOOKUP(L474, 'Alphabetical by species code'!B:C, 2, FALSE)</f>
        <v>Non-Native</v>
      </c>
    </row>
    <row r="475" spans="1:13" x14ac:dyDescent="0.25">
      <c r="A475" s="6">
        <v>5</v>
      </c>
      <c r="B475" s="6">
        <v>2025</v>
      </c>
      <c r="C475" s="7">
        <v>45755</v>
      </c>
      <c r="D475" s="6" t="s">
        <v>62</v>
      </c>
      <c r="E475" s="6" t="s">
        <v>26</v>
      </c>
      <c r="F475" s="6">
        <v>3</v>
      </c>
      <c r="G475" s="6" t="s">
        <v>63</v>
      </c>
      <c r="H475" s="6">
        <v>2</v>
      </c>
      <c r="I475" s="6">
        <v>6</v>
      </c>
      <c r="J475" s="6">
        <v>3.5</v>
      </c>
      <c r="K475" s="6" t="s">
        <v>65</v>
      </c>
      <c r="L475" s="6" t="str">
        <f>VLOOKUP(K475, 'Alphabetical by species code'!A:B, 2, FALSE)</f>
        <v>Cryptantha intermedia</v>
      </c>
      <c r="M475" s="6" t="str">
        <f>VLOOKUP(L475, 'Alphabetical by species code'!B:C, 2, FALSE)</f>
        <v>Native</v>
      </c>
    </row>
    <row r="476" spans="1:13" x14ac:dyDescent="0.25">
      <c r="A476" s="6">
        <v>5</v>
      </c>
      <c r="B476" s="6">
        <v>2025</v>
      </c>
      <c r="C476" s="7">
        <v>45755</v>
      </c>
      <c r="D476" s="6" t="s">
        <v>62</v>
      </c>
      <c r="E476" s="6" t="s">
        <v>26</v>
      </c>
      <c r="F476" s="6">
        <v>3</v>
      </c>
      <c r="G476" s="6" t="s">
        <v>63</v>
      </c>
      <c r="H476" s="6">
        <v>2</v>
      </c>
      <c r="I476" s="6">
        <v>6</v>
      </c>
      <c r="J476" s="6">
        <v>3.5</v>
      </c>
      <c r="K476" s="6" t="s">
        <v>55</v>
      </c>
      <c r="L476" s="6" t="str">
        <f>VLOOKUP(K476, 'Alphabetical by species code'!A:B, 2, FALSE)</f>
        <v>Daucus pusillus</v>
      </c>
      <c r="M476" s="6" t="str">
        <f>VLOOKUP(L476, 'Alphabetical by species code'!B:C, 2, FALSE)</f>
        <v>Native</v>
      </c>
    </row>
    <row r="477" spans="1:13" x14ac:dyDescent="0.25">
      <c r="A477" s="6">
        <v>5</v>
      </c>
      <c r="B477" s="6">
        <v>2025</v>
      </c>
      <c r="C477" s="7">
        <v>45755</v>
      </c>
      <c r="D477" s="6" t="s">
        <v>62</v>
      </c>
      <c r="E477" s="6" t="s">
        <v>26</v>
      </c>
      <c r="F477" s="6">
        <v>3</v>
      </c>
      <c r="G477" s="6" t="s">
        <v>63</v>
      </c>
      <c r="H477" s="6">
        <v>2</v>
      </c>
      <c r="I477" s="6">
        <v>7</v>
      </c>
      <c r="J477" s="6">
        <v>4</v>
      </c>
      <c r="K477" s="6" t="s">
        <v>28</v>
      </c>
      <c r="L477" s="6" t="str">
        <f>VLOOKUP(K477, 'Alphabetical by species code'!A:B, 2, FALSE)</f>
        <v>Litter</v>
      </c>
      <c r="M477" s="6" t="str">
        <f>VLOOKUP(L477, 'Alphabetical by species code'!B:C, 2, FALSE)</f>
        <v>Ground Cover</v>
      </c>
    </row>
    <row r="478" spans="1:13" x14ac:dyDescent="0.25">
      <c r="A478" s="6">
        <v>5</v>
      </c>
      <c r="B478" s="6">
        <v>2025</v>
      </c>
      <c r="C478" s="7">
        <v>45755</v>
      </c>
      <c r="D478" s="6" t="s">
        <v>62</v>
      </c>
      <c r="E478" s="6" t="s">
        <v>26</v>
      </c>
      <c r="F478" s="6">
        <v>3</v>
      </c>
      <c r="G478" s="6" t="s">
        <v>63</v>
      </c>
      <c r="H478" s="6">
        <v>2</v>
      </c>
      <c r="I478" s="6">
        <v>7</v>
      </c>
      <c r="J478" s="6">
        <v>4</v>
      </c>
      <c r="K478" s="6" t="s">
        <v>49</v>
      </c>
      <c r="L478" s="6" t="str">
        <f>VLOOKUP(K478, 'Alphabetical by species code'!A:B, 2, FALSE)</f>
        <v>Anagallis arvensis</v>
      </c>
      <c r="M478" s="6" t="str">
        <f>VLOOKUP(L478, 'Alphabetical by species code'!B:C, 2, FALSE)</f>
        <v>Non-Native</v>
      </c>
    </row>
    <row r="479" spans="1:13" x14ac:dyDescent="0.25">
      <c r="A479" s="6">
        <v>5</v>
      </c>
      <c r="B479" s="6">
        <v>2025</v>
      </c>
      <c r="C479" s="7">
        <v>45755</v>
      </c>
      <c r="D479" s="6" t="s">
        <v>62</v>
      </c>
      <c r="E479" s="6" t="s">
        <v>26</v>
      </c>
      <c r="F479" s="6">
        <v>3</v>
      </c>
      <c r="G479" s="6" t="s">
        <v>63</v>
      </c>
      <c r="H479" s="6">
        <v>2</v>
      </c>
      <c r="I479" s="6">
        <v>7</v>
      </c>
      <c r="J479" s="6">
        <v>4</v>
      </c>
      <c r="K479" s="6" t="s">
        <v>32</v>
      </c>
      <c r="L479" s="6" t="str">
        <f>VLOOKUP(K479, 'Alphabetical by species code'!A:B, 2, FALSE)</f>
        <v>Medicago polymorpha</v>
      </c>
      <c r="M479" s="6" t="str">
        <f>VLOOKUP(L479, 'Alphabetical by species code'!B:C, 2, FALSE)</f>
        <v>Non-Native</v>
      </c>
    </row>
    <row r="480" spans="1:13" x14ac:dyDescent="0.25">
      <c r="A480" s="6">
        <v>5</v>
      </c>
      <c r="B480" s="6">
        <v>2025</v>
      </c>
      <c r="C480" s="7">
        <v>45755</v>
      </c>
      <c r="D480" s="6" t="s">
        <v>62</v>
      </c>
      <c r="E480" s="6" t="s">
        <v>26</v>
      </c>
      <c r="F480" s="6">
        <v>3</v>
      </c>
      <c r="G480" s="6" t="s">
        <v>63</v>
      </c>
      <c r="H480" s="6">
        <v>2</v>
      </c>
      <c r="I480" s="6">
        <v>8</v>
      </c>
      <c r="J480" s="6">
        <v>5</v>
      </c>
      <c r="K480" s="6" t="s">
        <v>28</v>
      </c>
      <c r="L480" s="6" t="str">
        <f>VLOOKUP(K480, 'Alphabetical by species code'!A:B, 2, FALSE)</f>
        <v>Litter</v>
      </c>
      <c r="M480" s="6" t="str">
        <f>VLOOKUP(L480, 'Alphabetical by species code'!B:C, 2, FALSE)</f>
        <v>Ground Cover</v>
      </c>
    </row>
    <row r="481" spans="1:13" x14ac:dyDescent="0.25">
      <c r="A481" s="6">
        <v>5</v>
      </c>
      <c r="B481" s="6">
        <v>2025</v>
      </c>
      <c r="C481" s="7">
        <v>45755</v>
      </c>
      <c r="D481" s="6" t="s">
        <v>62</v>
      </c>
      <c r="E481" s="6" t="s">
        <v>26</v>
      </c>
      <c r="F481" s="6">
        <v>3</v>
      </c>
      <c r="G481" s="6" t="s">
        <v>63</v>
      </c>
      <c r="H481" s="6">
        <v>2</v>
      </c>
      <c r="I481" s="6">
        <v>8</v>
      </c>
      <c r="J481" s="6">
        <v>5</v>
      </c>
      <c r="K481" s="6" t="s">
        <v>48</v>
      </c>
      <c r="L481" s="6" t="str">
        <f>VLOOKUP(K481, 'Alphabetical by species code'!A:B, 2, FALSE)</f>
        <v>Sonchus asper</v>
      </c>
      <c r="M481" s="6" t="str">
        <f>VLOOKUP(L481, 'Alphabetical by species code'!B:C, 2, FALSE)</f>
        <v>Non-Native</v>
      </c>
    </row>
    <row r="482" spans="1:13" x14ac:dyDescent="0.25">
      <c r="A482" s="6">
        <v>5</v>
      </c>
      <c r="B482" s="6">
        <v>2025</v>
      </c>
      <c r="C482" s="7">
        <v>45755</v>
      </c>
      <c r="D482" s="6" t="s">
        <v>62</v>
      </c>
      <c r="E482" s="6" t="s">
        <v>26</v>
      </c>
      <c r="F482" s="6">
        <v>3</v>
      </c>
      <c r="G482" s="6" t="s">
        <v>63</v>
      </c>
      <c r="H482" s="6">
        <v>2</v>
      </c>
      <c r="I482" s="6">
        <v>9</v>
      </c>
      <c r="J482" s="6">
        <v>7</v>
      </c>
      <c r="K482" s="6" t="s">
        <v>28</v>
      </c>
      <c r="L482" s="6" t="str">
        <f>VLOOKUP(K482, 'Alphabetical by species code'!A:B, 2, FALSE)</f>
        <v>Litter</v>
      </c>
      <c r="M482" s="6" t="str">
        <f>VLOOKUP(L482, 'Alphabetical by species code'!B:C, 2, FALSE)</f>
        <v>Ground Cover</v>
      </c>
    </row>
    <row r="483" spans="1:13" x14ac:dyDescent="0.25">
      <c r="A483" s="6">
        <v>5</v>
      </c>
      <c r="B483" s="6">
        <v>2025</v>
      </c>
      <c r="C483" s="7">
        <v>45755</v>
      </c>
      <c r="D483" s="6" t="s">
        <v>62</v>
      </c>
      <c r="E483" s="6" t="s">
        <v>26</v>
      </c>
      <c r="F483" s="6">
        <v>3</v>
      </c>
      <c r="G483" s="6" t="s">
        <v>63</v>
      </c>
      <c r="H483" s="6">
        <v>2</v>
      </c>
      <c r="I483" s="6">
        <v>9</v>
      </c>
      <c r="J483" s="6">
        <v>7</v>
      </c>
      <c r="K483" s="6" t="s">
        <v>31</v>
      </c>
      <c r="L483" s="6" t="str">
        <f>VLOOKUP(K483, 'Alphabetical by species code'!A:B, 2, FALSE)</f>
        <v>Festuca myuros</v>
      </c>
      <c r="M483" s="6" t="str">
        <f>VLOOKUP(L483, 'Alphabetical by species code'!B:C, 2, FALSE)</f>
        <v>Non-Native</v>
      </c>
    </row>
    <row r="484" spans="1:13" x14ac:dyDescent="0.25">
      <c r="A484" s="6">
        <v>5</v>
      </c>
      <c r="B484" s="6">
        <v>2025</v>
      </c>
      <c r="C484" s="7">
        <v>45755</v>
      </c>
      <c r="D484" s="6" t="s">
        <v>62</v>
      </c>
      <c r="E484" s="6" t="s">
        <v>26</v>
      </c>
      <c r="F484" s="6">
        <v>3</v>
      </c>
      <c r="G484" s="6" t="s">
        <v>63</v>
      </c>
      <c r="H484" s="6">
        <v>2</v>
      </c>
      <c r="I484" s="6">
        <v>9</v>
      </c>
      <c r="J484" s="6">
        <v>7</v>
      </c>
      <c r="K484" s="6" t="s">
        <v>42</v>
      </c>
      <c r="L484" s="6" t="str">
        <f>VLOOKUP(K484, 'Alphabetical by species code'!A:B, 2, FALSE)</f>
        <v>Centaurea melitensis</v>
      </c>
      <c r="M484" s="6" t="str">
        <f>VLOOKUP(L484, 'Alphabetical by species code'!B:C, 2, FALSE)</f>
        <v>Non-Native</v>
      </c>
    </row>
    <row r="485" spans="1:13" x14ac:dyDescent="0.25">
      <c r="A485" s="6">
        <v>5</v>
      </c>
      <c r="B485" s="6">
        <v>2025</v>
      </c>
      <c r="C485" s="7">
        <v>45755</v>
      </c>
      <c r="D485" s="6" t="s">
        <v>62</v>
      </c>
      <c r="E485" s="6" t="s">
        <v>26</v>
      </c>
      <c r="F485" s="6">
        <v>3</v>
      </c>
      <c r="G485" s="6" t="s">
        <v>63</v>
      </c>
      <c r="H485" s="6">
        <v>2</v>
      </c>
      <c r="I485" s="6">
        <v>10</v>
      </c>
      <c r="J485" s="6">
        <v>8</v>
      </c>
      <c r="K485" s="6" t="s">
        <v>51</v>
      </c>
      <c r="L485" s="6" t="str">
        <f>VLOOKUP(K485, 'Alphabetical by species code'!A:B, 2, FALSE)</f>
        <v>Bareground</v>
      </c>
      <c r="M485" s="6" t="str">
        <f>VLOOKUP(L485, 'Alphabetical by species code'!B:C, 2, FALSE)</f>
        <v>Ground Cover</v>
      </c>
    </row>
    <row r="486" spans="1:13" x14ac:dyDescent="0.25">
      <c r="A486" s="6">
        <v>5</v>
      </c>
      <c r="B486" s="6">
        <v>2025</v>
      </c>
      <c r="C486" s="7">
        <v>45755</v>
      </c>
      <c r="D486" s="6" t="s">
        <v>62</v>
      </c>
      <c r="E486" s="6" t="s">
        <v>26</v>
      </c>
      <c r="F486" s="6">
        <v>3</v>
      </c>
      <c r="G486" s="6" t="s">
        <v>63</v>
      </c>
      <c r="H486" s="6">
        <v>2</v>
      </c>
      <c r="I486" s="6">
        <v>10</v>
      </c>
      <c r="J486" s="6">
        <v>8</v>
      </c>
      <c r="K486" s="6" t="s">
        <v>44</v>
      </c>
      <c r="L486" s="6" t="str">
        <f>VLOOKUP(K486, 'Alphabetical by species code'!A:B, 2, FALSE)</f>
        <v>Amsinckia menziesii</v>
      </c>
      <c r="M486" s="6" t="str">
        <f>VLOOKUP(L486, 'Alphabetical by species code'!B:C, 2, FALSE)</f>
        <v>Native</v>
      </c>
    </row>
    <row r="487" spans="1:13" x14ac:dyDescent="0.25">
      <c r="A487" s="6">
        <v>5</v>
      </c>
      <c r="B487" s="6">
        <v>2025</v>
      </c>
      <c r="C487" s="7">
        <v>45755</v>
      </c>
      <c r="D487" s="6" t="s">
        <v>62</v>
      </c>
      <c r="E487" s="6" t="s">
        <v>26</v>
      </c>
      <c r="F487" s="6">
        <v>3</v>
      </c>
      <c r="G487" s="6" t="s">
        <v>63</v>
      </c>
      <c r="H487" s="6">
        <v>2</v>
      </c>
      <c r="I487" s="6">
        <v>10</v>
      </c>
      <c r="J487" s="6">
        <v>8</v>
      </c>
      <c r="K487" s="6" t="s">
        <v>31</v>
      </c>
      <c r="L487" s="6" t="str">
        <f>VLOOKUP(K487, 'Alphabetical by species code'!A:B, 2, FALSE)</f>
        <v>Festuca myuros</v>
      </c>
      <c r="M487" s="6" t="str">
        <f>VLOOKUP(L487, 'Alphabetical by species code'!B:C, 2, FALSE)</f>
        <v>Non-Native</v>
      </c>
    </row>
    <row r="488" spans="1:13" x14ac:dyDescent="0.25">
      <c r="A488" s="6">
        <v>5</v>
      </c>
      <c r="B488" s="6">
        <v>2025</v>
      </c>
      <c r="C488" s="7">
        <v>45755</v>
      </c>
      <c r="D488" s="6" t="s">
        <v>62</v>
      </c>
      <c r="E488" s="6" t="s">
        <v>26</v>
      </c>
      <c r="F488" s="6">
        <v>3</v>
      </c>
      <c r="G488" s="6" t="s">
        <v>63</v>
      </c>
      <c r="H488" s="6">
        <v>2</v>
      </c>
      <c r="I488" s="6">
        <v>11</v>
      </c>
      <c r="J488" s="6">
        <v>8.5</v>
      </c>
      <c r="K488" s="6" t="s">
        <v>28</v>
      </c>
      <c r="L488" s="6" t="str">
        <f>VLOOKUP(K488, 'Alphabetical by species code'!A:B, 2, FALSE)</f>
        <v>Litter</v>
      </c>
      <c r="M488" s="6" t="str">
        <f>VLOOKUP(L488, 'Alphabetical by species code'!B:C, 2, FALSE)</f>
        <v>Ground Cover</v>
      </c>
    </row>
    <row r="489" spans="1:13" x14ac:dyDescent="0.25">
      <c r="A489" s="6">
        <v>5</v>
      </c>
      <c r="B489" s="6">
        <v>2025</v>
      </c>
      <c r="C489" s="7">
        <v>45755</v>
      </c>
      <c r="D489" s="6" t="s">
        <v>62</v>
      </c>
      <c r="E489" s="6" t="s">
        <v>26</v>
      </c>
      <c r="F489" s="6">
        <v>3</v>
      </c>
      <c r="G489" s="6" t="s">
        <v>63</v>
      </c>
      <c r="H489" s="6">
        <v>2</v>
      </c>
      <c r="I489" s="6">
        <v>11</v>
      </c>
      <c r="J489" s="6">
        <v>8.5</v>
      </c>
      <c r="K489" s="6" t="s">
        <v>42</v>
      </c>
      <c r="L489" s="6" t="str">
        <f>VLOOKUP(K489, 'Alphabetical by species code'!A:B, 2, FALSE)</f>
        <v>Centaurea melitensis</v>
      </c>
      <c r="M489" s="6" t="str">
        <f>VLOOKUP(L489, 'Alphabetical by species code'!B:C, 2, FALSE)</f>
        <v>Non-Native</v>
      </c>
    </row>
    <row r="490" spans="1:13" x14ac:dyDescent="0.25">
      <c r="A490" s="6">
        <v>5</v>
      </c>
      <c r="B490" s="6">
        <v>2025</v>
      </c>
      <c r="C490" s="7">
        <v>45755</v>
      </c>
      <c r="D490" s="6" t="s">
        <v>62</v>
      </c>
      <c r="E490" s="6" t="s">
        <v>26</v>
      </c>
      <c r="F490" s="6">
        <v>3</v>
      </c>
      <c r="G490" s="6" t="s">
        <v>63</v>
      </c>
      <c r="H490" s="6">
        <v>2</v>
      </c>
      <c r="I490" s="6">
        <v>12</v>
      </c>
      <c r="J490" s="6">
        <v>9</v>
      </c>
      <c r="K490" s="6" t="s">
        <v>28</v>
      </c>
      <c r="L490" s="6" t="str">
        <f>VLOOKUP(K490, 'Alphabetical by species code'!A:B, 2, FALSE)</f>
        <v>Litter</v>
      </c>
      <c r="M490" s="6" t="str">
        <f>VLOOKUP(L490, 'Alphabetical by species code'!B:C, 2, FALSE)</f>
        <v>Ground Cover</v>
      </c>
    </row>
    <row r="491" spans="1:13" x14ac:dyDescent="0.25">
      <c r="A491" s="6">
        <v>5</v>
      </c>
      <c r="B491" s="6">
        <v>2025</v>
      </c>
      <c r="C491" s="7">
        <v>45755</v>
      </c>
      <c r="D491" s="6" t="s">
        <v>62</v>
      </c>
      <c r="E491" s="6" t="s">
        <v>26</v>
      </c>
      <c r="F491" s="6">
        <v>3</v>
      </c>
      <c r="G491" s="6" t="s">
        <v>63</v>
      </c>
      <c r="H491" s="6">
        <v>2</v>
      </c>
      <c r="I491" s="6">
        <v>12</v>
      </c>
      <c r="J491" s="6">
        <v>9</v>
      </c>
      <c r="K491" s="6" t="s">
        <v>31</v>
      </c>
      <c r="L491" s="6" t="str">
        <f>VLOOKUP(K491, 'Alphabetical by species code'!A:B, 2, FALSE)</f>
        <v>Festuca myuros</v>
      </c>
      <c r="M491" s="6" t="str">
        <f>VLOOKUP(L491, 'Alphabetical by species code'!B:C, 2, FALSE)</f>
        <v>Non-Native</v>
      </c>
    </row>
    <row r="492" spans="1:13" x14ac:dyDescent="0.25">
      <c r="A492" s="6">
        <v>5</v>
      </c>
      <c r="B492" s="6">
        <v>2025</v>
      </c>
      <c r="C492" s="7">
        <v>45755</v>
      </c>
      <c r="D492" s="6" t="s">
        <v>62</v>
      </c>
      <c r="E492" s="6" t="s">
        <v>26</v>
      </c>
      <c r="F492" s="6">
        <v>3</v>
      </c>
      <c r="G492" s="6" t="s">
        <v>63</v>
      </c>
      <c r="H492" s="6">
        <v>2</v>
      </c>
      <c r="I492" s="6">
        <v>12</v>
      </c>
      <c r="J492" s="6">
        <v>9</v>
      </c>
      <c r="K492" s="6" t="s">
        <v>64</v>
      </c>
      <c r="L492" s="6" t="str">
        <f>VLOOKUP(K492, 'Alphabetical by species code'!A:B, 2, FALSE)</f>
        <v>Brassica nigra</v>
      </c>
      <c r="M492" s="6" t="str">
        <f>VLOOKUP(L492, 'Alphabetical by species code'!B:C, 2, FALSE)</f>
        <v>Non-Native</v>
      </c>
    </row>
    <row r="493" spans="1:13" x14ac:dyDescent="0.25">
      <c r="A493" s="6">
        <v>5</v>
      </c>
      <c r="B493" s="6">
        <v>2025</v>
      </c>
      <c r="C493" s="7">
        <v>45755</v>
      </c>
      <c r="D493" s="6" t="s">
        <v>62</v>
      </c>
      <c r="E493" s="6" t="s">
        <v>26</v>
      </c>
      <c r="F493" s="6">
        <v>3</v>
      </c>
      <c r="G493" s="6" t="s">
        <v>63</v>
      </c>
      <c r="H493" s="6">
        <v>2</v>
      </c>
      <c r="I493" s="6">
        <v>13</v>
      </c>
      <c r="J493" s="6">
        <v>10</v>
      </c>
      <c r="K493" s="6" t="s">
        <v>28</v>
      </c>
      <c r="L493" s="6" t="str">
        <f>VLOOKUP(K493, 'Alphabetical by species code'!A:B, 2, FALSE)</f>
        <v>Litter</v>
      </c>
      <c r="M493" s="6" t="str">
        <f>VLOOKUP(L493, 'Alphabetical by species code'!B:C, 2, FALSE)</f>
        <v>Ground Cover</v>
      </c>
    </row>
    <row r="494" spans="1:13" x14ac:dyDescent="0.25">
      <c r="A494" s="6">
        <v>5</v>
      </c>
      <c r="B494" s="6">
        <v>2025</v>
      </c>
      <c r="C494" s="7">
        <v>45755</v>
      </c>
      <c r="D494" s="6" t="s">
        <v>62</v>
      </c>
      <c r="E494" s="6" t="s">
        <v>26</v>
      </c>
      <c r="F494" s="6">
        <v>3</v>
      </c>
      <c r="G494" s="6" t="s">
        <v>63</v>
      </c>
      <c r="H494" s="6">
        <v>2</v>
      </c>
      <c r="I494" s="6">
        <v>13</v>
      </c>
      <c r="J494" s="6">
        <v>10</v>
      </c>
      <c r="K494" s="6" t="s">
        <v>31</v>
      </c>
      <c r="L494" s="6" t="str">
        <f>VLOOKUP(K494, 'Alphabetical by species code'!A:B, 2, FALSE)</f>
        <v>Festuca myuros</v>
      </c>
      <c r="M494" s="6" t="str">
        <f>VLOOKUP(L494, 'Alphabetical by species code'!B:C, 2, FALSE)</f>
        <v>Non-Native</v>
      </c>
    </row>
    <row r="495" spans="1:13" x14ac:dyDescent="0.25">
      <c r="A495" s="6">
        <v>5</v>
      </c>
      <c r="B495" s="6">
        <v>2025</v>
      </c>
      <c r="C495" s="7">
        <v>45755</v>
      </c>
      <c r="D495" s="6" t="s">
        <v>62</v>
      </c>
      <c r="E495" s="6" t="s">
        <v>26</v>
      </c>
      <c r="F495" s="6">
        <v>3</v>
      </c>
      <c r="G495" s="6" t="s">
        <v>63</v>
      </c>
      <c r="H495" s="6">
        <v>2</v>
      </c>
      <c r="I495" s="6">
        <v>13</v>
      </c>
      <c r="J495" s="6">
        <v>10</v>
      </c>
      <c r="K495" s="6" t="s">
        <v>42</v>
      </c>
      <c r="L495" s="6" t="str">
        <f>VLOOKUP(K495, 'Alphabetical by species code'!A:B, 2, FALSE)</f>
        <v>Centaurea melitensis</v>
      </c>
      <c r="M495" s="6" t="str">
        <f>VLOOKUP(L495, 'Alphabetical by species code'!B:C, 2, FALSE)</f>
        <v>Non-Native</v>
      </c>
    </row>
    <row r="496" spans="1:13" x14ac:dyDescent="0.25">
      <c r="A496" s="6">
        <v>5</v>
      </c>
      <c r="B496" s="6">
        <v>2025</v>
      </c>
      <c r="C496" s="7">
        <v>45755</v>
      </c>
      <c r="D496" s="6" t="s">
        <v>62</v>
      </c>
      <c r="E496" s="6" t="s">
        <v>26</v>
      </c>
      <c r="F496" s="6">
        <v>3</v>
      </c>
      <c r="G496" s="6" t="s">
        <v>63</v>
      </c>
      <c r="H496" s="6">
        <v>2</v>
      </c>
      <c r="I496" s="6">
        <v>14</v>
      </c>
      <c r="J496" s="6">
        <v>11</v>
      </c>
      <c r="K496" s="6" t="s">
        <v>28</v>
      </c>
      <c r="L496" s="6" t="str">
        <f>VLOOKUP(K496, 'Alphabetical by species code'!A:B, 2, FALSE)</f>
        <v>Litter</v>
      </c>
      <c r="M496" s="6" t="str">
        <f>VLOOKUP(L496, 'Alphabetical by species code'!B:C, 2, FALSE)</f>
        <v>Ground Cover</v>
      </c>
    </row>
    <row r="497" spans="1:13" x14ac:dyDescent="0.25">
      <c r="A497" s="6">
        <v>5</v>
      </c>
      <c r="B497" s="6">
        <v>2025</v>
      </c>
      <c r="C497" s="7">
        <v>45755</v>
      </c>
      <c r="D497" s="6" t="s">
        <v>62</v>
      </c>
      <c r="E497" s="6" t="s">
        <v>26</v>
      </c>
      <c r="F497" s="6">
        <v>3</v>
      </c>
      <c r="G497" s="6" t="s">
        <v>63</v>
      </c>
      <c r="H497" s="6">
        <v>2</v>
      </c>
      <c r="I497" s="6">
        <v>14</v>
      </c>
      <c r="J497" s="6">
        <v>11</v>
      </c>
      <c r="K497" s="6" t="s">
        <v>64</v>
      </c>
      <c r="L497" s="6" t="str">
        <f>VLOOKUP(K497, 'Alphabetical by species code'!A:B, 2, FALSE)</f>
        <v>Brassica nigra</v>
      </c>
      <c r="M497" s="6" t="str">
        <f>VLOOKUP(L497, 'Alphabetical by species code'!B:C, 2, FALSE)</f>
        <v>Non-Native</v>
      </c>
    </row>
    <row r="498" spans="1:13" x14ac:dyDescent="0.25">
      <c r="A498" s="6">
        <v>5</v>
      </c>
      <c r="B498" s="6">
        <v>2025</v>
      </c>
      <c r="C498" s="7">
        <v>45755</v>
      </c>
      <c r="D498" s="6" t="s">
        <v>62</v>
      </c>
      <c r="E498" s="6" t="s">
        <v>26</v>
      </c>
      <c r="F498" s="6">
        <v>3</v>
      </c>
      <c r="G498" s="6" t="s">
        <v>63</v>
      </c>
      <c r="H498" s="6">
        <v>2</v>
      </c>
      <c r="I498" s="6">
        <v>15</v>
      </c>
      <c r="J498" s="6">
        <v>12</v>
      </c>
      <c r="K498" s="6" t="s">
        <v>28</v>
      </c>
      <c r="L498" s="6" t="str">
        <f>VLOOKUP(K498, 'Alphabetical by species code'!A:B, 2, FALSE)</f>
        <v>Litter</v>
      </c>
      <c r="M498" s="6" t="str">
        <f>VLOOKUP(L498, 'Alphabetical by species code'!B:C, 2, FALSE)</f>
        <v>Ground Cover</v>
      </c>
    </row>
    <row r="499" spans="1:13" x14ac:dyDescent="0.25">
      <c r="A499" s="6">
        <v>5</v>
      </c>
      <c r="B499" s="6">
        <v>2025</v>
      </c>
      <c r="C499" s="7">
        <v>45755</v>
      </c>
      <c r="D499" s="6" t="s">
        <v>62</v>
      </c>
      <c r="E499" s="6" t="s">
        <v>26</v>
      </c>
      <c r="F499" s="6">
        <v>3</v>
      </c>
      <c r="G499" s="6" t="s">
        <v>63</v>
      </c>
      <c r="H499" s="6">
        <v>2</v>
      </c>
      <c r="I499" s="6">
        <v>15</v>
      </c>
      <c r="J499" s="6">
        <v>12</v>
      </c>
      <c r="K499" s="6" t="s">
        <v>48</v>
      </c>
      <c r="L499" s="6" t="str">
        <f>VLOOKUP(K499, 'Alphabetical by species code'!A:B, 2, FALSE)</f>
        <v>Sonchus asper</v>
      </c>
      <c r="M499" s="6" t="str">
        <f>VLOOKUP(L499, 'Alphabetical by species code'!B:C, 2, FALSE)</f>
        <v>Non-Native</v>
      </c>
    </row>
    <row r="500" spans="1:13" x14ac:dyDescent="0.25">
      <c r="A500" s="6">
        <v>5</v>
      </c>
      <c r="B500" s="6">
        <v>2025</v>
      </c>
      <c r="C500" s="7">
        <v>45755</v>
      </c>
      <c r="D500" s="6" t="s">
        <v>62</v>
      </c>
      <c r="E500" s="6" t="s">
        <v>26</v>
      </c>
      <c r="F500" s="6">
        <v>3</v>
      </c>
      <c r="G500" s="6" t="s">
        <v>63</v>
      </c>
      <c r="H500" s="6">
        <v>2</v>
      </c>
      <c r="I500" s="6">
        <v>15</v>
      </c>
      <c r="J500" s="6">
        <v>12</v>
      </c>
      <c r="K500" s="6" t="s">
        <v>31</v>
      </c>
      <c r="L500" s="6" t="str">
        <f>VLOOKUP(K500, 'Alphabetical by species code'!A:B, 2, FALSE)</f>
        <v>Festuca myuros</v>
      </c>
      <c r="M500" s="6" t="str">
        <f>VLOOKUP(L500, 'Alphabetical by species code'!B:C, 2, FALSE)</f>
        <v>Non-Native</v>
      </c>
    </row>
    <row r="501" spans="1:13" x14ac:dyDescent="0.25">
      <c r="A501" s="6">
        <v>6</v>
      </c>
      <c r="B501" s="6">
        <v>2025</v>
      </c>
      <c r="C501" s="7">
        <v>45755</v>
      </c>
      <c r="D501" s="6" t="s">
        <v>54</v>
      </c>
      <c r="E501" s="6" t="s">
        <v>26</v>
      </c>
      <c r="F501" s="6">
        <v>3</v>
      </c>
      <c r="G501" s="6" t="s">
        <v>66</v>
      </c>
      <c r="H501" s="6">
        <v>1</v>
      </c>
      <c r="I501" s="6">
        <v>1</v>
      </c>
      <c r="J501" s="6">
        <v>0</v>
      </c>
      <c r="K501" s="6" t="s">
        <v>28</v>
      </c>
      <c r="L501" s="6" t="str">
        <f>VLOOKUP(K501, 'Alphabetical by species code'!A:B, 2, FALSE)</f>
        <v>Litter</v>
      </c>
      <c r="M501" s="6" t="str">
        <f>VLOOKUP(L501, 'Alphabetical by species code'!B:C, 2, FALSE)</f>
        <v>Ground Cover</v>
      </c>
    </row>
    <row r="502" spans="1:13" x14ac:dyDescent="0.25">
      <c r="A502" s="6">
        <v>6</v>
      </c>
      <c r="B502" s="6">
        <v>2025</v>
      </c>
      <c r="C502" s="7">
        <v>45755</v>
      </c>
      <c r="D502" s="6" t="s">
        <v>54</v>
      </c>
      <c r="E502" s="6" t="s">
        <v>26</v>
      </c>
      <c r="F502" s="6">
        <v>3</v>
      </c>
      <c r="G502" s="6" t="s">
        <v>66</v>
      </c>
      <c r="H502" s="6">
        <v>1</v>
      </c>
      <c r="I502" s="6">
        <v>1</v>
      </c>
      <c r="J502" s="6">
        <v>0</v>
      </c>
      <c r="K502" s="6" t="s">
        <v>35</v>
      </c>
      <c r="L502" s="6" t="str">
        <f>VLOOKUP(K502, 'Alphabetical by species code'!A:B, 2, FALSE)</f>
        <v>Deinandra fasciculata</v>
      </c>
      <c r="M502" s="6" t="str">
        <f>VLOOKUP(L502, 'Alphabetical by species code'!B:C, 2, FALSE)</f>
        <v>Native</v>
      </c>
    </row>
    <row r="503" spans="1:13" x14ac:dyDescent="0.25">
      <c r="A503" s="6">
        <v>6</v>
      </c>
      <c r="B503" s="6">
        <v>2025</v>
      </c>
      <c r="C503" s="7">
        <v>45755</v>
      </c>
      <c r="D503" s="6" t="s">
        <v>54</v>
      </c>
      <c r="E503" s="6" t="s">
        <v>26</v>
      </c>
      <c r="F503" s="6">
        <v>3</v>
      </c>
      <c r="G503" s="6" t="s">
        <v>66</v>
      </c>
      <c r="H503" s="6">
        <v>1</v>
      </c>
      <c r="I503" s="6">
        <v>1</v>
      </c>
      <c r="J503" s="6">
        <v>0</v>
      </c>
      <c r="K503" s="6" t="s">
        <v>49</v>
      </c>
      <c r="L503" s="6" t="str">
        <f>VLOOKUP(K503, 'Alphabetical by species code'!A:B, 2, FALSE)</f>
        <v>Anagallis arvensis</v>
      </c>
      <c r="M503" s="6" t="str">
        <f>VLOOKUP(L503, 'Alphabetical by species code'!B:C, 2, FALSE)</f>
        <v>Non-Native</v>
      </c>
    </row>
    <row r="504" spans="1:13" x14ac:dyDescent="0.25">
      <c r="A504" s="6">
        <v>6</v>
      </c>
      <c r="B504" s="6">
        <v>2025</v>
      </c>
      <c r="C504" s="7">
        <v>45755</v>
      </c>
      <c r="D504" s="6" t="s">
        <v>54</v>
      </c>
      <c r="E504" s="6" t="s">
        <v>26</v>
      </c>
      <c r="F504" s="6">
        <v>3</v>
      </c>
      <c r="G504" s="6" t="s">
        <v>66</v>
      </c>
      <c r="H504" s="6">
        <v>1</v>
      </c>
      <c r="I504" s="6">
        <v>1</v>
      </c>
      <c r="J504" s="6">
        <v>0</v>
      </c>
      <c r="K504" s="6" t="s">
        <v>34</v>
      </c>
      <c r="L504" s="6" t="str">
        <f>VLOOKUP(K504, 'Alphabetical by species code'!A:B, 2, FALSE)</f>
        <v>Erodium cicutarium</v>
      </c>
      <c r="M504" s="6" t="str">
        <f>VLOOKUP(L504, 'Alphabetical by species code'!B:C, 2, FALSE)</f>
        <v>Non-Native</v>
      </c>
    </row>
    <row r="505" spans="1:13" x14ac:dyDescent="0.25">
      <c r="A505" s="6">
        <v>6</v>
      </c>
      <c r="B505" s="6">
        <v>2025</v>
      </c>
      <c r="C505" s="7">
        <v>45755</v>
      </c>
      <c r="D505" s="6" t="s">
        <v>54</v>
      </c>
      <c r="E505" s="6" t="s">
        <v>26</v>
      </c>
      <c r="F505" s="6">
        <v>3</v>
      </c>
      <c r="G505" s="6" t="s">
        <v>66</v>
      </c>
      <c r="H505" s="6">
        <v>1</v>
      </c>
      <c r="I505" s="6">
        <v>2</v>
      </c>
      <c r="J505" s="6">
        <v>1</v>
      </c>
      <c r="K505" s="6" t="s">
        <v>28</v>
      </c>
      <c r="L505" s="6" t="str">
        <f>VLOOKUP(K505, 'Alphabetical by species code'!A:B, 2, FALSE)</f>
        <v>Litter</v>
      </c>
      <c r="M505" s="6" t="str">
        <f>VLOOKUP(L505, 'Alphabetical by species code'!B:C, 2, FALSE)</f>
        <v>Ground Cover</v>
      </c>
    </row>
    <row r="506" spans="1:13" x14ac:dyDescent="0.25">
      <c r="A506" s="6">
        <v>6</v>
      </c>
      <c r="B506" s="6">
        <v>2025</v>
      </c>
      <c r="C506" s="7">
        <v>45755</v>
      </c>
      <c r="D506" s="6" t="s">
        <v>54</v>
      </c>
      <c r="E506" s="6" t="s">
        <v>26</v>
      </c>
      <c r="F506" s="6">
        <v>3</v>
      </c>
      <c r="G506" s="6" t="s">
        <v>66</v>
      </c>
      <c r="H506" s="6">
        <v>1</v>
      </c>
      <c r="I506" s="6">
        <v>2</v>
      </c>
      <c r="J506" s="6">
        <v>1</v>
      </c>
      <c r="K506" s="6" t="s">
        <v>40</v>
      </c>
      <c r="L506" s="6" t="str">
        <f>VLOOKUP(K506, 'Alphabetical by species code'!A:B, 2, FALSE)</f>
        <v>Cylindropuntia prolifera</v>
      </c>
      <c r="M506" s="6" t="str">
        <f>VLOOKUP(L506, 'Alphabetical by species code'!B:C, 2, FALSE)</f>
        <v>Native</v>
      </c>
    </row>
    <row r="507" spans="1:13" x14ac:dyDescent="0.25">
      <c r="A507" s="6">
        <v>6</v>
      </c>
      <c r="B507" s="6">
        <v>2025</v>
      </c>
      <c r="C507" s="7">
        <v>45755</v>
      </c>
      <c r="D507" s="6" t="s">
        <v>54</v>
      </c>
      <c r="E507" s="6" t="s">
        <v>26</v>
      </c>
      <c r="F507" s="6">
        <v>3</v>
      </c>
      <c r="G507" s="6" t="s">
        <v>66</v>
      </c>
      <c r="H507" s="6">
        <v>1</v>
      </c>
      <c r="I507" s="6">
        <v>2</v>
      </c>
      <c r="J507" s="6">
        <v>1</v>
      </c>
      <c r="K507" s="6" t="s">
        <v>39</v>
      </c>
      <c r="L507" s="6" t="str">
        <f>VLOOKUP(K507, 'Alphabetical by species code'!A:B, 2, FALSE)</f>
        <v>Stephanomeria diegensis</v>
      </c>
      <c r="M507" s="6" t="str">
        <f>VLOOKUP(L507, 'Alphabetical by species code'!B:C, 2, FALSE)</f>
        <v>Native</v>
      </c>
    </row>
    <row r="508" spans="1:13" x14ac:dyDescent="0.25">
      <c r="A508" s="6">
        <v>6</v>
      </c>
      <c r="B508" s="6">
        <v>2025</v>
      </c>
      <c r="C508" s="7">
        <v>45755</v>
      </c>
      <c r="D508" s="6" t="s">
        <v>54</v>
      </c>
      <c r="E508" s="6" t="s">
        <v>26</v>
      </c>
      <c r="F508" s="6">
        <v>3</v>
      </c>
      <c r="G508" s="6" t="s">
        <v>66</v>
      </c>
      <c r="H508" s="6">
        <v>1</v>
      </c>
      <c r="I508" s="6">
        <v>2</v>
      </c>
      <c r="J508" s="6">
        <v>1</v>
      </c>
      <c r="K508" s="6" t="s">
        <v>31</v>
      </c>
      <c r="L508" s="6" t="str">
        <f>VLOOKUP(K508, 'Alphabetical by species code'!A:B, 2, FALSE)</f>
        <v>Festuca myuros</v>
      </c>
      <c r="M508" s="6" t="str">
        <f>VLOOKUP(L508, 'Alphabetical by species code'!B:C, 2, FALSE)</f>
        <v>Non-Native</v>
      </c>
    </row>
    <row r="509" spans="1:13" x14ac:dyDescent="0.25">
      <c r="A509" s="6">
        <v>6</v>
      </c>
      <c r="B509" s="6">
        <v>2025</v>
      </c>
      <c r="C509" s="7">
        <v>45755</v>
      </c>
      <c r="D509" s="6" t="s">
        <v>54</v>
      </c>
      <c r="E509" s="6" t="s">
        <v>26</v>
      </c>
      <c r="F509" s="6">
        <v>3</v>
      </c>
      <c r="G509" s="6" t="s">
        <v>66</v>
      </c>
      <c r="H509" s="6">
        <v>1</v>
      </c>
      <c r="I509" s="6">
        <v>3</v>
      </c>
      <c r="J509" s="6">
        <v>2</v>
      </c>
      <c r="K509" s="6" t="s">
        <v>28</v>
      </c>
      <c r="L509" s="6" t="str">
        <f>VLOOKUP(K509, 'Alphabetical by species code'!A:B, 2, FALSE)</f>
        <v>Litter</v>
      </c>
      <c r="M509" s="6" t="str">
        <f>VLOOKUP(L509, 'Alphabetical by species code'!B:C, 2, FALSE)</f>
        <v>Ground Cover</v>
      </c>
    </row>
    <row r="510" spans="1:13" x14ac:dyDescent="0.25">
      <c r="A510" s="6">
        <v>6</v>
      </c>
      <c r="B510" s="6">
        <v>2025</v>
      </c>
      <c r="C510" s="7">
        <v>45755</v>
      </c>
      <c r="D510" s="6" t="s">
        <v>54</v>
      </c>
      <c r="E510" s="6" t="s">
        <v>26</v>
      </c>
      <c r="F510" s="6">
        <v>3</v>
      </c>
      <c r="G510" s="6" t="s">
        <v>66</v>
      </c>
      <c r="H510" s="6">
        <v>1</v>
      </c>
      <c r="I510" s="6">
        <v>3</v>
      </c>
      <c r="J510" s="6">
        <v>2</v>
      </c>
      <c r="K510" s="6" t="s">
        <v>31</v>
      </c>
      <c r="L510" s="6" t="str">
        <f>VLOOKUP(K510, 'Alphabetical by species code'!A:B, 2, FALSE)</f>
        <v>Festuca myuros</v>
      </c>
      <c r="M510" s="6" t="str">
        <f>VLOOKUP(L510, 'Alphabetical by species code'!B:C, 2, FALSE)</f>
        <v>Non-Native</v>
      </c>
    </row>
    <row r="511" spans="1:13" x14ac:dyDescent="0.25">
      <c r="A511" s="6">
        <v>6</v>
      </c>
      <c r="B511" s="6">
        <v>2025</v>
      </c>
      <c r="C511" s="7">
        <v>45755</v>
      </c>
      <c r="D511" s="6" t="s">
        <v>54</v>
      </c>
      <c r="E511" s="6" t="s">
        <v>26</v>
      </c>
      <c r="F511" s="6">
        <v>3</v>
      </c>
      <c r="G511" s="6" t="s">
        <v>66</v>
      </c>
      <c r="H511" s="6">
        <v>1</v>
      </c>
      <c r="I511" s="6">
        <v>3</v>
      </c>
      <c r="J511" s="6">
        <v>2</v>
      </c>
      <c r="K511" s="6" t="s">
        <v>49</v>
      </c>
      <c r="L511" s="6" t="str">
        <f>VLOOKUP(K511, 'Alphabetical by species code'!A:B, 2, FALSE)</f>
        <v>Anagallis arvensis</v>
      </c>
      <c r="M511" s="6" t="str">
        <f>VLOOKUP(L511, 'Alphabetical by species code'!B:C, 2, FALSE)</f>
        <v>Non-Native</v>
      </c>
    </row>
    <row r="512" spans="1:13" x14ac:dyDescent="0.25">
      <c r="A512" s="6">
        <v>6</v>
      </c>
      <c r="B512" s="6">
        <v>2025</v>
      </c>
      <c r="C512" s="7">
        <v>45755</v>
      </c>
      <c r="D512" s="6" t="s">
        <v>54</v>
      </c>
      <c r="E512" s="6" t="s">
        <v>26</v>
      </c>
      <c r="F512" s="6">
        <v>3</v>
      </c>
      <c r="G512" s="6" t="s">
        <v>66</v>
      </c>
      <c r="H512" s="6">
        <v>1</v>
      </c>
      <c r="I512" s="6">
        <v>4</v>
      </c>
      <c r="J512" s="6">
        <v>3</v>
      </c>
      <c r="K512" s="6" t="s">
        <v>28</v>
      </c>
      <c r="L512" s="6" t="str">
        <f>VLOOKUP(K512, 'Alphabetical by species code'!A:B, 2, FALSE)</f>
        <v>Litter</v>
      </c>
      <c r="M512" s="6" t="str">
        <f>VLOOKUP(L512, 'Alphabetical by species code'!B:C, 2, FALSE)</f>
        <v>Ground Cover</v>
      </c>
    </row>
    <row r="513" spans="1:13" x14ac:dyDescent="0.25">
      <c r="A513" s="6">
        <v>6</v>
      </c>
      <c r="B513" s="6">
        <v>2025</v>
      </c>
      <c r="C513" s="7">
        <v>45755</v>
      </c>
      <c r="D513" s="6" t="s">
        <v>54</v>
      </c>
      <c r="E513" s="6" t="s">
        <v>26</v>
      </c>
      <c r="F513" s="6">
        <v>3</v>
      </c>
      <c r="G513" s="6" t="s">
        <v>66</v>
      </c>
      <c r="H513" s="6">
        <v>1</v>
      </c>
      <c r="I513" s="6">
        <v>4</v>
      </c>
      <c r="J513" s="6">
        <v>3</v>
      </c>
      <c r="K513" s="6" t="s">
        <v>32</v>
      </c>
      <c r="L513" s="6" t="str">
        <f>VLOOKUP(K513, 'Alphabetical by species code'!A:B, 2, FALSE)</f>
        <v>Medicago polymorpha</v>
      </c>
      <c r="M513" s="6" t="str">
        <f>VLOOKUP(L513, 'Alphabetical by species code'!B:C, 2, FALSE)</f>
        <v>Non-Native</v>
      </c>
    </row>
    <row r="514" spans="1:13" x14ac:dyDescent="0.25">
      <c r="A514" s="6">
        <v>6</v>
      </c>
      <c r="B514" s="6">
        <v>2025</v>
      </c>
      <c r="C514" s="7">
        <v>45755</v>
      </c>
      <c r="D514" s="6" t="s">
        <v>54</v>
      </c>
      <c r="E514" s="6" t="s">
        <v>26</v>
      </c>
      <c r="F514" s="6">
        <v>3</v>
      </c>
      <c r="G514" s="6" t="s">
        <v>66</v>
      </c>
      <c r="H514" s="6">
        <v>1</v>
      </c>
      <c r="I514" s="6">
        <v>4</v>
      </c>
      <c r="J514" s="6">
        <v>3</v>
      </c>
      <c r="K514" s="6" t="s">
        <v>31</v>
      </c>
      <c r="L514" s="6" t="str">
        <f>VLOOKUP(K514, 'Alphabetical by species code'!A:B, 2, FALSE)</f>
        <v>Festuca myuros</v>
      </c>
      <c r="M514" s="6" t="str">
        <f>VLOOKUP(L514, 'Alphabetical by species code'!B:C, 2, FALSE)</f>
        <v>Non-Native</v>
      </c>
    </row>
    <row r="515" spans="1:13" x14ac:dyDescent="0.25">
      <c r="A515" s="6">
        <v>6</v>
      </c>
      <c r="B515" s="6">
        <v>2025</v>
      </c>
      <c r="C515" s="7">
        <v>45755</v>
      </c>
      <c r="D515" s="6" t="s">
        <v>54</v>
      </c>
      <c r="E515" s="6" t="s">
        <v>26</v>
      </c>
      <c r="F515" s="6">
        <v>3</v>
      </c>
      <c r="G515" s="6" t="s">
        <v>66</v>
      </c>
      <c r="H515" s="6">
        <v>1</v>
      </c>
      <c r="I515" s="6">
        <v>4</v>
      </c>
      <c r="J515" s="6">
        <v>3</v>
      </c>
      <c r="K515" s="6" t="s">
        <v>37</v>
      </c>
      <c r="L515" s="6" t="str">
        <f>VLOOKUP(K515, 'Alphabetical by species code'!A:B, 2, FALSE)</f>
        <v>Sonchus oleraceus</v>
      </c>
      <c r="M515" s="6" t="str">
        <f>VLOOKUP(L515, 'Alphabetical by species code'!B:C, 2, FALSE)</f>
        <v>Non-Native</v>
      </c>
    </row>
    <row r="516" spans="1:13" x14ac:dyDescent="0.25">
      <c r="A516" s="6">
        <v>6</v>
      </c>
      <c r="B516" s="6">
        <v>2025</v>
      </c>
      <c r="C516" s="7">
        <v>45755</v>
      </c>
      <c r="D516" s="6" t="s">
        <v>54</v>
      </c>
      <c r="E516" s="6" t="s">
        <v>26</v>
      </c>
      <c r="F516" s="6">
        <v>3</v>
      </c>
      <c r="G516" s="6" t="s">
        <v>66</v>
      </c>
      <c r="H516" s="6">
        <v>1</v>
      </c>
      <c r="I516" s="6">
        <v>5</v>
      </c>
      <c r="J516" s="6">
        <v>3.5</v>
      </c>
      <c r="K516" s="6" t="s">
        <v>28</v>
      </c>
      <c r="L516" s="6" t="str">
        <f>VLOOKUP(K516, 'Alphabetical by species code'!A:B, 2, FALSE)</f>
        <v>Litter</v>
      </c>
      <c r="M516" s="6" t="str">
        <f>VLOOKUP(L516, 'Alphabetical by species code'!B:C, 2, FALSE)</f>
        <v>Ground Cover</v>
      </c>
    </row>
    <row r="517" spans="1:13" x14ac:dyDescent="0.25">
      <c r="A517" s="6">
        <v>6</v>
      </c>
      <c r="B517" s="6">
        <v>2025</v>
      </c>
      <c r="C517" s="7">
        <v>45755</v>
      </c>
      <c r="D517" s="6" t="s">
        <v>54</v>
      </c>
      <c r="E517" s="6" t="s">
        <v>26</v>
      </c>
      <c r="F517" s="6">
        <v>3</v>
      </c>
      <c r="G517" s="6" t="s">
        <v>66</v>
      </c>
      <c r="H517" s="6">
        <v>1</v>
      </c>
      <c r="I517" s="6">
        <v>5</v>
      </c>
      <c r="J517" s="6">
        <v>3.5</v>
      </c>
      <c r="K517" s="6" t="s">
        <v>58</v>
      </c>
      <c r="L517" s="6" t="str">
        <f>VLOOKUP(K517, 'Alphabetical by species code'!A:B, 2, FALSE)</f>
        <v>Crassula connata</v>
      </c>
      <c r="M517" s="6" t="str">
        <f>VLOOKUP(L517, 'Alphabetical by species code'!B:C, 2, FALSE)</f>
        <v>Native</v>
      </c>
    </row>
    <row r="518" spans="1:13" x14ac:dyDescent="0.25">
      <c r="A518" s="6">
        <v>6</v>
      </c>
      <c r="B518" s="6">
        <v>2025</v>
      </c>
      <c r="C518" s="7">
        <v>45755</v>
      </c>
      <c r="D518" s="6" t="s">
        <v>54</v>
      </c>
      <c r="E518" s="6" t="s">
        <v>26</v>
      </c>
      <c r="F518" s="6">
        <v>3</v>
      </c>
      <c r="G518" s="6" t="s">
        <v>66</v>
      </c>
      <c r="H518" s="6">
        <v>1</v>
      </c>
      <c r="I518" s="6">
        <v>5</v>
      </c>
      <c r="J518" s="6">
        <v>3.5</v>
      </c>
      <c r="K518" s="6" t="s">
        <v>31</v>
      </c>
      <c r="L518" s="6" t="str">
        <f>VLOOKUP(K518, 'Alphabetical by species code'!A:B, 2, FALSE)</f>
        <v>Festuca myuros</v>
      </c>
      <c r="M518" s="6" t="str">
        <f>VLOOKUP(L518, 'Alphabetical by species code'!B:C, 2, FALSE)</f>
        <v>Non-Native</v>
      </c>
    </row>
    <row r="519" spans="1:13" x14ac:dyDescent="0.25">
      <c r="A519" s="6">
        <v>6</v>
      </c>
      <c r="B519" s="6">
        <v>2025</v>
      </c>
      <c r="C519" s="7">
        <v>45755</v>
      </c>
      <c r="D519" s="6" t="s">
        <v>54</v>
      </c>
      <c r="E519" s="6" t="s">
        <v>26</v>
      </c>
      <c r="F519" s="6">
        <v>3</v>
      </c>
      <c r="G519" s="6" t="s">
        <v>66</v>
      </c>
      <c r="H519" s="6">
        <v>1</v>
      </c>
      <c r="I519" s="6">
        <v>5</v>
      </c>
      <c r="J519" s="6">
        <v>3.5</v>
      </c>
      <c r="K519" s="6" t="s">
        <v>32</v>
      </c>
      <c r="L519" s="6" t="str">
        <f>VLOOKUP(K519, 'Alphabetical by species code'!A:B, 2, FALSE)</f>
        <v>Medicago polymorpha</v>
      </c>
      <c r="M519" s="6" t="str">
        <f>VLOOKUP(L519, 'Alphabetical by species code'!B:C, 2, FALSE)</f>
        <v>Non-Native</v>
      </c>
    </row>
    <row r="520" spans="1:13" x14ac:dyDescent="0.25">
      <c r="A520" s="6">
        <v>6</v>
      </c>
      <c r="B520" s="6">
        <v>2025</v>
      </c>
      <c r="C520" s="7">
        <v>45755</v>
      </c>
      <c r="D520" s="6" t="s">
        <v>54</v>
      </c>
      <c r="E520" s="6" t="s">
        <v>26</v>
      </c>
      <c r="F520" s="6">
        <v>3</v>
      </c>
      <c r="G520" s="6" t="s">
        <v>66</v>
      </c>
      <c r="H520" s="6">
        <v>1</v>
      </c>
      <c r="I520" s="6">
        <v>6</v>
      </c>
      <c r="J520" s="6">
        <v>4</v>
      </c>
      <c r="K520" s="6" t="s">
        <v>28</v>
      </c>
      <c r="L520" s="6" t="str">
        <f>VLOOKUP(K520, 'Alphabetical by species code'!A:B, 2, FALSE)</f>
        <v>Litter</v>
      </c>
      <c r="M520" s="6" t="str">
        <f>VLOOKUP(L520, 'Alphabetical by species code'!B:C, 2, FALSE)</f>
        <v>Ground Cover</v>
      </c>
    </row>
    <row r="521" spans="1:13" x14ac:dyDescent="0.25">
      <c r="A521" s="6">
        <v>6</v>
      </c>
      <c r="B521" s="6">
        <v>2025</v>
      </c>
      <c r="C521" s="7">
        <v>45755</v>
      </c>
      <c r="D521" s="6" t="s">
        <v>54</v>
      </c>
      <c r="E521" s="6" t="s">
        <v>26</v>
      </c>
      <c r="F521" s="6">
        <v>3</v>
      </c>
      <c r="G521" s="6" t="s">
        <v>66</v>
      </c>
      <c r="H521" s="6">
        <v>1</v>
      </c>
      <c r="I521" s="6">
        <v>6</v>
      </c>
      <c r="J521" s="6">
        <v>4</v>
      </c>
      <c r="K521" s="6" t="s">
        <v>32</v>
      </c>
      <c r="L521" s="6" t="str">
        <f>VLOOKUP(K521, 'Alphabetical by species code'!A:B, 2, FALSE)</f>
        <v>Medicago polymorpha</v>
      </c>
      <c r="M521" s="6" t="str">
        <f>VLOOKUP(L521, 'Alphabetical by species code'!B:C, 2, FALSE)</f>
        <v>Non-Native</v>
      </c>
    </row>
    <row r="522" spans="1:13" x14ac:dyDescent="0.25">
      <c r="A522" s="6">
        <v>6</v>
      </c>
      <c r="B522" s="6">
        <v>2025</v>
      </c>
      <c r="C522" s="7">
        <v>45755</v>
      </c>
      <c r="D522" s="6" t="s">
        <v>54</v>
      </c>
      <c r="E522" s="6" t="s">
        <v>26</v>
      </c>
      <c r="F522" s="6">
        <v>3</v>
      </c>
      <c r="G522" s="6" t="s">
        <v>66</v>
      </c>
      <c r="H522" s="6">
        <v>1</v>
      </c>
      <c r="I522" s="6">
        <v>6</v>
      </c>
      <c r="J522" s="6">
        <v>4</v>
      </c>
      <c r="K522" s="6" t="s">
        <v>35</v>
      </c>
      <c r="L522" s="6" t="str">
        <f>VLOOKUP(K522, 'Alphabetical by species code'!A:B, 2, FALSE)</f>
        <v>Deinandra fasciculata</v>
      </c>
      <c r="M522" s="6" t="str">
        <f>VLOOKUP(L522, 'Alphabetical by species code'!B:C, 2, FALSE)</f>
        <v>Native</v>
      </c>
    </row>
    <row r="523" spans="1:13" x14ac:dyDescent="0.25">
      <c r="A523" s="6">
        <v>6</v>
      </c>
      <c r="B523" s="6">
        <v>2025</v>
      </c>
      <c r="C523" s="7">
        <v>45755</v>
      </c>
      <c r="D523" s="6" t="s">
        <v>54</v>
      </c>
      <c r="E523" s="6" t="s">
        <v>26</v>
      </c>
      <c r="F523" s="6">
        <v>3</v>
      </c>
      <c r="G523" s="6" t="s">
        <v>66</v>
      </c>
      <c r="H523" s="6">
        <v>1</v>
      </c>
      <c r="I523" s="6">
        <v>6</v>
      </c>
      <c r="J523" s="6">
        <v>4</v>
      </c>
      <c r="K523" s="6" t="s">
        <v>31</v>
      </c>
      <c r="L523" s="6" t="str">
        <f>VLOOKUP(K523, 'Alphabetical by species code'!A:B, 2, FALSE)</f>
        <v>Festuca myuros</v>
      </c>
      <c r="M523" s="6" t="str">
        <f>VLOOKUP(L523, 'Alphabetical by species code'!B:C, 2, FALSE)</f>
        <v>Non-Native</v>
      </c>
    </row>
    <row r="524" spans="1:13" x14ac:dyDescent="0.25">
      <c r="A524" s="6">
        <v>6</v>
      </c>
      <c r="B524" s="6">
        <v>2025</v>
      </c>
      <c r="C524" s="7">
        <v>45755</v>
      </c>
      <c r="D524" s="6" t="s">
        <v>54</v>
      </c>
      <c r="E524" s="6" t="s">
        <v>26</v>
      </c>
      <c r="F524" s="6">
        <v>3</v>
      </c>
      <c r="G524" s="6" t="s">
        <v>66</v>
      </c>
      <c r="H524" s="6">
        <v>1</v>
      </c>
      <c r="I524" s="6">
        <v>7</v>
      </c>
      <c r="J524" s="6">
        <v>5</v>
      </c>
      <c r="K524" s="6" t="s">
        <v>28</v>
      </c>
      <c r="L524" s="6" t="str">
        <f>VLOOKUP(K524, 'Alphabetical by species code'!A:B, 2, FALSE)</f>
        <v>Litter</v>
      </c>
      <c r="M524" s="6" t="str">
        <f>VLOOKUP(L524, 'Alphabetical by species code'!B:C, 2, FALSE)</f>
        <v>Ground Cover</v>
      </c>
    </row>
    <row r="525" spans="1:13" x14ac:dyDescent="0.25">
      <c r="A525" s="6">
        <v>6</v>
      </c>
      <c r="B525" s="6">
        <v>2025</v>
      </c>
      <c r="C525" s="7">
        <v>45755</v>
      </c>
      <c r="D525" s="6" t="s">
        <v>54</v>
      </c>
      <c r="E525" s="6" t="s">
        <v>26</v>
      </c>
      <c r="F525" s="6">
        <v>3</v>
      </c>
      <c r="G525" s="6" t="s">
        <v>66</v>
      </c>
      <c r="H525" s="6">
        <v>1</v>
      </c>
      <c r="I525" s="6">
        <v>7</v>
      </c>
      <c r="J525" s="6">
        <v>5</v>
      </c>
      <c r="K525" s="6" t="s">
        <v>67</v>
      </c>
      <c r="L525" s="6" t="str">
        <f>VLOOKUP(K525, 'Alphabetical by species code'!A:B, 2, FALSE)</f>
        <v>Galium aparine</v>
      </c>
      <c r="M525" s="6" t="str">
        <f>VLOOKUP(L525, 'Alphabetical by species code'!B:C, 2, FALSE)</f>
        <v>Native</v>
      </c>
    </row>
    <row r="526" spans="1:13" x14ac:dyDescent="0.25">
      <c r="A526" s="6">
        <v>6</v>
      </c>
      <c r="B526" s="6">
        <v>2025</v>
      </c>
      <c r="C526" s="7">
        <v>45755</v>
      </c>
      <c r="D526" s="6" t="s">
        <v>54</v>
      </c>
      <c r="E526" s="6" t="s">
        <v>26</v>
      </c>
      <c r="F526" s="6">
        <v>3</v>
      </c>
      <c r="G526" s="6" t="s">
        <v>66</v>
      </c>
      <c r="H526" s="6">
        <v>1</v>
      </c>
      <c r="I526" s="6">
        <v>7</v>
      </c>
      <c r="J526" s="6">
        <v>5</v>
      </c>
      <c r="K526" s="6" t="s">
        <v>31</v>
      </c>
      <c r="L526" s="6" t="str">
        <f>VLOOKUP(K526, 'Alphabetical by species code'!A:B, 2, FALSE)</f>
        <v>Festuca myuros</v>
      </c>
      <c r="M526" s="6" t="str">
        <f>VLOOKUP(L526, 'Alphabetical by species code'!B:C, 2, FALSE)</f>
        <v>Non-Native</v>
      </c>
    </row>
    <row r="527" spans="1:13" x14ac:dyDescent="0.25">
      <c r="A527" s="6">
        <v>6</v>
      </c>
      <c r="B527" s="6">
        <v>2025</v>
      </c>
      <c r="C527" s="7">
        <v>45755</v>
      </c>
      <c r="D527" s="6" t="s">
        <v>54</v>
      </c>
      <c r="E527" s="6" t="s">
        <v>26</v>
      </c>
      <c r="F527" s="6">
        <v>3</v>
      </c>
      <c r="G527" s="6" t="s">
        <v>66</v>
      </c>
      <c r="H527" s="6">
        <v>1</v>
      </c>
      <c r="I527" s="6">
        <v>7</v>
      </c>
      <c r="J527" s="6">
        <v>5</v>
      </c>
      <c r="K527" s="6" t="s">
        <v>29</v>
      </c>
      <c r="L527" s="6" t="str">
        <f>VLOOKUP(K527, 'Alphabetical by species code'!A:B, 2, FALSE)</f>
        <v>Opuntia littoralis</v>
      </c>
      <c r="M527" s="6" t="str">
        <f>VLOOKUP(L527, 'Alphabetical by species code'!B:C, 2, FALSE)</f>
        <v>Native</v>
      </c>
    </row>
    <row r="528" spans="1:13" x14ac:dyDescent="0.25">
      <c r="A528" s="6">
        <v>6</v>
      </c>
      <c r="B528" s="6">
        <v>2025</v>
      </c>
      <c r="C528" s="7">
        <v>45755</v>
      </c>
      <c r="D528" s="6" t="s">
        <v>54</v>
      </c>
      <c r="E528" s="6" t="s">
        <v>26</v>
      </c>
      <c r="F528" s="6">
        <v>3</v>
      </c>
      <c r="G528" s="6" t="s">
        <v>66</v>
      </c>
      <c r="H528" s="6">
        <v>1</v>
      </c>
      <c r="I528" s="6">
        <v>8</v>
      </c>
      <c r="J528" s="6">
        <v>7</v>
      </c>
      <c r="K528" s="6" t="s">
        <v>28</v>
      </c>
      <c r="L528" s="6" t="str">
        <f>VLOOKUP(K528, 'Alphabetical by species code'!A:B, 2, FALSE)</f>
        <v>Litter</v>
      </c>
      <c r="M528" s="6" t="str">
        <f>VLOOKUP(L528, 'Alphabetical by species code'!B:C, 2, FALSE)</f>
        <v>Ground Cover</v>
      </c>
    </row>
    <row r="529" spans="1:13" x14ac:dyDescent="0.25">
      <c r="A529" s="6">
        <v>6</v>
      </c>
      <c r="B529" s="6">
        <v>2025</v>
      </c>
      <c r="C529" s="7">
        <v>45755</v>
      </c>
      <c r="D529" s="6" t="s">
        <v>54</v>
      </c>
      <c r="E529" s="6" t="s">
        <v>26</v>
      </c>
      <c r="F529" s="6">
        <v>3</v>
      </c>
      <c r="G529" s="6" t="s">
        <v>66</v>
      </c>
      <c r="H529" s="6">
        <v>1</v>
      </c>
      <c r="I529" s="6">
        <v>8</v>
      </c>
      <c r="J529" s="6">
        <v>7</v>
      </c>
      <c r="K529" s="6" t="s">
        <v>35</v>
      </c>
      <c r="L529" s="6" t="str">
        <f>VLOOKUP(K529, 'Alphabetical by species code'!A:B, 2, FALSE)</f>
        <v>Deinandra fasciculata</v>
      </c>
      <c r="M529" s="6" t="str">
        <f>VLOOKUP(L529, 'Alphabetical by species code'!B:C, 2, FALSE)</f>
        <v>Native</v>
      </c>
    </row>
    <row r="530" spans="1:13" x14ac:dyDescent="0.25">
      <c r="A530" s="6">
        <v>6</v>
      </c>
      <c r="B530" s="6">
        <v>2025</v>
      </c>
      <c r="C530" s="7">
        <v>45755</v>
      </c>
      <c r="D530" s="6" t="s">
        <v>54</v>
      </c>
      <c r="E530" s="6" t="s">
        <v>26</v>
      </c>
      <c r="F530" s="6">
        <v>3</v>
      </c>
      <c r="G530" s="6" t="s">
        <v>66</v>
      </c>
      <c r="H530" s="6">
        <v>1</v>
      </c>
      <c r="I530" s="6">
        <v>8</v>
      </c>
      <c r="J530" s="6">
        <v>7</v>
      </c>
      <c r="K530" s="6" t="s">
        <v>31</v>
      </c>
      <c r="L530" s="6" t="str">
        <f>VLOOKUP(K530, 'Alphabetical by species code'!A:B, 2, FALSE)</f>
        <v>Festuca myuros</v>
      </c>
      <c r="M530" s="6" t="str">
        <f>VLOOKUP(L530, 'Alphabetical by species code'!B:C, 2, FALSE)</f>
        <v>Non-Native</v>
      </c>
    </row>
    <row r="531" spans="1:13" x14ac:dyDescent="0.25">
      <c r="A531" s="6">
        <v>6</v>
      </c>
      <c r="B531" s="6">
        <v>2025</v>
      </c>
      <c r="C531" s="7">
        <v>45755</v>
      </c>
      <c r="D531" s="6" t="s">
        <v>54</v>
      </c>
      <c r="E531" s="6" t="s">
        <v>26</v>
      </c>
      <c r="F531" s="6">
        <v>3</v>
      </c>
      <c r="G531" s="6" t="s">
        <v>66</v>
      </c>
      <c r="H531" s="6">
        <v>1</v>
      </c>
      <c r="I531" s="6">
        <v>9</v>
      </c>
      <c r="J531" s="6">
        <v>8</v>
      </c>
      <c r="K531" s="6" t="s">
        <v>28</v>
      </c>
      <c r="L531" s="6" t="str">
        <f>VLOOKUP(K531, 'Alphabetical by species code'!A:B, 2, FALSE)</f>
        <v>Litter</v>
      </c>
      <c r="M531" s="6" t="str">
        <f>VLOOKUP(L531, 'Alphabetical by species code'!B:C, 2, FALSE)</f>
        <v>Ground Cover</v>
      </c>
    </row>
    <row r="532" spans="1:13" x14ac:dyDescent="0.25">
      <c r="A532" s="6">
        <v>6</v>
      </c>
      <c r="B532" s="6">
        <v>2025</v>
      </c>
      <c r="C532" s="7">
        <v>45755</v>
      </c>
      <c r="D532" s="6" t="s">
        <v>54</v>
      </c>
      <c r="E532" s="6" t="s">
        <v>26</v>
      </c>
      <c r="F532" s="6">
        <v>3</v>
      </c>
      <c r="G532" s="6" t="s">
        <v>66</v>
      </c>
      <c r="H532" s="6">
        <v>1</v>
      </c>
      <c r="I532" s="6">
        <v>9</v>
      </c>
      <c r="J532" s="6">
        <v>8</v>
      </c>
      <c r="K532" s="6" t="s">
        <v>35</v>
      </c>
      <c r="L532" s="6" t="str">
        <f>VLOOKUP(K532, 'Alphabetical by species code'!A:B, 2, FALSE)</f>
        <v>Deinandra fasciculata</v>
      </c>
      <c r="M532" s="6" t="str">
        <f>VLOOKUP(L532, 'Alphabetical by species code'!B:C, 2, FALSE)</f>
        <v>Native</v>
      </c>
    </row>
    <row r="533" spans="1:13" x14ac:dyDescent="0.25">
      <c r="A533" s="6">
        <v>6</v>
      </c>
      <c r="B533" s="6">
        <v>2025</v>
      </c>
      <c r="C533" s="7">
        <v>45755</v>
      </c>
      <c r="D533" s="6" t="s">
        <v>54</v>
      </c>
      <c r="E533" s="6" t="s">
        <v>26</v>
      </c>
      <c r="F533" s="6">
        <v>3</v>
      </c>
      <c r="G533" s="6" t="s">
        <v>66</v>
      </c>
      <c r="H533" s="6">
        <v>1</v>
      </c>
      <c r="I533" s="6">
        <v>10</v>
      </c>
      <c r="J533" s="6">
        <v>8.5</v>
      </c>
      <c r="K533" s="6" t="s">
        <v>28</v>
      </c>
      <c r="L533" s="6" t="str">
        <f>VLOOKUP(K533, 'Alphabetical by species code'!A:B, 2, FALSE)</f>
        <v>Litter</v>
      </c>
      <c r="M533" s="6" t="str">
        <f>VLOOKUP(L533, 'Alphabetical by species code'!B:C, 2, FALSE)</f>
        <v>Ground Cover</v>
      </c>
    </row>
    <row r="534" spans="1:13" x14ac:dyDescent="0.25">
      <c r="A534" s="6">
        <v>6</v>
      </c>
      <c r="B534" s="6">
        <v>2025</v>
      </c>
      <c r="C534" s="7">
        <v>45755</v>
      </c>
      <c r="D534" s="6" t="s">
        <v>54</v>
      </c>
      <c r="E534" s="6" t="s">
        <v>26</v>
      </c>
      <c r="F534" s="6">
        <v>3</v>
      </c>
      <c r="G534" s="6" t="s">
        <v>66</v>
      </c>
      <c r="H534" s="6">
        <v>1</v>
      </c>
      <c r="I534" s="6">
        <v>10</v>
      </c>
      <c r="J534" s="6">
        <v>8.5</v>
      </c>
      <c r="K534" s="6" t="s">
        <v>35</v>
      </c>
      <c r="L534" s="6" t="str">
        <f>VLOOKUP(K534, 'Alphabetical by species code'!A:B, 2, FALSE)</f>
        <v>Deinandra fasciculata</v>
      </c>
      <c r="M534" s="6" t="str">
        <f>VLOOKUP(L534, 'Alphabetical by species code'!B:C, 2, FALSE)</f>
        <v>Native</v>
      </c>
    </row>
    <row r="535" spans="1:13" x14ac:dyDescent="0.25">
      <c r="A535" s="6">
        <v>6</v>
      </c>
      <c r="B535" s="6">
        <v>2025</v>
      </c>
      <c r="C535" s="7">
        <v>45755</v>
      </c>
      <c r="D535" s="6" t="s">
        <v>54</v>
      </c>
      <c r="E535" s="6" t="s">
        <v>26</v>
      </c>
      <c r="F535" s="6">
        <v>3</v>
      </c>
      <c r="G535" s="6" t="s">
        <v>66</v>
      </c>
      <c r="H535" s="6">
        <v>1</v>
      </c>
      <c r="I535" s="6">
        <v>10</v>
      </c>
      <c r="J535" s="6">
        <v>8.5</v>
      </c>
      <c r="K535" s="6" t="s">
        <v>31</v>
      </c>
      <c r="L535" s="6" t="str">
        <f>VLOOKUP(K535, 'Alphabetical by species code'!A:B, 2, FALSE)</f>
        <v>Festuca myuros</v>
      </c>
      <c r="M535" s="6" t="str">
        <f>VLOOKUP(L535, 'Alphabetical by species code'!B:C, 2, FALSE)</f>
        <v>Non-Native</v>
      </c>
    </row>
    <row r="536" spans="1:13" x14ac:dyDescent="0.25">
      <c r="A536" s="6">
        <v>6</v>
      </c>
      <c r="B536" s="6">
        <v>2025</v>
      </c>
      <c r="C536" s="7">
        <v>45755</v>
      </c>
      <c r="D536" s="6" t="s">
        <v>54</v>
      </c>
      <c r="E536" s="6" t="s">
        <v>26</v>
      </c>
      <c r="F536" s="6">
        <v>3</v>
      </c>
      <c r="G536" s="6" t="s">
        <v>66</v>
      </c>
      <c r="H536" s="6">
        <v>1</v>
      </c>
      <c r="I536" s="6">
        <v>11</v>
      </c>
      <c r="J536" s="6">
        <v>9</v>
      </c>
      <c r="K536" s="6" t="s">
        <v>28</v>
      </c>
      <c r="L536" s="6" t="str">
        <f>VLOOKUP(K536, 'Alphabetical by species code'!A:B, 2, FALSE)</f>
        <v>Litter</v>
      </c>
      <c r="M536" s="6" t="str">
        <f>VLOOKUP(L536, 'Alphabetical by species code'!B:C, 2, FALSE)</f>
        <v>Ground Cover</v>
      </c>
    </row>
    <row r="537" spans="1:13" x14ac:dyDescent="0.25">
      <c r="A537" s="6">
        <v>6</v>
      </c>
      <c r="B537" s="6">
        <v>2025</v>
      </c>
      <c r="C537" s="7">
        <v>45755</v>
      </c>
      <c r="D537" s="6" t="s">
        <v>54</v>
      </c>
      <c r="E537" s="6" t="s">
        <v>26</v>
      </c>
      <c r="F537" s="6">
        <v>3</v>
      </c>
      <c r="G537" s="6" t="s">
        <v>66</v>
      </c>
      <c r="H537" s="6">
        <v>1</v>
      </c>
      <c r="I537" s="6">
        <v>11</v>
      </c>
      <c r="J537" s="6">
        <v>9</v>
      </c>
      <c r="K537" s="6" t="s">
        <v>31</v>
      </c>
      <c r="L537" s="6" t="str">
        <f>VLOOKUP(K537, 'Alphabetical by species code'!A:B, 2, FALSE)</f>
        <v>Festuca myuros</v>
      </c>
      <c r="M537" s="6" t="str">
        <f>VLOOKUP(L537, 'Alphabetical by species code'!B:C, 2, FALSE)</f>
        <v>Non-Native</v>
      </c>
    </row>
    <row r="538" spans="1:13" x14ac:dyDescent="0.25">
      <c r="A538" s="6">
        <v>6</v>
      </c>
      <c r="B538" s="6">
        <v>2025</v>
      </c>
      <c r="C538" s="7">
        <v>45755</v>
      </c>
      <c r="D538" s="6" t="s">
        <v>54</v>
      </c>
      <c r="E538" s="6" t="s">
        <v>26</v>
      </c>
      <c r="F538" s="6">
        <v>3</v>
      </c>
      <c r="G538" s="6" t="s">
        <v>66</v>
      </c>
      <c r="H538" s="6">
        <v>1</v>
      </c>
      <c r="I538" s="6">
        <v>11</v>
      </c>
      <c r="J538" s="6">
        <v>9</v>
      </c>
      <c r="K538" s="6" t="s">
        <v>35</v>
      </c>
      <c r="L538" s="6" t="str">
        <f>VLOOKUP(K538, 'Alphabetical by species code'!A:B, 2, FALSE)</f>
        <v>Deinandra fasciculata</v>
      </c>
      <c r="M538" s="6" t="str">
        <f>VLOOKUP(L538, 'Alphabetical by species code'!B:C, 2, FALSE)</f>
        <v>Native</v>
      </c>
    </row>
    <row r="539" spans="1:13" x14ac:dyDescent="0.25">
      <c r="A539" s="6">
        <v>6</v>
      </c>
      <c r="B539" s="6">
        <v>2025</v>
      </c>
      <c r="C539" s="7">
        <v>45755</v>
      </c>
      <c r="D539" s="6" t="s">
        <v>54</v>
      </c>
      <c r="E539" s="6" t="s">
        <v>26</v>
      </c>
      <c r="F539" s="6">
        <v>3</v>
      </c>
      <c r="G539" s="6" t="s">
        <v>66</v>
      </c>
      <c r="H539" s="6">
        <v>1</v>
      </c>
      <c r="I539" s="6">
        <v>12</v>
      </c>
      <c r="J539" s="6">
        <v>10</v>
      </c>
      <c r="K539" s="6" t="s">
        <v>51</v>
      </c>
      <c r="L539" s="6" t="str">
        <f>VLOOKUP(K539, 'Alphabetical by species code'!A:B, 2, FALSE)</f>
        <v>Bareground</v>
      </c>
      <c r="M539" s="6" t="str">
        <f>VLOOKUP(L539, 'Alphabetical by species code'!B:C, 2, FALSE)</f>
        <v>Ground Cover</v>
      </c>
    </row>
    <row r="540" spans="1:13" x14ac:dyDescent="0.25">
      <c r="A540" s="6">
        <v>6</v>
      </c>
      <c r="B540" s="6">
        <v>2025</v>
      </c>
      <c r="C540" s="7">
        <v>45755</v>
      </c>
      <c r="D540" s="6" t="s">
        <v>54</v>
      </c>
      <c r="E540" s="6" t="s">
        <v>26</v>
      </c>
      <c r="F540" s="6">
        <v>3</v>
      </c>
      <c r="G540" s="6" t="s">
        <v>66</v>
      </c>
      <c r="H540" s="6">
        <v>1</v>
      </c>
      <c r="I540" s="6">
        <v>13</v>
      </c>
      <c r="J540" s="6">
        <v>10.5</v>
      </c>
      <c r="K540" s="6" t="s">
        <v>51</v>
      </c>
      <c r="L540" s="6" t="str">
        <f>VLOOKUP(K540, 'Alphabetical by species code'!A:B, 2, FALSE)</f>
        <v>Bareground</v>
      </c>
      <c r="M540" s="6" t="str">
        <f>VLOOKUP(L540, 'Alphabetical by species code'!B:C, 2, FALSE)</f>
        <v>Ground Cover</v>
      </c>
    </row>
    <row r="541" spans="1:13" x14ac:dyDescent="0.25">
      <c r="A541" s="6">
        <v>6</v>
      </c>
      <c r="B541" s="6">
        <v>2025</v>
      </c>
      <c r="C541" s="7">
        <v>45755</v>
      </c>
      <c r="D541" s="6" t="s">
        <v>54</v>
      </c>
      <c r="E541" s="6" t="s">
        <v>26</v>
      </c>
      <c r="F541" s="6">
        <v>3</v>
      </c>
      <c r="G541" s="6" t="s">
        <v>66</v>
      </c>
      <c r="H541" s="6">
        <v>1</v>
      </c>
      <c r="I541" s="6">
        <v>13</v>
      </c>
      <c r="J541" s="6">
        <v>10.5</v>
      </c>
      <c r="K541" s="6" t="s">
        <v>31</v>
      </c>
      <c r="L541" s="6" t="str">
        <f>VLOOKUP(K541, 'Alphabetical by species code'!A:B, 2, FALSE)</f>
        <v>Festuca myuros</v>
      </c>
      <c r="M541" s="6" t="str">
        <f>VLOOKUP(L541, 'Alphabetical by species code'!B:C, 2, FALSE)</f>
        <v>Non-Native</v>
      </c>
    </row>
    <row r="542" spans="1:13" x14ac:dyDescent="0.25">
      <c r="A542" s="6">
        <v>6</v>
      </c>
      <c r="B542" s="6">
        <v>2025</v>
      </c>
      <c r="C542" s="7">
        <v>45755</v>
      </c>
      <c r="D542" s="6" t="s">
        <v>54</v>
      </c>
      <c r="E542" s="6" t="s">
        <v>26</v>
      </c>
      <c r="F542" s="6">
        <v>3</v>
      </c>
      <c r="G542" s="6" t="s">
        <v>66</v>
      </c>
      <c r="H542" s="6">
        <v>1</v>
      </c>
      <c r="I542" s="6">
        <v>14</v>
      </c>
      <c r="J542" s="6">
        <v>11</v>
      </c>
      <c r="K542" s="6" t="s">
        <v>28</v>
      </c>
      <c r="L542" s="6" t="str">
        <f>VLOOKUP(K542, 'Alphabetical by species code'!A:B, 2, FALSE)</f>
        <v>Litter</v>
      </c>
      <c r="M542" s="6" t="str">
        <f>VLOOKUP(L542, 'Alphabetical by species code'!B:C, 2, FALSE)</f>
        <v>Ground Cover</v>
      </c>
    </row>
    <row r="543" spans="1:13" x14ac:dyDescent="0.25">
      <c r="A543" s="6">
        <v>6</v>
      </c>
      <c r="B543" s="6">
        <v>2025</v>
      </c>
      <c r="C543" s="7">
        <v>45755</v>
      </c>
      <c r="D543" s="6" t="s">
        <v>54</v>
      </c>
      <c r="E543" s="6" t="s">
        <v>26</v>
      </c>
      <c r="F543" s="6">
        <v>3</v>
      </c>
      <c r="G543" s="6" t="s">
        <v>66</v>
      </c>
      <c r="H543" s="6">
        <v>1</v>
      </c>
      <c r="I543" s="6">
        <v>14</v>
      </c>
      <c r="J543" s="6">
        <v>11</v>
      </c>
      <c r="K543" s="6" t="s">
        <v>31</v>
      </c>
      <c r="L543" s="6" t="str">
        <f>VLOOKUP(K543, 'Alphabetical by species code'!A:B, 2, FALSE)</f>
        <v>Festuca myuros</v>
      </c>
      <c r="M543" s="6" t="str">
        <f>VLOOKUP(L543, 'Alphabetical by species code'!B:C, 2, FALSE)</f>
        <v>Non-Native</v>
      </c>
    </row>
    <row r="544" spans="1:13" x14ac:dyDescent="0.25">
      <c r="A544" s="6">
        <v>6</v>
      </c>
      <c r="B544" s="6">
        <v>2025</v>
      </c>
      <c r="C544" s="7">
        <v>45755</v>
      </c>
      <c r="D544" s="6" t="s">
        <v>54</v>
      </c>
      <c r="E544" s="6" t="s">
        <v>26</v>
      </c>
      <c r="F544" s="6">
        <v>3</v>
      </c>
      <c r="G544" s="6" t="s">
        <v>66</v>
      </c>
      <c r="H544" s="6">
        <v>1</v>
      </c>
      <c r="I544" s="6">
        <v>14</v>
      </c>
      <c r="J544" s="6">
        <v>11</v>
      </c>
      <c r="K544" s="6" t="s">
        <v>35</v>
      </c>
      <c r="L544" s="6" t="str">
        <f>VLOOKUP(K544, 'Alphabetical by species code'!A:B, 2, FALSE)</f>
        <v>Deinandra fasciculata</v>
      </c>
      <c r="M544" s="6" t="str">
        <f>VLOOKUP(L544, 'Alphabetical by species code'!B:C, 2, FALSE)</f>
        <v>Native</v>
      </c>
    </row>
    <row r="545" spans="1:13" x14ac:dyDescent="0.25">
      <c r="A545" s="6">
        <v>6</v>
      </c>
      <c r="B545" s="6">
        <v>2025</v>
      </c>
      <c r="C545" s="7">
        <v>45755</v>
      </c>
      <c r="D545" s="6" t="s">
        <v>54</v>
      </c>
      <c r="E545" s="6" t="s">
        <v>26</v>
      </c>
      <c r="F545" s="6">
        <v>3</v>
      </c>
      <c r="G545" s="6" t="s">
        <v>66</v>
      </c>
      <c r="H545" s="6">
        <v>1</v>
      </c>
      <c r="I545" s="6">
        <v>14</v>
      </c>
      <c r="J545" s="6">
        <v>11</v>
      </c>
      <c r="K545" s="6" t="s">
        <v>68</v>
      </c>
      <c r="L545" s="6" t="str">
        <f>VLOOKUP(K545, 'Alphabetical by species code'!A:B, 2, FALSE)</f>
        <v>Unknown Species</v>
      </c>
      <c r="M545" s="6" t="str">
        <f>VLOOKUP(L545, 'Alphabetical by species code'!B:C, 2, FALSE)</f>
        <v>.</v>
      </c>
    </row>
    <row r="546" spans="1:13" x14ac:dyDescent="0.25">
      <c r="A546" s="6">
        <v>6</v>
      </c>
      <c r="B546" s="6">
        <v>2025</v>
      </c>
      <c r="C546" s="7">
        <v>45755</v>
      </c>
      <c r="D546" s="6" t="s">
        <v>54</v>
      </c>
      <c r="E546" s="6" t="s">
        <v>26</v>
      </c>
      <c r="F546" s="6">
        <v>3</v>
      </c>
      <c r="G546" s="6" t="s">
        <v>66</v>
      </c>
      <c r="H546" s="6">
        <v>1</v>
      </c>
      <c r="I546" s="6">
        <v>15</v>
      </c>
      <c r="J546" s="6">
        <v>12</v>
      </c>
      <c r="K546" s="6" t="s">
        <v>28</v>
      </c>
      <c r="L546" s="6" t="str">
        <f>VLOOKUP(K546, 'Alphabetical by species code'!A:B, 2, FALSE)</f>
        <v>Litter</v>
      </c>
      <c r="M546" s="6" t="str">
        <f>VLOOKUP(L546, 'Alphabetical by species code'!B:C, 2, FALSE)</f>
        <v>Ground Cover</v>
      </c>
    </row>
    <row r="547" spans="1:13" x14ac:dyDescent="0.25">
      <c r="A547" s="6">
        <v>6</v>
      </c>
      <c r="B547" s="6">
        <v>2025</v>
      </c>
      <c r="C547" s="7">
        <v>45755</v>
      </c>
      <c r="D547" s="6" t="s">
        <v>54</v>
      </c>
      <c r="E547" s="6" t="s">
        <v>26</v>
      </c>
      <c r="F547" s="6">
        <v>3</v>
      </c>
      <c r="G547" s="6" t="s">
        <v>66</v>
      </c>
      <c r="H547" s="6">
        <v>1</v>
      </c>
      <c r="I547" s="6">
        <v>15</v>
      </c>
      <c r="J547" s="6">
        <v>12</v>
      </c>
      <c r="K547" s="6" t="s">
        <v>31</v>
      </c>
      <c r="L547" s="6" t="str">
        <f>VLOOKUP(K547, 'Alphabetical by species code'!A:B, 2, FALSE)</f>
        <v>Festuca myuros</v>
      </c>
      <c r="M547" s="6" t="str">
        <f>VLOOKUP(L547, 'Alphabetical by species code'!B:C, 2, FALSE)</f>
        <v>Non-Native</v>
      </c>
    </row>
    <row r="548" spans="1:13" x14ac:dyDescent="0.25">
      <c r="A548" s="6">
        <v>6</v>
      </c>
      <c r="B548" s="6">
        <v>2025</v>
      </c>
      <c r="C548" s="7">
        <v>45755</v>
      </c>
      <c r="D548" s="6" t="s">
        <v>54</v>
      </c>
      <c r="E548" s="6" t="s">
        <v>26</v>
      </c>
      <c r="F548" s="6">
        <v>3</v>
      </c>
      <c r="G548" s="6" t="s">
        <v>66</v>
      </c>
      <c r="H548" s="6">
        <v>1</v>
      </c>
      <c r="I548" s="6">
        <v>15</v>
      </c>
      <c r="J548" s="6">
        <v>12</v>
      </c>
      <c r="K548" s="6" t="s">
        <v>40</v>
      </c>
      <c r="L548" s="6" t="str">
        <f>VLOOKUP(K548, 'Alphabetical by species code'!A:B, 2, FALSE)</f>
        <v>Cylindropuntia prolifera</v>
      </c>
      <c r="M548" s="6" t="str">
        <f>VLOOKUP(L548, 'Alphabetical by species code'!B:C, 2, FALSE)</f>
        <v>Native</v>
      </c>
    </row>
    <row r="549" spans="1:13" x14ac:dyDescent="0.25">
      <c r="A549" s="6">
        <v>6</v>
      </c>
      <c r="B549" s="6">
        <v>2025</v>
      </c>
      <c r="C549" s="7">
        <v>45755</v>
      </c>
      <c r="D549" s="6" t="s">
        <v>54</v>
      </c>
      <c r="E549" s="6" t="s">
        <v>26</v>
      </c>
      <c r="F549" s="6">
        <v>3</v>
      </c>
      <c r="G549" s="6" t="s">
        <v>66</v>
      </c>
      <c r="H549" s="6">
        <v>2</v>
      </c>
      <c r="I549" s="6">
        <v>1</v>
      </c>
      <c r="J549" s="6">
        <v>0</v>
      </c>
      <c r="K549" s="6" t="s">
        <v>28</v>
      </c>
      <c r="L549" s="6" t="str">
        <f>VLOOKUP(K549, 'Alphabetical by species code'!A:B, 2, FALSE)</f>
        <v>Litter</v>
      </c>
      <c r="M549" s="6" t="str">
        <f>VLOOKUP(L549, 'Alphabetical by species code'!B:C, 2, FALSE)</f>
        <v>Ground Cover</v>
      </c>
    </row>
    <row r="550" spans="1:13" x14ac:dyDescent="0.25">
      <c r="A550" s="6">
        <v>6</v>
      </c>
      <c r="B550" s="6">
        <v>2025</v>
      </c>
      <c r="C550" s="7">
        <v>45755</v>
      </c>
      <c r="D550" s="6" t="s">
        <v>54</v>
      </c>
      <c r="E550" s="6" t="s">
        <v>26</v>
      </c>
      <c r="F550" s="6">
        <v>3</v>
      </c>
      <c r="G550" s="6" t="s">
        <v>66</v>
      </c>
      <c r="H550" s="6">
        <v>2</v>
      </c>
      <c r="I550" s="6">
        <v>1</v>
      </c>
      <c r="J550" s="6">
        <v>0</v>
      </c>
      <c r="K550" s="6" t="s">
        <v>35</v>
      </c>
      <c r="L550" s="6" t="str">
        <f>VLOOKUP(K550, 'Alphabetical by species code'!A:B, 2, FALSE)</f>
        <v>Deinandra fasciculata</v>
      </c>
      <c r="M550" s="6" t="str">
        <f>VLOOKUP(L550, 'Alphabetical by species code'!B:C, 2, FALSE)</f>
        <v>Native</v>
      </c>
    </row>
    <row r="551" spans="1:13" x14ac:dyDescent="0.25">
      <c r="A551" s="6">
        <v>6</v>
      </c>
      <c r="B551" s="6">
        <v>2025</v>
      </c>
      <c r="C551" s="7">
        <v>45755</v>
      </c>
      <c r="D551" s="6" t="s">
        <v>54</v>
      </c>
      <c r="E551" s="6" t="s">
        <v>26</v>
      </c>
      <c r="F551" s="6">
        <v>3</v>
      </c>
      <c r="G551" s="6" t="s">
        <v>66</v>
      </c>
      <c r="H551" s="6">
        <v>2</v>
      </c>
      <c r="I551" s="6">
        <v>1</v>
      </c>
      <c r="J551" s="6">
        <v>0</v>
      </c>
      <c r="K551" s="6" t="s">
        <v>31</v>
      </c>
      <c r="L551" s="6" t="str">
        <f>VLOOKUP(K551, 'Alphabetical by species code'!A:B, 2, FALSE)</f>
        <v>Festuca myuros</v>
      </c>
      <c r="M551" s="6" t="str">
        <f>VLOOKUP(L551, 'Alphabetical by species code'!B:C, 2, FALSE)</f>
        <v>Non-Native</v>
      </c>
    </row>
    <row r="552" spans="1:13" x14ac:dyDescent="0.25">
      <c r="A552" s="6">
        <v>6</v>
      </c>
      <c r="B552" s="6">
        <v>2025</v>
      </c>
      <c r="C552" s="7">
        <v>45755</v>
      </c>
      <c r="D552" s="6" t="s">
        <v>54</v>
      </c>
      <c r="E552" s="6" t="s">
        <v>26</v>
      </c>
      <c r="F552" s="6">
        <v>3</v>
      </c>
      <c r="G552" s="6" t="s">
        <v>66</v>
      </c>
      <c r="H552" s="6">
        <v>2</v>
      </c>
      <c r="I552" s="6">
        <v>2</v>
      </c>
      <c r="J552" s="6">
        <v>1</v>
      </c>
      <c r="K552" s="6" t="s">
        <v>28</v>
      </c>
      <c r="L552" s="6" t="str">
        <f>VLOOKUP(K552, 'Alphabetical by species code'!A:B, 2, FALSE)</f>
        <v>Litter</v>
      </c>
      <c r="M552" s="6" t="str">
        <f>VLOOKUP(L552, 'Alphabetical by species code'!B:C, 2, FALSE)</f>
        <v>Ground Cover</v>
      </c>
    </row>
    <row r="553" spans="1:13" x14ac:dyDescent="0.25">
      <c r="A553" s="6">
        <v>6</v>
      </c>
      <c r="B553" s="6">
        <v>2025</v>
      </c>
      <c r="C553" s="7">
        <v>45755</v>
      </c>
      <c r="D553" s="6" t="s">
        <v>54</v>
      </c>
      <c r="E553" s="6" t="s">
        <v>26</v>
      </c>
      <c r="F553" s="6">
        <v>3</v>
      </c>
      <c r="G553" s="6" t="s">
        <v>66</v>
      </c>
      <c r="H553" s="6">
        <v>2</v>
      </c>
      <c r="I553" s="6">
        <v>2</v>
      </c>
      <c r="J553" s="6">
        <v>1</v>
      </c>
      <c r="K553" s="6" t="s">
        <v>29</v>
      </c>
      <c r="L553" s="6" t="str">
        <f>VLOOKUP(K553, 'Alphabetical by species code'!A:B, 2, FALSE)</f>
        <v>Opuntia littoralis</v>
      </c>
      <c r="M553" s="6" t="str">
        <f>VLOOKUP(L553, 'Alphabetical by species code'!B:C, 2, FALSE)</f>
        <v>Native</v>
      </c>
    </row>
    <row r="554" spans="1:13" x14ac:dyDescent="0.25">
      <c r="A554" s="6">
        <v>6</v>
      </c>
      <c r="B554" s="6">
        <v>2025</v>
      </c>
      <c r="C554" s="7">
        <v>45755</v>
      </c>
      <c r="D554" s="6" t="s">
        <v>54</v>
      </c>
      <c r="E554" s="6" t="s">
        <v>26</v>
      </c>
      <c r="F554" s="6">
        <v>3</v>
      </c>
      <c r="G554" s="6" t="s">
        <v>66</v>
      </c>
      <c r="H554" s="6">
        <v>2</v>
      </c>
      <c r="I554" s="6">
        <v>2</v>
      </c>
      <c r="J554" s="6">
        <v>1</v>
      </c>
      <c r="K554" s="6" t="s">
        <v>37</v>
      </c>
      <c r="L554" s="6" t="str">
        <f>VLOOKUP(K554, 'Alphabetical by species code'!A:B, 2, FALSE)</f>
        <v>Sonchus oleraceus</v>
      </c>
      <c r="M554" s="6" t="str">
        <f>VLOOKUP(L554, 'Alphabetical by species code'!B:C, 2, FALSE)</f>
        <v>Non-Native</v>
      </c>
    </row>
    <row r="555" spans="1:13" x14ac:dyDescent="0.25">
      <c r="A555" s="6">
        <v>6</v>
      </c>
      <c r="B555" s="6">
        <v>2025</v>
      </c>
      <c r="C555" s="7">
        <v>45755</v>
      </c>
      <c r="D555" s="6" t="s">
        <v>54</v>
      </c>
      <c r="E555" s="6" t="s">
        <v>26</v>
      </c>
      <c r="F555" s="6">
        <v>3</v>
      </c>
      <c r="G555" s="6" t="s">
        <v>66</v>
      </c>
      <c r="H555" s="6">
        <v>2</v>
      </c>
      <c r="I555" s="6">
        <v>2</v>
      </c>
      <c r="J555" s="6">
        <v>1</v>
      </c>
      <c r="K555" s="6" t="s">
        <v>31</v>
      </c>
      <c r="L555" s="6" t="str">
        <f>VLOOKUP(K555, 'Alphabetical by species code'!A:B, 2, FALSE)</f>
        <v>Festuca myuros</v>
      </c>
      <c r="M555" s="6" t="str">
        <f>VLOOKUP(L555, 'Alphabetical by species code'!B:C, 2, FALSE)</f>
        <v>Non-Native</v>
      </c>
    </row>
    <row r="556" spans="1:13" x14ac:dyDescent="0.25">
      <c r="A556" s="6">
        <v>6</v>
      </c>
      <c r="B556" s="6">
        <v>2025</v>
      </c>
      <c r="C556" s="7">
        <v>45755</v>
      </c>
      <c r="D556" s="6" t="s">
        <v>54</v>
      </c>
      <c r="E556" s="6" t="s">
        <v>26</v>
      </c>
      <c r="F556" s="6">
        <v>3</v>
      </c>
      <c r="G556" s="6" t="s">
        <v>66</v>
      </c>
      <c r="H556" s="6">
        <v>2</v>
      </c>
      <c r="I556" s="6">
        <v>3</v>
      </c>
      <c r="J556" s="6">
        <v>1.5</v>
      </c>
      <c r="K556" s="6" t="s">
        <v>28</v>
      </c>
      <c r="L556" s="6" t="str">
        <f>VLOOKUP(K556, 'Alphabetical by species code'!A:B, 2, FALSE)</f>
        <v>Litter</v>
      </c>
      <c r="M556" s="6" t="str">
        <f>VLOOKUP(L556, 'Alphabetical by species code'!B:C, 2, FALSE)</f>
        <v>Ground Cover</v>
      </c>
    </row>
    <row r="557" spans="1:13" x14ac:dyDescent="0.25">
      <c r="A557" s="6">
        <v>6</v>
      </c>
      <c r="B557" s="6">
        <v>2025</v>
      </c>
      <c r="C557" s="7">
        <v>45755</v>
      </c>
      <c r="D557" s="6" t="s">
        <v>54</v>
      </c>
      <c r="E557" s="6" t="s">
        <v>26</v>
      </c>
      <c r="F557" s="6">
        <v>3</v>
      </c>
      <c r="G557" s="6" t="s">
        <v>66</v>
      </c>
      <c r="H557" s="6">
        <v>2</v>
      </c>
      <c r="I557" s="6">
        <v>3</v>
      </c>
      <c r="J557" s="6">
        <v>1.5</v>
      </c>
      <c r="K557" s="6" t="s">
        <v>37</v>
      </c>
      <c r="L557" s="6" t="str">
        <f>VLOOKUP(K557, 'Alphabetical by species code'!A:B, 2, FALSE)</f>
        <v>Sonchus oleraceus</v>
      </c>
      <c r="M557" s="6" t="str">
        <f>VLOOKUP(L557, 'Alphabetical by species code'!B:C, 2, FALSE)</f>
        <v>Non-Native</v>
      </c>
    </row>
    <row r="558" spans="1:13" x14ac:dyDescent="0.25">
      <c r="A558" s="6">
        <v>6</v>
      </c>
      <c r="B558" s="6">
        <v>2025</v>
      </c>
      <c r="C558" s="7">
        <v>45755</v>
      </c>
      <c r="D558" s="6" t="s">
        <v>54</v>
      </c>
      <c r="E558" s="6" t="s">
        <v>26</v>
      </c>
      <c r="F558" s="6">
        <v>3</v>
      </c>
      <c r="G558" s="6" t="s">
        <v>66</v>
      </c>
      <c r="H558" s="6">
        <v>2</v>
      </c>
      <c r="I558" s="6">
        <v>3</v>
      </c>
      <c r="J558" s="6">
        <v>1.5</v>
      </c>
      <c r="K558" s="6" t="s">
        <v>31</v>
      </c>
      <c r="L558" s="6" t="str">
        <f>VLOOKUP(K558, 'Alphabetical by species code'!A:B, 2, FALSE)</f>
        <v>Festuca myuros</v>
      </c>
      <c r="M558" s="6" t="str">
        <f>VLOOKUP(L558, 'Alphabetical by species code'!B:C, 2, FALSE)</f>
        <v>Non-Native</v>
      </c>
    </row>
    <row r="559" spans="1:13" x14ac:dyDescent="0.25">
      <c r="A559" s="6">
        <v>6</v>
      </c>
      <c r="B559" s="6">
        <v>2025</v>
      </c>
      <c r="C559" s="7">
        <v>45755</v>
      </c>
      <c r="D559" s="6" t="s">
        <v>54</v>
      </c>
      <c r="E559" s="6" t="s">
        <v>26</v>
      </c>
      <c r="F559" s="6">
        <v>3</v>
      </c>
      <c r="G559" s="6" t="s">
        <v>66</v>
      </c>
      <c r="H559" s="6">
        <v>2</v>
      </c>
      <c r="I559" s="6">
        <v>3</v>
      </c>
      <c r="J559" s="6">
        <v>1.5</v>
      </c>
      <c r="K559" s="6" t="s">
        <v>55</v>
      </c>
      <c r="L559" s="6" t="str">
        <f>VLOOKUP(K559, 'Alphabetical by species code'!A:B, 2, FALSE)</f>
        <v>Daucus pusillus</v>
      </c>
      <c r="M559" s="6" t="str">
        <f>VLOOKUP(L559, 'Alphabetical by species code'!B:C, 2, FALSE)</f>
        <v>Native</v>
      </c>
    </row>
    <row r="560" spans="1:13" x14ac:dyDescent="0.25">
      <c r="A560" s="6">
        <v>6</v>
      </c>
      <c r="B560" s="6">
        <v>2025</v>
      </c>
      <c r="C560" s="7">
        <v>45755</v>
      </c>
      <c r="D560" s="6" t="s">
        <v>54</v>
      </c>
      <c r="E560" s="6" t="s">
        <v>26</v>
      </c>
      <c r="F560" s="6">
        <v>3</v>
      </c>
      <c r="G560" s="6" t="s">
        <v>66</v>
      </c>
      <c r="H560" s="6">
        <v>2</v>
      </c>
      <c r="I560" s="6">
        <v>4</v>
      </c>
      <c r="J560" s="6">
        <v>2</v>
      </c>
      <c r="K560" s="6" t="s">
        <v>28</v>
      </c>
      <c r="L560" s="6" t="str">
        <f>VLOOKUP(K560, 'Alphabetical by species code'!A:B, 2, FALSE)</f>
        <v>Litter</v>
      </c>
      <c r="M560" s="6" t="str">
        <f>VLOOKUP(L560, 'Alphabetical by species code'!B:C, 2, FALSE)</f>
        <v>Ground Cover</v>
      </c>
    </row>
    <row r="561" spans="1:13" x14ac:dyDescent="0.25">
      <c r="A561" s="6">
        <v>6</v>
      </c>
      <c r="B561" s="6">
        <v>2025</v>
      </c>
      <c r="C561" s="7">
        <v>45755</v>
      </c>
      <c r="D561" s="6" t="s">
        <v>54</v>
      </c>
      <c r="E561" s="6" t="s">
        <v>26</v>
      </c>
      <c r="F561" s="6">
        <v>3</v>
      </c>
      <c r="G561" s="6" t="s">
        <v>66</v>
      </c>
      <c r="H561" s="6">
        <v>2</v>
      </c>
      <c r="I561" s="6">
        <v>4</v>
      </c>
      <c r="J561" s="6">
        <v>2</v>
      </c>
      <c r="K561" s="6" t="s">
        <v>37</v>
      </c>
      <c r="L561" s="6" t="str">
        <f>VLOOKUP(K561, 'Alphabetical by species code'!A:B, 2, FALSE)</f>
        <v>Sonchus oleraceus</v>
      </c>
      <c r="M561" s="6" t="str">
        <f>VLOOKUP(L561, 'Alphabetical by species code'!B:C, 2, FALSE)</f>
        <v>Non-Native</v>
      </c>
    </row>
    <row r="562" spans="1:13" x14ac:dyDescent="0.25">
      <c r="A562" s="6">
        <v>6</v>
      </c>
      <c r="B562" s="6">
        <v>2025</v>
      </c>
      <c r="C562" s="7">
        <v>45755</v>
      </c>
      <c r="D562" s="6" t="s">
        <v>54</v>
      </c>
      <c r="E562" s="6" t="s">
        <v>26</v>
      </c>
      <c r="F562" s="6">
        <v>3</v>
      </c>
      <c r="G562" s="6" t="s">
        <v>66</v>
      </c>
      <c r="H562" s="6">
        <v>2</v>
      </c>
      <c r="I562" s="6">
        <v>5</v>
      </c>
      <c r="J562" s="6">
        <v>3</v>
      </c>
      <c r="K562" s="6" t="s">
        <v>28</v>
      </c>
      <c r="L562" s="6" t="str">
        <f>VLOOKUP(K562, 'Alphabetical by species code'!A:B, 2, FALSE)</f>
        <v>Litter</v>
      </c>
      <c r="M562" s="6" t="str">
        <f>VLOOKUP(L562, 'Alphabetical by species code'!B:C, 2, FALSE)</f>
        <v>Ground Cover</v>
      </c>
    </row>
    <row r="563" spans="1:13" x14ac:dyDescent="0.25">
      <c r="A563" s="6">
        <v>6</v>
      </c>
      <c r="B563" s="6">
        <v>2025</v>
      </c>
      <c r="C563" s="7">
        <v>45755</v>
      </c>
      <c r="D563" s="6" t="s">
        <v>54</v>
      </c>
      <c r="E563" s="6" t="s">
        <v>26</v>
      </c>
      <c r="F563" s="6">
        <v>3</v>
      </c>
      <c r="G563" s="6" t="s">
        <v>66</v>
      </c>
      <c r="H563" s="6">
        <v>2</v>
      </c>
      <c r="I563" s="6">
        <v>5</v>
      </c>
      <c r="J563" s="6">
        <v>3</v>
      </c>
      <c r="K563" s="6" t="s">
        <v>32</v>
      </c>
      <c r="L563" s="6" t="str">
        <f>VLOOKUP(K563, 'Alphabetical by species code'!A:B, 2, FALSE)</f>
        <v>Medicago polymorpha</v>
      </c>
      <c r="M563" s="6" t="str">
        <f>VLOOKUP(L563, 'Alphabetical by species code'!B:C, 2, FALSE)</f>
        <v>Non-Native</v>
      </c>
    </row>
    <row r="564" spans="1:13" x14ac:dyDescent="0.25">
      <c r="A564" s="6">
        <v>6</v>
      </c>
      <c r="B564" s="6">
        <v>2025</v>
      </c>
      <c r="C564" s="7">
        <v>45755</v>
      </c>
      <c r="D564" s="6" t="s">
        <v>54</v>
      </c>
      <c r="E564" s="6" t="s">
        <v>26</v>
      </c>
      <c r="F564" s="6">
        <v>3</v>
      </c>
      <c r="G564" s="6" t="s">
        <v>66</v>
      </c>
      <c r="H564" s="6">
        <v>2</v>
      </c>
      <c r="I564" s="6">
        <v>5</v>
      </c>
      <c r="J564" s="6">
        <v>3</v>
      </c>
      <c r="K564" s="6" t="s">
        <v>31</v>
      </c>
      <c r="L564" s="6" t="str">
        <f>VLOOKUP(K564, 'Alphabetical by species code'!A:B, 2, FALSE)</f>
        <v>Festuca myuros</v>
      </c>
      <c r="M564" s="6" t="str">
        <f>VLOOKUP(L564, 'Alphabetical by species code'!B:C, 2, FALSE)</f>
        <v>Non-Native</v>
      </c>
    </row>
    <row r="565" spans="1:13" x14ac:dyDescent="0.25">
      <c r="A565" s="6">
        <v>6</v>
      </c>
      <c r="B565" s="6">
        <v>2025</v>
      </c>
      <c r="C565" s="7">
        <v>45755</v>
      </c>
      <c r="D565" s="6" t="s">
        <v>54</v>
      </c>
      <c r="E565" s="6" t="s">
        <v>26</v>
      </c>
      <c r="F565" s="6">
        <v>3</v>
      </c>
      <c r="G565" s="6" t="s">
        <v>66</v>
      </c>
      <c r="H565" s="6">
        <v>2</v>
      </c>
      <c r="I565" s="6">
        <v>6</v>
      </c>
      <c r="J565" s="6">
        <v>3.5</v>
      </c>
      <c r="K565" s="6" t="s">
        <v>28</v>
      </c>
      <c r="L565" s="6" t="str">
        <f>VLOOKUP(K565, 'Alphabetical by species code'!A:B, 2, FALSE)</f>
        <v>Litter</v>
      </c>
      <c r="M565" s="6" t="str">
        <f>VLOOKUP(L565, 'Alphabetical by species code'!B:C, 2, FALSE)</f>
        <v>Ground Cover</v>
      </c>
    </row>
    <row r="566" spans="1:13" x14ac:dyDescent="0.25">
      <c r="A566" s="6">
        <v>6</v>
      </c>
      <c r="B566" s="6">
        <v>2025</v>
      </c>
      <c r="C566" s="7">
        <v>45755</v>
      </c>
      <c r="D566" s="6" t="s">
        <v>54</v>
      </c>
      <c r="E566" s="6" t="s">
        <v>26</v>
      </c>
      <c r="F566" s="6">
        <v>3</v>
      </c>
      <c r="G566" s="6" t="s">
        <v>66</v>
      </c>
      <c r="H566" s="6">
        <v>2</v>
      </c>
      <c r="I566" s="6">
        <v>6</v>
      </c>
      <c r="J566" s="6">
        <v>3.5</v>
      </c>
      <c r="K566" s="6" t="s">
        <v>58</v>
      </c>
      <c r="L566" s="6" t="str">
        <f>VLOOKUP(K566, 'Alphabetical by species code'!A:B, 2, FALSE)</f>
        <v>Crassula connata</v>
      </c>
      <c r="M566" s="6" t="str">
        <f>VLOOKUP(L566, 'Alphabetical by species code'!B:C, 2, FALSE)</f>
        <v>Native</v>
      </c>
    </row>
    <row r="567" spans="1:13" x14ac:dyDescent="0.25">
      <c r="A567" s="6">
        <v>6</v>
      </c>
      <c r="B567" s="6">
        <v>2025</v>
      </c>
      <c r="C567" s="7">
        <v>45755</v>
      </c>
      <c r="D567" s="6" t="s">
        <v>54</v>
      </c>
      <c r="E567" s="6" t="s">
        <v>26</v>
      </c>
      <c r="F567" s="6">
        <v>3</v>
      </c>
      <c r="G567" s="6" t="s">
        <v>66</v>
      </c>
      <c r="H567" s="6">
        <v>2</v>
      </c>
      <c r="I567" s="6">
        <v>6</v>
      </c>
      <c r="J567" s="6">
        <v>3.5</v>
      </c>
      <c r="K567" s="6" t="s">
        <v>37</v>
      </c>
      <c r="L567" s="6" t="str">
        <f>VLOOKUP(K567, 'Alphabetical by species code'!A:B, 2, FALSE)</f>
        <v>Sonchus oleraceus</v>
      </c>
      <c r="M567" s="6" t="str">
        <f>VLOOKUP(L567, 'Alphabetical by species code'!B:C, 2, FALSE)</f>
        <v>Non-Native</v>
      </c>
    </row>
    <row r="568" spans="1:13" x14ac:dyDescent="0.25">
      <c r="A568" s="6">
        <v>6</v>
      </c>
      <c r="B568" s="6">
        <v>2025</v>
      </c>
      <c r="C568" s="7">
        <v>45755</v>
      </c>
      <c r="D568" s="6" t="s">
        <v>54</v>
      </c>
      <c r="E568" s="6" t="s">
        <v>26</v>
      </c>
      <c r="F568" s="6">
        <v>3</v>
      </c>
      <c r="G568" s="6" t="s">
        <v>66</v>
      </c>
      <c r="H568" s="6">
        <v>2</v>
      </c>
      <c r="I568" s="6">
        <v>6</v>
      </c>
      <c r="J568" s="6">
        <v>3.5</v>
      </c>
      <c r="K568" s="6" t="s">
        <v>31</v>
      </c>
      <c r="L568" s="6" t="str">
        <f>VLOOKUP(K568, 'Alphabetical by species code'!A:B, 2, FALSE)</f>
        <v>Festuca myuros</v>
      </c>
      <c r="M568" s="6" t="str">
        <f>VLOOKUP(L568, 'Alphabetical by species code'!B:C, 2, FALSE)</f>
        <v>Non-Native</v>
      </c>
    </row>
    <row r="569" spans="1:13" x14ac:dyDescent="0.25">
      <c r="A569" s="6">
        <v>6</v>
      </c>
      <c r="B569" s="6">
        <v>2025</v>
      </c>
      <c r="C569" s="7">
        <v>45755</v>
      </c>
      <c r="D569" s="6" t="s">
        <v>54</v>
      </c>
      <c r="E569" s="6" t="s">
        <v>26</v>
      </c>
      <c r="F569" s="6">
        <v>3</v>
      </c>
      <c r="G569" s="6" t="s">
        <v>66</v>
      </c>
      <c r="H569" s="6">
        <v>2</v>
      </c>
      <c r="I569" s="6">
        <v>7</v>
      </c>
      <c r="J569" s="6">
        <v>4</v>
      </c>
      <c r="K569" s="6" t="s">
        <v>51</v>
      </c>
      <c r="L569" s="6" t="str">
        <f>VLOOKUP(K569, 'Alphabetical by species code'!A:B, 2, FALSE)</f>
        <v>Bareground</v>
      </c>
      <c r="M569" s="6" t="str">
        <f>VLOOKUP(L569, 'Alphabetical by species code'!B:C, 2, FALSE)</f>
        <v>Ground Cover</v>
      </c>
    </row>
    <row r="570" spans="1:13" x14ac:dyDescent="0.25">
      <c r="A570" s="6">
        <v>6</v>
      </c>
      <c r="B570" s="6">
        <v>2025</v>
      </c>
      <c r="C570" s="7">
        <v>45755</v>
      </c>
      <c r="D570" s="6" t="s">
        <v>54</v>
      </c>
      <c r="E570" s="6" t="s">
        <v>26</v>
      </c>
      <c r="F570" s="6">
        <v>3</v>
      </c>
      <c r="G570" s="6" t="s">
        <v>66</v>
      </c>
      <c r="H570" s="6">
        <v>2</v>
      </c>
      <c r="I570" s="6">
        <v>7</v>
      </c>
      <c r="J570" s="6">
        <v>4</v>
      </c>
      <c r="K570" s="6" t="s">
        <v>37</v>
      </c>
      <c r="L570" s="6" t="str">
        <f>VLOOKUP(K570, 'Alphabetical by species code'!A:B, 2, FALSE)</f>
        <v>Sonchus oleraceus</v>
      </c>
      <c r="M570" s="6" t="str">
        <f>VLOOKUP(L570, 'Alphabetical by species code'!B:C, 2, FALSE)</f>
        <v>Non-Native</v>
      </c>
    </row>
    <row r="571" spans="1:13" x14ac:dyDescent="0.25">
      <c r="A571" s="6">
        <v>6</v>
      </c>
      <c r="B571" s="6">
        <v>2025</v>
      </c>
      <c r="C571" s="7">
        <v>45755</v>
      </c>
      <c r="D571" s="6" t="s">
        <v>54</v>
      </c>
      <c r="E571" s="6" t="s">
        <v>26</v>
      </c>
      <c r="F571" s="6">
        <v>3</v>
      </c>
      <c r="G571" s="6" t="s">
        <v>66</v>
      </c>
      <c r="H571" s="6">
        <v>2</v>
      </c>
      <c r="I571" s="6">
        <v>7</v>
      </c>
      <c r="J571" s="6">
        <v>4</v>
      </c>
      <c r="K571" s="6" t="s">
        <v>31</v>
      </c>
      <c r="L571" s="6" t="str">
        <f>VLOOKUP(K571, 'Alphabetical by species code'!A:B, 2, FALSE)</f>
        <v>Festuca myuros</v>
      </c>
      <c r="M571" s="6" t="str">
        <f>VLOOKUP(L571, 'Alphabetical by species code'!B:C, 2, FALSE)</f>
        <v>Non-Native</v>
      </c>
    </row>
    <row r="572" spans="1:13" x14ac:dyDescent="0.25">
      <c r="A572" s="6">
        <v>6</v>
      </c>
      <c r="B572" s="6">
        <v>2025</v>
      </c>
      <c r="C572" s="7">
        <v>45755</v>
      </c>
      <c r="D572" s="6" t="s">
        <v>54</v>
      </c>
      <c r="E572" s="6" t="s">
        <v>26</v>
      </c>
      <c r="F572" s="6">
        <v>3</v>
      </c>
      <c r="G572" s="6" t="s">
        <v>66</v>
      </c>
      <c r="H572" s="6">
        <v>2</v>
      </c>
      <c r="I572" s="6">
        <v>8</v>
      </c>
      <c r="J572" s="6">
        <v>5</v>
      </c>
      <c r="K572" s="6" t="s">
        <v>28</v>
      </c>
      <c r="L572" s="6" t="str">
        <f>VLOOKUP(K572, 'Alphabetical by species code'!A:B, 2, FALSE)</f>
        <v>Litter</v>
      </c>
      <c r="M572" s="6" t="str">
        <f>VLOOKUP(L572, 'Alphabetical by species code'!B:C, 2, FALSE)</f>
        <v>Ground Cover</v>
      </c>
    </row>
    <row r="573" spans="1:13" x14ac:dyDescent="0.25">
      <c r="A573" s="6">
        <v>6</v>
      </c>
      <c r="B573" s="6">
        <v>2025</v>
      </c>
      <c r="C573" s="7">
        <v>45755</v>
      </c>
      <c r="D573" s="6" t="s">
        <v>54</v>
      </c>
      <c r="E573" s="6" t="s">
        <v>26</v>
      </c>
      <c r="F573" s="6">
        <v>3</v>
      </c>
      <c r="G573" s="6" t="s">
        <v>66</v>
      </c>
      <c r="H573" s="6">
        <v>2</v>
      </c>
      <c r="I573" s="6">
        <v>8</v>
      </c>
      <c r="J573" s="6">
        <v>5</v>
      </c>
      <c r="K573" s="6" t="s">
        <v>31</v>
      </c>
      <c r="L573" s="6" t="str">
        <f>VLOOKUP(K573, 'Alphabetical by species code'!A:B, 2, FALSE)</f>
        <v>Festuca myuros</v>
      </c>
      <c r="M573" s="6" t="str">
        <f>VLOOKUP(L573, 'Alphabetical by species code'!B:C, 2, FALSE)</f>
        <v>Non-Native</v>
      </c>
    </row>
    <row r="574" spans="1:13" x14ac:dyDescent="0.25">
      <c r="A574" s="6">
        <v>6</v>
      </c>
      <c r="B574" s="6">
        <v>2025</v>
      </c>
      <c r="C574" s="7">
        <v>45755</v>
      </c>
      <c r="D574" s="6" t="s">
        <v>54</v>
      </c>
      <c r="E574" s="6" t="s">
        <v>26</v>
      </c>
      <c r="F574" s="6">
        <v>3</v>
      </c>
      <c r="G574" s="6" t="s">
        <v>66</v>
      </c>
      <c r="H574" s="6">
        <v>2</v>
      </c>
      <c r="I574" s="6">
        <v>9</v>
      </c>
      <c r="J574" s="6">
        <v>7</v>
      </c>
      <c r="K574" s="6" t="s">
        <v>28</v>
      </c>
      <c r="L574" s="6" t="str">
        <f>VLOOKUP(K574, 'Alphabetical by species code'!A:B, 2, FALSE)</f>
        <v>Litter</v>
      </c>
      <c r="M574" s="6" t="str">
        <f>VLOOKUP(L574, 'Alphabetical by species code'!B:C, 2, FALSE)</f>
        <v>Ground Cover</v>
      </c>
    </row>
    <row r="575" spans="1:13" x14ac:dyDescent="0.25">
      <c r="A575" s="6">
        <v>6</v>
      </c>
      <c r="B575" s="6">
        <v>2025</v>
      </c>
      <c r="C575" s="7">
        <v>45755</v>
      </c>
      <c r="D575" s="6" t="s">
        <v>54</v>
      </c>
      <c r="E575" s="6" t="s">
        <v>26</v>
      </c>
      <c r="F575" s="6">
        <v>3</v>
      </c>
      <c r="G575" s="6" t="s">
        <v>66</v>
      </c>
      <c r="H575" s="6">
        <v>2</v>
      </c>
      <c r="I575" s="6">
        <v>9</v>
      </c>
      <c r="J575" s="6">
        <v>7</v>
      </c>
      <c r="K575" s="6" t="s">
        <v>34</v>
      </c>
      <c r="L575" s="6" t="str">
        <f>VLOOKUP(K575, 'Alphabetical by species code'!A:B, 2, FALSE)</f>
        <v>Erodium cicutarium</v>
      </c>
      <c r="M575" s="6" t="str">
        <f>VLOOKUP(L575, 'Alphabetical by species code'!B:C, 2, FALSE)</f>
        <v>Non-Native</v>
      </c>
    </row>
    <row r="576" spans="1:13" x14ac:dyDescent="0.25">
      <c r="A576" s="6">
        <v>6</v>
      </c>
      <c r="B576" s="6">
        <v>2025</v>
      </c>
      <c r="C576" s="7">
        <v>45755</v>
      </c>
      <c r="D576" s="6" t="s">
        <v>54</v>
      </c>
      <c r="E576" s="6" t="s">
        <v>26</v>
      </c>
      <c r="F576" s="6">
        <v>3</v>
      </c>
      <c r="G576" s="6" t="s">
        <v>66</v>
      </c>
      <c r="H576" s="6">
        <v>2</v>
      </c>
      <c r="I576" s="6">
        <v>9</v>
      </c>
      <c r="J576" s="6">
        <v>7</v>
      </c>
      <c r="K576" s="6" t="s">
        <v>35</v>
      </c>
      <c r="L576" s="6" t="str">
        <f>VLOOKUP(K576, 'Alphabetical by species code'!A:B, 2, FALSE)</f>
        <v>Deinandra fasciculata</v>
      </c>
      <c r="M576" s="6" t="str">
        <f>VLOOKUP(L576, 'Alphabetical by species code'!B:C, 2, FALSE)</f>
        <v>Native</v>
      </c>
    </row>
    <row r="577" spans="1:13" x14ac:dyDescent="0.25">
      <c r="A577" s="6">
        <v>6</v>
      </c>
      <c r="B577" s="6">
        <v>2025</v>
      </c>
      <c r="C577" s="7">
        <v>45755</v>
      </c>
      <c r="D577" s="6" t="s">
        <v>54</v>
      </c>
      <c r="E577" s="6" t="s">
        <v>26</v>
      </c>
      <c r="F577" s="6">
        <v>3</v>
      </c>
      <c r="G577" s="6" t="s">
        <v>66</v>
      </c>
      <c r="H577" s="6">
        <v>2</v>
      </c>
      <c r="I577" s="6">
        <v>9</v>
      </c>
      <c r="J577" s="6">
        <v>7</v>
      </c>
      <c r="K577" s="6" t="s">
        <v>31</v>
      </c>
      <c r="L577" s="6" t="str">
        <f>VLOOKUP(K577, 'Alphabetical by species code'!A:B, 2, FALSE)</f>
        <v>Festuca myuros</v>
      </c>
      <c r="M577" s="6" t="str">
        <f>VLOOKUP(L577, 'Alphabetical by species code'!B:C, 2, FALSE)</f>
        <v>Non-Native</v>
      </c>
    </row>
    <row r="578" spans="1:13" x14ac:dyDescent="0.25">
      <c r="A578" s="6">
        <v>6</v>
      </c>
      <c r="B578" s="6">
        <v>2025</v>
      </c>
      <c r="C578" s="7">
        <v>45755</v>
      </c>
      <c r="D578" s="6" t="s">
        <v>54</v>
      </c>
      <c r="E578" s="6" t="s">
        <v>26</v>
      </c>
      <c r="F578" s="6">
        <v>3</v>
      </c>
      <c r="G578" s="6" t="s">
        <v>66</v>
      </c>
      <c r="H578" s="6">
        <v>2</v>
      </c>
      <c r="I578" s="6">
        <v>10</v>
      </c>
      <c r="J578" s="6">
        <v>8</v>
      </c>
      <c r="K578" s="6" t="s">
        <v>28</v>
      </c>
      <c r="L578" s="6" t="str">
        <f>VLOOKUP(K578, 'Alphabetical by species code'!A:B, 2, FALSE)</f>
        <v>Litter</v>
      </c>
      <c r="M578" s="6" t="str">
        <f>VLOOKUP(L578, 'Alphabetical by species code'!B:C, 2, FALSE)</f>
        <v>Ground Cover</v>
      </c>
    </row>
    <row r="579" spans="1:13" x14ac:dyDescent="0.25">
      <c r="A579" s="6">
        <v>6</v>
      </c>
      <c r="B579" s="6">
        <v>2025</v>
      </c>
      <c r="C579" s="7">
        <v>45755</v>
      </c>
      <c r="D579" s="6" t="s">
        <v>54</v>
      </c>
      <c r="E579" s="6" t="s">
        <v>26</v>
      </c>
      <c r="F579" s="6">
        <v>3</v>
      </c>
      <c r="G579" s="6" t="s">
        <v>66</v>
      </c>
      <c r="H579" s="6">
        <v>2</v>
      </c>
      <c r="I579" s="6">
        <v>10</v>
      </c>
      <c r="J579" s="6">
        <v>8</v>
      </c>
      <c r="K579" s="6" t="s">
        <v>31</v>
      </c>
      <c r="L579" s="6" t="str">
        <f>VLOOKUP(K579, 'Alphabetical by species code'!A:B, 2, FALSE)</f>
        <v>Festuca myuros</v>
      </c>
      <c r="M579" s="6" t="str">
        <f>VLOOKUP(L579, 'Alphabetical by species code'!B:C, 2, FALSE)</f>
        <v>Non-Native</v>
      </c>
    </row>
    <row r="580" spans="1:13" x14ac:dyDescent="0.25">
      <c r="A580" s="6">
        <v>6</v>
      </c>
      <c r="B580" s="6">
        <v>2025</v>
      </c>
      <c r="C580" s="7">
        <v>45755</v>
      </c>
      <c r="D580" s="6" t="s">
        <v>54</v>
      </c>
      <c r="E580" s="6" t="s">
        <v>26</v>
      </c>
      <c r="F580" s="6">
        <v>3</v>
      </c>
      <c r="G580" s="6" t="s">
        <v>66</v>
      </c>
      <c r="H580" s="6">
        <v>2</v>
      </c>
      <c r="I580" s="6">
        <v>11</v>
      </c>
      <c r="J580" s="6">
        <v>8.5</v>
      </c>
      <c r="K580" s="6" t="s">
        <v>51</v>
      </c>
      <c r="L580" s="6" t="str">
        <f>VLOOKUP(K580, 'Alphabetical by species code'!A:B, 2, FALSE)</f>
        <v>Bareground</v>
      </c>
      <c r="M580" s="6" t="str">
        <f>VLOOKUP(L580, 'Alphabetical by species code'!B:C, 2, FALSE)</f>
        <v>Ground Cover</v>
      </c>
    </row>
    <row r="581" spans="1:13" x14ac:dyDescent="0.25">
      <c r="A581" s="6">
        <v>6</v>
      </c>
      <c r="B581" s="6">
        <v>2025</v>
      </c>
      <c r="C581" s="7">
        <v>45755</v>
      </c>
      <c r="D581" s="6" t="s">
        <v>54</v>
      </c>
      <c r="E581" s="6" t="s">
        <v>26</v>
      </c>
      <c r="F581" s="6">
        <v>3</v>
      </c>
      <c r="G581" s="6" t="s">
        <v>66</v>
      </c>
      <c r="H581" s="6">
        <v>2</v>
      </c>
      <c r="I581" s="6">
        <v>11</v>
      </c>
      <c r="J581" s="6">
        <v>8.5</v>
      </c>
      <c r="K581" s="6" t="s">
        <v>31</v>
      </c>
      <c r="L581" s="6" t="str">
        <f>VLOOKUP(K581, 'Alphabetical by species code'!A:B, 2, FALSE)</f>
        <v>Festuca myuros</v>
      </c>
      <c r="M581" s="6" t="str">
        <f>VLOOKUP(L581, 'Alphabetical by species code'!B:C, 2, FALSE)</f>
        <v>Non-Native</v>
      </c>
    </row>
    <row r="582" spans="1:13" x14ac:dyDescent="0.25">
      <c r="A582" s="6">
        <v>6</v>
      </c>
      <c r="B582" s="6">
        <v>2025</v>
      </c>
      <c r="C582" s="7">
        <v>45755</v>
      </c>
      <c r="D582" s="6" t="s">
        <v>54</v>
      </c>
      <c r="E582" s="6" t="s">
        <v>26</v>
      </c>
      <c r="F582" s="6">
        <v>3</v>
      </c>
      <c r="G582" s="6" t="s">
        <v>66</v>
      </c>
      <c r="H582" s="6">
        <v>2</v>
      </c>
      <c r="I582" s="6">
        <v>12</v>
      </c>
      <c r="J582" s="6">
        <v>9</v>
      </c>
      <c r="K582" s="6" t="s">
        <v>28</v>
      </c>
      <c r="L582" s="6" t="str">
        <f>VLOOKUP(K582, 'Alphabetical by species code'!A:B, 2, FALSE)</f>
        <v>Litter</v>
      </c>
      <c r="M582" s="6" t="str">
        <f>VLOOKUP(L582, 'Alphabetical by species code'!B:C, 2, FALSE)</f>
        <v>Ground Cover</v>
      </c>
    </row>
    <row r="583" spans="1:13" x14ac:dyDescent="0.25">
      <c r="A583" s="6">
        <v>6</v>
      </c>
      <c r="B583" s="6">
        <v>2025</v>
      </c>
      <c r="C583" s="7">
        <v>45755</v>
      </c>
      <c r="D583" s="6" t="s">
        <v>54</v>
      </c>
      <c r="E583" s="6" t="s">
        <v>26</v>
      </c>
      <c r="F583" s="6">
        <v>3</v>
      </c>
      <c r="G583" s="6" t="s">
        <v>66</v>
      </c>
      <c r="H583" s="6">
        <v>2</v>
      </c>
      <c r="I583" s="6">
        <v>12</v>
      </c>
      <c r="J583" s="6">
        <v>9</v>
      </c>
      <c r="K583" s="6" t="s">
        <v>35</v>
      </c>
      <c r="L583" s="6" t="str">
        <f>VLOOKUP(K583, 'Alphabetical by species code'!A:B, 2, FALSE)</f>
        <v>Deinandra fasciculata</v>
      </c>
      <c r="M583" s="6" t="str">
        <f>VLOOKUP(L583, 'Alphabetical by species code'!B:C, 2, FALSE)</f>
        <v>Native</v>
      </c>
    </row>
    <row r="584" spans="1:13" x14ac:dyDescent="0.25">
      <c r="A584" s="6">
        <v>6</v>
      </c>
      <c r="B584" s="6">
        <v>2025</v>
      </c>
      <c r="C584" s="7">
        <v>45755</v>
      </c>
      <c r="D584" s="6" t="s">
        <v>54</v>
      </c>
      <c r="E584" s="6" t="s">
        <v>26</v>
      </c>
      <c r="F584" s="6">
        <v>3</v>
      </c>
      <c r="G584" s="6" t="s">
        <v>66</v>
      </c>
      <c r="H584" s="6">
        <v>2</v>
      </c>
      <c r="I584" s="6">
        <v>13</v>
      </c>
      <c r="J584" s="6">
        <v>10</v>
      </c>
      <c r="K584" s="6" t="s">
        <v>28</v>
      </c>
      <c r="L584" s="6" t="str">
        <f>VLOOKUP(K584, 'Alphabetical by species code'!A:B, 2, FALSE)</f>
        <v>Litter</v>
      </c>
      <c r="M584" s="6" t="str">
        <f>VLOOKUP(L584, 'Alphabetical by species code'!B:C, 2, FALSE)</f>
        <v>Ground Cover</v>
      </c>
    </row>
    <row r="585" spans="1:13" x14ac:dyDescent="0.25">
      <c r="A585" s="6">
        <v>6</v>
      </c>
      <c r="B585" s="6">
        <v>2025</v>
      </c>
      <c r="C585" s="7">
        <v>45755</v>
      </c>
      <c r="D585" s="6" t="s">
        <v>54</v>
      </c>
      <c r="E585" s="6" t="s">
        <v>26</v>
      </c>
      <c r="F585" s="6">
        <v>3</v>
      </c>
      <c r="G585" s="6" t="s">
        <v>66</v>
      </c>
      <c r="H585" s="6">
        <v>2</v>
      </c>
      <c r="I585" s="6">
        <v>13</v>
      </c>
      <c r="J585" s="6">
        <v>10</v>
      </c>
      <c r="K585" s="6" t="s">
        <v>31</v>
      </c>
      <c r="L585" s="6" t="str">
        <f>VLOOKUP(K585, 'Alphabetical by species code'!A:B, 2, FALSE)</f>
        <v>Festuca myuros</v>
      </c>
      <c r="M585" s="6" t="str">
        <f>VLOOKUP(L585, 'Alphabetical by species code'!B:C, 2, FALSE)</f>
        <v>Non-Native</v>
      </c>
    </row>
    <row r="586" spans="1:13" x14ac:dyDescent="0.25">
      <c r="A586" s="6">
        <v>6</v>
      </c>
      <c r="B586" s="6">
        <v>2025</v>
      </c>
      <c r="C586" s="7">
        <v>45755</v>
      </c>
      <c r="D586" s="6" t="s">
        <v>54</v>
      </c>
      <c r="E586" s="6" t="s">
        <v>26</v>
      </c>
      <c r="F586" s="6">
        <v>3</v>
      </c>
      <c r="G586" s="6" t="s">
        <v>66</v>
      </c>
      <c r="H586" s="6">
        <v>2</v>
      </c>
      <c r="I586" s="6">
        <v>13</v>
      </c>
      <c r="J586" s="6">
        <v>10</v>
      </c>
      <c r="K586" s="6" t="s">
        <v>48</v>
      </c>
      <c r="L586" s="6" t="str">
        <f>VLOOKUP(K586, 'Alphabetical by species code'!A:B, 2, FALSE)</f>
        <v>Sonchus asper</v>
      </c>
      <c r="M586" s="6" t="str">
        <f>VLOOKUP(L586, 'Alphabetical by species code'!B:C, 2, FALSE)</f>
        <v>Non-Native</v>
      </c>
    </row>
    <row r="587" spans="1:13" x14ac:dyDescent="0.25">
      <c r="A587" s="6">
        <v>6</v>
      </c>
      <c r="B587" s="6">
        <v>2025</v>
      </c>
      <c r="C587" s="7">
        <v>45755</v>
      </c>
      <c r="D587" s="6" t="s">
        <v>54</v>
      </c>
      <c r="E587" s="6" t="s">
        <v>26</v>
      </c>
      <c r="F587" s="6">
        <v>3</v>
      </c>
      <c r="G587" s="6" t="s">
        <v>66</v>
      </c>
      <c r="H587" s="6">
        <v>2</v>
      </c>
      <c r="I587" s="6">
        <v>14</v>
      </c>
      <c r="J587" s="6">
        <v>11</v>
      </c>
      <c r="K587" s="6" t="s">
        <v>28</v>
      </c>
      <c r="L587" s="6" t="str">
        <f>VLOOKUP(K587, 'Alphabetical by species code'!A:B, 2, FALSE)</f>
        <v>Litter</v>
      </c>
      <c r="M587" s="6" t="str">
        <f>VLOOKUP(L587, 'Alphabetical by species code'!B:C, 2, FALSE)</f>
        <v>Ground Cover</v>
      </c>
    </row>
    <row r="588" spans="1:13" x14ac:dyDescent="0.25">
      <c r="A588" s="6">
        <v>6</v>
      </c>
      <c r="B588" s="6">
        <v>2025</v>
      </c>
      <c r="C588" s="7">
        <v>45755</v>
      </c>
      <c r="D588" s="6" t="s">
        <v>54</v>
      </c>
      <c r="E588" s="6" t="s">
        <v>26</v>
      </c>
      <c r="F588" s="6">
        <v>3</v>
      </c>
      <c r="G588" s="6" t="s">
        <v>66</v>
      </c>
      <c r="H588" s="6">
        <v>2</v>
      </c>
      <c r="I588" s="6">
        <v>14</v>
      </c>
      <c r="J588" s="6">
        <v>11</v>
      </c>
      <c r="K588" s="6" t="s">
        <v>29</v>
      </c>
      <c r="L588" s="6" t="str">
        <f>VLOOKUP(K588, 'Alphabetical by species code'!A:B, 2, FALSE)</f>
        <v>Opuntia littoralis</v>
      </c>
      <c r="M588" s="6" t="str">
        <f>VLOOKUP(L588, 'Alphabetical by species code'!B:C, 2, FALSE)</f>
        <v>Native</v>
      </c>
    </row>
    <row r="589" spans="1:13" x14ac:dyDescent="0.25">
      <c r="A589" s="6">
        <v>6</v>
      </c>
      <c r="B589" s="6">
        <v>2025</v>
      </c>
      <c r="C589" s="7">
        <v>45755</v>
      </c>
      <c r="D589" s="6" t="s">
        <v>54</v>
      </c>
      <c r="E589" s="6" t="s">
        <v>26</v>
      </c>
      <c r="F589" s="6">
        <v>3</v>
      </c>
      <c r="G589" s="6" t="s">
        <v>66</v>
      </c>
      <c r="H589" s="6">
        <v>2</v>
      </c>
      <c r="I589" s="6">
        <v>14</v>
      </c>
      <c r="J589" s="6">
        <v>11</v>
      </c>
      <c r="K589" s="6" t="s">
        <v>36</v>
      </c>
      <c r="L589" s="6" t="str">
        <f>VLOOKUP(K589, 'Alphabetical by species code'!A:B, 2, FALSE)</f>
        <v>Bromus madritensis</v>
      </c>
      <c r="M589" s="6" t="str">
        <f>VLOOKUP(L589, 'Alphabetical by species code'!B:C, 2, FALSE)</f>
        <v>Non-Native</v>
      </c>
    </row>
    <row r="590" spans="1:13" x14ac:dyDescent="0.25">
      <c r="A590" s="6">
        <v>6</v>
      </c>
      <c r="B590" s="6">
        <v>2025</v>
      </c>
      <c r="C590" s="7">
        <v>45755</v>
      </c>
      <c r="D590" s="6" t="s">
        <v>54</v>
      </c>
      <c r="E590" s="6" t="s">
        <v>26</v>
      </c>
      <c r="F590" s="6">
        <v>3</v>
      </c>
      <c r="G590" s="6" t="s">
        <v>66</v>
      </c>
      <c r="H590" s="6">
        <v>2</v>
      </c>
      <c r="I590" s="6">
        <v>14</v>
      </c>
      <c r="J590" s="6">
        <v>11</v>
      </c>
      <c r="K590" s="6" t="s">
        <v>34</v>
      </c>
      <c r="L590" s="6" t="str">
        <f>VLOOKUP(K590, 'Alphabetical by species code'!A:B, 2, FALSE)</f>
        <v>Erodium cicutarium</v>
      </c>
      <c r="M590" s="6" t="str">
        <f>VLOOKUP(L590, 'Alphabetical by species code'!B:C, 2, FALSE)</f>
        <v>Non-Native</v>
      </c>
    </row>
    <row r="591" spans="1:13" x14ac:dyDescent="0.25">
      <c r="A591" s="6">
        <v>6</v>
      </c>
      <c r="B591" s="6">
        <v>2025</v>
      </c>
      <c r="C591" s="7">
        <v>45755</v>
      </c>
      <c r="D591" s="6" t="s">
        <v>54</v>
      </c>
      <c r="E591" s="6" t="s">
        <v>26</v>
      </c>
      <c r="F591" s="6">
        <v>3</v>
      </c>
      <c r="G591" s="6" t="s">
        <v>66</v>
      </c>
      <c r="H591" s="6">
        <v>2</v>
      </c>
      <c r="I591" s="6">
        <v>15</v>
      </c>
      <c r="J591" s="6">
        <v>12</v>
      </c>
      <c r="K591" s="6" t="s">
        <v>28</v>
      </c>
      <c r="L591" s="6" t="str">
        <f>VLOOKUP(K591, 'Alphabetical by species code'!A:B, 2, FALSE)</f>
        <v>Litter</v>
      </c>
      <c r="M591" s="6" t="str">
        <f>VLOOKUP(L591, 'Alphabetical by species code'!B:C, 2, FALSE)</f>
        <v>Ground Cover</v>
      </c>
    </row>
    <row r="592" spans="1:13" x14ac:dyDescent="0.25">
      <c r="A592" s="6">
        <v>6</v>
      </c>
      <c r="B592" s="6">
        <v>2025</v>
      </c>
      <c r="C592" s="7">
        <v>45755</v>
      </c>
      <c r="D592" s="6" t="s">
        <v>54</v>
      </c>
      <c r="E592" s="6" t="s">
        <v>26</v>
      </c>
      <c r="F592" s="6">
        <v>3</v>
      </c>
      <c r="G592" s="6" t="s">
        <v>66</v>
      </c>
      <c r="H592" s="6">
        <v>2</v>
      </c>
      <c r="I592" s="6">
        <v>15</v>
      </c>
      <c r="J592" s="6">
        <v>12</v>
      </c>
      <c r="K592" s="6" t="s">
        <v>35</v>
      </c>
      <c r="L592" s="6" t="str">
        <f>VLOOKUP(K592, 'Alphabetical by species code'!A:B, 2, FALSE)</f>
        <v>Deinandra fasciculata</v>
      </c>
      <c r="M592" s="6" t="str">
        <f>VLOOKUP(L592, 'Alphabetical by species code'!B:C, 2, FALSE)</f>
        <v>Native</v>
      </c>
    </row>
    <row r="593" spans="1:13" x14ac:dyDescent="0.25">
      <c r="A593" s="6">
        <v>6</v>
      </c>
      <c r="B593" s="6">
        <v>2025</v>
      </c>
      <c r="C593" s="7">
        <v>45755</v>
      </c>
      <c r="D593" s="6" t="s">
        <v>54</v>
      </c>
      <c r="E593" s="6" t="s">
        <v>26</v>
      </c>
      <c r="F593" s="6">
        <v>3</v>
      </c>
      <c r="G593" s="6" t="s">
        <v>66</v>
      </c>
      <c r="H593" s="6">
        <v>2</v>
      </c>
      <c r="I593" s="6">
        <v>15</v>
      </c>
      <c r="J593" s="6">
        <v>12</v>
      </c>
      <c r="K593" s="6" t="s">
        <v>31</v>
      </c>
      <c r="L593" s="6" t="str">
        <f>VLOOKUP(K593, 'Alphabetical by species code'!A:B, 2, FALSE)</f>
        <v>Festuca myuros</v>
      </c>
      <c r="M593" s="6" t="str">
        <f>VLOOKUP(L593, 'Alphabetical by species code'!B:C, 2, FALSE)</f>
        <v>Non-Native</v>
      </c>
    </row>
    <row r="594" spans="1:13" x14ac:dyDescent="0.25">
      <c r="A594" s="6">
        <v>7</v>
      </c>
      <c r="B594" s="6">
        <v>2025</v>
      </c>
      <c r="C594" s="7">
        <v>45764</v>
      </c>
      <c r="D594" s="6" t="s">
        <v>69</v>
      </c>
      <c r="E594" s="6" t="s">
        <v>26</v>
      </c>
      <c r="F594" s="6">
        <v>1</v>
      </c>
      <c r="G594" s="6" t="s">
        <v>66</v>
      </c>
      <c r="H594" s="6">
        <v>1</v>
      </c>
      <c r="I594" s="6">
        <v>1</v>
      </c>
      <c r="J594" s="6">
        <v>0</v>
      </c>
      <c r="K594" s="6" t="s">
        <v>28</v>
      </c>
      <c r="L594" s="6" t="str">
        <f>VLOOKUP(K594, 'Alphabetical by species code'!A:B, 2, FALSE)</f>
        <v>Litter</v>
      </c>
      <c r="M594" s="6" t="str">
        <f>VLOOKUP(L594, 'Alphabetical by species code'!B:C, 2, FALSE)</f>
        <v>Ground Cover</v>
      </c>
    </row>
    <row r="595" spans="1:13" x14ac:dyDescent="0.25">
      <c r="A595" s="6">
        <v>7</v>
      </c>
      <c r="B595" s="6">
        <v>2025</v>
      </c>
      <c r="C595" s="7">
        <v>45764</v>
      </c>
      <c r="D595" s="6" t="s">
        <v>69</v>
      </c>
      <c r="E595" s="6" t="s">
        <v>26</v>
      </c>
      <c r="F595" s="6">
        <v>1</v>
      </c>
      <c r="G595" s="6" t="s">
        <v>66</v>
      </c>
      <c r="H595" s="6">
        <v>1</v>
      </c>
      <c r="I595" s="6">
        <v>1</v>
      </c>
      <c r="J595" s="6">
        <v>0</v>
      </c>
      <c r="K595" s="6" t="s">
        <v>34</v>
      </c>
      <c r="L595" s="6" t="str">
        <f>VLOOKUP(K595, 'Alphabetical by species code'!A:B, 2, FALSE)</f>
        <v>Erodium cicutarium</v>
      </c>
      <c r="M595" s="6" t="str">
        <f>VLOOKUP(L595, 'Alphabetical by species code'!B:C, 2, FALSE)</f>
        <v>Non-Native</v>
      </c>
    </row>
    <row r="596" spans="1:13" x14ac:dyDescent="0.25">
      <c r="A596" s="6">
        <v>7</v>
      </c>
      <c r="B596" s="6">
        <v>2025</v>
      </c>
      <c r="C596" s="7">
        <v>45764</v>
      </c>
      <c r="D596" s="6" t="s">
        <v>69</v>
      </c>
      <c r="E596" s="6" t="s">
        <v>26</v>
      </c>
      <c r="F596" s="6">
        <v>1</v>
      </c>
      <c r="G596" s="6" t="s">
        <v>66</v>
      </c>
      <c r="H596" s="6">
        <v>1</v>
      </c>
      <c r="I596" s="6">
        <v>1</v>
      </c>
      <c r="J596" s="6">
        <v>0</v>
      </c>
      <c r="K596" s="6" t="s">
        <v>35</v>
      </c>
      <c r="L596" s="6" t="str">
        <f>VLOOKUP(K596, 'Alphabetical by species code'!A:B, 2, FALSE)</f>
        <v>Deinandra fasciculata</v>
      </c>
      <c r="M596" s="6" t="str">
        <f>VLOOKUP(L596, 'Alphabetical by species code'!B:C, 2, FALSE)</f>
        <v>Native</v>
      </c>
    </row>
    <row r="597" spans="1:13" x14ac:dyDescent="0.25">
      <c r="A597" s="6">
        <v>7</v>
      </c>
      <c r="B597" s="6">
        <v>2025</v>
      </c>
      <c r="C597" s="7">
        <v>45764</v>
      </c>
      <c r="D597" s="6" t="s">
        <v>69</v>
      </c>
      <c r="E597" s="6" t="s">
        <v>26</v>
      </c>
      <c r="F597" s="6">
        <v>1</v>
      </c>
      <c r="G597" s="6" t="s">
        <v>66</v>
      </c>
      <c r="H597" s="6">
        <v>1</v>
      </c>
      <c r="I597" s="6">
        <v>2</v>
      </c>
      <c r="J597" s="6">
        <v>1</v>
      </c>
      <c r="K597" s="6" t="s">
        <v>28</v>
      </c>
      <c r="L597" s="6" t="str">
        <f>VLOOKUP(K597, 'Alphabetical by species code'!A:B, 2, FALSE)</f>
        <v>Litter</v>
      </c>
      <c r="M597" s="6" t="str">
        <f>VLOOKUP(L597, 'Alphabetical by species code'!B:C, 2, FALSE)</f>
        <v>Ground Cover</v>
      </c>
    </row>
    <row r="598" spans="1:13" x14ac:dyDescent="0.25">
      <c r="A598" s="6">
        <v>7</v>
      </c>
      <c r="B598" s="6">
        <v>2025</v>
      </c>
      <c r="C598" s="7">
        <v>45764</v>
      </c>
      <c r="D598" s="6" t="s">
        <v>69</v>
      </c>
      <c r="E598" s="6" t="s">
        <v>26</v>
      </c>
      <c r="F598" s="6">
        <v>1</v>
      </c>
      <c r="G598" s="6" t="s">
        <v>66</v>
      </c>
      <c r="H598" s="6">
        <v>1</v>
      </c>
      <c r="I598" s="6">
        <v>2</v>
      </c>
      <c r="J598" s="6">
        <v>1</v>
      </c>
      <c r="K598" s="6" t="s">
        <v>36</v>
      </c>
      <c r="L598" s="6" t="str">
        <f>VLOOKUP(K598, 'Alphabetical by species code'!A:B, 2, FALSE)</f>
        <v>Bromus madritensis</v>
      </c>
      <c r="M598" s="6" t="str">
        <f>VLOOKUP(L598, 'Alphabetical by species code'!B:C, 2, FALSE)</f>
        <v>Non-Native</v>
      </c>
    </row>
    <row r="599" spans="1:13" x14ac:dyDescent="0.25">
      <c r="A599" s="6">
        <v>7</v>
      </c>
      <c r="B599" s="6">
        <v>2025</v>
      </c>
      <c r="C599" s="7">
        <v>45764</v>
      </c>
      <c r="D599" s="6" t="s">
        <v>69</v>
      </c>
      <c r="E599" s="6" t="s">
        <v>26</v>
      </c>
      <c r="F599" s="6">
        <v>1</v>
      </c>
      <c r="G599" s="6" t="s">
        <v>66</v>
      </c>
      <c r="H599" s="6">
        <v>1</v>
      </c>
      <c r="I599" s="6">
        <v>2</v>
      </c>
      <c r="J599" s="6">
        <v>1</v>
      </c>
      <c r="K599" s="6" t="s">
        <v>42</v>
      </c>
      <c r="L599" s="6" t="str">
        <f>VLOOKUP(K599, 'Alphabetical by species code'!A:B, 2, FALSE)</f>
        <v>Centaurea melitensis</v>
      </c>
      <c r="M599" s="6" t="str">
        <f>VLOOKUP(L599, 'Alphabetical by species code'!B:C, 2, FALSE)</f>
        <v>Non-Native</v>
      </c>
    </row>
    <row r="600" spans="1:13" x14ac:dyDescent="0.25">
      <c r="A600" s="6">
        <v>7</v>
      </c>
      <c r="B600" s="6">
        <v>2025</v>
      </c>
      <c r="C600" s="7">
        <v>45764</v>
      </c>
      <c r="D600" s="6" t="s">
        <v>69</v>
      </c>
      <c r="E600" s="6" t="s">
        <v>26</v>
      </c>
      <c r="F600" s="6">
        <v>1</v>
      </c>
      <c r="G600" s="6" t="s">
        <v>66</v>
      </c>
      <c r="H600" s="6">
        <v>1</v>
      </c>
      <c r="I600" s="6">
        <v>3</v>
      </c>
      <c r="J600" s="6">
        <v>1.5</v>
      </c>
      <c r="K600" s="6" t="s">
        <v>28</v>
      </c>
      <c r="L600" s="6" t="str">
        <f>VLOOKUP(K600, 'Alphabetical by species code'!A:B, 2, FALSE)</f>
        <v>Litter</v>
      </c>
      <c r="M600" s="6" t="str">
        <f>VLOOKUP(L600, 'Alphabetical by species code'!B:C, 2, FALSE)</f>
        <v>Ground Cover</v>
      </c>
    </row>
    <row r="601" spans="1:13" x14ac:dyDescent="0.25">
      <c r="A601" s="6">
        <v>7</v>
      </c>
      <c r="B601" s="6">
        <v>2025</v>
      </c>
      <c r="C601" s="7">
        <v>45764</v>
      </c>
      <c r="D601" s="6" t="s">
        <v>69</v>
      </c>
      <c r="E601" s="6" t="s">
        <v>26</v>
      </c>
      <c r="F601" s="6">
        <v>1</v>
      </c>
      <c r="G601" s="6" t="s">
        <v>66</v>
      </c>
      <c r="H601" s="6">
        <v>1</v>
      </c>
      <c r="I601" s="6">
        <v>3</v>
      </c>
      <c r="J601" s="6">
        <v>1.5</v>
      </c>
      <c r="K601" s="6" t="s">
        <v>35</v>
      </c>
      <c r="L601" s="6" t="str">
        <f>VLOOKUP(K601, 'Alphabetical by species code'!A:B, 2, FALSE)</f>
        <v>Deinandra fasciculata</v>
      </c>
      <c r="M601" s="6" t="str">
        <f>VLOOKUP(L601, 'Alphabetical by species code'!B:C, 2, FALSE)</f>
        <v>Native</v>
      </c>
    </row>
    <row r="602" spans="1:13" x14ac:dyDescent="0.25">
      <c r="A602" s="6">
        <v>7</v>
      </c>
      <c r="B602" s="6">
        <v>2025</v>
      </c>
      <c r="C602" s="7">
        <v>45764</v>
      </c>
      <c r="D602" s="6" t="s">
        <v>69</v>
      </c>
      <c r="E602" s="6" t="s">
        <v>26</v>
      </c>
      <c r="F602" s="6">
        <v>1</v>
      </c>
      <c r="G602" s="6" t="s">
        <v>66</v>
      </c>
      <c r="H602" s="6">
        <v>1</v>
      </c>
      <c r="I602" s="6">
        <v>3</v>
      </c>
      <c r="J602" s="6">
        <v>1.5</v>
      </c>
      <c r="K602" s="6" t="s">
        <v>42</v>
      </c>
      <c r="L602" s="6" t="str">
        <f>VLOOKUP(K602, 'Alphabetical by species code'!A:B, 2, FALSE)</f>
        <v>Centaurea melitensis</v>
      </c>
      <c r="M602" s="6" t="str">
        <f>VLOOKUP(L602, 'Alphabetical by species code'!B:C, 2, FALSE)</f>
        <v>Non-Native</v>
      </c>
    </row>
    <row r="603" spans="1:13" x14ac:dyDescent="0.25">
      <c r="A603" s="6">
        <v>7</v>
      </c>
      <c r="B603" s="6">
        <v>2025</v>
      </c>
      <c r="C603" s="7">
        <v>45764</v>
      </c>
      <c r="D603" s="6" t="s">
        <v>69</v>
      </c>
      <c r="E603" s="6" t="s">
        <v>26</v>
      </c>
      <c r="F603" s="6">
        <v>1</v>
      </c>
      <c r="G603" s="6" t="s">
        <v>66</v>
      </c>
      <c r="H603" s="6">
        <v>1</v>
      </c>
      <c r="I603" s="6">
        <v>3</v>
      </c>
      <c r="J603" s="6">
        <v>1.5</v>
      </c>
      <c r="K603" s="6" t="s">
        <v>49</v>
      </c>
      <c r="L603" s="6" t="str">
        <f>VLOOKUP(K603, 'Alphabetical by species code'!A:B, 2, FALSE)</f>
        <v>Anagallis arvensis</v>
      </c>
      <c r="M603" s="6" t="str">
        <f>VLOOKUP(L603, 'Alphabetical by species code'!B:C, 2, FALSE)</f>
        <v>Non-Native</v>
      </c>
    </row>
    <row r="604" spans="1:13" x14ac:dyDescent="0.25">
      <c r="A604" s="6">
        <v>7</v>
      </c>
      <c r="B604" s="6">
        <v>2025</v>
      </c>
      <c r="C604" s="7">
        <v>45764</v>
      </c>
      <c r="D604" s="6" t="s">
        <v>69</v>
      </c>
      <c r="E604" s="6" t="s">
        <v>26</v>
      </c>
      <c r="F604" s="6">
        <v>1</v>
      </c>
      <c r="G604" s="6" t="s">
        <v>66</v>
      </c>
      <c r="H604" s="6">
        <v>1</v>
      </c>
      <c r="I604" s="6">
        <v>4</v>
      </c>
      <c r="J604" s="6">
        <v>2</v>
      </c>
      <c r="K604" s="6" t="s">
        <v>41</v>
      </c>
      <c r="L604" s="6" t="str">
        <f>VLOOKUP(K604, 'Alphabetical by species code'!A:B, 2, FALSE)</f>
        <v>Stem</v>
      </c>
      <c r="M604" s="6" t="str">
        <f>VLOOKUP(L604, 'Alphabetical by species code'!B:C, 2, FALSE)</f>
        <v>Ground Cover</v>
      </c>
    </row>
    <row r="605" spans="1:13" x14ac:dyDescent="0.25">
      <c r="A605" s="6">
        <v>7</v>
      </c>
      <c r="B605" s="6">
        <v>2025</v>
      </c>
      <c r="C605" s="7">
        <v>45764</v>
      </c>
      <c r="D605" s="6" t="s">
        <v>69</v>
      </c>
      <c r="E605" s="6" t="s">
        <v>26</v>
      </c>
      <c r="F605" s="6">
        <v>1</v>
      </c>
      <c r="G605" s="6" t="s">
        <v>66</v>
      </c>
      <c r="H605" s="6">
        <v>1</v>
      </c>
      <c r="I605" s="6">
        <v>4</v>
      </c>
      <c r="J605" s="6">
        <v>2</v>
      </c>
      <c r="K605" s="6" t="s">
        <v>30</v>
      </c>
      <c r="L605" s="6" t="str">
        <f>VLOOKUP(K605, 'Alphabetical by species code'!A:B, 2, FALSE)</f>
        <v>Erodium moschatum</v>
      </c>
      <c r="M605" s="6" t="str">
        <f>VLOOKUP(L605, 'Alphabetical by species code'!B:C, 2, FALSE)</f>
        <v>Non-Native</v>
      </c>
    </row>
    <row r="606" spans="1:13" x14ac:dyDescent="0.25">
      <c r="A606" s="6">
        <v>7</v>
      </c>
      <c r="B606" s="6">
        <v>2025</v>
      </c>
      <c r="C606" s="7">
        <v>45764</v>
      </c>
      <c r="D606" s="6" t="s">
        <v>69</v>
      </c>
      <c r="E606" s="6" t="s">
        <v>26</v>
      </c>
      <c r="F606" s="6">
        <v>1</v>
      </c>
      <c r="G606" s="6" t="s">
        <v>66</v>
      </c>
      <c r="H606" s="6">
        <v>1</v>
      </c>
      <c r="I606" s="6">
        <v>5</v>
      </c>
      <c r="J606" s="6">
        <v>3</v>
      </c>
      <c r="K606" s="6" t="s">
        <v>51</v>
      </c>
      <c r="L606" s="6" t="str">
        <f>VLOOKUP(K606, 'Alphabetical by species code'!A:B, 2, FALSE)</f>
        <v>Bareground</v>
      </c>
      <c r="M606" s="6" t="str">
        <f>VLOOKUP(L606, 'Alphabetical by species code'!B:C, 2, FALSE)</f>
        <v>Ground Cover</v>
      </c>
    </row>
    <row r="607" spans="1:13" x14ac:dyDescent="0.25">
      <c r="A607" s="6">
        <v>7</v>
      </c>
      <c r="B607" s="6">
        <v>2025</v>
      </c>
      <c r="C607" s="7">
        <v>45764</v>
      </c>
      <c r="D607" s="6" t="s">
        <v>69</v>
      </c>
      <c r="E607" s="6" t="s">
        <v>26</v>
      </c>
      <c r="F607" s="6">
        <v>1</v>
      </c>
      <c r="G607" s="6" t="s">
        <v>66</v>
      </c>
      <c r="H607" s="6">
        <v>1</v>
      </c>
      <c r="I607" s="6">
        <v>5</v>
      </c>
      <c r="J607" s="6">
        <v>3</v>
      </c>
      <c r="K607" s="6" t="s">
        <v>37</v>
      </c>
      <c r="L607" s="6" t="str">
        <f>VLOOKUP(K607, 'Alphabetical by species code'!A:B, 2, FALSE)</f>
        <v>Sonchus oleraceus</v>
      </c>
      <c r="M607" s="6" t="str">
        <f>VLOOKUP(L607, 'Alphabetical by species code'!B:C, 2, FALSE)</f>
        <v>Non-Native</v>
      </c>
    </row>
    <row r="608" spans="1:13" x14ac:dyDescent="0.25">
      <c r="A608" s="6">
        <v>7</v>
      </c>
      <c r="B608" s="6">
        <v>2025</v>
      </c>
      <c r="C608" s="7">
        <v>45764</v>
      </c>
      <c r="D608" s="6" t="s">
        <v>69</v>
      </c>
      <c r="E608" s="6" t="s">
        <v>26</v>
      </c>
      <c r="F608" s="6">
        <v>1</v>
      </c>
      <c r="G608" s="6" t="s">
        <v>66</v>
      </c>
      <c r="H608" s="6">
        <v>1</v>
      </c>
      <c r="I608" s="6">
        <v>6</v>
      </c>
      <c r="J608" s="6">
        <v>3.5</v>
      </c>
      <c r="K608" s="6" t="s">
        <v>28</v>
      </c>
      <c r="L608" s="6" t="str">
        <f>VLOOKUP(K608, 'Alphabetical by species code'!A:B, 2, FALSE)</f>
        <v>Litter</v>
      </c>
      <c r="M608" s="6" t="str">
        <f>VLOOKUP(L608, 'Alphabetical by species code'!B:C, 2, FALSE)</f>
        <v>Ground Cover</v>
      </c>
    </row>
    <row r="609" spans="1:13" x14ac:dyDescent="0.25">
      <c r="A609" s="6">
        <v>7</v>
      </c>
      <c r="B609" s="6">
        <v>2025</v>
      </c>
      <c r="C609" s="7">
        <v>45764</v>
      </c>
      <c r="D609" s="6" t="s">
        <v>69</v>
      </c>
      <c r="E609" s="6" t="s">
        <v>26</v>
      </c>
      <c r="F609" s="6">
        <v>1</v>
      </c>
      <c r="G609" s="6" t="s">
        <v>66</v>
      </c>
      <c r="H609" s="6">
        <v>1</v>
      </c>
      <c r="I609" s="6">
        <v>6</v>
      </c>
      <c r="J609" s="6">
        <v>3.5</v>
      </c>
      <c r="K609" s="6" t="s">
        <v>31</v>
      </c>
      <c r="L609" s="6" t="str">
        <f>VLOOKUP(K609, 'Alphabetical by species code'!A:B, 2, FALSE)</f>
        <v>Festuca myuros</v>
      </c>
      <c r="M609" s="6" t="str">
        <f>VLOOKUP(L609, 'Alphabetical by species code'!B:C, 2, FALSE)</f>
        <v>Non-Native</v>
      </c>
    </row>
    <row r="610" spans="1:13" x14ac:dyDescent="0.25">
      <c r="A610" s="6">
        <v>7</v>
      </c>
      <c r="B610" s="6">
        <v>2025</v>
      </c>
      <c r="C610" s="7">
        <v>45764</v>
      </c>
      <c r="D610" s="6" t="s">
        <v>69</v>
      </c>
      <c r="E610" s="6" t="s">
        <v>26</v>
      </c>
      <c r="F610" s="6">
        <v>1</v>
      </c>
      <c r="G610" s="6" t="s">
        <v>66</v>
      </c>
      <c r="H610" s="6">
        <v>1</v>
      </c>
      <c r="I610" s="6">
        <v>6</v>
      </c>
      <c r="J610" s="6">
        <v>3.5</v>
      </c>
      <c r="K610" s="6" t="s">
        <v>35</v>
      </c>
      <c r="L610" s="6" t="str">
        <f>VLOOKUP(K610, 'Alphabetical by species code'!A:B, 2, FALSE)</f>
        <v>Deinandra fasciculata</v>
      </c>
      <c r="M610" s="6" t="str">
        <f>VLOOKUP(L610, 'Alphabetical by species code'!B:C, 2, FALSE)</f>
        <v>Native</v>
      </c>
    </row>
    <row r="611" spans="1:13" x14ac:dyDescent="0.25">
      <c r="A611" s="6">
        <v>7</v>
      </c>
      <c r="B611" s="6">
        <v>2025</v>
      </c>
      <c r="C611" s="7">
        <v>45764</v>
      </c>
      <c r="D611" s="6" t="s">
        <v>69</v>
      </c>
      <c r="E611" s="6" t="s">
        <v>26</v>
      </c>
      <c r="F611" s="6">
        <v>1</v>
      </c>
      <c r="G611" s="6" t="s">
        <v>66</v>
      </c>
      <c r="H611" s="6">
        <v>1</v>
      </c>
      <c r="I611" s="6">
        <v>7</v>
      </c>
      <c r="J611" s="6">
        <v>4</v>
      </c>
      <c r="K611" s="6" t="s">
        <v>51</v>
      </c>
      <c r="L611" s="6" t="str">
        <f>VLOOKUP(K611, 'Alphabetical by species code'!A:B, 2, FALSE)</f>
        <v>Bareground</v>
      </c>
      <c r="M611" s="6" t="str">
        <f>VLOOKUP(L611, 'Alphabetical by species code'!B:C, 2, FALSE)</f>
        <v>Ground Cover</v>
      </c>
    </row>
    <row r="612" spans="1:13" x14ac:dyDescent="0.25">
      <c r="A612" s="6">
        <v>7</v>
      </c>
      <c r="B612" s="6">
        <v>2025</v>
      </c>
      <c r="C612" s="7">
        <v>45764</v>
      </c>
      <c r="D612" s="6" t="s">
        <v>69</v>
      </c>
      <c r="E612" s="6" t="s">
        <v>26</v>
      </c>
      <c r="F612" s="6">
        <v>1</v>
      </c>
      <c r="G612" s="6" t="s">
        <v>66</v>
      </c>
      <c r="H612" s="6">
        <v>1</v>
      </c>
      <c r="I612" s="6">
        <v>7</v>
      </c>
      <c r="J612" s="6">
        <v>4</v>
      </c>
      <c r="K612" s="6" t="s">
        <v>35</v>
      </c>
      <c r="L612" s="6" t="str">
        <f>VLOOKUP(K612, 'Alphabetical by species code'!A:B, 2, FALSE)</f>
        <v>Deinandra fasciculata</v>
      </c>
      <c r="M612" s="6" t="str">
        <f>VLOOKUP(L612, 'Alphabetical by species code'!B:C, 2, FALSE)</f>
        <v>Native</v>
      </c>
    </row>
    <row r="613" spans="1:13" x14ac:dyDescent="0.25">
      <c r="A613" s="6">
        <v>7</v>
      </c>
      <c r="B613" s="6">
        <v>2025</v>
      </c>
      <c r="C613" s="7">
        <v>45764</v>
      </c>
      <c r="D613" s="6" t="s">
        <v>69</v>
      </c>
      <c r="E613" s="6" t="s">
        <v>26</v>
      </c>
      <c r="F613" s="6">
        <v>1</v>
      </c>
      <c r="G613" s="6" t="s">
        <v>66</v>
      </c>
      <c r="H613" s="6">
        <v>1</v>
      </c>
      <c r="I613" s="6">
        <v>7</v>
      </c>
      <c r="J613" s="6">
        <v>4</v>
      </c>
      <c r="K613" s="6" t="s">
        <v>34</v>
      </c>
      <c r="L613" s="6" t="str">
        <f>VLOOKUP(K613, 'Alphabetical by species code'!A:B, 2, FALSE)</f>
        <v>Erodium cicutarium</v>
      </c>
      <c r="M613" s="6" t="str">
        <f>VLOOKUP(L613, 'Alphabetical by species code'!B:C, 2, FALSE)</f>
        <v>Non-Native</v>
      </c>
    </row>
    <row r="614" spans="1:13" x14ac:dyDescent="0.25">
      <c r="A614" s="6">
        <v>7</v>
      </c>
      <c r="B614" s="6">
        <v>2025</v>
      </c>
      <c r="C614" s="7">
        <v>45764</v>
      </c>
      <c r="D614" s="6" t="s">
        <v>69</v>
      </c>
      <c r="E614" s="6" t="s">
        <v>26</v>
      </c>
      <c r="F614" s="6">
        <v>1</v>
      </c>
      <c r="G614" s="6" t="s">
        <v>66</v>
      </c>
      <c r="H614" s="6">
        <v>1</v>
      </c>
      <c r="I614" s="6">
        <v>8</v>
      </c>
      <c r="J614" s="6">
        <v>5</v>
      </c>
      <c r="K614" s="6" t="s">
        <v>28</v>
      </c>
      <c r="L614" s="6" t="str">
        <f>VLOOKUP(K614, 'Alphabetical by species code'!A:B, 2, FALSE)</f>
        <v>Litter</v>
      </c>
      <c r="M614" s="6" t="str">
        <f>VLOOKUP(L614, 'Alphabetical by species code'!B:C, 2, FALSE)</f>
        <v>Ground Cover</v>
      </c>
    </row>
    <row r="615" spans="1:13" x14ac:dyDescent="0.25">
      <c r="A615" s="6">
        <v>7</v>
      </c>
      <c r="B615" s="6">
        <v>2025</v>
      </c>
      <c r="C615" s="7">
        <v>45764</v>
      </c>
      <c r="D615" s="6" t="s">
        <v>69</v>
      </c>
      <c r="E615" s="6" t="s">
        <v>26</v>
      </c>
      <c r="F615" s="6">
        <v>1</v>
      </c>
      <c r="G615" s="6" t="s">
        <v>66</v>
      </c>
      <c r="H615" s="6">
        <v>1</v>
      </c>
      <c r="I615" s="6">
        <v>8</v>
      </c>
      <c r="J615" s="6">
        <v>5</v>
      </c>
      <c r="K615" s="6" t="s">
        <v>49</v>
      </c>
      <c r="L615" s="6" t="str">
        <f>VLOOKUP(K615, 'Alphabetical by species code'!A:B, 2, FALSE)</f>
        <v>Anagallis arvensis</v>
      </c>
      <c r="M615" s="6" t="str">
        <f>VLOOKUP(L615, 'Alphabetical by species code'!B:C, 2, FALSE)</f>
        <v>Non-Native</v>
      </c>
    </row>
    <row r="616" spans="1:13" x14ac:dyDescent="0.25">
      <c r="A616" s="6">
        <v>7</v>
      </c>
      <c r="B616" s="6">
        <v>2025</v>
      </c>
      <c r="C616" s="7">
        <v>45764</v>
      </c>
      <c r="D616" s="6" t="s">
        <v>69</v>
      </c>
      <c r="E616" s="6" t="s">
        <v>26</v>
      </c>
      <c r="F616" s="6">
        <v>1</v>
      </c>
      <c r="G616" s="6" t="s">
        <v>66</v>
      </c>
      <c r="H616" s="6">
        <v>1</v>
      </c>
      <c r="I616" s="6">
        <v>8</v>
      </c>
      <c r="J616" s="6">
        <v>5</v>
      </c>
      <c r="K616" s="6" t="s">
        <v>48</v>
      </c>
      <c r="L616" s="6" t="str">
        <f>VLOOKUP(K616, 'Alphabetical by species code'!A:B, 2, FALSE)</f>
        <v>Sonchus asper</v>
      </c>
      <c r="M616" s="6" t="str">
        <f>VLOOKUP(L616, 'Alphabetical by species code'!B:C, 2, FALSE)</f>
        <v>Non-Native</v>
      </c>
    </row>
    <row r="617" spans="1:13" x14ac:dyDescent="0.25">
      <c r="A617" s="6">
        <v>7</v>
      </c>
      <c r="B617" s="6">
        <v>2025</v>
      </c>
      <c r="C617" s="7">
        <v>45764</v>
      </c>
      <c r="D617" s="6" t="s">
        <v>69</v>
      </c>
      <c r="E617" s="6" t="s">
        <v>26</v>
      </c>
      <c r="F617" s="6">
        <v>1</v>
      </c>
      <c r="G617" s="6" t="s">
        <v>66</v>
      </c>
      <c r="H617" s="6">
        <v>1</v>
      </c>
      <c r="I617" s="6">
        <v>9</v>
      </c>
      <c r="J617" s="6">
        <v>7</v>
      </c>
      <c r="K617" s="6" t="s">
        <v>41</v>
      </c>
      <c r="L617" s="6" t="str">
        <f>VLOOKUP(K617, 'Alphabetical by species code'!A:B, 2, FALSE)</f>
        <v>Stem</v>
      </c>
      <c r="M617" s="6" t="str">
        <f>VLOOKUP(L617, 'Alphabetical by species code'!B:C, 2, FALSE)</f>
        <v>Ground Cover</v>
      </c>
    </row>
    <row r="618" spans="1:13" x14ac:dyDescent="0.25">
      <c r="A618" s="6">
        <v>7</v>
      </c>
      <c r="B618" s="6">
        <v>2025</v>
      </c>
      <c r="C618" s="7">
        <v>45764</v>
      </c>
      <c r="D618" s="6" t="s">
        <v>69</v>
      </c>
      <c r="E618" s="6" t="s">
        <v>26</v>
      </c>
      <c r="F618" s="6">
        <v>1</v>
      </c>
      <c r="G618" s="6" t="s">
        <v>66</v>
      </c>
      <c r="H618" s="6">
        <v>1</v>
      </c>
      <c r="I618" s="6">
        <v>9</v>
      </c>
      <c r="J618" s="6">
        <v>7</v>
      </c>
      <c r="K618" s="6" t="s">
        <v>31</v>
      </c>
      <c r="L618" s="6" t="str">
        <f>VLOOKUP(K618, 'Alphabetical by species code'!A:B, 2, FALSE)</f>
        <v>Festuca myuros</v>
      </c>
      <c r="M618" s="6" t="str">
        <f>VLOOKUP(L618, 'Alphabetical by species code'!B:C, 2, FALSE)</f>
        <v>Non-Native</v>
      </c>
    </row>
    <row r="619" spans="1:13" x14ac:dyDescent="0.25">
      <c r="A619" s="6">
        <v>7</v>
      </c>
      <c r="B619" s="6">
        <v>2025</v>
      </c>
      <c r="C619" s="7">
        <v>45764</v>
      </c>
      <c r="D619" s="6" t="s">
        <v>69</v>
      </c>
      <c r="E619" s="6" t="s">
        <v>26</v>
      </c>
      <c r="F619" s="6">
        <v>1</v>
      </c>
      <c r="G619" s="6" t="s">
        <v>66</v>
      </c>
      <c r="H619" s="6">
        <v>1</v>
      </c>
      <c r="I619" s="6">
        <v>9</v>
      </c>
      <c r="J619" s="6">
        <v>7</v>
      </c>
      <c r="K619" s="6" t="s">
        <v>34</v>
      </c>
      <c r="L619" s="6" t="str">
        <f>VLOOKUP(K619, 'Alphabetical by species code'!A:B, 2, FALSE)</f>
        <v>Erodium cicutarium</v>
      </c>
      <c r="M619" s="6" t="str">
        <f>VLOOKUP(L619, 'Alphabetical by species code'!B:C, 2, FALSE)</f>
        <v>Non-Native</v>
      </c>
    </row>
    <row r="620" spans="1:13" x14ac:dyDescent="0.25">
      <c r="A620" s="6">
        <v>7</v>
      </c>
      <c r="B620" s="6">
        <v>2025</v>
      </c>
      <c r="C620" s="7">
        <v>45764</v>
      </c>
      <c r="D620" s="6" t="s">
        <v>69</v>
      </c>
      <c r="E620" s="6" t="s">
        <v>26</v>
      </c>
      <c r="F620" s="6">
        <v>1</v>
      </c>
      <c r="G620" s="6" t="s">
        <v>66</v>
      </c>
      <c r="H620" s="6">
        <v>1</v>
      </c>
      <c r="I620" s="6">
        <v>10</v>
      </c>
      <c r="J620" s="6">
        <v>8</v>
      </c>
      <c r="K620" s="6" t="s">
        <v>28</v>
      </c>
      <c r="L620" s="6" t="str">
        <f>VLOOKUP(K620, 'Alphabetical by species code'!A:B, 2, FALSE)</f>
        <v>Litter</v>
      </c>
      <c r="M620" s="6" t="str">
        <f>VLOOKUP(L620, 'Alphabetical by species code'!B:C, 2, FALSE)</f>
        <v>Ground Cover</v>
      </c>
    </row>
    <row r="621" spans="1:13" x14ac:dyDescent="0.25">
      <c r="A621" s="6">
        <v>7</v>
      </c>
      <c r="B621" s="6">
        <v>2025</v>
      </c>
      <c r="C621" s="7">
        <v>45764</v>
      </c>
      <c r="D621" s="6" t="s">
        <v>69</v>
      </c>
      <c r="E621" s="6" t="s">
        <v>26</v>
      </c>
      <c r="F621" s="6">
        <v>1</v>
      </c>
      <c r="G621" s="6" t="s">
        <v>66</v>
      </c>
      <c r="H621" s="6">
        <v>1</v>
      </c>
      <c r="I621" s="6">
        <v>10</v>
      </c>
      <c r="J621" s="6">
        <v>8</v>
      </c>
      <c r="K621" s="6" t="s">
        <v>30</v>
      </c>
      <c r="L621" s="6" t="str">
        <f>VLOOKUP(K621, 'Alphabetical by species code'!A:B, 2, FALSE)</f>
        <v>Erodium moschatum</v>
      </c>
      <c r="M621" s="6" t="str">
        <f>VLOOKUP(L621, 'Alphabetical by species code'!B:C, 2, FALSE)</f>
        <v>Non-Native</v>
      </c>
    </row>
    <row r="622" spans="1:13" x14ac:dyDescent="0.25">
      <c r="A622" s="6">
        <v>7</v>
      </c>
      <c r="B622" s="6">
        <v>2025</v>
      </c>
      <c r="C622" s="7">
        <v>45764</v>
      </c>
      <c r="D622" s="6" t="s">
        <v>69</v>
      </c>
      <c r="E622" s="6" t="s">
        <v>26</v>
      </c>
      <c r="F622" s="6">
        <v>1</v>
      </c>
      <c r="G622" s="6" t="s">
        <v>66</v>
      </c>
      <c r="H622" s="6">
        <v>1</v>
      </c>
      <c r="I622" s="6">
        <v>11</v>
      </c>
      <c r="J622" s="6">
        <v>8.5</v>
      </c>
      <c r="K622" s="6" t="s">
        <v>28</v>
      </c>
      <c r="L622" s="6" t="str">
        <f>VLOOKUP(K622, 'Alphabetical by species code'!A:B, 2, FALSE)</f>
        <v>Litter</v>
      </c>
      <c r="M622" s="6" t="str">
        <f>VLOOKUP(L622, 'Alphabetical by species code'!B:C, 2, FALSE)</f>
        <v>Ground Cover</v>
      </c>
    </row>
    <row r="623" spans="1:13" x14ac:dyDescent="0.25">
      <c r="A623" s="6">
        <v>7</v>
      </c>
      <c r="B623" s="6">
        <v>2025</v>
      </c>
      <c r="C623" s="7">
        <v>45764</v>
      </c>
      <c r="D623" s="6" t="s">
        <v>69</v>
      </c>
      <c r="E623" s="6" t="s">
        <v>26</v>
      </c>
      <c r="F623" s="6">
        <v>1</v>
      </c>
      <c r="G623" s="6" t="s">
        <v>66</v>
      </c>
      <c r="H623" s="6">
        <v>1</v>
      </c>
      <c r="I623" s="6">
        <v>11</v>
      </c>
      <c r="J623" s="6">
        <v>8.5</v>
      </c>
      <c r="K623" s="6" t="s">
        <v>34</v>
      </c>
      <c r="L623" s="6" t="str">
        <f>VLOOKUP(K623, 'Alphabetical by species code'!A:B, 2, FALSE)</f>
        <v>Erodium cicutarium</v>
      </c>
      <c r="M623" s="6" t="str">
        <f>VLOOKUP(L623, 'Alphabetical by species code'!B:C, 2, FALSE)</f>
        <v>Non-Native</v>
      </c>
    </row>
    <row r="624" spans="1:13" x14ac:dyDescent="0.25">
      <c r="A624" s="6">
        <v>7</v>
      </c>
      <c r="B624" s="6">
        <v>2025</v>
      </c>
      <c r="C624" s="7">
        <v>45764</v>
      </c>
      <c r="D624" s="6" t="s">
        <v>69</v>
      </c>
      <c r="E624" s="6" t="s">
        <v>26</v>
      </c>
      <c r="F624" s="6">
        <v>1</v>
      </c>
      <c r="G624" s="6" t="s">
        <v>66</v>
      </c>
      <c r="H624" s="6">
        <v>1</v>
      </c>
      <c r="I624" s="6">
        <v>11</v>
      </c>
      <c r="J624" s="6">
        <v>8.5</v>
      </c>
      <c r="K624" s="6" t="s">
        <v>35</v>
      </c>
      <c r="L624" s="6" t="str">
        <f>VLOOKUP(K624, 'Alphabetical by species code'!A:B, 2, FALSE)</f>
        <v>Deinandra fasciculata</v>
      </c>
      <c r="M624" s="6" t="str">
        <f>VLOOKUP(L624, 'Alphabetical by species code'!B:C, 2, FALSE)</f>
        <v>Native</v>
      </c>
    </row>
    <row r="625" spans="1:13" x14ac:dyDescent="0.25">
      <c r="A625" s="6">
        <v>7</v>
      </c>
      <c r="B625" s="6">
        <v>2025</v>
      </c>
      <c r="C625" s="7">
        <v>45764</v>
      </c>
      <c r="D625" s="6" t="s">
        <v>69</v>
      </c>
      <c r="E625" s="6" t="s">
        <v>26</v>
      </c>
      <c r="F625" s="6">
        <v>1</v>
      </c>
      <c r="G625" s="6" t="s">
        <v>66</v>
      </c>
      <c r="H625" s="6">
        <v>1</v>
      </c>
      <c r="I625" s="6">
        <v>11</v>
      </c>
      <c r="J625" s="6">
        <v>8.5</v>
      </c>
      <c r="K625" s="6" t="s">
        <v>48</v>
      </c>
      <c r="L625" s="6" t="str">
        <f>VLOOKUP(K625, 'Alphabetical by species code'!A:B, 2, FALSE)</f>
        <v>Sonchus asper</v>
      </c>
      <c r="M625" s="6" t="str">
        <f>VLOOKUP(L625, 'Alphabetical by species code'!B:C, 2, FALSE)</f>
        <v>Non-Native</v>
      </c>
    </row>
    <row r="626" spans="1:13" x14ac:dyDescent="0.25">
      <c r="A626" s="6">
        <v>7</v>
      </c>
      <c r="B626" s="6">
        <v>2025</v>
      </c>
      <c r="C626" s="7">
        <v>45764</v>
      </c>
      <c r="D626" s="6" t="s">
        <v>69</v>
      </c>
      <c r="E626" s="6" t="s">
        <v>26</v>
      </c>
      <c r="F626" s="6">
        <v>1</v>
      </c>
      <c r="G626" s="6" t="s">
        <v>66</v>
      </c>
      <c r="H626" s="6">
        <v>1</v>
      </c>
      <c r="I626" s="6">
        <v>12</v>
      </c>
      <c r="J626" s="6">
        <v>9</v>
      </c>
      <c r="K626" s="6" t="s">
        <v>28</v>
      </c>
      <c r="L626" s="6" t="str">
        <f>VLOOKUP(K626, 'Alphabetical by species code'!A:B, 2, FALSE)</f>
        <v>Litter</v>
      </c>
      <c r="M626" s="6" t="str">
        <f>VLOOKUP(L626, 'Alphabetical by species code'!B:C, 2, FALSE)</f>
        <v>Ground Cover</v>
      </c>
    </row>
    <row r="627" spans="1:13" x14ac:dyDescent="0.25">
      <c r="A627" s="6">
        <v>7</v>
      </c>
      <c r="B627" s="6">
        <v>2025</v>
      </c>
      <c r="C627" s="7">
        <v>45764</v>
      </c>
      <c r="D627" s="6" t="s">
        <v>69</v>
      </c>
      <c r="E627" s="6" t="s">
        <v>26</v>
      </c>
      <c r="F627" s="6">
        <v>1</v>
      </c>
      <c r="G627" s="6" t="s">
        <v>66</v>
      </c>
      <c r="H627" s="6">
        <v>1</v>
      </c>
      <c r="I627" s="6">
        <v>12</v>
      </c>
      <c r="J627" s="6">
        <v>9</v>
      </c>
      <c r="K627" s="6" t="s">
        <v>35</v>
      </c>
      <c r="L627" s="6" t="str">
        <f>VLOOKUP(K627, 'Alphabetical by species code'!A:B, 2, FALSE)</f>
        <v>Deinandra fasciculata</v>
      </c>
      <c r="M627" s="6" t="str">
        <f>VLOOKUP(L627, 'Alphabetical by species code'!B:C, 2, FALSE)</f>
        <v>Native</v>
      </c>
    </row>
    <row r="628" spans="1:13" x14ac:dyDescent="0.25">
      <c r="A628" s="6">
        <v>7</v>
      </c>
      <c r="B628" s="6">
        <v>2025</v>
      </c>
      <c r="C628" s="7">
        <v>45764</v>
      </c>
      <c r="D628" s="6" t="s">
        <v>69</v>
      </c>
      <c r="E628" s="6" t="s">
        <v>26</v>
      </c>
      <c r="F628" s="6">
        <v>1</v>
      </c>
      <c r="G628" s="6" t="s">
        <v>66</v>
      </c>
      <c r="H628" s="6">
        <v>1</v>
      </c>
      <c r="I628" s="6">
        <v>12</v>
      </c>
      <c r="J628" s="6">
        <v>9</v>
      </c>
      <c r="K628" s="6" t="s">
        <v>43</v>
      </c>
      <c r="L628" s="6" t="str">
        <f>VLOOKUP(K628, 'Alphabetical by species code'!A:B, 2, FALSE)</f>
        <v>Uropappus lindleyi</v>
      </c>
      <c r="M628" s="6" t="str">
        <f>VLOOKUP(L628, 'Alphabetical by species code'!B:C, 2, FALSE)</f>
        <v>Native</v>
      </c>
    </row>
    <row r="629" spans="1:13" x14ac:dyDescent="0.25">
      <c r="A629" s="6">
        <v>7</v>
      </c>
      <c r="B629" s="6">
        <v>2025</v>
      </c>
      <c r="C629" s="7">
        <v>45764</v>
      </c>
      <c r="D629" s="6" t="s">
        <v>69</v>
      </c>
      <c r="E629" s="6" t="s">
        <v>26</v>
      </c>
      <c r="F629" s="6">
        <v>1</v>
      </c>
      <c r="G629" s="6" t="s">
        <v>66</v>
      </c>
      <c r="H629" s="6">
        <v>1</v>
      </c>
      <c r="I629" s="6">
        <v>13</v>
      </c>
      <c r="J629" s="6">
        <v>10</v>
      </c>
      <c r="K629" s="6" t="s">
        <v>38</v>
      </c>
      <c r="L629" s="6" t="str">
        <f>VLOOKUP(K629, 'Alphabetical by species code'!A:B, 2, FALSE)</f>
        <v>Thatch</v>
      </c>
      <c r="M629" s="6" t="str">
        <f>VLOOKUP(L629, 'Alphabetical by species code'!B:C, 2, FALSE)</f>
        <v>Ground Cover</v>
      </c>
    </row>
    <row r="630" spans="1:13" x14ac:dyDescent="0.25">
      <c r="A630" s="6">
        <v>7</v>
      </c>
      <c r="B630" s="6">
        <v>2025</v>
      </c>
      <c r="C630" s="7">
        <v>45764</v>
      </c>
      <c r="D630" s="6" t="s">
        <v>69</v>
      </c>
      <c r="E630" s="6" t="s">
        <v>26</v>
      </c>
      <c r="F630" s="6">
        <v>1</v>
      </c>
      <c r="G630" s="6" t="s">
        <v>66</v>
      </c>
      <c r="H630" s="6">
        <v>1</v>
      </c>
      <c r="I630" s="6">
        <v>13</v>
      </c>
      <c r="J630" s="6">
        <v>10</v>
      </c>
      <c r="K630" s="6" t="s">
        <v>70</v>
      </c>
      <c r="L630" s="6" t="str">
        <f>VLOOKUP(K630, 'Alphabetical by species code'!A:B, 2, FALSE)</f>
        <v>Lupinus succulentus</v>
      </c>
      <c r="M630" s="6" t="str">
        <f>VLOOKUP(L630, 'Alphabetical by species code'!B:C, 2, FALSE)</f>
        <v>Native</v>
      </c>
    </row>
    <row r="631" spans="1:13" x14ac:dyDescent="0.25">
      <c r="A631" s="6">
        <v>7</v>
      </c>
      <c r="B631" s="6">
        <v>2025</v>
      </c>
      <c r="C631" s="7">
        <v>45764</v>
      </c>
      <c r="D631" s="6" t="s">
        <v>69</v>
      </c>
      <c r="E631" s="6" t="s">
        <v>26</v>
      </c>
      <c r="F631" s="6">
        <v>1</v>
      </c>
      <c r="G631" s="6" t="s">
        <v>66</v>
      </c>
      <c r="H631" s="6">
        <v>1</v>
      </c>
      <c r="I631" s="6">
        <v>13</v>
      </c>
      <c r="J631" s="6">
        <v>10</v>
      </c>
      <c r="K631" s="6" t="s">
        <v>35</v>
      </c>
      <c r="L631" s="6" t="str">
        <f>VLOOKUP(K631, 'Alphabetical by species code'!A:B, 2, FALSE)</f>
        <v>Deinandra fasciculata</v>
      </c>
      <c r="M631" s="6" t="str">
        <f>VLOOKUP(L631, 'Alphabetical by species code'!B:C, 2, FALSE)</f>
        <v>Native</v>
      </c>
    </row>
    <row r="632" spans="1:13" x14ac:dyDescent="0.25">
      <c r="A632" s="6">
        <v>7</v>
      </c>
      <c r="B632" s="6">
        <v>2025</v>
      </c>
      <c r="C632" s="7">
        <v>45764</v>
      </c>
      <c r="D632" s="6" t="s">
        <v>69</v>
      </c>
      <c r="E632" s="6" t="s">
        <v>26</v>
      </c>
      <c r="F632" s="6">
        <v>1</v>
      </c>
      <c r="G632" s="6" t="s">
        <v>66</v>
      </c>
      <c r="H632" s="6">
        <v>1</v>
      </c>
      <c r="I632" s="6">
        <v>14</v>
      </c>
      <c r="J632" s="6">
        <v>11</v>
      </c>
      <c r="K632" s="6" t="s">
        <v>28</v>
      </c>
      <c r="L632" s="6" t="str">
        <f>VLOOKUP(K632, 'Alphabetical by species code'!A:B, 2, FALSE)</f>
        <v>Litter</v>
      </c>
      <c r="M632" s="6" t="str">
        <f>VLOOKUP(L632, 'Alphabetical by species code'!B:C, 2, FALSE)</f>
        <v>Ground Cover</v>
      </c>
    </row>
    <row r="633" spans="1:13" x14ac:dyDescent="0.25">
      <c r="A633" s="6">
        <v>7</v>
      </c>
      <c r="B633" s="6">
        <v>2025</v>
      </c>
      <c r="C633" s="7">
        <v>45764</v>
      </c>
      <c r="D633" s="6" t="s">
        <v>69</v>
      </c>
      <c r="E633" s="6" t="s">
        <v>26</v>
      </c>
      <c r="F633" s="6">
        <v>1</v>
      </c>
      <c r="G633" s="6" t="s">
        <v>66</v>
      </c>
      <c r="H633" s="6">
        <v>1</v>
      </c>
      <c r="I633" s="6">
        <v>14</v>
      </c>
      <c r="J633" s="6">
        <v>11</v>
      </c>
      <c r="K633" s="6" t="s">
        <v>30</v>
      </c>
      <c r="L633" s="6" t="str">
        <f>VLOOKUP(K633, 'Alphabetical by species code'!A:B, 2, FALSE)</f>
        <v>Erodium moschatum</v>
      </c>
      <c r="M633" s="6" t="str">
        <f>VLOOKUP(L633, 'Alphabetical by species code'!B:C, 2, FALSE)</f>
        <v>Non-Native</v>
      </c>
    </row>
    <row r="634" spans="1:13" x14ac:dyDescent="0.25">
      <c r="A634" s="6">
        <v>7</v>
      </c>
      <c r="B634" s="6">
        <v>2025</v>
      </c>
      <c r="C634" s="7">
        <v>45764</v>
      </c>
      <c r="D634" s="6" t="s">
        <v>69</v>
      </c>
      <c r="E634" s="6" t="s">
        <v>26</v>
      </c>
      <c r="F634" s="6">
        <v>1</v>
      </c>
      <c r="G634" s="6" t="s">
        <v>66</v>
      </c>
      <c r="H634" s="6">
        <v>1</v>
      </c>
      <c r="I634" s="6">
        <v>15</v>
      </c>
      <c r="J634" s="6">
        <v>12</v>
      </c>
      <c r="K634" s="6" t="s">
        <v>28</v>
      </c>
      <c r="L634" s="6" t="str">
        <f>VLOOKUP(K634, 'Alphabetical by species code'!A:B, 2, FALSE)</f>
        <v>Litter</v>
      </c>
      <c r="M634" s="6" t="str">
        <f>VLOOKUP(L634, 'Alphabetical by species code'!B:C, 2, FALSE)</f>
        <v>Ground Cover</v>
      </c>
    </row>
    <row r="635" spans="1:13" x14ac:dyDescent="0.25">
      <c r="A635" s="6">
        <v>7</v>
      </c>
      <c r="B635" s="6">
        <v>2025</v>
      </c>
      <c r="C635" s="7">
        <v>45764</v>
      </c>
      <c r="D635" s="6" t="s">
        <v>69</v>
      </c>
      <c r="E635" s="6" t="s">
        <v>26</v>
      </c>
      <c r="F635" s="6">
        <v>1</v>
      </c>
      <c r="G635" s="6" t="s">
        <v>66</v>
      </c>
      <c r="H635" s="6">
        <v>1</v>
      </c>
      <c r="I635" s="6">
        <v>15</v>
      </c>
      <c r="J635" s="6">
        <v>12</v>
      </c>
      <c r="K635" s="6" t="s">
        <v>40</v>
      </c>
      <c r="L635" s="6" t="str">
        <f>VLOOKUP(K635, 'Alphabetical by species code'!A:B, 2, FALSE)</f>
        <v>Cylindropuntia prolifera</v>
      </c>
      <c r="M635" s="6" t="str">
        <f>VLOOKUP(L635, 'Alphabetical by species code'!B:C, 2, FALSE)</f>
        <v>Native</v>
      </c>
    </row>
    <row r="636" spans="1:13" x14ac:dyDescent="0.25">
      <c r="A636" s="6">
        <v>7</v>
      </c>
      <c r="B636" s="6">
        <v>2025</v>
      </c>
      <c r="C636" s="7">
        <v>45764</v>
      </c>
      <c r="D636" s="6" t="s">
        <v>69</v>
      </c>
      <c r="E636" s="6" t="s">
        <v>26</v>
      </c>
      <c r="F636" s="6">
        <v>1</v>
      </c>
      <c r="G636" s="6" t="s">
        <v>66</v>
      </c>
      <c r="H636" s="6">
        <v>2</v>
      </c>
      <c r="I636" s="6">
        <v>1</v>
      </c>
      <c r="J636" s="6">
        <v>0</v>
      </c>
      <c r="K636" s="6" t="s">
        <v>51</v>
      </c>
      <c r="L636" s="6" t="str">
        <f>VLOOKUP(K636, 'Alphabetical by species code'!A:B, 2, FALSE)</f>
        <v>Bareground</v>
      </c>
      <c r="M636" s="6" t="str">
        <f>VLOOKUP(L636, 'Alphabetical by species code'!B:C, 2, FALSE)</f>
        <v>Ground Cover</v>
      </c>
    </row>
    <row r="637" spans="1:13" x14ac:dyDescent="0.25">
      <c r="A637" s="6">
        <v>7</v>
      </c>
      <c r="B637" s="6">
        <v>2025</v>
      </c>
      <c r="C637" s="7">
        <v>45764</v>
      </c>
      <c r="D637" s="6" t="s">
        <v>69</v>
      </c>
      <c r="E637" s="6" t="s">
        <v>26</v>
      </c>
      <c r="F637" s="6">
        <v>1</v>
      </c>
      <c r="G637" s="6" t="s">
        <v>66</v>
      </c>
      <c r="H637" s="6">
        <v>2</v>
      </c>
      <c r="I637" s="6">
        <v>1</v>
      </c>
      <c r="J637" s="6">
        <v>0</v>
      </c>
      <c r="K637" s="6" t="s">
        <v>34</v>
      </c>
      <c r="L637" s="6" t="str">
        <f>VLOOKUP(K637, 'Alphabetical by species code'!A:B, 2, FALSE)</f>
        <v>Erodium cicutarium</v>
      </c>
      <c r="M637" s="6" t="str">
        <f>VLOOKUP(L637, 'Alphabetical by species code'!B:C, 2, FALSE)</f>
        <v>Non-Native</v>
      </c>
    </row>
    <row r="638" spans="1:13" x14ac:dyDescent="0.25">
      <c r="A638" s="6">
        <v>7</v>
      </c>
      <c r="B638" s="6">
        <v>2025</v>
      </c>
      <c r="C638" s="7">
        <v>45764</v>
      </c>
      <c r="D638" s="6" t="s">
        <v>69</v>
      </c>
      <c r="E638" s="6" t="s">
        <v>26</v>
      </c>
      <c r="F638" s="6">
        <v>1</v>
      </c>
      <c r="G638" s="6" t="s">
        <v>66</v>
      </c>
      <c r="H638" s="6">
        <v>2</v>
      </c>
      <c r="I638" s="6">
        <v>2</v>
      </c>
      <c r="J638" s="6">
        <v>1</v>
      </c>
      <c r="K638" s="6" t="s">
        <v>28</v>
      </c>
      <c r="L638" s="6" t="str">
        <f>VLOOKUP(K638, 'Alphabetical by species code'!A:B, 2, FALSE)</f>
        <v>Litter</v>
      </c>
      <c r="M638" s="6" t="str">
        <f>VLOOKUP(L638, 'Alphabetical by species code'!B:C, 2, FALSE)</f>
        <v>Ground Cover</v>
      </c>
    </row>
    <row r="639" spans="1:13" x14ac:dyDescent="0.25">
      <c r="A639" s="6">
        <v>7</v>
      </c>
      <c r="B639" s="6">
        <v>2025</v>
      </c>
      <c r="C639" s="7">
        <v>45764</v>
      </c>
      <c r="D639" s="6" t="s">
        <v>69</v>
      </c>
      <c r="E639" s="6" t="s">
        <v>26</v>
      </c>
      <c r="F639" s="6">
        <v>1</v>
      </c>
      <c r="G639" s="6" t="s">
        <v>66</v>
      </c>
      <c r="H639" s="6">
        <v>2</v>
      </c>
      <c r="I639" s="6">
        <v>2</v>
      </c>
      <c r="J639" s="6">
        <v>1</v>
      </c>
      <c r="K639" s="6" t="s">
        <v>30</v>
      </c>
      <c r="L639" s="6" t="str">
        <f>VLOOKUP(K639, 'Alphabetical by species code'!A:B, 2, FALSE)</f>
        <v>Erodium moschatum</v>
      </c>
      <c r="M639" s="6" t="str">
        <f>VLOOKUP(L639, 'Alphabetical by species code'!B:C, 2, FALSE)</f>
        <v>Non-Native</v>
      </c>
    </row>
    <row r="640" spans="1:13" x14ac:dyDescent="0.25">
      <c r="A640" s="6">
        <v>7</v>
      </c>
      <c r="B640" s="6">
        <v>2025</v>
      </c>
      <c r="C640" s="7">
        <v>45764</v>
      </c>
      <c r="D640" s="6" t="s">
        <v>69</v>
      </c>
      <c r="E640" s="6" t="s">
        <v>26</v>
      </c>
      <c r="F640" s="6">
        <v>1</v>
      </c>
      <c r="G640" s="6" t="s">
        <v>66</v>
      </c>
      <c r="H640" s="6">
        <v>2</v>
      </c>
      <c r="I640" s="6">
        <v>2</v>
      </c>
      <c r="J640" s="6">
        <v>1</v>
      </c>
      <c r="K640" s="6" t="s">
        <v>33</v>
      </c>
      <c r="L640" s="6" t="str">
        <f>VLOOKUP(K640, 'Alphabetical by species code'!A:B, 2, FALSE)</f>
        <v>Unknown non-native grass</v>
      </c>
      <c r="M640" s="6">
        <f>VLOOKUP(L640, 'Alphabetical by species code'!B:C, 2, FALSE)</f>
        <v>0</v>
      </c>
    </row>
    <row r="641" spans="1:13" x14ac:dyDescent="0.25">
      <c r="A641" s="6">
        <v>7</v>
      </c>
      <c r="B641" s="6">
        <v>2025</v>
      </c>
      <c r="C641" s="7">
        <v>45764</v>
      </c>
      <c r="D641" s="6" t="s">
        <v>69</v>
      </c>
      <c r="E641" s="6" t="s">
        <v>26</v>
      </c>
      <c r="F641" s="6">
        <v>1</v>
      </c>
      <c r="G641" s="6" t="s">
        <v>66</v>
      </c>
      <c r="H641" s="6">
        <v>2</v>
      </c>
      <c r="I641" s="6">
        <v>3</v>
      </c>
      <c r="J641" s="6">
        <v>1.5</v>
      </c>
      <c r="K641" s="6" t="s">
        <v>51</v>
      </c>
      <c r="L641" s="6" t="str">
        <f>VLOOKUP(K641, 'Alphabetical by species code'!A:B, 2, FALSE)</f>
        <v>Bareground</v>
      </c>
      <c r="M641" s="6" t="str">
        <f>VLOOKUP(L641, 'Alphabetical by species code'!B:C, 2, FALSE)</f>
        <v>Ground Cover</v>
      </c>
    </row>
    <row r="642" spans="1:13" x14ac:dyDescent="0.25">
      <c r="A642" s="6">
        <v>7</v>
      </c>
      <c r="B642" s="6">
        <v>2025</v>
      </c>
      <c r="C642" s="7">
        <v>45764</v>
      </c>
      <c r="D642" s="6" t="s">
        <v>69</v>
      </c>
      <c r="E642" s="6" t="s">
        <v>26</v>
      </c>
      <c r="F642" s="6">
        <v>1</v>
      </c>
      <c r="G642" s="6" t="s">
        <v>66</v>
      </c>
      <c r="H642" s="6">
        <v>2</v>
      </c>
      <c r="I642" s="6">
        <v>3</v>
      </c>
      <c r="J642" s="6">
        <v>1.5</v>
      </c>
      <c r="K642" s="6" t="s">
        <v>35</v>
      </c>
      <c r="L642" s="6" t="str">
        <f>VLOOKUP(K642, 'Alphabetical by species code'!A:B, 2, FALSE)</f>
        <v>Deinandra fasciculata</v>
      </c>
      <c r="M642" s="6" t="str">
        <f>VLOOKUP(L642, 'Alphabetical by species code'!B:C, 2, FALSE)</f>
        <v>Native</v>
      </c>
    </row>
    <row r="643" spans="1:13" x14ac:dyDescent="0.25">
      <c r="A643" s="6">
        <v>7</v>
      </c>
      <c r="B643" s="6">
        <v>2025</v>
      </c>
      <c r="C643" s="7">
        <v>45764</v>
      </c>
      <c r="D643" s="6" t="s">
        <v>69</v>
      </c>
      <c r="E643" s="6" t="s">
        <v>26</v>
      </c>
      <c r="F643" s="6">
        <v>1</v>
      </c>
      <c r="G643" s="6" t="s">
        <v>66</v>
      </c>
      <c r="H643" s="6">
        <v>2</v>
      </c>
      <c r="I643" s="6">
        <v>4</v>
      </c>
      <c r="J643" s="6">
        <v>2</v>
      </c>
      <c r="K643" s="6" t="s">
        <v>28</v>
      </c>
      <c r="L643" s="6" t="str">
        <f>VLOOKUP(K643, 'Alphabetical by species code'!A:B, 2, FALSE)</f>
        <v>Litter</v>
      </c>
      <c r="M643" s="6" t="str">
        <f>VLOOKUP(L643, 'Alphabetical by species code'!B:C, 2, FALSE)</f>
        <v>Ground Cover</v>
      </c>
    </row>
    <row r="644" spans="1:13" x14ac:dyDescent="0.25">
      <c r="A644" s="6">
        <v>7</v>
      </c>
      <c r="B644" s="6">
        <v>2025</v>
      </c>
      <c r="C644" s="7">
        <v>45764</v>
      </c>
      <c r="D644" s="6" t="s">
        <v>69</v>
      </c>
      <c r="E644" s="6" t="s">
        <v>26</v>
      </c>
      <c r="F644" s="6">
        <v>1</v>
      </c>
      <c r="G644" s="6" t="s">
        <v>66</v>
      </c>
      <c r="H644" s="6">
        <v>2</v>
      </c>
      <c r="I644" s="6">
        <v>4</v>
      </c>
      <c r="J644" s="6">
        <v>2</v>
      </c>
      <c r="K644" s="6" t="s">
        <v>31</v>
      </c>
      <c r="L644" s="6" t="str">
        <f>VLOOKUP(K644, 'Alphabetical by species code'!A:B, 2, FALSE)</f>
        <v>Festuca myuros</v>
      </c>
      <c r="M644" s="6" t="str">
        <f>VLOOKUP(L644, 'Alphabetical by species code'!B:C, 2, FALSE)</f>
        <v>Non-Native</v>
      </c>
    </row>
    <row r="645" spans="1:13" x14ac:dyDescent="0.25">
      <c r="A645" s="6">
        <v>7</v>
      </c>
      <c r="B645" s="6">
        <v>2025</v>
      </c>
      <c r="C645" s="7">
        <v>45764</v>
      </c>
      <c r="D645" s="6" t="s">
        <v>69</v>
      </c>
      <c r="E645" s="6" t="s">
        <v>26</v>
      </c>
      <c r="F645" s="6">
        <v>1</v>
      </c>
      <c r="G645" s="6" t="s">
        <v>66</v>
      </c>
      <c r="H645" s="6">
        <v>2</v>
      </c>
      <c r="I645" s="6">
        <v>5</v>
      </c>
      <c r="J645" s="6">
        <v>3</v>
      </c>
      <c r="K645" s="6" t="s">
        <v>28</v>
      </c>
      <c r="L645" s="6" t="str">
        <f>VLOOKUP(K645, 'Alphabetical by species code'!A:B, 2, FALSE)</f>
        <v>Litter</v>
      </c>
      <c r="M645" s="6" t="str">
        <f>VLOOKUP(L645, 'Alphabetical by species code'!B:C, 2, FALSE)</f>
        <v>Ground Cover</v>
      </c>
    </row>
    <row r="646" spans="1:13" x14ac:dyDescent="0.25">
      <c r="A646" s="6">
        <v>7</v>
      </c>
      <c r="B646" s="6">
        <v>2025</v>
      </c>
      <c r="C646" s="7">
        <v>45764</v>
      </c>
      <c r="D646" s="6" t="s">
        <v>69</v>
      </c>
      <c r="E646" s="6" t="s">
        <v>26</v>
      </c>
      <c r="F646" s="6">
        <v>1</v>
      </c>
      <c r="G646" s="6" t="s">
        <v>66</v>
      </c>
      <c r="H646" s="6">
        <v>2</v>
      </c>
      <c r="I646" s="6">
        <v>5</v>
      </c>
      <c r="J646" s="6">
        <v>3</v>
      </c>
      <c r="K646" s="6" t="s">
        <v>30</v>
      </c>
      <c r="L646" s="6" t="str">
        <f>VLOOKUP(K646, 'Alphabetical by species code'!A:B, 2, FALSE)</f>
        <v>Erodium moschatum</v>
      </c>
      <c r="M646" s="6" t="str">
        <f>VLOOKUP(L646, 'Alphabetical by species code'!B:C, 2, FALSE)</f>
        <v>Non-Native</v>
      </c>
    </row>
    <row r="647" spans="1:13" x14ac:dyDescent="0.25">
      <c r="A647" s="6">
        <v>7</v>
      </c>
      <c r="B647" s="6">
        <v>2025</v>
      </c>
      <c r="C647" s="7">
        <v>45764</v>
      </c>
      <c r="D647" s="6" t="s">
        <v>69</v>
      </c>
      <c r="E647" s="6" t="s">
        <v>26</v>
      </c>
      <c r="F647" s="6">
        <v>1</v>
      </c>
      <c r="G647" s="6" t="s">
        <v>66</v>
      </c>
      <c r="H647" s="6">
        <v>2</v>
      </c>
      <c r="I647" s="6">
        <v>6</v>
      </c>
      <c r="J647" s="6">
        <v>3.5</v>
      </c>
      <c r="K647" s="6" t="s">
        <v>28</v>
      </c>
      <c r="L647" s="6" t="str">
        <f>VLOOKUP(K647, 'Alphabetical by species code'!A:B, 2, FALSE)</f>
        <v>Litter</v>
      </c>
      <c r="M647" s="6" t="str">
        <f>VLOOKUP(L647, 'Alphabetical by species code'!B:C, 2, FALSE)</f>
        <v>Ground Cover</v>
      </c>
    </row>
    <row r="648" spans="1:13" x14ac:dyDescent="0.25">
      <c r="A648" s="6">
        <v>7</v>
      </c>
      <c r="B648" s="6">
        <v>2025</v>
      </c>
      <c r="C648" s="7">
        <v>45764</v>
      </c>
      <c r="D648" s="6" t="s">
        <v>69</v>
      </c>
      <c r="E648" s="6" t="s">
        <v>26</v>
      </c>
      <c r="F648" s="6">
        <v>1</v>
      </c>
      <c r="G648" s="6" t="s">
        <v>66</v>
      </c>
      <c r="H648" s="6">
        <v>2</v>
      </c>
      <c r="I648" s="6">
        <v>6</v>
      </c>
      <c r="J648" s="6">
        <v>3.5</v>
      </c>
      <c r="K648" s="6" t="s">
        <v>35</v>
      </c>
      <c r="L648" s="6" t="str">
        <f>VLOOKUP(K648, 'Alphabetical by species code'!A:B, 2, FALSE)</f>
        <v>Deinandra fasciculata</v>
      </c>
      <c r="M648" s="6" t="str">
        <f>VLOOKUP(L648, 'Alphabetical by species code'!B:C, 2, FALSE)</f>
        <v>Native</v>
      </c>
    </row>
    <row r="649" spans="1:13" x14ac:dyDescent="0.25">
      <c r="A649" s="6">
        <v>7</v>
      </c>
      <c r="B649" s="6">
        <v>2025</v>
      </c>
      <c r="C649" s="7">
        <v>45764</v>
      </c>
      <c r="D649" s="6" t="s">
        <v>69</v>
      </c>
      <c r="E649" s="6" t="s">
        <v>26</v>
      </c>
      <c r="F649" s="6">
        <v>1</v>
      </c>
      <c r="G649" s="6" t="s">
        <v>66</v>
      </c>
      <c r="H649" s="6">
        <v>2</v>
      </c>
      <c r="I649" s="6">
        <v>7</v>
      </c>
      <c r="J649" s="6">
        <v>4</v>
      </c>
      <c r="K649" s="6" t="s">
        <v>28</v>
      </c>
      <c r="L649" s="6" t="str">
        <f>VLOOKUP(K649, 'Alphabetical by species code'!A:B, 2, FALSE)</f>
        <v>Litter</v>
      </c>
      <c r="M649" s="6" t="str">
        <f>VLOOKUP(L649, 'Alphabetical by species code'!B:C, 2, FALSE)</f>
        <v>Ground Cover</v>
      </c>
    </row>
    <row r="650" spans="1:13" x14ac:dyDescent="0.25">
      <c r="A650" s="6">
        <v>7</v>
      </c>
      <c r="B650" s="6">
        <v>2025</v>
      </c>
      <c r="C650" s="7">
        <v>45764</v>
      </c>
      <c r="D650" s="6" t="s">
        <v>69</v>
      </c>
      <c r="E650" s="6" t="s">
        <v>26</v>
      </c>
      <c r="F650" s="6">
        <v>1</v>
      </c>
      <c r="G650" s="6" t="s">
        <v>66</v>
      </c>
      <c r="H650" s="6">
        <v>2</v>
      </c>
      <c r="I650" s="6">
        <v>7</v>
      </c>
      <c r="J650" s="6">
        <v>4</v>
      </c>
      <c r="K650" s="6" t="s">
        <v>30</v>
      </c>
      <c r="L650" s="6" t="str">
        <f>VLOOKUP(K650, 'Alphabetical by species code'!A:B, 2, FALSE)</f>
        <v>Erodium moschatum</v>
      </c>
      <c r="M650" s="6" t="str">
        <f>VLOOKUP(L650, 'Alphabetical by species code'!B:C, 2, FALSE)</f>
        <v>Non-Native</v>
      </c>
    </row>
    <row r="651" spans="1:13" x14ac:dyDescent="0.25">
      <c r="A651" s="6">
        <v>7</v>
      </c>
      <c r="B651" s="6">
        <v>2025</v>
      </c>
      <c r="C651" s="7">
        <v>45764</v>
      </c>
      <c r="D651" s="6" t="s">
        <v>69</v>
      </c>
      <c r="E651" s="6" t="s">
        <v>26</v>
      </c>
      <c r="F651" s="6">
        <v>1</v>
      </c>
      <c r="G651" s="6" t="s">
        <v>66</v>
      </c>
      <c r="H651" s="6">
        <v>2</v>
      </c>
      <c r="I651" s="6">
        <v>8</v>
      </c>
      <c r="J651" s="6">
        <v>5</v>
      </c>
      <c r="K651" s="6" t="s">
        <v>28</v>
      </c>
      <c r="L651" s="6" t="str">
        <f>VLOOKUP(K651, 'Alphabetical by species code'!A:B, 2, FALSE)</f>
        <v>Litter</v>
      </c>
      <c r="M651" s="6" t="str">
        <f>VLOOKUP(L651, 'Alphabetical by species code'!B:C, 2, FALSE)</f>
        <v>Ground Cover</v>
      </c>
    </row>
    <row r="652" spans="1:13" x14ac:dyDescent="0.25">
      <c r="A652" s="6">
        <v>7</v>
      </c>
      <c r="B652" s="6">
        <v>2025</v>
      </c>
      <c r="C652" s="7">
        <v>45764</v>
      </c>
      <c r="D652" s="6" t="s">
        <v>69</v>
      </c>
      <c r="E652" s="6" t="s">
        <v>26</v>
      </c>
      <c r="F652" s="6">
        <v>1</v>
      </c>
      <c r="G652" s="6" t="s">
        <v>66</v>
      </c>
      <c r="H652" s="6">
        <v>2</v>
      </c>
      <c r="I652" s="6">
        <v>8</v>
      </c>
      <c r="J652" s="6">
        <v>5</v>
      </c>
      <c r="K652" s="6" t="s">
        <v>30</v>
      </c>
      <c r="L652" s="6" t="str">
        <f>VLOOKUP(K652, 'Alphabetical by species code'!A:B, 2, FALSE)</f>
        <v>Erodium moschatum</v>
      </c>
      <c r="M652" s="6" t="str">
        <f>VLOOKUP(L652, 'Alphabetical by species code'!B:C, 2, FALSE)</f>
        <v>Non-Native</v>
      </c>
    </row>
    <row r="653" spans="1:13" x14ac:dyDescent="0.25">
      <c r="A653" s="6">
        <v>7</v>
      </c>
      <c r="B653" s="6">
        <v>2025</v>
      </c>
      <c r="C653" s="7">
        <v>45764</v>
      </c>
      <c r="D653" s="6" t="s">
        <v>69</v>
      </c>
      <c r="E653" s="6" t="s">
        <v>26</v>
      </c>
      <c r="F653" s="6">
        <v>1</v>
      </c>
      <c r="G653" s="6" t="s">
        <v>66</v>
      </c>
      <c r="H653" s="6">
        <v>2</v>
      </c>
      <c r="I653" s="6">
        <v>8</v>
      </c>
      <c r="J653" s="6">
        <v>5</v>
      </c>
      <c r="K653" s="6" t="s">
        <v>37</v>
      </c>
      <c r="L653" s="6" t="str">
        <f>VLOOKUP(K653, 'Alphabetical by species code'!A:B, 2, FALSE)</f>
        <v>Sonchus oleraceus</v>
      </c>
      <c r="M653" s="6" t="str">
        <f>VLOOKUP(L653, 'Alphabetical by species code'!B:C, 2, FALSE)</f>
        <v>Non-Native</v>
      </c>
    </row>
    <row r="654" spans="1:13" x14ac:dyDescent="0.25">
      <c r="A654" s="6">
        <v>7</v>
      </c>
      <c r="B654" s="6">
        <v>2025</v>
      </c>
      <c r="C654" s="7">
        <v>45764</v>
      </c>
      <c r="D654" s="6" t="s">
        <v>69</v>
      </c>
      <c r="E654" s="6" t="s">
        <v>26</v>
      </c>
      <c r="F654" s="6">
        <v>1</v>
      </c>
      <c r="G654" s="6" t="s">
        <v>66</v>
      </c>
      <c r="H654" s="6">
        <v>2</v>
      </c>
      <c r="I654" s="6">
        <v>9</v>
      </c>
      <c r="J654" s="6">
        <v>7</v>
      </c>
      <c r="K654" s="6" t="s">
        <v>28</v>
      </c>
      <c r="L654" s="6" t="str">
        <f>VLOOKUP(K654, 'Alphabetical by species code'!A:B, 2, FALSE)</f>
        <v>Litter</v>
      </c>
      <c r="M654" s="6" t="str">
        <f>VLOOKUP(L654, 'Alphabetical by species code'!B:C, 2, FALSE)</f>
        <v>Ground Cover</v>
      </c>
    </row>
    <row r="655" spans="1:13" x14ac:dyDescent="0.25">
      <c r="A655" s="6">
        <v>7</v>
      </c>
      <c r="B655" s="6">
        <v>2025</v>
      </c>
      <c r="C655" s="7">
        <v>45764</v>
      </c>
      <c r="D655" s="6" t="s">
        <v>69</v>
      </c>
      <c r="E655" s="6" t="s">
        <v>26</v>
      </c>
      <c r="F655" s="6">
        <v>1</v>
      </c>
      <c r="G655" s="6" t="s">
        <v>66</v>
      </c>
      <c r="H655" s="6">
        <v>2</v>
      </c>
      <c r="I655" s="6">
        <v>9</v>
      </c>
      <c r="J655" s="6">
        <v>7</v>
      </c>
      <c r="K655" s="6" t="s">
        <v>42</v>
      </c>
      <c r="L655" s="6" t="str">
        <f>VLOOKUP(K655, 'Alphabetical by species code'!A:B, 2, FALSE)</f>
        <v>Centaurea melitensis</v>
      </c>
      <c r="M655" s="6" t="str">
        <f>VLOOKUP(L655, 'Alphabetical by species code'!B:C, 2, FALSE)</f>
        <v>Non-Native</v>
      </c>
    </row>
    <row r="656" spans="1:13" x14ac:dyDescent="0.25">
      <c r="A656" s="6">
        <v>7</v>
      </c>
      <c r="B656" s="6">
        <v>2025</v>
      </c>
      <c r="C656" s="7">
        <v>45764</v>
      </c>
      <c r="D656" s="6" t="s">
        <v>69</v>
      </c>
      <c r="E656" s="6" t="s">
        <v>26</v>
      </c>
      <c r="F656" s="6">
        <v>1</v>
      </c>
      <c r="G656" s="6" t="s">
        <v>66</v>
      </c>
      <c r="H656" s="6">
        <v>2</v>
      </c>
      <c r="I656" s="6">
        <v>9</v>
      </c>
      <c r="J656" s="6">
        <v>7</v>
      </c>
      <c r="K656" s="6" t="s">
        <v>43</v>
      </c>
      <c r="L656" s="6" t="str">
        <f>VLOOKUP(K656, 'Alphabetical by species code'!A:B, 2, FALSE)</f>
        <v>Uropappus lindleyi</v>
      </c>
      <c r="M656" s="6" t="str">
        <f>VLOOKUP(L656, 'Alphabetical by species code'!B:C, 2, FALSE)</f>
        <v>Native</v>
      </c>
    </row>
    <row r="657" spans="1:13" x14ac:dyDescent="0.25">
      <c r="A657" s="6">
        <v>7</v>
      </c>
      <c r="B657" s="6">
        <v>2025</v>
      </c>
      <c r="C657" s="7">
        <v>45764</v>
      </c>
      <c r="D657" s="6" t="s">
        <v>69</v>
      </c>
      <c r="E657" s="6" t="s">
        <v>26</v>
      </c>
      <c r="F657" s="6">
        <v>1</v>
      </c>
      <c r="G657" s="6" t="s">
        <v>66</v>
      </c>
      <c r="H657" s="6">
        <v>2</v>
      </c>
      <c r="I657" s="6">
        <v>9</v>
      </c>
      <c r="J657" s="6">
        <v>7</v>
      </c>
      <c r="K657" s="6" t="s">
        <v>30</v>
      </c>
      <c r="L657" s="6" t="str">
        <f>VLOOKUP(K657, 'Alphabetical by species code'!A:B, 2, FALSE)</f>
        <v>Erodium moschatum</v>
      </c>
      <c r="M657" s="6" t="str">
        <f>VLOOKUP(L657, 'Alphabetical by species code'!B:C, 2, FALSE)</f>
        <v>Non-Native</v>
      </c>
    </row>
    <row r="658" spans="1:13" x14ac:dyDescent="0.25">
      <c r="A658" s="6">
        <v>7</v>
      </c>
      <c r="B658" s="6">
        <v>2025</v>
      </c>
      <c r="C658" s="7">
        <v>45764</v>
      </c>
      <c r="D658" s="6" t="s">
        <v>69</v>
      </c>
      <c r="E658" s="6" t="s">
        <v>26</v>
      </c>
      <c r="F658" s="6">
        <v>1</v>
      </c>
      <c r="G658" s="6" t="s">
        <v>66</v>
      </c>
      <c r="H658" s="6">
        <v>2</v>
      </c>
      <c r="I658" s="6">
        <v>10</v>
      </c>
      <c r="J658" s="6">
        <v>8</v>
      </c>
      <c r="K658" s="6" t="s">
        <v>28</v>
      </c>
      <c r="L658" s="6" t="str">
        <f>VLOOKUP(K658, 'Alphabetical by species code'!A:B, 2, FALSE)</f>
        <v>Litter</v>
      </c>
      <c r="M658" s="6" t="str">
        <f>VLOOKUP(L658, 'Alphabetical by species code'!B:C, 2, FALSE)</f>
        <v>Ground Cover</v>
      </c>
    </row>
    <row r="659" spans="1:13" x14ac:dyDescent="0.25">
      <c r="A659" s="6">
        <v>7</v>
      </c>
      <c r="B659" s="6">
        <v>2025</v>
      </c>
      <c r="C659" s="7">
        <v>45764</v>
      </c>
      <c r="D659" s="6" t="s">
        <v>69</v>
      </c>
      <c r="E659" s="6" t="s">
        <v>26</v>
      </c>
      <c r="F659" s="6">
        <v>1</v>
      </c>
      <c r="G659" s="6" t="s">
        <v>66</v>
      </c>
      <c r="H659" s="6">
        <v>2</v>
      </c>
      <c r="I659" s="6">
        <v>10</v>
      </c>
      <c r="J659" s="6">
        <v>8</v>
      </c>
      <c r="K659" s="6" t="s">
        <v>30</v>
      </c>
      <c r="L659" s="6" t="str">
        <f>VLOOKUP(K659, 'Alphabetical by species code'!A:B, 2, FALSE)</f>
        <v>Erodium moschatum</v>
      </c>
      <c r="M659" s="6" t="str">
        <f>VLOOKUP(L659, 'Alphabetical by species code'!B:C, 2, FALSE)</f>
        <v>Non-Native</v>
      </c>
    </row>
    <row r="660" spans="1:13" x14ac:dyDescent="0.25">
      <c r="A660" s="6">
        <v>7</v>
      </c>
      <c r="B660" s="6">
        <v>2025</v>
      </c>
      <c r="C660" s="7">
        <v>45764</v>
      </c>
      <c r="D660" s="6" t="s">
        <v>69</v>
      </c>
      <c r="E660" s="6" t="s">
        <v>26</v>
      </c>
      <c r="F660" s="6">
        <v>1</v>
      </c>
      <c r="G660" s="6" t="s">
        <v>66</v>
      </c>
      <c r="H660" s="6">
        <v>2</v>
      </c>
      <c r="I660" s="6">
        <v>10</v>
      </c>
      <c r="J660" s="6">
        <v>8</v>
      </c>
      <c r="K660" s="6" t="s">
        <v>39</v>
      </c>
      <c r="L660" s="6" t="str">
        <f>VLOOKUP(K660, 'Alphabetical by species code'!A:B, 2, FALSE)</f>
        <v>Stephanomeria diegensis</v>
      </c>
      <c r="M660" s="6" t="str">
        <f>VLOOKUP(L660, 'Alphabetical by species code'!B:C, 2, FALSE)</f>
        <v>Native</v>
      </c>
    </row>
    <row r="661" spans="1:13" x14ac:dyDescent="0.25">
      <c r="A661" s="6">
        <v>7</v>
      </c>
      <c r="B661" s="6">
        <v>2025</v>
      </c>
      <c r="C661" s="7">
        <v>45764</v>
      </c>
      <c r="D661" s="6" t="s">
        <v>69</v>
      </c>
      <c r="E661" s="6" t="s">
        <v>26</v>
      </c>
      <c r="F661" s="6">
        <v>1</v>
      </c>
      <c r="G661" s="6" t="s">
        <v>66</v>
      </c>
      <c r="H661" s="6">
        <v>2</v>
      </c>
      <c r="I661" s="6">
        <v>11</v>
      </c>
      <c r="J661" s="6">
        <v>8.5</v>
      </c>
      <c r="K661" s="6" t="s">
        <v>28</v>
      </c>
      <c r="L661" s="6" t="str">
        <f>VLOOKUP(K661, 'Alphabetical by species code'!A:B, 2, FALSE)</f>
        <v>Litter</v>
      </c>
      <c r="M661" s="6" t="str">
        <f>VLOOKUP(L661, 'Alphabetical by species code'!B:C, 2, FALSE)</f>
        <v>Ground Cover</v>
      </c>
    </row>
    <row r="662" spans="1:13" x14ac:dyDescent="0.25">
      <c r="A662" s="6">
        <v>7</v>
      </c>
      <c r="B662" s="6">
        <v>2025</v>
      </c>
      <c r="C662" s="7">
        <v>45764</v>
      </c>
      <c r="D662" s="6" t="s">
        <v>69</v>
      </c>
      <c r="E662" s="6" t="s">
        <v>26</v>
      </c>
      <c r="F662" s="6">
        <v>1</v>
      </c>
      <c r="G662" s="6" t="s">
        <v>66</v>
      </c>
      <c r="H662" s="6">
        <v>2</v>
      </c>
      <c r="I662" s="6">
        <v>11</v>
      </c>
      <c r="J662" s="6">
        <v>8.5</v>
      </c>
      <c r="K662" s="6" t="s">
        <v>42</v>
      </c>
      <c r="L662" s="6" t="str">
        <f>VLOOKUP(K662, 'Alphabetical by species code'!A:B, 2, FALSE)</f>
        <v>Centaurea melitensis</v>
      </c>
      <c r="M662" s="6" t="str">
        <f>VLOOKUP(L662, 'Alphabetical by species code'!B:C, 2, FALSE)</f>
        <v>Non-Native</v>
      </c>
    </row>
    <row r="663" spans="1:13" x14ac:dyDescent="0.25">
      <c r="A663" s="6">
        <v>7</v>
      </c>
      <c r="B663" s="6">
        <v>2025</v>
      </c>
      <c r="C663" s="7">
        <v>45764</v>
      </c>
      <c r="D663" s="6" t="s">
        <v>69</v>
      </c>
      <c r="E663" s="6" t="s">
        <v>26</v>
      </c>
      <c r="F663" s="6">
        <v>1</v>
      </c>
      <c r="G663" s="6" t="s">
        <v>66</v>
      </c>
      <c r="H663" s="6">
        <v>2</v>
      </c>
      <c r="I663" s="6">
        <v>11</v>
      </c>
      <c r="J663" s="6">
        <v>8.5</v>
      </c>
      <c r="K663" s="6" t="s">
        <v>36</v>
      </c>
      <c r="L663" s="6" t="str">
        <f>VLOOKUP(K663, 'Alphabetical by species code'!A:B, 2, FALSE)</f>
        <v>Bromus madritensis</v>
      </c>
      <c r="M663" s="6" t="str">
        <f>VLOOKUP(L663, 'Alphabetical by species code'!B:C, 2, FALSE)</f>
        <v>Non-Native</v>
      </c>
    </row>
    <row r="664" spans="1:13" x14ac:dyDescent="0.25">
      <c r="A664" s="6">
        <v>7</v>
      </c>
      <c r="B664" s="6">
        <v>2025</v>
      </c>
      <c r="C664" s="7">
        <v>45764</v>
      </c>
      <c r="D664" s="6" t="s">
        <v>69</v>
      </c>
      <c r="E664" s="6" t="s">
        <v>26</v>
      </c>
      <c r="F664" s="6">
        <v>1</v>
      </c>
      <c r="G664" s="6" t="s">
        <v>66</v>
      </c>
      <c r="H664" s="6">
        <v>2</v>
      </c>
      <c r="I664" s="6">
        <v>12</v>
      </c>
      <c r="J664" s="6">
        <v>9</v>
      </c>
      <c r="K664" s="6" t="s">
        <v>28</v>
      </c>
      <c r="L664" s="6" t="str">
        <f>VLOOKUP(K664, 'Alphabetical by species code'!A:B, 2, FALSE)</f>
        <v>Litter</v>
      </c>
      <c r="M664" s="6" t="str">
        <f>VLOOKUP(L664, 'Alphabetical by species code'!B:C, 2, FALSE)</f>
        <v>Ground Cover</v>
      </c>
    </row>
    <row r="665" spans="1:13" x14ac:dyDescent="0.25">
      <c r="A665" s="6">
        <v>7</v>
      </c>
      <c r="B665" s="6">
        <v>2025</v>
      </c>
      <c r="C665" s="7">
        <v>45764</v>
      </c>
      <c r="D665" s="6" t="s">
        <v>69</v>
      </c>
      <c r="E665" s="6" t="s">
        <v>26</v>
      </c>
      <c r="F665" s="6">
        <v>1</v>
      </c>
      <c r="G665" s="6" t="s">
        <v>66</v>
      </c>
      <c r="H665" s="6">
        <v>2</v>
      </c>
      <c r="I665" s="6">
        <v>12</v>
      </c>
      <c r="J665" s="6">
        <v>9</v>
      </c>
      <c r="K665" s="6" t="s">
        <v>35</v>
      </c>
      <c r="L665" s="6" t="str">
        <f>VLOOKUP(K665, 'Alphabetical by species code'!A:B, 2, FALSE)</f>
        <v>Deinandra fasciculata</v>
      </c>
      <c r="M665" s="6" t="str">
        <f>VLOOKUP(L665, 'Alphabetical by species code'!B:C, 2, FALSE)</f>
        <v>Native</v>
      </c>
    </row>
    <row r="666" spans="1:13" x14ac:dyDescent="0.25">
      <c r="A666" s="6">
        <v>7</v>
      </c>
      <c r="B666" s="6">
        <v>2025</v>
      </c>
      <c r="C666" s="7">
        <v>45764</v>
      </c>
      <c r="D666" s="6" t="s">
        <v>69</v>
      </c>
      <c r="E666" s="6" t="s">
        <v>26</v>
      </c>
      <c r="F666" s="6">
        <v>1</v>
      </c>
      <c r="G666" s="6" t="s">
        <v>66</v>
      </c>
      <c r="H666" s="6">
        <v>2</v>
      </c>
      <c r="I666" s="6">
        <v>12</v>
      </c>
      <c r="J666" s="6">
        <v>9</v>
      </c>
      <c r="K666" s="6" t="s">
        <v>32</v>
      </c>
      <c r="L666" s="6" t="str">
        <f>VLOOKUP(K666, 'Alphabetical by species code'!A:B, 2, FALSE)</f>
        <v>Medicago polymorpha</v>
      </c>
      <c r="M666" s="6" t="str">
        <f>VLOOKUP(L666, 'Alphabetical by species code'!B:C, 2, FALSE)</f>
        <v>Non-Native</v>
      </c>
    </row>
    <row r="667" spans="1:13" x14ac:dyDescent="0.25">
      <c r="A667" s="6">
        <v>7</v>
      </c>
      <c r="B667" s="6">
        <v>2025</v>
      </c>
      <c r="C667" s="7">
        <v>45764</v>
      </c>
      <c r="D667" s="6" t="s">
        <v>69</v>
      </c>
      <c r="E667" s="6" t="s">
        <v>26</v>
      </c>
      <c r="F667" s="6">
        <v>1</v>
      </c>
      <c r="G667" s="6" t="s">
        <v>66</v>
      </c>
      <c r="H667" s="6">
        <v>2</v>
      </c>
      <c r="I667" s="6">
        <v>13</v>
      </c>
      <c r="J667" s="6">
        <v>10</v>
      </c>
      <c r="K667" s="6" t="s">
        <v>28</v>
      </c>
      <c r="L667" s="6" t="str">
        <f>VLOOKUP(K667, 'Alphabetical by species code'!A:B, 2, FALSE)</f>
        <v>Litter</v>
      </c>
      <c r="M667" s="6" t="str">
        <f>VLOOKUP(L667, 'Alphabetical by species code'!B:C, 2, FALSE)</f>
        <v>Ground Cover</v>
      </c>
    </row>
    <row r="668" spans="1:13" x14ac:dyDescent="0.25">
      <c r="A668" s="6">
        <v>7</v>
      </c>
      <c r="B668" s="6">
        <v>2025</v>
      </c>
      <c r="C668" s="7">
        <v>45764</v>
      </c>
      <c r="D668" s="6" t="s">
        <v>69</v>
      </c>
      <c r="E668" s="6" t="s">
        <v>26</v>
      </c>
      <c r="F668" s="6">
        <v>1</v>
      </c>
      <c r="G668" s="6" t="s">
        <v>66</v>
      </c>
      <c r="H668" s="6">
        <v>2</v>
      </c>
      <c r="I668" s="6">
        <v>14</v>
      </c>
      <c r="J668" s="6">
        <v>11</v>
      </c>
      <c r="K668" s="6" t="s">
        <v>28</v>
      </c>
      <c r="L668" s="6" t="str">
        <f>VLOOKUP(K668, 'Alphabetical by species code'!A:B, 2, FALSE)</f>
        <v>Litter</v>
      </c>
      <c r="M668" s="6" t="str">
        <f>VLOOKUP(L668, 'Alphabetical by species code'!B:C, 2, FALSE)</f>
        <v>Ground Cover</v>
      </c>
    </row>
    <row r="669" spans="1:13" x14ac:dyDescent="0.25">
      <c r="A669" s="6">
        <v>7</v>
      </c>
      <c r="B669" s="6">
        <v>2025</v>
      </c>
      <c r="C669" s="7">
        <v>45764</v>
      </c>
      <c r="D669" s="6" t="s">
        <v>69</v>
      </c>
      <c r="E669" s="6" t="s">
        <v>26</v>
      </c>
      <c r="F669" s="6">
        <v>1</v>
      </c>
      <c r="G669" s="6" t="s">
        <v>66</v>
      </c>
      <c r="H669" s="6">
        <v>2</v>
      </c>
      <c r="I669" s="6">
        <v>14</v>
      </c>
      <c r="J669" s="6">
        <v>11</v>
      </c>
      <c r="K669" s="6" t="s">
        <v>35</v>
      </c>
      <c r="L669" s="6" t="str">
        <f>VLOOKUP(K669, 'Alphabetical by species code'!A:B, 2, FALSE)</f>
        <v>Deinandra fasciculata</v>
      </c>
      <c r="M669" s="6" t="str">
        <f>VLOOKUP(L669, 'Alphabetical by species code'!B:C, 2, FALSE)</f>
        <v>Native</v>
      </c>
    </row>
    <row r="670" spans="1:13" x14ac:dyDescent="0.25">
      <c r="A670" s="6">
        <v>7</v>
      </c>
      <c r="B670" s="6">
        <v>2025</v>
      </c>
      <c r="C670" s="7">
        <v>45764</v>
      </c>
      <c r="D670" s="6" t="s">
        <v>69</v>
      </c>
      <c r="E670" s="6" t="s">
        <v>26</v>
      </c>
      <c r="F670" s="6">
        <v>1</v>
      </c>
      <c r="G670" s="6" t="s">
        <v>66</v>
      </c>
      <c r="H670" s="6">
        <v>2</v>
      </c>
      <c r="I670" s="6">
        <v>14</v>
      </c>
      <c r="J670" s="6">
        <v>11</v>
      </c>
      <c r="K670" s="6" t="s">
        <v>32</v>
      </c>
      <c r="L670" s="6" t="str">
        <f>VLOOKUP(K670, 'Alphabetical by species code'!A:B, 2, FALSE)</f>
        <v>Medicago polymorpha</v>
      </c>
      <c r="M670" s="6" t="str">
        <f>VLOOKUP(L670, 'Alphabetical by species code'!B:C, 2, FALSE)</f>
        <v>Non-Native</v>
      </c>
    </row>
    <row r="671" spans="1:13" x14ac:dyDescent="0.25">
      <c r="A671" s="6">
        <v>7</v>
      </c>
      <c r="B671" s="6">
        <v>2025</v>
      </c>
      <c r="C671" s="7">
        <v>45764</v>
      </c>
      <c r="D671" s="6" t="s">
        <v>69</v>
      </c>
      <c r="E671" s="6" t="s">
        <v>26</v>
      </c>
      <c r="F671" s="6">
        <v>1</v>
      </c>
      <c r="G671" s="6" t="s">
        <v>66</v>
      </c>
      <c r="H671" s="6">
        <v>2</v>
      </c>
      <c r="I671" s="6">
        <v>14</v>
      </c>
      <c r="J671" s="6">
        <v>11</v>
      </c>
      <c r="K671" s="6" t="s">
        <v>43</v>
      </c>
      <c r="L671" s="6" t="str">
        <f>VLOOKUP(K671, 'Alphabetical by species code'!A:B, 2, FALSE)</f>
        <v>Uropappus lindleyi</v>
      </c>
      <c r="M671" s="6" t="str">
        <f>VLOOKUP(L671, 'Alphabetical by species code'!B:C, 2, FALSE)</f>
        <v>Native</v>
      </c>
    </row>
    <row r="672" spans="1:13" x14ac:dyDescent="0.25">
      <c r="A672" s="6">
        <v>7</v>
      </c>
      <c r="B672" s="6">
        <v>2025</v>
      </c>
      <c r="C672" s="7">
        <v>45764</v>
      </c>
      <c r="D672" s="6" t="s">
        <v>69</v>
      </c>
      <c r="E672" s="6" t="s">
        <v>26</v>
      </c>
      <c r="F672" s="6">
        <v>1</v>
      </c>
      <c r="G672" s="6" t="s">
        <v>66</v>
      </c>
      <c r="H672" s="6">
        <v>2</v>
      </c>
      <c r="I672" s="6">
        <v>15</v>
      </c>
      <c r="J672" s="6">
        <v>12</v>
      </c>
      <c r="K672" s="6" t="s">
        <v>28</v>
      </c>
      <c r="L672" s="6" t="str">
        <f>VLOOKUP(K672, 'Alphabetical by species code'!A:B, 2, FALSE)</f>
        <v>Litter</v>
      </c>
      <c r="M672" s="6" t="str">
        <f>VLOOKUP(L672, 'Alphabetical by species code'!B:C, 2, FALSE)</f>
        <v>Ground Cover</v>
      </c>
    </row>
    <row r="673" spans="1:13" x14ac:dyDescent="0.25">
      <c r="A673" s="6">
        <v>7</v>
      </c>
      <c r="B673" s="6">
        <v>2025</v>
      </c>
      <c r="C673" s="7">
        <v>45764</v>
      </c>
      <c r="D673" s="6" t="s">
        <v>69</v>
      </c>
      <c r="E673" s="6" t="s">
        <v>26</v>
      </c>
      <c r="F673" s="6">
        <v>1</v>
      </c>
      <c r="G673" s="6" t="s">
        <v>66</v>
      </c>
      <c r="H673" s="6">
        <v>2</v>
      </c>
      <c r="I673" s="6">
        <v>15</v>
      </c>
      <c r="J673" s="6">
        <v>12</v>
      </c>
      <c r="K673" s="6" t="s">
        <v>42</v>
      </c>
      <c r="L673" s="6" t="str">
        <f>VLOOKUP(K673, 'Alphabetical by species code'!A:B, 2, FALSE)</f>
        <v>Centaurea melitensis</v>
      </c>
      <c r="M673" s="6" t="str">
        <f>VLOOKUP(L673, 'Alphabetical by species code'!B:C, 2, FALSE)</f>
        <v>Non-Native</v>
      </c>
    </row>
    <row r="674" spans="1:13" x14ac:dyDescent="0.25">
      <c r="A674" s="6">
        <v>7</v>
      </c>
      <c r="B674" s="6">
        <v>2025</v>
      </c>
      <c r="C674" s="7">
        <v>45764</v>
      </c>
      <c r="D674" s="6" t="s">
        <v>69</v>
      </c>
      <c r="E674" s="6" t="s">
        <v>26</v>
      </c>
      <c r="F674" s="6">
        <v>1</v>
      </c>
      <c r="G674" s="6" t="s">
        <v>66</v>
      </c>
      <c r="H674" s="6">
        <v>2</v>
      </c>
      <c r="I674" s="6">
        <v>15</v>
      </c>
      <c r="J674" s="6">
        <v>12</v>
      </c>
      <c r="K674" s="6" t="s">
        <v>31</v>
      </c>
      <c r="L674" s="6" t="str">
        <f>VLOOKUP(K674, 'Alphabetical by species code'!A:B, 2, FALSE)</f>
        <v>Festuca myuros</v>
      </c>
      <c r="M674" s="6" t="str">
        <f>VLOOKUP(L674, 'Alphabetical by species code'!B:C, 2, FALSE)</f>
        <v>Non-Native</v>
      </c>
    </row>
    <row r="675" spans="1:13" x14ac:dyDescent="0.25">
      <c r="A675" s="6">
        <v>7</v>
      </c>
      <c r="B675" s="6">
        <v>2025</v>
      </c>
      <c r="C675" s="7">
        <v>45764</v>
      </c>
      <c r="D675" s="6" t="s">
        <v>69</v>
      </c>
      <c r="E675" s="6" t="s">
        <v>26</v>
      </c>
      <c r="F675" s="6">
        <v>1</v>
      </c>
      <c r="G675" s="6" t="s">
        <v>66</v>
      </c>
      <c r="H675" s="6">
        <v>2</v>
      </c>
      <c r="I675" s="6">
        <v>15</v>
      </c>
      <c r="J675" s="6">
        <v>12</v>
      </c>
      <c r="K675" s="6" t="s">
        <v>71</v>
      </c>
      <c r="L675" s="6" t="str">
        <f>VLOOKUP(K675, 'Alphabetical by species code'!A:B, 2, FALSE)</f>
        <v>Lasthenia californica</v>
      </c>
      <c r="M675" s="6" t="str">
        <f>VLOOKUP(L675, 'Alphabetical by species code'!B:C, 2, FALSE)</f>
        <v>Native</v>
      </c>
    </row>
    <row r="676" spans="1:13" x14ac:dyDescent="0.25">
      <c r="A676" s="6">
        <v>7</v>
      </c>
      <c r="B676" s="6">
        <v>2025</v>
      </c>
      <c r="C676" s="7">
        <v>45764</v>
      </c>
      <c r="D676" s="6" t="s">
        <v>69</v>
      </c>
      <c r="E676" s="6" t="s">
        <v>26</v>
      </c>
      <c r="F676" s="6">
        <v>1</v>
      </c>
      <c r="G676" s="6" t="s">
        <v>66</v>
      </c>
      <c r="H676" s="6">
        <v>2</v>
      </c>
      <c r="I676" s="6">
        <v>15</v>
      </c>
      <c r="J676" s="6">
        <v>12</v>
      </c>
      <c r="K676" s="6" t="s">
        <v>30</v>
      </c>
      <c r="L676" s="6" t="str">
        <f>VLOOKUP(K676, 'Alphabetical by species code'!A:B, 2, FALSE)</f>
        <v>Erodium moschatum</v>
      </c>
      <c r="M676" s="6" t="str">
        <f>VLOOKUP(L676, 'Alphabetical by species code'!B:C, 2, FALSE)</f>
        <v>Non-Native</v>
      </c>
    </row>
    <row r="677" spans="1:13" x14ac:dyDescent="0.25">
      <c r="A677" s="6">
        <v>8</v>
      </c>
      <c r="B677" s="6">
        <v>2025</v>
      </c>
      <c r="C677" s="7">
        <v>45764</v>
      </c>
      <c r="D677" s="6" t="s">
        <v>72</v>
      </c>
      <c r="E677" s="6" t="s">
        <v>26</v>
      </c>
      <c r="F677" s="6">
        <v>1</v>
      </c>
      <c r="G677" s="6" t="s">
        <v>63</v>
      </c>
      <c r="H677" s="6">
        <v>1</v>
      </c>
      <c r="I677" s="6">
        <v>1</v>
      </c>
      <c r="J677" s="6">
        <v>0</v>
      </c>
      <c r="K677" s="6" t="s">
        <v>28</v>
      </c>
      <c r="L677" s="6" t="str">
        <f>VLOOKUP(K677, 'Alphabetical by species code'!A:B, 2, FALSE)</f>
        <v>Litter</v>
      </c>
      <c r="M677" s="6" t="str">
        <f>VLOOKUP(L677, 'Alphabetical by species code'!B:C, 2, FALSE)</f>
        <v>Ground Cover</v>
      </c>
    </row>
    <row r="678" spans="1:13" x14ac:dyDescent="0.25">
      <c r="A678" s="6">
        <v>8</v>
      </c>
      <c r="B678" s="6">
        <v>2025</v>
      </c>
      <c r="C678" s="7">
        <v>45764</v>
      </c>
      <c r="D678" s="6" t="s">
        <v>72</v>
      </c>
      <c r="E678" s="6" t="s">
        <v>26</v>
      </c>
      <c r="F678" s="6">
        <v>1</v>
      </c>
      <c r="G678" s="6" t="s">
        <v>63</v>
      </c>
      <c r="H678" s="6">
        <v>1</v>
      </c>
      <c r="I678" s="6">
        <v>1</v>
      </c>
      <c r="J678" s="6">
        <v>0</v>
      </c>
      <c r="K678" s="6" t="s">
        <v>42</v>
      </c>
      <c r="L678" s="6" t="str">
        <f>VLOOKUP(K678, 'Alphabetical by species code'!A:B, 2, FALSE)</f>
        <v>Centaurea melitensis</v>
      </c>
      <c r="M678" s="6" t="str">
        <f>VLOOKUP(L678, 'Alphabetical by species code'!B:C, 2, FALSE)</f>
        <v>Non-Native</v>
      </c>
    </row>
    <row r="679" spans="1:13" x14ac:dyDescent="0.25">
      <c r="A679" s="6">
        <v>8</v>
      </c>
      <c r="B679" s="6">
        <v>2025</v>
      </c>
      <c r="C679" s="7">
        <v>45764</v>
      </c>
      <c r="D679" s="6" t="s">
        <v>72</v>
      </c>
      <c r="E679" s="6" t="s">
        <v>26</v>
      </c>
      <c r="F679" s="6">
        <v>1</v>
      </c>
      <c r="G679" s="6" t="s">
        <v>63</v>
      </c>
      <c r="H679" s="6">
        <v>1</v>
      </c>
      <c r="I679" s="6">
        <v>1</v>
      </c>
      <c r="J679" s="6">
        <v>0</v>
      </c>
      <c r="K679" s="6" t="s">
        <v>31</v>
      </c>
      <c r="L679" s="6" t="str">
        <f>VLOOKUP(K679, 'Alphabetical by species code'!A:B, 2, FALSE)</f>
        <v>Festuca myuros</v>
      </c>
      <c r="M679" s="6" t="str">
        <f>VLOOKUP(L679, 'Alphabetical by species code'!B:C, 2, FALSE)</f>
        <v>Non-Native</v>
      </c>
    </row>
    <row r="680" spans="1:13" x14ac:dyDescent="0.25">
      <c r="A680" s="6">
        <v>8</v>
      </c>
      <c r="B680" s="6">
        <v>2025</v>
      </c>
      <c r="C680" s="7">
        <v>45764</v>
      </c>
      <c r="D680" s="6" t="s">
        <v>72</v>
      </c>
      <c r="E680" s="6" t="s">
        <v>26</v>
      </c>
      <c r="F680" s="6">
        <v>1</v>
      </c>
      <c r="G680" s="6" t="s">
        <v>63</v>
      </c>
      <c r="H680" s="6">
        <v>1</v>
      </c>
      <c r="I680" s="6">
        <v>1</v>
      </c>
      <c r="J680" s="6">
        <v>0</v>
      </c>
      <c r="K680" s="6" t="s">
        <v>35</v>
      </c>
      <c r="L680" s="6" t="str">
        <f>VLOOKUP(K680, 'Alphabetical by species code'!A:B, 2, FALSE)</f>
        <v>Deinandra fasciculata</v>
      </c>
      <c r="M680" s="6" t="str">
        <f>VLOOKUP(L680, 'Alphabetical by species code'!B:C, 2, FALSE)</f>
        <v>Native</v>
      </c>
    </row>
    <row r="681" spans="1:13" x14ac:dyDescent="0.25">
      <c r="A681" s="6">
        <v>8</v>
      </c>
      <c r="B681" s="6">
        <v>2025</v>
      </c>
      <c r="C681" s="7">
        <v>45764</v>
      </c>
      <c r="D681" s="6" t="s">
        <v>72</v>
      </c>
      <c r="E681" s="6" t="s">
        <v>26</v>
      </c>
      <c r="F681" s="6">
        <v>1</v>
      </c>
      <c r="G681" s="6" t="s">
        <v>63</v>
      </c>
      <c r="H681" s="6">
        <v>1</v>
      </c>
      <c r="I681" s="6">
        <v>1</v>
      </c>
      <c r="J681" s="6">
        <v>0</v>
      </c>
      <c r="K681" s="6" t="s">
        <v>48</v>
      </c>
      <c r="L681" s="6" t="str">
        <f>VLOOKUP(K681, 'Alphabetical by species code'!A:B, 2, FALSE)</f>
        <v>Sonchus asper</v>
      </c>
      <c r="M681" s="6" t="str">
        <f>VLOOKUP(L681, 'Alphabetical by species code'!B:C, 2, FALSE)</f>
        <v>Non-Native</v>
      </c>
    </row>
    <row r="682" spans="1:13" x14ac:dyDescent="0.25">
      <c r="A682" s="6">
        <v>8</v>
      </c>
      <c r="B682" s="6">
        <v>2025</v>
      </c>
      <c r="C682" s="7">
        <v>45764</v>
      </c>
      <c r="D682" s="6" t="s">
        <v>72</v>
      </c>
      <c r="E682" s="6" t="s">
        <v>26</v>
      </c>
      <c r="F682" s="6">
        <v>1</v>
      </c>
      <c r="G682" s="6" t="s">
        <v>63</v>
      </c>
      <c r="H682" s="6">
        <v>1</v>
      </c>
      <c r="I682" s="6">
        <v>2</v>
      </c>
      <c r="J682" s="6">
        <v>1</v>
      </c>
      <c r="K682" s="6" t="s">
        <v>28</v>
      </c>
      <c r="L682" s="6" t="str">
        <f>VLOOKUP(K682, 'Alphabetical by species code'!A:B, 2, FALSE)</f>
        <v>Litter</v>
      </c>
      <c r="M682" s="6" t="str">
        <f>VLOOKUP(L682, 'Alphabetical by species code'!B:C, 2, FALSE)</f>
        <v>Ground Cover</v>
      </c>
    </row>
    <row r="683" spans="1:13" x14ac:dyDescent="0.25">
      <c r="A683" s="6">
        <v>8</v>
      </c>
      <c r="B683" s="6">
        <v>2025</v>
      </c>
      <c r="C683" s="7">
        <v>45764</v>
      </c>
      <c r="D683" s="6" t="s">
        <v>72</v>
      </c>
      <c r="E683" s="6" t="s">
        <v>26</v>
      </c>
      <c r="F683" s="6">
        <v>1</v>
      </c>
      <c r="G683" s="6" t="s">
        <v>63</v>
      </c>
      <c r="H683" s="6">
        <v>1</v>
      </c>
      <c r="I683" s="6">
        <v>2</v>
      </c>
      <c r="J683" s="6">
        <v>1</v>
      </c>
      <c r="K683" s="6" t="s">
        <v>32</v>
      </c>
      <c r="L683" s="6" t="str">
        <f>VLOOKUP(K683, 'Alphabetical by species code'!A:B, 2, FALSE)</f>
        <v>Medicago polymorpha</v>
      </c>
      <c r="M683" s="6" t="str">
        <f>VLOOKUP(L683, 'Alphabetical by species code'!B:C, 2, FALSE)</f>
        <v>Non-Native</v>
      </c>
    </row>
    <row r="684" spans="1:13" x14ac:dyDescent="0.25">
      <c r="A684" s="6">
        <v>8</v>
      </c>
      <c r="B684" s="6">
        <v>2025</v>
      </c>
      <c r="C684" s="7">
        <v>45764</v>
      </c>
      <c r="D684" s="6" t="s">
        <v>72</v>
      </c>
      <c r="E684" s="6" t="s">
        <v>26</v>
      </c>
      <c r="F684" s="6">
        <v>1</v>
      </c>
      <c r="G684" s="6" t="s">
        <v>63</v>
      </c>
      <c r="H684" s="6">
        <v>1</v>
      </c>
      <c r="I684" s="6">
        <v>2</v>
      </c>
      <c r="J684" s="6">
        <v>1</v>
      </c>
      <c r="K684" s="6" t="s">
        <v>42</v>
      </c>
      <c r="L684" s="6" t="str">
        <f>VLOOKUP(K684, 'Alphabetical by species code'!A:B, 2, FALSE)</f>
        <v>Centaurea melitensis</v>
      </c>
      <c r="M684" s="6" t="str">
        <f>VLOOKUP(L684, 'Alphabetical by species code'!B:C, 2, FALSE)</f>
        <v>Non-Native</v>
      </c>
    </row>
    <row r="685" spans="1:13" x14ac:dyDescent="0.25">
      <c r="A685" s="6">
        <v>8</v>
      </c>
      <c r="B685" s="6">
        <v>2025</v>
      </c>
      <c r="C685" s="7">
        <v>45764</v>
      </c>
      <c r="D685" s="6" t="s">
        <v>72</v>
      </c>
      <c r="E685" s="6" t="s">
        <v>26</v>
      </c>
      <c r="F685" s="6">
        <v>1</v>
      </c>
      <c r="G685" s="6" t="s">
        <v>63</v>
      </c>
      <c r="H685" s="6">
        <v>1</v>
      </c>
      <c r="I685" s="6">
        <v>3</v>
      </c>
      <c r="J685" s="6">
        <v>1.5</v>
      </c>
      <c r="K685" s="6" t="s">
        <v>28</v>
      </c>
      <c r="L685" s="6" t="str">
        <f>VLOOKUP(K685, 'Alphabetical by species code'!A:B, 2, FALSE)</f>
        <v>Litter</v>
      </c>
      <c r="M685" s="6" t="str">
        <f>VLOOKUP(L685, 'Alphabetical by species code'!B:C, 2, FALSE)</f>
        <v>Ground Cover</v>
      </c>
    </row>
    <row r="686" spans="1:13" x14ac:dyDescent="0.25">
      <c r="A686" s="6">
        <v>8</v>
      </c>
      <c r="B686" s="6">
        <v>2025</v>
      </c>
      <c r="C686" s="7">
        <v>45764</v>
      </c>
      <c r="D686" s="6" t="s">
        <v>72</v>
      </c>
      <c r="E686" s="6" t="s">
        <v>26</v>
      </c>
      <c r="F686" s="6">
        <v>1</v>
      </c>
      <c r="G686" s="6" t="s">
        <v>63</v>
      </c>
      <c r="H686" s="6">
        <v>1</v>
      </c>
      <c r="I686" s="6">
        <v>3</v>
      </c>
      <c r="J686" s="6">
        <v>1.5</v>
      </c>
      <c r="K686" s="6" t="s">
        <v>30</v>
      </c>
      <c r="L686" s="6" t="str">
        <f>VLOOKUP(K686, 'Alphabetical by species code'!A:B, 2, FALSE)</f>
        <v>Erodium moschatum</v>
      </c>
      <c r="M686" s="6" t="str">
        <f>VLOOKUP(L686, 'Alphabetical by species code'!B:C, 2, FALSE)</f>
        <v>Non-Native</v>
      </c>
    </row>
    <row r="687" spans="1:13" x14ac:dyDescent="0.25">
      <c r="A687" s="6">
        <v>8</v>
      </c>
      <c r="B687" s="6">
        <v>2025</v>
      </c>
      <c r="C687" s="7">
        <v>45764</v>
      </c>
      <c r="D687" s="6" t="s">
        <v>72</v>
      </c>
      <c r="E687" s="6" t="s">
        <v>26</v>
      </c>
      <c r="F687" s="6">
        <v>1</v>
      </c>
      <c r="G687" s="6" t="s">
        <v>63</v>
      </c>
      <c r="H687" s="6">
        <v>1</v>
      </c>
      <c r="I687" s="6">
        <v>4</v>
      </c>
      <c r="J687" s="6">
        <v>2</v>
      </c>
      <c r="K687" s="6" t="s">
        <v>28</v>
      </c>
      <c r="L687" s="6" t="str">
        <f>VLOOKUP(K687, 'Alphabetical by species code'!A:B, 2, FALSE)</f>
        <v>Litter</v>
      </c>
      <c r="M687" s="6" t="str">
        <f>VLOOKUP(L687, 'Alphabetical by species code'!B:C, 2, FALSE)</f>
        <v>Ground Cover</v>
      </c>
    </row>
    <row r="688" spans="1:13" x14ac:dyDescent="0.25">
      <c r="A688" s="6">
        <v>8</v>
      </c>
      <c r="B688" s="6">
        <v>2025</v>
      </c>
      <c r="C688" s="7">
        <v>45764</v>
      </c>
      <c r="D688" s="6" t="s">
        <v>72</v>
      </c>
      <c r="E688" s="6" t="s">
        <v>26</v>
      </c>
      <c r="F688" s="6">
        <v>1</v>
      </c>
      <c r="G688" s="6" t="s">
        <v>63</v>
      </c>
      <c r="H688" s="6">
        <v>1</v>
      </c>
      <c r="I688" s="6">
        <v>4</v>
      </c>
      <c r="J688" s="6">
        <v>2</v>
      </c>
      <c r="K688" s="6" t="s">
        <v>35</v>
      </c>
      <c r="L688" s="6" t="str">
        <f>VLOOKUP(K688, 'Alphabetical by species code'!A:B, 2, FALSE)</f>
        <v>Deinandra fasciculata</v>
      </c>
      <c r="M688" s="6" t="str">
        <f>VLOOKUP(L688, 'Alphabetical by species code'!B:C, 2, FALSE)</f>
        <v>Native</v>
      </c>
    </row>
    <row r="689" spans="1:13" x14ac:dyDescent="0.25">
      <c r="A689" s="6">
        <v>8</v>
      </c>
      <c r="B689" s="6">
        <v>2025</v>
      </c>
      <c r="C689" s="7">
        <v>45764</v>
      </c>
      <c r="D689" s="6" t="s">
        <v>72</v>
      </c>
      <c r="E689" s="6" t="s">
        <v>26</v>
      </c>
      <c r="F689" s="6">
        <v>1</v>
      </c>
      <c r="G689" s="6" t="s">
        <v>63</v>
      </c>
      <c r="H689" s="6">
        <v>1</v>
      </c>
      <c r="I689" s="6">
        <v>5</v>
      </c>
      <c r="J689" s="6">
        <v>3</v>
      </c>
      <c r="K689" s="6" t="s">
        <v>28</v>
      </c>
      <c r="L689" s="6" t="str">
        <f>VLOOKUP(K689, 'Alphabetical by species code'!A:B, 2, FALSE)</f>
        <v>Litter</v>
      </c>
      <c r="M689" s="6" t="str">
        <f>VLOOKUP(L689, 'Alphabetical by species code'!B:C, 2, FALSE)</f>
        <v>Ground Cover</v>
      </c>
    </row>
    <row r="690" spans="1:13" x14ac:dyDescent="0.25">
      <c r="A690" s="6">
        <v>8</v>
      </c>
      <c r="B690" s="6">
        <v>2025</v>
      </c>
      <c r="C690" s="7">
        <v>45764</v>
      </c>
      <c r="D690" s="6" t="s">
        <v>72</v>
      </c>
      <c r="E690" s="6" t="s">
        <v>26</v>
      </c>
      <c r="F690" s="6">
        <v>1</v>
      </c>
      <c r="G690" s="6" t="s">
        <v>63</v>
      </c>
      <c r="H690" s="6">
        <v>1</v>
      </c>
      <c r="I690" s="6">
        <v>6</v>
      </c>
      <c r="J690" s="6">
        <v>3.5</v>
      </c>
      <c r="K690" s="6" t="s">
        <v>28</v>
      </c>
      <c r="L690" s="6" t="str">
        <f>VLOOKUP(K690, 'Alphabetical by species code'!A:B, 2, FALSE)</f>
        <v>Litter</v>
      </c>
      <c r="M690" s="6" t="str">
        <f>VLOOKUP(L690, 'Alphabetical by species code'!B:C, 2, FALSE)</f>
        <v>Ground Cover</v>
      </c>
    </row>
    <row r="691" spans="1:13" x14ac:dyDescent="0.25">
      <c r="A691" s="6">
        <v>8</v>
      </c>
      <c r="B691" s="6">
        <v>2025</v>
      </c>
      <c r="C691" s="7">
        <v>45764</v>
      </c>
      <c r="D691" s="6" t="s">
        <v>72</v>
      </c>
      <c r="E691" s="6" t="s">
        <v>26</v>
      </c>
      <c r="F691" s="6">
        <v>1</v>
      </c>
      <c r="G691" s="6" t="s">
        <v>63</v>
      </c>
      <c r="H691" s="6">
        <v>1</v>
      </c>
      <c r="I691" s="6">
        <v>6</v>
      </c>
      <c r="J691" s="6">
        <v>3.5</v>
      </c>
      <c r="K691" s="6" t="s">
        <v>32</v>
      </c>
      <c r="L691" s="6" t="str">
        <f>VLOOKUP(K691, 'Alphabetical by species code'!A:B, 2, FALSE)</f>
        <v>Medicago polymorpha</v>
      </c>
      <c r="M691" s="6" t="str">
        <f>VLOOKUP(L691, 'Alphabetical by species code'!B:C, 2, FALSE)</f>
        <v>Non-Native</v>
      </c>
    </row>
    <row r="692" spans="1:13" x14ac:dyDescent="0.25">
      <c r="A692" s="6">
        <v>8</v>
      </c>
      <c r="B692" s="6">
        <v>2025</v>
      </c>
      <c r="C692" s="7">
        <v>45764</v>
      </c>
      <c r="D692" s="6" t="s">
        <v>72</v>
      </c>
      <c r="E692" s="6" t="s">
        <v>26</v>
      </c>
      <c r="F692" s="6">
        <v>1</v>
      </c>
      <c r="G692" s="6" t="s">
        <v>63</v>
      </c>
      <c r="H692" s="6">
        <v>1</v>
      </c>
      <c r="I692" s="6">
        <v>6</v>
      </c>
      <c r="J692" s="6">
        <v>3.5</v>
      </c>
      <c r="K692" s="6" t="s">
        <v>30</v>
      </c>
      <c r="L692" s="6" t="str">
        <f>VLOOKUP(K692, 'Alphabetical by species code'!A:B, 2, FALSE)</f>
        <v>Erodium moschatum</v>
      </c>
      <c r="M692" s="6" t="str">
        <f>VLOOKUP(L692, 'Alphabetical by species code'!B:C, 2, FALSE)</f>
        <v>Non-Native</v>
      </c>
    </row>
    <row r="693" spans="1:13" x14ac:dyDescent="0.25">
      <c r="A693" s="6">
        <v>8</v>
      </c>
      <c r="B693" s="6">
        <v>2025</v>
      </c>
      <c r="C693" s="7">
        <v>45764</v>
      </c>
      <c r="D693" s="6" t="s">
        <v>72</v>
      </c>
      <c r="E693" s="6" t="s">
        <v>26</v>
      </c>
      <c r="F693" s="6">
        <v>1</v>
      </c>
      <c r="G693" s="6" t="s">
        <v>63</v>
      </c>
      <c r="H693" s="6">
        <v>1</v>
      </c>
      <c r="I693" s="6">
        <v>6</v>
      </c>
      <c r="J693" s="6">
        <v>3.5</v>
      </c>
      <c r="K693" s="6" t="s">
        <v>35</v>
      </c>
      <c r="L693" s="6" t="str">
        <f>VLOOKUP(K693, 'Alphabetical by species code'!A:B, 2, FALSE)</f>
        <v>Deinandra fasciculata</v>
      </c>
      <c r="M693" s="6" t="str">
        <f>VLOOKUP(L693, 'Alphabetical by species code'!B:C, 2, FALSE)</f>
        <v>Native</v>
      </c>
    </row>
    <row r="694" spans="1:13" x14ac:dyDescent="0.25">
      <c r="A694" s="6">
        <v>8</v>
      </c>
      <c r="B694" s="6">
        <v>2025</v>
      </c>
      <c r="C694" s="7">
        <v>45764</v>
      </c>
      <c r="D694" s="6" t="s">
        <v>72</v>
      </c>
      <c r="E694" s="6" t="s">
        <v>26</v>
      </c>
      <c r="F694" s="6">
        <v>1</v>
      </c>
      <c r="G694" s="6" t="s">
        <v>63</v>
      </c>
      <c r="H694" s="6">
        <v>1</v>
      </c>
      <c r="I694" s="6">
        <v>7</v>
      </c>
      <c r="J694" s="6">
        <v>4</v>
      </c>
      <c r="K694" s="6" t="s">
        <v>28</v>
      </c>
      <c r="L694" s="6" t="str">
        <f>VLOOKUP(K694, 'Alphabetical by species code'!A:B, 2, FALSE)</f>
        <v>Litter</v>
      </c>
      <c r="M694" s="6" t="str">
        <f>VLOOKUP(L694, 'Alphabetical by species code'!B:C, 2, FALSE)</f>
        <v>Ground Cover</v>
      </c>
    </row>
    <row r="695" spans="1:13" x14ac:dyDescent="0.25">
      <c r="A695" s="6">
        <v>8</v>
      </c>
      <c r="B695" s="6">
        <v>2025</v>
      </c>
      <c r="C695" s="7">
        <v>45764</v>
      </c>
      <c r="D695" s="6" t="s">
        <v>72</v>
      </c>
      <c r="E695" s="6" t="s">
        <v>26</v>
      </c>
      <c r="F695" s="6">
        <v>1</v>
      </c>
      <c r="G695" s="6" t="s">
        <v>63</v>
      </c>
      <c r="H695" s="6">
        <v>1</v>
      </c>
      <c r="I695" s="6">
        <v>7</v>
      </c>
      <c r="J695" s="6">
        <v>4</v>
      </c>
      <c r="K695" s="6" t="s">
        <v>30</v>
      </c>
      <c r="L695" s="6" t="str">
        <f>VLOOKUP(K695, 'Alphabetical by species code'!A:B, 2, FALSE)</f>
        <v>Erodium moschatum</v>
      </c>
      <c r="M695" s="6" t="str">
        <f>VLOOKUP(L695, 'Alphabetical by species code'!B:C, 2, FALSE)</f>
        <v>Non-Native</v>
      </c>
    </row>
    <row r="696" spans="1:13" x14ac:dyDescent="0.25">
      <c r="A696" s="6">
        <v>8</v>
      </c>
      <c r="B696" s="6">
        <v>2025</v>
      </c>
      <c r="C696" s="7">
        <v>45764</v>
      </c>
      <c r="D696" s="6" t="s">
        <v>72</v>
      </c>
      <c r="E696" s="6" t="s">
        <v>26</v>
      </c>
      <c r="F696" s="6">
        <v>1</v>
      </c>
      <c r="G696" s="6" t="s">
        <v>63</v>
      </c>
      <c r="H696" s="6">
        <v>1</v>
      </c>
      <c r="I696" s="6">
        <v>7</v>
      </c>
      <c r="J696" s="6">
        <v>4</v>
      </c>
      <c r="K696" s="6" t="s">
        <v>37</v>
      </c>
      <c r="L696" s="6" t="str">
        <f>VLOOKUP(K696, 'Alphabetical by species code'!A:B, 2, FALSE)</f>
        <v>Sonchus oleraceus</v>
      </c>
      <c r="M696" s="6" t="str">
        <f>VLOOKUP(L696, 'Alphabetical by species code'!B:C, 2, FALSE)</f>
        <v>Non-Native</v>
      </c>
    </row>
    <row r="697" spans="1:13" x14ac:dyDescent="0.25">
      <c r="A697" s="6">
        <v>8</v>
      </c>
      <c r="B697" s="6">
        <v>2025</v>
      </c>
      <c r="C697" s="7">
        <v>45764</v>
      </c>
      <c r="D697" s="6" t="s">
        <v>72</v>
      </c>
      <c r="E697" s="6" t="s">
        <v>26</v>
      </c>
      <c r="F697" s="6">
        <v>1</v>
      </c>
      <c r="G697" s="6" t="s">
        <v>63</v>
      </c>
      <c r="H697" s="6">
        <v>1</v>
      </c>
      <c r="I697" s="6">
        <v>7</v>
      </c>
      <c r="J697" s="6">
        <v>4</v>
      </c>
      <c r="K697" s="6" t="s">
        <v>35</v>
      </c>
      <c r="L697" s="6" t="str">
        <f>VLOOKUP(K697, 'Alphabetical by species code'!A:B, 2, FALSE)</f>
        <v>Deinandra fasciculata</v>
      </c>
      <c r="M697" s="6" t="str">
        <f>VLOOKUP(L697, 'Alphabetical by species code'!B:C, 2, FALSE)</f>
        <v>Native</v>
      </c>
    </row>
    <row r="698" spans="1:13" x14ac:dyDescent="0.25">
      <c r="A698" s="6">
        <v>8</v>
      </c>
      <c r="B698" s="6">
        <v>2025</v>
      </c>
      <c r="C698" s="7">
        <v>45764</v>
      </c>
      <c r="D698" s="6" t="s">
        <v>72</v>
      </c>
      <c r="E698" s="6" t="s">
        <v>26</v>
      </c>
      <c r="F698" s="6">
        <v>1</v>
      </c>
      <c r="G698" s="6" t="s">
        <v>63</v>
      </c>
      <c r="H698" s="6">
        <v>1</v>
      </c>
      <c r="I698" s="6">
        <v>8</v>
      </c>
      <c r="J698" s="6">
        <v>5</v>
      </c>
      <c r="K698" s="6" t="s">
        <v>28</v>
      </c>
      <c r="L698" s="6" t="str">
        <f>VLOOKUP(K698, 'Alphabetical by species code'!A:B, 2, FALSE)</f>
        <v>Litter</v>
      </c>
      <c r="M698" s="6" t="str">
        <f>VLOOKUP(L698, 'Alphabetical by species code'!B:C, 2, FALSE)</f>
        <v>Ground Cover</v>
      </c>
    </row>
    <row r="699" spans="1:13" x14ac:dyDescent="0.25">
      <c r="A699" s="6">
        <v>8</v>
      </c>
      <c r="B699" s="6">
        <v>2025</v>
      </c>
      <c r="C699" s="7">
        <v>45764</v>
      </c>
      <c r="D699" s="6" t="s">
        <v>72</v>
      </c>
      <c r="E699" s="6" t="s">
        <v>26</v>
      </c>
      <c r="F699" s="6">
        <v>1</v>
      </c>
      <c r="G699" s="6" t="s">
        <v>63</v>
      </c>
      <c r="H699" s="6">
        <v>1</v>
      </c>
      <c r="I699" s="6">
        <v>8</v>
      </c>
      <c r="J699" s="6">
        <v>5</v>
      </c>
      <c r="K699" s="6" t="s">
        <v>30</v>
      </c>
      <c r="L699" s="6" t="str">
        <f>VLOOKUP(K699, 'Alphabetical by species code'!A:B, 2, FALSE)</f>
        <v>Erodium moschatum</v>
      </c>
      <c r="M699" s="6" t="str">
        <f>VLOOKUP(L699, 'Alphabetical by species code'!B:C, 2, FALSE)</f>
        <v>Non-Native</v>
      </c>
    </row>
    <row r="700" spans="1:13" x14ac:dyDescent="0.25">
      <c r="A700" s="6">
        <v>8</v>
      </c>
      <c r="B700" s="6">
        <v>2025</v>
      </c>
      <c r="C700" s="7">
        <v>45764</v>
      </c>
      <c r="D700" s="6" t="s">
        <v>72</v>
      </c>
      <c r="E700" s="6" t="s">
        <v>26</v>
      </c>
      <c r="F700" s="6">
        <v>1</v>
      </c>
      <c r="G700" s="6" t="s">
        <v>63</v>
      </c>
      <c r="H700" s="6">
        <v>1</v>
      </c>
      <c r="I700" s="6">
        <v>9</v>
      </c>
      <c r="J700" s="6">
        <v>7</v>
      </c>
      <c r="K700" s="6" t="s">
        <v>28</v>
      </c>
      <c r="L700" s="6" t="str">
        <f>VLOOKUP(K700, 'Alphabetical by species code'!A:B, 2, FALSE)</f>
        <v>Litter</v>
      </c>
      <c r="M700" s="6" t="str">
        <f>VLOOKUP(L700, 'Alphabetical by species code'!B:C, 2, FALSE)</f>
        <v>Ground Cover</v>
      </c>
    </row>
    <row r="701" spans="1:13" x14ac:dyDescent="0.25">
      <c r="A701" s="6">
        <v>8</v>
      </c>
      <c r="B701" s="6">
        <v>2025</v>
      </c>
      <c r="C701" s="7">
        <v>45764</v>
      </c>
      <c r="D701" s="6" t="s">
        <v>72</v>
      </c>
      <c r="E701" s="6" t="s">
        <v>26</v>
      </c>
      <c r="F701" s="6">
        <v>1</v>
      </c>
      <c r="G701" s="6" t="s">
        <v>63</v>
      </c>
      <c r="H701" s="6">
        <v>1</v>
      </c>
      <c r="I701" s="6">
        <v>9</v>
      </c>
      <c r="J701" s="6">
        <v>7</v>
      </c>
      <c r="K701" s="6" t="s">
        <v>36</v>
      </c>
      <c r="L701" s="6" t="str">
        <f>VLOOKUP(K701, 'Alphabetical by species code'!A:B, 2, FALSE)</f>
        <v>Bromus madritensis</v>
      </c>
      <c r="M701" s="6" t="str">
        <f>VLOOKUP(L701, 'Alphabetical by species code'!B:C, 2, FALSE)</f>
        <v>Non-Native</v>
      </c>
    </row>
    <row r="702" spans="1:13" x14ac:dyDescent="0.25">
      <c r="A702" s="6">
        <v>8</v>
      </c>
      <c r="B702" s="6">
        <v>2025</v>
      </c>
      <c r="C702" s="7">
        <v>45764</v>
      </c>
      <c r="D702" s="6" t="s">
        <v>72</v>
      </c>
      <c r="E702" s="6" t="s">
        <v>26</v>
      </c>
      <c r="F702" s="6">
        <v>1</v>
      </c>
      <c r="G702" s="6" t="s">
        <v>63</v>
      </c>
      <c r="H702" s="6">
        <v>1</v>
      </c>
      <c r="I702" s="6">
        <v>9</v>
      </c>
      <c r="J702" s="6">
        <v>7</v>
      </c>
      <c r="K702" s="6" t="s">
        <v>35</v>
      </c>
      <c r="L702" s="6" t="str">
        <f>VLOOKUP(K702, 'Alphabetical by species code'!A:B, 2, FALSE)</f>
        <v>Deinandra fasciculata</v>
      </c>
      <c r="M702" s="6" t="str">
        <f>VLOOKUP(L702, 'Alphabetical by species code'!B:C, 2, FALSE)</f>
        <v>Native</v>
      </c>
    </row>
    <row r="703" spans="1:13" x14ac:dyDescent="0.25">
      <c r="A703" s="6">
        <v>8</v>
      </c>
      <c r="B703" s="6">
        <v>2025</v>
      </c>
      <c r="C703" s="7">
        <v>45764</v>
      </c>
      <c r="D703" s="6" t="s">
        <v>72</v>
      </c>
      <c r="E703" s="6" t="s">
        <v>26</v>
      </c>
      <c r="F703" s="6">
        <v>1</v>
      </c>
      <c r="G703" s="6" t="s">
        <v>63</v>
      </c>
      <c r="H703" s="6">
        <v>1</v>
      </c>
      <c r="I703" s="6">
        <v>9</v>
      </c>
      <c r="J703" s="6">
        <v>7</v>
      </c>
      <c r="K703" s="6" t="s">
        <v>48</v>
      </c>
      <c r="L703" s="6" t="str">
        <f>VLOOKUP(K703, 'Alphabetical by species code'!A:B, 2, FALSE)</f>
        <v>Sonchus asper</v>
      </c>
      <c r="M703" s="6" t="str">
        <f>VLOOKUP(L703, 'Alphabetical by species code'!B:C, 2, FALSE)</f>
        <v>Non-Native</v>
      </c>
    </row>
    <row r="704" spans="1:13" x14ac:dyDescent="0.25">
      <c r="A704" s="6">
        <v>8</v>
      </c>
      <c r="B704" s="6">
        <v>2025</v>
      </c>
      <c r="C704" s="7">
        <v>45764</v>
      </c>
      <c r="D704" s="6" t="s">
        <v>72</v>
      </c>
      <c r="E704" s="6" t="s">
        <v>26</v>
      </c>
      <c r="F704" s="6">
        <v>1</v>
      </c>
      <c r="G704" s="6" t="s">
        <v>63</v>
      </c>
      <c r="H704" s="6">
        <v>1</v>
      </c>
      <c r="I704" s="6">
        <v>10</v>
      </c>
      <c r="J704" s="6">
        <v>8</v>
      </c>
      <c r="K704" s="6" t="s">
        <v>28</v>
      </c>
      <c r="L704" s="6" t="str">
        <f>VLOOKUP(K704, 'Alphabetical by species code'!A:B, 2, FALSE)</f>
        <v>Litter</v>
      </c>
      <c r="M704" s="6" t="str">
        <f>VLOOKUP(L704, 'Alphabetical by species code'!B:C, 2, FALSE)</f>
        <v>Ground Cover</v>
      </c>
    </row>
    <row r="705" spans="1:13" x14ac:dyDescent="0.25">
      <c r="A705" s="6">
        <v>8</v>
      </c>
      <c r="B705" s="6">
        <v>2025</v>
      </c>
      <c r="C705" s="7">
        <v>45764</v>
      </c>
      <c r="D705" s="6" t="s">
        <v>72</v>
      </c>
      <c r="E705" s="6" t="s">
        <v>26</v>
      </c>
      <c r="F705" s="6">
        <v>1</v>
      </c>
      <c r="G705" s="6" t="s">
        <v>63</v>
      </c>
      <c r="H705" s="6">
        <v>1</v>
      </c>
      <c r="I705" s="6">
        <v>10</v>
      </c>
      <c r="J705" s="6">
        <v>8</v>
      </c>
      <c r="K705" s="6" t="s">
        <v>37</v>
      </c>
      <c r="L705" s="6" t="str">
        <f>VLOOKUP(K705, 'Alphabetical by species code'!A:B, 2, FALSE)</f>
        <v>Sonchus oleraceus</v>
      </c>
      <c r="M705" s="6" t="str">
        <f>VLOOKUP(L705, 'Alphabetical by species code'!B:C, 2, FALSE)</f>
        <v>Non-Native</v>
      </c>
    </row>
    <row r="706" spans="1:13" x14ac:dyDescent="0.25">
      <c r="A706" s="6">
        <v>8</v>
      </c>
      <c r="B706" s="6">
        <v>2025</v>
      </c>
      <c r="C706" s="7">
        <v>45764</v>
      </c>
      <c r="D706" s="6" t="s">
        <v>72</v>
      </c>
      <c r="E706" s="6" t="s">
        <v>26</v>
      </c>
      <c r="F706" s="6">
        <v>1</v>
      </c>
      <c r="G706" s="6" t="s">
        <v>63</v>
      </c>
      <c r="H706" s="6">
        <v>1</v>
      </c>
      <c r="I706" s="6">
        <v>10</v>
      </c>
      <c r="J706" s="6">
        <v>8</v>
      </c>
      <c r="K706" s="6" t="s">
        <v>36</v>
      </c>
      <c r="L706" s="6" t="str">
        <f>VLOOKUP(K706, 'Alphabetical by species code'!A:B, 2, FALSE)</f>
        <v>Bromus madritensis</v>
      </c>
      <c r="M706" s="6" t="str">
        <f>VLOOKUP(L706, 'Alphabetical by species code'!B:C, 2, FALSE)</f>
        <v>Non-Native</v>
      </c>
    </row>
    <row r="707" spans="1:13" x14ac:dyDescent="0.25">
      <c r="A707" s="6">
        <v>8</v>
      </c>
      <c r="B707" s="6">
        <v>2025</v>
      </c>
      <c r="C707" s="7">
        <v>45764</v>
      </c>
      <c r="D707" s="6" t="s">
        <v>72</v>
      </c>
      <c r="E707" s="6" t="s">
        <v>26</v>
      </c>
      <c r="F707" s="6">
        <v>1</v>
      </c>
      <c r="G707" s="6" t="s">
        <v>63</v>
      </c>
      <c r="H707" s="6">
        <v>1</v>
      </c>
      <c r="I707" s="6">
        <v>11</v>
      </c>
      <c r="J707" s="6">
        <v>8.5</v>
      </c>
      <c r="K707" s="6" t="s">
        <v>28</v>
      </c>
      <c r="L707" s="6" t="str">
        <f>VLOOKUP(K707, 'Alphabetical by species code'!A:B, 2, FALSE)</f>
        <v>Litter</v>
      </c>
      <c r="M707" s="6" t="str">
        <f>VLOOKUP(L707, 'Alphabetical by species code'!B:C, 2, FALSE)</f>
        <v>Ground Cover</v>
      </c>
    </row>
    <row r="708" spans="1:13" x14ac:dyDescent="0.25">
      <c r="A708" s="6">
        <v>8</v>
      </c>
      <c r="B708" s="6">
        <v>2025</v>
      </c>
      <c r="C708" s="7">
        <v>45764</v>
      </c>
      <c r="D708" s="6" t="s">
        <v>72</v>
      </c>
      <c r="E708" s="6" t="s">
        <v>26</v>
      </c>
      <c r="F708" s="6">
        <v>1</v>
      </c>
      <c r="G708" s="6" t="s">
        <v>63</v>
      </c>
      <c r="H708" s="6">
        <v>1</v>
      </c>
      <c r="I708" s="6">
        <v>11</v>
      </c>
      <c r="J708" s="6">
        <v>8.5</v>
      </c>
      <c r="K708" s="6" t="s">
        <v>31</v>
      </c>
      <c r="L708" s="6" t="str">
        <f>VLOOKUP(K708, 'Alphabetical by species code'!A:B, 2, FALSE)</f>
        <v>Festuca myuros</v>
      </c>
      <c r="M708" s="6" t="str">
        <f>VLOOKUP(L708, 'Alphabetical by species code'!B:C, 2, FALSE)</f>
        <v>Non-Native</v>
      </c>
    </row>
    <row r="709" spans="1:13" x14ac:dyDescent="0.25">
      <c r="A709" s="6">
        <v>8</v>
      </c>
      <c r="B709" s="6">
        <v>2025</v>
      </c>
      <c r="C709" s="7">
        <v>45764</v>
      </c>
      <c r="D709" s="6" t="s">
        <v>72</v>
      </c>
      <c r="E709" s="6" t="s">
        <v>26</v>
      </c>
      <c r="F709" s="6">
        <v>1</v>
      </c>
      <c r="G709" s="6" t="s">
        <v>63</v>
      </c>
      <c r="H709" s="6">
        <v>1</v>
      </c>
      <c r="I709" s="6">
        <v>11</v>
      </c>
      <c r="J709" s="6">
        <v>8.5</v>
      </c>
      <c r="K709" s="6" t="s">
        <v>35</v>
      </c>
      <c r="L709" s="6" t="str">
        <f>VLOOKUP(K709, 'Alphabetical by species code'!A:B, 2, FALSE)</f>
        <v>Deinandra fasciculata</v>
      </c>
      <c r="M709" s="6" t="str">
        <f>VLOOKUP(L709, 'Alphabetical by species code'!B:C, 2, FALSE)</f>
        <v>Native</v>
      </c>
    </row>
    <row r="710" spans="1:13" x14ac:dyDescent="0.25">
      <c r="A710" s="6">
        <v>8</v>
      </c>
      <c r="B710" s="6">
        <v>2025</v>
      </c>
      <c r="C710" s="7">
        <v>45764</v>
      </c>
      <c r="D710" s="6" t="s">
        <v>72</v>
      </c>
      <c r="E710" s="6" t="s">
        <v>26</v>
      </c>
      <c r="F710" s="6">
        <v>1</v>
      </c>
      <c r="G710" s="6" t="s">
        <v>63</v>
      </c>
      <c r="H710" s="6">
        <v>1</v>
      </c>
      <c r="I710" s="6">
        <v>12</v>
      </c>
      <c r="J710" s="6">
        <v>9</v>
      </c>
      <c r="K710" s="6" t="s">
        <v>28</v>
      </c>
      <c r="L710" s="6" t="str">
        <f>VLOOKUP(K710, 'Alphabetical by species code'!A:B, 2, FALSE)</f>
        <v>Litter</v>
      </c>
      <c r="M710" s="6" t="str">
        <f>VLOOKUP(L710, 'Alphabetical by species code'!B:C, 2, FALSE)</f>
        <v>Ground Cover</v>
      </c>
    </row>
    <row r="711" spans="1:13" x14ac:dyDescent="0.25">
      <c r="A711" s="6">
        <v>8</v>
      </c>
      <c r="B711" s="6">
        <v>2025</v>
      </c>
      <c r="C711" s="7">
        <v>45764</v>
      </c>
      <c r="D711" s="6" t="s">
        <v>72</v>
      </c>
      <c r="E711" s="6" t="s">
        <v>26</v>
      </c>
      <c r="F711" s="6">
        <v>1</v>
      </c>
      <c r="G711" s="6" t="s">
        <v>63</v>
      </c>
      <c r="H711" s="6">
        <v>1</v>
      </c>
      <c r="I711" s="6">
        <v>12</v>
      </c>
      <c r="J711" s="6">
        <v>9</v>
      </c>
      <c r="K711" s="6" t="s">
        <v>48</v>
      </c>
      <c r="L711" s="6" t="str">
        <f>VLOOKUP(K711, 'Alphabetical by species code'!A:B, 2, FALSE)</f>
        <v>Sonchus asper</v>
      </c>
      <c r="M711" s="6" t="str">
        <f>VLOOKUP(L711, 'Alphabetical by species code'!B:C, 2, FALSE)</f>
        <v>Non-Native</v>
      </c>
    </row>
    <row r="712" spans="1:13" x14ac:dyDescent="0.25">
      <c r="A712" s="6">
        <v>8</v>
      </c>
      <c r="B712" s="6">
        <v>2025</v>
      </c>
      <c r="C712" s="7">
        <v>45764</v>
      </c>
      <c r="D712" s="6" t="s">
        <v>72</v>
      </c>
      <c r="E712" s="6" t="s">
        <v>26</v>
      </c>
      <c r="F712" s="6">
        <v>1</v>
      </c>
      <c r="G712" s="6" t="s">
        <v>63</v>
      </c>
      <c r="H712" s="6">
        <v>1</v>
      </c>
      <c r="I712" s="6">
        <v>13</v>
      </c>
      <c r="J712" s="6">
        <v>10</v>
      </c>
      <c r="K712" s="6" t="s">
        <v>28</v>
      </c>
      <c r="L712" s="6" t="str">
        <f>VLOOKUP(K712, 'Alphabetical by species code'!A:B, 2, FALSE)</f>
        <v>Litter</v>
      </c>
      <c r="M712" s="6" t="str">
        <f>VLOOKUP(L712, 'Alphabetical by species code'!B:C, 2, FALSE)</f>
        <v>Ground Cover</v>
      </c>
    </row>
    <row r="713" spans="1:13" x14ac:dyDescent="0.25">
      <c r="A713" s="6">
        <v>8</v>
      </c>
      <c r="B713" s="6">
        <v>2025</v>
      </c>
      <c r="C713" s="7">
        <v>45764</v>
      </c>
      <c r="D713" s="6" t="s">
        <v>72</v>
      </c>
      <c r="E713" s="6" t="s">
        <v>26</v>
      </c>
      <c r="F713" s="6">
        <v>1</v>
      </c>
      <c r="G713" s="6" t="s">
        <v>63</v>
      </c>
      <c r="H713" s="6">
        <v>1</v>
      </c>
      <c r="I713" s="6">
        <v>13</v>
      </c>
      <c r="J713" s="6">
        <v>10</v>
      </c>
      <c r="K713" s="6" t="s">
        <v>35</v>
      </c>
      <c r="L713" s="6" t="str">
        <f>VLOOKUP(K713, 'Alphabetical by species code'!A:B, 2, FALSE)</f>
        <v>Deinandra fasciculata</v>
      </c>
      <c r="M713" s="6" t="str">
        <f>VLOOKUP(L713, 'Alphabetical by species code'!B:C, 2, FALSE)</f>
        <v>Native</v>
      </c>
    </row>
    <row r="714" spans="1:13" x14ac:dyDescent="0.25">
      <c r="A714" s="6">
        <v>8</v>
      </c>
      <c r="B714" s="6">
        <v>2025</v>
      </c>
      <c r="C714" s="7">
        <v>45764</v>
      </c>
      <c r="D714" s="6" t="s">
        <v>72</v>
      </c>
      <c r="E714" s="6" t="s">
        <v>26</v>
      </c>
      <c r="F714" s="6">
        <v>1</v>
      </c>
      <c r="G714" s="6" t="s">
        <v>63</v>
      </c>
      <c r="H714" s="6">
        <v>1</v>
      </c>
      <c r="I714" s="6">
        <v>14</v>
      </c>
      <c r="J714" s="6">
        <v>11</v>
      </c>
      <c r="K714" s="6" t="s">
        <v>28</v>
      </c>
      <c r="L714" s="6" t="str">
        <f>VLOOKUP(K714, 'Alphabetical by species code'!A:B, 2, FALSE)</f>
        <v>Litter</v>
      </c>
      <c r="M714" s="6" t="str">
        <f>VLOOKUP(L714, 'Alphabetical by species code'!B:C, 2, FALSE)</f>
        <v>Ground Cover</v>
      </c>
    </row>
    <row r="715" spans="1:13" x14ac:dyDescent="0.25">
      <c r="A715" s="6">
        <v>8</v>
      </c>
      <c r="B715" s="6">
        <v>2025</v>
      </c>
      <c r="C715" s="7">
        <v>45764</v>
      </c>
      <c r="D715" s="6" t="s">
        <v>72</v>
      </c>
      <c r="E715" s="6" t="s">
        <v>26</v>
      </c>
      <c r="F715" s="6">
        <v>1</v>
      </c>
      <c r="G715" s="6" t="s">
        <v>63</v>
      </c>
      <c r="H715" s="6">
        <v>1</v>
      </c>
      <c r="I715" s="6">
        <v>14</v>
      </c>
      <c r="J715" s="6">
        <v>11</v>
      </c>
      <c r="K715" s="6" t="s">
        <v>36</v>
      </c>
      <c r="L715" s="6" t="str">
        <f>VLOOKUP(K715, 'Alphabetical by species code'!A:B, 2, FALSE)</f>
        <v>Bromus madritensis</v>
      </c>
      <c r="M715" s="6" t="str">
        <f>VLOOKUP(L715, 'Alphabetical by species code'!B:C, 2, FALSE)</f>
        <v>Non-Native</v>
      </c>
    </row>
    <row r="716" spans="1:13" x14ac:dyDescent="0.25">
      <c r="A716" s="6">
        <v>8</v>
      </c>
      <c r="B716" s="6">
        <v>2025</v>
      </c>
      <c r="C716" s="7">
        <v>45764</v>
      </c>
      <c r="D716" s="6" t="s">
        <v>72</v>
      </c>
      <c r="E716" s="6" t="s">
        <v>26</v>
      </c>
      <c r="F716" s="6">
        <v>1</v>
      </c>
      <c r="G716" s="6" t="s">
        <v>63</v>
      </c>
      <c r="H716" s="6">
        <v>1</v>
      </c>
      <c r="I716" s="6">
        <v>15</v>
      </c>
      <c r="J716" s="6">
        <v>12</v>
      </c>
      <c r="K716" s="6" t="s">
        <v>51</v>
      </c>
      <c r="L716" s="6" t="str">
        <f>VLOOKUP(K716, 'Alphabetical by species code'!A:B, 2, FALSE)</f>
        <v>Bareground</v>
      </c>
      <c r="M716" s="6" t="str">
        <f>VLOOKUP(L716, 'Alphabetical by species code'!B:C, 2, FALSE)</f>
        <v>Ground Cover</v>
      </c>
    </row>
    <row r="717" spans="1:13" x14ac:dyDescent="0.25">
      <c r="A717" s="6">
        <v>8</v>
      </c>
      <c r="B717" s="6">
        <v>2025</v>
      </c>
      <c r="C717" s="7">
        <v>45764</v>
      </c>
      <c r="D717" s="6" t="s">
        <v>72</v>
      </c>
      <c r="E717" s="6" t="s">
        <v>26</v>
      </c>
      <c r="F717" s="6">
        <v>1</v>
      </c>
      <c r="G717" s="6" t="s">
        <v>63</v>
      </c>
      <c r="H717" s="6">
        <v>2</v>
      </c>
      <c r="I717" s="6">
        <v>1</v>
      </c>
      <c r="J717" s="6">
        <v>0</v>
      </c>
      <c r="K717" s="6" t="s">
        <v>60</v>
      </c>
      <c r="L717" s="6" t="str">
        <f>VLOOKUP(K717, 'Alphabetical by species code'!A:B, 2, FALSE)</f>
        <v>Moss</v>
      </c>
      <c r="M717" s="6" t="str">
        <f>VLOOKUP(L717, 'Alphabetical by species code'!B:C, 2, FALSE)</f>
        <v>Ground Cover</v>
      </c>
    </row>
    <row r="718" spans="1:13" x14ac:dyDescent="0.25">
      <c r="A718" s="6">
        <v>8</v>
      </c>
      <c r="B718" s="6">
        <v>2025</v>
      </c>
      <c r="C718" s="7">
        <v>45764</v>
      </c>
      <c r="D718" s="6" t="s">
        <v>72</v>
      </c>
      <c r="E718" s="6" t="s">
        <v>26</v>
      </c>
      <c r="F718" s="6">
        <v>1</v>
      </c>
      <c r="G718" s="6" t="s">
        <v>63</v>
      </c>
      <c r="H718" s="6">
        <v>2</v>
      </c>
      <c r="I718" s="6">
        <v>1</v>
      </c>
      <c r="J718" s="6">
        <v>0</v>
      </c>
      <c r="K718" s="6" t="s">
        <v>40</v>
      </c>
      <c r="L718" s="6" t="str">
        <f>VLOOKUP(K718, 'Alphabetical by species code'!A:B, 2, FALSE)</f>
        <v>Cylindropuntia prolifera</v>
      </c>
      <c r="M718" s="6" t="str">
        <f>VLOOKUP(L718, 'Alphabetical by species code'!B:C, 2, FALSE)</f>
        <v>Native</v>
      </c>
    </row>
    <row r="719" spans="1:13" x14ac:dyDescent="0.25">
      <c r="A719" s="6">
        <v>8</v>
      </c>
      <c r="B719" s="6">
        <v>2025</v>
      </c>
      <c r="C719" s="7">
        <v>45764</v>
      </c>
      <c r="D719" s="6" t="s">
        <v>72</v>
      </c>
      <c r="E719" s="6" t="s">
        <v>26</v>
      </c>
      <c r="F719" s="6">
        <v>1</v>
      </c>
      <c r="G719" s="6" t="s">
        <v>63</v>
      </c>
      <c r="H719" s="6">
        <v>2</v>
      </c>
      <c r="I719" s="6">
        <v>1</v>
      </c>
      <c r="J719" s="6">
        <v>0</v>
      </c>
      <c r="K719" s="6" t="s">
        <v>37</v>
      </c>
      <c r="L719" s="6" t="str">
        <f>VLOOKUP(K719, 'Alphabetical by species code'!A:B, 2, FALSE)</f>
        <v>Sonchus oleraceus</v>
      </c>
      <c r="M719" s="6" t="str">
        <f>VLOOKUP(L719, 'Alphabetical by species code'!B:C, 2, FALSE)</f>
        <v>Non-Native</v>
      </c>
    </row>
    <row r="720" spans="1:13" x14ac:dyDescent="0.25">
      <c r="A720" s="6">
        <v>8</v>
      </c>
      <c r="B720" s="6">
        <v>2025</v>
      </c>
      <c r="C720" s="7">
        <v>45764</v>
      </c>
      <c r="D720" s="6" t="s">
        <v>72</v>
      </c>
      <c r="E720" s="6" t="s">
        <v>26</v>
      </c>
      <c r="F720" s="6">
        <v>1</v>
      </c>
      <c r="G720" s="6" t="s">
        <v>63</v>
      </c>
      <c r="H720" s="6">
        <v>2</v>
      </c>
      <c r="I720" s="6">
        <v>1</v>
      </c>
      <c r="J720" s="6">
        <v>0</v>
      </c>
      <c r="K720" s="6" t="s">
        <v>73</v>
      </c>
      <c r="L720" s="6" t="str">
        <f>VLOOKUP(K720, 'Alphabetical by species code'!A:B, 2, FALSE)</f>
        <v>Eriogonum fasciculatum</v>
      </c>
      <c r="M720" s="6" t="str">
        <f>VLOOKUP(L720, 'Alphabetical by species code'!B:C, 2, FALSE)</f>
        <v>Native</v>
      </c>
    </row>
    <row r="721" spans="1:13" x14ac:dyDescent="0.25">
      <c r="A721" s="6">
        <v>8</v>
      </c>
      <c r="B721" s="6">
        <v>2025</v>
      </c>
      <c r="C721" s="7">
        <v>45764</v>
      </c>
      <c r="D721" s="6" t="s">
        <v>72</v>
      </c>
      <c r="E721" s="6" t="s">
        <v>26</v>
      </c>
      <c r="F721" s="6">
        <v>1</v>
      </c>
      <c r="G721" s="6" t="s">
        <v>63</v>
      </c>
      <c r="H721" s="6">
        <v>2</v>
      </c>
      <c r="I721" s="6">
        <v>2</v>
      </c>
      <c r="J721" s="6">
        <v>1</v>
      </c>
      <c r="K721" s="6" t="s">
        <v>28</v>
      </c>
      <c r="L721" s="6" t="str">
        <f>VLOOKUP(K721, 'Alphabetical by species code'!A:B, 2, FALSE)</f>
        <v>Litter</v>
      </c>
      <c r="M721" s="6" t="str">
        <f>VLOOKUP(L721, 'Alphabetical by species code'!B:C, 2, FALSE)</f>
        <v>Ground Cover</v>
      </c>
    </row>
    <row r="722" spans="1:13" x14ac:dyDescent="0.25">
      <c r="A722" s="6">
        <v>8</v>
      </c>
      <c r="B722" s="6">
        <v>2025</v>
      </c>
      <c r="C722" s="7">
        <v>45764</v>
      </c>
      <c r="D722" s="6" t="s">
        <v>72</v>
      </c>
      <c r="E722" s="6" t="s">
        <v>26</v>
      </c>
      <c r="F722" s="6">
        <v>1</v>
      </c>
      <c r="G722" s="6" t="s">
        <v>63</v>
      </c>
      <c r="H722" s="6">
        <v>2</v>
      </c>
      <c r="I722" s="6">
        <v>2</v>
      </c>
      <c r="J722" s="6">
        <v>1</v>
      </c>
      <c r="K722" s="6" t="s">
        <v>32</v>
      </c>
      <c r="L722" s="6" t="str">
        <f>VLOOKUP(K722, 'Alphabetical by species code'!A:B, 2, FALSE)</f>
        <v>Medicago polymorpha</v>
      </c>
      <c r="M722" s="6" t="str">
        <f>VLOOKUP(L722, 'Alphabetical by species code'!B:C, 2, FALSE)</f>
        <v>Non-Native</v>
      </c>
    </row>
    <row r="723" spans="1:13" x14ac:dyDescent="0.25">
      <c r="A723" s="6">
        <v>8</v>
      </c>
      <c r="B723" s="6">
        <v>2025</v>
      </c>
      <c r="C723" s="7">
        <v>45764</v>
      </c>
      <c r="D723" s="6" t="s">
        <v>72</v>
      </c>
      <c r="E723" s="6" t="s">
        <v>26</v>
      </c>
      <c r="F723" s="6">
        <v>1</v>
      </c>
      <c r="G723" s="6" t="s">
        <v>63</v>
      </c>
      <c r="H723" s="6">
        <v>2</v>
      </c>
      <c r="I723" s="6">
        <v>2</v>
      </c>
      <c r="J723" s="6">
        <v>1</v>
      </c>
      <c r="K723" s="6" t="s">
        <v>34</v>
      </c>
      <c r="L723" s="6" t="str">
        <f>VLOOKUP(K723, 'Alphabetical by species code'!A:B, 2, FALSE)</f>
        <v>Erodium cicutarium</v>
      </c>
      <c r="M723" s="6" t="str">
        <f>VLOOKUP(L723, 'Alphabetical by species code'!B:C, 2, FALSE)</f>
        <v>Non-Native</v>
      </c>
    </row>
    <row r="724" spans="1:13" x14ac:dyDescent="0.25">
      <c r="A724" s="6">
        <v>8</v>
      </c>
      <c r="B724" s="6">
        <v>2025</v>
      </c>
      <c r="C724" s="7">
        <v>45764</v>
      </c>
      <c r="D724" s="6" t="s">
        <v>72</v>
      </c>
      <c r="E724" s="6" t="s">
        <v>26</v>
      </c>
      <c r="F724" s="6">
        <v>1</v>
      </c>
      <c r="G724" s="6" t="s">
        <v>63</v>
      </c>
      <c r="H724" s="6">
        <v>2</v>
      </c>
      <c r="I724" s="6">
        <v>3</v>
      </c>
      <c r="J724" s="6">
        <v>1.5</v>
      </c>
      <c r="K724" s="6" t="s">
        <v>28</v>
      </c>
      <c r="L724" s="6" t="str">
        <f>VLOOKUP(K724, 'Alphabetical by species code'!A:B, 2, FALSE)</f>
        <v>Litter</v>
      </c>
      <c r="M724" s="6" t="str">
        <f>VLOOKUP(L724, 'Alphabetical by species code'!B:C, 2, FALSE)</f>
        <v>Ground Cover</v>
      </c>
    </row>
    <row r="725" spans="1:13" x14ac:dyDescent="0.25">
      <c r="A725" s="6">
        <v>8</v>
      </c>
      <c r="B725" s="6">
        <v>2025</v>
      </c>
      <c r="C725" s="7">
        <v>45764</v>
      </c>
      <c r="D725" s="6" t="s">
        <v>72</v>
      </c>
      <c r="E725" s="6" t="s">
        <v>26</v>
      </c>
      <c r="F725" s="6">
        <v>1</v>
      </c>
      <c r="G725" s="6" t="s">
        <v>63</v>
      </c>
      <c r="H725" s="6">
        <v>2</v>
      </c>
      <c r="I725" s="6">
        <v>3</v>
      </c>
      <c r="J725" s="6">
        <v>1.5</v>
      </c>
      <c r="K725" s="6" t="s">
        <v>35</v>
      </c>
      <c r="L725" s="6" t="str">
        <f>VLOOKUP(K725, 'Alphabetical by species code'!A:B, 2, FALSE)</f>
        <v>Deinandra fasciculata</v>
      </c>
      <c r="M725" s="6" t="str">
        <f>VLOOKUP(L725, 'Alphabetical by species code'!B:C, 2, FALSE)</f>
        <v>Native</v>
      </c>
    </row>
    <row r="726" spans="1:13" x14ac:dyDescent="0.25">
      <c r="A726" s="6">
        <v>8</v>
      </c>
      <c r="B726" s="6">
        <v>2025</v>
      </c>
      <c r="C726" s="7">
        <v>45764</v>
      </c>
      <c r="D726" s="6" t="s">
        <v>72</v>
      </c>
      <c r="E726" s="6" t="s">
        <v>26</v>
      </c>
      <c r="F726" s="6">
        <v>1</v>
      </c>
      <c r="G726" s="6" t="s">
        <v>63</v>
      </c>
      <c r="H726" s="6">
        <v>2</v>
      </c>
      <c r="I726" s="6">
        <v>3</v>
      </c>
      <c r="J726" s="6">
        <v>1.5</v>
      </c>
      <c r="K726" s="6" t="s">
        <v>30</v>
      </c>
      <c r="L726" s="6" t="str">
        <f>VLOOKUP(K726, 'Alphabetical by species code'!A:B, 2, FALSE)</f>
        <v>Erodium moschatum</v>
      </c>
      <c r="M726" s="6" t="str">
        <f>VLOOKUP(L726, 'Alphabetical by species code'!B:C, 2, FALSE)</f>
        <v>Non-Native</v>
      </c>
    </row>
    <row r="727" spans="1:13" x14ac:dyDescent="0.25">
      <c r="A727" s="6">
        <v>8</v>
      </c>
      <c r="B727" s="6">
        <v>2025</v>
      </c>
      <c r="C727" s="7">
        <v>45764</v>
      </c>
      <c r="D727" s="6" t="s">
        <v>72</v>
      </c>
      <c r="E727" s="6" t="s">
        <v>26</v>
      </c>
      <c r="F727" s="6">
        <v>1</v>
      </c>
      <c r="G727" s="6" t="s">
        <v>63</v>
      </c>
      <c r="H727" s="6">
        <v>2</v>
      </c>
      <c r="I727" s="6">
        <v>4</v>
      </c>
      <c r="J727" s="6">
        <v>2</v>
      </c>
      <c r="K727" s="6" t="s">
        <v>28</v>
      </c>
      <c r="L727" s="6" t="str">
        <f>VLOOKUP(K727, 'Alphabetical by species code'!A:B, 2, FALSE)</f>
        <v>Litter</v>
      </c>
      <c r="M727" s="6" t="str">
        <f>VLOOKUP(L727, 'Alphabetical by species code'!B:C, 2, FALSE)</f>
        <v>Ground Cover</v>
      </c>
    </row>
    <row r="728" spans="1:13" x14ac:dyDescent="0.25">
      <c r="A728" s="6">
        <v>8</v>
      </c>
      <c r="B728" s="6">
        <v>2025</v>
      </c>
      <c r="C728" s="7">
        <v>45764</v>
      </c>
      <c r="D728" s="6" t="s">
        <v>72</v>
      </c>
      <c r="E728" s="6" t="s">
        <v>26</v>
      </c>
      <c r="F728" s="6">
        <v>1</v>
      </c>
      <c r="G728" s="6" t="s">
        <v>63</v>
      </c>
      <c r="H728" s="6">
        <v>2</v>
      </c>
      <c r="I728" s="6">
        <v>4</v>
      </c>
      <c r="J728" s="6">
        <v>2</v>
      </c>
      <c r="K728" s="6" t="s">
        <v>36</v>
      </c>
      <c r="L728" s="6" t="str">
        <f>VLOOKUP(K728, 'Alphabetical by species code'!A:B, 2, FALSE)</f>
        <v>Bromus madritensis</v>
      </c>
      <c r="M728" s="6" t="str">
        <f>VLOOKUP(L728, 'Alphabetical by species code'!B:C, 2, FALSE)</f>
        <v>Non-Native</v>
      </c>
    </row>
    <row r="729" spans="1:13" x14ac:dyDescent="0.25">
      <c r="A729" s="6">
        <v>8</v>
      </c>
      <c r="B729" s="6">
        <v>2025</v>
      </c>
      <c r="C729" s="7">
        <v>45764</v>
      </c>
      <c r="D729" s="6" t="s">
        <v>72</v>
      </c>
      <c r="E729" s="6" t="s">
        <v>26</v>
      </c>
      <c r="F729" s="6">
        <v>1</v>
      </c>
      <c r="G729" s="6" t="s">
        <v>63</v>
      </c>
      <c r="H729" s="6">
        <v>2</v>
      </c>
      <c r="I729" s="6">
        <v>5</v>
      </c>
      <c r="J729" s="6">
        <v>3</v>
      </c>
      <c r="K729" s="6" t="s">
        <v>51</v>
      </c>
      <c r="L729" s="6" t="str">
        <f>VLOOKUP(K729, 'Alphabetical by species code'!A:B, 2, FALSE)</f>
        <v>Bareground</v>
      </c>
      <c r="M729" s="6" t="str">
        <f>VLOOKUP(L729, 'Alphabetical by species code'!B:C, 2, FALSE)</f>
        <v>Ground Cover</v>
      </c>
    </row>
    <row r="730" spans="1:13" x14ac:dyDescent="0.25">
      <c r="A730" s="6">
        <v>8</v>
      </c>
      <c r="B730" s="6">
        <v>2025</v>
      </c>
      <c r="C730" s="7">
        <v>45764</v>
      </c>
      <c r="D730" s="6" t="s">
        <v>72</v>
      </c>
      <c r="E730" s="6" t="s">
        <v>26</v>
      </c>
      <c r="F730" s="6">
        <v>1</v>
      </c>
      <c r="G730" s="6" t="s">
        <v>63</v>
      </c>
      <c r="H730" s="6">
        <v>2</v>
      </c>
      <c r="I730" s="6">
        <v>5</v>
      </c>
      <c r="J730" s="6">
        <v>3</v>
      </c>
      <c r="K730" s="6" t="s">
        <v>36</v>
      </c>
      <c r="L730" s="6" t="str">
        <f>VLOOKUP(K730, 'Alphabetical by species code'!A:B, 2, FALSE)</f>
        <v>Bromus madritensis</v>
      </c>
      <c r="M730" s="6" t="str">
        <f>VLOOKUP(L730, 'Alphabetical by species code'!B:C, 2, FALSE)</f>
        <v>Non-Native</v>
      </c>
    </row>
    <row r="731" spans="1:13" x14ac:dyDescent="0.25">
      <c r="A731" s="6">
        <v>8</v>
      </c>
      <c r="B731" s="6">
        <v>2025</v>
      </c>
      <c r="C731" s="7">
        <v>45764</v>
      </c>
      <c r="D731" s="6" t="s">
        <v>72</v>
      </c>
      <c r="E731" s="6" t="s">
        <v>26</v>
      </c>
      <c r="F731" s="6">
        <v>1</v>
      </c>
      <c r="G731" s="6" t="s">
        <v>63</v>
      </c>
      <c r="H731" s="6">
        <v>2</v>
      </c>
      <c r="I731" s="6">
        <v>6</v>
      </c>
      <c r="J731" s="6">
        <v>3.5</v>
      </c>
      <c r="K731" s="6" t="s">
        <v>28</v>
      </c>
      <c r="L731" s="6" t="str">
        <f>VLOOKUP(K731, 'Alphabetical by species code'!A:B, 2, FALSE)</f>
        <v>Litter</v>
      </c>
      <c r="M731" s="6" t="str">
        <f>VLOOKUP(L731, 'Alphabetical by species code'!B:C, 2, FALSE)</f>
        <v>Ground Cover</v>
      </c>
    </row>
    <row r="732" spans="1:13" x14ac:dyDescent="0.25">
      <c r="A732" s="6">
        <v>8</v>
      </c>
      <c r="B732" s="6">
        <v>2025</v>
      </c>
      <c r="C732" s="7">
        <v>45764</v>
      </c>
      <c r="D732" s="6" t="s">
        <v>72</v>
      </c>
      <c r="E732" s="6" t="s">
        <v>26</v>
      </c>
      <c r="F732" s="6">
        <v>1</v>
      </c>
      <c r="G732" s="6" t="s">
        <v>63</v>
      </c>
      <c r="H732" s="6">
        <v>2</v>
      </c>
      <c r="I732" s="6">
        <v>6</v>
      </c>
      <c r="J732" s="6">
        <v>3.5</v>
      </c>
      <c r="K732" s="6" t="s">
        <v>36</v>
      </c>
      <c r="L732" s="6" t="str">
        <f>VLOOKUP(K732, 'Alphabetical by species code'!A:B, 2, FALSE)</f>
        <v>Bromus madritensis</v>
      </c>
      <c r="M732" s="6" t="str">
        <f>VLOOKUP(L732, 'Alphabetical by species code'!B:C, 2, FALSE)</f>
        <v>Non-Native</v>
      </c>
    </row>
    <row r="733" spans="1:13" x14ac:dyDescent="0.25">
      <c r="A733" s="6">
        <v>8</v>
      </c>
      <c r="B733" s="6">
        <v>2025</v>
      </c>
      <c r="C733" s="7">
        <v>45764</v>
      </c>
      <c r="D733" s="6" t="s">
        <v>72</v>
      </c>
      <c r="E733" s="6" t="s">
        <v>26</v>
      </c>
      <c r="F733" s="6">
        <v>1</v>
      </c>
      <c r="G733" s="6" t="s">
        <v>63</v>
      </c>
      <c r="H733" s="6">
        <v>2</v>
      </c>
      <c r="I733" s="6">
        <v>7</v>
      </c>
      <c r="J733" s="6">
        <v>4</v>
      </c>
      <c r="K733" s="6" t="s">
        <v>28</v>
      </c>
      <c r="L733" s="6" t="str">
        <f>VLOOKUP(K733, 'Alphabetical by species code'!A:B, 2, FALSE)</f>
        <v>Litter</v>
      </c>
      <c r="M733" s="6" t="str">
        <f>VLOOKUP(L733, 'Alphabetical by species code'!B:C, 2, FALSE)</f>
        <v>Ground Cover</v>
      </c>
    </row>
    <row r="734" spans="1:13" x14ac:dyDescent="0.25">
      <c r="A734" s="6">
        <v>8</v>
      </c>
      <c r="B734" s="6">
        <v>2025</v>
      </c>
      <c r="C734" s="7">
        <v>45764</v>
      </c>
      <c r="D734" s="6" t="s">
        <v>72</v>
      </c>
      <c r="E734" s="6" t="s">
        <v>26</v>
      </c>
      <c r="F734" s="6">
        <v>1</v>
      </c>
      <c r="G734" s="6" t="s">
        <v>63</v>
      </c>
      <c r="H734" s="6">
        <v>2</v>
      </c>
      <c r="I734" s="6">
        <v>7</v>
      </c>
      <c r="J734" s="6">
        <v>4</v>
      </c>
      <c r="K734" s="6" t="s">
        <v>36</v>
      </c>
      <c r="L734" s="6" t="str">
        <f>VLOOKUP(K734, 'Alphabetical by species code'!A:B, 2, FALSE)</f>
        <v>Bromus madritensis</v>
      </c>
      <c r="M734" s="6" t="str">
        <f>VLOOKUP(L734, 'Alphabetical by species code'!B:C, 2, FALSE)</f>
        <v>Non-Native</v>
      </c>
    </row>
    <row r="735" spans="1:13" x14ac:dyDescent="0.25">
      <c r="A735" s="6">
        <v>8</v>
      </c>
      <c r="B735" s="6">
        <v>2025</v>
      </c>
      <c r="C735" s="7">
        <v>45764</v>
      </c>
      <c r="D735" s="6" t="s">
        <v>72</v>
      </c>
      <c r="E735" s="6" t="s">
        <v>26</v>
      </c>
      <c r="F735" s="6">
        <v>1</v>
      </c>
      <c r="G735" s="6" t="s">
        <v>63</v>
      </c>
      <c r="H735" s="6">
        <v>2</v>
      </c>
      <c r="I735" s="6">
        <v>8</v>
      </c>
      <c r="J735" s="6">
        <v>5</v>
      </c>
      <c r="K735" s="6" t="s">
        <v>28</v>
      </c>
      <c r="L735" s="6" t="str">
        <f>VLOOKUP(K735, 'Alphabetical by species code'!A:B, 2, FALSE)</f>
        <v>Litter</v>
      </c>
      <c r="M735" s="6" t="str">
        <f>VLOOKUP(L735, 'Alphabetical by species code'!B:C, 2, FALSE)</f>
        <v>Ground Cover</v>
      </c>
    </row>
    <row r="736" spans="1:13" x14ac:dyDescent="0.25">
      <c r="A736" s="6">
        <v>8</v>
      </c>
      <c r="B736" s="6">
        <v>2025</v>
      </c>
      <c r="C736" s="7">
        <v>45764</v>
      </c>
      <c r="D736" s="6" t="s">
        <v>72</v>
      </c>
      <c r="E736" s="6" t="s">
        <v>26</v>
      </c>
      <c r="F736" s="6">
        <v>1</v>
      </c>
      <c r="G736" s="6" t="s">
        <v>63</v>
      </c>
      <c r="H736" s="6">
        <v>2</v>
      </c>
      <c r="I736" s="6">
        <v>8</v>
      </c>
      <c r="J736" s="6">
        <v>5</v>
      </c>
      <c r="K736" s="6" t="s">
        <v>35</v>
      </c>
      <c r="L736" s="6" t="str">
        <f>VLOOKUP(K736, 'Alphabetical by species code'!A:B, 2, FALSE)</f>
        <v>Deinandra fasciculata</v>
      </c>
      <c r="M736" s="6" t="str">
        <f>VLOOKUP(L736, 'Alphabetical by species code'!B:C, 2, FALSE)</f>
        <v>Native</v>
      </c>
    </row>
    <row r="737" spans="1:13" x14ac:dyDescent="0.25">
      <c r="A737" s="6">
        <v>8</v>
      </c>
      <c r="B737" s="6">
        <v>2025</v>
      </c>
      <c r="C737" s="7">
        <v>45764</v>
      </c>
      <c r="D737" s="6" t="s">
        <v>72</v>
      </c>
      <c r="E737" s="6" t="s">
        <v>26</v>
      </c>
      <c r="F737" s="6">
        <v>1</v>
      </c>
      <c r="G737" s="6" t="s">
        <v>63</v>
      </c>
      <c r="H737" s="6">
        <v>2</v>
      </c>
      <c r="I737" s="6">
        <v>8</v>
      </c>
      <c r="J737" s="6">
        <v>5</v>
      </c>
      <c r="K737" s="6" t="s">
        <v>36</v>
      </c>
      <c r="L737" s="6" t="str">
        <f>VLOOKUP(K737, 'Alphabetical by species code'!A:B, 2, FALSE)</f>
        <v>Bromus madritensis</v>
      </c>
      <c r="M737" s="6" t="str">
        <f>VLOOKUP(L737, 'Alphabetical by species code'!B:C, 2, FALSE)</f>
        <v>Non-Native</v>
      </c>
    </row>
    <row r="738" spans="1:13" x14ac:dyDescent="0.25">
      <c r="A738" s="6">
        <v>8</v>
      </c>
      <c r="B738" s="6">
        <v>2025</v>
      </c>
      <c r="C738" s="7">
        <v>45764</v>
      </c>
      <c r="D738" s="6" t="s">
        <v>72</v>
      </c>
      <c r="E738" s="6" t="s">
        <v>26</v>
      </c>
      <c r="F738" s="6">
        <v>1</v>
      </c>
      <c r="G738" s="6" t="s">
        <v>63</v>
      </c>
      <c r="H738" s="6">
        <v>2</v>
      </c>
      <c r="I738" s="6">
        <v>9</v>
      </c>
      <c r="J738" s="6">
        <v>7</v>
      </c>
      <c r="K738" s="6" t="s">
        <v>28</v>
      </c>
      <c r="L738" s="6" t="str">
        <f>VLOOKUP(K738, 'Alphabetical by species code'!A:B, 2, FALSE)</f>
        <v>Litter</v>
      </c>
      <c r="M738" s="6" t="str">
        <f>VLOOKUP(L738, 'Alphabetical by species code'!B:C, 2, FALSE)</f>
        <v>Ground Cover</v>
      </c>
    </row>
    <row r="739" spans="1:13" x14ac:dyDescent="0.25">
      <c r="A739" s="6">
        <v>8</v>
      </c>
      <c r="B739" s="6">
        <v>2025</v>
      </c>
      <c r="C739" s="7">
        <v>45764</v>
      </c>
      <c r="D739" s="6" t="s">
        <v>72</v>
      </c>
      <c r="E739" s="6" t="s">
        <v>26</v>
      </c>
      <c r="F739" s="6">
        <v>1</v>
      </c>
      <c r="G739" s="6" t="s">
        <v>63</v>
      </c>
      <c r="H739" s="6">
        <v>2</v>
      </c>
      <c r="I739" s="6">
        <v>9</v>
      </c>
      <c r="J739" s="6">
        <v>7</v>
      </c>
      <c r="K739" s="6" t="s">
        <v>35</v>
      </c>
      <c r="L739" s="6" t="str">
        <f>VLOOKUP(K739, 'Alphabetical by species code'!A:B, 2, FALSE)</f>
        <v>Deinandra fasciculata</v>
      </c>
      <c r="M739" s="6" t="str">
        <f>VLOOKUP(L739, 'Alphabetical by species code'!B:C, 2, FALSE)</f>
        <v>Native</v>
      </c>
    </row>
    <row r="740" spans="1:13" x14ac:dyDescent="0.25">
      <c r="A740" s="6">
        <v>8</v>
      </c>
      <c r="B740" s="6">
        <v>2025</v>
      </c>
      <c r="C740" s="7">
        <v>45764</v>
      </c>
      <c r="D740" s="6" t="s">
        <v>72</v>
      </c>
      <c r="E740" s="6" t="s">
        <v>26</v>
      </c>
      <c r="F740" s="6">
        <v>1</v>
      </c>
      <c r="G740" s="6" t="s">
        <v>63</v>
      </c>
      <c r="H740" s="6">
        <v>2</v>
      </c>
      <c r="I740" s="6">
        <v>9</v>
      </c>
      <c r="J740" s="6">
        <v>7</v>
      </c>
      <c r="K740" s="6" t="s">
        <v>43</v>
      </c>
      <c r="L740" s="6" t="str">
        <f>VLOOKUP(K740, 'Alphabetical by species code'!A:B, 2, FALSE)</f>
        <v>Uropappus lindleyi</v>
      </c>
      <c r="M740" s="6" t="str">
        <f>VLOOKUP(L740, 'Alphabetical by species code'!B:C, 2, FALSE)</f>
        <v>Native</v>
      </c>
    </row>
    <row r="741" spans="1:13" x14ac:dyDescent="0.25">
      <c r="A741" s="6">
        <v>8</v>
      </c>
      <c r="B741" s="6">
        <v>2025</v>
      </c>
      <c r="C741" s="7">
        <v>45764</v>
      </c>
      <c r="D741" s="6" t="s">
        <v>72</v>
      </c>
      <c r="E741" s="6" t="s">
        <v>26</v>
      </c>
      <c r="F741" s="6">
        <v>1</v>
      </c>
      <c r="G741" s="6" t="s">
        <v>63</v>
      </c>
      <c r="H741" s="6">
        <v>2</v>
      </c>
      <c r="I741" s="6">
        <v>9</v>
      </c>
      <c r="J741" s="6">
        <v>7</v>
      </c>
      <c r="K741" s="6" t="s">
        <v>37</v>
      </c>
      <c r="L741" s="6" t="str">
        <f>VLOOKUP(K741, 'Alphabetical by species code'!A:B, 2, FALSE)</f>
        <v>Sonchus oleraceus</v>
      </c>
      <c r="M741" s="6" t="str">
        <f>VLOOKUP(L741, 'Alphabetical by species code'!B:C, 2, FALSE)</f>
        <v>Non-Native</v>
      </c>
    </row>
    <row r="742" spans="1:13" x14ac:dyDescent="0.25">
      <c r="A742" s="6">
        <v>8</v>
      </c>
      <c r="B742" s="6">
        <v>2025</v>
      </c>
      <c r="C742" s="7">
        <v>45764</v>
      </c>
      <c r="D742" s="6" t="s">
        <v>72</v>
      </c>
      <c r="E742" s="6" t="s">
        <v>26</v>
      </c>
      <c r="F742" s="6">
        <v>1</v>
      </c>
      <c r="G742" s="6" t="s">
        <v>63</v>
      </c>
      <c r="H742" s="6">
        <v>2</v>
      </c>
      <c r="I742" s="6">
        <v>10</v>
      </c>
      <c r="J742" s="6">
        <v>8</v>
      </c>
      <c r="K742" s="6" t="s">
        <v>28</v>
      </c>
      <c r="L742" s="6" t="str">
        <f>VLOOKUP(K742, 'Alphabetical by species code'!A:B, 2, FALSE)</f>
        <v>Litter</v>
      </c>
      <c r="M742" s="6" t="str">
        <f>VLOOKUP(L742, 'Alphabetical by species code'!B:C, 2, FALSE)</f>
        <v>Ground Cover</v>
      </c>
    </row>
    <row r="743" spans="1:13" x14ac:dyDescent="0.25">
      <c r="A743" s="6">
        <v>8</v>
      </c>
      <c r="B743" s="6">
        <v>2025</v>
      </c>
      <c r="C743" s="7">
        <v>45764</v>
      </c>
      <c r="D743" s="6" t="s">
        <v>72</v>
      </c>
      <c r="E743" s="6" t="s">
        <v>26</v>
      </c>
      <c r="F743" s="6">
        <v>1</v>
      </c>
      <c r="G743" s="6" t="s">
        <v>63</v>
      </c>
      <c r="H743" s="6">
        <v>2</v>
      </c>
      <c r="I743" s="6">
        <v>10</v>
      </c>
      <c r="J743" s="6">
        <v>8</v>
      </c>
      <c r="K743" s="6" t="s">
        <v>35</v>
      </c>
      <c r="L743" s="6" t="str">
        <f>VLOOKUP(K743, 'Alphabetical by species code'!A:B, 2, FALSE)</f>
        <v>Deinandra fasciculata</v>
      </c>
      <c r="M743" s="6" t="str">
        <f>VLOOKUP(L743, 'Alphabetical by species code'!B:C, 2, FALSE)</f>
        <v>Native</v>
      </c>
    </row>
    <row r="744" spans="1:13" x14ac:dyDescent="0.25">
      <c r="A744" s="6">
        <v>8</v>
      </c>
      <c r="B744" s="6">
        <v>2025</v>
      </c>
      <c r="C744" s="7">
        <v>45764</v>
      </c>
      <c r="D744" s="6" t="s">
        <v>72</v>
      </c>
      <c r="E744" s="6" t="s">
        <v>26</v>
      </c>
      <c r="F744" s="6">
        <v>1</v>
      </c>
      <c r="G744" s="6" t="s">
        <v>63</v>
      </c>
      <c r="H744" s="6">
        <v>2</v>
      </c>
      <c r="I744" s="6">
        <v>10</v>
      </c>
      <c r="J744" s="6">
        <v>8</v>
      </c>
      <c r="K744" s="6" t="s">
        <v>65</v>
      </c>
      <c r="L744" s="6" t="str">
        <f>VLOOKUP(K744, 'Alphabetical by species code'!A:B, 2, FALSE)</f>
        <v>Cryptantha intermedia</v>
      </c>
      <c r="M744" s="6" t="str">
        <f>VLOOKUP(L744, 'Alphabetical by species code'!B:C, 2, FALSE)</f>
        <v>Native</v>
      </c>
    </row>
    <row r="745" spans="1:13" x14ac:dyDescent="0.25">
      <c r="A745" s="6">
        <v>8</v>
      </c>
      <c r="B745" s="6">
        <v>2025</v>
      </c>
      <c r="C745" s="7">
        <v>45764</v>
      </c>
      <c r="D745" s="6" t="s">
        <v>72</v>
      </c>
      <c r="E745" s="6" t="s">
        <v>26</v>
      </c>
      <c r="F745" s="6">
        <v>1</v>
      </c>
      <c r="G745" s="6" t="s">
        <v>63</v>
      </c>
      <c r="H745" s="6">
        <v>2</v>
      </c>
      <c r="I745" s="6">
        <v>11</v>
      </c>
      <c r="J745" s="6">
        <v>8.5</v>
      </c>
      <c r="K745" s="6" t="s">
        <v>28</v>
      </c>
      <c r="L745" s="6" t="str">
        <f>VLOOKUP(K745, 'Alphabetical by species code'!A:B, 2, FALSE)</f>
        <v>Litter</v>
      </c>
      <c r="M745" s="6" t="str">
        <f>VLOOKUP(L745, 'Alphabetical by species code'!B:C, 2, FALSE)</f>
        <v>Ground Cover</v>
      </c>
    </row>
    <row r="746" spans="1:13" x14ac:dyDescent="0.25">
      <c r="A746" s="6">
        <v>8</v>
      </c>
      <c r="B746" s="6">
        <v>2025</v>
      </c>
      <c r="C746" s="7">
        <v>45764</v>
      </c>
      <c r="D746" s="6" t="s">
        <v>72</v>
      </c>
      <c r="E746" s="6" t="s">
        <v>26</v>
      </c>
      <c r="F746" s="6">
        <v>1</v>
      </c>
      <c r="G746" s="6" t="s">
        <v>63</v>
      </c>
      <c r="H746" s="6">
        <v>2</v>
      </c>
      <c r="I746" s="6">
        <v>11</v>
      </c>
      <c r="J746" s="6">
        <v>8.5</v>
      </c>
      <c r="K746" s="6" t="s">
        <v>35</v>
      </c>
      <c r="L746" s="6" t="str">
        <f>VLOOKUP(K746, 'Alphabetical by species code'!A:B, 2, FALSE)</f>
        <v>Deinandra fasciculata</v>
      </c>
      <c r="M746" s="6" t="str">
        <f>VLOOKUP(L746, 'Alphabetical by species code'!B:C, 2, FALSE)</f>
        <v>Native</v>
      </c>
    </row>
    <row r="747" spans="1:13" x14ac:dyDescent="0.25">
      <c r="A747" s="6">
        <v>8</v>
      </c>
      <c r="B747" s="6">
        <v>2025</v>
      </c>
      <c r="C747" s="7">
        <v>45764</v>
      </c>
      <c r="D747" s="6" t="s">
        <v>72</v>
      </c>
      <c r="E747" s="6" t="s">
        <v>26</v>
      </c>
      <c r="F747" s="6">
        <v>1</v>
      </c>
      <c r="G747" s="6" t="s">
        <v>63</v>
      </c>
      <c r="H747" s="6">
        <v>2</v>
      </c>
      <c r="I747" s="6">
        <v>12</v>
      </c>
      <c r="J747" s="6">
        <v>9</v>
      </c>
      <c r="K747" s="6" t="s">
        <v>28</v>
      </c>
      <c r="L747" s="6" t="str">
        <f>VLOOKUP(K747, 'Alphabetical by species code'!A:B, 2, FALSE)</f>
        <v>Litter</v>
      </c>
      <c r="M747" s="6" t="str">
        <f>VLOOKUP(L747, 'Alphabetical by species code'!B:C, 2, FALSE)</f>
        <v>Ground Cover</v>
      </c>
    </row>
    <row r="748" spans="1:13" x14ac:dyDescent="0.25">
      <c r="A748" s="6">
        <v>8</v>
      </c>
      <c r="B748" s="6">
        <v>2025</v>
      </c>
      <c r="C748" s="7">
        <v>45764</v>
      </c>
      <c r="D748" s="6" t="s">
        <v>72</v>
      </c>
      <c r="E748" s="6" t="s">
        <v>26</v>
      </c>
      <c r="F748" s="6">
        <v>1</v>
      </c>
      <c r="G748" s="6" t="s">
        <v>63</v>
      </c>
      <c r="H748" s="6">
        <v>2</v>
      </c>
      <c r="I748" s="6">
        <v>12</v>
      </c>
      <c r="J748" s="6">
        <v>9</v>
      </c>
      <c r="K748" s="6" t="s">
        <v>48</v>
      </c>
      <c r="L748" s="6" t="str">
        <f>VLOOKUP(K748, 'Alphabetical by species code'!A:B, 2, FALSE)</f>
        <v>Sonchus asper</v>
      </c>
      <c r="M748" s="6" t="str">
        <f>VLOOKUP(L748, 'Alphabetical by species code'!B:C, 2, FALSE)</f>
        <v>Non-Native</v>
      </c>
    </row>
    <row r="749" spans="1:13" x14ac:dyDescent="0.25">
      <c r="A749" s="6">
        <v>8</v>
      </c>
      <c r="B749" s="6">
        <v>2025</v>
      </c>
      <c r="C749" s="7">
        <v>45764</v>
      </c>
      <c r="D749" s="6" t="s">
        <v>72</v>
      </c>
      <c r="E749" s="6" t="s">
        <v>26</v>
      </c>
      <c r="F749" s="6">
        <v>1</v>
      </c>
      <c r="G749" s="6" t="s">
        <v>63</v>
      </c>
      <c r="H749" s="6">
        <v>2</v>
      </c>
      <c r="I749" s="6">
        <v>12</v>
      </c>
      <c r="J749" s="6">
        <v>9</v>
      </c>
      <c r="K749" s="6" t="s">
        <v>35</v>
      </c>
      <c r="L749" s="6" t="str">
        <f>VLOOKUP(K749, 'Alphabetical by species code'!A:B, 2, FALSE)</f>
        <v>Deinandra fasciculata</v>
      </c>
      <c r="M749" s="6" t="str">
        <f>VLOOKUP(L749, 'Alphabetical by species code'!B:C, 2, FALSE)</f>
        <v>Native</v>
      </c>
    </row>
    <row r="750" spans="1:13" x14ac:dyDescent="0.25">
      <c r="A750" s="6">
        <v>8</v>
      </c>
      <c r="B750" s="6">
        <v>2025</v>
      </c>
      <c r="C750" s="7">
        <v>45764</v>
      </c>
      <c r="D750" s="6" t="s">
        <v>72</v>
      </c>
      <c r="E750" s="6" t="s">
        <v>26</v>
      </c>
      <c r="F750" s="6">
        <v>1</v>
      </c>
      <c r="G750" s="6" t="s">
        <v>63</v>
      </c>
      <c r="H750" s="6">
        <v>2</v>
      </c>
      <c r="I750" s="6">
        <v>12</v>
      </c>
      <c r="J750" s="6">
        <v>9</v>
      </c>
      <c r="K750" s="6" t="s">
        <v>31</v>
      </c>
      <c r="L750" s="6" t="str">
        <f>VLOOKUP(K750, 'Alphabetical by species code'!A:B, 2, FALSE)</f>
        <v>Festuca myuros</v>
      </c>
      <c r="M750" s="6" t="str">
        <f>VLOOKUP(L750, 'Alphabetical by species code'!B:C, 2, FALSE)</f>
        <v>Non-Native</v>
      </c>
    </row>
    <row r="751" spans="1:13" x14ac:dyDescent="0.25">
      <c r="A751" s="6">
        <v>8</v>
      </c>
      <c r="B751" s="6">
        <v>2025</v>
      </c>
      <c r="C751" s="7">
        <v>45764</v>
      </c>
      <c r="D751" s="6" t="s">
        <v>72</v>
      </c>
      <c r="E751" s="6" t="s">
        <v>26</v>
      </c>
      <c r="F751" s="6">
        <v>1</v>
      </c>
      <c r="G751" s="6" t="s">
        <v>63</v>
      </c>
      <c r="H751" s="6">
        <v>2</v>
      </c>
      <c r="I751" s="6">
        <v>13</v>
      </c>
      <c r="J751" s="6">
        <v>10</v>
      </c>
      <c r="K751" s="6" t="s">
        <v>28</v>
      </c>
      <c r="L751" s="6" t="str">
        <f>VLOOKUP(K751, 'Alphabetical by species code'!A:B, 2, FALSE)</f>
        <v>Litter</v>
      </c>
      <c r="M751" s="6" t="str">
        <f>VLOOKUP(L751, 'Alphabetical by species code'!B:C, 2, FALSE)</f>
        <v>Ground Cover</v>
      </c>
    </row>
    <row r="752" spans="1:13" x14ac:dyDescent="0.25">
      <c r="A752" s="6">
        <v>8</v>
      </c>
      <c r="B752" s="6">
        <v>2025</v>
      </c>
      <c r="C752" s="7">
        <v>45764</v>
      </c>
      <c r="D752" s="6" t="s">
        <v>72</v>
      </c>
      <c r="E752" s="6" t="s">
        <v>26</v>
      </c>
      <c r="F752" s="6">
        <v>1</v>
      </c>
      <c r="G752" s="6" t="s">
        <v>63</v>
      </c>
      <c r="H752" s="6">
        <v>2</v>
      </c>
      <c r="I752" s="6">
        <v>13</v>
      </c>
      <c r="J752" s="6">
        <v>10</v>
      </c>
      <c r="K752" s="6" t="s">
        <v>35</v>
      </c>
      <c r="L752" s="6" t="str">
        <f>VLOOKUP(K752, 'Alphabetical by species code'!A:B, 2, FALSE)</f>
        <v>Deinandra fasciculata</v>
      </c>
      <c r="M752" s="6" t="str">
        <f>VLOOKUP(L752, 'Alphabetical by species code'!B:C, 2, FALSE)</f>
        <v>Native</v>
      </c>
    </row>
    <row r="753" spans="1:13" x14ac:dyDescent="0.25">
      <c r="A753" s="6">
        <v>8</v>
      </c>
      <c r="B753" s="6">
        <v>2025</v>
      </c>
      <c r="C753" s="7">
        <v>45764</v>
      </c>
      <c r="D753" s="6" t="s">
        <v>72</v>
      </c>
      <c r="E753" s="6" t="s">
        <v>26</v>
      </c>
      <c r="F753" s="6">
        <v>1</v>
      </c>
      <c r="G753" s="6" t="s">
        <v>63</v>
      </c>
      <c r="H753" s="6">
        <v>2</v>
      </c>
      <c r="I753" s="6">
        <v>13</v>
      </c>
      <c r="J753" s="6">
        <v>10</v>
      </c>
      <c r="K753" s="6" t="s">
        <v>31</v>
      </c>
      <c r="L753" s="6" t="str">
        <f>VLOOKUP(K753, 'Alphabetical by species code'!A:B, 2, FALSE)</f>
        <v>Festuca myuros</v>
      </c>
      <c r="M753" s="6" t="str">
        <f>VLOOKUP(L753, 'Alphabetical by species code'!B:C, 2, FALSE)</f>
        <v>Non-Native</v>
      </c>
    </row>
    <row r="754" spans="1:13" x14ac:dyDescent="0.25">
      <c r="A754" s="6">
        <v>8</v>
      </c>
      <c r="B754" s="6">
        <v>2025</v>
      </c>
      <c r="C754" s="7">
        <v>45764</v>
      </c>
      <c r="D754" s="6" t="s">
        <v>72</v>
      </c>
      <c r="E754" s="6" t="s">
        <v>26</v>
      </c>
      <c r="F754" s="6">
        <v>1</v>
      </c>
      <c r="G754" s="6" t="s">
        <v>63</v>
      </c>
      <c r="H754" s="6">
        <v>2</v>
      </c>
      <c r="I754" s="6">
        <v>14</v>
      </c>
      <c r="J754" s="6">
        <v>11</v>
      </c>
      <c r="K754" s="6" t="s">
        <v>51</v>
      </c>
      <c r="L754" s="6" t="str">
        <f>VLOOKUP(K754, 'Alphabetical by species code'!A:B, 2, FALSE)</f>
        <v>Bareground</v>
      </c>
      <c r="M754" s="6" t="str">
        <f>VLOOKUP(L754, 'Alphabetical by species code'!B:C, 2, FALSE)</f>
        <v>Ground Cover</v>
      </c>
    </row>
    <row r="755" spans="1:13" x14ac:dyDescent="0.25">
      <c r="A755" s="6">
        <v>8</v>
      </c>
      <c r="B755" s="6">
        <v>2025</v>
      </c>
      <c r="C755" s="7">
        <v>45764</v>
      </c>
      <c r="D755" s="6" t="s">
        <v>72</v>
      </c>
      <c r="E755" s="6" t="s">
        <v>26</v>
      </c>
      <c r="F755" s="6">
        <v>1</v>
      </c>
      <c r="G755" s="6" t="s">
        <v>63</v>
      </c>
      <c r="H755" s="6">
        <v>2</v>
      </c>
      <c r="I755" s="6">
        <v>14</v>
      </c>
      <c r="J755" s="6">
        <v>11</v>
      </c>
      <c r="K755" s="6" t="s">
        <v>35</v>
      </c>
      <c r="L755" s="6" t="str">
        <f>VLOOKUP(K755, 'Alphabetical by species code'!A:B, 2, FALSE)</f>
        <v>Deinandra fasciculata</v>
      </c>
      <c r="M755" s="6" t="str">
        <f>VLOOKUP(L755, 'Alphabetical by species code'!B:C, 2, FALSE)</f>
        <v>Native</v>
      </c>
    </row>
    <row r="756" spans="1:13" x14ac:dyDescent="0.25">
      <c r="A756" s="6">
        <v>8</v>
      </c>
      <c r="B756" s="6">
        <v>2025</v>
      </c>
      <c r="C756" s="7">
        <v>45764</v>
      </c>
      <c r="D756" s="6" t="s">
        <v>72</v>
      </c>
      <c r="E756" s="6" t="s">
        <v>26</v>
      </c>
      <c r="F756" s="6">
        <v>1</v>
      </c>
      <c r="G756" s="6" t="s">
        <v>63</v>
      </c>
      <c r="H756" s="6">
        <v>2</v>
      </c>
      <c r="I756" s="6">
        <v>14</v>
      </c>
      <c r="J756" s="6">
        <v>11</v>
      </c>
      <c r="K756" s="6" t="s">
        <v>31</v>
      </c>
      <c r="L756" s="6" t="str">
        <f>VLOOKUP(K756, 'Alphabetical by species code'!A:B, 2, FALSE)</f>
        <v>Festuca myuros</v>
      </c>
      <c r="M756" s="6" t="str">
        <f>VLOOKUP(L756, 'Alphabetical by species code'!B:C, 2, FALSE)</f>
        <v>Non-Native</v>
      </c>
    </row>
    <row r="757" spans="1:13" x14ac:dyDescent="0.25">
      <c r="A757" s="6">
        <v>8</v>
      </c>
      <c r="B757" s="6">
        <v>2025</v>
      </c>
      <c r="C757" s="7">
        <v>45764</v>
      </c>
      <c r="D757" s="6" t="s">
        <v>72</v>
      </c>
      <c r="E757" s="6" t="s">
        <v>26</v>
      </c>
      <c r="F757" s="6">
        <v>1</v>
      </c>
      <c r="G757" s="6" t="s">
        <v>63</v>
      </c>
      <c r="H757" s="6">
        <v>2</v>
      </c>
      <c r="I757" s="6">
        <v>15</v>
      </c>
      <c r="J757" s="6">
        <v>12</v>
      </c>
      <c r="K757" s="6" t="s">
        <v>28</v>
      </c>
      <c r="L757" s="6" t="str">
        <f>VLOOKUP(K757, 'Alphabetical by species code'!A:B, 2, FALSE)</f>
        <v>Litter</v>
      </c>
      <c r="M757" s="6" t="str">
        <f>VLOOKUP(L757, 'Alphabetical by species code'!B:C, 2, FALSE)</f>
        <v>Ground Cover</v>
      </c>
    </row>
    <row r="758" spans="1:13" x14ac:dyDescent="0.25">
      <c r="A758" s="6">
        <v>8</v>
      </c>
      <c r="B758" s="6">
        <v>2025</v>
      </c>
      <c r="C758" s="7">
        <v>45764</v>
      </c>
      <c r="D758" s="6" t="s">
        <v>72</v>
      </c>
      <c r="E758" s="6" t="s">
        <v>26</v>
      </c>
      <c r="F758" s="6">
        <v>1</v>
      </c>
      <c r="G758" s="6" t="s">
        <v>63</v>
      </c>
      <c r="H758" s="6">
        <v>2</v>
      </c>
      <c r="I758" s="6">
        <v>15</v>
      </c>
      <c r="J758" s="6">
        <v>12</v>
      </c>
      <c r="K758" s="6" t="s">
        <v>31</v>
      </c>
      <c r="L758" s="6" t="str">
        <f>VLOOKUP(K758, 'Alphabetical by species code'!A:B, 2, FALSE)</f>
        <v>Festuca myuros</v>
      </c>
      <c r="M758" s="6" t="str">
        <f>VLOOKUP(L758, 'Alphabetical by species code'!B:C, 2, FALSE)</f>
        <v>Non-Native</v>
      </c>
    </row>
    <row r="759" spans="1:13" x14ac:dyDescent="0.25">
      <c r="A759" s="6">
        <v>8</v>
      </c>
      <c r="B759" s="6">
        <v>2025</v>
      </c>
      <c r="C759" s="7">
        <v>45764</v>
      </c>
      <c r="D759" s="6" t="s">
        <v>72</v>
      </c>
      <c r="E759" s="6" t="s">
        <v>26</v>
      </c>
      <c r="F759" s="6">
        <v>1</v>
      </c>
      <c r="G759" s="6" t="s">
        <v>63</v>
      </c>
      <c r="H759" s="6">
        <v>2</v>
      </c>
      <c r="I759" s="6">
        <v>15</v>
      </c>
      <c r="J759" s="6">
        <v>12</v>
      </c>
      <c r="K759" s="6" t="s">
        <v>43</v>
      </c>
      <c r="L759" s="6" t="str">
        <f>VLOOKUP(K759, 'Alphabetical by species code'!A:B, 2, FALSE)</f>
        <v>Uropappus lindleyi</v>
      </c>
      <c r="M759" s="6" t="str">
        <f>VLOOKUP(L759, 'Alphabetical by species code'!B:C, 2, FALSE)</f>
        <v>Native</v>
      </c>
    </row>
    <row r="760" spans="1:13" x14ac:dyDescent="0.25">
      <c r="A760" s="6">
        <v>9</v>
      </c>
      <c r="B760" s="6">
        <v>2025</v>
      </c>
      <c r="C760" s="7">
        <v>45764</v>
      </c>
      <c r="D760" s="6" t="s">
        <v>74</v>
      </c>
      <c r="E760" s="6" t="s">
        <v>75</v>
      </c>
      <c r="F760" s="6">
        <v>1</v>
      </c>
      <c r="G760" s="6" t="s">
        <v>27</v>
      </c>
      <c r="H760" s="6">
        <v>1</v>
      </c>
      <c r="I760" s="6">
        <v>1</v>
      </c>
      <c r="J760" s="6">
        <v>0</v>
      </c>
      <c r="K760" s="6" t="s">
        <v>60</v>
      </c>
      <c r="L760" s="6" t="str">
        <f>VLOOKUP(K760, 'Alphabetical by species code'!A:B, 2, FALSE)</f>
        <v>Moss</v>
      </c>
      <c r="M760" s="6" t="str">
        <f>VLOOKUP(L760, 'Alphabetical by species code'!B:C, 2, FALSE)</f>
        <v>Ground Cover</v>
      </c>
    </row>
    <row r="761" spans="1:13" x14ac:dyDescent="0.25">
      <c r="A761" s="6">
        <v>9</v>
      </c>
      <c r="B761" s="6">
        <v>2025</v>
      </c>
      <c r="C761" s="7">
        <v>45764</v>
      </c>
      <c r="D761" s="6" t="s">
        <v>74</v>
      </c>
      <c r="E761" s="6" t="s">
        <v>75</v>
      </c>
      <c r="F761" s="6">
        <v>1</v>
      </c>
      <c r="G761" s="6" t="s">
        <v>27</v>
      </c>
      <c r="H761" s="6">
        <v>1</v>
      </c>
      <c r="I761" s="6">
        <v>1</v>
      </c>
      <c r="J761" s="6">
        <v>0</v>
      </c>
      <c r="K761" s="6" t="s">
        <v>29</v>
      </c>
      <c r="L761" s="6" t="str">
        <f>VLOOKUP(K761, 'Alphabetical by species code'!A:B, 2, FALSE)</f>
        <v>Opuntia littoralis</v>
      </c>
      <c r="M761" s="6" t="str">
        <f>VLOOKUP(L761, 'Alphabetical by species code'!B:C, 2, FALSE)</f>
        <v>Native</v>
      </c>
    </row>
    <row r="762" spans="1:13" x14ac:dyDescent="0.25">
      <c r="A762" s="6">
        <v>9</v>
      </c>
      <c r="B762" s="6">
        <v>2025</v>
      </c>
      <c r="C762" s="7">
        <v>45764</v>
      </c>
      <c r="D762" s="6" t="s">
        <v>74</v>
      </c>
      <c r="E762" s="6" t="s">
        <v>75</v>
      </c>
      <c r="F762" s="6">
        <v>1</v>
      </c>
      <c r="G762" s="6" t="s">
        <v>27</v>
      </c>
      <c r="H762" s="6">
        <v>1</v>
      </c>
      <c r="I762" s="6">
        <v>2</v>
      </c>
      <c r="J762" s="6">
        <v>0.5</v>
      </c>
      <c r="K762" s="6" t="s">
        <v>41</v>
      </c>
      <c r="L762" s="6" t="str">
        <f>VLOOKUP(K762, 'Alphabetical by species code'!A:B, 2, FALSE)</f>
        <v>Stem</v>
      </c>
      <c r="M762" s="6" t="str">
        <f>VLOOKUP(L762, 'Alphabetical by species code'!B:C, 2, FALSE)</f>
        <v>Ground Cover</v>
      </c>
    </row>
    <row r="763" spans="1:13" x14ac:dyDescent="0.25">
      <c r="A763" s="6">
        <v>9</v>
      </c>
      <c r="B763" s="6">
        <v>2025</v>
      </c>
      <c r="C763" s="7">
        <v>45764</v>
      </c>
      <c r="D763" s="6" t="s">
        <v>74</v>
      </c>
      <c r="E763" s="6" t="s">
        <v>75</v>
      </c>
      <c r="F763" s="6">
        <v>1</v>
      </c>
      <c r="G763" s="6" t="s">
        <v>27</v>
      </c>
      <c r="H763" s="6">
        <v>1</v>
      </c>
      <c r="I763" s="6">
        <v>2</v>
      </c>
      <c r="J763" s="6">
        <v>0.5</v>
      </c>
      <c r="K763" s="6" t="s">
        <v>29</v>
      </c>
      <c r="L763" s="6" t="str">
        <f>VLOOKUP(K763, 'Alphabetical by species code'!A:B, 2, FALSE)</f>
        <v>Opuntia littoralis</v>
      </c>
      <c r="M763" s="6" t="str">
        <f>VLOOKUP(L763, 'Alphabetical by species code'!B:C, 2, FALSE)</f>
        <v>Native</v>
      </c>
    </row>
    <row r="764" spans="1:13" x14ac:dyDescent="0.25">
      <c r="A764" s="6">
        <v>9</v>
      </c>
      <c r="B764" s="6">
        <v>2025</v>
      </c>
      <c r="C764" s="7">
        <v>45764</v>
      </c>
      <c r="D764" s="6" t="s">
        <v>74</v>
      </c>
      <c r="E764" s="6" t="s">
        <v>75</v>
      </c>
      <c r="F764" s="6">
        <v>1</v>
      </c>
      <c r="G764" s="6" t="s">
        <v>27</v>
      </c>
      <c r="H764" s="6">
        <v>1</v>
      </c>
      <c r="I764" s="6">
        <v>3</v>
      </c>
      <c r="J764" s="6">
        <v>1</v>
      </c>
      <c r="K764" s="6" t="s">
        <v>28</v>
      </c>
      <c r="L764" s="6" t="str">
        <f>VLOOKUP(K764, 'Alphabetical by species code'!A:B, 2, FALSE)</f>
        <v>Litter</v>
      </c>
      <c r="M764" s="6" t="str">
        <f>VLOOKUP(L764, 'Alphabetical by species code'!B:C, 2, FALSE)</f>
        <v>Ground Cover</v>
      </c>
    </row>
    <row r="765" spans="1:13" x14ac:dyDescent="0.25">
      <c r="A765" s="6">
        <v>9</v>
      </c>
      <c r="B765" s="6">
        <v>2025</v>
      </c>
      <c r="C765" s="7">
        <v>45764</v>
      </c>
      <c r="D765" s="6" t="s">
        <v>74</v>
      </c>
      <c r="E765" s="6" t="s">
        <v>75</v>
      </c>
      <c r="F765" s="6">
        <v>1</v>
      </c>
      <c r="G765" s="6" t="s">
        <v>27</v>
      </c>
      <c r="H765" s="6">
        <v>1</v>
      </c>
      <c r="I765" s="6">
        <v>3</v>
      </c>
      <c r="J765" s="6">
        <v>1</v>
      </c>
      <c r="K765" s="6" t="s">
        <v>29</v>
      </c>
      <c r="L765" s="6" t="str">
        <f>VLOOKUP(K765, 'Alphabetical by species code'!A:B, 2, FALSE)</f>
        <v>Opuntia littoralis</v>
      </c>
      <c r="M765" s="6" t="str">
        <f>VLOOKUP(L765, 'Alphabetical by species code'!B:C, 2, FALSE)</f>
        <v>Native</v>
      </c>
    </row>
    <row r="766" spans="1:13" x14ac:dyDescent="0.25">
      <c r="A766" s="6">
        <v>9</v>
      </c>
      <c r="B766" s="6">
        <v>2025</v>
      </c>
      <c r="C766" s="7">
        <v>45764</v>
      </c>
      <c r="D766" s="6" t="s">
        <v>74</v>
      </c>
      <c r="E766" s="6" t="s">
        <v>75</v>
      </c>
      <c r="F766" s="6">
        <v>1</v>
      </c>
      <c r="G766" s="6" t="s">
        <v>27</v>
      </c>
      <c r="H766" s="6">
        <v>1</v>
      </c>
      <c r="I766" s="6">
        <v>3</v>
      </c>
      <c r="J766" s="6">
        <v>1</v>
      </c>
      <c r="K766" s="6" t="s">
        <v>33</v>
      </c>
      <c r="L766" s="6" t="str">
        <f>VLOOKUP(K766, 'Alphabetical by species code'!A:B, 2, FALSE)</f>
        <v>Unknown non-native grass</v>
      </c>
      <c r="M766" s="6">
        <f>VLOOKUP(L766, 'Alphabetical by species code'!B:C, 2, FALSE)</f>
        <v>0</v>
      </c>
    </row>
    <row r="767" spans="1:13" x14ac:dyDescent="0.25">
      <c r="A767" s="6">
        <v>9</v>
      </c>
      <c r="B767" s="6">
        <v>2025</v>
      </c>
      <c r="C767" s="7">
        <v>45764</v>
      </c>
      <c r="D767" s="6" t="s">
        <v>74</v>
      </c>
      <c r="E767" s="6" t="s">
        <v>75</v>
      </c>
      <c r="F767" s="6">
        <v>1</v>
      </c>
      <c r="G767" s="6" t="s">
        <v>27</v>
      </c>
      <c r="H767" s="6">
        <v>1</v>
      </c>
      <c r="I767" s="6">
        <v>4</v>
      </c>
      <c r="J767" s="6">
        <v>1.5</v>
      </c>
      <c r="K767" s="6" t="s">
        <v>41</v>
      </c>
      <c r="L767" s="6" t="str">
        <f>VLOOKUP(K767, 'Alphabetical by species code'!A:B, 2, FALSE)</f>
        <v>Stem</v>
      </c>
      <c r="M767" s="6" t="str">
        <f>VLOOKUP(L767, 'Alphabetical by species code'!B:C, 2, FALSE)</f>
        <v>Ground Cover</v>
      </c>
    </row>
    <row r="768" spans="1:13" x14ac:dyDescent="0.25">
      <c r="A768" s="6">
        <v>9</v>
      </c>
      <c r="B768" s="6">
        <v>2025</v>
      </c>
      <c r="C768" s="7">
        <v>45764</v>
      </c>
      <c r="D768" s="6" t="s">
        <v>74</v>
      </c>
      <c r="E768" s="6" t="s">
        <v>75</v>
      </c>
      <c r="F768" s="6">
        <v>1</v>
      </c>
      <c r="G768" s="6" t="s">
        <v>27</v>
      </c>
      <c r="H768" s="6">
        <v>1</v>
      </c>
      <c r="I768" s="6">
        <v>4</v>
      </c>
      <c r="J768" s="6">
        <v>1.5</v>
      </c>
      <c r="K768" s="6" t="s">
        <v>29</v>
      </c>
      <c r="L768" s="6" t="str">
        <f>VLOOKUP(K768, 'Alphabetical by species code'!A:B, 2, FALSE)</f>
        <v>Opuntia littoralis</v>
      </c>
      <c r="M768" s="6" t="str">
        <f>VLOOKUP(L768, 'Alphabetical by species code'!B:C, 2, FALSE)</f>
        <v>Native</v>
      </c>
    </row>
    <row r="769" spans="1:13" x14ac:dyDescent="0.25">
      <c r="A769" s="6">
        <v>9</v>
      </c>
      <c r="B769" s="6">
        <v>2025</v>
      </c>
      <c r="C769" s="7">
        <v>45764</v>
      </c>
      <c r="D769" s="6" t="s">
        <v>74</v>
      </c>
      <c r="E769" s="6" t="s">
        <v>75</v>
      </c>
      <c r="F769" s="6">
        <v>1</v>
      </c>
      <c r="G769" s="6" t="s">
        <v>27</v>
      </c>
      <c r="H769" s="6">
        <v>1</v>
      </c>
      <c r="I769" s="6">
        <v>4</v>
      </c>
      <c r="J769" s="6">
        <v>1.5</v>
      </c>
      <c r="K769" s="6" t="s">
        <v>35</v>
      </c>
      <c r="L769" s="6" t="str">
        <f>VLOOKUP(K769, 'Alphabetical by species code'!A:B, 2, FALSE)</f>
        <v>Deinandra fasciculata</v>
      </c>
      <c r="M769" s="6" t="str">
        <f>VLOOKUP(L769, 'Alphabetical by species code'!B:C, 2, FALSE)</f>
        <v>Native</v>
      </c>
    </row>
    <row r="770" spans="1:13" x14ac:dyDescent="0.25">
      <c r="A770" s="6">
        <v>9</v>
      </c>
      <c r="B770" s="6">
        <v>2025</v>
      </c>
      <c r="C770" s="7">
        <v>45764</v>
      </c>
      <c r="D770" s="6" t="s">
        <v>74</v>
      </c>
      <c r="E770" s="6" t="s">
        <v>75</v>
      </c>
      <c r="F770" s="6">
        <v>1</v>
      </c>
      <c r="G770" s="6" t="s">
        <v>27</v>
      </c>
      <c r="H770" s="6">
        <v>1</v>
      </c>
      <c r="I770" s="6">
        <v>5</v>
      </c>
      <c r="J770" s="6">
        <v>2</v>
      </c>
      <c r="K770" s="6" t="s">
        <v>28</v>
      </c>
      <c r="L770" s="6" t="str">
        <f>VLOOKUP(K770, 'Alphabetical by species code'!A:B, 2, FALSE)</f>
        <v>Litter</v>
      </c>
      <c r="M770" s="6" t="str">
        <f>VLOOKUP(L770, 'Alphabetical by species code'!B:C, 2, FALSE)</f>
        <v>Ground Cover</v>
      </c>
    </row>
    <row r="771" spans="1:13" x14ac:dyDescent="0.25">
      <c r="A771" s="6">
        <v>9</v>
      </c>
      <c r="B771" s="6">
        <v>2025</v>
      </c>
      <c r="C771" s="7">
        <v>45764</v>
      </c>
      <c r="D771" s="6" t="s">
        <v>74</v>
      </c>
      <c r="E771" s="6" t="s">
        <v>75</v>
      </c>
      <c r="F771" s="6">
        <v>1</v>
      </c>
      <c r="G771" s="6" t="s">
        <v>27</v>
      </c>
      <c r="H771" s="6">
        <v>1</v>
      </c>
      <c r="I771" s="6">
        <v>5</v>
      </c>
      <c r="J771" s="6">
        <v>2</v>
      </c>
      <c r="K771" s="6" t="s">
        <v>48</v>
      </c>
      <c r="L771" s="6" t="str">
        <f>VLOOKUP(K771, 'Alphabetical by species code'!A:B, 2, FALSE)</f>
        <v>Sonchus asper</v>
      </c>
      <c r="M771" s="6" t="str">
        <f>VLOOKUP(L771, 'Alphabetical by species code'!B:C, 2, FALSE)</f>
        <v>Non-Native</v>
      </c>
    </row>
    <row r="772" spans="1:13" x14ac:dyDescent="0.25">
      <c r="A772" s="6">
        <v>9</v>
      </c>
      <c r="B772" s="6">
        <v>2025</v>
      </c>
      <c r="C772" s="7">
        <v>45764</v>
      </c>
      <c r="D772" s="6" t="s">
        <v>74</v>
      </c>
      <c r="E772" s="6" t="s">
        <v>75</v>
      </c>
      <c r="F772" s="6">
        <v>1</v>
      </c>
      <c r="G772" s="6" t="s">
        <v>27</v>
      </c>
      <c r="H772" s="6">
        <v>1</v>
      </c>
      <c r="I772" s="6">
        <v>5</v>
      </c>
      <c r="J772" s="6">
        <v>2</v>
      </c>
      <c r="K772" s="6" t="s">
        <v>42</v>
      </c>
      <c r="L772" s="6" t="str">
        <f>VLOOKUP(K772, 'Alphabetical by species code'!A:B, 2, FALSE)</f>
        <v>Centaurea melitensis</v>
      </c>
      <c r="M772" s="6" t="str">
        <f>VLOOKUP(L772, 'Alphabetical by species code'!B:C, 2, FALSE)</f>
        <v>Non-Native</v>
      </c>
    </row>
    <row r="773" spans="1:13" x14ac:dyDescent="0.25">
      <c r="A773" s="6">
        <v>9</v>
      </c>
      <c r="B773" s="6">
        <v>2025</v>
      </c>
      <c r="C773" s="7">
        <v>45764</v>
      </c>
      <c r="D773" s="6" t="s">
        <v>74</v>
      </c>
      <c r="E773" s="6" t="s">
        <v>75</v>
      </c>
      <c r="F773" s="6">
        <v>1</v>
      </c>
      <c r="G773" s="6" t="s">
        <v>27</v>
      </c>
      <c r="H773" s="6">
        <v>1</v>
      </c>
      <c r="I773" s="6">
        <v>6</v>
      </c>
      <c r="J773" s="6">
        <v>2.5</v>
      </c>
      <c r="K773" s="6" t="s">
        <v>28</v>
      </c>
      <c r="L773" s="6" t="str">
        <f>VLOOKUP(K773, 'Alphabetical by species code'!A:B, 2, FALSE)</f>
        <v>Litter</v>
      </c>
      <c r="M773" s="6" t="str">
        <f>VLOOKUP(L773, 'Alphabetical by species code'!B:C, 2, FALSE)</f>
        <v>Ground Cover</v>
      </c>
    </row>
    <row r="774" spans="1:13" x14ac:dyDescent="0.25">
      <c r="A774" s="6">
        <v>9</v>
      </c>
      <c r="B774" s="6">
        <v>2025</v>
      </c>
      <c r="C774" s="7">
        <v>45764</v>
      </c>
      <c r="D774" s="6" t="s">
        <v>74</v>
      </c>
      <c r="E774" s="6" t="s">
        <v>75</v>
      </c>
      <c r="F774" s="6">
        <v>1</v>
      </c>
      <c r="G774" s="6" t="s">
        <v>27</v>
      </c>
      <c r="H774" s="6">
        <v>1</v>
      </c>
      <c r="I774" s="6">
        <v>6</v>
      </c>
      <c r="J774" s="6">
        <v>2.5</v>
      </c>
      <c r="K774" s="6" t="s">
        <v>76</v>
      </c>
      <c r="L774" s="6" t="str">
        <f>VLOOKUP(K774, 'Alphabetical by species code'!A:B, 2, FALSE)</f>
        <v>Avena fatua</v>
      </c>
      <c r="M774" s="6" t="str">
        <f>VLOOKUP(L774, 'Alphabetical by species code'!B:C, 2, FALSE)</f>
        <v>Non-Native</v>
      </c>
    </row>
    <row r="775" spans="1:13" x14ac:dyDescent="0.25">
      <c r="A775" s="6">
        <v>9</v>
      </c>
      <c r="B775" s="6">
        <v>2025</v>
      </c>
      <c r="C775" s="7">
        <v>45764</v>
      </c>
      <c r="D775" s="6" t="s">
        <v>74</v>
      </c>
      <c r="E775" s="6" t="s">
        <v>75</v>
      </c>
      <c r="F775" s="6">
        <v>1</v>
      </c>
      <c r="G775" s="6" t="s">
        <v>27</v>
      </c>
      <c r="H775" s="6">
        <v>1</v>
      </c>
      <c r="I775" s="6">
        <v>6</v>
      </c>
      <c r="J775" s="6">
        <v>2.5</v>
      </c>
      <c r="K775" s="6" t="s">
        <v>36</v>
      </c>
      <c r="L775" s="6" t="str">
        <f>VLOOKUP(K775, 'Alphabetical by species code'!A:B, 2, FALSE)</f>
        <v>Bromus madritensis</v>
      </c>
      <c r="M775" s="6" t="str">
        <f>VLOOKUP(L775, 'Alphabetical by species code'!B:C, 2, FALSE)</f>
        <v>Non-Native</v>
      </c>
    </row>
    <row r="776" spans="1:13" x14ac:dyDescent="0.25">
      <c r="A776" s="6">
        <v>9</v>
      </c>
      <c r="B776" s="6">
        <v>2025</v>
      </c>
      <c r="C776" s="7">
        <v>45764</v>
      </c>
      <c r="D776" s="6" t="s">
        <v>74</v>
      </c>
      <c r="E776" s="6" t="s">
        <v>75</v>
      </c>
      <c r="F776" s="6">
        <v>1</v>
      </c>
      <c r="G776" s="6" t="s">
        <v>27</v>
      </c>
      <c r="H776" s="6">
        <v>1</v>
      </c>
      <c r="I776" s="6">
        <v>6</v>
      </c>
      <c r="J776" s="6">
        <v>2.5</v>
      </c>
      <c r="K776" s="6" t="s">
        <v>29</v>
      </c>
      <c r="L776" s="6" t="str">
        <f>VLOOKUP(K776, 'Alphabetical by species code'!A:B, 2, FALSE)</f>
        <v>Opuntia littoralis</v>
      </c>
      <c r="M776" s="6" t="str">
        <f>VLOOKUP(L776, 'Alphabetical by species code'!B:C, 2, FALSE)</f>
        <v>Native</v>
      </c>
    </row>
    <row r="777" spans="1:13" x14ac:dyDescent="0.25">
      <c r="A777" s="6">
        <v>9</v>
      </c>
      <c r="B777" s="6">
        <v>2025</v>
      </c>
      <c r="C777" s="7">
        <v>45764</v>
      </c>
      <c r="D777" s="6" t="s">
        <v>74</v>
      </c>
      <c r="E777" s="6" t="s">
        <v>75</v>
      </c>
      <c r="F777" s="6">
        <v>1</v>
      </c>
      <c r="G777" s="6" t="s">
        <v>27</v>
      </c>
      <c r="H777" s="6">
        <v>1</v>
      </c>
      <c r="I777" s="6">
        <v>7</v>
      </c>
      <c r="J777" s="6">
        <v>3</v>
      </c>
      <c r="K777" s="6" t="s">
        <v>28</v>
      </c>
      <c r="L777" s="6" t="str">
        <f>VLOOKUP(K777, 'Alphabetical by species code'!A:B, 2, FALSE)</f>
        <v>Litter</v>
      </c>
      <c r="M777" s="6" t="str">
        <f>VLOOKUP(L777, 'Alphabetical by species code'!B:C, 2, FALSE)</f>
        <v>Ground Cover</v>
      </c>
    </row>
    <row r="778" spans="1:13" x14ac:dyDescent="0.25">
      <c r="A778" s="6">
        <v>9</v>
      </c>
      <c r="B778" s="6">
        <v>2025</v>
      </c>
      <c r="C778" s="7">
        <v>45764</v>
      </c>
      <c r="D778" s="6" t="s">
        <v>74</v>
      </c>
      <c r="E778" s="6" t="s">
        <v>75</v>
      </c>
      <c r="F778" s="6">
        <v>1</v>
      </c>
      <c r="G778" s="6" t="s">
        <v>27</v>
      </c>
      <c r="H778" s="6">
        <v>1</v>
      </c>
      <c r="I778" s="6">
        <v>7</v>
      </c>
      <c r="J778" s="6">
        <v>3</v>
      </c>
      <c r="K778" s="6" t="s">
        <v>35</v>
      </c>
      <c r="L778" s="6" t="str">
        <f>VLOOKUP(K778, 'Alphabetical by species code'!A:B, 2, FALSE)</f>
        <v>Deinandra fasciculata</v>
      </c>
      <c r="M778" s="6" t="str">
        <f>VLOOKUP(L778, 'Alphabetical by species code'!B:C, 2, FALSE)</f>
        <v>Native</v>
      </c>
    </row>
    <row r="779" spans="1:13" x14ac:dyDescent="0.25">
      <c r="A779" s="6">
        <v>9</v>
      </c>
      <c r="B779" s="6">
        <v>2025</v>
      </c>
      <c r="C779" s="7">
        <v>45764</v>
      </c>
      <c r="D779" s="6" t="s">
        <v>74</v>
      </c>
      <c r="E779" s="6" t="s">
        <v>75</v>
      </c>
      <c r="F779" s="6">
        <v>1</v>
      </c>
      <c r="G779" s="6" t="s">
        <v>27</v>
      </c>
      <c r="H779" s="6">
        <v>1</v>
      </c>
      <c r="I779" s="6">
        <v>7</v>
      </c>
      <c r="J779" s="6">
        <v>3</v>
      </c>
      <c r="K779" s="6" t="s">
        <v>31</v>
      </c>
      <c r="L779" s="6" t="str">
        <f>VLOOKUP(K779, 'Alphabetical by species code'!A:B, 2, FALSE)</f>
        <v>Festuca myuros</v>
      </c>
      <c r="M779" s="6" t="str">
        <f>VLOOKUP(L779, 'Alphabetical by species code'!B:C, 2, FALSE)</f>
        <v>Non-Native</v>
      </c>
    </row>
    <row r="780" spans="1:13" x14ac:dyDescent="0.25">
      <c r="A780" s="6">
        <v>9</v>
      </c>
      <c r="B780" s="6">
        <v>2025</v>
      </c>
      <c r="C780" s="7">
        <v>45764</v>
      </c>
      <c r="D780" s="6" t="s">
        <v>74</v>
      </c>
      <c r="E780" s="6" t="s">
        <v>75</v>
      </c>
      <c r="F780" s="6">
        <v>1</v>
      </c>
      <c r="G780" s="6" t="s">
        <v>27</v>
      </c>
      <c r="H780" s="6">
        <v>1</v>
      </c>
      <c r="I780" s="6">
        <v>8</v>
      </c>
      <c r="J780" s="6">
        <v>3.5</v>
      </c>
      <c r="K780" s="6" t="s">
        <v>28</v>
      </c>
      <c r="L780" s="6" t="str">
        <f>VLOOKUP(K780, 'Alphabetical by species code'!A:B, 2, FALSE)</f>
        <v>Litter</v>
      </c>
      <c r="M780" s="6" t="str">
        <f>VLOOKUP(L780, 'Alphabetical by species code'!B:C, 2, FALSE)</f>
        <v>Ground Cover</v>
      </c>
    </row>
    <row r="781" spans="1:13" x14ac:dyDescent="0.25">
      <c r="A781" s="6">
        <v>9</v>
      </c>
      <c r="B781" s="6">
        <v>2025</v>
      </c>
      <c r="C781" s="7">
        <v>45764</v>
      </c>
      <c r="D781" s="6" t="s">
        <v>74</v>
      </c>
      <c r="E781" s="6" t="s">
        <v>75</v>
      </c>
      <c r="F781" s="6">
        <v>1</v>
      </c>
      <c r="G781" s="6" t="s">
        <v>27</v>
      </c>
      <c r="H781" s="6">
        <v>1</v>
      </c>
      <c r="I781" s="6">
        <v>8</v>
      </c>
      <c r="J781" s="6">
        <v>3.5</v>
      </c>
      <c r="K781" s="6" t="s">
        <v>35</v>
      </c>
      <c r="L781" s="6" t="str">
        <f>VLOOKUP(K781, 'Alphabetical by species code'!A:B, 2, FALSE)</f>
        <v>Deinandra fasciculata</v>
      </c>
      <c r="M781" s="6" t="str">
        <f>VLOOKUP(L781, 'Alphabetical by species code'!B:C, 2, FALSE)</f>
        <v>Native</v>
      </c>
    </row>
    <row r="782" spans="1:13" x14ac:dyDescent="0.25">
      <c r="A782" s="6">
        <v>9</v>
      </c>
      <c r="B782" s="6">
        <v>2025</v>
      </c>
      <c r="C782" s="7">
        <v>45764</v>
      </c>
      <c r="D782" s="6" t="s">
        <v>74</v>
      </c>
      <c r="E782" s="6" t="s">
        <v>75</v>
      </c>
      <c r="F782" s="6">
        <v>1</v>
      </c>
      <c r="G782" s="6" t="s">
        <v>27</v>
      </c>
      <c r="H782" s="6">
        <v>1</v>
      </c>
      <c r="I782" s="6">
        <v>8</v>
      </c>
      <c r="J782" s="6">
        <v>3.5</v>
      </c>
      <c r="K782" s="6" t="s">
        <v>37</v>
      </c>
      <c r="L782" s="6" t="str">
        <f>VLOOKUP(K782, 'Alphabetical by species code'!A:B, 2, FALSE)</f>
        <v>Sonchus oleraceus</v>
      </c>
      <c r="M782" s="6" t="str">
        <f>VLOOKUP(L782, 'Alphabetical by species code'!B:C, 2, FALSE)</f>
        <v>Non-Native</v>
      </c>
    </row>
    <row r="783" spans="1:13" x14ac:dyDescent="0.25">
      <c r="A783" s="6">
        <v>9</v>
      </c>
      <c r="B783" s="6">
        <v>2025</v>
      </c>
      <c r="C783" s="7">
        <v>45764</v>
      </c>
      <c r="D783" s="6" t="s">
        <v>74</v>
      </c>
      <c r="E783" s="6" t="s">
        <v>75</v>
      </c>
      <c r="F783" s="6">
        <v>1</v>
      </c>
      <c r="G783" s="6" t="s">
        <v>27</v>
      </c>
      <c r="H783" s="6">
        <v>1</v>
      </c>
      <c r="I783" s="6">
        <v>9</v>
      </c>
      <c r="J783" s="6">
        <v>4</v>
      </c>
      <c r="K783" s="6" t="s">
        <v>28</v>
      </c>
      <c r="L783" s="6" t="str">
        <f>VLOOKUP(K783, 'Alphabetical by species code'!A:B, 2, FALSE)</f>
        <v>Litter</v>
      </c>
      <c r="M783" s="6" t="str">
        <f>VLOOKUP(L783, 'Alphabetical by species code'!B:C, 2, FALSE)</f>
        <v>Ground Cover</v>
      </c>
    </row>
    <row r="784" spans="1:13" x14ac:dyDescent="0.25">
      <c r="A784" s="6">
        <v>9</v>
      </c>
      <c r="B784" s="6">
        <v>2025</v>
      </c>
      <c r="C784" s="7">
        <v>45764</v>
      </c>
      <c r="D784" s="6" t="s">
        <v>74</v>
      </c>
      <c r="E784" s="6" t="s">
        <v>75</v>
      </c>
      <c r="F784" s="6">
        <v>1</v>
      </c>
      <c r="G784" s="6" t="s">
        <v>27</v>
      </c>
      <c r="H784" s="6">
        <v>1</v>
      </c>
      <c r="I784" s="6">
        <v>9</v>
      </c>
      <c r="J784" s="6">
        <v>4</v>
      </c>
      <c r="K784" s="6" t="s">
        <v>36</v>
      </c>
      <c r="L784" s="6" t="str">
        <f>VLOOKUP(K784, 'Alphabetical by species code'!A:B, 2, FALSE)</f>
        <v>Bromus madritensis</v>
      </c>
      <c r="M784" s="6" t="str">
        <f>VLOOKUP(L784, 'Alphabetical by species code'!B:C, 2, FALSE)</f>
        <v>Non-Native</v>
      </c>
    </row>
    <row r="785" spans="1:13" x14ac:dyDescent="0.25">
      <c r="A785" s="6">
        <v>9</v>
      </c>
      <c r="B785" s="6">
        <v>2025</v>
      </c>
      <c r="C785" s="7">
        <v>45764</v>
      </c>
      <c r="D785" s="6" t="s">
        <v>74</v>
      </c>
      <c r="E785" s="6" t="s">
        <v>75</v>
      </c>
      <c r="F785" s="6">
        <v>1</v>
      </c>
      <c r="G785" s="6" t="s">
        <v>27</v>
      </c>
      <c r="H785" s="6">
        <v>1</v>
      </c>
      <c r="I785" s="6">
        <v>9</v>
      </c>
      <c r="J785" s="6">
        <v>4</v>
      </c>
      <c r="K785" s="6" t="s">
        <v>35</v>
      </c>
      <c r="L785" s="6" t="str">
        <f>VLOOKUP(K785, 'Alphabetical by species code'!A:B, 2, FALSE)</f>
        <v>Deinandra fasciculata</v>
      </c>
      <c r="M785" s="6" t="str">
        <f>VLOOKUP(L785, 'Alphabetical by species code'!B:C, 2, FALSE)</f>
        <v>Native</v>
      </c>
    </row>
    <row r="786" spans="1:13" x14ac:dyDescent="0.25">
      <c r="A786" s="6">
        <v>9</v>
      </c>
      <c r="B786" s="6">
        <v>2025</v>
      </c>
      <c r="C786" s="7">
        <v>45764</v>
      </c>
      <c r="D786" s="6" t="s">
        <v>74</v>
      </c>
      <c r="E786" s="6" t="s">
        <v>75</v>
      </c>
      <c r="F786" s="6">
        <v>1</v>
      </c>
      <c r="G786" s="6" t="s">
        <v>27</v>
      </c>
      <c r="H786" s="6">
        <v>1</v>
      </c>
      <c r="I786" s="6">
        <v>9</v>
      </c>
      <c r="J786" s="6">
        <v>4</v>
      </c>
      <c r="K786" s="6" t="s">
        <v>43</v>
      </c>
      <c r="L786" s="6" t="str">
        <f>VLOOKUP(K786, 'Alphabetical by species code'!A:B, 2, FALSE)</f>
        <v>Uropappus lindleyi</v>
      </c>
      <c r="M786" s="6" t="str">
        <f>VLOOKUP(L786, 'Alphabetical by species code'!B:C, 2, FALSE)</f>
        <v>Native</v>
      </c>
    </row>
    <row r="787" spans="1:13" x14ac:dyDescent="0.25">
      <c r="A787" s="6">
        <v>9</v>
      </c>
      <c r="B787" s="6">
        <v>2025</v>
      </c>
      <c r="C787" s="7">
        <v>45764</v>
      </c>
      <c r="D787" s="6" t="s">
        <v>74</v>
      </c>
      <c r="E787" s="6" t="s">
        <v>75</v>
      </c>
      <c r="F787" s="6">
        <v>1</v>
      </c>
      <c r="G787" s="6" t="s">
        <v>27</v>
      </c>
      <c r="H787" s="6">
        <v>1</v>
      </c>
      <c r="I787" s="6">
        <v>10</v>
      </c>
      <c r="J787" s="6">
        <v>4.5</v>
      </c>
      <c r="K787" s="6" t="s">
        <v>28</v>
      </c>
      <c r="L787" s="6" t="str">
        <f>VLOOKUP(K787, 'Alphabetical by species code'!A:B, 2, FALSE)</f>
        <v>Litter</v>
      </c>
      <c r="M787" s="6" t="str">
        <f>VLOOKUP(L787, 'Alphabetical by species code'!B:C, 2, FALSE)</f>
        <v>Ground Cover</v>
      </c>
    </row>
    <row r="788" spans="1:13" x14ac:dyDescent="0.25">
      <c r="A788" s="6">
        <v>9</v>
      </c>
      <c r="B788" s="6">
        <v>2025</v>
      </c>
      <c r="C788" s="7">
        <v>45764</v>
      </c>
      <c r="D788" s="6" t="s">
        <v>74</v>
      </c>
      <c r="E788" s="6" t="s">
        <v>75</v>
      </c>
      <c r="F788" s="6">
        <v>1</v>
      </c>
      <c r="G788" s="6" t="s">
        <v>27</v>
      </c>
      <c r="H788" s="6">
        <v>1</v>
      </c>
      <c r="I788" s="6">
        <v>10</v>
      </c>
      <c r="J788" s="6">
        <v>4.5</v>
      </c>
      <c r="K788" s="6" t="s">
        <v>48</v>
      </c>
      <c r="L788" s="6" t="str">
        <f>VLOOKUP(K788, 'Alphabetical by species code'!A:B, 2, FALSE)</f>
        <v>Sonchus asper</v>
      </c>
      <c r="M788" s="6" t="str">
        <f>VLOOKUP(L788, 'Alphabetical by species code'!B:C, 2, FALSE)</f>
        <v>Non-Native</v>
      </c>
    </row>
    <row r="789" spans="1:13" x14ac:dyDescent="0.25">
      <c r="A789" s="6">
        <v>9</v>
      </c>
      <c r="B789" s="6">
        <v>2025</v>
      </c>
      <c r="C789" s="7">
        <v>45764</v>
      </c>
      <c r="D789" s="6" t="s">
        <v>74</v>
      </c>
      <c r="E789" s="6" t="s">
        <v>75</v>
      </c>
      <c r="F789" s="6">
        <v>1</v>
      </c>
      <c r="G789" s="6" t="s">
        <v>27</v>
      </c>
      <c r="H789" s="6">
        <v>1</v>
      </c>
      <c r="I789" s="6">
        <v>10</v>
      </c>
      <c r="J789" s="6">
        <v>4.5</v>
      </c>
      <c r="K789" s="6" t="s">
        <v>37</v>
      </c>
      <c r="L789" s="6" t="str">
        <f>VLOOKUP(K789, 'Alphabetical by species code'!A:B, 2, FALSE)</f>
        <v>Sonchus oleraceus</v>
      </c>
      <c r="M789" s="6" t="str">
        <f>VLOOKUP(L789, 'Alphabetical by species code'!B:C, 2, FALSE)</f>
        <v>Non-Native</v>
      </c>
    </row>
    <row r="790" spans="1:13" x14ac:dyDescent="0.25">
      <c r="A790" s="6">
        <v>9</v>
      </c>
      <c r="B790" s="6">
        <v>2025</v>
      </c>
      <c r="C790" s="7">
        <v>45764</v>
      </c>
      <c r="D790" s="6" t="s">
        <v>74</v>
      </c>
      <c r="E790" s="6" t="s">
        <v>75</v>
      </c>
      <c r="F790" s="6">
        <v>1</v>
      </c>
      <c r="G790" s="6" t="s">
        <v>27</v>
      </c>
      <c r="H790" s="6">
        <v>1</v>
      </c>
      <c r="I790" s="6">
        <v>10</v>
      </c>
      <c r="J790" s="6">
        <v>4.5</v>
      </c>
      <c r="K790" s="6" t="s">
        <v>36</v>
      </c>
      <c r="L790" s="6" t="str">
        <f>VLOOKUP(K790, 'Alphabetical by species code'!A:B, 2, FALSE)</f>
        <v>Bromus madritensis</v>
      </c>
      <c r="M790" s="6" t="str">
        <f>VLOOKUP(L790, 'Alphabetical by species code'!B:C, 2, FALSE)</f>
        <v>Non-Native</v>
      </c>
    </row>
    <row r="791" spans="1:13" x14ac:dyDescent="0.25">
      <c r="A791" s="6">
        <v>9</v>
      </c>
      <c r="B791" s="6">
        <v>2025</v>
      </c>
      <c r="C791" s="7">
        <v>45764</v>
      </c>
      <c r="D791" s="6" t="s">
        <v>74</v>
      </c>
      <c r="E791" s="6" t="s">
        <v>75</v>
      </c>
      <c r="F791" s="6">
        <v>1</v>
      </c>
      <c r="G791" s="6" t="s">
        <v>27</v>
      </c>
      <c r="H791" s="6">
        <v>1</v>
      </c>
      <c r="I791" s="6">
        <v>10</v>
      </c>
      <c r="J791" s="6">
        <v>4.5</v>
      </c>
      <c r="K791" s="6" t="s">
        <v>31</v>
      </c>
      <c r="L791" s="6" t="str">
        <f>VLOOKUP(K791, 'Alphabetical by species code'!A:B, 2, FALSE)</f>
        <v>Festuca myuros</v>
      </c>
      <c r="M791" s="6" t="str">
        <f>VLOOKUP(L791, 'Alphabetical by species code'!B:C, 2, FALSE)</f>
        <v>Non-Native</v>
      </c>
    </row>
    <row r="792" spans="1:13" x14ac:dyDescent="0.25">
      <c r="A792" s="6">
        <v>9</v>
      </c>
      <c r="B792" s="6">
        <v>2025</v>
      </c>
      <c r="C792" s="7">
        <v>45764</v>
      </c>
      <c r="D792" s="6" t="s">
        <v>74</v>
      </c>
      <c r="E792" s="6" t="s">
        <v>75</v>
      </c>
      <c r="F792" s="6">
        <v>1</v>
      </c>
      <c r="G792" s="6" t="s">
        <v>27</v>
      </c>
      <c r="H792" s="6">
        <v>1</v>
      </c>
      <c r="I792" s="6">
        <v>11</v>
      </c>
      <c r="J792" s="6">
        <v>5</v>
      </c>
      <c r="K792" s="6" t="s">
        <v>28</v>
      </c>
      <c r="L792" s="6" t="str">
        <f>VLOOKUP(K792, 'Alphabetical by species code'!A:B, 2, FALSE)</f>
        <v>Litter</v>
      </c>
      <c r="M792" s="6" t="str">
        <f>VLOOKUP(L792, 'Alphabetical by species code'!B:C, 2, FALSE)</f>
        <v>Ground Cover</v>
      </c>
    </row>
    <row r="793" spans="1:13" x14ac:dyDescent="0.25">
      <c r="A793" s="6">
        <v>9</v>
      </c>
      <c r="B793" s="6">
        <v>2025</v>
      </c>
      <c r="C793" s="7">
        <v>45764</v>
      </c>
      <c r="D793" s="6" t="s">
        <v>74</v>
      </c>
      <c r="E793" s="6" t="s">
        <v>75</v>
      </c>
      <c r="F793" s="6">
        <v>1</v>
      </c>
      <c r="G793" s="6" t="s">
        <v>27</v>
      </c>
      <c r="H793" s="6">
        <v>1</v>
      </c>
      <c r="I793" s="6">
        <v>11</v>
      </c>
      <c r="J793" s="6">
        <v>5</v>
      </c>
      <c r="K793" s="6" t="s">
        <v>36</v>
      </c>
      <c r="L793" s="6" t="str">
        <f>VLOOKUP(K793, 'Alphabetical by species code'!A:B, 2, FALSE)</f>
        <v>Bromus madritensis</v>
      </c>
      <c r="M793" s="6" t="str">
        <f>VLOOKUP(L793, 'Alphabetical by species code'!B:C, 2, FALSE)</f>
        <v>Non-Native</v>
      </c>
    </row>
    <row r="794" spans="1:13" x14ac:dyDescent="0.25">
      <c r="A794" s="6">
        <v>9</v>
      </c>
      <c r="B794" s="6">
        <v>2025</v>
      </c>
      <c r="C794" s="7">
        <v>45764</v>
      </c>
      <c r="D794" s="6" t="s">
        <v>74</v>
      </c>
      <c r="E794" s="6" t="s">
        <v>75</v>
      </c>
      <c r="F794" s="6">
        <v>1</v>
      </c>
      <c r="G794" s="6" t="s">
        <v>27</v>
      </c>
      <c r="H794" s="6">
        <v>1</v>
      </c>
      <c r="I794" s="6">
        <v>11</v>
      </c>
      <c r="J794" s="6">
        <v>5</v>
      </c>
      <c r="K794" s="6" t="s">
        <v>48</v>
      </c>
      <c r="L794" s="6" t="str">
        <f>VLOOKUP(K794, 'Alphabetical by species code'!A:B, 2, FALSE)</f>
        <v>Sonchus asper</v>
      </c>
      <c r="M794" s="6" t="str">
        <f>VLOOKUP(L794, 'Alphabetical by species code'!B:C, 2, FALSE)</f>
        <v>Non-Native</v>
      </c>
    </row>
    <row r="795" spans="1:13" x14ac:dyDescent="0.25">
      <c r="A795" s="6">
        <v>9</v>
      </c>
      <c r="B795" s="6">
        <v>2025</v>
      </c>
      <c r="C795" s="7">
        <v>45764</v>
      </c>
      <c r="D795" s="6" t="s">
        <v>74</v>
      </c>
      <c r="E795" s="6" t="s">
        <v>75</v>
      </c>
      <c r="F795" s="6">
        <v>1</v>
      </c>
      <c r="G795" s="6" t="s">
        <v>27</v>
      </c>
      <c r="H795" s="6">
        <v>1</v>
      </c>
      <c r="I795" s="6">
        <v>12</v>
      </c>
      <c r="J795" s="6">
        <v>5.5</v>
      </c>
      <c r="K795" s="6" t="s">
        <v>28</v>
      </c>
      <c r="L795" s="6" t="str">
        <f>VLOOKUP(K795, 'Alphabetical by species code'!A:B, 2, FALSE)</f>
        <v>Litter</v>
      </c>
      <c r="M795" s="6" t="str">
        <f>VLOOKUP(L795, 'Alphabetical by species code'!B:C, 2, FALSE)</f>
        <v>Ground Cover</v>
      </c>
    </row>
    <row r="796" spans="1:13" x14ac:dyDescent="0.25">
      <c r="A796" s="6">
        <v>9</v>
      </c>
      <c r="B796" s="6">
        <v>2025</v>
      </c>
      <c r="C796" s="7">
        <v>45764</v>
      </c>
      <c r="D796" s="6" t="s">
        <v>74</v>
      </c>
      <c r="E796" s="6" t="s">
        <v>75</v>
      </c>
      <c r="F796" s="6">
        <v>1</v>
      </c>
      <c r="G796" s="6" t="s">
        <v>27</v>
      </c>
      <c r="H796" s="6">
        <v>1</v>
      </c>
      <c r="I796" s="6">
        <v>12</v>
      </c>
      <c r="J796" s="6">
        <v>5.5</v>
      </c>
      <c r="K796" s="6" t="s">
        <v>49</v>
      </c>
      <c r="L796" s="6" t="str">
        <f>VLOOKUP(K796, 'Alphabetical by species code'!A:B, 2, FALSE)</f>
        <v>Anagallis arvensis</v>
      </c>
      <c r="M796" s="6" t="str">
        <f>VLOOKUP(L796, 'Alphabetical by species code'!B:C, 2, FALSE)</f>
        <v>Non-Native</v>
      </c>
    </row>
    <row r="797" spans="1:13" x14ac:dyDescent="0.25">
      <c r="A797" s="6">
        <v>9</v>
      </c>
      <c r="B797" s="6">
        <v>2025</v>
      </c>
      <c r="C797" s="7">
        <v>45764</v>
      </c>
      <c r="D797" s="6" t="s">
        <v>74</v>
      </c>
      <c r="E797" s="6" t="s">
        <v>75</v>
      </c>
      <c r="F797" s="6">
        <v>1</v>
      </c>
      <c r="G797" s="6" t="s">
        <v>27</v>
      </c>
      <c r="H797" s="6">
        <v>1</v>
      </c>
      <c r="I797" s="6">
        <v>13</v>
      </c>
      <c r="J797" s="6">
        <v>6.5</v>
      </c>
      <c r="K797" s="6" t="s">
        <v>28</v>
      </c>
      <c r="L797" s="6" t="str">
        <f>VLOOKUP(K797, 'Alphabetical by species code'!A:B, 2, FALSE)</f>
        <v>Litter</v>
      </c>
      <c r="M797" s="6" t="str">
        <f>VLOOKUP(L797, 'Alphabetical by species code'!B:C, 2, FALSE)</f>
        <v>Ground Cover</v>
      </c>
    </row>
    <row r="798" spans="1:13" x14ac:dyDescent="0.25">
      <c r="A798" s="6">
        <v>9</v>
      </c>
      <c r="B798" s="6">
        <v>2025</v>
      </c>
      <c r="C798" s="7">
        <v>45764</v>
      </c>
      <c r="D798" s="6" t="s">
        <v>74</v>
      </c>
      <c r="E798" s="6" t="s">
        <v>75</v>
      </c>
      <c r="F798" s="6">
        <v>1</v>
      </c>
      <c r="G798" s="6" t="s">
        <v>27</v>
      </c>
      <c r="H798" s="6">
        <v>1</v>
      </c>
      <c r="I798" s="6">
        <v>13</v>
      </c>
      <c r="J798" s="6">
        <v>6.5</v>
      </c>
      <c r="K798" s="6" t="s">
        <v>49</v>
      </c>
      <c r="L798" s="6" t="str">
        <f>VLOOKUP(K798, 'Alphabetical by species code'!A:B, 2, FALSE)</f>
        <v>Anagallis arvensis</v>
      </c>
      <c r="M798" s="6" t="str">
        <f>VLOOKUP(L798, 'Alphabetical by species code'!B:C, 2, FALSE)</f>
        <v>Non-Native</v>
      </c>
    </row>
    <row r="799" spans="1:13" x14ac:dyDescent="0.25">
      <c r="A799" s="6">
        <v>9</v>
      </c>
      <c r="B799" s="6">
        <v>2025</v>
      </c>
      <c r="C799" s="7">
        <v>45764</v>
      </c>
      <c r="D799" s="6" t="s">
        <v>74</v>
      </c>
      <c r="E799" s="6" t="s">
        <v>75</v>
      </c>
      <c r="F799" s="6">
        <v>1</v>
      </c>
      <c r="G799" s="6" t="s">
        <v>27</v>
      </c>
      <c r="H799" s="6">
        <v>1</v>
      </c>
      <c r="I799" s="6">
        <v>13</v>
      </c>
      <c r="J799" s="6">
        <v>6.5</v>
      </c>
      <c r="K799" s="6" t="s">
        <v>35</v>
      </c>
      <c r="L799" s="6" t="str">
        <f>VLOOKUP(K799, 'Alphabetical by species code'!A:B, 2, FALSE)</f>
        <v>Deinandra fasciculata</v>
      </c>
      <c r="M799" s="6" t="str">
        <f>VLOOKUP(L799, 'Alphabetical by species code'!B:C, 2, FALSE)</f>
        <v>Native</v>
      </c>
    </row>
    <row r="800" spans="1:13" x14ac:dyDescent="0.25">
      <c r="A800" s="6">
        <v>9</v>
      </c>
      <c r="B800" s="6">
        <v>2025</v>
      </c>
      <c r="C800" s="7">
        <v>45764</v>
      </c>
      <c r="D800" s="6" t="s">
        <v>74</v>
      </c>
      <c r="E800" s="6" t="s">
        <v>75</v>
      </c>
      <c r="F800" s="6">
        <v>1</v>
      </c>
      <c r="G800" s="6" t="s">
        <v>27</v>
      </c>
      <c r="H800" s="6">
        <v>1</v>
      </c>
      <c r="I800" s="6">
        <v>13</v>
      </c>
      <c r="J800" s="6">
        <v>6.5</v>
      </c>
      <c r="K800" s="6" t="s">
        <v>31</v>
      </c>
      <c r="L800" s="6" t="str">
        <f>VLOOKUP(K800, 'Alphabetical by species code'!A:B, 2, FALSE)</f>
        <v>Festuca myuros</v>
      </c>
      <c r="M800" s="6" t="str">
        <f>VLOOKUP(L800, 'Alphabetical by species code'!B:C, 2, FALSE)</f>
        <v>Non-Native</v>
      </c>
    </row>
    <row r="801" spans="1:13" x14ac:dyDescent="0.25">
      <c r="A801" s="6">
        <v>9</v>
      </c>
      <c r="B801" s="6">
        <v>2025</v>
      </c>
      <c r="C801" s="7">
        <v>45764</v>
      </c>
      <c r="D801" s="6" t="s">
        <v>74</v>
      </c>
      <c r="E801" s="6" t="s">
        <v>75</v>
      </c>
      <c r="F801" s="6">
        <v>1</v>
      </c>
      <c r="G801" s="6" t="s">
        <v>27</v>
      </c>
      <c r="H801" s="6">
        <v>1</v>
      </c>
      <c r="I801" s="6">
        <v>14</v>
      </c>
      <c r="J801" s="6">
        <v>7</v>
      </c>
      <c r="K801" s="6" t="s">
        <v>28</v>
      </c>
      <c r="L801" s="6" t="str">
        <f>VLOOKUP(K801, 'Alphabetical by species code'!A:B, 2, FALSE)</f>
        <v>Litter</v>
      </c>
      <c r="M801" s="6" t="str">
        <f>VLOOKUP(L801, 'Alphabetical by species code'!B:C, 2, FALSE)</f>
        <v>Ground Cover</v>
      </c>
    </row>
    <row r="802" spans="1:13" x14ac:dyDescent="0.25">
      <c r="A802" s="6">
        <v>9</v>
      </c>
      <c r="B802" s="6">
        <v>2025</v>
      </c>
      <c r="C802" s="7">
        <v>45764</v>
      </c>
      <c r="D802" s="6" t="s">
        <v>74</v>
      </c>
      <c r="E802" s="6" t="s">
        <v>75</v>
      </c>
      <c r="F802" s="6">
        <v>1</v>
      </c>
      <c r="G802" s="6" t="s">
        <v>27</v>
      </c>
      <c r="H802" s="6">
        <v>1</v>
      </c>
      <c r="I802" s="6">
        <v>14</v>
      </c>
      <c r="J802" s="6">
        <v>7</v>
      </c>
      <c r="K802" s="6" t="s">
        <v>43</v>
      </c>
      <c r="L802" s="6" t="str">
        <f>VLOOKUP(K802, 'Alphabetical by species code'!A:B, 2, FALSE)</f>
        <v>Uropappus lindleyi</v>
      </c>
      <c r="M802" s="6" t="str">
        <f>VLOOKUP(L802, 'Alphabetical by species code'!B:C, 2, FALSE)</f>
        <v>Native</v>
      </c>
    </row>
    <row r="803" spans="1:13" x14ac:dyDescent="0.25">
      <c r="A803" s="6">
        <v>9</v>
      </c>
      <c r="B803" s="6">
        <v>2025</v>
      </c>
      <c r="C803" s="7">
        <v>45764</v>
      </c>
      <c r="D803" s="6" t="s">
        <v>74</v>
      </c>
      <c r="E803" s="6" t="s">
        <v>75</v>
      </c>
      <c r="F803" s="6">
        <v>1</v>
      </c>
      <c r="G803" s="6" t="s">
        <v>27</v>
      </c>
      <c r="H803" s="6">
        <v>1</v>
      </c>
      <c r="I803" s="6">
        <v>14</v>
      </c>
      <c r="J803" s="6">
        <v>7</v>
      </c>
      <c r="K803" s="6" t="s">
        <v>49</v>
      </c>
      <c r="L803" s="6" t="str">
        <f>VLOOKUP(K803, 'Alphabetical by species code'!A:B, 2, FALSE)</f>
        <v>Anagallis arvensis</v>
      </c>
      <c r="M803" s="6" t="str">
        <f>VLOOKUP(L803, 'Alphabetical by species code'!B:C, 2, FALSE)</f>
        <v>Non-Native</v>
      </c>
    </row>
    <row r="804" spans="1:13" x14ac:dyDescent="0.25">
      <c r="A804" s="6">
        <v>9</v>
      </c>
      <c r="B804" s="6">
        <v>2025</v>
      </c>
      <c r="C804" s="7">
        <v>45764</v>
      </c>
      <c r="D804" s="6" t="s">
        <v>74</v>
      </c>
      <c r="E804" s="6" t="s">
        <v>75</v>
      </c>
      <c r="F804" s="6">
        <v>1</v>
      </c>
      <c r="G804" s="6" t="s">
        <v>27</v>
      </c>
      <c r="H804" s="6">
        <v>1</v>
      </c>
      <c r="I804" s="6">
        <v>14</v>
      </c>
      <c r="J804" s="6">
        <v>7</v>
      </c>
      <c r="K804" s="6" t="s">
        <v>48</v>
      </c>
      <c r="L804" s="6" t="str">
        <f>VLOOKUP(K804, 'Alphabetical by species code'!A:B, 2, FALSE)</f>
        <v>Sonchus asper</v>
      </c>
      <c r="M804" s="6" t="str">
        <f>VLOOKUP(L804, 'Alphabetical by species code'!B:C, 2, FALSE)</f>
        <v>Non-Native</v>
      </c>
    </row>
    <row r="805" spans="1:13" x14ac:dyDescent="0.25">
      <c r="A805" s="6">
        <v>9</v>
      </c>
      <c r="B805" s="6">
        <v>2025</v>
      </c>
      <c r="C805" s="7">
        <v>45764</v>
      </c>
      <c r="D805" s="6" t="s">
        <v>74</v>
      </c>
      <c r="E805" s="6" t="s">
        <v>75</v>
      </c>
      <c r="F805" s="6">
        <v>1</v>
      </c>
      <c r="G805" s="6" t="s">
        <v>27</v>
      </c>
      <c r="H805" s="6">
        <v>1</v>
      </c>
      <c r="I805" s="6">
        <v>15</v>
      </c>
      <c r="J805" s="6">
        <v>7.5</v>
      </c>
      <c r="K805" s="6" t="s">
        <v>28</v>
      </c>
      <c r="L805" s="6" t="str">
        <f>VLOOKUP(K805, 'Alphabetical by species code'!A:B, 2, FALSE)</f>
        <v>Litter</v>
      </c>
      <c r="M805" s="6" t="str">
        <f>VLOOKUP(L805, 'Alphabetical by species code'!B:C, 2, FALSE)</f>
        <v>Ground Cover</v>
      </c>
    </row>
    <row r="806" spans="1:13" x14ac:dyDescent="0.25">
      <c r="A806" s="6">
        <v>9</v>
      </c>
      <c r="B806" s="6">
        <v>2025</v>
      </c>
      <c r="C806" s="7">
        <v>45764</v>
      </c>
      <c r="D806" s="6" t="s">
        <v>74</v>
      </c>
      <c r="E806" s="6" t="s">
        <v>75</v>
      </c>
      <c r="F806" s="6">
        <v>1</v>
      </c>
      <c r="G806" s="6" t="s">
        <v>27</v>
      </c>
      <c r="H806" s="6">
        <v>1</v>
      </c>
      <c r="I806" s="6">
        <v>15</v>
      </c>
      <c r="J806" s="6">
        <v>7.5</v>
      </c>
      <c r="K806" s="6" t="s">
        <v>36</v>
      </c>
      <c r="L806" s="6" t="str">
        <f>VLOOKUP(K806, 'Alphabetical by species code'!A:B, 2, FALSE)</f>
        <v>Bromus madritensis</v>
      </c>
      <c r="M806" s="6" t="str">
        <f>VLOOKUP(L806, 'Alphabetical by species code'!B:C, 2, FALSE)</f>
        <v>Non-Native</v>
      </c>
    </row>
    <row r="807" spans="1:13" x14ac:dyDescent="0.25">
      <c r="A807" s="6">
        <v>9</v>
      </c>
      <c r="B807" s="6">
        <v>2025</v>
      </c>
      <c r="C807" s="7">
        <v>45764</v>
      </c>
      <c r="D807" s="6" t="s">
        <v>74</v>
      </c>
      <c r="E807" s="6" t="s">
        <v>75</v>
      </c>
      <c r="F807" s="6">
        <v>1</v>
      </c>
      <c r="G807" s="6" t="s">
        <v>27</v>
      </c>
      <c r="H807" s="6">
        <v>1</v>
      </c>
      <c r="I807" s="6">
        <v>15</v>
      </c>
      <c r="J807" s="6">
        <v>7.5</v>
      </c>
      <c r="K807" s="6" t="s">
        <v>43</v>
      </c>
      <c r="L807" s="6" t="str">
        <f>VLOOKUP(K807, 'Alphabetical by species code'!A:B, 2, FALSE)</f>
        <v>Uropappus lindleyi</v>
      </c>
      <c r="M807" s="6" t="str">
        <f>VLOOKUP(L807, 'Alphabetical by species code'!B:C, 2, FALSE)</f>
        <v>Native</v>
      </c>
    </row>
    <row r="808" spans="1:13" x14ac:dyDescent="0.25">
      <c r="A808" s="6">
        <v>9</v>
      </c>
      <c r="B808" s="6">
        <v>2025</v>
      </c>
      <c r="C808" s="7">
        <v>45764</v>
      </c>
      <c r="D808" s="6" t="s">
        <v>74</v>
      </c>
      <c r="E808" s="6" t="s">
        <v>75</v>
      </c>
      <c r="F808" s="6">
        <v>1</v>
      </c>
      <c r="G808" s="6" t="s">
        <v>27</v>
      </c>
      <c r="H808" s="6">
        <v>2</v>
      </c>
      <c r="I808" s="6">
        <v>1</v>
      </c>
      <c r="J808" s="6">
        <v>0</v>
      </c>
      <c r="K808" s="6" t="s">
        <v>28</v>
      </c>
      <c r="L808" s="6" t="str">
        <f>VLOOKUP(K808, 'Alphabetical by species code'!A:B, 2, FALSE)</f>
        <v>Litter</v>
      </c>
      <c r="M808" s="6" t="str">
        <f>VLOOKUP(L808, 'Alphabetical by species code'!B:C, 2, FALSE)</f>
        <v>Ground Cover</v>
      </c>
    </row>
    <row r="809" spans="1:13" x14ac:dyDescent="0.25">
      <c r="A809" s="6">
        <v>9</v>
      </c>
      <c r="B809" s="6">
        <v>2025</v>
      </c>
      <c r="C809" s="7">
        <v>45764</v>
      </c>
      <c r="D809" s="6" t="s">
        <v>74</v>
      </c>
      <c r="E809" s="6" t="s">
        <v>75</v>
      </c>
      <c r="F809" s="6">
        <v>1</v>
      </c>
      <c r="G809" s="6" t="s">
        <v>27</v>
      </c>
      <c r="H809" s="6">
        <v>2</v>
      </c>
      <c r="I809" s="6">
        <v>1</v>
      </c>
      <c r="J809" s="6">
        <v>0</v>
      </c>
      <c r="K809" s="6" t="s">
        <v>36</v>
      </c>
      <c r="L809" s="6" t="str">
        <f>VLOOKUP(K809, 'Alphabetical by species code'!A:B, 2, FALSE)</f>
        <v>Bromus madritensis</v>
      </c>
      <c r="M809" s="6" t="str">
        <f>VLOOKUP(L809, 'Alphabetical by species code'!B:C, 2, FALSE)</f>
        <v>Non-Native</v>
      </c>
    </row>
    <row r="810" spans="1:13" x14ac:dyDescent="0.25">
      <c r="A810" s="6">
        <v>9</v>
      </c>
      <c r="B810" s="6">
        <v>2025</v>
      </c>
      <c r="C810" s="7">
        <v>45764</v>
      </c>
      <c r="D810" s="6" t="s">
        <v>74</v>
      </c>
      <c r="E810" s="6" t="s">
        <v>75</v>
      </c>
      <c r="F810" s="6">
        <v>1</v>
      </c>
      <c r="G810" s="6" t="s">
        <v>27</v>
      </c>
      <c r="H810" s="6">
        <v>2</v>
      </c>
      <c r="I810" s="6">
        <v>1</v>
      </c>
      <c r="J810" s="6">
        <v>0</v>
      </c>
      <c r="K810" s="6" t="s">
        <v>31</v>
      </c>
      <c r="L810" s="6" t="str">
        <f>VLOOKUP(K810, 'Alphabetical by species code'!A:B, 2, FALSE)</f>
        <v>Festuca myuros</v>
      </c>
      <c r="M810" s="6" t="str">
        <f>VLOOKUP(L810, 'Alphabetical by species code'!B:C, 2, FALSE)</f>
        <v>Non-Native</v>
      </c>
    </row>
    <row r="811" spans="1:13" x14ac:dyDescent="0.25">
      <c r="A811" s="6">
        <v>9</v>
      </c>
      <c r="B811" s="6">
        <v>2025</v>
      </c>
      <c r="C811" s="7">
        <v>45764</v>
      </c>
      <c r="D811" s="6" t="s">
        <v>74</v>
      </c>
      <c r="E811" s="6" t="s">
        <v>75</v>
      </c>
      <c r="F811" s="6">
        <v>1</v>
      </c>
      <c r="G811" s="6" t="s">
        <v>27</v>
      </c>
      <c r="H811" s="6">
        <v>2</v>
      </c>
      <c r="I811" s="6">
        <v>1</v>
      </c>
      <c r="J811" s="6">
        <v>0</v>
      </c>
      <c r="K811" s="6" t="s">
        <v>42</v>
      </c>
      <c r="L811" s="6" t="str">
        <f>VLOOKUP(K811, 'Alphabetical by species code'!A:B, 2, FALSE)</f>
        <v>Centaurea melitensis</v>
      </c>
      <c r="M811" s="6" t="str">
        <f>VLOOKUP(L811, 'Alphabetical by species code'!B:C, 2, FALSE)</f>
        <v>Non-Native</v>
      </c>
    </row>
    <row r="812" spans="1:13" x14ac:dyDescent="0.25">
      <c r="A812" s="6">
        <v>9</v>
      </c>
      <c r="B812" s="6">
        <v>2025</v>
      </c>
      <c r="C812" s="7">
        <v>45764</v>
      </c>
      <c r="D812" s="6" t="s">
        <v>74</v>
      </c>
      <c r="E812" s="6" t="s">
        <v>75</v>
      </c>
      <c r="F812" s="6">
        <v>1</v>
      </c>
      <c r="G812" s="6" t="s">
        <v>27</v>
      </c>
      <c r="H812" s="6">
        <v>2</v>
      </c>
      <c r="I812" s="6">
        <v>1</v>
      </c>
      <c r="J812" s="6">
        <v>0</v>
      </c>
      <c r="K812" s="6" t="s">
        <v>29</v>
      </c>
      <c r="L812" s="6" t="str">
        <f>VLOOKUP(K812, 'Alphabetical by species code'!A:B, 2, FALSE)</f>
        <v>Opuntia littoralis</v>
      </c>
      <c r="M812" s="6" t="str">
        <f>VLOOKUP(L812, 'Alphabetical by species code'!B:C, 2, FALSE)</f>
        <v>Native</v>
      </c>
    </row>
    <row r="813" spans="1:13" x14ac:dyDescent="0.25">
      <c r="A813" s="6">
        <v>9</v>
      </c>
      <c r="B813" s="6">
        <v>2025</v>
      </c>
      <c r="C813" s="7">
        <v>45764</v>
      </c>
      <c r="D813" s="6" t="s">
        <v>74</v>
      </c>
      <c r="E813" s="6" t="s">
        <v>75</v>
      </c>
      <c r="F813" s="6">
        <v>1</v>
      </c>
      <c r="G813" s="6" t="s">
        <v>27</v>
      </c>
      <c r="H813" s="6">
        <v>2</v>
      </c>
      <c r="I813" s="6">
        <v>2</v>
      </c>
      <c r="J813" s="6">
        <v>0.5</v>
      </c>
      <c r="K813" s="6" t="s">
        <v>41</v>
      </c>
      <c r="L813" s="6" t="str">
        <f>VLOOKUP(K813, 'Alphabetical by species code'!A:B, 2, FALSE)</f>
        <v>Stem</v>
      </c>
      <c r="M813" s="6" t="str">
        <f>VLOOKUP(L813, 'Alphabetical by species code'!B:C, 2, FALSE)</f>
        <v>Ground Cover</v>
      </c>
    </row>
    <row r="814" spans="1:13" x14ac:dyDescent="0.25">
      <c r="A814" s="6">
        <v>9</v>
      </c>
      <c r="B814" s="6">
        <v>2025</v>
      </c>
      <c r="C814" s="7">
        <v>45764</v>
      </c>
      <c r="D814" s="6" t="s">
        <v>74</v>
      </c>
      <c r="E814" s="6" t="s">
        <v>75</v>
      </c>
      <c r="F814" s="6">
        <v>1</v>
      </c>
      <c r="G814" s="6" t="s">
        <v>27</v>
      </c>
      <c r="H814" s="6">
        <v>2</v>
      </c>
      <c r="I814" s="6">
        <v>2</v>
      </c>
      <c r="J814" s="6">
        <v>0.5</v>
      </c>
      <c r="K814" s="6" t="s">
        <v>29</v>
      </c>
      <c r="L814" s="6" t="str">
        <f>VLOOKUP(K814, 'Alphabetical by species code'!A:B, 2, FALSE)</f>
        <v>Opuntia littoralis</v>
      </c>
      <c r="M814" s="6" t="str">
        <f>VLOOKUP(L814, 'Alphabetical by species code'!B:C, 2, FALSE)</f>
        <v>Native</v>
      </c>
    </row>
    <row r="815" spans="1:13" x14ac:dyDescent="0.25">
      <c r="A815" s="6">
        <v>9</v>
      </c>
      <c r="B815" s="6">
        <v>2025</v>
      </c>
      <c r="C815" s="7">
        <v>45764</v>
      </c>
      <c r="D815" s="6" t="s">
        <v>74</v>
      </c>
      <c r="E815" s="6" t="s">
        <v>75</v>
      </c>
      <c r="F815" s="6">
        <v>1</v>
      </c>
      <c r="G815" s="6" t="s">
        <v>27</v>
      </c>
      <c r="H815" s="6">
        <v>2</v>
      </c>
      <c r="I815" s="6">
        <v>2</v>
      </c>
      <c r="J815" s="6">
        <v>0.5</v>
      </c>
      <c r="K815" s="6" t="s">
        <v>36</v>
      </c>
      <c r="L815" s="6" t="str">
        <f>VLOOKUP(K815, 'Alphabetical by species code'!A:B, 2, FALSE)</f>
        <v>Bromus madritensis</v>
      </c>
      <c r="M815" s="6" t="str">
        <f>VLOOKUP(L815, 'Alphabetical by species code'!B:C, 2, FALSE)</f>
        <v>Non-Native</v>
      </c>
    </row>
    <row r="816" spans="1:13" x14ac:dyDescent="0.25">
      <c r="A816" s="6">
        <v>9</v>
      </c>
      <c r="B816" s="6">
        <v>2025</v>
      </c>
      <c r="C816" s="7">
        <v>45764</v>
      </c>
      <c r="D816" s="6" t="s">
        <v>74</v>
      </c>
      <c r="E816" s="6" t="s">
        <v>75</v>
      </c>
      <c r="F816" s="6">
        <v>1</v>
      </c>
      <c r="G816" s="6" t="s">
        <v>27</v>
      </c>
      <c r="H816" s="6">
        <v>2</v>
      </c>
      <c r="I816" s="6">
        <v>3</v>
      </c>
      <c r="J816" s="6">
        <v>1</v>
      </c>
      <c r="K816" s="6" t="s">
        <v>28</v>
      </c>
      <c r="L816" s="6" t="str">
        <f>VLOOKUP(K816, 'Alphabetical by species code'!A:B, 2, FALSE)</f>
        <v>Litter</v>
      </c>
      <c r="M816" s="6" t="str">
        <f>VLOOKUP(L816, 'Alphabetical by species code'!B:C, 2, FALSE)</f>
        <v>Ground Cover</v>
      </c>
    </row>
    <row r="817" spans="1:13" x14ac:dyDescent="0.25">
      <c r="A817" s="6">
        <v>9</v>
      </c>
      <c r="B817" s="6">
        <v>2025</v>
      </c>
      <c r="C817" s="7">
        <v>45764</v>
      </c>
      <c r="D817" s="6" t="s">
        <v>74</v>
      </c>
      <c r="E817" s="6" t="s">
        <v>75</v>
      </c>
      <c r="F817" s="6">
        <v>1</v>
      </c>
      <c r="G817" s="6" t="s">
        <v>27</v>
      </c>
      <c r="H817" s="6">
        <v>2</v>
      </c>
      <c r="I817" s="6">
        <v>3</v>
      </c>
      <c r="J817" s="6">
        <v>1</v>
      </c>
      <c r="K817" s="6" t="s">
        <v>29</v>
      </c>
      <c r="L817" s="6" t="str">
        <f>VLOOKUP(K817, 'Alphabetical by species code'!A:B, 2, FALSE)</f>
        <v>Opuntia littoralis</v>
      </c>
      <c r="M817" s="6" t="str">
        <f>VLOOKUP(L817, 'Alphabetical by species code'!B:C, 2, FALSE)</f>
        <v>Native</v>
      </c>
    </row>
    <row r="818" spans="1:13" x14ac:dyDescent="0.25">
      <c r="A818" s="6">
        <v>9</v>
      </c>
      <c r="B818" s="6">
        <v>2025</v>
      </c>
      <c r="C818" s="7">
        <v>45764</v>
      </c>
      <c r="D818" s="6" t="s">
        <v>74</v>
      </c>
      <c r="E818" s="6" t="s">
        <v>75</v>
      </c>
      <c r="F818" s="6">
        <v>1</v>
      </c>
      <c r="G818" s="6" t="s">
        <v>27</v>
      </c>
      <c r="H818" s="6">
        <v>2</v>
      </c>
      <c r="I818" s="6">
        <v>3</v>
      </c>
      <c r="J818" s="6">
        <v>1</v>
      </c>
      <c r="K818" s="6" t="s">
        <v>36</v>
      </c>
      <c r="L818" s="6" t="str">
        <f>VLOOKUP(K818, 'Alphabetical by species code'!A:B, 2, FALSE)</f>
        <v>Bromus madritensis</v>
      </c>
      <c r="M818" s="6" t="str">
        <f>VLOOKUP(L818, 'Alphabetical by species code'!B:C, 2, FALSE)</f>
        <v>Non-Native</v>
      </c>
    </row>
    <row r="819" spans="1:13" x14ac:dyDescent="0.25">
      <c r="A819" s="6">
        <v>9</v>
      </c>
      <c r="B819" s="6">
        <v>2025</v>
      </c>
      <c r="C819" s="7">
        <v>45764</v>
      </c>
      <c r="D819" s="6" t="s">
        <v>74</v>
      </c>
      <c r="E819" s="6" t="s">
        <v>75</v>
      </c>
      <c r="F819" s="6">
        <v>1</v>
      </c>
      <c r="G819" s="6" t="s">
        <v>27</v>
      </c>
      <c r="H819" s="6">
        <v>2</v>
      </c>
      <c r="I819" s="6">
        <v>3</v>
      </c>
      <c r="J819" s="6">
        <v>1</v>
      </c>
      <c r="K819" s="6" t="s">
        <v>49</v>
      </c>
      <c r="L819" s="6" t="str">
        <f>VLOOKUP(K819, 'Alphabetical by species code'!A:B, 2, FALSE)</f>
        <v>Anagallis arvensis</v>
      </c>
      <c r="M819" s="6" t="str">
        <f>VLOOKUP(L819, 'Alphabetical by species code'!B:C, 2, FALSE)</f>
        <v>Non-Native</v>
      </c>
    </row>
    <row r="820" spans="1:13" x14ac:dyDescent="0.25">
      <c r="A820" s="6">
        <v>9</v>
      </c>
      <c r="B820" s="6">
        <v>2025</v>
      </c>
      <c r="C820" s="7">
        <v>45764</v>
      </c>
      <c r="D820" s="6" t="s">
        <v>74</v>
      </c>
      <c r="E820" s="6" t="s">
        <v>75</v>
      </c>
      <c r="F820" s="6">
        <v>1</v>
      </c>
      <c r="G820" s="6" t="s">
        <v>27</v>
      </c>
      <c r="H820" s="6">
        <v>2</v>
      </c>
      <c r="I820" s="6">
        <v>3</v>
      </c>
      <c r="J820" s="6">
        <v>1</v>
      </c>
      <c r="K820" s="6" t="s">
        <v>35</v>
      </c>
      <c r="L820" s="6" t="str">
        <f>VLOOKUP(K820, 'Alphabetical by species code'!A:B, 2, FALSE)</f>
        <v>Deinandra fasciculata</v>
      </c>
      <c r="M820" s="6" t="str">
        <f>VLOOKUP(L820, 'Alphabetical by species code'!B:C, 2, FALSE)</f>
        <v>Native</v>
      </c>
    </row>
    <row r="821" spans="1:13" x14ac:dyDescent="0.25">
      <c r="A821" s="6">
        <v>9</v>
      </c>
      <c r="B821" s="6">
        <v>2025</v>
      </c>
      <c r="C821" s="7">
        <v>45764</v>
      </c>
      <c r="D821" s="6" t="s">
        <v>74</v>
      </c>
      <c r="E821" s="6" t="s">
        <v>75</v>
      </c>
      <c r="F821" s="6">
        <v>1</v>
      </c>
      <c r="G821" s="6" t="s">
        <v>27</v>
      </c>
      <c r="H821" s="6">
        <v>2</v>
      </c>
      <c r="I821" s="6">
        <v>4</v>
      </c>
      <c r="J821" s="6">
        <v>1.5</v>
      </c>
      <c r="K821" s="6" t="s">
        <v>51</v>
      </c>
      <c r="L821" s="6" t="str">
        <f>VLOOKUP(K821, 'Alphabetical by species code'!A:B, 2, FALSE)</f>
        <v>Bareground</v>
      </c>
      <c r="M821" s="6" t="str">
        <f>VLOOKUP(L821, 'Alphabetical by species code'!B:C, 2, FALSE)</f>
        <v>Ground Cover</v>
      </c>
    </row>
    <row r="822" spans="1:13" x14ac:dyDescent="0.25">
      <c r="A822" s="6">
        <v>9</v>
      </c>
      <c r="B822" s="6">
        <v>2025</v>
      </c>
      <c r="C822" s="7">
        <v>45764</v>
      </c>
      <c r="D822" s="6" t="s">
        <v>74</v>
      </c>
      <c r="E822" s="6" t="s">
        <v>75</v>
      </c>
      <c r="F822" s="6">
        <v>1</v>
      </c>
      <c r="G822" s="6" t="s">
        <v>27</v>
      </c>
      <c r="H822" s="6">
        <v>2</v>
      </c>
      <c r="I822" s="6">
        <v>4</v>
      </c>
      <c r="J822" s="6">
        <v>1.5</v>
      </c>
      <c r="K822" s="6" t="s">
        <v>31</v>
      </c>
      <c r="L822" s="6" t="str">
        <f>VLOOKUP(K822, 'Alphabetical by species code'!A:B, 2, FALSE)</f>
        <v>Festuca myuros</v>
      </c>
      <c r="M822" s="6" t="str">
        <f>VLOOKUP(L822, 'Alphabetical by species code'!B:C, 2, FALSE)</f>
        <v>Non-Native</v>
      </c>
    </row>
    <row r="823" spans="1:13" x14ac:dyDescent="0.25">
      <c r="A823" s="6">
        <v>9</v>
      </c>
      <c r="B823" s="6">
        <v>2025</v>
      </c>
      <c r="C823" s="7">
        <v>45764</v>
      </c>
      <c r="D823" s="6" t="s">
        <v>74</v>
      </c>
      <c r="E823" s="6" t="s">
        <v>75</v>
      </c>
      <c r="F823" s="6">
        <v>1</v>
      </c>
      <c r="G823" s="6" t="s">
        <v>27</v>
      </c>
      <c r="H823" s="6">
        <v>2</v>
      </c>
      <c r="I823" s="6">
        <v>5</v>
      </c>
      <c r="J823" s="6">
        <v>2.5</v>
      </c>
      <c r="K823" s="6" t="s">
        <v>28</v>
      </c>
      <c r="L823" s="6" t="str">
        <f>VLOOKUP(K823, 'Alphabetical by species code'!A:B, 2, FALSE)</f>
        <v>Litter</v>
      </c>
      <c r="M823" s="6" t="str">
        <f>VLOOKUP(L823, 'Alphabetical by species code'!B:C, 2, FALSE)</f>
        <v>Ground Cover</v>
      </c>
    </row>
    <row r="824" spans="1:13" x14ac:dyDescent="0.25">
      <c r="A824" s="6">
        <v>9</v>
      </c>
      <c r="B824" s="6">
        <v>2025</v>
      </c>
      <c r="C824" s="7">
        <v>45764</v>
      </c>
      <c r="D824" s="6" t="s">
        <v>74</v>
      </c>
      <c r="E824" s="6" t="s">
        <v>75</v>
      </c>
      <c r="F824" s="6">
        <v>1</v>
      </c>
      <c r="G824" s="6" t="s">
        <v>27</v>
      </c>
      <c r="H824" s="6">
        <v>2</v>
      </c>
      <c r="I824" s="6">
        <v>5</v>
      </c>
      <c r="J824" s="6">
        <v>2.5</v>
      </c>
      <c r="K824" s="6" t="s">
        <v>42</v>
      </c>
      <c r="L824" s="6" t="str">
        <f>VLOOKUP(K824, 'Alphabetical by species code'!A:B, 2, FALSE)</f>
        <v>Centaurea melitensis</v>
      </c>
      <c r="M824" s="6" t="str">
        <f>VLOOKUP(L824, 'Alphabetical by species code'!B:C, 2, FALSE)</f>
        <v>Non-Native</v>
      </c>
    </row>
    <row r="825" spans="1:13" x14ac:dyDescent="0.25">
      <c r="A825" s="6">
        <v>9</v>
      </c>
      <c r="B825" s="6">
        <v>2025</v>
      </c>
      <c r="C825" s="7">
        <v>45764</v>
      </c>
      <c r="D825" s="6" t="s">
        <v>74</v>
      </c>
      <c r="E825" s="6" t="s">
        <v>75</v>
      </c>
      <c r="F825" s="6">
        <v>1</v>
      </c>
      <c r="G825" s="6" t="s">
        <v>27</v>
      </c>
      <c r="H825" s="6">
        <v>2</v>
      </c>
      <c r="I825" s="6">
        <v>5</v>
      </c>
      <c r="J825" s="6">
        <v>2.5</v>
      </c>
      <c r="K825" s="6" t="s">
        <v>48</v>
      </c>
      <c r="L825" s="6" t="str">
        <f>VLOOKUP(K825, 'Alphabetical by species code'!A:B, 2, FALSE)</f>
        <v>Sonchus asper</v>
      </c>
      <c r="M825" s="6" t="str">
        <f>VLOOKUP(L825, 'Alphabetical by species code'!B:C, 2, FALSE)</f>
        <v>Non-Native</v>
      </c>
    </row>
    <row r="826" spans="1:13" x14ac:dyDescent="0.25">
      <c r="A826" s="6">
        <v>9</v>
      </c>
      <c r="B826" s="6">
        <v>2025</v>
      </c>
      <c r="C826" s="7">
        <v>45764</v>
      </c>
      <c r="D826" s="6" t="s">
        <v>74</v>
      </c>
      <c r="E826" s="6" t="s">
        <v>75</v>
      </c>
      <c r="F826" s="6">
        <v>1</v>
      </c>
      <c r="G826" s="6" t="s">
        <v>27</v>
      </c>
      <c r="H826" s="6">
        <v>2</v>
      </c>
      <c r="I826" s="6">
        <v>6</v>
      </c>
      <c r="J826" s="6">
        <v>3</v>
      </c>
      <c r="K826" s="6" t="s">
        <v>28</v>
      </c>
      <c r="L826" s="6" t="str">
        <f>VLOOKUP(K826, 'Alphabetical by species code'!A:B, 2, FALSE)</f>
        <v>Litter</v>
      </c>
      <c r="M826" s="6" t="str">
        <f>VLOOKUP(L826, 'Alphabetical by species code'!B:C, 2, FALSE)</f>
        <v>Ground Cover</v>
      </c>
    </row>
    <row r="827" spans="1:13" x14ac:dyDescent="0.25">
      <c r="A827" s="6">
        <v>9</v>
      </c>
      <c r="B827" s="6">
        <v>2025</v>
      </c>
      <c r="C827" s="7">
        <v>45764</v>
      </c>
      <c r="D827" s="6" t="s">
        <v>74</v>
      </c>
      <c r="E827" s="6" t="s">
        <v>75</v>
      </c>
      <c r="F827" s="6">
        <v>1</v>
      </c>
      <c r="G827" s="6" t="s">
        <v>27</v>
      </c>
      <c r="H827" s="6">
        <v>2</v>
      </c>
      <c r="I827" s="6">
        <v>6</v>
      </c>
      <c r="J827" s="6">
        <v>3</v>
      </c>
      <c r="K827" s="6" t="s">
        <v>40</v>
      </c>
      <c r="L827" s="6" t="str">
        <f>VLOOKUP(K827, 'Alphabetical by species code'!A:B, 2, FALSE)</f>
        <v>Cylindropuntia prolifera</v>
      </c>
      <c r="M827" s="6" t="str">
        <f>VLOOKUP(L827, 'Alphabetical by species code'!B:C, 2, FALSE)</f>
        <v>Native</v>
      </c>
    </row>
    <row r="828" spans="1:13" x14ac:dyDescent="0.25">
      <c r="A828" s="6">
        <v>9</v>
      </c>
      <c r="B828" s="6">
        <v>2025</v>
      </c>
      <c r="C828" s="7">
        <v>45764</v>
      </c>
      <c r="D828" s="6" t="s">
        <v>74</v>
      </c>
      <c r="E828" s="6" t="s">
        <v>75</v>
      </c>
      <c r="F828" s="6">
        <v>1</v>
      </c>
      <c r="G828" s="6" t="s">
        <v>27</v>
      </c>
      <c r="H828" s="6">
        <v>2</v>
      </c>
      <c r="I828" s="6">
        <v>6</v>
      </c>
      <c r="J828" s="6">
        <v>3</v>
      </c>
      <c r="K828" s="6" t="s">
        <v>31</v>
      </c>
      <c r="L828" s="6" t="str">
        <f>VLOOKUP(K828, 'Alphabetical by species code'!A:B, 2, FALSE)</f>
        <v>Festuca myuros</v>
      </c>
      <c r="M828" s="6" t="str">
        <f>VLOOKUP(L828, 'Alphabetical by species code'!B:C, 2, FALSE)</f>
        <v>Non-Native</v>
      </c>
    </row>
    <row r="829" spans="1:13" x14ac:dyDescent="0.25">
      <c r="A829" s="6">
        <v>9</v>
      </c>
      <c r="B829" s="6">
        <v>2025</v>
      </c>
      <c r="C829" s="7">
        <v>45764</v>
      </c>
      <c r="D829" s="6" t="s">
        <v>74</v>
      </c>
      <c r="E829" s="6" t="s">
        <v>75</v>
      </c>
      <c r="F829" s="6">
        <v>1</v>
      </c>
      <c r="G829" s="6" t="s">
        <v>27</v>
      </c>
      <c r="H829" s="6">
        <v>2</v>
      </c>
      <c r="I829" s="6">
        <v>6</v>
      </c>
      <c r="J829" s="6">
        <v>3</v>
      </c>
      <c r="K829" s="6" t="s">
        <v>36</v>
      </c>
      <c r="L829" s="6" t="str">
        <f>VLOOKUP(K829, 'Alphabetical by species code'!A:B, 2, FALSE)</f>
        <v>Bromus madritensis</v>
      </c>
      <c r="M829" s="6" t="str">
        <f>VLOOKUP(L829, 'Alphabetical by species code'!B:C, 2, FALSE)</f>
        <v>Non-Native</v>
      </c>
    </row>
    <row r="830" spans="1:13" x14ac:dyDescent="0.25">
      <c r="A830" s="6">
        <v>9</v>
      </c>
      <c r="B830" s="6">
        <v>2025</v>
      </c>
      <c r="C830" s="7">
        <v>45764</v>
      </c>
      <c r="D830" s="6" t="s">
        <v>74</v>
      </c>
      <c r="E830" s="6" t="s">
        <v>75</v>
      </c>
      <c r="F830" s="6">
        <v>1</v>
      </c>
      <c r="G830" s="6" t="s">
        <v>27</v>
      </c>
      <c r="H830" s="6">
        <v>2</v>
      </c>
      <c r="I830" s="6">
        <v>6</v>
      </c>
      <c r="J830" s="6">
        <v>3</v>
      </c>
      <c r="K830" s="6" t="s">
        <v>35</v>
      </c>
      <c r="L830" s="6" t="str">
        <f>VLOOKUP(K830, 'Alphabetical by species code'!A:B, 2, FALSE)</f>
        <v>Deinandra fasciculata</v>
      </c>
      <c r="M830" s="6" t="str">
        <f>VLOOKUP(L830, 'Alphabetical by species code'!B:C, 2, FALSE)</f>
        <v>Native</v>
      </c>
    </row>
    <row r="831" spans="1:13" x14ac:dyDescent="0.25">
      <c r="A831" s="6">
        <v>9</v>
      </c>
      <c r="B831" s="6">
        <v>2025</v>
      </c>
      <c r="C831" s="7">
        <v>45764</v>
      </c>
      <c r="D831" s="6" t="s">
        <v>74</v>
      </c>
      <c r="E831" s="6" t="s">
        <v>75</v>
      </c>
      <c r="F831" s="6">
        <v>1</v>
      </c>
      <c r="G831" s="6" t="s">
        <v>27</v>
      </c>
      <c r="H831" s="6">
        <v>2</v>
      </c>
      <c r="I831" s="6">
        <v>7</v>
      </c>
      <c r="J831" s="6">
        <v>3.5</v>
      </c>
      <c r="K831" s="6" t="s">
        <v>28</v>
      </c>
      <c r="L831" s="6" t="str">
        <f>VLOOKUP(K831, 'Alphabetical by species code'!A:B, 2, FALSE)</f>
        <v>Litter</v>
      </c>
      <c r="M831" s="6" t="str">
        <f>VLOOKUP(L831, 'Alphabetical by species code'!B:C, 2, FALSE)</f>
        <v>Ground Cover</v>
      </c>
    </row>
    <row r="832" spans="1:13" x14ac:dyDescent="0.25">
      <c r="A832" s="6">
        <v>9</v>
      </c>
      <c r="B832" s="6">
        <v>2025</v>
      </c>
      <c r="C832" s="7">
        <v>45764</v>
      </c>
      <c r="D832" s="6" t="s">
        <v>74</v>
      </c>
      <c r="E832" s="6" t="s">
        <v>75</v>
      </c>
      <c r="F832" s="6">
        <v>1</v>
      </c>
      <c r="G832" s="6" t="s">
        <v>27</v>
      </c>
      <c r="H832" s="6">
        <v>2</v>
      </c>
      <c r="I832" s="6">
        <v>7</v>
      </c>
      <c r="J832" s="6">
        <v>3.5</v>
      </c>
      <c r="K832" s="6" t="s">
        <v>48</v>
      </c>
      <c r="L832" s="6" t="str">
        <f>VLOOKUP(K832, 'Alphabetical by species code'!A:B, 2, FALSE)</f>
        <v>Sonchus asper</v>
      </c>
      <c r="M832" s="6" t="str">
        <f>VLOOKUP(L832, 'Alphabetical by species code'!B:C, 2, FALSE)</f>
        <v>Non-Native</v>
      </c>
    </row>
    <row r="833" spans="1:13" x14ac:dyDescent="0.25">
      <c r="A833" s="6">
        <v>9</v>
      </c>
      <c r="B833" s="6">
        <v>2025</v>
      </c>
      <c r="C833" s="7">
        <v>45764</v>
      </c>
      <c r="D833" s="6" t="s">
        <v>74</v>
      </c>
      <c r="E833" s="6" t="s">
        <v>75</v>
      </c>
      <c r="F833" s="6">
        <v>1</v>
      </c>
      <c r="G833" s="6" t="s">
        <v>27</v>
      </c>
      <c r="H833" s="6">
        <v>2</v>
      </c>
      <c r="I833" s="6">
        <v>7</v>
      </c>
      <c r="J833" s="6">
        <v>3.5</v>
      </c>
      <c r="K833" s="6" t="s">
        <v>31</v>
      </c>
      <c r="L833" s="6" t="str">
        <f>VLOOKUP(K833, 'Alphabetical by species code'!A:B, 2, FALSE)</f>
        <v>Festuca myuros</v>
      </c>
      <c r="M833" s="6" t="str">
        <f>VLOOKUP(L833, 'Alphabetical by species code'!B:C, 2, FALSE)</f>
        <v>Non-Native</v>
      </c>
    </row>
    <row r="834" spans="1:13" x14ac:dyDescent="0.25">
      <c r="A834" s="6">
        <v>9</v>
      </c>
      <c r="B834" s="6">
        <v>2025</v>
      </c>
      <c r="C834" s="7">
        <v>45764</v>
      </c>
      <c r="D834" s="6" t="s">
        <v>74</v>
      </c>
      <c r="E834" s="6" t="s">
        <v>75</v>
      </c>
      <c r="F834" s="6">
        <v>1</v>
      </c>
      <c r="G834" s="6" t="s">
        <v>27</v>
      </c>
      <c r="H834" s="6">
        <v>2</v>
      </c>
      <c r="I834" s="6">
        <v>7</v>
      </c>
      <c r="J834" s="6">
        <v>3.5</v>
      </c>
      <c r="K834" s="6" t="s">
        <v>35</v>
      </c>
      <c r="L834" s="6" t="str">
        <f>VLOOKUP(K834, 'Alphabetical by species code'!A:B, 2, FALSE)</f>
        <v>Deinandra fasciculata</v>
      </c>
      <c r="M834" s="6" t="str">
        <f>VLOOKUP(L834, 'Alphabetical by species code'!B:C, 2, FALSE)</f>
        <v>Native</v>
      </c>
    </row>
    <row r="835" spans="1:13" x14ac:dyDescent="0.25">
      <c r="A835" s="6">
        <v>9</v>
      </c>
      <c r="B835" s="6">
        <v>2025</v>
      </c>
      <c r="C835" s="7">
        <v>45764</v>
      </c>
      <c r="D835" s="6" t="s">
        <v>74</v>
      </c>
      <c r="E835" s="6" t="s">
        <v>75</v>
      </c>
      <c r="F835" s="6">
        <v>1</v>
      </c>
      <c r="G835" s="6" t="s">
        <v>27</v>
      </c>
      <c r="H835" s="6">
        <v>2</v>
      </c>
      <c r="I835" s="6">
        <v>8</v>
      </c>
      <c r="J835" s="6">
        <v>4</v>
      </c>
      <c r="K835" s="6" t="s">
        <v>28</v>
      </c>
      <c r="L835" s="6" t="str">
        <f>VLOOKUP(K835, 'Alphabetical by species code'!A:B, 2, FALSE)</f>
        <v>Litter</v>
      </c>
      <c r="M835" s="6" t="str">
        <f>VLOOKUP(L835, 'Alphabetical by species code'!B:C, 2, FALSE)</f>
        <v>Ground Cover</v>
      </c>
    </row>
    <row r="836" spans="1:13" x14ac:dyDescent="0.25">
      <c r="A836" s="6">
        <v>9</v>
      </c>
      <c r="B836" s="6">
        <v>2025</v>
      </c>
      <c r="C836" s="7">
        <v>45764</v>
      </c>
      <c r="D836" s="6" t="s">
        <v>74</v>
      </c>
      <c r="E836" s="6" t="s">
        <v>75</v>
      </c>
      <c r="F836" s="6">
        <v>1</v>
      </c>
      <c r="G836" s="6" t="s">
        <v>27</v>
      </c>
      <c r="H836" s="6">
        <v>2</v>
      </c>
      <c r="I836" s="6">
        <v>8</v>
      </c>
      <c r="J836" s="6">
        <v>4</v>
      </c>
      <c r="K836" s="6" t="s">
        <v>31</v>
      </c>
      <c r="L836" s="6" t="str">
        <f>VLOOKUP(K836, 'Alphabetical by species code'!A:B, 2, FALSE)</f>
        <v>Festuca myuros</v>
      </c>
      <c r="M836" s="6" t="str">
        <f>VLOOKUP(L836, 'Alphabetical by species code'!B:C, 2, FALSE)</f>
        <v>Non-Native</v>
      </c>
    </row>
    <row r="837" spans="1:13" x14ac:dyDescent="0.25">
      <c r="A837" s="6">
        <v>9</v>
      </c>
      <c r="B837" s="6">
        <v>2025</v>
      </c>
      <c r="C837" s="7">
        <v>45764</v>
      </c>
      <c r="D837" s="6" t="s">
        <v>74</v>
      </c>
      <c r="E837" s="6" t="s">
        <v>75</v>
      </c>
      <c r="F837" s="6">
        <v>1</v>
      </c>
      <c r="G837" s="6" t="s">
        <v>27</v>
      </c>
      <c r="H837" s="6">
        <v>2</v>
      </c>
      <c r="I837" s="6">
        <v>8</v>
      </c>
      <c r="J837" s="6">
        <v>4</v>
      </c>
      <c r="K837" s="6" t="s">
        <v>36</v>
      </c>
      <c r="L837" s="6" t="str">
        <f>VLOOKUP(K837, 'Alphabetical by species code'!A:B, 2, FALSE)</f>
        <v>Bromus madritensis</v>
      </c>
      <c r="M837" s="6" t="str">
        <f>VLOOKUP(L837, 'Alphabetical by species code'!B:C, 2, FALSE)</f>
        <v>Non-Native</v>
      </c>
    </row>
    <row r="838" spans="1:13" x14ac:dyDescent="0.25">
      <c r="A838" s="6">
        <v>9</v>
      </c>
      <c r="B838" s="6">
        <v>2025</v>
      </c>
      <c r="C838" s="7">
        <v>45764</v>
      </c>
      <c r="D838" s="6" t="s">
        <v>74</v>
      </c>
      <c r="E838" s="6" t="s">
        <v>75</v>
      </c>
      <c r="F838" s="6">
        <v>1</v>
      </c>
      <c r="G838" s="6" t="s">
        <v>27</v>
      </c>
      <c r="H838" s="6">
        <v>2</v>
      </c>
      <c r="I838" s="6">
        <v>8</v>
      </c>
      <c r="J838" s="6">
        <v>4</v>
      </c>
      <c r="K838" s="6" t="s">
        <v>30</v>
      </c>
      <c r="L838" s="6" t="str">
        <f>VLOOKUP(K838, 'Alphabetical by species code'!A:B, 2, FALSE)</f>
        <v>Erodium moschatum</v>
      </c>
      <c r="M838" s="6" t="str">
        <f>VLOOKUP(L838, 'Alphabetical by species code'!B:C, 2, FALSE)</f>
        <v>Non-Native</v>
      </c>
    </row>
    <row r="839" spans="1:13" x14ac:dyDescent="0.25">
      <c r="A839" s="6">
        <v>9</v>
      </c>
      <c r="B839" s="6">
        <v>2025</v>
      </c>
      <c r="C839" s="7">
        <v>45764</v>
      </c>
      <c r="D839" s="6" t="s">
        <v>74</v>
      </c>
      <c r="E839" s="6" t="s">
        <v>75</v>
      </c>
      <c r="F839" s="6">
        <v>1</v>
      </c>
      <c r="G839" s="6" t="s">
        <v>27</v>
      </c>
      <c r="H839" s="6">
        <v>2</v>
      </c>
      <c r="I839" s="6">
        <v>9</v>
      </c>
      <c r="J839" s="6">
        <v>4.5</v>
      </c>
      <c r="K839" s="6" t="s">
        <v>28</v>
      </c>
      <c r="L839" s="6" t="str">
        <f>VLOOKUP(K839, 'Alphabetical by species code'!A:B, 2, FALSE)</f>
        <v>Litter</v>
      </c>
      <c r="M839" s="6" t="str">
        <f>VLOOKUP(L839, 'Alphabetical by species code'!B:C, 2, FALSE)</f>
        <v>Ground Cover</v>
      </c>
    </row>
    <row r="840" spans="1:13" x14ac:dyDescent="0.25">
      <c r="A840" s="6">
        <v>9</v>
      </c>
      <c r="B840" s="6">
        <v>2025</v>
      </c>
      <c r="C840" s="7">
        <v>45764</v>
      </c>
      <c r="D840" s="6" t="s">
        <v>74</v>
      </c>
      <c r="E840" s="6" t="s">
        <v>75</v>
      </c>
      <c r="F840" s="6">
        <v>1</v>
      </c>
      <c r="G840" s="6" t="s">
        <v>27</v>
      </c>
      <c r="H840" s="6">
        <v>2</v>
      </c>
      <c r="I840" s="6">
        <v>9</v>
      </c>
      <c r="J840" s="6">
        <v>4.5</v>
      </c>
      <c r="K840" s="6" t="s">
        <v>65</v>
      </c>
      <c r="L840" s="6" t="str">
        <f>VLOOKUP(K840, 'Alphabetical by species code'!A:B, 2, FALSE)</f>
        <v>Cryptantha intermedia</v>
      </c>
      <c r="M840" s="6" t="str">
        <f>VLOOKUP(L840, 'Alphabetical by species code'!B:C, 2, FALSE)</f>
        <v>Native</v>
      </c>
    </row>
    <row r="841" spans="1:13" x14ac:dyDescent="0.25">
      <c r="A841" s="6">
        <v>9</v>
      </c>
      <c r="B841" s="6">
        <v>2025</v>
      </c>
      <c r="C841" s="7">
        <v>45764</v>
      </c>
      <c r="D841" s="6" t="s">
        <v>74</v>
      </c>
      <c r="E841" s="6" t="s">
        <v>75</v>
      </c>
      <c r="F841" s="6">
        <v>1</v>
      </c>
      <c r="G841" s="6" t="s">
        <v>27</v>
      </c>
      <c r="H841" s="6">
        <v>2</v>
      </c>
      <c r="I841" s="6">
        <v>9</v>
      </c>
      <c r="J841" s="6">
        <v>4.5</v>
      </c>
      <c r="K841" s="6" t="s">
        <v>48</v>
      </c>
      <c r="L841" s="6" t="str">
        <f>VLOOKUP(K841, 'Alphabetical by species code'!A:B, 2, FALSE)</f>
        <v>Sonchus asper</v>
      </c>
      <c r="M841" s="6" t="str">
        <f>VLOOKUP(L841, 'Alphabetical by species code'!B:C, 2, FALSE)</f>
        <v>Non-Native</v>
      </c>
    </row>
    <row r="842" spans="1:13" x14ac:dyDescent="0.25">
      <c r="A842" s="6">
        <v>9</v>
      </c>
      <c r="B842" s="6">
        <v>2025</v>
      </c>
      <c r="C842" s="7">
        <v>45764</v>
      </c>
      <c r="D842" s="6" t="s">
        <v>74</v>
      </c>
      <c r="E842" s="6" t="s">
        <v>75</v>
      </c>
      <c r="F842" s="6">
        <v>1</v>
      </c>
      <c r="G842" s="6" t="s">
        <v>27</v>
      </c>
      <c r="H842" s="6">
        <v>2</v>
      </c>
      <c r="I842" s="6">
        <v>9</v>
      </c>
      <c r="J842" s="6">
        <v>4.5</v>
      </c>
      <c r="K842" s="6" t="s">
        <v>37</v>
      </c>
      <c r="L842" s="6" t="str">
        <f>VLOOKUP(K842, 'Alphabetical by species code'!A:B, 2, FALSE)</f>
        <v>Sonchus oleraceus</v>
      </c>
      <c r="M842" s="6" t="str">
        <f>VLOOKUP(L842, 'Alphabetical by species code'!B:C, 2, FALSE)</f>
        <v>Non-Native</v>
      </c>
    </row>
    <row r="843" spans="1:13" x14ac:dyDescent="0.25">
      <c r="A843" s="6">
        <v>9</v>
      </c>
      <c r="B843" s="6">
        <v>2025</v>
      </c>
      <c r="C843" s="7">
        <v>45764</v>
      </c>
      <c r="D843" s="6" t="s">
        <v>74</v>
      </c>
      <c r="E843" s="6" t="s">
        <v>75</v>
      </c>
      <c r="F843" s="6">
        <v>1</v>
      </c>
      <c r="G843" s="6" t="s">
        <v>27</v>
      </c>
      <c r="H843" s="6">
        <v>2</v>
      </c>
      <c r="I843" s="6">
        <v>9</v>
      </c>
      <c r="J843" s="6">
        <v>4.5</v>
      </c>
      <c r="K843" s="6" t="s">
        <v>31</v>
      </c>
      <c r="L843" s="6" t="str">
        <f>VLOOKUP(K843, 'Alphabetical by species code'!A:B, 2, FALSE)</f>
        <v>Festuca myuros</v>
      </c>
      <c r="M843" s="6" t="str">
        <f>VLOOKUP(L843, 'Alphabetical by species code'!B:C, 2, FALSE)</f>
        <v>Non-Native</v>
      </c>
    </row>
    <row r="844" spans="1:13" x14ac:dyDescent="0.25">
      <c r="A844" s="6">
        <v>9</v>
      </c>
      <c r="B844" s="6">
        <v>2025</v>
      </c>
      <c r="C844" s="7">
        <v>45764</v>
      </c>
      <c r="D844" s="6" t="s">
        <v>74</v>
      </c>
      <c r="E844" s="6" t="s">
        <v>75</v>
      </c>
      <c r="F844" s="6">
        <v>1</v>
      </c>
      <c r="G844" s="6" t="s">
        <v>27</v>
      </c>
      <c r="H844" s="6">
        <v>2</v>
      </c>
      <c r="I844" s="6">
        <v>10</v>
      </c>
      <c r="J844" s="6">
        <v>5</v>
      </c>
      <c r="K844" s="6" t="s">
        <v>28</v>
      </c>
      <c r="L844" s="6" t="str">
        <f>VLOOKUP(K844, 'Alphabetical by species code'!A:B, 2, FALSE)</f>
        <v>Litter</v>
      </c>
      <c r="M844" s="6" t="str">
        <f>VLOOKUP(L844, 'Alphabetical by species code'!B:C, 2, FALSE)</f>
        <v>Ground Cover</v>
      </c>
    </row>
    <row r="845" spans="1:13" x14ac:dyDescent="0.25">
      <c r="A845" s="6">
        <v>9</v>
      </c>
      <c r="B845" s="6">
        <v>2025</v>
      </c>
      <c r="C845" s="7">
        <v>45764</v>
      </c>
      <c r="D845" s="6" t="s">
        <v>74</v>
      </c>
      <c r="E845" s="6" t="s">
        <v>75</v>
      </c>
      <c r="F845" s="6">
        <v>1</v>
      </c>
      <c r="G845" s="6" t="s">
        <v>27</v>
      </c>
      <c r="H845" s="6">
        <v>2</v>
      </c>
      <c r="I845" s="6">
        <v>10</v>
      </c>
      <c r="J845" s="6">
        <v>5</v>
      </c>
      <c r="K845" s="6" t="s">
        <v>42</v>
      </c>
      <c r="L845" s="6" t="str">
        <f>VLOOKUP(K845, 'Alphabetical by species code'!A:B, 2, FALSE)</f>
        <v>Centaurea melitensis</v>
      </c>
      <c r="M845" s="6" t="str">
        <f>VLOOKUP(L845, 'Alphabetical by species code'!B:C, 2, FALSE)</f>
        <v>Non-Native</v>
      </c>
    </row>
    <row r="846" spans="1:13" x14ac:dyDescent="0.25">
      <c r="A846" s="6">
        <v>9</v>
      </c>
      <c r="B846" s="6">
        <v>2025</v>
      </c>
      <c r="C846" s="7">
        <v>45764</v>
      </c>
      <c r="D846" s="6" t="s">
        <v>74</v>
      </c>
      <c r="E846" s="6" t="s">
        <v>75</v>
      </c>
      <c r="F846" s="6">
        <v>1</v>
      </c>
      <c r="G846" s="6" t="s">
        <v>27</v>
      </c>
      <c r="H846" s="6">
        <v>2</v>
      </c>
      <c r="I846" s="6">
        <v>11</v>
      </c>
      <c r="J846" s="6">
        <v>5.5</v>
      </c>
      <c r="K846" s="6" t="s">
        <v>28</v>
      </c>
      <c r="L846" s="6" t="str">
        <f>VLOOKUP(K846, 'Alphabetical by species code'!A:B, 2, FALSE)</f>
        <v>Litter</v>
      </c>
      <c r="M846" s="6" t="str">
        <f>VLOOKUP(L846, 'Alphabetical by species code'!B:C, 2, FALSE)</f>
        <v>Ground Cover</v>
      </c>
    </row>
    <row r="847" spans="1:13" x14ac:dyDescent="0.25">
      <c r="A847" s="6">
        <v>9</v>
      </c>
      <c r="B847" s="6">
        <v>2025</v>
      </c>
      <c r="C847" s="7">
        <v>45764</v>
      </c>
      <c r="D847" s="6" t="s">
        <v>74</v>
      </c>
      <c r="E847" s="6" t="s">
        <v>75</v>
      </c>
      <c r="F847" s="6">
        <v>1</v>
      </c>
      <c r="G847" s="6" t="s">
        <v>27</v>
      </c>
      <c r="H847" s="6">
        <v>2</v>
      </c>
      <c r="I847" s="6">
        <v>11</v>
      </c>
      <c r="J847" s="6">
        <v>5.5</v>
      </c>
      <c r="K847" s="6" t="s">
        <v>42</v>
      </c>
      <c r="L847" s="6" t="str">
        <f>VLOOKUP(K847, 'Alphabetical by species code'!A:B, 2, FALSE)</f>
        <v>Centaurea melitensis</v>
      </c>
      <c r="M847" s="6" t="str">
        <f>VLOOKUP(L847, 'Alphabetical by species code'!B:C, 2, FALSE)</f>
        <v>Non-Native</v>
      </c>
    </row>
    <row r="848" spans="1:13" x14ac:dyDescent="0.25">
      <c r="A848" s="6">
        <v>9</v>
      </c>
      <c r="B848" s="6">
        <v>2025</v>
      </c>
      <c r="C848" s="7">
        <v>45764</v>
      </c>
      <c r="D848" s="6" t="s">
        <v>74</v>
      </c>
      <c r="E848" s="6" t="s">
        <v>75</v>
      </c>
      <c r="F848" s="6">
        <v>1</v>
      </c>
      <c r="G848" s="6" t="s">
        <v>27</v>
      </c>
      <c r="H848" s="6">
        <v>2</v>
      </c>
      <c r="I848" s="6">
        <v>11</v>
      </c>
      <c r="J848" s="6">
        <v>5.5</v>
      </c>
      <c r="K848" s="6" t="s">
        <v>37</v>
      </c>
      <c r="L848" s="6" t="str">
        <f>VLOOKUP(K848, 'Alphabetical by species code'!A:B, 2, FALSE)</f>
        <v>Sonchus oleraceus</v>
      </c>
      <c r="M848" s="6" t="str">
        <f>VLOOKUP(L848, 'Alphabetical by species code'!B:C, 2, FALSE)</f>
        <v>Non-Native</v>
      </c>
    </row>
    <row r="849" spans="1:13" x14ac:dyDescent="0.25">
      <c r="A849" s="6">
        <v>9</v>
      </c>
      <c r="B849" s="6">
        <v>2025</v>
      </c>
      <c r="C849" s="7">
        <v>45764</v>
      </c>
      <c r="D849" s="6" t="s">
        <v>74</v>
      </c>
      <c r="E849" s="6" t="s">
        <v>75</v>
      </c>
      <c r="F849" s="6">
        <v>1</v>
      </c>
      <c r="G849" s="6" t="s">
        <v>27</v>
      </c>
      <c r="H849" s="6">
        <v>2</v>
      </c>
      <c r="I849" s="6">
        <v>12</v>
      </c>
      <c r="J849" s="6">
        <v>6</v>
      </c>
      <c r="K849" s="6" t="s">
        <v>28</v>
      </c>
      <c r="L849" s="6" t="str">
        <f>VLOOKUP(K849, 'Alphabetical by species code'!A:B, 2, FALSE)</f>
        <v>Litter</v>
      </c>
      <c r="M849" s="6" t="str">
        <f>VLOOKUP(L849, 'Alphabetical by species code'!B:C, 2, FALSE)</f>
        <v>Ground Cover</v>
      </c>
    </row>
    <row r="850" spans="1:13" x14ac:dyDescent="0.25">
      <c r="A850" s="6">
        <v>9</v>
      </c>
      <c r="B850" s="6">
        <v>2025</v>
      </c>
      <c r="C850" s="7">
        <v>45764</v>
      </c>
      <c r="D850" s="6" t="s">
        <v>74</v>
      </c>
      <c r="E850" s="6" t="s">
        <v>75</v>
      </c>
      <c r="F850" s="6">
        <v>1</v>
      </c>
      <c r="G850" s="6" t="s">
        <v>27</v>
      </c>
      <c r="H850" s="6">
        <v>2</v>
      </c>
      <c r="I850" s="6">
        <v>12</v>
      </c>
      <c r="J850" s="6">
        <v>6</v>
      </c>
      <c r="K850" s="6" t="s">
        <v>31</v>
      </c>
      <c r="L850" s="6" t="str">
        <f>VLOOKUP(K850, 'Alphabetical by species code'!A:B, 2, FALSE)</f>
        <v>Festuca myuros</v>
      </c>
      <c r="M850" s="6" t="str">
        <f>VLOOKUP(L850, 'Alphabetical by species code'!B:C, 2, FALSE)</f>
        <v>Non-Native</v>
      </c>
    </row>
    <row r="851" spans="1:13" x14ac:dyDescent="0.25">
      <c r="A851" s="6">
        <v>9</v>
      </c>
      <c r="B851" s="6">
        <v>2025</v>
      </c>
      <c r="C851" s="7">
        <v>45764</v>
      </c>
      <c r="D851" s="6" t="s">
        <v>74</v>
      </c>
      <c r="E851" s="6" t="s">
        <v>75</v>
      </c>
      <c r="F851" s="6">
        <v>1</v>
      </c>
      <c r="G851" s="6" t="s">
        <v>27</v>
      </c>
      <c r="H851" s="6">
        <v>2</v>
      </c>
      <c r="I851" s="6">
        <v>12</v>
      </c>
      <c r="J851" s="6">
        <v>6</v>
      </c>
      <c r="K851" s="6" t="s">
        <v>48</v>
      </c>
      <c r="L851" s="6" t="str">
        <f>VLOOKUP(K851, 'Alphabetical by species code'!A:B, 2, FALSE)</f>
        <v>Sonchus asper</v>
      </c>
      <c r="M851" s="6" t="str">
        <f>VLOOKUP(L851, 'Alphabetical by species code'!B:C, 2, FALSE)</f>
        <v>Non-Native</v>
      </c>
    </row>
    <row r="852" spans="1:13" x14ac:dyDescent="0.25">
      <c r="A852" s="6">
        <v>9</v>
      </c>
      <c r="B852" s="6">
        <v>2025</v>
      </c>
      <c r="C852" s="7">
        <v>45764</v>
      </c>
      <c r="D852" s="6" t="s">
        <v>74</v>
      </c>
      <c r="E852" s="6" t="s">
        <v>75</v>
      </c>
      <c r="F852" s="6">
        <v>1</v>
      </c>
      <c r="G852" s="6" t="s">
        <v>27</v>
      </c>
      <c r="H852" s="6">
        <v>2</v>
      </c>
      <c r="I852" s="6">
        <v>13</v>
      </c>
      <c r="J852" s="6">
        <v>6.5</v>
      </c>
      <c r="K852" s="6" t="s">
        <v>28</v>
      </c>
      <c r="L852" s="6" t="str">
        <f>VLOOKUP(K852, 'Alphabetical by species code'!A:B, 2, FALSE)</f>
        <v>Litter</v>
      </c>
      <c r="M852" s="6" t="str">
        <f>VLOOKUP(L852, 'Alphabetical by species code'!B:C, 2, FALSE)</f>
        <v>Ground Cover</v>
      </c>
    </row>
    <row r="853" spans="1:13" x14ac:dyDescent="0.25">
      <c r="A853" s="6">
        <v>9</v>
      </c>
      <c r="B853" s="6">
        <v>2025</v>
      </c>
      <c r="C853" s="7">
        <v>45764</v>
      </c>
      <c r="D853" s="6" t="s">
        <v>74</v>
      </c>
      <c r="E853" s="6" t="s">
        <v>75</v>
      </c>
      <c r="F853" s="6">
        <v>1</v>
      </c>
      <c r="G853" s="6" t="s">
        <v>27</v>
      </c>
      <c r="H853" s="6">
        <v>2</v>
      </c>
      <c r="I853" s="6">
        <v>13</v>
      </c>
      <c r="J853" s="6">
        <v>6.5</v>
      </c>
      <c r="K853" s="6" t="s">
        <v>36</v>
      </c>
      <c r="L853" s="6" t="str">
        <f>VLOOKUP(K853, 'Alphabetical by species code'!A:B, 2, FALSE)</f>
        <v>Bromus madritensis</v>
      </c>
      <c r="M853" s="6" t="str">
        <f>VLOOKUP(L853, 'Alphabetical by species code'!B:C, 2, FALSE)</f>
        <v>Non-Native</v>
      </c>
    </row>
    <row r="854" spans="1:13" x14ac:dyDescent="0.25">
      <c r="A854" s="6">
        <v>9</v>
      </c>
      <c r="B854" s="6">
        <v>2025</v>
      </c>
      <c r="C854" s="7">
        <v>45764</v>
      </c>
      <c r="D854" s="6" t="s">
        <v>74</v>
      </c>
      <c r="E854" s="6" t="s">
        <v>75</v>
      </c>
      <c r="F854" s="6">
        <v>1</v>
      </c>
      <c r="G854" s="6" t="s">
        <v>27</v>
      </c>
      <c r="H854" s="6">
        <v>2</v>
      </c>
      <c r="I854" s="6">
        <v>13</v>
      </c>
      <c r="J854" s="6">
        <v>6.5</v>
      </c>
      <c r="K854" s="6" t="s">
        <v>35</v>
      </c>
      <c r="L854" s="6" t="str">
        <f>VLOOKUP(K854, 'Alphabetical by species code'!A:B, 2, FALSE)</f>
        <v>Deinandra fasciculata</v>
      </c>
      <c r="M854" s="6" t="str">
        <f>VLOOKUP(L854, 'Alphabetical by species code'!B:C, 2, FALSE)</f>
        <v>Native</v>
      </c>
    </row>
    <row r="855" spans="1:13" x14ac:dyDescent="0.25">
      <c r="A855" s="6">
        <v>9</v>
      </c>
      <c r="B855" s="6">
        <v>2025</v>
      </c>
      <c r="C855" s="7">
        <v>45764</v>
      </c>
      <c r="D855" s="6" t="s">
        <v>74</v>
      </c>
      <c r="E855" s="6" t="s">
        <v>75</v>
      </c>
      <c r="F855" s="6">
        <v>1</v>
      </c>
      <c r="G855" s="6" t="s">
        <v>27</v>
      </c>
      <c r="H855" s="6">
        <v>2</v>
      </c>
      <c r="I855" s="6">
        <v>14</v>
      </c>
      <c r="J855" s="6">
        <v>7</v>
      </c>
      <c r="K855" s="6" t="s">
        <v>52</v>
      </c>
      <c r="L855" s="6" t="str">
        <f>VLOOKUP(K855, 'Alphabetical by species code'!A:B, 2, FALSE)</f>
        <v>Rock</v>
      </c>
      <c r="M855" s="6" t="str">
        <f>VLOOKUP(L855, 'Alphabetical by species code'!B:C, 2, FALSE)</f>
        <v>Ground Cover</v>
      </c>
    </row>
    <row r="856" spans="1:13" x14ac:dyDescent="0.25">
      <c r="A856" s="6">
        <v>9</v>
      </c>
      <c r="B856" s="6">
        <v>2025</v>
      </c>
      <c r="C856" s="7">
        <v>45764</v>
      </c>
      <c r="D856" s="6" t="s">
        <v>74</v>
      </c>
      <c r="E856" s="6" t="s">
        <v>75</v>
      </c>
      <c r="F856" s="6">
        <v>1</v>
      </c>
      <c r="G856" s="6" t="s">
        <v>27</v>
      </c>
      <c r="H856" s="6">
        <v>2</v>
      </c>
      <c r="I856" s="6">
        <v>14</v>
      </c>
      <c r="J856" s="6">
        <v>7</v>
      </c>
      <c r="K856" s="6" t="s">
        <v>48</v>
      </c>
      <c r="L856" s="6" t="str">
        <f>VLOOKUP(K856, 'Alphabetical by species code'!A:B, 2, FALSE)</f>
        <v>Sonchus asper</v>
      </c>
      <c r="M856" s="6" t="str">
        <f>VLOOKUP(L856, 'Alphabetical by species code'!B:C, 2, FALSE)</f>
        <v>Non-Native</v>
      </c>
    </row>
    <row r="857" spans="1:13" x14ac:dyDescent="0.25">
      <c r="A857" s="6">
        <v>9</v>
      </c>
      <c r="B857" s="6">
        <v>2025</v>
      </c>
      <c r="C857" s="7">
        <v>45764</v>
      </c>
      <c r="D857" s="6" t="s">
        <v>74</v>
      </c>
      <c r="E857" s="6" t="s">
        <v>75</v>
      </c>
      <c r="F857" s="6">
        <v>1</v>
      </c>
      <c r="G857" s="6" t="s">
        <v>27</v>
      </c>
      <c r="H857" s="6">
        <v>2</v>
      </c>
      <c r="I857" s="6">
        <v>14</v>
      </c>
      <c r="J857" s="6">
        <v>7</v>
      </c>
      <c r="K857" s="6" t="s">
        <v>65</v>
      </c>
      <c r="L857" s="6" t="str">
        <f>VLOOKUP(K857, 'Alphabetical by species code'!A:B, 2, FALSE)</f>
        <v>Cryptantha intermedia</v>
      </c>
      <c r="M857" s="6" t="str">
        <f>VLOOKUP(L857, 'Alphabetical by species code'!B:C, 2, FALSE)</f>
        <v>Native</v>
      </c>
    </row>
    <row r="858" spans="1:13" x14ac:dyDescent="0.25">
      <c r="A858" s="6">
        <v>9</v>
      </c>
      <c r="B858" s="6">
        <v>2025</v>
      </c>
      <c r="C858" s="7">
        <v>45764</v>
      </c>
      <c r="D858" s="6" t="s">
        <v>74</v>
      </c>
      <c r="E858" s="6" t="s">
        <v>75</v>
      </c>
      <c r="F858" s="6">
        <v>1</v>
      </c>
      <c r="G858" s="6" t="s">
        <v>27</v>
      </c>
      <c r="H858" s="6">
        <v>2</v>
      </c>
      <c r="I858" s="6">
        <v>15</v>
      </c>
      <c r="J858" s="6">
        <v>7.5</v>
      </c>
      <c r="K858" s="6" t="s">
        <v>52</v>
      </c>
      <c r="L858" s="6" t="str">
        <f>VLOOKUP(K858, 'Alphabetical by species code'!A:B, 2, FALSE)</f>
        <v>Rock</v>
      </c>
      <c r="M858" s="6" t="str">
        <f>VLOOKUP(L858, 'Alphabetical by species code'!B:C, 2, FALSE)</f>
        <v>Ground Cover</v>
      </c>
    </row>
    <row r="859" spans="1:13" x14ac:dyDescent="0.25">
      <c r="A859" s="6">
        <v>10</v>
      </c>
      <c r="B859" s="6">
        <v>2025</v>
      </c>
      <c r="C859" s="7">
        <v>45777</v>
      </c>
      <c r="D859" s="6" t="s">
        <v>77</v>
      </c>
      <c r="E859" s="6" t="s">
        <v>75</v>
      </c>
      <c r="F859" s="6">
        <v>1</v>
      </c>
      <c r="G859" s="6" t="s">
        <v>46</v>
      </c>
      <c r="H859" s="6">
        <v>1</v>
      </c>
      <c r="I859" s="6">
        <v>1</v>
      </c>
      <c r="J859" s="6">
        <v>0</v>
      </c>
      <c r="K859" s="6" t="s">
        <v>28</v>
      </c>
      <c r="L859" s="6" t="str">
        <f>VLOOKUP(K859, 'Alphabetical by species code'!A:B, 2, FALSE)</f>
        <v>Litter</v>
      </c>
      <c r="M859" s="6" t="str">
        <f>VLOOKUP(L859, 'Alphabetical by species code'!B:C, 2, FALSE)</f>
        <v>Ground Cover</v>
      </c>
    </row>
    <row r="860" spans="1:13" x14ac:dyDescent="0.25">
      <c r="A860" s="6">
        <v>10</v>
      </c>
      <c r="B860" s="6">
        <v>2025</v>
      </c>
      <c r="C860" s="7">
        <v>45777</v>
      </c>
      <c r="D860" s="6" t="s">
        <v>77</v>
      </c>
      <c r="E860" s="6" t="s">
        <v>75</v>
      </c>
      <c r="F860" s="6">
        <v>1</v>
      </c>
      <c r="G860" s="6" t="s">
        <v>46</v>
      </c>
      <c r="H860" s="6">
        <v>1</v>
      </c>
      <c r="I860" s="6">
        <v>1</v>
      </c>
      <c r="J860" s="6">
        <v>0</v>
      </c>
      <c r="K860" s="6" t="s">
        <v>35</v>
      </c>
      <c r="L860" s="6" t="str">
        <f>VLOOKUP(K860, 'Alphabetical by species code'!A:B, 2, FALSE)</f>
        <v>Deinandra fasciculata</v>
      </c>
      <c r="M860" s="6" t="str">
        <f>VLOOKUP(L860, 'Alphabetical by species code'!B:C, 2, FALSE)</f>
        <v>Native</v>
      </c>
    </row>
    <row r="861" spans="1:13" x14ac:dyDescent="0.25">
      <c r="A861" s="6">
        <v>10</v>
      </c>
      <c r="B861" s="6">
        <v>2025</v>
      </c>
      <c r="C861" s="7">
        <v>45777</v>
      </c>
      <c r="D861" s="6" t="s">
        <v>77</v>
      </c>
      <c r="E861" s="6" t="s">
        <v>75</v>
      </c>
      <c r="F861" s="6">
        <v>1</v>
      </c>
      <c r="G861" s="6" t="s">
        <v>46</v>
      </c>
      <c r="H861" s="6">
        <v>1</v>
      </c>
      <c r="I861" s="6">
        <v>1</v>
      </c>
      <c r="J861" s="6">
        <v>0</v>
      </c>
      <c r="K861" s="6" t="s">
        <v>30</v>
      </c>
      <c r="L861" s="6" t="str">
        <f>VLOOKUP(K861, 'Alphabetical by species code'!A:B, 2, FALSE)</f>
        <v>Erodium moschatum</v>
      </c>
      <c r="M861" s="6" t="str">
        <f>VLOOKUP(L861, 'Alphabetical by species code'!B:C, 2, FALSE)</f>
        <v>Non-Native</v>
      </c>
    </row>
    <row r="862" spans="1:13" x14ac:dyDescent="0.25">
      <c r="A862" s="6">
        <v>10</v>
      </c>
      <c r="B862" s="6">
        <v>2025</v>
      </c>
      <c r="C862" s="7">
        <v>45777</v>
      </c>
      <c r="D862" s="6" t="s">
        <v>77</v>
      </c>
      <c r="E862" s="6" t="s">
        <v>75</v>
      </c>
      <c r="F862" s="6">
        <v>1</v>
      </c>
      <c r="G862" s="6" t="s">
        <v>46</v>
      </c>
      <c r="H862" s="6">
        <v>1</v>
      </c>
      <c r="I862" s="6">
        <v>1</v>
      </c>
      <c r="J862" s="6">
        <v>0</v>
      </c>
      <c r="K862" s="6" t="s">
        <v>31</v>
      </c>
      <c r="L862" s="6" t="str">
        <f>VLOOKUP(K862, 'Alphabetical by species code'!A:B, 2, FALSE)</f>
        <v>Festuca myuros</v>
      </c>
      <c r="M862" s="6" t="str">
        <f>VLOOKUP(L862, 'Alphabetical by species code'!B:C, 2, FALSE)</f>
        <v>Non-Native</v>
      </c>
    </row>
    <row r="863" spans="1:13" x14ac:dyDescent="0.25">
      <c r="A863" s="6">
        <v>10</v>
      </c>
      <c r="B863" s="6">
        <v>2025</v>
      </c>
      <c r="C863" s="7">
        <v>45777</v>
      </c>
      <c r="D863" s="6" t="s">
        <v>77</v>
      </c>
      <c r="E863" s="6" t="s">
        <v>75</v>
      </c>
      <c r="F863" s="6">
        <v>1</v>
      </c>
      <c r="G863" s="6" t="s">
        <v>46</v>
      </c>
      <c r="H863" s="6">
        <v>1</v>
      </c>
      <c r="I863" s="6">
        <v>2</v>
      </c>
      <c r="J863" s="6">
        <v>0.5</v>
      </c>
      <c r="K863" s="6" t="s">
        <v>28</v>
      </c>
      <c r="L863" s="6" t="str">
        <f>VLOOKUP(K863, 'Alphabetical by species code'!A:B, 2, FALSE)</f>
        <v>Litter</v>
      </c>
      <c r="M863" s="6" t="str">
        <f>VLOOKUP(L863, 'Alphabetical by species code'!B:C, 2, FALSE)</f>
        <v>Ground Cover</v>
      </c>
    </row>
    <row r="864" spans="1:13" x14ac:dyDescent="0.25">
      <c r="A864" s="6">
        <v>10</v>
      </c>
      <c r="B864" s="6">
        <v>2025</v>
      </c>
      <c r="C864" s="7">
        <v>45777</v>
      </c>
      <c r="D864" s="6" t="s">
        <v>77</v>
      </c>
      <c r="E864" s="6" t="s">
        <v>75</v>
      </c>
      <c r="F864" s="6">
        <v>1</v>
      </c>
      <c r="G864" s="6" t="s">
        <v>46</v>
      </c>
      <c r="H864" s="6">
        <v>1</v>
      </c>
      <c r="I864" s="6">
        <v>2</v>
      </c>
      <c r="J864" s="6">
        <v>0.5</v>
      </c>
      <c r="K864" s="6" t="s">
        <v>36</v>
      </c>
      <c r="L864" s="6" t="str">
        <f>VLOOKUP(K864, 'Alphabetical by species code'!A:B, 2, FALSE)</f>
        <v>Bromus madritensis</v>
      </c>
      <c r="M864" s="6" t="str">
        <f>VLOOKUP(L864, 'Alphabetical by species code'!B:C, 2, FALSE)</f>
        <v>Non-Native</v>
      </c>
    </row>
    <row r="865" spans="1:13" x14ac:dyDescent="0.25">
      <c r="A865" s="6">
        <v>10</v>
      </c>
      <c r="B865" s="6">
        <v>2025</v>
      </c>
      <c r="C865" s="7">
        <v>45777</v>
      </c>
      <c r="D865" s="6" t="s">
        <v>77</v>
      </c>
      <c r="E865" s="6" t="s">
        <v>75</v>
      </c>
      <c r="F865" s="6">
        <v>1</v>
      </c>
      <c r="G865" s="6" t="s">
        <v>46</v>
      </c>
      <c r="H865" s="6">
        <v>1</v>
      </c>
      <c r="I865" s="6">
        <v>2</v>
      </c>
      <c r="J865" s="6">
        <v>0.5</v>
      </c>
      <c r="K865" s="6" t="s">
        <v>29</v>
      </c>
      <c r="L865" s="6" t="str">
        <f>VLOOKUP(K865, 'Alphabetical by species code'!A:B, 2, FALSE)</f>
        <v>Opuntia littoralis</v>
      </c>
      <c r="M865" s="6" t="str">
        <f>VLOOKUP(L865, 'Alphabetical by species code'!B:C, 2, FALSE)</f>
        <v>Native</v>
      </c>
    </row>
    <row r="866" spans="1:13" x14ac:dyDescent="0.25">
      <c r="A866" s="6">
        <v>10</v>
      </c>
      <c r="B866" s="6">
        <v>2025</v>
      </c>
      <c r="C866" s="7">
        <v>45777</v>
      </c>
      <c r="D866" s="6" t="s">
        <v>77</v>
      </c>
      <c r="E866" s="6" t="s">
        <v>75</v>
      </c>
      <c r="F866" s="6">
        <v>1</v>
      </c>
      <c r="G866" s="6" t="s">
        <v>46</v>
      </c>
      <c r="H866" s="6">
        <v>1</v>
      </c>
      <c r="I866" s="6">
        <v>2</v>
      </c>
      <c r="J866" s="6">
        <v>0.5</v>
      </c>
      <c r="K866" s="6" t="s">
        <v>35</v>
      </c>
      <c r="L866" s="6" t="str">
        <f>VLOOKUP(K866, 'Alphabetical by species code'!A:B, 2, FALSE)</f>
        <v>Deinandra fasciculata</v>
      </c>
      <c r="M866" s="6" t="str">
        <f>VLOOKUP(L866, 'Alphabetical by species code'!B:C, 2, FALSE)</f>
        <v>Native</v>
      </c>
    </row>
    <row r="867" spans="1:13" x14ac:dyDescent="0.25">
      <c r="A867" s="6">
        <v>10</v>
      </c>
      <c r="B867" s="6">
        <v>2025</v>
      </c>
      <c r="C867" s="7">
        <v>45777</v>
      </c>
      <c r="D867" s="6" t="s">
        <v>77</v>
      </c>
      <c r="E867" s="6" t="s">
        <v>75</v>
      </c>
      <c r="F867" s="6">
        <v>1</v>
      </c>
      <c r="G867" s="6" t="s">
        <v>46</v>
      </c>
      <c r="H867" s="6">
        <v>1</v>
      </c>
      <c r="I867" s="6">
        <v>2</v>
      </c>
      <c r="J867" s="6">
        <v>0.5</v>
      </c>
      <c r="K867" s="6" t="s">
        <v>49</v>
      </c>
      <c r="L867" s="6" t="str">
        <f>VLOOKUP(K867, 'Alphabetical by species code'!A:B, 2, FALSE)</f>
        <v>Anagallis arvensis</v>
      </c>
      <c r="M867" s="6" t="str">
        <f>VLOOKUP(L867, 'Alphabetical by species code'!B:C, 2, FALSE)</f>
        <v>Non-Native</v>
      </c>
    </row>
    <row r="868" spans="1:13" x14ac:dyDescent="0.25">
      <c r="A868" s="6">
        <v>10</v>
      </c>
      <c r="B868" s="6">
        <v>2025</v>
      </c>
      <c r="C868" s="7">
        <v>45777</v>
      </c>
      <c r="D868" s="6" t="s">
        <v>77</v>
      </c>
      <c r="E868" s="6" t="s">
        <v>75</v>
      </c>
      <c r="F868" s="6">
        <v>1</v>
      </c>
      <c r="G868" s="6" t="s">
        <v>46</v>
      </c>
      <c r="H868" s="6">
        <v>1</v>
      </c>
      <c r="I868" s="6">
        <v>3</v>
      </c>
      <c r="J868" s="6">
        <v>1</v>
      </c>
      <c r="K868" s="6" t="s">
        <v>28</v>
      </c>
      <c r="L868" s="6" t="str">
        <f>VLOOKUP(K868, 'Alphabetical by species code'!A:B, 2, FALSE)</f>
        <v>Litter</v>
      </c>
      <c r="M868" s="6" t="str">
        <f>VLOOKUP(L868, 'Alphabetical by species code'!B:C, 2, FALSE)</f>
        <v>Ground Cover</v>
      </c>
    </row>
    <row r="869" spans="1:13" x14ac:dyDescent="0.25">
      <c r="A869" s="6">
        <v>10</v>
      </c>
      <c r="B869" s="6">
        <v>2025</v>
      </c>
      <c r="C869" s="7">
        <v>45777</v>
      </c>
      <c r="D869" s="6" t="s">
        <v>77</v>
      </c>
      <c r="E869" s="6" t="s">
        <v>75</v>
      </c>
      <c r="F869" s="6">
        <v>1</v>
      </c>
      <c r="G869" s="6" t="s">
        <v>46</v>
      </c>
      <c r="H869" s="6">
        <v>1</v>
      </c>
      <c r="I869" s="6">
        <v>3</v>
      </c>
      <c r="J869" s="6">
        <v>1</v>
      </c>
      <c r="K869" s="6" t="s">
        <v>36</v>
      </c>
      <c r="L869" s="6" t="str">
        <f>VLOOKUP(K869, 'Alphabetical by species code'!A:B, 2, FALSE)</f>
        <v>Bromus madritensis</v>
      </c>
      <c r="M869" s="6" t="str">
        <f>VLOOKUP(L869, 'Alphabetical by species code'!B:C, 2, FALSE)</f>
        <v>Non-Native</v>
      </c>
    </row>
    <row r="870" spans="1:13" x14ac:dyDescent="0.25">
      <c r="A870" s="6">
        <v>10</v>
      </c>
      <c r="B870" s="6">
        <v>2025</v>
      </c>
      <c r="C870" s="7">
        <v>45777</v>
      </c>
      <c r="D870" s="6" t="s">
        <v>77</v>
      </c>
      <c r="E870" s="6" t="s">
        <v>75</v>
      </c>
      <c r="F870" s="6">
        <v>1</v>
      </c>
      <c r="G870" s="6" t="s">
        <v>46</v>
      </c>
      <c r="H870" s="6">
        <v>1</v>
      </c>
      <c r="I870" s="6">
        <v>3</v>
      </c>
      <c r="J870" s="6">
        <v>1</v>
      </c>
      <c r="K870" s="6" t="s">
        <v>35</v>
      </c>
      <c r="L870" s="6" t="str">
        <f>VLOOKUP(K870, 'Alphabetical by species code'!A:B, 2, FALSE)</f>
        <v>Deinandra fasciculata</v>
      </c>
      <c r="M870" s="6" t="str">
        <f>VLOOKUP(L870, 'Alphabetical by species code'!B:C, 2, FALSE)</f>
        <v>Native</v>
      </c>
    </row>
    <row r="871" spans="1:13" x14ac:dyDescent="0.25">
      <c r="A871" s="6">
        <v>10</v>
      </c>
      <c r="B871" s="6">
        <v>2025</v>
      </c>
      <c r="C871" s="7">
        <v>45777</v>
      </c>
      <c r="D871" s="6" t="s">
        <v>77</v>
      </c>
      <c r="E871" s="6" t="s">
        <v>75</v>
      </c>
      <c r="F871" s="6">
        <v>1</v>
      </c>
      <c r="G871" s="6" t="s">
        <v>46</v>
      </c>
      <c r="H871" s="6">
        <v>1</v>
      </c>
      <c r="I871" s="6">
        <v>4</v>
      </c>
      <c r="J871" s="6">
        <v>1.5</v>
      </c>
      <c r="K871" s="6" t="s">
        <v>41</v>
      </c>
      <c r="L871" s="6" t="str">
        <f>VLOOKUP(K871, 'Alphabetical by species code'!A:B, 2, FALSE)</f>
        <v>Stem</v>
      </c>
      <c r="M871" s="6" t="str">
        <f>VLOOKUP(L871, 'Alphabetical by species code'!B:C, 2, FALSE)</f>
        <v>Ground Cover</v>
      </c>
    </row>
    <row r="872" spans="1:13" x14ac:dyDescent="0.25">
      <c r="A872" s="6">
        <v>10</v>
      </c>
      <c r="B872" s="6">
        <v>2025</v>
      </c>
      <c r="C872" s="7">
        <v>45777</v>
      </c>
      <c r="D872" s="6" t="s">
        <v>77</v>
      </c>
      <c r="E872" s="6" t="s">
        <v>75</v>
      </c>
      <c r="F872" s="6">
        <v>1</v>
      </c>
      <c r="G872" s="6" t="s">
        <v>46</v>
      </c>
      <c r="H872" s="6">
        <v>1</v>
      </c>
      <c r="I872" s="6">
        <v>4</v>
      </c>
      <c r="J872" s="6">
        <v>1.5</v>
      </c>
      <c r="K872" s="6" t="s">
        <v>29</v>
      </c>
      <c r="L872" s="6" t="str">
        <f>VLOOKUP(K872, 'Alphabetical by species code'!A:B, 2, FALSE)</f>
        <v>Opuntia littoralis</v>
      </c>
      <c r="M872" s="6" t="str">
        <f>VLOOKUP(L872, 'Alphabetical by species code'!B:C, 2, FALSE)</f>
        <v>Native</v>
      </c>
    </row>
    <row r="873" spans="1:13" x14ac:dyDescent="0.25">
      <c r="A873" s="6">
        <v>10</v>
      </c>
      <c r="B873" s="6">
        <v>2025</v>
      </c>
      <c r="C873" s="7">
        <v>45777</v>
      </c>
      <c r="D873" s="6" t="s">
        <v>77</v>
      </c>
      <c r="E873" s="6" t="s">
        <v>75</v>
      </c>
      <c r="F873" s="6">
        <v>1</v>
      </c>
      <c r="G873" s="6" t="s">
        <v>46</v>
      </c>
      <c r="H873" s="6">
        <v>1</v>
      </c>
      <c r="I873" s="6">
        <v>4</v>
      </c>
      <c r="J873" s="6">
        <v>1.5</v>
      </c>
      <c r="K873" s="6" t="s">
        <v>43</v>
      </c>
      <c r="L873" s="6" t="str">
        <f>VLOOKUP(K873, 'Alphabetical by species code'!A:B, 2, FALSE)</f>
        <v>Uropappus lindleyi</v>
      </c>
      <c r="M873" s="6" t="str">
        <f>VLOOKUP(L873, 'Alphabetical by species code'!B:C, 2, FALSE)</f>
        <v>Native</v>
      </c>
    </row>
    <row r="874" spans="1:13" x14ac:dyDescent="0.25">
      <c r="A874" s="6">
        <v>10</v>
      </c>
      <c r="B874" s="6">
        <v>2025</v>
      </c>
      <c r="C874" s="7">
        <v>45777</v>
      </c>
      <c r="D874" s="6" t="s">
        <v>77</v>
      </c>
      <c r="E874" s="6" t="s">
        <v>75</v>
      </c>
      <c r="F874" s="6">
        <v>1</v>
      </c>
      <c r="G874" s="6" t="s">
        <v>46</v>
      </c>
      <c r="H874" s="6">
        <v>1</v>
      </c>
      <c r="I874" s="6">
        <v>5</v>
      </c>
      <c r="J874" s="6">
        <v>2</v>
      </c>
      <c r="K874" s="6" t="s">
        <v>28</v>
      </c>
      <c r="L874" s="6" t="str">
        <f>VLOOKUP(K874, 'Alphabetical by species code'!A:B, 2, FALSE)</f>
        <v>Litter</v>
      </c>
      <c r="M874" s="6" t="str">
        <f>VLOOKUP(L874, 'Alphabetical by species code'!B:C, 2, FALSE)</f>
        <v>Ground Cover</v>
      </c>
    </row>
    <row r="875" spans="1:13" x14ac:dyDescent="0.25">
      <c r="A875" s="6">
        <v>10</v>
      </c>
      <c r="B875" s="6">
        <v>2025</v>
      </c>
      <c r="C875" s="7">
        <v>45777</v>
      </c>
      <c r="D875" s="6" t="s">
        <v>77</v>
      </c>
      <c r="E875" s="6" t="s">
        <v>75</v>
      </c>
      <c r="F875" s="6">
        <v>1</v>
      </c>
      <c r="G875" s="6" t="s">
        <v>46</v>
      </c>
      <c r="H875" s="6">
        <v>1</v>
      </c>
      <c r="I875" s="6">
        <v>5</v>
      </c>
      <c r="J875" s="6">
        <v>2</v>
      </c>
      <c r="K875" s="6" t="s">
        <v>30</v>
      </c>
      <c r="L875" s="6" t="str">
        <f>VLOOKUP(K875, 'Alphabetical by species code'!A:B, 2, FALSE)</f>
        <v>Erodium moschatum</v>
      </c>
      <c r="M875" s="6" t="str">
        <f>VLOOKUP(L875, 'Alphabetical by species code'!B:C, 2, FALSE)</f>
        <v>Non-Native</v>
      </c>
    </row>
    <row r="876" spans="1:13" x14ac:dyDescent="0.25">
      <c r="A876" s="6">
        <v>10</v>
      </c>
      <c r="B876" s="6">
        <v>2025</v>
      </c>
      <c r="C876" s="7">
        <v>45777</v>
      </c>
      <c r="D876" s="6" t="s">
        <v>77</v>
      </c>
      <c r="E876" s="6" t="s">
        <v>75</v>
      </c>
      <c r="F876" s="6">
        <v>1</v>
      </c>
      <c r="G876" s="6" t="s">
        <v>46</v>
      </c>
      <c r="H876" s="6">
        <v>1</v>
      </c>
      <c r="I876" s="6">
        <v>5</v>
      </c>
      <c r="J876" s="6">
        <v>2</v>
      </c>
      <c r="K876" s="6" t="s">
        <v>42</v>
      </c>
      <c r="L876" s="6" t="str">
        <f>VLOOKUP(K876, 'Alphabetical by species code'!A:B, 2, FALSE)</f>
        <v>Centaurea melitensis</v>
      </c>
      <c r="M876" s="6" t="str">
        <f>VLOOKUP(L876, 'Alphabetical by species code'!B:C, 2, FALSE)</f>
        <v>Non-Native</v>
      </c>
    </row>
    <row r="877" spans="1:13" x14ac:dyDescent="0.25">
      <c r="A877" s="6">
        <v>10</v>
      </c>
      <c r="B877" s="6">
        <v>2025</v>
      </c>
      <c r="C877" s="7">
        <v>45777</v>
      </c>
      <c r="D877" s="6" t="s">
        <v>77</v>
      </c>
      <c r="E877" s="6" t="s">
        <v>75</v>
      </c>
      <c r="F877" s="6">
        <v>1</v>
      </c>
      <c r="G877" s="6" t="s">
        <v>46</v>
      </c>
      <c r="H877" s="6">
        <v>1</v>
      </c>
      <c r="I877" s="6">
        <v>6</v>
      </c>
      <c r="J877" s="6">
        <v>2.5</v>
      </c>
      <c r="K877" s="6" t="s">
        <v>51</v>
      </c>
      <c r="L877" s="6" t="str">
        <f>VLOOKUP(K877, 'Alphabetical by species code'!A:B, 2, FALSE)</f>
        <v>Bareground</v>
      </c>
      <c r="M877" s="6" t="str">
        <f>VLOOKUP(L877, 'Alphabetical by species code'!B:C, 2, FALSE)</f>
        <v>Ground Cover</v>
      </c>
    </row>
    <row r="878" spans="1:13" x14ac:dyDescent="0.25">
      <c r="A878" s="6">
        <v>10</v>
      </c>
      <c r="B878" s="6">
        <v>2025</v>
      </c>
      <c r="C878" s="7">
        <v>45777</v>
      </c>
      <c r="D878" s="6" t="s">
        <v>77</v>
      </c>
      <c r="E878" s="6" t="s">
        <v>75</v>
      </c>
      <c r="F878" s="6">
        <v>1</v>
      </c>
      <c r="G878" s="6" t="s">
        <v>46</v>
      </c>
      <c r="H878" s="6">
        <v>1</v>
      </c>
      <c r="I878" s="6">
        <v>6</v>
      </c>
      <c r="J878" s="6">
        <v>2.5</v>
      </c>
      <c r="K878" s="6" t="s">
        <v>29</v>
      </c>
      <c r="L878" s="6" t="str">
        <f>VLOOKUP(K878, 'Alphabetical by species code'!A:B, 2, FALSE)</f>
        <v>Opuntia littoralis</v>
      </c>
      <c r="M878" s="6" t="str">
        <f>VLOOKUP(L878, 'Alphabetical by species code'!B:C, 2, FALSE)</f>
        <v>Native</v>
      </c>
    </row>
    <row r="879" spans="1:13" x14ac:dyDescent="0.25">
      <c r="A879" s="6">
        <v>10</v>
      </c>
      <c r="B879" s="6">
        <v>2025</v>
      </c>
      <c r="C879" s="7">
        <v>45777</v>
      </c>
      <c r="D879" s="6" t="s">
        <v>77</v>
      </c>
      <c r="E879" s="6" t="s">
        <v>75</v>
      </c>
      <c r="F879" s="6">
        <v>1</v>
      </c>
      <c r="G879" s="6" t="s">
        <v>46</v>
      </c>
      <c r="H879" s="6">
        <v>1</v>
      </c>
      <c r="I879" s="6">
        <v>6</v>
      </c>
      <c r="J879" s="6">
        <v>2.5</v>
      </c>
      <c r="K879" s="6" t="s">
        <v>48</v>
      </c>
      <c r="L879" s="6" t="str">
        <f>VLOOKUP(K879, 'Alphabetical by species code'!A:B, 2, FALSE)</f>
        <v>Sonchus asper</v>
      </c>
      <c r="M879" s="6" t="str">
        <f>VLOOKUP(L879, 'Alphabetical by species code'!B:C, 2, FALSE)</f>
        <v>Non-Native</v>
      </c>
    </row>
    <row r="880" spans="1:13" x14ac:dyDescent="0.25">
      <c r="A880" s="6">
        <v>10</v>
      </c>
      <c r="B880" s="6">
        <v>2025</v>
      </c>
      <c r="C880" s="7">
        <v>45777</v>
      </c>
      <c r="D880" s="6" t="s">
        <v>77</v>
      </c>
      <c r="E880" s="6" t="s">
        <v>75</v>
      </c>
      <c r="F880" s="6">
        <v>1</v>
      </c>
      <c r="G880" s="6" t="s">
        <v>46</v>
      </c>
      <c r="H880" s="6">
        <v>1</v>
      </c>
      <c r="I880" s="6">
        <v>6</v>
      </c>
      <c r="J880" s="6">
        <v>2.5</v>
      </c>
      <c r="K880" s="6" t="s">
        <v>31</v>
      </c>
      <c r="L880" s="6" t="str">
        <f>VLOOKUP(K880, 'Alphabetical by species code'!A:B, 2, FALSE)</f>
        <v>Festuca myuros</v>
      </c>
      <c r="M880" s="6" t="str">
        <f>VLOOKUP(L880, 'Alphabetical by species code'!B:C, 2, FALSE)</f>
        <v>Non-Native</v>
      </c>
    </row>
    <row r="881" spans="1:13" x14ac:dyDescent="0.25">
      <c r="A881" s="6">
        <v>10</v>
      </c>
      <c r="B881" s="6">
        <v>2025</v>
      </c>
      <c r="C881" s="7">
        <v>45777</v>
      </c>
      <c r="D881" s="6" t="s">
        <v>77</v>
      </c>
      <c r="E881" s="6" t="s">
        <v>75</v>
      </c>
      <c r="F881" s="6">
        <v>1</v>
      </c>
      <c r="G881" s="6" t="s">
        <v>46</v>
      </c>
      <c r="H881" s="6">
        <v>1</v>
      </c>
      <c r="I881" s="6">
        <v>7</v>
      </c>
      <c r="J881" s="6">
        <v>3</v>
      </c>
      <c r="K881" s="6" t="s">
        <v>28</v>
      </c>
      <c r="L881" s="6" t="str">
        <f>VLOOKUP(K881, 'Alphabetical by species code'!A:B, 2, FALSE)</f>
        <v>Litter</v>
      </c>
      <c r="M881" s="6" t="str">
        <f>VLOOKUP(L881, 'Alphabetical by species code'!B:C, 2, FALSE)</f>
        <v>Ground Cover</v>
      </c>
    </row>
    <row r="882" spans="1:13" x14ac:dyDescent="0.25">
      <c r="A882" s="6">
        <v>10</v>
      </c>
      <c r="B882" s="6">
        <v>2025</v>
      </c>
      <c r="C882" s="7">
        <v>45777</v>
      </c>
      <c r="D882" s="6" t="s">
        <v>77</v>
      </c>
      <c r="E882" s="6" t="s">
        <v>75</v>
      </c>
      <c r="F882" s="6">
        <v>1</v>
      </c>
      <c r="G882" s="6" t="s">
        <v>46</v>
      </c>
      <c r="H882" s="6">
        <v>1</v>
      </c>
      <c r="I882" s="6">
        <v>7</v>
      </c>
      <c r="J882" s="6">
        <v>3</v>
      </c>
      <c r="K882" s="6" t="s">
        <v>48</v>
      </c>
      <c r="L882" s="6" t="str">
        <f>VLOOKUP(K882, 'Alphabetical by species code'!A:B, 2, FALSE)</f>
        <v>Sonchus asper</v>
      </c>
      <c r="M882" s="6" t="str">
        <f>VLOOKUP(L882, 'Alphabetical by species code'!B:C, 2, FALSE)</f>
        <v>Non-Native</v>
      </c>
    </row>
    <row r="883" spans="1:13" x14ac:dyDescent="0.25">
      <c r="A883" s="6">
        <v>10</v>
      </c>
      <c r="B883" s="6">
        <v>2025</v>
      </c>
      <c r="C883" s="7">
        <v>45777</v>
      </c>
      <c r="D883" s="6" t="s">
        <v>77</v>
      </c>
      <c r="E883" s="6" t="s">
        <v>75</v>
      </c>
      <c r="F883" s="6">
        <v>1</v>
      </c>
      <c r="G883" s="6" t="s">
        <v>46</v>
      </c>
      <c r="H883" s="6">
        <v>1</v>
      </c>
      <c r="I883" s="6">
        <v>7</v>
      </c>
      <c r="J883" s="6">
        <v>3</v>
      </c>
      <c r="K883" s="6" t="s">
        <v>35</v>
      </c>
      <c r="L883" s="6" t="str">
        <f>VLOOKUP(K883, 'Alphabetical by species code'!A:B, 2, FALSE)</f>
        <v>Deinandra fasciculata</v>
      </c>
      <c r="M883" s="6" t="str">
        <f>VLOOKUP(L883, 'Alphabetical by species code'!B:C, 2, FALSE)</f>
        <v>Native</v>
      </c>
    </row>
    <row r="884" spans="1:13" x14ac:dyDescent="0.25">
      <c r="A884" s="6">
        <v>10</v>
      </c>
      <c r="B884" s="6">
        <v>2025</v>
      </c>
      <c r="C884" s="7">
        <v>45777</v>
      </c>
      <c r="D884" s="6" t="s">
        <v>77</v>
      </c>
      <c r="E884" s="6" t="s">
        <v>75</v>
      </c>
      <c r="F884" s="6">
        <v>1</v>
      </c>
      <c r="G884" s="6" t="s">
        <v>46</v>
      </c>
      <c r="H884" s="6">
        <v>1</v>
      </c>
      <c r="I884" s="6">
        <v>7</v>
      </c>
      <c r="J884" s="6">
        <v>3</v>
      </c>
      <c r="K884" s="6" t="s">
        <v>29</v>
      </c>
      <c r="L884" s="6" t="str">
        <f>VLOOKUP(K884, 'Alphabetical by species code'!A:B, 2, FALSE)</f>
        <v>Opuntia littoralis</v>
      </c>
      <c r="M884" s="6" t="str">
        <f>VLOOKUP(L884, 'Alphabetical by species code'!B:C, 2, FALSE)</f>
        <v>Native</v>
      </c>
    </row>
    <row r="885" spans="1:13" x14ac:dyDescent="0.25">
      <c r="A885" s="6">
        <v>10</v>
      </c>
      <c r="B885" s="6">
        <v>2025</v>
      </c>
      <c r="C885" s="7">
        <v>45777</v>
      </c>
      <c r="D885" s="6" t="s">
        <v>77</v>
      </c>
      <c r="E885" s="6" t="s">
        <v>75</v>
      </c>
      <c r="F885" s="6">
        <v>1</v>
      </c>
      <c r="G885" s="6" t="s">
        <v>46</v>
      </c>
      <c r="H885" s="6">
        <v>1</v>
      </c>
      <c r="I885" s="6">
        <v>8</v>
      </c>
      <c r="J885" s="6">
        <v>3.5</v>
      </c>
      <c r="K885" s="6" t="s">
        <v>28</v>
      </c>
      <c r="L885" s="6" t="str">
        <f>VLOOKUP(K885, 'Alphabetical by species code'!A:B, 2, FALSE)</f>
        <v>Litter</v>
      </c>
      <c r="M885" s="6" t="str">
        <f>VLOOKUP(L885, 'Alphabetical by species code'!B:C, 2, FALSE)</f>
        <v>Ground Cover</v>
      </c>
    </row>
    <row r="886" spans="1:13" x14ac:dyDescent="0.25">
      <c r="A886" s="6">
        <v>10</v>
      </c>
      <c r="B886" s="6">
        <v>2025</v>
      </c>
      <c r="C886" s="7">
        <v>45777</v>
      </c>
      <c r="D886" s="6" t="s">
        <v>77</v>
      </c>
      <c r="E886" s="6" t="s">
        <v>75</v>
      </c>
      <c r="F886" s="6">
        <v>1</v>
      </c>
      <c r="G886" s="6" t="s">
        <v>46</v>
      </c>
      <c r="H886" s="6">
        <v>1</v>
      </c>
      <c r="I886" s="6">
        <v>8</v>
      </c>
      <c r="J886" s="6">
        <v>3.5</v>
      </c>
      <c r="K886" s="6" t="s">
        <v>35</v>
      </c>
      <c r="L886" s="6" t="str">
        <f>VLOOKUP(K886, 'Alphabetical by species code'!A:B, 2, FALSE)</f>
        <v>Deinandra fasciculata</v>
      </c>
      <c r="M886" s="6" t="str">
        <f>VLOOKUP(L886, 'Alphabetical by species code'!B:C, 2, FALSE)</f>
        <v>Native</v>
      </c>
    </row>
    <row r="887" spans="1:13" x14ac:dyDescent="0.25">
      <c r="A887" s="6">
        <v>10</v>
      </c>
      <c r="B887" s="6">
        <v>2025</v>
      </c>
      <c r="C887" s="7">
        <v>45777</v>
      </c>
      <c r="D887" s="6" t="s">
        <v>77</v>
      </c>
      <c r="E887" s="6" t="s">
        <v>75</v>
      </c>
      <c r="F887" s="6">
        <v>1</v>
      </c>
      <c r="G887" s="6" t="s">
        <v>46</v>
      </c>
      <c r="H887" s="6">
        <v>1</v>
      </c>
      <c r="I887" s="6">
        <v>9</v>
      </c>
      <c r="J887" s="6">
        <v>4</v>
      </c>
      <c r="K887" s="6" t="s">
        <v>38</v>
      </c>
      <c r="L887" s="6" t="str">
        <f>VLOOKUP(K887, 'Alphabetical by species code'!A:B, 2, FALSE)</f>
        <v>Thatch</v>
      </c>
      <c r="M887" s="6" t="str">
        <f>VLOOKUP(L887, 'Alphabetical by species code'!B:C, 2, FALSE)</f>
        <v>Ground Cover</v>
      </c>
    </row>
    <row r="888" spans="1:13" x14ac:dyDescent="0.25">
      <c r="A888" s="6">
        <v>10</v>
      </c>
      <c r="B888" s="6">
        <v>2025</v>
      </c>
      <c r="C888" s="7">
        <v>45777</v>
      </c>
      <c r="D888" s="6" t="s">
        <v>77</v>
      </c>
      <c r="E888" s="6" t="s">
        <v>75</v>
      </c>
      <c r="F888" s="6">
        <v>1</v>
      </c>
      <c r="G888" s="6" t="s">
        <v>46</v>
      </c>
      <c r="H888" s="6">
        <v>1</v>
      </c>
      <c r="I888" s="6">
        <v>9</v>
      </c>
      <c r="J888" s="6">
        <v>4</v>
      </c>
      <c r="K888" s="6" t="s">
        <v>31</v>
      </c>
      <c r="L888" s="6" t="str">
        <f>VLOOKUP(K888, 'Alphabetical by species code'!A:B, 2, FALSE)</f>
        <v>Festuca myuros</v>
      </c>
      <c r="M888" s="6" t="str">
        <f>VLOOKUP(L888, 'Alphabetical by species code'!B:C, 2, FALSE)</f>
        <v>Non-Native</v>
      </c>
    </row>
    <row r="889" spans="1:13" x14ac:dyDescent="0.25">
      <c r="A889" s="6">
        <v>10</v>
      </c>
      <c r="B889" s="6">
        <v>2025</v>
      </c>
      <c r="C889" s="7">
        <v>45777</v>
      </c>
      <c r="D889" s="6" t="s">
        <v>77</v>
      </c>
      <c r="E889" s="6" t="s">
        <v>75</v>
      </c>
      <c r="F889" s="6">
        <v>1</v>
      </c>
      <c r="G889" s="6" t="s">
        <v>46</v>
      </c>
      <c r="H889" s="6">
        <v>1</v>
      </c>
      <c r="I889" s="6">
        <v>9</v>
      </c>
      <c r="J889" s="6">
        <v>4</v>
      </c>
      <c r="K889" s="6" t="s">
        <v>36</v>
      </c>
      <c r="L889" s="6" t="str">
        <f>VLOOKUP(K889, 'Alphabetical by species code'!A:B, 2, FALSE)</f>
        <v>Bromus madritensis</v>
      </c>
      <c r="M889" s="6" t="str">
        <f>VLOOKUP(L889, 'Alphabetical by species code'!B:C, 2, FALSE)</f>
        <v>Non-Native</v>
      </c>
    </row>
    <row r="890" spans="1:13" x14ac:dyDescent="0.25">
      <c r="A890" s="6">
        <v>10</v>
      </c>
      <c r="B890" s="6">
        <v>2025</v>
      </c>
      <c r="C890" s="7">
        <v>45777</v>
      </c>
      <c r="D890" s="6" t="s">
        <v>77</v>
      </c>
      <c r="E890" s="6" t="s">
        <v>75</v>
      </c>
      <c r="F890" s="6">
        <v>1</v>
      </c>
      <c r="G890" s="6" t="s">
        <v>46</v>
      </c>
      <c r="H890" s="6">
        <v>1</v>
      </c>
      <c r="I890" s="6">
        <v>10</v>
      </c>
      <c r="J890" s="6">
        <v>4.5</v>
      </c>
      <c r="K890" s="6" t="s">
        <v>38</v>
      </c>
      <c r="L890" s="6" t="str">
        <f>VLOOKUP(K890, 'Alphabetical by species code'!A:B, 2, FALSE)</f>
        <v>Thatch</v>
      </c>
      <c r="M890" s="6" t="str">
        <f>VLOOKUP(L890, 'Alphabetical by species code'!B:C, 2, FALSE)</f>
        <v>Ground Cover</v>
      </c>
    </row>
    <row r="891" spans="1:13" x14ac:dyDescent="0.25">
      <c r="A891" s="6">
        <v>10</v>
      </c>
      <c r="B891" s="6">
        <v>2025</v>
      </c>
      <c r="C891" s="7">
        <v>45777</v>
      </c>
      <c r="D891" s="6" t="s">
        <v>77</v>
      </c>
      <c r="E891" s="6" t="s">
        <v>75</v>
      </c>
      <c r="F891" s="6">
        <v>1</v>
      </c>
      <c r="G891" s="6" t="s">
        <v>46</v>
      </c>
      <c r="H891" s="6">
        <v>1</v>
      </c>
      <c r="I891" s="6">
        <v>10</v>
      </c>
      <c r="J891" s="6">
        <v>4.5</v>
      </c>
      <c r="K891" s="6" t="s">
        <v>76</v>
      </c>
      <c r="L891" s="6" t="str">
        <f>VLOOKUP(K891, 'Alphabetical by species code'!A:B, 2, FALSE)</f>
        <v>Avena fatua</v>
      </c>
      <c r="M891" s="6" t="str">
        <f>VLOOKUP(L891, 'Alphabetical by species code'!B:C, 2, FALSE)</f>
        <v>Non-Native</v>
      </c>
    </row>
    <row r="892" spans="1:13" x14ac:dyDescent="0.25">
      <c r="A892" s="6">
        <v>10</v>
      </c>
      <c r="B892" s="6">
        <v>2025</v>
      </c>
      <c r="C892" s="7">
        <v>45777</v>
      </c>
      <c r="D892" s="6" t="s">
        <v>77</v>
      </c>
      <c r="E892" s="6" t="s">
        <v>75</v>
      </c>
      <c r="F892" s="6">
        <v>1</v>
      </c>
      <c r="G892" s="6" t="s">
        <v>46</v>
      </c>
      <c r="H892" s="6">
        <v>1</v>
      </c>
      <c r="I892" s="6">
        <v>10</v>
      </c>
      <c r="J892" s="6">
        <v>4.5</v>
      </c>
      <c r="K892" s="6" t="s">
        <v>31</v>
      </c>
      <c r="L892" s="6" t="str">
        <f>VLOOKUP(K892, 'Alphabetical by species code'!A:B, 2, FALSE)</f>
        <v>Festuca myuros</v>
      </c>
      <c r="M892" s="6" t="str">
        <f>VLOOKUP(L892, 'Alphabetical by species code'!B:C, 2, FALSE)</f>
        <v>Non-Native</v>
      </c>
    </row>
    <row r="893" spans="1:13" x14ac:dyDescent="0.25">
      <c r="A893" s="6">
        <v>10</v>
      </c>
      <c r="B893" s="6">
        <v>2025</v>
      </c>
      <c r="C893" s="7">
        <v>45777</v>
      </c>
      <c r="D893" s="6" t="s">
        <v>77</v>
      </c>
      <c r="E893" s="6" t="s">
        <v>75</v>
      </c>
      <c r="F893" s="6">
        <v>1</v>
      </c>
      <c r="G893" s="6" t="s">
        <v>46</v>
      </c>
      <c r="H893" s="6">
        <v>1</v>
      </c>
      <c r="I893" s="6">
        <v>10</v>
      </c>
      <c r="J893" s="6">
        <v>4.5</v>
      </c>
      <c r="K893" s="6" t="s">
        <v>29</v>
      </c>
      <c r="L893" s="6" t="str">
        <f>VLOOKUP(K893, 'Alphabetical by species code'!A:B, 2, FALSE)</f>
        <v>Opuntia littoralis</v>
      </c>
      <c r="M893" s="6" t="str">
        <f>VLOOKUP(L893, 'Alphabetical by species code'!B:C, 2, FALSE)</f>
        <v>Native</v>
      </c>
    </row>
    <row r="894" spans="1:13" x14ac:dyDescent="0.25">
      <c r="A894" s="6">
        <v>10</v>
      </c>
      <c r="B894" s="6">
        <v>2025</v>
      </c>
      <c r="C894" s="7">
        <v>45777</v>
      </c>
      <c r="D894" s="6" t="s">
        <v>77</v>
      </c>
      <c r="E894" s="6" t="s">
        <v>75</v>
      </c>
      <c r="F894" s="6">
        <v>1</v>
      </c>
      <c r="G894" s="6" t="s">
        <v>46</v>
      </c>
      <c r="H894" s="6">
        <v>1</v>
      </c>
      <c r="I894" s="6">
        <v>11</v>
      </c>
      <c r="J894" s="6">
        <v>5</v>
      </c>
      <c r="K894" s="6" t="s">
        <v>28</v>
      </c>
      <c r="L894" s="6" t="str">
        <f>VLOOKUP(K894, 'Alphabetical by species code'!A:B, 2, FALSE)</f>
        <v>Litter</v>
      </c>
      <c r="M894" s="6" t="str">
        <f>VLOOKUP(L894, 'Alphabetical by species code'!B:C, 2, FALSE)</f>
        <v>Ground Cover</v>
      </c>
    </row>
    <row r="895" spans="1:13" x14ac:dyDescent="0.25">
      <c r="A895" s="6">
        <v>10</v>
      </c>
      <c r="B895" s="6">
        <v>2025</v>
      </c>
      <c r="C895" s="7">
        <v>45777</v>
      </c>
      <c r="D895" s="6" t="s">
        <v>77</v>
      </c>
      <c r="E895" s="6" t="s">
        <v>75</v>
      </c>
      <c r="F895" s="6">
        <v>1</v>
      </c>
      <c r="G895" s="6" t="s">
        <v>46</v>
      </c>
      <c r="H895" s="6">
        <v>1</v>
      </c>
      <c r="I895" s="6">
        <v>11</v>
      </c>
      <c r="J895" s="6">
        <v>5</v>
      </c>
      <c r="K895" s="6" t="s">
        <v>37</v>
      </c>
      <c r="L895" s="6" t="str">
        <f>VLOOKUP(K895, 'Alphabetical by species code'!A:B, 2, FALSE)</f>
        <v>Sonchus oleraceus</v>
      </c>
      <c r="M895" s="6" t="str">
        <f>VLOOKUP(L895, 'Alphabetical by species code'!B:C, 2, FALSE)</f>
        <v>Non-Native</v>
      </c>
    </row>
    <row r="896" spans="1:13" x14ac:dyDescent="0.25">
      <c r="A896" s="6">
        <v>10</v>
      </c>
      <c r="B896" s="6">
        <v>2025</v>
      </c>
      <c r="C896" s="7">
        <v>45777</v>
      </c>
      <c r="D896" s="6" t="s">
        <v>77</v>
      </c>
      <c r="E896" s="6" t="s">
        <v>75</v>
      </c>
      <c r="F896" s="6">
        <v>1</v>
      </c>
      <c r="G896" s="6" t="s">
        <v>46</v>
      </c>
      <c r="H896" s="6">
        <v>1</v>
      </c>
      <c r="I896" s="6">
        <v>12</v>
      </c>
      <c r="J896" s="6">
        <v>5.5</v>
      </c>
      <c r="K896" s="6" t="s">
        <v>28</v>
      </c>
      <c r="L896" s="6" t="str">
        <f>VLOOKUP(K896, 'Alphabetical by species code'!A:B, 2, FALSE)</f>
        <v>Litter</v>
      </c>
      <c r="M896" s="6" t="str">
        <f>VLOOKUP(L896, 'Alphabetical by species code'!B:C, 2, FALSE)</f>
        <v>Ground Cover</v>
      </c>
    </row>
    <row r="897" spans="1:13" x14ac:dyDescent="0.25">
      <c r="A897" s="6">
        <v>10</v>
      </c>
      <c r="B897" s="6">
        <v>2025</v>
      </c>
      <c r="C897" s="7">
        <v>45777</v>
      </c>
      <c r="D897" s="6" t="s">
        <v>77</v>
      </c>
      <c r="E897" s="6" t="s">
        <v>75</v>
      </c>
      <c r="F897" s="6">
        <v>1</v>
      </c>
      <c r="G897" s="6" t="s">
        <v>46</v>
      </c>
      <c r="H897" s="6">
        <v>1</v>
      </c>
      <c r="I897" s="6">
        <v>12</v>
      </c>
      <c r="J897" s="6">
        <v>5.5</v>
      </c>
      <c r="K897" s="6" t="s">
        <v>48</v>
      </c>
      <c r="L897" s="6" t="str">
        <f>VLOOKUP(K897, 'Alphabetical by species code'!A:B, 2, FALSE)</f>
        <v>Sonchus asper</v>
      </c>
      <c r="M897" s="6" t="str">
        <f>VLOOKUP(L897, 'Alphabetical by species code'!B:C, 2, FALSE)</f>
        <v>Non-Native</v>
      </c>
    </row>
    <row r="898" spans="1:13" x14ac:dyDescent="0.25">
      <c r="A898" s="6">
        <v>10</v>
      </c>
      <c r="B898" s="6">
        <v>2025</v>
      </c>
      <c r="C898" s="7">
        <v>45777</v>
      </c>
      <c r="D898" s="6" t="s">
        <v>77</v>
      </c>
      <c r="E898" s="6" t="s">
        <v>75</v>
      </c>
      <c r="F898" s="6">
        <v>1</v>
      </c>
      <c r="G898" s="6" t="s">
        <v>46</v>
      </c>
      <c r="H898" s="6">
        <v>1</v>
      </c>
      <c r="I898" s="6">
        <v>12</v>
      </c>
      <c r="J898" s="6">
        <v>5.5</v>
      </c>
      <c r="K898" s="6" t="s">
        <v>31</v>
      </c>
      <c r="L898" s="6" t="str">
        <f>VLOOKUP(K898, 'Alphabetical by species code'!A:B, 2, FALSE)</f>
        <v>Festuca myuros</v>
      </c>
      <c r="M898" s="6" t="str">
        <f>VLOOKUP(L898, 'Alphabetical by species code'!B:C, 2, FALSE)</f>
        <v>Non-Native</v>
      </c>
    </row>
    <row r="899" spans="1:13" x14ac:dyDescent="0.25">
      <c r="A899" s="6">
        <v>10</v>
      </c>
      <c r="B899" s="6">
        <v>2025</v>
      </c>
      <c r="C899" s="7">
        <v>45777</v>
      </c>
      <c r="D899" s="6" t="s">
        <v>77</v>
      </c>
      <c r="E899" s="6" t="s">
        <v>75</v>
      </c>
      <c r="F899" s="6">
        <v>1</v>
      </c>
      <c r="G899" s="6" t="s">
        <v>46</v>
      </c>
      <c r="H899" s="6">
        <v>1</v>
      </c>
      <c r="I899" s="6">
        <v>13</v>
      </c>
      <c r="J899" s="6">
        <v>6.5</v>
      </c>
      <c r="K899" s="6" t="s">
        <v>41</v>
      </c>
      <c r="L899" s="6" t="str">
        <f>VLOOKUP(K899, 'Alphabetical by species code'!A:B, 2, FALSE)</f>
        <v>Stem</v>
      </c>
      <c r="M899" s="6" t="str">
        <f>VLOOKUP(L899, 'Alphabetical by species code'!B:C, 2, FALSE)</f>
        <v>Ground Cover</v>
      </c>
    </row>
    <row r="900" spans="1:13" x14ac:dyDescent="0.25">
      <c r="A900" s="6">
        <v>10</v>
      </c>
      <c r="B900" s="6">
        <v>2025</v>
      </c>
      <c r="C900" s="7">
        <v>45777</v>
      </c>
      <c r="D900" s="6" t="s">
        <v>77</v>
      </c>
      <c r="E900" s="6" t="s">
        <v>75</v>
      </c>
      <c r="F900" s="6">
        <v>1</v>
      </c>
      <c r="G900" s="6" t="s">
        <v>46</v>
      </c>
      <c r="H900" s="6">
        <v>1</v>
      </c>
      <c r="I900" s="6">
        <v>13</v>
      </c>
      <c r="J900" s="6">
        <v>6.5</v>
      </c>
      <c r="K900" s="6" t="s">
        <v>29</v>
      </c>
      <c r="L900" s="6" t="str">
        <f>VLOOKUP(K900, 'Alphabetical by species code'!A:B, 2, FALSE)</f>
        <v>Opuntia littoralis</v>
      </c>
      <c r="M900" s="6" t="str">
        <f>VLOOKUP(L900, 'Alphabetical by species code'!B:C, 2, FALSE)</f>
        <v>Native</v>
      </c>
    </row>
    <row r="901" spans="1:13" x14ac:dyDescent="0.25">
      <c r="A901" s="6">
        <v>10</v>
      </c>
      <c r="B901" s="6">
        <v>2025</v>
      </c>
      <c r="C901" s="7">
        <v>45777</v>
      </c>
      <c r="D901" s="6" t="s">
        <v>77</v>
      </c>
      <c r="E901" s="6" t="s">
        <v>75</v>
      </c>
      <c r="F901" s="6">
        <v>1</v>
      </c>
      <c r="G901" s="6" t="s">
        <v>46</v>
      </c>
      <c r="H901" s="6">
        <v>1</v>
      </c>
      <c r="I901" s="6">
        <v>14</v>
      </c>
      <c r="J901" s="6">
        <v>7</v>
      </c>
      <c r="K901" s="6" t="s">
        <v>52</v>
      </c>
      <c r="L901" s="6" t="str">
        <f>VLOOKUP(K901, 'Alphabetical by species code'!A:B, 2, FALSE)</f>
        <v>Rock</v>
      </c>
      <c r="M901" s="6" t="str">
        <f>VLOOKUP(L901, 'Alphabetical by species code'!B:C, 2, FALSE)</f>
        <v>Ground Cover</v>
      </c>
    </row>
    <row r="902" spans="1:13" x14ac:dyDescent="0.25">
      <c r="A902" s="6">
        <v>10</v>
      </c>
      <c r="B902" s="6">
        <v>2025</v>
      </c>
      <c r="C902" s="7">
        <v>45777</v>
      </c>
      <c r="D902" s="6" t="s">
        <v>77</v>
      </c>
      <c r="E902" s="6" t="s">
        <v>75</v>
      </c>
      <c r="F902" s="6">
        <v>1</v>
      </c>
      <c r="G902" s="6" t="s">
        <v>46</v>
      </c>
      <c r="H902" s="6">
        <v>1</v>
      </c>
      <c r="I902" s="6">
        <v>14</v>
      </c>
      <c r="J902" s="6">
        <v>7</v>
      </c>
      <c r="K902" s="6" t="s">
        <v>78</v>
      </c>
      <c r="L902" s="6" t="e">
        <f>VLOOKUP(K902, 'Alphabetical by species code'!A:B, 2, FALSE)</f>
        <v>#N/A</v>
      </c>
      <c r="M902" s="6" t="e">
        <f>VLOOKUP(L902, 'Alphabetical by species code'!B:C, 2, FALSE)</f>
        <v>#N/A</v>
      </c>
    </row>
    <row r="903" spans="1:13" x14ac:dyDescent="0.25">
      <c r="A903" s="6">
        <v>10</v>
      </c>
      <c r="B903" s="6">
        <v>2025</v>
      </c>
      <c r="C903" s="7">
        <v>45777</v>
      </c>
      <c r="D903" s="6" t="s">
        <v>77</v>
      </c>
      <c r="E903" s="6" t="s">
        <v>75</v>
      </c>
      <c r="F903" s="6">
        <v>1</v>
      </c>
      <c r="G903" s="6" t="s">
        <v>46</v>
      </c>
      <c r="H903" s="6">
        <v>1</v>
      </c>
      <c r="I903" s="6">
        <v>15</v>
      </c>
      <c r="J903" s="6">
        <v>7.5</v>
      </c>
      <c r="K903" s="6" t="s">
        <v>28</v>
      </c>
      <c r="L903" s="6" t="str">
        <f>VLOOKUP(K903, 'Alphabetical by species code'!A:B, 2, FALSE)</f>
        <v>Litter</v>
      </c>
      <c r="M903" s="6" t="str">
        <f>VLOOKUP(L903, 'Alphabetical by species code'!B:C, 2, FALSE)</f>
        <v>Ground Cover</v>
      </c>
    </row>
    <row r="904" spans="1:13" x14ac:dyDescent="0.25">
      <c r="A904" s="6">
        <v>10</v>
      </c>
      <c r="B904" s="6">
        <v>2025</v>
      </c>
      <c r="C904" s="7">
        <v>45777</v>
      </c>
      <c r="D904" s="6" t="s">
        <v>77</v>
      </c>
      <c r="E904" s="6" t="s">
        <v>75</v>
      </c>
      <c r="F904" s="6">
        <v>1</v>
      </c>
      <c r="G904" s="6" t="s">
        <v>46</v>
      </c>
      <c r="H904" s="6">
        <v>1</v>
      </c>
      <c r="I904" s="6">
        <v>15</v>
      </c>
      <c r="J904" s="6">
        <v>7.5</v>
      </c>
      <c r="K904" s="6" t="s">
        <v>64</v>
      </c>
      <c r="L904" s="6" t="str">
        <f>VLOOKUP(K904, 'Alphabetical by species code'!A:B, 2, FALSE)</f>
        <v>Brassica nigra</v>
      </c>
      <c r="M904" s="6" t="str">
        <f>VLOOKUP(L904, 'Alphabetical by species code'!B:C, 2, FALSE)</f>
        <v>Non-Native</v>
      </c>
    </row>
    <row r="905" spans="1:13" x14ac:dyDescent="0.25">
      <c r="A905" s="6">
        <v>10</v>
      </c>
      <c r="B905" s="6">
        <v>2025</v>
      </c>
      <c r="C905" s="7">
        <v>45777</v>
      </c>
      <c r="D905" s="6" t="s">
        <v>77</v>
      </c>
      <c r="E905" s="6" t="s">
        <v>75</v>
      </c>
      <c r="F905" s="6">
        <v>1</v>
      </c>
      <c r="G905" s="6" t="s">
        <v>46</v>
      </c>
      <c r="H905" s="6">
        <v>1</v>
      </c>
      <c r="I905" s="6">
        <v>15</v>
      </c>
      <c r="J905" s="6">
        <v>7.5</v>
      </c>
      <c r="K905" s="6" t="s">
        <v>42</v>
      </c>
      <c r="L905" s="6" t="str">
        <f>VLOOKUP(K905, 'Alphabetical by species code'!A:B, 2, FALSE)</f>
        <v>Centaurea melitensis</v>
      </c>
      <c r="M905" s="6" t="str">
        <f>VLOOKUP(L905, 'Alphabetical by species code'!B:C, 2, FALSE)</f>
        <v>Non-Native</v>
      </c>
    </row>
    <row r="906" spans="1:13" x14ac:dyDescent="0.25">
      <c r="A906" s="6">
        <v>10</v>
      </c>
      <c r="B906" s="6">
        <v>2025</v>
      </c>
      <c r="C906" s="7">
        <v>45777</v>
      </c>
      <c r="D906" s="6" t="s">
        <v>77</v>
      </c>
      <c r="E906" s="6" t="s">
        <v>75</v>
      </c>
      <c r="F906" s="6">
        <v>1</v>
      </c>
      <c r="G906" s="6" t="s">
        <v>46</v>
      </c>
      <c r="H906" s="6">
        <v>2</v>
      </c>
      <c r="I906" s="6">
        <v>1</v>
      </c>
      <c r="J906" s="6">
        <v>0</v>
      </c>
      <c r="K906" s="6" t="s">
        <v>52</v>
      </c>
      <c r="L906" s="6" t="str">
        <f>VLOOKUP(K906, 'Alphabetical by species code'!A:B, 2, FALSE)</f>
        <v>Rock</v>
      </c>
      <c r="M906" s="6" t="str">
        <f>VLOOKUP(L906, 'Alphabetical by species code'!B:C, 2, FALSE)</f>
        <v>Ground Cover</v>
      </c>
    </row>
    <row r="907" spans="1:13" x14ac:dyDescent="0.25">
      <c r="A907" s="6">
        <v>10</v>
      </c>
      <c r="B907" s="6">
        <v>2025</v>
      </c>
      <c r="C907" s="7">
        <v>45777</v>
      </c>
      <c r="D907" s="6" t="s">
        <v>77</v>
      </c>
      <c r="E907" s="6" t="s">
        <v>75</v>
      </c>
      <c r="F907" s="6">
        <v>1</v>
      </c>
      <c r="G907" s="6" t="s">
        <v>46</v>
      </c>
      <c r="H907" s="6">
        <v>2</v>
      </c>
      <c r="I907" s="6">
        <v>2</v>
      </c>
      <c r="J907" s="6">
        <v>0.5</v>
      </c>
      <c r="K907" s="6" t="s">
        <v>28</v>
      </c>
      <c r="L907" s="6" t="str">
        <f>VLOOKUP(K907, 'Alphabetical by species code'!A:B, 2, FALSE)</f>
        <v>Litter</v>
      </c>
      <c r="M907" s="6" t="str">
        <f>VLOOKUP(L907, 'Alphabetical by species code'!B:C, 2, FALSE)</f>
        <v>Ground Cover</v>
      </c>
    </row>
    <row r="908" spans="1:13" x14ac:dyDescent="0.25">
      <c r="A908" s="6">
        <v>10</v>
      </c>
      <c r="B908" s="6">
        <v>2025</v>
      </c>
      <c r="C908" s="7">
        <v>45777</v>
      </c>
      <c r="D908" s="6" t="s">
        <v>77</v>
      </c>
      <c r="E908" s="6" t="s">
        <v>75</v>
      </c>
      <c r="F908" s="6">
        <v>1</v>
      </c>
      <c r="G908" s="6" t="s">
        <v>46</v>
      </c>
      <c r="H908" s="6">
        <v>2</v>
      </c>
      <c r="I908" s="6">
        <v>2</v>
      </c>
      <c r="J908" s="6">
        <v>0.5</v>
      </c>
      <c r="K908" s="6" t="s">
        <v>36</v>
      </c>
      <c r="L908" s="6" t="str">
        <f>VLOOKUP(K908, 'Alphabetical by species code'!A:B, 2, FALSE)</f>
        <v>Bromus madritensis</v>
      </c>
      <c r="M908" s="6" t="str">
        <f>VLOOKUP(L908, 'Alphabetical by species code'!B:C, 2, FALSE)</f>
        <v>Non-Native</v>
      </c>
    </row>
    <row r="909" spans="1:13" x14ac:dyDescent="0.25">
      <c r="A909" s="6">
        <v>10</v>
      </c>
      <c r="B909" s="6">
        <v>2025</v>
      </c>
      <c r="C909" s="7">
        <v>45777</v>
      </c>
      <c r="D909" s="6" t="s">
        <v>77</v>
      </c>
      <c r="E909" s="6" t="s">
        <v>75</v>
      </c>
      <c r="F909" s="6">
        <v>1</v>
      </c>
      <c r="G909" s="6" t="s">
        <v>46</v>
      </c>
      <c r="H909" s="6">
        <v>2</v>
      </c>
      <c r="I909" s="6">
        <v>3</v>
      </c>
      <c r="J909" s="6">
        <v>1</v>
      </c>
      <c r="K909" s="6" t="s">
        <v>51</v>
      </c>
      <c r="L909" s="6" t="str">
        <f>VLOOKUP(K909, 'Alphabetical by species code'!A:B, 2, FALSE)</f>
        <v>Bareground</v>
      </c>
      <c r="M909" s="6" t="str">
        <f>VLOOKUP(L909, 'Alphabetical by species code'!B:C, 2, FALSE)</f>
        <v>Ground Cover</v>
      </c>
    </row>
    <row r="910" spans="1:13" x14ac:dyDescent="0.25">
      <c r="A910" s="6">
        <v>10</v>
      </c>
      <c r="B910" s="6">
        <v>2025</v>
      </c>
      <c r="C910" s="7">
        <v>45777</v>
      </c>
      <c r="D910" s="6" t="s">
        <v>77</v>
      </c>
      <c r="E910" s="6" t="s">
        <v>75</v>
      </c>
      <c r="F910" s="6">
        <v>1</v>
      </c>
      <c r="G910" s="6" t="s">
        <v>46</v>
      </c>
      <c r="H910" s="6">
        <v>2</v>
      </c>
      <c r="I910" s="6">
        <v>3</v>
      </c>
      <c r="J910" s="6">
        <v>1</v>
      </c>
      <c r="K910" s="6" t="s">
        <v>79</v>
      </c>
      <c r="L910" s="6" t="str">
        <f>VLOOKUP(K910, 'Alphabetical by species code'!A:B, 2, FALSE)</f>
        <v>Senecio vulgaris</v>
      </c>
      <c r="M910" s="6" t="str">
        <f>VLOOKUP(L910, 'Alphabetical by species code'!B:C, 2, FALSE)</f>
        <v>Non-Native</v>
      </c>
    </row>
    <row r="911" spans="1:13" x14ac:dyDescent="0.25">
      <c r="A911" s="6">
        <v>10</v>
      </c>
      <c r="B911" s="6">
        <v>2025</v>
      </c>
      <c r="C911" s="7">
        <v>45777</v>
      </c>
      <c r="D911" s="6" t="s">
        <v>77</v>
      </c>
      <c r="E911" s="6" t="s">
        <v>75</v>
      </c>
      <c r="F911" s="6">
        <v>1</v>
      </c>
      <c r="G911" s="6" t="s">
        <v>46</v>
      </c>
      <c r="H911" s="6">
        <v>2</v>
      </c>
      <c r="I911" s="6">
        <v>3</v>
      </c>
      <c r="J911" s="6">
        <v>1</v>
      </c>
      <c r="K911" s="6" t="s">
        <v>80</v>
      </c>
      <c r="L911" s="6" t="str">
        <f>VLOOKUP(K911, 'Alphabetical by species code'!A:B, 2, FALSE)</f>
        <v>Erodium species</v>
      </c>
      <c r="M911" s="6" t="str">
        <f>VLOOKUP(L911, 'Alphabetical by species code'!B:C, 2, FALSE)</f>
        <v>Non-Native</v>
      </c>
    </row>
    <row r="912" spans="1:13" x14ac:dyDescent="0.25">
      <c r="A912" s="6">
        <v>10</v>
      </c>
      <c r="B912" s="6">
        <v>2025</v>
      </c>
      <c r="C912" s="7">
        <v>45777</v>
      </c>
      <c r="D912" s="6" t="s">
        <v>77</v>
      </c>
      <c r="E912" s="6" t="s">
        <v>75</v>
      </c>
      <c r="F912" s="6">
        <v>1</v>
      </c>
      <c r="G912" s="6" t="s">
        <v>46</v>
      </c>
      <c r="H912" s="6">
        <v>2</v>
      </c>
      <c r="I912" s="6">
        <v>4</v>
      </c>
      <c r="J912" s="6">
        <v>1.5</v>
      </c>
      <c r="K912" s="6" t="s">
        <v>28</v>
      </c>
      <c r="L912" s="6" t="str">
        <f>VLOOKUP(K912, 'Alphabetical by species code'!A:B, 2, FALSE)</f>
        <v>Litter</v>
      </c>
      <c r="M912" s="6" t="str">
        <f>VLOOKUP(L912, 'Alphabetical by species code'!B:C, 2, FALSE)</f>
        <v>Ground Cover</v>
      </c>
    </row>
    <row r="913" spans="1:13" x14ac:dyDescent="0.25">
      <c r="A913" s="6">
        <v>10</v>
      </c>
      <c r="B913" s="6">
        <v>2025</v>
      </c>
      <c r="C913" s="7">
        <v>45777</v>
      </c>
      <c r="D913" s="6" t="s">
        <v>77</v>
      </c>
      <c r="E913" s="6" t="s">
        <v>75</v>
      </c>
      <c r="F913" s="6">
        <v>1</v>
      </c>
      <c r="G913" s="6" t="s">
        <v>46</v>
      </c>
      <c r="H913" s="6">
        <v>2</v>
      </c>
      <c r="I913" s="6">
        <v>4</v>
      </c>
      <c r="J913" s="6">
        <v>1.5</v>
      </c>
      <c r="K913" s="6" t="s">
        <v>35</v>
      </c>
      <c r="L913" s="6" t="str">
        <f>VLOOKUP(K913, 'Alphabetical by species code'!A:B, 2, FALSE)</f>
        <v>Deinandra fasciculata</v>
      </c>
      <c r="M913" s="6" t="str">
        <f>VLOOKUP(L913, 'Alphabetical by species code'!B:C, 2, FALSE)</f>
        <v>Native</v>
      </c>
    </row>
    <row r="914" spans="1:13" x14ac:dyDescent="0.25">
      <c r="A914" s="6">
        <v>10</v>
      </c>
      <c r="B914" s="6">
        <v>2025</v>
      </c>
      <c r="C914" s="7">
        <v>45777</v>
      </c>
      <c r="D914" s="6" t="s">
        <v>77</v>
      </c>
      <c r="E914" s="6" t="s">
        <v>75</v>
      </c>
      <c r="F914" s="6">
        <v>1</v>
      </c>
      <c r="G914" s="6" t="s">
        <v>46</v>
      </c>
      <c r="H914" s="6">
        <v>2</v>
      </c>
      <c r="I914" s="6">
        <v>5</v>
      </c>
      <c r="J914" s="6">
        <v>2.5</v>
      </c>
      <c r="K914" s="6" t="s">
        <v>28</v>
      </c>
      <c r="L914" s="6" t="str">
        <f>VLOOKUP(K914, 'Alphabetical by species code'!A:B, 2, FALSE)</f>
        <v>Litter</v>
      </c>
      <c r="M914" s="6" t="str">
        <f>VLOOKUP(L914, 'Alphabetical by species code'!B:C, 2, FALSE)</f>
        <v>Ground Cover</v>
      </c>
    </row>
    <row r="915" spans="1:13" x14ac:dyDescent="0.25">
      <c r="A915" s="6">
        <v>10</v>
      </c>
      <c r="B915" s="6">
        <v>2025</v>
      </c>
      <c r="C915" s="7">
        <v>45777</v>
      </c>
      <c r="D915" s="6" t="s">
        <v>77</v>
      </c>
      <c r="E915" s="6" t="s">
        <v>75</v>
      </c>
      <c r="F915" s="6">
        <v>1</v>
      </c>
      <c r="G915" s="6" t="s">
        <v>46</v>
      </c>
      <c r="H915" s="6">
        <v>2</v>
      </c>
      <c r="I915" s="6">
        <v>6</v>
      </c>
      <c r="J915" s="6">
        <v>3</v>
      </c>
      <c r="K915" s="6" t="s">
        <v>28</v>
      </c>
      <c r="L915" s="6" t="str">
        <f>VLOOKUP(K915, 'Alphabetical by species code'!A:B, 2, FALSE)</f>
        <v>Litter</v>
      </c>
      <c r="M915" s="6" t="str">
        <f>VLOOKUP(L915, 'Alphabetical by species code'!B:C, 2, FALSE)</f>
        <v>Ground Cover</v>
      </c>
    </row>
    <row r="916" spans="1:13" x14ac:dyDescent="0.25">
      <c r="A916" s="6">
        <v>10</v>
      </c>
      <c r="B916" s="6">
        <v>2025</v>
      </c>
      <c r="C916" s="7">
        <v>45777</v>
      </c>
      <c r="D916" s="6" t="s">
        <v>77</v>
      </c>
      <c r="E916" s="6" t="s">
        <v>75</v>
      </c>
      <c r="F916" s="6">
        <v>1</v>
      </c>
      <c r="G916" s="6" t="s">
        <v>46</v>
      </c>
      <c r="H916" s="6">
        <v>2</v>
      </c>
      <c r="I916" s="6">
        <v>6</v>
      </c>
      <c r="J916" s="6">
        <v>3</v>
      </c>
      <c r="K916" s="6" t="s">
        <v>35</v>
      </c>
      <c r="L916" s="6" t="str">
        <f>VLOOKUP(K916, 'Alphabetical by species code'!A:B, 2, FALSE)</f>
        <v>Deinandra fasciculata</v>
      </c>
      <c r="M916" s="6" t="str">
        <f>VLOOKUP(L916, 'Alphabetical by species code'!B:C, 2, FALSE)</f>
        <v>Native</v>
      </c>
    </row>
    <row r="917" spans="1:13" x14ac:dyDescent="0.25">
      <c r="A917" s="6">
        <v>10</v>
      </c>
      <c r="B917" s="6">
        <v>2025</v>
      </c>
      <c r="C917" s="7">
        <v>45777</v>
      </c>
      <c r="D917" s="6" t="s">
        <v>77</v>
      </c>
      <c r="E917" s="6" t="s">
        <v>75</v>
      </c>
      <c r="F917" s="6">
        <v>1</v>
      </c>
      <c r="G917" s="6" t="s">
        <v>46</v>
      </c>
      <c r="H917" s="6">
        <v>2</v>
      </c>
      <c r="I917" s="6">
        <v>7</v>
      </c>
      <c r="J917" s="6">
        <v>3.5</v>
      </c>
      <c r="K917" s="6" t="s">
        <v>28</v>
      </c>
      <c r="L917" s="6" t="str">
        <f>VLOOKUP(K917, 'Alphabetical by species code'!A:B, 2, FALSE)</f>
        <v>Litter</v>
      </c>
      <c r="M917" s="6" t="str">
        <f>VLOOKUP(L917, 'Alphabetical by species code'!B:C, 2, FALSE)</f>
        <v>Ground Cover</v>
      </c>
    </row>
    <row r="918" spans="1:13" x14ac:dyDescent="0.25">
      <c r="A918" s="6">
        <v>10</v>
      </c>
      <c r="B918" s="6">
        <v>2025</v>
      </c>
      <c r="C918" s="7">
        <v>45777</v>
      </c>
      <c r="D918" s="6" t="s">
        <v>77</v>
      </c>
      <c r="E918" s="6" t="s">
        <v>75</v>
      </c>
      <c r="F918" s="6">
        <v>1</v>
      </c>
      <c r="G918" s="6" t="s">
        <v>46</v>
      </c>
      <c r="H918" s="6">
        <v>2</v>
      </c>
      <c r="I918" s="6">
        <v>8</v>
      </c>
      <c r="J918" s="6">
        <v>4</v>
      </c>
      <c r="K918" s="6" t="s">
        <v>28</v>
      </c>
      <c r="L918" s="6" t="str">
        <f>VLOOKUP(K918, 'Alphabetical by species code'!A:B, 2, FALSE)</f>
        <v>Litter</v>
      </c>
      <c r="M918" s="6" t="str">
        <f>VLOOKUP(L918, 'Alphabetical by species code'!B:C, 2, FALSE)</f>
        <v>Ground Cover</v>
      </c>
    </row>
    <row r="919" spans="1:13" x14ac:dyDescent="0.25">
      <c r="A919" s="6">
        <v>10</v>
      </c>
      <c r="B919" s="6">
        <v>2025</v>
      </c>
      <c r="C919" s="7">
        <v>45777</v>
      </c>
      <c r="D919" s="6" t="s">
        <v>77</v>
      </c>
      <c r="E919" s="6" t="s">
        <v>75</v>
      </c>
      <c r="F919" s="6">
        <v>1</v>
      </c>
      <c r="G919" s="6" t="s">
        <v>46</v>
      </c>
      <c r="H919" s="6">
        <v>2</v>
      </c>
      <c r="I919" s="6">
        <v>9</v>
      </c>
      <c r="J919" s="6">
        <v>4.5</v>
      </c>
      <c r="K919" s="6" t="s">
        <v>51</v>
      </c>
      <c r="L919" s="6" t="str">
        <f>VLOOKUP(K919, 'Alphabetical by species code'!A:B, 2, FALSE)</f>
        <v>Bareground</v>
      </c>
      <c r="M919" s="6" t="str">
        <f>VLOOKUP(L919, 'Alphabetical by species code'!B:C, 2, FALSE)</f>
        <v>Ground Cover</v>
      </c>
    </row>
    <row r="920" spans="1:13" x14ac:dyDescent="0.25">
      <c r="A920" s="6">
        <v>10</v>
      </c>
      <c r="B920" s="6">
        <v>2025</v>
      </c>
      <c r="C920" s="7">
        <v>45777</v>
      </c>
      <c r="D920" s="6" t="s">
        <v>77</v>
      </c>
      <c r="E920" s="6" t="s">
        <v>75</v>
      </c>
      <c r="F920" s="6">
        <v>1</v>
      </c>
      <c r="G920" s="6" t="s">
        <v>46</v>
      </c>
      <c r="H920" s="6">
        <v>2</v>
      </c>
      <c r="I920" s="6">
        <v>10</v>
      </c>
      <c r="J920" s="6">
        <v>5</v>
      </c>
      <c r="K920" s="6" t="s">
        <v>51</v>
      </c>
      <c r="L920" s="6" t="str">
        <f>VLOOKUP(K920, 'Alphabetical by species code'!A:B, 2, FALSE)</f>
        <v>Bareground</v>
      </c>
      <c r="M920" s="6" t="str">
        <f>VLOOKUP(L920, 'Alphabetical by species code'!B:C, 2, FALSE)</f>
        <v>Ground Cover</v>
      </c>
    </row>
    <row r="921" spans="1:13" x14ac:dyDescent="0.25">
      <c r="A921" s="6">
        <v>10</v>
      </c>
      <c r="B921" s="6">
        <v>2025</v>
      </c>
      <c r="C921" s="7">
        <v>45777</v>
      </c>
      <c r="D921" s="6" t="s">
        <v>77</v>
      </c>
      <c r="E921" s="6" t="s">
        <v>75</v>
      </c>
      <c r="F921" s="6">
        <v>1</v>
      </c>
      <c r="G921" s="6" t="s">
        <v>46</v>
      </c>
      <c r="H921" s="6">
        <v>2</v>
      </c>
      <c r="I921" s="6">
        <v>10</v>
      </c>
      <c r="J921" s="6">
        <v>5</v>
      </c>
      <c r="K921" s="6" t="s">
        <v>81</v>
      </c>
      <c r="L921" s="6" t="str">
        <f>VLOOKUP(K921, 'Alphabetical by species code'!A:B, 2, FALSE)</f>
        <v>Brachypodium distachyon</v>
      </c>
      <c r="M921" s="6" t="str">
        <f>VLOOKUP(L921, 'Alphabetical by species code'!B:C, 2, FALSE)</f>
        <v>Non-Native</v>
      </c>
    </row>
    <row r="922" spans="1:13" x14ac:dyDescent="0.25">
      <c r="A922" s="6">
        <v>10</v>
      </c>
      <c r="B922" s="6">
        <v>2025</v>
      </c>
      <c r="C922" s="7">
        <v>45777</v>
      </c>
      <c r="D922" s="6" t="s">
        <v>77</v>
      </c>
      <c r="E922" s="6" t="s">
        <v>75</v>
      </c>
      <c r="F922" s="6">
        <v>1</v>
      </c>
      <c r="G922" s="6" t="s">
        <v>46</v>
      </c>
      <c r="H922" s="6">
        <v>2</v>
      </c>
      <c r="I922" s="6">
        <v>10</v>
      </c>
      <c r="J922" s="6">
        <v>5</v>
      </c>
      <c r="K922" s="6" t="s">
        <v>65</v>
      </c>
      <c r="L922" s="6" t="str">
        <f>VLOOKUP(K922, 'Alphabetical by species code'!A:B, 2, FALSE)</f>
        <v>Cryptantha intermedia</v>
      </c>
      <c r="M922" s="6" t="str">
        <f>VLOOKUP(L922, 'Alphabetical by species code'!B:C, 2, FALSE)</f>
        <v>Native</v>
      </c>
    </row>
    <row r="923" spans="1:13" x14ac:dyDescent="0.25">
      <c r="A923" s="6">
        <v>10</v>
      </c>
      <c r="B923" s="6">
        <v>2025</v>
      </c>
      <c r="C923" s="7">
        <v>45777</v>
      </c>
      <c r="D923" s="6" t="s">
        <v>77</v>
      </c>
      <c r="E923" s="6" t="s">
        <v>75</v>
      </c>
      <c r="F923" s="6">
        <v>1</v>
      </c>
      <c r="G923" s="6" t="s">
        <v>46</v>
      </c>
      <c r="H923" s="6">
        <v>2</v>
      </c>
      <c r="I923" s="6">
        <v>10</v>
      </c>
      <c r="J923" s="6">
        <v>5</v>
      </c>
      <c r="K923" s="6" t="s">
        <v>82</v>
      </c>
      <c r="L923" s="6" t="str">
        <f>VLOOKUP(K923, 'Alphabetical by species code'!A:B, 2, FALSE)</f>
        <v>Helminthotheca echioides</v>
      </c>
      <c r="M923" s="6" t="str">
        <f>VLOOKUP(L923, 'Alphabetical by species code'!B:C, 2, FALSE)</f>
        <v>Non-Native</v>
      </c>
    </row>
    <row r="924" spans="1:13" x14ac:dyDescent="0.25">
      <c r="A924" s="6">
        <v>10</v>
      </c>
      <c r="B924" s="6">
        <v>2025</v>
      </c>
      <c r="C924" s="7">
        <v>45777</v>
      </c>
      <c r="D924" s="6" t="s">
        <v>77</v>
      </c>
      <c r="E924" s="6" t="s">
        <v>75</v>
      </c>
      <c r="F924" s="6">
        <v>1</v>
      </c>
      <c r="G924" s="6" t="s">
        <v>46</v>
      </c>
      <c r="H924" s="6">
        <v>2</v>
      </c>
      <c r="I924" s="6">
        <v>11</v>
      </c>
      <c r="J924" s="6">
        <v>5.5</v>
      </c>
      <c r="K924" s="6" t="s">
        <v>28</v>
      </c>
      <c r="L924" s="6" t="str">
        <f>VLOOKUP(K924, 'Alphabetical by species code'!A:B, 2, FALSE)</f>
        <v>Litter</v>
      </c>
      <c r="M924" s="6" t="str">
        <f>VLOOKUP(L924, 'Alphabetical by species code'!B:C, 2, FALSE)</f>
        <v>Ground Cover</v>
      </c>
    </row>
    <row r="925" spans="1:13" x14ac:dyDescent="0.25">
      <c r="A925" s="6">
        <v>10</v>
      </c>
      <c r="B925" s="6">
        <v>2025</v>
      </c>
      <c r="C925" s="7">
        <v>45777</v>
      </c>
      <c r="D925" s="6" t="s">
        <v>77</v>
      </c>
      <c r="E925" s="6" t="s">
        <v>75</v>
      </c>
      <c r="F925" s="6">
        <v>1</v>
      </c>
      <c r="G925" s="6" t="s">
        <v>46</v>
      </c>
      <c r="H925" s="6">
        <v>2</v>
      </c>
      <c r="I925" s="6">
        <v>11</v>
      </c>
      <c r="J925" s="6">
        <v>5.5</v>
      </c>
      <c r="K925" s="6" t="s">
        <v>36</v>
      </c>
      <c r="L925" s="6" t="str">
        <f>VLOOKUP(K925, 'Alphabetical by species code'!A:B, 2, FALSE)</f>
        <v>Bromus madritensis</v>
      </c>
      <c r="M925" s="6" t="str">
        <f>VLOOKUP(L925, 'Alphabetical by species code'!B:C, 2, FALSE)</f>
        <v>Non-Native</v>
      </c>
    </row>
    <row r="926" spans="1:13" x14ac:dyDescent="0.25">
      <c r="A926" s="6">
        <v>10</v>
      </c>
      <c r="B926" s="6">
        <v>2025</v>
      </c>
      <c r="C926" s="7">
        <v>45777</v>
      </c>
      <c r="D926" s="6" t="s">
        <v>77</v>
      </c>
      <c r="E926" s="6" t="s">
        <v>75</v>
      </c>
      <c r="F926" s="6">
        <v>1</v>
      </c>
      <c r="G926" s="6" t="s">
        <v>46</v>
      </c>
      <c r="H926" s="6">
        <v>2</v>
      </c>
      <c r="I926" s="6">
        <v>11</v>
      </c>
      <c r="J926" s="6">
        <v>5.5</v>
      </c>
      <c r="K926" s="6" t="s">
        <v>31</v>
      </c>
      <c r="L926" s="6" t="str">
        <f>VLOOKUP(K926, 'Alphabetical by species code'!A:B, 2, FALSE)</f>
        <v>Festuca myuros</v>
      </c>
      <c r="M926" s="6" t="str">
        <f>VLOOKUP(L926, 'Alphabetical by species code'!B:C, 2, FALSE)</f>
        <v>Non-Native</v>
      </c>
    </row>
    <row r="927" spans="1:13" x14ac:dyDescent="0.25">
      <c r="A927" s="6">
        <v>10</v>
      </c>
      <c r="B927" s="6">
        <v>2025</v>
      </c>
      <c r="C927" s="7">
        <v>45777</v>
      </c>
      <c r="D927" s="6" t="s">
        <v>77</v>
      </c>
      <c r="E927" s="6" t="s">
        <v>75</v>
      </c>
      <c r="F927" s="6">
        <v>1</v>
      </c>
      <c r="G927" s="6" t="s">
        <v>46</v>
      </c>
      <c r="H927" s="6">
        <v>2</v>
      </c>
      <c r="I927" s="6">
        <v>11</v>
      </c>
      <c r="J927" s="6">
        <v>5.5</v>
      </c>
      <c r="K927" s="6" t="s">
        <v>42</v>
      </c>
      <c r="L927" s="6" t="str">
        <f>VLOOKUP(K927, 'Alphabetical by species code'!A:B, 2, FALSE)</f>
        <v>Centaurea melitensis</v>
      </c>
      <c r="M927" s="6" t="str">
        <f>VLOOKUP(L927, 'Alphabetical by species code'!B:C, 2, FALSE)</f>
        <v>Non-Native</v>
      </c>
    </row>
    <row r="928" spans="1:13" x14ac:dyDescent="0.25">
      <c r="A928" s="6">
        <v>10</v>
      </c>
      <c r="B928" s="6">
        <v>2025</v>
      </c>
      <c r="C928" s="7">
        <v>45777</v>
      </c>
      <c r="D928" s="6" t="s">
        <v>77</v>
      </c>
      <c r="E928" s="6" t="s">
        <v>75</v>
      </c>
      <c r="F928" s="6">
        <v>1</v>
      </c>
      <c r="G928" s="6" t="s">
        <v>46</v>
      </c>
      <c r="H928" s="6">
        <v>2</v>
      </c>
      <c r="I928" s="6">
        <v>12</v>
      </c>
      <c r="J928" s="6">
        <v>6</v>
      </c>
      <c r="K928" s="6" t="s">
        <v>28</v>
      </c>
      <c r="L928" s="6" t="str">
        <f>VLOOKUP(K928, 'Alphabetical by species code'!A:B, 2, FALSE)</f>
        <v>Litter</v>
      </c>
      <c r="M928" s="6" t="str">
        <f>VLOOKUP(L928, 'Alphabetical by species code'!B:C, 2, FALSE)</f>
        <v>Ground Cover</v>
      </c>
    </row>
    <row r="929" spans="1:13" x14ac:dyDescent="0.25">
      <c r="A929" s="6">
        <v>10</v>
      </c>
      <c r="B929" s="6">
        <v>2025</v>
      </c>
      <c r="C929" s="7">
        <v>45777</v>
      </c>
      <c r="D929" s="6" t="s">
        <v>77</v>
      </c>
      <c r="E929" s="6" t="s">
        <v>75</v>
      </c>
      <c r="F929" s="6">
        <v>1</v>
      </c>
      <c r="G929" s="6" t="s">
        <v>46</v>
      </c>
      <c r="H929" s="6">
        <v>2</v>
      </c>
      <c r="I929" s="6">
        <v>13</v>
      </c>
      <c r="J929" s="6">
        <v>6.5</v>
      </c>
      <c r="K929" s="6" t="s">
        <v>28</v>
      </c>
      <c r="L929" s="6" t="str">
        <f>VLOOKUP(K929, 'Alphabetical by species code'!A:B, 2, FALSE)</f>
        <v>Litter</v>
      </c>
      <c r="M929" s="6" t="str">
        <f>VLOOKUP(L929, 'Alphabetical by species code'!B:C, 2, FALSE)</f>
        <v>Ground Cover</v>
      </c>
    </row>
    <row r="930" spans="1:13" x14ac:dyDescent="0.25">
      <c r="A930" s="6">
        <v>10</v>
      </c>
      <c r="B930" s="6">
        <v>2025</v>
      </c>
      <c r="C930" s="7">
        <v>45777</v>
      </c>
      <c r="D930" s="6" t="s">
        <v>77</v>
      </c>
      <c r="E930" s="6" t="s">
        <v>75</v>
      </c>
      <c r="F930" s="6">
        <v>1</v>
      </c>
      <c r="G930" s="6" t="s">
        <v>46</v>
      </c>
      <c r="H930" s="6">
        <v>2</v>
      </c>
      <c r="I930" s="6">
        <v>13</v>
      </c>
      <c r="J930" s="6">
        <v>6.5</v>
      </c>
      <c r="K930" s="6" t="s">
        <v>81</v>
      </c>
      <c r="L930" s="6" t="str">
        <f>VLOOKUP(K930, 'Alphabetical by species code'!A:B, 2, FALSE)</f>
        <v>Brachypodium distachyon</v>
      </c>
      <c r="M930" s="6" t="str">
        <f>VLOOKUP(L930, 'Alphabetical by species code'!B:C, 2, FALSE)</f>
        <v>Non-Native</v>
      </c>
    </row>
    <row r="931" spans="1:13" x14ac:dyDescent="0.25">
      <c r="A931" s="6">
        <v>10</v>
      </c>
      <c r="B931" s="6">
        <v>2025</v>
      </c>
      <c r="C931" s="7">
        <v>45777</v>
      </c>
      <c r="D931" s="6" t="s">
        <v>77</v>
      </c>
      <c r="E931" s="6" t="s">
        <v>75</v>
      </c>
      <c r="F931" s="6">
        <v>1</v>
      </c>
      <c r="G931" s="6" t="s">
        <v>46</v>
      </c>
      <c r="H931" s="6">
        <v>2</v>
      </c>
      <c r="I931" s="6">
        <v>14</v>
      </c>
      <c r="J931" s="6">
        <v>7</v>
      </c>
      <c r="K931" s="6" t="s">
        <v>28</v>
      </c>
      <c r="L931" s="6" t="str">
        <f>VLOOKUP(K931, 'Alphabetical by species code'!A:B, 2, FALSE)</f>
        <v>Litter</v>
      </c>
      <c r="M931" s="6" t="str">
        <f>VLOOKUP(L931, 'Alphabetical by species code'!B:C, 2, FALSE)</f>
        <v>Ground Cover</v>
      </c>
    </row>
    <row r="932" spans="1:13" x14ac:dyDescent="0.25">
      <c r="A932" s="6">
        <v>10</v>
      </c>
      <c r="B932" s="6">
        <v>2025</v>
      </c>
      <c r="C932" s="7">
        <v>45777</v>
      </c>
      <c r="D932" s="6" t="s">
        <v>77</v>
      </c>
      <c r="E932" s="6" t="s">
        <v>75</v>
      </c>
      <c r="F932" s="6">
        <v>1</v>
      </c>
      <c r="G932" s="6" t="s">
        <v>46</v>
      </c>
      <c r="H932" s="6">
        <v>2</v>
      </c>
      <c r="I932" s="6">
        <v>14</v>
      </c>
      <c r="J932" s="6">
        <v>7</v>
      </c>
      <c r="K932" s="6" t="s">
        <v>76</v>
      </c>
      <c r="L932" s="6" t="str">
        <f>VLOOKUP(K932, 'Alphabetical by species code'!A:B, 2, FALSE)</f>
        <v>Avena fatua</v>
      </c>
      <c r="M932" s="6" t="str">
        <f>VLOOKUP(L932, 'Alphabetical by species code'!B:C, 2, FALSE)</f>
        <v>Non-Native</v>
      </c>
    </row>
    <row r="933" spans="1:13" x14ac:dyDescent="0.25">
      <c r="A933" s="6">
        <v>10</v>
      </c>
      <c r="B933" s="6">
        <v>2025</v>
      </c>
      <c r="C933" s="7">
        <v>45777</v>
      </c>
      <c r="D933" s="6" t="s">
        <v>77</v>
      </c>
      <c r="E933" s="6" t="s">
        <v>75</v>
      </c>
      <c r="F933" s="6">
        <v>1</v>
      </c>
      <c r="G933" s="6" t="s">
        <v>46</v>
      </c>
      <c r="H933" s="6">
        <v>2</v>
      </c>
      <c r="I933" s="6">
        <v>14</v>
      </c>
      <c r="J933" s="6">
        <v>7</v>
      </c>
      <c r="K933" s="6" t="s">
        <v>81</v>
      </c>
      <c r="L933" s="6" t="str">
        <f>VLOOKUP(K933, 'Alphabetical by species code'!A:B, 2, FALSE)</f>
        <v>Brachypodium distachyon</v>
      </c>
      <c r="M933" s="6" t="str">
        <f>VLOOKUP(L933, 'Alphabetical by species code'!B:C, 2, FALSE)</f>
        <v>Non-Native</v>
      </c>
    </row>
    <row r="934" spans="1:13" x14ac:dyDescent="0.25">
      <c r="A934" s="6">
        <v>10</v>
      </c>
      <c r="B934" s="6">
        <v>2025</v>
      </c>
      <c r="C934" s="7">
        <v>45777</v>
      </c>
      <c r="D934" s="6" t="s">
        <v>77</v>
      </c>
      <c r="E934" s="6" t="s">
        <v>75</v>
      </c>
      <c r="F934" s="6">
        <v>1</v>
      </c>
      <c r="G934" s="6" t="s">
        <v>46</v>
      </c>
      <c r="H934" s="6">
        <v>2</v>
      </c>
      <c r="I934" s="6">
        <v>15</v>
      </c>
      <c r="J934" s="6">
        <v>7.5</v>
      </c>
      <c r="K934" s="6" t="s">
        <v>28</v>
      </c>
      <c r="L934" s="6" t="str">
        <f>VLOOKUP(K934, 'Alphabetical by species code'!A:B, 2, FALSE)</f>
        <v>Litter</v>
      </c>
      <c r="M934" s="6" t="str">
        <f>VLOOKUP(L934, 'Alphabetical by species code'!B:C, 2, FALSE)</f>
        <v>Ground Cover</v>
      </c>
    </row>
    <row r="935" spans="1:13" x14ac:dyDescent="0.25">
      <c r="A935" s="6">
        <v>10</v>
      </c>
      <c r="B935" s="6">
        <v>2025</v>
      </c>
      <c r="C935" s="7">
        <v>45777</v>
      </c>
      <c r="D935" s="6" t="s">
        <v>77</v>
      </c>
      <c r="E935" s="6" t="s">
        <v>75</v>
      </c>
      <c r="F935" s="6">
        <v>1</v>
      </c>
      <c r="G935" s="6" t="s">
        <v>46</v>
      </c>
      <c r="H935" s="6">
        <v>2</v>
      </c>
      <c r="I935" s="6">
        <v>15</v>
      </c>
      <c r="J935" s="6">
        <v>7.5</v>
      </c>
      <c r="K935" s="6" t="s">
        <v>76</v>
      </c>
      <c r="L935" s="6" t="str">
        <f>VLOOKUP(K935, 'Alphabetical by species code'!A:B, 2, FALSE)</f>
        <v>Avena fatua</v>
      </c>
      <c r="M935" s="6" t="str">
        <f>VLOOKUP(L935, 'Alphabetical by species code'!B:C, 2, FALSE)</f>
        <v>Non-Native</v>
      </c>
    </row>
    <row r="936" spans="1:13" x14ac:dyDescent="0.25">
      <c r="A936" s="6">
        <v>10</v>
      </c>
      <c r="B936" s="6">
        <v>2025</v>
      </c>
      <c r="C936" s="7">
        <v>45777</v>
      </c>
      <c r="D936" s="6" t="s">
        <v>77</v>
      </c>
      <c r="E936" s="6" t="s">
        <v>75</v>
      </c>
      <c r="F936" s="6">
        <v>1</v>
      </c>
      <c r="G936" s="6" t="s">
        <v>46</v>
      </c>
      <c r="H936" s="6">
        <v>2</v>
      </c>
      <c r="I936" s="6">
        <v>15</v>
      </c>
      <c r="J936" s="6">
        <v>7.5</v>
      </c>
      <c r="K936" s="6" t="s">
        <v>81</v>
      </c>
      <c r="L936" s="6" t="str">
        <f>VLOOKUP(K936, 'Alphabetical by species code'!A:B, 2, FALSE)</f>
        <v>Brachypodium distachyon</v>
      </c>
      <c r="M936" s="6" t="str">
        <f>VLOOKUP(L936, 'Alphabetical by species code'!B:C, 2, FALSE)</f>
        <v>Non-Native</v>
      </c>
    </row>
    <row r="937" spans="1:13" x14ac:dyDescent="0.25">
      <c r="A937" s="6">
        <v>11</v>
      </c>
      <c r="B937" s="6">
        <v>2025</v>
      </c>
      <c r="C937" s="7">
        <v>45790</v>
      </c>
      <c r="D937" s="6" t="s">
        <v>83</v>
      </c>
      <c r="E937" s="6" t="s">
        <v>75</v>
      </c>
      <c r="F937" s="6">
        <v>1</v>
      </c>
      <c r="G937" s="6" t="s">
        <v>63</v>
      </c>
      <c r="H937" s="6">
        <v>1</v>
      </c>
      <c r="I937" s="6">
        <v>1</v>
      </c>
      <c r="J937" s="6">
        <v>0</v>
      </c>
      <c r="K937" s="6" t="s">
        <v>28</v>
      </c>
      <c r="L937" s="6" t="str">
        <f>VLOOKUP(K937, 'Alphabetical by species code'!A:B, 2, FALSE)</f>
        <v>Litter</v>
      </c>
      <c r="M937" s="6" t="str">
        <f>VLOOKUP(L937, 'Alphabetical by species code'!B:C, 2, FALSE)</f>
        <v>Ground Cover</v>
      </c>
    </row>
    <row r="938" spans="1:13" x14ac:dyDescent="0.25">
      <c r="A938" s="6">
        <v>11</v>
      </c>
      <c r="B938" s="6">
        <v>2025</v>
      </c>
      <c r="C938" s="7">
        <v>45790</v>
      </c>
      <c r="D938" s="6" t="s">
        <v>83</v>
      </c>
      <c r="E938" s="6" t="s">
        <v>75</v>
      </c>
      <c r="F938" s="6">
        <v>1</v>
      </c>
      <c r="G938" s="6" t="s">
        <v>63</v>
      </c>
      <c r="H938" s="6">
        <v>1</v>
      </c>
      <c r="I938" s="6">
        <v>1</v>
      </c>
      <c r="J938" s="6">
        <v>0</v>
      </c>
      <c r="K938" s="6" t="s">
        <v>35</v>
      </c>
      <c r="L938" s="6" t="str">
        <f>VLOOKUP(K938, 'Alphabetical by species code'!A:B, 2, FALSE)</f>
        <v>Deinandra fasciculata</v>
      </c>
      <c r="M938" s="6" t="str">
        <f>VLOOKUP(L938, 'Alphabetical by species code'!B:C, 2, FALSE)</f>
        <v>Native</v>
      </c>
    </row>
    <row r="939" spans="1:13" x14ac:dyDescent="0.25">
      <c r="A939" s="6">
        <v>11</v>
      </c>
      <c r="B939" s="6">
        <v>2025</v>
      </c>
      <c r="C939" s="7">
        <v>45790</v>
      </c>
      <c r="D939" s="6" t="s">
        <v>83</v>
      </c>
      <c r="E939" s="6" t="s">
        <v>75</v>
      </c>
      <c r="F939" s="6">
        <v>1</v>
      </c>
      <c r="G939" s="6" t="s">
        <v>63</v>
      </c>
      <c r="H939" s="6">
        <v>1</v>
      </c>
      <c r="I939" s="6">
        <v>2</v>
      </c>
      <c r="J939" s="6">
        <v>1</v>
      </c>
      <c r="K939" s="6" t="s">
        <v>28</v>
      </c>
      <c r="L939" s="6" t="str">
        <f>VLOOKUP(K939, 'Alphabetical by species code'!A:B, 2, FALSE)</f>
        <v>Litter</v>
      </c>
      <c r="M939" s="6" t="str">
        <f>VLOOKUP(L939, 'Alphabetical by species code'!B:C, 2, FALSE)</f>
        <v>Ground Cover</v>
      </c>
    </row>
    <row r="940" spans="1:13" x14ac:dyDescent="0.25">
      <c r="A940" s="6">
        <v>11</v>
      </c>
      <c r="B940" s="6">
        <v>2025</v>
      </c>
      <c r="C940" s="7">
        <v>45790</v>
      </c>
      <c r="D940" s="6" t="s">
        <v>83</v>
      </c>
      <c r="E940" s="6" t="s">
        <v>75</v>
      </c>
      <c r="F940" s="6">
        <v>1</v>
      </c>
      <c r="G940" s="6" t="s">
        <v>63</v>
      </c>
      <c r="H940" s="6">
        <v>1</v>
      </c>
      <c r="I940" s="6">
        <v>2</v>
      </c>
      <c r="J940" s="6">
        <v>1</v>
      </c>
      <c r="K940" s="6" t="s">
        <v>47</v>
      </c>
      <c r="L940" s="6" t="str">
        <f>VLOOKUP(K940, 'Alphabetical by species code'!A:B, 2, FALSE)</f>
        <v>Sonchus species</v>
      </c>
      <c r="M940" s="6" t="str">
        <f>VLOOKUP(L940, 'Alphabetical by species code'!B:C, 2, FALSE)</f>
        <v>Non-Native</v>
      </c>
    </row>
    <row r="941" spans="1:13" x14ac:dyDescent="0.25">
      <c r="A941" s="6">
        <v>11</v>
      </c>
      <c r="B941" s="6">
        <v>2025</v>
      </c>
      <c r="C941" s="7">
        <v>45790</v>
      </c>
      <c r="D941" s="6" t="s">
        <v>83</v>
      </c>
      <c r="E941" s="6" t="s">
        <v>75</v>
      </c>
      <c r="F941" s="6">
        <v>1</v>
      </c>
      <c r="G941" s="6" t="s">
        <v>63</v>
      </c>
      <c r="H941" s="6">
        <v>1</v>
      </c>
      <c r="I941" s="6">
        <v>3</v>
      </c>
      <c r="J941" s="6">
        <v>1.5</v>
      </c>
      <c r="K941" s="6" t="s">
        <v>28</v>
      </c>
      <c r="L941" s="6" t="str">
        <f>VLOOKUP(K941, 'Alphabetical by species code'!A:B, 2, FALSE)</f>
        <v>Litter</v>
      </c>
      <c r="M941" s="6" t="str">
        <f>VLOOKUP(L941, 'Alphabetical by species code'!B:C, 2, FALSE)</f>
        <v>Ground Cover</v>
      </c>
    </row>
    <row r="942" spans="1:13" x14ac:dyDescent="0.25">
      <c r="A942" s="6">
        <v>11</v>
      </c>
      <c r="B942" s="6">
        <v>2025</v>
      </c>
      <c r="C942" s="7">
        <v>45790</v>
      </c>
      <c r="D942" s="6" t="s">
        <v>83</v>
      </c>
      <c r="E942" s="6" t="s">
        <v>75</v>
      </c>
      <c r="F942" s="6">
        <v>1</v>
      </c>
      <c r="G942" s="6" t="s">
        <v>63</v>
      </c>
      <c r="H942" s="6">
        <v>1</v>
      </c>
      <c r="I942" s="6">
        <v>3</v>
      </c>
      <c r="J942" s="6">
        <v>1.5</v>
      </c>
      <c r="K942" s="6" t="s">
        <v>64</v>
      </c>
      <c r="L942" s="6" t="str">
        <f>VLOOKUP(K942, 'Alphabetical by species code'!A:B, 2, FALSE)</f>
        <v>Brassica nigra</v>
      </c>
      <c r="M942" s="6" t="str">
        <f>VLOOKUP(L942, 'Alphabetical by species code'!B:C, 2, FALSE)</f>
        <v>Non-Native</v>
      </c>
    </row>
    <row r="943" spans="1:13" x14ac:dyDescent="0.25">
      <c r="A943" s="6">
        <v>11</v>
      </c>
      <c r="B943" s="6">
        <v>2025</v>
      </c>
      <c r="C943" s="7">
        <v>45790</v>
      </c>
      <c r="D943" s="6" t="s">
        <v>83</v>
      </c>
      <c r="E943" s="6" t="s">
        <v>75</v>
      </c>
      <c r="F943" s="6">
        <v>1</v>
      </c>
      <c r="G943" s="6" t="s">
        <v>63</v>
      </c>
      <c r="H943" s="6">
        <v>1</v>
      </c>
      <c r="I943" s="6">
        <v>3</v>
      </c>
      <c r="J943" s="6">
        <v>1.5</v>
      </c>
      <c r="K943" s="6" t="s">
        <v>35</v>
      </c>
      <c r="L943" s="6" t="str">
        <f>VLOOKUP(K943, 'Alphabetical by species code'!A:B, 2, FALSE)</f>
        <v>Deinandra fasciculata</v>
      </c>
      <c r="M943" s="6" t="str">
        <f>VLOOKUP(L943, 'Alphabetical by species code'!B:C, 2, FALSE)</f>
        <v>Native</v>
      </c>
    </row>
    <row r="944" spans="1:13" x14ac:dyDescent="0.25">
      <c r="A944" s="6">
        <v>11</v>
      </c>
      <c r="B944" s="6">
        <v>2025</v>
      </c>
      <c r="C944" s="7">
        <v>45790</v>
      </c>
      <c r="D944" s="6" t="s">
        <v>83</v>
      </c>
      <c r="E944" s="6" t="s">
        <v>75</v>
      </c>
      <c r="F944" s="6">
        <v>1</v>
      </c>
      <c r="G944" s="6" t="s">
        <v>63</v>
      </c>
      <c r="H944" s="6">
        <v>1</v>
      </c>
      <c r="I944" s="6">
        <v>3</v>
      </c>
      <c r="J944" s="6">
        <v>1.5</v>
      </c>
      <c r="K944" s="6" t="s">
        <v>31</v>
      </c>
      <c r="L944" s="6" t="str">
        <f>VLOOKUP(K944, 'Alphabetical by species code'!A:B, 2, FALSE)</f>
        <v>Festuca myuros</v>
      </c>
      <c r="M944" s="6" t="str">
        <f>VLOOKUP(L944, 'Alphabetical by species code'!B:C, 2, FALSE)</f>
        <v>Non-Native</v>
      </c>
    </row>
    <row r="945" spans="1:13" x14ac:dyDescent="0.25">
      <c r="A945" s="6">
        <v>11</v>
      </c>
      <c r="B945" s="6">
        <v>2025</v>
      </c>
      <c r="C945" s="7">
        <v>45790</v>
      </c>
      <c r="D945" s="6" t="s">
        <v>83</v>
      </c>
      <c r="E945" s="6" t="s">
        <v>75</v>
      </c>
      <c r="F945" s="6">
        <v>1</v>
      </c>
      <c r="G945" s="6" t="s">
        <v>63</v>
      </c>
      <c r="H945" s="6">
        <v>1</v>
      </c>
      <c r="I945" s="6">
        <v>4</v>
      </c>
      <c r="J945" s="6">
        <v>2</v>
      </c>
      <c r="K945" s="6" t="s">
        <v>28</v>
      </c>
      <c r="L945" s="6" t="str">
        <f>VLOOKUP(K945, 'Alphabetical by species code'!A:B, 2, FALSE)</f>
        <v>Litter</v>
      </c>
      <c r="M945" s="6" t="str">
        <f>VLOOKUP(L945, 'Alphabetical by species code'!B:C, 2, FALSE)</f>
        <v>Ground Cover</v>
      </c>
    </row>
    <row r="946" spans="1:13" x14ac:dyDescent="0.25">
      <c r="A946" s="6">
        <v>11</v>
      </c>
      <c r="B946" s="6">
        <v>2025</v>
      </c>
      <c r="C946" s="7">
        <v>45790</v>
      </c>
      <c r="D946" s="6" t="s">
        <v>83</v>
      </c>
      <c r="E946" s="6" t="s">
        <v>75</v>
      </c>
      <c r="F946" s="6">
        <v>1</v>
      </c>
      <c r="G946" s="6" t="s">
        <v>63</v>
      </c>
      <c r="H946" s="6">
        <v>1</v>
      </c>
      <c r="I946" s="6">
        <v>4</v>
      </c>
      <c r="J946" s="6">
        <v>2</v>
      </c>
      <c r="K946" s="6" t="s">
        <v>35</v>
      </c>
      <c r="L946" s="6" t="str">
        <f>VLOOKUP(K946, 'Alphabetical by species code'!A:B, 2, FALSE)</f>
        <v>Deinandra fasciculata</v>
      </c>
      <c r="M946" s="6" t="str">
        <f>VLOOKUP(L946, 'Alphabetical by species code'!B:C, 2, FALSE)</f>
        <v>Native</v>
      </c>
    </row>
    <row r="947" spans="1:13" x14ac:dyDescent="0.25">
      <c r="A947" s="6">
        <v>11</v>
      </c>
      <c r="B947" s="6">
        <v>2025</v>
      </c>
      <c r="C947" s="7">
        <v>45790</v>
      </c>
      <c r="D947" s="6" t="s">
        <v>83</v>
      </c>
      <c r="E947" s="6" t="s">
        <v>75</v>
      </c>
      <c r="F947" s="6">
        <v>1</v>
      </c>
      <c r="G947" s="6" t="s">
        <v>63</v>
      </c>
      <c r="H947" s="6">
        <v>1</v>
      </c>
      <c r="I947" s="6">
        <v>4</v>
      </c>
      <c r="J947" s="6">
        <v>2</v>
      </c>
      <c r="K947" s="6" t="s">
        <v>47</v>
      </c>
      <c r="L947" s="6" t="str">
        <f>VLOOKUP(K947, 'Alphabetical by species code'!A:B, 2, FALSE)</f>
        <v>Sonchus species</v>
      </c>
      <c r="M947" s="6" t="str">
        <f>VLOOKUP(L947, 'Alphabetical by species code'!B:C, 2, FALSE)</f>
        <v>Non-Native</v>
      </c>
    </row>
    <row r="948" spans="1:13" x14ac:dyDescent="0.25">
      <c r="A948" s="6">
        <v>11</v>
      </c>
      <c r="B948" s="6">
        <v>2025</v>
      </c>
      <c r="C948" s="7">
        <v>45790</v>
      </c>
      <c r="D948" s="6" t="s">
        <v>83</v>
      </c>
      <c r="E948" s="6" t="s">
        <v>75</v>
      </c>
      <c r="F948" s="6">
        <v>1</v>
      </c>
      <c r="G948" s="6" t="s">
        <v>63</v>
      </c>
      <c r="H948" s="6">
        <v>1</v>
      </c>
      <c r="I948" s="6">
        <v>4</v>
      </c>
      <c r="J948" s="6">
        <v>2</v>
      </c>
      <c r="K948" s="6" t="s">
        <v>64</v>
      </c>
      <c r="L948" s="6" t="str">
        <f>VLOOKUP(K948, 'Alphabetical by species code'!A:B, 2, FALSE)</f>
        <v>Brassica nigra</v>
      </c>
      <c r="M948" s="6" t="str">
        <f>VLOOKUP(L948, 'Alphabetical by species code'!B:C, 2, FALSE)</f>
        <v>Non-Native</v>
      </c>
    </row>
    <row r="949" spans="1:13" x14ac:dyDescent="0.25">
      <c r="A949" s="6">
        <v>11</v>
      </c>
      <c r="B949" s="6">
        <v>2025</v>
      </c>
      <c r="C949" s="7">
        <v>45790</v>
      </c>
      <c r="D949" s="6" t="s">
        <v>83</v>
      </c>
      <c r="E949" s="6" t="s">
        <v>75</v>
      </c>
      <c r="F949" s="6">
        <v>1</v>
      </c>
      <c r="G949" s="6" t="s">
        <v>63</v>
      </c>
      <c r="H949" s="6">
        <v>1</v>
      </c>
      <c r="I949" s="6">
        <v>5</v>
      </c>
      <c r="J949" s="6">
        <v>3</v>
      </c>
      <c r="K949" s="6" t="s">
        <v>28</v>
      </c>
      <c r="L949" s="6" t="str">
        <f>VLOOKUP(K949, 'Alphabetical by species code'!A:B, 2, FALSE)</f>
        <v>Litter</v>
      </c>
      <c r="M949" s="6" t="str">
        <f>VLOOKUP(L949, 'Alphabetical by species code'!B:C, 2, FALSE)</f>
        <v>Ground Cover</v>
      </c>
    </row>
    <row r="950" spans="1:13" x14ac:dyDescent="0.25">
      <c r="A950" s="6">
        <v>11</v>
      </c>
      <c r="B950" s="6">
        <v>2025</v>
      </c>
      <c r="C950" s="7">
        <v>45790</v>
      </c>
      <c r="D950" s="6" t="s">
        <v>83</v>
      </c>
      <c r="E950" s="6" t="s">
        <v>75</v>
      </c>
      <c r="F950" s="6">
        <v>1</v>
      </c>
      <c r="G950" s="6" t="s">
        <v>63</v>
      </c>
      <c r="H950" s="6">
        <v>1</v>
      </c>
      <c r="I950" s="6">
        <v>5</v>
      </c>
      <c r="J950" s="6">
        <v>3</v>
      </c>
      <c r="K950" s="6" t="s">
        <v>64</v>
      </c>
      <c r="L950" s="6" t="str">
        <f>VLOOKUP(K950, 'Alphabetical by species code'!A:B, 2, FALSE)</f>
        <v>Brassica nigra</v>
      </c>
      <c r="M950" s="6" t="str">
        <f>VLOOKUP(L950, 'Alphabetical by species code'!B:C, 2, FALSE)</f>
        <v>Non-Native</v>
      </c>
    </row>
    <row r="951" spans="1:13" x14ac:dyDescent="0.25">
      <c r="A951" s="6">
        <v>11</v>
      </c>
      <c r="B951" s="6">
        <v>2025</v>
      </c>
      <c r="C951" s="7">
        <v>45790</v>
      </c>
      <c r="D951" s="6" t="s">
        <v>83</v>
      </c>
      <c r="E951" s="6" t="s">
        <v>75</v>
      </c>
      <c r="F951" s="6">
        <v>1</v>
      </c>
      <c r="G951" s="6" t="s">
        <v>63</v>
      </c>
      <c r="H951" s="6">
        <v>1</v>
      </c>
      <c r="I951" s="6">
        <v>5</v>
      </c>
      <c r="J951" s="6">
        <v>3</v>
      </c>
      <c r="K951" s="6" t="s">
        <v>35</v>
      </c>
      <c r="L951" s="6" t="str">
        <f>VLOOKUP(K951, 'Alphabetical by species code'!A:B, 2, FALSE)</f>
        <v>Deinandra fasciculata</v>
      </c>
      <c r="M951" s="6" t="str">
        <f>VLOOKUP(L951, 'Alphabetical by species code'!B:C, 2, FALSE)</f>
        <v>Native</v>
      </c>
    </row>
    <row r="952" spans="1:13" x14ac:dyDescent="0.25">
      <c r="A952" s="6">
        <v>11</v>
      </c>
      <c r="B952" s="6">
        <v>2025</v>
      </c>
      <c r="C952" s="7">
        <v>45790</v>
      </c>
      <c r="D952" s="6" t="s">
        <v>83</v>
      </c>
      <c r="E952" s="6" t="s">
        <v>75</v>
      </c>
      <c r="F952" s="6">
        <v>1</v>
      </c>
      <c r="G952" s="6" t="s">
        <v>63</v>
      </c>
      <c r="H952" s="6">
        <v>1</v>
      </c>
      <c r="I952" s="6">
        <v>6</v>
      </c>
      <c r="J952" s="6">
        <v>3.5</v>
      </c>
      <c r="K952" s="6" t="s">
        <v>38</v>
      </c>
      <c r="L952" s="6" t="str">
        <f>VLOOKUP(K952, 'Alphabetical by species code'!A:B, 2, FALSE)</f>
        <v>Thatch</v>
      </c>
      <c r="M952" s="6" t="str">
        <f>VLOOKUP(L952, 'Alphabetical by species code'!B:C, 2, FALSE)</f>
        <v>Ground Cover</v>
      </c>
    </row>
    <row r="953" spans="1:13" x14ac:dyDescent="0.25">
      <c r="A953" s="6">
        <v>11</v>
      </c>
      <c r="B953" s="6">
        <v>2025</v>
      </c>
      <c r="C953" s="7">
        <v>45790</v>
      </c>
      <c r="D953" s="6" t="s">
        <v>83</v>
      </c>
      <c r="E953" s="6" t="s">
        <v>75</v>
      </c>
      <c r="F953" s="6">
        <v>1</v>
      </c>
      <c r="G953" s="6" t="s">
        <v>63</v>
      </c>
      <c r="H953" s="6">
        <v>1</v>
      </c>
      <c r="I953" s="6">
        <v>6</v>
      </c>
      <c r="J953" s="6">
        <v>3.5</v>
      </c>
      <c r="K953" s="6" t="s">
        <v>64</v>
      </c>
      <c r="L953" s="6" t="str">
        <f>VLOOKUP(K953, 'Alphabetical by species code'!A:B, 2, FALSE)</f>
        <v>Brassica nigra</v>
      </c>
      <c r="M953" s="6" t="str">
        <f>VLOOKUP(L953, 'Alphabetical by species code'!B:C, 2, FALSE)</f>
        <v>Non-Native</v>
      </c>
    </row>
    <row r="954" spans="1:13" x14ac:dyDescent="0.25">
      <c r="A954" s="6">
        <v>11</v>
      </c>
      <c r="B954" s="6">
        <v>2025</v>
      </c>
      <c r="C954" s="7">
        <v>45790</v>
      </c>
      <c r="D954" s="6" t="s">
        <v>83</v>
      </c>
      <c r="E954" s="6" t="s">
        <v>75</v>
      </c>
      <c r="F954" s="6">
        <v>1</v>
      </c>
      <c r="G954" s="6" t="s">
        <v>63</v>
      </c>
      <c r="H954" s="6">
        <v>1</v>
      </c>
      <c r="I954" s="6">
        <v>7</v>
      </c>
      <c r="J954" s="6">
        <v>4</v>
      </c>
      <c r="K954" s="6" t="s">
        <v>38</v>
      </c>
      <c r="L954" s="6" t="str">
        <f>VLOOKUP(K954, 'Alphabetical by species code'!A:B, 2, FALSE)</f>
        <v>Thatch</v>
      </c>
      <c r="M954" s="6" t="str">
        <f>VLOOKUP(L954, 'Alphabetical by species code'!B:C, 2, FALSE)</f>
        <v>Ground Cover</v>
      </c>
    </row>
    <row r="955" spans="1:13" x14ac:dyDescent="0.25">
      <c r="A955" s="6">
        <v>11</v>
      </c>
      <c r="B955" s="6">
        <v>2025</v>
      </c>
      <c r="C955" s="7">
        <v>45790</v>
      </c>
      <c r="D955" s="6" t="s">
        <v>83</v>
      </c>
      <c r="E955" s="6" t="s">
        <v>75</v>
      </c>
      <c r="F955" s="6">
        <v>1</v>
      </c>
      <c r="G955" s="6" t="s">
        <v>63</v>
      </c>
      <c r="H955" s="6">
        <v>1</v>
      </c>
      <c r="I955" s="6">
        <v>7</v>
      </c>
      <c r="J955" s="6">
        <v>4</v>
      </c>
      <c r="K955" s="6" t="s">
        <v>35</v>
      </c>
      <c r="L955" s="6" t="str">
        <f>VLOOKUP(K955, 'Alphabetical by species code'!A:B, 2, FALSE)</f>
        <v>Deinandra fasciculata</v>
      </c>
      <c r="M955" s="6" t="str">
        <f>VLOOKUP(L955, 'Alphabetical by species code'!B:C, 2, FALSE)</f>
        <v>Native</v>
      </c>
    </row>
    <row r="956" spans="1:13" x14ac:dyDescent="0.25">
      <c r="A956" s="6">
        <v>11</v>
      </c>
      <c r="B956" s="6">
        <v>2025</v>
      </c>
      <c r="C956" s="7">
        <v>45790</v>
      </c>
      <c r="D956" s="6" t="s">
        <v>83</v>
      </c>
      <c r="E956" s="6" t="s">
        <v>75</v>
      </c>
      <c r="F956" s="6">
        <v>1</v>
      </c>
      <c r="G956" s="6" t="s">
        <v>63</v>
      </c>
      <c r="H956" s="6">
        <v>1</v>
      </c>
      <c r="I956" s="6">
        <v>8</v>
      </c>
      <c r="J956" s="6">
        <v>5</v>
      </c>
      <c r="K956" s="6" t="s">
        <v>28</v>
      </c>
      <c r="L956" s="6" t="str">
        <f>VLOOKUP(K956, 'Alphabetical by species code'!A:B, 2, FALSE)</f>
        <v>Litter</v>
      </c>
      <c r="M956" s="6" t="str">
        <f>VLOOKUP(L956, 'Alphabetical by species code'!B:C, 2, FALSE)</f>
        <v>Ground Cover</v>
      </c>
    </row>
    <row r="957" spans="1:13" x14ac:dyDescent="0.25">
      <c r="A957" s="6">
        <v>11</v>
      </c>
      <c r="B957" s="6">
        <v>2025</v>
      </c>
      <c r="C957" s="7">
        <v>45790</v>
      </c>
      <c r="D957" s="6" t="s">
        <v>83</v>
      </c>
      <c r="E957" s="6" t="s">
        <v>75</v>
      </c>
      <c r="F957" s="6">
        <v>1</v>
      </c>
      <c r="G957" s="6" t="s">
        <v>63</v>
      </c>
      <c r="H957" s="6">
        <v>1</v>
      </c>
      <c r="I957" s="6">
        <v>8</v>
      </c>
      <c r="J957" s="6">
        <v>5</v>
      </c>
      <c r="K957" s="6" t="s">
        <v>31</v>
      </c>
      <c r="L957" s="6" t="str">
        <f>VLOOKUP(K957, 'Alphabetical by species code'!A:B, 2, FALSE)</f>
        <v>Festuca myuros</v>
      </c>
      <c r="M957" s="6" t="str">
        <f>VLOOKUP(L957, 'Alphabetical by species code'!B:C, 2, FALSE)</f>
        <v>Non-Native</v>
      </c>
    </row>
    <row r="958" spans="1:13" x14ac:dyDescent="0.25">
      <c r="A958" s="6">
        <v>11</v>
      </c>
      <c r="B958" s="6">
        <v>2025</v>
      </c>
      <c r="C958" s="7">
        <v>45790</v>
      </c>
      <c r="D958" s="6" t="s">
        <v>83</v>
      </c>
      <c r="E958" s="6" t="s">
        <v>75</v>
      </c>
      <c r="F958" s="6">
        <v>1</v>
      </c>
      <c r="G958" s="6" t="s">
        <v>63</v>
      </c>
      <c r="H958" s="6">
        <v>1</v>
      </c>
      <c r="I958" s="6">
        <v>9</v>
      </c>
      <c r="J958" s="6">
        <v>7</v>
      </c>
      <c r="K958" s="6" t="s">
        <v>28</v>
      </c>
      <c r="L958" s="6" t="str">
        <f>VLOOKUP(K958, 'Alphabetical by species code'!A:B, 2, FALSE)</f>
        <v>Litter</v>
      </c>
      <c r="M958" s="6" t="str">
        <f>VLOOKUP(L958, 'Alphabetical by species code'!B:C, 2, FALSE)</f>
        <v>Ground Cover</v>
      </c>
    </row>
    <row r="959" spans="1:13" x14ac:dyDescent="0.25">
      <c r="A959" s="6">
        <v>11</v>
      </c>
      <c r="B959" s="6">
        <v>2025</v>
      </c>
      <c r="C959" s="7">
        <v>45790</v>
      </c>
      <c r="D959" s="6" t="s">
        <v>83</v>
      </c>
      <c r="E959" s="6" t="s">
        <v>75</v>
      </c>
      <c r="F959" s="6">
        <v>1</v>
      </c>
      <c r="G959" s="6" t="s">
        <v>63</v>
      </c>
      <c r="H959" s="6">
        <v>1</v>
      </c>
      <c r="I959" s="6">
        <v>9</v>
      </c>
      <c r="J959" s="6">
        <v>7</v>
      </c>
      <c r="K959" s="6" t="s">
        <v>35</v>
      </c>
      <c r="L959" s="6" t="str">
        <f>VLOOKUP(K959, 'Alphabetical by species code'!A:B, 2, FALSE)</f>
        <v>Deinandra fasciculata</v>
      </c>
      <c r="M959" s="6" t="str">
        <f>VLOOKUP(L959, 'Alphabetical by species code'!B:C, 2, FALSE)</f>
        <v>Native</v>
      </c>
    </row>
    <row r="960" spans="1:13" x14ac:dyDescent="0.25">
      <c r="A960" s="6">
        <v>11</v>
      </c>
      <c r="B960" s="6">
        <v>2025</v>
      </c>
      <c r="C960" s="7">
        <v>45790</v>
      </c>
      <c r="D960" s="6" t="s">
        <v>83</v>
      </c>
      <c r="E960" s="6" t="s">
        <v>75</v>
      </c>
      <c r="F960" s="6">
        <v>1</v>
      </c>
      <c r="G960" s="6" t="s">
        <v>63</v>
      </c>
      <c r="H960" s="6">
        <v>1</v>
      </c>
      <c r="I960" s="6">
        <v>9</v>
      </c>
      <c r="J960" s="6">
        <v>7</v>
      </c>
      <c r="K960" s="6" t="s">
        <v>31</v>
      </c>
      <c r="L960" s="6" t="str">
        <f>VLOOKUP(K960, 'Alphabetical by species code'!A:B, 2, FALSE)</f>
        <v>Festuca myuros</v>
      </c>
      <c r="M960" s="6" t="str">
        <f>VLOOKUP(L960, 'Alphabetical by species code'!B:C, 2, FALSE)</f>
        <v>Non-Native</v>
      </c>
    </row>
    <row r="961" spans="1:13" x14ac:dyDescent="0.25">
      <c r="A961" s="6">
        <v>11</v>
      </c>
      <c r="B961" s="6">
        <v>2025</v>
      </c>
      <c r="C961" s="7">
        <v>45790</v>
      </c>
      <c r="D961" s="6" t="s">
        <v>83</v>
      </c>
      <c r="E961" s="6" t="s">
        <v>75</v>
      </c>
      <c r="F961" s="6">
        <v>1</v>
      </c>
      <c r="G961" s="6" t="s">
        <v>63</v>
      </c>
      <c r="H961" s="6">
        <v>1</v>
      </c>
      <c r="I961" s="6">
        <v>10</v>
      </c>
      <c r="J961" s="6">
        <v>8</v>
      </c>
      <c r="K961" s="6" t="s">
        <v>28</v>
      </c>
      <c r="L961" s="6" t="str">
        <f>VLOOKUP(K961, 'Alphabetical by species code'!A:B, 2, FALSE)</f>
        <v>Litter</v>
      </c>
      <c r="M961" s="6" t="str">
        <f>VLOOKUP(L961, 'Alphabetical by species code'!B:C, 2, FALSE)</f>
        <v>Ground Cover</v>
      </c>
    </row>
    <row r="962" spans="1:13" x14ac:dyDescent="0.25">
      <c r="A962" s="6">
        <v>11</v>
      </c>
      <c r="B962" s="6">
        <v>2025</v>
      </c>
      <c r="C962" s="7">
        <v>45790</v>
      </c>
      <c r="D962" s="6" t="s">
        <v>83</v>
      </c>
      <c r="E962" s="6" t="s">
        <v>75</v>
      </c>
      <c r="F962" s="6">
        <v>1</v>
      </c>
      <c r="G962" s="6" t="s">
        <v>63</v>
      </c>
      <c r="H962" s="6">
        <v>1</v>
      </c>
      <c r="I962" s="6">
        <v>10</v>
      </c>
      <c r="J962" s="6">
        <v>8</v>
      </c>
      <c r="K962" s="6" t="s">
        <v>31</v>
      </c>
      <c r="L962" s="6" t="str">
        <f>VLOOKUP(K962, 'Alphabetical by species code'!A:B, 2, FALSE)</f>
        <v>Festuca myuros</v>
      </c>
      <c r="M962" s="6" t="str">
        <f>VLOOKUP(L962, 'Alphabetical by species code'!B:C, 2, FALSE)</f>
        <v>Non-Native</v>
      </c>
    </row>
    <row r="963" spans="1:13" x14ac:dyDescent="0.25">
      <c r="A963" s="6">
        <v>11</v>
      </c>
      <c r="B963" s="6">
        <v>2025</v>
      </c>
      <c r="C963" s="7">
        <v>45790</v>
      </c>
      <c r="D963" s="6" t="s">
        <v>83</v>
      </c>
      <c r="E963" s="6" t="s">
        <v>75</v>
      </c>
      <c r="F963" s="6">
        <v>1</v>
      </c>
      <c r="G963" s="6" t="s">
        <v>63</v>
      </c>
      <c r="H963" s="6">
        <v>1</v>
      </c>
      <c r="I963" s="6">
        <v>10</v>
      </c>
      <c r="J963" s="6">
        <v>8</v>
      </c>
      <c r="K963" s="6" t="s">
        <v>64</v>
      </c>
      <c r="L963" s="6" t="str">
        <f>VLOOKUP(K963, 'Alphabetical by species code'!A:B, 2, FALSE)</f>
        <v>Brassica nigra</v>
      </c>
      <c r="M963" s="6" t="str">
        <f>VLOOKUP(L963, 'Alphabetical by species code'!B:C, 2, FALSE)</f>
        <v>Non-Native</v>
      </c>
    </row>
    <row r="964" spans="1:13" x14ac:dyDescent="0.25">
      <c r="A964" s="6">
        <v>11</v>
      </c>
      <c r="B964" s="6">
        <v>2025</v>
      </c>
      <c r="C964" s="7">
        <v>45790</v>
      </c>
      <c r="D964" s="6" t="s">
        <v>83</v>
      </c>
      <c r="E964" s="6" t="s">
        <v>75</v>
      </c>
      <c r="F964" s="6">
        <v>1</v>
      </c>
      <c r="G964" s="6" t="s">
        <v>63</v>
      </c>
      <c r="H964" s="6">
        <v>1</v>
      </c>
      <c r="I964" s="6">
        <v>11</v>
      </c>
      <c r="J964" s="6">
        <v>8.5</v>
      </c>
      <c r="K964" s="6" t="s">
        <v>28</v>
      </c>
      <c r="L964" s="6" t="str">
        <f>VLOOKUP(K964, 'Alphabetical by species code'!A:B, 2, FALSE)</f>
        <v>Litter</v>
      </c>
      <c r="M964" s="6" t="str">
        <f>VLOOKUP(L964, 'Alphabetical by species code'!B:C, 2, FALSE)</f>
        <v>Ground Cover</v>
      </c>
    </row>
    <row r="965" spans="1:13" x14ac:dyDescent="0.25">
      <c r="A965" s="6">
        <v>11</v>
      </c>
      <c r="B965" s="6">
        <v>2025</v>
      </c>
      <c r="C965" s="7">
        <v>45790</v>
      </c>
      <c r="D965" s="6" t="s">
        <v>83</v>
      </c>
      <c r="E965" s="6" t="s">
        <v>75</v>
      </c>
      <c r="F965" s="6">
        <v>1</v>
      </c>
      <c r="G965" s="6" t="s">
        <v>63</v>
      </c>
      <c r="H965" s="6">
        <v>1</v>
      </c>
      <c r="I965" s="6">
        <v>11</v>
      </c>
      <c r="J965" s="6">
        <v>8.5</v>
      </c>
      <c r="K965" s="6" t="s">
        <v>36</v>
      </c>
      <c r="L965" s="6" t="str">
        <f>VLOOKUP(K965, 'Alphabetical by species code'!A:B, 2, FALSE)</f>
        <v>Bromus madritensis</v>
      </c>
      <c r="M965" s="6" t="str">
        <f>VLOOKUP(L965, 'Alphabetical by species code'!B:C, 2, FALSE)</f>
        <v>Non-Native</v>
      </c>
    </row>
    <row r="966" spans="1:13" x14ac:dyDescent="0.25">
      <c r="A966" s="6">
        <v>11</v>
      </c>
      <c r="B966" s="6">
        <v>2025</v>
      </c>
      <c r="C966" s="7">
        <v>45790</v>
      </c>
      <c r="D966" s="6" t="s">
        <v>83</v>
      </c>
      <c r="E966" s="6" t="s">
        <v>75</v>
      </c>
      <c r="F966" s="6">
        <v>1</v>
      </c>
      <c r="G966" s="6" t="s">
        <v>63</v>
      </c>
      <c r="H966" s="6">
        <v>1</v>
      </c>
      <c r="I966" s="6">
        <v>12</v>
      </c>
      <c r="J966" s="6">
        <v>9</v>
      </c>
      <c r="K966" s="6" t="s">
        <v>28</v>
      </c>
      <c r="L966" s="6" t="str">
        <f>VLOOKUP(K966, 'Alphabetical by species code'!A:B, 2, FALSE)</f>
        <v>Litter</v>
      </c>
      <c r="M966" s="6" t="str">
        <f>VLOOKUP(L966, 'Alphabetical by species code'!B:C, 2, FALSE)</f>
        <v>Ground Cover</v>
      </c>
    </row>
    <row r="967" spans="1:13" x14ac:dyDescent="0.25">
      <c r="A967" s="6">
        <v>11</v>
      </c>
      <c r="B967" s="6">
        <v>2025</v>
      </c>
      <c r="C967" s="7">
        <v>45790</v>
      </c>
      <c r="D967" s="6" t="s">
        <v>83</v>
      </c>
      <c r="E967" s="6" t="s">
        <v>75</v>
      </c>
      <c r="F967" s="6">
        <v>1</v>
      </c>
      <c r="G967" s="6" t="s">
        <v>63</v>
      </c>
      <c r="H967" s="6">
        <v>1</v>
      </c>
      <c r="I967" s="6">
        <v>12</v>
      </c>
      <c r="J967" s="6">
        <v>9</v>
      </c>
      <c r="K967" s="6" t="s">
        <v>35</v>
      </c>
      <c r="L967" s="6" t="str">
        <f>VLOOKUP(K967, 'Alphabetical by species code'!A:B, 2, FALSE)</f>
        <v>Deinandra fasciculata</v>
      </c>
      <c r="M967" s="6" t="str">
        <f>VLOOKUP(L967, 'Alphabetical by species code'!B:C, 2, FALSE)</f>
        <v>Native</v>
      </c>
    </row>
    <row r="968" spans="1:13" x14ac:dyDescent="0.25">
      <c r="A968" s="6">
        <v>11</v>
      </c>
      <c r="B968" s="6">
        <v>2025</v>
      </c>
      <c r="C968" s="7">
        <v>45790</v>
      </c>
      <c r="D968" s="6" t="s">
        <v>83</v>
      </c>
      <c r="E968" s="6" t="s">
        <v>75</v>
      </c>
      <c r="F968" s="6">
        <v>1</v>
      </c>
      <c r="G968" s="6" t="s">
        <v>63</v>
      </c>
      <c r="H968" s="6">
        <v>1</v>
      </c>
      <c r="I968" s="6">
        <v>13</v>
      </c>
      <c r="J968" s="6">
        <v>10</v>
      </c>
      <c r="K968" s="6" t="s">
        <v>28</v>
      </c>
      <c r="L968" s="6" t="str">
        <f>VLOOKUP(K968, 'Alphabetical by species code'!A:B, 2, FALSE)</f>
        <v>Litter</v>
      </c>
      <c r="M968" s="6" t="str">
        <f>VLOOKUP(L968, 'Alphabetical by species code'!B:C, 2, FALSE)</f>
        <v>Ground Cover</v>
      </c>
    </row>
    <row r="969" spans="1:13" x14ac:dyDescent="0.25">
      <c r="A969" s="6">
        <v>11</v>
      </c>
      <c r="B969" s="6">
        <v>2025</v>
      </c>
      <c r="C969" s="7">
        <v>45790</v>
      </c>
      <c r="D969" s="6" t="s">
        <v>83</v>
      </c>
      <c r="E969" s="6" t="s">
        <v>75</v>
      </c>
      <c r="F969" s="6">
        <v>1</v>
      </c>
      <c r="G969" s="6" t="s">
        <v>63</v>
      </c>
      <c r="H969" s="6">
        <v>1</v>
      </c>
      <c r="I969" s="6">
        <v>13</v>
      </c>
      <c r="J969" s="6">
        <v>10</v>
      </c>
      <c r="K969" s="6" t="s">
        <v>31</v>
      </c>
      <c r="L969" s="6" t="str">
        <f>VLOOKUP(K969, 'Alphabetical by species code'!A:B, 2, FALSE)</f>
        <v>Festuca myuros</v>
      </c>
      <c r="M969" s="6" t="str">
        <f>VLOOKUP(L969, 'Alphabetical by species code'!B:C, 2, FALSE)</f>
        <v>Non-Native</v>
      </c>
    </row>
    <row r="970" spans="1:13" x14ac:dyDescent="0.25">
      <c r="A970" s="6">
        <v>11</v>
      </c>
      <c r="B970" s="6">
        <v>2025</v>
      </c>
      <c r="C970" s="7">
        <v>45790</v>
      </c>
      <c r="D970" s="6" t="s">
        <v>83</v>
      </c>
      <c r="E970" s="6" t="s">
        <v>75</v>
      </c>
      <c r="F970" s="6">
        <v>1</v>
      </c>
      <c r="G970" s="6" t="s">
        <v>63</v>
      </c>
      <c r="H970" s="6">
        <v>1</v>
      </c>
      <c r="I970" s="6">
        <v>14</v>
      </c>
      <c r="J970" s="6">
        <v>11</v>
      </c>
      <c r="K970" s="6" t="s">
        <v>28</v>
      </c>
      <c r="L970" s="6" t="str">
        <f>VLOOKUP(K970, 'Alphabetical by species code'!A:B, 2, FALSE)</f>
        <v>Litter</v>
      </c>
      <c r="M970" s="6" t="str">
        <f>VLOOKUP(L970, 'Alphabetical by species code'!B:C, 2, FALSE)</f>
        <v>Ground Cover</v>
      </c>
    </row>
    <row r="971" spans="1:13" x14ac:dyDescent="0.25">
      <c r="A971" s="6">
        <v>11</v>
      </c>
      <c r="B971" s="6">
        <v>2025</v>
      </c>
      <c r="C971" s="7">
        <v>45790</v>
      </c>
      <c r="D971" s="6" t="s">
        <v>83</v>
      </c>
      <c r="E971" s="6" t="s">
        <v>75</v>
      </c>
      <c r="F971" s="6">
        <v>1</v>
      </c>
      <c r="G971" s="6" t="s">
        <v>63</v>
      </c>
      <c r="H971" s="6">
        <v>1</v>
      </c>
      <c r="I971" s="6">
        <v>14</v>
      </c>
      <c r="J971" s="6">
        <v>11</v>
      </c>
      <c r="K971" s="6" t="s">
        <v>64</v>
      </c>
      <c r="L971" s="6" t="str">
        <f>VLOOKUP(K971, 'Alphabetical by species code'!A:B, 2, FALSE)</f>
        <v>Brassica nigra</v>
      </c>
      <c r="M971" s="6" t="str">
        <f>VLOOKUP(L971, 'Alphabetical by species code'!B:C, 2, FALSE)</f>
        <v>Non-Native</v>
      </c>
    </row>
    <row r="972" spans="1:13" x14ac:dyDescent="0.25">
      <c r="A972" s="6">
        <v>11</v>
      </c>
      <c r="B972" s="6">
        <v>2025</v>
      </c>
      <c r="C972" s="7">
        <v>45790</v>
      </c>
      <c r="D972" s="6" t="s">
        <v>83</v>
      </c>
      <c r="E972" s="6" t="s">
        <v>75</v>
      </c>
      <c r="F972" s="6">
        <v>1</v>
      </c>
      <c r="G972" s="6" t="s">
        <v>63</v>
      </c>
      <c r="H972" s="6">
        <v>1</v>
      </c>
      <c r="I972" s="6">
        <v>15</v>
      </c>
      <c r="J972" s="6">
        <v>12</v>
      </c>
      <c r="K972" s="6" t="s">
        <v>28</v>
      </c>
      <c r="L972" s="6" t="str">
        <f>VLOOKUP(K972, 'Alphabetical by species code'!A:B, 2, FALSE)</f>
        <v>Litter</v>
      </c>
      <c r="M972" s="6" t="str">
        <f>VLOOKUP(L972, 'Alphabetical by species code'!B:C, 2, FALSE)</f>
        <v>Ground Cover</v>
      </c>
    </row>
    <row r="973" spans="1:13" x14ac:dyDescent="0.25">
      <c r="A973" s="6">
        <v>11</v>
      </c>
      <c r="B973" s="6">
        <v>2025</v>
      </c>
      <c r="C973" s="7">
        <v>45790</v>
      </c>
      <c r="D973" s="6" t="s">
        <v>83</v>
      </c>
      <c r="E973" s="6" t="s">
        <v>75</v>
      </c>
      <c r="F973" s="6">
        <v>1</v>
      </c>
      <c r="G973" s="6" t="s">
        <v>63</v>
      </c>
      <c r="H973" s="6">
        <v>1</v>
      </c>
      <c r="I973" s="6">
        <v>15</v>
      </c>
      <c r="J973" s="6">
        <v>12</v>
      </c>
      <c r="K973" s="6" t="s">
        <v>29</v>
      </c>
      <c r="L973" s="6" t="str">
        <f>VLOOKUP(K973, 'Alphabetical by species code'!A:B, 2, FALSE)</f>
        <v>Opuntia littoralis</v>
      </c>
      <c r="M973" s="6" t="str">
        <f>VLOOKUP(L973, 'Alphabetical by species code'!B:C, 2, FALSE)</f>
        <v>Native</v>
      </c>
    </row>
    <row r="974" spans="1:13" x14ac:dyDescent="0.25">
      <c r="A974" s="6">
        <v>11</v>
      </c>
      <c r="B974" s="6">
        <v>2025</v>
      </c>
      <c r="C974" s="7">
        <v>45790</v>
      </c>
      <c r="D974" s="6" t="s">
        <v>83</v>
      </c>
      <c r="E974" s="6" t="s">
        <v>75</v>
      </c>
      <c r="F974" s="6">
        <v>1</v>
      </c>
      <c r="G974" s="6" t="s">
        <v>63</v>
      </c>
      <c r="H974" s="6">
        <v>2</v>
      </c>
      <c r="I974" s="6">
        <v>1</v>
      </c>
      <c r="J974" s="6">
        <v>0</v>
      </c>
      <c r="K974" s="6" t="s">
        <v>28</v>
      </c>
      <c r="L974" s="6" t="str">
        <f>VLOOKUP(K974, 'Alphabetical by species code'!A:B, 2, FALSE)</f>
        <v>Litter</v>
      </c>
      <c r="M974" s="6" t="str">
        <f>VLOOKUP(L974, 'Alphabetical by species code'!B:C, 2, FALSE)</f>
        <v>Ground Cover</v>
      </c>
    </row>
    <row r="975" spans="1:13" x14ac:dyDescent="0.25">
      <c r="A975" s="6">
        <v>11</v>
      </c>
      <c r="B975" s="6">
        <v>2025</v>
      </c>
      <c r="C975" s="7">
        <v>45790</v>
      </c>
      <c r="D975" s="6" t="s">
        <v>83</v>
      </c>
      <c r="E975" s="6" t="s">
        <v>75</v>
      </c>
      <c r="F975" s="6">
        <v>1</v>
      </c>
      <c r="G975" s="6" t="s">
        <v>63</v>
      </c>
      <c r="H975" s="6">
        <v>2</v>
      </c>
      <c r="I975" s="6">
        <v>1</v>
      </c>
      <c r="J975" s="6">
        <v>0</v>
      </c>
      <c r="K975" s="6" t="s">
        <v>36</v>
      </c>
      <c r="L975" s="6" t="str">
        <f>VLOOKUP(K975, 'Alphabetical by species code'!A:B, 2, FALSE)</f>
        <v>Bromus madritensis</v>
      </c>
      <c r="M975" s="6" t="str">
        <f>VLOOKUP(L975, 'Alphabetical by species code'!B:C, 2, FALSE)</f>
        <v>Non-Native</v>
      </c>
    </row>
    <row r="976" spans="1:13" x14ac:dyDescent="0.25">
      <c r="A976" s="6">
        <v>11</v>
      </c>
      <c r="B976" s="6">
        <v>2025</v>
      </c>
      <c r="C976" s="7">
        <v>45790</v>
      </c>
      <c r="D976" s="6" t="s">
        <v>83</v>
      </c>
      <c r="E976" s="6" t="s">
        <v>75</v>
      </c>
      <c r="F976" s="6">
        <v>1</v>
      </c>
      <c r="G976" s="6" t="s">
        <v>63</v>
      </c>
      <c r="H976" s="6">
        <v>2</v>
      </c>
      <c r="I976" s="6">
        <v>1</v>
      </c>
      <c r="J976" s="6">
        <v>0</v>
      </c>
      <c r="K976" s="6" t="s">
        <v>29</v>
      </c>
      <c r="L976" s="6" t="str">
        <f>VLOOKUP(K976, 'Alphabetical by species code'!A:B, 2, FALSE)</f>
        <v>Opuntia littoralis</v>
      </c>
      <c r="M976" s="6" t="str">
        <f>VLOOKUP(L976, 'Alphabetical by species code'!B:C, 2, FALSE)</f>
        <v>Native</v>
      </c>
    </row>
    <row r="977" spans="1:13" x14ac:dyDescent="0.25">
      <c r="A977" s="6">
        <v>11</v>
      </c>
      <c r="B977" s="6">
        <v>2025</v>
      </c>
      <c r="C977" s="7">
        <v>45790</v>
      </c>
      <c r="D977" s="6" t="s">
        <v>83</v>
      </c>
      <c r="E977" s="6" t="s">
        <v>75</v>
      </c>
      <c r="F977" s="6">
        <v>1</v>
      </c>
      <c r="G977" s="6" t="s">
        <v>63</v>
      </c>
      <c r="H977" s="6">
        <v>2</v>
      </c>
      <c r="I977" s="6">
        <v>2</v>
      </c>
      <c r="J977" s="6">
        <v>1</v>
      </c>
      <c r="K977" s="6" t="s">
        <v>28</v>
      </c>
      <c r="L977" s="6" t="str">
        <f>VLOOKUP(K977, 'Alphabetical by species code'!A:B, 2, FALSE)</f>
        <v>Litter</v>
      </c>
      <c r="M977" s="6" t="str">
        <f>VLOOKUP(L977, 'Alphabetical by species code'!B:C, 2, FALSE)</f>
        <v>Ground Cover</v>
      </c>
    </row>
    <row r="978" spans="1:13" x14ac:dyDescent="0.25">
      <c r="A978" s="6">
        <v>11</v>
      </c>
      <c r="B978" s="6">
        <v>2025</v>
      </c>
      <c r="C978" s="7">
        <v>45790</v>
      </c>
      <c r="D978" s="6" t="s">
        <v>83</v>
      </c>
      <c r="E978" s="6" t="s">
        <v>75</v>
      </c>
      <c r="F978" s="6">
        <v>1</v>
      </c>
      <c r="G978" s="6" t="s">
        <v>63</v>
      </c>
      <c r="H978" s="6">
        <v>2</v>
      </c>
      <c r="I978" s="6">
        <v>2</v>
      </c>
      <c r="J978" s="6">
        <v>1</v>
      </c>
      <c r="K978" s="6" t="s">
        <v>47</v>
      </c>
      <c r="L978" s="6" t="str">
        <f>VLOOKUP(K978, 'Alphabetical by species code'!A:B, 2, FALSE)</f>
        <v>Sonchus species</v>
      </c>
      <c r="M978" s="6" t="str">
        <f>VLOOKUP(L978, 'Alphabetical by species code'!B:C, 2, FALSE)</f>
        <v>Non-Native</v>
      </c>
    </row>
    <row r="979" spans="1:13" x14ac:dyDescent="0.25">
      <c r="A979" s="6">
        <v>11</v>
      </c>
      <c r="B979" s="6">
        <v>2025</v>
      </c>
      <c r="C979" s="7">
        <v>45790</v>
      </c>
      <c r="D979" s="6" t="s">
        <v>83</v>
      </c>
      <c r="E979" s="6" t="s">
        <v>75</v>
      </c>
      <c r="F979" s="6">
        <v>1</v>
      </c>
      <c r="G979" s="6" t="s">
        <v>63</v>
      </c>
      <c r="H979" s="6">
        <v>2</v>
      </c>
      <c r="I979" s="6">
        <v>2</v>
      </c>
      <c r="J979" s="6">
        <v>1</v>
      </c>
      <c r="K979" s="6" t="s">
        <v>67</v>
      </c>
      <c r="L979" s="6" t="str">
        <f>VLOOKUP(K979, 'Alphabetical by species code'!A:B, 2, FALSE)</f>
        <v>Galium aparine</v>
      </c>
      <c r="M979" s="6" t="str">
        <f>VLOOKUP(L979, 'Alphabetical by species code'!B:C, 2, FALSE)</f>
        <v>Native</v>
      </c>
    </row>
    <row r="980" spans="1:13" x14ac:dyDescent="0.25">
      <c r="A980" s="6">
        <v>11</v>
      </c>
      <c r="B980" s="6">
        <v>2025</v>
      </c>
      <c r="C980" s="7">
        <v>45790</v>
      </c>
      <c r="D980" s="6" t="s">
        <v>83</v>
      </c>
      <c r="E980" s="6" t="s">
        <v>75</v>
      </c>
      <c r="F980" s="6">
        <v>1</v>
      </c>
      <c r="G980" s="6" t="s">
        <v>63</v>
      </c>
      <c r="H980" s="6">
        <v>2</v>
      </c>
      <c r="I980" s="6">
        <v>3</v>
      </c>
      <c r="J980" s="6">
        <v>1.5</v>
      </c>
      <c r="K980" s="6" t="s">
        <v>52</v>
      </c>
      <c r="L980" s="6" t="str">
        <f>VLOOKUP(K980, 'Alphabetical by species code'!A:B, 2, FALSE)</f>
        <v>Rock</v>
      </c>
      <c r="M980" s="6" t="str">
        <f>VLOOKUP(L980, 'Alphabetical by species code'!B:C, 2, FALSE)</f>
        <v>Ground Cover</v>
      </c>
    </row>
    <row r="981" spans="1:13" x14ac:dyDescent="0.25">
      <c r="A981" s="6">
        <v>11</v>
      </c>
      <c r="B981" s="6">
        <v>2025</v>
      </c>
      <c r="C981" s="7">
        <v>45790</v>
      </c>
      <c r="D981" s="6" t="s">
        <v>83</v>
      </c>
      <c r="E981" s="6" t="s">
        <v>75</v>
      </c>
      <c r="F981" s="6">
        <v>1</v>
      </c>
      <c r="G981" s="6" t="s">
        <v>63</v>
      </c>
      <c r="H981" s="6">
        <v>2</v>
      </c>
      <c r="I981" s="6">
        <v>4</v>
      </c>
      <c r="J981" s="6">
        <v>2</v>
      </c>
      <c r="K981" s="6" t="s">
        <v>28</v>
      </c>
      <c r="L981" s="6" t="str">
        <f>VLOOKUP(K981, 'Alphabetical by species code'!A:B, 2, FALSE)</f>
        <v>Litter</v>
      </c>
      <c r="M981" s="6" t="str">
        <f>VLOOKUP(L981, 'Alphabetical by species code'!B:C, 2, FALSE)</f>
        <v>Ground Cover</v>
      </c>
    </row>
    <row r="982" spans="1:13" x14ac:dyDescent="0.25">
      <c r="A982" s="6">
        <v>11</v>
      </c>
      <c r="B982" s="6">
        <v>2025</v>
      </c>
      <c r="C982" s="7">
        <v>45790</v>
      </c>
      <c r="D982" s="6" t="s">
        <v>83</v>
      </c>
      <c r="E982" s="6" t="s">
        <v>75</v>
      </c>
      <c r="F982" s="6">
        <v>1</v>
      </c>
      <c r="G982" s="6" t="s">
        <v>63</v>
      </c>
      <c r="H982" s="6">
        <v>2</v>
      </c>
      <c r="I982" s="6">
        <v>5</v>
      </c>
      <c r="J982" s="6">
        <v>3</v>
      </c>
      <c r="K982" s="6" t="s">
        <v>28</v>
      </c>
      <c r="L982" s="6" t="str">
        <f>VLOOKUP(K982, 'Alphabetical by species code'!A:B, 2, FALSE)</f>
        <v>Litter</v>
      </c>
      <c r="M982" s="6" t="str">
        <f>VLOOKUP(L982, 'Alphabetical by species code'!B:C, 2, FALSE)</f>
        <v>Ground Cover</v>
      </c>
    </row>
    <row r="983" spans="1:13" x14ac:dyDescent="0.25">
      <c r="A983" s="6">
        <v>11</v>
      </c>
      <c r="B983" s="6">
        <v>2025</v>
      </c>
      <c r="C983" s="7">
        <v>45790</v>
      </c>
      <c r="D983" s="6" t="s">
        <v>83</v>
      </c>
      <c r="E983" s="6" t="s">
        <v>75</v>
      </c>
      <c r="F983" s="6">
        <v>1</v>
      </c>
      <c r="G983" s="6" t="s">
        <v>63</v>
      </c>
      <c r="H983" s="6">
        <v>2</v>
      </c>
      <c r="I983" s="6">
        <v>5</v>
      </c>
      <c r="J983" s="6">
        <v>3</v>
      </c>
      <c r="K983" s="6" t="s">
        <v>35</v>
      </c>
      <c r="L983" s="6" t="str">
        <f>VLOOKUP(K983, 'Alphabetical by species code'!A:B, 2, FALSE)</f>
        <v>Deinandra fasciculata</v>
      </c>
      <c r="M983" s="6" t="str">
        <f>VLOOKUP(L983, 'Alphabetical by species code'!B:C, 2, FALSE)</f>
        <v>Native</v>
      </c>
    </row>
    <row r="984" spans="1:13" x14ac:dyDescent="0.25">
      <c r="A984" s="6">
        <v>11</v>
      </c>
      <c r="B984" s="6">
        <v>2025</v>
      </c>
      <c r="C984" s="7">
        <v>45790</v>
      </c>
      <c r="D984" s="6" t="s">
        <v>83</v>
      </c>
      <c r="E984" s="6" t="s">
        <v>75</v>
      </c>
      <c r="F984" s="6">
        <v>1</v>
      </c>
      <c r="G984" s="6" t="s">
        <v>63</v>
      </c>
      <c r="H984" s="6">
        <v>2</v>
      </c>
      <c r="I984" s="6">
        <v>5</v>
      </c>
      <c r="J984" s="6">
        <v>3</v>
      </c>
      <c r="K984" s="6" t="s">
        <v>31</v>
      </c>
      <c r="L984" s="6" t="str">
        <f>VLOOKUP(K984, 'Alphabetical by species code'!A:B, 2, FALSE)</f>
        <v>Festuca myuros</v>
      </c>
      <c r="M984" s="6" t="str">
        <f>VLOOKUP(L984, 'Alphabetical by species code'!B:C, 2, FALSE)</f>
        <v>Non-Native</v>
      </c>
    </row>
    <row r="985" spans="1:13" x14ac:dyDescent="0.25">
      <c r="A985" s="6">
        <v>11</v>
      </c>
      <c r="B985" s="6">
        <v>2025</v>
      </c>
      <c r="C985" s="7">
        <v>45790</v>
      </c>
      <c r="D985" s="6" t="s">
        <v>83</v>
      </c>
      <c r="E985" s="6" t="s">
        <v>75</v>
      </c>
      <c r="F985" s="6">
        <v>1</v>
      </c>
      <c r="G985" s="6" t="s">
        <v>63</v>
      </c>
      <c r="H985" s="6">
        <v>2</v>
      </c>
      <c r="I985" s="6">
        <v>6</v>
      </c>
      <c r="J985" s="6">
        <v>3.5</v>
      </c>
      <c r="K985" s="6" t="s">
        <v>28</v>
      </c>
      <c r="L985" s="6" t="str">
        <f>VLOOKUP(K985, 'Alphabetical by species code'!A:B, 2, FALSE)</f>
        <v>Litter</v>
      </c>
      <c r="M985" s="6" t="str">
        <f>VLOOKUP(L985, 'Alphabetical by species code'!B:C, 2, FALSE)</f>
        <v>Ground Cover</v>
      </c>
    </row>
    <row r="986" spans="1:13" x14ac:dyDescent="0.25">
      <c r="A986" s="6">
        <v>11</v>
      </c>
      <c r="B986" s="6">
        <v>2025</v>
      </c>
      <c r="C986" s="7">
        <v>45790</v>
      </c>
      <c r="D986" s="6" t="s">
        <v>83</v>
      </c>
      <c r="E986" s="6" t="s">
        <v>75</v>
      </c>
      <c r="F986" s="6">
        <v>1</v>
      </c>
      <c r="G986" s="6" t="s">
        <v>63</v>
      </c>
      <c r="H986" s="6">
        <v>2</v>
      </c>
      <c r="I986" s="6">
        <v>6</v>
      </c>
      <c r="J986" s="6">
        <v>3.5</v>
      </c>
      <c r="K986" s="6" t="s">
        <v>31</v>
      </c>
      <c r="L986" s="6" t="str">
        <f>VLOOKUP(K986, 'Alphabetical by species code'!A:B, 2, FALSE)</f>
        <v>Festuca myuros</v>
      </c>
      <c r="M986" s="6" t="str">
        <f>VLOOKUP(L986, 'Alphabetical by species code'!B:C, 2, FALSE)</f>
        <v>Non-Native</v>
      </c>
    </row>
    <row r="987" spans="1:13" x14ac:dyDescent="0.25">
      <c r="A987" s="6">
        <v>11</v>
      </c>
      <c r="B987" s="6">
        <v>2025</v>
      </c>
      <c r="C987" s="7">
        <v>45790</v>
      </c>
      <c r="D987" s="6" t="s">
        <v>83</v>
      </c>
      <c r="E987" s="6" t="s">
        <v>75</v>
      </c>
      <c r="F987" s="6">
        <v>1</v>
      </c>
      <c r="G987" s="6" t="s">
        <v>63</v>
      </c>
      <c r="H987" s="6">
        <v>2</v>
      </c>
      <c r="I987" s="6">
        <v>7</v>
      </c>
      <c r="J987" s="6">
        <v>4</v>
      </c>
      <c r="K987" s="6" t="s">
        <v>28</v>
      </c>
      <c r="L987" s="6" t="str">
        <f>VLOOKUP(K987, 'Alphabetical by species code'!A:B, 2, FALSE)</f>
        <v>Litter</v>
      </c>
      <c r="M987" s="6" t="str">
        <f>VLOOKUP(L987, 'Alphabetical by species code'!B:C, 2, FALSE)</f>
        <v>Ground Cover</v>
      </c>
    </row>
    <row r="988" spans="1:13" x14ac:dyDescent="0.25">
      <c r="A988" s="6">
        <v>11</v>
      </c>
      <c r="B988" s="6">
        <v>2025</v>
      </c>
      <c r="C988" s="7">
        <v>45790</v>
      </c>
      <c r="D988" s="6" t="s">
        <v>83</v>
      </c>
      <c r="E988" s="6" t="s">
        <v>75</v>
      </c>
      <c r="F988" s="6">
        <v>1</v>
      </c>
      <c r="G988" s="6" t="s">
        <v>63</v>
      </c>
      <c r="H988" s="6">
        <v>2</v>
      </c>
      <c r="I988" s="6">
        <v>7</v>
      </c>
      <c r="J988" s="6">
        <v>4</v>
      </c>
      <c r="K988" s="6" t="s">
        <v>36</v>
      </c>
      <c r="L988" s="6" t="str">
        <f>VLOOKUP(K988, 'Alphabetical by species code'!A:B, 2, FALSE)</f>
        <v>Bromus madritensis</v>
      </c>
      <c r="M988" s="6" t="str">
        <f>VLOOKUP(L988, 'Alphabetical by species code'!B:C, 2, FALSE)</f>
        <v>Non-Native</v>
      </c>
    </row>
    <row r="989" spans="1:13" x14ac:dyDescent="0.25">
      <c r="A989" s="6">
        <v>11</v>
      </c>
      <c r="B989" s="6">
        <v>2025</v>
      </c>
      <c r="C989" s="7">
        <v>45790</v>
      </c>
      <c r="D989" s="6" t="s">
        <v>83</v>
      </c>
      <c r="E989" s="6" t="s">
        <v>75</v>
      </c>
      <c r="F989" s="6">
        <v>1</v>
      </c>
      <c r="G989" s="6" t="s">
        <v>63</v>
      </c>
      <c r="H989" s="6">
        <v>2</v>
      </c>
      <c r="I989" s="6">
        <v>8</v>
      </c>
      <c r="J989" s="6">
        <v>5</v>
      </c>
      <c r="K989" s="6" t="s">
        <v>28</v>
      </c>
      <c r="L989" s="6" t="str">
        <f>VLOOKUP(K989, 'Alphabetical by species code'!A:B, 2, FALSE)</f>
        <v>Litter</v>
      </c>
      <c r="M989" s="6" t="str">
        <f>VLOOKUP(L989, 'Alphabetical by species code'!B:C, 2, FALSE)</f>
        <v>Ground Cover</v>
      </c>
    </row>
    <row r="990" spans="1:13" x14ac:dyDescent="0.25">
      <c r="A990" s="6">
        <v>11</v>
      </c>
      <c r="B990" s="6">
        <v>2025</v>
      </c>
      <c r="C990" s="7">
        <v>45790</v>
      </c>
      <c r="D990" s="6" t="s">
        <v>83</v>
      </c>
      <c r="E990" s="6" t="s">
        <v>75</v>
      </c>
      <c r="F990" s="6">
        <v>1</v>
      </c>
      <c r="G990" s="6" t="s">
        <v>63</v>
      </c>
      <c r="H990" s="6">
        <v>2</v>
      </c>
      <c r="I990" s="6">
        <v>8</v>
      </c>
      <c r="J990" s="6">
        <v>5</v>
      </c>
      <c r="K990" s="6" t="s">
        <v>35</v>
      </c>
      <c r="L990" s="6" t="str">
        <f>VLOOKUP(K990, 'Alphabetical by species code'!A:B, 2, FALSE)</f>
        <v>Deinandra fasciculata</v>
      </c>
      <c r="M990" s="6" t="str">
        <f>VLOOKUP(L990, 'Alphabetical by species code'!B:C, 2, FALSE)</f>
        <v>Native</v>
      </c>
    </row>
    <row r="991" spans="1:13" x14ac:dyDescent="0.25">
      <c r="A991" s="6">
        <v>11</v>
      </c>
      <c r="B991" s="6">
        <v>2025</v>
      </c>
      <c r="C991" s="7">
        <v>45790</v>
      </c>
      <c r="D991" s="6" t="s">
        <v>83</v>
      </c>
      <c r="E991" s="6" t="s">
        <v>75</v>
      </c>
      <c r="F991" s="6">
        <v>1</v>
      </c>
      <c r="G991" s="6" t="s">
        <v>63</v>
      </c>
      <c r="H991" s="6">
        <v>2</v>
      </c>
      <c r="I991" s="6">
        <v>8</v>
      </c>
      <c r="J991" s="6">
        <v>5</v>
      </c>
      <c r="K991" s="6" t="s">
        <v>36</v>
      </c>
      <c r="L991" s="6" t="str">
        <f>VLOOKUP(K991, 'Alphabetical by species code'!A:B, 2, FALSE)</f>
        <v>Bromus madritensis</v>
      </c>
      <c r="M991" s="6" t="str">
        <f>VLOOKUP(L991, 'Alphabetical by species code'!B:C, 2, FALSE)</f>
        <v>Non-Native</v>
      </c>
    </row>
    <row r="992" spans="1:13" x14ac:dyDescent="0.25">
      <c r="A992" s="6">
        <v>11</v>
      </c>
      <c r="B992" s="6">
        <v>2025</v>
      </c>
      <c r="C992" s="7">
        <v>45790</v>
      </c>
      <c r="D992" s="6" t="s">
        <v>83</v>
      </c>
      <c r="E992" s="6" t="s">
        <v>75</v>
      </c>
      <c r="F992" s="6">
        <v>1</v>
      </c>
      <c r="G992" s="6" t="s">
        <v>63</v>
      </c>
      <c r="H992" s="6">
        <v>2</v>
      </c>
      <c r="I992" s="6">
        <v>9</v>
      </c>
      <c r="J992" s="6">
        <v>7</v>
      </c>
      <c r="K992" s="6" t="s">
        <v>28</v>
      </c>
      <c r="L992" s="6" t="str">
        <f>VLOOKUP(K992, 'Alphabetical by species code'!A:B, 2, FALSE)</f>
        <v>Litter</v>
      </c>
      <c r="M992" s="6" t="str">
        <f>VLOOKUP(L992, 'Alphabetical by species code'!B:C, 2, FALSE)</f>
        <v>Ground Cover</v>
      </c>
    </row>
    <row r="993" spans="1:13" x14ac:dyDescent="0.25">
      <c r="A993" s="6">
        <v>11</v>
      </c>
      <c r="B993" s="6">
        <v>2025</v>
      </c>
      <c r="C993" s="7">
        <v>45790</v>
      </c>
      <c r="D993" s="6" t="s">
        <v>83</v>
      </c>
      <c r="E993" s="6" t="s">
        <v>75</v>
      </c>
      <c r="F993" s="6">
        <v>1</v>
      </c>
      <c r="G993" s="6" t="s">
        <v>63</v>
      </c>
      <c r="H993" s="6">
        <v>2</v>
      </c>
      <c r="I993" s="6">
        <v>9</v>
      </c>
      <c r="J993" s="6">
        <v>7</v>
      </c>
      <c r="K993" s="6" t="s">
        <v>35</v>
      </c>
      <c r="L993" s="6" t="str">
        <f>VLOOKUP(K993, 'Alphabetical by species code'!A:B, 2, FALSE)</f>
        <v>Deinandra fasciculata</v>
      </c>
      <c r="M993" s="6" t="str">
        <f>VLOOKUP(L993, 'Alphabetical by species code'!B:C, 2, FALSE)</f>
        <v>Native</v>
      </c>
    </row>
    <row r="994" spans="1:13" x14ac:dyDescent="0.25">
      <c r="A994" s="6">
        <v>11</v>
      </c>
      <c r="B994" s="6">
        <v>2025</v>
      </c>
      <c r="C994" s="7">
        <v>45790</v>
      </c>
      <c r="D994" s="6" t="s">
        <v>83</v>
      </c>
      <c r="E994" s="6" t="s">
        <v>75</v>
      </c>
      <c r="F994" s="6">
        <v>1</v>
      </c>
      <c r="G994" s="6" t="s">
        <v>63</v>
      </c>
      <c r="H994" s="6">
        <v>2</v>
      </c>
      <c r="I994" s="6">
        <v>9</v>
      </c>
      <c r="J994" s="6">
        <v>7</v>
      </c>
      <c r="K994" s="6" t="s">
        <v>47</v>
      </c>
      <c r="L994" s="6" t="str">
        <f>VLOOKUP(K994, 'Alphabetical by species code'!A:B, 2, FALSE)</f>
        <v>Sonchus species</v>
      </c>
      <c r="M994" s="6" t="str">
        <f>VLOOKUP(L994, 'Alphabetical by species code'!B:C, 2, FALSE)</f>
        <v>Non-Native</v>
      </c>
    </row>
    <row r="995" spans="1:13" x14ac:dyDescent="0.25">
      <c r="A995" s="6">
        <v>11</v>
      </c>
      <c r="B995" s="6">
        <v>2025</v>
      </c>
      <c r="C995" s="7">
        <v>45790</v>
      </c>
      <c r="D995" s="6" t="s">
        <v>83</v>
      </c>
      <c r="E995" s="6" t="s">
        <v>75</v>
      </c>
      <c r="F995" s="6">
        <v>1</v>
      </c>
      <c r="G995" s="6" t="s">
        <v>63</v>
      </c>
      <c r="H995" s="6">
        <v>2</v>
      </c>
      <c r="I995" s="6">
        <v>9</v>
      </c>
      <c r="J995" s="6">
        <v>7</v>
      </c>
      <c r="K995" s="6" t="s">
        <v>84</v>
      </c>
      <c r="L995" s="6" t="str">
        <f>VLOOKUP(K995, 'Alphabetical by species code'!A:B, 2, FALSE)</f>
        <v>Bromus diandrus</v>
      </c>
      <c r="M995" s="6" t="str">
        <f>VLOOKUP(L995, 'Alphabetical by species code'!B:C, 2, FALSE)</f>
        <v>Non-Native</v>
      </c>
    </row>
    <row r="996" spans="1:13" x14ac:dyDescent="0.25">
      <c r="A996" s="6">
        <v>11</v>
      </c>
      <c r="B996" s="6">
        <v>2025</v>
      </c>
      <c r="C996" s="7">
        <v>45790</v>
      </c>
      <c r="D996" s="6" t="s">
        <v>83</v>
      </c>
      <c r="E996" s="6" t="s">
        <v>75</v>
      </c>
      <c r="F996" s="6">
        <v>1</v>
      </c>
      <c r="G996" s="6" t="s">
        <v>63</v>
      </c>
      <c r="H996" s="6">
        <v>2</v>
      </c>
      <c r="I996" s="6">
        <v>10</v>
      </c>
      <c r="J996" s="6">
        <v>8</v>
      </c>
      <c r="K996" s="6" t="s">
        <v>28</v>
      </c>
      <c r="L996" s="6" t="str">
        <f>VLOOKUP(K996, 'Alphabetical by species code'!A:B, 2, FALSE)</f>
        <v>Litter</v>
      </c>
      <c r="M996" s="6" t="str">
        <f>VLOOKUP(L996, 'Alphabetical by species code'!B:C, 2, FALSE)</f>
        <v>Ground Cover</v>
      </c>
    </row>
    <row r="997" spans="1:13" x14ac:dyDescent="0.25">
      <c r="A997" s="6">
        <v>11</v>
      </c>
      <c r="B997" s="6">
        <v>2025</v>
      </c>
      <c r="C997" s="7">
        <v>45790</v>
      </c>
      <c r="D997" s="6" t="s">
        <v>83</v>
      </c>
      <c r="E997" s="6" t="s">
        <v>75</v>
      </c>
      <c r="F997" s="6">
        <v>1</v>
      </c>
      <c r="G997" s="6" t="s">
        <v>63</v>
      </c>
      <c r="H997" s="6">
        <v>2</v>
      </c>
      <c r="I997" s="6">
        <v>10</v>
      </c>
      <c r="J997" s="6">
        <v>8</v>
      </c>
      <c r="K997" s="6" t="s">
        <v>35</v>
      </c>
      <c r="L997" s="6" t="str">
        <f>VLOOKUP(K997, 'Alphabetical by species code'!A:B, 2, FALSE)</f>
        <v>Deinandra fasciculata</v>
      </c>
      <c r="M997" s="6" t="str">
        <f>VLOOKUP(L997, 'Alphabetical by species code'!B:C, 2, FALSE)</f>
        <v>Native</v>
      </c>
    </row>
    <row r="998" spans="1:13" x14ac:dyDescent="0.25">
      <c r="A998" s="6">
        <v>11</v>
      </c>
      <c r="B998" s="6">
        <v>2025</v>
      </c>
      <c r="C998" s="7">
        <v>45790</v>
      </c>
      <c r="D998" s="6" t="s">
        <v>83</v>
      </c>
      <c r="E998" s="6" t="s">
        <v>75</v>
      </c>
      <c r="F998" s="6">
        <v>1</v>
      </c>
      <c r="G998" s="6" t="s">
        <v>63</v>
      </c>
      <c r="H998" s="6">
        <v>2</v>
      </c>
      <c r="I998" s="6">
        <v>10</v>
      </c>
      <c r="J998" s="6">
        <v>8</v>
      </c>
      <c r="K998" s="6" t="s">
        <v>31</v>
      </c>
      <c r="L998" s="6" t="str">
        <f>VLOOKUP(K998, 'Alphabetical by species code'!A:B, 2, FALSE)</f>
        <v>Festuca myuros</v>
      </c>
      <c r="M998" s="6" t="str">
        <f>VLOOKUP(L998, 'Alphabetical by species code'!B:C, 2, FALSE)</f>
        <v>Non-Native</v>
      </c>
    </row>
    <row r="999" spans="1:13" x14ac:dyDescent="0.25">
      <c r="A999" s="6">
        <v>11</v>
      </c>
      <c r="B999" s="6">
        <v>2025</v>
      </c>
      <c r="C999" s="7">
        <v>45790</v>
      </c>
      <c r="D999" s="6" t="s">
        <v>83</v>
      </c>
      <c r="E999" s="6" t="s">
        <v>75</v>
      </c>
      <c r="F999" s="6">
        <v>1</v>
      </c>
      <c r="G999" s="6" t="s">
        <v>63</v>
      </c>
      <c r="H999" s="6">
        <v>2</v>
      </c>
      <c r="I999" s="6">
        <v>11</v>
      </c>
      <c r="J999" s="6">
        <v>8.5</v>
      </c>
      <c r="K999" s="6" t="s">
        <v>28</v>
      </c>
      <c r="L999" s="6" t="str">
        <f>VLOOKUP(K999, 'Alphabetical by species code'!A:B, 2, FALSE)</f>
        <v>Litter</v>
      </c>
      <c r="M999" s="6" t="str">
        <f>VLOOKUP(L999, 'Alphabetical by species code'!B:C, 2, FALSE)</f>
        <v>Ground Cover</v>
      </c>
    </row>
    <row r="1000" spans="1:13" x14ac:dyDescent="0.25">
      <c r="A1000" s="6">
        <v>11</v>
      </c>
      <c r="B1000" s="6">
        <v>2025</v>
      </c>
      <c r="C1000" s="7">
        <v>45790</v>
      </c>
      <c r="D1000" s="6" t="s">
        <v>83</v>
      </c>
      <c r="E1000" s="6" t="s">
        <v>75</v>
      </c>
      <c r="F1000" s="6">
        <v>1</v>
      </c>
      <c r="G1000" s="6" t="s">
        <v>63</v>
      </c>
      <c r="H1000" s="6">
        <v>2</v>
      </c>
      <c r="I1000" s="6">
        <v>11</v>
      </c>
      <c r="J1000" s="6">
        <v>8.5</v>
      </c>
      <c r="K1000" s="6" t="s">
        <v>64</v>
      </c>
      <c r="L1000" s="6" t="str">
        <f>VLOOKUP(K1000, 'Alphabetical by species code'!A:B, 2, FALSE)</f>
        <v>Brassica nigra</v>
      </c>
      <c r="M1000" s="6" t="str">
        <f>VLOOKUP(L1000, 'Alphabetical by species code'!B:C, 2, FALSE)</f>
        <v>Non-Native</v>
      </c>
    </row>
    <row r="1001" spans="1:13" x14ac:dyDescent="0.25">
      <c r="A1001" s="6">
        <v>11</v>
      </c>
      <c r="B1001" s="6">
        <v>2025</v>
      </c>
      <c r="C1001" s="7">
        <v>45790</v>
      </c>
      <c r="D1001" s="6" t="s">
        <v>83</v>
      </c>
      <c r="E1001" s="6" t="s">
        <v>75</v>
      </c>
      <c r="F1001" s="6">
        <v>1</v>
      </c>
      <c r="G1001" s="6" t="s">
        <v>63</v>
      </c>
      <c r="H1001" s="6">
        <v>2</v>
      </c>
      <c r="I1001" s="6">
        <v>11</v>
      </c>
      <c r="J1001" s="6">
        <v>8.5</v>
      </c>
      <c r="K1001" s="6" t="s">
        <v>35</v>
      </c>
      <c r="L1001" s="6" t="str">
        <f>VLOOKUP(K1001, 'Alphabetical by species code'!A:B, 2, FALSE)</f>
        <v>Deinandra fasciculata</v>
      </c>
      <c r="M1001" s="6" t="str">
        <f>VLOOKUP(L1001, 'Alphabetical by species code'!B:C, 2, FALSE)</f>
        <v>Native</v>
      </c>
    </row>
    <row r="1002" spans="1:13" x14ac:dyDescent="0.25">
      <c r="A1002" s="6">
        <v>11</v>
      </c>
      <c r="B1002" s="6">
        <v>2025</v>
      </c>
      <c r="C1002" s="7">
        <v>45790</v>
      </c>
      <c r="D1002" s="6" t="s">
        <v>83</v>
      </c>
      <c r="E1002" s="6" t="s">
        <v>75</v>
      </c>
      <c r="F1002" s="6">
        <v>1</v>
      </c>
      <c r="G1002" s="6" t="s">
        <v>63</v>
      </c>
      <c r="H1002" s="6">
        <v>2</v>
      </c>
      <c r="I1002" s="6">
        <v>12</v>
      </c>
      <c r="J1002" s="6">
        <v>9</v>
      </c>
      <c r="K1002" s="6" t="s">
        <v>28</v>
      </c>
      <c r="L1002" s="6" t="str">
        <f>VLOOKUP(K1002, 'Alphabetical by species code'!A:B, 2, FALSE)</f>
        <v>Litter</v>
      </c>
      <c r="M1002" s="6" t="str">
        <f>VLOOKUP(L1002, 'Alphabetical by species code'!B:C, 2, FALSE)</f>
        <v>Ground Cover</v>
      </c>
    </row>
    <row r="1003" spans="1:13" x14ac:dyDescent="0.25">
      <c r="A1003" s="6">
        <v>11</v>
      </c>
      <c r="B1003" s="6">
        <v>2025</v>
      </c>
      <c r="C1003" s="7">
        <v>45790</v>
      </c>
      <c r="D1003" s="6" t="s">
        <v>83</v>
      </c>
      <c r="E1003" s="6" t="s">
        <v>75</v>
      </c>
      <c r="F1003" s="6">
        <v>1</v>
      </c>
      <c r="G1003" s="6" t="s">
        <v>63</v>
      </c>
      <c r="H1003" s="6">
        <v>2</v>
      </c>
      <c r="I1003" s="6">
        <v>12</v>
      </c>
      <c r="J1003" s="6">
        <v>9</v>
      </c>
      <c r="K1003" s="6" t="s">
        <v>35</v>
      </c>
      <c r="L1003" s="6" t="str">
        <f>VLOOKUP(K1003, 'Alphabetical by species code'!A:B, 2, FALSE)</f>
        <v>Deinandra fasciculata</v>
      </c>
      <c r="M1003" s="6" t="str">
        <f>VLOOKUP(L1003, 'Alphabetical by species code'!B:C, 2, FALSE)</f>
        <v>Native</v>
      </c>
    </row>
    <row r="1004" spans="1:13" x14ac:dyDescent="0.25">
      <c r="A1004" s="6">
        <v>11</v>
      </c>
      <c r="B1004" s="6">
        <v>2025</v>
      </c>
      <c r="C1004" s="7">
        <v>45790</v>
      </c>
      <c r="D1004" s="6" t="s">
        <v>83</v>
      </c>
      <c r="E1004" s="6" t="s">
        <v>75</v>
      </c>
      <c r="F1004" s="6">
        <v>1</v>
      </c>
      <c r="G1004" s="6" t="s">
        <v>63</v>
      </c>
      <c r="H1004" s="6">
        <v>2</v>
      </c>
      <c r="I1004" s="6">
        <v>12</v>
      </c>
      <c r="J1004" s="6">
        <v>9</v>
      </c>
      <c r="K1004" s="6" t="s">
        <v>47</v>
      </c>
      <c r="L1004" s="6" t="str">
        <f>VLOOKUP(K1004, 'Alphabetical by species code'!A:B, 2, FALSE)</f>
        <v>Sonchus species</v>
      </c>
      <c r="M1004" s="6" t="str">
        <f>VLOOKUP(L1004, 'Alphabetical by species code'!B:C, 2, FALSE)</f>
        <v>Non-Native</v>
      </c>
    </row>
    <row r="1005" spans="1:13" x14ac:dyDescent="0.25">
      <c r="A1005" s="6">
        <v>11</v>
      </c>
      <c r="B1005" s="6">
        <v>2025</v>
      </c>
      <c r="C1005" s="7">
        <v>45790</v>
      </c>
      <c r="D1005" s="6" t="s">
        <v>83</v>
      </c>
      <c r="E1005" s="6" t="s">
        <v>75</v>
      </c>
      <c r="F1005" s="6">
        <v>1</v>
      </c>
      <c r="G1005" s="6" t="s">
        <v>63</v>
      </c>
      <c r="H1005" s="6">
        <v>2</v>
      </c>
      <c r="I1005" s="6">
        <v>13</v>
      </c>
      <c r="J1005" s="6">
        <v>10</v>
      </c>
      <c r="K1005" s="6" t="s">
        <v>28</v>
      </c>
      <c r="L1005" s="6" t="str">
        <f>VLOOKUP(K1005, 'Alphabetical by species code'!A:B, 2, FALSE)</f>
        <v>Litter</v>
      </c>
      <c r="M1005" s="6" t="str">
        <f>VLOOKUP(L1005, 'Alphabetical by species code'!B:C, 2, FALSE)</f>
        <v>Ground Cover</v>
      </c>
    </row>
    <row r="1006" spans="1:13" x14ac:dyDescent="0.25">
      <c r="A1006" s="6">
        <v>11</v>
      </c>
      <c r="B1006" s="6">
        <v>2025</v>
      </c>
      <c r="C1006" s="7">
        <v>45790</v>
      </c>
      <c r="D1006" s="6" t="s">
        <v>83</v>
      </c>
      <c r="E1006" s="6" t="s">
        <v>75</v>
      </c>
      <c r="F1006" s="6">
        <v>1</v>
      </c>
      <c r="G1006" s="6" t="s">
        <v>63</v>
      </c>
      <c r="H1006" s="6">
        <v>2</v>
      </c>
      <c r="I1006" s="6">
        <v>13</v>
      </c>
      <c r="J1006" s="6">
        <v>10</v>
      </c>
      <c r="K1006" s="6" t="s">
        <v>64</v>
      </c>
      <c r="L1006" s="6" t="str">
        <f>VLOOKUP(K1006, 'Alphabetical by species code'!A:B, 2, FALSE)</f>
        <v>Brassica nigra</v>
      </c>
      <c r="M1006" s="6" t="str">
        <f>VLOOKUP(L1006, 'Alphabetical by species code'!B:C, 2, FALSE)</f>
        <v>Non-Native</v>
      </c>
    </row>
    <row r="1007" spans="1:13" x14ac:dyDescent="0.25">
      <c r="A1007" s="6">
        <v>11</v>
      </c>
      <c r="B1007" s="6">
        <v>2025</v>
      </c>
      <c r="C1007" s="7">
        <v>45790</v>
      </c>
      <c r="D1007" s="6" t="s">
        <v>83</v>
      </c>
      <c r="E1007" s="6" t="s">
        <v>75</v>
      </c>
      <c r="F1007" s="6">
        <v>1</v>
      </c>
      <c r="G1007" s="6" t="s">
        <v>63</v>
      </c>
      <c r="H1007" s="6">
        <v>2</v>
      </c>
      <c r="I1007" s="6">
        <v>14</v>
      </c>
      <c r="J1007" s="6">
        <v>11</v>
      </c>
      <c r="K1007" s="6" t="s">
        <v>28</v>
      </c>
      <c r="L1007" s="6" t="str">
        <f>VLOOKUP(K1007, 'Alphabetical by species code'!A:B, 2, FALSE)</f>
        <v>Litter</v>
      </c>
      <c r="M1007" s="6" t="str">
        <f>VLOOKUP(L1007, 'Alphabetical by species code'!B:C, 2, FALSE)</f>
        <v>Ground Cover</v>
      </c>
    </row>
    <row r="1008" spans="1:13" x14ac:dyDescent="0.25">
      <c r="A1008" s="6">
        <v>11</v>
      </c>
      <c r="B1008" s="6">
        <v>2025</v>
      </c>
      <c r="C1008" s="7">
        <v>45790</v>
      </c>
      <c r="D1008" s="6" t="s">
        <v>83</v>
      </c>
      <c r="E1008" s="6" t="s">
        <v>75</v>
      </c>
      <c r="F1008" s="6">
        <v>1</v>
      </c>
      <c r="G1008" s="6" t="s">
        <v>63</v>
      </c>
      <c r="H1008" s="6">
        <v>2</v>
      </c>
      <c r="I1008" s="6">
        <v>14</v>
      </c>
      <c r="J1008" s="6">
        <v>11</v>
      </c>
      <c r="K1008" s="6" t="s">
        <v>64</v>
      </c>
      <c r="L1008" s="6" t="str">
        <f>VLOOKUP(K1008, 'Alphabetical by species code'!A:B, 2, FALSE)</f>
        <v>Brassica nigra</v>
      </c>
      <c r="M1008" s="6" t="str">
        <f>VLOOKUP(L1008, 'Alphabetical by species code'!B:C, 2, FALSE)</f>
        <v>Non-Native</v>
      </c>
    </row>
    <row r="1009" spans="1:13" x14ac:dyDescent="0.25">
      <c r="A1009" s="6">
        <v>11</v>
      </c>
      <c r="B1009" s="6">
        <v>2025</v>
      </c>
      <c r="C1009" s="7">
        <v>45790</v>
      </c>
      <c r="D1009" s="6" t="s">
        <v>83</v>
      </c>
      <c r="E1009" s="6" t="s">
        <v>75</v>
      </c>
      <c r="F1009" s="6">
        <v>1</v>
      </c>
      <c r="G1009" s="6" t="s">
        <v>63</v>
      </c>
      <c r="H1009" s="6">
        <v>2</v>
      </c>
      <c r="I1009" s="6">
        <v>14</v>
      </c>
      <c r="J1009" s="6">
        <v>11</v>
      </c>
      <c r="K1009" s="6" t="s">
        <v>35</v>
      </c>
      <c r="L1009" s="6" t="str">
        <f>VLOOKUP(K1009, 'Alphabetical by species code'!A:B, 2, FALSE)</f>
        <v>Deinandra fasciculata</v>
      </c>
      <c r="M1009" s="6" t="str">
        <f>VLOOKUP(L1009, 'Alphabetical by species code'!B:C, 2, FALSE)</f>
        <v>Native</v>
      </c>
    </row>
    <row r="1010" spans="1:13" x14ac:dyDescent="0.25">
      <c r="A1010" s="6">
        <v>11</v>
      </c>
      <c r="B1010" s="6">
        <v>2025</v>
      </c>
      <c r="C1010" s="7">
        <v>45790</v>
      </c>
      <c r="D1010" s="6" t="s">
        <v>83</v>
      </c>
      <c r="E1010" s="6" t="s">
        <v>75</v>
      </c>
      <c r="F1010" s="6">
        <v>1</v>
      </c>
      <c r="G1010" s="6" t="s">
        <v>63</v>
      </c>
      <c r="H1010" s="6">
        <v>2</v>
      </c>
      <c r="I1010" s="6">
        <v>15</v>
      </c>
      <c r="J1010" s="6">
        <v>12</v>
      </c>
      <c r="K1010" s="6" t="s">
        <v>28</v>
      </c>
      <c r="L1010" s="6" t="str">
        <f>VLOOKUP(K1010, 'Alphabetical by species code'!A:B, 2, FALSE)</f>
        <v>Litter</v>
      </c>
      <c r="M1010" s="6" t="str">
        <f>VLOOKUP(L1010, 'Alphabetical by species code'!B:C, 2, FALSE)</f>
        <v>Ground Cover</v>
      </c>
    </row>
    <row r="1011" spans="1:13" x14ac:dyDescent="0.25">
      <c r="A1011" s="6">
        <v>11</v>
      </c>
      <c r="B1011" s="6">
        <v>2025</v>
      </c>
      <c r="C1011" s="7">
        <v>45790</v>
      </c>
      <c r="D1011" s="6" t="s">
        <v>83</v>
      </c>
      <c r="E1011" s="6" t="s">
        <v>75</v>
      </c>
      <c r="F1011" s="6">
        <v>1</v>
      </c>
      <c r="G1011" s="6" t="s">
        <v>63</v>
      </c>
      <c r="H1011" s="6">
        <v>2</v>
      </c>
      <c r="I1011" s="6">
        <v>15</v>
      </c>
      <c r="J1011" s="6">
        <v>12</v>
      </c>
      <c r="K1011" s="6" t="s">
        <v>35</v>
      </c>
      <c r="L1011" s="6" t="str">
        <f>VLOOKUP(K1011, 'Alphabetical by species code'!A:B, 2, FALSE)</f>
        <v>Deinandra fasciculata</v>
      </c>
      <c r="M1011" s="6" t="str">
        <f>VLOOKUP(L1011, 'Alphabetical by species code'!B:C, 2, FALSE)</f>
        <v>Native</v>
      </c>
    </row>
    <row r="1012" spans="1:13" x14ac:dyDescent="0.25">
      <c r="A1012" s="6">
        <v>12</v>
      </c>
      <c r="B1012" s="6">
        <v>2025</v>
      </c>
      <c r="C1012" s="7">
        <v>45790</v>
      </c>
      <c r="D1012" s="6" t="s">
        <v>83</v>
      </c>
      <c r="E1012" s="6" t="s">
        <v>75</v>
      </c>
      <c r="F1012" s="6">
        <v>1</v>
      </c>
      <c r="G1012" s="6" t="s">
        <v>66</v>
      </c>
      <c r="H1012" s="6">
        <v>1</v>
      </c>
      <c r="I1012" s="6">
        <v>1</v>
      </c>
      <c r="J1012" s="6">
        <v>0</v>
      </c>
      <c r="K1012" s="6" t="s">
        <v>28</v>
      </c>
      <c r="L1012" s="6" t="str">
        <f>VLOOKUP(K1012, 'Alphabetical by species code'!A:B, 2, FALSE)</f>
        <v>Litter</v>
      </c>
      <c r="M1012" s="6" t="str">
        <f>VLOOKUP(L1012, 'Alphabetical by species code'!B:C, 2, FALSE)</f>
        <v>Ground Cover</v>
      </c>
    </row>
    <row r="1013" spans="1:13" x14ac:dyDescent="0.25">
      <c r="A1013" s="6">
        <v>12</v>
      </c>
      <c r="B1013" s="6">
        <v>2025</v>
      </c>
      <c r="C1013" s="7">
        <v>45790</v>
      </c>
      <c r="D1013" s="6" t="s">
        <v>83</v>
      </c>
      <c r="E1013" s="6" t="s">
        <v>75</v>
      </c>
      <c r="F1013" s="6">
        <v>1</v>
      </c>
      <c r="G1013" s="6" t="s">
        <v>66</v>
      </c>
      <c r="H1013" s="6">
        <v>1</v>
      </c>
      <c r="I1013" s="6">
        <v>1</v>
      </c>
      <c r="J1013" s="6">
        <v>0</v>
      </c>
      <c r="K1013" s="6" t="s">
        <v>64</v>
      </c>
      <c r="L1013" s="6" t="str">
        <f>VLOOKUP(K1013, 'Alphabetical by species code'!A:B, 2, FALSE)</f>
        <v>Brassica nigra</v>
      </c>
      <c r="M1013" s="6" t="str">
        <f>VLOOKUP(L1013, 'Alphabetical by species code'!B:C, 2, FALSE)</f>
        <v>Non-Native</v>
      </c>
    </row>
    <row r="1014" spans="1:13" x14ac:dyDescent="0.25">
      <c r="A1014" s="6">
        <v>12</v>
      </c>
      <c r="B1014" s="6">
        <v>2025</v>
      </c>
      <c r="C1014" s="7">
        <v>45790</v>
      </c>
      <c r="D1014" s="6" t="s">
        <v>83</v>
      </c>
      <c r="E1014" s="6" t="s">
        <v>75</v>
      </c>
      <c r="F1014" s="6">
        <v>1</v>
      </c>
      <c r="G1014" s="6" t="s">
        <v>66</v>
      </c>
      <c r="H1014" s="6">
        <v>1</v>
      </c>
      <c r="I1014" s="6">
        <v>2</v>
      </c>
      <c r="J1014" s="6">
        <v>1</v>
      </c>
      <c r="K1014" s="6" t="s">
        <v>28</v>
      </c>
      <c r="L1014" s="6" t="str">
        <f>VLOOKUP(K1014, 'Alphabetical by species code'!A:B, 2, FALSE)</f>
        <v>Litter</v>
      </c>
      <c r="M1014" s="6" t="str">
        <f>VLOOKUP(L1014, 'Alphabetical by species code'!B:C, 2, FALSE)</f>
        <v>Ground Cover</v>
      </c>
    </row>
    <row r="1015" spans="1:13" x14ac:dyDescent="0.25">
      <c r="A1015" s="6">
        <v>12</v>
      </c>
      <c r="B1015" s="6">
        <v>2025</v>
      </c>
      <c r="C1015" s="7">
        <v>45790</v>
      </c>
      <c r="D1015" s="6" t="s">
        <v>83</v>
      </c>
      <c r="E1015" s="6" t="s">
        <v>75</v>
      </c>
      <c r="F1015" s="6">
        <v>1</v>
      </c>
      <c r="G1015" s="6" t="s">
        <v>66</v>
      </c>
      <c r="H1015" s="6">
        <v>1</v>
      </c>
      <c r="I1015" s="6">
        <v>2</v>
      </c>
      <c r="J1015" s="6">
        <v>1</v>
      </c>
      <c r="K1015" s="6" t="s">
        <v>34</v>
      </c>
      <c r="L1015" s="6" t="str">
        <f>VLOOKUP(K1015, 'Alphabetical by species code'!A:B, 2, FALSE)</f>
        <v>Erodium cicutarium</v>
      </c>
      <c r="M1015" s="6" t="str">
        <f>VLOOKUP(L1015, 'Alphabetical by species code'!B:C, 2, FALSE)</f>
        <v>Non-Native</v>
      </c>
    </row>
    <row r="1016" spans="1:13" x14ac:dyDescent="0.25">
      <c r="A1016" s="6">
        <v>12</v>
      </c>
      <c r="B1016" s="6">
        <v>2025</v>
      </c>
      <c r="C1016" s="7">
        <v>45790</v>
      </c>
      <c r="D1016" s="6" t="s">
        <v>83</v>
      </c>
      <c r="E1016" s="6" t="s">
        <v>75</v>
      </c>
      <c r="F1016" s="6">
        <v>1</v>
      </c>
      <c r="G1016" s="6" t="s">
        <v>66</v>
      </c>
      <c r="H1016" s="6">
        <v>1</v>
      </c>
      <c r="I1016" s="6">
        <v>3</v>
      </c>
      <c r="J1016" s="6">
        <v>1.5</v>
      </c>
      <c r="K1016" s="6" t="s">
        <v>28</v>
      </c>
      <c r="L1016" s="6" t="str">
        <f>VLOOKUP(K1016, 'Alphabetical by species code'!A:B, 2, FALSE)</f>
        <v>Litter</v>
      </c>
      <c r="M1016" s="6" t="str">
        <f>VLOOKUP(L1016, 'Alphabetical by species code'!B:C, 2, FALSE)</f>
        <v>Ground Cover</v>
      </c>
    </row>
    <row r="1017" spans="1:13" x14ac:dyDescent="0.25">
      <c r="A1017" s="6">
        <v>12</v>
      </c>
      <c r="B1017" s="6">
        <v>2025</v>
      </c>
      <c r="C1017" s="7">
        <v>45790</v>
      </c>
      <c r="D1017" s="6" t="s">
        <v>83</v>
      </c>
      <c r="E1017" s="6" t="s">
        <v>75</v>
      </c>
      <c r="F1017" s="6">
        <v>1</v>
      </c>
      <c r="G1017" s="6" t="s">
        <v>66</v>
      </c>
      <c r="H1017" s="6">
        <v>1</v>
      </c>
      <c r="I1017" s="6">
        <v>4</v>
      </c>
      <c r="J1017" s="6">
        <v>2</v>
      </c>
      <c r="K1017" s="6" t="s">
        <v>28</v>
      </c>
      <c r="L1017" s="6" t="str">
        <f>VLOOKUP(K1017, 'Alphabetical by species code'!A:B, 2, FALSE)</f>
        <v>Litter</v>
      </c>
      <c r="M1017" s="6" t="str">
        <f>VLOOKUP(L1017, 'Alphabetical by species code'!B:C, 2, FALSE)</f>
        <v>Ground Cover</v>
      </c>
    </row>
    <row r="1018" spans="1:13" x14ac:dyDescent="0.25">
      <c r="A1018" s="6">
        <v>12</v>
      </c>
      <c r="B1018" s="6">
        <v>2025</v>
      </c>
      <c r="C1018" s="7">
        <v>45790</v>
      </c>
      <c r="D1018" s="6" t="s">
        <v>83</v>
      </c>
      <c r="E1018" s="6" t="s">
        <v>75</v>
      </c>
      <c r="F1018" s="6">
        <v>1</v>
      </c>
      <c r="G1018" s="6" t="s">
        <v>66</v>
      </c>
      <c r="H1018" s="6">
        <v>1</v>
      </c>
      <c r="I1018" s="6">
        <v>4</v>
      </c>
      <c r="J1018" s="6">
        <v>2</v>
      </c>
      <c r="K1018" s="6" t="s">
        <v>35</v>
      </c>
      <c r="L1018" s="6" t="str">
        <f>VLOOKUP(K1018, 'Alphabetical by species code'!A:B, 2, FALSE)</f>
        <v>Deinandra fasciculata</v>
      </c>
      <c r="M1018" s="6" t="str">
        <f>VLOOKUP(L1018, 'Alphabetical by species code'!B:C, 2, FALSE)</f>
        <v>Native</v>
      </c>
    </row>
    <row r="1019" spans="1:13" x14ac:dyDescent="0.25">
      <c r="A1019" s="6">
        <v>12</v>
      </c>
      <c r="B1019" s="6">
        <v>2025</v>
      </c>
      <c r="C1019" s="7">
        <v>45790</v>
      </c>
      <c r="D1019" s="6" t="s">
        <v>83</v>
      </c>
      <c r="E1019" s="6" t="s">
        <v>75</v>
      </c>
      <c r="F1019" s="6">
        <v>1</v>
      </c>
      <c r="G1019" s="6" t="s">
        <v>66</v>
      </c>
      <c r="H1019" s="6">
        <v>1</v>
      </c>
      <c r="I1019" s="6">
        <v>5</v>
      </c>
      <c r="J1019" s="6">
        <v>3</v>
      </c>
      <c r="K1019" s="6" t="s">
        <v>28</v>
      </c>
      <c r="L1019" s="6" t="str">
        <f>VLOOKUP(K1019, 'Alphabetical by species code'!A:B, 2, FALSE)</f>
        <v>Litter</v>
      </c>
      <c r="M1019" s="6" t="str">
        <f>VLOOKUP(L1019, 'Alphabetical by species code'!B:C, 2, FALSE)</f>
        <v>Ground Cover</v>
      </c>
    </row>
    <row r="1020" spans="1:13" x14ac:dyDescent="0.25">
      <c r="A1020" s="6">
        <v>12</v>
      </c>
      <c r="B1020" s="6">
        <v>2025</v>
      </c>
      <c r="C1020" s="7">
        <v>45790</v>
      </c>
      <c r="D1020" s="6" t="s">
        <v>83</v>
      </c>
      <c r="E1020" s="6" t="s">
        <v>75</v>
      </c>
      <c r="F1020" s="6">
        <v>1</v>
      </c>
      <c r="G1020" s="6" t="s">
        <v>66</v>
      </c>
      <c r="H1020" s="6">
        <v>1</v>
      </c>
      <c r="I1020" s="6">
        <v>5</v>
      </c>
      <c r="J1020" s="6">
        <v>3</v>
      </c>
      <c r="K1020" s="6" t="s">
        <v>35</v>
      </c>
      <c r="L1020" s="6" t="str">
        <f>VLOOKUP(K1020, 'Alphabetical by species code'!A:B, 2, FALSE)</f>
        <v>Deinandra fasciculata</v>
      </c>
      <c r="M1020" s="6" t="str">
        <f>VLOOKUP(L1020, 'Alphabetical by species code'!B:C, 2, FALSE)</f>
        <v>Native</v>
      </c>
    </row>
    <row r="1021" spans="1:13" x14ac:dyDescent="0.25">
      <c r="A1021" s="6">
        <v>12</v>
      </c>
      <c r="B1021" s="6">
        <v>2025</v>
      </c>
      <c r="C1021" s="7">
        <v>45790</v>
      </c>
      <c r="D1021" s="6" t="s">
        <v>83</v>
      </c>
      <c r="E1021" s="6" t="s">
        <v>75</v>
      </c>
      <c r="F1021" s="6">
        <v>1</v>
      </c>
      <c r="G1021" s="6" t="s">
        <v>66</v>
      </c>
      <c r="H1021" s="6">
        <v>1</v>
      </c>
      <c r="I1021" s="6">
        <v>6</v>
      </c>
      <c r="J1021" s="6">
        <v>3.5</v>
      </c>
      <c r="K1021" s="6" t="s">
        <v>28</v>
      </c>
      <c r="L1021" s="6" t="str">
        <f>VLOOKUP(K1021, 'Alphabetical by species code'!A:B, 2, FALSE)</f>
        <v>Litter</v>
      </c>
      <c r="M1021" s="6" t="str">
        <f>VLOOKUP(L1021, 'Alphabetical by species code'!B:C, 2, FALSE)</f>
        <v>Ground Cover</v>
      </c>
    </row>
    <row r="1022" spans="1:13" x14ac:dyDescent="0.25">
      <c r="A1022" s="6">
        <v>12</v>
      </c>
      <c r="B1022" s="6">
        <v>2025</v>
      </c>
      <c r="C1022" s="7">
        <v>45790</v>
      </c>
      <c r="D1022" s="6" t="s">
        <v>83</v>
      </c>
      <c r="E1022" s="6" t="s">
        <v>75</v>
      </c>
      <c r="F1022" s="6">
        <v>1</v>
      </c>
      <c r="G1022" s="6" t="s">
        <v>66</v>
      </c>
      <c r="H1022" s="6">
        <v>1</v>
      </c>
      <c r="I1022" s="6">
        <v>6</v>
      </c>
      <c r="J1022" s="6">
        <v>3.5</v>
      </c>
      <c r="K1022" s="6" t="s">
        <v>64</v>
      </c>
      <c r="L1022" s="6" t="str">
        <f>VLOOKUP(K1022, 'Alphabetical by species code'!A:B, 2, FALSE)</f>
        <v>Brassica nigra</v>
      </c>
      <c r="M1022" s="6" t="str">
        <f>VLOOKUP(L1022, 'Alphabetical by species code'!B:C, 2, FALSE)</f>
        <v>Non-Native</v>
      </c>
    </row>
    <row r="1023" spans="1:13" x14ac:dyDescent="0.25">
      <c r="A1023" s="6">
        <v>12</v>
      </c>
      <c r="B1023" s="6">
        <v>2025</v>
      </c>
      <c r="C1023" s="7">
        <v>45790</v>
      </c>
      <c r="D1023" s="6" t="s">
        <v>83</v>
      </c>
      <c r="E1023" s="6" t="s">
        <v>75</v>
      </c>
      <c r="F1023" s="6">
        <v>1</v>
      </c>
      <c r="G1023" s="6" t="s">
        <v>66</v>
      </c>
      <c r="H1023" s="6">
        <v>1</v>
      </c>
      <c r="I1023" s="6">
        <v>7</v>
      </c>
      <c r="J1023" s="6">
        <v>4</v>
      </c>
      <c r="K1023" s="6" t="s">
        <v>28</v>
      </c>
      <c r="L1023" s="6" t="str">
        <f>VLOOKUP(K1023, 'Alphabetical by species code'!A:B, 2, FALSE)</f>
        <v>Litter</v>
      </c>
      <c r="M1023" s="6" t="str">
        <f>VLOOKUP(L1023, 'Alphabetical by species code'!B:C, 2, FALSE)</f>
        <v>Ground Cover</v>
      </c>
    </row>
    <row r="1024" spans="1:13" x14ac:dyDescent="0.25">
      <c r="A1024" s="6">
        <v>12</v>
      </c>
      <c r="B1024" s="6">
        <v>2025</v>
      </c>
      <c r="C1024" s="7">
        <v>45790</v>
      </c>
      <c r="D1024" s="6" t="s">
        <v>83</v>
      </c>
      <c r="E1024" s="6" t="s">
        <v>75</v>
      </c>
      <c r="F1024" s="6">
        <v>1</v>
      </c>
      <c r="G1024" s="6" t="s">
        <v>66</v>
      </c>
      <c r="H1024" s="6">
        <v>1</v>
      </c>
      <c r="I1024" s="6">
        <v>7</v>
      </c>
      <c r="J1024" s="6">
        <v>4</v>
      </c>
      <c r="K1024" s="6" t="s">
        <v>35</v>
      </c>
      <c r="L1024" s="6" t="str">
        <f>VLOOKUP(K1024, 'Alphabetical by species code'!A:B, 2, FALSE)</f>
        <v>Deinandra fasciculata</v>
      </c>
      <c r="M1024" s="6" t="str">
        <f>VLOOKUP(L1024, 'Alphabetical by species code'!B:C, 2, FALSE)</f>
        <v>Native</v>
      </c>
    </row>
    <row r="1025" spans="1:13" x14ac:dyDescent="0.25">
      <c r="A1025" s="6">
        <v>12</v>
      </c>
      <c r="B1025" s="6">
        <v>2025</v>
      </c>
      <c r="C1025" s="7">
        <v>45790</v>
      </c>
      <c r="D1025" s="6" t="s">
        <v>83</v>
      </c>
      <c r="E1025" s="6" t="s">
        <v>75</v>
      </c>
      <c r="F1025" s="6">
        <v>1</v>
      </c>
      <c r="G1025" s="6" t="s">
        <v>66</v>
      </c>
      <c r="H1025" s="6">
        <v>1</v>
      </c>
      <c r="I1025" s="6">
        <v>8</v>
      </c>
      <c r="J1025" s="6">
        <v>5</v>
      </c>
      <c r="K1025" s="6" t="s">
        <v>28</v>
      </c>
      <c r="L1025" s="6" t="str">
        <f>VLOOKUP(K1025, 'Alphabetical by species code'!A:B, 2, FALSE)</f>
        <v>Litter</v>
      </c>
      <c r="M1025" s="6" t="str">
        <f>VLOOKUP(L1025, 'Alphabetical by species code'!B:C, 2, FALSE)</f>
        <v>Ground Cover</v>
      </c>
    </row>
    <row r="1026" spans="1:13" x14ac:dyDescent="0.25">
      <c r="A1026" s="6">
        <v>12</v>
      </c>
      <c r="B1026" s="6">
        <v>2025</v>
      </c>
      <c r="C1026" s="7">
        <v>45790</v>
      </c>
      <c r="D1026" s="6" t="s">
        <v>83</v>
      </c>
      <c r="E1026" s="6" t="s">
        <v>75</v>
      </c>
      <c r="F1026" s="6">
        <v>1</v>
      </c>
      <c r="G1026" s="6" t="s">
        <v>66</v>
      </c>
      <c r="H1026" s="6">
        <v>1</v>
      </c>
      <c r="I1026" s="6">
        <v>8</v>
      </c>
      <c r="J1026" s="6">
        <v>5</v>
      </c>
      <c r="K1026" s="6" t="s">
        <v>64</v>
      </c>
      <c r="L1026" s="6" t="str">
        <f>VLOOKUP(K1026, 'Alphabetical by species code'!A:B, 2, FALSE)</f>
        <v>Brassica nigra</v>
      </c>
      <c r="M1026" s="6" t="str">
        <f>VLOOKUP(L1026, 'Alphabetical by species code'!B:C, 2, FALSE)</f>
        <v>Non-Native</v>
      </c>
    </row>
    <row r="1027" spans="1:13" x14ac:dyDescent="0.25">
      <c r="A1027" s="6">
        <v>12</v>
      </c>
      <c r="B1027" s="6">
        <v>2025</v>
      </c>
      <c r="C1027" s="7">
        <v>45790</v>
      </c>
      <c r="D1027" s="6" t="s">
        <v>83</v>
      </c>
      <c r="E1027" s="6" t="s">
        <v>75</v>
      </c>
      <c r="F1027" s="6">
        <v>1</v>
      </c>
      <c r="G1027" s="6" t="s">
        <v>66</v>
      </c>
      <c r="H1027" s="6">
        <v>1</v>
      </c>
      <c r="I1027" s="6">
        <v>9</v>
      </c>
      <c r="J1027" s="6">
        <v>7</v>
      </c>
      <c r="K1027" s="6" t="s">
        <v>28</v>
      </c>
      <c r="L1027" s="6" t="str">
        <f>VLOOKUP(K1027, 'Alphabetical by species code'!A:B, 2, FALSE)</f>
        <v>Litter</v>
      </c>
      <c r="M1027" s="6" t="str">
        <f>VLOOKUP(L1027, 'Alphabetical by species code'!B:C, 2, FALSE)</f>
        <v>Ground Cover</v>
      </c>
    </row>
    <row r="1028" spans="1:13" x14ac:dyDescent="0.25">
      <c r="A1028" s="6">
        <v>12</v>
      </c>
      <c r="B1028" s="6">
        <v>2025</v>
      </c>
      <c r="C1028" s="7">
        <v>45790</v>
      </c>
      <c r="D1028" s="6" t="s">
        <v>83</v>
      </c>
      <c r="E1028" s="6" t="s">
        <v>75</v>
      </c>
      <c r="F1028" s="6">
        <v>1</v>
      </c>
      <c r="G1028" s="6" t="s">
        <v>66</v>
      </c>
      <c r="H1028" s="6">
        <v>1</v>
      </c>
      <c r="I1028" s="6">
        <v>9</v>
      </c>
      <c r="J1028" s="6">
        <v>7</v>
      </c>
      <c r="K1028" s="6" t="s">
        <v>76</v>
      </c>
      <c r="L1028" s="6" t="str">
        <f>VLOOKUP(K1028, 'Alphabetical by species code'!A:B, 2, FALSE)</f>
        <v>Avena fatua</v>
      </c>
      <c r="M1028" s="6" t="str">
        <f>VLOOKUP(L1028, 'Alphabetical by species code'!B:C, 2, FALSE)</f>
        <v>Non-Native</v>
      </c>
    </row>
    <row r="1029" spans="1:13" x14ac:dyDescent="0.25">
      <c r="A1029" s="6">
        <v>12</v>
      </c>
      <c r="B1029" s="6">
        <v>2025</v>
      </c>
      <c r="C1029" s="7">
        <v>45790</v>
      </c>
      <c r="D1029" s="6" t="s">
        <v>83</v>
      </c>
      <c r="E1029" s="6" t="s">
        <v>75</v>
      </c>
      <c r="F1029" s="6">
        <v>1</v>
      </c>
      <c r="G1029" s="6" t="s">
        <v>66</v>
      </c>
      <c r="H1029" s="6">
        <v>1</v>
      </c>
      <c r="I1029" s="6">
        <v>9</v>
      </c>
      <c r="J1029" s="6">
        <v>7</v>
      </c>
      <c r="K1029" s="6" t="s">
        <v>64</v>
      </c>
      <c r="L1029" s="6" t="str">
        <f>VLOOKUP(K1029, 'Alphabetical by species code'!A:B, 2, FALSE)</f>
        <v>Brassica nigra</v>
      </c>
      <c r="M1029" s="6" t="str">
        <f>VLOOKUP(L1029, 'Alphabetical by species code'!B:C, 2, FALSE)</f>
        <v>Non-Native</v>
      </c>
    </row>
    <row r="1030" spans="1:13" x14ac:dyDescent="0.25">
      <c r="A1030" s="6">
        <v>12</v>
      </c>
      <c r="B1030" s="6">
        <v>2025</v>
      </c>
      <c r="C1030" s="7">
        <v>45790</v>
      </c>
      <c r="D1030" s="6" t="s">
        <v>83</v>
      </c>
      <c r="E1030" s="6" t="s">
        <v>75</v>
      </c>
      <c r="F1030" s="6">
        <v>1</v>
      </c>
      <c r="G1030" s="6" t="s">
        <v>66</v>
      </c>
      <c r="H1030" s="6">
        <v>1</v>
      </c>
      <c r="I1030" s="6">
        <v>10</v>
      </c>
      <c r="J1030" s="6">
        <v>8</v>
      </c>
      <c r="K1030" s="6" t="s">
        <v>52</v>
      </c>
      <c r="L1030" s="6" t="str">
        <f>VLOOKUP(K1030, 'Alphabetical by species code'!A:B, 2, FALSE)</f>
        <v>Rock</v>
      </c>
      <c r="M1030" s="6" t="str">
        <f>VLOOKUP(L1030, 'Alphabetical by species code'!B:C, 2, FALSE)</f>
        <v>Ground Cover</v>
      </c>
    </row>
    <row r="1031" spans="1:13" x14ac:dyDescent="0.25">
      <c r="A1031" s="6">
        <v>12</v>
      </c>
      <c r="B1031" s="6">
        <v>2025</v>
      </c>
      <c r="C1031" s="7">
        <v>45790</v>
      </c>
      <c r="D1031" s="6" t="s">
        <v>83</v>
      </c>
      <c r="E1031" s="6" t="s">
        <v>75</v>
      </c>
      <c r="F1031" s="6">
        <v>1</v>
      </c>
      <c r="G1031" s="6" t="s">
        <v>66</v>
      </c>
      <c r="H1031" s="6">
        <v>1</v>
      </c>
      <c r="I1031" s="6">
        <v>11</v>
      </c>
      <c r="J1031" s="6">
        <v>8.5</v>
      </c>
      <c r="K1031" s="6" t="s">
        <v>28</v>
      </c>
      <c r="L1031" s="6" t="str">
        <f>VLOOKUP(K1031, 'Alphabetical by species code'!A:B, 2, FALSE)</f>
        <v>Litter</v>
      </c>
      <c r="M1031" s="6" t="str">
        <f>VLOOKUP(L1031, 'Alphabetical by species code'!B:C, 2, FALSE)</f>
        <v>Ground Cover</v>
      </c>
    </row>
    <row r="1032" spans="1:13" x14ac:dyDescent="0.25">
      <c r="A1032" s="6">
        <v>12</v>
      </c>
      <c r="B1032" s="6">
        <v>2025</v>
      </c>
      <c r="C1032" s="7">
        <v>45790</v>
      </c>
      <c r="D1032" s="6" t="s">
        <v>83</v>
      </c>
      <c r="E1032" s="6" t="s">
        <v>75</v>
      </c>
      <c r="F1032" s="6">
        <v>1</v>
      </c>
      <c r="G1032" s="6" t="s">
        <v>66</v>
      </c>
      <c r="H1032" s="6">
        <v>1</v>
      </c>
      <c r="I1032" s="6">
        <v>12</v>
      </c>
      <c r="J1032" s="6">
        <v>9</v>
      </c>
      <c r="K1032" s="6" t="s">
        <v>52</v>
      </c>
      <c r="L1032" s="6" t="str">
        <f>VLOOKUP(K1032, 'Alphabetical by species code'!A:B, 2, FALSE)</f>
        <v>Rock</v>
      </c>
      <c r="M1032" s="6" t="str">
        <f>VLOOKUP(L1032, 'Alphabetical by species code'!B:C, 2, FALSE)</f>
        <v>Ground Cover</v>
      </c>
    </row>
    <row r="1033" spans="1:13" x14ac:dyDescent="0.25">
      <c r="A1033" s="6">
        <v>12</v>
      </c>
      <c r="B1033" s="6">
        <v>2025</v>
      </c>
      <c r="C1033" s="7">
        <v>45790</v>
      </c>
      <c r="D1033" s="6" t="s">
        <v>83</v>
      </c>
      <c r="E1033" s="6" t="s">
        <v>75</v>
      </c>
      <c r="F1033" s="6">
        <v>1</v>
      </c>
      <c r="G1033" s="6" t="s">
        <v>66</v>
      </c>
      <c r="H1033" s="6">
        <v>1</v>
      </c>
      <c r="I1033" s="6">
        <v>13</v>
      </c>
      <c r="J1033" s="6">
        <v>10</v>
      </c>
      <c r="K1033" s="6" t="s">
        <v>28</v>
      </c>
      <c r="L1033" s="6" t="str">
        <f>VLOOKUP(K1033, 'Alphabetical by species code'!A:B, 2, FALSE)</f>
        <v>Litter</v>
      </c>
      <c r="M1033" s="6" t="str">
        <f>VLOOKUP(L1033, 'Alphabetical by species code'!B:C, 2, FALSE)</f>
        <v>Ground Cover</v>
      </c>
    </row>
    <row r="1034" spans="1:13" x14ac:dyDescent="0.25">
      <c r="A1034" s="6">
        <v>12</v>
      </c>
      <c r="B1034" s="6">
        <v>2025</v>
      </c>
      <c r="C1034" s="7">
        <v>45790</v>
      </c>
      <c r="D1034" s="6" t="s">
        <v>83</v>
      </c>
      <c r="E1034" s="6" t="s">
        <v>75</v>
      </c>
      <c r="F1034" s="6">
        <v>1</v>
      </c>
      <c r="G1034" s="6" t="s">
        <v>66</v>
      </c>
      <c r="H1034" s="6">
        <v>1</v>
      </c>
      <c r="I1034" s="6">
        <v>13</v>
      </c>
      <c r="J1034" s="6">
        <v>10</v>
      </c>
      <c r="K1034" s="6" t="s">
        <v>35</v>
      </c>
      <c r="L1034" s="6" t="str">
        <f>VLOOKUP(K1034, 'Alphabetical by species code'!A:B, 2, FALSE)</f>
        <v>Deinandra fasciculata</v>
      </c>
      <c r="M1034" s="6" t="str">
        <f>VLOOKUP(L1034, 'Alphabetical by species code'!B:C, 2, FALSE)</f>
        <v>Native</v>
      </c>
    </row>
    <row r="1035" spans="1:13" x14ac:dyDescent="0.25">
      <c r="A1035" s="6">
        <v>12</v>
      </c>
      <c r="B1035" s="6">
        <v>2025</v>
      </c>
      <c r="C1035" s="7">
        <v>45790</v>
      </c>
      <c r="D1035" s="6" t="s">
        <v>83</v>
      </c>
      <c r="E1035" s="6" t="s">
        <v>75</v>
      </c>
      <c r="F1035" s="6">
        <v>1</v>
      </c>
      <c r="G1035" s="6" t="s">
        <v>66</v>
      </c>
      <c r="H1035" s="6">
        <v>1</v>
      </c>
      <c r="I1035" s="6">
        <v>14</v>
      </c>
      <c r="J1035" s="6">
        <v>11</v>
      </c>
      <c r="K1035" s="6" t="s">
        <v>51</v>
      </c>
      <c r="L1035" s="6" t="str">
        <f>VLOOKUP(K1035, 'Alphabetical by species code'!A:B, 2, FALSE)</f>
        <v>Bareground</v>
      </c>
      <c r="M1035" s="6" t="str">
        <f>VLOOKUP(L1035, 'Alphabetical by species code'!B:C, 2, FALSE)</f>
        <v>Ground Cover</v>
      </c>
    </row>
    <row r="1036" spans="1:13" x14ac:dyDescent="0.25">
      <c r="A1036" s="6">
        <v>12</v>
      </c>
      <c r="B1036" s="6">
        <v>2025</v>
      </c>
      <c r="C1036" s="7">
        <v>45790</v>
      </c>
      <c r="D1036" s="6" t="s">
        <v>83</v>
      </c>
      <c r="E1036" s="6" t="s">
        <v>75</v>
      </c>
      <c r="F1036" s="6">
        <v>1</v>
      </c>
      <c r="G1036" s="6" t="s">
        <v>66</v>
      </c>
      <c r="H1036" s="6">
        <v>1</v>
      </c>
      <c r="I1036" s="6">
        <v>15</v>
      </c>
      <c r="J1036" s="6">
        <v>12</v>
      </c>
      <c r="K1036" s="6" t="s">
        <v>28</v>
      </c>
      <c r="L1036" s="6" t="str">
        <f>VLOOKUP(K1036, 'Alphabetical by species code'!A:B, 2, FALSE)</f>
        <v>Litter</v>
      </c>
      <c r="M1036" s="6" t="str">
        <f>VLOOKUP(L1036, 'Alphabetical by species code'!B:C, 2, FALSE)</f>
        <v>Ground Cover</v>
      </c>
    </row>
    <row r="1037" spans="1:13" x14ac:dyDescent="0.25">
      <c r="A1037" s="6">
        <v>12</v>
      </c>
      <c r="B1037" s="6">
        <v>2025</v>
      </c>
      <c r="C1037" s="7">
        <v>45790</v>
      </c>
      <c r="D1037" s="6" t="s">
        <v>83</v>
      </c>
      <c r="E1037" s="6" t="s">
        <v>75</v>
      </c>
      <c r="F1037" s="6">
        <v>1</v>
      </c>
      <c r="G1037" s="6" t="s">
        <v>66</v>
      </c>
      <c r="H1037" s="6">
        <v>1</v>
      </c>
      <c r="I1037" s="6">
        <v>15</v>
      </c>
      <c r="J1037" s="6">
        <v>12</v>
      </c>
      <c r="K1037" s="6" t="s">
        <v>35</v>
      </c>
      <c r="L1037" s="6" t="str">
        <f>VLOOKUP(K1037, 'Alphabetical by species code'!A:B, 2, FALSE)</f>
        <v>Deinandra fasciculata</v>
      </c>
      <c r="M1037" s="6" t="str">
        <f>VLOOKUP(L1037, 'Alphabetical by species code'!B:C, 2, FALSE)</f>
        <v>Native</v>
      </c>
    </row>
    <row r="1038" spans="1:13" x14ac:dyDescent="0.25">
      <c r="A1038" s="6">
        <v>12</v>
      </c>
      <c r="B1038" s="6">
        <v>2025</v>
      </c>
      <c r="C1038" s="7">
        <v>45790</v>
      </c>
      <c r="D1038" s="6" t="s">
        <v>83</v>
      </c>
      <c r="E1038" s="6" t="s">
        <v>75</v>
      </c>
      <c r="F1038" s="6">
        <v>1</v>
      </c>
      <c r="G1038" s="6" t="s">
        <v>66</v>
      </c>
      <c r="H1038" s="6">
        <v>2</v>
      </c>
      <c r="I1038" s="6">
        <v>1</v>
      </c>
      <c r="J1038" s="6">
        <v>0</v>
      </c>
      <c r="K1038" s="6" t="s">
        <v>28</v>
      </c>
      <c r="L1038" s="6" t="str">
        <f>VLOOKUP(K1038, 'Alphabetical by species code'!A:B, 2, FALSE)</f>
        <v>Litter</v>
      </c>
      <c r="M1038" s="6" t="str">
        <f>VLOOKUP(L1038, 'Alphabetical by species code'!B:C, 2, FALSE)</f>
        <v>Ground Cover</v>
      </c>
    </row>
    <row r="1039" spans="1:13" x14ac:dyDescent="0.25">
      <c r="A1039" s="6">
        <v>12</v>
      </c>
      <c r="B1039" s="6">
        <v>2025</v>
      </c>
      <c r="C1039" s="7">
        <v>45790</v>
      </c>
      <c r="D1039" s="6" t="s">
        <v>83</v>
      </c>
      <c r="E1039" s="6" t="s">
        <v>75</v>
      </c>
      <c r="F1039" s="6">
        <v>1</v>
      </c>
      <c r="G1039" s="6" t="s">
        <v>66</v>
      </c>
      <c r="H1039" s="6">
        <v>2</v>
      </c>
      <c r="I1039" s="6">
        <v>2</v>
      </c>
      <c r="J1039" s="6">
        <v>1</v>
      </c>
      <c r="K1039" s="6" t="s">
        <v>28</v>
      </c>
      <c r="L1039" s="6" t="str">
        <f>VLOOKUP(K1039, 'Alphabetical by species code'!A:B, 2, FALSE)</f>
        <v>Litter</v>
      </c>
      <c r="M1039" s="6" t="str">
        <f>VLOOKUP(L1039, 'Alphabetical by species code'!B:C, 2, FALSE)</f>
        <v>Ground Cover</v>
      </c>
    </row>
    <row r="1040" spans="1:13" x14ac:dyDescent="0.25">
      <c r="A1040" s="6">
        <v>12</v>
      </c>
      <c r="B1040" s="6">
        <v>2025</v>
      </c>
      <c r="C1040" s="7">
        <v>45790</v>
      </c>
      <c r="D1040" s="6" t="s">
        <v>83</v>
      </c>
      <c r="E1040" s="6" t="s">
        <v>75</v>
      </c>
      <c r="F1040" s="6">
        <v>1</v>
      </c>
      <c r="G1040" s="6" t="s">
        <v>66</v>
      </c>
      <c r="H1040" s="6">
        <v>2</v>
      </c>
      <c r="I1040" s="6">
        <v>2</v>
      </c>
      <c r="J1040" s="6">
        <v>1</v>
      </c>
      <c r="K1040" s="6" t="s">
        <v>36</v>
      </c>
      <c r="L1040" s="6" t="str">
        <f>VLOOKUP(K1040, 'Alphabetical by species code'!A:B, 2, FALSE)</f>
        <v>Bromus madritensis</v>
      </c>
      <c r="M1040" s="6" t="str">
        <f>VLOOKUP(L1040, 'Alphabetical by species code'!B:C, 2, FALSE)</f>
        <v>Non-Native</v>
      </c>
    </row>
    <row r="1041" spans="1:13" x14ac:dyDescent="0.25">
      <c r="A1041" s="6">
        <v>12</v>
      </c>
      <c r="B1041" s="6">
        <v>2025</v>
      </c>
      <c r="C1041" s="7">
        <v>45790</v>
      </c>
      <c r="D1041" s="6" t="s">
        <v>83</v>
      </c>
      <c r="E1041" s="6" t="s">
        <v>75</v>
      </c>
      <c r="F1041" s="6">
        <v>1</v>
      </c>
      <c r="G1041" s="6" t="s">
        <v>66</v>
      </c>
      <c r="H1041" s="6">
        <v>2</v>
      </c>
      <c r="I1041" s="6">
        <v>3</v>
      </c>
      <c r="J1041" s="6">
        <v>1.5</v>
      </c>
      <c r="K1041" s="6" t="s">
        <v>28</v>
      </c>
      <c r="L1041" s="6" t="str">
        <f>VLOOKUP(K1041, 'Alphabetical by species code'!A:B, 2, FALSE)</f>
        <v>Litter</v>
      </c>
      <c r="M1041" s="6" t="str">
        <f>VLOOKUP(L1041, 'Alphabetical by species code'!B:C, 2, FALSE)</f>
        <v>Ground Cover</v>
      </c>
    </row>
    <row r="1042" spans="1:13" x14ac:dyDescent="0.25">
      <c r="A1042" s="6">
        <v>12</v>
      </c>
      <c r="B1042" s="6">
        <v>2025</v>
      </c>
      <c r="C1042" s="7">
        <v>45790</v>
      </c>
      <c r="D1042" s="6" t="s">
        <v>83</v>
      </c>
      <c r="E1042" s="6" t="s">
        <v>75</v>
      </c>
      <c r="F1042" s="6">
        <v>1</v>
      </c>
      <c r="G1042" s="6" t="s">
        <v>66</v>
      </c>
      <c r="H1042" s="6">
        <v>2</v>
      </c>
      <c r="I1042" s="6">
        <v>3</v>
      </c>
      <c r="J1042" s="6">
        <v>1.5</v>
      </c>
      <c r="K1042" s="6" t="s">
        <v>64</v>
      </c>
      <c r="L1042" s="6" t="str">
        <f>VLOOKUP(K1042, 'Alphabetical by species code'!A:B, 2, FALSE)</f>
        <v>Brassica nigra</v>
      </c>
      <c r="M1042" s="6" t="str">
        <f>VLOOKUP(L1042, 'Alphabetical by species code'!B:C, 2, FALSE)</f>
        <v>Non-Native</v>
      </c>
    </row>
    <row r="1043" spans="1:13" x14ac:dyDescent="0.25">
      <c r="A1043" s="6">
        <v>12</v>
      </c>
      <c r="B1043" s="6">
        <v>2025</v>
      </c>
      <c r="C1043" s="7">
        <v>45790</v>
      </c>
      <c r="D1043" s="6" t="s">
        <v>83</v>
      </c>
      <c r="E1043" s="6" t="s">
        <v>75</v>
      </c>
      <c r="F1043" s="6">
        <v>1</v>
      </c>
      <c r="G1043" s="6" t="s">
        <v>66</v>
      </c>
      <c r="H1043" s="6">
        <v>2</v>
      </c>
      <c r="I1043" s="6">
        <v>3</v>
      </c>
      <c r="J1043" s="6">
        <v>1.5</v>
      </c>
      <c r="K1043" s="6" t="s">
        <v>35</v>
      </c>
      <c r="L1043" s="6" t="str">
        <f>VLOOKUP(K1043, 'Alphabetical by species code'!A:B, 2, FALSE)</f>
        <v>Deinandra fasciculata</v>
      </c>
      <c r="M1043" s="6" t="str">
        <f>VLOOKUP(L1043, 'Alphabetical by species code'!B:C, 2, FALSE)</f>
        <v>Native</v>
      </c>
    </row>
    <row r="1044" spans="1:13" x14ac:dyDescent="0.25">
      <c r="A1044" s="6">
        <v>12</v>
      </c>
      <c r="B1044" s="6">
        <v>2025</v>
      </c>
      <c r="C1044" s="7">
        <v>45790</v>
      </c>
      <c r="D1044" s="6" t="s">
        <v>83</v>
      </c>
      <c r="E1044" s="6" t="s">
        <v>75</v>
      </c>
      <c r="F1044" s="6">
        <v>1</v>
      </c>
      <c r="G1044" s="6" t="s">
        <v>66</v>
      </c>
      <c r="H1044" s="6">
        <v>2</v>
      </c>
      <c r="I1044" s="6">
        <v>4</v>
      </c>
      <c r="J1044" s="6">
        <v>2</v>
      </c>
      <c r="K1044" s="6" t="s">
        <v>28</v>
      </c>
      <c r="L1044" s="6" t="str">
        <f>VLOOKUP(K1044, 'Alphabetical by species code'!A:B, 2, FALSE)</f>
        <v>Litter</v>
      </c>
      <c r="M1044" s="6" t="str">
        <f>VLOOKUP(L1044, 'Alphabetical by species code'!B:C, 2, FALSE)</f>
        <v>Ground Cover</v>
      </c>
    </row>
    <row r="1045" spans="1:13" x14ac:dyDescent="0.25">
      <c r="A1045" s="6">
        <v>12</v>
      </c>
      <c r="B1045" s="6">
        <v>2025</v>
      </c>
      <c r="C1045" s="7">
        <v>45790</v>
      </c>
      <c r="D1045" s="6" t="s">
        <v>83</v>
      </c>
      <c r="E1045" s="6" t="s">
        <v>75</v>
      </c>
      <c r="F1045" s="6">
        <v>1</v>
      </c>
      <c r="G1045" s="6" t="s">
        <v>66</v>
      </c>
      <c r="H1045" s="6">
        <v>2</v>
      </c>
      <c r="I1045" s="6">
        <v>4</v>
      </c>
      <c r="J1045" s="6">
        <v>2</v>
      </c>
      <c r="K1045" s="6" t="s">
        <v>36</v>
      </c>
      <c r="L1045" s="6" t="str">
        <f>VLOOKUP(K1045, 'Alphabetical by species code'!A:B, 2, FALSE)</f>
        <v>Bromus madritensis</v>
      </c>
      <c r="M1045" s="6" t="str">
        <f>VLOOKUP(L1045, 'Alphabetical by species code'!B:C, 2, FALSE)</f>
        <v>Non-Native</v>
      </c>
    </row>
    <row r="1046" spans="1:13" x14ac:dyDescent="0.25">
      <c r="A1046" s="6">
        <v>12</v>
      </c>
      <c r="B1046" s="6">
        <v>2025</v>
      </c>
      <c r="C1046" s="7">
        <v>45790</v>
      </c>
      <c r="D1046" s="6" t="s">
        <v>83</v>
      </c>
      <c r="E1046" s="6" t="s">
        <v>75</v>
      </c>
      <c r="F1046" s="6">
        <v>1</v>
      </c>
      <c r="G1046" s="6" t="s">
        <v>66</v>
      </c>
      <c r="H1046" s="6">
        <v>2</v>
      </c>
      <c r="I1046" s="6">
        <v>5</v>
      </c>
      <c r="J1046" s="6">
        <v>3</v>
      </c>
      <c r="K1046" s="6" t="s">
        <v>38</v>
      </c>
      <c r="L1046" s="6" t="str">
        <f>VLOOKUP(K1046, 'Alphabetical by species code'!A:B, 2, FALSE)</f>
        <v>Thatch</v>
      </c>
      <c r="M1046" s="6" t="str">
        <f>VLOOKUP(L1046, 'Alphabetical by species code'!B:C, 2, FALSE)</f>
        <v>Ground Cover</v>
      </c>
    </row>
    <row r="1047" spans="1:13" x14ac:dyDescent="0.25">
      <c r="A1047" s="6">
        <v>12</v>
      </c>
      <c r="B1047" s="6">
        <v>2025</v>
      </c>
      <c r="C1047" s="7">
        <v>45790</v>
      </c>
      <c r="D1047" s="6" t="s">
        <v>83</v>
      </c>
      <c r="E1047" s="6" t="s">
        <v>75</v>
      </c>
      <c r="F1047" s="6">
        <v>1</v>
      </c>
      <c r="G1047" s="6" t="s">
        <v>66</v>
      </c>
      <c r="H1047" s="6">
        <v>2</v>
      </c>
      <c r="I1047" s="6">
        <v>5</v>
      </c>
      <c r="J1047" s="6">
        <v>3</v>
      </c>
      <c r="K1047" s="6" t="s">
        <v>31</v>
      </c>
      <c r="L1047" s="6" t="str">
        <f>VLOOKUP(K1047, 'Alphabetical by species code'!A:B, 2, FALSE)</f>
        <v>Festuca myuros</v>
      </c>
      <c r="M1047" s="6" t="str">
        <f>VLOOKUP(L1047, 'Alphabetical by species code'!B:C, 2, FALSE)</f>
        <v>Non-Native</v>
      </c>
    </row>
    <row r="1048" spans="1:13" x14ac:dyDescent="0.25">
      <c r="A1048" s="6">
        <v>12</v>
      </c>
      <c r="B1048" s="6">
        <v>2025</v>
      </c>
      <c r="C1048" s="7">
        <v>45790</v>
      </c>
      <c r="D1048" s="6" t="s">
        <v>83</v>
      </c>
      <c r="E1048" s="6" t="s">
        <v>75</v>
      </c>
      <c r="F1048" s="6">
        <v>1</v>
      </c>
      <c r="G1048" s="6" t="s">
        <v>66</v>
      </c>
      <c r="H1048" s="6">
        <v>2</v>
      </c>
      <c r="I1048" s="6">
        <v>6</v>
      </c>
      <c r="J1048" s="6">
        <v>3.5</v>
      </c>
      <c r="K1048" s="6" t="s">
        <v>38</v>
      </c>
      <c r="L1048" s="6" t="str">
        <f>VLOOKUP(K1048, 'Alphabetical by species code'!A:B, 2, FALSE)</f>
        <v>Thatch</v>
      </c>
      <c r="M1048" s="6" t="str">
        <f>VLOOKUP(L1048, 'Alphabetical by species code'!B:C, 2, FALSE)</f>
        <v>Ground Cover</v>
      </c>
    </row>
    <row r="1049" spans="1:13" x14ac:dyDescent="0.25">
      <c r="A1049" s="6">
        <v>12</v>
      </c>
      <c r="B1049" s="6">
        <v>2025</v>
      </c>
      <c r="C1049" s="7">
        <v>45790</v>
      </c>
      <c r="D1049" s="6" t="s">
        <v>83</v>
      </c>
      <c r="E1049" s="6" t="s">
        <v>75</v>
      </c>
      <c r="F1049" s="6">
        <v>1</v>
      </c>
      <c r="G1049" s="6" t="s">
        <v>66</v>
      </c>
      <c r="H1049" s="6">
        <v>2</v>
      </c>
      <c r="I1049" s="6">
        <v>6</v>
      </c>
      <c r="J1049" s="6">
        <v>3.5</v>
      </c>
      <c r="K1049" s="6" t="s">
        <v>36</v>
      </c>
      <c r="L1049" s="6" t="str">
        <f>VLOOKUP(K1049, 'Alphabetical by species code'!A:B, 2, FALSE)</f>
        <v>Bromus madritensis</v>
      </c>
      <c r="M1049" s="6" t="str">
        <f>VLOOKUP(L1049, 'Alphabetical by species code'!B:C, 2, FALSE)</f>
        <v>Non-Native</v>
      </c>
    </row>
    <row r="1050" spans="1:13" x14ac:dyDescent="0.25">
      <c r="A1050" s="6">
        <v>12</v>
      </c>
      <c r="B1050" s="6">
        <v>2025</v>
      </c>
      <c r="C1050" s="7">
        <v>45790</v>
      </c>
      <c r="D1050" s="6" t="s">
        <v>83</v>
      </c>
      <c r="E1050" s="6" t="s">
        <v>75</v>
      </c>
      <c r="F1050" s="6">
        <v>1</v>
      </c>
      <c r="G1050" s="6" t="s">
        <v>66</v>
      </c>
      <c r="H1050" s="6">
        <v>2</v>
      </c>
      <c r="I1050" s="6">
        <v>7</v>
      </c>
      <c r="J1050" s="6">
        <v>4</v>
      </c>
      <c r="K1050" s="6" t="s">
        <v>28</v>
      </c>
      <c r="L1050" s="6" t="str">
        <f>VLOOKUP(K1050, 'Alphabetical by species code'!A:B, 2, FALSE)</f>
        <v>Litter</v>
      </c>
      <c r="M1050" s="6" t="str">
        <f>VLOOKUP(L1050, 'Alphabetical by species code'!B:C, 2, FALSE)</f>
        <v>Ground Cover</v>
      </c>
    </row>
    <row r="1051" spans="1:13" x14ac:dyDescent="0.25">
      <c r="A1051" s="6">
        <v>12</v>
      </c>
      <c r="B1051" s="6">
        <v>2025</v>
      </c>
      <c r="C1051" s="7">
        <v>45790</v>
      </c>
      <c r="D1051" s="6" t="s">
        <v>83</v>
      </c>
      <c r="E1051" s="6" t="s">
        <v>75</v>
      </c>
      <c r="F1051" s="6">
        <v>1</v>
      </c>
      <c r="G1051" s="6" t="s">
        <v>66</v>
      </c>
      <c r="H1051" s="6">
        <v>2</v>
      </c>
      <c r="I1051" s="6">
        <v>7</v>
      </c>
      <c r="J1051" s="6">
        <v>4</v>
      </c>
      <c r="K1051" s="6" t="s">
        <v>35</v>
      </c>
      <c r="L1051" s="6" t="str">
        <f>VLOOKUP(K1051, 'Alphabetical by species code'!A:B, 2, FALSE)</f>
        <v>Deinandra fasciculata</v>
      </c>
      <c r="M1051" s="6" t="str">
        <f>VLOOKUP(L1051, 'Alphabetical by species code'!B:C, 2, FALSE)</f>
        <v>Native</v>
      </c>
    </row>
    <row r="1052" spans="1:13" x14ac:dyDescent="0.25">
      <c r="A1052" s="6">
        <v>12</v>
      </c>
      <c r="B1052" s="6">
        <v>2025</v>
      </c>
      <c r="C1052" s="7">
        <v>45790</v>
      </c>
      <c r="D1052" s="6" t="s">
        <v>83</v>
      </c>
      <c r="E1052" s="6" t="s">
        <v>75</v>
      </c>
      <c r="F1052" s="6">
        <v>1</v>
      </c>
      <c r="G1052" s="6" t="s">
        <v>66</v>
      </c>
      <c r="H1052" s="6">
        <v>2</v>
      </c>
      <c r="I1052" s="6">
        <v>8</v>
      </c>
      <c r="J1052" s="6">
        <v>5</v>
      </c>
      <c r="K1052" s="6" t="s">
        <v>28</v>
      </c>
      <c r="L1052" s="6" t="str">
        <f>VLOOKUP(K1052, 'Alphabetical by species code'!A:B, 2, FALSE)</f>
        <v>Litter</v>
      </c>
      <c r="M1052" s="6" t="str">
        <f>VLOOKUP(L1052, 'Alphabetical by species code'!B:C, 2, FALSE)</f>
        <v>Ground Cover</v>
      </c>
    </row>
    <row r="1053" spans="1:13" x14ac:dyDescent="0.25">
      <c r="A1053" s="6">
        <v>12</v>
      </c>
      <c r="B1053" s="6">
        <v>2025</v>
      </c>
      <c r="C1053" s="7">
        <v>45790</v>
      </c>
      <c r="D1053" s="6" t="s">
        <v>83</v>
      </c>
      <c r="E1053" s="6" t="s">
        <v>75</v>
      </c>
      <c r="F1053" s="6">
        <v>1</v>
      </c>
      <c r="G1053" s="6" t="s">
        <v>66</v>
      </c>
      <c r="H1053" s="6">
        <v>2</v>
      </c>
      <c r="I1053" s="6">
        <v>8</v>
      </c>
      <c r="J1053" s="6">
        <v>5</v>
      </c>
      <c r="K1053" s="6" t="s">
        <v>34</v>
      </c>
      <c r="L1053" s="6" t="str">
        <f>VLOOKUP(K1053, 'Alphabetical by species code'!A:B, 2, FALSE)</f>
        <v>Erodium cicutarium</v>
      </c>
      <c r="M1053" s="6" t="str">
        <f>VLOOKUP(L1053, 'Alphabetical by species code'!B:C, 2, FALSE)</f>
        <v>Non-Native</v>
      </c>
    </row>
    <row r="1054" spans="1:13" x14ac:dyDescent="0.25">
      <c r="A1054" s="6">
        <v>12</v>
      </c>
      <c r="B1054" s="6">
        <v>2025</v>
      </c>
      <c r="C1054" s="7">
        <v>45790</v>
      </c>
      <c r="D1054" s="6" t="s">
        <v>83</v>
      </c>
      <c r="E1054" s="6" t="s">
        <v>75</v>
      </c>
      <c r="F1054" s="6">
        <v>1</v>
      </c>
      <c r="G1054" s="6" t="s">
        <v>66</v>
      </c>
      <c r="H1054" s="6">
        <v>2</v>
      </c>
      <c r="I1054" s="6">
        <v>9</v>
      </c>
      <c r="J1054" s="6">
        <v>7</v>
      </c>
      <c r="K1054" s="6" t="s">
        <v>28</v>
      </c>
      <c r="L1054" s="6" t="str">
        <f>VLOOKUP(K1054, 'Alphabetical by species code'!A:B, 2, FALSE)</f>
        <v>Litter</v>
      </c>
      <c r="M1054" s="6" t="str">
        <f>VLOOKUP(L1054, 'Alphabetical by species code'!B:C, 2, FALSE)</f>
        <v>Ground Cover</v>
      </c>
    </row>
    <row r="1055" spans="1:13" x14ac:dyDescent="0.25">
      <c r="A1055" s="6">
        <v>12</v>
      </c>
      <c r="B1055" s="6">
        <v>2025</v>
      </c>
      <c r="C1055" s="7">
        <v>45790</v>
      </c>
      <c r="D1055" s="6" t="s">
        <v>83</v>
      </c>
      <c r="E1055" s="6" t="s">
        <v>75</v>
      </c>
      <c r="F1055" s="6">
        <v>1</v>
      </c>
      <c r="G1055" s="6" t="s">
        <v>66</v>
      </c>
      <c r="H1055" s="6">
        <v>2</v>
      </c>
      <c r="I1055" s="6">
        <v>9</v>
      </c>
      <c r="J1055" s="6">
        <v>7</v>
      </c>
      <c r="K1055" s="6" t="s">
        <v>36</v>
      </c>
      <c r="L1055" s="6" t="str">
        <f>VLOOKUP(K1055, 'Alphabetical by species code'!A:B, 2, FALSE)</f>
        <v>Bromus madritensis</v>
      </c>
      <c r="M1055" s="6" t="str">
        <f>VLOOKUP(L1055, 'Alphabetical by species code'!B:C, 2, FALSE)</f>
        <v>Non-Native</v>
      </c>
    </row>
    <row r="1056" spans="1:13" x14ac:dyDescent="0.25">
      <c r="A1056" s="6">
        <v>12</v>
      </c>
      <c r="B1056" s="6">
        <v>2025</v>
      </c>
      <c r="C1056" s="7">
        <v>45790</v>
      </c>
      <c r="D1056" s="6" t="s">
        <v>83</v>
      </c>
      <c r="E1056" s="6" t="s">
        <v>75</v>
      </c>
      <c r="F1056" s="6">
        <v>1</v>
      </c>
      <c r="G1056" s="6" t="s">
        <v>66</v>
      </c>
      <c r="H1056" s="6">
        <v>2</v>
      </c>
      <c r="I1056" s="6">
        <v>9</v>
      </c>
      <c r="J1056" s="6">
        <v>7</v>
      </c>
      <c r="K1056" s="6" t="s">
        <v>31</v>
      </c>
      <c r="L1056" s="6" t="str">
        <f>VLOOKUP(K1056, 'Alphabetical by species code'!A:B, 2, FALSE)</f>
        <v>Festuca myuros</v>
      </c>
      <c r="M1056" s="6" t="str">
        <f>VLOOKUP(L1056, 'Alphabetical by species code'!B:C, 2, FALSE)</f>
        <v>Non-Native</v>
      </c>
    </row>
    <row r="1057" spans="1:13" x14ac:dyDescent="0.25">
      <c r="A1057" s="6">
        <v>12</v>
      </c>
      <c r="B1057" s="6">
        <v>2025</v>
      </c>
      <c r="C1057" s="7">
        <v>45790</v>
      </c>
      <c r="D1057" s="6" t="s">
        <v>83</v>
      </c>
      <c r="E1057" s="6" t="s">
        <v>75</v>
      </c>
      <c r="F1057" s="6">
        <v>1</v>
      </c>
      <c r="G1057" s="6" t="s">
        <v>66</v>
      </c>
      <c r="H1057" s="6">
        <v>2</v>
      </c>
      <c r="I1057" s="6">
        <v>10</v>
      </c>
      <c r="J1057" s="6">
        <v>8</v>
      </c>
      <c r="K1057" s="6" t="s">
        <v>28</v>
      </c>
      <c r="L1057" s="6" t="str">
        <f>VLOOKUP(K1057, 'Alphabetical by species code'!A:B, 2, FALSE)</f>
        <v>Litter</v>
      </c>
      <c r="M1057" s="6" t="str">
        <f>VLOOKUP(L1057, 'Alphabetical by species code'!B:C, 2, FALSE)</f>
        <v>Ground Cover</v>
      </c>
    </row>
    <row r="1058" spans="1:13" x14ac:dyDescent="0.25">
      <c r="A1058" s="6">
        <v>12</v>
      </c>
      <c r="B1058" s="6">
        <v>2025</v>
      </c>
      <c r="C1058" s="7">
        <v>45790</v>
      </c>
      <c r="D1058" s="6" t="s">
        <v>83</v>
      </c>
      <c r="E1058" s="6" t="s">
        <v>75</v>
      </c>
      <c r="F1058" s="6">
        <v>1</v>
      </c>
      <c r="G1058" s="6" t="s">
        <v>66</v>
      </c>
      <c r="H1058" s="6">
        <v>2</v>
      </c>
      <c r="I1058" s="6">
        <v>10</v>
      </c>
      <c r="J1058" s="6">
        <v>8</v>
      </c>
      <c r="K1058" s="6" t="s">
        <v>64</v>
      </c>
      <c r="L1058" s="6" t="str">
        <f>VLOOKUP(K1058, 'Alphabetical by species code'!A:B, 2, FALSE)</f>
        <v>Brassica nigra</v>
      </c>
      <c r="M1058" s="6" t="str">
        <f>VLOOKUP(L1058, 'Alphabetical by species code'!B:C, 2, FALSE)</f>
        <v>Non-Native</v>
      </c>
    </row>
    <row r="1059" spans="1:13" x14ac:dyDescent="0.25">
      <c r="A1059" s="6">
        <v>12</v>
      </c>
      <c r="B1059" s="6">
        <v>2025</v>
      </c>
      <c r="C1059" s="7">
        <v>45790</v>
      </c>
      <c r="D1059" s="6" t="s">
        <v>83</v>
      </c>
      <c r="E1059" s="6" t="s">
        <v>75</v>
      </c>
      <c r="F1059" s="6">
        <v>1</v>
      </c>
      <c r="G1059" s="6" t="s">
        <v>66</v>
      </c>
      <c r="H1059" s="6">
        <v>2</v>
      </c>
      <c r="I1059" s="6">
        <v>11</v>
      </c>
      <c r="J1059" s="6">
        <v>8.5</v>
      </c>
      <c r="K1059" s="6" t="s">
        <v>52</v>
      </c>
      <c r="L1059" s="6" t="str">
        <f>VLOOKUP(K1059, 'Alphabetical by species code'!A:B, 2, FALSE)</f>
        <v>Rock</v>
      </c>
      <c r="M1059" s="6" t="str">
        <f>VLOOKUP(L1059, 'Alphabetical by species code'!B:C, 2, FALSE)</f>
        <v>Ground Cover</v>
      </c>
    </row>
    <row r="1060" spans="1:13" x14ac:dyDescent="0.25">
      <c r="A1060" s="6">
        <v>12</v>
      </c>
      <c r="B1060" s="6">
        <v>2025</v>
      </c>
      <c r="C1060" s="7">
        <v>45790</v>
      </c>
      <c r="D1060" s="6" t="s">
        <v>83</v>
      </c>
      <c r="E1060" s="6" t="s">
        <v>75</v>
      </c>
      <c r="F1060" s="6">
        <v>1</v>
      </c>
      <c r="G1060" s="6" t="s">
        <v>66</v>
      </c>
      <c r="H1060" s="6">
        <v>2</v>
      </c>
      <c r="I1060" s="6">
        <v>12</v>
      </c>
      <c r="J1060" s="6">
        <v>9</v>
      </c>
      <c r="K1060" s="6" t="s">
        <v>52</v>
      </c>
      <c r="L1060" s="6" t="str">
        <f>VLOOKUP(K1060, 'Alphabetical by species code'!A:B, 2, FALSE)</f>
        <v>Rock</v>
      </c>
      <c r="M1060" s="6" t="str">
        <f>VLOOKUP(L1060, 'Alphabetical by species code'!B:C, 2, FALSE)</f>
        <v>Ground Cover</v>
      </c>
    </row>
    <row r="1061" spans="1:13" x14ac:dyDescent="0.25">
      <c r="A1061" s="6">
        <v>12</v>
      </c>
      <c r="B1061" s="6">
        <v>2025</v>
      </c>
      <c r="C1061" s="7">
        <v>45790</v>
      </c>
      <c r="D1061" s="6" t="s">
        <v>83</v>
      </c>
      <c r="E1061" s="6" t="s">
        <v>75</v>
      </c>
      <c r="F1061" s="6">
        <v>1</v>
      </c>
      <c r="G1061" s="6" t="s">
        <v>66</v>
      </c>
      <c r="H1061" s="6">
        <v>2</v>
      </c>
      <c r="I1061" s="6">
        <v>13</v>
      </c>
      <c r="J1061" s="6">
        <v>10</v>
      </c>
      <c r="K1061" s="6" t="s">
        <v>28</v>
      </c>
      <c r="L1061" s="6" t="str">
        <f>VLOOKUP(K1061, 'Alphabetical by species code'!A:B, 2, FALSE)</f>
        <v>Litter</v>
      </c>
      <c r="M1061" s="6" t="str">
        <f>VLOOKUP(L1061, 'Alphabetical by species code'!B:C, 2, FALSE)</f>
        <v>Ground Cover</v>
      </c>
    </row>
    <row r="1062" spans="1:13" x14ac:dyDescent="0.25">
      <c r="A1062" s="6">
        <v>12</v>
      </c>
      <c r="B1062" s="6">
        <v>2025</v>
      </c>
      <c r="C1062" s="7">
        <v>45790</v>
      </c>
      <c r="D1062" s="6" t="s">
        <v>83</v>
      </c>
      <c r="E1062" s="6" t="s">
        <v>75</v>
      </c>
      <c r="F1062" s="6">
        <v>1</v>
      </c>
      <c r="G1062" s="6" t="s">
        <v>66</v>
      </c>
      <c r="H1062" s="6">
        <v>2</v>
      </c>
      <c r="I1062" s="6">
        <v>13</v>
      </c>
      <c r="J1062" s="6">
        <v>10</v>
      </c>
      <c r="K1062" s="6" t="s">
        <v>47</v>
      </c>
      <c r="L1062" s="6" t="str">
        <f>VLOOKUP(K1062, 'Alphabetical by species code'!A:B, 2, FALSE)</f>
        <v>Sonchus species</v>
      </c>
      <c r="M1062" s="6" t="str">
        <f>VLOOKUP(L1062, 'Alphabetical by species code'!B:C, 2, FALSE)</f>
        <v>Non-Native</v>
      </c>
    </row>
    <row r="1063" spans="1:13" x14ac:dyDescent="0.25">
      <c r="A1063" s="6">
        <v>12</v>
      </c>
      <c r="B1063" s="6">
        <v>2025</v>
      </c>
      <c r="C1063" s="7">
        <v>45790</v>
      </c>
      <c r="D1063" s="6" t="s">
        <v>83</v>
      </c>
      <c r="E1063" s="6" t="s">
        <v>75</v>
      </c>
      <c r="F1063" s="6">
        <v>1</v>
      </c>
      <c r="G1063" s="6" t="s">
        <v>66</v>
      </c>
      <c r="H1063" s="6">
        <v>2</v>
      </c>
      <c r="I1063" s="6">
        <v>13</v>
      </c>
      <c r="J1063" s="6">
        <v>10</v>
      </c>
      <c r="K1063" s="6" t="s">
        <v>65</v>
      </c>
      <c r="L1063" s="6" t="str">
        <f>VLOOKUP(K1063, 'Alphabetical by species code'!A:B, 2, FALSE)</f>
        <v>Cryptantha intermedia</v>
      </c>
      <c r="M1063" s="6" t="str">
        <f>VLOOKUP(L1063, 'Alphabetical by species code'!B:C, 2, FALSE)</f>
        <v>Native</v>
      </c>
    </row>
    <row r="1064" spans="1:13" x14ac:dyDescent="0.25">
      <c r="A1064" s="6">
        <v>12</v>
      </c>
      <c r="B1064" s="6">
        <v>2025</v>
      </c>
      <c r="C1064" s="7">
        <v>45790</v>
      </c>
      <c r="D1064" s="6" t="s">
        <v>83</v>
      </c>
      <c r="E1064" s="6" t="s">
        <v>75</v>
      </c>
      <c r="F1064" s="6">
        <v>1</v>
      </c>
      <c r="G1064" s="6" t="s">
        <v>66</v>
      </c>
      <c r="H1064" s="6">
        <v>2</v>
      </c>
      <c r="I1064" s="6">
        <v>13</v>
      </c>
      <c r="J1064" s="6">
        <v>10</v>
      </c>
      <c r="K1064" s="6" t="s">
        <v>64</v>
      </c>
      <c r="L1064" s="6" t="str">
        <f>VLOOKUP(K1064, 'Alphabetical by species code'!A:B, 2, FALSE)</f>
        <v>Brassica nigra</v>
      </c>
      <c r="M1064" s="6" t="str">
        <f>VLOOKUP(L1064, 'Alphabetical by species code'!B:C, 2, FALSE)</f>
        <v>Non-Native</v>
      </c>
    </row>
    <row r="1065" spans="1:13" x14ac:dyDescent="0.25">
      <c r="A1065" s="6">
        <v>12</v>
      </c>
      <c r="B1065" s="6">
        <v>2025</v>
      </c>
      <c r="C1065" s="7">
        <v>45790</v>
      </c>
      <c r="D1065" s="6" t="s">
        <v>83</v>
      </c>
      <c r="E1065" s="6" t="s">
        <v>75</v>
      </c>
      <c r="F1065" s="6">
        <v>1</v>
      </c>
      <c r="G1065" s="6" t="s">
        <v>66</v>
      </c>
      <c r="H1065" s="6">
        <v>2</v>
      </c>
      <c r="I1065" s="6">
        <v>14</v>
      </c>
      <c r="J1065" s="6">
        <v>11</v>
      </c>
      <c r="K1065" s="6" t="s">
        <v>28</v>
      </c>
      <c r="L1065" s="6" t="str">
        <f>VLOOKUP(K1065, 'Alphabetical by species code'!A:B, 2, FALSE)</f>
        <v>Litter</v>
      </c>
      <c r="M1065" s="6" t="str">
        <f>VLOOKUP(L1065, 'Alphabetical by species code'!B:C, 2, FALSE)</f>
        <v>Ground Cover</v>
      </c>
    </row>
    <row r="1066" spans="1:13" x14ac:dyDescent="0.25">
      <c r="A1066" s="6">
        <v>12</v>
      </c>
      <c r="B1066" s="6">
        <v>2025</v>
      </c>
      <c r="C1066" s="7">
        <v>45790</v>
      </c>
      <c r="D1066" s="6" t="s">
        <v>83</v>
      </c>
      <c r="E1066" s="6" t="s">
        <v>75</v>
      </c>
      <c r="F1066" s="6">
        <v>1</v>
      </c>
      <c r="G1066" s="6" t="s">
        <v>66</v>
      </c>
      <c r="H1066" s="6">
        <v>2</v>
      </c>
      <c r="I1066" s="6">
        <v>14</v>
      </c>
      <c r="J1066" s="6">
        <v>11</v>
      </c>
      <c r="K1066" s="6" t="s">
        <v>35</v>
      </c>
      <c r="L1066" s="6" t="str">
        <f>VLOOKUP(K1066, 'Alphabetical by species code'!A:B, 2, FALSE)</f>
        <v>Deinandra fasciculata</v>
      </c>
      <c r="M1066" s="6" t="str">
        <f>VLOOKUP(L1066, 'Alphabetical by species code'!B:C, 2, FALSE)</f>
        <v>Native</v>
      </c>
    </row>
    <row r="1067" spans="1:13" x14ac:dyDescent="0.25">
      <c r="A1067" s="6">
        <v>12</v>
      </c>
      <c r="B1067" s="6">
        <v>2025</v>
      </c>
      <c r="C1067" s="7">
        <v>45790</v>
      </c>
      <c r="D1067" s="6" t="s">
        <v>83</v>
      </c>
      <c r="E1067" s="6" t="s">
        <v>75</v>
      </c>
      <c r="F1067" s="6">
        <v>1</v>
      </c>
      <c r="G1067" s="6" t="s">
        <v>66</v>
      </c>
      <c r="H1067" s="6">
        <v>2</v>
      </c>
      <c r="I1067" s="6">
        <v>15</v>
      </c>
      <c r="J1067" s="6">
        <v>12</v>
      </c>
      <c r="K1067" s="6" t="s">
        <v>52</v>
      </c>
      <c r="L1067" s="6" t="str">
        <f>VLOOKUP(K1067, 'Alphabetical by species code'!A:B, 2, FALSE)</f>
        <v>Rock</v>
      </c>
      <c r="M1067" s="6" t="str">
        <f>VLOOKUP(L1067, 'Alphabetical by species code'!B:C, 2, FALSE)</f>
        <v>Ground Cover</v>
      </c>
    </row>
    <row r="1068" spans="1:13" x14ac:dyDescent="0.25">
      <c r="A1068" s="6">
        <v>12</v>
      </c>
      <c r="B1068" s="6">
        <v>2025</v>
      </c>
      <c r="C1068" s="7">
        <v>45790</v>
      </c>
      <c r="D1068" s="6" t="s">
        <v>83</v>
      </c>
      <c r="E1068" s="6" t="s">
        <v>75</v>
      </c>
      <c r="F1068" s="6">
        <v>1</v>
      </c>
      <c r="G1068" s="6" t="s">
        <v>66</v>
      </c>
      <c r="H1068" s="6">
        <v>2</v>
      </c>
      <c r="I1068" s="6">
        <v>15</v>
      </c>
      <c r="J1068" s="6">
        <v>12</v>
      </c>
      <c r="K1068" s="6" t="s">
        <v>29</v>
      </c>
      <c r="L1068" s="6" t="str">
        <f>VLOOKUP(K1068, 'Alphabetical by species code'!A:B, 2, FALSE)</f>
        <v>Opuntia littoralis</v>
      </c>
      <c r="M1068" s="6" t="str">
        <f>VLOOKUP(L1068, 'Alphabetical by species code'!B:C, 2, FALSE)</f>
        <v>Native</v>
      </c>
    </row>
    <row r="1069" spans="1:13" x14ac:dyDescent="0.25">
      <c r="A1069" s="6">
        <v>13</v>
      </c>
      <c r="B1069" s="6">
        <v>2025</v>
      </c>
      <c r="C1069" s="7">
        <v>45790</v>
      </c>
      <c r="D1069" s="6" t="s">
        <v>83</v>
      </c>
      <c r="E1069" s="6" t="s">
        <v>85</v>
      </c>
      <c r="F1069" s="6">
        <v>3</v>
      </c>
      <c r="G1069" s="6" t="s">
        <v>27</v>
      </c>
      <c r="H1069" s="6">
        <v>1</v>
      </c>
      <c r="I1069" s="6">
        <v>1</v>
      </c>
      <c r="J1069" s="6">
        <v>0</v>
      </c>
      <c r="K1069" s="6" t="s">
        <v>28</v>
      </c>
      <c r="L1069" s="6" t="str">
        <f>VLOOKUP(K1069, 'Alphabetical by species code'!A:B, 2, FALSE)</f>
        <v>Litter</v>
      </c>
      <c r="M1069" s="6" t="str">
        <f>VLOOKUP(L1069, 'Alphabetical by species code'!B:C, 2, FALSE)</f>
        <v>Ground Cover</v>
      </c>
    </row>
    <row r="1070" spans="1:13" x14ac:dyDescent="0.25">
      <c r="A1070" s="6">
        <v>13</v>
      </c>
      <c r="B1070" s="6">
        <v>2025</v>
      </c>
      <c r="C1070" s="7">
        <v>45790</v>
      </c>
      <c r="D1070" s="6" t="s">
        <v>83</v>
      </c>
      <c r="E1070" s="6" t="s">
        <v>85</v>
      </c>
      <c r="F1070" s="6">
        <v>3</v>
      </c>
      <c r="G1070" s="6" t="s">
        <v>27</v>
      </c>
      <c r="H1070" s="6">
        <v>1</v>
      </c>
      <c r="I1070" s="6">
        <v>1</v>
      </c>
      <c r="J1070" s="6">
        <v>0</v>
      </c>
      <c r="K1070" s="6" t="s">
        <v>64</v>
      </c>
      <c r="L1070" s="6" t="str">
        <f>VLOOKUP(K1070, 'Alphabetical by species code'!A:B, 2, FALSE)</f>
        <v>Brassica nigra</v>
      </c>
      <c r="M1070" s="6" t="str">
        <f>VLOOKUP(L1070, 'Alphabetical by species code'!B:C, 2, FALSE)</f>
        <v>Non-Native</v>
      </c>
    </row>
    <row r="1071" spans="1:13" x14ac:dyDescent="0.25">
      <c r="A1071" s="6">
        <v>13</v>
      </c>
      <c r="B1071" s="6">
        <v>2025</v>
      </c>
      <c r="C1071" s="7">
        <v>45790</v>
      </c>
      <c r="D1071" s="6" t="s">
        <v>83</v>
      </c>
      <c r="E1071" s="6" t="s">
        <v>85</v>
      </c>
      <c r="F1071" s="6">
        <v>3</v>
      </c>
      <c r="G1071" s="6" t="s">
        <v>27</v>
      </c>
      <c r="H1071" s="6">
        <v>1</v>
      </c>
      <c r="I1071" s="6">
        <v>1</v>
      </c>
      <c r="J1071" s="6">
        <v>0</v>
      </c>
      <c r="K1071" s="6" t="s">
        <v>36</v>
      </c>
      <c r="L1071" s="6" t="str">
        <f>VLOOKUP(K1071, 'Alphabetical by species code'!A:B, 2, FALSE)</f>
        <v>Bromus madritensis</v>
      </c>
      <c r="M1071" s="6" t="str">
        <f>VLOOKUP(L1071, 'Alphabetical by species code'!B:C, 2, FALSE)</f>
        <v>Non-Native</v>
      </c>
    </row>
    <row r="1072" spans="1:13" x14ac:dyDescent="0.25">
      <c r="A1072" s="6">
        <v>13</v>
      </c>
      <c r="B1072" s="6">
        <v>2025</v>
      </c>
      <c r="C1072" s="7">
        <v>45790</v>
      </c>
      <c r="D1072" s="6" t="s">
        <v>83</v>
      </c>
      <c r="E1072" s="6" t="s">
        <v>85</v>
      </c>
      <c r="F1072" s="6">
        <v>3</v>
      </c>
      <c r="G1072" s="6" t="s">
        <v>27</v>
      </c>
      <c r="H1072" s="6">
        <v>1</v>
      </c>
      <c r="I1072" s="6">
        <v>2</v>
      </c>
      <c r="J1072" s="6">
        <v>0.5</v>
      </c>
      <c r="K1072" s="6" t="s">
        <v>28</v>
      </c>
      <c r="L1072" s="6" t="str">
        <f>VLOOKUP(K1072, 'Alphabetical by species code'!A:B, 2, FALSE)</f>
        <v>Litter</v>
      </c>
      <c r="M1072" s="6" t="str">
        <f>VLOOKUP(L1072, 'Alphabetical by species code'!B:C, 2, FALSE)</f>
        <v>Ground Cover</v>
      </c>
    </row>
    <row r="1073" spans="1:13" x14ac:dyDescent="0.25">
      <c r="A1073" s="6">
        <v>13</v>
      </c>
      <c r="B1073" s="6">
        <v>2025</v>
      </c>
      <c r="C1073" s="7">
        <v>45790</v>
      </c>
      <c r="D1073" s="6" t="s">
        <v>83</v>
      </c>
      <c r="E1073" s="6" t="s">
        <v>85</v>
      </c>
      <c r="F1073" s="6">
        <v>3</v>
      </c>
      <c r="G1073" s="6" t="s">
        <v>27</v>
      </c>
      <c r="H1073" s="6">
        <v>1</v>
      </c>
      <c r="I1073" s="6">
        <v>2</v>
      </c>
      <c r="J1073" s="6">
        <v>0.5</v>
      </c>
      <c r="K1073" s="6" t="s">
        <v>36</v>
      </c>
      <c r="L1073" s="6" t="str">
        <f>VLOOKUP(K1073, 'Alphabetical by species code'!A:B, 2, FALSE)</f>
        <v>Bromus madritensis</v>
      </c>
      <c r="M1073" s="6" t="str">
        <f>VLOOKUP(L1073, 'Alphabetical by species code'!B:C, 2, FALSE)</f>
        <v>Non-Native</v>
      </c>
    </row>
    <row r="1074" spans="1:13" x14ac:dyDescent="0.25">
      <c r="A1074" s="6">
        <v>13</v>
      </c>
      <c r="B1074" s="6">
        <v>2025</v>
      </c>
      <c r="C1074" s="7">
        <v>45790</v>
      </c>
      <c r="D1074" s="6" t="s">
        <v>83</v>
      </c>
      <c r="E1074" s="6" t="s">
        <v>85</v>
      </c>
      <c r="F1074" s="6">
        <v>3</v>
      </c>
      <c r="G1074" s="6" t="s">
        <v>27</v>
      </c>
      <c r="H1074" s="6">
        <v>1</v>
      </c>
      <c r="I1074" s="6">
        <v>2</v>
      </c>
      <c r="J1074" s="6">
        <v>0.5</v>
      </c>
      <c r="K1074" s="6" t="s">
        <v>29</v>
      </c>
      <c r="L1074" s="6" t="str">
        <f>VLOOKUP(K1074, 'Alphabetical by species code'!A:B, 2, FALSE)</f>
        <v>Opuntia littoralis</v>
      </c>
      <c r="M1074" s="6" t="str">
        <f>VLOOKUP(L1074, 'Alphabetical by species code'!B:C, 2, FALSE)</f>
        <v>Native</v>
      </c>
    </row>
    <row r="1075" spans="1:13" x14ac:dyDescent="0.25">
      <c r="A1075" s="6">
        <v>13</v>
      </c>
      <c r="B1075" s="6">
        <v>2025</v>
      </c>
      <c r="C1075" s="7">
        <v>45790</v>
      </c>
      <c r="D1075" s="6" t="s">
        <v>83</v>
      </c>
      <c r="E1075" s="6" t="s">
        <v>85</v>
      </c>
      <c r="F1075" s="6">
        <v>3</v>
      </c>
      <c r="G1075" s="6" t="s">
        <v>27</v>
      </c>
      <c r="H1075" s="6">
        <v>1</v>
      </c>
      <c r="I1075" s="6">
        <v>3</v>
      </c>
      <c r="J1075" s="6">
        <v>1</v>
      </c>
      <c r="K1075" s="6" t="s">
        <v>28</v>
      </c>
      <c r="L1075" s="6" t="str">
        <f>VLOOKUP(K1075, 'Alphabetical by species code'!A:B, 2, FALSE)</f>
        <v>Litter</v>
      </c>
      <c r="M1075" s="6" t="str">
        <f>VLOOKUP(L1075, 'Alphabetical by species code'!B:C, 2, FALSE)</f>
        <v>Ground Cover</v>
      </c>
    </row>
    <row r="1076" spans="1:13" x14ac:dyDescent="0.25">
      <c r="A1076" s="6">
        <v>13</v>
      </c>
      <c r="B1076" s="6">
        <v>2025</v>
      </c>
      <c r="C1076" s="7">
        <v>45790</v>
      </c>
      <c r="D1076" s="6" t="s">
        <v>83</v>
      </c>
      <c r="E1076" s="6" t="s">
        <v>85</v>
      </c>
      <c r="F1076" s="6">
        <v>3</v>
      </c>
      <c r="G1076" s="6" t="s">
        <v>27</v>
      </c>
      <c r="H1076" s="6">
        <v>1</v>
      </c>
      <c r="I1076" s="6">
        <v>3</v>
      </c>
      <c r="J1076" s="6">
        <v>1</v>
      </c>
      <c r="K1076" s="6" t="s">
        <v>64</v>
      </c>
      <c r="L1076" s="6" t="str">
        <f>VLOOKUP(K1076, 'Alphabetical by species code'!A:B, 2, FALSE)</f>
        <v>Brassica nigra</v>
      </c>
      <c r="M1076" s="6" t="str">
        <f>VLOOKUP(L1076, 'Alphabetical by species code'!B:C, 2, FALSE)</f>
        <v>Non-Native</v>
      </c>
    </row>
    <row r="1077" spans="1:13" x14ac:dyDescent="0.25">
      <c r="A1077" s="6">
        <v>13</v>
      </c>
      <c r="B1077" s="6">
        <v>2025</v>
      </c>
      <c r="C1077" s="7">
        <v>45790</v>
      </c>
      <c r="D1077" s="6" t="s">
        <v>83</v>
      </c>
      <c r="E1077" s="6" t="s">
        <v>85</v>
      </c>
      <c r="F1077" s="6">
        <v>3</v>
      </c>
      <c r="G1077" s="6" t="s">
        <v>27</v>
      </c>
      <c r="H1077" s="6">
        <v>1</v>
      </c>
      <c r="I1077" s="6">
        <v>3</v>
      </c>
      <c r="J1077" s="6">
        <v>1</v>
      </c>
      <c r="K1077" s="6" t="s">
        <v>49</v>
      </c>
      <c r="L1077" s="6" t="str">
        <f>VLOOKUP(K1077, 'Alphabetical by species code'!A:B, 2, FALSE)</f>
        <v>Anagallis arvensis</v>
      </c>
      <c r="M1077" s="6" t="str">
        <f>VLOOKUP(L1077, 'Alphabetical by species code'!B:C, 2, FALSE)</f>
        <v>Non-Native</v>
      </c>
    </row>
    <row r="1078" spans="1:13" x14ac:dyDescent="0.25">
      <c r="A1078" s="6">
        <v>13</v>
      </c>
      <c r="B1078" s="6">
        <v>2025</v>
      </c>
      <c r="C1078" s="7">
        <v>45790</v>
      </c>
      <c r="D1078" s="6" t="s">
        <v>83</v>
      </c>
      <c r="E1078" s="6" t="s">
        <v>85</v>
      </c>
      <c r="F1078" s="6">
        <v>3</v>
      </c>
      <c r="G1078" s="6" t="s">
        <v>27</v>
      </c>
      <c r="H1078" s="6">
        <v>1</v>
      </c>
      <c r="I1078" s="6">
        <v>4</v>
      </c>
      <c r="J1078" s="6">
        <v>1.5</v>
      </c>
      <c r="K1078" s="6" t="s">
        <v>28</v>
      </c>
      <c r="L1078" s="6" t="str">
        <f>VLOOKUP(K1078, 'Alphabetical by species code'!A:B, 2, FALSE)</f>
        <v>Litter</v>
      </c>
      <c r="M1078" s="6" t="str">
        <f>VLOOKUP(L1078, 'Alphabetical by species code'!B:C, 2, FALSE)</f>
        <v>Ground Cover</v>
      </c>
    </row>
    <row r="1079" spans="1:13" x14ac:dyDescent="0.25">
      <c r="A1079" s="6">
        <v>13</v>
      </c>
      <c r="B1079" s="6">
        <v>2025</v>
      </c>
      <c r="C1079" s="7">
        <v>45790</v>
      </c>
      <c r="D1079" s="6" t="s">
        <v>83</v>
      </c>
      <c r="E1079" s="6" t="s">
        <v>85</v>
      </c>
      <c r="F1079" s="6">
        <v>3</v>
      </c>
      <c r="G1079" s="6" t="s">
        <v>27</v>
      </c>
      <c r="H1079" s="6">
        <v>1</v>
      </c>
      <c r="I1079" s="6">
        <v>4</v>
      </c>
      <c r="J1079" s="6">
        <v>1.5</v>
      </c>
      <c r="K1079" s="6" t="s">
        <v>64</v>
      </c>
      <c r="L1079" s="6" t="str">
        <f>VLOOKUP(K1079, 'Alphabetical by species code'!A:B, 2, FALSE)</f>
        <v>Brassica nigra</v>
      </c>
      <c r="M1079" s="6" t="str">
        <f>VLOOKUP(L1079, 'Alphabetical by species code'!B:C, 2, FALSE)</f>
        <v>Non-Native</v>
      </c>
    </row>
    <row r="1080" spans="1:13" x14ac:dyDescent="0.25">
      <c r="A1080" s="6">
        <v>13</v>
      </c>
      <c r="B1080" s="6">
        <v>2025</v>
      </c>
      <c r="C1080" s="7">
        <v>45790</v>
      </c>
      <c r="D1080" s="6" t="s">
        <v>83</v>
      </c>
      <c r="E1080" s="6" t="s">
        <v>85</v>
      </c>
      <c r="F1080" s="6">
        <v>3</v>
      </c>
      <c r="G1080" s="6" t="s">
        <v>27</v>
      </c>
      <c r="H1080" s="6">
        <v>1</v>
      </c>
      <c r="I1080" s="6">
        <v>4</v>
      </c>
      <c r="J1080" s="6">
        <v>1.5</v>
      </c>
      <c r="K1080" s="6" t="s">
        <v>36</v>
      </c>
      <c r="L1080" s="6" t="str">
        <f>VLOOKUP(K1080, 'Alphabetical by species code'!A:B, 2, FALSE)</f>
        <v>Bromus madritensis</v>
      </c>
      <c r="M1080" s="6" t="str">
        <f>VLOOKUP(L1080, 'Alphabetical by species code'!B:C, 2, FALSE)</f>
        <v>Non-Native</v>
      </c>
    </row>
    <row r="1081" spans="1:13" x14ac:dyDescent="0.25">
      <c r="A1081" s="6">
        <v>13</v>
      </c>
      <c r="B1081" s="6">
        <v>2025</v>
      </c>
      <c r="C1081" s="7">
        <v>45790</v>
      </c>
      <c r="D1081" s="6" t="s">
        <v>83</v>
      </c>
      <c r="E1081" s="6" t="s">
        <v>85</v>
      </c>
      <c r="F1081" s="6">
        <v>3</v>
      </c>
      <c r="G1081" s="6" t="s">
        <v>27</v>
      </c>
      <c r="H1081" s="6">
        <v>1</v>
      </c>
      <c r="I1081" s="6">
        <v>4</v>
      </c>
      <c r="J1081" s="6">
        <v>1.5</v>
      </c>
      <c r="K1081" s="6" t="s">
        <v>31</v>
      </c>
      <c r="L1081" s="6" t="str">
        <f>VLOOKUP(K1081, 'Alphabetical by species code'!A:B, 2, FALSE)</f>
        <v>Festuca myuros</v>
      </c>
      <c r="M1081" s="6" t="str">
        <f>VLOOKUP(L1081, 'Alphabetical by species code'!B:C, 2, FALSE)</f>
        <v>Non-Native</v>
      </c>
    </row>
    <row r="1082" spans="1:13" x14ac:dyDescent="0.25">
      <c r="A1082" s="6">
        <v>13</v>
      </c>
      <c r="B1082" s="6">
        <v>2025</v>
      </c>
      <c r="C1082" s="7">
        <v>45790</v>
      </c>
      <c r="D1082" s="6" t="s">
        <v>83</v>
      </c>
      <c r="E1082" s="6" t="s">
        <v>85</v>
      </c>
      <c r="F1082" s="6">
        <v>3</v>
      </c>
      <c r="G1082" s="6" t="s">
        <v>27</v>
      </c>
      <c r="H1082" s="6">
        <v>1</v>
      </c>
      <c r="I1082" s="6">
        <v>4</v>
      </c>
      <c r="J1082" s="6">
        <v>1.5</v>
      </c>
      <c r="K1082" s="6" t="s">
        <v>49</v>
      </c>
      <c r="L1082" s="6" t="str">
        <f>VLOOKUP(K1082, 'Alphabetical by species code'!A:B, 2, FALSE)</f>
        <v>Anagallis arvensis</v>
      </c>
      <c r="M1082" s="6" t="str">
        <f>VLOOKUP(L1082, 'Alphabetical by species code'!B:C, 2, FALSE)</f>
        <v>Non-Native</v>
      </c>
    </row>
    <row r="1083" spans="1:13" x14ac:dyDescent="0.25">
      <c r="A1083" s="6">
        <v>13</v>
      </c>
      <c r="B1083" s="6">
        <v>2025</v>
      </c>
      <c r="C1083" s="7">
        <v>45790</v>
      </c>
      <c r="D1083" s="6" t="s">
        <v>83</v>
      </c>
      <c r="E1083" s="6" t="s">
        <v>85</v>
      </c>
      <c r="F1083" s="6">
        <v>3</v>
      </c>
      <c r="G1083" s="6" t="s">
        <v>27</v>
      </c>
      <c r="H1083" s="6">
        <v>1</v>
      </c>
      <c r="I1083" s="6">
        <v>5</v>
      </c>
      <c r="J1083" s="6">
        <v>2</v>
      </c>
      <c r="K1083" s="6" t="s">
        <v>28</v>
      </c>
      <c r="L1083" s="6" t="str">
        <f>VLOOKUP(K1083, 'Alphabetical by species code'!A:B, 2, FALSE)</f>
        <v>Litter</v>
      </c>
      <c r="M1083" s="6" t="str">
        <f>VLOOKUP(L1083, 'Alphabetical by species code'!B:C, 2, FALSE)</f>
        <v>Ground Cover</v>
      </c>
    </row>
    <row r="1084" spans="1:13" x14ac:dyDescent="0.25">
      <c r="A1084" s="6">
        <v>13</v>
      </c>
      <c r="B1084" s="6">
        <v>2025</v>
      </c>
      <c r="C1084" s="7">
        <v>45790</v>
      </c>
      <c r="D1084" s="6" t="s">
        <v>83</v>
      </c>
      <c r="E1084" s="6" t="s">
        <v>85</v>
      </c>
      <c r="F1084" s="6">
        <v>3</v>
      </c>
      <c r="G1084" s="6" t="s">
        <v>27</v>
      </c>
      <c r="H1084" s="6">
        <v>1</v>
      </c>
      <c r="I1084" s="6">
        <v>5</v>
      </c>
      <c r="J1084" s="6">
        <v>2</v>
      </c>
      <c r="K1084" s="6" t="s">
        <v>36</v>
      </c>
      <c r="L1084" s="6" t="str">
        <f>VLOOKUP(K1084, 'Alphabetical by species code'!A:B, 2, FALSE)</f>
        <v>Bromus madritensis</v>
      </c>
      <c r="M1084" s="6" t="str">
        <f>VLOOKUP(L1084, 'Alphabetical by species code'!B:C, 2, FALSE)</f>
        <v>Non-Native</v>
      </c>
    </row>
    <row r="1085" spans="1:13" x14ac:dyDescent="0.25">
      <c r="A1085" s="6">
        <v>13</v>
      </c>
      <c r="B1085" s="6">
        <v>2025</v>
      </c>
      <c r="C1085" s="7">
        <v>45790</v>
      </c>
      <c r="D1085" s="6" t="s">
        <v>83</v>
      </c>
      <c r="E1085" s="6" t="s">
        <v>85</v>
      </c>
      <c r="F1085" s="6">
        <v>3</v>
      </c>
      <c r="G1085" s="6" t="s">
        <v>27</v>
      </c>
      <c r="H1085" s="6">
        <v>1</v>
      </c>
      <c r="I1085" s="6">
        <v>5</v>
      </c>
      <c r="J1085" s="6">
        <v>2</v>
      </c>
      <c r="K1085" s="6" t="s">
        <v>31</v>
      </c>
      <c r="L1085" s="6" t="str">
        <f>VLOOKUP(K1085, 'Alphabetical by species code'!A:B, 2, FALSE)</f>
        <v>Festuca myuros</v>
      </c>
      <c r="M1085" s="6" t="str">
        <f>VLOOKUP(L1085, 'Alphabetical by species code'!B:C, 2, FALSE)</f>
        <v>Non-Native</v>
      </c>
    </row>
    <row r="1086" spans="1:13" x14ac:dyDescent="0.25">
      <c r="A1086" s="6">
        <v>13</v>
      </c>
      <c r="B1086" s="6">
        <v>2025</v>
      </c>
      <c r="C1086" s="7">
        <v>45790</v>
      </c>
      <c r="D1086" s="6" t="s">
        <v>83</v>
      </c>
      <c r="E1086" s="6" t="s">
        <v>85</v>
      </c>
      <c r="F1086" s="6">
        <v>3</v>
      </c>
      <c r="G1086" s="6" t="s">
        <v>27</v>
      </c>
      <c r="H1086" s="6">
        <v>1</v>
      </c>
      <c r="I1086" s="6">
        <v>5</v>
      </c>
      <c r="J1086" s="6">
        <v>2</v>
      </c>
      <c r="K1086" s="6" t="s">
        <v>49</v>
      </c>
      <c r="L1086" s="6" t="str">
        <f>VLOOKUP(K1086, 'Alphabetical by species code'!A:B, 2, FALSE)</f>
        <v>Anagallis arvensis</v>
      </c>
      <c r="M1086" s="6" t="str">
        <f>VLOOKUP(L1086, 'Alphabetical by species code'!B:C, 2, FALSE)</f>
        <v>Non-Native</v>
      </c>
    </row>
    <row r="1087" spans="1:13" x14ac:dyDescent="0.25">
      <c r="A1087" s="6">
        <v>13</v>
      </c>
      <c r="B1087" s="6">
        <v>2025</v>
      </c>
      <c r="C1087" s="7">
        <v>45790</v>
      </c>
      <c r="D1087" s="6" t="s">
        <v>83</v>
      </c>
      <c r="E1087" s="6" t="s">
        <v>85</v>
      </c>
      <c r="F1087" s="6">
        <v>3</v>
      </c>
      <c r="G1087" s="6" t="s">
        <v>27</v>
      </c>
      <c r="H1087" s="6">
        <v>1</v>
      </c>
      <c r="I1087" s="6">
        <v>6</v>
      </c>
      <c r="J1087" s="6">
        <v>2.5</v>
      </c>
      <c r="K1087" s="6" t="s">
        <v>28</v>
      </c>
      <c r="L1087" s="6" t="str">
        <f>VLOOKUP(K1087, 'Alphabetical by species code'!A:B, 2, FALSE)</f>
        <v>Litter</v>
      </c>
      <c r="M1087" s="6" t="str">
        <f>VLOOKUP(L1087, 'Alphabetical by species code'!B:C, 2, FALSE)</f>
        <v>Ground Cover</v>
      </c>
    </row>
    <row r="1088" spans="1:13" x14ac:dyDescent="0.25">
      <c r="A1088" s="6">
        <v>13</v>
      </c>
      <c r="B1088" s="6">
        <v>2025</v>
      </c>
      <c r="C1088" s="7">
        <v>45790</v>
      </c>
      <c r="D1088" s="6" t="s">
        <v>83</v>
      </c>
      <c r="E1088" s="6" t="s">
        <v>85</v>
      </c>
      <c r="F1088" s="6">
        <v>3</v>
      </c>
      <c r="G1088" s="6" t="s">
        <v>27</v>
      </c>
      <c r="H1088" s="6">
        <v>1</v>
      </c>
      <c r="I1088" s="6">
        <v>6</v>
      </c>
      <c r="J1088" s="6">
        <v>2.5</v>
      </c>
      <c r="K1088" s="6" t="s">
        <v>31</v>
      </c>
      <c r="L1088" s="6" t="str">
        <f>VLOOKUP(K1088, 'Alphabetical by species code'!A:B, 2, FALSE)</f>
        <v>Festuca myuros</v>
      </c>
      <c r="M1088" s="6" t="str">
        <f>VLOOKUP(L1088, 'Alphabetical by species code'!B:C, 2, FALSE)</f>
        <v>Non-Native</v>
      </c>
    </row>
    <row r="1089" spans="1:13" x14ac:dyDescent="0.25">
      <c r="A1089" s="6">
        <v>13</v>
      </c>
      <c r="B1089" s="6">
        <v>2025</v>
      </c>
      <c r="C1089" s="7">
        <v>45790</v>
      </c>
      <c r="D1089" s="6" t="s">
        <v>83</v>
      </c>
      <c r="E1089" s="6" t="s">
        <v>85</v>
      </c>
      <c r="F1089" s="6">
        <v>3</v>
      </c>
      <c r="G1089" s="6" t="s">
        <v>27</v>
      </c>
      <c r="H1089" s="6">
        <v>1</v>
      </c>
      <c r="I1089" s="6">
        <v>6</v>
      </c>
      <c r="J1089" s="6">
        <v>2.5</v>
      </c>
      <c r="K1089" s="6" t="s">
        <v>64</v>
      </c>
      <c r="L1089" s="6" t="str">
        <f>VLOOKUP(K1089, 'Alphabetical by species code'!A:B, 2, FALSE)</f>
        <v>Brassica nigra</v>
      </c>
      <c r="M1089" s="6" t="str">
        <f>VLOOKUP(L1089, 'Alphabetical by species code'!B:C, 2, FALSE)</f>
        <v>Non-Native</v>
      </c>
    </row>
    <row r="1090" spans="1:13" x14ac:dyDescent="0.25">
      <c r="A1090" s="6">
        <v>13</v>
      </c>
      <c r="B1090" s="6">
        <v>2025</v>
      </c>
      <c r="C1090" s="7">
        <v>45790</v>
      </c>
      <c r="D1090" s="6" t="s">
        <v>83</v>
      </c>
      <c r="E1090" s="6" t="s">
        <v>85</v>
      </c>
      <c r="F1090" s="6">
        <v>3</v>
      </c>
      <c r="G1090" s="6" t="s">
        <v>27</v>
      </c>
      <c r="H1090" s="6">
        <v>1</v>
      </c>
      <c r="I1090" s="6">
        <v>6</v>
      </c>
      <c r="J1090" s="6">
        <v>2.5</v>
      </c>
      <c r="K1090" s="6" t="s">
        <v>36</v>
      </c>
      <c r="L1090" s="6" t="str">
        <f>VLOOKUP(K1090, 'Alphabetical by species code'!A:B, 2, FALSE)</f>
        <v>Bromus madritensis</v>
      </c>
      <c r="M1090" s="6" t="str">
        <f>VLOOKUP(L1090, 'Alphabetical by species code'!B:C, 2, FALSE)</f>
        <v>Non-Native</v>
      </c>
    </row>
    <row r="1091" spans="1:13" x14ac:dyDescent="0.25">
      <c r="A1091" s="6">
        <v>13</v>
      </c>
      <c r="B1091" s="6">
        <v>2025</v>
      </c>
      <c r="C1091" s="7">
        <v>45790</v>
      </c>
      <c r="D1091" s="6" t="s">
        <v>83</v>
      </c>
      <c r="E1091" s="6" t="s">
        <v>85</v>
      </c>
      <c r="F1091" s="6">
        <v>3</v>
      </c>
      <c r="G1091" s="6" t="s">
        <v>27</v>
      </c>
      <c r="H1091" s="6">
        <v>1</v>
      </c>
      <c r="I1091" s="6">
        <v>7</v>
      </c>
      <c r="J1091" s="6">
        <v>3</v>
      </c>
      <c r="K1091" s="6" t="s">
        <v>28</v>
      </c>
      <c r="L1091" s="6" t="str">
        <f>VLOOKUP(K1091, 'Alphabetical by species code'!A:B, 2, FALSE)</f>
        <v>Litter</v>
      </c>
      <c r="M1091" s="6" t="str">
        <f>VLOOKUP(L1091, 'Alphabetical by species code'!B:C, 2, FALSE)</f>
        <v>Ground Cover</v>
      </c>
    </row>
    <row r="1092" spans="1:13" x14ac:dyDescent="0.25">
      <c r="A1092" s="6">
        <v>13</v>
      </c>
      <c r="B1092" s="6">
        <v>2025</v>
      </c>
      <c r="C1092" s="7">
        <v>45790</v>
      </c>
      <c r="D1092" s="6" t="s">
        <v>83</v>
      </c>
      <c r="E1092" s="6" t="s">
        <v>85</v>
      </c>
      <c r="F1092" s="6">
        <v>3</v>
      </c>
      <c r="G1092" s="6" t="s">
        <v>27</v>
      </c>
      <c r="H1092" s="6">
        <v>1</v>
      </c>
      <c r="I1092" s="6">
        <v>7</v>
      </c>
      <c r="J1092" s="6">
        <v>3</v>
      </c>
      <c r="K1092" s="6" t="s">
        <v>36</v>
      </c>
      <c r="L1092" s="6" t="str">
        <f>VLOOKUP(K1092, 'Alphabetical by species code'!A:B, 2, FALSE)</f>
        <v>Bromus madritensis</v>
      </c>
      <c r="M1092" s="6" t="str">
        <f>VLOOKUP(L1092, 'Alphabetical by species code'!B:C, 2, FALSE)</f>
        <v>Non-Native</v>
      </c>
    </row>
    <row r="1093" spans="1:13" x14ac:dyDescent="0.25">
      <c r="A1093" s="6">
        <v>13</v>
      </c>
      <c r="B1093" s="6">
        <v>2025</v>
      </c>
      <c r="C1093" s="7">
        <v>45790</v>
      </c>
      <c r="D1093" s="6" t="s">
        <v>83</v>
      </c>
      <c r="E1093" s="6" t="s">
        <v>85</v>
      </c>
      <c r="F1093" s="6">
        <v>3</v>
      </c>
      <c r="G1093" s="6" t="s">
        <v>27</v>
      </c>
      <c r="H1093" s="6">
        <v>1</v>
      </c>
      <c r="I1093" s="6">
        <v>7</v>
      </c>
      <c r="J1093" s="6">
        <v>3</v>
      </c>
      <c r="K1093" s="6" t="s">
        <v>31</v>
      </c>
      <c r="L1093" s="6" t="str">
        <f>VLOOKUP(K1093, 'Alphabetical by species code'!A:B, 2, FALSE)</f>
        <v>Festuca myuros</v>
      </c>
      <c r="M1093" s="6" t="str">
        <f>VLOOKUP(L1093, 'Alphabetical by species code'!B:C, 2, FALSE)</f>
        <v>Non-Native</v>
      </c>
    </row>
    <row r="1094" spans="1:13" x14ac:dyDescent="0.25">
      <c r="A1094" s="6">
        <v>13</v>
      </c>
      <c r="B1094" s="6">
        <v>2025</v>
      </c>
      <c r="C1094" s="7">
        <v>45790</v>
      </c>
      <c r="D1094" s="6" t="s">
        <v>83</v>
      </c>
      <c r="E1094" s="6" t="s">
        <v>85</v>
      </c>
      <c r="F1094" s="6">
        <v>3</v>
      </c>
      <c r="G1094" s="6" t="s">
        <v>27</v>
      </c>
      <c r="H1094" s="6">
        <v>1</v>
      </c>
      <c r="I1094" s="6">
        <v>8</v>
      </c>
      <c r="J1094" s="6">
        <v>3.5</v>
      </c>
      <c r="K1094" s="6" t="s">
        <v>28</v>
      </c>
      <c r="L1094" s="6" t="str">
        <f>VLOOKUP(K1094, 'Alphabetical by species code'!A:B, 2, FALSE)</f>
        <v>Litter</v>
      </c>
      <c r="M1094" s="6" t="str">
        <f>VLOOKUP(L1094, 'Alphabetical by species code'!B:C, 2, FALSE)</f>
        <v>Ground Cover</v>
      </c>
    </row>
    <row r="1095" spans="1:13" x14ac:dyDescent="0.25">
      <c r="A1095" s="6">
        <v>13</v>
      </c>
      <c r="B1095" s="6">
        <v>2025</v>
      </c>
      <c r="C1095" s="7">
        <v>45790</v>
      </c>
      <c r="D1095" s="6" t="s">
        <v>83</v>
      </c>
      <c r="E1095" s="6" t="s">
        <v>85</v>
      </c>
      <c r="F1095" s="6">
        <v>3</v>
      </c>
      <c r="G1095" s="6" t="s">
        <v>27</v>
      </c>
      <c r="H1095" s="6">
        <v>1</v>
      </c>
      <c r="I1095" s="6">
        <v>8</v>
      </c>
      <c r="J1095" s="6">
        <v>3.5</v>
      </c>
      <c r="K1095" s="6" t="s">
        <v>36</v>
      </c>
      <c r="L1095" s="6" t="str">
        <f>VLOOKUP(K1095, 'Alphabetical by species code'!A:B, 2, FALSE)</f>
        <v>Bromus madritensis</v>
      </c>
      <c r="M1095" s="6" t="str">
        <f>VLOOKUP(L1095, 'Alphabetical by species code'!B:C, 2, FALSE)</f>
        <v>Non-Native</v>
      </c>
    </row>
    <row r="1096" spans="1:13" x14ac:dyDescent="0.25">
      <c r="A1096" s="6">
        <v>13</v>
      </c>
      <c r="B1096" s="6">
        <v>2025</v>
      </c>
      <c r="C1096" s="7">
        <v>45790</v>
      </c>
      <c r="D1096" s="6" t="s">
        <v>83</v>
      </c>
      <c r="E1096" s="6" t="s">
        <v>85</v>
      </c>
      <c r="F1096" s="6">
        <v>3</v>
      </c>
      <c r="G1096" s="6" t="s">
        <v>27</v>
      </c>
      <c r="H1096" s="6">
        <v>1</v>
      </c>
      <c r="I1096" s="6">
        <v>8</v>
      </c>
      <c r="J1096" s="6">
        <v>3.5</v>
      </c>
      <c r="K1096" s="6" t="s">
        <v>35</v>
      </c>
      <c r="L1096" s="6" t="str">
        <f>VLOOKUP(K1096, 'Alphabetical by species code'!A:B, 2, FALSE)</f>
        <v>Deinandra fasciculata</v>
      </c>
      <c r="M1096" s="6" t="str">
        <f>VLOOKUP(L1096, 'Alphabetical by species code'!B:C, 2, FALSE)</f>
        <v>Native</v>
      </c>
    </row>
    <row r="1097" spans="1:13" x14ac:dyDescent="0.25">
      <c r="A1097" s="6">
        <v>13</v>
      </c>
      <c r="B1097" s="6">
        <v>2025</v>
      </c>
      <c r="C1097" s="7">
        <v>45790</v>
      </c>
      <c r="D1097" s="6" t="s">
        <v>83</v>
      </c>
      <c r="E1097" s="6" t="s">
        <v>85</v>
      </c>
      <c r="F1097" s="6">
        <v>3</v>
      </c>
      <c r="G1097" s="6" t="s">
        <v>27</v>
      </c>
      <c r="H1097" s="6">
        <v>1</v>
      </c>
      <c r="I1097" s="6">
        <v>8</v>
      </c>
      <c r="J1097" s="6">
        <v>3.5</v>
      </c>
      <c r="K1097" s="6" t="s">
        <v>49</v>
      </c>
      <c r="L1097" s="6" t="str">
        <f>VLOOKUP(K1097, 'Alphabetical by species code'!A:B, 2, FALSE)</f>
        <v>Anagallis arvensis</v>
      </c>
      <c r="M1097" s="6" t="str">
        <f>VLOOKUP(L1097, 'Alphabetical by species code'!B:C, 2, FALSE)</f>
        <v>Non-Native</v>
      </c>
    </row>
    <row r="1098" spans="1:13" x14ac:dyDescent="0.25">
      <c r="A1098" s="6">
        <v>13</v>
      </c>
      <c r="B1098" s="6">
        <v>2025</v>
      </c>
      <c r="C1098" s="7">
        <v>45790</v>
      </c>
      <c r="D1098" s="6" t="s">
        <v>83</v>
      </c>
      <c r="E1098" s="6" t="s">
        <v>85</v>
      </c>
      <c r="F1098" s="6">
        <v>3</v>
      </c>
      <c r="G1098" s="6" t="s">
        <v>27</v>
      </c>
      <c r="H1098" s="6">
        <v>1</v>
      </c>
      <c r="I1098" s="6">
        <v>9</v>
      </c>
      <c r="J1098" s="6">
        <v>4</v>
      </c>
      <c r="K1098" s="6" t="s">
        <v>28</v>
      </c>
      <c r="L1098" s="6" t="str">
        <f>VLOOKUP(K1098, 'Alphabetical by species code'!A:B, 2, FALSE)</f>
        <v>Litter</v>
      </c>
      <c r="M1098" s="6" t="str">
        <f>VLOOKUP(L1098, 'Alphabetical by species code'!B:C, 2, FALSE)</f>
        <v>Ground Cover</v>
      </c>
    </row>
    <row r="1099" spans="1:13" x14ac:dyDescent="0.25">
      <c r="A1099" s="6">
        <v>13</v>
      </c>
      <c r="B1099" s="6">
        <v>2025</v>
      </c>
      <c r="C1099" s="7">
        <v>45790</v>
      </c>
      <c r="D1099" s="6" t="s">
        <v>83</v>
      </c>
      <c r="E1099" s="6" t="s">
        <v>85</v>
      </c>
      <c r="F1099" s="6">
        <v>3</v>
      </c>
      <c r="G1099" s="6" t="s">
        <v>27</v>
      </c>
      <c r="H1099" s="6">
        <v>1</v>
      </c>
      <c r="I1099" s="6">
        <v>9</v>
      </c>
      <c r="J1099" s="6">
        <v>4</v>
      </c>
      <c r="K1099" s="6" t="s">
        <v>35</v>
      </c>
      <c r="L1099" s="6" t="str">
        <f>VLOOKUP(K1099, 'Alphabetical by species code'!A:B, 2, FALSE)</f>
        <v>Deinandra fasciculata</v>
      </c>
      <c r="M1099" s="6" t="str">
        <f>VLOOKUP(L1099, 'Alphabetical by species code'!B:C, 2, FALSE)</f>
        <v>Native</v>
      </c>
    </row>
    <row r="1100" spans="1:13" x14ac:dyDescent="0.25">
      <c r="A1100" s="6">
        <v>13</v>
      </c>
      <c r="B1100" s="6">
        <v>2025</v>
      </c>
      <c r="C1100" s="7">
        <v>45790</v>
      </c>
      <c r="D1100" s="6" t="s">
        <v>83</v>
      </c>
      <c r="E1100" s="6" t="s">
        <v>85</v>
      </c>
      <c r="F1100" s="6">
        <v>3</v>
      </c>
      <c r="G1100" s="6" t="s">
        <v>27</v>
      </c>
      <c r="H1100" s="6">
        <v>1</v>
      </c>
      <c r="I1100" s="6">
        <v>9</v>
      </c>
      <c r="J1100" s="6">
        <v>4</v>
      </c>
      <c r="K1100" s="6" t="s">
        <v>31</v>
      </c>
      <c r="L1100" s="6" t="str">
        <f>VLOOKUP(K1100, 'Alphabetical by species code'!A:B, 2, FALSE)</f>
        <v>Festuca myuros</v>
      </c>
      <c r="M1100" s="6" t="str">
        <f>VLOOKUP(L1100, 'Alphabetical by species code'!B:C, 2, FALSE)</f>
        <v>Non-Native</v>
      </c>
    </row>
    <row r="1101" spans="1:13" x14ac:dyDescent="0.25">
      <c r="A1101" s="6">
        <v>13</v>
      </c>
      <c r="B1101" s="6">
        <v>2025</v>
      </c>
      <c r="C1101" s="7">
        <v>45790</v>
      </c>
      <c r="D1101" s="6" t="s">
        <v>83</v>
      </c>
      <c r="E1101" s="6" t="s">
        <v>85</v>
      </c>
      <c r="F1101" s="6">
        <v>3</v>
      </c>
      <c r="G1101" s="6" t="s">
        <v>27</v>
      </c>
      <c r="H1101" s="6">
        <v>1</v>
      </c>
      <c r="I1101" s="6">
        <v>10</v>
      </c>
      <c r="J1101" s="6">
        <v>4.5</v>
      </c>
      <c r="K1101" s="6" t="s">
        <v>28</v>
      </c>
      <c r="L1101" s="6" t="str">
        <f>VLOOKUP(K1101, 'Alphabetical by species code'!A:B, 2, FALSE)</f>
        <v>Litter</v>
      </c>
      <c r="M1101" s="6" t="str">
        <f>VLOOKUP(L1101, 'Alphabetical by species code'!B:C, 2, FALSE)</f>
        <v>Ground Cover</v>
      </c>
    </row>
    <row r="1102" spans="1:13" x14ac:dyDescent="0.25">
      <c r="A1102" s="6">
        <v>13</v>
      </c>
      <c r="B1102" s="6">
        <v>2025</v>
      </c>
      <c r="C1102" s="7">
        <v>45790</v>
      </c>
      <c r="D1102" s="6" t="s">
        <v>83</v>
      </c>
      <c r="E1102" s="6" t="s">
        <v>85</v>
      </c>
      <c r="F1102" s="6">
        <v>3</v>
      </c>
      <c r="G1102" s="6" t="s">
        <v>27</v>
      </c>
      <c r="H1102" s="6">
        <v>1</v>
      </c>
      <c r="I1102" s="6">
        <v>10</v>
      </c>
      <c r="J1102" s="6">
        <v>4.5</v>
      </c>
      <c r="K1102" s="6" t="s">
        <v>31</v>
      </c>
      <c r="L1102" s="6" t="str">
        <f>VLOOKUP(K1102, 'Alphabetical by species code'!A:B, 2, FALSE)</f>
        <v>Festuca myuros</v>
      </c>
      <c r="M1102" s="6" t="str">
        <f>VLOOKUP(L1102, 'Alphabetical by species code'!B:C, 2, FALSE)</f>
        <v>Non-Native</v>
      </c>
    </row>
    <row r="1103" spans="1:13" x14ac:dyDescent="0.25">
      <c r="A1103" s="6">
        <v>13</v>
      </c>
      <c r="B1103" s="6">
        <v>2025</v>
      </c>
      <c r="C1103" s="7">
        <v>45790</v>
      </c>
      <c r="D1103" s="6" t="s">
        <v>83</v>
      </c>
      <c r="E1103" s="6" t="s">
        <v>85</v>
      </c>
      <c r="F1103" s="6">
        <v>3</v>
      </c>
      <c r="G1103" s="6" t="s">
        <v>27</v>
      </c>
      <c r="H1103" s="6">
        <v>1</v>
      </c>
      <c r="I1103" s="6">
        <v>10</v>
      </c>
      <c r="J1103" s="6">
        <v>4.5</v>
      </c>
      <c r="K1103" s="6" t="s">
        <v>36</v>
      </c>
      <c r="L1103" s="6" t="str">
        <f>VLOOKUP(K1103, 'Alphabetical by species code'!A:B, 2, FALSE)</f>
        <v>Bromus madritensis</v>
      </c>
      <c r="M1103" s="6" t="str">
        <f>VLOOKUP(L1103, 'Alphabetical by species code'!B:C, 2, FALSE)</f>
        <v>Non-Native</v>
      </c>
    </row>
    <row r="1104" spans="1:13" x14ac:dyDescent="0.25">
      <c r="A1104" s="6">
        <v>13</v>
      </c>
      <c r="B1104" s="6">
        <v>2025</v>
      </c>
      <c r="C1104" s="7">
        <v>45790</v>
      </c>
      <c r="D1104" s="6" t="s">
        <v>83</v>
      </c>
      <c r="E1104" s="6" t="s">
        <v>85</v>
      </c>
      <c r="F1104" s="6">
        <v>3</v>
      </c>
      <c r="G1104" s="6" t="s">
        <v>27</v>
      </c>
      <c r="H1104" s="6">
        <v>1</v>
      </c>
      <c r="I1104" s="6">
        <v>11</v>
      </c>
      <c r="J1104" s="6">
        <v>5</v>
      </c>
      <c r="K1104" s="6" t="s">
        <v>51</v>
      </c>
      <c r="L1104" s="6" t="str">
        <f>VLOOKUP(K1104, 'Alphabetical by species code'!A:B, 2, FALSE)</f>
        <v>Bareground</v>
      </c>
      <c r="M1104" s="6" t="str">
        <f>VLOOKUP(L1104, 'Alphabetical by species code'!B:C, 2, FALSE)</f>
        <v>Ground Cover</v>
      </c>
    </row>
    <row r="1105" spans="1:13" x14ac:dyDescent="0.25">
      <c r="A1105" s="6">
        <v>13</v>
      </c>
      <c r="B1105" s="6">
        <v>2025</v>
      </c>
      <c r="C1105" s="7">
        <v>45790</v>
      </c>
      <c r="D1105" s="6" t="s">
        <v>83</v>
      </c>
      <c r="E1105" s="6" t="s">
        <v>85</v>
      </c>
      <c r="F1105" s="6">
        <v>3</v>
      </c>
      <c r="G1105" s="6" t="s">
        <v>27</v>
      </c>
      <c r="H1105" s="6">
        <v>1</v>
      </c>
      <c r="I1105" s="6">
        <v>11</v>
      </c>
      <c r="J1105" s="6">
        <v>5</v>
      </c>
      <c r="K1105" s="6" t="s">
        <v>35</v>
      </c>
      <c r="L1105" s="6" t="str">
        <f>VLOOKUP(K1105, 'Alphabetical by species code'!A:B, 2, FALSE)</f>
        <v>Deinandra fasciculata</v>
      </c>
      <c r="M1105" s="6" t="str">
        <f>VLOOKUP(L1105, 'Alphabetical by species code'!B:C, 2, FALSE)</f>
        <v>Native</v>
      </c>
    </row>
    <row r="1106" spans="1:13" x14ac:dyDescent="0.25">
      <c r="A1106" s="6">
        <v>13</v>
      </c>
      <c r="B1106" s="6">
        <v>2025</v>
      </c>
      <c r="C1106" s="7">
        <v>45790</v>
      </c>
      <c r="D1106" s="6" t="s">
        <v>83</v>
      </c>
      <c r="E1106" s="6" t="s">
        <v>85</v>
      </c>
      <c r="F1106" s="6">
        <v>3</v>
      </c>
      <c r="G1106" s="6" t="s">
        <v>27</v>
      </c>
      <c r="H1106" s="6">
        <v>1</v>
      </c>
      <c r="I1106" s="6">
        <v>11</v>
      </c>
      <c r="J1106" s="6">
        <v>5</v>
      </c>
      <c r="K1106" s="6" t="s">
        <v>31</v>
      </c>
      <c r="L1106" s="6" t="str">
        <f>VLOOKUP(K1106, 'Alphabetical by species code'!A:B, 2, FALSE)</f>
        <v>Festuca myuros</v>
      </c>
      <c r="M1106" s="6" t="str">
        <f>VLOOKUP(L1106, 'Alphabetical by species code'!B:C, 2, FALSE)</f>
        <v>Non-Native</v>
      </c>
    </row>
    <row r="1107" spans="1:13" x14ac:dyDescent="0.25">
      <c r="A1107" s="6">
        <v>13</v>
      </c>
      <c r="B1107" s="6">
        <v>2025</v>
      </c>
      <c r="C1107" s="7">
        <v>45790</v>
      </c>
      <c r="D1107" s="6" t="s">
        <v>83</v>
      </c>
      <c r="E1107" s="6" t="s">
        <v>85</v>
      </c>
      <c r="F1107" s="6">
        <v>3</v>
      </c>
      <c r="G1107" s="6" t="s">
        <v>27</v>
      </c>
      <c r="H1107" s="6">
        <v>1</v>
      </c>
      <c r="I1107" s="6">
        <v>12</v>
      </c>
      <c r="J1107" s="6">
        <v>5.5</v>
      </c>
      <c r="K1107" s="6" t="s">
        <v>51</v>
      </c>
      <c r="L1107" s="6" t="str">
        <f>VLOOKUP(K1107, 'Alphabetical by species code'!A:B, 2, FALSE)</f>
        <v>Bareground</v>
      </c>
      <c r="M1107" s="6" t="str">
        <f>VLOOKUP(L1107, 'Alphabetical by species code'!B:C, 2, FALSE)</f>
        <v>Ground Cover</v>
      </c>
    </row>
    <row r="1108" spans="1:13" x14ac:dyDescent="0.25">
      <c r="A1108" s="6">
        <v>13</v>
      </c>
      <c r="B1108" s="6">
        <v>2025</v>
      </c>
      <c r="C1108" s="7">
        <v>45790</v>
      </c>
      <c r="D1108" s="6" t="s">
        <v>83</v>
      </c>
      <c r="E1108" s="6" t="s">
        <v>85</v>
      </c>
      <c r="F1108" s="6">
        <v>3</v>
      </c>
      <c r="G1108" s="6" t="s">
        <v>27</v>
      </c>
      <c r="H1108" s="6">
        <v>1</v>
      </c>
      <c r="I1108" s="6">
        <v>12</v>
      </c>
      <c r="J1108" s="6">
        <v>5.5</v>
      </c>
      <c r="K1108" s="6" t="s">
        <v>31</v>
      </c>
      <c r="L1108" s="6" t="str">
        <f>VLOOKUP(K1108, 'Alphabetical by species code'!A:B, 2, FALSE)</f>
        <v>Festuca myuros</v>
      </c>
      <c r="M1108" s="6" t="str">
        <f>VLOOKUP(L1108, 'Alphabetical by species code'!B:C, 2, FALSE)</f>
        <v>Non-Native</v>
      </c>
    </row>
    <row r="1109" spans="1:13" x14ac:dyDescent="0.25">
      <c r="A1109" s="6">
        <v>13</v>
      </c>
      <c r="B1109" s="6">
        <v>2025</v>
      </c>
      <c r="C1109" s="7">
        <v>45790</v>
      </c>
      <c r="D1109" s="6" t="s">
        <v>83</v>
      </c>
      <c r="E1109" s="6" t="s">
        <v>85</v>
      </c>
      <c r="F1109" s="6">
        <v>3</v>
      </c>
      <c r="G1109" s="6" t="s">
        <v>27</v>
      </c>
      <c r="H1109" s="6">
        <v>1</v>
      </c>
      <c r="I1109" s="6">
        <v>13</v>
      </c>
      <c r="J1109" s="6">
        <v>6.5</v>
      </c>
      <c r="K1109" s="6" t="s">
        <v>28</v>
      </c>
      <c r="L1109" s="6" t="str">
        <f>VLOOKUP(K1109, 'Alphabetical by species code'!A:B, 2, FALSE)</f>
        <v>Litter</v>
      </c>
      <c r="M1109" s="6" t="str">
        <f>VLOOKUP(L1109, 'Alphabetical by species code'!B:C, 2, FALSE)</f>
        <v>Ground Cover</v>
      </c>
    </row>
    <row r="1110" spans="1:13" x14ac:dyDescent="0.25">
      <c r="A1110" s="6">
        <v>13</v>
      </c>
      <c r="B1110" s="6">
        <v>2025</v>
      </c>
      <c r="C1110" s="7">
        <v>45790</v>
      </c>
      <c r="D1110" s="6" t="s">
        <v>83</v>
      </c>
      <c r="E1110" s="6" t="s">
        <v>85</v>
      </c>
      <c r="F1110" s="6">
        <v>3</v>
      </c>
      <c r="G1110" s="6" t="s">
        <v>27</v>
      </c>
      <c r="H1110" s="6">
        <v>1</v>
      </c>
      <c r="I1110" s="6">
        <v>13</v>
      </c>
      <c r="J1110" s="6">
        <v>6.5</v>
      </c>
      <c r="K1110" s="6" t="s">
        <v>31</v>
      </c>
      <c r="L1110" s="6" t="str">
        <f>VLOOKUP(K1110, 'Alphabetical by species code'!A:B, 2, FALSE)</f>
        <v>Festuca myuros</v>
      </c>
      <c r="M1110" s="6" t="str">
        <f>VLOOKUP(L1110, 'Alphabetical by species code'!B:C, 2, FALSE)</f>
        <v>Non-Native</v>
      </c>
    </row>
    <row r="1111" spans="1:13" x14ac:dyDescent="0.25">
      <c r="A1111" s="6">
        <v>13</v>
      </c>
      <c r="B1111" s="6">
        <v>2025</v>
      </c>
      <c r="C1111" s="7">
        <v>45790</v>
      </c>
      <c r="D1111" s="6" t="s">
        <v>83</v>
      </c>
      <c r="E1111" s="6" t="s">
        <v>85</v>
      </c>
      <c r="F1111" s="6">
        <v>3</v>
      </c>
      <c r="G1111" s="6" t="s">
        <v>27</v>
      </c>
      <c r="H1111" s="6">
        <v>1</v>
      </c>
      <c r="I1111" s="6">
        <v>14</v>
      </c>
      <c r="J1111" s="6">
        <v>7</v>
      </c>
      <c r="K1111" s="6" t="s">
        <v>28</v>
      </c>
      <c r="L1111" s="6" t="str">
        <f>VLOOKUP(K1111, 'Alphabetical by species code'!A:B, 2, FALSE)</f>
        <v>Litter</v>
      </c>
      <c r="M1111" s="6" t="str">
        <f>VLOOKUP(L1111, 'Alphabetical by species code'!B:C, 2, FALSE)</f>
        <v>Ground Cover</v>
      </c>
    </row>
    <row r="1112" spans="1:13" x14ac:dyDescent="0.25">
      <c r="A1112" s="6">
        <v>13</v>
      </c>
      <c r="B1112" s="6">
        <v>2025</v>
      </c>
      <c r="C1112" s="7">
        <v>45790</v>
      </c>
      <c r="D1112" s="6" t="s">
        <v>83</v>
      </c>
      <c r="E1112" s="6" t="s">
        <v>85</v>
      </c>
      <c r="F1112" s="6">
        <v>3</v>
      </c>
      <c r="G1112" s="6" t="s">
        <v>27</v>
      </c>
      <c r="H1112" s="6">
        <v>1</v>
      </c>
      <c r="I1112" s="6">
        <v>14</v>
      </c>
      <c r="J1112" s="6">
        <v>7</v>
      </c>
      <c r="K1112" s="6" t="s">
        <v>35</v>
      </c>
      <c r="L1112" s="6" t="str">
        <f>VLOOKUP(K1112, 'Alphabetical by species code'!A:B, 2, FALSE)</f>
        <v>Deinandra fasciculata</v>
      </c>
      <c r="M1112" s="6" t="str">
        <f>VLOOKUP(L1112, 'Alphabetical by species code'!B:C, 2, FALSE)</f>
        <v>Native</v>
      </c>
    </row>
    <row r="1113" spans="1:13" x14ac:dyDescent="0.25">
      <c r="A1113" s="6">
        <v>13</v>
      </c>
      <c r="B1113" s="6">
        <v>2025</v>
      </c>
      <c r="C1113" s="7">
        <v>45790</v>
      </c>
      <c r="D1113" s="6" t="s">
        <v>83</v>
      </c>
      <c r="E1113" s="6" t="s">
        <v>85</v>
      </c>
      <c r="F1113" s="6">
        <v>3</v>
      </c>
      <c r="G1113" s="6" t="s">
        <v>27</v>
      </c>
      <c r="H1113" s="6">
        <v>1</v>
      </c>
      <c r="I1113" s="6">
        <v>14</v>
      </c>
      <c r="J1113" s="6">
        <v>7</v>
      </c>
      <c r="K1113" s="6" t="s">
        <v>31</v>
      </c>
      <c r="L1113" s="6" t="str">
        <f>VLOOKUP(K1113, 'Alphabetical by species code'!A:B, 2, FALSE)</f>
        <v>Festuca myuros</v>
      </c>
      <c r="M1113" s="6" t="str">
        <f>VLOOKUP(L1113, 'Alphabetical by species code'!B:C, 2, FALSE)</f>
        <v>Non-Native</v>
      </c>
    </row>
    <row r="1114" spans="1:13" x14ac:dyDescent="0.25">
      <c r="A1114" s="6">
        <v>13</v>
      </c>
      <c r="B1114" s="6">
        <v>2025</v>
      </c>
      <c r="C1114" s="7">
        <v>45790</v>
      </c>
      <c r="D1114" s="6" t="s">
        <v>83</v>
      </c>
      <c r="E1114" s="6" t="s">
        <v>85</v>
      </c>
      <c r="F1114" s="6">
        <v>3</v>
      </c>
      <c r="G1114" s="6" t="s">
        <v>27</v>
      </c>
      <c r="H1114" s="6">
        <v>1</v>
      </c>
      <c r="I1114" s="6">
        <v>15</v>
      </c>
      <c r="J1114" s="6">
        <v>7.5</v>
      </c>
      <c r="K1114" s="6" t="s">
        <v>28</v>
      </c>
      <c r="L1114" s="6" t="str">
        <f>VLOOKUP(K1114, 'Alphabetical by species code'!A:B, 2, FALSE)</f>
        <v>Litter</v>
      </c>
      <c r="M1114" s="6" t="str">
        <f>VLOOKUP(L1114, 'Alphabetical by species code'!B:C, 2, FALSE)</f>
        <v>Ground Cover</v>
      </c>
    </row>
    <row r="1115" spans="1:13" x14ac:dyDescent="0.25">
      <c r="A1115" s="6">
        <v>13</v>
      </c>
      <c r="B1115" s="6">
        <v>2025</v>
      </c>
      <c r="C1115" s="7">
        <v>45790</v>
      </c>
      <c r="D1115" s="6" t="s">
        <v>83</v>
      </c>
      <c r="E1115" s="6" t="s">
        <v>85</v>
      </c>
      <c r="F1115" s="6">
        <v>3</v>
      </c>
      <c r="G1115" s="6" t="s">
        <v>27</v>
      </c>
      <c r="H1115" s="6">
        <v>1</v>
      </c>
      <c r="I1115" s="6">
        <v>15</v>
      </c>
      <c r="J1115" s="6">
        <v>7.5</v>
      </c>
      <c r="K1115" s="6" t="s">
        <v>31</v>
      </c>
      <c r="L1115" s="6" t="str">
        <f>VLOOKUP(K1115, 'Alphabetical by species code'!A:B, 2, FALSE)</f>
        <v>Festuca myuros</v>
      </c>
      <c r="M1115" s="6" t="str">
        <f>VLOOKUP(L1115, 'Alphabetical by species code'!B:C, 2, FALSE)</f>
        <v>Non-Native</v>
      </c>
    </row>
    <row r="1116" spans="1:13" x14ac:dyDescent="0.25">
      <c r="A1116" s="6">
        <v>13</v>
      </c>
      <c r="B1116" s="6">
        <v>2025</v>
      </c>
      <c r="C1116" s="7">
        <v>45790</v>
      </c>
      <c r="D1116" s="6" t="s">
        <v>83</v>
      </c>
      <c r="E1116" s="6" t="s">
        <v>85</v>
      </c>
      <c r="F1116" s="6">
        <v>3</v>
      </c>
      <c r="G1116" s="6" t="s">
        <v>27</v>
      </c>
      <c r="H1116" s="6">
        <v>1</v>
      </c>
      <c r="I1116" s="6">
        <v>15</v>
      </c>
      <c r="J1116" s="6">
        <v>7.5</v>
      </c>
      <c r="K1116" s="6" t="s">
        <v>36</v>
      </c>
      <c r="L1116" s="6" t="str">
        <f>VLOOKUP(K1116, 'Alphabetical by species code'!A:B, 2, FALSE)</f>
        <v>Bromus madritensis</v>
      </c>
      <c r="M1116" s="6" t="str">
        <f>VLOOKUP(L1116, 'Alphabetical by species code'!B:C, 2, FALSE)</f>
        <v>Non-Native</v>
      </c>
    </row>
    <row r="1117" spans="1:13" x14ac:dyDescent="0.25">
      <c r="A1117" s="6">
        <v>13</v>
      </c>
      <c r="B1117" s="6">
        <v>2025</v>
      </c>
      <c r="C1117" s="7">
        <v>45790</v>
      </c>
      <c r="D1117" s="6" t="s">
        <v>83</v>
      </c>
      <c r="E1117" s="6" t="s">
        <v>85</v>
      </c>
      <c r="F1117" s="6">
        <v>3</v>
      </c>
      <c r="G1117" s="6" t="s">
        <v>27</v>
      </c>
      <c r="H1117" s="6">
        <v>2</v>
      </c>
      <c r="I1117" s="6">
        <v>1</v>
      </c>
      <c r="J1117" s="6">
        <v>0</v>
      </c>
      <c r="K1117" s="6" t="s">
        <v>38</v>
      </c>
      <c r="L1117" s="6" t="str">
        <f>VLOOKUP(K1117, 'Alphabetical by species code'!A:B, 2, FALSE)</f>
        <v>Thatch</v>
      </c>
      <c r="M1117" s="6" t="str">
        <f>VLOOKUP(L1117, 'Alphabetical by species code'!B:C, 2, FALSE)</f>
        <v>Ground Cover</v>
      </c>
    </row>
    <row r="1118" spans="1:13" x14ac:dyDescent="0.25">
      <c r="A1118" s="6">
        <v>13</v>
      </c>
      <c r="B1118" s="6">
        <v>2025</v>
      </c>
      <c r="C1118" s="7">
        <v>45790</v>
      </c>
      <c r="D1118" s="6" t="s">
        <v>83</v>
      </c>
      <c r="E1118" s="6" t="s">
        <v>85</v>
      </c>
      <c r="F1118" s="6">
        <v>3</v>
      </c>
      <c r="G1118" s="6" t="s">
        <v>27</v>
      </c>
      <c r="H1118" s="6">
        <v>2</v>
      </c>
      <c r="I1118" s="6">
        <v>1</v>
      </c>
      <c r="J1118" s="6">
        <v>0</v>
      </c>
      <c r="K1118" s="6" t="s">
        <v>36</v>
      </c>
      <c r="L1118" s="6" t="str">
        <f>VLOOKUP(K1118, 'Alphabetical by species code'!A:B, 2, FALSE)</f>
        <v>Bromus madritensis</v>
      </c>
      <c r="M1118" s="6" t="str">
        <f>VLOOKUP(L1118, 'Alphabetical by species code'!B:C, 2, FALSE)</f>
        <v>Non-Native</v>
      </c>
    </row>
    <row r="1119" spans="1:13" x14ac:dyDescent="0.25">
      <c r="A1119" s="6">
        <v>13</v>
      </c>
      <c r="B1119" s="6">
        <v>2025</v>
      </c>
      <c r="C1119" s="7">
        <v>45790</v>
      </c>
      <c r="D1119" s="6" t="s">
        <v>83</v>
      </c>
      <c r="E1119" s="6" t="s">
        <v>85</v>
      </c>
      <c r="F1119" s="6">
        <v>3</v>
      </c>
      <c r="G1119" s="6" t="s">
        <v>27</v>
      </c>
      <c r="H1119" s="6">
        <v>2</v>
      </c>
      <c r="I1119" s="6">
        <v>2</v>
      </c>
      <c r="J1119" s="6">
        <v>0.5</v>
      </c>
      <c r="K1119" s="6" t="s">
        <v>28</v>
      </c>
      <c r="L1119" s="6" t="str">
        <f>VLOOKUP(K1119, 'Alphabetical by species code'!A:B, 2, FALSE)</f>
        <v>Litter</v>
      </c>
      <c r="M1119" s="6" t="str">
        <f>VLOOKUP(L1119, 'Alphabetical by species code'!B:C, 2, FALSE)</f>
        <v>Ground Cover</v>
      </c>
    </row>
    <row r="1120" spans="1:13" x14ac:dyDescent="0.25">
      <c r="A1120" s="6">
        <v>13</v>
      </c>
      <c r="B1120" s="6">
        <v>2025</v>
      </c>
      <c r="C1120" s="7">
        <v>45790</v>
      </c>
      <c r="D1120" s="6" t="s">
        <v>83</v>
      </c>
      <c r="E1120" s="6" t="s">
        <v>85</v>
      </c>
      <c r="F1120" s="6">
        <v>3</v>
      </c>
      <c r="G1120" s="6" t="s">
        <v>27</v>
      </c>
      <c r="H1120" s="6">
        <v>2</v>
      </c>
      <c r="I1120" s="6">
        <v>2</v>
      </c>
      <c r="J1120" s="6">
        <v>0.5</v>
      </c>
      <c r="K1120" s="6" t="s">
        <v>31</v>
      </c>
      <c r="L1120" s="6" t="str">
        <f>VLOOKUP(K1120, 'Alphabetical by species code'!A:B, 2, FALSE)</f>
        <v>Festuca myuros</v>
      </c>
      <c r="M1120" s="6" t="str">
        <f>VLOOKUP(L1120, 'Alphabetical by species code'!B:C, 2, FALSE)</f>
        <v>Non-Native</v>
      </c>
    </row>
    <row r="1121" spans="1:13" x14ac:dyDescent="0.25">
      <c r="A1121" s="6">
        <v>13</v>
      </c>
      <c r="B1121" s="6">
        <v>2025</v>
      </c>
      <c r="C1121" s="7">
        <v>45790</v>
      </c>
      <c r="D1121" s="6" t="s">
        <v>83</v>
      </c>
      <c r="E1121" s="6" t="s">
        <v>85</v>
      </c>
      <c r="F1121" s="6">
        <v>3</v>
      </c>
      <c r="G1121" s="6" t="s">
        <v>27</v>
      </c>
      <c r="H1121" s="6">
        <v>2</v>
      </c>
      <c r="I1121" s="6">
        <v>2</v>
      </c>
      <c r="J1121" s="6">
        <v>0.5</v>
      </c>
      <c r="K1121" s="6" t="s">
        <v>36</v>
      </c>
      <c r="L1121" s="6" t="str">
        <f>VLOOKUP(K1121, 'Alphabetical by species code'!A:B, 2, FALSE)</f>
        <v>Bromus madritensis</v>
      </c>
      <c r="M1121" s="6" t="str">
        <f>VLOOKUP(L1121, 'Alphabetical by species code'!B:C, 2, FALSE)</f>
        <v>Non-Native</v>
      </c>
    </row>
    <row r="1122" spans="1:13" x14ac:dyDescent="0.25">
      <c r="A1122" s="6">
        <v>13</v>
      </c>
      <c r="B1122" s="6">
        <v>2025</v>
      </c>
      <c r="C1122" s="7">
        <v>45790</v>
      </c>
      <c r="D1122" s="6" t="s">
        <v>83</v>
      </c>
      <c r="E1122" s="6" t="s">
        <v>85</v>
      </c>
      <c r="F1122" s="6">
        <v>3</v>
      </c>
      <c r="G1122" s="6" t="s">
        <v>27</v>
      </c>
      <c r="H1122" s="6">
        <v>2</v>
      </c>
      <c r="I1122" s="6">
        <v>3</v>
      </c>
      <c r="J1122" s="6">
        <v>1</v>
      </c>
      <c r="K1122" s="6" t="s">
        <v>38</v>
      </c>
      <c r="L1122" s="6" t="str">
        <f>VLOOKUP(K1122, 'Alphabetical by species code'!A:B, 2, FALSE)</f>
        <v>Thatch</v>
      </c>
      <c r="M1122" s="6" t="str">
        <f>VLOOKUP(L1122, 'Alphabetical by species code'!B:C, 2, FALSE)</f>
        <v>Ground Cover</v>
      </c>
    </row>
    <row r="1123" spans="1:13" x14ac:dyDescent="0.25">
      <c r="A1123" s="6">
        <v>13</v>
      </c>
      <c r="B1123" s="6">
        <v>2025</v>
      </c>
      <c r="C1123" s="7">
        <v>45790</v>
      </c>
      <c r="D1123" s="6" t="s">
        <v>83</v>
      </c>
      <c r="E1123" s="6" t="s">
        <v>85</v>
      </c>
      <c r="F1123" s="6">
        <v>3</v>
      </c>
      <c r="G1123" s="6" t="s">
        <v>27</v>
      </c>
      <c r="H1123" s="6">
        <v>2</v>
      </c>
      <c r="I1123" s="6">
        <v>3</v>
      </c>
      <c r="J1123" s="6">
        <v>1</v>
      </c>
      <c r="K1123" s="6" t="s">
        <v>36</v>
      </c>
      <c r="L1123" s="6" t="str">
        <f>VLOOKUP(K1123, 'Alphabetical by species code'!A:B, 2, FALSE)</f>
        <v>Bromus madritensis</v>
      </c>
      <c r="M1123" s="6" t="str">
        <f>VLOOKUP(L1123, 'Alphabetical by species code'!B:C, 2, FALSE)</f>
        <v>Non-Native</v>
      </c>
    </row>
    <row r="1124" spans="1:13" x14ac:dyDescent="0.25">
      <c r="A1124" s="6">
        <v>13</v>
      </c>
      <c r="B1124" s="6">
        <v>2025</v>
      </c>
      <c r="C1124" s="7">
        <v>45790</v>
      </c>
      <c r="D1124" s="6" t="s">
        <v>83</v>
      </c>
      <c r="E1124" s="6" t="s">
        <v>85</v>
      </c>
      <c r="F1124" s="6">
        <v>3</v>
      </c>
      <c r="G1124" s="6" t="s">
        <v>27</v>
      </c>
      <c r="H1124" s="6">
        <v>2</v>
      </c>
      <c r="I1124" s="6">
        <v>3</v>
      </c>
      <c r="J1124" s="6">
        <v>1</v>
      </c>
      <c r="K1124" s="6" t="s">
        <v>31</v>
      </c>
      <c r="L1124" s="6" t="str">
        <f>VLOOKUP(K1124, 'Alphabetical by species code'!A:B, 2, FALSE)</f>
        <v>Festuca myuros</v>
      </c>
      <c r="M1124" s="6" t="str">
        <f>VLOOKUP(L1124, 'Alphabetical by species code'!B:C, 2, FALSE)</f>
        <v>Non-Native</v>
      </c>
    </row>
    <row r="1125" spans="1:13" x14ac:dyDescent="0.25">
      <c r="A1125" s="6">
        <v>13</v>
      </c>
      <c r="B1125" s="6">
        <v>2025</v>
      </c>
      <c r="C1125" s="7">
        <v>45790</v>
      </c>
      <c r="D1125" s="6" t="s">
        <v>83</v>
      </c>
      <c r="E1125" s="6" t="s">
        <v>85</v>
      </c>
      <c r="F1125" s="6">
        <v>3</v>
      </c>
      <c r="G1125" s="6" t="s">
        <v>27</v>
      </c>
      <c r="H1125" s="6">
        <v>2</v>
      </c>
      <c r="I1125" s="6">
        <v>4</v>
      </c>
      <c r="J1125" s="6">
        <v>1.5</v>
      </c>
      <c r="K1125" s="6" t="s">
        <v>28</v>
      </c>
      <c r="L1125" s="6" t="str">
        <f>VLOOKUP(K1125, 'Alphabetical by species code'!A:B, 2, FALSE)</f>
        <v>Litter</v>
      </c>
      <c r="M1125" s="6" t="str">
        <f>VLOOKUP(L1125, 'Alphabetical by species code'!B:C, 2, FALSE)</f>
        <v>Ground Cover</v>
      </c>
    </row>
    <row r="1126" spans="1:13" x14ac:dyDescent="0.25">
      <c r="A1126" s="6">
        <v>13</v>
      </c>
      <c r="B1126" s="6">
        <v>2025</v>
      </c>
      <c r="C1126" s="7">
        <v>45790</v>
      </c>
      <c r="D1126" s="6" t="s">
        <v>83</v>
      </c>
      <c r="E1126" s="6" t="s">
        <v>85</v>
      </c>
      <c r="F1126" s="6">
        <v>3</v>
      </c>
      <c r="G1126" s="6" t="s">
        <v>27</v>
      </c>
      <c r="H1126" s="6">
        <v>2</v>
      </c>
      <c r="I1126" s="6">
        <v>4</v>
      </c>
      <c r="J1126" s="6">
        <v>1.5</v>
      </c>
      <c r="K1126" s="6" t="s">
        <v>36</v>
      </c>
      <c r="L1126" s="6" t="str">
        <f>VLOOKUP(K1126, 'Alphabetical by species code'!A:B, 2, FALSE)</f>
        <v>Bromus madritensis</v>
      </c>
      <c r="M1126" s="6" t="str">
        <f>VLOOKUP(L1126, 'Alphabetical by species code'!B:C, 2, FALSE)</f>
        <v>Non-Native</v>
      </c>
    </row>
    <row r="1127" spans="1:13" x14ac:dyDescent="0.25">
      <c r="A1127" s="6">
        <v>13</v>
      </c>
      <c r="B1127" s="6">
        <v>2025</v>
      </c>
      <c r="C1127" s="7">
        <v>45790</v>
      </c>
      <c r="D1127" s="6" t="s">
        <v>83</v>
      </c>
      <c r="E1127" s="6" t="s">
        <v>85</v>
      </c>
      <c r="F1127" s="6">
        <v>3</v>
      </c>
      <c r="G1127" s="6" t="s">
        <v>27</v>
      </c>
      <c r="H1127" s="6">
        <v>2</v>
      </c>
      <c r="I1127" s="6">
        <v>4</v>
      </c>
      <c r="J1127" s="6">
        <v>1.5</v>
      </c>
      <c r="K1127" s="6" t="s">
        <v>43</v>
      </c>
      <c r="L1127" s="6" t="str">
        <f>VLOOKUP(K1127, 'Alphabetical by species code'!A:B, 2, FALSE)</f>
        <v>Uropappus lindleyi</v>
      </c>
      <c r="M1127" s="6" t="str">
        <f>VLOOKUP(L1127, 'Alphabetical by species code'!B:C, 2, FALSE)</f>
        <v>Native</v>
      </c>
    </row>
    <row r="1128" spans="1:13" x14ac:dyDescent="0.25">
      <c r="A1128" s="6">
        <v>13</v>
      </c>
      <c r="B1128" s="6">
        <v>2025</v>
      </c>
      <c r="C1128" s="7">
        <v>45790</v>
      </c>
      <c r="D1128" s="6" t="s">
        <v>83</v>
      </c>
      <c r="E1128" s="6" t="s">
        <v>85</v>
      </c>
      <c r="F1128" s="6">
        <v>3</v>
      </c>
      <c r="G1128" s="6" t="s">
        <v>27</v>
      </c>
      <c r="H1128" s="6">
        <v>2</v>
      </c>
      <c r="I1128" s="6">
        <v>5</v>
      </c>
      <c r="J1128" s="6">
        <v>2.5</v>
      </c>
      <c r="K1128" s="6" t="s">
        <v>28</v>
      </c>
      <c r="L1128" s="6" t="str">
        <f>VLOOKUP(K1128, 'Alphabetical by species code'!A:B, 2, FALSE)</f>
        <v>Litter</v>
      </c>
      <c r="M1128" s="6" t="str">
        <f>VLOOKUP(L1128, 'Alphabetical by species code'!B:C, 2, FALSE)</f>
        <v>Ground Cover</v>
      </c>
    </row>
    <row r="1129" spans="1:13" x14ac:dyDescent="0.25">
      <c r="A1129" s="6">
        <v>13</v>
      </c>
      <c r="B1129" s="6">
        <v>2025</v>
      </c>
      <c r="C1129" s="7">
        <v>45790</v>
      </c>
      <c r="D1129" s="6" t="s">
        <v>83</v>
      </c>
      <c r="E1129" s="6" t="s">
        <v>85</v>
      </c>
      <c r="F1129" s="6">
        <v>3</v>
      </c>
      <c r="G1129" s="6" t="s">
        <v>27</v>
      </c>
      <c r="H1129" s="6">
        <v>2</v>
      </c>
      <c r="I1129" s="6">
        <v>5</v>
      </c>
      <c r="J1129" s="6">
        <v>2.5</v>
      </c>
      <c r="K1129" s="6" t="s">
        <v>31</v>
      </c>
      <c r="L1129" s="6" t="str">
        <f>VLOOKUP(K1129, 'Alphabetical by species code'!A:B, 2, FALSE)</f>
        <v>Festuca myuros</v>
      </c>
      <c r="M1129" s="6" t="str">
        <f>VLOOKUP(L1129, 'Alphabetical by species code'!B:C, 2, FALSE)</f>
        <v>Non-Native</v>
      </c>
    </row>
    <row r="1130" spans="1:13" x14ac:dyDescent="0.25">
      <c r="A1130" s="6">
        <v>13</v>
      </c>
      <c r="B1130" s="6">
        <v>2025</v>
      </c>
      <c r="C1130" s="7">
        <v>45790</v>
      </c>
      <c r="D1130" s="6" t="s">
        <v>83</v>
      </c>
      <c r="E1130" s="6" t="s">
        <v>85</v>
      </c>
      <c r="F1130" s="6">
        <v>3</v>
      </c>
      <c r="G1130" s="6" t="s">
        <v>27</v>
      </c>
      <c r="H1130" s="6">
        <v>2</v>
      </c>
      <c r="I1130" s="6">
        <v>6</v>
      </c>
      <c r="J1130" s="6">
        <v>3</v>
      </c>
      <c r="K1130" s="6" t="s">
        <v>28</v>
      </c>
      <c r="L1130" s="6" t="str">
        <f>VLOOKUP(K1130, 'Alphabetical by species code'!A:B, 2, FALSE)</f>
        <v>Litter</v>
      </c>
      <c r="M1130" s="6" t="str">
        <f>VLOOKUP(L1130, 'Alphabetical by species code'!B:C, 2, FALSE)</f>
        <v>Ground Cover</v>
      </c>
    </row>
    <row r="1131" spans="1:13" x14ac:dyDescent="0.25">
      <c r="A1131" s="6">
        <v>13</v>
      </c>
      <c r="B1131" s="6">
        <v>2025</v>
      </c>
      <c r="C1131" s="7">
        <v>45790</v>
      </c>
      <c r="D1131" s="6" t="s">
        <v>83</v>
      </c>
      <c r="E1131" s="6" t="s">
        <v>85</v>
      </c>
      <c r="F1131" s="6">
        <v>3</v>
      </c>
      <c r="G1131" s="6" t="s">
        <v>27</v>
      </c>
      <c r="H1131" s="6">
        <v>2</v>
      </c>
      <c r="I1131" s="6">
        <v>6</v>
      </c>
      <c r="J1131" s="6">
        <v>3</v>
      </c>
      <c r="K1131" s="6" t="s">
        <v>36</v>
      </c>
      <c r="L1131" s="6" t="str">
        <f>VLOOKUP(K1131, 'Alphabetical by species code'!A:B, 2, FALSE)</f>
        <v>Bromus madritensis</v>
      </c>
      <c r="M1131" s="6" t="str">
        <f>VLOOKUP(L1131, 'Alphabetical by species code'!B:C, 2, FALSE)</f>
        <v>Non-Native</v>
      </c>
    </row>
    <row r="1132" spans="1:13" x14ac:dyDescent="0.25">
      <c r="A1132" s="6">
        <v>13</v>
      </c>
      <c r="B1132" s="6">
        <v>2025</v>
      </c>
      <c r="C1132" s="7">
        <v>45790</v>
      </c>
      <c r="D1132" s="6" t="s">
        <v>83</v>
      </c>
      <c r="E1132" s="6" t="s">
        <v>85</v>
      </c>
      <c r="F1132" s="6">
        <v>3</v>
      </c>
      <c r="G1132" s="6" t="s">
        <v>27</v>
      </c>
      <c r="H1132" s="6">
        <v>2</v>
      </c>
      <c r="I1132" s="6">
        <v>7</v>
      </c>
      <c r="J1132" s="6">
        <v>3.5</v>
      </c>
      <c r="K1132" s="6" t="s">
        <v>28</v>
      </c>
      <c r="L1132" s="6" t="str">
        <f>VLOOKUP(K1132, 'Alphabetical by species code'!A:B, 2, FALSE)</f>
        <v>Litter</v>
      </c>
      <c r="M1132" s="6" t="str">
        <f>VLOOKUP(L1132, 'Alphabetical by species code'!B:C, 2, FALSE)</f>
        <v>Ground Cover</v>
      </c>
    </row>
    <row r="1133" spans="1:13" x14ac:dyDescent="0.25">
      <c r="A1133" s="6">
        <v>13</v>
      </c>
      <c r="B1133" s="6">
        <v>2025</v>
      </c>
      <c r="C1133" s="7">
        <v>45790</v>
      </c>
      <c r="D1133" s="6" t="s">
        <v>83</v>
      </c>
      <c r="E1133" s="6" t="s">
        <v>85</v>
      </c>
      <c r="F1133" s="6">
        <v>3</v>
      </c>
      <c r="G1133" s="6" t="s">
        <v>27</v>
      </c>
      <c r="H1133" s="6">
        <v>2</v>
      </c>
      <c r="I1133" s="6">
        <v>7</v>
      </c>
      <c r="J1133" s="6">
        <v>3.5</v>
      </c>
      <c r="K1133" s="6" t="s">
        <v>35</v>
      </c>
      <c r="L1133" s="6" t="str">
        <f>VLOOKUP(K1133, 'Alphabetical by species code'!A:B, 2, FALSE)</f>
        <v>Deinandra fasciculata</v>
      </c>
      <c r="M1133" s="6" t="str">
        <f>VLOOKUP(L1133, 'Alphabetical by species code'!B:C, 2, FALSE)</f>
        <v>Native</v>
      </c>
    </row>
    <row r="1134" spans="1:13" x14ac:dyDescent="0.25">
      <c r="A1134" s="6">
        <v>13</v>
      </c>
      <c r="B1134" s="6">
        <v>2025</v>
      </c>
      <c r="C1134" s="7">
        <v>45790</v>
      </c>
      <c r="D1134" s="6" t="s">
        <v>83</v>
      </c>
      <c r="E1134" s="6" t="s">
        <v>85</v>
      </c>
      <c r="F1134" s="6">
        <v>3</v>
      </c>
      <c r="G1134" s="6" t="s">
        <v>27</v>
      </c>
      <c r="H1134" s="6">
        <v>2</v>
      </c>
      <c r="I1134" s="6">
        <v>7</v>
      </c>
      <c r="J1134" s="6">
        <v>3.5</v>
      </c>
      <c r="K1134" s="6" t="s">
        <v>36</v>
      </c>
      <c r="L1134" s="6" t="str">
        <f>VLOOKUP(K1134, 'Alphabetical by species code'!A:B, 2, FALSE)</f>
        <v>Bromus madritensis</v>
      </c>
      <c r="M1134" s="6" t="str">
        <f>VLOOKUP(L1134, 'Alphabetical by species code'!B:C, 2, FALSE)</f>
        <v>Non-Native</v>
      </c>
    </row>
    <row r="1135" spans="1:13" x14ac:dyDescent="0.25">
      <c r="A1135" s="6">
        <v>13</v>
      </c>
      <c r="B1135" s="6">
        <v>2025</v>
      </c>
      <c r="C1135" s="7">
        <v>45790</v>
      </c>
      <c r="D1135" s="6" t="s">
        <v>83</v>
      </c>
      <c r="E1135" s="6" t="s">
        <v>85</v>
      </c>
      <c r="F1135" s="6">
        <v>3</v>
      </c>
      <c r="G1135" s="6" t="s">
        <v>27</v>
      </c>
      <c r="H1135" s="6">
        <v>2</v>
      </c>
      <c r="I1135" s="6">
        <v>7</v>
      </c>
      <c r="J1135" s="6">
        <v>3.5</v>
      </c>
      <c r="K1135" s="6" t="s">
        <v>31</v>
      </c>
      <c r="L1135" s="6" t="str">
        <f>VLOOKUP(K1135, 'Alphabetical by species code'!A:B, 2, FALSE)</f>
        <v>Festuca myuros</v>
      </c>
      <c r="M1135" s="6" t="str">
        <f>VLOOKUP(L1135, 'Alphabetical by species code'!B:C, 2, FALSE)</f>
        <v>Non-Native</v>
      </c>
    </row>
    <row r="1136" spans="1:13" x14ac:dyDescent="0.25">
      <c r="A1136" s="6">
        <v>13</v>
      </c>
      <c r="B1136" s="6">
        <v>2025</v>
      </c>
      <c r="C1136" s="7">
        <v>45790</v>
      </c>
      <c r="D1136" s="6" t="s">
        <v>83</v>
      </c>
      <c r="E1136" s="6" t="s">
        <v>85</v>
      </c>
      <c r="F1136" s="6">
        <v>3</v>
      </c>
      <c r="G1136" s="6" t="s">
        <v>27</v>
      </c>
      <c r="H1136" s="6">
        <v>2</v>
      </c>
      <c r="I1136" s="6">
        <v>8</v>
      </c>
      <c r="J1136" s="6">
        <v>4</v>
      </c>
      <c r="K1136" s="6" t="s">
        <v>28</v>
      </c>
      <c r="L1136" s="6" t="str">
        <f>VLOOKUP(K1136, 'Alphabetical by species code'!A:B, 2, FALSE)</f>
        <v>Litter</v>
      </c>
      <c r="M1136" s="6" t="str">
        <f>VLOOKUP(L1136, 'Alphabetical by species code'!B:C, 2, FALSE)</f>
        <v>Ground Cover</v>
      </c>
    </row>
    <row r="1137" spans="1:13" x14ac:dyDescent="0.25">
      <c r="A1137" s="6">
        <v>13</v>
      </c>
      <c r="B1137" s="6">
        <v>2025</v>
      </c>
      <c r="C1137" s="7">
        <v>45790</v>
      </c>
      <c r="D1137" s="6" t="s">
        <v>83</v>
      </c>
      <c r="E1137" s="6" t="s">
        <v>85</v>
      </c>
      <c r="F1137" s="6">
        <v>3</v>
      </c>
      <c r="G1137" s="6" t="s">
        <v>27</v>
      </c>
      <c r="H1137" s="6">
        <v>2</v>
      </c>
      <c r="I1137" s="6">
        <v>8</v>
      </c>
      <c r="J1137" s="6">
        <v>4</v>
      </c>
      <c r="K1137" s="6" t="s">
        <v>31</v>
      </c>
      <c r="L1137" s="6" t="str">
        <f>VLOOKUP(K1137, 'Alphabetical by species code'!A:B, 2, FALSE)</f>
        <v>Festuca myuros</v>
      </c>
      <c r="M1137" s="6" t="str">
        <f>VLOOKUP(L1137, 'Alphabetical by species code'!B:C, 2, FALSE)</f>
        <v>Non-Native</v>
      </c>
    </row>
    <row r="1138" spans="1:13" x14ac:dyDescent="0.25">
      <c r="A1138" s="6">
        <v>13</v>
      </c>
      <c r="B1138" s="6">
        <v>2025</v>
      </c>
      <c r="C1138" s="7">
        <v>45790</v>
      </c>
      <c r="D1138" s="6" t="s">
        <v>83</v>
      </c>
      <c r="E1138" s="6" t="s">
        <v>85</v>
      </c>
      <c r="F1138" s="6">
        <v>3</v>
      </c>
      <c r="G1138" s="6" t="s">
        <v>27</v>
      </c>
      <c r="H1138" s="6">
        <v>2</v>
      </c>
      <c r="I1138" s="6">
        <v>9</v>
      </c>
      <c r="J1138" s="6">
        <v>4.5</v>
      </c>
      <c r="K1138" s="6" t="s">
        <v>28</v>
      </c>
      <c r="L1138" s="6" t="str">
        <f>VLOOKUP(K1138, 'Alphabetical by species code'!A:B, 2, FALSE)</f>
        <v>Litter</v>
      </c>
      <c r="M1138" s="6" t="str">
        <f>VLOOKUP(L1138, 'Alphabetical by species code'!B:C, 2, FALSE)</f>
        <v>Ground Cover</v>
      </c>
    </row>
    <row r="1139" spans="1:13" x14ac:dyDescent="0.25">
      <c r="A1139" s="6">
        <v>13</v>
      </c>
      <c r="B1139" s="6">
        <v>2025</v>
      </c>
      <c r="C1139" s="7">
        <v>45790</v>
      </c>
      <c r="D1139" s="6" t="s">
        <v>83</v>
      </c>
      <c r="E1139" s="6" t="s">
        <v>85</v>
      </c>
      <c r="F1139" s="6">
        <v>3</v>
      </c>
      <c r="G1139" s="6" t="s">
        <v>27</v>
      </c>
      <c r="H1139" s="6">
        <v>2</v>
      </c>
      <c r="I1139" s="6">
        <v>9</v>
      </c>
      <c r="J1139" s="6">
        <v>4.5</v>
      </c>
      <c r="K1139" s="6" t="s">
        <v>31</v>
      </c>
      <c r="L1139" s="6" t="str">
        <f>VLOOKUP(K1139, 'Alphabetical by species code'!A:B, 2, FALSE)</f>
        <v>Festuca myuros</v>
      </c>
      <c r="M1139" s="6" t="str">
        <f>VLOOKUP(L1139, 'Alphabetical by species code'!B:C, 2, FALSE)</f>
        <v>Non-Native</v>
      </c>
    </row>
    <row r="1140" spans="1:13" x14ac:dyDescent="0.25">
      <c r="A1140" s="6">
        <v>13</v>
      </c>
      <c r="B1140" s="6">
        <v>2025</v>
      </c>
      <c r="C1140" s="7">
        <v>45790</v>
      </c>
      <c r="D1140" s="6" t="s">
        <v>83</v>
      </c>
      <c r="E1140" s="6" t="s">
        <v>85</v>
      </c>
      <c r="F1140" s="6">
        <v>3</v>
      </c>
      <c r="G1140" s="6" t="s">
        <v>27</v>
      </c>
      <c r="H1140" s="6">
        <v>2</v>
      </c>
      <c r="I1140" s="6">
        <v>10</v>
      </c>
      <c r="J1140" s="6">
        <v>5</v>
      </c>
      <c r="K1140" s="6" t="s">
        <v>28</v>
      </c>
      <c r="L1140" s="6" t="str">
        <f>VLOOKUP(K1140, 'Alphabetical by species code'!A:B, 2, FALSE)</f>
        <v>Litter</v>
      </c>
      <c r="M1140" s="6" t="str">
        <f>VLOOKUP(L1140, 'Alphabetical by species code'!B:C, 2, FALSE)</f>
        <v>Ground Cover</v>
      </c>
    </row>
    <row r="1141" spans="1:13" x14ac:dyDescent="0.25">
      <c r="A1141" s="6">
        <v>13</v>
      </c>
      <c r="B1141" s="6">
        <v>2025</v>
      </c>
      <c r="C1141" s="7">
        <v>45790</v>
      </c>
      <c r="D1141" s="6" t="s">
        <v>83</v>
      </c>
      <c r="E1141" s="6" t="s">
        <v>85</v>
      </c>
      <c r="F1141" s="6">
        <v>3</v>
      </c>
      <c r="G1141" s="6" t="s">
        <v>27</v>
      </c>
      <c r="H1141" s="6">
        <v>2</v>
      </c>
      <c r="I1141" s="6">
        <v>10</v>
      </c>
      <c r="J1141" s="6">
        <v>5</v>
      </c>
      <c r="K1141" s="6" t="s">
        <v>36</v>
      </c>
      <c r="L1141" s="6" t="str">
        <f>VLOOKUP(K1141, 'Alphabetical by species code'!A:B, 2, FALSE)</f>
        <v>Bromus madritensis</v>
      </c>
      <c r="M1141" s="6" t="str">
        <f>VLOOKUP(L1141, 'Alphabetical by species code'!B:C, 2, FALSE)</f>
        <v>Non-Native</v>
      </c>
    </row>
    <row r="1142" spans="1:13" x14ac:dyDescent="0.25">
      <c r="A1142" s="6">
        <v>13</v>
      </c>
      <c r="B1142" s="6">
        <v>2025</v>
      </c>
      <c r="C1142" s="7">
        <v>45790</v>
      </c>
      <c r="D1142" s="6" t="s">
        <v>83</v>
      </c>
      <c r="E1142" s="6" t="s">
        <v>85</v>
      </c>
      <c r="F1142" s="6">
        <v>3</v>
      </c>
      <c r="G1142" s="6" t="s">
        <v>27</v>
      </c>
      <c r="H1142" s="6">
        <v>2</v>
      </c>
      <c r="I1142" s="6">
        <v>11</v>
      </c>
      <c r="J1142" s="6">
        <v>5.5</v>
      </c>
      <c r="K1142" s="6" t="s">
        <v>28</v>
      </c>
      <c r="L1142" s="6" t="str">
        <f>VLOOKUP(K1142, 'Alphabetical by species code'!A:B, 2, FALSE)</f>
        <v>Litter</v>
      </c>
      <c r="M1142" s="6" t="str">
        <f>VLOOKUP(L1142, 'Alphabetical by species code'!B:C, 2, FALSE)</f>
        <v>Ground Cover</v>
      </c>
    </row>
    <row r="1143" spans="1:13" x14ac:dyDescent="0.25">
      <c r="A1143" s="6">
        <v>13</v>
      </c>
      <c r="B1143" s="6">
        <v>2025</v>
      </c>
      <c r="C1143" s="7">
        <v>45790</v>
      </c>
      <c r="D1143" s="6" t="s">
        <v>83</v>
      </c>
      <c r="E1143" s="6" t="s">
        <v>85</v>
      </c>
      <c r="F1143" s="6">
        <v>3</v>
      </c>
      <c r="G1143" s="6" t="s">
        <v>27</v>
      </c>
      <c r="H1143" s="6">
        <v>2</v>
      </c>
      <c r="I1143" s="6">
        <v>11</v>
      </c>
      <c r="J1143" s="6">
        <v>5.5</v>
      </c>
      <c r="K1143" s="6" t="s">
        <v>31</v>
      </c>
      <c r="L1143" s="6" t="str">
        <f>VLOOKUP(K1143, 'Alphabetical by species code'!A:B, 2, FALSE)</f>
        <v>Festuca myuros</v>
      </c>
      <c r="M1143" s="6" t="str">
        <f>VLOOKUP(L1143, 'Alphabetical by species code'!B:C, 2, FALSE)</f>
        <v>Non-Native</v>
      </c>
    </row>
    <row r="1144" spans="1:13" x14ac:dyDescent="0.25">
      <c r="A1144" s="6">
        <v>13</v>
      </c>
      <c r="B1144" s="6">
        <v>2025</v>
      </c>
      <c r="C1144" s="7">
        <v>45790</v>
      </c>
      <c r="D1144" s="6" t="s">
        <v>83</v>
      </c>
      <c r="E1144" s="6" t="s">
        <v>85</v>
      </c>
      <c r="F1144" s="6">
        <v>3</v>
      </c>
      <c r="G1144" s="6" t="s">
        <v>27</v>
      </c>
      <c r="H1144" s="6">
        <v>2</v>
      </c>
      <c r="I1144" s="6">
        <v>11</v>
      </c>
      <c r="J1144" s="6">
        <v>5.5</v>
      </c>
      <c r="K1144" s="6" t="s">
        <v>57</v>
      </c>
      <c r="L1144" s="6" t="str">
        <f>VLOOKUP(K1144, 'Alphabetical by species code'!A:B, 2, FALSE)</f>
        <v>Stipa pulchra</v>
      </c>
      <c r="M1144" s="6" t="str">
        <f>VLOOKUP(L1144, 'Alphabetical by species code'!B:C, 2, FALSE)</f>
        <v>Native</v>
      </c>
    </row>
    <row r="1145" spans="1:13" x14ac:dyDescent="0.25">
      <c r="A1145" s="6">
        <v>13</v>
      </c>
      <c r="B1145" s="6">
        <v>2025</v>
      </c>
      <c r="C1145" s="7">
        <v>45790</v>
      </c>
      <c r="D1145" s="6" t="s">
        <v>83</v>
      </c>
      <c r="E1145" s="6" t="s">
        <v>85</v>
      </c>
      <c r="F1145" s="6">
        <v>3</v>
      </c>
      <c r="G1145" s="6" t="s">
        <v>27</v>
      </c>
      <c r="H1145" s="6">
        <v>2</v>
      </c>
      <c r="I1145" s="6">
        <v>12</v>
      </c>
      <c r="J1145" s="6">
        <v>6</v>
      </c>
      <c r="K1145" s="6" t="s">
        <v>38</v>
      </c>
      <c r="L1145" s="6" t="str">
        <f>VLOOKUP(K1145, 'Alphabetical by species code'!A:B, 2, FALSE)</f>
        <v>Thatch</v>
      </c>
      <c r="M1145" s="6" t="str">
        <f>VLOOKUP(L1145, 'Alphabetical by species code'!B:C, 2, FALSE)</f>
        <v>Ground Cover</v>
      </c>
    </row>
    <row r="1146" spans="1:13" x14ac:dyDescent="0.25">
      <c r="A1146" s="6">
        <v>13</v>
      </c>
      <c r="B1146" s="6">
        <v>2025</v>
      </c>
      <c r="C1146" s="7">
        <v>45790</v>
      </c>
      <c r="D1146" s="6" t="s">
        <v>83</v>
      </c>
      <c r="E1146" s="6" t="s">
        <v>85</v>
      </c>
      <c r="F1146" s="6">
        <v>3</v>
      </c>
      <c r="G1146" s="6" t="s">
        <v>27</v>
      </c>
      <c r="H1146" s="6">
        <v>2</v>
      </c>
      <c r="I1146" s="6">
        <v>12</v>
      </c>
      <c r="J1146" s="6">
        <v>6</v>
      </c>
      <c r="K1146" s="6" t="s">
        <v>31</v>
      </c>
      <c r="L1146" s="6" t="str">
        <f>VLOOKUP(K1146, 'Alphabetical by species code'!A:B, 2, FALSE)</f>
        <v>Festuca myuros</v>
      </c>
      <c r="M1146" s="6" t="str">
        <f>VLOOKUP(L1146, 'Alphabetical by species code'!B:C, 2, FALSE)</f>
        <v>Non-Native</v>
      </c>
    </row>
    <row r="1147" spans="1:13" x14ac:dyDescent="0.25">
      <c r="A1147" s="6">
        <v>13</v>
      </c>
      <c r="B1147" s="6">
        <v>2025</v>
      </c>
      <c r="C1147" s="7">
        <v>45790</v>
      </c>
      <c r="D1147" s="6" t="s">
        <v>83</v>
      </c>
      <c r="E1147" s="6" t="s">
        <v>85</v>
      </c>
      <c r="F1147" s="6">
        <v>3</v>
      </c>
      <c r="G1147" s="6" t="s">
        <v>27</v>
      </c>
      <c r="H1147" s="6">
        <v>2</v>
      </c>
      <c r="I1147" s="6">
        <v>13</v>
      </c>
      <c r="J1147" s="6">
        <v>6.5</v>
      </c>
      <c r="K1147" s="6" t="s">
        <v>28</v>
      </c>
      <c r="L1147" s="6" t="str">
        <f>VLOOKUP(K1147, 'Alphabetical by species code'!A:B, 2, FALSE)</f>
        <v>Litter</v>
      </c>
      <c r="M1147" s="6" t="str">
        <f>VLOOKUP(L1147, 'Alphabetical by species code'!B:C, 2, FALSE)</f>
        <v>Ground Cover</v>
      </c>
    </row>
    <row r="1148" spans="1:13" x14ac:dyDescent="0.25">
      <c r="A1148" s="6">
        <v>13</v>
      </c>
      <c r="B1148" s="6">
        <v>2025</v>
      </c>
      <c r="C1148" s="7">
        <v>45790</v>
      </c>
      <c r="D1148" s="6" t="s">
        <v>83</v>
      </c>
      <c r="E1148" s="6" t="s">
        <v>85</v>
      </c>
      <c r="F1148" s="6">
        <v>3</v>
      </c>
      <c r="G1148" s="6" t="s">
        <v>27</v>
      </c>
      <c r="H1148" s="6">
        <v>2</v>
      </c>
      <c r="I1148" s="6">
        <v>13</v>
      </c>
      <c r="J1148" s="6">
        <v>6.5</v>
      </c>
      <c r="K1148" s="6" t="s">
        <v>36</v>
      </c>
      <c r="L1148" s="6" t="str">
        <f>VLOOKUP(K1148, 'Alphabetical by species code'!A:B, 2, FALSE)</f>
        <v>Bromus madritensis</v>
      </c>
      <c r="M1148" s="6" t="str">
        <f>VLOOKUP(L1148, 'Alphabetical by species code'!B:C, 2, FALSE)</f>
        <v>Non-Native</v>
      </c>
    </row>
    <row r="1149" spans="1:13" x14ac:dyDescent="0.25">
      <c r="A1149" s="6">
        <v>13</v>
      </c>
      <c r="B1149" s="6">
        <v>2025</v>
      </c>
      <c r="C1149" s="7">
        <v>45790</v>
      </c>
      <c r="D1149" s="6" t="s">
        <v>83</v>
      </c>
      <c r="E1149" s="6" t="s">
        <v>85</v>
      </c>
      <c r="F1149" s="6">
        <v>3</v>
      </c>
      <c r="G1149" s="6" t="s">
        <v>27</v>
      </c>
      <c r="H1149" s="6">
        <v>2</v>
      </c>
      <c r="I1149" s="6">
        <v>13</v>
      </c>
      <c r="J1149" s="6">
        <v>6.5</v>
      </c>
      <c r="K1149" s="6" t="s">
        <v>31</v>
      </c>
      <c r="L1149" s="6" t="str">
        <f>VLOOKUP(K1149, 'Alphabetical by species code'!A:B, 2, FALSE)</f>
        <v>Festuca myuros</v>
      </c>
      <c r="M1149" s="6" t="str">
        <f>VLOOKUP(L1149, 'Alphabetical by species code'!B:C, 2, FALSE)</f>
        <v>Non-Native</v>
      </c>
    </row>
    <row r="1150" spans="1:13" x14ac:dyDescent="0.25">
      <c r="A1150" s="6">
        <v>13</v>
      </c>
      <c r="B1150" s="6">
        <v>2025</v>
      </c>
      <c r="C1150" s="7">
        <v>45790</v>
      </c>
      <c r="D1150" s="6" t="s">
        <v>83</v>
      </c>
      <c r="E1150" s="6" t="s">
        <v>85</v>
      </c>
      <c r="F1150" s="6">
        <v>3</v>
      </c>
      <c r="G1150" s="6" t="s">
        <v>27</v>
      </c>
      <c r="H1150" s="6">
        <v>2</v>
      </c>
      <c r="I1150" s="6">
        <v>14</v>
      </c>
      <c r="J1150" s="6">
        <v>7</v>
      </c>
      <c r="K1150" s="6" t="s">
        <v>38</v>
      </c>
      <c r="L1150" s="6" t="str">
        <f>VLOOKUP(K1150, 'Alphabetical by species code'!A:B, 2, FALSE)</f>
        <v>Thatch</v>
      </c>
      <c r="M1150" s="6" t="str">
        <f>VLOOKUP(L1150, 'Alphabetical by species code'!B:C, 2, FALSE)</f>
        <v>Ground Cover</v>
      </c>
    </row>
    <row r="1151" spans="1:13" x14ac:dyDescent="0.25">
      <c r="A1151" s="6">
        <v>13</v>
      </c>
      <c r="B1151" s="6">
        <v>2025</v>
      </c>
      <c r="C1151" s="7">
        <v>45790</v>
      </c>
      <c r="D1151" s="6" t="s">
        <v>83</v>
      </c>
      <c r="E1151" s="6" t="s">
        <v>85</v>
      </c>
      <c r="F1151" s="6">
        <v>3</v>
      </c>
      <c r="G1151" s="6" t="s">
        <v>27</v>
      </c>
      <c r="H1151" s="6">
        <v>2</v>
      </c>
      <c r="I1151" s="6">
        <v>14</v>
      </c>
      <c r="J1151" s="6">
        <v>7</v>
      </c>
      <c r="K1151" s="6" t="s">
        <v>31</v>
      </c>
      <c r="L1151" s="6" t="str">
        <f>VLOOKUP(K1151, 'Alphabetical by species code'!A:B, 2, FALSE)</f>
        <v>Festuca myuros</v>
      </c>
      <c r="M1151" s="6" t="str">
        <f>VLOOKUP(L1151, 'Alphabetical by species code'!B:C, 2, FALSE)</f>
        <v>Non-Native</v>
      </c>
    </row>
    <row r="1152" spans="1:13" x14ac:dyDescent="0.25">
      <c r="A1152" s="6">
        <v>13</v>
      </c>
      <c r="B1152" s="6">
        <v>2025</v>
      </c>
      <c r="C1152" s="7">
        <v>45790</v>
      </c>
      <c r="D1152" s="6" t="s">
        <v>83</v>
      </c>
      <c r="E1152" s="6" t="s">
        <v>85</v>
      </c>
      <c r="F1152" s="6">
        <v>3</v>
      </c>
      <c r="G1152" s="6" t="s">
        <v>27</v>
      </c>
      <c r="H1152" s="6">
        <v>2</v>
      </c>
      <c r="I1152" s="6">
        <v>15</v>
      </c>
      <c r="J1152" s="6">
        <v>7.5</v>
      </c>
      <c r="K1152" s="6" t="s">
        <v>28</v>
      </c>
      <c r="L1152" s="6" t="str">
        <f>VLOOKUP(K1152, 'Alphabetical by species code'!A:B, 2, FALSE)</f>
        <v>Litter</v>
      </c>
      <c r="M1152" s="6" t="str">
        <f>VLOOKUP(L1152, 'Alphabetical by species code'!B:C, 2, FALSE)</f>
        <v>Ground Cover</v>
      </c>
    </row>
    <row r="1153" spans="1:13" x14ac:dyDescent="0.25">
      <c r="A1153" s="6">
        <v>13</v>
      </c>
      <c r="B1153" s="6">
        <v>2025</v>
      </c>
      <c r="C1153" s="7">
        <v>45790</v>
      </c>
      <c r="D1153" s="6" t="s">
        <v>83</v>
      </c>
      <c r="E1153" s="6" t="s">
        <v>85</v>
      </c>
      <c r="F1153" s="6">
        <v>3</v>
      </c>
      <c r="G1153" s="6" t="s">
        <v>27</v>
      </c>
      <c r="H1153" s="6">
        <v>2</v>
      </c>
      <c r="I1153" s="6">
        <v>15</v>
      </c>
      <c r="J1153" s="6">
        <v>7.5</v>
      </c>
      <c r="K1153" s="6" t="s">
        <v>31</v>
      </c>
      <c r="L1153" s="6" t="str">
        <f>VLOOKUP(K1153, 'Alphabetical by species code'!A:B, 2, FALSE)</f>
        <v>Festuca myuros</v>
      </c>
      <c r="M1153" s="6" t="str">
        <f>VLOOKUP(L1153, 'Alphabetical by species code'!B:C, 2, FALSE)</f>
        <v>Non-Native</v>
      </c>
    </row>
    <row r="1154" spans="1:13" x14ac:dyDescent="0.25">
      <c r="A1154" s="6">
        <v>14</v>
      </c>
      <c r="B1154" s="6">
        <v>2025</v>
      </c>
      <c r="C1154" s="7">
        <v>45790</v>
      </c>
      <c r="D1154" s="6" t="s">
        <v>83</v>
      </c>
      <c r="E1154" s="6" t="s">
        <v>85</v>
      </c>
      <c r="F1154" s="6">
        <v>3</v>
      </c>
      <c r="G1154" s="6" t="s">
        <v>46</v>
      </c>
      <c r="H1154" s="6">
        <v>1</v>
      </c>
      <c r="I1154" s="6">
        <v>1</v>
      </c>
      <c r="J1154" s="6">
        <v>0</v>
      </c>
      <c r="K1154" s="6" t="s">
        <v>28</v>
      </c>
      <c r="L1154" s="6" t="str">
        <f>VLOOKUP(K1154, 'Alphabetical by species code'!A:B, 2, FALSE)</f>
        <v>Litter</v>
      </c>
      <c r="M1154" s="6" t="str">
        <f>VLOOKUP(L1154, 'Alphabetical by species code'!B:C, 2, FALSE)</f>
        <v>Ground Cover</v>
      </c>
    </row>
    <row r="1155" spans="1:13" x14ac:dyDescent="0.25">
      <c r="A1155" s="6">
        <v>14</v>
      </c>
      <c r="B1155" s="6">
        <v>2025</v>
      </c>
      <c r="C1155" s="7">
        <v>45790</v>
      </c>
      <c r="D1155" s="6" t="s">
        <v>83</v>
      </c>
      <c r="E1155" s="6" t="s">
        <v>85</v>
      </c>
      <c r="F1155" s="6">
        <v>3</v>
      </c>
      <c r="G1155" s="6" t="s">
        <v>46</v>
      </c>
      <c r="H1155" s="6">
        <v>1</v>
      </c>
      <c r="I1155" s="6">
        <v>1</v>
      </c>
      <c r="J1155" s="6">
        <v>0</v>
      </c>
      <c r="K1155" s="6" t="s">
        <v>64</v>
      </c>
      <c r="L1155" s="6" t="str">
        <f>VLOOKUP(K1155, 'Alphabetical by species code'!A:B, 2, FALSE)</f>
        <v>Brassica nigra</v>
      </c>
      <c r="M1155" s="6" t="str">
        <f>VLOOKUP(L1155, 'Alphabetical by species code'!B:C, 2, FALSE)</f>
        <v>Non-Native</v>
      </c>
    </row>
    <row r="1156" spans="1:13" x14ac:dyDescent="0.25">
      <c r="A1156" s="6">
        <v>14</v>
      </c>
      <c r="B1156" s="6">
        <v>2025</v>
      </c>
      <c r="C1156" s="7">
        <v>45790</v>
      </c>
      <c r="D1156" s="6" t="s">
        <v>83</v>
      </c>
      <c r="E1156" s="6" t="s">
        <v>85</v>
      </c>
      <c r="F1156" s="6">
        <v>3</v>
      </c>
      <c r="G1156" s="6" t="s">
        <v>46</v>
      </c>
      <c r="H1156" s="6">
        <v>1</v>
      </c>
      <c r="I1156" s="6">
        <v>1</v>
      </c>
      <c r="J1156" s="6">
        <v>0</v>
      </c>
      <c r="K1156" s="6" t="s">
        <v>36</v>
      </c>
      <c r="L1156" s="6" t="str">
        <f>VLOOKUP(K1156, 'Alphabetical by species code'!A:B, 2, FALSE)</f>
        <v>Bromus madritensis</v>
      </c>
      <c r="M1156" s="6" t="str">
        <f>VLOOKUP(L1156, 'Alphabetical by species code'!B:C, 2, FALSE)</f>
        <v>Non-Native</v>
      </c>
    </row>
    <row r="1157" spans="1:13" x14ac:dyDescent="0.25">
      <c r="A1157" s="6">
        <v>14</v>
      </c>
      <c r="B1157" s="6">
        <v>2025</v>
      </c>
      <c r="C1157" s="7">
        <v>45790</v>
      </c>
      <c r="D1157" s="6" t="s">
        <v>83</v>
      </c>
      <c r="E1157" s="6" t="s">
        <v>85</v>
      </c>
      <c r="F1157" s="6">
        <v>3</v>
      </c>
      <c r="G1157" s="6" t="s">
        <v>46</v>
      </c>
      <c r="H1157" s="6">
        <v>1</v>
      </c>
      <c r="I1157" s="6">
        <v>2</v>
      </c>
      <c r="J1157" s="6">
        <v>0.5</v>
      </c>
      <c r="K1157" s="6" t="s">
        <v>28</v>
      </c>
      <c r="L1157" s="6" t="str">
        <f>VLOOKUP(K1157, 'Alphabetical by species code'!A:B, 2, FALSE)</f>
        <v>Litter</v>
      </c>
      <c r="M1157" s="6" t="str">
        <f>VLOOKUP(L1157, 'Alphabetical by species code'!B:C, 2, FALSE)</f>
        <v>Ground Cover</v>
      </c>
    </row>
    <row r="1158" spans="1:13" x14ac:dyDescent="0.25">
      <c r="A1158" s="6">
        <v>14</v>
      </c>
      <c r="B1158" s="6">
        <v>2025</v>
      </c>
      <c r="C1158" s="7">
        <v>45790</v>
      </c>
      <c r="D1158" s="6" t="s">
        <v>83</v>
      </c>
      <c r="E1158" s="6" t="s">
        <v>85</v>
      </c>
      <c r="F1158" s="6">
        <v>3</v>
      </c>
      <c r="G1158" s="6" t="s">
        <v>46</v>
      </c>
      <c r="H1158" s="6">
        <v>1</v>
      </c>
      <c r="I1158" s="6">
        <v>2</v>
      </c>
      <c r="J1158" s="6">
        <v>0.5</v>
      </c>
      <c r="K1158" s="6" t="s">
        <v>55</v>
      </c>
      <c r="L1158" s="6" t="str">
        <f>VLOOKUP(K1158, 'Alphabetical by species code'!A:B, 2, FALSE)</f>
        <v>Daucus pusillus</v>
      </c>
      <c r="M1158" s="6" t="str">
        <f>VLOOKUP(L1158, 'Alphabetical by species code'!B:C, 2, FALSE)</f>
        <v>Native</v>
      </c>
    </row>
    <row r="1159" spans="1:13" x14ac:dyDescent="0.25">
      <c r="A1159" s="6">
        <v>14</v>
      </c>
      <c r="B1159" s="6">
        <v>2025</v>
      </c>
      <c r="C1159" s="7">
        <v>45790</v>
      </c>
      <c r="D1159" s="6" t="s">
        <v>83</v>
      </c>
      <c r="E1159" s="6" t="s">
        <v>85</v>
      </c>
      <c r="F1159" s="6">
        <v>3</v>
      </c>
      <c r="G1159" s="6" t="s">
        <v>46</v>
      </c>
      <c r="H1159" s="6">
        <v>1</v>
      </c>
      <c r="I1159" s="6">
        <v>2</v>
      </c>
      <c r="J1159" s="6">
        <v>0.5</v>
      </c>
      <c r="K1159" s="6" t="s">
        <v>31</v>
      </c>
      <c r="L1159" s="6" t="str">
        <f>VLOOKUP(K1159, 'Alphabetical by species code'!A:B, 2, FALSE)</f>
        <v>Festuca myuros</v>
      </c>
      <c r="M1159" s="6" t="str">
        <f>VLOOKUP(L1159, 'Alphabetical by species code'!B:C, 2, FALSE)</f>
        <v>Non-Native</v>
      </c>
    </row>
    <row r="1160" spans="1:13" x14ac:dyDescent="0.25">
      <c r="A1160" s="6">
        <v>14</v>
      </c>
      <c r="B1160" s="6">
        <v>2025</v>
      </c>
      <c r="C1160" s="7">
        <v>45790</v>
      </c>
      <c r="D1160" s="6" t="s">
        <v>83</v>
      </c>
      <c r="E1160" s="6" t="s">
        <v>85</v>
      </c>
      <c r="F1160" s="6">
        <v>3</v>
      </c>
      <c r="G1160" s="6" t="s">
        <v>46</v>
      </c>
      <c r="H1160" s="6">
        <v>1</v>
      </c>
      <c r="I1160" s="6">
        <v>3</v>
      </c>
      <c r="J1160" s="6">
        <v>1</v>
      </c>
      <c r="K1160" s="6" t="s">
        <v>28</v>
      </c>
      <c r="L1160" s="6" t="str">
        <f>VLOOKUP(K1160, 'Alphabetical by species code'!A:B, 2, FALSE)</f>
        <v>Litter</v>
      </c>
      <c r="M1160" s="6" t="str">
        <f>VLOOKUP(L1160, 'Alphabetical by species code'!B:C, 2, FALSE)</f>
        <v>Ground Cover</v>
      </c>
    </row>
    <row r="1161" spans="1:13" x14ac:dyDescent="0.25">
      <c r="A1161" s="6">
        <v>14</v>
      </c>
      <c r="B1161" s="6">
        <v>2025</v>
      </c>
      <c r="C1161" s="7">
        <v>45790</v>
      </c>
      <c r="D1161" s="6" t="s">
        <v>83</v>
      </c>
      <c r="E1161" s="6" t="s">
        <v>85</v>
      </c>
      <c r="F1161" s="6">
        <v>3</v>
      </c>
      <c r="G1161" s="6" t="s">
        <v>46</v>
      </c>
      <c r="H1161" s="6">
        <v>1</v>
      </c>
      <c r="I1161" s="6">
        <v>3</v>
      </c>
      <c r="J1161" s="6">
        <v>1</v>
      </c>
      <c r="K1161" s="6" t="s">
        <v>36</v>
      </c>
      <c r="L1161" s="6" t="str">
        <f>VLOOKUP(K1161, 'Alphabetical by species code'!A:B, 2, FALSE)</f>
        <v>Bromus madritensis</v>
      </c>
      <c r="M1161" s="6" t="str">
        <f>VLOOKUP(L1161, 'Alphabetical by species code'!B:C, 2, FALSE)</f>
        <v>Non-Native</v>
      </c>
    </row>
    <row r="1162" spans="1:13" x14ac:dyDescent="0.25">
      <c r="A1162" s="6">
        <v>14</v>
      </c>
      <c r="B1162" s="6">
        <v>2025</v>
      </c>
      <c r="C1162" s="7">
        <v>45790</v>
      </c>
      <c r="D1162" s="6" t="s">
        <v>83</v>
      </c>
      <c r="E1162" s="6" t="s">
        <v>85</v>
      </c>
      <c r="F1162" s="6">
        <v>3</v>
      </c>
      <c r="G1162" s="6" t="s">
        <v>46</v>
      </c>
      <c r="H1162" s="6">
        <v>1</v>
      </c>
      <c r="I1162" s="6">
        <v>3</v>
      </c>
      <c r="J1162" s="6">
        <v>1</v>
      </c>
      <c r="K1162" s="6" t="s">
        <v>47</v>
      </c>
      <c r="L1162" s="6" t="str">
        <f>VLOOKUP(K1162, 'Alphabetical by species code'!A:B, 2, FALSE)</f>
        <v>Sonchus species</v>
      </c>
      <c r="M1162" s="6" t="str">
        <f>VLOOKUP(L1162, 'Alphabetical by species code'!B:C, 2, FALSE)</f>
        <v>Non-Native</v>
      </c>
    </row>
    <row r="1163" spans="1:13" x14ac:dyDescent="0.25">
      <c r="A1163" s="6">
        <v>14</v>
      </c>
      <c r="B1163" s="6">
        <v>2025</v>
      </c>
      <c r="C1163" s="7">
        <v>45790</v>
      </c>
      <c r="D1163" s="6" t="s">
        <v>83</v>
      </c>
      <c r="E1163" s="6" t="s">
        <v>85</v>
      </c>
      <c r="F1163" s="6">
        <v>3</v>
      </c>
      <c r="G1163" s="6" t="s">
        <v>46</v>
      </c>
      <c r="H1163" s="6">
        <v>1</v>
      </c>
      <c r="I1163" s="6">
        <v>4</v>
      </c>
      <c r="J1163" s="6">
        <v>1.5</v>
      </c>
      <c r="K1163" s="6" t="s">
        <v>28</v>
      </c>
      <c r="L1163" s="6" t="str">
        <f>VLOOKUP(K1163, 'Alphabetical by species code'!A:B, 2, FALSE)</f>
        <v>Litter</v>
      </c>
      <c r="M1163" s="6" t="str">
        <f>VLOOKUP(L1163, 'Alphabetical by species code'!B:C, 2, FALSE)</f>
        <v>Ground Cover</v>
      </c>
    </row>
    <row r="1164" spans="1:13" x14ac:dyDescent="0.25">
      <c r="A1164" s="6">
        <v>14</v>
      </c>
      <c r="B1164" s="6">
        <v>2025</v>
      </c>
      <c r="C1164" s="7">
        <v>45790</v>
      </c>
      <c r="D1164" s="6" t="s">
        <v>83</v>
      </c>
      <c r="E1164" s="6" t="s">
        <v>85</v>
      </c>
      <c r="F1164" s="6">
        <v>3</v>
      </c>
      <c r="G1164" s="6" t="s">
        <v>46</v>
      </c>
      <c r="H1164" s="6">
        <v>1</v>
      </c>
      <c r="I1164" s="6">
        <v>4</v>
      </c>
      <c r="J1164" s="6">
        <v>1.5</v>
      </c>
      <c r="K1164" s="6" t="s">
        <v>84</v>
      </c>
      <c r="L1164" s="6" t="str">
        <f>VLOOKUP(K1164, 'Alphabetical by species code'!A:B, 2, FALSE)</f>
        <v>Bromus diandrus</v>
      </c>
      <c r="M1164" s="6" t="str">
        <f>VLOOKUP(L1164, 'Alphabetical by species code'!B:C, 2, FALSE)</f>
        <v>Non-Native</v>
      </c>
    </row>
    <row r="1165" spans="1:13" x14ac:dyDescent="0.25">
      <c r="A1165" s="6">
        <v>14</v>
      </c>
      <c r="B1165" s="6">
        <v>2025</v>
      </c>
      <c r="C1165" s="7">
        <v>45790</v>
      </c>
      <c r="D1165" s="6" t="s">
        <v>83</v>
      </c>
      <c r="E1165" s="6" t="s">
        <v>85</v>
      </c>
      <c r="F1165" s="6">
        <v>3</v>
      </c>
      <c r="G1165" s="6" t="s">
        <v>46</v>
      </c>
      <c r="H1165" s="6">
        <v>1</v>
      </c>
      <c r="I1165" s="6">
        <v>4</v>
      </c>
      <c r="J1165" s="6">
        <v>1.5</v>
      </c>
      <c r="K1165" s="6" t="s">
        <v>29</v>
      </c>
      <c r="L1165" s="6" t="str">
        <f>VLOOKUP(K1165, 'Alphabetical by species code'!A:B, 2, FALSE)</f>
        <v>Opuntia littoralis</v>
      </c>
      <c r="M1165" s="6" t="str">
        <f>VLOOKUP(L1165, 'Alphabetical by species code'!B:C, 2, FALSE)</f>
        <v>Native</v>
      </c>
    </row>
    <row r="1166" spans="1:13" x14ac:dyDescent="0.25">
      <c r="A1166" s="6">
        <v>14</v>
      </c>
      <c r="B1166" s="6">
        <v>2025</v>
      </c>
      <c r="C1166" s="7">
        <v>45790</v>
      </c>
      <c r="D1166" s="6" t="s">
        <v>83</v>
      </c>
      <c r="E1166" s="6" t="s">
        <v>85</v>
      </c>
      <c r="F1166" s="6">
        <v>3</v>
      </c>
      <c r="G1166" s="6" t="s">
        <v>46</v>
      </c>
      <c r="H1166" s="6">
        <v>1</v>
      </c>
      <c r="I1166" s="6">
        <v>4</v>
      </c>
      <c r="J1166" s="6">
        <v>1.5</v>
      </c>
      <c r="K1166" s="6" t="s">
        <v>36</v>
      </c>
      <c r="L1166" s="6" t="str">
        <f>VLOOKUP(K1166, 'Alphabetical by species code'!A:B, 2, FALSE)</f>
        <v>Bromus madritensis</v>
      </c>
      <c r="M1166" s="6" t="str">
        <f>VLOOKUP(L1166, 'Alphabetical by species code'!B:C, 2, FALSE)</f>
        <v>Non-Native</v>
      </c>
    </row>
    <row r="1167" spans="1:13" x14ac:dyDescent="0.25">
      <c r="A1167" s="6">
        <v>14</v>
      </c>
      <c r="B1167" s="6">
        <v>2025</v>
      </c>
      <c r="C1167" s="7">
        <v>45790</v>
      </c>
      <c r="D1167" s="6" t="s">
        <v>83</v>
      </c>
      <c r="E1167" s="6" t="s">
        <v>85</v>
      </c>
      <c r="F1167" s="6">
        <v>3</v>
      </c>
      <c r="G1167" s="6" t="s">
        <v>46</v>
      </c>
      <c r="H1167" s="6">
        <v>1</v>
      </c>
      <c r="I1167" s="6">
        <v>5</v>
      </c>
      <c r="J1167" s="6">
        <v>2</v>
      </c>
      <c r="K1167" s="6" t="s">
        <v>28</v>
      </c>
      <c r="L1167" s="6" t="str">
        <f>VLOOKUP(K1167, 'Alphabetical by species code'!A:B, 2, FALSE)</f>
        <v>Litter</v>
      </c>
      <c r="M1167" s="6" t="str">
        <f>VLOOKUP(L1167, 'Alphabetical by species code'!B:C, 2, FALSE)</f>
        <v>Ground Cover</v>
      </c>
    </row>
    <row r="1168" spans="1:13" x14ac:dyDescent="0.25">
      <c r="A1168" s="6">
        <v>14</v>
      </c>
      <c r="B1168" s="6">
        <v>2025</v>
      </c>
      <c r="C1168" s="7">
        <v>45790</v>
      </c>
      <c r="D1168" s="6" t="s">
        <v>83</v>
      </c>
      <c r="E1168" s="6" t="s">
        <v>85</v>
      </c>
      <c r="F1168" s="6">
        <v>3</v>
      </c>
      <c r="G1168" s="6" t="s">
        <v>46</v>
      </c>
      <c r="H1168" s="6">
        <v>1</v>
      </c>
      <c r="I1168" s="6">
        <v>5</v>
      </c>
      <c r="J1168" s="6">
        <v>2</v>
      </c>
      <c r="K1168" s="6" t="s">
        <v>29</v>
      </c>
      <c r="L1168" s="6" t="str">
        <f>VLOOKUP(K1168, 'Alphabetical by species code'!A:B, 2, FALSE)</f>
        <v>Opuntia littoralis</v>
      </c>
      <c r="M1168" s="6" t="str">
        <f>VLOOKUP(L1168, 'Alphabetical by species code'!B:C, 2, FALSE)</f>
        <v>Native</v>
      </c>
    </row>
    <row r="1169" spans="1:13" x14ac:dyDescent="0.25">
      <c r="A1169" s="6">
        <v>14</v>
      </c>
      <c r="B1169" s="6">
        <v>2025</v>
      </c>
      <c r="C1169" s="7">
        <v>45790</v>
      </c>
      <c r="D1169" s="6" t="s">
        <v>83</v>
      </c>
      <c r="E1169" s="6" t="s">
        <v>85</v>
      </c>
      <c r="F1169" s="6">
        <v>3</v>
      </c>
      <c r="G1169" s="6" t="s">
        <v>46</v>
      </c>
      <c r="H1169" s="6">
        <v>1</v>
      </c>
      <c r="I1169" s="6">
        <v>5</v>
      </c>
      <c r="J1169" s="6">
        <v>2</v>
      </c>
      <c r="K1169" s="6" t="s">
        <v>31</v>
      </c>
      <c r="L1169" s="6" t="str">
        <f>VLOOKUP(K1169, 'Alphabetical by species code'!A:B, 2, FALSE)</f>
        <v>Festuca myuros</v>
      </c>
      <c r="M1169" s="6" t="str">
        <f>VLOOKUP(L1169, 'Alphabetical by species code'!B:C, 2, FALSE)</f>
        <v>Non-Native</v>
      </c>
    </row>
    <row r="1170" spans="1:13" x14ac:dyDescent="0.25">
      <c r="A1170" s="6">
        <v>14</v>
      </c>
      <c r="B1170" s="6">
        <v>2025</v>
      </c>
      <c r="C1170" s="7">
        <v>45790</v>
      </c>
      <c r="D1170" s="6" t="s">
        <v>83</v>
      </c>
      <c r="E1170" s="6" t="s">
        <v>85</v>
      </c>
      <c r="F1170" s="6">
        <v>3</v>
      </c>
      <c r="G1170" s="6" t="s">
        <v>46</v>
      </c>
      <c r="H1170" s="6">
        <v>1</v>
      </c>
      <c r="I1170" s="6">
        <v>6</v>
      </c>
      <c r="J1170" s="6">
        <v>2.5</v>
      </c>
      <c r="K1170" s="6" t="s">
        <v>38</v>
      </c>
      <c r="L1170" s="6" t="str">
        <f>VLOOKUP(K1170, 'Alphabetical by species code'!A:B, 2, FALSE)</f>
        <v>Thatch</v>
      </c>
      <c r="M1170" s="6" t="str">
        <f>VLOOKUP(L1170, 'Alphabetical by species code'!B:C, 2, FALSE)</f>
        <v>Ground Cover</v>
      </c>
    </row>
    <row r="1171" spans="1:13" x14ac:dyDescent="0.25">
      <c r="A1171" s="6">
        <v>14</v>
      </c>
      <c r="B1171" s="6">
        <v>2025</v>
      </c>
      <c r="C1171" s="7">
        <v>45790</v>
      </c>
      <c r="D1171" s="6" t="s">
        <v>83</v>
      </c>
      <c r="E1171" s="6" t="s">
        <v>85</v>
      </c>
      <c r="F1171" s="6">
        <v>3</v>
      </c>
      <c r="G1171" s="6" t="s">
        <v>46</v>
      </c>
      <c r="H1171" s="6">
        <v>1</v>
      </c>
      <c r="I1171" s="6">
        <v>6</v>
      </c>
      <c r="J1171" s="6">
        <v>2.5</v>
      </c>
      <c r="K1171" s="6" t="s">
        <v>36</v>
      </c>
      <c r="L1171" s="6" t="str">
        <f>VLOOKUP(K1171, 'Alphabetical by species code'!A:B, 2, FALSE)</f>
        <v>Bromus madritensis</v>
      </c>
      <c r="M1171" s="6" t="str">
        <f>VLOOKUP(L1171, 'Alphabetical by species code'!B:C, 2, FALSE)</f>
        <v>Non-Native</v>
      </c>
    </row>
    <row r="1172" spans="1:13" x14ac:dyDescent="0.25">
      <c r="A1172" s="6">
        <v>14</v>
      </c>
      <c r="B1172" s="6">
        <v>2025</v>
      </c>
      <c r="C1172" s="7">
        <v>45790</v>
      </c>
      <c r="D1172" s="6" t="s">
        <v>83</v>
      </c>
      <c r="E1172" s="6" t="s">
        <v>85</v>
      </c>
      <c r="F1172" s="6">
        <v>3</v>
      </c>
      <c r="G1172" s="6" t="s">
        <v>46</v>
      </c>
      <c r="H1172" s="6">
        <v>1</v>
      </c>
      <c r="I1172" s="6">
        <v>6</v>
      </c>
      <c r="J1172" s="6">
        <v>2.5</v>
      </c>
      <c r="K1172" s="6" t="s">
        <v>31</v>
      </c>
      <c r="L1172" s="6" t="str">
        <f>VLOOKUP(K1172, 'Alphabetical by species code'!A:B, 2, FALSE)</f>
        <v>Festuca myuros</v>
      </c>
      <c r="M1172" s="6" t="str">
        <f>VLOOKUP(L1172, 'Alphabetical by species code'!B:C, 2, FALSE)</f>
        <v>Non-Native</v>
      </c>
    </row>
    <row r="1173" spans="1:13" x14ac:dyDescent="0.25">
      <c r="A1173" s="6">
        <v>14</v>
      </c>
      <c r="B1173" s="6">
        <v>2025</v>
      </c>
      <c r="C1173" s="7">
        <v>45790</v>
      </c>
      <c r="D1173" s="6" t="s">
        <v>83</v>
      </c>
      <c r="E1173" s="6" t="s">
        <v>85</v>
      </c>
      <c r="F1173" s="6">
        <v>3</v>
      </c>
      <c r="G1173" s="6" t="s">
        <v>46</v>
      </c>
      <c r="H1173" s="6">
        <v>1</v>
      </c>
      <c r="I1173" s="6">
        <v>7</v>
      </c>
      <c r="J1173" s="6">
        <v>3</v>
      </c>
      <c r="K1173" s="6" t="s">
        <v>38</v>
      </c>
      <c r="L1173" s="6" t="str">
        <f>VLOOKUP(K1173, 'Alphabetical by species code'!A:B, 2, FALSE)</f>
        <v>Thatch</v>
      </c>
      <c r="M1173" s="6" t="str">
        <f>VLOOKUP(L1173, 'Alphabetical by species code'!B:C, 2, FALSE)</f>
        <v>Ground Cover</v>
      </c>
    </row>
    <row r="1174" spans="1:13" x14ac:dyDescent="0.25">
      <c r="A1174" s="6">
        <v>14</v>
      </c>
      <c r="B1174" s="6">
        <v>2025</v>
      </c>
      <c r="C1174" s="7">
        <v>45790</v>
      </c>
      <c r="D1174" s="6" t="s">
        <v>83</v>
      </c>
      <c r="E1174" s="6" t="s">
        <v>85</v>
      </c>
      <c r="F1174" s="6">
        <v>3</v>
      </c>
      <c r="G1174" s="6" t="s">
        <v>46</v>
      </c>
      <c r="H1174" s="6">
        <v>1</v>
      </c>
      <c r="I1174" s="6">
        <v>7</v>
      </c>
      <c r="J1174" s="6">
        <v>3</v>
      </c>
      <c r="K1174" s="6" t="s">
        <v>31</v>
      </c>
      <c r="L1174" s="6" t="str">
        <f>VLOOKUP(K1174, 'Alphabetical by species code'!A:B, 2, FALSE)</f>
        <v>Festuca myuros</v>
      </c>
      <c r="M1174" s="6" t="str">
        <f>VLOOKUP(L1174, 'Alphabetical by species code'!B:C, 2, FALSE)</f>
        <v>Non-Native</v>
      </c>
    </row>
    <row r="1175" spans="1:13" x14ac:dyDescent="0.25">
      <c r="A1175" s="6">
        <v>14</v>
      </c>
      <c r="B1175" s="6">
        <v>2025</v>
      </c>
      <c r="C1175" s="7">
        <v>45790</v>
      </c>
      <c r="D1175" s="6" t="s">
        <v>83</v>
      </c>
      <c r="E1175" s="6" t="s">
        <v>85</v>
      </c>
      <c r="F1175" s="6">
        <v>3</v>
      </c>
      <c r="G1175" s="6" t="s">
        <v>46</v>
      </c>
      <c r="H1175" s="6">
        <v>1</v>
      </c>
      <c r="I1175" s="6">
        <v>7</v>
      </c>
      <c r="J1175" s="6">
        <v>3</v>
      </c>
      <c r="K1175" s="6" t="s">
        <v>36</v>
      </c>
      <c r="L1175" s="6" t="str">
        <f>VLOOKUP(K1175, 'Alphabetical by species code'!A:B, 2, FALSE)</f>
        <v>Bromus madritensis</v>
      </c>
      <c r="M1175" s="6" t="str">
        <f>VLOOKUP(L1175, 'Alphabetical by species code'!B:C, 2, FALSE)</f>
        <v>Non-Native</v>
      </c>
    </row>
    <row r="1176" spans="1:13" x14ac:dyDescent="0.25">
      <c r="A1176" s="6">
        <v>14</v>
      </c>
      <c r="B1176" s="6">
        <v>2025</v>
      </c>
      <c r="C1176" s="7">
        <v>45790</v>
      </c>
      <c r="D1176" s="6" t="s">
        <v>83</v>
      </c>
      <c r="E1176" s="6" t="s">
        <v>85</v>
      </c>
      <c r="F1176" s="6">
        <v>3</v>
      </c>
      <c r="G1176" s="6" t="s">
        <v>46</v>
      </c>
      <c r="H1176" s="6">
        <v>1</v>
      </c>
      <c r="I1176" s="6">
        <v>8</v>
      </c>
      <c r="J1176" s="6">
        <v>3.5</v>
      </c>
      <c r="K1176" s="6" t="s">
        <v>28</v>
      </c>
      <c r="L1176" s="6" t="str">
        <f>VLOOKUP(K1176, 'Alphabetical by species code'!A:B, 2, FALSE)</f>
        <v>Litter</v>
      </c>
      <c r="M1176" s="6" t="str">
        <f>VLOOKUP(L1176, 'Alphabetical by species code'!B:C, 2, FALSE)</f>
        <v>Ground Cover</v>
      </c>
    </row>
    <row r="1177" spans="1:13" x14ac:dyDescent="0.25">
      <c r="A1177" s="6">
        <v>14</v>
      </c>
      <c r="B1177" s="6">
        <v>2025</v>
      </c>
      <c r="C1177" s="7">
        <v>45790</v>
      </c>
      <c r="D1177" s="6" t="s">
        <v>83</v>
      </c>
      <c r="E1177" s="6" t="s">
        <v>85</v>
      </c>
      <c r="F1177" s="6">
        <v>3</v>
      </c>
      <c r="G1177" s="6" t="s">
        <v>46</v>
      </c>
      <c r="H1177" s="6">
        <v>1</v>
      </c>
      <c r="I1177" s="6">
        <v>8</v>
      </c>
      <c r="J1177" s="6">
        <v>3.5</v>
      </c>
      <c r="K1177" s="6" t="s">
        <v>31</v>
      </c>
      <c r="L1177" s="6" t="str">
        <f>VLOOKUP(K1177, 'Alphabetical by species code'!A:B, 2, FALSE)</f>
        <v>Festuca myuros</v>
      </c>
      <c r="M1177" s="6" t="str">
        <f>VLOOKUP(L1177, 'Alphabetical by species code'!B:C, 2, FALSE)</f>
        <v>Non-Native</v>
      </c>
    </row>
    <row r="1178" spans="1:13" x14ac:dyDescent="0.25">
      <c r="A1178" s="6">
        <v>14</v>
      </c>
      <c r="B1178" s="6">
        <v>2025</v>
      </c>
      <c r="C1178" s="7">
        <v>45790</v>
      </c>
      <c r="D1178" s="6" t="s">
        <v>83</v>
      </c>
      <c r="E1178" s="6" t="s">
        <v>85</v>
      </c>
      <c r="F1178" s="6">
        <v>3</v>
      </c>
      <c r="G1178" s="6" t="s">
        <v>46</v>
      </c>
      <c r="H1178" s="6">
        <v>1</v>
      </c>
      <c r="I1178" s="6">
        <v>8</v>
      </c>
      <c r="J1178" s="6">
        <v>3.5</v>
      </c>
      <c r="K1178" s="6" t="s">
        <v>36</v>
      </c>
      <c r="L1178" s="6" t="str">
        <f>VLOOKUP(K1178, 'Alphabetical by species code'!A:B, 2, FALSE)</f>
        <v>Bromus madritensis</v>
      </c>
      <c r="M1178" s="6" t="str">
        <f>VLOOKUP(L1178, 'Alphabetical by species code'!B:C, 2, FALSE)</f>
        <v>Non-Native</v>
      </c>
    </row>
    <row r="1179" spans="1:13" x14ac:dyDescent="0.25">
      <c r="A1179" s="6">
        <v>14</v>
      </c>
      <c r="B1179" s="6">
        <v>2025</v>
      </c>
      <c r="C1179" s="7">
        <v>45790</v>
      </c>
      <c r="D1179" s="6" t="s">
        <v>83</v>
      </c>
      <c r="E1179" s="6" t="s">
        <v>85</v>
      </c>
      <c r="F1179" s="6">
        <v>3</v>
      </c>
      <c r="G1179" s="6" t="s">
        <v>46</v>
      </c>
      <c r="H1179" s="6">
        <v>1</v>
      </c>
      <c r="I1179" s="6">
        <v>9</v>
      </c>
      <c r="J1179" s="6">
        <v>4</v>
      </c>
      <c r="K1179" s="6" t="s">
        <v>28</v>
      </c>
      <c r="L1179" s="6" t="str">
        <f>VLOOKUP(K1179, 'Alphabetical by species code'!A:B, 2, FALSE)</f>
        <v>Litter</v>
      </c>
      <c r="M1179" s="6" t="str">
        <f>VLOOKUP(L1179, 'Alphabetical by species code'!B:C, 2, FALSE)</f>
        <v>Ground Cover</v>
      </c>
    </row>
    <row r="1180" spans="1:13" x14ac:dyDescent="0.25">
      <c r="A1180" s="6">
        <v>14</v>
      </c>
      <c r="B1180" s="6">
        <v>2025</v>
      </c>
      <c r="C1180" s="7">
        <v>45790</v>
      </c>
      <c r="D1180" s="6" t="s">
        <v>83</v>
      </c>
      <c r="E1180" s="6" t="s">
        <v>85</v>
      </c>
      <c r="F1180" s="6">
        <v>3</v>
      </c>
      <c r="G1180" s="6" t="s">
        <v>46</v>
      </c>
      <c r="H1180" s="6">
        <v>1</v>
      </c>
      <c r="I1180" s="6">
        <v>9</v>
      </c>
      <c r="J1180" s="6">
        <v>4</v>
      </c>
      <c r="K1180" s="6" t="s">
        <v>44</v>
      </c>
      <c r="L1180" s="6" t="str">
        <f>VLOOKUP(K1180, 'Alphabetical by species code'!A:B, 2, FALSE)</f>
        <v>Amsinckia menziesii</v>
      </c>
      <c r="M1180" s="6" t="str">
        <f>VLOOKUP(L1180, 'Alphabetical by species code'!B:C, 2, FALSE)</f>
        <v>Native</v>
      </c>
    </row>
    <row r="1181" spans="1:13" x14ac:dyDescent="0.25">
      <c r="A1181" s="6">
        <v>14</v>
      </c>
      <c r="B1181" s="6">
        <v>2025</v>
      </c>
      <c r="C1181" s="7">
        <v>45790</v>
      </c>
      <c r="D1181" s="6" t="s">
        <v>83</v>
      </c>
      <c r="E1181" s="6" t="s">
        <v>85</v>
      </c>
      <c r="F1181" s="6">
        <v>3</v>
      </c>
      <c r="G1181" s="6" t="s">
        <v>46</v>
      </c>
      <c r="H1181" s="6">
        <v>1</v>
      </c>
      <c r="I1181" s="6">
        <v>9</v>
      </c>
      <c r="J1181" s="6">
        <v>4</v>
      </c>
      <c r="K1181" s="6" t="s">
        <v>31</v>
      </c>
      <c r="L1181" s="6" t="str">
        <f>VLOOKUP(K1181, 'Alphabetical by species code'!A:B, 2, FALSE)</f>
        <v>Festuca myuros</v>
      </c>
      <c r="M1181" s="6" t="str">
        <f>VLOOKUP(L1181, 'Alphabetical by species code'!B:C, 2, FALSE)</f>
        <v>Non-Native</v>
      </c>
    </row>
    <row r="1182" spans="1:13" x14ac:dyDescent="0.25">
      <c r="A1182" s="6">
        <v>14</v>
      </c>
      <c r="B1182" s="6">
        <v>2025</v>
      </c>
      <c r="C1182" s="7">
        <v>45790</v>
      </c>
      <c r="D1182" s="6" t="s">
        <v>83</v>
      </c>
      <c r="E1182" s="6" t="s">
        <v>85</v>
      </c>
      <c r="F1182" s="6">
        <v>3</v>
      </c>
      <c r="G1182" s="6" t="s">
        <v>46</v>
      </c>
      <c r="H1182" s="6">
        <v>1</v>
      </c>
      <c r="I1182" s="6">
        <v>10</v>
      </c>
      <c r="J1182" s="6">
        <v>4.5</v>
      </c>
      <c r="K1182" s="6" t="s">
        <v>28</v>
      </c>
      <c r="L1182" s="6" t="str">
        <f>VLOOKUP(K1182, 'Alphabetical by species code'!A:B, 2, FALSE)</f>
        <v>Litter</v>
      </c>
      <c r="M1182" s="6" t="str">
        <f>VLOOKUP(L1182, 'Alphabetical by species code'!B:C, 2, FALSE)</f>
        <v>Ground Cover</v>
      </c>
    </row>
    <row r="1183" spans="1:13" x14ac:dyDescent="0.25">
      <c r="A1183" s="6">
        <v>14</v>
      </c>
      <c r="B1183" s="6">
        <v>2025</v>
      </c>
      <c r="C1183" s="7">
        <v>45790</v>
      </c>
      <c r="D1183" s="6" t="s">
        <v>83</v>
      </c>
      <c r="E1183" s="6" t="s">
        <v>85</v>
      </c>
      <c r="F1183" s="6">
        <v>3</v>
      </c>
      <c r="G1183" s="6" t="s">
        <v>46</v>
      </c>
      <c r="H1183" s="6">
        <v>1</v>
      </c>
      <c r="I1183" s="6">
        <v>10</v>
      </c>
      <c r="J1183" s="6">
        <v>4.5</v>
      </c>
      <c r="K1183" s="6" t="s">
        <v>39</v>
      </c>
      <c r="L1183" s="6" t="str">
        <f>VLOOKUP(K1183, 'Alphabetical by species code'!A:B, 2, FALSE)</f>
        <v>Stephanomeria diegensis</v>
      </c>
      <c r="M1183" s="6" t="str">
        <f>VLOOKUP(L1183, 'Alphabetical by species code'!B:C, 2, FALSE)</f>
        <v>Native</v>
      </c>
    </row>
    <row r="1184" spans="1:13" x14ac:dyDescent="0.25">
      <c r="A1184" s="6">
        <v>14</v>
      </c>
      <c r="B1184" s="6">
        <v>2025</v>
      </c>
      <c r="C1184" s="7">
        <v>45790</v>
      </c>
      <c r="D1184" s="6" t="s">
        <v>83</v>
      </c>
      <c r="E1184" s="6" t="s">
        <v>85</v>
      </c>
      <c r="F1184" s="6">
        <v>3</v>
      </c>
      <c r="G1184" s="6" t="s">
        <v>46</v>
      </c>
      <c r="H1184" s="6">
        <v>1</v>
      </c>
      <c r="I1184" s="6">
        <v>10</v>
      </c>
      <c r="J1184" s="6">
        <v>4.5</v>
      </c>
      <c r="K1184" s="6" t="s">
        <v>31</v>
      </c>
      <c r="L1184" s="6" t="str">
        <f>VLOOKUP(K1184, 'Alphabetical by species code'!A:B, 2, FALSE)</f>
        <v>Festuca myuros</v>
      </c>
      <c r="M1184" s="6" t="str">
        <f>VLOOKUP(L1184, 'Alphabetical by species code'!B:C, 2, FALSE)</f>
        <v>Non-Native</v>
      </c>
    </row>
    <row r="1185" spans="1:13" x14ac:dyDescent="0.25">
      <c r="A1185" s="6">
        <v>14</v>
      </c>
      <c r="B1185" s="6">
        <v>2025</v>
      </c>
      <c r="C1185" s="7">
        <v>45790</v>
      </c>
      <c r="D1185" s="6" t="s">
        <v>83</v>
      </c>
      <c r="E1185" s="6" t="s">
        <v>85</v>
      </c>
      <c r="F1185" s="6">
        <v>3</v>
      </c>
      <c r="G1185" s="6" t="s">
        <v>46</v>
      </c>
      <c r="H1185" s="6">
        <v>1</v>
      </c>
      <c r="I1185" s="6">
        <v>11</v>
      </c>
      <c r="J1185" s="6">
        <v>5</v>
      </c>
      <c r="K1185" s="6" t="s">
        <v>28</v>
      </c>
      <c r="L1185" s="6" t="str">
        <f>VLOOKUP(K1185, 'Alphabetical by species code'!A:B, 2, FALSE)</f>
        <v>Litter</v>
      </c>
      <c r="M1185" s="6" t="str">
        <f>VLOOKUP(L1185, 'Alphabetical by species code'!B:C, 2, FALSE)</f>
        <v>Ground Cover</v>
      </c>
    </row>
    <row r="1186" spans="1:13" x14ac:dyDescent="0.25">
      <c r="A1186" s="6">
        <v>14</v>
      </c>
      <c r="B1186" s="6">
        <v>2025</v>
      </c>
      <c r="C1186" s="7">
        <v>45790</v>
      </c>
      <c r="D1186" s="6" t="s">
        <v>83</v>
      </c>
      <c r="E1186" s="6" t="s">
        <v>85</v>
      </c>
      <c r="F1186" s="6">
        <v>3</v>
      </c>
      <c r="G1186" s="6" t="s">
        <v>46</v>
      </c>
      <c r="H1186" s="6">
        <v>1</v>
      </c>
      <c r="I1186" s="6">
        <v>11</v>
      </c>
      <c r="J1186" s="6">
        <v>5</v>
      </c>
      <c r="K1186" s="6" t="s">
        <v>44</v>
      </c>
      <c r="L1186" s="6" t="str">
        <f>VLOOKUP(K1186, 'Alphabetical by species code'!A:B, 2, FALSE)</f>
        <v>Amsinckia menziesii</v>
      </c>
      <c r="M1186" s="6" t="str">
        <f>VLOOKUP(L1186, 'Alphabetical by species code'!B:C, 2, FALSE)</f>
        <v>Native</v>
      </c>
    </row>
    <row r="1187" spans="1:13" x14ac:dyDescent="0.25">
      <c r="A1187" s="6">
        <v>14</v>
      </c>
      <c r="B1187" s="6">
        <v>2025</v>
      </c>
      <c r="C1187" s="7">
        <v>45790</v>
      </c>
      <c r="D1187" s="6" t="s">
        <v>83</v>
      </c>
      <c r="E1187" s="6" t="s">
        <v>85</v>
      </c>
      <c r="F1187" s="6">
        <v>3</v>
      </c>
      <c r="G1187" s="6" t="s">
        <v>46</v>
      </c>
      <c r="H1187" s="6">
        <v>1</v>
      </c>
      <c r="I1187" s="6">
        <v>11</v>
      </c>
      <c r="J1187" s="6">
        <v>5</v>
      </c>
      <c r="K1187" s="6" t="s">
        <v>31</v>
      </c>
      <c r="L1187" s="6" t="str">
        <f>VLOOKUP(K1187, 'Alphabetical by species code'!A:B, 2, FALSE)</f>
        <v>Festuca myuros</v>
      </c>
      <c r="M1187" s="6" t="str">
        <f>VLOOKUP(L1187, 'Alphabetical by species code'!B:C, 2, FALSE)</f>
        <v>Non-Native</v>
      </c>
    </row>
    <row r="1188" spans="1:13" x14ac:dyDescent="0.25">
      <c r="A1188" s="6">
        <v>14</v>
      </c>
      <c r="B1188" s="6">
        <v>2025</v>
      </c>
      <c r="C1188" s="7">
        <v>45790</v>
      </c>
      <c r="D1188" s="6" t="s">
        <v>83</v>
      </c>
      <c r="E1188" s="6" t="s">
        <v>85</v>
      </c>
      <c r="F1188" s="6">
        <v>3</v>
      </c>
      <c r="G1188" s="6" t="s">
        <v>46</v>
      </c>
      <c r="H1188" s="6">
        <v>1</v>
      </c>
      <c r="I1188" s="6">
        <v>12</v>
      </c>
      <c r="J1188" s="6">
        <v>5.5</v>
      </c>
      <c r="K1188" s="6" t="s">
        <v>28</v>
      </c>
      <c r="L1188" s="6" t="str">
        <f>VLOOKUP(K1188, 'Alphabetical by species code'!A:B, 2, FALSE)</f>
        <v>Litter</v>
      </c>
      <c r="M1188" s="6" t="str">
        <f>VLOOKUP(L1188, 'Alphabetical by species code'!B:C, 2, FALSE)</f>
        <v>Ground Cover</v>
      </c>
    </row>
    <row r="1189" spans="1:13" x14ac:dyDescent="0.25">
      <c r="A1189" s="6">
        <v>14</v>
      </c>
      <c r="B1189" s="6">
        <v>2025</v>
      </c>
      <c r="C1189" s="7">
        <v>45790</v>
      </c>
      <c r="D1189" s="6" t="s">
        <v>83</v>
      </c>
      <c r="E1189" s="6" t="s">
        <v>85</v>
      </c>
      <c r="F1189" s="6">
        <v>3</v>
      </c>
      <c r="G1189" s="6" t="s">
        <v>46</v>
      </c>
      <c r="H1189" s="6">
        <v>1</v>
      </c>
      <c r="I1189" s="6">
        <v>12</v>
      </c>
      <c r="J1189" s="6">
        <v>5.5</v>
      </c>
      <c r="K1189" s="6" t="s">
        <v>31</v>
      </c>
      <c r="L1189" s="6" t="str">
        <f>VLOOKUP(K1189, 'Alphabetical by species code'!A:B, 2, FALSE)</f>
        <v>Festuca myuros</v>
      </c>
      <c r="M1189" s="6" t="str">
        <f>VLOOKUP(L1189, 'Alphabetical by species code'!B:C, 2, FALSE)</f>
        <v>Non-Native</v>
      </c>
    </row>
    <row r="1190" spans="1:13" x14ac:dyDescent="0.25">
      <c r="A1190" s="6">
        <v>14</v>
      </c>
      <c r="B1190" s="6">
        <v>2025</v>
      </c>
      <c r="C1190" s="7">
        <v>45790</v>
      </c>
      <c r="D1190" s="6" t="s">
        <v>83</v>
      </c>
      <c r="E1190" s="6" t="s">
        <v>85</v>
      </c>
      <c r="F1190" s="6">
        <v>3</v>
      </c>
      <c r="G1190" s="6" t="s">
        <v>46</v>
      </c>
      <c r="H1190" s="6">
        <v>1</v>
      </c>
      <c r="I1190" s="6">
        <v>13</v>
      </c>
      <c r="J1190" s="6">
        <v>6.5</v>
      </c>
      <c r="K1190" s="6" t="s">
        <v>28</v>
      </c>
      <c r="L1190" s="6" t="str">
        <f>VLOOKUP(K1190, 'Alphabetical by species code'!A:B, 2, FALSE)</f>
        <v>Litter</v>
      </c>
      <c r="M1190" s="6" t="str">
        <f>VLOOKUP(L1190, 'Alphabetical by species code'!B:C, 2, FALSE)</f>
        <v>Ground Cover</v>
      </c>
    </row>
    <row r="1191" spans="1:13" x14ac:dyDescent="0.25">
      <c r="A1191" s="6">
        <v>14</v>
      </c>
      <c r="B1191" s="6">
        <v>2025</v>
      </c>
      <c r="C1191" s="7">
        <v>45790</v>
      </c>
      <c r="D1191" s="6" t="s">
        <v>83</v>
      </c>
      <c r="E1191" s="6" t="s">
        <v>85</v>
      </c>
      <c r="F1191" s="6">
        <v>3</v>
      </c>
      <c r="G1191" s="6" t="s">
        <v>46</v>
      </c>
      <c r="H1191" s="6">
        <v>1</v>
      </c>
      <c r="I1191" s="6">
        <v>13</v>
      </c>
      <c r="J1191" s="6">
        <v>6.5</v>
      </c>
      <c r="K1191" s="6" t="s">
        <v>36</v>
      </c>
      <c r="L1191" s="6" t="str">
        <f>VLOOKUP(K1191, 'Alphabetical by species code'!A:B, 2, FALSE)</f>
        <v>Bromus madritensis</v>
      </c>
      <c r="M1191" s="6" t="str">
        <f>VLOOKUP(L1191, 'Alphabetical by species code'!B:C, 2, FALSE)</f>
        <v>Non-Native</v>
      </c>
    </row>
    <row r="1192" spans="1:13" x14ac:dyDescent="0.25">
      <c r="A1192" s="6">
        <v>14</v>
      </c>
      <c r="B1192" s="6">
        <v>2025</v>
      </c>
      <c r="C1192" s="7">
        <v>45790</v>
      </c>
      <c r="D1192" s="6" t="s">
        <v>83</v>
      </c>
      <c r="E1192" s="6" t="s">
        <v>85</v>
      </c>
      <c r="F1192" s="6">
        <v>3</v>
      </c>
      <c r="G1192" s="6" t="s">
        <v>46</v>
      </c>
      <c r="H1192" s="6">
        <v>1</v>
      </c>
      <c r="I1192" s="6">
        <v>14</v>
      </c>
      <c r="J1192" s="6">
        <v>7</v>
      </c>
      <c r="K1192" s="6" t="s">
        <v>38</v>
      </c>
      <c r="L1192" s="6" t="str">
        <f>VLOOKUP(K1192, 'Alphabetical by species code'!A:B, 2, FALSE)</f>
        <v>Thatch</v>
      </c>
      <c r="M1192" s="6" t="str">
        <f>VLOOKUP(L1192, 'Alphabetical by species code'!B:C, 2, FALSE)</f>
        <v>Ground Cover</v>
      </c>
    </row>
    <row r="1193" spans="1:13" x14ac:dyDescent="0.25">
      <c r="A1193" s="6">
        <v>14</v>
      </c>
      <c r="B1193" s="6">
        <v>2025</v>
      </c>
      <c r="C1193" s="7">
        <v>45790</v>
      </c>
      <c r="D1193" s="6" t="s">
        <v>83</v>
      </c>
      <c r="E1193" s="6" t="s">
        <v>85</v>
      </c>
      <c r="F1193" s="6">
        <v>3</v>
      </c>
      <c r="G1193" s="6" t="s">
        <v>46</v>
      </c>
      <c r="H1193" s="6">
        <v>1</v>
      </c>
      <c r="I1193" s="6">
        <v>14</v>
      </c>
      <c r="J1193" s="6">
        <v>7</v>
      </c>
      <c r="K1193" s="6" t="s">
        <v>64</v>
      </c>
      <c r="L1193" s="6" t="str">
        <f>VLOOKUP(K1193, 'Alphabetical by species code'!A:B, 2, FALSE)</f>
        <v>Brassica nigra</v>
      </c>
      <c r="M1193" s="6" t="str">
        <f>VLOOKUP(L1193, 'Alphabetical by species code'!B:C, 2, FALSE)</f>
        <v>Non-Native</v>
      </c>
    </row>
    <row r="1194" spans="1:13" x14ac:dyDescent="0.25">
      <c r="A1194" s="6">
        <v>14</v>
      </c>
      <c r="B1194" s="6">
        <v>2025</v>
      </c>
      <c r="C1194" s="7">
        <v>45790</v>
      </c>
      <c r="D1194" s="6" t="s">
        <v>83</v>
      </c>
      <c r="E1194" s="6" t="s">
        <v>85</v>
      </c>
      <c r="F1194" s="6">
        <v>3</v>
      </c>
      <c r="G1194" s="6" t="s">
        <v>46</v>
      </c>
      <c r="H1194" s="6">
        <v>1</v>
      </c>
      <c r="I1194" s="6">
        <v>14</v>
      </c>
      <c r="J1194" s="6">
        <v>7</v>
      </c>
      <c r="K1194" s="6" t="s">
        <v>36</v>
      </c>
      <c r="L1194" s="6" t="str">
        <f>VLOOKUP(K1194, 'Alphabetical by species code'!A:B, 2, FALSE)</f>
        <v>Bromus madritensis</v>
      </c>
      <c r="M1194" s="6" t="str">
        <f>VLOOKUP(L1194, 'Alphabetical by species code'!B:C, 2, FALSE)</f>
        <v>Non-Native</v>
      </c>
    </row>
    <row r="1195" spans="1:13" x14ac:dyDescent="0.25">
      <c r="A1195" s="6">
        <v>14</v>
      </c>
      <c r="B1195" s="6">
        <v>2025</v>
      </c>
      <c r="C1195" s="7">
        <v>45790</v>
      </c>
      <c r="D1195" s="6" t="s">
        <v>83</v>
      </c>
      <c r="E1195" s="6" t="s">
        <v>85</v>
      </c>
      <c r="F1195" s="6">
        <v>3</v>
      </c>
      <c r="G1195" s="6" t="s">
        <v>46</v>
      </c>
      <c r="H1195" s="6">
        <v>1</v>
      </c>
      <c r="I1195" s="6">
        <v>14</v>
      </c>
      <c r="J1195" s="6">
        <v>7</v>
      </c>
      <c r="K1195" s="6" t="s">
        <v>31</v>
      </c>
      <c r="L1195" s="6" t="str">
        <f>VLOOKUP(K1195, 'Alphabetical by species code'!A:B, 2, FALSE)</f>
        <v>Festuca myuros</v>
      </c>
      <c r="M1195" s="6" t="str">
        <f>VLOOKUP(L1195, 'Alphabetical by species code'!B:C, 2, FALSE)</f>
        <v>Non-Native</v>
      </c>
    </row>
    <row r="1196" spans="1:13" x14ac:dyDescent="0.25">
      <c r="A1196" s="6">
        <v>14</v>
      </c>
      <c r="B1196" s="6">
        <v>2025</v>
      </c>
      <c r="C1196" s="7">
        <v>45790</v>
      </c>
      <c r="D1196" s="6" t="s">
        <v>83</v>
      </c>
      <c r="E1196" s="6" t="s">
        <v>85</v>
      </c>
      <c r="F1196" s="6">
        <v>3</v>
      </c>
      <c r="G1196" s="6" t="s">
        <v>46</v>
      </c>
      <c r="H1196" s="6">
        <v>1</v>
      </c>
      <c r="I1196" s="6">
        <v>15</v>
      </c>
      <c r="J1196" s="6">
        <v>7.5</v>
      </c>
      <c r="K1196" s="6" t="s">
        <v>38</v>
      </c>
      <c r="L1196" s="6" t="str">
        <f>VLOOKUP(K1196, 'Alphabetical by species code'!A:B, 2, FALSE)</f>
        <v>Thatch</v>
      </c>
      <c r="M1196" s="6" t="str">
        <f>VLOOKUP(L1196, 'Alphabetical by species code'!B:C, 2, FALSE)</f>
        <v>Ground Cover</v>
      </c>
    </row>
    <row r="1197" spans="1:13" x14ac:dyDescent="0.25">
      <c r="A1197" s="6">
        <v>14</v>
      </c>
      <c r="B1197" s="6">
        <v>2025</v>
      </c>
      <c r="C1197" s="7">
        <v>45790</v>
      </c>
      <c r="D1197" s="6" t="s">
        <v>83</v>
      </c>
      <c r="E1197" s="6" t="s">
        <v>85</v>
      </c>
      <c r="F1197" s="6">
        <v>3</v>
      </c>
      <c r="G1197" s="6" t="s">
        <v>46</v>
      </c>
      <c r="H1197" s="6">
        <v>1</v>
      </c>
      <c r="I1197" s="6">
        <v>15</v>
      </c>
      <c r="J1197" s="6">
        <v>7.5</v>
      </c>
      <c r="K1197" s="6" t="s">
        <v>40</v>
      </c>
      <c r="L1197" s="6" t="str">
        <f>VLOOKUP(K1197, 'Alphabetical by species code'!A:B, 2, FALSE)</f>
        <v>Cylindropuntia prolifera</v>
      </c>
      <c r="M1197" s="6" t="str">
        <f>VLOOKUP(L1197, 'Alphabetical by species code'!B:C, 2, FALSE)</f>
        <v>Native</v>
      </c>
    </row>
    <row r="1198" spans="1:13" x14ac:dyDescent="0.25">
      <c r="A1198" s="6">
        <v>14</v>
      </c>
      <c r="B1198" s="6">
        <v>2025</v>
      </c>
      <c r="C1198" s="7">
        <v>45790</v>
      </c>
      <c r="D1198" s="6" t="s">
        <v>83</v>
      </c>
      <c r="E1198" s="6" t="s">
        <v>85</v>
      </c>
      <c r="F1198" s="6">
        <v>3</v>
      </c>
      <c r="G1198" s="6" t="s">
        <v>46</v>
      </c>
      <c r="H1198" s="6">
        <v>1</v>
      </c>
      <c r="I1198" s="6">
        <v>15</v>
      </c>
      <c r="J1198" s="6">
        <v>7.5</v>
      </c>
      <c r="K1198" s="6" t="s">
        <v>36</v>
      </c>
      <c r="L1198" s="6" t="str">
        <f>VLOOKUP(K1198, 'Alphabetical by species code'!A:B, 2, FALSE)</f>
        <v>Bromus madritensis</v>
      </c>
      <c r="M1198" s="6" t="str">
        <f>VLOOKUP(L1198, 'Alphabetical by species code'!B:C, 2, FALSE)</f>
        <v>Non-Native</v>
      </c>
    </row>
    <row r="1199" spans="1:13" x14ac:dyDescent="0.25">
      <c r="A1199" s="6">
        <v>14</v>
      </c>
      <c r="B1199" s="6">
        <v>2025</v>
      </c>
      <c r="C1199" s="7">
        <v>45790</v>
      </c>
      <c r="D1199" s="6" t="s">
        <v>83</v>
      </c>
      <c r="E1199" s="6" t="s">
        <v>85</v>
      </c>
      <c r="F1199" s="6">
        <v>3</v>
      </c>
      <c r="G1199" s="6" t="s">
        <v>46</v>
      </c>
      <c r="H1199" s="6">
        <v>1</v>
      </c>
      <c r="I1199" s="6">
        <v>15</v>
      </c>
      <c r="J1199" s="6">
        <v>7.5</v>
      </c>
      <c r="K1199" s="6" t="s">
        <v>31</v>
      </c>
      <c r="L1199" s="6" t="str">
        <f>VLOOKUP(K1199, 'Alphabetical by species code'!A:B, 2, FALSE)</f>
        <v>Festuca myuros</v>
      </c>
      <c r="M1199" s="6" t="str">
        <f>VLOOKUP(L1199, 'Alphabetical by species code'!B:C, 2, FALSE)</f>
        <v>Non-Native</v>
      </c>
    </row>
    <row r="1200" spans="1:13" x14ac:dyDescent="0.25">
      <c r="A1200" s="6">
        <v>14</v>
      </c>
      <c r="B1200" s="6">
        <v>2025</v>
      </c>
      <c r="C1200" s="7">
        <v>45790</v>
      </c>
      <c r="D1200" s="6" t="s">
        <v>83</v>
      </c>
      <c r="E1200" s="6" t="s">
        <v>85</v>
      </c>
      <c r="F1200" s="6">
        <v>3</v>
      </c>
      <c r="G1200" s="6" t="s">
        <v>46</v>
      </c>
      <c r="H1200" s="6">
        <v>1</v>
      </c>
      <c r="I1200" s="6">
        <v>15</v>
      </c>
      <c r="J1200" s="6">
        <v>7.5</v>
      </c>
      <c r="K1200" s="6" t="s">
        <v>64</v>
      </c>
      <c r="L1200" s="6" t="str">
        <f>VLOOKUP(K1200, 'Alphabetical by species code'!A:B, 2, FALSE)</f>
        <v>Brassica nigra</v>
      </c>
      <c r="M1200" s="6" t="str">
        <f>VLOOKUP(L1200, 'Alphabetical by species code'!B:C, 2, FALSE)</f>
        <v>Non-Native</v>
      </c>
    </row>
    <row r="1201" spans="1:13" x14ac:dyDescent="0.25">
      <c r="A1201" s="6">
        <v>14</v>
      </c>
      <c r="B1201" s="6">
        <v>2025</v>
      </c>
      <c r="C1201" s="7">
        <v>45790</v>
      </c>
      <c r="D1201" s="6" t="s">
        <v>83</v>
      </c>
      <c r="E1201" s="6" t="s">
        <v>85</v>
      </c>
      <c r="F1201" s="6">
        <v>3</v>
      </c>
      <c r="G1201" s="6" t="s">
        <v>46</v>
      </c>
      <c r="H1201" s="6">
        <v>2</v>
      </c>
      <c r="I1201" s="6">
        <v>1</v>
      </c>
      <c r="J1201" s="6">
        <v>0</v>
      </c>
      <c r="K1201" s="6" t="s">
        <v>28</v>
      </c>
      <c r="L1201" s="6" t="str">
        <f>VLOOKUP(K1201, 'Alphabetical by species code'!A:B, 2, FALSE)</f>
        <v>Litter</v>
      </c>
      <c r="M1201" s="6" t="str">
        <f>VLOOKUP(L1201, 'Alphabetical by species code'!B:C, 2, FALSE)</f>
        <v>Ground Cover</v>
      </c>
    </row>
    <row r="1202" spans="1:13" x14ac:dyDescent="0.25">
      <c r="A1202" s="6">
        <v>14</v>
      </c>
      <c r="B1202" s="6">
        <v>2025</v>
      </c>
      <c r="C1202" s="7">
        <v>45790</v>
      </c>
      <c r="D1202" s="6" t="s">
        <v>83</v>
      </c>
      <c r="E1202" s="6" t="s">
        <v>85</v>
      </c>
      <c r="F1202" s="6">
        <v>3</v>
      </c>
      <c r="G1202" s="6" t="s">
        <v>46</v>
      </c>
      <c r="H1202" s="6">
        <v>2</v>
      </c>
      <c r="I1202" s="6">
        <v>1</v>
      </c>
      <c r="J1202" s="6">
        <v>0</v>
      </c>
      <c r="K1202" s="6" t="s">
        <v>42</v>
      </c>
      <c r="L1202" s="6" t="str">
        <f>VLOOKUP(K1202, 'Alphabetical by species code'!A:B, 2, FALSE)</f>
        <v>Centaurea melitensis</v>
      </c>
      <c r="M1202" s="6" t="str">
        <f>VLOOKUP(L1202, 'Alphabetical by species code'!B:C, 2, FALSE)</f>
        <v>Non-Native</v>
      </c>
    </row>
    <row r="1203" spans="1:13" x14ac:dyDescent="0.25">
      <c r="A1203" s="6">
        <v>14</v>
      </c>
      <c r="B1203" s="6">
        <v>2025</v>
      </c>
      <c r="C1203" s="7">
        <v>45790</v>
      </c>
      <c r="D1203" s="6" t="s">
        <v>83</v>
      </c>
      <c r="E1203" s="6" t="s">
        <v>85</v>
      </c>
      <c r="F1203" s="6">
        <v>3</v>
      </c>
      <c r="G1203" s="6" t="s">
        <v>46</v>
      </c>
      <c r="H1203" s="6">
        <v>2</v>
      </c>
      <c r="I1203" s="6">
        <v>2</v>
      </c>
      <c r="J1203" s="6">
        <v>0.5</v>
      </c>
      <c r="K1203" s="6" t="s">
        <v>51</v>
      </c>
      <c r="L1203" s="6" t="str">
        <f>VLOOKUP(K1203, 'Alphabetical by species code'!A:B, 2, FALSE)</f>
        <v>Bareground</v>
      </c>
      <c r="M1203" s="6" t="str">
        <f>VLOOKUP(L1203, 'Alphabetical by species code'!B:C, 2, FALSE)</f>
        <v>Ground Cover</v>
      </c>
    </row>
    <row r="1204" spans="1:13" x14ac:dyDescent="0.25">
      <c r="A1204" s="6">
        <v>14</v>
      </c>
      <c r="B1204" s="6">
        <v>2025</v>
      </c>
      <c r="C1204" s="7">
        <v>45790</v>
      </c>
      <c r="D1204" s="6" t="s">
        <v>83</v>
      </c>
      <c r="E1204" s="6" t="s">
        <v>85</v>
      </c>
      <c r="F1204" s="6">
        <v>3</v>
      </c>
      <c r="G1204" s="6" t="s">
        <v>46</v>
      </c>
      <c r="H1204" s="6">
        <v>2</v>
      </c>
      <c r="I1204" s="6">
        <v>2</v>
      </c>
      <c r="J1204" s="6">
        <v>0.5</v>
      </c>
      <c r="K1204" s="6" t="s">
        <v>64</v>
      </c>
      <c r="L1204" s="6" t="str">
        <f>VLOOKUP(K1204, 'Alphabetical by species code'!A:B, 2, FALSE)</f>
        <v>Brassica nigra</v>
      </c>
      <c r="M1204" s="6" t="str">
        <f>VLOOKUP(L1204, 'Alphabetical by species code'!B:C, 2, FALSE)</f>
        <v>Non-Native</v>
      </c>
    </row>
    <row r="1205" spans="1:13" x14ac:dyDescent="0.25">
      <c r="A1205" s="6">
        <v>14</v>
      </c>
      <c r="B1205" s="6">
        <v>2025</v>
      </c>
      <c r="C1205" s="7">
        <v>45790</v>
      </c>
      <c r="D1205" s="6" t="s">
        <v>83</v>
      </c>
      <c r="E1205" s="6" t="s">
        <v>85</v>
      </c>
      <c r="F1205" s="6">
        <v>3</v>
      </c>
      <c r="G1205" s="6" t="s">
        <v>46</v>
      </c>
      <c r="H1205" s="6">
        <v>2</v>
      </c>
      <c r="I1205" s="6">
        <v>2</v>
      </c>
      <c r="J1205" s="6">
        <v>0.5</v>
      </c>
      <c r="K1205" s="6" t="s">
        <v>29</v>
      </c>
      <c r="L1205" s="6" t="str">
        <f>VLOOKUP(K1205, 'Alphabetical by species code'!A:B, 2, FALSE)</f>
        <v>Opuntia littoralis</v>
      </c>
      <c r="M1205" s="6" t="str">
        <f>VLOOKUP(L1205, 'Alphabetical by species code'!B:C, 2, FALSE)</f>
        <v>Native</v>
      </c>
    </row>
    <row r="1206" spans="1:13" x14ac:dyDescent="0.25">
      <c r="A1206" s="6">
        <v>14</v>
      </c>
      <c r="B1206" s="6">
        <v>2025</v>
      </c>
      <c r="C1206" s="7">
        <v>45790</v>
      </c>
      <c r="D1206" s="6" t="s">
        <v>83</v>
      </c>
      <c r="E1206" s="6" t="s">
        <v>85</v>
      </c>
      <c r="F1206" s="6">
        <v>3</v>
      </c>
      <c r="G1206" s="6" t="s">
        <v>46</v>
      </c>
      <c r="H1206" s="6">
        <v>2</v>
      </c>
      <c r="I1206" s="6">
        <v>3</v>
      </c>
      <c r="J1206" s="6">
        <v>1</v>
      </c>
      <c r="K1206" s="6" t="s">
        <v>28</v>
      </c>
      <c r="L1206" s="6" t="str">
        <f>VLOOKUP(K1206, 'Alphabetical by species code'!A:B, 2, FALSE)</f>
        <v>Litter</v>
      </c>
      <c r="M1206" s="6" t="str">
        <f>VLOOKUP(L1206, 'Alphabetical by species code'!B:C, 2, FALSE)</f>
        <v>Ground Cover</v>
      </c>
    </row>
    <row r="1207" spans="1:13" x14ac:dyDescent="0.25">
      <c r="A1207" s="6">
        <v>14</v>
      </c>
      <c r="B1207" s="6">
        <v>2025</v>
      </c>
      <c r="C1207" s="7">
        <v>45790</v>
      </c>
      <c r="D1207" s="6" t="s">
        <v>83</v>
      </c>
      <c r="E1207" s="6" t="s">
        <v>85</v>
      </c>
      <c r="F1207" s="6">
        <v>3</v>
      </c>
      <c r="G1207" s="6" t="s">
        <v>46</v>
      </c>
      <c r="H1207" s="6">
        <v>2</v>
      </c>
      <c r="I1207" s="6">
        <v>3</v>
      </c>
      <c r="J1207" s="6">
        <v>1</v>
      </c>
      <c r="K1207" s="6" t="s">
        <v>36</v>
      </c>
      <c r="L1207" s="6" t="str">
        <f>VLOOKUP(K1207, 'Alphabetical by species code'!A:B, 2, FALSE)</f>
        <v>Bromus madritensis</v>
      </c>
      <c r="M1207" s="6" t="str">
        <f>VLOOKUP(L1207, 'Alphabetical by species code'!B:C, 2, FALSE)</f>
        <v>Non-Native</v>
      </c>
    </row>
    <row r="1208" spans="1:13" x14ac:dyDescent="0.25">
      <c r="A1208" s="6">
        <v>14</v>
      </c>
      <c r="B1208" s="6">
        <v>2025</v>
      </c>
      <c r="C1208" s="7">
        <v>45790</v>
      </c>
      <c r="D1208" s="6" t="s">
        <v>83</v>
      </c>
      <c r="E1208" s="6" t="s">
        <v>85</v>
      </c>
      <c r="F1208" s="6">
        <v>3</v>
      </c>
      <c r="G1208" s="6" t="s">
        <v>46</v>
      </c>
      <c r="H1208" s="6">
        <v>2</v>
      </c>
      <c r="I1208" s="6">
        <v>4</v>
      </c>
      <c r="J1208" s="6">
        <v>1.5</v>
      </c>
      <c r="K1208" s="6" t="s">
        <v>28</v>
      </c>
      <c r="L1208" s="6" t="str">
        <f>VLOOKUP(K1208, 'Alphabetical by species code'!A:B, 2, FALSE)</f>
        <v>Litter</v>
      </c>
      <c r="M1208" s="6" t="str">
        <f>VLOOKUP(L1208, 'Alphabetical by species code'!B:C, 2, FALSE)</f>
        <v>Ground Cover</v>
      </c>
    </row>
    <row r="1209" spans="1:13" x14ac:dyDescent="0.25">
      <c r="A1209" s="6">
        <v>14</v>
      </c>
      <c r="B1209" s="6">
        <v>2025</v>
      </c>
      <c r="C1209" s="7">
        <v>45790</v>
      </c>
      <c r="D1209" s="6" t="s">
        <v>83</v>
      </c>
      <c r="E1209" s="6" t="s">
        <v>85</v>
      </c>
      <c r="F1209" s="6">
        <v>3</v>
      </c>
      <c r="G1209" s="6" t="s">
        <v>46</v>
      </c>
      <c r="H1209" s="6">
        <v>2</v>
      </c>
      <c r="I1209" s="6">
        <v>4</v>
      </c>
      <c r="J1209" s="6">
        <v>1.5</v>
      </c>
      <c r="K1209" s="6" t="s">
        <v>36</v>
      </c>
      <c r="L1209" s="6" t="str">
        <f>VLOOKUP(K1209, 'Alphabetical by species code'!A:B, 2, FALSE)</f>
        <v>Bromus madritensis</v>
      </c>
      <c r="M1209" s="6" t="str">
        <f>VLOOKUP(L1209, 'Alphabetical by species code'!B:C, 2, FALSE)</f>
        <v>Non-Native</v>
      </c>
    </row>
    <row r="1210" spans="1:13" x14ac:dyDescent="0.25">
      <c r="A1210" s="6">
        <v>14</v>
      </c>
      <c r="B1210" s="6">
        <v>2025</v>
      </c>
      <c r="C1210" s="7">
        <v>45790</v>
      </c>
      <c r="D1210" s="6" t="s">
        <v>83</v>
      </c>
      <c r="E1210" s="6" t="s">
        <v>85</v>
      </c>
      <c r="F1210" s="6">
        <v>3</v>
      </c>
      <c r="G1210" s="6" t="s">
        <v>46</v>
      </c>
      <c r="H1210" s="6">
        <v>2</v>
      </c>
      <c r="I1210" s="6">
        <v>4</v>
      </c>
      <c r="J1210" s="6">
        <v>1.5</v>
      </c>
      <c r="K1210" s="6" t="s">
        <v>47</v>
      </c>
      <c r="L1210" s="6" t="str">
        <f>VLOOKUP(K1210, 'Alphabetical by species code'!A:B, 2, FALSE)</f>
        <v>Sonchus species</v>
      </c>
      <c r="M1210" s="6" t="str">
        <f>VLOOKUP(L1210, 'Alphabetical by species code'!B:C, 2, FALSE)</f>
        <v>Non-Native</v>
      </c>
    </row>
    <row r="1211" spans="1:13" x14ac:dyDescent="0.25">
      <c r="A1211" s="6">
        <v>14</v>
      </c>
      <c r="B1211" s="6">
        <v>2025</v>
      </c>
      <c r="C1211" s="7">
        <v>45790</v>
      </c>
      <c r="D1211" s="6" t="s">
        <v>83</v>
      </c>
      <c r="E1211" s="6" t="s">
        <v>85</v>
      </c>
      <c r="F1211" s="6">
        <v>3</v>
      </c>
      <c r="G1211" s="6" t="s">
        <v>46</v>
      </c>
      <c r="H1211" s="6">
        <v>2</v>
      </c>
      <c r="I1211" s="6">
        <v>5</v>
      </c>
      <c r="J1211" s="6">
        <v>2.5</v>
      </c>
      <c r="K1211" s="6" t="s">
        <v>28</v>
      </c>
      <c r="L1211" s="6" t="str">
        <f>VLOOKUP(K1211, 'Alphabetical by species code'!A:B, 2, FALSE)</f>
        <v>Litter</v>
      </c>
      <c r="M1211" s="6" t="str">
        <f>VLOOKUP(L1211, 'Alphabetical by species code'!B:C, 2, FALSE)</f>
        <v>Ground Cover</v>
      </c>
    </row>
    <row r="1212" spans="1:13" x14ac:dyDescent="0.25">
      <c r="A1212" s="6">
        <v>14</v>
      </c>
      <c r="B1212" s="6">
        <v>2025</v>
      </c>
      <c r="C1212" s="7">
        <v>45790</v>
      </c>
      <c r="D1212" s="6" t="s">
        <v>83</v>
      </c>
      <c r="E1212" s="6" t="s">
        <v>85</v>
      </c>
      <c r="F1212" s="6">
        <v>3</v>
      </c>
      <c r="G1212" s="6" t="s">
        <v>46</v>
      </c>
      <c r="H1212" s="6">
        <v>2</v>
      </c>
      <c r="I1212" s="6">
        <v>5</v>
      </c>
      <c r="J1212" s="6">
        <v>2.5</v>
      </c>
      <c r="K1212" s="6" t="s">
        <v>36</v>
      </c>
      <c r="L1212" s="6" t="str">
        <f>VLOOKUP(K1212, 'Alphabetical by species code'!A:B, 2, FALSE)</f>
        <v>Bromus madritensis</v>
      </c>
      <c r="M1212" s="6" t="str">
        <f>VLOOKUP(L1212, 'Alphabetical by species code'!B:C, 2, FALSE)</f>
        <v>Non-Native</v>
      </c>
    </row>
    <row r="1213" spans="1:13" x14ac:dyDescent="0.25">
      <c r="A1213" s="6">
        <v>14</v>
      </c>
      <c r="B1213" s="6">
        <v>2025</v>
      </c>
      <c r="C1213" s="7">
        <v>45790</v>
      </c>
      <c r="D1213" s="6" t="s">
        <v>83</v>
      </c>
      <c r="E1213" s="6" t="s">
        <v>85</v>
      </c>
      <c r="F1213" s="6">
        <v>3</v>
      </c>
      <c r="G1213" s="6" t="s">
        <v>46</v>
      </c>
      <c r="H1213" s="6">
        <v>2</v>
      </c>
      <c r="I1213" s="6">
        <v>5</v>
      </c>
      <c r="J1213" s="6">
        <v>2.5</v>
      </c>
      <c r="K1213" s="6" t="s">
        <v>42</v>
      </c>
      <c r="L1213" s="6" t="str">
        <f>VLOOKUP(K1213, 'Alphabetical by species code'!A:B, 2, FALSE)</f>
        <v>Centaurea melitensis</v>
      </c>
      <c r="M1213" s="6" t="str">
        <f>VLOOKUP(L1213, 'Alphabetical by species code'!B:C, 2, FALSE)</f>
        <v>Non-Native</v>
      </c>
    </row>
    <row r="1214" spans="1:13" x14ac:dyDescent="0.25">
      <c r="A1214" s="6">
        <v>14</v>
      </c>
      <c r="B1214" s="6">
        <v>2025</v>
      </c>
      <c r="C1214" s="7">
        <v>45790</v>
      </c>
      <c r="D1214" s="6" t="s">
        <v>83</v>
      </c>
      <c r="E1214" s="6" t="s">
        <v>85</v>
      </c>
      <c r="F1214" s="6">
        <v>3</v>
      </c>
      <c r="G1214" s="6" t="s">
        <v>46</v>
      </c>
      <c r="H1214" s="6">
        <v>2</v>
      </c>
      <c r="I1214" s="6">
        <v>6</v>
      </c>
      <c r="J1214" s="6">
        <v>3</v>
      </c>
      <c r="K1214" s="6" t="s">
        <v>28</v>
      </c>
      <c r="L1214" s="6" t="str">
        <f>VLOOKUP(K1214, 'Alphabetical by species code'!A:B, 2, FALSE)</f>
        <v>Litter</v>
      </c>
      <c r="M1214" s="6" t="str">
        <f>VLOOKUP(L1214, 'Alphabetical by species code'!B:C, 2, FALSE)</f>
        <v>Ground Cover</v>
      </c>
    </row>
    <row r="1215" spans="1:13" x14ac:dyDescent="0.25">
      <c r="A1215" s="6">
        <v>14</v>
      </c>
      <c r="B1215" s="6">
        <v>2025</v>
      </c>
      <c r="C1215" s="7">
        <v>45790</v>
      </c>
      <c r="D1215" s="6" t="s">
        <v>83</v>
      </c>
      <c r="E1215" s="6" t="s">
        <v>85</v>
      </c>
      <c r="F1215" s="6">
        <v>3</v>
      </c>
      <c r="G1215" s="6" t="s">
        <v>46</v>
      </c>
      <c r="H1215" s="6">
        <v>2</v>
      </c>
      <c r="I1215" s="6">
        <v>6</v>
      </c>
      <c r="J1215" s="6">
        <v>3</v>
      </c>
      <c r="K1215" s="6" t="s">
        <v>64</v>
      </c>
      <c r="L1215" s="6" t="str">
        <f>VLOOKUP(K1215, 'Alphabetical by species code'!A:B, 2, FALSE)</f>
        <v>Brassica nigra</v>
      </c>
      <c r="M1215" s="6" t="str">
        <f>VLOOKUP(L1215, 'Alphabetical by species code'!B:C, 2, FALSE)</f>
        <v>Non-Native</v>
      </c>
    </row>
    <row r="1216" spans="1:13" x14ac:dyDescent="0.25">
      <c r="A1216" s="6">
        <v>14</v>
      </c>
      <c r="B1216" s="6">
        <v>2025</v>
      </c>
      <c r="C1216" s="7">
        <v>45790</v>
      </c>
      <c r="D1216" s="6" t="s">
        <v>83</v>
      </c>
      <c r="E1216" s="6" t="s">
        <v>85</v>
      </c>
      <c r="F1216" s="6">
        <v>3</v>
      </c>
      <c r="G1216" s="6" t="s">
        <v>46</v>
      </c>
      <c r="H1216" s="6">
        <v>2</v>
      </c>
      <c r="I1216" s="6">
        <v>6</v>
      </c>
      <c r="J1216" s="6">
        <v>3</v>
      </c>
      <c r="K1216" s="6" t="s">
        <v>36</v>
      </c>
      <c r="L1216" s="6" t="str">
        <f>VLOOKUP(K1216, 'Alphabetical by species code'!A:B, 2, FALSE)</f>
        <v>Bromus madritensis</v>
      </c>
      <c r="M1216" s="6" t="str">
        <f>VLOOKUP(L1216, 'Alphabetical by species code'!B:C, 2, FALSE)</f>
        <v>Non-Native</v>
      </c>
    </row>
    <row r="1217" spans="1:13" x14ac:dyDescent="0.25">
      <c r="A1217" s="6">
        <v>14</v>
      </c>
      <c r="B1217" s="6">
        <v>2025</v>
      </c>
      <c r="C1217" s="7">
        <v>45790</v>
      </c>
      <c r="D1217" s="6" t="s">
        <v>83</v>
      </c>
      <c r="E1217" s="6" t="s">
        <v>85</v>
      </c>
      <c r="F1217" s="6">
        <v>3</v>
      </c>
      <c r="G1217" s="6" t="s">
        <v>46</v>
      </c>
      <c r="H1217" s="6">
        <v>2</v>
      </c>
      <c r="I1217" s="6">
        <v>6</v>
      </c>
      <c r="J1217" s="6">
        <v>3</v>
      </c>
      <c r="K1217" s="6" t="s">
        <v>31</v>
      </c>
      <c r="L1217" s="6" t="str">
        <f>VLOOKUP(K1217, 'Alphabetical by species code'!A:B, 2, FALSE)</f>
        <v>Festuca myuros</v>
      </c>
      <c r="M1217" s="6" t="str">
        <f>VLOOKUP(L1217, 'Alphabetical by species code'!B:C, 2, FALSE)</f>
        <v>Non-Native</v>
      </c>
    </row>
    <row r="1218" spans="1:13" x14ac:dyDescent="0.25">
      <c r="A1218" s="6">
        <v>14</v>
      </c>
      <c r="B1218" s="6">
        <v>2025</v>
      </c>
      <c r="C1218" s="7">
        <v>45790</v>
      </c>
      <c r="D1218" s="6" t="s">
        <v>83</v>
      </c>
      <c r="E1218" s="6" t="s">
        <v>85</v>
      </c>
      <c r="F1218" s="6">
        <v>3</v>
      </c>
      <c r="G1218" s="6" t="s">
        <v>46</v>
      </c>
      <c r="H1218" s="6">
        <v>2</v>
      </c>
      <c r="I1218" s="6">
        <v>7</v>
      </c>
      <c r="J1218" s="6">
        <v>3.5</v>
      </c>
      <c r="K1218" s="6" t="s">
        <v>28</v>
      </c>
      <c r="L1218" s="6" t="str">
        <f>VLOOKUP(K1218, 'Alphabetical by species code'!A:B, 2, FALSE)</f>
        <v>Litter</v>
      </c>
      <c r="M1218" s="6" t="str">
        <f>VLOOKUP(L1218, 'Alphabetical by species code'!B:C, 2, FALSE)</f>
        <v>Ground Cover</v>
      </c>
    </row>
    <row r="1219" spans="1:13" x14ac:dyDescent="0.25">
      <c r="A1219" s="6">
        <v>14</v>
      </c>
      <c r="B1219" s="6">
        <v>2025</v>
      </c>
      <c r="C1219" s="7">
        <v>45790</v>
      </c>
      <c r="D1219" s="6" t="s">
        <v>83</v>
      </c>
      <c r="E1219" s="6" t="s">
        <v>85</v>
      </c>
      <c r="F1219" s="6">
        <v>3</v>
      </c>
      <c r="G1219" s="6" t="s">
        <v>46</v>
      </c>
      <c r="H1219" s="6">
        <v>2</v>
      </c>
      <c r="I1219" s="6">
        <v>7</v>
      </c>
      <c r="J1219" s="6">
        <v>3.5</v>
      </c>
      <c r="K1219" s="6" t="s">
        <v>64</v>
      </c>
      <c r="L1219" s="6" t="str">
        <f>VLOOKUP(K1219, 'Alphabetical by species code'!A:B, 2, FALSE)</f>
        <v>Brassica nigra</v>
      </c>
      <c r="M1219" s="6" t="str">
        <f>VLOOKUP(L1219, 'Alphabetical by species code'!B:C, 2, FALSE)</f>
        <v>Non-Native</v>
      </c>
    </row>
    <row r="1220" spans="1:13" x14ac:dyDescent="0.25">
      <c r="A1220" s="6">
        <v>14</v>
      </c>
      <c r="B1220" s="6">
        <v>2025</v>
      </c>
      <c r="C1220" s="7">
        <v>45790</v>
      </c>
      <c r="D1220" s="6" t="s">
        <v>83</v>
      </c>
      <c r="E1220" s="6" t="s">
        <v>85</v>
      </c>
      <c r="F1220" s="6">
        <v>3</v>
      </c>
      <c r="G1220" s="6" t="s">
        <v>46</v>
      </c>
      <c r="H1220" s="6">
        <v>2</v>
      </c>
      <c r="I1220" s="6">
        <v>8</v>
      </c>
      <c r="J1220" s="6">
        <v>4</v>
      </c>
      <c r="K1220" s="6" t="s">
        <v>38</v>
      </c>
      <c r="L1220" s="6" t="str">
        <f>VLOOKUP(K1220, 'Alphabetical by species code'!A:B, 2, FALSE)</f>
        <v>Thatch</v>
      </c>
      <c r="M1220" s="6" t="str">
        <f>VLOOKUP(L1220, 'Alphabetical by species code'!B:C, 2, FALSE)</f>
        <v>Ground Cover</v>
      </c>
    </row>
    <row r="1221" spans="1:13" x14ac:dyDescent="0.25">
      <c r="A1221" s="6">
        <v>14</v>
      </c>
      <c r="B1221" s="6">
        <v>2025</v>
      </c>
      <c r="C1221" s="7">
        <v>45790</v>
      </c>
      <c r="D1221" s="6" t="s">
        <v>83</v>
      </c>
      <c r="E1221" s="6" t="s">
        <v>85</v>
      </c>
      <c r="F1221" s="6">
        <v>3</v>
      </c>
      <c r="G1221" s="6" t="s">
        <v>46</v>
      </c>
      <c r="H1221" s="6">
        <v>2</v>
      </c>
      <c r="I1221" s="6">
        <v>8</v>
      </c>
      <c r="J1221" s="6">
        <v>4</v>
      </c>
      <c r="K1221" s="6" t="s">
        <v>36</v>
      </c>
      <c r="L1221" s="6" t="str">
        <f>VLOOKUP(K1221, 'Alphabetical by species code'!A:B, 2, FALSE)</f>
        <v>Bromus madritensis</v>
      </c>
      <c r="M1221" s="6" t="str">
        <f>VLOOKUP(L1221, 'Alphabetical by species code'!B:C, 2, FALSE)</f>
        <v>Non-Native</v>
      </c>
    </row>
    <row r="1222" spans="1:13" x14ac:dyDescent="0.25">
      <c r="A1222" s="6">
        <v>14</v>
      </c>
      <c r="B1222" s="6">
        <v>2025</v>
      </c>
      <c r="C1222" s="7">
        <v>45790</v>
      </c>
      <c r="D1222" s="6" t="s">
        <v>83</v>
      </c>
      <c r="E1222" s="6" t="s">
        <v>85</v>
      </c>
      <c r="F1222" s="6">
        <v>3</v>
      </c>
      <c r="G1222" s="6" t="s">
        <v>46</v>
      </c>
      <c r="H1222" s="6">
        <v>2</v>
      </c>
      <c r="I1222" s="6">
        <v>9</v>
      </c>
      <c r="J1222" s="6">
        <v>4.5</v>
      </c>
      <c r="K1222" s="6" t="s">
        <v>28</v>
      </c>
      <c r="L1222" s="6" t="str">
        <f>VLOOKUP(K1222, 'Alphabetical by species code'!A:B, 2, FALSE)</f>
        <v>Litter</v>
      </c>
      <c r="M1222" s="6" t="str">
        <f>VLOOKUP(L1222, 'Alphabetical by species code'!B:C, 2, FALSE)</f>
        <v>Ground Cover</v>
      </c>
    </row>
    <row r="1223" spans="1:13" x14ac:dyDescent="0.25">
      <c r="A1223" s="6">
        <v>14</v>
      </c>
      <c r="B1223" s="6">
        <v>2025</v>
      </c>
      <c r="C1223" s="7">
        <v>45790</v>
      </c>
      <c r="D1223" s="6" t="s">
        <v>83</v>
      </c>
      <c r="E1223" s="6" t="s">
        <v>85</v>
      </c>
      <c r="F1223" s="6">
        <v>3</v>
      </c>
      <c r="G1223" s="6" t="s">
        <v>46</v>
      </c>
      <c r="H1223" s="6">
        <v>2</v>
      </c>
      <c r="I1223" s="6">
        <v>9</v>
      </c>
      <c r="J1223" s="6">
        <v>4.5</v>
      </c>
      <c r="K1223" s="6" t="s">
        <v>44</v>
      </c>
      <c r="L1223" s="6" t="str">
        <f>VLOOKUP(K1223, 'Alphabetical by species code'!A:B, 2, FALSE)</f>
        <v>Amsinckia menziesii</v>
      </c>
      <c r="M1223" s="6" t="str">
        <f>VLOOKUP(L1223, 'Alphabetical by species code'!B:C, 2, FALSE)</f>
        <v>Native</v>
      </c>
    </row>
    <row r="1224" spans="1:13" x14ac:dyDescent="0.25">
      <c r="A1224" s="6">
        <v>14</v>
      </c>
      <c r="B1224" s="6">
        <v>2025</v>
      </c>
      <c r="C1224" s="7">
        <v>45790</v>
      </c>
      <c r="D1224" s="6" t="s">
        <v>83</v>
      </c>
      <c r="E1224" s="6" t="s">
        <v>85</v>
      </c>
      <c r="F1224" s="6">
        <v>3</v>
      </c>
      <c r="G1224" s="6" t="s">
        <v>46</v>
      </c>
      <c r="H1224" s="6">
        <v>2</v>
      </c>
      <c r="I1224" s="6">
        <v>10</v>
      </c>
      <c r="J1224" s="6">
        <v>5</v>
      </c>
      <c r="K1224" s="6" t="s">
        <v>28</v>
      </c>
      <c r="L1224" s="6" t="str">
        <f>VLOOKUP(K1224, 'Alphabetical by species code'!A:B, 2, FALSE)</f>
        <v>Litter</v>
      </c>
      <c r="M1224" s="6" t="str">
        <f>VLOOKUP(L1224, 'Alphabetical by species code'!B:C, 2, FALSE)</f>
        <v>Ground Cover</v>
      </c>
    </row>
    <row r="1225" spans="1:13" x14ac:dyDescent="0.25">
      <c r="A1225" s="6">
        <v>14</v>
      </c>
      <c r="B1225" s="6">
        <v>2025</v>
      </c>
      <c r="C1225" s="7">
        <v>45790</v>
      </c>
      <c r="D1225" s="6" t="s">
        <v>83</v>
      </c>
      <c r="E1225" s="6" t="s">
        <v>85</v>
      </c>
      <c r="F1225" s="6">
        <v>3</v>
      </c>
      <c r="G1225" s="6" t="s">
        <v>46</v>
      </c>
      <c r="H1225" s="6">
        <v>2</v>
      </c>
      <c r="I1225" s="6">
        <v>10</v>
      </c>
      <c r="J1225" s="6">
        <v>5</v>
      </c>
      <c r="K1225" s="6" t="s">
        <v>36</v>
      </c>
      <c r="L1225" s="6" t="str">
        <f>VLOOKUP(K1225, 'Alphabetical by species code'!A:B, 2, FALSE)</f>
        <v>Bromus madritensis</v>
      </c>
      <c r="M1225" s="6" t="str">
        <f>VLOOKUP(L1225, 'Alphabetical by species code'!B:C, 2, FALSE)</f>
        <v>Non-Native</v>
      </c>
    </row>
    <row r="1226" spans="1:13" x14ac:dyDescent="0.25">
      <c r="A1226" s="6">
        <v>14</v>
      </c>
      <c r="B1226" s="6">
        <v>2025</v>
      </c>
      <c r="C1226" s="7">
        <v>45790</v>
      </c>
      <c r="D1226" s="6" t="s">
        <v>83</v>
      </c>
      <c r="E1226" s="6" t="s">
        <v>85</v>
      </c>
      <c r="F1226" s="6">
        <v>3</v>
      </c>
      <c r="G1226" s="6" t="s">
        <v>46</v>
      </c>
      <c r="H1226" s="6">
        <v>2</v>
      </c>
      <c r="I1226" s="6">
        <v>10</v>
      </c>
      <c r="J1226" s="6">
        <v>5</v>
      </c>
      <c r="K1226" s="6" t="s">
        <v>47</v>
      </c>
      <c r="L1226" s="6" t="str">
        <f>VLOOKUP(K1226, 'Alphabetical by species code'!A:B, 2, FALSE)</f>
        <v>Sonchus species</v>
      </c>
      <c r="M1226" s="6" t="str">
        <f>VLOOKUP(L1226, 'Alphabetical by species code'!B:C, 2, FALSE)</f>
        <v>Non-Native</v>
      </c>
    </row>
    <row r="1227" spans="1:13" x14ac:dyDescent="0.25">
      <c r="A1227" s="6">
        <v>14</v>
      </c>
      <c r="B1227" s="6">
        <v>2025</v>
      </c>
      <c r="C1227" s="7">
        <v>45790</v>
      </c>
      <c r="D1227" s="6" t="s">
        <v>83</v>
      </c>
      <c r="E1227" s="6" t="s">
        <v>85</v>
      </c>
      <c r="F1227" s="6">
        <v>3</v>
      </c>
      <c r="G1227" s="6" t="s">
        <v>46</v>
      </c>
      <c r="H1227" s="6">
        <v>2</v>
      </c>
      <c r="I1227" s="6">
        <v>10</v>
      </c>
      <c r="J1227" s="6">
        <v>5</v>
      </c>
      <c r="K1227" s="6" t="s">
        <v>31</v>
      </c>
      <c r="L1227" s="6" t="str">
        <f>VLOOKUP(K1227, 'Alphabetical by species code'!A:B, 2, FALSE)</f>
        <v>Festuca myuros</v>
      </c>
      <c r="M1227" s="6" t="str">
        <f>VLOOKUP(L1227, 'Alphabetical by species code'!B:C, 2, FALSE)</f>
        <v>Non-Native</v>
      </c>
    </row>
    <row r="1228" spans="1:13" x14ac:dyDescent="0.25">
      <c r="A1228" s="6">
        <v>14</v>
      </c>
      <c r="B1228" s="6">
        <v>2025</v>
      </c>
      <c r="C1228" s="7">
        <v>45790</v>
      </c>
      <c r="D1228" s="6" t="s">
        <v>83</v>
      </c>
      <c r="E1228" s="6" t="s">
        <v>85</v>
      </c>
      <c r="F1228" s="6">
        <v>3</v>
      </c>
      <c r="G1228" s="6" t="s">
        <v>46</v>
      </c>
      <c r="H1228" s="6">
        <v>2</v>
      </c>
      <c r="I1228" s="6">
        <v>11</v>
      </c>
      <c r="J1228" s="6">
        <v>5.5</v>
      </c>
      <c r="K1228" s="6" t="s">
        <v>38</v>
      </c>
      <c r="L1228" s="6" t="str">
        <f>VLOOKUP(K1228, 'Alphabetical by species code'!A:B, 2, FALSE)</f>
        <v>Thatch</v>
      </c>
      <c r="M1228" s="6" t="str">
        <f>VLOOKUP(L1228, 'Alphabetical by species code'!B:C, 2, FALSE)</f>
        <v>Ground Cover</v>
      </c>
    </row>
    <row r="1229" spans="1:13" x14ac:dyDescent="0.25">
      <c r="A1229" s="6">
        <v>14</v>
      </c>
      <c r="B1229" s="6">
        <v>2025</v>
      </c>
      <c r="C1229" s="7">
        <v>45790</v>
      </c>
      <c r="D1229" s="6" t="s">
        <v>83</v>
      </c>
      <c r="E1229" s="6" t="s">
        <v>85</v>
      </c>
      <c r="F1229" s="6">
        <v>3</v>
      </c>
      <c r="G1229" s="6" t="s">
        <v>46</v>
      </c>
      <c r="H1229" s="6">
        <v>2</v>
      </c>
      <c r="I1229" s="6">
        <v>12</v>
      </c>
      <c r="J1229" s="6">
        <v>6</v>
      </c>
      <c r="K1229" s="6" t="s">
        <v>38</v>
      </c>
      <c r="L1229" s="6" t="str">
        <f>VLOOKUP(K1229, 'Alphabetical by species code'!A:B, 2, FALSE)</f>
        <v>Thatch</v>
      </c>
      <c r="M1229" s="6" t="str">
        <f>VLOOKUP(L1229, 'Alphabetical by species code'!B:C, 2, FALSE)</f>
        <v>Ground Cover</v>
      </c>
    </row>
    <row r="1230" spans="1:13" x14ac:dyDescent="0.25">
      <c r="A1230" s="6">
        <v>14</v>
      </c>
      <c r="B1230" s="6">
        <v>2025</v>
      </c>
      <c r="C1230" s="7">
        <v>45790</v>
      </c>
      <c r="D1230" s="6" t="s">
        <v>83</v>
      </c>
      <c r="E1230" s="6" t="s">
        <v>85</v>
      </c>
      <c r="F1230" s="6">
        <v>3</v>
      </c>
      <c r="G1230" s="6" t="s">
        <v>46</v>
      </c>
      <c r="H1230" s="6">
        <v>2</v>
      </c>
      <c r="I1230" s="6">
        <v>12</v>
      </c>
      <c r="J1230" s="6">
        <v>6</v>
      </c>
      <c r="K1230" s="6" t="s">
        <v>44</v>
      </c>
      <c r="L1230" s="6" t="str">
        <f>VLOOKUP(K1230, 'Alphabetical by species code'!A:B, 2, FALSE)</f>
        <v>Amsinckia menziesii</v>
      </c>
      <c r="M1230" s="6" t="str">
        <f>VLOOKUP(L1230, 'Alphabetical by species code'!B:C, 2, FALSE)</f>
        <v>Native</v>
      </c>
    </row>
    <row r="1231" spans="1:13" x14ac:dyDescent="0.25">
      <c r="A1231" s="6">
        <v>14</v>
      </c>
      <c r="B1231" s="6">
        <v>2025</v>
      </c>
      <c r="C1231" s="7">
        <v>45790</v>
      </c>
      <c r="D1231" s="6" t="s">
        <v>83</v>
      </c>
      <c r="E1231" s="6" t="s">
        <v>85</v>
      </c>
      <c r="F1231" s="6">
        <v>3</v>
      </c>
      <c r="G1231" s="6" t="s">
        <v>46</v>
      </c>
      <c r="H1231" s="6">
        <v>2</v>
      </c>
      <c r="I1231" s="6">
        <v>12</v>
      </c>
      <c r="J1231" s="6">
        <v>6</v>
      </c>
      <c r="K1231" s="6" t="s">
        <v>31</v>
      </c>
      <c r="L1231" s="6" t="str">
        <f>VLOOKUP(K1231, 'Alphabetical by species code'!A:B, 2, FALSE)</f>
        <v>Festuca myuros</v>
      </c>
      <c r="M1231" s="6" t="str">
        <f>VLOOKUP(L1231, 'Alphabetical by species code'!B:C, 2, FALSE)</f>
        <v>Non-Native</v>
      </c>
    </row>
    <row r="1232" spans="1:13" x14ac:dyDescent="0.25">
      <c r="A1232" s="6">
        <v>14</v>
      </c>
      <c r="B1232" s="6">
        <v>2025</v>
      </c>
      <c r="C1232" s="7">
        <v>45790</v>
      </c>
      <c r="D1232" s="6" t="s">
        <v>83</v>
      </c>
      <c r="E1232" s="6" t="s">
        <v>85</v>
      </c>
      <c r="F1232" s="6">
        <v>3</v>
      </c>
      <c r="G1232" s="6" t="s">
        <v>46</v>
      </c>
      <c r="H1232" s="6">
        <v>2</v>
      </c>
      <c r="I1232" s="6">
        <v>12</v>
      </c>
      <c r="J1232" s="6">
        <v>6</v>
      </c>
      <c r="K1232" s="6" t="s">
        <v>29</v>
      </c>
      <c r="L1232" s="6" t="str">
        <f>VLOOKUP(K1232, 'Alphabetical by species code'!A:B, 2, FALSE)</f>
        <v>Opuntia littoralis</v>
      </c>
      <c r="M1232" s="6" t="str">
        <f>VLOOKUP(L1232, 'Alphabetical by species code'!B:C, 2, FALSE)</f>
        <v>Native</v>
      </c>
    </row>
    <row r="1233" spans="1:13" x14ac:dyDescent="0.25">
      <c r="A1233" s="6">
        <v>14</v>
      </c>
      <c r="B1233" s="6">
        <v>2025</v>
      </c>
      <c r="C1233" s="7">
        <v>45790</v>
      </c>
      <c r="D1233" s="6" t="s">
        <v>83</v>
      </c>
      <c r="E1233" s="6" t="s">
        <v>85</v>
      </c>
      <c r="F1233" s="6">
        <v>3</v>
      </c>
      <c r="G1233" s="6" t="s">
        <v>46</v>
      </c>
      <c r="H1233" s="6">
        <v>2</v>
      </c>
      <c r="I1233" s="6">
        <v>13</v>
      </c>
      <c r="J1233" s="6">
        <v>6.5</v>
      </c>
      <c r="K1233" s="6" t="s">
        <v>28</v>
      </c>
      <c r="L1233" s="6" t="str">
        <f>VLOOKUP(K1233, 'Alphabetical by species code'!A:B, 2, FALSE)</f>
        <v>Litter</v>
      </c>
      <c r="M1233" s="6" t="str">
        <f>VLOOKUP(L1233, 'Alphabetical by species code'!B:C, 2, FALSE)</f>
        <v>Ground Cover</v>
      </c>
    </row>
    <row r="1234" spans="1:13" x14ac:dyDescent="0.25">
      <c r="A1234" s="6">
        <v>14</v>
      </c>
      <c r="B1234" s="6">
        <v>2025</v>
      </c>
      <c r="C1234" s="7">
        <v>45790</v>
      </c>
      <c r="D1234" s="6" t="s">
        <v>83</v>
      </c>
      <c r="E1234" s="6" t="s">
        <v>85</v>
      </c>
      <c r="F1234" s="6">
        <v>3</v>
      </c>
      <c r="G1234" s="6" t="s">
        <v>46</v>
      </c>
      <c r="H1234" s="6">
        <v>2</v>
      </c>
      <c r="I1234" s="6">
        <v>13</v>
      </c>
      <c r="J1234" s="6">
        <v>6.5</v>
      </c>
      <c r="K1234" s="6" t="s">
        <v>36</v>
      </c>
      <c r="L1234" s="6" t="str">
        <f>VLOOKUP(K1234, 'Alphabetical by species code'!A:B, 2, FALSE)</f>
        <v>Bromus madritensis</v>
      </c>
      <c r="M1234" s="6" t="str">
        <f>VLOOKUP(L1234, 'Alphabetical by species code'!B:C, 2, FALSE)</f>
        <v>Non-Native</v>
      </c>
    </row>
    <row r="1235" spans="1:13" x14ac:dyDescent="0.25">
      <c r="A1235" s="6">
        <v>14</v>
      </c>
      <c r="B1235" s="6">
        <v>2025</v>
      </c>
      <c r="C1235" s="7">
        <v>45790</v>
      </c>
      <c r="D1235" s="6" t="s">
        <v>83</v>
      </c>
      <c r="E1235" s="6" t="s">
        <v>85</v>
      </c>
      <c r="F1235" s="6">
        <v>3</v>
      </c>
      <c r="G1235" s="6" t="s">
        <v>46</v>
      </c>
      <c r="H1235" s="6">
        <v>2</v>
      </c>
      <c r="I1235" s="6">
        <v>13</v>
      </c>
      <c r="J1235" s="6">
        <v>6.5</v>
      </c>
      <c r="K1235" s="6" t="s">
        <v>31</v>
      </c>
      <c r="L1235" s="6" t="str">
        <f>VLOOKUP(K1235, 'Alphabetical by species code'!A:B, 2, FALSE)</f>
        <v>Festuca myuros</v>
      </c>
      <c r="M1235" s="6" t="str">
        <f>VLOOKUP(L1235, 'Alphabetical by species code'!B:C, 2, FALSE)</f>
        <v>Non-Native</v>
      </c>
    </row>
    <row r="1236" spans="1:13" x14ac:dyDescent="0.25">
      <c r="A1236" s="6">
        <v>14</v>
      </c>
      <c r="B1236" s="6">
        <v>2025</v>
      </c>
      <c r="C1236" s="7">
        <v>45790</v>
      </c>
      <c r="D1236" s="6" t="s">
        <v>83</v>
      </c>
      <c r="E1236" s="6" t="s">
        <v>85</v>
      </c>
      <c r="F1236" s="6">
        <v>3</v>
      </c>
      <c r="G1236" s="6" t="s">
        <v>46</v>
      </c>
      <c r="H1236" s="6">
        <v>2</v>
      </c>
      <c r="I1236" s="6">
        <v>14</v>
      </c>
      <c r="J1236" s="6">
        <v>7</v>
      </c>
      <c r="K1236" s="6" t="s">
        <v>28</v>
      </c>
      <c r="L1236" s="6" t="str">
        <f>VLOOKUP(K1236, 'Alphabetical by species code'!A:B, 2, FALSE)</f>
        <v>Litter</v>
      </c>
      <c r="M1236" s="6" t="str">
        <f>VLOOKUP(L1236, 'Alphabetical by species code'!B:C, 2, FALSE)</f>
        <v>Ground Cover</v>
      </c>
    </row>
    <row r="1237" spans="1:13" x14ac:dyDescent="0.25">
      <c r="A1237" s="6">
        <v>14</v>
      </c>
      <c r="B1237" s="6">
        <v>2025</v>
      </c>
      <c r="C1237" s="7">
        <v>45790</v>
      </c>
      <c r="D1237" s="6" t="s">
        <v>83</v>
      </c>
      <c r="E1237" s="6" t="s">
        <v>85</v>
      </c>
      <c r="F1237" s="6">
        <v>3</v>
      </c>
      <c r="G1237" s="6" t="s">
        <v>46</v>
      </c>
      <c r="H1237" s="6">
        <v>2</v>
      </c>
      <c r="I1237" s="6">
        <v>14</v>
      </c>
      <c r="J1237" s="6">
        <v>7</v>
      </c>
      <c r="K1237" s="6" t="s">
        <v>36</v>
      </c>
      <c r="L1237" s="6" t="str">
        <f>VLOOKUP(K1237, 'Alphabetical by species code'!A:B, 2, FALSE)</f>
        <v>Bromus madritensis</v>
      </c>
      <c r="M1237" s="6" t="str">
        <f>VLOOKUP(L1237, 'Alphabetical by species code'!B:C, 2, FALSE)</f>
        <v>Non-Native</v>
      </c>
    </row>
    <row r="1238" spans="1:13" x14ac:dyDescent="0.25">
      <c r="A1238" s="6">
        <v>14</v>
      </c>
      <c r="B1238" s="6">
        <v>2025</v>
      </c>
      <c r="C1238" s="7">
        <v>45790</v>
      </c>
      <c r="D1238" s="6" t="s">
        <v>83</v>
      </c>
      <c r="E1238" s="6" t="s">
        <v>85</v>
      </c>
      <c r="F1238" s="6">
        <v>3</v>
      </c>
      <c r="G1238" s="6" t="s">
        <v>46</v>
      </c>
      <c r="H1238" s="6">
        <v>2</v>
      </c>
      <c r="I1238" s="6">
        <v>14</v>
      </c>
      <c r="J1238" s="6">
        <v>7</v>
      </c>
      <c r="K1238" s="6" t="s">
        <v>31</v>
      </c>
      <c r="L1238" s="6" t="str">
        <f>VLOOKUP(K1238, 'Alphabetical by species code'!A:B, 2, FALSE)</f>
        <v>Festuca myuros</v>
      </c>
      <c r="M1238" s="6" t="str">
        <f>VLOOKUP(L1238, 'Alphabetical by species code'!B:C, 2, FALSE)</f>
        <v>Non-Native</v>
      </c>
    </row>
    <row r="1239" spans="1:13" x14ac:dyDescent="0.25">
      <c r="A1239" s="6">
        <v>14</v>
      </c>
      <c r="B1239" s="6">
        <v>2025</v>
      </c>
      <c r="C1239" s="7">
        <v>45790</v>
      </c>
      <c r="D1239" s="6" t="s">
        <v>83</v>
      </c>
      <c r="E1239" s="6" t="s">
        <v>85</v>
      </c>
      <c r="F1239" s="6">
        <v>3</v>
      </c>
      <c r="G1239" s="6" t="s">
        <v>46</v>
      </c>
      <c r="H1239" s="6">
        <v>2</v>
      </c>
      <c r="I1239" s="6">
        <v>15</v>
      </c>
      <c r="J1239" s="6">
        <v>7.5</v>
      </c>
      <c r="K1239" s="6" t="s">
        <v>28</v>
      </c>
      <c r="L1239" s="6" t="str">
        <f>VLOOKUP(K1239, 'Alphabetical by species code'!A:B, 2, FALSE)</f>
        <v>Litter</v>
      </c>
      <c r="M1239" s="6" t="str">
        <f>VLOOKUP(L1239, 'Alphabetical by species code'!B:C, 2, FALSE)</f>
        <v>Ground Cover</v>
      </c>
    </row>
    <row r="1240" spans="1:13" x14ac:dyDescent="0.25">
      <c r="A1240" s="6">
        <v>14</v>
      </c>
      <c r="B1240" s="6">
        <v>2025</v>
      </c>
      <c r="C1240" s="7">
        <v>45790</v>
      </c>
      <c r="D1240" s="6" t="s">
        <v>83</v>
      </c>
      <c r="E1240" s="6" t="s">
        <v>85</v>
      </c>
      <c r="F1240" s="6">
        <v>3</v>
      </c>
      <c r="G1240" s="6" t="s">
        <v>46</v>
      </c>
      <c r="H1240" s="6">
        <v>2</v>
      </c>
      <c r="I1240" s="6">
        <v>15</v>
      </c>
      <c r="J1240" s="6">
        <v>7.5</v>
      </c>
      <c r="K1240" s="6" t="s">
        <v>47</v>
      </c>
      <c r="L1240" s="6" t="str">
        <f>VLOOKUP(K1240, 'Alphabetical by species code'!A:B, 2, FALSE)</f>
        <v>Sonchus species</v>
      </c>
      <c r="M1240" s="6" t="str">
        <f>VLOOKUP(L1240, 'Alphabetical by species code'!B:C, 2, FALSE)</f>
        <v>Non-Native</v>
      </c>
    </row>
    <row r="1241" spans="1:13" x14ac:dyDescent="0.25">
      <c r="A1241" s="6">
        <v>14</v>
      </c>
      <c r="B1241" s="6">
        <v>2025</v>
      </c>
      <c r="C1241" s="7">
        <v>45790</v>
      </c>
      <c r="D1241" s="6" t="s">
        <v>83</v>
      </c>
      <c r="E1241" s="6" t="s">
        <v>85</v>
      </c>
      <c r="F1241" s="6">
        <v>3</v>
      </c>
      <c r="G1241" s="6" t="s">
        <v>46</v>
      </c>
      <c r="H1241" s="6">
        <v>2</v>
      </c>
      <c r="I1241" s="6">
        <v>15</v>
      </c>
      <c r="J1241" s="6">
        <v>7.5</v>
      </c>
      <c r="K1241" s="6" t="s">
        <v>31</v>
      </c>
      <c r="L1241" s="6" t="str">
        <f>VLOOKUP(K1241, 'Alphabetical by species code'!A:B, 2, FALSE)</f>
        <v>Festuca myuros</v>
      </c>
      <c r="M1241" s="6" t="str">
        <f>VLOOKUP(L1241, 'Alphabetical by species code'!B:C, 2, FALSE)</f>
        <v>Non-Native</v>
      </c>
    </row>
    <row r="1242" spans="1:13" x14ac:dyDescent="0.25">
      <c r="A1242" s="6">
        <v>15</v>
      </c>
      <c r="B1242" s="6">
        <v>2025</v>
      </c>
      <c r="C1242" s="7">
        <v>45790</v>
      </c>
      <c r="D1242" s="6" t="s">
        <v>83</v>
      </c>
      <c r="E1242" s="6" t="s">
        <v>85</v>
      </c>
      <c r="F1242" s="6">
        <v>3</v>
      </c>
      <c r="G1242" s="6" t="s">
        <v>63</v>
      </c>
      <c r="H1242" s="6">
        <v>1</v>
      </c>
      <c r="I1242" s="6">
        <v>1</v>
      </c>
      <c r="J1242" s="6">
        <v>0</v>
      </c>
      <c r="K1242" s="6" t="s">
        <v>51</v>
      </c>
      <c r="L1242" s="6" t="str">
        <f>VLOOKUP(K1242, 'Alphabetical by species code'!A:B, 2, FALSE)</f>
        <v>Bareground</v>
      </c>
      <c r="M1242" s="6" t="str">
        <f>VLOOKUP(L1242, 'Alphabetical by species code'!B:C, 2, FALSE)</f>
        <v>Ground Cover</v>
      </c>
    </row>
    <row r="1243" spans="1:13" x14ac:dyDescent="0.25">
      <c r="A1243" s="6">
        <v>15</v>
      </c>
      <c r="B1243" s="6">
        <v>2025</v>
      </c>
      <c r="C1243" s="7">
        <v>45790</v>
      </c>
      <c r="D1243" s="6" t="s">
        <v>83</v>
      </c>
      <c r="E1243" s="6" t="s">
        <v>85</v>
      </c>
      <c r="F1243" s="6">
        <v>3</v>
      </c>
      <c r="G1243" s="6" t="s">
        <v>63</v>
      </c>
      <c r="H1243" s="6">
        <v>1</v>
      </c>
      <c r="I1243" s="6">
        <v>1</v>
      </c>
      <c r="J1243" s="6">
        <v>0</v>
      </c>
      <c r="K1243" s="6" t="s">
        <v>73</v>
      </c>
      <c r="L1243" s="6" t="str">
        <f>VLOOKUP(K1243, 'Alphabetical by species code'!A:B, 2, FALSE)</f>
        <v>Eriogonum fasciculatum</v>
      </c>
      <c r="M1243" s="6" t="str">
        <f>VLOOKUP(L1243, 'Alphabetical by species code'!B:C, 2, FALSE)</f>
        <v>Native</v>
      </c>
    </row>
    <row r="1244" spans="1:13" x14ac:dyDescent="0.25">
      <c r="A1244" s="6">
        <v>15</v>
      </c>
      <c r="B1244" s="6">
        <v>2025</v>
      </c>
      <c r="C1244" s="7">
        <v>45790</v>
      </c>
      <c r="D1244" s="6" t="s">
        <v>83</v>
      </c>
      <c r="E1244" s="6" t="s">
        <v>85</v>
      </c>
      <c r="F1244" s="6">
        <v>3</v>
      </c>
      <c r="G1244" s="6" t="s">
        <v>63</v>
      </c>
      <c r="H1244" s="6">
        <v>1</v>
      </c>
      <c r="I1244" s="6">
        <v>2</v>
      </c>
      <c r="J1244" s="6">
        <v>1</v>
      </c>
      <c r="K1244" s="6" t="s">
        <v>38</v>
      </c>
      <c r="L1244" s="6" t="str">
        <f>VLOOKUP(K1244, 'Alphabetical by species code'!A:B, 2, FALSE)</f>
        <v>Thatch</v>
      </c>
      <c r="M1244" s="6" t="str">
        <f>VLOOKUP(L1244, 'Alphabetical by species code'!B:C, 2, FALSE)</f>
        <v>Ground Cover</v>
      </c>
    </row>
    <row r="1245" spans="1:13" x14ac:dyDescent="0.25">
      <c r="A1245" s="6">
        <v>15</v>
      </c>
      <c r="B1245" s="6">
        <v>2025</v>
      </c>
      <c r="C1245" s="7">
        <v>45790</v>
      </c>
      <c r="D1245" s="6" t="s">
        <v>83</v>
      </c>
      <c r="E1245" s="6" t="s">
        <v>85</v>
      </c>
      <c r="F1245" s="6">
        <v>3</v>
      </c>
      <c r="G1245" s="6" t="s">
        <v>63</v>
      </c>
      <c r="H1245" s="6">
        <v>1</v>
      </c>
      <c r="I1245" s="6">
        <v>2</v>
      </c>
      <c r="J1245" s="6">
        <v>1</v>
      </c>
      <c r="K1245" s="6" t="s">
        <v>31</v>
      </c>
      <c r="L1245" s="6" t="str">
        <f>VLOOKUP(K1245, 'Alphabetical by species code'!A:B, 2, FALSE)</f>
        <v>Festuca myuros</v>
      </c>
      <c r="M1245" s="6" t="str">
        <f>VLOOKUP(L1245, 'Alphabetical by species code'!B:C, 2, FALSE)</f>
        <v>Non-Native</v>
      </c>
    </row>
    <row r="1246" spans="1:13" x14ac:dyDescent="0.25">
      <c r="A1246" s="6">
        <v>15</v>
      </c>
      <c r="B1246" s="6">
        <v>2025</v>
      </c>
      <c r="C1246" s="7">
        <v>45790</v>
      </c>
      <c r="D1246" s="6" t="s">
        <v>83</v>
      </c>
      <c r="E1246" s="6" t="s">
        <v>85</v>
      </c>
      <c r="F1246" s="6">
        <v>3</v>
      </c>
      <c r="G1246" s="6" t="s">
        <v>63</v>
      </c>
      <c r="H1246" s="6">
        <v>1</v>
      </c>
      <c r="I1246" s="6">
        <v>3</v>
      </c>
      <c r="J1246" s="6">
        <v>1.5</v>
      </c>
      <c r="K1246" s="6" t="s">
        <v>51</v>
      </c>
      <c r="L1246" s="6" t="str">
        <f>VLOOKUP(K1246, 'Alphabetical by species code'!A:B, 2, FALSE)</f>
        <v>Bareground</v>
      </c>
      <c r="M1246" s="6" t="str">
        <f>VLOOKUP(L1246, 'Alphabetical by species code'!B:C, 2, FALSE)</f>
        <v>Ground Cover</v>
      </c>
    </row>
    <row r="1247" spans="1:13" x14ac:dyDescent="0.25">
      <c r="A1247" s="6">
        <v>15</v>
      </c>
      <c r="B1247" s="6">
        <v>2025</v>
      </c>
      <c r="C1247" s="7">
        <v>45790</v>
      </c>
      <c r="D1247" s="6" t="s">
        <v>83</v>
      </c>
      <c r="E1247" s="6" t="s">
        <v>85</v>
      </c>
      <c r="F1247" s="6">
        <v>3</v>
      </c>
      <c r="G1247" s="6" t="s">
        <v>63</v>
      </c>
      <c r="H1247" s="6">
        <v>1</v>
      </c>
      <c r="I1247" s="6">
        <v>3</v>
      </c>
      <c r="J1247" s="6">
        <v>1.5</v>
      </c>
      <c r="K1247" s="6" t="s">
        <v>31</v>
      </c>
      <c r="L1247" s="6" t="str">
        <f>VLOOKUP(K1247, 'Alphabetical by species code'!A:B, 2, FALSE)</f>
        <v>Festuca myuros</v>
      </c>
      <c r="M1247" s="6" t="str">
        <f>VLOOKUP(L1247, 'Alphabetical by species code'!B:C, 2, FALSE)</f>
        <v>Non-Native</v>
      </c>
    </row>
    <row r="1248" spans="1:13" x14ac:dyDescent="0.25">
      <c r="A1248" s="6">
        <v>15</v>
      </c>
      <c r="B1248" s="6">
        <v>2025</v>
      </c>
      <c r="C1248" s="7">
        <v>45790</v>
      </c>
      <c r="D1248" s="6" t="s">
        <v>83</v>
      </c>
      <c r="E1248" s="6" t="s">
        <v>85</v>
      </c>
      <c r="F1248" s="6">
        <v>3</v>
      </c>
      <c r="G1248" s="6" t="s">
        <v>63</v>
      </c>
      <c r="H1248" s="6">
        <v>1</v>
      </c>
      <c r="I1248" s="6">
        <v>4</v>
      </c>
      <c r="J1248" s="6">
        <v>2</v>
      </c>
      <c r="K1248" s="6" t="s">
        <v>28</v>
      </c>
      <c r="L1248" s="6" t="str">
        <f>VLOOKUP(K1248, 'Alphabetical by species code'!A:B, 2, FALSE)</f>
        <v>Litter</v>
      </c>
      <c r="M1248" s="6" t="str">
        <f>VLOOKUP(L1248, 'Alphabetical by species code'!B:C, 2, FALSE)</f>
        <v>Ground Cover</v>
      </c>
    </row>
    <row r="1249" spans="1:13" x14ac:dyDescent="0.25">
      <c r="A1249" s="6">
        <v>15</v>
      </c>
      <c r="B1249" s="6">
        <v>2025</v>
      </c>
      <c r="C1249" s="7">
        <v>45790</v>
      </c>
      <c r="D1249" s="6" t="s">
        <v>83</v>
      </c>
      <c r="E1249" s="6" t="s">
        <v>85</v>
      </c>
      <c r="F1249" s="6">
        <v>3</v>
      </c>
      <c r="G1249" s="6" t="s">
        <v>63</v>
      </c>
      <c r="H1249" s="6">
        <v>1</v>
      </c>
      <c r="I1249" s="6">
        <v>4</v>
      </c>
      <c r="J1249" s="6">
        <v>2</v>
      </c>
      <c r="K1249" s="6" t="s">
        <v>31</v>
      </c>
      <c r="L1249" s="6" t="str">
        <f>VLOOKUP(K1249, 'Alphabetical by species code'!A:B, 2, FALSE)</f>
        <v>Festuca myuros</v>
      </c>
      <c r="M1249" s="6" t="str">
        <f>VLOOKUP(L1249, 'Alphabetical by species code'!B:C, 2, FALSE)</f>
        <v>Non-Native</v>
      </c>
    </row>
    <row r="1250" spans="1:13" x14ac:dyDescent="0.25">
      <c r="A1250" s="6">
        <v>15</v>
      </c>
      <c r="B1250" s="6">
        <v>2025</v>
      </c>
      <c r="C1250" s="7">
        <v>45790</v>
      </c>
      <c r="D1250" s="6" t="s">
        <v>83</v>
      </c>
      <c r="E1250" s="6" t="s">
        <v>85</v>
      </c>
      <c r="F1250" s="6">
        <v>3</v>
      </c>
      <c r="G1250" s="6" t="s">
        <v>63</v>
      </c>
      <c r="H1250" s="6">
        <v>1</v>
      </c>
      <c r="I1250" s="6">
        <v>5</v>
      </c>
      <c r="J1250" s="6">
        <v>3</v>
      </c>
      <c r="K1250" s="6" t="s">
        <v>28</v>
      </c>
      <c r="L1250" s="6" t="str">
        <f>VLOOKUP(K1250, 'Alphabetical by species code'!A:B, 2, FALSE)</f>
        <v>Litter</v>
      </c>
      <c r="M1250" s="6" t="str">
        <f>VLOOKUP(L1250, 'Alphabetical by species code'!B:C, 2, FALSE)</f>
        <v>Ground Cover</v>
      </c>
    </row>
    <row r="1251" spans="1:13" x14ac:dyDescent="0.25">
      <c r="A1251" s="6">
        <v>15</v>
      </c>
      <c r="B1251" s="6">
        <v>2025</v>
      </c>
      <c r="C1251" s="7">
        <v>45790</v>
      </c>
      <c r="D1251" s="6" t="s">
        <v>83</v>
      </c>
      <c r="E1251" s="6" t="s">
        <v>85</v>
      </c>
      <c r="F1251" s="6">
        <v>3</v>
      </c>
      <c r="G1251" s="6" t="s">
        <v>63</v>
      </c>
      <c r="H1251" s="6">
        <v>1</v>
      </c>
      <c r="I1251" s="6">
        <v>5</v>
      </c>
      <c r="J1251" s="6">
        <v>3</v>
      </c>
      <c r="K1251" s="6" t="s">
        <v>31</v>
      </c>
      <c r="L1251" s="6" t="str">
        <f>VLOOKUP(K1251, 'Alphabetical by species code'!A:B, 2, FALSE)</f>
        <v>Festuca myuros</v>
      </c>
      <c r="M1251" s="6" t="str">
        <f>VLOOKUP(L1251, 'Alphabetical by species code'!B:C, 2, FALSE)</f>
        <v>Non-Native</v>
      </c>
    </row>
    <row r="1252" spans="1:13" x14ac:dyDescent="0.25">
      <c r="A1252" s="6">
        <v>15</v>
      </c>
      <c r="B1252" s="6">
        <v>2025</v>
      </c>
      <c r="C1252" s="7">
        <v>45790</v>
      </c>
      <c r="D1252" s="6" t="s">
        <v>83</v>
      </c>
      <c r="E1252" s="6" t="s">
        <v>85</v>
      </c>
      <c r="F1252" s="6">
        <v>3</v>
      </c>
      <c r="G1252" s="6" t="s">
        <v>63</v>
      </c>
      <c r="H1252" s="6">
        <v>1</v>
      </c>
      <c r="I1252" s="6">
        <v>6</v>
      </c>
      <c r="J1252" s="6">
        <v>3.5</v>
      </c>
      <c r="K1252" s="6" t="s">
        <v>51</v>
      </c>
      <c r="L1252" s="6" t="str">
        <f>VLOOKUP(K1252, 'Alphabetical by species code'!A:B, 2, FALSE)</f>
        <v>Bareground</v>
      </c>
      <c r="M1252" s="6" t="str">
        <f>VLOOKUP(L1252, 'Alphabetical by species code'!B:C, 2, FALSE)</f>
        <v>Ground Cover</v>
      </c>
    </row>
    <row r="1253" spans="1:13" x14ac:dyDescent="0.25">
      <c r="A1253" s="6">
        <v>15</v>
      </c>
      <c r="B1253" s="6">
        <v>2025</v>
      </c>
      <c r="C1253" s="7">
        <v>45790</v>
      </c>
      <c r="D1253" s="6" t="s">
        <v>83</v>
      </c>
      <c r="E1253" s="6" t="s">
        <v>85</v>
      </c>
      <c r="F1253" s="6">
        <v>3</v>
      </c>
      <c r="G1253" s="6" t="s">
        <v>63</v>
      </c>
      <c r="H1253" s="6">
        <v>1</v>
      </c>
      <c r="I1253" s="6">
        <v>6</v>
      </c>
      <c r="J1253" s="6">
        <v>3.5</v>
      </c>
      <c r="K1253" s="6" t="s">
        <v>31</v>
      </c>
      <c r="L1253" s="6" t="str">
        <f>VLOOKUP(K1253, 'Alphabetical by species code'!A:B, 2, FALSE)</f>
        <v>Festuca myuros</v>
      </c>
      <c r="M1253" s="6" t="str">
        <f>VLOOKUP(L1253, 'Alphabetical by species code'!B:C, 2, FALSE)</f>
        <v>Non-Native</v>
      </c>
    </row>
    <row r="1254" spans="1:13" x14ac:dyDescent="0.25">
      <c r="A1254" s="6">
        <v>15</v>
      </c>
      <c r="B1254" s="6">
        <v>2025</v>
      </c>
      <c r="C1254" s="7">
        <v>45790</v>
      </c>
      <c r="D1254" s="6" t="s">
        <v>83</v>
      </c>
      <c r="E1254" s="6" t="s">
        <v>85</v>
      </c>
      <c r="F1254" s="6">
        <v>3</v>
      </c>
      <c r="G1254" s="6" t="s">
        <v>63</v>
      </c>
      <c r="H1254" s="6">
        <v>1</v>
      </c>
      <c r="I1254" s="6">
        <v>6</v>
      </c>
      <c r="J1254" s="6">
        <v>3.5</v>
      </c>
      <c r="K1254" s="6" t="s">
        <v>35</v>
      </c>
      <c r="L1254" s="6" t="str">
        <f>VLOOKUP(K1254, 'Alphabetical by species code'!A:B, 2, FALSE)</f>
        <v>Deinandra fasciculata</v>
      </c>
      <c r="M1254" s="6" t="str">
        <f>VLOOKUP(L1254, 'Alphabetical by species code'!B:C, 2, FALSE)</f>
        <v>Native</v>
      </c>
    </row>
    <row r="1255" spans="1:13" x14ac:dyDescent="0.25">
      <c r="A1255" s="6">
        <v>15</v>
      </c>
      <c r="B1255" s="6">
        <v>2025</v>
      </c>
      <c r="C1255" s="7">
        <v>45790</v>
      </c>
      <c r="D1255" s="6" t="s">
        <v>83</v>
      </c>
      <c r="E1255" s="6" t="s">
        <v>85</v>
      </c>
      <c r="F1255" s="6">
        <v>3</v>
      </c>
      <c r="G1255" s="6" t="s">
        <v>63</v>
      </c>
      <c r="H1255" s="6">
        <v>1</v>
      </c>
      <c r="I1255" s="6">
        <v>7</v>
      </c>
      <c r="J1255" s="6">
        <v>4</v>
      </c>
      <c r="K1255" s="6" t="s">
        <v>28</v>
      </c>
      <c r="L1255" s="6" t="str">
        <f>VLOOKUP(K1255, 'Alphabetical by species code'!A:B, 2, FALSE)</f>
        <v>Litter</v>
      </c>
      <c r="M1255" s="6" t="str">
        <f>VLOOKUP(L1255, 'Alphabetical by species code'!B:C, 2, FALSE)</f>
        <v>Ground Cover</v>
      </c>
    </row>
    <row r="1256" spans="1:13" x14ac:dyDescent="0.25">
      <c r="A1256" s="6">
        <v>15</v>
      </c>
      <c r="B1256" s="6">
        <v>2025</v>
      </c>
      <c r="C1256" s="7">
        <v>45790</v>
      </c>
      <c r="D1256" s="6" t="s">
        <v>83</v>
      </c>
      <c r="E1256" s="6" t="s">
        <v>85</v>
      </c>
      <c r="F1256" s="6">
        <v>3</v>
      </c>
      <c r="G1256" s="6" t="s">
        <v>63</v>
      </c>
      <c r="H1256" s="6">
        <v>1</v>
      </c>
      <c r="I1256" s="6">
        <v>7</v>
      </c>
      <c r="J1256" s="6">
        <v>4</v>
      </c>
      <c r="K1256" s="6" t="s">
        <v>31</v>
      </c>
      <c r="L1256" s="6" t="str">
        <f>VLOOKUP(K1256, 'Alphabetical by species code'!A:B, 2, FALSE)</f>
        <v>Festuca myuros</v>
      </c>
      <c r="M1256" s="6" t="str">
        <f>VLOOKUP(L1256, 'Alphabetical by species code'!B:C, 2, FALSE)</f>
        <v>Non-Native</v>
      </c>
    </row>
    <row r="1257" spans="1:13" x14ac:dyDescent="0.25">
      <c r="A1257" s="6">
        <v>15</v>
      </c>
      <c r="B1257" s="6">
        <v>2025</v>
      </c>
      <c r="C1257" s="7">
        <v>45790</v>
      </c>
      <c r="D1257" s="6" t="s">
        <v>83</v>
      </c>
      <c r="E1257" s="6" t="s">
        <v>85</v>
      </c>
      <c r="F1257" s="6">
        <v>3</v>
      </c>
      <c r="G1257" s="6" t="s">
        <v>63</v>
      </c>
      <c r="H1257" s="6">
        <v>1</v>
      </c>
      <c r="I1257" s="6">
        <v>8</v>
      </c>
      <c r="J1257" s="6">
        <v>5</v>
      </c>
      <c r="K1257" s="6" t="s">
        <v>28</v>
      </c>
      <c r="L1257" s="6" t="str">
        <f>VLOOKUP(K1257, 'Alphabetical by species code'!A:B, 2, FALSE)</f>
        <v>Litter</v>
      </c>
      <c r="M1257" s="6" t="str">
        <f>VLOOKUP(L1257, 'Alphabetical by species code'!B:C, 2, FALSE)</f>
        <v>Ground Cover</v>
      </c>
    </row>
    <row r="1258" spans="1:13" x14ac:dyDescent="0.25">
      <c r="A1258" s="6">
        <v>15</v>
      </c>
      <c r="B1258" s="6">
        <v>2025</v>
      </c>
      <c r="C1258" s="7">
        <v>45790</v>
      </c>
      <c r="D1258" s="6" t="s">
        <v>83</v>
      </c>
      <c r="E1258" s="6" t="s">
        <v>85</v>
      </c>
      <c r="F1258" s="6">
        <v>3</v>
      </c>
      <c r="G1258" s="6" t="s">
        <v>63</v>
      </c>
      <c r="H1258" s="6">
        <v>1</v>
      </c>
      <c r="I1258" s="6">
        <v>8</v>
      </c>
      <c r="J1258" s="6">
        <v>5</v>
      </c>
      <c r="K1258" s="6" t="s">
        <v>35</v>
      </c>
      <c r="L1258" s="6" t="str">
        <f>VLOOKUP(K1258, 'Alphabetical by species code'!A:B, 2, FALSE)</f>
        <v>Deinandra fasciculata</v>
      </c>
      <c r="M1258" s="6" t="str">
        <f>VLOOKUP(L1258, 'Alphabetical by species code'!B:C, 2, FALSE)</f>
        <v>Native</v>
      </c>
    </row>
    <row r="1259" spans="1:13" x14ac:dyDescent="0.25">
      <c r="A1259" s="6">
        <v>15</v>
      </c>
      <c r="B1259" s="6">
        <v>2025</v>
      </c>
      <c r="C1259" s="7">
        <v>45790</v>
      </c>
      <c r="D1259" s="6" t="s">
        <v>83</v>
      </c>
      <c r="E1259" s="6" t="s">
        <v>85</v>
      </c>
      <c r="F1259" s="6">
        <v>3</v>
      </c>
      <c r="G1259" s="6" t="s">
        <v>63</v>
      </c>
      <c r="H1259" s="6">
        <v>1</v>
      </c>
      <c r="I1259" s="6">
        <v>8</v>
      </c>
      <c r="J1259" s="6">
        <v>5</v>
      </c>
      <c r="K1259" s="6" t="s">
        <v>36</v>
      </c>
      <c r="L1259" s="6" t="str">
        <f>VLOOKUP(K1259, 'Alphabetical by species code'!A:B, 2, FALSE)</f>
        <v>Bromus madritensis</v>
      </c>
      <c r="M1259" s="6" t="str">
        <f>VLOOKUP(L1259, 'Alphabetical by species code'!B:C, 2, FALSE)</f>
        <v>Non-Native</v>
      </c>
    </row>
    <row r="1260" spans="1:13" x14ac:dyDescent="0.25">
      <c r="A1260" s="6">
        <v>15</v>
      </c>
      <c r="B1260" s="6">
        <v>2025</v>
      </c>
      <c r="C1260" s="7">
        <v>45790</v>
      </c>
      <c r="D1260" s="6" t="s">
        <v>83</v>
      </c>
      <c r="E1260" s="6" t="s">
        <v>85</v>
      </c>
      <c r="F1260" s="6">
        <v>3</v>
      </c>
      <c r="G1260" s="6" t="s">
        <v>63</v>
      </c>
      <c r="H1260" s="6">
        <v>1</v>
      </c>
      <c r="I1260" s="6">
        <v>9</v>
      </c>
      <c r="J1260" s="6">
        <v>7</v>
      </c>
      <c r="K1260" s="6" t="s">
        <v>28</v>
      </c>
      <c r="L1260" s="6" t="str">
        <f>VLOOKUP(K1260, 'Alphabetical by species code'!A:B, 2, FALSE)</f>
        <v>Litter</v>
      </c>
      <c r="M1260" s="6" t="str">
        <f>VLOOKUP(L1260, 'Alphabetical by species code'!B:C, 2, FALSE)</f>
        <v>Ground Cover</v>
      </c>
    </row>
    <row r="1261" spans="1:13" x14ac:dyDescent="0.25">
      <c r="A1261" s="6">
        <v>15</v>
      </c>
      <c r="B1261" s="6">
        <v>2025</v>
      </c>
      <c r="C1261" s="7">
        <v>45790</v>
      </c>
      <c r="D1261" s="6" t="s">
        <v>83</v>
      </c>
      <c r="E1261" s="6" t="s">
        <v>85</v>
      </c>
      <c r="F1261" s="6">
        <v>3</v>
      </c>
      <c r="G1261" s="6" t="s">
        <v>63</v>
      </c>
      <c r="H1261" s="6">
        <v>1</v>
      </c>
      <c r="I1261" s="6">
        <v>9</v>
      </c>
      <c r="J1261" s="6">
        <v>7</v>
      </c>
      <c r="K1261" s="6" t="s">
        <v>32</v>
      </c>
      <c r="L1261" s="6" t="str">
        <f>VLOOKUP(K1261, 'Alphabetical by species code'!A:B, 2, FALSE)</f>
        <v>Medicago polymorpha</v>
      </c>
      <c r="M1261" s="6" t="str">
        <f>VLOOKUP(L1261, 'Alphabetical by species code'!B:C, 2, FALSE)</f>
        <v>Non-Native</v>
      </c>
    </row>
    <row r="1262" spans="1:13" x14ac:dyDescent="0.25">
      <c r="A1262" s="6">
        <v>15</v>
      </c>
      <c r="B1262" s="6">
        <v>2025</v>
      </c>
      <c r="C1262" s="7">
        <v>45790</v>
      </c>
      <c r="D1262" s="6" t="s">
        <v>83</v>
      </c>
      <c r="E1262" s="6" t="s">
        <v>85</v>
      </c>
      <c r="F1262" s="6">
        <v>3</v>
      </c>
      <c r="G1262" s="6" t="s">
        <v>63</v>
      </c>
      <c r="H1262" s="6">
        <v>1</v>
      </c>
      <c r="I1262" s="6">
        <v>10</v>
      </c>
      <c r="J1262" s="6">
        <v>8</v>
      </c>
      <c r="K1262" s="6" t="s">
        <v>28</v>
      </c>
      <c r="L1262" s="6" t="str">
        <f>VLOOKUP(K1262, 'Alphabetical by species code'!A:B, 2, FALSE)</f>
        <v>Litter</v>
      </c>
      <c r="M1262" s="6" t="str">
        <f>VLOOKUP(L1262, 'Alphabetical by species code'!B:C, 2, FALSE)</f>
        <v>Ground Cover</v>
      </c>
    </row>
    <row r="1263" spans="1:13" x14ac:dyDescent="0.25">
      <c r="A1263" s="6">
        <v>15</v>
      </c>
      <c r="B1263" s="6">
        <v>2025</v>
      </c>
      <c r="C1263" s="7">
        <v>45790</v>
      </c>
      <c r="D1263" s="6" t="s">
        <v>83</v>
      </c>
      <c r="E1263" s="6" t="s">
        <v>85</v>
      </c>
      <c r="F1263" s="6">
        <v>3</v>
      </c>
      <c r="G1263" s="6" t="s">
        <v>63</v>
      </c>
      <c r="H1263" s="6">
        <v>1</v>
      </c>
      <c r="I1263" s="6">
        <v>10</v>
      </c>
      <c r="J1263" s="6">
        <v>8</v>
      </c>
      <c r="K1263" s="6" t="s">
        <v>31</v>
      </c>
      <c r="L1263" s="6" t="str">
        <f>VLOOKUP(K1263, 'Alphabetical by species code'!A:B, 2, FALSE)</f>
        <v>Festuca myuros</v>
      </c>
      <c r="M1263" s="6" t="str">
        <f>VLOOKUP(L1263, 'Alphabetical by species code'!B:C, 2, FALSE)</f>
        <v>Non-Native</v>
      </c>
    </row>
    <row r="1264" spans="1:13" x14ac:dyDescent="0.25">
      <c r="A1264" s="6">
        <v>15</v>
      </c>
      <c r="B1264" s="6">
        <v>2025</v>
      </c>
      <c r="C1264" s="7">
        <v>45790</v>
      </c>
      <c r="D1264" s="6" t="s">
        <v>83</v>
      </c>
      <c r="E1264" s="6" t="s">
        <v>85</v>
      </c>
      <c r="F1264" s="6">
        <v>3</v>
      </c>
      <c r="G1264" s="6" t="s">
        <v>63</v>
      </c>
      <c r="H1264" s="6">
        <v>1</v>
      </c>
      <c r="I1264" s="6">
        <v>10</v>
      </c>
      <c r="J1264" s="6">
        <v>8</v>
      </c>
      <c r="K1264" s="6" t="s">
        <v>44</v>
      </c>
      <c r="L1264" s="6" t="str">
        <f>VLOOKUP(K1264, 'Alphabetical by species code'!A:B, 2, FALSE)</f>
        <v>Amsinckia menziesii</v>
      </c>
      <c r="M1264" s="6" t="str">
        <f>VLOOKUP(L1264, 'Alphabetical by species code'!B:C, 2, FALSE)</f>
        <v>Native</v>
      </c>
    </row>
    <row r="1265" spans="1:13" x14ac:dyDescent="0.25">
      <c r="A1265" s="6">
        <v>15</v>
      </c>
      <c r="B1265" s="6">
        <v>2025</v>
      </c>
      <c r="C1265" s="7">
        <v>45790</v>
      </c>
      <c r="D1265" s="6" t="s">
        <v>83</v>
      </c>
      <c r="E1265" s="6" t="s">
        <v>85</v>
      </c>
      <c r="F1265" s="6">
        <v>3</v>
      </c>
      <c r="G1265" s="6" t="s">
        <v>63</v>
      </c>
      <c r="H1265" s="6">
        <v>1</v>
      </c>
      <c r="I1265" s="6">
        <v>11</v>
      </c>
      <c r="J1265" s="6">
        <v>8.5</v>
      </c>
      <c r="K1265" s="6" t="s">
        <v>51</v>
      </c>
      <c r="L1265" s="6" t="str">
        <f>VLOOKUP(K1265, 'Alphabetical by species code'!A:B, 2, FALSE)</f>
        <v>Bareground</v>
      </c>
      <c r="M1265" s="6" t="str">
        <f>VLOOKUP(L1265, 'Alphabetical by species code'!B:C, 2, FALSE)</f>
        <v>Ground Cover</v>
      </c>
    </row>
    <row r="1266" spans="1:13" x14ac:dyDescent="0.25">
      <c r="A1266" s="6">
        <v>15</v>
      </c>
      <c r="B1266" s="6">
        <v>2025</v>
      </c>
      <c r="C1266" s="7">
        <v>45790</v>
      </c>
      <c r="D1266" s="6" t="s">
        <v>83</v>
      </c>
      <c r="E1266" s="6" t="s">
        <v>85</v>
      </c>
      <c r="F1266" s="6">
        <v>3</v>
      </c>
      <c r="G1266" s="6" t="s">
        <v>63</v>
      </c>
      <c r="H1266" s="6">
        <v>1</v>
      </c>
      <c r="I1266" s="6">
        <v>11</v>
      </c>
      <c r="J1266" s="6">
        <v>8.5</v>
      </c>
      <c r="K1266" s="6" t="s">
        <v>31</v>
      </c>
      <c r="L1266" s="6" t="str">
        <f>VLOOKUP(K1266, 'Alphabetical by species code'!A:B, 2, FALSE)</f>
        <v>Festuca myuros</v>
      </c>
      <c r="M1266" s="6" t="str">
        <f>VLOOKUP(L1266, 'Alphabetical by species code'!B:C, 2, FALSE)</f>
        <v>Non-Native</v>
      </c>
    </row>
    <row r="1267" spans="1:13" x14ac:dyDescent="0.25">
      <c r="A1267" s="6">
        <v>15</v>
      </c>
      <c r="B1267" s="6">
        <v>2025</v>
      </c>
      <c r="C1267" s="7">
        <v>45790</v>
      </c>
      <c r="D1267" s="6" t="s">
        <v>83</v>
      </c>
      <c r="E1267" s="6" t="s">
        <v>85</v>
      </c>
      <c r="F1267" s="6">
        <v>3</v>
      </c>
      <c r="G1267" s="6" t="s">
        <v>63</v>
      </c>
      <c r="H1267" s="6">
        <v>1</v>
      </c>
      <c r="I1267" s="6">
        <v>11</v>
      </c>
      <c r="J1267" s="6">
        <v>8.5</v>
      </c>
      <c r="K1267" s="6" t="s">
        <v>32</v>
      </c>
      <c r="L1267" s="6" t="str">
        <f>VLOOKUP(K1267, 'Alphabetical by species code'!A:B, 2, FALSE)</f>
        <v>Medicago polymorpha</v>
      </c>
      <c r="M1267" s="6" t="str">
        <f>VLOOKUP(L1267, 'Alphabetical by species code'!B:C, 2, FALSE)</f>
        <v>Non-Native</v>
      </c>
    </row>
    <row r="1268" spans="1:13" x14ac:dyDescent="0.25">
      <c r="A1268" s="6">
        <v>15</v>
      </c>
      <c r="B1268" s="6">
        <v>2025</v>
      </c>
      <c r="C1268" s="7">
        <v>45790</v>
      </c>
      <c r="D1268" s="6" t="s">
        <v>83</v>
      </c>
      <c r="E1268" s="6" t="s">
        <v>85</v>
      </c>
      <c r="F1268" s="6">
        <v>3</v>
      </c>
      <c r="G1268" s="6" t="s">
        <v>63</v>
      </c>
      <c r="H1268" s="6">
        <v>1</v>
      </c>
      <c r="I1268" s="6">
        <v>12</v>
      </c>
      <c r="J1268" s="6">
        <v>9</v>
      </c>
      <c r="K1268" s="6" t="s">
        <v>28</v>
      </c>
      <c r="L1268" s="6" t="str">
        <f>VLOOKUP(K1268, 'Alphabetical by species code'!A:B, 2, FALSE)</f>
        <v>Litter</v>
      </c>
      <c r="M1268" s="6" t="str">
        <f>VLOOKUP(L1268, 'Alphabetical by species code'!B:C, 2, FALSE)</f>
        <v>Ground Cover</v>
      </c>
    </row>
    <row r="1269" spans="1:13" x14ac:dyDescent="0.25">
      <c r="A1269" s="6">
        <v>15</v>
      </c>
      <c r="B1269" s="6">
        <v>2025</v>
      </c>
      <c r="C1269" s="7">
        <v>45790</v>
      </c>
      <c r="D1269" s="6" t="s">
        <v>83</v>
      </c>
      <c r="E1269" s="6" t="s">
        <v>85</v>
      </c>
      <c r="F1269" s="6">
        <v>3</v>
      </c>
      <c r="G1269" s="6" t="s">
        <v>63</v>
      </c>
      <c r="H1269" s="6">
        <v>1</v>
      </c>
      <c r="I1269" s="6">
        <v>12</v>
      </c>
      <c r="J1269" s="6">
        <v>9</v>
      </c>
      <c r="K1269" s="6" t="s">
        <v>32</v>
      </c>
      <c r="L1269" s="6" t="str">
        <f>VLOOKUP(K1269, 'Alphabetical by species code'!A:B, 2, FALSE)</f>
        <v>Medicago polymorpha</v>
      </c>
      <c r="M1269" s="6" t="str">
        <f>VLOOKUP(L1269, 'Alphabetical by species code'!B:C, 2, FALSE)</f>
        <v>Non-Native</v>
      </c>
    </row>
    <row r="1270" spans="1:13" x14ac:dyDescent="0.25">
      <c r="A1270" s="6">
        <v>15</v>
      </c>
      <c r="B1270" s="6">
        <v>2025</v>
      </c>
      <c r="C1270" s="7">
        <v>45790</v>
      </c>
      <c r="D1270" s="6" t="s">
        <v>83</v>
      </c>
      <c r="E1270" s="6" t="s">
        <v>85</v>
      </c>
      <c r="F1270" s="6">
        <v>3</v>
      </c>
      <c r="G1270" s="6" t="s">
        <v>63</v>
      </c>
      <c r="H1270" s="6">
        <v>1</v>
      </c>
      <c r="I1270" s="6">
        <v>12</v>
      </c>
      <c r="J1270" s="6">
        <v>9</v>
      </c>
      <c r="K1270" s="6" t="s">
        <v>36</v>
      </c>
      <c r="L1270" s="6" t="str">
        <f>VLOOKUP(K1270, 'Alphabetical by species code'!A:B, 2, FALSE)</f>
        <v>Bromus madritensis</v>
      </c>
      <c r="M1270" s="6" t="str">
        <f>VLOOKUP(L1270, 'Alphabetical by species code'!B:C, 2, FALSE)</f>
        <v>Non-Native</v>
      </c>
    </row>
    <row r="1271" spans="1:13" x14ac:dyDescent="0.25">
      <c r="A1271" s="6">
        <v>15</v>
      </c>
      <c r="B1271" s="6">
        <v>2025</v>
      </c>
      <c r="C1271" s="7">
        <v>45790</v>
      </c>
      <c r="D1271" s="6" t="s">
        <v>83</v>
      </c>
      <c r="E1271" s="6" t="s">
        <v>85</v>
      </c>
      <c r="F1271" s="6">
        <v>3</v>
      </c>
      <c r="G1271" s="6" t="s">
        <v>63</v>
      </c>
      <c r="H1271" s="6">
        <v>1</v>
      </c>
      <c r="I1271" s="6">
        <v>13</v>
      </c>
      <c r="J1271" s="6">
        <v>10</v>
      </c>
      <c r="K1271" s="6" t="s">
        <v>28</v>
      </c>
      <c r="L1271" s="6" t="str">
        <f>VLOOKUP(K1271, 'Alphabetical by species code'!A:B, 2, FALSE)</f>
        <v>Litter</v>
      </c>
      <c r="M1271" s="6" t="str">
        <f>VLOOKUP(L1271, 'Alphabetical by species code'!B:C, 2, FALSE)</f>
        <v>Ground Cover</v>
      </c>
    </row>
    <row r="1272" spans="1:13" x14ac:dyDescent="0.25">
      <c r="A1272" s="6">
        <v>15</v>
      </c>
      <c r="B1272" s="6">
        <v>2025</v>
      </c>
      <c r="C1272" s="7">
        <v>45790</v>
      </c>
      <c r="D1272" s="6" t="s">
        <v>83</v>
      </c>
      <c r="E1272" s="6" t="s">
        <v>85</v>
      </c>
      <c r="F1272" s="6">
        <v>3</v>
      </c>
      <c r="G1272" s="6" t="s">
        <v>63</v>
      </c>
      <c r="H1272" s="6">
        <v>1</v>
      </c>
      <c r="I1272" s="6">
        <v>13</v>
      </c>
      <c r="J1272" s="6">
        <v>10</v>
      </c>
      <c r="K1272" s="6" t="s">
        <v>36</v>
      </c>
      <c r="L1272" s="6" t="str">
        <f>VLOOKUP(K1272, 'Alphabetical by species code'!A:B, 2, FALSE)</f>
        <v>Bromus madritensis</v>
      </c>
      <c r="M1272" s="6" t="str">
        <f>VLOOKUP(L1272, 'Alphabetical by species code'!B:C, 2, FALSE)</f>
        <v>Non-Native</v>
      </c>
    </row>
    <row r="1273" spans="1:13" x14ac:dyDescent="0.25">
      <c r="A1273" s="6">
        <v>15</v>
      </c>
      <c r="B1273" s="6">
        <v>2025</v>
      </c>
      <c r="C1273" s="7">
        <v>45790</v>
      </c>
      <c r="D1273" s="6" t="s">
        <v>83</v>
      </c>
      <c r="E1273" s="6" t="s">
        <v>85</v>
      </c>
      <c r="F1273" s="6">
        <v>3</v>
      </c>
      <c r="G1273" s="6" t="s">
        <v>63</v>
      </c>
      <c r="H1273" s="6">
        <v>1</v>
      </c>
      <c r="I1273" s="6">
        <v>13</v>
      </c>
      <c r="J1273" s="6">
        <v>10</v>
      </c>
      <c r="K1273" s="6" t="s">
        <v>32</v>
      </c>
      <c r="L1273" s="6" t="str">
        <f>VLOOKUP(K1273, 'Alphabetical by species code'!A:B, 2, FALSE)</f>
        <v>Medicago polymorpha</v>
      </c>
      <c r="M1273" s="6" t="str">
        <f>VLOOKUP(L1273, 'Alphabetical by species code'!B:C, 2, FALSE)</f>
        <v>Non-Native</v>
      </c>
    </row>
    <row r="1274" spans="1:13" x14ac:dyDescent="0.25">
      <c r="A1274" s="6">
        <v>15</v>
      </c>
      <c r="B1274" s="6">
        <v>2025</v>
      </c>
      <c r="C1274" s="7">
        <v>45790</v>
      </c>
      <c r="D1274" s="6" t="s">
        <v>83</v>
      </c>
      <c r="E1274" s="6" t="s">
        <v>85</v>
      </c>
      <c r="F1274" s="6">
        <v>3</v>
      </c>
      <c r="G1274" s="6" t="s">
        <v>63</v>
      </c>
      <c r="H1274" s="6">
        <v>1</v>
      </c>
      <c r="I1274" s="6">
        <v>14</v>
      </c>
      <c r="J1274" s="6">
        <v>11</v>
      </c>
      <c r="K1274" s="6" t="s">
        <v>28</v>
      </c>
      <c r="L1274" s="6" t="str">
        <f>VLOOKUP(K1274, 'Alphabetical by species code'!A:B, 2, FALSE)</f>
        <v>Litter</v>
      </c>
      <c r="M1274" s="6" t="str">
        <f>VLOOKUP(L1274, 'Alphabetical by species code'!B:C, 2, FALSE)</f>
        <v>Ground Cover</v>
      </c>
    </row>
    <row r="1275" spans="1:13" x14ac:dyDescent="0.25">
      <c r="A1275" s="6">
        <v>15</v>
      </c>
      <c r="B1275" s="6">
        <v>2025</v>
      </c>
      <c r="C1275" s="7">
        <v>45790</v>
      </c>
      <c r="D1275" s="6" t="s">
        <v>83</v>
      </c>
      <c r="E1275" s="6" t="s">
        <v>85</v>
      </c>
      <c r="F1275" s="6">
        <v>3</v>
      </c>
      <c r="G1275" s="6" t="s">
        <v>63</v>
      </c>
      <c r="H1275" s="6">
        <v>1</v>
      </c>
      <c r="I1275" s="6">
        <v>14</v>
      </c>
      <c r="J1275" s="6">
        <v>11</v>
      </c>
      <c r="K1275" s="6" t="s">
        <v>73</v>
      </c>
      <c r="L1275" s="6" t="str">
        <f>VLOOKUP(K1275, 'Alphabetical by species code'!A:B, 2, FALSE)</f>
        <v>Eriogonum fasciculatum</v>
      </c>
      <c r="M1275" s="6" t="str">
        <f>VLOOKUP(L1275, 'Alphabetical by species code'!B:C, 2, FALSE)</f>
        <v>Native</v>
      </c>
    </row>
    <row r="1276" spans="1:13" x14ac:dyDescent="0.25">
      <c r="A1276" s="6">
        <v>15</v>
      </c>
      <c r="B1276" s="6">
        <v>2025</v>
      </c>
      <c r="C1276" s="7">
        <v>45790</v>
      </c>
      <c r="D1276" s="6" t="s">
        <v>83</v>
      </c>
      <c r="E1276" s="6" t="s">
        <v>85</v>
      </c>
      <c r="F1276" s="6">
        <v>3</v>
      </c>
      <c r="G1276" s="6" t="s">
        <v>63</v>
      </c>
      <c r="H1276" s="6">
        <v>1</v>
      </c>
      <c r="I1276" s="6">
        <v>14</v>
      </c>
      <c r="J1276" s="6">
        <v>11</v>
      </c>
      <c r="K1276" s="6" t="s">
        <v>31</v>
      </c>
      <c r="L1276" s="6" t="str">
        <f>VLOOKUP(K1276, 'Alphabetical by species code'!A:B, 2, FALSE)</f>
        <v>Festuca myuros</v>
      </c>
      <c r="M1276" s="6" t="str">
        <f>VLOOKUP(L1276, 'Alphabetical by species code'!B:C, 2, FALSE)</f>
        <v>Non-Native</v>
      </c>
    </row>
    <row r="1277" spans="1:13" x14ac:dyDescent="0.25">
      <c r="A1277" s="6">
        <v>15</v>
      </c>
      <c r="B1277" s="6">
        <v>2025</v>
      </c>
      <c r="C1277" s="7">
        <v>45790</v>
      </c>
      <c r="D1277" s="6" t="s">
        <v>83</v>
      </c>
      <c r="E1277" s="6" t="s">
        <v>85</v>
      </c>
      <c r="F1277" s="6">
        <v>3</v>
      </c>
      <c r="G1277" s="6" t="s">
        <v>63</v>
      </c>
      <c r="H1277" s="6">
        <v>1</v>
      </c>
      <c r="I1277" s="6">
        <v>15</v>
      </c>
      <c r="J1277" s="6">
        <v>12</v>
      </c>
      <c r="K1277" s="6" t="s">
        <v>28</v>
      </c>
      <c r="L1277" s="6" t="str">
        <f>VLOOKUP(K1277, 'Alphabetical by species code'!A:B, 2, FALSE)</f>
        <v>Litter</v>
      </c>
      <c r="M1277" s="6" t="str">
        <f>VLOOKUP(L1277, 'Alphabetical by species code'!B:C, 2, FALSE)</f>
        <v>Ground Cover</v>
      </c>
    </row>
    <row r="1278" spans="1:13" x14ac:dyDescent="0.25">
      <c r="A1278" s="6">
        <v>15</v>
      </c>
      <c r="B1278" s="6">
        <v>2025</v>
      </c>
      <c r="C1278" s="7">
        <v>45790</v>
      </c>
      <c r="D1278" s="6" t="s">
        <v>83</v>
      </c>
      <c r="E1278" s="6" t="s">
        <v>85</v>
      </c>
      <c r="F1278" s="6">
        <v>3</v>
      </c>
      <c r="G1278" s="6" t="s">
        <v>63</v>
      </c>
      <c r="H1278" s="6">
        <v>1</v>
      </c>
      <c r="I1278" s="6">
        <v>15</v>
      </c>
      <c r="J1278" s="6">
        <v>12</v>
      </c>
      <c r="K1278" s="6" t="s">
        <v>73</v>
      </c>
      <c r="L1278" s="6" t="str">
        <f>VLOOKUP(K1278, 'Alphabetical by species code'!A:B, 2, FALSE)</f>
        <v>Eriogonum fasciculatum</v>
      </c>
      <c r="M1278" s="6" t="str">
        <f>VLOOKUP(L1278, 'Alphabetical by species code'!B:C, 2, FALSE)</f>
        <v>Native</v>
      </c>
    </row>
    <row r="1279" spans="1:13" x14ac:dyDescent="0.25">
      <c r="A1279" s="6">
        <v>15</v>
      </c>
      <c r="B1279" s="6">
        <v>2025</v>
      </c>
      <c r="C1279" s="7">
        <v>45790</v>
      </c>
      <c r="D1279" s="6" t="s">
        <v>83</v>
      </c>
      <c r="E1279" s="6" t="s">
        <v>85</v>
      </c>
      <c r="F1279" s="6">
        <v>3</v>
      </c>
      <c r="G1279" s="6" t="s">
        <v>63</v>
      </c>
      <c r="H1279" s="6">
        <v>2</v>
      </c>
      <c r="I1279" s="6">
        <v>1</v>
      </c>
      <c r="J1279" s="6">
        <v>0</v>
      </c>
      <c r="K1279" s="6" t="s">
        <v>51</v>
      </c>
      <c r="L1279" s="6" t="str">
        <f>VLOOKUP(K1279, 'Alphabetical by species code'!A:B, 2, FALSE)</f>
        <v>Bareground</v>
      </c>
      <c r="M1279" s="6" t="str">
        <f>VLOOKUP(L1279, 'Alphabetical by species code'!B:C, 2, FALSE)</f>
        <v>Ground Cover</v>
      </c>
    </row>
    <row r="1280" spans="1:13" x14ac:dyDescent="0.25">
      <c r="A1280" s="6">
        <v>15</v>
      </c>
      <c r="B1280" s="6">
        <v>2025</v>
      </c>
      <c r="C1280" s="7">
        <v>45790</v>
      </c>
      <c r="D1280" s="6" t="s">
        <v>83</v>
      </c>
      <c r="E1280" s="6" t="s">
        <v>85</v>
      </c>
      <c r="F1280" s="6">
        <v>3</v>
      </c>
      <c r="G1280" s="6" t="s">
        <v>63</v>
      </c>
      <c r="H1280" s="6">
        <v>2</v>
      </c>
      <c r="I1280" s="6">
        <v>1</v>
      </c>
      <c r="J1280" s="6">
        <v>0</v>
      </c>
      <c r="K1280" s="6" t="s">
        <v>31</v>
      </c>
      <c r="L1280" s="6" t="str">
        <f>VLOOKUP(K1280, 'Alphabetical by species code'!A:B, 2, FALSE)</f>
        <v>Festuca myuros</v>
      </c>
      <c r="M1280" s="6" t="str">
        <f>VLOOKUP(L1280, 'Alphabetical by species code'!B:C, 2, FALSE)</f>
        <v>Non-Native</v>
      </c>
    </row>
    <row r="1281" spans="1:13" x14ac:dyDescent="0.25">
      <c r="A1281" s="6">
        <v>15</v>
      </c>
      <c r="B1281" s="6">
        <v>2025</v>
      </c>
      <c r="C1281" s="7">
        <v>45790</v>
      </c>
      <c r="D1281" s="6" t="s">
        <v>83</v>
      </c>
      <c r="E1281" s="6" t="s">
        <v>85</v>
      </c>
      <c r="F1281" s="6">
        <v>3</v>
      </c>
      <c r="G1281" s="6" t="s">
        <v>63</v>
      </c>
      <c r="H1281" s="6">
        <v>2</v>
      </c>
      <c r="I1281" s="6">
        <v>2</v>
      </c>
      <c r="J1281" s="6">
        <v>1</v>
      </c>
      <c r="K1281" s="6" t="s">
        <v>28</v>
      </c>
      <c r="L1281" s="6" t="str">
        <f>VLOOKUP(K1281, 'Alphabetical by species code'!A:B, 2, FALSE)</f>
        <v>Litter</v>
      </c>
      <c r="M1281" s="6" t="str">
        <f>VLOOKUP(L1281, 'Alphabetical by species code'!B:C, 2, FALSE)</f>
        <v>Ground Cover</v>
      </c>
    </row>
    <row r="1282" spans="1:13" x14ac:dyDescent="0.25">
      <c r="A1282" s="6">
        <v>15</v>
      </c>
      <c r="B1282" s="6">
        <v>2025</v>
      </c>
      <c r="C1282" s="7">
        <v>45790</v>
      </c>
      <c r="D1282" s="6" t="s">
        <v>83</v>
      </c>
      <c r="E1282" s="6" t="s">
        <v>85</v>
      </c>
      <c r="F1282" s="6">
        <v>3</v>
      </c>
      <c r="G1282" s="6" t="s">
        <v>63</v>
      </c>
      <c r="H1282" s="6">
        <v>2</v>
      </c>
      <c r="I1282" s="6">
        <v>2</v>
      </c>
      <c r="J1282" s="6">
        <v>1</v>
      </c>
      <c r="K1282" s="6" t="s">
        <v>31</v>
      </c>
      <c r="L1282" s="6" t="str">
        <f>VLOOKUP(K1282, 'Alphabetical by species code'!A:B, 2, FALSE)</f>
        <v>Festuca myuros</v>
      </c>
      <c r="M1282" s="6" t="str">
        <f>VLOOKUP(L1282, 'Alphabetical by species code'!B:C, 2, FALSE)</f>
        <v>Non-Native</v>
      </c>
    </row>
    <row r="1283" spans="1:13" x14ac:dyDescent="0.25">
      <c r="A1283" s="6">
        <v>15</v>
      </c>
      <c r="B1283" s="6">
        <v>2025</v>
      </c>
      <c r="C1283" s="7">
        <v>45790</v>
      </c>
      <c r="D1283" s="6" t="s">
        <v>83</v>
      </c>
      <c r="E1283" s="6" t="s">
        <v>85</v>
      </c>
      <c r="F1283" s="6">
        <v>3</v>
      </c>
      <c r="G1283" s="6" t="s">
        <v>63</v>
      </c>
      <c r="H1283" s="6">
        <v>2</v>
      </c>
      <c r="I1283" s="6">
        <v>3</v>
      </c>
      <c r="J1283" s="6">
        <v>1.5</v>
      </c>
      <c r="K1283" s="6" t="s">
        <v>28</v>
      </c>
      <c r="L1283" s="6" t="str">
        <f>VLOOKUP(K1283, 'Alphabetical by species code'!A:B, 2, FALSE)</f>
        <v>Litter</v>
      </c>
      <c r="M1283" s="6" t="str">
        <f>VLOOKUP(L1283, 'Alphabetical by species code'!B:C, 2, FALSE)</f>
        <v>Ground Cover</v>
      </c>
    </row>
    <row r="1284" spans="1:13" x14ac:dyDescent="0.25">
      <c r="A1284" s="6">
        <v>15</v>
      </c>
      <c r="B1284" s="6">
        <v>2025</v>
      </c>
      <c r="C1284" s="7">
        <v>45790</v>
      </c>
      <c r="D1284" s="6" t="s">
        <v>83</v>
      </c>
      <c r="E1284" s="6" t="s">
        <v>85</v>
      </c>
      <c r="F1284" s="6">
        <v>3</v>
      </c>
      <c r="G1284" s="6" t="s">
        <v>63</v>
      </c>
      <c r="H1284" s="6">
        <v>2</v>
      </c>
      <c r="I1284" s="6">
        <v>3</v>
      </c>
      <c r="J1284" s="6">
        <v>1.5</v>
      </c>
      <c r="K1284" s="6" t="s">
        <v>31</v>
      </c>
      <c r="L1284" s="6" t="str">
        <f>VLOOKUP(K1284, 'Alphabetical by species code'!A:B, 2, FALSE)</f>
        <v>Festuca myuros</v>
      </c>
      <c r="M1284" s="6" t="str">
        <f>VLOOKUP(L1284, 'Alphabetical by species code'!B:C, 2, FALSE)</f>
        <v>Non-Native</v>
      </c>
    </row>
    <row r="1285" spans="1:13" x14ac:dyDescent="0.25">
      <c r="A1285" s="6">
        <v>15</v>
      </c>
      <c r="B1285" s="6">
        <v>2025</v>
      </c>
      <c r="C1285" s="7">
        <v>45790</v>
      </c>
      <c r="D1285" s="6" t="s">
        <v>83</v>
      </c>
      <c r="E1285" s="6" t="s">
        <v>85</v>
      </c>
      <c r="F1285" s="6">
        <v>3</v>
      </c>
      <c r="G1285" s="6" t="s">
        <v>63</v>
      </c>
      <c r="H1285" s="6">
        <v>2</v>
      </c>
      <c r="I1285" s="6">
        <v>4</v>
      </c>
      <c r="J1285" s="6">
        <v>2</v>
      </c>
      <c r="K1285" s="6" t="s">
        <v>28</v>
      </c>
      <c r="L1285" s="6" t="str">
        <f>VLOOKUP(K1285, 'Alphabetical by species code'!A:B, 2, FALSE)</f>
        <v>Litter</v>
      </c>
      <c r="M1285" s="6" t="str">
        <f>VLOOKUP(L1285, 'Alphabetical by species code'!B:C, 2, FALSE)</f>
        <v>Ground Cover</v>
      </c>
    </row>
    <row r="1286" spans="1:13" x14ac:dyDescent="0.25">
      <c r="A1286" s="6">
        <v>15</v>
      </c>
      <c r="B1286" s="6">
        <v>2025</v>
      </c>
      <c r="C1286" s="7">
        <v>45790</v>
      </c>
      <c r="D1286" s="6" t="s">
        <v>83</v>
      </c>
      <c r="E1286" s="6" t="s">
        <v>85</v>
      </c>
      <c r="F1286" s="6">
        <v>3</v>
      </c>
      <c r="G1286" s="6" t="s">
        <v>63</v>
      </c>
      <c r="H1286" s="6">
        <v>2</v>
      </c>
      <c r="I1286" s="6">
        <v>4</v>
      </c>
      <c r="J1286" s="6">
        <v>2</v>
      </c>
      <c r="K1286" s="6" t="s">
        <v>32</v>
      </c>
      <c r="L1286" s="6" t="str">
        <f>VLOOKUP(K1286, 'Alphabetical by species code'!A:B, 2, FALSE)</f>
        <v>Medicago polymorpha</v>
      </c>
      <c r="M1286" s="6" t="str">
        <f>VLOOKUP(L1286, 'Alphabetical by species code'!B:C, 2, FALSE)</f>
        <v>Non-Native</v>
      </c>
    </row>
    <row r="1287" spans="1:13" x14ac:dyDescent="0.25">
      <c r="A1287" s="6">
        <v>15</v>
      </c>
      <c r="B1287" s="6">
        <v>2025</v>
      </c>
      <c r="C1287" s="7">
        <v>45790</v>
      </c>
      <c r="D1287" s="6" t="s">
        <v>83</v>
      </c>
      <c r="E1287" s="6" t="s">
        <v>85</v>
      </c>
      <c r="F1287" s="6">
        <v>3</v>
      </c>
      <c r="G1287" s="6" t="s">
        <v>63</v>
      </c>
      <c r="H1287" s="6">
        <v>2</v>
      </c>
      <c r="I1287" s="6">
        <v>4</v>
      </c>
      <c r="J1287" s="6">
        <v>2</v>
      </c>
      <c r="K1287" s="6" t="s">
        <v>31</v>
      </c>
      <c r="L1287" s="6" t="str">
        <f>VLOOKUP(K1287, 'Alphabetical by species code'!A:B, 2, FALSE)</f>
        <v>Festuca myuros</v>
      </c>
      <c r="M1287" s="6" t="str">
        <f>VLOOKUP(L1287, 'Alphabetical by species code'!B:C, 2, FALSE)</f>
        <v>Non-Native</v>
      </c>
    </row>
    <row r="1288" spans="1:13" x14ac:dyDescent="0.25">
      <c r="A1288" s="6">
        <v>15</v>
      </c>
      <c r="B1288" s="6">
        <v>2025</v>
      </c>
      <c r="C1288" s="7">
        <v>45790</v>
      </c>
      <c r="D1288" s="6" t="s">
        <v>83</v>
      </c>
      <c r="E1288" s="6" t="s">
        <v>85</v>
      </c>
      <c r="F1288" s="6">
        <v>3</v>
      </c>
      <c r="G1288" s="6" t="s">
        <v>63</v>
      </c>
      <c r="H1288" s="6">
        <v>2</v>
      </c>
      <c r="I1288" s="6">
        <v>4</v>
      </c>
      <c r="J1288" s="6">
        <v>2</v>
      </c>
      <c r="K1288" s="6" t="s">
        <v>36</v>
      </c>
      <c r="L1288" s="6" t="str">
        <f>VLOOKUP(K1288, 'Alphabetical by species code'!A:B, 2, FALSE)</f>
        <v>Bromus madritensis</v>
      </c>
      <c r="M1288" s="6" t="str">
        <f>VLOOKUP(L1288, 'Alphabetical by species code'!B:C, 2, FALSE)</f>
        <v>Non-Native</v>
      </c>
    </row>
    <row r="1289" spans="1:13" x14ac:dyDescent="0.25">
      <c r="A1289" s="6">
        <v>15</v>
      </c>
      <c r="B1289" s="6">
        <v>2025</v>
      </c>
      <c r="C1289" s="7">
        <v>45790</v>
      </c>
      <c r="D1289" s="6" t="s">
        <v>83</v>
      </c>
      <c r="E1289" s="6" t="s">
        <v>85</v>
      </c>
      <c r="F1289" s="6">
        <v>3</v>
      </c>
      <c r="G1289" s="6" t="s">
        <v>63</v>
      </c>
      <c r="H1289" s="6">
        <v>2</v>
      </c>
      <c r="I1289" s="6">
        <v>5</v>
      </c>
      <c r="J1289" s="6">
        <v>3</v>
      </c>
      <c r="K1289" s="6" t="s">
        <v>28</v>
      </c>
      <c r="L1289" s="6" t="str">
        <f>VLOOKUP(K1289, 'Alphabetical by species code'!A:B, 2, FALSE)</f>
        <v>Litter</v>
      </c>
      <c r="M1289" s="6" t="str">
        <f>VLOOKUP(L1289, 'Alphabetical by species code'!B:C, 2, FALSE)</f>
        <v>Ground Cover</v>
      </c>
    </row>
    <row r="1290" spans="1:13" x14ac:dyDescent="0.25">
      <c r="A1290" s="6">
        <v>15</v>
      </c>
      <c r="B1290" s="6">
        <v>2025</v>
      </c>
      <c r="C1290" s="7">
        <v>45790</v>
      </c>
      <c r="D1290" s="6" t="s">
        <v>83</v>
      </c>
      <c r="E1290" s="6" t="s">
        <v>85</v>
      </c>
      <c r="F1290" s="6">
        <v>3</v>
      </c>
      <c r="G1290" s="6" t="s">
        <v>63</v>
      </c>
      <c r="H1290" s="6">
        <v>2</v>
      </c>
      <c r="I1290" s="6">
        <v>5</v>
      </c>
      <c r="J1290" s="6">
        <v>3</v>
      </c>
      <c r="K1290" s="6" t="s">
        <v>31</v>
      </c>
      <c r="L1290" s="6" t="str">
        <f>VLOOKUP(K1290, 'Alphabetical by species code'!A:B, 2, FALSE)</f>
        <v>Festuca myuros</v>
      </c>
      <c r="M1290" s="6" t="str">
        <f>VLOOKUP(L1290, 'Alphabetical by species code'!B:C, 2, FALSE)</f>
        <v>Non-Native</v>
      </c>
    </row>
    <row r="1291" spans="1:13" x14ac:dyDescent="0.25">
      <c r="A1291" s="6">
        <v>15</v>
      </c>
      <c r="B1291" s="6">
        <v>2025</v>
      </c>
      <c r="C1291" s="7">
        <v>45790</v>
      </c>
      <c r="D1291" s="6" t="s">
        <v>83</v>
      </c>
      <c r="E1291" s="6" t="s">
        <v>85</v>
      </c>
      <c r="F1291" s="6">
        <v>3</v>
      </c>
      <c r="G1291" s="6" t="s">
        <v>63</v>
      </c>
      <c r="H1291" s="6">
        <v>2</v>
      </c>
      <c r="I1291" s="6">
        <v>6</v>
      </c>
      <c r="J1291" s="6">
        <v>3.5</v>
      </c>
      <c r="K1291" s="6" t="s">
        <v>51</v>
      </c>
      <c r="L1291" s="6" t="str">
        <f>VLOOKUP(K1291, 'Alphabetical by species code'!A:B, 2, FALSE)</f>
        <v>Bareground</v>
      </c>
      <c r="M1291" s="6" t="str">
        <f>VLOOKUP(L1291, 'Alphabetical by species code'!B:C, 2, FALSE)</f>
        <v>Ground Cover</v>
      </c>
    </row>
    <row r="1292" spans="1:13" x14ac:dyDescent="0.25">
      <c r="A1292" s="6">
        <v>15</v>
      </c>
      <c r="B1292" s="6">
        <v>2025</v>
      </c>
      <c r="C1292" s="7">
        <v>45790</v>
      </c>
      <c r="D1292" s="6" t="s">
        <v>83</v>
      </c>
      <c r="E1292" s="6" t="s">
        <v>85</v>
      </c>
      <c r="F1292" s="6">
        <v>3</v>
      </c>
      <c r="G1292" s="6" t="s">
        <v>63</v>
      </c>
      <c r="H1292" s="6">
        <v>2</v>
      </c>
      <c r="I1292" s="6">
        <v>6</v>
      </c>
      <c r="J1292" s="6">
        <v>3.5</v>
      </c>
      <c r="K1292" s="6" t="s">
        <v>31</v>
      </c>
      <c r="L1292" s="6" t="str">
        <f>VLOOKUP(K1292, 'Alphabetical by species code'!A:B, 2, FALSE)</f>
        <v>Festuca myuros</v>
      </c>
      <c r="M1292" s="6" t="str">
        <f>VLOOKUP(L1292, 'Alphabetical by species code'!B:C, 2, FALSE)</f>
        <v>Non-Native</v>
      </c>
    </row>
    <row r="1293" spans="1:13" x14ac:dyDescent="0.25">
      <c r="A1293" s="6">
        <v>15</v>
      </c>
      <c r="B1293" s="6">
        <v>2025</v>
      </c>
      <c r="C1293" s="7">
        <v>45790</v>
      </c>
      <c r="D1293" s="6" t="s">
        <v>83</v>
      </c>
      <c r="E1293" s="6" t="s">
        <v>85</v>
      </c>
      <c r="F1293" s="6">
        <v>3</v>
      </c>
      <c r="G1293" s="6" t="s">
        <v>63</v>
      </c>
      <c r="H1293" s="6">
        <v>2</v>
      </c>
      <c r="I1293" s="6">
        <v>7</v>
      </c>
      <c r="J1293" s="6">
        <v>4</v>
      </c>
      <c r="K1293" s="6" t="s">
        <v>28</v>
      </c>
      <c r="L1293" s="6" t="str">
        <f>VLOOKUP(K1293, 'Alphabetical by species code'!A:B, 2, FALSE)</f>
        <v>Litter</v>
      </c>
      <c r="M1293" s="6" t="str">
        <f>VLOOKUP(L1293, 'Alphabetical by species code'!B:C, 2, FALSE)</f>
        <v>Ground Cover</v>
      </c>
    </row>
    <row r="1294" spans="1:13" x14ac:dyDescent="0.25">
      <c r="A1294" s="6">
        <v>15</v>
      </c>
      <c r="B1294" s="6">
        <v>2025</v>
      </c>
      <c r="C1294" s="7">
        <v>45790</v>
      </c>
      <c r="D1294" s="6" t="s">
        <v>83</v>
      </c>
      <c r="E1294" s="6" t="s">
        <v>85</v>
      </c>
      <c r="F1294" s="6">
        <v>3</v>
      </c>
      <c r="G1294" s="6" t="s">
        <v>63</v>
      </c>
      <c r="H1294" s="6">
        <v>2</v>
      </c>
      <c r="I1294" s="6">
        <v>7</v>
      </c>
      <c r="J1294" s="6">
        <v>4</v>
      </c>
      <c r="K1294" s="6" t="s">
        <v>32</v>
      </c>
      <c r="L1294" s="6" t="str">
        <f>VLOOKUP(K1294, 'Alphabetical by species code'!A:B, 2, FALSE)</f>
        <v>Medicago polymorpha</v>
      </c>
      <c r="M1294" s="6" t="str">
        <f>VLOOKUP(L1294, 'Alphabetical by species code'!B:C, 2, FALSE)</f>
        <v>Non-Native</v>
      </c>
    </row>
    <row r="1295" spans="1:13" x14ac:dyDescent="0.25">
      <c r="A1295" s="6">
        <v>15</v>
      </c>
      <c r="B1295" s="6">
        <v>2025</v>
      </c>
      <c r="C1295" s="7">
        <v>45790</v>
      </c>
      <c r="D1295" s="6" t="s">
        <v>83</v>
      </c>
      <c r="E1295" s="6" t="s">
        <v>85</v>
      </c>
      <c r="F1295" s="6">
        <v>3</v>
      </c>
      <c r="G1295" s="6" t="s">
        <v>63</v>
      </c>
      <c r="H1295" s="6">
        <v>2</v>
      </c>
      <c r="I1295" s="6">
        <v>7</v>
      </c>
      <c r="J1295" s="6">
        <v>4</v>
      </c>
      <c r="K1295" s="6" t="s">
        <v>31</v>
      </c>
      <c r="L1295" s="6" t="str">
        <f>VLOOKUP(K1295, 'Alphabetical by species code'!A:B, 2, FALSE)</f>
        <v>Festuca myuros</v>
      </c>
      <c r="M1295" s="6" t="str">
        <f>VLOOKUP(L1295, 'Alphabetical by species code'!B:C, 2, FALSE)</f>
        <v>Non-Native</v>
      </c>
    </row>
    <row r="1296" spans="1:13" x14ac:dyDescent="0.25">
      <c r="A1296" s="6">
        <v>15</v>
      </c>
      <c r="B1296" s="6">
        <v>2025</v>
      </c>
      <c r="C1296" s="7">
        <v>45790</v>
      </c>
      <c r="D1296" s="6" t="s">
        <v>83</v>
      </c>
      <c r="E1296" s="6" t="s">
        <v>85</v>
      </c>
      <c r="F1296" s="6">
        <v>3</v>
      </c>
      <c r="G1296" s="6" t="s">
        <v>63</v>
      </c>
      <c r="H1296" s="6">
        <v>2</v>
      </c>
      <c r="I1296" s="6">
        <v>8</v>
      </c>
      <c r="J1296" s="6">
        <v>5</v>
      </c>
      <c r="K1296" s="6" t="s">
        <v>51</v>
      </c>
      <c r="L1296" s="6" t="str">
        <f>VLOOKUP(K1296, 'Alphabetical by species code'!A:B, 2, FALSE)</f>
        <v>Bareground</v>
      </c>
      <c r="M1296" s="6" t="str">
        <f>VLOOKUP(L1296, 'Alphabetical by species code'!B:C, 2, FALSE)</f>
        <v>Ground Cover</v>
      </c>
    </row>
    <row r="1297" spans="1:13" x14ac:dyDescent="0.25">
      <c r="A1297" s="6">
        <v>15</v>
      </c>
      <c r="B1297" s="6">
        <v>2025</v>
      </c>
      <c r="C1297" s="7">
        <v>45790</v>
      </c>
      <c r="D1297" s="6" t="s">
        <v>83</v>
      </c>
      <c r="E1297" s="6" t="s">
        <v>85</v>
      </c>
      <c r="F1297" s="6">
        <v>3</v>
      </c>
      <c r="G1297" s="6" t="s">
        <v>63</v>
      </c>
      <c r="H1297" s="6">
        <v>2</v>
      </c>
      <c r="I1297" s="6">
        <v>8</v>
      </c>
      <c r="J1297" s="6">
        <v>5</v>
      </c>
      <c r="K1297" s="6" t="s">
        <v>32</v>
      </c>
      <c r="L1297" s="6" t="str">
        <f>VLOOKUP(K1297, 'Alphabetical by species code'!A:B, 2, FALSE)</f>
        <v>Medicago polymorpha</v>
      </c>
      <c r="M1297" s="6" t="str">
        <f>VLOOKUP(L1297, 'Alphabetical by species code'!B:C, 2, FALSE)</f>
        <v>Non-Native</v>
      </c>
    </row>
    <row r="1298" spans="1:13" x14ac:dyDescent="0.25">
      <c r="A1298" s="6">
        <v>15</v>
      </c>
      <c r="B1298" s="6">
        <v>2025</v>
      </c>
      <c r="C1298" s="7">
        <v>45790</v>
      </c>
      <c r="D1298" s="6" t="s">
        <v>83</v>
      </c>
      <c r="E1298" s="6" t="s">
        <v>85</v>
      </c>
      <c r="F1298" s="6">
        <v>3</v>
      </c>
      <c r="G1298" s="6" t="s">
        <v>63</v>
      </c>
      <c r="H1298" s="6">
        <v>2</v>
      </c>
      <c r="I1298" s="6">
        <v>8</v>
      </c>
      <c r="J1298" s="6">
        <v>5</v>
      </c>
      <c r="K1298" s="6" t="s">
        <v>31</v>
      </c>
      <c r="L1298" s="6" t="str">
        <f>VLOOKUP(K1298, 'Alphabetical by species code'!A:B, 2, FALSE)</f>
        <v>Festuca myuros</v>
      </c>
      <c r="M1298" s="6" t="str">
        <f>VLOOKUP(L1298, 'Alphabetical by species code'!B:C, 2, FALSE)</f>
        <v>Non-Native</v>
      </c>
    </row>
    <row r="1299" spans="1:13" x14ac:dyDescent="0.25">
      <c r="A1299" s="6">
        <v>15</v>
      </c>
      <c r="B1299" s="6">
        <v>2025</v>
      </c>
      <c r="C1299" s="7">
        <v>45790</v>
      </c>
      <c r="D1299" s="6" t="s">
        <v>83</v>
      </c>
      <c r="E1299" s="6" t="s">
        <v>85</v>
      </c>
      <c r="F1299" s="6">
        <v>3</v>
      </c>
      <c r="G1299" s="6" t="s">
        <v>63</v>
      </c>
      <c r="H1299" s="6">
        <v>2</v>
      </c>
      <c r="I1299" s="6">
        <v>9</v>
      </c>
      <c r="J1299" s="6">
        <v>7</v>
      </c>
      <c r="K1299" s="6" t="s">
        <v>28</v>
      </c>
      <c r="L1299" s="6" t="str">
        <f>VLOOKUP(K1299, 'Alphabetical by species code'!A:B, 2, FALSE)</f>
        <v>Litter</v>
      </c>
      <c r="M1299" s="6" t="str">
        <f>VLOOKUP(L1299, 'Alphabetical by species code'!B:C, 2, FALSE)</f>
        <v>Ground Cover</v>
      </c>
    </row>
    <row r="1300" spans="1:13" x14ac:dyDescent="0.25">
      <c r="A1300" s="6">
        <v>15</v>
      </c>
      <c r="B1300" s="6">
        <v>2025</v>
      </c>
      <c r="C1300" s="7">
        <v>45790</v>
      </c>
      <c r="D1300" s="6" t="s">
        <v>83</v>
      </c>
      <c r="E1300" s="6" t="s">
        <v>85</v>
      </c>
      <c r="F1300" s="6">
        <v>3</v>
      </c>
      <c r="G1300" s="6" t="s">
        <v>63</v>
      </c>
      <c r="H1300" s="6">
        <v>2</v>
      </c>
      <c r="I1300" s="6">
        <v>9</v>
      </c>
      <c r="J1300" s="6">
        <v>7</v>
      </c>
      <c r="K1300" s="6" t="s">
        <v>32</v>
      </c>
      <c r="L1300" s="6" t="str">
        <f>VLOOKUP(K1300, 'Alphabetical by species code'!A:B, 2, FALSE)</f>
        <v>Medicago polymorpha</v>
      </c>
      <c r="M1300" s="6" t="str">
        <f>VLOOKUP(L1300, 'Alphabetical by species code'!B:C, 2, FALSE)</f>
        <v>Non-Native</v>
      </c>
    </row>
    <row r="1301" spans="1:13" x14ac:dyDescent="0.25">
      <c r="A1301" s="6">
        <v>15</v>
      </c>
      <c r="B1301" s="6">
        <v>2025</v>
      </c>
      <c r="C1301" s="7">
        <v>45790</v>
      </c>
      <c r="D1301" s="6" t="s">
        <v>83</v>
      </c>
      <c r="E1301" s="6" t="s">
        <v>85</v>
      </c>
      <c r="F1301" s="6">
        <v>3</v>
      </c>
      <c r="G1301" s="6" t="s">
        <v>63</v>
      </c>
      <c r="H1301" s="6">
        <v>2</v>
      </c>
      <c r="I1301" s="6">
        <v>9</v>
      </c>
      <c r="J1301" s="6">
        <v>7</v>
      </c>
      <c r="K1301" s="6" t="s">
        <v>31</v>
      </c>
      <c r="L1301" s="6" t="str">
        <f>VLOOKUP(K1301, 'Alphabetical by species code'!A:B, 2, FALSE)</f>
        <v>Festuca myuros</v>
      </c>
      <c r="M1301" s="6" t="str">
        <f>VLOOKUP(L1301, 'Alphabetical by species code'!B:C, 2, FALSE)</f>
        <v>Non-Native</v>
      </c>
    </row>
    <row r="1302" spans="1:13" x14ac:dyDescent="0.25">
      <c r="A1302" s="6">
        <v>15</v>
      </c>
      <c r="B1302" s="6">
        <v>2025</v>
      </c>
      <c r="C1302" s="7">
        <v>45790</v>
      </c>
      <c r="D1302" s="6" t="s">
        <v>83</v>
      </c>
      <c r="E1302" s="6" t="s">
        <v>85</v>
      </c>
      <c r="F1302" s="6">
        <v>3</v>
      </c>
      <c r="G1302" s="6" t="s">
        <v>63</v>
      </c>
      <c r="H1302" s="6">
        <v>2</v>
      </c>
      <c r="I1302" s="6">
        <v>9</v>
      </c>
      <c r="J1302" s="6">
        <v>7</v>
      </c>
      <c r="K1302" s="6" t="s">
        <v>44</v>
      </c>
      <c r="L1302" s="6" t="str">
        <f>VLOOKUP(K1302, 'Alphabetical by species code'!A:B, 2, FALSE)</f>
        <v>Amsinckia menziesii</v>
      </c>
      <c r="M1302" s="6" t="str">
        <f>VLOOKUP(L1302, 'Alphabetical by species code'!B:C, 2, FALSE)</f>
        <v>Native</v>
      </c>
    </row>
    <row r="1303" spans="1:13" x14ac:dyDescent="0.25">
      <c r="A1303" s="6">
        <v>15</v>
      </c>
      <c r="B1303" s="6">
        <v>2025</v>
      </c>
      <c r="C1303" s="7">
        <v>45790</v>
      </c>
      <c r="D1303" s="6" t="s">
        <v>83</v>
      </c>
      <c r="E1303" s="6" t="s">
        <v>85</v>
      </c>
      <c r="F1303" s="6">
        <v>3</v>
      </c>
      <c r="G1303" s="6" t="s">
        <v>63</v>
      </c>
      <c r="H1303" s="6">
        <v>2</v>
      </c>
      <c r="I1303" s="6">
        <v>10</v>
      </c>
      <c r="J1303" s="6">
        <v>8</v>
      </c>
      <c r="K1303" s="6" t="s">
        <v>28</v>
      </c>
      <c r="L1303" s="6" t="str">
        <f>VLOOKUP(K1303, 'Alphabetical by species code'!A:B, 2, FALSE)</f>
        <v>Litter</v>
      </c>
      <c r="M1303" s="6" t="str">
        <f>VLOOKUP(L1303, 'Alphabetical by species code'!B:C, 2, FALSE)</f>
        <v>Ground Cover</v>
      </c>
    </row>
    <row r="1304" spans="1:13" x14ac:dyDescent="0.25">
      <c r="A1304" s="6">
        <v>15</v>
      </c>
      <c r="B1304" s="6">
        <v>2025</v>
      </c>
      <c r="C1304" s="7">
        <v>45790</v>
      </c>
      <c r="D1304" s="6" t="s">
        <v>83</v>
      </c>
      <c r="E1304" s="6" t="s">
        <v>85</v>
      </c>
      <c r="F1304" s="6">
        <v>3</v>
      </c>
      <c r="G1304" s="6" t="s">
        <v>63</v>
      </c>
      <c r="H1304" s="6">
        <v>2</v>
      </c>
      <c r="I1304" s="6">
        <v>10</v>
      </c>
      <c r="J1304" s="6">
        <v>8</v>
      </c>
      <c r="K1304" s="6" t="s">
        <v>36</v>
      </c>
      <c r="L1304" s="6" t="str">
        <f>VLOOKUP(K1304, 'Alphabetical by species code'!A:B, 2, FALSE)</f>
        <v>Bromus madritensis</v>
      </c>
      <c r="M1304" s="6" t="str">
        <f>VLOOKUP(L1304, 'Alphabetical by species code'!B:C, 2, FALSE)</f>
        <v>Non-Native</v>
      </c>
    </row>
    <row r="1305" spans="1:13" x14ac:dyDescent="0.25">
      <c r="A1305" s="6">
        <v>15</v>
      </c>
      <c r="B1305" s="6">
        <v>2025</v>
      </c>
      <c r="C1305" s="7">
        <v>45790</v>
      </c>
      <c r="D1305" s="6" t="s">
        <v>83</v>
      </c>
      <c r="E1305" s="6" t="s">
        <v>85</v>
      </c>
      <c r="F1305" s="6">
        <v>3</v>
      </c>
      <c r="G1305" s="6" t="s">
        <v>63</v>
      </c>
      <c r="H1305" s="6">
        <v>2</v>
      </c>
      <c r="I1305" s="6">
        <v>10</v>
      </c>
      <c r="J1305" s="6">
        <v>8</v>
      </c>
      <c r="K1305" s="6" t="s">
        <v>31</v>
      </c>
      <c r="L1305" s="6" t="str">
        <f>VLOOKUP(K1305, 'Alphabetical by species code'!A:B, 2, FALSE)</f>
        <v>Festuca myuros</v>
      </c>
      <c r="M1305" s="6" t="str">
        <f>VLOOKUP(L1305, 'Alphabetical by species code'!B:C, 2, FALSE)</f>
        <v>Non-Native</v>
      </c>
    </row>
    <row r="1306" spans="1:13" x14ac:dyDescent="0.25">
      <c r="A1306" s="6">
        <v>15</v>
      </c>
      <c r="B1306" s="6">
        <v>2025</v>
      </c>
      <c r="C1306" s="7">
        <v>45790</v>
      </c>
      <c r="D1306" s="6" t="s">
        <v>83</v>
      </c>
      <c r="E1306" s="6" t="s">
        <v>85</v>
      </c>
      <c r="F1306" s="6">
        <v>3</v>
      </c>
      <c r="G1306" s="6" t="s">
        <v>63</v>
      </c>
      <c r="H1306" s="6">
        <v>2</v>
      </c>
      <c r="I1306" s="6">
        <v>11</v>
      </c>
      <c r="J1306" s="6">
        <v>8.5</v>
      </c>
      <c r="K1306" s="6" t="s">
        <v>28</v>
      </c>
      <c r="L1306" s="6" t="str">
        <f>VLOOKUP(K1306, 'Alphabetical by species code'!A:B, 2, FALSE)</f>
        <v>Litter</v>
      </c>
      <c r="M1306" s="6" t="str">
        <f>VLOOKUP(L1306, 'Alphabetical by species code'!B:C, 2, FALSE)</f>
        <v>Ground Cover</v>
      </c>
    </row>
    <row r="1307" spans="1:13" x14ac:dyDescent="0.25">
      <c r="A1307" s="6">
        <v>15</v>
      </c>
      <c r="B1307" s="6">
        <v>2025</v>
      </c>
      <c r="C1307" s="7">
        <v>45790</v>
      </c>
      <c r="D1307" s="6" t="s">
        <v>83</v>
      </c>
      <c r="E1307" s="6" t="s">
        <v>85</v>
      </c>
      <c r="F1307" s="6">
        <v>3</v>
      </c>
      <c r="G1307" s="6" t="s">
        <v>63</v>
      </c>
      <c r="H1307" s="6">
        <v>2</v>
      </c>
      <c r="I1307" s="6">
        <v>11</v>
      </c>
      <c r="J1307" s="6">
        <v>8.5</v>
      </c>
      <c r="K1307" s="6" t="s">
        <v>31</v>
      </c>
      <c r="L1307" s="6" t="str">
        <f>VLOOKUP(K1307, 'Alphabetical by species code'!A:B, 2, FALSE)</f>
        <v>Festuca myuros</v>
      </c>
      <c r="M1307" s="6" t="str">
        <f>VLOOKUP(L1307, 'Alphabetical by species code'!B:C, 2, FALSE)</f>
        <v>Non-Native</v>
      </c>
    </row>
    <row r="1308" spans="1:13" x14ac:dyDescent="0.25">
      <c r="A1308" s="6">
        <v>15</v>
      </c>
      <c r="B1308" s="6">
        <v>2025</v>
      </c>
      <c r="C1308" s="7">
        <v>45790</v>
      </c>
      <c r="D1308" s="6" t="s">
        <v>83</v>
      </c>
      <c r="E1308" s="6" t="s">
        <v>85</v>
      </c>
      <c r="F1308" s="6">
        <v>3</v>
      </c>
      <c r="G1308" s="6" t="s">
        <v>63</v>
      </c>
      <c r="H1308" s="6">
        <v>2</v>
      </c>
      <c r="I1308" s="6">
        <v>12</v>
      </c>
      <c r="J1308" s="6">
        <v>9</v>
      </c>
      <c r="K1308" s="6" t="s">
        <v>28</v>
      </c>
      <c r="L1308" s="6" t="str">
        <f>VLOOKUP(K1308, 'Alphabetical by species code'!A:B, 2, FALSE)</f>
        <v>Litter</v>
      </c>
      <c r="M1308" s="6" t="str">
        <f>VLOOKUP(L1308, 'Alphabetical by species code'!B:C, 2, FALSE)</f>
        <v>Ground Cover</v>
      </c>
    </row>
    <row r="1309" spans="1:13" x14ac:dyDescent="0.25">
      <c r="A1309" s="6">
        <v>15</v>
      </c>
      <c r="B1309" s="6">
        <v>2025</v>
      </c>
      <c r="C1309" s="7">
        <v>45790</v>
      </c>
      <c r="D1309" s="6" t="s">
        <v>83</v>
      </c>
      <c r="E1309" s="6" t="s">
        <v>85</v>
      </c>
      <c r="F1309" s="6">
        <v>3</v>
      </c>
      <c r="G1309" s="6" t="s">
        <v>63</v>
      </c>
      <c r="H1309" s="6">
        <v>2</v>
      </c>
      <c r="I1309" s="6">
        <v>12</v>
      </c>
      <c r="J1309" s="6">
        <v>9</v>
      </c>
      <c r="K1309" s="6" t="s">
        <v>31</v>
      </c>
      <c r="L1309" s="6" t="str">
        <f>VLOOKUP(K1309, 'Alphabetical by species code'!A:B, 2, FALSE)</f>
        <v>Festuca myuros</v>
      </c>
      <c r="M1309" s="6" t="str">
        <f>VLOOKUP(L1309, 'Alphabetical by species code'!B:C, 2, FALSE)</f>
        <v>Non-Native</v>
      </c>
    </row>
    <row r="1310" spans="1:13" x14ac:dyDescent="0.25">
      <c r="A1310" s="6">
        <v>15</v>
      </c>
      <c r="B1310" s="6">
        <v>2025</v>
      </c>
      <c r="C1310" s="7">
        <v>45790</v>
      </c>
      <c r="D1310" s="6" t="s">
        <v>83</v>
      </c>
      <c r="E1310" s="6" t="s">
        <v>85</v>
      </c>
      <c r="F1310" s="6">
        <v>3</v>
      </c>
      <c r="G1310" s="6" t="s">
        <v>63</v>
      </c>
      <c r="H1310" s="6">
        <v>2</v>
      </c>
      <c r="I1310" s="6">
        <v>13</v>
      </c>
      <c r="J1310" s="6">
        <v>10</v>
      </c>
      <c r="K1310" s="6" t="s">
        <v>51</v>
      </c>
      <c r="L1310" s="6" t="str">
        <f>VLOOKUP(K1310, 'Alphabetical by species code'!A:B, 2, FALSE)</f>
        <v>Bareground</v>
      </c>
      <c r="M1310" s="6" t="str">
        <f>VLOOKUP(L1310, 'Alphabetical by species code'!B:C, 2, FALSE)</f>
        <v>Ground Cover</v>
      </c>
    </row>
    <row r="1311" spans="1:13" x14ac:dyDescent="0.25">
      <c r="A1311" s="6">
        <v>15</v>
      </c>
      <c r="B1311" s="6">
        <v>2025</v>
      </c>
      <c r="C1311" s="7">
        <v>45790</v>
      </c>
      <c r="D1311" s="6" t="s">
        <v>83</v>
      </c>
      <c r="E1311" s="6" t="s">
        <v>85</v>
      </c>
      <c r="F1311" s="6">
        <v>3</v>
      </c>
      <c r="G1311" s="6" t="s">
        <v>63</v>
      </c>
      <c r="H1311" s="6">
        <v>2</v>
      </c>
      <c r="I1311" s="6">
        <v>13</v>
      </c>
      <c r="J1311" s="6">
        <v>10</v>
      </c>
      <c r="K1311" s="6" t="s">
        <v>32</v>
      </c>
      <c r="L1311" s="6" t="str">
        <f>VLOOKUP(K1311, 'Alphabetical by species code'!A:B, 2, FALSE)</f>
        <v>Medicago polymorpha</v>
      </c>
      <c r="M1311" s="6" t="str">
        <f>VLOOKUP(L1311, 'Alphabetical by species code'!B:C, 2, FALSE)</f>
        <v>Non-Native</v>
      </c>
    </row>
    <row r="1312" spans="1:13" x14ac:dyDescent="0.25">
      <c r="A1312" s="6">
        <v>15</v>
      </c>
      <c r="B1312" s="6">
        <v>2025</v>
      </c>
      <c r="C1312" s="7">
        <v>45790</v>
      </c>
      <c r="D1312" s="6" t="s">
        <v>83</v>
      </c>
      <c r="E1312" s="6" t="s">
        <v>85</v>
      </c>
      <c r="F1312" s="6">
        <v>3</v>
      </c>
      <c r="G1312" s="6" t="s">
        <v>63</v>
      </c>
      <c r="H1312" s="6">
        <v>2</v>
      </c>
      <c r="I1312" s="6">
        <v>13</v>
      </c>
      <c r="J1312" s="6">
        <v>10</v>
      </c>
      <c r="K1312" s="6" t="s">
        <v>31</v>
      </c>
      <c r="L1312" s="6" t="str">
        <f>VLOOKUP(K1312, 'Alphabetical by species code'!A:B, 2, FALSE)</f>
        <v>Festuca myuros</v>
      </c>
      <c r="M1312" s="6" t="str">
        <f>VLOOKUP(L1312, 'Alphabetical by species code'!B:C, 2, FALSE)</f>
        <v>Non-Native</v>
      </c>
    </row>
    <row r="1313" spans="1:13" x14ac:dyDescent="0.25">
      <c r="A1313" s="6">
        <v>15</v>
      </c>
      <c r="B1313" s="6">
        <v>2025</v>
      </c>
      <c r="C1313" s="7">
        <v>45790</v>
      </c>
      <c r="D1313" s="6" t="s">
        <v>83</v>
      </c>
      <c r="E1313" s="6" t="s">
        <v>85</v>
      </c>
      <c r="F1313" s="6">
        <v>3</v>
      </c>
      <c r="G1313" s="6" t="s">
        <v>63</v>
      </c>
      <c r="H1313" s="6">
        <v>2</v>
      </c>
      <c r="I1313" s="6">
        <v>14</v>
      </c>
      <c r="J1313" s="6">
        <v>11</v>
      </c>
      <c r="K1313" s="6" t="s">
        <v>51</v>
      </c>
      <c r="L1313" s="6" t="str">
        <f>VLOOKUP(K1313, 'Alphabetical by species code'!A:B, 2, FALSE)</f>
        <v>Bareground</v>
      </c>
      <c r="M1313" s="6" t="str">
        <f>VLOOKUP(L1313, 'Alphabetical by species code'!B:C, 2, FALSE)</f>
        <v>Ground Cover</v>
      </c>
    </row>
    <row r="1314" spans="1:13" x14ac:dyDescent="0.25">
      <c r="A1314" s="6">
        <v>15</v>
      </c>
      <c r="B1314" s="6">
        <v>2025</v>
      </c>
      <c r="C1314" s="7">
        <v>45790</v>
      </c>
      <c r="D1314" s="6" t="s">
        <v>83</v>
      </c>
      <c r="E1314" s="6" t="s">
        <v>85</v>
      </c>
      <c r="F1314" s="6">
        <v>3</v>
      </c>
      <c r="G1314" s="6" t="s">
        <v>63</v>
      </c>
      <c r="H1314" s="6">
        <v>2</v>
      </c>
      <c r="I1314" s="6">
        <v>14</v>
      </c>
      <c r="J1314" s="6">
        <v>11</v>
      </c>
      <c r="K1314" s="6" t="s">
        <v>31</v>
      </c>
      <c r="L1314" s="6" t="str">
        <f>VLOOKUP(K1314, 'Alphabetical by species code'!A:B, 2, FALSE)</f>
        <v>Festuca myuros</v>
      </c>
      <c r="M1314" s="6" t="str">
        <f>VLOOKUP(L1314, 'Alphabetical by species code'!B:C, 2, FALSE)</f>
        <v>Non-Native</v>
      </c>
    </row>
    <row r="1315" spans="1:13" x14ac:dyDescent="0.25">
      <c r="A1315" s="6">
        <v>15</v>
      </c>
      <c r="B1315" s="6">
        <v>2025</v>
      </c>
      <c r="C1315" s="7">
        <v>45790</v>
      </c>
      <c r="D1315" s="6" t="s">
        <v>83</v>
      </c>
      <c r="E1315" s="6" t="s">
        <v>85</v>
      </c>
      <c r="F1315" s="6">
        <v>3</v>
      </c>
      <c r="G1315" s="6" t="s">
        <v>63</v>
      </c>
      <c r="H1315" s="6">
        <v>2</v>
      </c>
      <c r="I1315" s="6">
        <v>15</v>
      </c>
      <c r="J1315" s="6">
        <v>12</v>
      </c>
      <c r="K1315" s="6" t="s">
        <v>28</v>
      </c>
      <c r="L1315" s="6" t="str">
        <f>VLOOKUP(K1315, 'Alphabetical by species code'!A:B, 2, FALSE)</f>
        <v>Litter</v>
      </c>
      <c r="M1315" s="6" t="str">
        <f>VLOOKUP(L1315, 'Alphabetical by species code'!B:C, 2, FALSE)</f>
        <v>Ground Cover</v>
      </c>
    </row>
    <row r="1316" spans="1:13" x14ac:dyDescent="0.25">
      <c r="A1316" s="6">
        <v>15</v>
      </c>
      <c r="B1316" s="6">
        <v>2025</v>
      </c>
      <c r="C1316" s="7">
        <v>45790</v>
      </c>
      <c r="D1316" s="6" t="s">
        <v>83</v>
      </c>
      <c r="E1316" s="6" t="s">
        <v>85</v>
      </c>
      <c r="F1316" s="6">
        <v>3</v>
      </c>
      <c r="G1316" s="6" t="s">
        <v>63</v>
      </c>
      <c r="H1316" s="6">
        <v>2</v>
      </c>
      <c r="I1316" s="6">
        <v>15</v>
      </c>
      <c r="J1316" s="6">
        <v>12</v>
      </c>
      <c r="K1316" s="6" t="s">
        <v>32</v>
      </c>
      <c r="L1316" s="6" t="str">
        <f>VLOOKUP(K1316, 'Alphabetical by species code'!A:B, 2, FALSE)</f>
        <v>Medicago polymorpha</v>
      </c>
      <c r="M1316" s="6" t="str">
        <f>VLOOKUP(L1316, 'Alphabetical by species code'!B:C, 2, FALSE)</f>
        <v>Non-Native</v>
      </c>
    </row>
    <row r="1317" spans="1:13" x14ac:dyDescent="0.25">
      <c r="A1317" s="6">
        <v>15</v>
      </c>
      <c r="B1317" s="6">
        <v>2025</v>
      </c>
      <c r="C1317" s="7">
        <v>45790</v>
      </c>
      <c r="D1317" s="6" t="s">
        <v>83</v>
      </c>
      <c r="E1317" s="6" t="s">
        <v>85</v>
      </c>
      <c r="F1317" s="6">
        <v>3</v>
      </c>
      <c r="G1317" s="6" t="s">
        <v>63</v>
      </c>
      <c r="H1317" s="6">
        <v>2</v>
      </c>
      <c r="I1317" s="6">
        <v>15</v>
      </c>
      <c r="J1317" s="6">
        <v>12</v>
      </c>
      <c r="K1317" s="6" t="s">
        <v>86</v>
      </c>
      <c r="L1317" s="6" t="str">
        <f>VLOOKUP(K1317, 'Alphabetical by species code'!A:B, 2, FALSE)</f>
        <v>Artemisia californica</v>
      </c>
      <c r="M1317" s="6" t="str">
        <f>VLOOKUP(L1317, 'Alphabetical by species code'!B:C, 2, FALSE)</f>
        <v>Native</v>
      </c>
    </row>
    <row r="1318" spans="1:13" x14ac:dyDescent="0.25">
      <c r="A1318" s="6">
        <v>16</v>
      </c>
      <c r="B1318" s="6">
        <v>2025</v>
      </c>
      <c r="C1318" s="7">
        <v>45790</v>
      </c>
      <c r="D1318" s="6" t="s">
        <v>83</v>
      </c>
      <c r="E1318" s="6" t="s">
        <v>85</v>
      </c>
      <c r="F1318" s="6">
        <v>3</v>
      </c>
      <c r="G1318" s="6" t="s">
        <v>66</v>
      </c>
      <c r="H1318" s="6">
        <v>1</v>
      </c>
      <c r="I1318" s="6">
        <v>1</v>
      </c>
      <c r="J1318" s="6">
        <v>0</v>
      </c>
      <c r="K1318" s="6" t="s">
        <v>28</v>
      </c>
      <c r="L1318" s="6" t="str">
        <f>VLOOKUP(K1318, 'Alphabetical by species code'!A:B, 2, FALSE)</f>
        <v>Litter</v>
      </c>
      <c r="M1318" s="6" t="str">
        <f>VLOOKUP(L1318, 'Alphabetical by species code'!B:C, 2, FALSE)</f>
        <v>Ground Cover</v>
      </c>
    </row>
    <row r="1319" spans="1:13" x14ac:dyDescent="0.25">
      <c r="A1319" s="6">
        <v>16</v>
      </c>
      <c r="B1319" s="6">
        <v>2025</v>
      </c>
      <c r="C1319" s="7">
        <v>45790</v>
      </c>
      <c r="D1319" s="6" t="s">
        <v>83</v>
      </c>
      <c r="E1319" s="6" t="s">
        <v>85</v>
      </c>
      <c r="F1319" s="6">
        <v>3</v>
      </c>
      <c r="G1319" s="6" t="s">
        <v>66</v>
      </c>
      <c r="H1319" s="6">
        <v>1</v>
      </c>
      <c r="I1319" s="6">
        <v>1</v>
      </c>
      <c r="J1319" s="6">
        <v>0</v>
      </c>
      <c r="K1319" s="6" t="s">
        <v>32</v>
      </c>
      <c r="L1319" s="6" t="str">
        <f>VLOOKUP(K1319, 'Alphabetical by species code'!A:B, 2, FALSE)</f>
        <v>Medicago polymorpha</v>
      </c>
      <c r="M1319" s="6" t="str">
        <f>VLOOKUP(L1319, 'Alphabetical by species code'!B:C, 2, FALSE)</f>
        <v>Non-Native</v>
      </c>
    </row>
    <row r="1320" spans="1:13" x14ac:dyDescent="0.25">
      <c r="A1320" s="6">
        <v>16</v>
      </c>
      <c r="B1320" s="6">
        <v>2025</v>
      </c>
      <c r="C1320" s="7">
        <v>45790</v>
      </c>
      <c r="D1320" s="6" t="s">
        <v>83</v>
      </c>
      <c r="E1320" s="6" t="s">
        <v>85</v>
      </c>
      <c r="F1320" s="6">
        <v>3</v>
      </c>
      <c r="G1320" s="6" t="s">
        <v>66</v>
      </c>
      <c r="H1320" s="6">
        <v>1</v>
      </c>
      <c r="I1320" s="6">
        <v>2</v>
      </c>
      <c r="J1320" s="6">
        <v>1</v>
      </c>
      <c r="K1320" s="6" t="s">
        <v>28</v>
      </c>
      <c r="L1320" s="6" t="str">
        <f>VLOOKUP(K1320, 'Alphabetical by species code'!A:B, 2, FALSE)</f>
        <v>Litter</v>
      </c>
      <c r="M1320" s="6" t="str">
        <f>VLOOKUP(L1320, 'Alphabetical by species code'!B:C, 2, FALSE)</f>
        <v>Ground Cover</v>
      </c>
    </row>
    <row r="1321" spans="1:13" x14ac:dyDescent="0.25">
      <c r="A1321" s="6">
        <v>16</v>
      </c>
      <c r="B1321" s="6">
        <v>2025</v>
      </c>
      <c r="C1321" s="7">
        <v>45790</v>
      </c>
      <c r="D1321" s="6" t="s">
        <v>83</v>
      </c>
      <c r="E1321" s="6" t="s">
        <v>85</v>
      </c>
      <c r="F1321" s="6">
        <v>3</v>
      </c>
      <c r="G1321" s="6" t="s">
        <v>66</v>
      </c>
      <c r="H1321" s="6">
        <v>1</v>
      </c>
      <c r="I1321" s="6">
        <v>2</v>
      </c>
      <c r="J1321" s="6">
        <v>1</v>
      </c>
      <c r="K1321" s="6" t="s">
        <v>55</v>
      </c>
      <c r="L1321" s="6" t="str">
        <f>VLOOKUP(K1321, 'Alphabetical by species code'!A:B, 2, FALSE)</f>
        <v>Daucus pusillus</v>
      </c>
      <c r="M1321" s="6" t="str">
        <f>VLOOKUP(L1321, 'Alphabetical by species code'!B:C, 2, FALSE)</f>
        <v>Native</v>
      </c>
    </row>
    <row r="1322" spans="1:13" x14ac:dyDescent="0.25">
      <c r="A1322" s="6">
        <v>16</v>
      </c>
      <c r="B1322" s="6">
        <v>2025</v>
      </c>
      <c r="C1322" s="7">
        <v>45790</v>
      </c>
      <c r="D1322" s="6" t="s">
        <v>83</v>
      </c>
      <c r="E1322" s="6" t="s">
        <v>85</v>
      </c>
      <c r="F1322" s="6">
        <v>3</v>
      </c>
      <c r="G1322" s="6" t="s">
        <v>66</v>
      </c>
      <c r="H1322" s="6">
        <v>1</v>
      </c>
      <c r="I1322" s="6">
        <v>2</v>
      </c>
      <c r="J1322" s="6">
        <v>1</v>
      </c>
      <c r="K1322" s="6" t="s">
        <v>36</v>
      </c>
      <c r="L1322" s="6" t="str">
        <f>VLOOKUP(K1322, 'Alphabetical by species code'!A:B, 2, FALSE)</f>
        <v>Bromus madritensis</v>
      </c>
      <c r="M1322" s="6" t="str">
        <f>VLOOKUP(L1322, 'Alphabetical by species code'!B:C, 2, FALSE)</f>
        <v>Non-Native</v>
      </c>
    </row>
    <row r="1323" spans="1:13" x14ac:dyDescent="0.25">
      <c r="A1323" s="6">
        <v>16</v>
      </c>
      <c r="B1323" s="6">
        <v>2025</v>
      </c>
      <c r="C1323" s="7">
        <v>45790</v>
      </c>
      <c r="D1323" s="6" t="s">
        <v>83</v>
      </c>
      <c r="E1323" s="6" t="s">
        <v>85</v>
      </c>
      <c r="F1323" s="6">
        <v>3</v>
      </c>
      <c r="G1323" s="6" t="s">
        <v>66</v>
      </c>
      <c r="H1323" s="6">
        <v>1</v>
      </c>
      <c r="I1323" s="6">
        <v>3</v>
      </c>
      <c r="J1323" s="6">
        <v>1.5</v>
      </c>
      <c r="K1323" s="6" t="s">
        <v>28</v>
      </c>
      <c r="L1323" s="6" t="str">
        <f>VLOOKUP(K1323, 'Alphabetical by species code'!A:B, 2, FALSE)</f>
        <v>Litter</v>
      </c>
      <c r="M1323" s="6" t="str">
        <f>VLOOKUP(L1323, 'Alphabetical by species code'!B:C, 2, FALSE)</f>
        <v>Ground Cover</v>
      </c>
    </row>
    <row r="1324" spans="1:13" x14ac:dyDescent="0.25">
      <c r="A1324" s="6">
        <v>16</v>
      </c>
      <c r="B1324" s="6">
        <v>2025</v>
      </c>
      <c r="C1324" s="7">
        <v>45790</v>
      </c>
      <c r="D1324" s="6" t="s">
        <v>83</v>
      </c>
      <c r="E1324" s="6" t="s">
        <v>85</v>
      </c>
      <c r="F1324" s="6">
        <v>3</v>
      </c>
      <c r="G1324" s="6" t="s">
        <v>66</v>
      </c>
      <c r="H1324" s="6">
        <v>1</v>
      </c>
      <c r="I1324" s="6">
        <v>3</v>
      </c>
      <c r="J1324" s="6">
        <v>1.5</v>
      </c>
      <c r="K1324" s="6" t="s">
        <v>32</v>
      </c>
      <c r="L1324" s="6" t="str">
        <f>VLOOKUP(K1324, 'Alphabetical by species code'!A:B, 2, FALSE)</f>
        <v>Medicago polymorpha</v>
      </c>
      <c r="M1324" s="6" t="str">
        <f>VLOOKUP(L1324, 'Alphabetical by species code'!B:C, 2, FALSE)</f>
        <v>Non-Native</v>
      </c>
    </row>
    <row r="1325" spans="1:13" x14ac:dyDescent="0.25">
      <c r="A1325" s="6">
        <v>16</v>
      </c>
      <c r="B1325" s="6">
        <v>2025</v>
      </c>
      <c r="C1325" s="7">
        <v>45790</v>
      </c>
      <c r="D1325" s="6" t="s">
        <v>83</v>
      </c>
      <c r="E1325" s="6" t="s">
        <v>85</v>
      </c>
      <c r="F1325" s="6">
        <v>3</v>
      </c>
      <c r="G1325" s="6" t="s">
        <v>66</v>
      </c>
      <c r="H1325" s="6">
        <v>1</v>
      </c>
      <c r="I1325" s="6">
        <v>4</v>
      </c>
      <c r="J1325" s="6">
        <v>2</v>
      </c>
      <c r="K1325" s="6" t="s">
        <v>28</v>
      </c>
      <c r="L1325" s="6" t="str">
        <f>VLOOKUP(K1325, 'Alphabetical by species code'!A:B, 2, FALSE)</f>
        <v>Litter</v>
      </c>
      <c r="M1325" s="6" t="str">
        <f>VLOOKUP(L1325, 'Alphabetical by species code'!B:C, 2, FALSE)</f>
        <v>Ground Cover</v>
      </c>
    </row>
    <row r="1326" spans="1:13" x14ac:dyDescent="0.25">
      <c r="A1326" s="6">
        <v>16</v>
      </c>
      <c r="B1326" s="6">
        <v>2025</v>
      </c>
      <c r="C1326" s="7">
        <v>45790</v>
      </c>
      <c r="D1326" s="6" t="s">
        <v>83</v>
      </c>
      <c r="E1326" s="6" t="s">
        <v>85</v>
      </c>
      <c r="F1326" s="6">
        <v>3</v>
      </c>
      <c r="G1326" s="6" t="s">
        <v>66</v>
      </c>
      <c r="H1326" s="6">
        <v>1</v>
      </c>
      <c r="I1326" s="6">
        <v>4</v>
      </c>
      <c r="J1326" s="6">
        <v>2</v>
      </c>
      <c r="K1326" s="6" t="s">
        <v>42</v>
      </c>
      <c r="L1326" s="6" t="str">
        <f>VLOOKUP(K1326, 'Alphabetical by species code'!A:B, 2, FALSE)</f>
        <v>Centaurea melitensis</v>
      </c>
      <c r="M1326" s="6" t="str">
        <f>VLOOKUP(L1326, 'Alphabetical by species code'!B:C, 2, FALSE)</f>
        <v>Non-Native</v>
      </c>
    </row>
    <row r="1327" spans="1:13" x14ac:dyDescent="0.25">
      <c r="A1327" s="6">
        <v>16</v>
      </c>
      <c r="B1327" s="6">
        <v>2025</v>
      </c>
      <c r="C1327" s="7">
        <v>45790</v>
      </c>
      <c r="D1327" s="6" t="s">
        <v>83</v>
      </c>
      <c r="E1327" s="6" t="s">
        <v>85</v>
      </c>
      <c r="F1327" s="6">
        <v>3</v>
      </c>
      <c r="G1327" s="6" t="s">
        <v>66</v>
      </c>
      <c r="H1327" s="6">
        <v>1</v>
      </c>
      <c r="I1327" s="6">
        <v>5</v>
      </c>
      <c r="J1327" s="6">
        <v>3</v>
      </c>
      <c r="K1327" s="6" t="s">
        <v>51</v>
      </c>
      <c r="L1327" s="6" t="str">
        <f>VLOOKUP(K1327, 'Alphabetical by species code'!A:B, 2, FALSE)</f>
        <v>Bareground</v>
      </c>
      <c r="M1327" s="6" t="str">
        <f>VLOOKUP(L1327, 'Alphabetical by species code'!B:C, 2, FALSE)</f>
        <v>Ground Cover</v>
      </c>
    </row>
    <row r="1328" spans="1:13" x14ac:dyDescent="0.25">
      <c r="A1328" s="6">
        <v>16</v>
      </c>
      <c r="B1328" s="6">
        <v>2025</v>
      </c>
      <c r="C1328" s="7">
        <v>45790</v>
      </c>
      <c r="D1328" s="6" t="s">
        <v>83</v>
      </c>
      <c r="E1328" s="6" t="s">
        <v>85</v>
      </c>
      <c r="F1328" s="6">
        <v>3</v>
      </c>
      <c r="G1328" s="6" t="s">
        <v>66</v>
      </c>
      <c r="H1328" s="6">
        <v>1</v>
      </c>
      <c r="I1328" s="6">
        <v>5</v>
      </c>
      <c r="J1328" s="6">
        <v>3</v>
      </c>
      <c r="K1328" s="6" t="s">
        <v>32</v>
      </c>
      <c r="L1328" s="6" t="str">
        <f>VLOOKUP(K1328, 'Alphabetical by species code'!A:B, 2, FALSE)</f>
        <v>Medicago polymorpha</v>
      </c>
      <c r="M1328" s="6" t="str">
        <f>VLOOKUP(L1328, 'Alphabetical by species code'!B:C, 2, FALSE)</f>
        <v>Non-Native</v>
      </c>
    </row>
    <row r="1329" spans="1:13" x14ac:dyDescent="0.25">
      <c r="A1329" s="6">
        <v>16</v>
      </c>
      <c r="B1329" s="6">
        <v>2025</v>
      </c>
      <c r="C1329" s="7">
        <v>45790</v>
      </c>
      <c r="D1329" s="6" t="s">
        <v>83</v>
      </c>
      <c r="E1329" s="6" t="s">
        <v>85</v>
      </c>
      <c r="F1329" s="6">
        <v>3</v>
      </c>
      <c r="G1329" s="6" t="s">
        <v>66</v>
      </c>
      <c r="H1329" s="6">
        <v>1</v>
      </c>
      <c r="I1329" s="6">
        <v>6</v>
      </c>
      <c r="J1329" s="6">
        <v>3.5</v>
      </c>
      <c r="K1329" s="6" t="s">
        <v>28</v>
      </c>
      <c r="L1329" s="6" t="str">
        <f>VLOOKUP(K1329, 'Alphabetical by species code'!A:B, 2, FALSE)</f>
        <v>Litter</v>
      </c>
      <c r="M1329" s="6" t="str">
        <f>VLOOKUP(L1329, 'Alphabetical by species code'!B:C, 2, FALSE)</f>
        <v>Ground Cover</v>
      </c>
    </row>
    <row r="1330" spans="1:13" x14ac:dyDescent="0.25">
      <c r="A1330" s="6">
        <v>16</v>
      </c>
      <c r="B1330" s="6">
        <v>2025</v>
      </c>
      <c r="C1330" s="7">
        <v>45790</v>
      </c>
      <c r="D1330" s="6" t="s">
        <v>83</v>
      </c>
      <c r="E1330" s="6" t="s">
        <v>85</v>
      </c>
      <c r="F1330" s="6">
        <v>3</v>
      </c>
      <c r="G1330" s="6" t="s">
        <v>66</v>
      </c>
      <c r="H1330" s="6">
        <v>1</v>
      </c>
      <c r="I1330" s="6">
        <v>6</v>
      </c>
      <c r="J1330" s="6">
        <v>3.5</v>
      </c>
      <c r="K1330" s="6" t="s">
        <v>35</v>
      </c>
      <c r="L1330" s="6" t="str">
        <f>VLOOKUP(K1330, 'Alphabetical by species code'!A:B, 2, FALSE)</f>
        <v>Deinandra fasciculata</v>
      </c>
      <c r="M1330" s="6" t="str">
        <f>VLOOKUP(L1330, 'Alphabetical by species code'!B:C, 2, FALSE)</f>
        <v>Native</v>
      </c>
    </row>
    <row r="1331" spans="1:13" x14ac:dyDescent="0.25">
      <c r="A1331" s="6">
        <v>16</v>
      </c>
      <c r="B1331" s="6">
        <v>2025</v>
      </c>
      <c r="C1331" s="7">
        <v>45790</v>
      </c>
      <c r="D1331" s="6" t="s">
        <v>83</v>
      </c>
      <c r="E1331" s="6" t="s">
        <v>85</v>
      </c>
      <c r="F1331" s="6">
        <v>3</v>
      </c>
      <c r="G1331" s="6" t="s">
        <v>66</v>
      </c>
      <c r="H1331" s="6">
        <v>1</v>
      </c>
      <c r="I1331" s="6">
        <v>6</v>
      </c>
      <c r="J1331" s="6">
        <v>3.5</v>
      </c>
      <c r="K1331" s="6" t="s">
        <v>32</v>
      </c>
      <c r="L1331" s="6" t="str">
        <f>VLOOKUP(K1331, 'Alphabetical by species code'!A:B, 2, FALSE)</f>
        <v>Medicago polymorpha</v>
      </c>
      <c r="M1331" s="6" t="str">
        <f>VLOOKUP(L1331, 'Alphabetical by species code'!B:C, 2, FALSE)</f>
        <v>Non-Native</v>
      </c>
    </row>
    <row r="1332" spans="1:13" x14ac:dyDescent="0.25">
      <c r="A1332" s="6">
        <v>16</v>
      </c>
      <c r="B1332" s="6">
        <v>2025</v>
      </c>
      <c r="C1332" s="7">
        <v>45790</v>
      </c>
      <c r="D1332" s="6" t="s">
        <v>83</v>
      </c>
      <c r="E1332" s="6" t="s">
        <v>85</v>
      </c>
      <c r="F1332" s="6">
        <v>3</v>
      </c>
      <c r="G1332" s="6" t="s">
        <v>66</v>
      </c>
      <c r="H1332" s="6">
        <v>1</v>
      </c>
      <c r="I1332" s="6">
        <v>7</v>
      </c>
      <c r="J1332" s="6">
        <v>4</v>
      </c>
      <c r="K1332" s="6" t="s">
        <v>28</v>
      </c>
      <c r="L1332" s="6" t="str">
        <f>VLOOKUP(K1332, 'Alphabetical by species code'!A:B, 2, FALSE)</f>
        <v>Litter</v>
      </c>
      <c r="M1332" s="6" t="str">
        <f>VLOOKUP(L1332, 'Alphabetical by species code'!B:C, 2, FALSE)</f>
        <v>Ground Cover</v>
      </c>
    </row>
    <row r="1333" spans="1:13" x14ac:dyDescent="0.25">
      <c r="A1333" s="6">
        <v>16</v>
      </c>
      <c r="B1333" s="6">
        <v>2025</v>
      </c>
      <c r="C1333" s="7">
        <v>45790</v>
      </c>
      <c r="D1333" s="6" t="s">
        <v>83</v>
      </c>
      <c r="E1333" s="6" t="s">
        <v>85</v>
      </c>
      <c r="F1333" s="6">
        <v>3</v>
      </c>
      <c r="G1333" s="6" t="s">
        <v>66</v>
      </c>
      <c r="H1333" s="6">
        <v>1</v>
      </c>
      <c r="I1333" s="6">
        <v>7</v>
      </c>
      <c r="J1333" s="6">
        <v>4</v>
      </c>
      <c r="K1333" s="6" t="s">
        <v>36</v>
      </c>
      <c r="L1333" s="6" t="str">
        <f>VLOOKUP(K1333, 'Alphabetical by species code'!A:B, 2, FALSE)</f>
        <v>Bromus madritensis</v>
      </c>
      <c r="M1333" s="6" t="str">
        <f>VLOOKUP(L1333, 'Alphabetical by species code'!B:C, 2, FALSE)</f>
        <v>Non-Native</v>
      </c>
    </row>
    <row r="1334" spans="1:13" x14ac:dyDescent="0.25">
      <c r="A1334" s="6">
        <v>16</v>
      </c>
      <c r="B1334" s="6">
        <v>2025</v>
      </c>
      <c r="C1334" s="7">
        <v>45790</v>
      </c>
      <c r="D1334" s="6" t="s">
        <v>83</v>
      </c>
      <c r="E1334" s="6" t="s">
        <v>85</v>
      </c>
      <c r="F1334" s="6">
        <v>3</v>
      </c>
      <c r="G1334" s="6" t="s">
        <v>66</v>
      </c>
      <c r="H1334" s="6">
        <v>1</v>
      </c>
      <c r="I1334" s="6">
        <v>8</v>
      </c>
      <c r="J1334" s="6">
        <v>5</v>
      </c>
      <c r="K1334" s="6" t="s">
        <v>28</v>
      </c>
      <c r="L1334" s="6" t="str">
        <f>VLOOKUP(K1334, 'Alphabetical by species code'!A:B, 2, FALSE)</f>
        <v>Litter</v>
      </c>
      <c r="M1334" s="6" t="str">
        <f>VLOOKUP(L1334, 'Alphabetical by species code'!B:C, 2, FALSE)</f>
        <v>Ground Cover</v>
      </c>
    </row>
    <row r="1335" spans="1:13" x14ac:dyDescent="0.25">
      <c r="A1335" s="6">
        <v>16</v>
      </c>
      <c r="B1335" s="6">
        <v>2025</v>
      </c>
      <c r="C1335" s="7">
        <v>45790</v>
      </c>
      <c r="D1335" s="6" t="s">
        <v>83</v>
      </c>
      <c r="E1335" s="6" t="s">
        <v>85</v>
      </c>
      <c r="F1335" s="6">
        <v>3</v>
      </c>
      <c r="G1335" s="6" t="s">
        <v>66</v>
      </c>
      <c r="H1335" s="6">
        <v>1</v>
      </c>
      <c r="I1335" s="6">
        <v>8</v>
      </c>
      <c r="J1335" s="6">
        <v>5</v>
      </c>
      <c r="K1335" s="6" t="s">
        <v>32</v>
      </c>
      <c r="L1335" s="6" t="str">
        <f>VLOOKUP(K1335, 'Alphabetical by species code'!A:B, 2, FALSE)</f>
        <v>Medicago polymorpha</v>
      </c>
      <c r="M1335" s="6" t="str">
        <f>VLOOKUP(L1335, 'Alphabetical by species code'!B:C, 2, FALSE)</f>
        <v>Non-Native</v>
      </c>
    </row>
    <row r="1336" spans="1:13" x14ac:dyDescent="0.25">
      <c r="A1336" s="6">
        <v>16</v>
      </c>
      <c r="B1336" s="6">
        <v>2025</v>
      </c>
      <c r="C1336" s="7">
        <v>45790</v>
      </c>
      <c r="D1336" s="6" t="s">
        <v>83</v>
      </c>
      <c r="E1336" s="6" t="s">
        <v>85</v>
      </c>
      <c r="F1336" s="6">
        <v>3</v>
      </c>
      <c r="G1336" s="6" t="s">
        <v>66</v>
      </c>
      <c r="H1336" s="6">
        <v>1</v>
      </c>
      <c r="I1336" s="6">
        <v>8</v>
      </c>
      <c r="J1336" s="6">
        <v>5</v>
      </c>
      <c r="K1336" s="6" t="s">
        <v>36</v>
      </c>
      <c r="L1336" s="6" t="str">
        <f>VLOOKUP(K1336, 'Alphabetical by species code'!A:B, 2, FALSE)</f>
        <v>Bromus madritensis</v>
      </c>
      <c r="M1336" s="6" t="str">
        <f>VLOOKUP(L1336, 'Alphabetical by species code'!B:C, 2, FALSE)</f>
        <v>Non-Native</v>
      </c>
    </row>
    <row r="1337" spans="1:13" x14ac:dyDescent="0.25">
      <c r="A1337" s="6">
        <v>16</v>
      </c>
      <c r="B1337" s="6">
        <v>2025</v>
      </c>
      <c r="C1337" s="7">
        <v>45790</v>
      </c>
      <c r="D1337" s="6" t="s">
        <v>83</v>
      </c>
      <c r="E1337" s="6" t="s">
        <v>85</v>
      </c>
      <c r="F1337" s="6">
        <v>3</v>
      </c>
      <c r="G1337" s="6" t="s">
        <v>66</v>
      </c>
      <c r="H1337" s="6">
        <v>1</v>
      </c>
      <c r="I1337" s="6">
        <v>9</v>
      </c>
      <c r="J1337" s="6">
        <v>7</v>
      </c>
      <c r="K1337" s="6" t="s">
        <v>51</v>
      </c>
      <c r="L1337" s="6" t="str">
        <f>VLOOKUP(K1337, 'Alphabetical by species code'!A:B, 2, FALSE)</f>
        <v>Bareground</v>
      </c>
      <c r="M1337" s="6" t="str">
        <f>VLOOKUP(L1337, 'Alphabetical by species code'!B:C, 2, FALSE)</f>
        <v>Ground Cover</v>
      </c>
    </row>
    <row r="1338" spans="1:13" x14ac:dyDescent="0.25">
      <c r="A1338" s="6">
        <v>16</v>
      </c>
      <c r="B1338" s="6">
        <v>2025</v>
      </c>
      <c r="C1338" s="7">
        <v>45790</v>
      </c>
      <c r="D1338" s="6" t="s">
        <v>83</v>
      </c>
      <c r="E1338" s="6" t="s">
        <v>85</v>
      </c>
      <c r="F1338" s="6">
        <v>3</v>
      </c>
      <c r="G1338" s="6" t="s">
        <v>66</v>
      </c>
      <c r="H1338" s="6">
        <v>1</v>
      </c>
      <c r="I1338" s="6">
        <v>10</v>
      </c>
      <c r="J1338" s="6">
        <v>8</v>
      </c>
      <c r="K1338" s="6" t="s">
        <v>51</v>
      </c>
      <c r="L1338" s="6" t="str">
        <f>VLOOKUP(K1338, 'Alphabetical by species code'!A:B, 2, FALSE)</f>
        <v>Bareground</v>
      </c>
      <c r="M1338" s="6" t="str">
        <f>VLOOKUP(L1338, 'Alphabetical by species code'!B:C, 2, FALSE)</f>
        <v>Ground Cover</v>
      </c>
    </row>
    <row r="1339" spans="1:13" x14ac:dyDescent="0.25">
      <c r="A1339" s="6">
        <v>16</v>
      </c>
      <c r="B1339" s="6">
        <v>2025</v>
      </c>
      <c r="C1339" s="7">
        <v>45790</v>
      </c>
      <c r="D1339" s="6" t="s">
        <v>83</v>
      </c>
      <c r="E1339" s="6" t="s">
        <v>85</v>
      </c>
      <c r="F1339" s="6">
        <v>3</v>
      </c>
      <c r="G1339" s="6" t="s">
        <v>66</v>
      </c>
      <c r="H1339" s="6">
        <v>1</v>
      </c>
      <c r="I1339" s="6">
        <v>11</v>
      </c>
      <c r="J1339" s="6">
        <v>8.5</v>
      </c>
      <c r="K1339" s="6" t="s">
        <v>28</v>
      </c>
      <c r="L1339" s="6" t="str">
        <f>VLOOKUP(K1339, 'Alphabetical by species code'!A:B, 2, FALSE)</f>
        <v>Litter</v>
      </c>
      <c r="M1339" s="6" t="str">
        <f>VLOOKUP(L1339, 'Alphabetical by species code'!B:C, 2, FALSE)</f>
        <v>Ground Cover</v>
      </c>
    </row>
    <row r="1340" spans="1:13" x14ac:dyDescent="0.25">
      <c r="A1340" s="6">
        <v>16</v>
      </c>
      <c r="B1340" s="6">
        <v>2025</v>
      </c>
      <c r="C1340" s="7">
        <v>45790</v>
      </c>
      <c r="D1340" s="6" t="s">
        <v>83</v>
      </c>
      <c r="E1340" s="6" t="s">
        <v>85</v>
      </c>
      <c r="F1340" s="6">
        <v>3</v>
      </c>
      <c r="G1340" s="6" t="s">
        <v>66</v>
      </c>
      <c r="H1340" s="6">
        <v>1</v>
      </c>
      <c r="I1340" s="6">
        <v>11</v>
      </c>
      <c r="J1340" s="6">
        <v>8.5</v>
      </c>
      <c r="K1340" s="6" t="s">
        <v>34</v>
      </c>
      <c r="L1340" s="6" t="str">
        <f>VLOOKUP(K1340, 'Alphabetical by species code'!A:B, 2, FALSE)</f>
        <v>Erodium cicutarium</v>
      </c>
      <c r="M1340" s="6" t="str">
        <f>VLOOKUP(L1340, 'Alphabetical by species code'!B:C, 2, FALSE)</f>
        <v>Non-Native</v>
      </c>
    </row>
    <row r="1341" spans="1:13" x14ac:dyDescent="0.25">
      <c r="A1341" s="6">
        <v>16</v>
      </c>
      <c r="B1341" s="6">
        <v>2025</v>
      </c>
      <c r="C1341" s="7">
        <v>45790</v>
      </c>
      <c r="D1341" s="6" t="s">
        <v>83</v>
      </c>
      <c r="E1341" s="6" t="s">
        <v>85</v>
      </c>
      <c r="F1341" s="6">
        <v>3</v>
      </c>
      <c r="G1341" s="6" t="s">
        <v>66</v>
      </c>
      <c r="H1341" s="6">
        <v>1</v>
      </c>
      <c r="I1341" s="6">
        <v>11</v>
      </c>
      <c r="J1341" s="6">
        <v>8.5</v>
      </c>
      <c r="K1341" s="6" t="s">
        <v>87</v>
      </c>
      <c r="L1341" s="6" t="e">
        <f>VLOOKUP(K1341, 'Alphabetical by species code'!A:B, 2, FALSE)</f>
        <v>#N/A</v>
      </c>
      <c r="M1341" s="6" t="e">
        <f>VLOOKUP(L1341, 'Alphabetical by species code'!B:C, 2, FALSE)</f>
        <v>#N/A</v>
      </c>
    </row>
    <row r="1342" spans="1:13" x14ac:dyDescent="0.25">
      <c r="A1342" s="6">
        <v>16</v>
      </c>
      <c r="B1342" s="6">
        <v>2025</v>
      </c>
      <c r="C1342" s="7">
        <v>45790</v>
      </c>
      <c r="D1342" s="6" t="s">
        <v>83</v>
      </c>
      <c r="E1342" s="6" t="s">
        <v>85</v>
      </c>
      <c r="F1342" s="6">
        <v>3</v>
      </c>
      <c r="G1342" s="6" t="s">
        <v>66</v>
      </c>
      <c r="H1342" s="6">
        <v>1</v>
      </c>
      <c r="I1342" s="6">
        <v>12</v>
      </c>
      <c r="J1342" s="6">
        <v>9</v>
      </c>
      <c r="K1342" s="6" t="s">
        <v>51</v>
      </c>
      <c r="L1342" s="6" t="str">
        <f>VLOOKUP(K1342, 'Alphabetical by species code'!A:B, 2, FALSE)</f>
        <v>Bareground</v>
      </c>
      <c r="M1342" s="6" t="str">
        <f>VLOOKUP(L1342, 'Alphabetical by species code'!B:C, 2, FALSE)</f>
        <v>Ground Cover</v>
      </c>
    </row>
    <row r="1343" spans="1:13" x14ac:dyDescent="0.25">
      <c r="A1343" s="6">
        <v>16</v>
      </c>
      <c r="B1343" s="6">
        <v>2025</v>
      </c>
      <c r="C1343" s="7">
        <v>45790</v>
      </c>
      <c r="D1343" s="6" t="s">
        <v>83</v>
      </c>
      <c r="E1343" s="6" t="s">
        <v>85</v>
      </c>
      <c r="F1343" s="6">
        <v>3</v>
      </c>
      <c r="G1343" s="6" t="s">
        <v>66</v>
      </c>
      <c r="H1343" s="6">
        <v>1</v>
      </c>
      <c r="I1343" s="6">
        <v>12</v>
      </c>
      <c r="J1343" s="6">
        <v>9</v>
      </c>
      <c r="K1343" s="6" t="s">
        <v>32</v>
      </c>
      <c r="L1343" s="6" t="str">
        <f>VLOOKUP(K1343, 'Alphabetical by species code'!A:B, 2, FALSE)</f>
        <v>Medicago polymorpha</v>
      </c>
      <c r="M1343" s="6" t="str">
        <f>VLOOKUP(L1343, 'Alphabetical by species code'!B:C, 2, FALSE)</f>
        <v>Non-Native</v>
      </c>
    </row>
    <row r="1344" spans="1:13" x14ac:dyDescent="0.25">
      <c r="A1344" s="6">
        <v>16</v>
      </c>
      <c r="B1344" s="6">
        <v>2025</v>
      </c>
      <c r="C1344" s="7">
        <v>45790</v>
      </c>
      <c r="D1344" s="6" t="s">
        <v>83</v>
      </c>
      <c r="E1344" s="6" t="s">
        <v>85</v>
      </c>
      <c r="F1344" s="6">
        <v>3</v>
      </c>
      <c r="G1344" s="6" t="s">
        <v>66</v>
      </c>
      <c r="H1344" s="6">
        <v>1</v>
      </c>
      <c r="I1344" s="6">
        <v>12</v>
      </c>
      <c r="J1344" s="6">
        <v>9</v>
      </c>
      <c r="K1344" s="6" t="s">
        <v>64</v>
      </c>
      <c r="L1344" s="6" t="str">
        <f>VLOOKUP(K1344, 'Alphabetical by species code'!A:B, 2, FALSE)</f>
        <v>Brassica nigra</v>
      </c>
      <c r="M1344" s="6" t="str">
        <f>VLOOKUP(L1344, 'Alphabetical by species code'!B:C, 2, FALSE)</f>
        <v>Non-Native</v>
      </c>
    </row>
    <row r="1345" spans="1:13" x14ac:dyDescent="0.25">
      <c r="A1345" s="6">
        <v>16</v>
      </c>
      <c r="B1345" s="6">
        <v>2025</v>
      </c>
      <c r="C1345" s="7">
        <v>45790</v>
      </c>
      <c r="D1345" s="6" t="s">
        <v>83</v>
      </c>
      <c r="E1345" s="6" t="s">
        <v>85</v>
      </c>
      <c r="F1345" s="6">
        <v>3</v>
      </c>
      <c r="G1345" s="6" t="s">
        <v>66</v>
      </c>
      <c r="H1345" s="6">
        <v>1</v>
      </c>
      <c r="I1345" s="6">
        <v>13</v>
      </c>
      <c r="J1345" s="6">
        <v>10</v>
      </c>
      <c r="K1345" s="6" t="s">
        <v>28</v>
      </c>
      <c r="L1345" s="6" t="str">
        <f>VLOOKUP(K1345, 'Alphabetical by species code'!A:B, 2, FALSE)</f>
        <v>Litter</v>
      </c>
      <c r="M1345" s="6" t="str">
        <f>VLOOKUP(L1345, 'Alphabetical by species code'!B:C, 2, FALSE)</f>
        <v>Ground Cover</v>
      </c>
    </row>
    <row r="1346" spans="1:13" x14ac:dyDescent="0.25">
      <c r="A1346" s="6">
        <v>16</v>
      </c>
      <c r="B1346" s="6">
        <v>2025</v>
      </c>
      <c r="C1346" s="7">
        <v>45790</v>
      </c>
      <c r="D1346" s="6" t="s">
        <v>83</v>
      </c>
      <c r="E1346" s="6" t="s">
        <v>85</v>
      </c>
      <c r="F1346" s="6">
        <v>3</v>
      </c>
      <c r="G1346" s="6" t="s">
        <v>66</v>
      </c>
      <c r="H1346" s="6">
        <v>1</v>
      </c>
      <c r="I1346" s="6">
        <v>13</v>
      </c>
      <c r="J1346" s="6">
        <v>10</v>
      </c>
      <c r="K1346" s="6" t="s">
        <v>32</v>
      </c>
      <c r="L1346" s="6" t="str">
        <f>VLOOKUP(K1346, 'Alphabetical by species code'!A:B, 2, FALSE)</f>
        <v>Medicago polymorpha</v>
      </c>
      <c r="M1346" s="6" t="str">
        <f>VLOOKUP(L1346, 'Alphabetical by species code'!B:C, 2, FALSE)</f>
        <v>Non-Native</v>
      </c>
    </row>
    <row r="1347" spans="1:13" x14ac:dyDescent="0.25">
      <c r="A1347" s="6">
        <v>16</v>
      </c>
      <c r="B1347" s="6">
        <v>2025</v>
      </c>
      <c r="C1347" s="7">
        <v>45790</v>
      </c>
      <c r="D1347" s="6" t="s">
        <v>83</v>
      </c>
      <c r="E1347" s="6" t="s">
        <v>85</v>
      </c>
      <c r="F1347" s="6">
        <v>3</v>
      </c>
      <c r="G1347" s="6" t="s">
        <v>66</v>
      </c>
      <c r="H1347" s="6">
        <v>1</v>
      </c>
      <c r="I1347" s="6">
        <v>13</v>
      </c>
      <c r="J1347" s="6">
        <v>10</v>
      </c>
      <c r="K1347" s="6" t="s">
        <v>57</v>
      </c>
      <c r="L1347" s="6" t="str">
        <f>VLOOKUP(K1347, 'Alphabetical by species code'!A:B, 2, FALSE)</f>
        <v>Stipa pulchra</v>
      </c>
      <c r="M1347" s="6" t="str">
        <f>VLOOKUP(L1347, 'Alphabetical by species code'!B:C, 2, FALSE)</f>
        <v>Native</v>
      </c>
    </row>
    <row r="1348" spans="1:13" x14ac:dyDescent="0.25">
      <c r="A1348" s="6">
        <v>16</v>
      </c>
      <c r="B1348" s="6">
        <v>2025</v>
      </c>
      <c r="C1348" s="7">
        <v>45790</v>
      </c>
      <c r="D1348" s="6" t="s">
        <v>83</v>
      </c>
      <c r="E1348" s="6" t="s">
        <v>85</v>
      </c>
      <c r="F1348" s="6">
        <v>3</v>
      </c>
      <c r="G1348" s="6" t="s">
        <v>66</v>
      </c>
      <c r="H1348" s="6">
        <v>1</v>
      </c>
      <c r="I1348" s="6">
        <v>14</v>
      </c>
      <c r="J1348" s="6">
        <v>11</v>
      </c>
      <c r="K1348" s="6" t="s">
        <v>28</v>
      </c>
      <c r="L1348" s="6" t="str">
        <f>VLOOKUP(K1348, 'Alphabetical by species code'!A:B, 2, FALSE)</f>
        <v>Litter</v>
      </c>
      <c r="M1348" s="6" t="str">
        <f>VLOOKUP(L1348, 'Alphabetical by species code'!B:C, 2, FALSE)</f>
        <v>Ground Cover</v>
      </c>
    </row>
    <row r="1349" spans="1:13" x14ac:dyDescent="0.25">
      <c r="A1349" s="6">
        <v>16</v>
      </c>
      <c r="B1349" s="6">
        <v>2025</v>
      </c>
      <c r="C1349" s="7">
        <v>45790</v>
      </c>
      <c r="D1349" s="6" t="s">
        <v>83</v>
      </c>
      <c r="E1349" s="6" t="s">
        <v>85</v>
      </c>
      <c r="F1349" s="6">
        <v>3</v>
      </c>
      <c r="G1349" s="6" t="s">
        <v>66</v>
      </c>
      <c r="H1349" s="6">
        <v>1</v>
      </c>
      <c r="I1349" s="6">
        <v>14</v>
      </c>
      <c r="J1349" s="6">
        <v>11</v>
      </c>
      <c r="K1349" s="6" t="s">
        <v>32</v>
      </c>
      <c r="L1349" s="6" t="str">
        <f>VLOOKUP(K1349, 'Alphabetical by species code'!A:B, 2, FALSE)</f>
        <v>Medicago polymorpha</v>
      </c>
      <c r="M1349" s="6" t="str">
        <f>VLOOKUP(L1349, 'Alphabetical by species code'!B:C, 2, FALSE)</f>
        <v>Non-Native</v>
      </c>
    </row>
    <row r="1350" spans="1:13" x14ac:dyDescent="0.25">
      <c r="A1350" s="6">
        <v>16</v>
      </c>
      <c r="B1350" s="6">
        <v>2025</v>
      </c>
      <c r="C1350" s="7">
        <v>45790</v>
      </c>
      <c r="D1350" s="6" t="s">
        <v>83</v>
      </c>
      <c r="E1350" s="6" t="s">
        <v>85</v>
      </c>
      <c r="F1350" s="6">
        <v>3</v>
      </c>
      <c r="G1350" s="6" t="s">
        <v>66</v>
      </c>
      <c r="H1350" s="6">
        <v>1</v>
      </c>
      <c r="I1350" s="6">
        <v>15</v>
      </c>
      <c r="J1350" s="6">
        <v>12</v>
      </c>
      <c r="K1350" s="6" t="s">
        <v>28</v>
      </c>
      <c r="L1350" s="6" t="str">
        <f>VLOOKUP(K1350, 'Alphabetical by species code'!A:B, 2, FALSE)</f>
        <v>Litter</v>
      </c>
      <c r="M1350" s="6" t="str">
        <f>VLOOKUP(L1350, 'Alphabetical by species code'!B:C, 2, FALSE)</f>
        <v>Ground Cover</v>
      </c>
    </row>
    <row r="1351" spans="1:13" x14ac:dyDescent="0.25">
      <c r="A1351" s="6">
        <v>16</v>
      </c>
      <c r="B1351" s="6">
        <v>2025</v>
      </c>
      <c r="C1351" s="7">
        <v>45790</v>
      </c>
      <c r="D1351" s="6" t="s">
        <v>83</v>
      </c>
      <c r="E1351" s="6" t="s">
        <v>85</v>
      </c>
      <c r="F1351" s="6">
        <v>3</v>
      </c>
      <c r="G1351" s="6" t="s">
        <v>66</v>
      </c>
      <c r="H1351" s="6">
        <v>2</v>
      </c>
      <c r="I1351" s="6">
        <v>1</v>
      </c>
      <c r="J1351" s="6">
        <v>0</v>
      </c>
      <c r="K1351" s="6" t="s">
        <v>51</v>
      </c>
      <c r="L1351" s="6" t="str">
        <f>VLOOKUP(K1351, 'Alphabetical by species code'!A:B, 2, FALSE)</f>
        <v>Bareground</v>
      </c>
      <c r="M1351" s="6" t="str">
        <f>VLOOKUP(L1351, 'Alphabetical by species code'!B:C, 2, FALSE)</f>
        <v>Ground Cover</v>
      </c>
    </row>
    <row r="1352" spans="1:13" x14ac:dyDescent="0.25">
      <c r="A1352" s="6">
        <v>16</v>
      </c>
      <c r="B1352" s="6">
        <v>2025</v>
      </c>
      <c r="C1352" s="7">
        <v>45790</v>
      </c>
      <c r="D1352" s="6" t="s">
        <v>83</v>
      </c>
      <c r="E1352" s="6" t="s">
        <v>85</v>
      </c>
      <c r="F1352" s="6">
        <v>3</v>
      </c>
      <c r="G1352" s="6" t="s">
        <v>66</v>
      </c>
      <c r="H1352" s="6">
        <v>2</v>
      </c>
      <c r="I1352" s="6">
        <v>1</v>
      </c>
      <c r="J1352" s="6">
        <v>0</v>
      </c>
      <c r="K1352" s="6" t="s">
        <v>34</v>
      </c>
      <c r="L1352" s="6" t="str">
        <f>VLOOKUP(K1352, 'Alphabetical by species code'!A:B, 2, FALSE)</f>
        <v>Erodium cicutarium</v>
      </c>
      <c r="M1352" s="6" t="str">
        <f>VLOOKUP(L1352, 'Alphabetical by species code'!B:C, 2, FALSE)</f>
        <v>Non-Native</v>
      </c>
    </row>
    <row r="1353" spans="1:13" x14ac:dyDescent="0.25">
      <c r="A1353" s="6">
        <v>16</v>
      </c>
      <c r="B1353" s="6">
        <v>2025</v>
      </c>
      <c r="C1353" s="7">
        <v>45790</v>
      </c>
      <c r="D1353" s="6" t="s">
        <v>83</v>
      </c>
      <c r="E1353" s="6" t="s">
        <v>85</v>
      </c>
      <c r="F1353" s="6">
        <v>3</v>
      </c>
      <c r="G1353" s="6" t="s">
        <v>66</v>
      </c>
      <c r="H1353" s="6">
        <v>2</v>
      </c>
      <c r="I1353" s="6">
        <v>2</v>
      </c>
      <c r="J1353" s="6">
        <v>1</v>
      </c>
      <c r="K1353" s="6" t="s">
        <v>28</v>
      </c>
      <c r="L1353" s="6" t="str">
        <f>VLOOKUP(K1353, 'Alphabetical by species code'!A:B, 2, FALSE)</f>
        <v>Litter</v>
      </c>
      <c r="M1353" s="6" t="str">
        <f>VLOOKUP(L1353, 'Alphabetical by species code'!B:C, 2, FALSE)</f>
        <v>Ground Cover</v>
      </c>
    </row>
    <row r="1354" spans="1:13" x14ac:dyDescent="0.25">
      <c r="A1354" s="6">
        <v>16</v>
      </c>
      <c r="B1354" s="6">
        <v>2025</v>
      </c>
      <c r="C1354" s="7">
        <v>45790</v>
      </c>
      <c r="D1354" s="6" t="s">
        <v>83</v>
      </c>
      <c r="E1354" s="6" t="s">
        <v>85</v>
      </c>
      <c r="F1354" s="6">
        <v>3</v>
      </c>
      <c r="G1354" s="6" t="s">
        <v>66</v>
      </c>
      <c r="H1354" s="6">
        <v>2</v>
      </c>
      <c r="I1354" s="6">
        <v>3</v>
      </c>
      <c r="J1354" s="6">
        <v>1.5</v>
      </c>
      <c r="K1354" s="6" t="s">
        <v>51</v>
      </c>
      <c r="L1354" s="6" t="str">
        <f>VLOOKUP(K1354, 'Alphabetical by species code'!A:B, 2, FALSE)</f>
        <v>Bareground</v>
      </c>
      <c r="M1354" s="6" t="str">
        <f>VLOOKUP(L1354, 'Alphabetical by species code'!B:C, 2, FALSE)</f>
        <v>Ground Cover</v>
      </c>
    </row>
    <row r="1355" spans="1:13" x14ac:dyDescent="0.25">
      <c r="A1355" s="6">
        <v>16</v>
      </c>
      <c r="B1355" s="6">
        <v>2025</v>
      </c>
      <c r="C1355" s="7">
        <v>45790</v>
      </c>
      <c r="D1355" s="6" t="s">
        <v>83</v>
      </c>
      <c r="E1355" s="6" t="s">
        <v>85</v>
      </c>
      <c r="F1355" s="6">
        <v>3</v>
      </c>
      <c r="G1355" s="6" t="s">
        <v>66</v>
      </c>
      <c r="H1355" s="6">
        <v>2</v>
      </c>
      <c r="I1355" s="6">
        <v>3</v>
      </c>
      <c r="J1355" s="6">
        <v>1.5</v>
      </c>
      <c r="K1355" s="6" t="s">
        <v>32</v>
      </c>
      <c r="L1355" s="6" t="str">
        <f>VLOOKUP(K1355, 'Alphabetical by species code'!A:B, 2, FALSE)</f>
        <v>Medicago polymorpha</v>
      </c>
      <c r="M1355" s="6" t="str">
        <f>VLOOKUP(L1355, 'Alphabetical by species code'!B:C, 2, FALSE)</f>
        <v>Non-Native</v>
      </c>
    </row>
    <row r="1356" spans="1:13" x14ac:dyDescent="0.25">
      <c r="A1356" s="6">
        <v>16</v>
      </c>
      <c r="B1356" s="6">
        <v>2025</v>
      </c>
      <c r="C1356" s="7">
        <v>45790</v>
      </c>
      <c r="D1356" s="6" t="s">
        <v>83</v>
      </c>
      <c r="E1356" s="6" t="s">
        <v>85</v>
      </c>
      <c r="F1356" s="6">
        <v>3</v>
      </c>
      <c r="G1356" s="6" t="s">
        <v>66</v>
      </c>
      <c r="H1356" s="6">
        <v>2</v>
      </c>
      <c r="I1356" s="6">
        <v>4</v>
      </c>
      <c r="J1356" s="6">
        <v>2</v>
      </c>
      <c r="K1356" s="6" t="s">
        <v>51</v>
      </c>
      <c r="L1356" s="6" t="str">
        <f>VLOOKUP(K1356, 'Alphabetical by species code'!A:B, 2, FALSE)</f>
        <v>Bareground</v>
      </c>
      <c r="M1356" s="6" t="str">
        <f>VLOOKUP(L1356, 'Alphabetical by species code'!B:C, 2, FALSE)</f>
        <v>Ground Cover</v>
      </c>
    </row>
    <row r="1357" spans="1:13" x14ac:dyDescent="0.25">
      <c r="A1357" s="6">
        <v>16</v>
      </c>
      <c r="B1357" s="6">
        <v>2025</v>
      </c>
      <c r="C1357" s="7">
        <v>45790</v>
      </c>
      <c r="D1357" s="6" t="s">
        <v>83</v>
      </c>
      <c r="E1357" s="6" t="s">
        <v>85</v>
      </c>
      <c r="F1357" s="6">
        <v>3</v>
      </c>
      <c r="G1357" s="6" t="s">
        <v>66</v>
      </c>
      <c r="H1357" s="6">
        <v>2</v>
      </c>
      <c r="I1357" s="6">
        <v>5</v>
      </c>
      <c r="J1357" s="6">
        <v>3</v>
      </c>
      <c r="K1357" s="6" t="s">
        <v>51</v>
      </c>
      <c r="L1357" s="6" t="str">
        <f>VLOOKUP(K1357, 'Alphabetical by species code'!A:B, 2, FALSE)</f>
        <v>Bareground</v>
      </c>
      <c r="M1357" s="6" t="str">
        <f>VLOOKUP(L1357, 'Alphabetical by species code'!B:C, 2, FALSE)</f>
        <v>Ground Cover</v>
      </c>
    </row>
    <row r="1358" spans="1:13" x14ac:dyDescent="0.25">
      <c r="A1358" s="6">
        <v>16</v>
      </c>
      <c r="B1358" s="6">
        <v>2025</v>
      </c>
      <c r="C1358" s="7">
        <v>45790</v>
      </c>
      <c r="D1358" s="6" t="s">
        <v>83</v>
      </c>
      <c r="E1358" s="6" t="s">
        <v>85</v>
      </c>
      <c r="F1358" s="6">
        <v>3</v>
      </c>
      <c r="G1358" s="6" t="s">
        <v>66</v>
      </c>
      <c r="H1358" s="6">
        <v>2</v>
      </c>
      <c r="I1358" s="6">
        <v>5</v>
      </c>
      <c r="J1358" s="6">
        <v>3</v>
      </c>
      <c r="K1358" s="6" t="s">
        <v>64</v>
      </c>
      <c r="L1358" s="6" t="str">
        <f>VLOOKUP(K1358, 'Alphabetical by species code'!A:B, 2, FALSE)</f>
        <v>Brassica nigra</v>
      </c>
      <c r="M1358" s="6" t="str">
        <f>VLOOKUP(L1358, 'Alphabetical by species code'!B:C, 2, FALSE)</f>
        <v>Non-Native</v>
      </c>
    </row>
    <row r="1359" spans="1:13" x14ac:dyDescent="0.25">
      <c r="A1359" s="6">
        <v>16</v>
      </c>
      <c r="B1359" s="6">
        <v>2025</v>
      </c>
      <c r="C1359" s="7">
        <v>45790</v>
      </c>
      <c r="D1359" s="6" t="s">
        <v>83</v>
      </c>
      <c r="E1359" s="6" t="s">
        <v>85</v>
      </c>
      <c r="F1359" s="6">
        <v>3</v>
      </c>
      <c r="G1359" s="6" t="s">
        <v>66</v>
      </c>
      <c r="H1359" s="6">
        <v>2</v>
      </c>
      <c r="I1359" s="6">
        <v>6</v>
      </c>
      <c r="J1359" s="6">
        <v>3.5</v>
      </c>
      <c r="K1359" s="6" t="s">
        <v>28</v>
      </c>
      <c r="L1359" s="6" t="str">
        <f>VLOOKUP(K1359, 'Alphabetical by species code'!A:B, 2, FALSE)</f>
        <v>Litter</v>
      </c>
      <c r="M1359" s="6" t="str">
        <f>VLOOKUP(L1359, 'Alphabetical by species code'!B:C, 2, FALSE)</f>
        <v>Ground Cover</v>
      </c>
    </row>
    <row r="1360" spans="1:13" x14ac:dyDescent="0.25">
      <c r="A1360" s="6">
        <v>16</v>
      </c>
      <c r="B1360" s="6">
        <v>2025</v>
      </c>
      <c r="C1360" s="7">
        <v>45790</v>
      </c>
      <c r="D1360" s="6" t="s">
        <v>83</v>
      </c>
      <c r="E1360" s="6" t="s">
        <v>85</v>
      </c>
      <c r="F1360" s="6">
        <v>3</v>
      </c>
      <c r="G1360" s="6" t="s">
        <v>66</v>
      </c>
      <c r="H1360" s="6">
        <v>2</v>
      </c>
      <c r="I1360" s="6">
        <v>6</v>
      </c>
      <c r="J1360" s="6">
        <v>3.5</v>
      </c>
      <c r="K1360" s="6" t="s">
        <v>64</v>
      </c>
      <c r="L1360" s="6" t="str">
        <f>VLOOKUP(K1360, 'Alphabetical by species code'!A:B, 2, FALSE)</f>
        <v>Brassica nigra</v>
      </c>
      <c r="M1360" s="6" t="str">
        <f>VLOOKUP(L1360, 'Alphabetical by species code'!B:C, 2, FALSE)</f>
        <v>Non-Native</v>
      </c>
    </row>
    <row r="1361" spans="1:13" x14ac:dyDescent="0.25">
      <c r="A1361" s="6">
        <v>16</v>
      </c>
      <c r="B1361" s="6">
        <v>2025</v>
      </c>
      <c r="C1361" s="7">
        <v>45790</v>
      </c>
      <c r="D1361" s="6" t="s">
        <v>83</v>
      </c>
      <c r="E1361" s="6" t="s">
        <v>85</v>
      </c>
      <c r="F1361" s="6">
        <v>3</v>
      </c>
      <c r="G1361" s="6" t="s">
        <v>66</v>
      </c>
      <c r="H1361" s="6">
        <v>2</v>
      </c>
      <c r="I1361" s="6">
        <v>7</v>
      </c>
      <c r="J1361" s="6">
        <v>4</v>
      </c>
      <c r="K1361" s="6" t="s">
        <v>28</v>
      </c>
      <c r="L1361" s="6" t="str">
        <f>VLOOKUP(K1361, 'Alphabetical by species code'!A:B, 2, FALSE)</f>
        <v>Litter</v>
      </c>
      <c r="M1361" s="6" t="str">
        <f>VLOOKUP(L1361, 'Alphabetical by species code'!B:C, 2, FALSE)</f>
        <v>Ground Cover</v>
      </c>
    </row>
    <row r="1362" spans="1:13" x14ac:dyDescent="0.25">
      <c r="A1362" s="6">
        <v>16</v>
      </c>
      <c r="B1362" s="6">
        <v>2025</v>
      </c>
      <c r="C1362" s="7">
        <v>45790</v>
      </c>
      <c r="D1362" s="6" t="s">
        <v>83</v>
      </c>
      <c r="E1362" s="6" t="s">
        <v>85</v>
      </c>
      <c r="F1362" s="6">
        <v>3</v>
      </c>
      <c r="G1362" s="6" t="s">
        <v>66</v>
      </c>
      <c r="H1362" s="6">
        <v>2</v>
      </c>
      <c r="I1362" s="6">
        <v>7</v>
      </c>
      <c r="J1362" s="6">
        <v>4</v>
      </c>
      <c r="K1362" s="6" t="s">
        <v>57</v>
      </c>
      <c r="L1362" s="6" t="str">
        <f>VLOOKUP(K1362, 'Alphabetical by species code'!A:B, 2, FALSE)</f>
        <v>Stipa pulchra</v>
      </c>
      <c r="M1362" s="6" t="str">
        <f>VLOOKUP(L1362, 'Alphabetical by species code'!B:C, 2, FALSE)</f>
        <v>Native</v>
      </c>
    </row>
    <row r="1363" spans="1:13" x14ac:dyDescent="0.25">
      <c r="A1363" s="6">
        <v>16</v>
      </c>
      <c r="B1363" s="6">
        <v>2025</v>
      </c>
      <c r="C1363" s="7">
        <v>45790</v>
      </c>
      <c r="D1363" s="6" t="s">
        <v>83</v>
      </c>
      <c r="E1363" s="6" t="s">
        <v>85</v>
      </c>
      <c r="F1363" s="6">
        <v>3</v>
      </c>
      <c r="G1363" s="6" t="s">
        <v>66</v>
      </c>
      <c r="H1363" s="6">
        <v>2</v>
      </c>
      <c r="I1363" s="6">
        <v>8</v>
      </c>
      <c r="J1363" s="6">
        <v>5</v>
      </c>
      <c r="K1363" s="6" t="s">
        <v>28</v>
      </c>
      <c r="L1363" s="6" t="str">
        <f>VLOOKUP(K1363, 'Alphabetical by species code'!A:B, 2, FALSE)</f>
        <v>Litter</v>
      </c>
      <c r="M1363" s="6" t="str">
        <f>VLOOKUP(L1363, 'Alphabetical by species code'!B:C, 2, FALSE)</f>
        <v>Ground Cover</v>
      </c>
    </row>
    <row r="1364" spans="1:13" x14ac:dyDescent="0.25">
      <c r="A1364" s="6">
        <v>16</v>
      </c>
      <c r="B1364" s="6">
        <v>2025</v>
      </c>
      <c r="C1364" s="7">
        <v>45790</v>
      </c>
      <c r="D1364" s="6" t="s">
        <v>83</v>
      </c>
      <c r="E1364" s="6" t="s">
        <v>85</v>
      </c>
      <c r="F1364" s="6">
        <v>3</v>
      </c>
      <c r="G1364" s="6" t="s">
        <v>66</v>
      </c>
      <c r="H1364" s="6">
        <v>2</v>
      </c>
      <c r="I1364" s="6">
        <v>9</v>
      </c>
      <c r="J1364" s="6">
        <v>7</v>
      </c>
      <c r="K1364" s="6" t="s">
        <v>28</v>
      </c>
      <c r="L1364" s="6" t="str">
        <f>VLOOKUP(K1364, 'Alphabetical by species code'!A:B, 2, FALSE)</f>
        <v>Litter</v>
      </c>
      <c r="M1364" s="6" t="str">
        <f>VLOOKUP(L1364, 'Alphabetical by species code'!B:C, 2, FALSE)</f>
        <v>Ground Cover</v>
      </c>
    </row>
    <row r="1365" spans="1:13" x14ac:dyDescent="0.25">
      <c r="A1365" s="6">
        <v>16</v>
      </c>
      <c r="B1365" s="6">
        <v>2025</v>
      </c>
      <c r="C1365" s="7">
        <v>45790</v>
      </c>
      <c r="D1365" s="6" t="s">
        <v>83</v>
      </c>
      <c r="E1365" s="6" t="s">
        <v>85</v>
      </c>
      <c r="F1365" s="6">
        <v>3</v>
      </c>
      <c r="G1365" s="6" t="s">
        <v>66</v>
      </c>
      <c r="H1365" s="6">
        <v>2</v>
      </c>
      <c r="I1365" s="6">
        <v>10</v>
      </c>
      <c r="J1365" s="6">
        <v>8</v>
      </c>
      <c r="K1365" s="6" t="s">
        <v>28</v>
      </c>
      <c r="L1365" s="6" t="str">
        <f>VLOOKUP(K1365, 'Alphabetical by species code'!A:B, 2, FALSE)</f>
        <v>Litter</v>
      </c>
      <c r="M1365" s="6" t="str">
        <f>VLOOKUP(L1365, 'Alphabetical by species code'!B:C, 2, FALSE)</f>
        <v>Ground Cover</v>
      </c>
    </row>
    <row r="1366" spans="1:13" x14ac:dyDescent="0.25">
      <c r="A1366" s="6">
        <v>16</v>
      </c>
      <c r="B1366" s="6">
        <v>2025</v>
      </c>
      <c r="C1366" s="7">
        <v>45790</v>
      </c>
      <c r="D1366" s="6" t="s">
        <v>83</v>
      </c>
      <c r="E1366" s="6" t="s">
        <v>85</v>
      </c>
      <c r="F1366" s="6">
        <v>3</v>
      </c>
      <c r="G1366" s="6" t="s">
        <v>66</v>
      </c>
      <c r="H1366" s="6">
        <v>2</v>
      </c>
      <c r="I1366" s="6">
        <v>11</v>
      </c>
      <c r="J1366" s="6">
        <v>8.5</v>
      </c>
      <c r="K1366" s="6" t="s">
        <v>28</v>
      </c>
      <c r="L1366" s="6" t="str">
        <f>VLOOKUP(K1366, 'Alphabetical by species code'!A:B, 2, FALSE)</f>
        <v>Litter</v>
      </c>
      <c r="M1366" s="6" t="str">
        <f>VLOOKUP(L1366, 'Alphabetical by species code'!B:C, 2, FALSE)</f>
        <v>Ground Cover</v>
      </c>
    </row>
    <row r="1367" spans="1:13" x14ac:dyDescent="0.25">
      <c r="A1367" s="6">
        <v>16</v>
      </c>
      <c r="B1367" s="6">
        <v>2025</v>
      </c>
      <c r="C1367" s="7">
        <v>45790</v>
      </c>
      <c r="D1367" s="6" t="s">
        <v>83</v>
      </c>
      <c r="E1367" s="6" t="s">
        <v>85</v>
      </c>
      <c r="F1367" s="6">
        <v>3</v>
      </c>
      <c r="G1367" s="6" t="s">
        <v>66</v>
      </c>
      <c r="H1367" s="6">
        <v>2</v>
      </c>
      <c r="I1367" s="6">
        <v>12</v>
      </c>
      <c r="J1367" s="6">
        <v>9</v>
      </c>
      <c r="K1367" s="6" t="s">
        <v>51</v>
      </c>
      <c r="L1367" s="6" t="str">
        <f>VLOOKUP(K1367, 'Alphabetical by species code'!A:B, 2, FALSE)</f>
        <v>Bareground</v>
      </c>
      <c r="M1367" s="6" t="str">
        <f>VLOOKUP(L1367, 'Alphabetical by species code'!B:C, 2, FALSE)</f>
        <v>Ground Cover</v>
      </c>
    </row>
    <row r="1368" spans="1:13" x14ac:dyDescent="0.25">
      <c r="A1368" s="6">
        <v>16</v>
      </c>
      <c r="B1368" s="6">
        <v>2025</v>
      </c>
      <c r="C1368" s="7">
        <v>45790</v>
      </c>
      <c r="D1368" s="6" t="s">
        <v>83</v>
      </c>
      <c r="E1368" s="6" t="s">
        <v>85</v>
      </c>
      <c r="F1368" s="6">
        <v>3</v>
      </c>
      <c r="G1368" s="6" t="s">
        <v>66</v>
      </c>
      <c r="H1368" s="6">
        <v>2</v>
      </c>
      <c r="I1368" s="6">
        <v>12</v>
      </c>
      <c r="J1368" s="6">
        <v>9</v>
      </c>
      <c r="K1368" s="6" t="s">
        <v>32</v>
      </c>
      <c r="L1368" s="6" t="str">
        <f>VLOOKUP(K1368, 'Alphabetical by species code'!A:B, 2, FALSE)</f>
        <v>Medicago polymorpha</v>
      </c>
      <c r="M1368" s="6" t="str">
        <f>VLOOKUP(L1368, 'Alphabetical by species code'!B:C, 2, FALSE)</f>
        <v>Non-Native</v>
      </c>
    </row>
    <row r="1369" spans="1:13" x14ac:dyDescent="0.25">
      <c r="A1369" s="6">
        <v>16</v>
      </c>
      <c r="B1369" s="6">
        <v>2025</v>
      </c>
      <c r="C1369" s="7">
        <v>45790</v>
      </c>
      <c r="D1369" s="6" t="s">
        <v>83</v>
      </c>
      <c r="E1369" s="6" t="s">
        <v>85</v>
      </c>
      <c r="F1369" s="6">
        <v>3</v>
      </c>
      <c r="G1369" s="6" t="s">
        <v>66</v>
      </c>
      <c r="H1369" s="6">
        <v>2</v>
      </c>
      <c r="I1369" s="6">
        <v>13</v>
      </c>
      <c r="J1369" s="6">
        <v>10</v>
      </c>
      <c r="K1369" s="6" t="s">
        <v>28</v>
      </c>
      <c r="L1369" s="6" t="str">
        <f>VLOOKUP(K1369, 'Alphabetical by species code'!A:B, 2, FALSE)</f>
        <v>Litter</v>
      </c>
      <c r="M1369" s="6" t="str">
        <f>VLOOKUP(L1369, 'Alphabetical by species code'!B:C, 2, FALSE)</f>
        <v>Ground Cover</v>
      </c>
    </row>
    <row r="1370" spans="1:13" x14ac:dyDescent="0.25">
      <c r="A1370" s="6">
        <v>16</v>
      </c>
      <c r="B1370" s="6">
        <v>2025</v>
      </c>
      <c r="C1370" s="7">
        <v>45790</v>
      </c>
      <c r="D1370" s="6" t="s">
        <v>83</v>
      </c>
      <c r="E1370" s="6" t="s">
        <v>85</v>
      </c>
      <c r="F1370" s="6">
        <v>3</v>
      </c>
      <c r="G1370" s="6" t="s">
        <v>66</v>
      </c>
      <c r="H1370" s="6">
        <v>2</v>
      </c>
      <c r="I1370" s="6">
        <v>14</v>
      </c>
      <c r="J1370" s="6">
        <v>11</v>
      </c>
      <c r="K1370" s="6" t="s">
        <v>28</v>
      </c>
      <c r="L1370" s="6" t="str">
        <f>VLOOKUP(K1370, 'Alphabetical by species code'!A:B, 2, FALSE)</f>
        <v>Litter</v>
      </c>
      <c r="M1370" s="6" t="str">
        <f>VLOOKUP(L1370, 'Alphabetical by species code'!B:C, 2, FALSE)</f>
        <v>Ground Cover</v>
      </c>
    </row>
    <row r="1371" spans="1:13" x14ac:dyDescent="0.25">
      <c r="A1371" s="6">
        <v>16</v>
      </c>
      <c r="B1371" s="6">
        <v>2025</v>
      </c>
      <c r="C1371" s="7">
        <v>45790</v>
      </c>
      <c r="D1371" s="6" t="s">
        <v>83</v>
      </c>
      <c r="E1371" s="6" t="s">
        <v>85</v>
      </c>
      <c r="F1371" s="6">
        <v>3</v>
      </c>
      <c r="G1371" s="6" t="s">
        <v>66</v>
      </c>
      <c r="H1371" s="6">
        <v>2</v>
      </c>
      <c r="I1371" s="6">
        <v>14</v>
      </c>
      <c r="J1371" s="6">
        <v>11</v>
      </c>
      <c r="K1371" s="6" t="s">
        <v>32</v>
      </c>
      <c r="L1371" s="6" t="str">
        <f>VLOOKUP(K1371, 'Alphabetical by species code'!A:B, 2, FALSE)</f>
        <v>Medicago polymorpha</v>
      </c>
      <c r="M1371" s="6" t="str">
        <f>VLOOKUP(L1371, 'Alphabetical by species code'!B:C, 2, FALSE)</f>
        <v>Non-Native</v>
      </c>
    </row>
    <row r="1372" spans="1:13" x14ac:dyDescent="0.25">
      <c r="A1372" s="6">
        <v>16</v>
      </c>
      <c r="B1372" s="6">
        <v>2025</v>
      </c>
      <c r="C1372" s="7">
        <v>45790</v>
      </c>
      <c r="D1372" s="6" t="s">
        <v>83</v>
      </c>
      <c r="E1372" s="6" t="s">
        <v>85</v>
      </c>
      <c r="F1372" s="6">
        <v>3</v>
      </c>
      <c r="G1372" s="6" t="s">
        <v>66</v>
      </c>
      <c r="H1372" s="6">
        <v>2</v>
      </c>
      <c r="I1372" s="6">
        <v>15</v>
      </c>
      <c r="J1372" s="6">
        <v>12</v>
      </c>
      <c r="K1372" s="6" t="s">
        <v>28</v>
      </c>
      <c r="L1372" s="6" t="str">
        <f>VLOOKUP(K1372, 'Alphabetical by species code'!A:B, 2, FALSE)</f>
        <v>Litter</v>
      </c>
      <c r="M1372" s="6" t="str">
        <f>VLOOKUP(L1372, 'Alphabetical by species code'!B:C, 2, FALSE)</f>
        <v>Ground Cover</v>
      </c>
    </row>
    <row r="1373" spans="1:13" x14ac:dyDescent="0.25">
      <c r="A1373" s="6">
        <v>16</v>
      </c>
      <c r="B1373" s="6">
        <v>2025</v>
      </c>
      <c r="C1373" s="7">
        <v>45790</v>
      </c>
      <c r="D1373" s="6" t="s">
        <v>83</v>
      </c>
      <c r="E1373" s="6" t="s">
        <v>85</v>
      </c>
      <c r="F1373" s="6">
        <v>3</v>
      </c>
      <c r="G1373" s="6" t="s">
        <v>66</v>
      </c>
      <c r="H1373" s="6">
        <v>2</v>
      </c>
      <c r="I1373" s="6">
        <v>15</v>
      </c>
      <c r="J1373" s="6">
        <v>12</v>
      </c>
      <c r="K1373" s="6" t="s">
        <v>88</v>
      </c>
      <c r="L1373" s="6" t="str">
        <f>VLOOKUP(K1373, 'Alphabetical by species code'!A:B, 2, FALSE)</f>
        <v>Bromus hordeaceus</v>
      </c>
      <c r="M1373" s="6" t="str">
        <f>VLOOKUP(L1373, 'Alphabetical by species code'!B:C, 2, FALSE)</f>
        <v>Non-Native</v>
      </c>
    </row>
    <row r="1374" spans="1:13" x14ac:dyDescent="0.25">
      <c r="A1374" s="6">
        <v>16</v>
      </c>
      <c r="B1374" s="6">
        <v>2025</v>
      </c>
      <c r="C1374" s="7">
        <v>45790</v>
      </c>
      <c r="D1374" s="6" t="s">
        <v>83</v>
      </c>
      <c r="E1374" s="6" t="s">
        <v>85</v>
      </c>
      <c r="F1374" s="6">
        <v>3</v>
      </c>
      <c r="G1374" s="6" t="s">
        <v>66</v>
      </c>
      <c r="H1374" s="6">
        <v>2</v>
      </c>
      <c r="I1374" s="6">
        <v>15</v>
      </c>
      <c r="J1374" s="6">
        <v>12</v>
      </c>
      <c r="K1374" s="6" t="s">
        <v>87</v>
      </c>
      <c r="L1374" s="6" t="e">
        <f>VLOOKUP(K1374, 'Alphabetical by species code'!A:B, 2, FALSE)</f>
        <v>#N/A</v>
      </c>
      <c r="M1374" s="6" t="e">
        <f>VLOOKUP(L1374, 'Alphabetical by species code'!B:C, 2, FALSE)</f>
        <v>#N/A</v>
      </c>
    </row>
    <row r="1375" spans="1:13" x14ac:dyDescent="0.25">
      <c r="H1375" s="6"/>
      <c r="I1375" s="6"/>
      <c r="J1375" s="6"/>
      <c r="K1375" s="6"/>
    </row>
    <row r="1376" spans="1:13" x14ac:dyDescent="0.25">
      <c r="H1376" s="6"/>
      <c r="I1376" s="6"/>
      <c r="J1376" s="6"/>
      <c r="K1376" s="6"/>
    </row>
    <row r="1377" spans="8:11" x14ac:dyDescent="0.25">
      <c r="H1377" s="6"/>
      <c r="I1377" s="6"/>
      <c r="J1377" s="6"/>
      <c r="K1377" s="6"/>
    </row>
    <row r="1378" spans="8:11" x14ac:dyDescent="0.25">
      <c r="H1378" s="6"/>
      <c r="I1378" s="6"/>
      <c r="J1378" s="6"/>
      <c r="K1378" s="6"/>
    </row>
    <row r="1379" spans="8:11" x14ac:dyDescent="0.25">
      <c r="H1379" s="6"/>
      <c r="I1379" s="6"/>
      <c r="J1379" s="6"/>
      <c r="K1379" s="6"/>
    </row>
    <row r="1380" spans="8:11" x14ac:dyDescent="0.25">
      <c r="H1380" s="6"/>
      <c r="I1380" s="6"/>
      <c r="J1380" s="6"/>
      <c r="K1380" s="6"/>
    </row>
    <row r="1381" spans="8:11" x14ac:dyDescent="0.25">
      <c r="H1381" s="6"/>
      <c r="I1381" s="6"/>
      <c r="J1381" s="6"/>
      <c r="K1381" s="6"/>
    </row>
    <row r="1382" spans="8:11" x14ac:dyDescent="0.25">
      <c r="H1382" s="6"/>
      <c r="I1382" s="6"/>
      <c r="J1382" s="6"/>
      <c r="K1382" s="6"/>
    </row>
    <row r="1383" spans="8:11" x14ac:dyDescent="0.25">
      <c r="H1383" s="6"/>
      <c r="I1383" s="6"/>
      <c r="J1383" s="6"/>
      <c r="K1383" s="6"/>
    </row>
    <row r="1384" spans="8:11" x14ac:dyDescent="0.25">
      <c r="H1384" s="6"/>
      <c r="I1384" s="6"/>
      <c r="J1384" s="6"/>
      <c r="K1384" s="6"/>
    </row>
    <row r="1385" spans="8:11" x14ac:dyDescent="0.25">
      <c r="H1385" s="6"/>
      <c r="I1385" s="6"/>
      <c r="J1385" s="6"/>
      <c r="K1385" s="6"/>
    </row>
    <row r="1386" spans="8:11" x14ac:dyDescent="0.25">
      <c r="H1386" s="6"/>
      <c r="I1386" s="6"/>
      <c r="J1386" s="6"/>
      <c r="K1386" s="6"/>
    </row>
    <row r="1387" spans="8:11" x14ac:dyDescent="0.25">
      <c r="H1387" s="6"/>
      <c r="I1387" s="6"/>
      <c r="J1387" s="6"/>
      <c r="K1387" s="6"/>
    </row>
    <row r="1388" spans="8:11" x14ac:dyDescent="0.25">
      <c r="H1388" s="6"/>
      <c r="I1388" s="6"/>
      <c r="J1388" s="6"/>
      <c r="K1388" s="6"/>
    </row>
    <row r="1389" spans="8:11" x14ac:dyDescent="0.25">
      <c r="H1389" s="6"/>
      <c r="I1389" s="6"/>
      <c r="J1389" s="6"/>
      <c r="K1389" s="6"/>
    </row>
    <row r="1390" spans="8:11" x14ac:dyDescent="0.25">
      <c r="H1390" s="6"/>
      <c r="I1390" s="6"/>
      <c r="J1390" s="6"/>
      <c r="K1390" s="6"/>
    </row>
    <row r="1391" spans="8:11" x14ac:dyDescent="0.25">
      <c r="H1391" s="6"/>
      <c r="I1391" s="6"/>
      <c r="J1391" s="6"/>
      <c r="K1391" s="6"/>
    </row>
    <row r="1392" spans="8:11" x14ac:dyDescent="0.25">
      <c r="H1392" s="6"/>
      <c r="I1392" s="6"/>
      <c r="J1392" s="6"/>
      <c r="K1392" s="6"/>
    </row>
    <row r="1393" spans="8:11" x14ac:dyDescent="0.25">
      <c r="H1393" s="6"/>
      <c r="I1393" s="6"/>
      <c r="J1393" s="6"/>
      <c r="K1393" s="6"/>
    </row>
    <row r="1394" spans="8:11" x14ac:dyDescent="0.25">
      <c r="H1394" s="6"/>
      <c r="I1394" s="6"/>
      <c r="J1394" s="6"/>
      <c r="K1394" s="6"/>
    </row>
    <row r="1395" spans="8:11" x14ac:dyDescent="0.25">
      <c r="H1395" s="6"/>
      <c r="I1395" s="6"/>
      <c r="J1395" s="6"/>
      <c r="K1395" s="6"/>
    </row>
    <row r="1396" spans="8:11" x14ac:dyDescent="0.25">
      <c r="H1396" s="6"/>
      <c r="I1396" s="6"/>
      <c r="J1396" s="6"/>
      <c r="K1396" s="6"/>
    </row>
    <row r="1397" spans="8:11" x14ac:dyDescent="0.25">
      <c r="H1397" s="6"/>
      <c r="I1397" s="6"/>
      <c r="J1397" s="6"/>
      <c r="K1397" s="6"/>
    </row>
    <row r="1398" spans="8:11" x14ac:dyDescent="0.25">
      <c r="H1398" s="6"/>
      <c r="I1398" s="6"/>
      <c r="J1398" s="6"/>
      <c r="K1398" s="6"/>
    </row>
    <row r="1399" spans="8:11" x14ac:dyDescent="0.25">
      <c r="H1399" s="6"/>
      <c r="I1399" s="6"/>
      <c r="J1399" s="6"/>
      <c r="K1399" s="6"/>
    </row>
    <row r="1400" spans="8:11" x14ac:dyDescent="0.25">
      <c r="H1400" s="6"/>
      <c r="I1400" s="6"/>
      <c r="J1400" s="6"/>
      <c r="K1400" s="6"/>
    </row>
    <row r="1401" spans="8:11" x14ac:dyDescent="0.25">
      <c r="H1401" s="6"/>
      <c r="I1401" s="6"/>
      <c r="J1401" s="6"/>
      <c r="K1401" s="6"/>
    </row>
    <row r="1402" spans="8:11" x14ac:dyDescent="0.25">
      <c r="H1402" s="6"/>
      <c r="I1402" s="6"/>
      <c r="J1402" s="6"/>
      <c r="K1402" s="6"/>
    </row>
    <row r="1403" spans="8:11" x14ac:dyDescent="0.25">
      <c r="H1403" s="6"/>
      <c r="I1403" s="6"/>
      <c r="J1403" s="6"/>
      <c r="K1403" s="6"/>
    </row>
    <row r="1404" spans="8:11" x14ac:dyDescent="0.25">
      <c r="H1404" s="6"/>
      <c r="I1404" s="6"/>
      <c r="J1404" s="6"/>
      <c r="K1404" s="6"/>
    </row>
    <row r="1405" spans="8:11" x14ac:dyDescent="0.25">
      <c r="H1405" s="6"/>
      <c r="I1405" s="6"/>
      <c r="J1405" s="6"/>
      <c r="K1405" s="6"/>
    </row>
    <row r="1406" spans="8:11" x14ac:dyDescent="0.25">
      <c r="H1406" s="6"/>
      <c r="I1406" s="6"/>
      <c r="J1406" s="6"/>
      <c r="K1406" s="6"/>
    </row>
    <row r="1407" spans="8:11" x14ac:dyDescent="0.25">
      <c r="H1407" s="6"/>
      <c r="I1407" s="6"/>
      <c r="J1407" s="6"/>
      <c r="K1407" s="6"/>
    </row>
    <row r="1408" spans="8:11" x14ac:dyDescent="0.25">
      <c r="H1408" s="6"/>
      <c r="I1408" s="6"/>
      <c r="J1408" s="6"/>
      <c r="K1408" s="6"/>
    </row>
    <row r="1409" spans="8:11" x14ac:dyDescent="0.25">
      <c r="H1409" s="6"/>
      <c r="I1409" s="6"/>
      <c r="J1409" s="6"/>
      <c r="K1409" s="6"/>
    </row>
    <row r="1410" spans="8:11" x14ac:dyDescent="0.25">
      <c r="H1410" s="6"/>
      <c r="I1410" s="6"/>
      <c r="J1410" s="6"/>
      <c r="K1410" s="6"/>
    </row>
    <row r="1411" spans="8:11" x14ac:dyDescent="0.25">
      <c r="H1411" s="6"/>
      <c r="I1411" s="6"/>
      <c r="J1411" s="6"/>
      <c r="K1411" s="6"/>
    </row>
    <row r="1412" spans="8:11" x14ac:dyDescent="0.25">
      <c r="H1412" s="6"/>
      <c r="I1412" s="6"/>
      <c r="J1412" s="6"/>
      <c r="K1412" s="6"/>
    </row>
    <row r="1413" spans="8:11" x14ac:dyDescent="0.25">
      <c r="H1413" s="6"/>
      <c r="I1413" s="6"/>
      <c r="J1413" s="6"/>
      <c r="K1413" s="6"/>
    </row>
    <row r="1414" spans="8:11" x14ac:dyDescent="0.25">
      <c r="H1414" s="6"/>
      <c r="I1414" s="6"/>
      <c r="J1414" s="6"/>
      <c r="K1414" s="6"/>
    </row>
    <row r="1415" spans="8:11" x14ac:dyDescent="0.25">
      <c r="H1415" s="6"/>
      <c r="I1415" s="6"/>
      <c r="J1415" s="6"/>
      <c r="K1415" s="6"/>
    </row>
    <row r="1416" spans="8:11" x14ac:dyDescent="0.25">
      <c r="H1416" s="6"/>
      <c r="I1416" s="6"/>
      <c r="J1416" s="6"/>
      <c r="K1416" s="6"/>
    </row>
    <row r="1417" spans="8:11" x14ac:dyDescent="0.25">
      <c r="H1417" s="6"/>
      <c r="I1417" s="6"/>
      <c r="J1417" s="6"/>
      <c r="K1417" s="6"/>
    </row>
    <row r="1418" spans="8:11" x14ac:dyDescent="0.25">
      <c r="H1418" s="6"/>
      <c r="I1418" s="6"/>
      <c r="J1418" s="6"/>
      <c r="K1418" s="6"/>
    </row>
    <row r="1419" spans="8:11" x14ac:dyDescent="0.25">
      <c r="H1419" s="6"/>
      <c r="I1419" s="6"/>
      <c r="J1419" s="6"/>
      <c r="K1419" s="6"/>
    </row>
    <row r="1420" spans="8:11" x14ac:dyDescent="0.25">
      <c r="H1420" s="6"/>
      <c r="I1420" s="6"/>
      <c r="J1420" s="6"/>
      <c r="K1420" s="6"/>
    </row>
    <row r="1421" spans="8:11" x14ac:dyDescent="0.25">
      <c r="H1421" s="6"/>
      <c r="I1421" s="6"/>
      <c r="J1421" s="6"/>
      <c r="K1421" s="6"/>
    </row>
    <row r="1422" spans="8:11" x14ac:dyDescent="0.25">
      <c r="H1422" s="6"/>
      <c r="I1422" s="6"/>
      <c r="J1422" s="6"/>
      <c r="K1422" s="6"/>
    </row>
    <row r="1423" spans="8:11" x14ac:dyDescent="0.25">
      <c r="H1423" s="6"/>
      <c r="I1423" s="6"/>
      <c r="J1423" s="6"/>
      <c r="K1423" s="6"/>
    </row>
    <row r="1424" spans="8:11" x14ac:dyDescent="0.25">
      <c r="H1424" s="6"/>
      <c r="I1424" s="6"/>
      <c r="J1424" s="6"/>
      <c r="K1424" s="6"/>
    </row>
    <row r="1425" spans="8:11" x14ac:dyDescent="0.25">
      <c r="H1425" s="6"/>
      <c r="I1425" s="6"/>
      <c r="J1425" s="6"/>
      <c r="K1425" s="6"/>
    </row>
    <row r="1426" spans="8:11" x14ac:dyDescent="0.25">
      <c r="H1426" s="6"/>
      <c r="I1426" s="6"/>
      <c r="J1426" s="6"/>
      <c r="K1426" s="6"/>
    </row>
    <row r="1427" spans="8:11" x14ac:dyDescent="0.25">
      <c r="H1427" s="6"/>
      <c r="I1427" s="6"/>
      <c r="J1427" s="6"/>
      <c r="K1427" s="6"/>
    </row>
    <row r="1428" spans="8:11" x14ac:dyDescent="0.25">
      <c r="H1428" s="6"/>
      <c r="I1428" s="6"/>
      <c r="J1428" s="6"/>
      <c r="K1428" s="6"/>
    </row>
    <row r="1429" spans="8:11" x14ac:dyDescent="0.25">
      <c r="H1429" s="6"/>
      <c r="I1429" s="6"/>
      <c r="J1429" s="6"/>
      <c r="K1429" s="6"/>
    </row>
    <row r="1430" spans="8:11" x14ac:dyDescent="0.25">
      <c r="H1430" s="6"/>
      <c r="I1430" s="6"/>
      <c r="J1430" s="6"/>
      <c r="K1430" s="6"/>
    </row>
    <row r="1431" spans="8:11" x14ac:dyDescent="0.25">
      <c r="H1431" s="6"/>
      <c r="I1431" s="6"/>
      <c r="J1431" s="6"/>
      <c r="K1431" s="6"/>
    </row>
    <row r="1432" spans="8:11" x14ac:dyDescent="0.25">
      <c r="H1432" s="6"/>
      <c r="I1432" s="6"/>
      <c r="J1432" s="6"/>
      <c r="K1432" s="6"/>
    </row>
    <row r="1433" spans="8:11" x14ac:dyDescent="0.25">
      <c r="H1433" s="6"/>
      <c r="I1433" s="6"/>
      <c r="J1433" s="6"/>
      <c r="K1433" s="6"/>
    </row>
    <row r="1434" spans="8:11" x14ac:dyDescent="0.25">
      <c r="H1434" s="6"/>
      <c r="I1434" s="6"/>
      <c r="J1434" s="6"/>
      <c r="K1434" s="6"/>
    </row>
    <row r="1435" spans="8:11" x14ac:dyDescent="0.25">
      <c r="H1435" s="6"/>
      <c r="I1435" s="6"/>
      <c r="J1435" s="6"/>
      <c r="K1435" s="6"/>
    </row>
    <row r="1436" spans="8:11" x14ac:dyDescent="0.25">
      <c r="H1436" s="6"/>
      <c r="I1436" s="6"/>
      <c r="J1436" s="6"/>
      <c r="K1436" s="6"/>
    </row>
    <row r="1437" spans="8:11" x14ac:dyDescent="0.25">
      <c r="H1437" s="6"/>
      <c r="I1437" s="6"/>
      <c r="J1437" s="6"/>
      <c r="K1437" s="6"/>
    </row>
    <row r="1438" spans="8:11" x14ac:dyDescent="0.25">
      <c r="H1438" s="6"/>
      <c r="I1438" s="6"/>
      <c r="J1438" s="6"/>
      <c r="K1438" s="6"/>
    </row>
    <row r="1439" spans="8:11" x14ac:dyDescent="0.25">
      <c r="H1439" s="6"/>
      <c r="I1439" s="6"/>
      <c r="J1439" s="6"/>
      <c r="K1439" s="6"/>
    </row>
    <row r="1440" spans="8:11" x14ac:dyDescent="0.25">
      <c r="H1440" s="6"/>
      <c r="I1440" s="6"/>
      <c r="J1440" s="6"/>
      <c r="K1440" s="6"/>
    </row>
    <row r="1441" spans="8:11" x14ac:dyDescent="0.25">
      <c r="H1441" s="6"/>
      <c r="I1441" s="6"/>
      <c r="J1441" s="6"/>
      <c r="K1441" s="6"/>
    </row>
    <row r="1442" spans="8:11" x14ac:dyDescent="0.25">
      <c r="H1442" s="6"/>
      <c r="I1442" s="6"/>
      <c r="J1442" s="6"/>
      <c r="K1442" s="6"/>
    </row>
    <row r="1443" spans="8:11" x14ac:dyDescent="0.25">
      <c r="H1443" s="6"/>
      <c r="I1443" s="6"/>
      <c r="J1443" s="6"/>
      <c r="K1443" s="6"/>
    </row>
    <row r="1444" spans="8:11" x14ac:dyDescent="0.25">
      <c r="H1444" s="6"/>
      <c r="I1444" s="6"/>
      <c r="J1444" s="6"/>
      <c r="K1444" s="6"/>
    </row>
    <row r="1445" spans="8:11" x14ac:dyDescent="0.25">
      <c r="H1445" s="6"/>
      <c r="I1445" s="6"/>
      <c r="J1445" s="6"/>
      <c r="K1445" s="6"/>
    </row>
    <row r="1446" spans="8:11" x14ac:dyDescent="0.25">
      <c r="H1446" s="6"/>
      <c r="I1446" s="6"/>
      <c r="J1446" s="6"/>
      <c r="K1446" s="6"/>
    </row>
    <row r="1447" spans="8:11" x14ac:dyDescent="0.25">
      <c r="H1447" s="6"/>
      <c r="I1447" s="6"/>
      <c r="J1447" s="6"/>
      <c r="K1447" s="6"/>
    </row>
    <row r="1448" spans="8:11" x14ac:dyDescent="0.25">
      <c r="H1448" s="6"/>
      <c r="I1448" s="6"/>
      <c r="J1448" s="6"/>
      <c r="K1448" s="6"/>
    </row>
    <row r="1449" spans="8:11" x14ac:dyDescent="0.25">
      <c r="H1449" s="6"/>
      <c r="I1449" s="6"/>
      <c r="J1449" s="6"/>
      <c r="K1449" s="6"/>
    </row>
    <row r="1450" spans="8:11" x14ac:dyDescent="0.25">
      <c r="H1450" s="6"/>
      <c r="I1450" s="6"/>
      <c r="J1450" s="6"/>
      <c r="K1450" s="6"/>
    </row>
    <row r="1451" spans="8:11" x14ac:dyDescent="0.25">
      <c r="H1451" s="6"/>
      <c r="I1451" s="6"/>
      <c r="J1451" s="6"/>
      <c r="K1451" s="6"/>
    </row>
    <row r="1452" spans="8:11" x14ac:dyDescent="0.25">
      <c r="H1452" s="6"/>
      <c r="I1452" s="6"/>
      <c r="J1452" s="6"/>
      <c r="K1452" s="6"/>
    </row>
    <row r="1453" spans="8:11" x14ac:dyDescent="0.25">
      <c r="H1453" s="6"/>
      <c r="I1453" s="6"/>
      <c r="J1453" s="6"/>
      <c r="K1453" s="6"/>
    </row>
    <row r="1454" spans="8:11" x14ac:dyDescent="0.25">
      <c r="H1454" s="6"/>
      <c r="I1454" s="6"/>
      <c r="J1454" s="6"/>
      <c r="K1454" s="6"/>
    </row>
    <row r="1455" spans="8:11" x14ac:dyDescent="0.25">
      <c r="H1455" s="6"/>
      <c r="I1455" s="6"/>
      <c r="J1455" s="6"/>
      <c r="K1455" s="6"/>
    </row>
    <row r="1456" spans="8:11" x14ac:dyDescent="0.25">
      <c r="H1456" s="6"/>
      <c r="I1456" s="6"/>
      <c r="J1456" s="6"/>
      <c r="K1456" s="6"/>
    </row>
    <row r="1457" spans="8:11" x14ac:dyDescent="0.25">
      <c r="H1457" s="6"/>
      <c r="I1457" s="6"/>
      <c r="J1457" s="6"/>
      <c r="K1457" s="6"/>
    </row>
    <row r="1458" spans="8:11" x14ac:dyDescent="0.25">
      <c r="H1458" s="6"/>
      <c r="I1458" s="6"/>
      <c r="J1458" s="6"/>
      <c r="K1458" s="6"/>
    </row>
    <row r="1459" spans="8:11" x14ac:dyDescent="0.25">
      <c r="H1459" s="6"/>
      <c r="I1459" s="6"/>
      <c r="J1459" s="6"/>
      <c r="K1459" s="6"/>
    </row>
    <row r="1460" spans="8:11" x14ac:dyDescent="0.25">
      <c r="H1460" s="6"/>
      <c r="I1460" s="6"/>
      <c r="J1460" s="6"/>
      <c r="K1460" s="6"/>
    </row>
    <row r="1461" spans="8:11" x14ac:dyDescent="0.25">
      <c r="H1461" s="6"/>
      <c r="I1461" s="6"/>
      <c r="J1461" s="6"/>
      <c r="K1461" s="6"/>
    </row>
    <row r="1462" spans="8:11" x14ac:dyDescent="0.25">
      <c r="H1462" s="6"/>
      <c r="I1462" s="6"/>
      <c r="J1462" s="6"/>
      <c r="K1462" s="6"/>
    </row>
    <row r="1463" spans="8:11" x14ac:dyDescent="0.25">
      <c r="H1463" s="6"/>
      <c r="I1463" s="6"/>
      <c r="J1463" s="6"/>
      <c r="K1463" s="6"/>
    </row>
    <row r="1464" spans="8:11" x14ac:dyDescent="0.25">
      <c r="H1464" s="6"/>
      <c r="I1464" s="6"/>
      <c r="J1464" s="6"/>
      <c r="K1464" s="6"/>
    </row>
    <row r="1465" spans="8:11" x14ac:dyDescent="0.25">
      <c r="H1465" s="6"/>
      <c r="I1465" s="6"/>
      <c r="J1465" s="6"/>
      <c r="K1465" s="6"/>
    </row>
    <row r="1466" spans="8:11" x14ac:dyDescent="0.25">
      <c r="H1466" s="6"/>
      <c r="I1466" s="6"/>
      <c r="J1466" s="6"/>
      <c r="K1466" s="6"/>
    </row>
    <row r="1467" spans="8:11" x14ac:dyDescent="0.25">
      <c r="H1467" s="6"/>
      <c r="I1467" s="6"/>
      <c r="J1467" s="6"/>
      <c r="K1467" s="6"/>
    </row>
    <row r="1468" spans="8:11" x14ac:dyDescent="0.25">
      <c r="H1468" s="6"/>
      <c r="I1468" s="6"/>
      <c r="J1468" s="6"/>
      <c r="K1468" s="6"/>
    </row>
    <row r="1469" spans="8:11" x14ac:dyDescent="0.25">
      <c r="H1469" s="6"/>
      <c r="I1469" s="6"/>
      <c r="J1469" s="6"/>
      <c r="K1469" s="6"/>
    </row>
    <row r="1470" spans="8:11" x14ac:dyDescent="0.25">
      <c r="H1470" s="6"/>
      <c r="I1470" s="6"/>
      <c r="J1470" s="6"/>
      <c r="K1470" s="6"/>
    </row>
    <row r="1471" spans="8:11" x14ac:dyDescent="0.25">
      <c r="H1471" s="6"/>
      <c r="I1471" s="6"/>
      <c r="J1471" s="6"/>
      <c r="K1471" s="6"/>
    </row>
    <row r="1472" spans="8:11" x14ac:dyDescent="0.25">
      <c r="H1472" s="6"/>
      <c r="I1472" s="6"/>
      <c r="J1472" s="6"/>
      <c r="K1472" s="6"/>
    </row>
    <row r="1473" spans="8:11" x14ac:dyDescent="0.25">
      <c r="H1473" s="6"/>
      <c r="I1473" s="6"/>
      <c r="J1473" s="6"/>
      <c r="K1473" s="6"/>
    </row>
    <row r="1474" spans="8:11" x14ac:dyDescent="0.25">
      <c r="H1474" s="6"/>
      <c r="I1474" s="6"/>
      <c r="J1474" s="6"/>
      <c r="K1474" s="6"/>
    </row>
    <row r="1475" spans="8:11" x14ac:dyDescent="0.25">
      <c r="H1475" s="6"/>
      <c r="I1475" s="6"/>
      <c r="J1475" s="6"/>
      <c r="K1475" s="6"/>
    </row>
    <row r="1476" spans="8:11" x14ac:dyDescent="0.25">
      <c r="H1476" s="6"/>
      <c r="I1476" s="6"/>
      <c r="J1476" s="6"/>
      <c r="K1476" s="6"/>
    </row>
    <row r="1477" spans="8:11" x14ac:dyDescent="0.25">
      <c r="H1477" s="6"/>
      <c r="I1477" s="6"/>
      <c r="J1477" s="6"/>
      <c r="K1477" s="6"/>
    </row>
    <row r="1478" spans="8:11" x14ac:dyDescent="0.25">
      <c r="H1478" s="6"/>
      <c r="I1478" s="6"/>
      <c r="J1478" s="6"/>
      <c r="K1478" s="6"/>
    </row>
    <row r="1479" spans="8:11" x14ac:dyDescent="0.25">
      <c r="H1479" s="6"/>
      <c r="I1479" s="6"/>
      <c r="J1479" s="6"/>
      <c r="K1479" s="6"/>
    </row>
    <row r="1480" spans="8:11" x14ac:dyDescent="0.25">
      <c r="H1480" s="6"/>
      <c r="I1480" s="6"/>
      <c r="J1480" s="6"/>
      <c r="K1480" s="6"/>
    </row>
    <row r="1481" spans="8:11" x14ac:dyDescent="0.25">
      <c r="H1481" s="6"/>
      <c r="I1481" s="6"/>
      <c r="J1481" s="6"/>
      <c r="K1481" s="6"/>
    </row>
    <row r="1482" spans="8:11" x14ac:dyDescent="0.25">
      <c r="H1482" s="6"/>
      <c r="I1482" s="6"/>
      <c r="J1482" s="6"/>
      <c r="K1482" s="6"/>
    </row>
    <row r="1483" spans="8:11" x14ac:dyDescent="0.25">
      <c r="H1483" s="6"/>
      <c r="I1483" s="6"/>
      <c r="J1483" s="6"/>
      <c r="K1483" s="6"/>
    </row>
    <row r="1484" spans="8:11" x14ac:dyDescent="0.25">
      <c r="H1484" s="6"/>
      <c r="I1484" s="6"/>
      <c r="J1484" s="6"/>
      <c r="K1484" s="6"/>
    </row>
    <row r="1485" spans="8:11" x14ac:dyDescent="0.25">
      <c r="H1485" s="6"/>
      <c r="I1485" s="6"/>
      <c r="J1485" s="6"/>
      <c r="K1485" s="6"/>
    </row>
    <row r="1486" spans="8:11" x14ac:dyDescent="0.25">
      <c r="H1486" s="6"/>
      <c r="I1486" s="6"/>
      <c r="J1486" s="6"/>
      <c r="K1486" s="6"/>
    </row>
    <row r="1487" spans="8:11" x14ac:dyDescent="0.25">
      <c r="H1487" s="6"/>
      <c r="I1487" s="6"/>
      <c r="J1487" s="6"/>
      <c r="K1487" s="6"/>
    </row>
    <row r="1488" spans="8:11" x14ac:dyDescent="0.25">
      <c r="H1488" s="6"/>
      <c r="I1488" s="6"/>
      <c r="J1488" s="6"/>
      <c r="K1488" s="6"/>
    </row>
    <row r="1489" spans="8:11" x14ac:dyDescent="0.25">
      <c r="H1489" s="6"/>
      <c r="I1489" s="6"/>
      <c r="J1489" s="6"/>
      <c r="K1489" s="6"/>
    </row>
    <row r="1490" spans="8:11" x14ac:dyDescent="0.25">
      <c r="H1490" s="6"/>
      <c r="I1490" s="6"/>
      <c r="J1490" s="6"/>
      <c r="K1490" s="6"/>
    </row>
    <row r="1491" spans="8:11" x14ac:dyDescent="0.25">
      <c r="H1491" s="6"/>
      <c r="I1491" s="6"/>
      <c r="J1491" s="6"/>
      <c r="K1491" s="6"/>
    </row>
    <row r="1492" spans="8:11" x14ac:dyDescent="0.25">
      <c r="H1492" s="6"/>
      <c r="I1492" s="6"/>
      <c r="J1492" s="6"/>
      <c r="K1492" s="6"/>
    </row>
    <row r="1493" spans="8:11" x14ac:dyDescent="0.25">
      <c r="H1493" s="6"/>
      <c r="I1493" s="6"/>
      <c r="J1493" s="6"/>
      <c r="K1493" s="6"/>
    </row>
    <row r="1494" spans="8:11" x14ac:dyDescent="0.25">
      <c r="H1494" s="6"/>
      <c r="I1494" s="6"/>
      <c r="J1494" s="6"/>
      <c r="K1494" s="6"/>
    </row>
    <row r="1495" spans="8:11" x14ac:dyDescent="0.25">
      <c r="H1495" s="6"/>
      <c r="I1495" s="6"/>
      <c r="J1495" s="6"/>
      <c r="K1495" s="6"/>
    </row>
    <row r="1496" spans="8:11" x14ac:dyDescent="0.25">
      <c r="H1496" s="6"/>
      <c r="I1496" s="6"/>
      <c r="J1496" s="6"/>
      <c r="K1496" s="6"/>
    </row>
    <row r="1497" spans="8:11" x14ac:dyDescent="0.25">
      <c r="H1497" s="6"/>
      <c r="I1497" s="6"/>
      <c r="J1497" s="6"/>
      <c r="K1497" s="6"/>
    </row>
    <row r="1498" spans="8:11" x14ac:dyDescent="0.25">
      <c r="H1498" s="6"/>
      <c r="I1498" s="6"/>
      <c r="J1498" s="6"/>
      <c r="K1498" s="6"/>
    </row>
    <row r="1499" spans="8:11" x14ac:dyDescent="0.25">
      <c r="H1499" s="6"/>
      <c r="I1499" s="6"/>
      <c r="J1499" s="6"/>
      <c r="K1499" s="6"/>
    </row>
    <row r="1500" spans="8:11" x14ac:dyDescent="0.25">
      <c r="H1500" s="6"/>
      <c r="I1500" s="6"/>
      <c r="J1500" s="6"/>
      <c r="K1500" s="6"/>
    </row>
    <row r="1501" spans="8:11" x14ac:dyDescent="0.25">
      <c r="H1501" s="6"/>
      <c r="I1501" s="6"/>
      <c r="J1501" s="6"/>
      <c r="K1501" s="6"/>
    </row>
    <row r="1502" spans="8:11" x14ac:dyDescent="0.25">
      <c r="H1502" s="6"/>
      <c r="I1502" s="6"/>
      <c r="J1502" s="6"/>
      <c r="K1502" s="6"/>
    </row>
    <row r="1503" spans="8:11" x14ac:dyDescent="0.25">
      <c r="H1503" s="6"/>
      <c r="I1503" s="6"/>
      <c r="J1503" s="6"/>
      <c r="K1503" s="6"/>
    </row>
    <row r="1504" spans="8:11" x14ac:dyDescent="0.25">
      <c r="H1504" s="6"/>
      <c r="I1504" s="6"/>
      <c r="J1504" s="6"/>
      <c r="K1504" s="6"/>
    </row>
    <row r="1505" spans="8:11" x14ac:dyDescent="0.25">
      <c r="H1505" s="6"/>
      <c r="I1505" s="6"/>
      <c r="J1505" s="6"/>
      <c r="K1505" s="6"/>
    </row>
    <row r="1506" spans="8:11" x14ac:dyDescent="0.25">
      <c r="H1506" s="6"/>
      <c r="I1506" s="6"/>
      <c r="J1506" s="6"/>
      <c r="K1506" s="6"/>
    </row>
    <row r="1507" spans="8:11" x14ac:dyDescent="0.25">
      <c r="H1507" s="6"/>
      <c r="I1507" s="6"/>
      <c r="J1507" s="6"/>
      <c r="K1507" s="6"/>
    </row>
    <row r="1508" spans="8:11" x14ac:dyDescent="0.25">
      <c r="H1508" s="6"/>
      <c r="I1508" s="6"/>
      <c r="J1508" s="6"/>
      <c r="K1508" s="6"/>
    </row>
    <row r="1509" spans="8:11" x14ac:dyDescent="0.25">
      <c r="H1509" s="6"/>
      <c r="I1509" s="6"/>
      <c r="J1509" s="6"/>
      <c r="K1509" s="6"/>
    </row>
    <row r="1510" spans="8:11" x14ac:dyDescent="0.25">
      <c r="H1510" s="6"/>
      <c r="I1510" s="6"/>
      <c r="J1510" s="6"/>
      <c r="K1510" s="6"/>
    </row>
    <row r="1511" spans="8:11" x14ac:dyDescent="0.25">
      <c r="H1511" s="6"/>
      <c r="I1511" s="6"/>
      <c r="J1511" s="6"/>
      <c r="K1511" s="6"/>
    </row>
    <row r="1512" spans="8:11" x14ac:dyDescent="0.25">
      <c r="H1512" s="6"/>
      <c r="I1512" s="6"/>
      <c r="J1512" s="6"/>
      <c r="K1512" s="6"/>
    </row>
    <row r="1513" spans="8:11" x14ac:dyDescent="0.25">
      <c r="H1513" s="6"/>
      <c r="I1513" s="6"/>
      <c r="J1513" s="6"/>
      <c r="K1513" s="6"/>
    </row>
    <row r="1514" spans="8:11" x14ac:dyDescent="0.25">
      <c r="H1514" s="6"/>
      <c r="I1514" s="6"/>
      <c r="J1514" s="6"/>
      <c r="K1514" s="6"/>
    </row>
    <row r="1515" spans="8:11" x14ac:dyDescent="0.25">
      <c r="H1515" s="6"/>
      <c r="I1515" s="6"/>
      <c r="J1515" s="6"/>
      <c r="K1515" s="6"/>
    </row>
    <row r="1516" spans="8:11" x14ac:dyDescent="0.25">
      <c r="H1516" s="6"/>
      <c r="I1516" s="6"/>
      <c r="J1516" s="6"/>
      <c r="K1516" s="6"/>
    </row>
    <row r="1517" spans="8:11" x14ac:dyDescent="0.25">
      <c r="H1517" s="6"/>
      <c r="I1517" s="6"/>
      <c r="J1517" s="6"/>
      <c r="K1517" s="6"/>
    </row>
    <row r="1518" spans="8:11" x14ac:dyDescent="0.25">
      <c r="H1518" s="6"/>
      <c r="I1518" s="6"/>
      <c r="J1518" s="6"/>
      <c r="K1518" s="6"/>
    </row>
    <row r="1519" spans="8:11" x14ac:dyDescent="0.25">
      <c r="H1519" s="6"/>
      <c r="I1519" s="6"/>
      <c r="J1519" s="6"/>
      <c r="K1519" s="6"/>
    </row>
    <row r="1520" spans="8:11" x14ac:dyDescent="0.25">
      <c r="H1520" s="6"/>
      <c r="I1520" s="6"/>
      <c r="J1520" s="6"/>
      <c r="K1520" s="6"/>
    </row>
    <row r="1521" spans="8:11" x14ac:dyDescent="0.25">
      <c r="H1521" s="6"/>
      <c r="I1521" s="6"/>
      <c r="J1521" s="6"/>
      <c r="K1521" s="6"/>
    </row>
    <row r="1522" spans="8:11" x14ac:dyDescent="0.25">
      <c r="H1522" s="6"/>
      <c r="I1522" s="6"/>
      <c r="J1522" s="6"/>
      <c r="K1522" s="6"/>
    </row>
    <row r="1523" spans="8:11" x14ac:dyDescent="0.25">
      <c r="H1523" s="6"/>
      <c r="I1523" s="6"/>
      <c r="J1523" s="6"/>
      <c r="K1523" s="6"/>
    </row>
    <row r="1524" spans="8:11" x14ac:dyDescent="0.25">
      <c r="H1524" s="6"/>
      <c r="I1524" s="6"/>
      <c r="J1524" s="6"/>
      <c r="K1524" s="6"/>
    </row>
    <row r="1525" spans="8:11" x14ac:dyDescent="0.25">
      <c r="H1525" s="6"/>
      <c r="I1525" s="6"/>
      <c r="J1525" s="6"/>
      <c r="K1525" s="6"/>
    </row>
    <row r="1526" spans="8:11" x14ac:dyDescent="0.25">
      <c r="H1526" s="6"/>
      <c r="I1526" s="6"/>
      <c r="J1526" s="6"/>
      <c r="K1526" s="6"/>
    </row>
    <row r="1527" spans="8:11" x14ac:dyDescent="0.25">
      <c r="H1527" s="6"/>
      <c r="I1527" s="6"/>
      <c r="J1527" s="6"/>
      <c r="K1527" s="6"/>
    </row>
    <row r="1528" spans="8:11" x14ac:dyDescent="0.25">
      <c r="H1528" s="6"/>
      <c r="I1528" s="6"/>
      <c r="J1528" s="6"/>
      <c r="K1528" s="6"/>
    </row>
    <row r="1529" spans="8:11" x14ac:dyDescent="0.25">
      <c r="H1529" s="6"/>
      <c r="I1529" s="6"/>
      <c r="J1529" s="6"/>
      <c r="K1529" s="6"/>
    </row>
    <row r="1530" spans="8:11" x14ac:dyDescent="0.25">
      <c r="H1530" s="6"/>
      <c r="I1530" s="6"/>
      <c r="J1530" s="6"/>
      <c r="K1530" s="6"/>
    </row>
    <row r="1531" spans="8:11" x14ac:dyDescent="0.25">
      <c r="H1531" s="6"/>
      <c r="I1531" s="6"/>
      <c r="J1531" s="6"/>
      <c r="K1531" s="6"/>
    </row>
    <row r="1532" spans="8:11" x14ac:dyDescent="0.25">
      <c r="H1532" s="6"/>
      <c r="I1532" s="6"/>
      <c r="J1532" s="6"/>
      <c r="K1532" s="6"/>
    </row>
    <row r="1533" spans="8:11" x14ac:dyDescent="0.25">
      <c r="H1533" s="6"/>
      <c r="I1533" s="6"/>
      <c r="J1533" s="6"/>
      <c r="K1533" s="6"/>
    </row>
    <row r="1534" spans="8:11" x14ac:dyDescent="0.25">
      <c r="H1534" s="6"/>
      <c r="I1534" s="6"/>
      <c r="J1534" s="6"/>
      <c r="K1534" s="6"/>
    </row>
    <row r="1535" spans="8:11" x14ac:dyDescent="0.25">
      <c r="H1535" s="6"/>
      <c r="I1535" s="6"/>
      <c r="J1535" s="6"/>
      <c r="K1535" s="6"/>
    </row>
    <row r="1536" spans="8:11" x14ac:dyDescent="0.25">
      <c r="H1536" s="6"/>
      <c r="I1536" s="6"/>
      <c r="J1536" s="6"/>
      <c r="K1536" s="6"/>
    </row>
    <row r="1537" spans="8:11" x14ac:dyDescent="0.25">
      <c r="H1537" s="6"/>
      <c r="I1537" s="6"/>
      <c r="J1537" s="6"/>
      <c r="K1537" s="6"/>
    </row>
    <row r="1538" spans="8:11" x14ac:dyDescent="0.25">
      <c r="H1538" s="6"/>
      <c r="I1538" s="6"/>
      <c r="J1538" s="6"/>
      <c r="K1538" s="6"/>
    </row>
    <row r="1539" spans="8:11" x14ac:dyDescent="0.25">
      <c r="H1539" s="6"/>
      <c r="I1539" s="6"/>
      <c r="J1539" s="6"/>
      <c r="K1539" s="6"/>
    </row>
    <row r="1540" spans="8:11" x14ac:dyDescent="0.25">
      <c r="H1540" s="6"/>
      <c r="I1540" s="6"/>
      <c r="J1540" s="6"/>
      <c r="K1540" s="6"/>
    </row>
    <row r="1541" spans="8:11" x14ac:dyDescent="0.25">
      <c r="H1541" s="6"/>
      <c r="I1541" s="6"/>
      <c r="J1541" s="6"/>
      <c r="K1541" s="6"/>
    </row>
    <row r="1542" spans="8:11" x14ac:dyDescent="0.25">
      <c r="H1542" s="6"/>
      <c r="I1542" s="6"/>
      <c r="J1542" s="6"/>
      <c r="K1542" s="6"/>
    </row>
    <row r="1543" spans="8:11" x14ac:dyDescent="0.25">
      <c r="H1543" s="6"/>
      <c r="I1543" s="6"/>
      <c r="J1543" s="6"/>
      <c r="K1543" s="6"/>
    </row>
    <row r="1544" spans="8:11" x14ac:dyDescent="0.25">
      <c r="H1544" s="6"/>
      <c r="I1544" s="6"/>
      <c r="J1544" s="6"/>
      <c r="K1544" s="6"/>
    </row>
    <row r="1545" spans="8:11" x14ac:dyDescent="0.25">
      <c r="H1545" s="6"/>
      <c r="I1545" s="6"/>
      <c r="J1545" s="6"/>
      <c r="K1545" s="6"/>
    </row>
    <row r="1546" spans="8:11" x14ac:dyDescent="0.25">
      <c r="H1546" s="6"/>
      <c r="I1546" s="6"/>
      <c r="J1546" s="6"/>
      <c r="K1546" s="6"/>
    </row>
    <row r="1547" spans="8:11" x14ac:dyDescent="0.25">
      <c r="H1547" s="6"/>
      <c r="I1547" s="6"/>
      <c r="J1547" s="6"/>
      <c r="K1547" s="6"/>
    </row>
    <row r="1548" spans="8:11" x14ac:dyDescent="0.25">
      <c r="H1548" s="6"/>
      <c r="I1548" s="6"/>
      <c r="J1548" s="6"/>
      <c r="K1548" s="6"/>
    </row>
    <row r="1549" spans="8:11" x14ac:dyDescent="0.25">
      <c r="H1549" s="6"/>
      <c r="I1549" s="6"/>
      <c r="J1549" s="6"/>
      <c r="K1549" s="6"/>
    </row>
    <row r="1550" spans="8:11" x14ac:dyDescent="0.25">
      <c r="H1550" s="6"/>
      <c r="I1550" s="6"/>
      <c r="J1550" s="6"/>
      <c r="K1550" s="6"/>
    </row>
    <row r="1551" spans="8:11" x14ac:dyDescent="0.25">
      <c r="H1551" s="6"/>
      <c r="I1551" s="6"/>
      <c r="J1551" s="6"/>
      <c r="K1551" s="6"/>
    </row>
    <row r="1552" spans="8:11" x14ac:dyDescent="0.25">
      <c r="H1552" s="6"/>
      <c r="I1552" s="6"/>
      <c r="J1552" s="6"/>
      <c r="K1552" s="6"/>
    </row>
    <row r="1553" spans="8:11" x14ac:dyDescent="0.25">
      <c r="H1553" s="6"/>
      <c r="I1553" s="6"/>
      <c r="J1553" s="6"/>
      <c r="K1553" s="6"/>
    </row>
    <row r="1554" spans="8:11" x14ac:dyDescent="0.25">
      <c r="H1554" s="6"/>
      <c r="I1554" s="6"/>
      <c r="J1554" s="6"/>
      <c r="K1554" s="6"/>
    </row>
    <row r="1555" spans="8:11" x14ac:dyDescent="0.25">
      <c r="H1555" s="6"/>
      <c r="I1555" s="6"/>
      <c r="J1555" s="6"/>
      <c r="K1555" s="6"/>
    </row>
    <row r="1556" spans="8:11" x14ac:dyDescent="0.25">
      <c r="H1556" s="6"/>
      <c r="I1556" s="6"/>
      <c r="J1556" s="6"/>
      <c r="K1556" s="6"/>
    </row>
    <row r="1557" spans="8:11" x14ac:dyDescent="0.25">
      <c r="H1557" s="6"/>
      <c r="I1557" s="6"/>
      <c r="J1557" s="6"/>
      <c r="K1557" s="6"/>
    </row>
    <row r="1558" spans="8:11" x14ac:dyDescent="0.25">
      <c r="H1558" s="6"/>
      <c r="I1558" s="6"/>
      <c r="J1558" s="6"/>
      <c r="K1558" s="6"/>
    </row>
    <row r="1559" spans="8:11" x14ac:dyDescent="0.25">
      <c r="H1559" s="6"/>
      <c r="I1559" s="6"/>
      <c r="J1559" s="6"/>
      <c r="K1559" s="6"/>
    </row>
    <row r="1560" spans="8:11" x14ac:dyDescent="0.25">
      <c r="H1560" s="6"/>
      <c r="I1560" s="6"/>
      <c r="J1560" s="6"/>
      <c r="K1560" s="6"/>
    </row>
    <row r="1561" spans="8:11" x14ac:dyDescent="0.25">
      <c r="H1561" s="6"/>
      <c r="I1561" s="6"/>
      <c r="J1561" s="6"/>
      <c r="K1561" s="6"/>
    </row>
    <row r="1562" spans="8:11" x14ac:dyDescent="0.25">
      <c r="H1562" s="6"/>
      <c r="I1562" s="6"/>
      <c r="J1562" s="6"/>
      <c r="K1562" s="6"/>
    </row>
    <row r="1563" spans="8:11" x14ac:dyDescent="0.25">
      <c r="H1563" s="6"/>
      <c r="I1563" s="6"/>
      <c r="J1563" s="6"/>
      <c r="K1563" s="6"/>
    </row>
    <row r="1564" spans="8:11" x14ac:dyDescent="0.25">
      <c r="H1564" s="6"/>
      <c r="I1564" s="6"/>
      <c r="J1564" s="6"/>
      <c r="K1564" s="6"/>
    </row>
    <row r="1565" spans="8:11" x14ac:dyDescent="0.25">
      <c r="H1565" s="6"/>
      <c r="I1565" s="6"/>
      <c r="J1565" s="6"/>
      <c r="K1565" s="6"/>
    </row>
    <row r="1566" spans="8:11" x14ac:dyDescent="0.25">
      <c r="H1566" s="6"/>
      <c r="I1566" s="6"/>
      <c r="J1566" s="6"/>
      <c r="K1566" s="6"/>
    </row>
    <row r="1567" spans="8:11" x14ac:dyDescent="0.25">
      <c r="H1567" s="6"/>
      <c r="I1567" s="6"/>
      <c r="J1567" s="6"/>
      <c r="K1567" s="6"/>
    </row>
    <row r="1568" spans="8:11" x14ac:dyDescent="0.25">
      <c r="H1568" s="6"/>
      <c r="I1568" s="6"/>
      <c r="J1568" s="6"/>
      <c r="K1568" s="6"/>
    </row>
    <row r="1569" spans="8:11" x14ac:dyDescent="0.25">
      <c r="H1569" s="6"/>
      <c r="I1569" s="6"/>
      <c r="J1569" s="6"/>
      <c r="K1569" s="6"/>
    </row>
    <row r="1570" spans="8:11" x14ac:dyDescent="0.25">
      <c r="H1570" s="6"/>
      <c r="I1570" s="6"/>
      <c r="J1570" s="6"/>
      <c r="K1570" s="6"/>
    </row>
    <row r="1571" spans="8:11" x14ac:dyDescent="0.25">
      <c r="H1571" s="6"/>
      <c r="I1571" s="6"/>
      <c r="J1571" s="6"/>
      <c r="K1571" s="6"/>
    </row>
    <row r="1572" spans="8:11" x14ac:dyDescent="0.25">
      <c r="H1572" s="6"/>
      <c r="I1572" s="6"/>
      <c r="J1572" s="6"/>
      <c r="K1572" s="6"/>
    </row>
    <row r="1573" spans="8:11" x14ac:dyDescent="0.25">
      <c r="H1573" s="6"/>
      <c r="I1573" s="6"/>
      <c r="J1573" s="6"/>
      <c r="K1573" s="6"/>
    </row>
    <row r="1574" spans="8:11" x14ac:dyDescent="0.25">
      <c r="H1574" s="6"/>
      <c r="I1574" s="6"/>
      <c r="J1574" s="6"/>
      <c r="K1574" s="6"/>
    </row>
    <row r="1575" spans="8:11" x14ac:dyDescent="0.25">
      <c r="H1575" s="6"/>
      <c r="I1575" s="6"/>
      <c r="J1575" s="6"/>
      <c r="K1575" s="6"/>
    </row>
    <row r="1576" spans="8:11" x14ac:dyDescent="0.25">
      <c r="H1576" s="6"/>
      <c r="I1576" s="6"/>
      <c r="J1576" s="6"/>
      <c r="K1576" s="6"/>
    </row>
    <row r="1577" spans="8:11" x14ac:dyDescent="0.25">
      <c r="H1577" s="6"/>
      <c r="I1577" s="6"/>
      <c r="J1577" s="6"/>
      <c r="K1577" s="6"/>
    </row>
    <row r="1578" spans="8:11" x14ac:dyDescent="0.25">
      <c r="H1578" s="6"/>
      <c r="I1578" s="6"/>
      <c r="J1578" s="6"/>
      <c r="K1578" s="6"/>
    </row>
    <row r="1579" spans="8:11" x14ac:dyDescent="0.25">
      <c r="H1579" s="6"/>
      <c r="I1579" s="6"/>
      <c r="J1579" s="6"/>
      <c r="K1579" s="6"/>
    </row>
    <row r="1580" spans="8:11" x14ac:dyDescent="0.25">
      <c r="H1580" s="6"/>
      <c r="I1580" s="6"/>
      <c r="J1580" s="6"/>
      <c r="K1580" s="6"/>
    </row>
    <row r="1581" spans="8:11" x14ac:dyDescent="0.25">
      <c r="H1581" s="6"/>
      <c r="I1581" s="6"/>
      <c r="J1581" s="6"/>
      <c r="K1581" s="6"/>
    </row>
    <row r="1582" spans="8:11" x14ac:dyDescent="0.25">
      <c r="H1582" s="6"/>
      <c r="I1582" s="6"/>
      <c r="J1582" s="6"/>
      <c r="K1582" s="6"/>
    </row>
    <row r="1583" spans="8:11" x14ac:dyDescent="0.25">
      <c r="H1583" s="6"/>
      <c r="I1583" s="6"/>
      <c r="J1583" s="6"/>
      <c r="K1583" s="6"/>
    </row>
    <row r="1584" spans="8:11" x14ac:dyDescent="0.25">
      <c r="H1584" s="6"/>
      <c r="I1584" s="6"/>
      <c r="J1584" s="6"/>
      <c r="K1584" s="6"/>
    </row>
    <row r="1585" spans="8:11" x14ac:dyDescent="0.25">
      <c r="H1585" s="6"/>
      <c r="I1585" s="6"/>
      <c r="J1585" s="6"/>
      <c r="K1585" s="6"/>
    </row>
    <row r="1586" spans="8:11" x14ac:dyDescent="0.25">
      <c r="H1586" s="6"/>
      <c r="I1586" s="6"/>
      <c r="J1586" s="6"/>
      <c r="K1586" s="6"/>
    </row>
    <row r="1587" spans="8:11" x14ac:dyDescent="0.25">
      <c r="H1587" s="6"/>
      <c r="I1587" s="6"/>
      <c r="J1587" s="6"/>
      <c r="K1587" s="6"/>
    </row>
    <row r="1588" spans="8:11" x14ac:dyDescent="0.25">
      <c r="H1588" s="6"/>
      <c r="I1588" s="6"/>
      <c r="J1588" s="6"/>
      <c r="K1588" s="6"/>
    </row>
    <row r="1589" spans="8:11" x14ac:dyDescent="0.25">
      <c r="H1589" s="6"/>
      <c r="I1589" s="6"/>
      <c r="J1589" s="6"/>
      <c r="K1589" s="6"/>
    </row>
    <row r="1590" spans="8:11" x14ac:dyDescent="0.25">
      <c r="H1590" s="6"/>
      <c r="I1590" s="6"/>
      <c r="J1590" s="6"/>
      <c r="K1590" s="6"/>
    </row>
    <row r="1591" spans="8:11" x14ac:dyDescent="0.25">
      <c r="H1591" s="6"/>
      <c r="I1591" s="6"/>
      <c r="J1591" s="6"/>
      <c r="K1591" s="6"/>
    </row>
    <row r="1592" spans="8:11" x14ac:dyDescent="0.25">
      <c r="H1592" s="6"/>
      <c r="I1592" s="6"/>
      <c r="J1592" s="6"/>
      <c r="K1592" s="6"/>
    </row>
    <row r="1593" spans="8:11" x14ac:dyDescent="0.25">
      <c r="H1593" s="6"/>
      <c r="I1593" s="6"/>
      <c r="J1593" s="6"/>
      <c r="K1593" s="6"/>
    </row>
    <row r="1594" spans="8:11" x14ac:dyDescent="0.25">
      <c r="H1594" s="6"/>
      <c r="I1594" s="6"/>
      <c r="J1594" s="6"/>
      <c r="K1594" s="6"/>
    </row>
    <row r="1595" spans="8:11" x14ac:dyDescent="0.25">
      <c r="H1595" s="6"/>
      <c r="I1595" s="6"/>
      <c r="J1595" s="6"/>
      <c r="K1595" s="6"/>
    </row>
    <row r="1596" spans="8:11" x14ac:dyDescent="0.25">
      <c r="H1596" s="6"/>
      <c r="I1596" s="6"/>
      <c r="J1596" s="6"/>
      <c r="K1596" s="6"/>
    </row>
    <row r="1597" spans="8:11" x14ac:dyDescent="0.25">
      <c r="H1597" s="6"/>
      <c r="I1597" s="6"/>
      <c r="J1597" s="6"/>
      <c r="K1597" s="6"/>
    </row>
    <row r="1598" spans="8:11" x14ac:dyDescent="0.25">
      <c r="H1598" s="6"/>
      <c r="I1598" s="6"/>
      <c r="J1598" s="6"/>
      <c r="K1598" s="6"/>
    </row>
    <row r="1599" spans="8:11" x14ac:dyDescent="0.25">
      <c r="H1599" s="6"/>
      <c r="I1599" s="6"/>
      <c r="J1599" s="6"/>
      <c r="K1599" s="6"/>
    </row>
    <row r="1600" spans="8:11" x14ac:dyDescent="0.25">
      <c r="H1600" s="6"/>
      <c r="I1600" s="6"/>
      <c r="J1600" s="6"/>
      <c r="K1600" s="6"/>
    </row>
    <row r="1601" spans="8:11" x14ac:dyDescent="0.25">
      <c r="H1601" s="6"/>
      <c r="I1601" s="6"/>
      <c r="J1601" s="6"/>
      <c r="K1601" s="6"/>
    </row>
    <row r="1602" spans="8:11" x14ac:dyDescent="0.25">
      <c r="H1602" s="6"/>
      <c r="I1602" s="6"/>
      <c r="J1602" s="6"/>
      <c r="K1602" s="6"/>
    </row>
    <row r="1603" spans="8:11" x14ac:dyDescent="0.25">
      <c r="H1603" s="6"/>
      <c r="I1603" s="6"/>
      <c r="J1603" s="6"/>
      <c r="K1603" s="6"/>
    </row>
    <row r="1604" spans="8:11" x14ac:dyDescent="0.25">
      <c r="H1604" s="6"/>
      <c r="I1604" s="6"/>
      <c r="J1604" s="6"/>
      <c r="K1604" s="6"/>
    </row>
    <row r="1605" spans="8:11" x14ac:dyDescent="0.25">
      <c r="H1605" s="6"/>
      <c r="I1605" s="6"/>
      <c r="J1605" s="6"/>
      <c r="K1605" s="6"/>
    </row>
    <row r="1606" spans="8:11" x14ac:dyDescent="0.25">
      <c r="H1606" s="6"/>
      <c r="I1606" s="6"/>
      <c r="J1606" s="6"/>
      <c r="K1606" s="6"/>
    </row>
    <row r="1607" spans="8:11" x14ac:dyDescent="0.25">
      <c r="H1607" s="6"/>
      <c r="I1607" s="6"/>
      <c r="J1607" s="6"/>
      <c r="K1607" s="6"/>
    </row>
    <row r="1608" spans="8:11" x14ac:dyDescent="0.25">
      <c r="H1608" s="6"/>
      <c r="I1608" s="6"/>
      <c r="J1608" s="6"/>
      <c r="K1608" s="6"/>
    </row>
    <row r="1609" spans="8:11" x14ac:dyDescent="0.25">
      <c r="H1609" s="6"/>
      <c r="I1609" s="6"/>
      <c r="J1609" s="6"/>
      <c r="K1609" s="6"/>
    </row>
    <row r="1610" spans="8:11" x14ac:dyDescent="0.25">
      <c r="H1610" s="6"/>
      <c r="I1610" s="6"/>
      <c r="J1610" s="6"/>
      <c r="K1610" s="6"/>
    </row>
    <row r="1611" spans="8:11" x14ac:dyDescent="0.25">
      <c r="H1611" s="6"/>
      <c r="I1611" s="6"/>
      <c r="J1611" s="6"/>
      <c r="K1611" s="6"/>
    </row>
    <row r="1612" spans="8:11" x14ac:dyDescent="0.25">
      <c r="H1612" s="6"/>
      <c r="I1612" s="6"/>
      <c r="J1612" s="6"/>
      <c r="K1612" s="6"/>
    </row>
    <row r="1613" spans="8:11" x14ac:dyDescent="0.25">
      <c r="H1613" s="6"/>
      <c r="I1613" s="6"/>
      <c r="J1613" s="6"/>
      <c r="K1613" s="6"/>
    </row>
    <row r="1614" spans="8:11" x14ac:dyDescent="0.25">
      <c r="H1614" s="6"/>
      <c r="I1614" s="6"/>
      <c r="J1614" s="6"/>
      <c r="K1614" s="6"/>
    </row>
    <row r="1615" spans="8:11" x14ac:dyDescent="0.25">
      <c r="H1615" s="6"/>
      <c r="I1615" s="6"/>
      <c r="J1615" s="6"/>
      <c r="K1615" s="6"/>
    </row>
    <row r="1616" spans="8:11" x14ac:dyDescent="0.25">
      <c r="H1616" s="6"/>
      <c r="I1616" s="6"/>
      <c r="J1616" s="6"/>
      <c r="K1616" s="6"/>
    </row>
    <row r="1617" spans="8:11" x14ac:dyDescent="0.25">
      <c r="H1617" s="6"/>
      <c r="I1617" s="6"/>
      <c r="J1617" s="6"/>
      <c r="K1617" s="6"/>
    </row>
    <row r="1618" spans="8:11" x14ac:dyDescent="0.25">
      <c r="H1618" s="6"/>
      <c r="I1618" s="6"/>
      <c r="J1618" s="6"/>
      <c r="K1618" s="6"/>
    </row>
    <row r="1619" spans="8:11" x14ac:dyDescent="0.25">
      <c r="H1619" s="6"/>
      <c r="I1619" s="6"/>
      <c r="J1619" s="6"/>
      <c r="K1619" s="6"/>
    </row>
    <row r="1620" spans="8:11" x14ac:dyDescent="0.25">
      <c r="H1620" s="6"/>
      <c r="I1620" s="6"/>
      <c r="J1620" s="6"/>
      <c r="K1620" s="6"/>
    </row>
    <row r="1621" spans="8:11" x14ac:dyDescent="0.25">
      <c r="H1621" s="6"/>
      <c r="I1621" s="6"/>
      <c r="J1621" s="6"/>
      <c r="K1621" s="6"/>
    </row>
    <row r="1622" spans="8:11" x14ac:dyDescent="0.25">
      <c r="H1622" s="6"/>
      <c r="I1622" s="6"/>
      <c r="J1622" s="6"/>
      <c r="K1622" s="6"/>
    </row>
    <row r="1623" spans="8:11" x14ac:dyDescent="0.25">
      <c r="H1623" s="6"/>
      <c r="I1623" s="6"/>
      <c r="J1623" s="6"/>
      <c r="K1623" s="6"/>
    </row>
    <row r="1624" spans="8:11" x14ac:dyDescent="0.25">
      <c r="H1624" s="6"/>
      <c r="I1624" s="6"/>
      <c r="J1624" s="6"/>
      <c r="K1624" s="6"/>
    </row>
    <row r="1625" spans="8:11" x14ac:dyDescent="0.25">
      <c r="H1625" s="6"/>
      <c r="I1625" s="6"/>
      <c r="J1625" s="6"/>
      <c r="K1625" s="6"/>
    </row>
    <row r="1626" spans="8:11" x14ac:dyDescent="0.25">
      <c r="H1626" s="6"/>
      <c r="I1626" s="6"/>
      <c r="J1626" s="6"/>
      <c r="K1626" s="6"/>
    </row>
    <row r="1627" spans="8:11" x14ac:dyDescent="0.25">
      <c r="H1627" s="6"/>
      <c r="I1627" s="6"/>
      <c r="J1627" s="6"/>
      <c r="K1627" s="6"/>
    </row>
    <row r="1628" spans="8:11" x14ac:dyDescent="0.25">
      <c r="H1628" s="6"/>
      <c r="I1628" s="6"/>
      <c r="J1628" s="6"/>
      <c r="K1628" s="6"/>
    </row>
    <row r="1629" spans="8:11" x14ac:dyDescent="0.25">
      <c r="H1629" s="6"/>
      <c r="I1629" s="6"/>
      <c r="J1629" s="6"/>
      <c r="K1629" s="6"/>
    </row>
    <row r="1630" spans="8:11" x14ac:dyDescent="0.25">
      <c r="H1630" s="6"/>
      <c r="I1630" s="6"/>
      <c r="J1630" s="6"/>
      <c r="K1630" s="6"/>
    </row>
    <row r="1631" spans="8:11" x14ac:dyDescent="0.25">
      <c r="H1631" s="6"/>
      <c r="I1631" s="6"/>
      <c r="J1631" s="6"/>
      <c r="K1631" s="6"/>
    </row>
    <row r="1632" spans="8:11" x14ac:dyDescent="0.25">
      <c r="H1632" s="6"/>
      <c r="I1632" s="6"/>
      <c r="J1632" s="6"/>
      <c r="K1632" s="6"/>
    </row>
    <row r="1633" spans="8:11" x14ac:dyDescent="0.25">
      <c r="H1633" s="6"/>
      <c r="I1633" s="6"/>
      <c r="J1633" s="6"/>
      <c r="K1633" s="6"/>
    </row>
    <row r="1634" spans="8:11" x14ac:dyDescent="0.25">
      <c r="H1634" s="6"/>
      <c r="I1634" s="6"/>
      <c r="J1634" s="6"/>
      <c r="K1634" s="6"/>
    </row>
    <row r="1635" spans="8:11" x14ac:dyDescent="0.25">
      <c r="H1635" s="6"/>
      <c r="I1635" s="6"/>
      <c r="J1635" s="6"/>
      <c r="K1635" s="6"/>
    </row>
    <row r="1636" spans="8:11" x14ac:dyDescent="0.25">
      <c r="H1636" s="6"/>
      <c r="I1636" s="6"/>
      <c r="J1636" s="6"/>
      <c r="K1636" s="6"/>
    </row>
    <row r="1637" spans="8:11" x14ac:dyDescent="0.25">
      <c r="H1637" s="6"/>
      <c r="I1637" s="6"/>
      <c r="J1637" s="6"/>
      <c r="K1637" s="6"/>
    </row>
    <row r="1638" spans="8:11" x14ac:dyDescent="0.25">
      <c r="H1638" s="6"/>
      <c r="I1638" s="6"/>
      <c r="J1638" s="6"/>
      <c r="K1638" s="6"/>
    </row>
    <row r="1639" spans="8:11" x14ac:dyDescent="0.25">
      <c r="H1639" s="6"/>
      <c r="I1639" s="6"/>
      <c r="J1639" s="6"/>
      <c r="K1639" s="6"/>
    </row>
    <row r="1640" spans="8:11" x14ac:dyDescent="0.25">
      <c r="H1640" s="6"/>
      <c r="I1640" s="6"/>
      <c r="J1640" s="6"/>
      <c r="K1640" s="6"/>
    </row>
    <row r="1641" spans="8:11" x14ac:dyDescent="0.25">
      <c r="H1641" s="6"/>
      <c r="I1641" s="6"/>
      <c r="J1641" s="6"/>
      <c r="K1641" s="6"/>
    </row>
    <row r="1642" spans="8:11" x14ac:dyDescent="0.25">
      <c r="H1642" s="6"/>
      <c r="I1642" s="6"/>
      <c r="J1642" s="6"/>
      <c r="K1642" s="6"/>
    </row>
    <row r="1643" spans="8:11" x14ac:dyDescent="0.25">
      <c r="H1643" s="6"/>
      <c r="I1643" s="6"/>
      <c r="J1643" s="6"/>
      <c r="K1643" s="6"/>
    </row>
    <row r="1644" spans="8:11" x14ac:dyDescent="0.25">
      <c r="H1644" s="6"/>
      <c r="I1644" s="6"/>
      <c r="J1644" s="6"/>
      <c r="K1644" s="6"/>
    </row>
    <row r="1645" spans="8:11" x14ac:dyDescent="0.25">
      <c r="H1645" s="6"/>
      <c r="I1645" s="6"/>
      <c r="J1645" s="6"/>
      <c r="K1645" s="6"/>
    </row>
    <row r="1646" spans="8:11" x14ac:dyDescent="0.25">
      <c r="H1646" s="6"/>
      <c r="I1646" s="6"/>
      <c r="J1646" s="6"/>
      <c r="K1646" s="6"/>
    </row>
    <row r="1647" spans="8:11" x14ac:dyDescent="0.25">
      <c r="H1647" s="6"/>
      <c r="I1647" s="6"/>
      <c r="J1647" s="6"/>
      <c r="K1647" s="6"/>
    </row>
    <row r="1648" spans="8:11" x14ac:dyDescent="0.25">
      <c r="H1648" s="6"/>
      <c r="I1648" s="6"/>
      <c r="J1648" s="6"/>
      <c r="K1648" s="6"/>
    </row>
    <row r="1649" spans="8:11" x14ac:dyDescent="0.25">
      <c r="H1649" s="6"/>
      <c r="I1649" s="6"/>
      <c r="J1649" s="6"/>
      <c r="K1649" s="6"/>
    </row>
    <row r="1650" spans="8:11" x14ac:dyDescent="0.25">
      <c r="H1650" s="6"/>
      <c r="I1650" s="6"/>
      <c r="J1650" s="6"/>
      <c r="K1650" s="6"/>
    </row>
    <row r="1651" spans="8:11" x14ac:dyDescent="0.25">
      <c r="H1651" s="6"/>
      <c r="I1651" s="6"/>
      <c r="J1651" s="6"/>
      <c r="K1651" s="6"/>
    </row>
    <row r="1652" spans="8:11" x14ac:dyDescent="0.25">
      <c r="H1652" s="6"/>
      <c r="I1652" s="6"/>
      <c r="J1652" s="6"/>
      <c r="K1652" s="6"/>
    </row>
    <row r="1653" spans="8:11" x14ac:dyDescent="0.25">
      <c r="H1653" s="6"/>
      <c r="I1653" s="6"/>
      <c r="J1653" s="6"/>
      <c r="K1653" s="6"/>
    </row>
    <row r="1654" spans="8:11" x14ac:dyDescent="0.25">
      <c r="H1654" s="6"/>
      <c r="I1654" s="6"/>
      <c r="J1654" s="6"/>
      <c r="K1654" s="6"/>
    </row>
    <row r="1655" spans="8:11" x14ac:dyDescent="0.25">
      <c r="H1655" s="6"/>
      <c r="I1655" s="6"/>
      <c r="J1655" s="6"/>
      <c r="K1655" s="6"/>
    </row>
    <row r="1656" spans="8:11" x14ac:dyDescent="0.25">
      <c r="H1656" s="6"/>
      <c r="I1656" s="6"/>
      <c r="J1656" s="6"/>
      <c r="K1656" s="6"/>
    </row>
    <row r="1657" spans="8:11" x14ac:dyDescent="0.25">
      <c r="H1657" s="6"/>
      <c r="I1657" s="6"/>
      <c r="J1657" s="6"/>
      <c r="K1657" s="6"/>
    </row>
    <row r="1658" spans="8:11" x14ac:dyDescent="0.25">
      <c r="H1658" s="6"/>
      <c r="I1658" s="6"/>
      <c r="J1658" s="6"/>
      <c r="K1658" s="6"/>
    </row>
    <row r="1659" spans="8:11" x14ac:dyDescent="0.25">
      <c r="H1659" s="6"/>
      <c r="I1659" s="6"/>
      <c r="J1659" s="6"/>
      <c r="K1659" s="6"/>
    </row>
    <row r="1660" spans="8:11" x14ac:dyDescent="0.25">
      <c r="H1660" s="6"/>
      <c r="I1660" s="6"/>
      <c r="J1660" s="6"/>
      <c r="K1660" s="6"/>
    </row>
    <row r="1661" spans="8:11" x14ac:dyDescent="0.25">
      <c r="H1661" s="6"/>
      <c r="I1661" s="6"/>
      <c r="J1661" s="6"/>
      <c r="K1661" s="6"/>
    </row>
    <row r="1662" spans="8:11" x14ac:dyDescent="0.25">
      <c r="H1662" s="6"/>
      <c r="I1662" s="6"/>
      <c r="J1662" s="6"/>
      <c r="K1662" s="6"/>
    </row>
    <row r="1663" spans="8:11" x14ac:dyDescent="0.25">
      <c r="H1663" s="6"/>
      <c r="I1663" s="6"/>
      <c r="J1663" s="6"/>
      <c r="K1663" s="6"/>
    </row>
    <row r="1664" spans="8:11" x14ac:dyDescent="0.25">
      <c r="H1664" s="6"/>
      <c r="I1664" s="6"/>
      <c r="J1664" s="6"/>
      <c r="K1664" s="6"/>
    </row>
    <row r="1665" spans="8:11" x14ac:dyDescent="0.25">
      <c r="H1665" s="6"/>
      <c r="I1665" s="6"/>
      <c r="J1665" s="6"/>
      <c r="K1665" s="6"/>
    </row>
    <row r="1666" spans="8:11" x14ac:dyDescent="0.25">
      <c r="H1666" s="6"/>
      <c r="I1666" s="6"/>
      <c r="J1666" s="6"/>
      <c r="K1666" s="6"/>
    </row>
    <row r="1667" spans="8:11" x14ac:dyDescent="0.25">
      <c r="H1667" s="6"/>
      <c r="I1667" s="6"/>
      <c r="J1667" s="6"/>
      <c r="K1667" s="6"/>
    </row>
    <row r="1668" spans="8:11" x14ac:dyDescent="0.25">
      <c r="H1668" s="6"/>
      <c r="I1668" s="6"/>
      <c r="J1668" s="6"/>
      <c r="K1668" s="6"/>
    </row>
    <row r="1669" spans="8:11" x14ac:dyDescent="0.25">
      <c r="H1669" s="6"/>
      <c r="I1669" s="6"/>
      <c r="J1669" s="6"/>
      <c r="K1669" s="6"/>
    </row>
    <row r="1670" spans="8:11" x14ac:dyDescent="0.25">
      <c r="H1670" s="6"/>
      <c r="I1670" s="6"/>
      <c r="J1670" s="6"/>
      <c r="K1670" s="6"/>
    </row>
    <row r="1671" spans="8:11" x14ac:dyDescent="0.25">
      <c r="H1671" s="6"/>
      <c r="I1671" s="6"/>
      <c r="J1671" s="6"/>
      <c r="K1671" s="6"/>
    </row>
    <row r="1672" spans="8:11" x14ac:dyDescent="0.25">
      <c r="H1672" s="6"/>
      <c r="I1672" s="6"/>
      <c r="J1672" s="6"/>
      <c r="K1672" s="6"/>
    </row>
    <row r="1673" spans="8:11" x14ac:dyDescent="0.25">
      <c r="H1673" s="6"/>
      <c r="I1673" s="6"/>
      <c r="J1673" s="6"/>
      <c r="K1673" s="6"/>
    </row>
    <row r="1674" spans="8:11" x14ac:dyDescent="0.25">
      <c r="H1674" s="6"/>
      <c r="I1674" s="6"/>
      <c r="J1674" s="6"/>
      <c r="K1674" s="6"/>
    </row>
    <row r="1675" spans="8:11" x14ac:dyDescent="0.25">
      <c r="H1675" s="6"/>
      <c r="I1675" s="6"/>
      <c r="J1675" s="6"/>
      <c r="K1675" s="6"/>
    </row>
    <row r="1676" spans="8:11" x14ac:dyDescent="0.25">
      <c r="H1676" s="6"/>
      <c r="I1676" s="6"/>
      <c r="J1676" s="6"/>
      <c r="K1676" s="6"/>
    </row>
    <row r="1677" spans="8:11" x14ac:dyDescent="0.25">
      <c r="H1677" s="6"/>
      <c r="I1677" s="6"/>
      <c r="J1677" s="6"/>
      <c r="K1677" s="6"/>
    </row>
    <row r="1678" spans="8:11" x14ac:dyDescent="0.25">
      <c r="H1678" s="6"/>
      <c r="I1678" s="6"/>
      <c r="J1678" s="6"/>
      <c r="K1678" s="6"/>
    </row>
    <row r="1679" spans="8:11" x14ac:dyDescent="0.25">
      <c r="H1679" s="6"/>
      <c r="I1679" s="6"/>
      <c r="J1679" s="6"/>
      <c r="K1679" s="6"/>
    </row>
    <row r="1680" spans="8:11" x14ac:dyDescent="0.25">
      <c r="H1680" s="6"/>
      <c r="I1680" s="6"/>
      <c r="J1680" s="6"/>
      <c r="K1680" s="6"/>
    </row>
    <row r="1681" spans="8:11" x14ac:dyDescent="0.25">
      <c r="H1681" s="6"/>
      <c r="I1681" s="6"/>
      <c r="J1681" s="6"/>
      <c r="K1681" s="6"/>
    </row>
    <row r="1682" spans="8:11" x14ac:dyDescent="0.25">
      <c r="H1682" s="6"/>
      <c r="I1682" s="6"/>
      <c r="J1682" s="6"/>
      <c r="K1682" s="6"/>
    </row>
    <row r="1683" spans="8:11" x14ac:dyDescent="0.25">
      <c r="H1683" s="6"/>
      <c r="I1683" s="6"/>
      <c r="J1683" s="6"/>
      <c r="K1683" s="6"/>
    </row>
    <row r="1684" spans="8:11" x14ac:dyDescent="0.25">
      <c r="H1684" s="6"/>
      <c r="I1684" s="6"/>
      <c r="J1684" s="6"/>
      <c r="K1684" s="6"/>
    </row>
    <row r="1685" spans="8:11" x14ac:dyDescent="0.25">
      <c r="H1685" s="6"/>
      <c r="I1685" s="6"/>
      <c r="J1685" s="6"/>
      <c r="K1685" s="6"/>
    </row>
    <row r="1686" spans="8:11" x14ac:dyDescent="0.25">
      <c r="H1686" s="6"/>
      <c r="I1686" s="6"/>
      <c r="J1686" s="6"/>
      <c r="K1686" s="6"/>
    </row>
    <row r="1687" spans="8:11" x14ac:dyDescent="0.25">
      <c r="H1687" s="6"/>
      <c r="I1687" s="6"/>
      <c r="J1687" s="6"/>
      <c r="K1687" s="6"/>
    </row>
    <row r="1688" spans="8:11" x14ac:dyDescent="0.25">
      <c r="H1688" s="6"/>
      <c r="I1688" s="6"/>
      <c r="J1688" s="6"/>
      <c r="K1688" s="6"/>
    </row>
    <row r="1689" spans="8:11" x14ac:dyDescent="0.25">
      <c r="H1689" s="6"/>
      <c r="I1689" s="6"/>
      <c r="J1689" s="6"/>
      <c r="K1689" s="6"/>
    </row>
    <row r="1690" spans="8:11" x14ac:dyDescent="0.25">
      <c r="H1690" s="6"/>
      <c r="I1690" s="6"/>
      <c r="J1690" s="6"/>
      <c r="K1690" s="6"/>
    </row>
    <row r="1691" spans="8:11" x14ac:dyDescent="0.25">
      <c r="H1691" s="6"/>
      <c r="I1691" s="6"/>
      <c r="J1691" s="6"/>
      <c r="K1691" s="6"/>
    </row>
    <row r="1692" spans="8:11" x14ac:dyDescent="0.25">
      <c r="H1692" s="6"/>
      <c r="I1692" s="6"/>
      <c r="J1692" s="6"/>
      <c r="K1692" s="6"/>
    </row>
    <row r="1693" spans="8:11" x14ac:dyDescent="0.25">
      <c r="H1693" s="6"/>
      <c r="I1693" s="6"/>
      <c r="J1693" s="6"/>
      <c r="K1693" s="6"/>
    </row>
    <row r="1694" spans="8:11" x14ac:dyDescent="0.25">
      <c r="H1694" s="6"/>
      <c r="I1694" s="6"/>
      <c r="J1694" s="6"/>
      <c r="K1694" s="6"/>
    </row>
    <row r="1695" spans="8:11" x14ac:dyDescent="0.25">
      <c r="H1695" s="6"/>
      <c r="I1695" s="6"/>
      <c r="J1695" s="6"/>
      <c r="K1695" s="6"/>
    </row>
    <row r="1696" spans="8:11" x14ac:dyDescent="0.25">
      <c r="H1696" s="6"/>
      <c r="I1696" s="6"/>
      <c r="J1696" s="6"/>
      <c r="K1696" s="6"/>
    </row>
    <row r="1697" spans="8:11" x14ac:dyDescent="0.25">
      <c r="H1697" s="6"/>
      <c r="I1697" s="6"/>
      <c r="J1697" s="6"/>
      <c r="K1697" s="6"/>
    </row>
    <row r="1698" spans="8:11" x14ac:dyDescent="0.25">
      <c r="H1698" s="6"/>
      <c r="I1698" s="6"/>
      <c r="J1698" s="6"/>
      <c r="K1698" s="6"/>
    </row>
    <row r="1699" spans="8:11" x14ac:dyDescent="0.25">
      <c r="H1699" s="6"/>
      <c r="I1699" s="6"/>
      <c r="J1699" s="6"/>
      <c r="K1699" s="6"/>
    </row>
    <row r="1700" spans="8:11" x14ac:dyDescent="0.25">
      <c r="H1700" s="6"/>
      <c r="I1700" s="6"/>
      <c r="J1700" s="6"/>
      <c r="K1700" s="6"/>
    </row>
    <row r="1701" spans="8:11" x14ac:dyDescent="0.25">
      <c r="H1701" s="6"/>
      <c r="I1701" s="6"/>
      <c r="J1701" s="6"/>
      <c r="K1701" s="6"/>
    </row>
    <row r="1702" spans="8:11" x14ac:dyDescent="0.25">
      <c r="H1702" s="6"/>
      <c r="I1702" s="6"/>
      <c r="J1702" s="6"/>
      <c r="K1702" s="6"/>
    </row>
    <row r="1703" spans="8:11" x14ac:dyDescent="0.25">
      <c r="H1703" s="6"/>
      <c r="I1703" s="6"/>
      <c r="J1703" s="6"/>
      <c r="K1703" s="6"/>
    </row>
    <row r="1704" spans="8:11" x14ac:dyDescent="0.25">
      <c r="H1704" s="6"/>
      <c r="I1704" s="6"/>
      <c r="J1704" s="6"/>
      <c r="K1704" s="6"/>
    </row>
    <row r="1705" spans="8:11" x14ac:dyDescent="0.25">
      <c r="H1705" s="6"/>
      <c r="I1705" s="6"/>
      <c r="J1705" s="6"/>
      <c r="K1705" s="6"/>
    </row>
    <row r="1706" spans="8:11" x14ac:dyDescent="0.25">
      <c r="H1706" s="6"/>
      <c r="I1706" s="6"/>
      <c r="J1706" s="6"/>
      <c r="K1706" s="6"/>
    </row>
    <row r="1707" spans="8:11" x14ac:dyDescent="0.25">
      <c r="H1707" s="6"/>
      <c r="I1707" s="6"/>
      <c r="J1707" s="6"/>
      <c r="K1707" s="6"/>
    </row>
    <row r="1708" spans="8:11" x14ac:dyDescent="0.25">
      <c r="H1708" s="6"/>
      <c r="I1708" s="6"/>
      <c r="J1708" s="6"/>
      <c r="K1708" s="6"/>
    </row>
    <row r="1709" spans="8:11" x14ac:dyDescent="0.25">
      <c r="H1709" s="6"/>
      <c r="I1709" s="6"/>
      <c r="J1709" s="6"/>
      <c r="K1709" s="6"/>
    </row>
    <row r="1710" spans="8:11" x14ac:dyDescent="0.25">
      <c r="H1710" s="6"/>
      <c r="I1710" s="6"/>
      <c r="J1710" s="6"/>
      <c r="K1710" s="6"/>
    </row>
    <row r="1711" spans="8:11" x14ac:dyDescent="0.25">
      <c r="H1711" s="6"/>
      <c r="I1711" s="6"/>
      <c r="J1711" s="6"/>
      <c r="K1711" s="6"/>
    </row>
    <row r="1712" spans="8:11" x14ac:dyDescent="0.25">
      <c r="H1712" s="6"/>
      <c r="I1712" s="6"/>
      <c r="J1712" s="6"/>
      <c r="K1712" s="6"/>
    </row>
    <row r="1713" spans="8:11" x14ac:dyDescent="0.25">
      <c r="H1713" s="6"/>
      <c r="I1713" s="6"/>
      <c r="J1713" s="6"/>
      <c r="K1713" s="6"/>
    </row>
    <row r="1714" spans="8:11" x14ac:dyDescent="0.25">
      <c r="H1714" s="6"/>
      <c r="I1714" s="6"/>
      <c r="J1714" s="6"/>
      <c r="K1714" s="6"/>
    </row>
    <row r="1715" spans="8:11" x14ac:dyDescent="0.25">
      <c r="H1715" s="6"/>
      <c r="I1715" s="6"/>
      <c r="J1715" s="6"/>
      <c r="K1715" s="6"/>
    </row>
    <row r="1716" spans="8:11" x14ac:dyDescent="0.25">
      <c r="H1716" s="6"/>
      <c r="I1716" s="6"/>
      <c r="J1716" s="6"/>
      <c r="K1716" s="6"/>
    </row>
    <row r="1717" spans="8:11" x14ac:dyDescent="0.25">
      <c r="H1717" s="6"/>
      <c r="I1717" s="6"/>
      <c r="J1717" s="6"/>
      <c r="K1717" s="6"/>
    </row>
    <row r="1718" spans="8:11" x14ac:dyDescent="0.25">
      <c r="H1718" s="6"/>
      <c r="I1718" s="6"/>
      <c r="J1718" s="6"/>
      <c r="K1718" s="6"/>
    </row>
    <row r="1719" spans="8:11" x14ac:dyDescent="0.25">
      <c r="H1719" s="6"/>
      <c r="I1719" s="6"/>
      <c r="J1719" s="6"/>
      <c r="K1719" s="6"/>
    </row>
    <row r="1720" spans="8:11" x14ac:dyDescent="0.25">
      <c r="H1720" s="6"/>
      <c r="I1720" s="6"/>
      <c r="J1720" s="6"/>
      <c r="K1720" s="6"/>
    </row>
    <row r="1721" spans="8:11" x14ac:dyDescent="0.25">
      <c r="H1721" s="6"/>
      <c r="I1721" s="6"/>
      <c r="J1721" s="6"/>
      <c r="K1721" s="6"/>
    </row>
    <row r="1722" spans="8:11" x14ac:dyDescent="0.25">
      <c r="H1722" s="6"/>
      <c r="I1722" s="6"/>
      <c r="J1722" s="6"/>
      <c r="K1722" s="6"/>
    </row>
    <row r="1723" spans="8:11" x14ac:dyDescent="0.25">
      <c r="H1723" s="6"/>
      <c r="I1723" s="6"/>
      <c r="J1723" s="6"/>
      <c r="K1723" s="6"/>
    </row>
    <row r="1724" spans="8:11" x14ac:dyDescent="0.25">
      <c r="H1724" s="6"/>
      <c r="I1724" s="6"/>
      <c r="J1724" s="6"/>
      <c r="K1724" s="6"/>
    </row>
    <row r="1725" spans="8:11" x14ac:dyDescent="0.25">
      <c r="H1725" s="6"/>
      <c r="I1725" s="6"/>
      <c r="J1725" s="6"/>
      <c r="K1725" s="6"/>
    </row>
    <row r="1726" spans="8:11" x14ac:dyDescent="0.25">
      <c r="H1726" s="6"/>
      <c r="I1726" s="6"/>
      <c r="J1726" s="6"/>
      <c r="K1726" s="6"/>
    </row>
    <row r="1727" spans="8:11" x14ac:dyDescent="0.25">
      <c r="H1727" s="6"/>
      <c r="I1727" s="6"/>
      <c r="J1727" s="6"/>
      <c r="K1727" s="6"/>
    </row>
    <row r="1728" spans="8:11" x14ac:dyDescent="0.25">
      <c r="H1728" s="6"/>
      <c r="I1728" s="6"/>
      <c r="J1728" s="6"/>
      <c r="K1728" s="6"/>
    </row>
    <row r="1729" spans="8:11" x14ac:dyDescent="0.25">
      <c r="H1729" s="6"/>
      <c r="I1729" s="6"/>
      <c r="J1729" s="6"/>
      <c r="K1729" s="6"/>
    </row>
    <row r="1730" spans="8:11" x14ac:dyDescent="0.25">
      <c r="H1730" s="6"/>
      <c r="I1730" s="6"/>
      <c r="J1730" s="6"/>
      <c r="K1730" s="6"/>
    </row>
    <row r="1731" spans="8:11" x14ac:dyDescent="0.25">
      <c r="H1731" s="6"/>
      <c r="I1731" s="6"/>
      <c r="J1731" s="6"/>
      <c r="K1731" s="6"/>
    </row>
    <row r="1732" spans="8:11" x14ac:dyDescent="0.25">
      <c r="H1732" s="6"/>
      <c r="I1732" s="6"/>
      <c r="J1732" s="6"/>
      <c r="K1732" s="6"/>
    </row>
    <row r="1733" spans="8:11" x14ac:dyDescent="0.25">
      <c r="H1733" s="6"/>
      <c r="I1733" s="6"/>
      <c r="J1733" s="6"/>
      <c r="K1733" s="6"/>
    </row>
    <row r="1734" spans="8:11" x14ac:dyDescent="0.25">
      <c r="H1734" s="6"/>
      <c r="I1734" s="6"/>
      <c r="J1734" s="6"/>
      <c r="K1734" s="6"/>
    </row>
    <row r="1735" spans="8:11" x14ac:dyDescent="0.25">
      <c r="H1735" s="6"/>
      <c r="I1735" s="6"/>
      <c r="J1735" s="6"/>
      <c r="K1735" s="6"/>
    </row>
    <row r="1736" spans="8:11" x14ac:dyDescent="0.25">
      <c r="H1736" s="6"/>
      <c r="I1736" s="6"/>
      <c r="J1736" s="6"/>
      <c r="K1736" s="6"/>
    </row>
    <row r="1737" spans="8:11" x14ac:dyDescent="0.25">
      <c r="H1737" s="6"/>
      <c r="I1737" s="6"/>
      <c r="J1737" s="6"/>
      <c r="K1737" s="6"/>
    </row>
    <row r="1738" spans="8:11" x14ac:dyDescent="0.25">
      <c r="H1738" s="6"/>
      <c r="I1738" s="6"/>
      <c r="J1738" s="6"/>
      <c r="K1738" s="6"/>
    </row>
    <row r="1739" spans="8:11" x14ac:dyDescent="0.25">
      <c r="H1739" s="6"/>
      <c r="I1739" s="6"/>
      <c r="J1739" s="6"/>
      <c r="K1739" s="6"/>
    </row>
    <row r="1740" spans="8:11" x14ac:dyDescent="0.25">
      <c r="H1740" s="6"/>
      <c r="I1740" s="6"/>
      <c r="J1740" s="6"/>
      <c r="K1740" s="6"/>
    </row>
    <row r="1741" spans="8:11" x14ac:dyDescent="0.25">
      <c r="H1741" s="6"/>
      <c r="I1741" s="6"/>
      <c r="J1741" s="6"/>
      <c r="K1741" s="6"/>
    </row>
    <row r="1742" spans="8:11" x14ac:dyDescent="0.25">
      <c r="H1742" s="6"/>
      <c r="I1742" s="6"/>
      <c r="J1742" s="6"/>
      <c r="K1742" s="6"/>
    </row>
    <row r="1743" spans="8:11" x14ac:dyDescent="0.25">
      <c r="H1743" s="6"/>
      <c r="I1743" s="6"/>
      <c r="J1743" s="6"/>
      <c r="K1743" s="6"/>
    </row>
    <row r="1744" spans="8:11" x14ac:dyDescent="0.25">
      <c r="H1744" s="6"/>
      <c r="I1744" s="6"/>
      <c r="J1744" s="6"/>
      <c r="K1744" s="6"/>
    </row>
    <row r="1745" spans="8:11" x14ac:dyDescent="0.25">
      <c r="H1745" s="6"/>
      <c r="I1745" s="6"/>
      <c r="J1745" s="6"/>
      <c r="K1745" s="6"/>
    </row>
    <row r="1746" spans="8:11" x14ac:dyDescent="0.25">
      <c r="H1746" s="6"/>
      <c r="I1746" s="6"/>
      <c r="J1746" s="6"/>
      <c r="K1746" s="6"/>
    </row>
    <row r="1747" spans="8:11" x14ac:dyDescent="0.25">
      <c r="H1747" s="6"/>
      <c r="I1747" s="6"/>
      <c r="J1747" s="6"/>
      <c r="K1747" s="6"/>
    </row>
    <row r="1748" spans="8:11" x14ac:dyDescent="0.25">
      <c r="H1748" s="6"/>
      <c r="I1748" s="6"/>
      <c r="J1748" s="6"/>
      <c r="K1748" s="6"/>
    </row>
    <row r="1749" spans="8:11" x14ac:dyDescent="0.25">
      <c r="H1749" s="6"/>
      <c r="I1749" s="6"/>
      <c r="J1749" s="6"/>
      <c r="K1749" s="6"/>
    </row>
    <row r="1750" spans="8:11" x14ac:dyDescent="0.25">
      <c r="H1750" s="6"/>
      <c r="I1750" s="6"/>
      <c r="J1750" s="6"/>
      <c r="K1750" s="6"/>
    </row>
    <row r="1751" spans="8:11" x14ac:dyDescent="0.25">
      <c r="H1751" s="6"/>
      <c r="I1751" s="6"/>
      <c r="J1751" s="6"/>
      <c r="K1751" s="6"/>
    </row>
    <row r="1752" spans="8:11" x14ac:dyDescent="0.25">
      <c r="H1752" s="6"/>
      <c r="I1752" s="6"/>
      <c r="J1752" s="6"/>
      <c r="K1752" s="6"/>
    </row>
    <row r="1753" spans="8:11" x14ac:dyDescent="0.25">
      <c r="H1753" s="6"/>
      <c r="I1753" s="6"/>
      <c r="J1753" s="6"/>
      <c r="K1753" s="6"/>
    </row>
    <row r="1754" spans="8:11" x14ac:dyDescent="0.25">
      <c r="H1754" s="6"/>
      <c r="I1754" s="6"/>
      <c r="J1754" s="6"/>
      <c r="K1754" s="6"/>
    </row>
    <row r="1755" spans="8:11" x14ac:dyDescent="0.25">
      <c r="H1755" s="6"/>
      <c r="I1755" s="6"/>
      <c r="J1755" s="6"/>
      <c r="K1755" s="6"/>
    </row>
    <row r="1756" spans="8:11" x14ac:dyDescent="0.25">
      <c r="H1756" s="6"/>
      <c r="I1756" s="6"/>
      <c r="J1756" s="6"/>
      <c r="K1756" s="6"/>
    </row>
    <row r="1757" spans="8:11" x14ac:dyDescent="0.25">
      <c r="H1757" s="6"/>
      <c r="I1757" s="6"/>
      <c r="J1757" s="6"/>
      <c r="K1757" s="6"/>
    </row>
    <row r="1758" spans="8:11" x14ac:dyDescent="0.25">
      <c r="H1758" s="6"/>
      <c r="I1758" s="6"/>
      <c r="J1758" s="6"/>
      <c r="K1758" s="6"/>
    </row>
    <row r="1759" spans="8:11" x14ac:dyDescent="0.25">
      <c r="H1759" s="6"/>
      <c r="I1759" s="6"/>
      <c r="J1759" s="6"/>
      <c r="K1759" s="6"/>
    </row>
    <row r="1760" spans="8:11" x14ac:dyDescent="0.25">
      <c r="H1760" s="6"/>
      <c r="I1760" s="6"/>
      <c r="J1760" s="6"/>
      <c r="K1760" s="6"/>
    </row>
    <row r="1761" spans="8:11" x14ac:dyDescent="0.25">
      <c r="H1761" s="6"/>
      <c r="I1761" s="6"/>
      <c r="J1761" s="6"/>
      <c r="K1761" s="6"/>
    </row>
    <row r="1762" spans="8:11" x14ac:dyDescent="0.25">
      <c r="H1762" s="6"/>
      <c r="I1762" s="6"/>
      <c r="J1762" s="6"/>
      <c r="K1762" s="6"/>
    </row>
    <row r="1763" spans="8:11" x14ac:dyDescent="0.25">
      <c r="H1763" s="6"/>
      <c r="I1763" s="6"/>
      <c r="J1763" s="6"/>
      <c r="K1763" s="6"/>
    </row>
    <row r="1764" spans="8:11" x14ac:dyDescent="0.25">
      <c r="H1764" s="6"/>
      <c r="I1764" s="6"/>
      <c r="J1764" s="6"/>
      <c r="K1764" s="6"/>
    </row>
    <row r="1765" spans="8:11" x14ac:dyDescent="0.25">
      <c r="H1765" s="6"/>
      <c r="I1765" s="6"/>
      <c r="J1765" s="6"/>
      <c r="K1765" s="6"/>
    </row>
    <row r="1766" spans="8:11" x14ac:dyDescent="0.25">
      <c r="H1766" s="6"/>
      <c r="I1766" s="6"/>
      <c r="J1766" s="6"/>
      <c r="K1766" s="6"/>
    </row>
    <row r="1767" spans="8:11" x14ac:dyDescent="0.25">
      <c r="H1767" s="6"/>
      <c r="I1767" s="6"/>
      <c r="J1767" s="6"/>
      <c r="K1767" s="6"/>
    </row>
    <row r="1768" spans="8:11" x14ac:dyDescent="0.25">
      <c r="H1768" s="6"/>
      <c r="I1768" s="6"/>
      <c r="J1768" s="6"/>
      <c r="K1768" s="6"/>
    </row>
    <row r="1769" spans="8:11" x14ac:dyDescent="0.25">
      <c r="H1769" s="6"/>
      <c r="I1769" s="6"/>
      <c r="J1769" s="6"/>
      <c r="K1769" s="6"/>
    </row>
    <row r="1770" spans="8:11" x14ac:dyDescent="0.25">
      <c r="H1770" s="6"/>
      <c r="I1770" s="6"/>
      <c r="J1770" s="6"/>
      <c r="K1770" s="6"/>
    </row>
    <row r="1771" spans="8:11" x14ac:dyDescent="0.25">
      <c r="H1771" s="6"/>
      <c r="I1771" s="6"/>
      <c r="J1771" s="6"/>
      <c r="K1771" s="6"/>
    </row>
    <row r="1772" spans="8:11" x14ac:dyDescent="0.25">
      <c r="H1772" s="6"/>
      <c r="I1772" s="6"/>
      <c r="J1772" s="6"/>
      <c r="K1772" s="6"/>
    </row>
    <row r="1773" spans="8:11" x14ac:dyDescent="0.25">
      <c r="H1773" s="6"/>
      <c r="I1773" s="6"/>
      <c r="J1773" s="6"/>
      <c r="K1773" s="6"/>
    </row>
    <row r="1774" spans="8:11" x14ac:dyDescent="0.25">
      <c r="H1774" s="6"/>
      <c r="I1774" s="6"/>
      <c r="J1774" s="6"/>
      <c r="K1774" s="6"/>
    </row>
    <row r="1775" spans="8:11" x14ac:dyDescent="0.25">
      <c r="H1775" s="6"/>
      <c r="I1775" s="6"/>
      <c r="J1775" s="6"/>
      <c r="K1775" s="6"/>
    </row>
    <row r="1776" spans="8:11" x14ac:dyDescent="0.25">
      <c r="H1776" s="6"/>
      <c r="I1776" s="6"/>
      <c r="J1776" s="6"/>
      <c r="K1776" s="6"/>
    </row>
    <row r="1777" spans="8:11" x14ac:dyDescent="0.25">
      <c r="H1777" s="6"/>
      <c r="I1777" s="6"/>
      <c r="J1777" s="6"/>
      <c r="K1777" s="6"/>
    </row>
    <row r="1778" spans="8:11" x14ac:dyDescent="0.25">
      <c r="H1778" s="6"/>
      <c r="I1778" s="6"/>
      <c r="J1778" s="6"/>
      <c r="K1778" s="6"/>
    </row>
    <row r="1779" spans="8:11" x14ac:dyDescent="0.25">
      <c r="H1779" s="6"/>
      <c r="I1779" s="6"/>
      <c r="J1779" s="6"/>
      <c r="K1779" s="6"/>
    </row>
    <row r="1780" spans="8:11" x14ac:dyDescent="0.25">
      <c r="H1780" s="6"/>
      <c r="I1780" s="6"/>
      <c r="J1780" s="6"/>
      <c r="K1780" s="6"/>
    </row>
    <row r="1781" spans="8:11" x14ac:dyDescent="0.25">
      <c r="H1781" s="6"/>
      <c r="I1781" s="6"/>
      <c r="J1781" s="6"/>
      <c r="K1781" s="6"/>
    </row>
    <row r="1782" spans="8:11" x14ac:dyDescent="0.25">
      <c r="H1782" s="6"/>
      <c r="I1782" s="6"/>
      <c r="J1782" s="6"/>
      <c r="K1782" s="6"/>
    </row>
    <row r="1783" spans="8:11" x14ac:dyDescent="0.25">
      <c r="H1783" s="6"/>
      <c r="I1783" s="6"/>
      <c r="J1783" s="6"/>
      <c r="K1783" s="6"/>
    </row>
    <row r="1784" spans="8:11" x14ac:dyDescent="0.25">
      <c r="H1784" s="6"/>
      <c r="I1784" s="6"/>
      <c r="J1784" s="6"/>
      <c r="K1784" s="6"/>
    </row>
    <row r="1785" spans="8:11" x14ac:dyDescent="0.25">
      <c r="H1785" s="6"/>
      <c r="I1785" s="6"/>
      <c r="J1785" s="6"/>
      <c r="K1785" s="6"/>
    </row>
    <row r="1786" spans="8:11" x14ac:dyDescent="0.25">
      <c r="H1786" s="6"/>
      <c r="I1786" s="6"/>
      <c r="J1786" s="6"/>
      <c r="K1786" s="6"/>
    </row>
    <row r="1787" spans="8:11" x14ac:dyDescent="0.25">
      <c r="H1787" s="6"/>
      <c r="I1787" s="6"/>
      <c r="J1787" s="6"/>
      <c r="K1787" s="6"/>
    </row>
    <row r="1788" spans="8:11" x14ac:dyDescent="0.25">
      <c r="H1788" s="6"/>
      <c r="I1788" s="6"/>
      <c r="J1788" s="6"/>
      <c r="K1788" s="6"/>
    </row>
    <row r="1789" spans="8:11" x14ac:dyDescent="0.25">
      <c r="H1789" s="6"/>
      <c r="I1789" s="6"/>
      <c r="J1789" s="6"/>
      <c r="K1789" s="6"/>
    </row>
    <row r="1790" spans="8:11" x14ac:dyDescent="0.25">
      <c r="H1790" s="6"/>
      <c r="I1790" s="6"/>
      <c r="J1790" s="6"/>
      <c r="K1790" s="6"/>
    </row>
    <row r="1791" spans="8:11" x14ac:dyDescent="0.25">
      <c r="H1791" s="6"/>
      <c r="I1791" s="6"/>
      <c r="J1791" s="6"/>
      <c r="K1791" s="6"/>
    </row>
    <row r="1792" spans="8:11" x14ac:dyDescent="0.25">
      <c r="H1792" s="6"/>
      <c r="I1792" s="6"/>
      <c r="J1792" s="6"/>
      <c r="K1792" s="6"/>
    </row>
    <row r="1793" spans="8:11" x14ac:dyDescent="0.25">
      <c r="H1793" s="6"/>
      <c r="I1793" s="6"/>
      <c r="J1793" s="6"/>
      <c r="K1793" s="6"/>
    </row>
    <row r="1794" spans="8:11" x14ac:dyDescent="0.25">
      <c r="H1794" s="6"/>
      <c r="I1794" s="6"/>
      <c r="J1794" s="6"/>
      <c r="K1794" s="6"/>
    </row>
    <row r="1795" spans="8:11" x14ac:dyDescent="0.25">
      <c r="H1795" s="6"/>
      <c r="I1795" s="6"/>
      <c r="J1795" s="6"/>
      <c r="K1795" s="6"/>
    </row>
    <row r="1796" spans="8:11" x14ac:dyDescent="0.25">
      <c r="H1796" s="6"/>
      <c r="I1796" s="6"/>
      <c r="J1796" s="6"/>
      <c r="K1796" s="6"/>
    </row>
    <row r="1797" spans="8:11" x14ac:dyDescent="0.25">
      <c r="H1797" s="6"/>
      <c r="I1797" s="6"/>
      <c r="J1797" s="6"/>
      <c r="K1797" s="6"/>
    </row>
    <row r="1798" spans="8:11" x14ac:dyDescent="0.25">
      <c r="H1798" s="6"/>
      <c r="I1798" s="6"/>
      <c r="J1798" s="6"/>
      <c r="K1798" s="6"/>
    </row>
    <row r="1799" spans="8:11" x14ac:dyDescent="0.25">
      <c r="H1799" s="6"/>
      <c r="I1799" s="6"/>
      <c r="J1799" s="6"/>
      <c r="K1799" s="6"/>
    </row>
    <row r="1800" spans="8:11" x14ac:dyDescent="0.25">
      <c r="H1800" s="6"/>
      <c r="I1800" s="6"/>
      <c r="J1800" s="6"/>
      <c r="K1800" s="6"/>
    </row>
    <row r="1801" spans="8:11" x14ac:dyDescent="0.25">
      <c r="H1801" s="6"/>
      <c r="I1801" s="6"/>
      <c r="J1801" s="6"/>
      <c r="K1801" s="6"/>
    </row>
    <row r="1802" spans="8:11" x14ac:dyDescent="0.25">
      <c r="H1802" s="6"/>
      <c r="I1802" s="6"/>
      <c r="J1802" s="6"/>
      <c r="K1802" s="6"/>
    </row>
    <row r="1803" spans="8:11" x14ac:dyDescent="0.25">
      <c r="H1803" s="6"/>
      <c r="I1803" s="6"/>
      <c r="J1803" s="6"/>
      <c r="K1803" s="6"/>
    </row>
    <row r="1804" spans="8:11" x14ac:dyDescent="0.25">
      <c r="H1804" s="6"/>
      <c r="I1804" s="6"/>
      <c r="J1804" s="6"/>
      <c r="K1804" s="6"/>
    </row>
    <row r="1805" spans="8:11" x14ac:dyDescent="0.25">
      <c r="H1805" s="6"/>
      <c r="I1805" s="6"/>
      <c r="J1805" s="6"/>
      <c r="K1805" s="6"/>
    </row>
    <row r="1806" spans="8:11" x14ac:dyDescent="0.25">
      <c r="H1806" s="6"/>
      <c r="I1806" s="6"/>
      <c r="J1806" s="6"/>
      <c r="K1806" s="6"/>
    </row>
    <row r="1807" spans="8:11" x14ac:dyDescent="0.25">
      <c r="H1807" s="6"/>
      <c r="I1807" s="6"/>
      <c r="J1807" s="6"/>
      <c r="K1807" s="6"/>
    </row>
    <row r="1808" spans="8:11" x14ac:dyDescent="0.25">
      <c r="H1808" s="6"/>
      <c r="I1808" s="6"/>
      <c r="J1808" s="6"/>
      <c r="K1808" s="6"/>
    </row>
    <row r="1809" spans="8:11" x14ac:dyDescent="0.25">
      <c r="H1809" s="6"/>
      <c r="I1809" s="6"/>
      <c r="J1809" s="6"/>
      <c r="K1809" s="6"/>
    </row>
    <row r="1810" spans="8:11" x14ac:dyDescent="0.25">
      <c r="H1810" s="6"/>
      <c r="I1810" s="6"/>
      <c r="J1810" s="6"/>
      <c r="K1810" s="6"/>
    </row>
    <row r="1811" spans="8:11" x14ac:dyDescent="0.25">
      <c r="H1811" s="6"/>
      <c r="I1811" s="6"/>
      <c r="J1811" s="6"/>
      <c r="K1811" s="6"/>
    </row>
    <row r="1812" spans="8:11" x14ac:dyDescent="0.25">
      <c r="H1812" s="6"/>
      <c r="I1812" s="6"/>
      <c r="J1812" s="6"/>
      <c r="K1812" s="6"/>
    </row>
    <row r="1813" spans="8:11" x14ac:dyDescent="0.25">
      <c r="H1813" s="6"/>
      <c r="I1813" s="6"/>
      <c r="J1813" s="6"/>
      <c r="K1813" s="6"/>
    </row>
    <row r="1814" spans="8:11" x14ac:dyDescent="0.25">
      <c r="H1814" s="6"/>
      <c r="I1814" s="6"/>
      <c r="J1814" s="6"/>
      <c r="K1814" s="6"/>
    </row>
    <row r="1815" spans="8:11" x14ac:dyDescent="0.25">
      <c r="H1815" s="6"/>
      <c r="I1815" s="6"/>
      <c r="J1815" s="6"/>
      <c r="K1815" s="6"/>
    </row>
    <row r="1816" spans="8:11" x14ac:dyDescent="0.25">
      <c r="H1816" s="6"/>
      <c r="I1816" s="6"/>
      <c r="J1816" s="6"/>
      <c r="K1816" s="6"/>
    </row>
    <row r="1817" spans="8:11" x14ac:dyDescent="0.25">
      <c r="H1817" s="6"/>
      <c r="I1817" s="6"/>
      <c r="J1817" s="6"/>
      <c r="K1817" s="6"/>
    </row>
    <row r="1818" spans="8:11" x14ac:dyDescent="0.25">
      <c r="H1818" s="6"/>
      <c r="I1818" s="6"/>
      <c r="J1818" s="6"/>
      <c r="K1818" s="6"/>
    </row>
    <row r="1819" spans="8:11" x14ac:dyDescent="0.25">
      <c r="H1819" s="6"/>
      <c r="I1819" s="6"/>
      <c r="J1819" s="6"/>
      <c r="K1819" s="6"/>
    </row>
    <row r="1820" spans="8:11" x14ac:dyDescent="0.25">
      <c r="H1820" s="6"/>
      <c r="I1820" s="6"/>
      <c r="J1820" s="6"/>
      <c r="K1820" s="6"/>
    </row>
    <row r="1821" spans="8:11" x14ac:dyDescent="0.25">
      <c r="H1821" s="6"/>
      <c r="I1821" s="6"/>
      <c r="J1821" s="6"/>
      <c r="K1821" s="6"/>
    </row>
    <row r="1822" spans="8:11" x14ac:dyDescent="0.25">
      <c r="H1822" s="6"/>
      <c r="I1822" s="6"/>
      <c r="J1822" s="6"/>
      <c r="K1822" s="6"/>
    </row>
    <row r="1823" spans="8:11" x14ac:dyDescent="0.25">
      <c r="H1823" s="6"/>
      <c r="I1823" s="6"/>
      <c r="J1823" s="6"/>
      <c r="K1823" s="6"/>
    </row>
    <row r="1824" spans="8:11" x14ac:dyDescent="0.25">
      <c r="H1824" s="6"/>
      <c r="I1824" s="6"/>
      <c r="J1824" s="6"/>
      <c r="K1824" s="6"/>
    </row>
    <row r="1825" spans="8:11" x14ac:dyDescent="0.25">
      <c r="H1825" s="6"/>
      <c r="I1825" s="6"/>
      <c r="J1825" s="6"/>
      <c r="K1825" s="6"/>
    </row>
    <row r="1826" spans="8:11" x14ac:dyDescent="0.25">
      <c r="H1826" s="6"/>
      <c r="I1826" s="6"/>
      <c r="J1826" s="6"/>
      <c r="K1826" s="6"/>
    </row>
    <row r="1827" spans="8:11" x14ac:dyDescent="0.25">
      <c r="H1827" s="6"/>
      <c r="I1827" s="6"/>
      <c r="J1827" s="6"/>
      <c r="K1827" s="6"/>
    </row>
    <row r="1828" spans="8:11" x14ac:dyDescent="0.25">
      <c r="H1828" s="6"/>
      <c r="I1828" s="6"/>
      <c r="J1828" s="6"/>
      <c r="K1828" s="6"/>
    </row>
    <row r="1829" spans="8:11" x14ac:dyDescent="0.25">
      <c r="H1829" s="6"/>
      <c r="I1829" s="6"/>
      <c r="J1829" s="6"/>
      <c r="K1829" s="6"/>
    </row>
    <row r="1830" spans="8:11" x14ac:dyDescent="0.25">
      <c r="H1830" s="6"/>
      <c r="I1830" s="6"/>
      <c r="J1830" s="6"/>
      <c r="K1830" s="6"/>
    </row>
    <row r="1831" spans="8:11" x14ac:dyDescent="0.25">
      <c r="H1831" s="6"/>
      <c r="I1831" s="6"/>
      <c r="J1831" s="6"/>
      <c r="K1831" s="6"/>
    </row>
    <row r="1832" spans="8:11" x14ac:dyDescent="0.25">
      <c r="H1832" s="6"/>
      <c r="I1832" s="6"/>
      <c r="J1832" s="6"/>
      <c r="K1832" s="6"/>
    </row>
    <row r="1833" spans="8:11" x14ac:dyDescent="0.25">
      <c r="H1833" s="6"/>
      <c r="I1833" s="6"/>
      <c r="J1833" s="6"/>
      <c r="K1833" s="6"/>
    </row>
    <row r="1834" spans="8:11" x14ac:dyDescent="0.25">
      <c r="H1834" s="6"/>
      <c r="I1834" s="6"/>
      <c r="J1834" s="6"/>
      <c r="K1834" s="6"/>
    </row>
    <row r="1835" spans="8:11" x14ac:dyDescent="0.25">
      <c r="H1835" s="6"/>
      <c r="I1835" s="6"/>
      <c r="J1835" s="6"/>
      <c r="K1835" s="6"/>
    </row>
    <row r="1836" spans="8:11" x14ac:dyDescent="0.25">
      <c r="H1836" s="6"/>
      <c r="I1836" s="6"/>
      <c r="J1836" s="6"/>
      <c r="K1836" s="6"/>
    </row>
    <row r="1837" spans="8:11" x14ac:dyDescent="0.25">
      <c r="H1837" s="6"/>
      <c r="I1837" s="6"/>
      <c r="J1837" s="6"/>
      <c r="K1837" s="6"/>
    </row>
    <row r="1838" spans="8:11" x14ac:dyDescent="0.25">
      <c r="H1838" s="6"/>
      <c r="I1838" s="6"/>
      <c r="J1838" s="6"/>
      <c r="K1838" s="6"/>
    </row>
    <row r="1839" spans="8:11" x14ac:dyDescent="0.25">
      <c r="H1839" s="6"/>
      <c r="I1839" s="6"/>
      <c r="J1839" s="6"/>
      <c r="K1839" s="6"/>
    </row>
    <row r="1840" spans="8:11" x14ac:dyDescent="0.25">
      <c r="H1840" s="6"/>
      <c r="I1840" s="6"/>
      <c r="J1840" s="6"/>
      <c r="K1840" s="6"/>
    </row>
    <row r="1841" spans="8:11" x14ac:dyDescent="0.25">
      <c r="H1841" s="6"/>
      <c r="I1841" s="6"/>
      <c r="J1841" s="6"/>
      <c r="K1841" s="6"/>
    </row>
    <row r="1842" spans="8:11" x14ac:dyDescent="0.25">
      <c r="H1842" s="6"/>
      <c r="I1842" s="6"/>
      <c r="J1842" s="6"/>
      <c r="K1842" s="6"/>
    </row>
    <row r="1843" spans="8:11" x14ac:dyDescent="0.25">
      <c r="H1843" s="6"/>
      <c r="I1843" s="6"/>
      <c r="J1843" s="6"/>
      <c r="K1843" s="6"/>
    </row>
    <row r="1844" spans="8:11" x14ac:dyDescent="0.25">
      <c r="H1844" s="6"/>
      <c r="I1844" s="6"/>
      <c r="J1844" s="6"/>
      <c r="K1844" s="6"/>
    </row>
    <row r="1845" spans="8:11" x14ac:dyDescent="0.25">
      <c r="H1845" s="6"/>
      <c r="I1845" s="6"/>
      <c r="J1845" s="6"/>
      <c r="K1845" s="6"/>
    </row>
    <row r="1846" spans="8:11" x14ac:dyDescent="0.25">
      <c r="H1846" s="6"/>
      <c r="I1846" s="6"/>
      <c r="J1846" s="6"/>
      <c r="K1846" s="6"/>
    </row>
    <row r="1847" spans="8:11" x14ac:dyDescent="0.25">
      <c r="H1847" s="6"/>
      <c r="I1847" s="6"/>
      <c r="J1847" s="6"/>
      <c r="K1847" s="6"/>
    </row>
    <row r="1848" spans="8:11" x14ac:dyDescent="0.25">
      <c r="H1848" s="6"/>
      <c r="I1848" s="6"/>
      <c r="J1848" s="6"/>
      <c r="K1848" s="6"/>
    </row>
    <row r="1849" spans="8:11" x14ac:dyDescent="0.25">
      <c r="H1849" s="6"/>
      <c r="I1849" s="6"/>
      <c r="J1849" s="6"/>
      <c r="K1849" s="6"/>
    </row>
    <row r="1850" spans="8:11" x14ac:dyDescent="0.25">
      <c r="H1850" s="6"/>
      <c r="I1850" s="6"/>
      <c r="J1850" s="6"/>
      <c r="K1850" s="6"/>
    </row>
    <row r="1851" spans="8:11" x14ac:dyDescent="0.25">
      <c r="H1851" s="6"/>
      <c r="I1851" s="6"/>
      <c r="J1851" s="6"/>
      <c r="K1851" s="6"/>
    </row>
    <row r="1852" spans="8:11" x14ac:dyDescent="0.25">
      <c r="H1852" s="6"/>
      <c r="I1852" s="6"/>
      <c r="J1852" s="6"/>
      <c r="K1852" s="6"/>
    </row>
    <row r="1853" spans="8:11" x14ac:dyDescent="0.25">
      <c r="H1853" s="6"/>
      <c r="I1853" s="6"/>
      <c r="J1853" s="6"/>
      <c r="K1853" s="6"/>
    </row>
    <row r="1854" spans="8:11" x14ac:dyDescent="0.25">
      <c r="H1854" s="6"/>
      <c r="I1854" s="6"/>
      <c r="J1854" s="6"/>
      <c r="K1854" s="6"/>
    </row>
    <row r="1855" spans="8:11" x14ac:dyDescent="0.25">
      <c r="H1855" s="6"/>
      <c r="I1855" s="6"/>
      <c r="J1855" s="6"/>
      <c r="K1855" s="6"/>
    </row>
    <row r="1856" spans="8:11" x14ac:dyDescent="0.25">
      <c r="H1856" s="6"/>
      <c r="I1856" s="6"/>
      <c r="J1856" s="6"/>
      <c r="K1856" s="6"/>
    </row>
    <row r="1857" spans="8:11" x14ac:dyDescent="0.25">
      <c r="H1857" s="6"/>
      <c r="I1857" s="6"/>
      <c r="J1857" s="6"/>
      <c r="K1857" s="6"/>
    </row>
    <row r="1858" spans="8:11" x14ac:dyDescent="0.25">
      <c r="H1858" s="6"/>
      <c r="I1858" s="6"/>
      <c r="J1858" s="6"/>
      <c r="K1858" s="6"/>
    </row>
    <row r="1859" spans="8:11" x14ac:dyDescent="0.25">
      <c r="H1859" s="6"/>
      <c r="I1859" s="6"/>
      <c r="J1859" s="6"/>
      <c r="K1859" s="6"/>
    </row>
    <row r="1860" spans="8:11" x14ac:dyDescent="0.25">
      <c r="H1860" s="6"/>
      <c r="I1860" s="6"/>
      <c r="J1860" s="6"/>
      <c r="K1860" s="6"/>
    </row>
    <row r="1861" spans="8:11" x14ac:dyDescent="0.25">
      <c r="H1861" s="6"/>
      <c r="I1861" s="6"/>
      <c r="J1861" s="6"/>
      <c r="K1861" s="6"/>
    </row>
    <row r="1862" spans="8:11" x14ac:dyDescent="0.25">
      <c r="H1862" s="6"/>
      <c r="I1862" s="6"/>
      <c r="J1862" s="6"/>
      <c r="K1862" s="6"/>
    </row>
    <row r="1863" spans="8:11" x14ac:dyDescent="0.25">
      <c r="H1863" s="6"/>
      <c r="I1863" s="6"/>
      <c r="J1863" s="6"/>
      <c r="K1863" s="6"/>
    </row>
    <row r="1864" spans="8:11" x14ac:dyDescent="0.25">
      <c r="H1864" s="6"/>
      <c r="I1864" s="6"/>
      <c r="J1864" s="6"/>
      <c r="K1864" s="6"/>
    </row>
    <row r="1865" spans="8:11" x14ac:dyDescent="0.25">
      <c r="H1865" s="6"/>
      <c r="I1865" s="6"/>
      <c r="J1865" s="6"/>
      <c r="K1865" s="6"/>
    </row>
    <row r="1866" spans="8:11" x14ac:dyDescent="0.25">
      <c r="H1866" s="6"/>
      <c r="I1866" s="6"/>
      <c r="J1866" s="6"/>
      <c r="K1866" s="6"/>
    </row>
    <row r="1867" spans="8:11" x14ac:dyDescent="0.25">
      <c r="H1867" s="6"/>
      <c r="I1867" s="6"/>
      <c r="J1867" s="6"/>
      <c r="K1867" s="6"/>
    </row>
    <row r="1868" spans="8:11" x14ac:dyDescent="0.25">
      <c r="H1868" s="6"/>
      <c r="I1868" s="6"/>
      <c r="J1868" s="6"/>
      <c r="K1868" s="6"/>
    </row>
    <row r="1869" spans="8:11" x14ac:dyDescent="0.25">
      <c r="H1869" s="6"/>
      <c r="I1869" s="6"/>
      <c r="J1869" s="6"/>
      <c r="K1869" s="6"/>
    </row>
    <row r="1870" spans="8:11" x14ac:dyDescent="0.25">
      <c r="H1870" s="6"/>
      <c r="I1870" s="6"/>
      <c r="J1870" s="6"/>
      <c r="K1870" s="6"/>
    </row>
    <row r="1871" spans="8:11" x14ac:dyDescent="0.25">
      <c r="H1871" s="6"/>
      <c r="I1871" s="6"/>
      <c r="J1871" s="6"/>
      <c r="K1871" s="6"/>
    </row>
    <row r="1872" spans="8:11" x14ac:dyDescent="0.25">
      <c r="H1872" s="6"/>
      <c r="I1872" s="6"/>
      <c r="J1872" s="6"/>
      <c r="K1872" s="6"/>
    </row>
    <row r="1873" spans="8:11" x14ac:dyDescent="0.25">
      <c r="H1873" s="6"/>
      <c r="I1873" s="6"/>
      <c r="J1873" s="6"/>
      <c r="K1873" s="6"/>
    </row>
    <row r="1874" spans="8:11" x14ac:dyDescent="0.25">
      <c r="H1874" s="6"/>
      <c r="I1874" s="6"/>
      <c r="J1874" s="6"/>
      <c r="K1874" s="6"/>
    </row>
    <row r="1875" spans="8:11" x14ac:dyDescent="0.25">
      <c r="H1875" s="6"/>
      <c r="I1875" s="6"/>
      <c r="J1875" s="6"/>
      <c r="K1875" s="6"/>
    </row>
    <row r="1876" spans="8:11" x14ac:dyDescent="0.25">
      <c r="H1876" s="6"/>
      <c r="I1876" s="6"/>
      <c r="J1876" s="6"/>
      <c r="K1876" s="6"/>
    </row>
    <row r="1877" spans="8:11" x14ac:dyDescent="0.25">
      <c r="H1877" s="6"/>
      <c r="I1877" s="6"/>
      <c r="J1877" s="6"/>
      <c r="K1877" s="6"/>
    </row>
    <row r="1878" spans="8:11" x14ac:dyDescent="0.25">
      <c r="H1878" s="6"/>
      <c r="I1878" s="6"/>
      <c r="J1878" s="6"/>
      <c r="K1878" s="6"/>
    </row>
    <row r="1879" spans="8:11" x14ac:dyDescent="0.25">
      <c r="H1879" s="6"/>
      <c r="I1879" s="6"/>
      <c r="J1879" s="6"/>
      <c r="K1879" s="6"/>
    </row>
    <row r="1880" spans="8:11" x14ac:dyDescent="0.25">
      <c r="H1880" s="6"/>
      <c r="I1880" s="6"/>
      <c r="J1880" s="6"/>
      <c r="K1880" s="6"/>
    </row>
    <row r="1881" spans="8:11" x14ac:dyDescent="0.25">
      <c r="H1881" s="6"/>
      <c r="I1881" s="6"/>
      <c r="J1881" s="6"/>
      <c r="K1881" s="6"/>
    </row>
    <row r="1882" spans="8:11" x14ac:dyDescent="0.25">
      <c r="H1882" s="6"/>
      <c r="I1882" s="6"/>
      <c r="J1882" s="6"/>
      <c r="K1882" s="6"/>
    </row>
    <row r="1883" spans="8:11" x14ac:dyDescent="0.25">
      <c r="H1883" s="6"/>
      <c r="I1883" s="6"/>
      <c r="J1883" s="6"/>
      <c r="K1883" s="6"/>
    </row>
    <row r="1884" spans="8:11" x14ac:dyDescent="0.25">
      <c r="H1884" s="6"/>
      <c r="I1884" s="6"/>
      <c r="J1884" s="6"/>
      <c r="K1884" s="6"/>
    </row>
    <row r="1885" spans="8:11" x14ac:dyDescent="0.25">
      <c r="H1885" s="6"/>
      <c r="I1885" s="6"/>
      <c r="J1885" s="6"/>
      <c r="K1885" s="6"/>
    </row>
    <row r="1886" spans="8:11" x14ac:dyDescent="0.25">
      <c r="H1886" s="6"/>
      <c r="I1886" s="6"/>
      <c r="J1886" s="6"/>
      <c r="K1886" s="6"/>
    </row>
    <row r="1887" spans="8:11" x14ac:dyDescent="0.25">
      <c r="H1887" s="6"/>
      <c r="I1887" s="6"/>
      <c r="J1887" s="6"/>
      <c r="K1887" s="6"/>
    </row>
    <row r="1888" spans="8:11" x14ac:dyDescent="0.25">
      <c r="H1888" s="6"/>
      <c r="I1888" s="6"/>
      <c r="J1888" s="6"/>
      <c r="K1888" s="6"/>
    </row>
    <row r="1889" spans="8:11" x14ac:dyDescent="0.25">
      <c r="H1889" s="6"/>
      <c r="I1889" s="6"/>
      <c r="J1889" s="6"/>
      <c r="K1889" s="6"/>
    </row>
    <row r="1890" spans="8:11" x14ac:dyDescent="0.25">
      <c r="H1890" s="6"/>
      <c r="I1890" s="6"/>
      <c r="J1890" s="6"/>
      <c r="K1890" s="6"/>
    </row>
    <row r="1891" spans="8:11" x14ac:dyDescent="0.25">
      <c r="H1891" s="6"/>
      <c r="I1891" s="6"/>
      <c r="J1891" s="6"/>
      <c r="K1891" s="6"/>
    </row>
    <row r="1892" spans="8:11" x14ac:dyDescent="0.25">
      <c r="H1892" s="6"/>
      <c r="I1892" s="6"/>
      <c r="J1892" s="6"/>
      <c r="K1892" s="6"/>
    </row>
    <row r="1893" spans="8:11" x14ac:dyDescent="0.25">
      <c r="H1893" s="6"/>
      <c r="I1893" s="6"/>
      <c r="J1893" s="6"/>
      <c r="K1893" s="6"/>
    </row>
    <row r="1894" spans="8:11" x14ac:dyDescent="0.25">
      <c r="H1894" s="6"/>
      <c r="I1894" s="6"/>
      <c r="J1894" s="6"/>
      <c r="K1894" s="6"/>
    </row>
    <row r="1895" spans="8:11" x14ac:dyDescent="0.25">
      <c r="H1895" s="6"/>
      <c r="I1895" s="6"/>
      <c r="J1895" s="6"/>
      <c r="K1895" s="6"/>
    </row>
    <row r="1896" spans="8:11" x14ac:dyDescent="0.25">
      <c r="H1896" s="6"/>
      <c r="I1896" s="6"/>
      <c r="J1896" s="6"/>
      <c r="K1896" s="6"/>
    </row>
    <row r="1897" spans="8:11" x14ac:dyDescent="0.25">
      <c r="H1897" s="6"/>
      <c r="I1897" s="6"/>
      <c r="J1897" s="6"/>
      <c r="K1897" s="6"/>
    </row>
    <row r="1898" spans="8:11" x14ac:dyDescent="0.25">
      <c r="H1898" s="6"/>
      <c r="I1898" s="6"/>
      <c r="J1898" s="6"/>
      <c r="K1898" s="6"/>
    </row>
    <row r="1899" spans="8:11" x14ac:dyDescent="0.25">
      <c r="H1899" s="6"/>
      <c r="I1899" s="6"/>
      <c r="J1899" s="6"/>
      <c r="K1899" s="6"/>
    </row>
    <row r="1900" spans="8:11" x14ac:dyDescent="0.25">
      <c r="H1900" s="6"/>
      <c r="I1900" s="6"/>
      <c r="J1900" s="6"/>
      <c r="K1900" s="6"/>
    </row>
    <row r="1901" spans="8:11" x14ac:dyDescent="0.25">
      <c r="H1901" s="6"/>
      <c r="I1901" s="6"/>
      <c r="J1901" s="6"/>
      <c r="K1901" s="6"/>
    </row>
    <row r="1902" spans="8:11" x14ac:dyDescent="0.25">
      <c r="H1902" s="6"/>
      <c r="I1902" s="6"/>
      <c r="J1902" s="6"/>
      <c r="K1902" s="6"/>
    </row>
    <row r="1903" spans="8:11" x14ac:dyDescent="0.25">
      <c r="H1903" s="6"/>
      <c r="I1903" s="6"/>
      <c r="J1903" s="6"/>
      <c r="K1903" s="6"/>
    </row>
    <row r="1904" spans="8:11" x14ac:dyDescent="0.25">
      <c r="H1904" s="6"/>
      <c r="I1904" s="6"/>
      <c r="J1904" s="6"/>
      <c r="K1904" s="6"/>
    </row>
    <row r="1905" spans="8:11" x14ac:dyDescent="0.25">
      <c r="H1905" s="6"/>
      <c r="I1905" s="6"/>
      <c r="J1905" s="6"/>
      <c r="K1905" s="6"/>
    </row>
    <row r="1906" spans="8:11" x14ac:dyDescent="0.25">
      <c r="H1906" s="6"/>
      <c r="I1906" s="6"/>
      <c r="J1906" s="6"/>
      <c r="K1906" s="6"/>
    </row>
    <row r="1907" spans="8:11" x14ac:dyDescent="0.25">
      <c r="H1907" s="6"/>
      <c r="I1907" s="6"/>
      <c r="J1907" s="6"/>
      <c r="K1907" s="6"/>
    </row>
    <row r="1908" spans="8:11" x14ac:dyDescent="0.25">
      <c r="H1908" s="6"/>
      <c r="I1908" s="6"/>
      <c r="J1908" s="6"/>
      <c r="K1908" s="6"/>
    </row>
    <row r="1909" spans="8:11" x14ac:dyDescent="0.25">
      <c r="H1909" s="6"/>
      <c r="I1909" s="6"/>
      <c r="J1909" s="6"/>
      <c r="K1909" s="6"/>
    </row>
    <row r="1910" spans="8:11" x14ac:dyDescent="0.25">
      <c r="H1910" s="6"/>
      <c r="I1910" s="6"/>
      <c r="J1910" s="6"/>
      <c r="K1910" s="6"/>
    </row>
    <row r="1911" spans="8:11" x14ac:dyDescent="0.25">
      <c r="H1911" s="6"/>
      <c r="I1911" s="6"/>
      <c r="J1911" s="6"/>
      <c r="K1911" s="6"/>
    </row>
    <row r="1912" spans="8:11" x14ac:dyDescent="0.25">
      <c r="H1912" s="6"/>
      <c r="I1912" s="6"/>
      <c r="J1912" s="6"/>
      <c r="K1912" s="6"/>
    </row>
    <row r="1913" spans="8:11" x14ac:dyDescent="0.25">
      <c r="H1913" s="6"/>
      <c r="I1913" s="6"/>
      <c r="J1913" s="6"/>
      <c r="K1913" s="6"/>
    </row>
    <row r="1914" spans="8:11" x14ac:dyDescent="0.25">
      <c r="H1914" s="6"/>
      <c r="I1914" s="6"/>
      <c r="J1914" s="6"/>
      <c r="K1914" s="6"/>
    </row>
    <row r="1915" spans="8:11" x14ac:dyDescent="0.25">
      <c r="H1915" s="6"/>
      <c r="I1915" s="6"/>
      <c r="J1915" s="6"/>
      <c r="K1915" s="6"/>
    </row>
    <row r="1916" spans="8:11" x14ac:dyDescent="0.25">
      <c r="H1916" s="6"/>
      <c r="I1916" s="6"/>
      <c r="J1916" s="6"/>
      <c r="K1916" s="6"/>
    </row>
    <row r="1917" spans="8:11" x14ac:dyDescent="0.25">
      <c r="H1917" s="6"/>
      <c r="I1917" s="6"/>
      <c r="J1917" s="6"/>
      <c r="K1917" s="6"/>
    </row>
    <row r="1918" spans="8:11" x14ac:dyDescent="0.25">
      <c r="H1918" s="6"/>
      <c r="I1918" s="6"/>
      <c r="J1918" s="6"/>
      <c r="K1918" s="6"/>
    </row>
    <row r="1919" spans="8:11" x14ac:dyDescent="0.25">
      <c r="H1919" s="6"/>
      <c r="I1919" s="6"/>
      <c r="J1919" s="6"/>
      <c r="K1919" s="6"/>
    </row>
    <row r="1920" spans="8:11" x14ac:dyDescent="0.25">
      <c r="H1920" s="6"/>
      <c r="I1920" s="6"/>
      <c r="J1920" s="6"/>
      <c r="K1920" s="6"/>
    </row>
    <row r="1921" spans="8:11" x14ac:dyDescent="0.25">
      <c r="H1921" s="6"/>
      <c r="I1921" s="6"/>
      <c r="J1921" s="6"/>
      <c r="K1921" s="6"/>
    </row>
    <row r="1922" spans="8:11" x14ac:dyDescent="0.25">
      <c r="H1922" s="6"/>
      <c r="I1922" s="6"/>
      <c r="J1922" s="6"/>
      <c r="K1922" s="6"/>
    </row>
    <row r="1923" spans="8:11" x14ac:dyDescent="0.25">
      <c r="H1923" s="6"/>
      <c r="I1923" s="6"/>
      <c r="J1923" s="6"/>
      <c r="K1923" s="6"/>
    </row>
    <row r="1924" spans="8:11" x14ac:dyDescent="0.25">
      <c r="H1924" s="6"/>
      <c r="I1924" s="6"/>
      <c r="J1924" s="6"/>
      <c r="K1924" s="6"/>
    </row>
    <row r="1925" spans="8:11" x14ac:dyDescent="0.25">
      <c r="H1925" s="6"/>
      <c r="I1925" s="6"/>
      <c r="J1925" s="6"/>
      <c r="K1925" s="6"/>
    </row>
    <row r="1926" spans="8:11" x14ac:dyDescent="0.25">
      <c r="H1926" s="6"/>
      <c r="I1926" s="6"/>
      <c r="J1926" s="6"/>
      <c r="K1926" s="6"/>
    </row>
    <row r="1927" spans="8:11" x14ac:dyDescent="0.25">
      <c r="H1927" s="6"/>
      <c r="I1927" s="6"/>
      <c r="J1927" s="6"/>
      <c r="K1927" s="6"/>
    </row>
    <row r="1928" spans="8:11" x14ac:dyDescent="0.25">
      <c r="H1928" s="6"/>
      <c r="I1928" s="6"/>
      <c r="J1928" s="6"/>
      <c r="K1928" s="6"/>
    </row>
    <row r="1929" spans="8:11" x14ac:dyDescent="0.25">
      <c r="H1929" s="6"/>
      <c r="I1929" s="6"/>
      <c r="J1929" s="6"/>
      <c r="K1929" s="6"/>
    </row>
    <row r="1930" spans="8:11" x14ac:dyDescent="0.25">
      <c r="H1930" s="6"/>
      <c r="I1930" s="6"/>
      <c r="J1930" s="6"/>
      <c r="K1930" s="6"/>
    </row>
    <row r="1931" spans="8:11" x14ac:dyDescent="0.25">
      <c r="H1931" s="6"/>
      <c r="I1931" s="6"/>
      <c r="J1931" s="6"/>
      <c r="K1931" s="6"/>
    </row>
    <row r="1932" spans="8:11" x14ac:dyDescent="0.25">
      <c r="H1932" s="6"/>
      <c r="I1932" s="6"/>
      <c r="J1932" s="6"/>
      <c r="K1932" s="6"/>
    </row>
    <row r="1933" spans="8:11" x14ac:dyDescent="0.25">
      <c r="H1933" s="6"/>
      <c r="I1933" s="6"/>
      <c r="J1933" s="6"/>
      <c r="K1933" s="6"/>
    </row>
    <row r="1934" spans="8:11" x14ac:dyDescent="0.25">
      <c r="H1934" s="6"/>
      <c r="I1934" s="6"/>
      <c r="J1934" s="6"/>
      <c r="K1934" s="6"/>
    </row>
    <row r="1935" spans="8:11" x14ac:dyDescent="0.25">
      <c r="H1935" s="6"/>
      <c r="I1935" s="6"/>
      <c r="J1935" s="6"/>
      <c r="K1935" s="6"/>
    </row>
    <row r="1936" spans="8:11" x14ac:dyDescent="0.25">
      <c r="H1936" s="6"/>
      <c r="I1936" s="6"/>
      <c r="J1936" s="6"/>
      <c r="K1936" s="6"/>
    </row>
    <row r="1937" spans="8:11" x14ac:dyDescent="0.25">
      <c r="H1937" s="6"/>
      <c r="I1937" s="6"/>
      <c r="J1937" s="6"/>
      <c r="K1937" s="6"/>
    </row>
    <row r="1938" spans="8:11" x14ac:dyDescent="0.25">
      <c r="H1938" s="6"/>
      <c r="I1938" s="6"/>
      <c r="J1938" s="6"/>
      <c r="K1938" s="6"/>
    </row>
    <row r="1939" spans="8:11" x14ac:dyDescent="0.25">
      <c r="H1939" s="6"/>
      <c r="I1939" s="6"/>
      <c r="J1939" s="6"/>
      <c r="K1939" s="6"/>
    </row>
    <row r="1940" spans="8:11" x14ac:dyDescent="0.25">
      <c r="H1940" s="6"/>
      <c r="I1940" s="6"/>
      <c r="J1940" s="6"/>
      <c r="K1940" s="6"/>
    </row>
    <row r="1941" spans="8:11" x14ac:dyDescent="0.25">
      <c r="H1941" s="6"/>
      <c r="I1941" s="6"/>
      <c r="J1941" s="6"/>
      <c r="K1941" s="6"/>
    </row>
    <row r="1942" spans="8:11" x14ac:dyDescent="0.25">
      <c r="H1942" s="6"/>
      <c r="I1942" s="6"/>
      <c r="J1942" s="6"/>
      <c r="K1942" s="6"/>
    </row>
    <row r="1943" spans="8:11" x14ac:dyDescent="0.25">
      <c r="H1943" s="6"/>
      <c r="I1943" s="6"/>
      <c r="J1943" s="6"/>
      <c r="K1943" s="6"/>
    </row>
    <row r="1944" spans="8:11" x14ac:dyDescent="0.25">
      <c r="H1944" s="6"/>
      <c r="I1944" s="6"/>
      <c r="J1944" s="6"/>
      <c r="K1944" s="6"/>
    </row>
    <row r="1945" spans="8:11" x14ac:dyDescent="0.25">
      <c r="H1945" s="6"/>
      <c r="I1945" s="6"/>
      <c r="J1945" s="6"/>
      <c r="K1945" s="6"/>
    </row>
    <row r="1946" spans="8:11" x14ac:dyDescent="0.25">
      <c r="H1946" s="6"/>
      <c r="I1946" s="6"/>
      <c r="J1946" s="6"/>
      <c r="K1946" s="6"/>
    </row>
    <row r="1947" spans="8:11" x14ac:dyDescent="0.25">
      <c r="H1947" s="6"/>
      <c r="I1947" s="6"/>
      <c r="J1947" s="6"/>
      <c r="K1947" s="6"/>
    </row>
    <row r="1948" spans="8:11" x14ac:dyDescent="0.25">
      <c r="H1948" s="6"/>
      <c r="I1948" s="6"/>
      <c r="J1948" s="6"/>
      <c r="K1948" s="6"/>
    </row>
    <row r="1949" spans="8:11" x14ac:dyDescent="0.25">
      <c r="H1949" s="6"/>
      <c r="I1949" s="6"/>
      <c r="J1949" s="6"/>
      <c r="K1949" s="6"/>
    </row>
    <row r="1950" spans="8:11" x14ac:dyDescent="0.25">
      <c r="H1950" s="6"/>
      <c r="I1950" s="6"/>
      <c r="J1950" s="6"/>
      <c r="K1950" s="6"/>
    </row>
    <row r="1951" spans="8:11" x14ac:dyDescent="0.25">
      <c r="H1951" s="6"/>
      <c r="I1951" s="6"/>
      <c r="J1951" s="6"/>
      <c r="K1951" s="6"/>
    </row>
    <row r="1952" spans="8:11" x14ac:dyDescent="0.25">
      <c r="H1952" s="6"/>
      <c r="I1952" s="6"/>
      <c r="J1952" s="6"/>
      <c r="K1952" s="6"/>
    </row>
    <row r="1953" spans="8:11" x14ac:dyDescent="0.25">
      <c r="H1953" s="6"/>
      <c r="I1953" s="6"/>
      <c r="J1953" s="6"/>
      <c r="K1953" s="6"/>
    </row>
    <row r="1954" spans="8:11" x14ac:dyDescent="0.25">
      <c r="H1954" s="6"/>
      <c r="I1954" s="6"/>
      <c r="J1954" s="6"/>
      <c r="K1954" s="6"/>
    </row>
    <row r="1955" spans="8:11" x14ac:dyDescent="0.25">
      <c r="H1955" s="6"/>
      <c r="I1955" s="6"/>
      <c r="J1955" s="6"/>
      <c r="K1955" s="6"/>
    </row>
    <row r="1956" spans="8:11" x14ac:dyDescent="0.25">
      <c r="H1956" s="6"/>
      <c r="I1956" s="6"/>
      <c r="J1956" s="6"/>
      <c r="K1956" s="6"/>
    </row>
    <row r="1957" spans="8:11" x14ac:dyDescent="0.25">
      <c r="H1957" s="6"/>
      <c r="I1957" s="6"/>
      <c r="J1957" s="6"/>
      <c r="K1957" s="6"/>
    </row>
    <row r="1958" spans="8:11" x14ac:dyDescent="0.25">
      <c r="H1958" s="6"/>
      <c r="I1958" s="6"/>
      <c r="J1958" s="6"/>
      <c r="K1958" s="6"/>
    </row>
    <row r="1959" spans="8:11" x14ac:dyDescent="0.25">
      <c r="H1959" s="6"/>
      <c r="I1959" s="6"/>
      <c r="J1959" s="6"/>
      <c r="K1959" s="6"/>
    </row>
    <row r="1960" spans="8:11" x14ac:dyDescent="0.25">
      <c r="H1960" s="6"/>
      <c r="I1960" s="6"/>
      <c r="J1960" s="6"/>
      <c r="K1960" s="6"/>
    </row>
    <row r="1961" spans="8:11" x14ac:dyDescent="0.25">
      <c r="H1961" s="6"/>
      <c r="I1961" s="6"/>
      <c r="J1961" s="6"/>
      <c r="K1961" s="6"/>
    </row>
    <row r="1962" spans="8:11" x14ac:dyDescent="0.25">
      <c r="H1962" s="6"/>
      <c r="I1962" s="6"/>
      <c r="J1962" s="6"/>
      <c r="K1962" s="6"/>
    </row>
    <row r="1963" spans="8:11" x14ac:dyDescent="0.25">
      <c r="H1963" s="6"/>
      <c r="I1963" s="6"/>
      <c r="J1963" s="6"/>
      <c r="K1963" s="6"/>
    </row>
    <row r="1964" spans="8:11" x14ac:dyDescent="0.25">
      <c r="H1964" s="6"/>
      <c r="I1964" s="6"/>
      <c r="J1964" s="6"/>
      <c r="K1964" s="6"/>
    </row>
    <row r="1965" spans="8:11" x14ac:dyDescent="0.25">
      <c r="H1965" s="6"/>
      <c r="I1965" s="6"/>
      <c r="J1965" s="6"/>
      <c r="K1965" s="6"/>
    </row>
    <row r="1966" spans="8:11" x14ac:dyDescent="0.25">
      <c r="H1966" s="6"/>
      <c r="I1966" s="6"/>
      <c r="J1966" s="6"/>
      <c r="K1966" s="6"/>
    </row>
    <row r="1967" spans="8:11" x14ac:dyDescent="0.25">
      <c r="H1967" s="6"/>
      <c r="I1967" s="6"/>
      <c r="J1967" s="6"/>
      <c r="K1967" s="6"/>
    </row>
    <row r="1968" spans="8:11" x14ac:dyDescent="0.25">
      <c r="H1968" s="6"/>
      <c r="I1968" s="6"/>
      <c r="J1968" s="6"/>
      <c r="K1968" s="6"/>
    </row>
    <row r="1969" spans="8:11" x14ac:dyDescent="0.25">
      <c r="H1969" s="6"/>
      <c r="I1969" s="6"/>
      <c r="J1969" s="6"/>
      <c r="K1969" s="6"/>
    </row>
    <row r="1970" spans="8:11" x14ac:dyDescent="0.25">
      <c r="H1970" s="6"/>
      <c r="I1970" s="6"/>
      <c r="J1970" s="6"/>
      <c r="K1970" s="6"/>
    </row>
    <row r="1971" spans="8:11" x14ac:dyDescent="0.25">
      <c r="H1971" s="6"/>
      <c r="I1971" s="6"/>
      <c r="J1971" s="6"/>
      <c r="K1971" s="6"/>
    </row>
    <row r="1972" spans="8:11" x14ac:dyDescent="0.25">
      <c r="H1972" s="6"/>
      <c r="I1972" s="6"/>
      <c r="J1972" s="6"/>
      <c r="K1972" s="6"/>
    </row>
    <row r="1973" spans="8:11" x14ac:dyDescent="0.25">
      <c r="H1973" s="6"/>
      <c r="I1973" s="6"/>
      <c r="J1973" s="6"/>
      <c r="K1973" s="6"/>
    </row>
    <row r="1974" spans="8:11" x14ac:dyDescent="0.25">
      <c r="H1974" s="6"/>
      <c r="I1974" s="6"/>
      <c r="J1974" s="6"/>
      <c r="K1974" s="6"/>
    </row>
    <row r="1975" spans="8:11" x14ac:dyDescent="0.25">
      <c r="H1975" s="6"/>
      <c r="I1975" s="6"/>
      <c r="J1975" s="6"/>
      <c r="K1975" s="6"/>
    </row>
    <row r="1976" spans="8:11" x14ac:dyDescent="0.25">
      <c r="H1976" s="6"/>
      <c r="I1976" s="6"/>
      <c r="J1976" s="6"/>
      <c r="K1976" s="6"/>
    </row>
    <row r="1977" spans="8:11" x14ac:dyDescent="0.25">
      <c r="H1977" s="6"/>
      <c r="I1977" s="6"/>
      <c r="J1977" s="6"/>
      <c r="K1977" s="6"/>
    </row>
    <row r="1978" spans="8:11" x14ac:dyDescent="0.25">
      <c r="H1978" s="6"/>
      <c r="I1978" s="6"/>
      <c r="J1978" s="6"/>
      <c r="K1978" s="6"/>
    </row>
    <row r="1979" spans="8:11" x14ac:dyDescent="0.25">
      <c r="H1979" s="6"/>
      <c r="I1979" s="6"/>
      <c r="J1979" s="6"/>
      <c r="K1979" s="6"/>
    </row>
    <row r="1980" spans="8:11" x14ac:dyDescent="0.25">
      <c r="H1980" s="6"/>
      <c r="I1980" s="6"/>
      <c r="J1980" s="6"/>
      <c r="K1980" s="6"/>
    </row>
    <row r="1981" spans="8:11" x14ac:dyDescent="0.25">
      <c r="H1981" s="6"/>
      <c r="I1981" s="6"/>
      <c r="J1981" s="6"/>
      <c r="K1981" s="6"/>
    </row>
    <row r="1982" spans="8:11" x14ac:dyDescent="0.25">
      <c r="H1982" s="6"/>
      <c r="I1982" s="6"/>
      <c r="J1982" s="6"/>
      <c r="K1982" s="6"/>
    </row>
    <row r="1983" spans="8:11" x14ac:dyDescent="0.25">
      <c r="H1983" s="6"/>
      <c r="I1983" s="6"/>
      <c r="J1983" s="6"/>
      <c r="K1983" s="6"/>
    </row>
    <row r="1984" spans="8:11" x14ac:dyDescent="0.25">
      <c r="H1984" s="6"/>
      <c r="I1984" s="6"/>
      <c r="J1984" s="6"/>
      <c r="K1984" s="6"/>
    </row>
    <row r="1985" spans="8:11" x14ac:dyDescent="0.25">
      <c r="H1985" s="6"/>
      <c r="I1985" s="6"/>
      <c r="J1985" s="6"/>
      <c r="K1985" s="6"/>
    </row>
    <row r="1986" spans="8:11" x14ac:dyDescent="0.25">
      <c r="H1986" s="6"/>
      <c r="I1986" s="6"/>
      <c r="J1986" s="6"/>
      <c r="K1986" s="6"/>
    </row>
    <row r="1987" spans="8:11" x14ac:dyDescent="0.25">
      <c r="H1987" s="6"/>
      <c r="I1987" s="6"/>
      <c r="J1987" s="6"/>
      <c r="K1987" s="6"/>
    </row>
    <row r="1988" spans="8:11" x14ac:dyDescent="0.25">
      <c r="H1988" s="6"/>
      <c r="I1988" s="6"/>
      <c r="J1988" s="6"/>
      <c r="K1988" s="6"/>
    </row>
    <row r="1989" spans="8:11" x14ac:dyDescent="0.25">
      <c r="H1989" s="6"/>
      <c r="I1989" s="6"/>
      <c r="J1989" s="6"/>
      <c r="K1989" s="6"/>
    </row>
    <row r="1990" spans="8:11" x14ac:dyDescent="0.25">
      <c r="H1990" s="6"/>
      <c r="I1990" s="6"/>
      <c r="J1990" s="6"/>
      <c r="K1990" s="6"/>
    </row>
    <row r="1991" spans="8:11" x14ac:dyDescent="0.25">
      <c r="H1991" s="6"/>
      <c r="I1991" s="6"/>
      <c r="J1991" s="6"/>
      <c r="K1991" s="6"/>
    </row>
    <row r="1992" spans="8:11" x14ac:dyDescent="0.25">
      <c r="H1992" s="6"/>
      <c r="I1992" s="6"/>
      <c r="J1992" s="6"/>
      <c r="K1992" s="6"/>
    </row>
    <row r="1993" spans="8:11" x14ac:dyDescent="0.25">
      <c r="H1993" s="6"/>
      <c r="I1993" s="6"/>
      <c r="J1993" s="6"/>
      <c r="K1993" s="6"/>
    </row>
    <row r="1994" spans="8:11" x14ac:dyDescent="0.25">
      <c r="H1994" s="6"/>
      <c r="I1994" s="6"/>
      <c r="J1994" s="6"/>
      <c r="K1994" s="6"/>
    </row>
    <row r="1995" spans="8:11" x14ac:dyDescent="0.25">
      <c r="H1995" s="6"/>
      <c r="I1995" s="6"/>
      <c r="J1995" s="6"/>
      <c r="K1995" s="6"/>
    </row>
    <row r="1996" spans="8:11" x14ac:dyDescent="0.25">
      <c r="H1996" s="6"/>
      <c r="I1996" s="6"/>
      <c r="J1996" s="6"/>
      <c r="K1996" s="6"/>
    </row>
    <row r="1997" spans="8:11" x14ac:dyDescent="0.25">
      <c r="H1997" s="6"/>
      <c r="I1997" s="6"/>
      <c r="J1997" s="6"/>
      <c r="K1997" s="6"/>
    </row>
    <row r="1998" spans="8:11" x14ac:dyDescent="0.25">
      <c r="H1998" s="6"/>
      <c r="I1998" s="6"/>
      <c r="J1998" s="6"/>
      <c r="K1998" s="6"/>
    </row>
    <row r="1999" spans="8:11" x14ac:dyDescent="0.25">
      <c r="H1999" s="6"/>
      <c r="I1999" s="6"/>
      <c r="J1999" s="6"/>
      <c r="K1999" s="6"/>
    </row>
    <row r="2000" spans="8:11" x14ac:dyDescent="0.25">
      <c r="H2000" s="6"/>
      <c r="I2000" s="6"/>
      <c r="J2000" s="6"/>
      <c r="K2000" s="6"/>
    </row>
    <row r="2001" spans="8:11" x14ac:dyDescent="0.25">
      <c r="H2001" s="6"/>
      <c r="I2001" s="6"/>
      <c r="J2001" s="6"/>
      <c r="K2001" s="6"/>
    </row>
    <row r="2002" spans="8:11" x14ac:dyDescent="0.25">
      <c r="H2002" s="6"/>
      <c r="I2002" s="6"/>
      <c r="J2002" s="6"/>
      <c r="K2002" s="6"/>
    </row>
    <row r="2003" spans="8:11" x14ac:dyDescent="0.25">
      <c r="H2003" s="6"/>
      <c r="I2003" s="6"/>
      <c r="J2003" s="6"/>
      <c r="K2003" s="6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375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</row>
    <row r="2" spans="1:13" x14ac:dyDescent="0.25">
      <c r="A2" s="2" t="s">
        <v>14</v>
      </c>
      <c r="B2" s="2">
        <v>2025</v>
      </c>
      <c r="C2" s="2" t="s">
        <v>15</v>
      </c>
      <c r="D2" s="2" t="s">
        <v>16</v>
      </c>
      <c r="E2" s="2" t="s">
        <v>17</v>
      </c>
      <c r="F2" s="3">
        <v>43469</v>
      </c>
      <c r="G2" s="2" t="s">
        <v>18</v>
      </c>
      <c r="H2" s="2" t="s">
        <v>19</v>
      </c>
      <c r="I2" s="4" t="s">
        <v>20</v>
      </c>
      <c r="J2" s="2" t="s">
        <v>21</v>
      </c>
      <c r="K2" s="2" t="s">
        <v>22</v>
      </c>
      <c r="L2" s="2" t="s">
        <v>89</v>
      </c>
      <c r="M2" s="2" t="s">
        <v>24</v>
      </c>
    </row>
    <row r="3" spans="1:13" x14ac:dyDescent="0.25">
      <c r="A3" s="6">
        <v>1</v>
      </c>
      <c r="B3" s="6">
        <v>2025</v>
      </c>
      <c r="C3" s="7">
        <v>45764</v>
      </c>
      <c r="D3" s="6" t="s">
        <v>25</v>
      </c>
      <c r="E3" s="6" t="s">
        <v>26</v>
      </c>
      <c r="F3" s="6">
        <v>1</v>
      </c>
      <c r="G3" s="6" t="s">
        <v>27</v>
      </c>
      <c r="H3" s="6">
        <v>1</v>
      </c>
      <c r="I3" s="6">
        <v>1</v>
      </c>
      <c r="J3" s="6">
        <v>0</v>
      </c>
      <c r="K3" s="6" t="s">
        <v>28</v>
      </c>
      <c r="L3" s="6" t="str">
        <f>VLOOKUP(K3, 'Alphabetical by species code'!A:B, 2, FALSE)</f>
        <v>Litter</v>
      </c>
    </row>
    <row r="4" spans="1:13" x14ac:dyDescent="0.25">
      <c r="A4" s="6">
        <v>1</v>
      </c>
      <c r="B4" s="6">
        <v>2025</v>
      </c>
      <c r="C4" s="7">
        <v>45764</v>
      </c>
      <c r="D4" s="6" t="s">
        <v>25</v>
      </c>
      <c r="E4" s="6" t="s">
        <v>26</v>
      </c>
      <c r="F4" s="6">
        <v>1</v>
      </c>
      <c r="G4" s="6" t="s">
        <v>27</v>
      </c>
      <c r="H4" s="6">
        <v>1</v>
      </c>
      <c r="I4" s="6">
        <v>1</v>
      </c>
      <c r="J4" s="6">
        <v>0</v>
      </c>
      <c r="K4" s="6" t="s">
        <v>29</v>
      </c>
      <c r="L4" s="6" t="str">
        <f>VLOOKUP(K4, 'Alphabetical by species code'!A:B, 2, FALSE)</f>
        <v>Opuntia littoralis</v>
      </c>
    </row>
    <row r="5" spans="1:13" x14ac:dyDescent="0.25">
      <c r="A5" s="6">
        <v>1</v>
      </c>
      <c r="B5" s="6">
        <v>2025</v>
      </c>
      <c r="C5" s="7">
        <v>45764</v>
      </c>
      <c r="D5" s="6" t="s">
        <v>25</v>
      </c>
      <c r="E5" s="6" t="s">
        <v>26</v>
      </c>
      <c r="F5" s="6">
        <v>1</v>
      </c>
      <c r="G5" s="6" t="s">
        <v>27</v>
      </c>
      <c r="H5" s="6">
        <v>1</v>
      </c>
      <c r="I5" s="6">
        <v>1</v>
      </c>
      <c r="J5" s="6">
        <v>0</v>
      </c>
      <c r="K5" s="6" t="s">
        <v>30</v>
      </c>
      <c r="L5" s="6" t="str">
        <f>VLOOKUP(K5, 'Alphabetical by species code'!A:B, 2, FALSE)</f>
        <v>Erodium moschatum</v>
      </c>
    </row>
    <row r="6" spans="1:13" x14ac:dyDescent="0.25">
      <c r="A6" s="6">
        <v>1</v>
      </c>
      <c r="B6" s="6">
        <v>2025</v>
      </c>
      <c r="C6" s="7">
        <v>45764</v>
      </c>
      <c r="D6" s="6" t="s">
        <v>25</v>
      </c>
      <c r="E6" s="6" t="s">
        <v>26</v>
      </c>
      <c r="F6" s="6">
        <v>1</v>
      </c>
      <c r="G6" s="6" t="s">
        <v>27</v>
      </c>
      <c r="H6" s="6">
        <v>1</v>
      </c>
      <c r="I6" s="6">
        <v>1</v>
      </c>
      <c r="J6" s="6">
        <v>0</v>
      </c>
      <c r="K6" s="6" t="s">
        <v>31</v>
      </c>
      <c r="L6" s="6" t="str">
        <f>VLOOKUP(K6, 'Alphabetical by species code'!A:B, 2, FALSE)</f>
        <v>Festuca myuros</v>
      </c>
    </row>
    <row r="7" spans="1:13" x14ac:dyDescent="0.25">
      <c r="A7" s="6">
        <v>1</v>
      </c>
      <c r="B7" s="6">
        <v>2025</v>
      </c>
      <c r="C7" s="7">
        <v>45764</v>
      </c>
      <c r="D7" s="6" t="s">
        <v>25</v>
      </c>
      <c r="E7" s="6" t="s">
        <v>26</v>
      </c>
      <c r="F7" s="6">
        <v>1</v>
      </c>
      <c r="G7" s="6" t="s">
        <v>27</v>
      </c>
      <c r="H7" s="6">
        <v>1</v>
      </c>
      <c r="I7" s="6">
        <v>2</v>
      </c>
      <c r="J7" s="6">
        <v>0.5</v>
      </c>
      <c r="K7" s="6" t="s">
        <v>28</v>
      </c>
      <c r="L7" s="6" t="str">
        <f>VLOOKUP(K7, 'Alphabetical by species code'!A:B, 2, FALSE)</f>
        <v>Litter</v>
      </c>
    </row>
    <row r="8" spans="1:13" x14ac:dyDescent="0.25">
      <c r="A8" s="6">
        <v>1</v>
      </c>
      <c r="B8" s="6">
        <v>2025</v>
      </c>
      <c r="C8" s="7">
        <v>45764</v>
      </c>
      <c r="D8" s="6" t="s">
        <v>25</v>
      </c>
      <c r="E8" s="6" t="s">
        <v>26</v>
      </c>
      <c r="F8" s="6">
        <v>1</v>
      </c>
      <c r="G8" s="6" t="s">
        <v>27</v>
      </c>
      <c r="H8" s="6">
        <v>1</v>
      </c>
      <c r="I8" s="6">
        <v>2</v>
      </c>
      <c r="J8" s="6">
        <v>0.5</v>
      </c>
      <c r="K8" s="6" t="s">
        <v>32</v>
      </c>
      <c r="L8" s="6" t="str">
        <f>VLOOKUP(K8, 'Alphabetical by species code'!A:B, 2, FALSE)</f>
        <v>Medicago polymorpha</v>
      </c>
    </row>
    <row r="9" spans="1:13" x14ac:dyDescent="0.25">
      <c r="A9" s="6">
        <v>1</v>
      </c>
      <c r="B9" s="6">
        <v>2025</v>
      </c>
      <c r="C9" s="7">
        <v>45764</v>
      </c>
      <c r="D9" s="6" t="s">
        <v>25</v>
      </c>
      <c r="E9" s="6" t="s">
        <v>26</v>
      </c>
      <c r="F9" s="6">
        <v>1</v>
      </c>
      <c r="G9" s="6" t="s">
        <v>27</v>
      </c>
      <c r="H9" s="6">
        <v>1</v>
      </c>
      <c r="I9" s="6">
        <v>2</v>
      </c>
      <c r="J9" s="6">
        <v>0.5</v>
      </c>
      <c r="K9" s="6" t="s">
        <v>29</v>
      </c>
      <c r="L9" s="6" t="str">
        <f>VLOOKUP(K9, 'Alphabetical by species code'!A:B, 2, FALSE)</f>
        <v>Opuntia littoralis</v>
      </c>
    </row>
    <row r="10" spans="1:13" x14ac:dyDescent="0.25">
      <c r="A10" s="6">
        <v>1</v>
      </c>
      <c r="B10" s="6">
        <v>2025</v>
      </c>
      <c r="C10" s="7">
        <v>45764</v>
      </c>
      <c r="D10" s="6" t="s">
        <v>25</v>
      </c>
      <c r="E10" s="6" t="s">
        <v>26</v>
      </c>
      <c r="F10" s="6">
        <v>1</v>
      </c>
      <c r="G10" s="6" t="s">
        <v>27</v>
      </c>
      <c r="H10" s="6">
        <v>1</v>
      </c>
      <c r="I10" s="6">
        <v>2</v>
      </c>
      <c r="J10" s="6">
        <v>0.5</v>
      </c>
      <c r="K10" s="6" t="s">
        <v>33</v>
      </c>
      <c r="L10" s="6" t="str">
        <f>VLOOKUP(K10, 'Alphabetical by species code'!A:B, 2, FALSE)</f>
        <v>Unknown non-native grass</v>
      </c>
    </row>
    <row r="11" spans="1:13" x14ac:dyDescent="0.25">
      <c r="A11" s="6">
        <v>1</v>
      </c>
      <c r="B11" s="6">
        <v>2025</v>
      </c>
      <c r="C11" s="7">
        <v>45764</v>
      </c>
      <c r="D11" s="6" t="s">
        <v>25</v>
      </c>
      <c r="E11" s="6" t="s">
        <v>26</v>
      </c>
      <c r="F11" s="6">
        <v>1</v>
      </c>
      <c r="G11" s="6" t="s">
        <v>27</v>
      </c>
      <c r="H11" s="6">
        <v>1</v>
      </c>
      <c r="I11" s="6">
        <v>3</v>
      </c>
      <c r="J11" s="6">
        <v>1</v>
      </c>
      <c r="K11" s="6" t="s">
        <v>28</v>
      </c>
      <c r="L11" s="6" t="str">
        <f>VLOOKUP(K11, 'Alphabetical by species code'!A:B, 2, FALSE)</f>
        <v>Litter</v>
      </c>
    </row>
    <row r="12" spans="1:13" x14ac:dyDescent="0.25">
      <c r="A12" s="6">
        <v>1</v>
      </c>
      <c r="B12" s="6">
        <v>2025</v>
      </c>
      <c r="C12" s="7">
        <v>45764</v>
      </c>
      <c r="D12" s="6" t="s">
        <v>25</v>
      </c>
      <c r="E12" s="6" t="s">
        <v>26</v>
      </c>
      <c r="F12" s="6">
        <v>1</v>
      </c>
      <c r="G12" s="6" t="s">
        <v>27</v>
      </c>
      <c r="H12" s="6">
        <v>1</v>
      </c>
      <c r="I12" s="6">
        <v>3</v>
      </c>
      <c r="J12" s="6">
        <v>1</v>
      </c>
      <c r="K12" s="6" t="s">
        <v>32</v>
      </c>
      <c r="L12" s="6" t="str">
        <f>VLOOKUP(K12, 'Alphabetical by species code'!A:B, 2, FALSE)</f>
        <v>Medicago polymorpha</v>
      </c>
    </row>
    <row r="13" spans="1:13" x14ac:dyDescent="0.25">
      <c r="A13" s="6">
        <v>1</v>
      </c>
      <c r="B13" s="6">
        <v>2025</v>
      </c>
      <c r="C13" s="7">
        <v>45764</v>
      </c>
      <c r="D13" s="6" t="s">
        <v>25</v>
      </c>
      <c r="E13" s="6" t="s">
        <v>26</v>
      </c>
      <c r="F13" s="6">
        <v>1</v>
      </c>
      <c r="G13" s="6" t="s">
        <v>27</v>
      </c>
      <c r="H13" s="6">
        <v>1</v>
      </c>
      <c r="I13" s="6">
        <v>3</v>
      </c>
      <c r="J13" s="6">
        <v>1</v>
      </c>
      <c r="K13" s="6" t="s">
        <v>31</v>
      </c>
      <c r="L13" s="6" t="str">
        <f>VLOOKUP(K13, 'Alphabetical by species code'!A:B, 2, FALSE)</f>
        <v>Festuca myuros</v>
      </c>
    </row>
    <row r="14" spans="1:13" x14ac:dyDescent="0.25">
      <c r="A14" s="6">
        <v>1</v>
      </c>
      <c r="B14" s="6">
        <v>2025</v>
      </c>
      <c r="C14" s="7">
        <v>45764</v>
      </c>
      <c r="D14" s="6" t="s">
        <v>25</v>
      </c>
      <c r="E14" s="6" t="s">
        <v>26</v>
      </c>
      <c r="F14" s="6">
        <v>1</v>
      </c>
      <c r="G14" s="6" t="s">
        <v>27</v>
      </c>
      <c r="H14" s="6">
        <v>1</v>
      </c>
      <c r="I14" s="6">
        <v>3</v>
      </c>
      <c r="J14" s="6">
        <v>1</v>
      </c>
      <c r="K14" s="6" t="s">
        <v>34</v>
      </c>
      <c r="L14" s="6" t="str">
        <f>VLOOKUP(K14, 'Alphabetical by species code'!A:B, 2, FALSE)</f>
        <v>Erodium cicutarium</v>
      </c>
    </row>
    <row r="15" spans="1:13" x14ac:dyDescent="0.25">
      <c r="A15" s="6">
        <v>1</v>
      </c>
      <c r="B15" s="6">
        <v>2025</v>
      </c>
      <c r="C15" s="7">
        <v>45764</v>
      </c>
      <c r="D15" s="6" t="s">
        <v>25</v>
      </c>
      <c r="E15" s="6" t="s">
        <v>26</v>
      </c>
      <c r="F15" s="6">
        <v>1</v>
      </c>
      <c r="G15" s="6" t="s">
        <v>27</v>
      </c>
      <c r="H15" s="6">
        <v>1</v>
      </c>
      <c r="I15" s="6">
        <v>4</v>
      </c>
      <c r="J15" s="6">
        <v>1.5</v>
      </c>
      <c r="K15" s="6" t="s">
        <v>28</v>
      </c>
      <c r="L15" s="6" t="str">
        <f>VLOOKUP(K15, 'Alphabetical by species code'!A:B, 2, FALSE)</f>
        <v>Litter</v>
      </c>
    </row>
    <row r="16" spans="1:13" x14ac:dyDescent="0.25">
      <c r="A16" s="6">
        <v>1</v>
      </c>
      <c r="B16" s="6">
        <v>2025</v>
      </c>
      <c r="C16" s="7">
        <v>45764</v>
      </c>
      <c r="D16" s="6" t="s">
        <v>25</v>
      </c>
      <c r="E16" s="6" t="s">
        <v>26</v>
      </c>
      <c r="F16" s="6">
        <v>1</v>
      </c>
      <c r="G16" s="6" t="s">
        <v>27</v>
      </c>
      <c r="H16" s="6">
        <v>1</v>
      </c>
      <c r="I16" s="6">
        <v>4</v>
      </c>
      <c r="J16" s="6">
        <v>1.5</v>
      </c>
      <c r="K16" s="6" t="s">
        <v>29</v>
      </c>
      <c r="L16" s="6" t="str">
        <f>VLOOKUP(K16, 'Alphabetical by species code'!A:B, 2, FALSE)</f>
        <v>Opuntia littoralis</v>
      </c>
    </row>
    <row r="17" spans="1:12" x14ac:dyDescent="0.25">
      <c r="A17" s="6">
        <v>1</v>
      </c>
      <c r="B17" s="6">
        <v>2025</v>
      </c>
      <c r="C17" s="7">
        <v>45764</v>
      </c>
      <c r="D17" s="6" t="s">
        <v>25</v>
      </c>
      <c r="E17" s="6" t="s">
        <v>26</v>
      </c>
      <c r="F17" s="6">
        <v>1</v>
      </c>
      <c r="G17" s="6" t="s">
        <v>27</v>
      </c>
      <c r="H17" s="6">
        <v>1</v>
      </c>
      <c r="I17" s="6">
        <v>4</v>
      </c>
      <c r="J17" s="6">
        <v>1.5</v>
      </c>
      <c r="K17" s="6" t="s">
        <v>32</v>
      </c>
      <c r="L17" s="6" t="str">
        <f>VLOOKUP(K17, 'Alphabetical by species code'!A:B, 2, FALSE)</f>
        <v>Medicago polymorpha</v>
      </c>
    </row>
    <row r="18" spans="1:12" x14ac:dyDescent="0.25">
      <c r="A18" s="6">
        <v>1</v>
      </c>
      <c r="B18" s="6">
        <v>2025</v>
      </c>
      <c r="C18" s="7">
        <v>45764</v>
      </c>
      <c r="D18" s="6" t="s">
        <v>25</v>
      </c>
      <c r="E18" s="6" t="s">
        <v>26</v>
      </c>
      <c r="F18" s="6">
        <v>1</v>
      </c>
      <c r="G18" s="6" t="s">
        <v>27</v>
      </c>
      <c r="H18" s="6">
        <v>1</v>
      </c>
      <c r="I18" s="6">
        <v>4</v>
      </c>
      <c r="J18" s="6">
        <v>1.5</v>
      </c>
      <c r="K18" s="6" t="s">
        <v>35</v>
      </c>
      <c r="L18" s="6" t="str">
        <f>VLOOKUP(K18, 'Alphabetical by species code'!A:B, 2, FALSE)</f>
        <v>Deinandra fasciculata</v>
      </c>
    </row>
    <row r="19" spans="1:12" x14ac:dyDescent="0.25">
      <c r="A19" s="6">
        <v>1</v>
      </c>
      <c r="B19" s="6">
        <v>2025</v>
      </c>
      <c r="C19" s="7">
        <v>45764</v>
      </c>
      <c r="D19" s="6" t="s">
        <v>25</v>
      </c>
      <c r="E19" s="6" t="s">
        <v>26</v>
      </c>
      <c r="F19" s="6">
        <v>1</v>
      </c>
      <c r="G19" s="6" t="s">
        <v>27</v>
      </c>
      <c r="H19" s="6">
        <v>1</v>
      </c>
      <c r="I19" s="6">
        <v>5</v>
      </c>
      <c r="J19" s="6">
        <v>2</v>
      </c>
      <c r="K19" s="6" t="s">
        <v>28</v>
      </c>
      <c r="L19" s="6" t="str">
        <f>VLOOKUP(K19, 'Alphabetical by species code'!A:B, 2, FALSE)</f>
        <v>Litter</v>
      </c>
    </row>
    <row r="20" spans="1:12" x14ac:dyDescent="0.25">
      <c r="A20" s="6">
        <v>1</v>
      </c>
      <c r="B20" s="6">
        <v>2025</v>
      </c>
      <c r="C20" s="7">
        <v>45764</v>
      </c>
      <c r="D20" s="6" t="s">
        <v>25</v>
      </c>
      <c r="E20" s="6" t="s">
        <v>26</v>
      </c>
      <c r="F20" s="6">
        <v>1</v>
      </c>
      <c r="G20" s="6" t="s">
        <v>27</v>
      </c>
      <c r="H20" s="6">
        <v>1</v>
      </c>
      <c r="I20" s="6">
        <v>5</v>
      </c>
      <c r="J20" s="6">
        <v>2</v>
      </c>
      <c r="K20" s="6" t="s">
        <v>29</v>
      </c>
      <c r="L20" s="6" t="str">
        <f>VLOOKUP(K20, 'Alphabetical by species code'!A:B, 2, FALSE)</f>
        <v>Opuntia littoralis</v>
      </c>
    </row>
    <row r="21" spans="1:12" x14ac:dyDescent="0.25">
      <c r="A21" s="6">
        <v>1</v>
      </c>
      <c r="B21" s="6">
        <v>2025</v>
      </c>
      <c r="C21" s="7">
        <v>45764</v>
      </c>
      <c r="D21" s="6" t="s">
        <v>25</v>
      </c>
      <c r="E21" s="6" t="s">
        <v>26</v>
      </c>
      <c r="F21" s="6">
        <v>1</v>
      </c>
      <c r="G21" s="6" t="s">
        <v>27</v>
      </c>
      <c r="H21" s="6">
        <v>1</v>
      </c>
      <c r="I21" s="6">
        <v>5</v>
      </c>
      <c r="J21" s="6">
        <v>2</v>
      </c>
      <c r="K21" s="6" t="s">
        <v>36</v>
      </c>
      <c r="L21" s="6" t="str">
        <f>VLOOKUP(K21, 'Alphabetical by species code'!A:B, 2, FALSE)</f>
        <v>Bromus madritensis</v>
      </c>
    </row>
    <row r="22" spans="1:12" x14ac:dyDescent="0.25">
      <c r="A22" s="6">
        <v>1</v>
      </c>
      <c r="B22" s="6">
        <v>2025</v>
      </c>
      <c r="C22" s="7">
        <v>45764</v>
      </c>
      <c r="D22" s="6" t="s">
        <v>25</v>
      </c>
      <c r="E22" s="6" t="s">
        <v>26</v>
      </c>
      <c r="F22" s="6">
        <v>1</v>
      </c>
      <c r="G22" s="6" t="s">
        <v>27</v>
      </c>
      <c r="H22" s="6">
        <v>1</v>
      </c>
      <c r="I22" s="6">
        <v>5</v>
      </c>
      <c r="J22" s="6">
        <v>2</v>
      </c>
      <c r="K22" s="6" t="s">
        <v>30</v>
      </c>
      <c r="L22" s="6" t="str">
        <f>VLOOKUP(K22, 'Alphabetical by species code'!A:B, 2, FALSE)</f>
        <v>Erodium moschatum</v>
      </c>
    </row>
    <row r="23" spans="1:12" x14ac:dyDescent="0.25">
      <c r="A23" s="6">
        <v>1</v>
      </c>
      <c r="B23" s="6">
        <v>2025</v>
      </c>
      <c r="C23" s="7">
        <v>45764</v>
      </c>
      <c r="D23" s="6" t="s">
        <v>25</v>
      </c>
      <c r="E23" s="6" t="s">
        <v>26</v>
      </c>
      <c r="F23" s="6">
        <v>1</v>
      </c>
      <c r="G23" s="6" t="s">
        <v>27</v>
      </c>
      <c r="H23" s="6">
        <v>1</v>
      </c>
      <c r="I23" s="6">
        <v>6</v>
      </c>
      <c r="J23" s="6">
        <v>2.5</v>
      </c>
      <c r="K23" s="6" t="s">
        <v>28</v>
      </c>
      <c r="L23" s="6" t="str">
        <f>VLOOKUP(K23, 'Alphabetical by species code'!A:B, 2, FALSE)</f>
        <v>Litter</v>
      </c>
    </row>
    <row r="24" spans="1:12" x14ac:dyDescent="0.25">
      <c r="A24" s="6">
        <v>1</v>
      </c>
      <c r="B24" s="6">
        <v>2025</v>
      </c>
      <c r="C24" s="7">
        <v>45764</v>
      </c>
      <c r="D24" s="6" t="s">
        <v>25</v>
      </c>
      <c r="E24" s="6" t="s">
        <v>26</v>
      </c>
      <c r="F24" s="6">
        <v>1</v>
      </c>
      <c r="G24" s="6" t="s">
        <v>27</v>
      </c>
      <c r="H24" s="6">
        <v>1</v>
      </c>
      <c r="I24" s="6">
        <v>6</v>
      </c>
      <c r="J24" s="6">
        <v>2.5</v>
      </c>
      <c r="K24" s="6" t="s">
        <v>37</v>
      </c>
      <c r="L24" s="6" t="str">
        <f>VLOOKUP(K24, 'Alphabetical by species code'!A:B, 2, FALSE)</f>
        <v>Sonchus oleraceus</v>
      </c>
    </row>
    <row r="25" spans="1:12" x14ac:dyDescent="0.25">
      <c r="A25" s="6">
        <v>1</v>
      </c>
      <c r="B25" s="6">
        <v>2025</v>
      </c>
      <c r="C25" s="7">
        <v>45764</v>
      </c>
      <c r="D25" s="6" t="s">
        <v>25</v>
      </c>
      <c r="E25" s="6" t="s">
        <v>26</v>
      </c>
      <c r="F25" s="6">
        <v>1</v>
      </c>
      <c r="G25" s="6" t="s">
        <v>27</v>
      </c>
      <c r="H25" s="6">
        <v>1</v>
      </c>
      <c r="I25" s="6">
        <v>6</v>
      </c>
      <c r="J25" s="6">
        <v>2.5</v>
      </c>
      <c r="K25" s="6" t="s">
        <v>31</v>
      </c>
      <c r="L25" s="6" t="str">
        <f>VLOOKUP(K25, 'Alphabetical by species code'!A:B, 2, FALSE)</f>
        <v>Festuca myuros</v>
      </c>
    </row>
    <row r="26" spans="1:12" x14ac:dyDescent="0.25">
      <c r="A26" s="6">
        <v>1</v>
      </c>
      <c r="B26" s="6">
        <v>2025</v>
      </c>
      <c r="C26" s="7">
        <v>45764</v>
      </c>
      <c r="D26" s="6" t="s">
        <v>25</v>
      </c>
      <c r="E26" s="6" t="s">
        <v>26</v>
      </c>
      <c r="F26" s="6">
        <v>1</v>
      </c>
      <c r="G26" s="6" t="s">
        <v>27</v>
      </c>
      <c r="H26" s="6">
        <v>1</v>
      </c>
      <c r="I26" s="6">
        <v>7</v>
      </c>
      <c r="J26" s="6">
        <v>3</v>
      </c>
      <c r="K26" s="6" t="s">
        <v>38</v>
      </c>
      <c r="L26" s="6" t="str">
        <f>VLOOKUP(K26, 'Alphabetical by species code'!A:B, 2, FALSE)</f>
        <v>Thatch</v>
      </c>
    </row>
    <row r="27" spans="1:12" x14ac:dyDescent="0.25">
      <c r="A27" s="6">
        <v>1</v>
      </c>
      <c r="B27" s="6">
        <v>2025</v>
      </c>
      <c r="C27" s="7">
        <v>45764</v>
      </c>
      <c r="D27" s="6" t="s">
        <v>25</v>
      </c>
      <c r="E27" s="6" t="s">
        <v>26</v>
      </c>
      <c r="F27" s="6">
        <v>1</v>
      </c>
      <c r="G27" s="6" t="s">
        <v>27</v>
      </c>
      <c r="H27" s="6">
        <v>1</v>
      </c>
      <c r="I27" s="6">
        <v>7</v>
      </c>
      <c r="J27" s="6">
        <v>3</v>
      </c>
      <c r="K27" s="6" t="s">
        <v>31</v>
      </c>
      <c r="L27" s="6" t="str">
        <f>VLOOKUP(K27, 'Alphabetical by species code'!A:B, 2, FALSE)</f>
        <v>Festuca myuros</v>
      </c>
    </row>
    <row r="28" spans="1:12" x14ac:dyDescent="0.25">
      <c r="A28" s="6">
        <v>1</v>
      </c>
      <c r="B28" s="6">
        <v>2025</v>
      </c>
      <c r="C28" s="7">
        <v>45764</v>
      </c>
      <c r="D28" s="6" t="s">
        <v>25</v>
      </c>
      <c r="E28" s="6" t="s">
        <v>26</v>
      </c>
      <c r="F28" s="6">
        <v>1</v>
      </c>
      <c r="G28" s="6" t="s">
        <v>27</v>
      </c>
      <c r="H28" s="6">
        <v>1</v>
      </c>
      <c r="I28" s="6">
        <v>8</v>
      </c>
      <c r="J28" s="6">
        <v>3.5</v>
      </c>
      <c r="K28" s="6" t="s">
        <v>38</v>
      </c>
      <c r="L28" s="6" t="str">
        <f>VLOOKUP(K28, 'Alphabetical by species code'!A:B, 2, FALSE)</f>
        <v>Thatch</v>
      </c>
    </row>
    <row r="29" spans="1:12" x14ac:dyDescent="0.25">
      <c r="A29" s="6">
        <v>1</v>
      </c>
      <c r="B29" s="6">
        <v>2025</v>
      </c>
      <c r="C29" s="7">
        <v>45764</v>
      </c>
      <c r="D29" s="6" t="s">
        <v>25</v>
      </c>
      <c r="E29" s="6" t="s">
        <v>26</v>
      </c>
      <c r="F29" s="6">
        <v>1</v>
      </c>
      <c r="G29" s="6" t="s">
        <v>27</v>
      </c>
      <c r="H29" s="6">
        <v>1</v>
      </c>
      <c r="I29" s="6">
        <v>8</v>
      </c>
      <c r="J29" s="6">
        <v>3.5</v>
      </c>
      <c r="K29" s="6" t="s">
        <v>30</v>
      </c>
      <c r="L29" s="6" t="str">
        <f>VLOOKUP(K29, 'Alphabetical by species code'!A:B, 2, FALSE)</f>
        <v>Erodium moschatum</v>
      </c>
    </row>
    <row r="30" spans="1:12" x14ac:dyDescent="0.25">
      <c r="A30" s="6">
        <v>1</v>
      </c>
      <c r="B30" s="6">
        <v>2025</v>
      </c>
      <c r="C30" s="7">
        <v>45764</v>
      </c>
      <c r="D30" s="6" t="s">
        <v>25</v>
      </c>
      <c r="E30" s="6" t="s">
        <v>26</v>
      </c>
      <c r="F30" s="6">
        <v>1</v>
      </c>
      <c r="G30" s="6" t="s">
        <v>27</v>
      </c>
      <c r="H30" s="6">
        <v>1</v>
      </c>
      <c r="I30" s="6">
        <v>9</v>
      </c>
      <c r="J30" s="6">
        <v>4</v>
      </c>
      <c r="K30" s="6" t="s">
        <v>38</v>
      </c>
      <c r="L30" s="6" t="str">
        <f>VLOOKUP(K30, 'Alphabetical by species code'!A:B, 2, FALSE)</f>
        <v>Thatch</v>
      </c>
    </row>
    <row r="31" spans="1:12" x14ac:dyDescent="0.25">
      <c r="A31" s="6">
        <v>1</v>
      </c>
      <c r="B31" s="6">
        <v>2025</v>
      </c>
      <c r="C31" s="7">
        <v>45764</v>
      </c>
      <c r="D31" s="6" t="s">
        <v>25</v>
      </c>
      <c r="E31" s="6" t="s">
        <v>26</v>
      </c>
      <c r="F31" s="6">
        <v>1</v>
      </c>
      <c r="G31" s="6" t="s">
        <v>27</v>
      </c>
      <c r="H31" s="6">
        <v>1</v>
      </c>
      <c r="I31" s="6">
        <v>9</v>
      </c>
      <c r="J31" s="6">
        <v>4</v>
      </c>
      <c r="K31" s="6" t="s">
        <v>30</v>
      </c>
      <c r="L31" s="6" t="str">
        <f>VLOOKUP(K31, 'Alphabetical by species code'!A:B, 2, FALSE)</f>
        <v>Erodium moschatum</v>
      </c>
    </row>
    <row r="32" spans="1:12" x14ac:dyDescent="0.25">
      <c r="A32" s="6">
        <v>1</v>
      </c>
      <c r="B32" s="6">
        <v>2025</v>
      </c>
      <c r="C32" s="7">
        <v>45764</v>
      </c>
      <c r="D32" s="6" t="s">
        <v>25</v>
      </c>
      <c r="E32" s="6" t="s">
        <v>26</v>
      </c>
      <c r="F32" s="6">
        <v>1</v>
      </c>
      <c r="G32" s="6" t="s">
        <v>27</v>
      </c>
      <c r="H32" s="6">
        <v>1</v>
      </c>
      <c r="I32" s="6">
        <v>9</v>
      </c>
      <c r="J32" s="6">
        <v>4</v>
      </c>
      <c r="K32" s="6" t="s">
        <v>37</v>
      </c>
      <c r="L32" s="6" t="str">
        <f>VLOOKUP(K32, 'Alphabetical by species code'!A:B, 2, FALSE)</f>
        <v>Sonchus oleraceus</v>
      </c>
    </row>
    <row r="33" spans="1:12" x14ac:dyDescent="0.25">
      <c r="A33" s="6">
        <v>1</v>
      </c>
      <c r="B33" s="6">
        <v>2025</v>
      </c>
      <c r="C33" s="7">
        <v>45764</v>
      </c>
      <c r="D33" s="6" t="s">
        <v>25</v>
      </c>
      <c r="E33" s="6" t="s">
        <v>26</v>
      </c>
      <c r="F33" s="6">
        <v>1</v>
      </c>
      <c r="G33" s="6" t="s">
        <v>27</v>
      </c>
      <c r="H33" s="6">
        <v>1</v>
      </c>
      <c r="I33" s="6">
        <v>9</v>
      </c>
      <c r="J33" s="6">
        <v>4</v>
      </c>
      <c r="K33" s="6" t="s">
        <v>39</v>
      </c>
      <c r="L33" s="6" t="str">
        <f>VLOOKUP(K33, 'Alphabetical by species code'!A:B, 2, FALSE)</f>
        <v>Stephanomeria diegensis</v>
      </c>
    </row>
    <row r="34" spans="1:12" x14ac:dyDescent="0.25">
      <c r="A34" s="6">
        <v>1</v>
      </c>
      <c r="B34" s="6">
        <v>2025</v>
      </c>
      <c r="C34" s="7">
        <v>45764</v>
      </c>
      <c r="D34" s="6" t="s">
        <v>25</v>
      </c>
      <c r="E34" s="6" t="s">
        <v>26</v>
      </c>
      <c r="F34" s="6">
        <v>1</v>
      </c>
      <c r="G34" s="6" t="s">
        <v>27</v>
      </c>
      <c r="H34" s="6">
        <v>1</v>
      </c>
      <c r="I34" s="6">
        <v>10</v>
      </c>
      <c r="J34" s="6">
        <v>4.5</v>
      </c>
      <c r="K34" s="6" t="s">
        <v>38</v>
      </c>
      <c r="L34" s="6" t="str">
        <f>VLOOKUP(K34, 'Alphabetical by species code'!A:B, 2, FALSE)</f>
        <v>Thatch</v>
      </c>
    </row>
    <row r="35" spans="1:12" x14ac:dyDescent="0.25">
      <c r="A35" s="6">
        <v>1</v>
      </c>
      <c r="B35" s="6">
        <v>2025</v>
      </c>
      <c r="C35" s="7">
        <v>45764</v>
      </c>
      <c r="D35" s="6" t="s">
        <v>25</v>
      </c>
      <c r="E35" s="6" t="s">
        <v>26</v>
      </c>
      <c r="F35" s="6">
        <v>1</v>
      </c>
      <c r="G35" s="6" t="s">
        <v>27</v>
      </c>
      <c r="H35" s="6">
        <v>1</v>
      </c>
      <c r="I35" s="6">
        <v>10</v>
      </c>
      <c r="J35" s="6">
        <v>4.5</v>
      </c>
      <c r="K35" s="6" t="s">
        <v>36</v>
      </c>
      <c r="L35" s="6" t="str">
        <f>VLOOKUP(K35, 'Alphabetical by species code'!A:B, 2, FALSE)</f>
        <v>Bromus madritensis</v>
      </c>
    </row>
    <row r="36" spans="1:12" x14ac:dyDescent="0.25">
      <c r="A36" s="6">
        <v>1</v>
      </c>
      <c r="B36" s="6">
        <v>2025</v>
      </c>
      <c r="C36" s="7">
        <v>45764</v>
      </c>
      <c r="D36" s="6" t="s">
        <v>25</v>
      </c>
      <c r="E36" s="6" t="s">
        <v>26</v>
      </c>
      <c r="F36" s="6">
        <v>1</v>
      </c>
      <c r="G36" s="6" t="s">
        <v>27</v>
      </c>
      <c r="H36" s="6">
        <v>1</v>
      </c>
      <c r="I36" s="6">
        <v>10</v>
      </c>
      <c r="J36" s="6">
        <v>4.5</v>
      </c>
      <c r="K36" s="6" t="s">
        <v>30</v>
      </c>
      <c r="L36" s="6" t="str">
        <f>VLOOKUP(K36, 'Alphabetical by species code'!A:B, 2, FALSE)</f>
        <v>Erodium moschatum</v>
      </c>
    </row>
    <row r="37" spans="1:12" x14ac:dyDescent="0.25">
      <c r="A37" s="6">
        <v>1</v>
      </c>
      <c r="B37" s="6">
        <v>2025</v>
      </c>
      <c r="C37" s="7">
        <v>45764</v>
      </c>
      <c r="D37" s="6" t="s">
        <v>25</v>
      </c>
      <c r="E37" s="6" t="s">
        <v>26</v>
      </c>
      <c r="F37" s="6">
        <v>1</v>
      </c>
      <c r="G37" s="6" t="s">
        <v>27</v>
      </c>
      <c r="H37" s="6">
        <v>1</v>
      </c>
      <c r="I37" s="6">
        <v>11</v>
      </c>
      <c r="J37" s="6">
        <v>5</v>
      </c>
      <c r="K37" s="6" t="s">
        <v>38</v>
      </c>
      <c r="L37" s="6" t="str">
        <f>VLOOKUP(K37, 'Alphabetical by species code'!A:B, 2, FALSE)</f>
        <v>Thatch</v>
      </c>
    </row>
    <row r="38" spans="1:12" x14ac:dyDescent="0.25">
      <c r="A38" s="6">
        <v>1</v>
      </c>
      <c r="B38" s="6">
        <v>2025</v>
      </c>
      <c r="C38" s="7">
        <v>45764</v>
      </c>
      <c r="D38" s="6" t="s">
        <v>25</v>
      </c>
      <c r="E38" s="6" t="s">
        <v>26</v>
      </c>
      <c r="F38" s="6">
        <v>1</v>
      </c>
      <c r="G38" s="6" t="s">
        <v>27</v>
      </c>
      <c r="H38" s="6">
        <v>1</v>
      </c>
      <c r="I38" s="6">
        <v>11</v>
      </c>
      <c r="J38" s="6">
        <v>5</v>
      </c>
      <c r="K38" s="6" t="s">
        <v>35</v>
      </c>
      <c r="L38" s="6" t="str">
        <f>VLOOKUP(K38, 'Alphabetical by species code'!A:B, 2, FALSE)</f>
        <v>Deinandra fasciculata</v>
      </c>
    </row>
    <row r="39" spans="1:12" x14ac:dyDescent="0.25">
      <c r="A39" s="6">
        <v>1</v>
      </c>
      <c r="B39" s="6">
        <v>2025</v>
      </c>
      <c r="C39" s="7">
        <v>45764</v>
      </c>
      <c r="D39" s="6" t="s">
        <v>25</v>
      </c>
      <c r="E39" s="6" t="s">
        <v>26</v>
      </c>
      <c r="F39" s="6">
        <v>1</v>
      </c>
      <c r="G39" s="6" t="s">
        <v>27</v>
      </c>
      <c r="H39" s="6">
        <v>1</v>
      </c>
      <c r="I39" s="6">
        <v>11</v>
      </c>
      <c r="J39" s="6">
        <v>5</v>
      </c>
      <c r="K39" s="6" t="s">
        <v>37</v>
      </c>
      <c r="L39" s="6" t="str">
        <f>VLOOKUP(K39, 'Alphabetical by species code'!A:B, 2, FALSE)</f>
        <v>Sonchus oleraceus</v>
      </c>
    </row>
    <row r="40" spans="1:12" x14ac:dyDescent="0.25">
      <c r="A40" s="6">
        <v>1</v>
      </c>
      <c r="B40" s="6">
        <v>2025</v>
      </c>
      <c r="C40" s="7">
        <v>45764</v>
      </c>
      <c r="D40" s="6" t="s">
        <v>25</v>
      </c>
      <c r="E40" s="6" t="s">
        <v>26</v>
      </c>
      <c r="F40" s="6">
        <v>1</v>
      </c>
      <c r="G40" s="6" t="s">
        <v>27</v>
      </c>
      <c r="H40" s="6">
        <v>1</v>
      </c>
      <c r="I40" s="6">
        <v>11</v>
      </c>
      <c r="J40" s="6">
        <v>5</v>
      </c>
      <c r="K40" s="6" t="s">
        <v>31</v>
      </c>
      <c r="L40" s="6" t="str">
        <f>VLOOKUP(K40, 'Alphabetical by species code'!A:B, 2, FALSE)</f>
        <v>Festuca myuros</v>
      </c>
    </row>
    <row r="41" spans="1:12" x14ac:dyDescent="0.25">
      <c r="A41" s="6">
        <v>1</v>
      </c>
      <c r="B41" s="6">
        <v>2025</v>
      </c>
      <c r="C41" s="7">
        <v>45764</v>
      </c>
      <c r="D41" s="6" t="s">
        <v>25</v>
      </c>
      <c r="E41" s="6" t="s">
        <v>26</v>
      </c>
      <c r="F41" s="6">
        <v>1</v>
      </c>
      <c r="G41" s="6" t="s">
        <v>27</v>
      </c>
      <c r="H41" s="6">
        <v>1</v>
      </c>
      <c r="I41" s="6">
        <v>12</v>
      </c>
      <c r="J41" s="6">
        <v>5.5</v>
      </c>
      <c r="K41" s="6" t="s">
        <v>38</v>
      </c>
      <c r="L41" s="6" t="str">
        <f>VLOOKUP(K41, 'Alphabetical by species code'!A:B, 2, FALSE)</f>
        <v>Thatch</v>
      </c>
    </row>
    <row r="42" spans="1:12" x14ac:dyDescent="0.25">
      <c r="A42" s="6">
        <v>1</v>
      </c>
      <c r="B42" s="6">
        <v>2025</v>
      </c>
      <c r="C42" s="7">
        <v>45764</v>
      </c>
      <c r="D42" s="6" t="s">
        <v>25</v>
      </c>
      <c r="E42" s="6" t="s">
        <v>26</v>
      </c>
      <c r="F42" s="6">
        <v>1</v>
      </c>
      <c r="G42" s="6" t="s">
        <v>27</v>
      </c>
      <c r="H42" s="6">
        <v>1</v>
      </c>
      <c r="I42" s="6">
        <v>12</v>
      </c>
      <c r="J42" s="6">
        <v>5.5</v>
      </c>
      <c r="K42" s="6" t="s">
        <v>29</v>
      </c>
      <c r="L42" s="6" t="str">
        <f>VLOOKUP(K42, 'Alphabetical by species code'!A:B, 2, FALSE)</f>
        <v>Opuntia littoralis</v>
      </c>
    </row>
    <row r="43" spans="1:12" x14ac:dyDescent="0.25">
      <c r="A43" s="6">
        <v>1</v>
      </c>
      <c r="B43" s="6">
        <v>2025</v>
      </c>
      <c r="C43" s="7">
        <v>45764</v>
      </c>
      <c r="D43" s="6" t="s">
        <v>25</v>
      </c>
      <c r="E43" s="6" t="s">
        <v>26</v>
      </c>
      <c r="F43" s="6">
        <v>1</v>
      </c>
      <c r="G43" s="6" t="s">
        <v>27</v>
      </c>
      <c r="H43" s="6">
        <v>1</v>
      </c>
      <c r="I43" s="6">
        <v>12</v>
      </c>
      <c r="J43" s="6">
        <v>5.5</v>
      </c>
      <c r="K43" s="6" t="s">
        <v>30</v>
      </c>
      <c r="L43" s="6" t="str">
        <f>VLOOKUP(K43, 'Alphabetical by species code'!A:B, 2, FALSE)</f>
        <v>Erodium moschatum</v>
      </c>
    </row>
    <row r="44" spans="1:12" x14ac:dyDescent="0.25">
      <c r="A44" s="6">
        <v>1</v>
      </c>
      <c r="B44" s="6">
        <v>2025</v>
      </c>
      <c r="C44" s="7">
        <v>45764</v>
      </c>
      <c r="D44" s="6" t="s">
        <v>25</v>
      </c>
      <c r="E44" s="6" t="s">
        <v>26</v>
      </c>
      <c r="F44" s="6">
        <v>1</v>
      </c>
      <c r="G44" s="6" t="s">
        <v>27</v>
      </c>
      <c r="H44" s="6">
        <v>1</v>
      </c>
      <c r="I44" s="6">
        <v>12</v>
      </c>
      <c r="J44" s="6">
        <v>5.5</v>
      </c>
      <c r="K44" s="6" t="s">
        <v>37</v>
      </c>
      <c r="L44" s="6" t="str">
        <f>VLOOKUP(K44, 'Alphabetical by species code'!A:B, 2, FALSE)</f>
        <v>Sonchus oleraceus</v>
      </c>
    </row>
    <row r="45" spans="1:12" x14ac:dyDescent="0.25">
      <c r="A45" s="6">
        <v>1</v>
      </c>
      <c r="B45" s="6">
        <v>2025</v>
      </c>
      <c r="C45" s="7">
        <v>45764</v>
      </c>
      <c r="D45" s="6" t="s">
        <v>25</v>
      </c>
      <c r="E45" s="6" t="s">
        <v>26</v>
      </c>
      <c r="F45" s="6">
        <v>1</v>
      </c>
      <c r="G45" s="6" t="s">
        <v>27</v>
      </c>
      <c r="H45" s="6">
        <v>1</v>
      </c>
      <c r="I45" s="6">
        <v>13</v>
      </c>
      <c r="J45" s="6">
        <v>6.5</v>
      </c>
      <c r="K45" s="6" t="s">
        <v>28</v>
      </c>
      <c r="L45" s="6" t="str">
        <f>VLOOKUP(K45, 'Alphabetical by species code'!A:B, 2, FALSE)</f>
        <v>Litter</v>
      </c>
    </row>
    <row r="46" spans="1:12" x14ac:dyDescent="0.25">
      <c r="A46" s="6">
        <v>1</v>
      </c>
      <c r="B46" s="6">
        <v>2025</v>
      </c>
      <c r="C46" s="7">
        <v>45764</v>
      </c>
      <c r="D46" s="6" t="s">
        <v>25</v>
      </c>
      <c r="E46" s="6" t="s">
        <v>26</v>
      </c>
      <c r="F46" s="6">
        <v>1</v>
      </c>
      <c r="G46" s="6" t="s">
        <v>27</v>
      </c>
      <c r="H46" s="6">
        <v>1</v>
      </c>
      <c r="I46" s="6">
        <v>13</v>
      </c>
      <c r="J46" s="6">
        <v>6.5</v>
      </c>
      <c r="K46" s="6" t="s">
        <v>40</v>
      </c>
      <c r="L46" s="6" t="str">
        <f>VLOOKUP(K46, 'Alphabetical by species code'!A:B, 2, FALSE)</f>
        <v>Cylindropuntia prolifera</v>
      </c>
    </row>
    <row r="47" spans="1:12" x14ac:dyDescent="0.25">
      <c r="A47" s="6">
        <v>1</v>
      </c>
      <c r="B47" s="6">
        <v>2025</v>
      </c>
      <c r="C47" s="7">
        <v>45764</v>
      </c>
      <c r="D47" s="6" t="s">
        <v>25</v>
      </c>
      <c r="E47" s="6" t="s">
        <v>26</v>
      </c>
      <c r="F47" s="6">
        <v>1</v>
      </c>
      <c r="G47" s="6" t="s">
        <v>27</v>
      </c>
      <c r="H47" s="6">
        <v>1</v>
      </c>
      <c r="I47" s="6">
        <v>13</v>
      </c>
      <c r="J47" s="6">
        <v>6.5</v>
      </c>
      <c r="K47" s="6" t="s">
        <v>32</v>
      </c>
      <c r="L47" s="6" t="str">
        <f>VLOOKUP(K47, 'Alphabetical by species code'!A:B, 2, FALSE)</f>
        <v>Medicago polymorpha</v>
      </c>
    </row>
    <row r="48" spans="1:12" x14ac:dyDescent="0.25">
      <c r="A48" s="6">
        <v>1</v>
      </c>
      <c r="B48" s="6">
        <v>2025</v>
      </c>
      <c r="C48" s="7">
        <v>45764</v>
      </c>
      <c r="D48" s="6" t="s">
        <v>25</v>
      </c>
      <c r="E48" s="6" t="s">
        <v>26</v>
      </c>
      <c r="F48" s="6">
        <v>1</v>
      </c>
      <c r="G48" s="6" t="s">
        <v>27</v>
      </c>
      <c r="H48" s="6">
        <v>1</v>
      </c>
      <c r="I48" s="6">
        <v>14</v>
      </c>
      <c r="J48" s="6">
        <v>7</v>
      </c>
      <c r="K48" s="6" t="s">
        <v>41</v>
      </c>
      <c r="L48" s="6" t="str">
        <f>VLOOKUP(K48, 'Alphabetical by species code'!A:B, 2, FALSE)</f>
        <v>Stem</v>
      </c>
    </row>
    <row r="49" spans="1:12" x14ac:dyDescent="0.25">
      <c r="A49" s="6">
        <v>1</v>
      </c>
      <c r="B49" s="6">
        <v>2025</v>
      </c>
      <c r="C49" s="7">
        <v>45764</v>
      </c>
      <c r="D49" s="6" t="s">
        <v>25</v>
      </c>
      <c r="E49" s="6" t="s">
        <v>26</v>
      </c>
      <c r="F49" s="6">
        <v>1</v>
      </c>
      <c r="G49" s="6" t="s">
        <v>27</v>
      </c>
      <c r="H49" s="6">
        <v>1</v>
      </c>
      <c r="I49" s="6">
        <v>14</v>
      </c>
      <c r="J49" s="6">
        <v>7</v>
      </c>
      <c r="K49" s="6" t="s">
        <v>29</v>
      </c>
      <c r="L49" s="6" t="str">
        <f>VLOOKUP(K49, 'Alphabetical by species code'!A:B, 2, FALSE)</f>
        <v>Opuntia littoralis</v>
      </c>
    </row>
    <row r="50" spans="1:12" x14ac:dyDescent="0.25">
      <c r="A50" s="6">
        <v>1</v>
      </c>
      <c r="B50" s="6">
        <v>2025</v>
      </c>
      <c r="C50" s="7">
        <v>45764</v>
      </c>
      <c r="D50" s="6" t="s">
        <v>25</v>
      </c>
      <c r="E50" s="6" t="s">
        <v>26</v>
      </c>
      <c r="F50" s="6">
        <v>1</v>
      </c>
      <c r="G50" s="6" t="s">
        <v>27</v>
      </c>
      <c r="H50" s="6">
        <v>1</v>
      </c>
      <c r="I50" s="6">
        <v>15</v>
      </c>
      <c r="J50" s="6">
        <v>7.5</v>
      </c>
      <c r="K50" s="6" t="s">
        <v>28</v>
      </c>
      <c r="L50" s="6" t="str">
        <f>VLOOKUP(K50, 'Alphabetical by species code'!A:B, 2, FALSE)</f>
        <v>Litter</v>
      </c>
    </row>
    <row r="51" spans="1:12" x14ac:dyDescent="0.25">
      <c r="A51" s="6">
        <v>1</v>
      </c>
      <c r="B51" s="6">
        <v>2025</v>
      </c>
      <c r="C51" s="7">
        <v>45764</v>
      </c>
      <c r="D51" s="6" t="s">
        <v>25</v>
      </c>
      <c r="E51" s="6" t="s">
        <v>26</v>
      </c>
      <c r="F51" s="6">
        <v>1</v>
      </c>
      <c r="G51" s="6" t="s">
        <v>27</v>
      </c>
      <c r="H51" s="6">
        <v>1</v>
      </c>
      <c r="I51" s="6">
        <v>15</v>
      </c>
      <c r="J51" s="6">
        <v>7.5</v>
      </c>
      <c r="K51" s="6" t="s">
        <v>29</v>
      </c>
      <c r="L51" s="6" t="str">
        <f>VLOOKUP(K51, 'Alphabetical by species code'!A:B, 2, FALSE)</f>
        <v>Opuntia littoralis</v>
      </c>
    </row>
    <row r="52" spans="1:12" x14ac:dyDescent="0.25">
      <c r="A52" s="6">
        <v>1</v>
      </c>
      <c r="B52" s="6">
        <v>2025</v>
      </c>
      <c r="C52" s="7">
        <v>45764</v>
      </c>
      <c r="D52" s="6" t="s">
        <v>25</v>
      </c>
      <c r="E52" s="6" t="s">
        <v>26</v>
      </c>
      <c r="F52" s="6">
        <v>1</v>
      </c>
      <c r="G52" s="6" t="s">
        <v>27</v>
      </c>
      <c r="H52" s="6">
        <v>1</v>
      </c>
      <c r="I52" s="6">
        <v>15</v>
      </c>
      <c r="J52" s="6">
        <v>7.5</v>
      </c>
      <c r="K52" s="6" t="s">
        <v>32</v>
      </c>
      <c r="L52" s="6" t="str">
        <f>VLOOKUP(K52, 'Alphabetical by species code'!A:B, 2, FALSE)</f>
        <v>Medicago polymorpha</v>
      </c>
    </row>
    <row r="53" spans="1:12" x14ac:dyDescent="0.25">
      <c r="A53" s="6">
        <v>1</v>
      </c>
      <c r="B53" s="6">
        <v>2025</v>
      </c>
      <c r="C53" s="7">
        <v>45764</v>
      </c>
      <c r="D53" s="6" t="s">
        <v>25</v>
      </c>
      <c r="E53" s="6" t="s">
        <v>26</v>
      </c>
      <c r="F53" s="6">
        <v>1</v>
      </c>
      <c r="G53" s="6" t="s">
        <v>27</v>
      </c>
      <c r="H53" s="6">
        <v>2</v>
      </c>
      <c r="I53" s="6">
        <v>1</v>
      </c>
      <c r="J53" s="6">
        <v>0</v>
      </c>
      <c r="K53" s="6" t="s">
        <v>38</v>
      </c>
      <c r="L53" s="6" t="str">
        <f>VLOOKUP(K53, 'Alphabetical by species code'!A:B, 2, FALSE)</f>
        <v>Thatch</v>
      </c>
    </row>
    <row r="54" spans="1:12" x14ac:dyDescent="0.25">
      <c r="A54" s="6">
        <v>1</v>
      </c>
      <c r="B54" s="6">
        <v>2025</v>
      </c>
      <c r="C54" s="7">
        <v>45764</v>
      </c>
      <c r="D54" s="6" t="s">
        <v>25</v>
      </c>
      <c r="E54" s="6" t="s">
        <v>26</v>
      </c>
      <c r="F54" s="6">
        <v>1</v>
      </c>
      <c r="G54" s="6" t="s">
        <v>27</v>
      </c>
      <c r="H54" s="6">
        <v>2</v>
      </c>
      <c r="I54" s="6">
        <v>1</v>
      </c>
      <c r="J54" s="6">
        <v>0</v>
      </c>
      <c r="K54" s="6" t="s">
        <v>39</v>
      </c>
      <c r="L54" s="6" t="str">
        <f>VLOOKUP(K54, 'Alphabetical by species code'!A:B, 2, FALSE)</f>
        <v>Stephanomeria diegensis</v>
      </c>
    </row>
    <row r="55" spans="1:12" x14ac:dyDescent="0.25">
      <c r="A55" s="6">
        <v>1</v>
      </c>
      <c r="B55" s="6">
        <v>2025</v>
      </c>
      <c r="C55" s="7">
        <v>45764</v>
      </c>
      <c r="D55" s="6" t="s">
        <v>25</v>
      </c>
      <c r="E55" s="6" t="s">
        <v>26</v>
      </c>
      <c r="F55" s="6">
        <v>1</v>
      </c>
      <c r="G55" s="6" t="s">
        <v>27</v>
      </c>
      <c r="H55" s="6">
        <v>2</v>
      </c>
      <c r="I55" s="6">
        <v>1</v>
      </c>
      <c r="J55" s="6">
        <v>0</v>
      </c>
      <c r="K55" s="6" t="s">
        <v>32</v>
      </c>
      <c r="L55" s="6" t="str">
        <f>VLOOKUP(K55, 'Alphabetical by species code'!A:B, 2, FALSE)</f>
        <v>Medicago polymorpha</v>
      </c>
    </row>
    <row r="56" spans="1:12" x14ac:dyDescent="0.25">
      <c r="A56" s="6">
        <v>1</v>
      </c>
      <c r="B56" s="6">
        <v>2025</v>
      </c>
      <c r="C56" s="7">
        <v>45764</v>
      </c>
      <c r="D56" s="6" t="s">
        <v>25</v>
      </c>
      <c r="E56" s="6" t="s">
        <v>26</v>
      </c>
      <c r="F56" s="6">
        <v>1</v>
      </c>
      <c r="G56" s="6" t="s">
        <v>27</v>
      </c>
      <c r="H56" s="6">
        <v>2</v>
      </c>
      <c r="I56" s="6">
        <v>1</v>
      </c>
      <c r="J56" s="6">
        <v>0</v>
      </c>
      <c r="K56" s="6" t="s">
        <v>31</v>
      </c>
      <c r="L56" s="6" t="str">
        <f>VLOOKUP(K56, 'Alphabetical by species code'!A:B, 2, FALSE)</f>
        <v>Festuca myuros</v>
      </c>
    </row>
    <row r="57" spans="1:12" x14ac:dyDescent="0.25">
      <c r="A57" s="6">
        <v>1</v>
      </c>
      <c r="B57" s="6">
        <v>2025</v>
      </c>
      <c r="C57" s="7">
        <v>45764</v>
      </c>
      <c r="D57" s="6" t="s">
        <v>25</v>
      </c>
      <c r="E57" s="6" t="s">
        <v>26</v>
      </c>
      <c r="F57" s="6">
        <v>1</v>
      </c>
      <c r="G57" s="6" t="s">
        <v>27</v>
      </c>
      <c r="H57" s="6">
        <v>2</v>
      </c>
      <c r="I57" s="6">
        <v>2</v>
      </c>
      <c r="J57" s="6">
        <v>0.5</v>
      </c>
      <c r="K57" s="6" t="s">
        <v>38</v>
      </c>
      <c r="L57" s="6" t="str">
        <f>VLOOKUP(K57, 'Alphabetical by species code'!A:B, 2, FALSE)</f>
        <v>Thatch</v>
      </c>
    </row>
    <row r="58" spans="1:12" x14ac:dyDescent="0.25">
      <c r="A58" s="6">
        <v>1</v>
      </c>
      <c r="B58" s="6">
        <v>2025</v>
      </c>
      <c r="C58" s="7">
        <v>45764</v>
      </c>
      <c r="D58" s="6" t="s">
        <v>25</v>
      </c>
      <c r="E58" s="6" t="s">
        <v>26</v>
      </c>
      <c r="F58" s="6">
        <v>1</v>
      </c>
      <c r="G58" s="6" t="s">
        <v>27</v>
      </c>
      <c r="H58" s="6">
        <v>2</v>
      </c>
      <c r="I58" s="6">
        <v>2</v>
      </c>
      <c r="J58" s="6">
        <v>0.5</v>
      </c>
      <c r="K58" s="6" t="s">
        <v>31</v>
      </c>
      <c r="L58" s="6" t="str">
        <f>VLOOKUP(K58, 'Alphabetical by species code'!A:B, 2, FALSE)</f>
        <v>Festuca myuros</v>
      </c>
    </row>
    <row r="59" spans="1:12" x14ac:dyDescent="0.25">
      <c r="A59" s="6">
        <v>1</v>
      </c>
      <c r="B59" s="6">
        <v>2025</v>
      </c>
      <c r="C59" s="7">
        <v>45764</v>
      </c>
      <c r="D59" s="6" t="s">
        <v>25</v>
      </c>
      <c r="E59" s="6" t="s">
        <v>26</v>
      </c>
      <c r="F59" s="6">
        <v>1</v>
      </c>
      <c r="G59" s="6" t="s">
        <v>27</v>
      </c>
      <c r="H59" s="6">
        <v>2</v>
      </c>
      <c r="I59" s="6">
        <v>2</v>
      </c>
      <c r="J59" s="6">
        <v>0.5</v>
      </c>
      <c r="K59" s="6" t="s">
        <v>32</v>
      </c>
      <c r="L59" s="6" t="str">
        <f>VLOOKUP(K59, 'Alphabetical by species code'!A:B, 2, FALSE)</f>
        <v>Medicago polymorpha</v>
      </c>
    </row>
    <row r="60" spans="1:12" x14ac:dyDescent="0.25">
      <c r="A60" s="6">
        <v>1</v>
      </c>
      <c r="B60" s="6">
        <v>2025</v>
      </c>
      <c r="C60" s="7">
        <v>45764</v>
      </c>
      <c r="D60" s="6" t="s">
        <v>25</v>
      </c>
      <c r="E60" s="6" t="s">
        <v>26</v>
      </c>
      <c r="F60" s="6">
        <v>1</v>
      </c>
      <c r="G60" s="6" t="s">
        <v>27</v>
      </c>
      <c r="H60" s="6">
        <v>2</v>
      </c>
      <c r="I60" s="6">
        <v>2</v>
      </c>
      <c r="J60" s="6">
        <v>0.5</v>
      </c>
      <c r="K60" s="6" t="s">
        <v>42</v>
      </c>
      <c r="L60" s="6" t="str">
        <f>VLOOKUP(K60, 'Alphabetical by species code'!A:B, 2, FALSE)</f>
        <v>Centaurea melitensis</v>
      </c>
    </row>
    <row r="61" spans="1:12" x14ac:dyDescent="0.25">
      <c r="A61" s="6">
        <v>1</v>
      </c>
      <c r="B61" s="6">
        <v>2025</v>
      </c>
      <c r="C61" s="7">
        <v>45764</v>
      </c>
      <c r="D61" s="6" t="s">
        <v>25</v>
      </c>
      <c r="E61" s="6" t="s">
        <v>26</v>
      </c>
      <c r="F61" s="6">
        <v>1</v>
      </c>
      <c r="G61" s="6" t="s">
        <v>27</v>
      </c>
      <c r="H61" s="6">
        <v>2</v>
      </c>
      <c r="I61" s="6">
        <v>3</v>
      </c>
      <c r="J61" s="6">
        <v>1</v>
      </c>
      <c r="K61" s="6" t="s">
        <v>28</v>
      </c>
      <c r="L61" s="6" t="str">
        <f>VLOOKUP(K61, 'Alphabetical by species code'!A:B, 2, FALSE)</f>
        <v>Litter</v>
      </c>
    </row>
    <row r="62" spans="1:12" x14ac:dyDescent="0.25">
      <c r="A62" s="6">
        <v>1</v>
      </c>
      <c r="B62" s="6">
        <v>2025</v>
      </c>
      <c r="C62" s="7">
        <v>45764</v>
      </c>
      <c r="D62" s="6" t="s">
        <v>25</v>
      </c>
      <c r="E62" s="6" t="s">
        <v>26</v>
      </c>
      <c r="F62" s="6">
        <v>1</v>
      </c>
      <c r="G62" s="6" t="s">
        <v>27</v>
      </c>
      <c r="H62" s="6">
        <v>2</v>
      </c>
      <c r="I62" s="6">
        <v>3</v>
      </c>
      <c r="J62" s="6">
        <v>1</v>
      </c>
      <c r="K62" s="6" t="s">
        <v>43</v>
      </c>
      <c r="L62" s="6" t="str">
        <f>VLOOKUP(K62, 'Alphabetical by species code'!A:B, 2, FALSE)</f>
        <v>Uropappus lindleyi</v>
      </c>
    </row>
    <row r="63" spans="1:12" x14ac:dyDescent="0.25">
      <c r="A63" s="6">
        <v>1</v>
      </c>
      <c r="B63" s="6">
        <v>2025</v>
      </c>
      <c r="C63" s="7">
        <v>45764</v>
      </c>
      <c r="D63" s="6" t="s">
        <v>25</v>
      </c>
      <c r="E63" s="6" t="s">
        <v>26</v>
      </c>
      <c r="F63" s="6">
        <v>1</v>
      </c>
      <c r="G63" s="6" t="s">
        <v>27</v>
      </c>
      <c r="H63" s="6">
        <v>2</v>
      </c>
      <c r="I63" s="6">
        <v>3</v>
      </c>
      <c r="J63" s="6">
        <v>1</v>
      </c>
      <c r="K63" s="6" t="s">
        <v>32</v>
      </c>
      <c r="L63" s="6" t="str">
        <f>VLOOKUP(K63, 'Alphabetical by species code'!A:B, 2, FALSE)</f>
        <v>Medicago polymorpha</v>
      </c>
    </row>
    <row r="64" spans="1:12" x14ac:dyDescent="0.25">
      <c r="A64" s="6">
        <v>1</v>
      </c>
      <c r="B64" s="6">
        <v>2025</v>
      </c>
      <c r="C64" s="7">
        <v>45764</v>
      </c>
      <c r="D64" s="6" t="s">
        <v>25</v>
      </c>
      <c r="E64" s="6" t="s">
        <v>26</v>
      </c>
      <c r="F64" s="6">
        <v>1</v>
      </c>
      <c r="G64" s="6" t="s">
        <v>27</v>
      </c>
      <c r="H64" s="6">
        <v>2</v>
      </c>
      <c r="I64" s="6">
        <v>4</v>
      </c>
      <c r="J64" s="6">
        <v>1.5</v>
      </c>
      <c r="K64" s="6" t="s">
        <v>28</v>
      </c>
      <c r="L64" s="6" t="str">
        <f>VLOOKUP(K64, 'Alphabetical by species code'!A:B, 2, FALSE)</f>
        <v>Litter</v>
      </c>
    </row>
    <row r="65" spans="1:12" x14ac:dyDescent="0.25">
      <c r="A65" s="6">
        <v>1</v>
      </c>
      <c r="B65" s="6">
        <v>2025</v>
      </c>
      <c r="C65" s="7">
        <v>45764</v>
      </c>
      <c r="D65" s="6" t="s">
        <v>25</v>
      </c>
      <c r="E65" s="6" t="s">
        <v>26</v>
      </c>
      <c r="F65" s="6">
        <v>1</v>
      </c>
      <c r="G65" s="6" t="s">
        <v>27</v>
      </c>
      <c r="H65" s="6">
        <v>2</v>
      </c>
      <c r="I65" s="6">
        <v>4</v>
      </c>
      <c r="J65" s="6">
        <v>1.5</v>
      </c>
      <c r="K65" s="6" t="s">
        <v>32</v>
      </c>
      <c r="L65" s="6" t="str">
        <f>VLOOKUP(K65, 'Alphabetical by species code'!A:B, 2, FALSE)</f>
        <v>Medicago polymorpha</v>
      </c>
    </row>
    <row r="66" spans="1:12" x14ac:dyDescent="0.25">
      <c r="A66" s="6">
        <v>1</v>
      </c>
      <c r="B66" s="6">
        <v>2025</v>
      </c>
      <c r="C66" s="7">
        <v>45764</v>
      </c>
      <c r="D66" s="6" t="s">
        <v>25</v>
      </c>
      <c r="E66" s="6" t="s">
        <v>26</v>
      </c>
      <c r="F66" s="6">
        <v>1</v>
      </c>
      <c r="G66" s="6" t="s">
        <v>27</v>
      </c>
      <c r="H66" s="6">
        <v>2</v>
      </c>
      <c r="I66" s="6">
        <v>4</v>
      </c>
      <c r="J66" s="6">
        <v>1.5</v>
      </c>
      <c r="K66" s="6" t="s">
        <v>44</v>
      </c>
      <c r="L66" s="6" t="str">
        <f>VLOOKUP(K66, 'Alphabetical by species code'!A:B, 2, FALSE)</f>
        <v>Amsinckia menziesii</v>
      </c>
    </row>
    <row r="67" spans="1:12" x14ac:dyDescent="0.25">
      <c r="A67" s="6">
        <v>1</v>
      </c>
      <c r="B67" s="6">
        <v>2025</v>
      </c>
      <c r="C67" s="7">
        <v>45764</v>
      </c>
      <c r="D67" s="6" t="s">
        <v>25</v>
      </c>
      <c r="E67" s="6" t="s">
        <v>26</v>
      </c>
      <c r="F67" s="6">
        <v>1</v>
      </c>
      <c r="G67" s="6" t="s">
        <v>27</v>
      </c>
      <c r="H67" s="6">
        <v>2</v>
      </c>
      <c r="I67" s="6">
        <v>4</v>
      </c>
      <c r="J67" s="6">
        <v>1.5</v>
      </c>
      <c r="K67" s="6" t="s">
        <v>31</v>
      </c>
      <c r="L67" s="6" t="str">
        <f>VLOOKUP(K67, 'Alphabetical by species code'!A:B, 2, FALSE)</f>
        <v>Festuca myuros</v>
      </c>
    </row>
    <row r="68" spans="1:12" x14ac:dyDescent="0.25">
      <c r="A68" s="6">
        <v>1</v>
      </c>
      <c r="B68" s="6">
        <v>2025</v>
      </c>
      <c r="C68" s="7">
        <v>45764</v>
      </c>
      <c r="D68" s="6" t="s">
        <v>25</v>
      </c>
      <c r="E68" s="6" t="s">
        <v>26</v>
      </c>
      <c r="F68" s="6">
        <v>1</v>
      </c>
      <c r="G68" s="6" t="s">
        <v>27</v>
      </c>
      <c r="H68" s="6">
        <v>2</v>
      </c>
      <c r="I68" s="6">
        <v>5</v>
      </c>
      <c r="J68" s="6">
        <v>2.5</v>
      </c>
      <c r="K68" s="6" t="s">
        <v>28</v>
      </c>
      <c r="L68" s="6" t="str">
        <f>VLOOKUP(K68, 'Alphabetical by species code'!A:B, 2, FALSE)</f>
        <v>Litter</v>
      </c>
    </row>
    <row r="69" spans="1:12" x14ac:dyDescent="0.25">
      <c r="A69" s="6">
        <v>1</v>
      </c>
      <c r="B69" s="6">
        <v>2025</v>
      </c>
      <c r="C69" s="7">
        <v>45764</v>
      </c>
      <c r="D69" s="6" t="s">
        <v>25</v>
      </c>
      <c r="E69" s="6" t="s">
        <v>26</v>
      </c>
      <c r="F69" s="6">
        <v>1</v>
      </c>
      <c r="G69" s="6" t="s">
        <v>27</v>
      </c>
      <c r="H69" s="6">
        <v>2</v>
      </c>
      <c r="I69" s="6">
        <v>5</v>
      </c>
      <c r="J69" s="6">
        <v>2.5</v>
      </c>
      <c r="K69" s="6" t="s">
        <v>31</v>
      </c>
      <c r="L69" s="6" t="str">
        <f>VLOOKUP(K69, 'Alphabetical by species code'!A:B, 2, FALSE)</f>
        <v>Festuca myuros</v>
      </c>
    </row>
    <row r="70" spans="1:12" x14ac:dyDescent="0.25">
      <c r="A70" s="6">
        <v>1</v>
      </c>
      <c r="B70" s="6">
        <v>2025</v>
      </c>
      <c r="C70" s="7">
        <v>45764</v>
      </c>
      <c r="D70" s="6" t="s">
        <v>25</v>
      </c>
      <c r="E70" s="6" t="s">
        <v>26</v>
      </c>
      <c r="F70" s="6">
        <v>1</v>
      </c>
      <c r="G70" s="6" t="s">
        <v>27</v>
      </c>
      <c r="H70" s="6">
        <v>2</v>
      </c>
      <c r="I70" s="6">
        <v>5</v>
      </c>
      <c r="J70" s="6">
        <v>2.5</v>
      </c>
      <c r="K70" s="6" t="s">
        <v>32</v>
      </c>
      <c r="L70" s="6" t="str">
        <f>VLOOKUP(K70, 'Alphabetical by species code'!A:B, 2, FALSE)</f>
        <v>Medicago polymorpha</v>
      </c>
    </row>
    <row r="71" spans="1:12" x14ac:dyDescent="0.25">
      <c r="A71" s="6">
        <v>1</v>
      </c>
      <c r="B71" s="6">
        <v>2025</v>
      </c>
      <c r="C71" s="7">
        <v>45764</v>
      </c>
      <c r="D71" s="6" t="s">
        <v>25</v>
      </c>
      <c r="E71" s="6" t="s">
        <v>26</v>
      </c>
      <c r="F71" s="6">
        <v>1</v>
      </c>
      <c r="G71" s="6" t="s">
        <v>27</v>
      </c>
      <c r="H71" s="6">
        <v>2</v>
      </c>
      <c r="I71" s="6">
        <v>6</v>
      </c>
      <c r="J71" s="6">
        <v>3</v>
      </c>
      <c r="K71" s="6" t="s">
        <v>28</v>
      </c>
      <c r="L71" s="6" t="str">
        <f>VLOOKUP(K71, 'Alphabetical by species code'!A:B, 2, FALSE)</f>
        <v>Litter</v>
      </c>
    </row>
    <row r="72" spans="1:12" x14ac:dyDescent="0.25">
      <c r="A72" s="6">
        <v>1</v>
      </c>
      <c r="B72" s="6">
        <v>2025</v>
      </c>
      <c r="C72" s="7">
        <v>45764</v>
      </c>
      <c r="D72" s="6" t="s">
        <v>25</v>
      </c>
      <c r="E72" s="6" t="s">
        <v>26</v>
      </c>
      <c r="F72" s="6">
        <v>1</v>
      </c>
      <c r="G72" s="6" t="s">
        <v>27</v>
      </c>
      <c r="H72" s="6">
        <v>2</v>
      </c>
      <c r="I72" s="6">
        <v>6</v>
      </c>
      <c r="J72" s="6">
        <v>3</v>
      </c>
      <c r="K72" s="6" t="s">
        <v>32</v>
      </c>
      <c r="L72" s="6" t="str">
        <f>VLOOKUP(K72, 'Alphabetical by species code'!A:B, 2, FALSE)</f>
        <v>Medicago polymorpha</v>
      </c>
    </row>
    <row r="73" spans="1:12" x14ac:dyDescent="0.25">
      <c r="A73" s="6">
        <v>1</v>
      </c>
      <c r="B73" s="6">
        <v>2025</v>
      </c>
      <c r="C73" s="7">
        <v>45764</v>
      </c>
      <c r="D73" s="6" t="s">
        <v>25</v>
      </c>
      <c r="E73" s="6" t="s">
        <v>26</v>
      </c>
      <c r="F73" s="6">
        <v>1</v>
      </c>
      <c r="G73" s="6" t="s">
        <v>27</v>
      </c>
      <c r="H73" s="6">
        <v>2</v>
      </c>
      <c r="I73" s="6">
        <v>6</v>
      </c>
      <c r="J73" s="6">
        <v>3</v>
      </c>
      <c r="K73" s="6" t="s">
        <v>30</v>
      </c>
      <c r="L73" s="6" t="str">
        <f>VLOOKUP(K73, 'Alphabetical by species code'!A:B, 2, FALSE)</f>
        <v>Erodium moschatum</v>
      </c>
    </row>
    <row r="74" spans="1:12" x14ac:dyDescent="0.25">
      <c r="A74" s="6">
        <v>1</v>
      </c>
      <c r="B74" s="6">
        <v>2025</v>
      </c>
      <c r="C74" s="7">
        <v>45764</v>
      </c>
      <c r="D74" s="6" t="s">
        <v>25</v>
      </c>
      <c r="E74" s="6" t="s">
        <v>26</v>
      </c>
      <c r="F74" s="6">
        <v>1</v>
      </c>
      <c r="G74" s="6" t="s">
        <v>27</v>
      </c>
      <c r="H74" s="6">
        <v>2</v>
      </c>
      <c r="I74" s="6">
        <v>7</v>
      </c>
      <c r="J74" s="6">
        <v>3.5</v>
      </c>
      <c r="K74" s="6" t="s">
        <v>28</v>
      </c>
      <c r="L74" s="6" t="str">
        <f>VLOOKUP(K74, 'Alphabetical by species code'!A:B, 2, FALSE)</f>
        <v>Litter</v>
      </c>
    </row>
    <row r="75" spans="1:12" x14ac:dyDescent="0.25">
      <c r="A75" s="6">
        <v>1</v>
      </c>
      <c r="B75" s="6">
        <v>2025</v>
      </c>
      <c r="C75" s="7">
        <v>45764</v>
      </c>
      <c r="D75" s="6" t="s">
        <v>25</v>
      </c>
      <c r="E75" s="6" t="s">
        <v>26</v>
      </c>
      <c r="F75" s="6">
        <v>1</v>
      </c>
      <c r="G75" s="6" t="s">
        <v>27</v>
      </c>
      <c r="H75" s="6">
        <v>2</v>
      </c>
      <c r="I75" s="6">
        <v>7</v>
      </c>
      <c r="J75" s="6">
        <v>3.5</v>
      </c>
      <c r="K75" s="6" t="s">
        <v>32</v>
      </c>
      <c r="L75" s="6" t="str">
        <f>VLOOKUP(K75, 'Alphabetical by species code'!A:B, 2, FALSE)</f>
        <v>Medicago polymorpha</v>
      </c>
    </row>
    <row r="76" spans="1:12" x14ac:dyDescent="0.25">
      <c r="A76" s="6">
        <v>1</v>
      </c>
      <c r="B76" s="6">
        <v>2025</v>
      </c>
      <c r="C76" s="7">
        <v>45764</v>
      </c>
      <c r="D76" s="6" t="s">
        <v>25</v>
      </c>
      <c r="E76" s="6" t="s">
        <v>26</v>
      </c>
      <c r="F76" s="6">
        <v>1</v>
      </c>
      <c r="G76" s="6" t="s">
        <v>27</v>
      </c>
      <c r="H76" s="6">
        <v>2</v>
      </c>
      <c r="I76" s="6">
        <v>7</v>
      </c>
      <c r="J76" s="6">
        <v>3.5</v>
      </c>
      <c r="K76" s="6" t="s">
        <v>30</v>
      </c>
      <c r="L76" s="6" t="str">
        <f>VLOOKUP(K76, 'Alphabetical by species code'!A:B, 2, FALSE)</f>
        <v>Erodium moschatum</v>
      </c>
    </row>
    <row r="77" spans="1:12" x14ac:dyDescent="0.25">
      <c r="A77" s="6">
        <v>1</v>
      </c>
      <c r="B77" s="6">
        <v>2025</v>
      </c>
      <c r="C77" s="7">
        <v>45764</v>
      </c>
      <c r="D77" s="6" t="s">
        <v>25</v>
      </c>
      <c r="E77" s="6" t="s">
        <v>26</v>
      </c>
      <c r="F77" s="6">
        <v>1</v>
      </c>
      <c r="G77" s="6" t="s">
        <v>27</v>
      </c>
      <c r="H77" s="6">
        <v>2</v>
      </c>
      <c r="I77" s="6">
        <v>7</v>
      </c>
      <c r="J77" s="6">
        <v>3.5</v>
      </c>
      <c r="K77" s="6" t="s">
        <v>35</v>
      </c>
      <c r="L77" s="6" t="str">
        <f>VLOOKUP(K77, 'Alphabetical by species code'!A:B, 2, FALSE)</f>
        <v>Deinandra fasciculata</v>
      </c>
    </row>
    <row r="78" spans="1:12" x14ac:dyDescent="0.25">
      <c r="A78" s="6">
        <v>1</v>
      </c>
      <c r="B78" s="6">
        <v>2025</v>
      </c>
      <c r="C78" s="7">
        <v>45764</v>
      </c>
      <c r="D78" s="6" t="s">
        <v>25</v>
      </c>
      <c r="E78" s="6" t="s">
        <v>26</v>
      </c>
      <c r="F78" s="6">
        <v>1</v>
      </c>
      <c r="G78" s="6" t="s">
        <v>27</v>
      </c>
      <c r="H78" s="6">
        <v>2</v>
      </c>
      <c r="I78" s="6">
        <v>8</v>
      </c>
      <c r="J78" s="6">
        <v>4</v>
      </c>
      <c r="K78" s="6" t="s">
        <v>28</v>
      </c>
      <c r="L78" s="6" t="str">
        <f>VLOOKUP(K78, 'Alphabetical by species code'!A:B, 2, FALSE)</f>
        <v>Litter</v>
      </c>
    </row>
    <row r="79" spans="1:12" x14ac:dyDescent="0.25">
      <c r="A79" s="6">
        <v>1</v>
      </c>
      <c r="B79" s="6">
        <v>2025</v>
      </c>
      <c r="C79" s="7">
        <v>45764</v>
      </c>
      <c r="D79" s="6" t="s">
        <v>25</v>
      </c>
      <c r="E79" s="6" t="s">
        <v>26</v>
      </c>
      <c r="F79" s="6">
        <v>1</v>
      </c>
      <c r="G79" s="6" t="s">
        <v>27</v>
      </c>
      <c r="H79" s="6">
        <v>2</v>
      </c>
      <c r="I79" s="6">
        <v>8</v>
      </c>
      <c r="J79" s="6">
        <v>4</v>
      </c>
      <c r="K79" s="6" t="s">
        <v>30</v>
      </c>
      <c r="L79" s="6" t="str">
        <f>VLOOKUP(K79, 'Alphabetical by species code'!A:B, 2, FALSE)</f>
        <v>Erodium moschatum</v>
      </c>
    </row>
    <row r="80" spans="1:12" x14ac:dyDescent="0.25">
      <c r="A80" s="6">
        <v>1</v>
      </c>
      <c r="B80" s="6">
        <v>2025</v>
      </c>
      <c r="C80" s="7">
        <v>45764</v>
      </c>
      <c r="D80" s="6" t="s">
        <v>25</v>
      </c>
      <c r="E80" s="6" t="s">
        <v>26</v>
      </c>
      <c r="F80" s="6">
        <v>1</v>
      </c>
      <c r="G80" s="6" t="s">
        <v>27</v>
      </c>
      <c r="H80" s="6">
        <v>2</v>
      </c>
      <c r="I80" s="6">
        <v>9</v>
      </c>
      <c r="J80" s="6">
        <v>4.5</v>
      </c>
      <c r="K80" s="6" t="s">
        <v>28</v>
      </c>
      <c r="L80" s="6" t="str">
        <f>VLOOKUP(K80, 'Alphabetical by species code'!A:B, 2, FALSE)</f>
        <v>Litter</v>
      </c>
    </row>
    <row r="81" spans="1:12" x14ac:dyDescent="0.25">
      <c r="A81" s="6">
        <v>1</v>
      </c>
      <c r="B81" s="6">
        <v>2025</v>
      </c>
      <c r="C81" s="7">
        <v>45764</v>
      </c>
      <c r="D81" s="6" t="s">
        <v>25</v>
      </c>
      <c r="E81" s="6" t="s">
        <v>26</v>
      </c>
      <c r="F81" s="6">
        <v>1</v>
      </c>
      <c r="G81" s="6" t="s">
        <v>27</v>
      </c>
      <c r="H81" s="6">
        <v>2</v>
      </c>
      <c r="I81" s="6">
        <v>9</v>
      </c>
      <c r="J81" s="6">
        <v>4.5</v>
      </c>
      <c r="K81" s="6" t="s">
        <v>36</v>
      </c>
      <c r="L81" s="6" t="str">
        <f>VLOOKUP(K81, 'Alphabetical by species code'!A:B, 2, FALSE)</f>
        <v>Bromus madritensis</v>
      </c>
    </row>
    <row r="82" spans="1:12" x14ac:dyDescent="0.25">
      <c r="A82" s="6">
        <v>1</v>
      </c>
      <c r="B82" s="6">
        <v>2025</v>
      </c>
      <c r="C82" s="7">
        <v>45764</v>
      </c>
      <c r="D82" s="6" t="s">
        <v>25</v>
      </c>
      <c r="E82" s="6" t="s">
        <v>26</v>
      </c>
      <c r="F82" s="6">
        <v>1</v>
      </c>
      <c r="G82" s="6" t="s">
        <v>27</v>
      </c>
      <c r="H82" s="6">
        <v>2</v>
      </c>
      <c r="I82" s="6">
        <v>9</v>
      </c>
      <c r="J82" s="6">
        <v>4.5</v>
      </c>
      <c r="K82" s="6" t="s">
        <v>30</v>
      </c>
      <c r="L82" s="6" t="str">
        <f>VLOOKUP(K82, 'Alphabetical by species code'!A:B, 2, FALSE)</f>
        <v>Erodium moschatum</v>
      </c>
    </row>
    <row r="83" spans="1:12" x14ac:dyDescent="0.25">
      <c r="A83" s="6">
        <v>1</v>
      </c>
      <c r="B83" s="6">
        <v>2025</v>
      </c>
      <c r="C83" s="7">
        <v>45764</v>
      </c>
      <c r="D83" s="6" t="s">
        <v>25</v>
      </c>
      <c r="E83" s="6" t="s">
        <v>26</v>
      </c>
      <c r="F83" s="6">
        <v>1</v>
      </c>
      <c r="G83" s="6" t="s">
        <v>27</v>
      </c>
      <c r="H83" s="6">
        <v>2</v>
      </c>
      <c r="I83" s="6">
        <v>10</v>
      </c>
      <c r="J83" s="6">
        <v>5</v>
      </c>
      <c r="K83" s="6" t="s">
        <v>28</v>
      </c>
      <c r="L83" s="6" t="str">
        <f>VLOOKUP(K83, 'Alphabetical by species code'!A:B, 2, FALSE)</f>
        <v>Litter</v>
      </c>
    </row>
    <row r="84" spans="1:12" x14ac:dyDescent="0.25">
      <c r="A84" s="6">
        <v>1</v>
      </c>
      <c r="B84" s="6">
        <v>2025</v>
      </c>
      <c r="C84" s="7">
        <v>45764</v>
      </c>
      <c r="D84" s="6" t="s">
        <v>25</v>
      </c>
      <c r="E84" s="6" t="s">
        <v>26</v>
      </c>
      <c r="F84" s="6">
        <v>1</v>
      </c>
      <c r="G84" s="6" t="s">
        <v>27</v>
      </c>
      <c r="H84" s="6">
        <v>2</v>
      </c>
      <c r="I84" s="6">
        <v>10</v>
      </c>
      <c r="J84" s="6">
        <v>5</v>
      </c>
      <c r="K84" s="6" t="s">
        <v>37</v>
      </c>
      <c r="L84" s="6" t="str">
        <f>VLOOKUP(K84, 'Alphabetical by species code'!A:B, 2, FALSE)</f>
        <v>Sonchus oleraceus</v>
      </c>
    </row>
    <row r="85" spans="1:12" x14ac:dyDescent="0.25">
      <c r="A85" s="6">
        <v>1</v>
      </c>
      <c r="B85" s="6">
        <v>2025</v>
      </c>
      <c r="C85" s="7">
        <v>45764</v>
      </c>
      <c r="D85" s="6" t="s">
        <v>25</v>
      </c>
      <c r="E85" s="6" t="s">
        <v>26</v>
      </c>
      <c r="F85" s="6">
        <v>1</v>
      </c>
      <c r="G85" s="6" t="s">
        <v>27</v>
      </c>
      <c r="H85" s="6">
        <v>2</v>
      </c>
      <c r="I85" s="6">
        <v>10</v>
      </c>
      <c r="J85" s="6">
        <v>5</v>
      </c>
      <c r="K85" s="6" t="s">
        <v>30</v>
      </c>
      <c r="L85" s="6" t="str">
        <f>VLOOKUP(K85, 'Alphabetical by species code'!A:B, 2, FALSE)</f>
        <v>Erodium moschatum</v>
      </c>
    </row>
    <row r="86" spans="1:12" x14ac:dyDescent="0.25">
      <c r="A86" s="6">
        <v>1</v>
      </c>
      <c r="B86" s="6">
        <v>2025</v>
      </c>
      <c r="C86" s="7">
        <v>45764</v>
      </c>
      <c r="D86" s="6" t="s">
        <v>25</v>
      </c>
      <c r="E86" s="6" t="s">
        <v>26</v>
      </c>
      <c r="F86" s="6">
        <v>1</v>
      </c>
      <c r="G86" s="6" t="s">
        <v>27</v>
      </c>
      <c r="H86" s="6">
        <v>2</v>
      </c>
      <c r="I86" s="6">
        <v>10</v>
      </c>
      <c r="J86" s="6">
        <v>5</v>
      </c>
      <c r="K86" s="6" t="s">
        <v>36</v>
      </c>
      <c r="L86" s="6" t="str">
        <f>VLOOKUP(K86, 'Alphabetical by species code'!A:B, 2, FALSE)</f>
        <v>Bromus madritensis</v>
      </c>
    </row>
    <row r="87" spans="1:12" x14ac:dyDescent="0.25">
      <c r="A87" s="6">
        <v>1</v>
      </c>
      <c r="B87" s="6">
        <v>2025</v>
      </c>
      <c r="C87" s="7">
        <v>45764</v>
      </c>
      <c r="D87" s="6" t="s">
        <v>25</v>
      </c>
      <c r="E87" s="6" t="s">
        <v>26</v>
      </c>
      <c r="F87" s="6">
        <v>1</v>
      </c>
      <c r="G87" s="6" t="s">
        <v>27</v>
      </c>
      <c r="H87" s="6">
        <v>2</v>
      </c>
      <c r="I87" s="6">
        <v>11</v>
      </c>
      <c r="J87" s="6">
        <v>5.5</v>
      </c>
      <c r="K87" s="6" t="s">
        <v>28</v>
      </c>
      <c r="L87" s="6" t="str">
        <f>VLOOKUP(K87, 'Alphabetical by species code'!A:B, 2, FALSE)</f>
        <v>Litter</v>
      </c>
    </row>
    <row r="88" spans="1:12" x14ac:dyDescent="0.25">
      <c r="A88" s="6">
        <v>1</v>
      </c>
      <c r="B88" s="6">
        <v>2025</v>
      </c>
      <c r="C88" s="7">
        <v>45764</v>
      </c>
      <c r="D88" s="6" t="s">
        <v>25</v>
      </c>
      <c r="E88" s="6" t="s">
        <v>26</v>
      </c>
      <c r="F88" s="6">
        <v>1</v>
      </c>
      <c r="G88" s="6" t="s">
        <v>27</v>
      </c>
      <c r="H88" s="6">
        <v>2</v>
      </c>
      <c r="I88" s="6">
        <v>11</v>
      </c>
      <c r="J88" s="6">
        <v>5.5</v>
      </c>
      <c r="K88" s="6" t="s">
        <v>29</v>
      </c>
      <c r="L88" s="6" t="str">
        <f>VLOOKUP(K88, 'Alphabetical by species code'!A:B, 2, FALSE)</f>
        <v>Opuntia littoralis</v>
      </c>
    </row>
    <row r="89" spans="1:12" x14ac:dyDescent="0.25">
      <c r="A89" s="6">
        <v>1</v>
      </c>
      <c r="B89" s="6">
        <v>2025</v>
      </c>
      <c r="C89" s="7">
        <v>45764</v>
      </c>
      <c r="D89" s="6" t="s">
        <v>25</v>
      </c>
      <c r="E89" s="6" t="s">
        <v>26</v>
      </c>
      <c r="F89" s="6">
        <v>1</v>
      </c>
      <c r="G89" s="6" t="s">
        <v>27</v>
      </c>
      <c r="H89" s="6">
        <v>2</v>
      </c>
      <c r="I89" s="6">
        <v>11</v>
      </c>
      <c r="J89" s="6">
        <v>5.5</v>
      </c>
      <c r="K89" s="6" t="s">
        <v>37</v>
      </c>
      <c r="L89" s="6" t="str">
        <f>VLOOKUP(K89, 'Alphabetical by species code'!A:B, 2, FALSE)</f>
        <v>Sonchus oleraceus</v>
      </c>
    </row>
    <row r="90" spans="1:12" x14ac:dyDescent="0.25">
      <c r="A90" s="6">
        <v>1</v>
      </c>
      <c r="B90" s="6">
        <v>2025</v>
      </c>
      <c r="C90" s="7">
        <v>45764</v>
      </c>
      <c r="D90" s="6" t="s">
        <v>25</v>
      </c>
      <c r="E90" s="6" t="s">
        <v>26</v>
      </c>
      <c r="F90" s="6">
        <v>1</v>
      </c>
      <c r="G90" s="6" t="s">
        <v>27</v>
      </c>
      <c r="H90" s="6">
        <v>2</v>
      </c>
      <c r="I90" s="6">
        <v>12</v>
      </c>
      <c r="J90" s="6">
        <v>6</v>
      </c>
      <c r="K90" s="6" t="s">
        <v>28</v>
      </c>
      <c r="L90" s="6" t="str">
        <f>VLOOKUP(K90, 'Alphabetical by species code'!A:B, 2, FALSE)</f>
        <v>Litter</v>
      </c>
    </row>
    <row r="91" spans="1:12" x14ac:dyDescent="0.25">
      <c r="A91" s="6">
        <v>1</v>
      </c>
      <c r="B91" s="6">
        <v>2025</v>
      </c>
      <c r="C91" s="7">
        <v>45764</v>
      </c>
      <c r="D91" s="6" t="s">
        <v>25</v>
      </c>
      <c r="E91" s="6" t="s">
        <v>26</v>
      </c>
      <c r="F91" s="6">
        <v>1</v>
      </c>
      <c r="G91" s="6" t="s">
        <v>27</v>
      </c>
      <c r="H91" s="6">
        <v>2</v>
      </c>
      <c r="I91" s="6">
        <v>12</v>
      </c>
      <c r="J91" s="6">
        <v>6</v>
      </c>
      <c r="K91" s="6" t="s">
        <v>36</v>
      </c>
      <c r="L91" s="6" t="str">
        <f>VLOOKUP(K91, 'Alphabetical by species code'!A:B, 2, FALSE)</f>
        <v>Bromus madritensis</v>
      </c>
    </row>
    <row r="92" spans="1:12" x14ac:dyDescent="0.25">
      <c r="A92" s="6">
        <v>1</v>
      </c>
      <c r="B92" s="6">
        <v>2025</v>
      </c>
      <c r="C92" s="7">
        <v>45764</v>
      </c>
      <c r="D92" s="6" t="s">
        <v>25</v>
      </c>
      <c r="E92" s="6" t="s">
        <v>26</v>
      </c>
      <c r="F92" s="6">
        <v>1</v>
      </c>
      <c r="G92" s="6" t="s">
        <v>27</v>
      </c>
      <c r="H92" s="6">
        <v>2</v>
      </c>
      <c r="I92" s="6">
        <v>12</v>
      </c>
      <c r="J92" s="6">
        <v>6</v>
      </c>
      <c r="K92" s="6" t="s">
        <v>37</v>
      </c>
      <c r="L92" s="6" t="str">
        <f>VLOOKUP(K92, 'Alphabetical by species code'!A:B, 2, FALSE)</f>
        <v>Sonchus oleraceus</v>
      </c>
    </row>
    <row r="93" spans="1:12" x14ac:dyDescent="0.25">
      <c r="A93" s="6">
        <v>1</v>
      </c>
      <c r="B93" s="6">
        <v>2025</v>
      </c>
      <c r="C93" s="7">
        <v>45764</v>
      </c>
      <c r="D93" s="6" t="s">
        <v>25</v>
      </c>
      <c r="E93" s="6" t="s">
        <v>26</v>
      </c>
      <c r="F93" s="6">
        <v>1</v>
      </c>
      <c r="G93" s="6" t="s">
        <v>27</v>
      </c>
      <c r="H93" s="6">
        <v>2</v>
      </c>
      <c r="I93" s="6">
        <v>12</v>
      </c>
      <c r="J93" s="6">
        <v>6</v>
      </c>
      <c r="K93" s="6" t="s">
        <v>32</v>
      </c>
      <c r="L93" s="6" t="str">
        <f>VLOOKUP(K93, 'Alphabetical by species code'!A:B, 2, FALSE)</f>
        <v>Medicago polymorpha</v>
      </c>
    </row>
    <row r="94" spans="1:12" x14ac:dyDescent="0.25">
      <c r="A94" s="6">
        <v>1</v>
      </c>
      <c r="B94" s="6">
        <v>2025</v>
      </c>
      <c r="C94" s="7">
        <v>45764</v>
      </c>
      <c r="D94" s="6" t="s">
        <v>25</v>
      </c>
      <c r="E94" s="6" t="s">
        <v>26</v>
      </c>
      <c r="F94" s="6">
        <v>1</v>
      </c>
      <c r="G94" s="6" t="s">
        <v>27</v>
      </c>
      <c r="H94" s="6">
        <v>2</v>
      </c>
      <c r="I94" s="6">
        <v>13</v>
      </c>
      <c r="J94" s="6">
        <v>6.5</v>
      </c>
      <c r="K94" s="6" t="s">
        <v>28</v>
      </c>
      <c r="L94" s="6" t="str">
        <f>VLOOKUP(K94, 'Alphabetical by species code'!A:B, 2, FALSE)</f>
        <v>Litter</v>
      </c>
    </row>
    <row r="95" spans="1:12" x14ac:dyDescent="0.25">
      <c r="A95" s="6">
        <v>1</v>
      </c>
      <c r="B95" s="6">
        <v>2025</v>
      </c>
      <c r="C95" s="7">
        <v>45764</v>
      </c>
      <c r="D95" s="6" t="s">
        <v>25</v>
      </c>
      <c r="E95" s="6" t="s">
        <v>26</v>
      </c>
      <c r="F95" s="6">
        <v>1</v>
      </c>
      <c r="G95" s="6" t="s">
        <v>27</v>
      </c>
      <c r="H95" s="6">
        <v>2</v>
      </c>
      <c r="I95" s="6">
        <v>13</v>
      </c>
      <c r="J95" s="6">
        <v>6.5</v>
      </c>
      <c r="K95" s="6" t="s">
        <v>36</v>
      </c>
      <c r="L95" s="6" t="str">
        <f>VLOOKUP(K95, 'Alphabetical by species code'!A:B, 2, FALSE)</f>
        <v>Bromus madritensis</v>
      </c>
    </row>
    <row r="96" spans="1:12" x14ac:dyDescent="0.25">
      <c r="A96" s="6">
        <v>1</v>
      </c>
      <c r="B96" s="6">
        <v>2025</v>
      </c>
      <c r="C96" s="7">
        <v>45764</v>
      </c>
      <c r="D96" s="6" t="s">
        <v>25</v>
      </c>
      <c r="E96" s="6" t="s">
        <v>26</v>
      </c>
      <c r="F96" s="6">
        <v>1</v>
      </c>
      <c r="G96" s="6" t="s">
        <v>27</v>
      </c>
      <c r="H96" s="6">
        <v>2</v>
      </c>
      <c r="I96" s="6">
        <v>13</v>
      </c>
      <c r="J96" s="6">
        <v>6.5</v>
      </c>
      <c r="K96" s="6" t="s">
        <v>35</v>
      </c>
      <c r="L96" s="6" t="str">
        <f>VLOOKUP(K96, 'Alphabetical by species code'!A:B, 2, FALSE)</f>
        <v>Deinandra fasciculata</v>
      </c>
    </row>
    <row r="97" spans="1:12" x14ac:dyDescent="0.25">
      <c r="A97" s="6">
        <v>1</v>
      </c>
      <c r="B97" s="6">
        <v>2025</v>
      </c>
      <c r="C97" s="7">
        <v>45764</v>
      </c>
      <c r="D97" s="6" t="s">
        <v>25</v>
      </c>
      <c r="E97" s="6" t="s">
        <v>26</v>
      </c>
      <c r="F97" s="6">
        <v>1</v>
      </c>
      <c r="G97" s="6" t="s">
        <v>27</v>
      </c>
      <c r="H97" s="6">
        <v>2</v>
      </c>
      <c r="I97" s="6">
        <v>14</v>
      </c>
      <c r="J97" s="6">
        <v>7</v>
      </c>
      <c r="K97" s="6" t="s">
        <v>28</v>
      </c>
      <c r="L97" s="6" t="str">
        <f>VLOOKUP(K97, 'Alphabetical by species code'!A:B, 2, FALSE)</f>
        <v>Litter</v>
      </c>
    </row>
    <row r="98" spans="1:12" x14ac:dyDescent="0.25">
      <c r="A98" s="6">
        <v>1</v>
      </c>
      <c r="B98" s="6">
        <v>2025</v>
      </c>
      <c r="C98" s="7">
        <v>45764</v>
      </c>
      <c r="D98" s="6" t="s">
        <v>25</v>
      </c>
      <c r="E98" s="6" t="s">
        <v>26</v>
      </c>
      <c r="F98" s="6">
        <v>1</v>
      </c>
      <c r="G98" s="6" t="s">
        <v>27</v>
      </c>
      <c r="H98" s="6">
        <v>2</v>
      </c>
      <c r="I98" s="6">
        <v>14</v>
      </c>
      <c r="J98" s="6">
        <v>7</v>
      </c>
      <c r="K98" s="6" t="s">
        <v>36</v>
      </c>
      <c r="L98" s="6" t="str">
        <f>VLOOKUP(K98, 'Alphabetical by species code'!A:B, 2, FALSE)</f>
        <v>Bromus madritensis</v>
      </c>
    </row>
    <row r="99" spans="1:12" x14ac:dyDescent="0.25">
      <c r="A99" s="6">
        <v>1</v>
      </c>
      <c r="B99" s="6">
        <v>2025</v>
      </c>
      <c r="C99" s="7">
        <v>45764</v>
      </c>
      <c r="D99" s="6" t="s">
        <v>25</v>
      </c>
      <c r="E99" s="6" t="s">
        <v>26</v>
      </c>
      <c r="F99" s="6">
        <v>1</v>
      </c>
      <c r="G99" s="6" t="s">
        <v>27</v>
      </c>
      <c r="H99" s="6">
        <v>2</v>
      </c>
      <c r="I99" s="6">
        <v>14</v>
      </c>
      <c r="J99" s="6">
        <v>7</v>
      </c>
      <c r="K99" s="6" t="s">
        <v>37</v>
      </c>
      <c r="L99" s="6" t="str">
        <f>VLOOKUP(K99, 'Alphabetical by species code'!A:B, 2, FALSE)</f>
        <v>Sonchus oleraceus</v>
      </c>
    </row>
    <row r="100" spans="1:12" x14ac:dyDescent="0.25">
      <c r="A100" s="6">
        <v>1</v>
      </c>
      <c r="B100" s="6">
        <v>2025</v>
      </c>
      <c r="C100" s="7">
        <v>45764</v>
      </c>
      <c r="D100" s="6" t="s">
        <v>25</v>
      </c>
      <c r="E100" s="6" t="s">
        <v>26</v>
      </c>
      <c r="F100" s="6">
        <v>1</v>
      </c>
      <c r="G100" s="6" t="s">
        <v>27</v>
      </c>
      <c r="H100" s="6">
        <v>2</v>
      </c>
      <c r="I100" s="6">
        <v>14</v>
      </c>
      <c r="J100" s="6">
        <v>7</v>
      </c>
      <c r="K100" s="6" t="s">
        <v>32</v>
      </c>
      <c r="L100" s="6" t="str">
        <f>VLOOKUP(K100, 'Alphabetical by species code'!A:B, 2, FALSE)</f>
        <v>Medicago polymorpha</v>
      </c>
    </row>
    <row r="101" spans="1:12" x14ac:dyDescent="0.25">
      <c r="A101" s="6">
        <v>1</v>
      </c>
      <c r="B101" s="6">
        <v>2025</v>
      </c>
      <c r="C101" s="7">
        <v>45764</v>
      </c>
      <c r="D101" s="6" t="s">
        <v>25</v>
      </c>
      <c r="E101" s="6" t="s">
        <v>26</v>
      </c>
      <c r="F101" s="6">
        <v>1</v>
      </c>
      <c r="G101" s="6" t="s">
        <v>27</v>
      </c>
      <c r="H101" s="6">
        <v>2</v>
      </c>
      <c r="I101" s="6">
        <v>15</v>
      </c>
      <c r="J101" s="6">
        <v>7.5</v>
      </c>
      <c r="K101" s="6" t="s">
        <v>28</v>
      </c>
      <c r="L101" s="6" t="str">
        <f>VLOOKUP(K101, 'Alphabetical by species code'!A:B, 2, FALSE)</f>
        <v>Litter</v>
      </c>
    </row>
    <row r="102" spans="1:12" x14ac:dyDescent="0.25">
      <c r="A102" s="6">
        <v>1</v>
      </c>
      <c r="B102" s="6">
        <v>2025</v>
      </c>
      <c r="C102" s="7">
        <v>45764</v>
      </c>
      <c r="D102" s="6" t="s">
        <v>25</v>
      </c>
      <c r="E102" s="6" t="s">
        <v>26</v>
      </c>
      <c r="F102" s="6">
        <v>1</v>
      </c>
      <c r="G102" s="6" t="s">
        <v>27</v>
      </c>
      <c r="H102" s="6">
        <v>2</v>
      </c>
      <c r="I102" s="6">
        <v>15</v>
      </c>
      <c r="J102" s="6">
        <v>7.5</v>
      </c>
      <c r="K102" s="6" t="s">
        <v>32</v>
      </c>
      <c r="L102" s="6" t="str">
        <f>VLOOKUP(K102, 'Alphabetical by species code'!A:B, 2, FALSE)</f>
        <v>Medicago polymorpha</v>
      </c>
    </row>
    <row r="103" spans="1:12" x14ac:dyDescent="0.25">
      <c r="A103" s="6">
        <v>1</v>
      </c>
      <c r="B103" s="6">
        <v>2025</v>
      </c>
      <c r="C103" s="7">
        <v>45764</v>
      </c>
      <c r="D103" s="6" t="s">
        <v>25</v>
      </c>
      <c r="E103" s="6" t="s">
        <v>26</v>
      </c>
      <c r="F103" s="6">
        <v>1</v>
      </c>
      <c r="G103" s="6" t="s">
        <v>27</v>
      </c>
      <c r="H103" s="6">
        <v>2</v>
      </c>
      <c r="I103" s="6">
        <v>15</v>
      </c>
      <c r="J103" s="6">
        <v>7.5</v>
      </c>
      <c r="K103" s="6" t="s">
        <v>35</v>
      </c>
      <c r="L103" s="6" t="str">
        <f>VLOOKUP(K103, 'Alphabetical by species code'!A:B, 2, FALSE)</f>
        <v>Deinandra fasciculata</v>
      </c>
    </row>
    <row r="104" spans="1:12" x14ac:dyDescent="0.25">
      <c r="A104" s="6">
        <v>1</v>
      </c>
      <c r="B104" s="6">
        <v>2025</v>
      </c>
      <c r="C104" s="7">
        <v>45764</v>
      </c>
      <c r="D104" s="6" t="s">
        <v>25</v>
      </c>
      <c r="E104" s="6" t="s">
        <v>26</v>
      </c>
      <c r="F104" s="6">
        <v>1</v>
      </c>
      <c r="G104" s="6" t="s">
        <v>27</v>
      </c>
      <c r="H104" s="6">
        <v>2</v>
      </c>
      <c r="I104" s="6">
        <v>15</v>
      </c>
      <c r="J104" s="6">
        <v>7.5</v>
      </c>
      <c r="K104" s="6" t="s">
        <v>30</v>
      </c>
      <c r="L104" s="6" t="str">
        <f>VLOOKUP(K104, 'Alphabetical by species code'!A:B, 2, FALSE)</f>
        <v>Erodium moschatum</v>
      </c>
    </row>
    <row r="105" spans="1:12" x14ac:dyDescent="0.25">
      <c r="A105" s="6">
        <v>2</v>
      </c>
      <c r="B105" s="6">
        <v>2025</v>
      </c>
      <c r="C105" s="7">
        <v>45755</v>
      </c>
      <c r="D105" s="6" t="s">
        <v>45</v>
      </c>
      <c r="E105" s="6" t="s">
        <v>26</v>
      </c>
      <c r="F105" s="6">
        <v>1</v>
      </c>
      <c r="G105" s="6" t="s">
        <v>46</v>
      </c>
      <c r="H105" s="6">
        <v>1</v>
      </c>
      <c r="I105" s="6">
        <v>1</v>
      </c>
      <c r="J105" s="6">
        <v>0</v>
      </c>
      <c r="K105" s="6" t="s">
        <v>28</v>
      </c>
      <c r="L105" s="6" t="str">
        <f>VLOOKUP(K105, 'Alphabetical by species code'!A:B, 2, FALSE)</f>
        <v>Litter</v>
      </c>
    </row>
    <row r="106" spans="1:12" x14ac:dyDescent="0.25">
      <c r="A106" s="6">
        <v>2</v>
      </c>
      <c r="B106" s="6">
        <v>2025</v>
      </c>
      <c r="C106" s="7">
        <v>45755</v>
      </c>
      <c r="D106" s="6" t="s">
        <v>45</v>
      </c>
      <c r="E106" s="6" t="s">
        <v>26</v>
      </c>
      <c r="F106" s="6">
        <v>1</v>
      </c>
      <c r="G106" s="6" t="s">
        <v>46</v>
      </c>
      <c r="H106" s="6">
        <v>1</v>
      </c>
      <c r="I106" s="6">
        <v>1</v>
      </c>
      <c r="J106" s="6">
        <v>0</v>
      </c>
      <c r="K106" s="6" t="s">
        <v>42</v>
      </c>
      <c r="L106" s="6" t="str">
        <f>VLOOKUP(K106, 'Alphabetical by species code'!A:B, 2, FALSE)</f>
        <v>Centaurea melitensis</v>
      </c>
    </row>
    <row r="107" spans="1:12" x14ac:dyDescent="0.25">
      <c r="A107" s="6">
        <v>2</v>
      </c>
      <c r="B107" s="6">
        <v>2025</v>
      </c>
      <c r="C107" s="7">
        <v>45755</v>
      </c>
      <c r="D107" s="6" t="s">
        <v>45</v>
      </c>
      <c r="E107" s="6" t="s">
        <v>26</v>
      </c>
      <c r="F107" s="6">
        <v>1</v>
      </c>
      <c r="G107" s="6" t="s">
        <v>46</v>
      </c>
      <c r="H107" s="6">
        <v>1</v>
      </c>
      <c r="I107" s="6">
        <v>1</v>
      </c>
      <c r="J107" s="6">
        <v>0</v>
      </c>
      <c r="K107" s="6" t="s">
        <v>35</v>
      </c>
      <c r="L107" s="6" t="str">
        <f>VLOOKUP(K107, 'Alphabetical by species code'!A:B, 2, FALSE)</f>
        <v>Deinandra fasciculata</v>
      </c>
    </row>
    <row r="108" spans="1:12" x14ac:dyDescent="0.25">
      <c r="A108" s="6">
        <v>2</v>
      </c>
      <c r="B108" s="6">
        <v>2025</v>
      </c>
      <c r="C108" s="7">
        <v>45755</v>
      </c>
      <c r="D108" s="6" t="s">
        <v>45</v>
      </c>
      <c r="E108" s="6" t="s">
        <v>26</v>
      </c>
      <c r="F108" s="6">
        <v>1</v>
      </c>
      <c r="G108" s="6" t="s">
        <v>46</v>
      </c>
      <c r="H108" s="6">
        <v>1</v>
      </c>
      <c r="I108" s="6">
        <v>2</v>
      </c>
      <c r="J108" s="6">
        <v>0.5</v>
      </c>
      <c r="K108" s="6" t="s">
        <v>28</v>
      </c>
      <c r="L108" s="6" t="str">
        <f>VLOOKUP(K108, 'Alphabetical by species code'!A:B, 2, FALSE)</f>
        <v>Litter</v>
      </c>
    </row>
    <row r="109" spans="1:12" x14ac:dyDescent="0.25">
      <c r="A109" s="6">
        <v>2</v>
      </c>
      <c r="B109" s="6">
        <v>2025</v>
      </c>
      <c r="C109" s="7">
        <v>45755</v>
      </c>
      <c r="D109" s="6" t="s">
        <v>45</v>
      </c>
      <c r="E109" s="6" t="s">
        <v>26</v>
      </c>
      <c r="F109" s="6">
        <v>1</v>
      </c>
      <c r="G109" s="6" t="s">
        <v>46</v>
      </c>
      <c r="H109" s="6">
        <v>1</v>
      </c>
      <c r="I109" s="6">
        <v>3</v>
      </c>
      <c r="J109" s="6">
        <v>1</v>
      </c>
      <c r="K109" s="6" t="s">
        <v>28</v>
      </c>
      <c r="L109" s="6" t="str">
        <f>VLOOKUP(K109, 'Alphabetical by species code'!A:B, 2, FALSE)</f>
        <v>Litter</v>
      </c>
    </row>
    <row r="110" spans="1:12" x14ac:dyDescent="0.25">
      <c r="A110" s="6">
        <v>2</v>
      </c>
      <c r="B110" s="6">
        <v>2025</v>
      </c>
      <c r="C110" s="7">
        <v>45755</v>
      </c>
      <c r="D110" s="6" t="s">
        <v>45</v>
      </c>
      <c r="E110" s="6" t="s">
        <v>26</v>
      </c>
      <c r="F110" s="6">
        <v>1</v>
      </c>
      <c r="G110" s="6" t="s">
        <v>46</v>
      </c>
      <c r="H110" s="6">
        <v>1</v>
      </c>
      <c r="I110" s="6">
        <v>3</v>
      </c>
      <c r="J110" s="6">
        <v>1</v>
      </c>
      <c r="K110" s="6" t="s">
        <v>29</v>
      </c>
      <c r="L110" s="6" t="str">
        <f>VLOOKUP(K110, 'Alphabetical by species code'!A:B, 2, FALSE)</f>
        <v>Opuntia littoralis</v>
      </c>
    </row>
    <row r="111" spans="1:12" x14ac:dyDescent="0.25">
      <c r="A111" s="6">
        <v>2</v>
      </c>
      <c r="B111" s="6">
        <v>2025</v>
      </c>
      <c r="C111" s="7">
        <v>45755</v>
      </c>
      <c r="D111" s="6" t="s">
        <v>45</v>
      </c>
      <c r="E111" s="6" t="s">
        <v>26</v>
      </c>
      <c r="F111" s="6">
        <v>1</v>
      </c>
      <c r="G111" s="6" t="s">
        <v>46</v>
      </c>
      <c r="H111" s="6">
        <v>1</v>
      </c>
      <c r="I111" s="6">
        <v>3</v>
      </c>
      <c r="J111" s="6">
        <v>1</v>
      </c>
      <c r="K111" s="6" t="s">
        <v>31</v>
      </c>
      <c r="L111" s="6" t="str">
        <f>VLOOKUP(K111, 'Alphabetical by species code'!A:B, 2, FALSE)</f>
        <v>Festuca myuros</v>
      </c>
    </row>
    <row r="112" spans="1:12" x14ac:dyDescent="0.25">
      <c r="A112" s="6">
        <v>2</v>
      </c>
      <c r="B112" s="6">
        <v>2025</v>
      </c>
      <c r="C112" s="7">
        <v>45755</v>
      </c>
      <c r="D112" s="6" t="s">
        <v>45</v>
      </c>
      <c r="E112" s="6" t="s">
        <v>26</v>
      </c>
      <c r="F112" s="6">
        <v>1</v>
      </c>
      <c r="G112" s="6" t="s">
        <v>46</v>
      </c>
      <c r="H112" s="6">
        <v>1</v>
      </c>
      <c r="I112" s="6">
        <v>4</v>
      </c>
      <c r="J112" s="6">
        <v>1.5</v>
      </c>
      <c r="K112" s="6" t="s">
        <v>28</v>
      </c>
      <c r="L112" s="6" t="str">
        <f>VLOOKUP(K112, 'Alphabetical by species code'!A:B, 2, FALSE)</f>
        <v>Litter</v>
      </c>
    </row>
    <row r="113" spans="1:12" x14ac:dyDescent="0.25">
      <c r="A113" s="6">
        <v>2</v>
      </c>
      <c r="B113" s="6">
        <v>2025</v>
      </c>
      <c r="C113" s="7">
        <v>45755</v>
      </c>
      <c r="D113" s="6" t="s">
        <v>45</v>
      </c>
      <c r="E113" s="6" t="s">
        <v>26</v>
      </c>
      <c r="F113" s="6">
        <v>1</v>
      </c>
      <c r="G113" s="6" t="s">
        <v>46</v>
      </c>
      <c r="H113" s="6">
        <v>1</v>
      </c>
      <c r="I113" s="6">
        <v>4</v>
      </c>
      <c r="J113" s="6">
        <v>1.5</v>
      </c>
      <c r="K113" s="6" t="s">
        <v>35</v>
      </c>
      <c r="L113" s="6" t="str">
        <f>VLOOKUP(K113, 'Alphabetical by species code'!A:B, 2, FALSE)</f>
        <v>Deinandra fasciculata</v>
      </c>
    </row>
    <row r="114" spans="1:12" x14ac:dyDescent="0.25">
      <c r="A114" s="6">
        <v>2</v>
      </c>
      <c r="B114" s="6">
        <v>2025</v>
      </c>
      <c r="C114" s="7">
        <v>45755</v>
      </c>
      <c r="D114" s="6" t="s">
        <v>45</v>
      </c>
      <c r="E114" s="6" t="s">
        <v>26</v>
      </c>
      <c r="F114" s="6">
        <v>1</v>
      </c>
      <c r="G114" s="6" t="s">
        <v>46</v>
      </c>
      <c r="H114" s="6">
        <v>1</v>
      </c>
      <c r="I114" s="6">
        <v>4</v>
      </c>
      <c r="J114" s="6">
        <v>1.5</v>
      </c>
      <c r="K114" s="6" t="s">
        <v>31</v>
      </c>
      <c r="L114" s="6" t="str">
        <f>VLOOKUP(K114, 'Alphabetical by species code'!A:B, 2, FALSE)</f>
        <v>Festuca myuros</v>
      </c>
    </row>
    <row r="115" spans="1:12" x14ac:dyDescent="0.25">
      <c r="A115" s="6">
        <v>2</v>
      </c>
      <c r="B115" s="6">
        <v>2025</v>
      </c>
      <c r="C115" s="7">
        <v>45755</v>
      </c>
      <c r="D115" s="6" t="s">
        <v>45</v>
      </c>
      <c r="E115" s="6" t="s">
        <v>26</v>
      </c>
      <c r="F115" s="6">
        <v>1</v>
      </c>
      <c r="G115" s="6" t="s">
        <v>46</v>
      </c>
      <c r="H115" s="6">
        <v>1</v>
      </c>
      <c r="I115" s="6">
        <v>5</v>
      </c>
      <c r="J115" s="6">
        <v>2</v>
      </c>
      <c r="K115" s="6" t="s">
        <v>28</v>
      </c>
      <c r="L115" s="6" t="str">
        <f>VLOOKUP(K115, 'Alphabetical by species code'!A:B, 2, FALSE)</f>
        <v>Litter</v>
      </c>
    </row>
    <row r="116" spans="1:12" x14ac:dyDescent="0.25">
      <c r="A116" s="6">
        <v>2</v>
      </c>
      <c r="B116" s="6">
        <v>2025</v>
      </c>
      <c r="C116" s="7">
        <v>45755</v>
      </c>
      <c r="D116" s="6" t="s">
        <v>45</v>
      </c>
      <c r="E116" s="6" t="s">
        <v>26</v>
      </c>
      <c r="F116" s="6">
        <v>1</v>
      </c>
      <c r="G116" s="6" t="s">
        <v>46</v>
      </c>
      <c r="H116" s="6">
        <v>1</v>
      </c>
      <c r="I116" s="6">
        <v>5</v>
      </c>
      <c r="J116" s="6">
        <v>2</v>
      </c>
      <c r="K116" s="6" t="s">
        <v>42</v>
      </c>
      <c r="L116" s="6" t="str">
        <f>VLOOKUP(K116, 'Alphabetical by species code'!A:B, 2, FALSE)</f>
        <v>Centaurea melitensis</v>
      </c>
    </row>
    <row r="117" spans="1:12" x14ac:dyDescent="0.25">
      <c r="A117" s="6">
        <v>2</v>
      </c>
      <c r="B117" s="6">
        <v>2025</v>
      </c>
      <c r="C117" s="7">
        <v>45755</v>
      </c>
      <c r="D117" s="6" t="s">
        <v>45</v>
      </c>
      <c r="E117" s="6" t="s">
        <v>26</v>
      </c>
      <c r="F117" s="6">
        <v>1</v>
      </c>
      <c r="G117" s="6" t="s">
        <v>46</v>
      </c>
      <c r="H117" s="6">
        <v>1</v>
      </c>
      <c r="I117" s="6">
        <v>6</v>
      </c>
      <c r="J117" s="6">
        <v>2.5</v>
      </c>
      <c r="K117" s="6" t="s">
        <v>28</v>
      </c>
      <c r="L117" s="6" t="str">
        <f>VLOOKUP(K117, 'Alphabetical by species code'!A:B, 2, FALSE)</f>
        <v>Litter</v>
      </c>
    </row>
    <row r="118" spans="1:12" x14ac:dyDescent="0.25">
      <c r="A118" s="6">
        <v>2</v>
      </c>
      <c r="B118" s="6">
        <v>2025</v>
      </c>
      <c r="C118" s="7">
        <v>45755</v>
      </c>
      <c r="D118" s="6" t="s">
        <v>45</v>
      </c>
      <c r="E118" s="6" t="s">
        <v>26</v>
      </c>
      <c r="F118" s="6">
        <v>1</v>
      </c>
      <c r="G118" s="6" t="s">
        <v>46</v>
      </c>
      <c r="H118" s="6">
        <v>1</v>
      </c>
      <c r="I118" s="6">
        <v>6</v>
      </c>
      <c r="J118" s="6">
        <v>2.5</v>
      </c>
      <c r="K118" s="6" t="s">
        <v>34</v>
      </c>
      <c r="L118" s="6" t="str">
        <f>VLOOKUP(K118, 'Alphabetical by species code'!A:B, 2, FALSE)</f>
        <v>Erodium cicutarium</v>
      </c>
    </row>
    <row r="119" spans="1:12" x14ac:dyDescent="0.25">
      <c r="A119" s="6">
        <v>2</v>
      </c>
      <c r="B119" s="6">
        <v>2025</v>
      </c>
      <c r="C119" s="7">
        <v>45755</v>
      </c>
      <c r="D119" s="6" t="s">
        <v>45</v>
      </c>
      <c r="E119" s="6" t="s">
        <v>26</v>
      </c>
      <c r="F119" s="6">
        <v>1</v>
      </c>
      <c r="G119" s="6" t="s">
        <v>46</v>
      </c>
      <c r="H119" s="6">
        <v>1</v>
      </c>
      <c r="I119" s="6">
        <v>6</v>
      </c>
      <c r="J119" s="6">
        <v>2.5</v>
      </c>
      <c r="K119" s="6" t="s">
        <v>42</v>
      </c>
      <c r="L119" s="6" t="str">
        <f>VLOOKUP(K119, 'Alphabetical by species code'!A:B, 2, FALSE)</f>
        <v>Centaurea melitensis</v>
      </c>
    </row>
    <row r="120" spans="1:12" x14ac:dyDescent="0.25">
      <c r="A120" s="6">
        <v>2</v>
      </c>
      <c r="B120" s="6">
        <v>2025</v>
      </c>
      <c r="C120" s="7">
        <v>45755</v>
      </c>
      <c r="D120" s="6" t="s">
        <v>45</v>
      </c>
      <c r="E120" s="6" t="s">
        <v>26</v>
      </c>
      <c r="F120" s="6">
        <v>1</v>
      </c>
      <c r="G120" s="6" t="s">
        <v>46</v>
      </c>
      <c r="H120" s="6">
        <v>1</v>
      </c>
      <c r="I120" s="6">
        <v>6</v>
      </c>
      <c r="J120" s="6">
        <v>2.5</v>
      </c>
      <c r="K120" s="6" t="s">
        <v>47</v>
      </c>
      <c r="L120" s="6" t="str">
        <f>VLOOKUP(K120, 'Alphabetical by species code'!A:B, 2, FALSE)</f>
        <v>Sonchus species</v>
      </c>
    </row>
    <row r="121" spans="1:12" x14ac:dyDescent="0.25">
      <c r="A121" s="6">
        <v>2</v>
      </c>
      <c r="B121" s="6">
        <v>2025</v>
      </c>
      <c r="C121" s="7">
        <v>45755</v>
      </c>
      <c r="D121" s="6" t="s">
        <v>45</v>
      </c>
      <c r="E121" s="6" t="s">
        <v>26</v>
      </c>
      <c r="F121" s="6">
        <v>1</v>
      </c>
      <c r="G121" s="6" t="s">
        <v>46</v>
      </c>
      <c r="H121" s="6">
        <v>1</v>
      </c>
      <c r="I121" s="6">
        <v>7</v>
      </c>
      <c r="J121" s="6">
        <v>3</v>
      </c>
      <c r="K121" s="6" t="s">
        <v>28</v>
      </c>
      <c r="L121" s="6" t="str">
        <f>VLOOKUP(K121, 'Alphabetical by species code'!A:B, 2, FALSE)</f>
        <v>Litter</v>
      </c>
    </row>
    <row r="122" spans="1:12" x14ac:dyDescent="0.25">
      <c r="A122" s="6">
        <v>2</v>
      </c>
      <c r="B122" s="6">
        <v>2025</v>
      </c>
      <c r="C122" s="7">
        <v>45755</v>
      </c>
      <c r="D122" s="6" t="s">
        <v>45</v>
      </c>
      <c r="E122" s="6" t="s">
        <v>26</v>
      </c>
      <c r="F122" s="6">
        <v>1</v>
      </c>
      <c r="G122" s="6" t="s">
        <v>46</v>
      </c>
      <c r="H122" s="6">
        <v>1</v>
      </c>
      <c r="I122" s="6">
        <v>7</v>
      </c>
      <c r="J122" s="6">
        <v>3</v>
      </c>
      <c r="K122" s="6" t="s">
        <v>29</v>
      </c>
      <c r="L122" s="6" t="str">
        <f>VLOOKUP(K122, 'Alphabetical by species code'!A:B, 2, FALSE)</f>
        <v>Opuntia littoralis</v>
      </c>
    </row>
    <row r="123" spans="1:12" x14ac:dyDescent="0.25">
      <c r="A123" s="6">
        <v>2</v>
      </c>
      <c r="B123" s="6">
        <v>2025</v>
      </c>
      <c r="C123" s="7">
        <v>45755</v>
      </c>
      <c r="D123" s="6" t="s">
        <v>45</v>
      </c>
      <c r="E123" s="6" t="s">
        <v>26</v>
      </c>
      <c r="F123" s="6">
        <v>1</v>
      </c>
      <c r="G123" s="6" t="s">
        <v>46</v>
      </c>
      <c r="H123" s="6">
        <v>1</v>
      </c>
      <c r="I123" s="6">
        <v>7</v>
      </c>
      <c r="J123" s="6">
        <v>3</v>
      </c>
      <c r="K123" s="6" t="s">
        <v>35</v>
      </c>
      <c r="L123" s="6" t="str">
        <f>VLOOKUP(K123, 'Alphabetical by species code'!A:B, 2, FALSE)</f>
        <v>Deinandra fasciculata</v>
      </c>
    </row>
    <row r="124" spans="1:12" x14ac:dyDescent="0.25">
      <c r="A124" s="6">
        <v>2</v>
      </c>
      <c r="B124" s="6">
        <v>2025</v>
      </c>
      <c r="C124" s="7">
        <v>45755</v>
      </c>
      <c r="D124" s="6" t="s">
        <v>45</v>
      </c>
      <c r="E124" s="6" t="s">
        <v>26</v>
      </c>
      <c r="F124" s="6">
        <v>1</v>
      </c>
      <c r="G124" s="6" t="s">
        <v>46</v>
      </c>
      <c r="H124" s="6">
        <v>1</v>
      </c>
      <c r="I124" s="6">
        <v>7</v>
      </c>
      <c r="J124" s="6">
        <v>3</v>
      </c>
      <c r="K124" s="6" t="s">
        <v>39</v>
      </c>
      <c r="L124" s="6" t="str">
        <f>VLOOKUP(K124, 'Alphabetical by species code'!A:B, 2, FALSE)</f>
        <v>Stephanomeria diegensis</v>
      </c>
    </row>
    <row r="125" spans="1:12" x14ac:dyDescent="0.25">
      <c r="A125" s="6">
        <v>2</v>
      </c>
      <c r="B125" s="6">
        <v>2025</v>
      </c>
      <c r="C125" s="7">
        <v>45755</v>
      </c>
      <c r="D125" s="6" t="s">
        <v>45</v>
      </c>
      <c r="E125" s="6" t="s">
        <v>26</v>
      </c>
      <c r="F125" s="6">
        <v>1</v>
      </c>
      <c r="G125" s="6" t="s">
        <v>46</v>
      </c>
      <c r="H125" s="6">
        <v>1</v>
      </c>
      <c r="I125" s="6">
        <v>8</v>
      </c>
      <c r="J125" s="6">
        <v>3.5</v>
      </c>
      <c r="K125" s="6" t="s">
        <v>28</v>
      </c>
      <c r="L125" s="6" t="str">
        <f>VLOOKUP(K125, 'Alphabetical by species code'!A:B, 2, FALSE)</f>
        <v>Litter</v>
      </c>
    </row>
    <row r="126" spans="1:12" x14ac:dyDescent="0.25">
      <c r="A126" s="6">
        <v>2</v>
      </c>
      <c r="B126" s="6">
        <v>2025</v>
      </c>
      <c r="C126" s="7">
        <v>45755</v>
      </c>
      <c r="D126" s="6" t="s">
        <v>45</v>
      </c>
      <c r="E126" s="6" t="s">
        <v>26</v>
      </c>
      <c r="F126" s="6">
        <v>1</v>
      </c>
      <c r="G126" s="6" t="s">
        <v>46</v>
      </c>
      <c r="H126" s="6">
        <v>1</v>
      </c>
      <c r="I126" s="6">
        <v>8</v>
      </c>
      <c r="J126" s="6">
        <v>3.5</v>
      </c>
      <c r="K126" s="6" t="s">
        <v>35</v>
      </c>
      <c r="L126" s="6" t="str">
        <f>VLOOKUP(K126, 'Alphabetical by species code'!A:B, 2, FALSE)</f>
        <v>Deinandra fasciculata</v>
      </c>
    </row>
    <row r="127" spans="1:12" x14ac:dyDescent="0.25">
      <c r="A127" s="6">
        <v>2</v>
      </c>
      <c r="B127" s="6">
        <v>2025</v>
      </c>
      <c r="C127" s="7">
        <v>45755</v>
      </c>
      <c r="D127" s="6" t="s">
        <v>45</v>
      </c>
      <c r="E127" s="6" t="s">
        <v>26</v>
      </c>
      <c r="F127" s="6">
        <v>1</v>
      </c>
      <c r="G127" s="6" t="s">
        <v>46</v>
      </c>
      <c r="H127" s="6">
        <v>1</v>
      </c>
      <c r="I127" s="6">
        <v>8</v>
      </c>
      <c r="J127" s="6">
        <v>3.5</v>
      </c>
      <c r="K127" s="6" t="s">
        <v>34</v>
      </c>
      <c r="L127" s="6" t="str">
        <f>VLOOKUP(K127, 'Alphabetical by species code'!A:B, 2, FALSE)</f>
        <v>Erodium cicutarium</v>
      </c>
    </row>
    <row r="128" spans="1:12" x14ac:dyDescent="0.25">
      <c r="A128" s="6">
        <v>2</v>
      </c>
      <c r="B128" s="6">
        <v>2025</v>
      </c>
      <c r="C128" s="7">
        <v>45755</v>
      </c>
      <c r="D128" s="6" t="s">
        <v>45</v>
      </c>
      <c r="E128" s="6" t="s">
        <v>26</v>
      </c>
      <c r="F128" s="6">
        <v>1</v>
      </c>
      <c r="G128" s="6" t="s">
        <v>46</v>
      </c>
      <c r="H128" s="6">
        <v>1</v>
      </c>
      <c r="I128" s="6">
        <v>9</v>
      </c>
      <c r="J128" s="6">
        <v>4</v>
      </c>
      <c r="K128" s="6" t="s">
        <v>28</v>
      </c>
      <c r="L128" s="6" t="str">
        <f>VLOOKUP(K128, 'Alphabetical by species code'!A:B, 2, FALSE)</f>
        <v>Litter</v>
      </c>
    </row>
    <row r="129" spans="1:12" x14ac:dyDescent="0.25">
      <c r="A129" s="6">
        <v>2</v>
      </c>
      <c r="B129" s="6">
        <v>2025</v>
      </c>
      <c r="C129" s="7">
        <v>45755</v>
      </c>
      <c r="D129" s="6" t="s">
        <v>45</v>
      </c>
      <c r="E129" s="6" t="s">
        <v>26</v>
      </c>
      <c r="F129" s="6">
        <v>1</v>
      </c>
      <c r="G129" s="6" t="s">
        <v>46</v>
      </c>
      <c r="H129" s="6">
        <v>1</v>
      </c>
      <c r="I129" s="6">
        <v>9</v>
      </c>
      <c r="J129" s="6">
        <v>4</v>
      </c>
      <c r="K129" s="6" t="s">
        <v>35</v>
      </c>
      <c r="L129" s="6" t="str">
        <f>VLOOKUP(K129, 'Alphabetical by species code'!A:B, 2, FALSE)</f>
        <v>Deinandra fasciculata</v>
      </c>
    </row>
    <row r="130" spans="1:12" x14ac:dyDescent="0.25">
      <c r="A130" s="6">
        <v>2</v>
      </c>
      <c r="B130" s="6">
        <v>2025</v>
      </c>
      <c r="C130" s="7">
        <v>45755</v>
      </c>
      <c r="D130" s="6" t="s">
        <v>45</v>
      </c>
      <c r="E130" s="6" t="s">
        <v>26</v>
      </c>
      <c r="F130" s="6">
        <v>1</v>
      </c>
      <c r="G130" s="6" t="s">
        <v>46</v>
      </c>
      <c r="H130" s="6">
        <v>1</v>
      </c>
      <c r="I130" s="6">
        <v>9</v>
      </c>
      <c r="J130" s="6">
        <v>4</v>
      </c>
      <c r="K130" s="6" t="s">
        <v>34</v>
      </c>
      <c r="L130" s="6" t="str">
        <f>VLOOKUP(K130, 'Alphabetical by species code'!A:B, 2, FALSE)</f>
        <v>Erodium cicutarium</v>
      </c>
    </row>
    <row r="131" spans="1:12" x14ac:dyDescent="0.25">
      <c r="A131" s="6">
        <v>2</v>
      </c>
      <c r="B131" s="6">
        <v>2025</v>
      </c>
      <c r="C131" s="7">
        <v>45755</v>
      </c>
      <c r="D131" s="6" t="s">
        <v>45</v>
      </c>
      <c r="E131" s="6" t="s">
        <v>26</v>
      </c>
      <c r="F131" s="6">
        <v>1</v>
      </c>
      <c r="G131" s="6" t="s">
        <v>46</v>
      </c>
      <c r="H131" s="6">
        <v>1</v>
      </c>
      <c r="I131" s="6">
        <v>10</v>
      </c>
      <c r="J131" s="6">
        <v>4.5</v>
      </c>
      <c r="K131" s="6" t="s">
        <v>28</v>
      </c>
      <c r="L131" s="6" t="str">
        <f>VLOOKUP(K131, 'Alphabetical by species code'!A:B, 2, FALSE)</f>
        <v>Litter</v>
      </c>
    </row>
    <row r="132" spans="1:12" x14ac:dyDescent="0.25">
      <c r="A132" s="6">
        <v>2</v>
      </c>
      <c r="B132" s="6">
        <v>2025</v>
      </c>
      <c r="C132" s="7">
        <v>45755</v>
      </c>
      <c r="D132" s="6" t="s">
        <v>45</v>
      </c>
      <c r="E132" s="6" t="s">
        <v>26</v>
      </c>
      <c r="F132" s="6">
        <v>1</v>
      </c>
      <c r="G132" s="6" t="s">
        <v>46</v>
      </c>
      <c r="H132" s="6">
        <v>1</v>
      </c>
      <c r="I132" s="6">
        <v>10</v>
      </c>
      <c r="J132" s="6">
        <v>4.5</v>
      </c>
      <c r="K132" s="6" t="s">
        <v>35</v>
      </c>
      <c r="L132" s="6" t="str">
        <f>VLOOKUP(K132, 'Alphabetical by species code'!A:B, 2, FALSE)</f>
        <v>Deinandra fasciculata</v>
      </c>
    </row>
    <row r="133" spans="1:12" x14ac:dyDescent="0.25">
      <c r="A133" s="6">
        <v>2</v>
      </c>
      <c r="B133" s="6">
        <v>2025</v>
      </c>
      <c r="C133" s="7">
        <v>45755</v>
      </c>
      <c r="D133" s="6" t="s">
        <v>45</v>
      </c>
      <c r="E133" s="6" t="s">
        <v>26</v>
      </c>
      <c r="F133" s="6">
        <v>1</v>
      </c>
      <c r="G133" s="6" t="s">
        <v>46</v>
      </c>
      <c r="H133" s="6">
        <v>1</v>
      </c>
      <c r="I133" s="6">
        <v>10</v>
      </c>
      <c r="J133" s="6">
        <v>4.5</v>
      </c>
      <c r="K133" s="6" t="s">
        <v>36</v>
      </c>
      <c r="L133" s="6" t="str">
        <f>VLOOKUP(K133, 'Alphabetical by species code'!A:B, 2, FALSE)</f>
        <v>Bromus madritensis</v>
      </c>
    </row>
    <row r="134" spans="1:12" x14ac:dyDescent="0.25">
      <c r="A134" s="6">
        <v>2</v>
      </c>
      <c r="B134" s="6">
        <v>2025</v>
      </c>
      <c r="C134" s="7">
        <v>45755</v>
      </c>
      <c r="D134" s="6" t="s">
        <v>45</v>
      </c>
      <c r="E134" s="6" t="s">
        <v>26</v>
      </c>
      <c r="F134" s="6">
        <v>1</v>
      </c>
      <c r="G134" s="6" t="s">
        <v>46</v>
      </c>
      <c r="H134" s="6">
        <v>1</v>
      </c>
      <c r="I134" s="6">
        <v>11</v>
      </c>
      <c r="J134" s="6">
        <v>5</v>
      </c>
      <c r="K134" s="6" t="s">
        <v>28</v>
      </c>
      <c r="L134" s="6" t="str">
        <f>VLOOKUP(K134, 'Alphabetical by species code'!A:B, 2, FALSE)</f>
        <v>Litter</v>
      </c>
    </row>
    <row r="135" spans="1:12" x14ac:dyDescent="0.25">
      <c r="A135" s="6">
        <v>2</v>
      </c>
      <c r="B135" s="6">
        <v>2025</v>
      </c>
      <c r="C135" s="7">
        <v>45755</v>
      </c>
      <c r="D135" s="6" t="s">
        <v>45</v>
      </c>
      <c r="E135" s="6" t="s">
        <v>26</v>
      </c>
      <c r="F135" s="6">
        <v>1</v>
      </c>
      <c r="G135" s="6" t="s">
        <v>46</v>
      </c>
      <c r="H135" s="6">
        <v>1</v>
      </c>
      <c r="I135" s="6">
        <v>11</v>
      </c>
      <c r="J135" s="6">
        <v>5</v>
      </c>
      <c r="K135" s="6" t="s">
        <v>35</v>
      </c>
      <c r="L135" s="6" t="str">
        <f>VLOOKUP(K135, 'Alphabetical by species code'!A:B, 2, FALSE)</f>
        <v>Deinandra fasciculata</v>
      </c>
    </row>
    <row r="136" spans="1:12" x14ac:dyDescent="0.25">
      <c r="A136" s="6">
        <v>2</v>
      </c>
      <c r="B136" s="6">
        <v>2025</v>
      </c>
      <c r="C136" s="7">
        <v>45755</v>
      </c>
      <c r="D136" s="6" t="s">
        <v>45</v>
      </c>
      <c r="E136" s="6" t="s">
        <v>26</v>
      </c>
      <c r="F136" s="6">
        <v>1</v>
      </c>
      <c r="G136" s="6" t="s">
        <v>46</v>
      </c>
      <c r="H136" s="6">
        <v>1</v>
      </c>
      <c r="I136" s="6">
        <v>11</v>
      </c>
      <c r="J136" s="6">
        <v>5</v>
      </c>
      <c r="K136" s="6" t="s">
        <v>36</v>
      </c>
      <c r="L136" s="6" t="str">
        <f>VLOOKUP(K136, 'Alphabetical by species code'!A:B, 2, FALSE)</f>
        <v>Bromus madritensis</v>
      </c>
    </row>
    <row r="137" spans="1:12" x14ac:dyDescent="0.25">
      <c r="A137" s="6">
        <v>2</v>
      </c>
      <c r="B137" s="6">
        <v>2025</v>
      </c>
      <c r="C137" s="7">
        <v>45755</v>
      </c>
      <c r="D137" s="6" t="s">
        <v>45</v>
      </c>
      <c r="E137" s="6" t="s">
        <v>26</v>
      </c>
      <c r="F137" s="6">
        <v>1</v>
      </c>
      <c r="G137" s="6" t="s">
        <v>46</v>
      </c>
      <c r="H137" s="6">
        <v>1</v>
      </c>
      <c r="I137" s="6">
        <v>12</v>
      </c>
      <c r="J137" s="6">
        <v>5.5</v>
      </c>
      <c r="K137" s="6" t="s">
        <v>28</v>
      </c>
      <c r="L137" s="6" t="str">
        <f>VLOOKUP(K137, 'Alphabetical by species code'!A:B, 2, FALSE)</f>
        <v>Litter</v>
      </c>
    </row>
    <row r="138" spans="1:12" x14ac:dyDescent="0.25">
      <c r="A138" s="6">
        <v>2</v>
      </c>
      <c r="B138" s="6">
        <v>2025</v>
      </c>
      <c r="C138" s="7">
        <v>45755</v>
      </c>
      <c r="D138" s="6" t="s">
        <v>45</v>
      </c>
      <c r="E138" s="6" t="s">
        <v>26</v>
      </c>
      <c r="F138" s="6">
        <v>1</v>
      </c>
      <c r="G138" s="6" t="s">
        <v>46</v>
      </c>
      <c r="H138" s="6">
        <v>1</v>
      </c>
      <c r="I138" s="6">
        <v>12</v>
      </c>
      <c r="J138" s="6">
        <v>5.5</v>
      </c>
      <c r="K138" s="6" t="s">
        <v>48</v>
      </c>
      <c r="L138" s="6" t="str">
        <f>VLOOKUP(K138, 'Alphabetical by species code'!A:B, 2, FALSE)</f>
        <v>Sonchus asper</v>
      </c>
    </row>
    <row r="139" spans="1:12" x14ac:dyDescent="0.25">
      <c r="A139" s="6">
        <v>2</v>
      </c>
      <c r="B139" s="6">
        <v>2025</v>
      </c>
      <c r="C139" s="7">
        <v>45755</v>
      </c>
      <c r="D139" s="6" t="s">
        <v>45</v>
      </c>
      <c r="E139" s="6" t="s">
        <v>26</v>
      </c>
      <c r="F139" s="6">
        <v>1</v>
      </c>
      <c r="G139" s="6" t="s">
        <v>46</v>
      </c>
      <c r="H139" s="6">
        <v>1</v>
      </c>
      <c r="I139" s="6">
        <v>13</v>
      </c>
      <c r="J139" s="6">
        <v>6.5</v>
      </c>
      <c r="K139" s="6" t="s">
        <v>28</v>
      </c>
      <c r="L139" s="6" t="str">
        <f>VLOOKUP(K139, 'Alphabetical by species code'!A:B, 2, FALSE)</f>
        <v>Litter</v>
      </c>
    </row>
    <row r="140" spans="1:12" x14ac:dyDescent="0.25">
      <c r="A140" s="6">
        <v>2</v>
      </c>
      <c r="B140" s="6">
        <v>2025</v>
      </c>
      <c r="C140" s="7">
        <v>45755</v>
      </c>
      <c r="D140" s="6" t="s">
        <v>45</v>
      </c>
      <c r="E140" s="6" t="s">
        <v>26</v>
      </c>
      <c r="F140" s="6">
        <v>1</v>
      </c>
      <c r="G140" s="6" t="s">
        <v>46</v>
      </c>
      <c r="H140" s="6">
        <v>1</v>
      </c>
      <c r="I140" s="6">
        <v>13</v>
      </c>
      <c r="J140" s="6">
        <v>6.5</v>
      </c>
      <c r="K140" s="6" t="s">
        <v>42</v>
      </c>
      <c r="L140" s="6" t="str">
        <f>VLOOKUP(K140, 'Alphabetical by species code'!A:B, 2, FALSE)</f>
        <v>Centaurea melitensis</v>
      </c>
    </row>
    <row r="141" spans="1:12" x14ac:dyDescent="0.25">
      <c r="A141" s="6">
        <v>2</v>
      </c>
      <c r="B141" s="6">
        <v>2025</v>
      </c>
      <c r="C141" s="7">
        <v>45755</v>
      </c>
      <c r="D141" s="6" t="s">
        <v>45</v>
      </c>
      <c r="E141" s="6" t="s">
        <v>26</v>
      </c>
      <c r="F141" s="6">
        <v>1</v>
      </c>
      <c r="G141" s="6" t="s">
        <v>46</v>
      </c>
      <c r="H141" s="6">
        <v>1</v>
      </c>
      <c r="I141" s="6">
        <v>13</v>
      </c>
      <c r="J141" s="6">
        <v>6.5</v>
      </c>
      <c r="K141" s="6" t="s">
        <v>34</v>
      </c>
      <c r="L141" s="6" t="str">
        <f>VLOOKUP(K141, 'Alphabetical by species code'!A:B, 2, FALSE)</f>
        <v>Erodium cicutarium</v>
      </c>
    </row>
    <row r="142" spans="1:12" x14ac:dyDescent="0.25">
      <c r="A142" s="6">
        <v>2</v>
      </c>
      <c r="B142" s="6">
        <v>2025</v>
      </c>
      <c r="C142" s="7">
        <v>45755</v>
      </c>
      <c r="D142" s="6" t="s">
        <v>45</v>
      </c>
      <c r="E142" s="6" t="s">
        <v>26</v>
      </c>
      <c r="F142" s="6">
        <v>1</v>
      </c>
      <c r="G142" s="6" t="s">
        <v>46</v>
      </c>
      <c r="H142" s="6">
        <v>1</v>
      </c>
      <c r="I142" s="6">
        <v>14</v>
      </c>
      <c r="J142" s="6">
        <v>7</v>
      </c>
      <c r="K142" s="6" t="s">
        <v>28</v>
      </c>
      <c r="L142" s="6" t="str">
        <f>VLOOKUP(K142, 'Alphabetical by species code'!A:B, 2, FALSE)</f>
        <v>Litter</v>
      </c>
    </row>
    <row r="143" spans="1:12" x14ac:dyDescent="0.25">
      <c r="A143" s="6">
        <v>2</v>
      </c>
      <c r="B143" s="6">
        <v>2025</v>
      </c>
      <c r="C143" s="7">
        <v>45755</v>
      </c>
      <c r="D143" s="6" t="s">
        <v>45</v>
      </c>
      <c r="E143" s="6" t="s">
        <v>26</v>
      </c>
      <c r="F143" s="6">
        <v>1</v>
      </c>
      <c r="G143" s="6" t="s">
        <v>46</v>
      </c>
      <c r="H143" s="6">
        <v>1</v>
      </c>
      <c r="I143" s="6">
        <v>14</v>
      </c>
      <c r="J143" s="6">
        <v>7</v>
      </c>
      <c r="K143" s="6" t="s">
        <v>37</v>
      </c>
      <c r="L143" s="6" t="str">
        <f>VLOOKUP(K143, 'Alphabetical by species code'!A:B, 2, FALSE)</f>
        <v>Sonchus oleraceus</v>
      </c>
    </row>
    <row r="144" spans="1:12" x14ac:dyDescent="0.25">
      <c r="A144" s="6">
        <v>2</v>
      </c>
      <c r="B144" s="6">
        <v>2025</v>
      </c>
      <c r="C144" s="7">
        <v>45755</v>
      </c>
      <c r="D144" s="6" t="s">
        <v>45</v>
      </c>
      <c r="E144" s="6" t="s">
        <v>26</v>
      </c>
      <c r="F144" s="6">
        <v>1</v>
      </c>
      <c r="G144" s="6" t="s">
        <v>46</v>
      </c>
      <c r="H144" s="6">
        <v>1</v>
      </c>
      <c r="I144" s="6">
        <v>15</v>
      </c>
      <c r="J144" s="6">
        <v>7.5</v>
      </c>
      <c r="K144" s="6" t="s">
        <v>28</v>
      </c>
      <c r="L144" s="6" t="str">
        <f>VLOOKUP(K144, 'Alphabetical by species code'!A:B, 2, FALSE)</f>
        <v>Litter</v>
      </c>
    </row>
    <row r="145" spans="1:12" x14ac:dyDescent="0.25">
      <c r="A145" s="6">
        <v>2</v>
      </c>
      <c r="B145" s="6">
        <v>2025</v>
      </c>
      <c r="C145" s="7">
        <v>45755</v>
      </c>
      <c r="D145" s="6" t="s">
        <v>45</v>
      </c>
      <c r="E145" s="6" t="s">
        <v>26</v>
      </c>
      <c r="F145" s="6">
        <v>1</v>
      </c>
      <c r="G145" s="6" t="s">
        <v>46</v>
      </c>
      <c r="H145" s="6">
        <v>1</v>
      </c>
      <c r="I145" s="6">
        <v>15</v>
      </c>
      <c r="J145" s="6">
        <v>7.5</v>
      </c>
      <c r="K145" s="6" t="s">
        <v>49</v>
      </c>
      <c r="L145" s="6" t="str">
        <f>VLOOKUP(K145, 'Alphabetical by species code'!A:B, 2, FALSE)</f>
        <v>Anagallis arvensis</v>
      </c>
    </row>
    <row r="146" spans="1:12" x14ac:dyDescent="0.25">
      <c r="A146" s="6">
        <v>2</v>
      </c>
      <c r="B146" s="6">
        <v>2025</v>
      </c>
      <c r="C146" s="7">
        <v>45755</v>
      </c>
      <c r="D146" s="6" t="s">
        <v>45</v>
      </c>
      <c r="E146" s="6" t="s">
        <v>26</v>
      </c>
      <c r="F146" s="6">
        <v>1</v>
      </c>
      <c r="G146" s="6" t="s">
        <v>46</v>
      </c>
      <c r="H146" s="6">
        <v>1</v>
      </c>
      <c r="I146" s="6">
        <v>15</v>
      </c>
      <c r="J146" s="6">
        <v>7.5</v>
      </c>
      <c r="K146" s="6" t="s">
        <v>34</v>
      </c>
      <c r="L146" s="6" t="str">
        <f>VLOOKUP(K146, 'Alphabetical by species code'!A:B, 2, FALSE)</f>
        <v>Erodium cicutarium</v>
      </c>
    </row>
    <row r="147" spans="1:12" x14ac:dyDescent="0.25">
      <c r="A147" s="6">
        <v>2</v>
      </c>
      <c r="B147" s="6">
        <v>2025</v>
      </c>
      <c r="C147" s="7">
        <v>45755</v>
      </c>
      <c r="D147" s="6" t="s">
        <v>45</v>
      </c>
      <c r="E147" s="6" t="s">
        <v>26</v>
      </c>
      <c r="F147" s="6">
        <v>1</v>
      </c>
      <c r="G147" s="6" t="s">
        <v>46</v>
      </c>
      <c r="H147" s="6">
        <v>2</v>
      </c>
      <c r="I147" s="6">
        <v>1</v>
      </c>
      <c r="J147" s="6">
        <v>0</v>
      </c>
      <c r="K147" s="6" t="s">
        <v>28</v>
      </c>
      <c r="L147" s="6" t="str">
        <f>VLOOKUP(K147, 'Alphabetical by species code'!A:B, 2, FALSE)</f>
        <v>Litter</v>
      </c>
    </row>
    <row r="148" spans="1:12" x14ac:dyDescent="0.25">
      <c r="A148" s="6">
        <v>2</v>
      </c>
      <c r="B148" s="6">
        <v>2025</v>
      </c>
      <c r="C148" s="7">
        <v>45755</v>
      </c>
      <c r="D148" s="6" t="s">
        <v>45</v>
      </c>
      <c r="E148" s="6" t="s">
        <v>26</v>
      </c>
      <c r="F148" s="6">
        <v>1</v>
      </c>
      <c r="G148" s="6" t="s">
        <v>46</v>
      </c>
      <c r="H148" s="6">
        <v>2</v>
      </c>
      <c r="I148" s="6">
        <v>1</v>
      </c>
      <c r="J148" s="6">
        <v>0</v>
      </c>
      <c r="K148" s="6" t="s">
        <v>42</v>
      </c>
      <c r="L148" s="6" t="str">
        <f>VLOOKUP(K148, 'Alphabetical by species code'!A:B, 2, FALSE)</f>
        <v>Centaurea melitensis</v>
      </c>
    </row>
    <row r="149" spans="1:12" x14ac:dyDescent="0.25">
      <c r="A149" s="6">
        <v>2</v>
      </c>
      <c r="B149" s="6">
        <v>2025</v>
      </c>
      <c r="C149" s="7">
        <v>45755</v>
      </c>
      <c r="D149" s="6" t="s">
        <v>45</v>
      </c>
      <c r="E149" s="6" t="s">
        <v>26</v>
      </c>
      <c r="F149" s="6">
        <v>1</v>
      </c>
      <c r="G149" s="6" t="s">
        <v>46</v>
      </c>
      <c r="H149" s="6">
        <v>2</v>
      </c>
      <c r="I149" s="6">
        <v>1</v>
      </c>
      <c r="J149" s="6">
        <v>0</v>
      </c>
      <c r="K149" s="6" t="s">
        <v>32</v>
      </c>
      <c r="L149" s="6" t="str">
        <f>VLOOKUP(K149, 'Alphabetical by species code'!A:B, 2, FALSE)</f>
        <v>Medicago polymorpha</v>
      </c>
    </row>
    <row r="150" spans="1:12" x14ac:dyDescent="0.25">
      <c r="A150" s="6">
        <v>2</v>
      </c>
      <c r="B150" s="6">
        <v>2025</v>
      </c>
      <c r="C150" s="7">
        <v>45755</v>
      </c>
      <c r="D150" s="6" t="s">
        <v>45</v>
      </c>
      <c r="E150" s="6" t="s">
        <v>26</v>
      </c>
      <c r="F150" s="6">
        <v>1</v>
      </c>
      <c r="G150" s="6" t="s">
        <v>46</v>
      </c>
      <c r="H150" s="6">
        <v>2</v>
      </c>
      <c r="I150" s="6">
        <v>1</v>
      </c>
      <c r="J150" s="6">
        <v>0</v>
      </c>
      <c r="K150" s="6" t="s">
        <v>31</v>
      </c>
      <c r="L150" s="6" t="str">
        <f>VLOOKUP(K150, 'Alphabetical by species code'!A:B, 2, FALSE)</f>
        <v>Festuca myuros</v>
      </c>
    </row>
    <row r="151" spans="1:12" x14ac:dyDescent="0.25">
      <c r="A151" s="6">
        <v>2</v>
      </c>
      <c r="B151" s="6">
        <v>2025</v>
      </c>
      <c r="C151" s="7">
        <v>45755</v>
      </c>
      <c r="D151" s="6" t="s">
        <v>45</v>
      </c>
      <c r="E151" s="6" t="s">
        <v>26</v>
      </c>
      <c r="F151" s="6">
        <v>1</v>
      </c>
      <c r="G151" s="6" t="s">
        <v>46</v>
      </c>
      <c r="H151" s="6">
        <v>2</v>
      </c>
      <c r="I151" s="6">
        <v>2</v>
      </c>
      <c r="J151" s="6">
        <v>0.5</v>
      </c>
      <c r="K151" s="6" t="s">
        <v>28</v>
      </c>
      <c r="L151" s="6" t="str">
        <f>VLOOKUP(K151, 'Alphabetical by species code'!A:B, 2, FALSE)</f>
        <v>Litter</v>
      </c>
    </row>
    <row r="152" spans="1:12" x14ac:dyDescent="0.25">
      <c r="A152" s="6">
        <v>2</v>
      </c>
      <c r="B152" s="6">
        <v>2025</v>
      </c>
      <c r="C152" s="7">
        <v>45755</v>
      </c>
      <c r="D152" s="6" t="s">
        <v>45</v>
      </c>
      <c r="E152" s="6" t="s">
        <v>26</v>
      </c>
      <c r="F152" s="6">
        <v>1</v>
      </c>
      <c r="G152" s="6" t="s">
        <v>46</v>
      </c>
      <c r="H152" s="6">
        <v>2</v>
      </c>
      <c r="I152" s="6">
        <v>2</v>
      </c>
      <c r="J152" s="6">
        <v>0.5</v>
      </c>
      <c r="K152" s="6" t="s">
        <v>29</v>
      </c>
      <c r="L152" s="6" t="str">
        <f>VLOOKUP(K152, 'Alphabetical by species code'!A:B, 2, FALSE)</f>
        <v>Opuntia littoralis</v>
      </c>
    </row>
    <row r="153" spans="1:12" x14ac:dyDescent="0.25">
      <c r="A153" s="6">
        <v>2</v>
      </c>
      <c r="B153" s="6">
        <v>2025</v>
      </c>
      <c r="C153" s="7">
        <v>45755</v>
      </c>
      <c r="D153" s="6" t="s">
        <v>45</v>
      </c>
      <c r="E153" s="6" t="s">
        <v>26</v>
      </c>
      <c r="F153" s="6">
        <v>1</v>
      </c>
      <c r="G153" s="6" t="s">
        <v>46</v>
      </c>
      <c r="H153" s="6">
        <v>2</v>
      </c>
      <c r="I153" s="6">
        <v>2</v>
      </c>
      <c r="J153" s="6">
        <v>0.5</v>
      </c>
      <c r="K153" s="6" t="s">
        <v>32</v>
      </c>
      <c r="L153" s="6" t="str">
        <f>VLOOKUP(K153, 'Alphabetical by species code'!A:B, 2, FALSE)</f>
        <v>Medicago polymorpha</v>
      </c>
    </row>
    <row r="154" spans="1:12" x14ac:dyDescent="0.25">
      <c r="A154" s="6">
        <v>2</v>
      </c>
      <c r="B154" s="6">
        <v>2025</v>
      </c>
      <c r="C154" s="7">
        <v>45755</v>
      </c>
      <c r="D154" s="6" t="s">
        <v>45</v>
      </c>
      <c r="E154" s="6" t="s">
        <v>26</v>
      </c>
      <c r="F154" s="6">
        <v>1</v>
      </c>
      <c r="G154" s="6" t="s">
        <v>46</v>
      </c>
      <c r="H154" s="6">
        <v>2</v>
      </c>
      <c r="I154" s="6">
        <v>2</v>
      </c>
      <c r="J154" s="6">
        <v>0.5</v>
      </c>
      <c r="K154" s="6" t="s">
        <v>50</v>
      </c>
      <c r="L154" s="6" t="str">
        <f>VLOOKUP(K154, 'Alphabetical by species code'!A:B, 2, FALSE)</f>
        <v>Crypantha maritima</v>
      </c>
    </row>
    <row r="155" spans="1:12" x14ac:dyDescent="0.25">
      <c r="A155" s="6">
        <v>2</v>
      </c>
      <c r="B155" s="6">
        <v>2025</v>
      </c>
      <c r="C155" s="7">
        <v>45755</v>
      </c>
      <c r="D155" s="6" t="s">
        <v>45</v>
      </c>
      <c r="E155" s="6" t="s">
        <v>26</v>
      </c>
      <c r="F155" s="6">
        <v>1</v>
      </c>
      <c r="G155" s="6" t="s">
        <v>46</v>
      </c>
      <c r="H155" s="6">
        <v>2</v>
      </c>
      <c r="I155" s="6">
        <v>2</v>
      </c>
      <c r="J155" s="6">
        <v>0.5</v>
      </c>
      <c r="K155" s="6" t="s">
        <v>42</v>
      </c>
      <c r="L155" s="6" t="str">
        <f>VLOOKUP(K155, 'Alphabetical by species code'!A:B, 2, FALSE)</f>
        <v>Centaurea melitensis</v>
      </c>
    </row>
    <row r="156" spans="1:12" x14ac:dyDescent="0.25">
      <c r="A156" s="6">
        <v>2</v>
      </c>
      <c r="B156" s="6">
        <v>2025</v>
      </c>
      <c r="C156" s="7">
        <v>45755</v>
      </c>
      <c r="D156" s="6" t="s">
        <v>45</v>
      </c>
      <c r="E156" s="6" t="s">
        <v>26</v>
      </c>
      <c r="F156" s="6">
        <v>1</v>
      </c>
      <c r="G156" s="6" t="s">
        <v>46</v>
      </c>
      <c r="H156" s="6">
        <v>2</v>
      </c>
      <c r="I156" s="6">
        <v>3</v>
      </c>
      <c r="J156" s="6">
        <v>1</v>
      </c>
      <c r="K156" s="6" t="s">
        <v>41</v>
      </c>
      <c r="L156" s="6" t="str">
        <f>VLOOKUP(K156, 'Alphabetical by species code'!A:B, 2, FALSE)</f>
        <v>Stem</v>
      </c>
    </row>
    <row r="157" spans="1:12" x14ac:dyDescent="0.25">
      <c r="A157" s="6">
        <v>2</v>
      </c>
      <c r="B157" s="6">
        <v>2025</v>
      </c>
      <c r="C157" s="7">
        <v>45755</v>
      </c>
      <c r="D157" s="6" t="s">
        <v>45</v>
      </c>
      <c r="E157" s="6" t="s">
        <v>26</v>
      </c>
      <c r="F157" s="6">
        <v>1</v>
      </c>
      <c r="G157" s="6" t="s">
        <v>46</v>
      </c>
      <c r="H157" s="6">
        <v>2</v>
      </c>
      <c r="I157" s="6">
        <v>3</v>
      </c>
      <c r="J157" s="6">
        <v>1</v>
      </c>
      <c r="K157" s="6" t="s">
        <v>42</v>
      </c>
      <c r="L157" s="6" t="str">
        <f>VLOOKUP(K157, 'Alphabetical by species code'!A:B, 2, FALSE)</f>
        <v>Centaurea melitensis</v>
      </c>
    </row>
    <row r="158" spans="1:12" x14ac:dyDescent="0.25">
      <c r="A158" s="6">
        <v>2</v>
      </c>
      <c r="B158" s="6">
        <v>2025</v>
      </c>
      <c r="C158" s="7">
        <v>45755</v>
      </c>
      <c r="D158" s="6" t="s">
        <v>45</v>
      </c>
      <c r="E158" s="6" t="s">
        <v>26</v>
      </c>
      <c r="F158" s="6">
        <v>1</v>
      </c>
      <c r="G158" s="6" t="s">
        <v>46</v>
      </c>
      <c r="H158" s="6">
        <v>2</v>
      </c>
      <c r="I158" s="6">
        <v>3</v>
      </c>
      <c r="J158" s="6">
        <v>1</v>
      </c>
      <c r="K158" s="6" t="s">
        <v>34</v>
      </c>
      <c r="L158" s="6" t="str">
        <f>VLOOKUP(K158, 'Alphabetical by species code'!A:B, 2, FALSE)</f>
        <v>Erodium cicutarium</v>
      </c>
    </row>
    <row r="159" spans="1:12" x14ac:dyDescent="0.25">
      <c r="A159" s="6">
        <v>2</v>
      </c>
      <c r="B159" s="6">
        <v>2025</v>
      </c>
      <c r="C159" s="7">
        <v>45755</v>
      </c>
      <c r="D159" s="6" t="s">
        <v>45</v>
      </c>
      <c r="E159" s="6" t="s">
        <v>26</v>
      </c>
      <c r="F159" s="6">
        <v>1</v>
      </c>
      <c r="G159" s="6" t="s">
        <v>46</v>
      </c>
      <c r="H159" s="6">
        <v>2</v>
      </c>
      <c r="I159" s="6">
        <v>3</v>
      </c>
      <c r="J159" s="6">
        <v>1</v>
      </c>
      <c r="K159" s="6" t="s">
        <v>31</v>
      </c>
      <c r="L159" s="6" t="str">
        <f>VLOOKUP(K159, 'Alphabetical by species code'!A:B, 2, FALSE)</f>
        <v>Festuca myuros</v>
      </c>
    </row>
    <row r="160" spans="1:12" x14ac:dyDescent="0.25">
      <c r="A160" s="6">
        <v>2</v>
      </c>
      <c r="B160" s="6">
        <v>2025</v>
      </c>
      <c r="C160" s="7">
        <v>45755</v>
      </c>
      <c r="D160" s="6" t="s">
        <v>45</v>
      </c>
      <c r="E160" s="6" t="s">
        <v>26</v>
      </c>
      <c r="F160" s="6">
        <v>1</v>
      </c>
      <c r="G160" s="6" t="s">
        <v>46</v>
      </c>
      <c r="H160" s="6">
        <v>2</v>
      </c>
      <c r="I160" s="6">
        <v>4</v>
      </c>
      <c r="J160" s="6">
        <v>1.5</v>
      </c>
      <c r="K160" s="6" t="s">
        <v>28</v>
      </c>
      <c r="L160" s="6" t="str">
        <f>VLOOKUP(K160, 'Alphabetical by species code'!A:B, 2, FALSE)</f>
        <v>Litter</v>
      </c>
    </row>
    <row r="161" spans="1:12" x14ac:dyDescent="0.25">
      <c r="A161" s="6">
        <v>2</v>
      </c>
      <c r="B161" s="6">
        <v>2025</v>
      </c>
      <c r="C161" s="7">
        <v>45755</v>
      </c>
      <c r="D161" s="6" t="s">
        <v>45</v>
      </c>
      <c r="E161" s="6" t="s">
        <v>26</v>
      </c>
      <c r="F161" s="6">
        <v>1</v>
      </c>
      <c r="G161" s="6" t="s">
        <v>46</v>
      </c>
      <c r="H161" s="6">
        <v>2</v>
      </c>
      <c r="I161" s="6">
        <v>4</v>
      </c>
      <c r="J161" s="6">
        <v>1.5</v>
      </c>
      <c r="K161" s="6" t="s">
        <v>32</v>
      </c>
      <c r="L161" s="6" t="str">
        <f>VLOOKUP(K161, 'Alphabetical by species code'!A:B, 2, FALSE)</f>
        <v>Medicago polymorpha</v>
      </c>
    </row>
    <row r="162" spans="1:12" x14ac:dyDescent="0.25">
      <c r="A162" s="6">
        <v>2</v>
      </c>
      <c r="B162" s="6">
        <v>2025</v>
      </c>
      <c r="C162" s="7">
        <v>45755</v>
      </c>
      <c r="D162" s="6" t="s">
        <v>45</v>
      </c>
      <c r="E162" s="6" t="s">
        <v>26</v>
      </c>
      <c r="F162" s="6">
        <v>1</v>
      </c>
      <c r="G162" s="6" t="s">
        <v>46</v>
      </c>
      <c r="H162" s="6">
        <v>2</v>
      </c>
      <c r="I162" s="6">
        <v>4</v>
      </c>
      <c r="J162" s="6">
        <v>1.5</v>
      </c>
      <c r="K162" s="6" t="s">
        <v>40</v>
      </c>
      <c r="L162" s="6" t="str">
        <f>VLOOKUP(K162, 'Alphabetical by species code'!A:B, 2, FALSE)</f>
        <v>Cylindropuntia prolifera</v>
      </c>
    </row>
    <row r="163" spans="1:12" x14ac:dyDescent="0.25">
      <c r="A163" s="6">
        <v>2</v>
      </c>
      <c r="B163" s="6">
        <v>2025</v>
      </c>
      <c r="C163" s="7">
        <v>45755</v>
      </c>
      <c r="D163" s="6" t="s">
        <v>45</v>
      </c>
      <c r="E163" s="6" t="s">
        <v>26</v>
      </c>
      <c r="F163" s="6">
        <v>1</v>
      </c>
      <c r="G163" s="6" t="s">
        <v>46</v>
      </c>
      <c r="H163" s="6">
        <v>2</v>
      </c>
      <c r="I163" s="6">
        <v>4</v>
      </c>
      <c r="J163" s="6">
        <v>1.5</v>
      </c>
      <c r="K163" s="6" t="s">
        <v>42</v>
      </c>
      <c r="L163" s="6" t="str">
        <f>VLOOKUP(K163, 'Alphabetical by species code'!A:B, 2, FALSE)</f>
        <v>Centaurea melitensis</v>
      </c>
    </row>
    <row r="164" spans="1:12" x14ac:dyDescent="0.25">
      <c r="A164" s="6">
        <v>2</v>
      </c>
      <c r="B164" s="6">
        <v>2025</v>
      </c>
      <c r="C164" s="7">
        <v>45755</v>
      </c>
      <c r="D164" s="6" t="s">
        <v>45</v>
      </c>
      <c r="E164" s="6" t="s">
        <v>26</v>
      </c>
      <c r="F164" s="6">
        <v>1</v>
      </c>
      <c r="G164" s="6" t="s">
        <v>46</v>
      </c>
      <c r="H164" s="6">
        <v>2</v>
      </c>
      <c r="I164" s="6">
        <v>5</v>
      </c>
      <c r="J164" s="6">
        <v>2.5</v>
      </c>
      <c r="K164" s="6" t="s">
        <v>28</v>
      </c>
      <c r="L164" s="6" t="str">
        <f>VLOOKUP(K164, 'Alphabetical by species code'!A:B, 2, FALSE)</f>
        <v>Litter</v>
      </c>
    </row>
    <row r="165" spans="1:12" x14ac:dyDescent="0.25">
      <c r="A165" s="6">
        <v>2</v>
      </c>
      <c r="B165" s="6">
        <v>2025</v>
      </c>
      <c r="C165" s="7">
        <v>45755</v>
      </c>
      <c r="D165" s="6" t="s">
        <v>45</v>
      </c>
      <c r="E165" s="6" t="s">
        <v>26</v>
      </c>
      <c r="F165" s="6">
        <v>1</v>
      </c>
      <c r="G165" s="6" t="s">
        <v>46</v>
      </c>
      <c r="H165" s="6">
        <v>2</v>
      </c>
      <c r="I165" s="6">
        <v>5</v>
      </c>
      <c r="J165" s="6">
        <v>2.5</v>
      </c>
      <c r="K165" s="6" t="s">
        <v>32</v>
      </c>
      <c r="L165" s="6" t="str">
        <f>VLOOKUP(K165, 'Alphabetical by species code'!A:B, 2, FALSE)</f>
        <v>Medicago polymorpha</v>
      </c>
    </row>
    <row r="166" spans="1:12" x14ac:dyDescent="0.25">
      <c r="A166" s="6">
        <v>2</v>
      </c>
      <c r="B166" s="6">
        <v>2025</v>
      </c>
      <c r="C166" s="7">
        <v>45755</v>
      </c>
      <c r="D166" s="6" t="s">
        <v>45</v>
      </c>
      <c r="E166" s="6" t="s">
        <v>26</v>
      </c>
      <c r="F166" s="6">
        <v>1</v>
      </c>
      <c r="G166" s="6" t="s">
        <v>46</v>
      </c>
      <c r="H166" s="6">
        <v>2</v>
      </c>
      <c r="I166" s="6">
        <v>5</v>
      </c>
      <c r="J166" s="6">
        <v>2.5</v>
      </c>
      <c r="K166" s="6" t="s">
        <v>30</v>
      </c>
      <c r="L166" s="6" t="str">
        <f>VLOOKUP(K166, 'Alphabetical by species code'!A:B, 2, FALSE)</f>
        <v>Erodium moschatum</v>
      </c>
    </row>
    <row r="167" spans="1:12" x14ac:dyDescent="0.25">
      <c r="A167" s="6">
        <v>2</v>
      </c>
      <c r="B167" s="6">
        <v>2025</v>
      </c>
      <c r="C167" s="7">
        <v>45755</v>
      </c>
      <c r="D167" s="6" t="s">
        <v>45</v>
      </c>
      <c r="E167" s="6" t="s">
        <v>26</v>
      </c>
      <c r="F167" s="6">
        <v>1</v>
      </c>
      <c r="G167" s="6" t="s">
        <v>46</v>
      </c>
      <c r="H167" s="6">
        <v>2</v>
      </c>
      <c r="I167" s="6">
        <v>5</v>
      </c>
      <c r="J167" s="6">
        <v>2.5</v>
      </c>
      <c r="K167" s="6" t="s">
        <v>39</v>
      </c>
      <c r="L167" s="6" t="str">
        <f>VLOOKUP(K167, 'Alphabetical by species code'!A:B, 2, FALSE)</f>
        <v>Stephanomeria diegensis</v>
      </c>
    </row>
    <row r="168" spans="1:12" x14ac:dyDescent="0.25">
      <c r="A168" s="6">
        <v>2</v>
      </c>
      <c r="B168" s="6">
        <v>2025</v>
      </c>
      <c r="C168" s="7">
        <v>45755</v>
      </c>
      <c r="D168" s="6" t="s">
        <v>45</v>
      </c>
      <c r="E168" s="6" t="s">
        <v>26</v>
      </c>
      <c r="F168" s="6">
        <v>1</v>
      </c>
      <c r="G168" s="6" t="s">
        <v>46</v>
      </c>
      <c r="H168" s="6">
        <v>2</v>
      </c>
      <c r="I168" s="6">
        <v>6</v>
      </c>
      <c r="J168" s="6">
        <v>3</v>
      </c>
      <c r="K168" s="6" t="s">
        <v>28</v>
      </c>
      <c r="L168" s="6" t="str">
        <f>VLOOKUP(K168, 'Alphabetical by species code'!A:B, 2, FALSE)</f>
        <v>Litter</v>
      </c>
    </row>
    <row r="169" spans="1:12" x14ac:dyDescent="0.25">
      <c r="A169" s="6">
        <v>2</v>
      </c>
      <c r="B169" s="6">
        <v>2025</v>
      </c>
      <c r="C169" s="7">
        <v>45755</v>
      </c>
      <c r="D169" s="6" t="s">
        <v>45</v>
      </c>
      <c r="E169" s="6" t="s">
        <v>26</v>
      </c>
      <c r="F169" s="6">
        <v>1</v>
      </c>
      <c r="G169" s="6" t="s">
        <v>46</v>
      </c>
      <c r="H169" s="6">
        <v>2</v>
      </c>
      <c r="I169" s="6">
        <v>6</v>
      </c>
      <c r="J169" s="6">
        <v>3</v>
      </c>
      <c r="K169" s="6" t="s">
        <v>32</v>
      </c>
      <c r="L169" s="6" t="str">
        <f>VLOOKUP(K169, 'Alphabetical by species code'!A:B, 2, FALSE)</f>
        <v>Medicago polymorpha</v>
      </c>
    </row>
    <row r="170" spans="1:12" x14ac:dyDescent="0.25">
      <c r="A170" s="6">
        <v>2</v>
      </c>
      <c r="B170" s="6">
        <v>2025</v>
      </c>
      <c r="C170" s="7">
        <v>45755</v>
      </c>
      <c r="D170" s="6" t="s">
        <v>45</v>
      </c>
      <c r="E170" s="6" t="s">
        <v>26</v>
      </c>
      <c r="F170" s="6">
        <v>1</v>
      </c>
      <c r="G170" s="6" t="s">
        <v>46</v>
      </c>
      <c r="H170" s="6">
        <v>2</v>
      </c>
      <c r="I170" s="6">
        <v>6</v>
      </c>
      <c r="J170" s="6">
        <v>3</v>
      </c>
      <c r="K170" s="6" t="s">
        <v>37</v>
      </c>
      <c r="L170" s="6" t="str">
        <f>VLOOKUP(K170, 'Alphabetical by species code'!A:B, 2, FALSE)</f>
        <v>Sonchus oleraceus</v>
      </c>
    </row>
    <row r="171" spans="1:12" x14ac:dyDescent="0.25">
      <c r="A171" s="6">
        <v>2</v>
      </c>
      <c r="B171" s="6">
        <v>2025</v>
      </c>
      <c r="C171" s="7">
        <v>45755</v>
      </c>
      <c r="D171" s="6" t="s">
        <v>45</v>
      </c>
      <c r="E171" s="6" t="s">
        <v>26</v>
      </c>
      <c r="F171" s="6">
        <v>1</v>
      </c>
      <c r="G171" s="6" t="s">
        <v>46</v>
      </c>
      <c r="H171" s="6">
        <v>2</v>
      </c>
      <c r="I171" s="6">
        <v>7</v>
      </c>
      <c r="J171" s="6">
        <v>3.5</v>
      </c>
      <c r="K171" s="6" t="s">
        <v>51</v>
      </c>
      <c r="L171" s="6" t="str">
        <f>VLOOKUP(K171, 'Alphabetical by species code'!A:B, 2, FALSE)</f>
        <v>Bareground</v>
      </c>
    </row>
    <row r="172" spans="1:12" x14ac:dyDescent="0.25">
      <c r="A172" s="6">
        <v>2</v>
      </c>
      <c r="B172" s="6">
        <v>2025</v>
      </c>
      <c r="C172" s="7">
        <v>45755</v>
      </c>
      <c r="D172" s="6" t="s">
        <v>45</v>
      </c>
      <c r="E172" s="6" t="s">
        <v>26</v>
      </c>
      <c r="F172" s="6">
        <v>1</v>
      </c>
      <c r="G172" s="6" t="s">
        <v>46</v>
      </c>
      <c r="H172" s="6">
        <v>2</v>
      </c>
      <c r="I172" s="6">
        <v>8</v>
      </c>
      <c r="J172" s="6">
        <v>4</v>
      </c>
      <c r="K172" s="6" t="s">
        <v>28</v>
      </c>
      <c r="L172" s="6" t="str">
        <f>VLOOKUP(K172, 'Alphabetical by species code'!A:B, 2, FALSE)</f>
        <v>Litter</v>
      </c>
    </row>
    <row r="173" spans="1:12" x14ac:dyDescent="0.25">
      <c r="A173" s="6">
        <v>2</v>
      </c>
      <c r="B173" s="6">
        <v>2025</v>
      </c>
      <c r="C173" s="7">
        <v>45755</v>
      </c>
      <c r="D173" s="6" t="s">
        <v>45</v>
      </c>
      <c r="E173" s="6" t="s">
        <v>26</v>
      </c>
      <c r="F173" s="6">
        <v>1</v>
      </c>
      <c r="G173" s="6" t="s">
        <v>46</v>
      </c>
      <c r="H173" s="6">
        <v>2</v>
      </c>
      <c r="I173" s="6">
        <v>8</v>
      </c>
      <c r="J173" s="6">
        <v>4</v>
      </c>
      <c r="K173" s="6" t="s">
        <v>37</v>
      </c>
      <c r="L173" s="6" t="str">
        <f>VLOOKUP(K173, 'Alphabetical by species code'!A:B, 2, FALSE)</f>
        <v>Sonchus oleraceus</v>
      </c>
    </row>
    <row r="174" spans="1:12" x14ac:dyDescent="0.25">
      <c r="A174" s="6">
        <v>2</v>
      </c>
      <c r="B174" s="6">
        <v>2025</v>
      </c>
      <c r="C174" s="7">
        <v>45755</v>
      </c>
      <c r="D174" s="6" t="s">
        <v>45</v>
      </c>
      <c r="E174" s="6" t="s">
        <v>26</v>
      </c>
      <c r="F174" s="6">
        <v>1</v>
      </c>
      <c r="G174" s="6" t="s">
        <v>46</v>
      </c>
      <c r="H174" s="6">
        <v>2</v>
      </c>
      <c r="I174" s="6">
        <v>8</v>
      </c>
      <c r="J174" s="6">
        <v>4</v>
      </c>
      <c r="K174" s="6" t="s">
        <v>34</v>
      </c>
      <c r="L174" s="6" t="str">
        <f>VLOOKUP(K174, 'Alphabetical by species code'!A:B, 2, FALSE)</f>
        <v>Erodium cicutarium</v>
      </c>
    </row>
    <row r="175" spans="1:12" x14ac:dyDescent="0.25">
      <c r="A175" s="6">
        <v>2</v>
      </c>
      <c r="B175" s="6">
        <v>2025</v>
      </c>
      <c r="C175" s="7">
        <v>45755</v>
      </c>
      <c r="D175" s="6" t="s">
        <v>45</v>
      </c>
      <c r="E175" s="6" t="s">
        <v>26</v>
      </c>
      <c r="F175" s="6">
        <v>1</v>
      </c>
      <c r="G175" s="6" t="s">
        <v>46</v>
      </c>
      <c r="H175" s="6">
        <v>2</v>
      </c>
      <c r="I175" s="6">
        <v>9</v>
      </c>
      <c r="J175" s="6">
        <v>4.5</v>
      </c>
      <c r="K175" s="6" t="s">
        <v>28</v>
      </c>
      <c r="L175" s="6" t="str">
        <f>VLOOKUP(K175, 'Alphabetical by species code'!A:B, 2, FALSE)</f>
        <v>Litter</v>
      </c>
    </row>
    <row r="176" spans="1:12" x14ac:dyDescent="0.25">
      <c r="A176" s="6">
        <v>2</v>
      </c>
      <c r="B176" s="6">
        <v>2025</v>
      </c>
      <c r="C176" s="7">
        <v>45755</v>
      </c>
      <c r="D176" s="6" t="s">
        <v>45</v>
      </c>
      <c r="E176" s="6" t="s">
        <v>26</v>
      </c>
      <c r="F176" s="6">
        <v>1</v>
      </c>
      <c r="G176" s="6" t="s">
        <v>46</v>
      </c>
      <c r="H176" s="6">
        <v>2</v>
      </c>
      <c r="I176" s="6">
        <v>9</v>
      </c>
      <c r="J176" s="6">
        <v>4.5</v>
      </c>
      <c r="K176" s="6" t="s">
        <v>35</v>
      </c>
      <c r="L176" s="6" t="str">
        <f>VLOOKUP(K176, 'Alphabetical by species code'!A:B, 2, FALSE)</f>
        <v>Deinandra fasciculata</v>
      </c>
    </row>
    <row r="177" spans="1:12" x14ac:dyDescent="0.25">
      <c r="A177" s="6">
        <v>2</v>
      </c>
      <c r="B177" s="6">
        <v>2025</v>
      </c>
      <c r="C177" s="7">
        <v>45755</v>
      </c>
      <c r="D177" s="6" t="s">
        <v>45</v>
      </c>
      <c r="E177" s="6" t="s">
        <v>26</v>
      </c>
      <c r="F177" s="6">
        <v>1</v>
      </c>
      <c r="G177" s="6" t="s">
        <v>46</v>
      </c>
      <c r="H177" s="6">
        <v>2</v>
      </c>
      <c r="I177" s="6">
        <v>9</v>
      </c>
      <c r="J177" s="6">
        <v>4.5</v>
      </c>
      <c r="K177" s="6" t="s">
        <v>37</v>
      </c>
      <c r="L177" s="6" t="str">
        <f>VLOOKUP(K177, 'Alphabetical by species code'!A:B, 2, FALSE)</f>
        <v>Sonchus oleraceus</v>
      </c>
    </row>
    <row r="178" spans="1:12" x14ac:dyDescent="0.25">
      <c r="A178" s="6">
        <v>2</v>
      </c>
      <c r="B178" s="6">
        <v>2025</v>
      </c>
      <c r="C178" s="7">
        <v>45755</v>
      </c>
      <c r="D178" s="6" t="s">
        <v>45</v>
      </c>
      <c r="E178" s="6" t="s">
        <v>26</v>
      </c>
      <c r="F178" s="6">
        <v>1</v>
      </c>
      <c r="G178" s="6" t="s">
        <v>46</v>
      </c>
      <c r="H178" s="6">
        <v>2</v>
      </c>
      <c r="I178" s="6">
        <v>10</v>
      </c>
      <c r="J178" s="6">
        <v>5</v>
      </c>
      <c r="K178" s="6" t="s">
        <v>28</v>
      </c>
      <c r="L178" s="6" t="str">
        <f>VLOOKUP(K178, 'Alphabetical by species code'!A:B, 2, FALSE)</f>
        <v>Litter</v>
      </c>
    </row>
    <row r="179" spans="1:12" x14ac:dyDescent="0.25">
      <c r="A179" s="6">
        <v>2</v>
      </c>
      <c r="B179" s="6">
        <v>2025</v>
      </c>
      <c r="C179" s="7">
        <v>45755</v>
      </c>
      <c r="D179" s="6" t="s">
        <v>45</v>
      </c>
      <c r="E179" s="6" t="s">
        <v>26</v>
      </c>
      <c r="F179" s="6">
        <v>1</v>
      </c>
      <c r="G179" s="6" t="s">
        <v>46</v>
      </c>
      <c r="H179" s="6">
        <v>2</v>
      </c>
      <c r="I179" s="6">
        <v>10</v>
      </c>
      <c r="J179" s="6">
        <v>5</v>
      </c>
      <c r="K179" s="6" t="s">
        <v>34</v>
      </c>
      <c r="L179" s="6" t="str">
        <f>VLOOKUP(K179, 'Alphabetical by species code'!A:B, 2, FALSE)</f>
        <v>Erodium cicutarium</v>
      </c>
    </row>
    <row r="180" spans="1:12" x14ac:dyDescent="0.25">
      <c r="A180" s="6">
        <v>2</v>
      </c>
      <c r="B180" s="6">
        <v>2025</v>
      </c>
      <c r="C180" s="7">
        <v>45755</v>
      </c>
      <c r="D180" s="6" t="s">
        <v>45</v>
      </c>
      <c r="E180" s="6" t="s">
        <v>26</v>
      </c>
      <c r="F180" s="6">
        <v>1</v>
      </c>
      <c r="G180" s="6" t="s">
        <v>46</v>
      </c>
      <c r="H180" s="6">
        <v>2</v>
      </c>
      <c r="I180" s="6">
        <v>10</v>
      </c>
      <c r="J180" s="6">
        <v>5</v>
      </c>
      <c r="K180" s="6" t="s">
        <v>42</v>
      </c>
      <c r="L180" s="6" t="str">
        <f>VLOOKUP(K180, 'Alphabetical by species code'!A:B, 2, FALSE)</f>
        <v>Centaurea melitensis</v>
      </c>
    </row>
    <row r="181" spans="1:12" x14ac:dyDescent="0.25">
      <c r="A181" s="6">
        <v>2</v>
      </c>
      <c r="B181" s="6">
        <v>2025</v>
      </c>
      <c r="C181" s="7">
        <v>45755</v>
      </c>
      <c r="D181" s="6" t="s">
        <v>45</v>
      </c>
      <c r="E181" s="6" t="s">
        <v>26</v>
      </c>
      <c r="F181" s="6">
        <v>1</v>
      </c>
      <c r="G181" s="6" t="s">
        <v>46</v>
      </c>
      <c r="H181" s="6">
        <v>2</v>
      </c>
      <c r="I181" s="6">
        <v>11</v>
      </c>
      <c r="J181" s="6">
        <v>5.5</v>
      </c>
      <c r="K181" s="6" t="s">
        <v>28</v>
      </c>
      <c r="L181" s="6" t="str">
        <f>VLOOKUP(K181, 'Alphabetical by species code'!A:B, 2, FALSE)</f>
        <v>Litter</v>
      </c>
    </row>
    <row r="182" spans="1:12" x14ac:dyDescent="0.25">
      <c r="A182" s="6">
        <v>2</v>
      </c>
      <c r="B182" s="6">
        <v>2025</v>
      </c>
      <c r="C182" s="7">
        <v>45755</v>
      </c>
      <c r="D182" s="6" t="s">
        <v>45</v>
      </c>
      <c r="E182" s="6" t="s">
        <v>26</v>
      </c>
      <c r="F182" s="6">
        <v>1</v>
      </c>
      <c r="G182" s="6" t="s">
        <v>46</v>
      </c>
      <c r="H182" s="6">
        <v>2</v>
      </c>
      <c r="I182" s="6">
        <v>11</v>
      </c>
      <c r="J182" s="6">
        <v>5.5</v>
      </c>
      <c r="K182" s="6" t="s">
        <v>34</v>
      </c>
      <c r="L182" s="6" t="str">
        <f>VLOOKUP(K182, 'Alphabetical by species code'!A:B, 2, FALSE)</f>
        <v>Erodium cicutarium</v>
      </c>
    </row>
    <row r="183" spans="1:12" x14ac:dyDescent="0.25">
      <c r="A183" s="6">
        <v>2</v>
      </c>
      <c r="B183" s="6">
        <v>2025</v>
      </c>
      <c r="C183" s="7">
        <v>45755</v>
      </c>
      <c r="D183" s="6" t="s">
        <v>45</v>
      </c>
      <c r="E183" s="6" t="s">
        <v>26</v>
      </c>
      <c r="F183" s="6">
        <v>1</v>
      </c>
      <c r="G183" s="6" t="s">
        <v>46</v>
      </c>
      <c r="H183" s="6">
        <v>2</v>
      </c>
      <c r="I183" s="6">
        <v>11</v>
      </c>
      <c r="J183" s="6">
        <v>5.5</v>
      </c>
      <c r="K183" s="6" t="s">
        <v>42</v>
      </c>
      <c r="L183" s="6" t="str">
        <f>VLOOKUP(K183, 'Alphabetical by species code'!A:B, 2, FALSE)</f>
        <v>Centaurea melitensis</v>
      </c>
    </row>
    <row r="184" spans="1:12" x14ac:dyDescent="0.25">
      <c r="A184" s="6">
        <v>2</v>
      </c>
      <c r="B184" s="6">
        <v>2025</v>
      </c>
      <c r="C184" s="7">
        <v>45755</v>
      </c>
      <c r="D184" s="6" t="s">
        <v>45</v>
      </c>
      <c r="E184" s="6" t="s">
        <v>26</v>
      </c>
      <c r="F184" s="6">
        <v>1</v>
      </c>
      <c r="G184" s="6" t="s">
        <v>46</v>
      </c>
      <c r="H184" s="6">
        <v>2</v>
      </c>
      <c r="I184" s="6">
        <v>12</v>
      </c>
      <c r="J184" s="6">
        <v>6</v>
      </c>
      <c r="K184" s="6" t="s">
        <v>28</v>
      </c>
      <c r="L184" s="6" t="str">
        <f>VLOOKUP(K184, 'Alphabetical by species code'!A:B, 2, FALSE)</f>
        <v>Litter</v>
      </c>
    </row>
    <row r="185" spans="1:12" x14ac:dyDescent="0.25">
      <c r="A185" s="6">
        <v>2</v>
      </c>
      <c r="B185" s="6">
        <v>2025</v>
      </c>
      <c r="C185" s="7">
        <v>45755</v>
      </c>
      <c r="D185" s="6" t="s">
        <v>45</v>
      </c>
      <c r="E185" s="6" t="s">
        <v>26</v>
      </c>
      <c r="F185" s="6">
        <v>1</v>
      </c>
      <c r="G185" s="6" t="s">
        <v>46</v>
      </c>
      <c r="H185" s="6">
        <v>2</v>
      </c>
      <c r="I185" s="6">
        <v>12</v>
      </c>
      <c r="J185" s="6">
        <v>6</v>
      </c>
      <c r="K185" s="6" t="s">
        <v>39</v>
      </c>
      <c r="L185" s="6" t="str">
        <f>VLOOKUP(K185, 'Alphabetical by species code'!A:B, 2, FALSE)</f>
        <v>Stephanomeria diegensis</v>
      </c>
    </row>
    <row r="186" spans="1:12" x14ac:dyDescent="0.25">
      <c r="A186" s="6">
        <v>2</v>
      </c>
      <c r="B186" s="6">
        <v>2025</v>
      </c>
      <c r="C186" s="7">
        <v>45755</v>
      </c>
      <c r="D186" s="6" t="s">
        <v>45</v>
      </c>
      <c r="E186" s="6" t="s">
        <v>26</v>
      </c>
      <c r="F186" s="6">
        <v>1</v>
      </c>
      <c r="G186" s="6" t="s">
        <v>46</v>
      </c>
      <c r="H186" s="6">
        <v>2</v>
      </c>
      <c r="I186" s="6">
        <v>12</v>
      </c>
      <c r="J186" s="6">
        <v>6</v>
      </c>
      <c r="K186" s="6" t="s">
        <v>30</v>
      </c>
      <c r="L186" s="6" t="str">
        <f>VLOOKUP(K186, 'Alphabetical by species code'!A:B, 2, FALSE)</f>
        <v>Erodium moschatum</v>
      </c>
    </row>
    <row r="187" spans="1:12" x14ac:dyDescent="0.25">
      <c r="A187" s="6">
        <v>2</v>
      </c>
      <c r="B187" s="6">
        <v>2025</v>
      </c>
      <c r="C187" s="7">
        <v>45755</v>
      </c>
      <c r="D187" s="6" t="s">
        <v>45</v>
      </c>
      <c r="E187" s="6" t="s">
        <v>26</v>
      </c>
      <c r="F187" s="6">
        <v>1</v>
      </c>
      <c r="G187" s="6" t="s">
        <v>46</v>
      </c>
      <c r="H187" s="6">
        <v>2</v>
      </c>
      <c r="I187" s="6">
        <v>13</v>
      </c>
      <c r="J187" s="6">
        <v>6.5</v>
      </c>
      <c r="K187" s="6" t="s">
        <v>28</v>
      </c>
      <c r="L187" s="6" t="str">
        <f>VLOOKUP(K187, 'Alphabetical by species code'!A:B, 2, FALSE)</f>
        <v>Litter</v>
      </c>
    </row>
    <row r="188" spans="1:12" x14ac:dyDescent="0.25">
      <c r="A188" s="6">
        <v>2</v>
      </c>
      <c r="B188" s="6">
        <v>2025</v>
      </c>
      <c r="C188" s="7">
        <v>45755</v>
      </c>
      <c r="D188" s="6" t="s">
        <v>45</v>
      </c>
      <c r="E188" s="6" t="s">
        <v>26</v>
      </c>
      <c r="F188" s="6">
        <v>1</v>
      </c>
      <c r="G188" s="6" t="s">
        <v>46</v>
      </c>
      <c r="H188" s="6">
        <v>2</v>
      </c>
      <c r="I188" s="6">
        <v>13</v>
      </c>
      <c r="J188" s="6">
        <v>6.5</v>
      </c>
      <c r="K188" s="6" t="s">
        <v>48</v>
      </c>
      <c r="L188" s="6" t="str">
        <f>VLOOKUP(K188, 'Alphabetical by species code'!A:B, 2, FALSE)</f>
        <v>Sonchus asper</v>
      </c>
    </row>
    <row r="189" spans="1:12" x14ac:dyDescent="0.25">
      <c r="A189" s="6">
        <v>2</v>
      </c>
      <c r="B189" s="6">
        <v>2025</v>
      </c>
      <c r="C189" s="7">
        <v>45755</v>
      </c>
      <c r="D189" s="6" t="s">
        <v>45</v>
      </c>
      <c r="E189" s="6" t="s">
        <v>26</v>
      </c>
      <c r="F189" s="6">
        <v>1</v>
      </c>
      <c r="G189" s="6" t="s">
        <v>46</v>
      </c>
      <c r="H189" s="6">
        <v>2</v>
      </c>
      <c r="I189" s="6">
        <v>13</v>
      </c>
      <c r="J189" s="6">
        <v>6.5</v>
      </c>
      <c r="K189" s="6" t="s">
        <v>39</v>
      </c>
      <c r="L189" s="6" t="str">
        <f>VLOOKUP(K189, 'Alphabetical by species code'!A:B, 2, FALSE)</f>
        <v>Stephanomeria diegensis</v>
      </c>
    </row>
    <row r="190" spans="1:12" x14ac:dyDescent="0.25">
      <c r="A190" s="6">
        <v>2</v>
      </c>
      <c r="B190" s="6">
        <v>2025</v>
      </c>
      <c r="C190" s="7">
        <v>45755</v>
      </c>
      <c r="D190" s="6" t="s">
        <v>45</v>
      </c>
      <c r="E190" s="6" t="s">
        <v>26</v>
      </c>
      <c r="F190" s="6">
        <v>1</v>
      </c>
      <c r="G190" s="6" t="s">
        <v>46</v>
      </c>
      <c r="H190" s="6">
        <v>2</v>
      </c>
      <c r="I190" s="6">
        <v>13</v>
      </c>
      <c r="J190" s="6">
        <v>6.5</v>
      </c>
      <c r="K190" s="6" t="s">
        <v>31</v>
      </c>
      <c r="L190" s="6" t="str">
        <f>VLOOKUP(K190, 'Alphabetical by species code'!A:B, 2, FALSE)</f>
        <v>Festuca myuros</v>
      </c>
    </row>
    <row r="191" spans="1:12" x14ac:dyDescent="0.25">
      <c r="A191" s="6">
        <v>2</v>
      </c>
      <c r="B191" s="6">
        <v>2025</v>
      </c>
      <c r="C191" s="7">
        <v>45755</v>
      </c>
      <c r="D191" s="6" t="s">
        <v>45</v>
      </c>
      <c r="E191" s="6" t="s">
        <v>26</v>
      </c>
      <c r="F191" s="6">
        <v>1</v>
      </c>
      <c r="G191" s="6" t="s">
        <v>46</v>
      </c>
      <c r="H191" s="6">
        <v>2</v>
      </c>
      <c r="I191" s="6">
        <v>14</v>
      </c>
      <c r="J191" s="6">
        <v>7</v>
      </c>
      <c r="K191" s="6" t="s">
        <v>52</v>
      </c>
      <c r="L191" s="6" t="str">
        <f>VLOOKUP(K191, 'Alphabetical by species code'!A:B, 2, FALSE)</f>
        <v>Rock</v>
      </c>
    </row>
    <row r="192" spans="1:12" x14ac:dyDescent="0.25">
      <c r="A192" s="6">
        <v>2</v>
      </c>
      <c r="B192" s="6">
        <v>2025</v>
      </c>
      <c r="C192" s="7">
        <v>45755</v>
      </c>
      <c r="D192" s="6" t="s">
        <v>45</v>
      </c>
      <c r="E192" s="6" t="s">
        <v>26</v>
      </c>
      <c r="F192" s="6">
        <v>1</v>
      </c>
      <c r="G192" s="6" t="s">
        <v>46</v>
      </c>
      <c r="H192" s="6">
        <v>2</v>
      </c>
      <c r="I192" s="6">
        <v>14</v>
      </c>
      <c r="J192" s="6">
        <v>7</v>
      </c>
      <c r="K192" s="6" t="s">
        <v>48</v>
      </c>
      <c r="L192" s="6" t="str">
        <f>VLOOKUP(K192, 'Alphabetical by species code'!A:B, 2, FALSE)</f>
        <v>Sonchus asper</v>
      </c>
    </row>
    <row r="193" spans="1:12" x14ac:dyDescent="0.25">
      <c r="A193" s="6">
        <v>2</v>
      </c>
      <c r="B193" s="6">
        <v>2025</v>
      </c>
      <c r="C193" s="7">
        <v>45755</v>
      </c>
      <c r="D193" s="6" t="s">
        <v>45</v>
      </c>
      <c r="E193" s="6" t="s">
        <v>26</v>
      </c>
      <c r="F193" s="6">
        <v>1</v>
      </c>
      <c r="G193" s="6" t="s">
        <v>46</v>
      </c>
      <c r="H193" s="6">
        <v>2</v>
      </c>
      <c r="I193" s="6">
        <v>14</v>
      </c>
      <c r="J193" s="6">
        <v>7</v>
      </c>
      <c r="K193" s="6" t="s">
        <v>36</v>
      </c>
      <c r="L193" s="6" t="str">
        <f>VLOOKUP(K193, 'Alphabetical by species code'!A:B, 2, FALSE)</f>
        <v>Bromus madritensis</v>
      </c>
    </row>
    <row r="194" spans="1:12" x14ac:dyDescent="0.25">
      <c r="A194" s="6">
        <v>2</v>
      </c>
      <c r="B194" s="6">
        <v>2025</v>
      </c>
      <c r="C194" s="7">
        <v>45755</v>
      </c>
      <c r="D194" s="6" t="s">
        <v>45</v>
      </c>
      <c r="E194" s="6" t="s">
        <v>26</v>
      </c>
      <c r="F194" s="6">
        <v>1</v>
      </c>
      <c r="G194" s="6" t="s">
        <v>46</v>
      </c>
      <c r="H194" s="6">
        <v>2</v>
      </c>
      <c r="I194" s="6">
        <v>14</v>
      </c>
      <c r="J194" s="6">
        <v>7</v>
      </c>
      <c r="K194" s="6" t="s">
        <v>30</v>
      </c>
      <c r="L194" s="6" t="str">
        <f>VLOOKUP(K194, 'Alphabetical by species code'!A:B, 2, FALSE)</f>
        <v>Erodium moschatum</v>
      </c>
    </row>
    <row r="195" spans="1:12" x14ac:dyDescent="0.25">
      <c r="A195" s="6">
        <v>2</v>
      </c>
      <c r="B195" s="6">
        <v>2025</v>
      </c>
      <c r="C195" s="7">
        <v>45755</v>
      </c>
      <c r="D195" s="6" t="s">
        <v>45</v>
      </c>
      <c r="E195" s="6" t="s">
        <v>26</v>
      </c>
      <c r="F195" s="6">
        <v>1</v>
      </c>
      <c r="G195" s="6" t="s">
        <v>46</v>
      </c>
      <c r="H195" s="6">
        <v>2</v>
      </c>
      <c r="I195" s="6">
        <v>15</v>
      </c>
      <c r="J195" s="6">
        <v>7.5</v>
      </c>
      <c r="K195" s="6" t="s">
        <v>28</v>
      </c>
      <c r="L195" s="6" t="str">
        <f>VLOOKUP(K195, 'Alphabetical by species code'!A:B, 2, FALSE)</f>
        <v>Litter</v>
      </c>
    </row>
    <row r="196" spans="1:12" x14ac:dyDescent="0.25">
      <c r="A196" s="6">
        <v>2</v>
      </c>
      <c r="B196" s="6">
        <v>2025</v>
      </c>
      <c r="C196" s="7">
        <v>45755</v>
      </c>
      <c r="D196" s="6" t="s">
        <v>45</v>
      </c>
      <c r="E196" s="6" t="s">
        <v>26</v>
      </c>
      <c r="F196" s="6">
        <v>1</v>
      </c>
      <c r="G196" s="6" t="s">
        <v>46</v>
      </c>
      <c r="H196" s="6">
        <v>2</v>
      </c>
      <c r="I196" s="6">
        <v>15</v>
      </c>
      <c r="J196" s="6">
        <v>7.5</v>
      </c>
      <c r="K196" s="6" t="s">
        <v>42</v>
      </c>
      <c r="L196" s="6" t="str">
        <f>VLOOKUP(K196, 'Alphabetical by species code'!A:B, 2, FALSE)</f>
        <v>Centaurea melitensis</v>
      </c>
    </row>
    <row r="197" spans="1:12" x14ac:dyDescent="0.25">
      <c r="A197" s="6">
        <v>2</v>
      </c>
      <c r="B197" s="6">
        <v>2025</v>
      </c>
      <c r="C197" s="7">
        <v>45755</v>
      </c>
      <c r="D197" s="6" t="s">
        <v>45</v>
      </c>
      <c r="E197" s="6" t="s">
        <v>26</v>
      </c>
      <c r="F197" s="6">
        <v>1</v>
      </c>
      <c r="G197" s="6" t="s">
        <v>46</v>
      </c>
      <c r="H197" s="6">
        <v>2</v>
      </c>
      <c r="I197" s="6">
        <v>15</v>
      </c>
      <c r="J197" s="6">
        <v>7.5</v>
      </c>
      <c r="K197" s="6" t="s">
        <v>35</v>
      </c>
      <c r="L197" s="6" t="str">
        <f>VLOOKUP(K197, 'Alphabetical by species code'!A:B, 2, FALSE)</f>
        <v>Deinandra fasciculata</v>
      </c>
    </row>
    <row r="198" spans="1:12" x14ac:dyDescent="0.25">
      <c r="A198" s="6">
        <v>2</v>
      </c>
      <c r="B198" s="6">
        <v>2025</v>
      </c>
      <c r="C198" s="7">
        <v>45755</v>
      </c>
      <c r="D198" s="6" t="s">
        <v>45</v>
      </c>
      <c r="E198" s="6" t="s">
        <v>26</v>
      </c>
      <c r="F198" s="6">
        <v>1</v>
      </c>
      <c r="G198" s="6" t="s">
        <v>46</v>
      </c>
      <c r="H198" s="6">
        <v>2</v>
      </c>
      <c r="I198" s="6">
        <v>15</v>
      </c>
      <c r="J198" s="6">
        <v>7.5</v>
      </c>
      <c r="K198" s="6" t="s">
        <v>53</v>
      </c>
      <c r="L198" s="6" t="str">
        <f>VLOOKUP(K198, 'Alphabetical by species code'!A:B, 2, FALSE)</f>
        <v>Erodium botrys</v>
      </c>
    </row>
    <row r="199" spans="1:12" x14ac:dyDescent="0.25">
      <c r="A199" s="6">
        <v>3</v>
      </c>
      <c r="B199" s="6">
        <v>2025</v>
      </c>
      <c r="C199" s="7">
        <v>45755</v>
      </c>
      <c r="D199" s="6" t="s">
        <v>54</v>
      </c>
      <c r="E199" s="6" t="s">
        <v>26</v>
      </c>
      <c r="F199" s="6">
        <v>3</v>
      </c>
      <c r="G199" s="6" t="s">
        <v>46</v>
      </c>
      <c r="H199" s="6">
        <v>1</v>
      </c>
      <c r="I199" s="6">
        <v>1</v>
      </c>
      <c r="J199" s="6">
        <v>0</v>
      </c>
      <c r="K199" s="6" t="s">
        <v>51</v>
      </c>
      <c r="L199" s="6" t="str">
        <f>VLOOKUP(K199, 'Alphabetical by species code'!A:B, 2, FALSE)</f>
        <v>Bareground</v>
      </c>
    </row>
    <row r="200" spans="1:12" x14ac:dyDescent="0.25">
      <c r="A200" s="6">
        <v>3</v>
      </c>
      <c r="B200" s="6">
        <v>2025</v>
      </c>
      <c r="C200" s="7">
        <v>45755</v>
      </c>
      <c r="D200" s="6" t="s">
        <v>54</v>
      </c>
      <c r="E200" s="6" t="s">
        <v>26</v>
      </c>
      <c r="F200" s="6">
        <v>3</v>
      </c>
      <c r="G200" s="6" t="s">
        <v>46</v>
      </c>
      <c r="H200" s="6">
        <v>1</v>
      </c>
      <c r="I200" s="6">
        <v>1</v>
      </c>
      <c r="J200" s="6">
        <v>0</v>
      </c>
      <c r="K200" s="6" t="s">
        <v>32</v>
      </c>
      <c r="L200" s="6" t="str">
        <f>VLOOKUP(K200, 'Alphabetical by species code'!A:B, 2, FALSE)</f>
        <v>Medicago polymorpha</v>
      </c>
    </row>
    <row r="201" spans="1:12" x14ac:dyDescent="0.25">
      <c r="A201" s="6">
        <v>3</v>
      </c>
      <c r="B201" s="6">
        <v>2025</v>
      </c>
      <c r="C201" s="7">
        <v>45755</v>
      </c>
      <c r="D201" s="6" t="s">
        <v>54</v>
      </c>
      <c r="E201" s="6" t="s">
        <v>26</v>
      </c>
      <c r="F201" s="6">
        <v>3</v>
      </c>
      <c r="G201" s="6" t="s">
        <v>46</v>
      </c>
      <c r="H201" s="6">
        <v>1</v>
      </c>
      <c r="I201" s="6">
        <v>1</v>
      </c>
      <c r="J201" s="6">
        <v>0</v>
      </c>
      <c r="K201" s="6" t="s">
        <v>42</v>
      </c>
      <c r="L201" s="6" t="str">
        <f>VLOOKUP(K201, 'Alphabetical by species code'!A:B, 2, FALSE)</f>
        <v>Centaurea melitensis</v>
      </c>
    </row>
    <row r="202" spans="1:12" x14ac:dyDescent="0.25">
      <c r="A202" s="6">
        <v>3</v>
      </c>
      <c r="B202" s="6">
        <v>2025</v>
      </c>
      <c r="C202" s="7">
        <v>45755</v>
      </c>
      <c r="D202" s="6" t="s">
        <v>54</v>
      </c>
      <c r="E202" s="6" t="s">
        <v>26</v>
      </c>
      <c r="F202" s="6">
        <v>3</v>
      </c>
      <c r="G202" s="6" t="s">
        <v>46</v>
      </c>
      <c r="H202" s="6">
        <v>1</v>
      </c>
      <c r="I202" s="6">
        <v>2</v>
      </c>
      <c r="J202" s="6">
        <v>0.5</v>
      </c>
      <c r="K202" s="6" t="s">
        <v>28</v>
      </c>
      <c r="L202" s="6" t="str">
        <f>VLOOKUP(K202, 'Alphabetical by species code'!A:B, 2, FALSE)</f>
        <v>Litter</v>
      </c>
    </row>
    <row r="203" spans="1:12" x14ac:dyDescent="0.25">
      <c r="A203" s="6">
        <v>3</v>
      </c>
      <c r="B203" s="6">
        <v>2025</v>
      </c>
      <c r="C203" s="7">
        <v>45755</v>
      </c>
      <c r="D203" s="6" t="s">
        <v>54</v>
      </c>
      <c r="E203" s="6" t="s">
        <v>26</v>
      </c>
      <c r="F203" s="6">
        <v>3</v>
      </c>
      <c r="G203" s="6" t="s">
        <v>46</v>
      </c>
      <c r="H203" s="6">
        <v>1</v>
      </c>
      <c r="I203" s="6">
        <v>2</v>
      </c>
      <c r="J203" s="6">
        <v>0.5</v>
      </c>
      <c r="K203" s="6" t="s">
        <v>29</v>
      </c>
      <c r="L203" s="6" t="str">
        <f>VLOOKUP(K203, 'Alphabetical by species code'!A:B, 2, FALSE)</f>
        <v>Opuntia littoralis</v>
      </c>
    </row>
    <row r="204" spans="1:12" x14ac:dyDescent="0.25">
      <c r="A204" s="6">
        <v>3</v>
      </c>
      <c r="B204" s="6">
        <v>2025</v>
      </c>
      <c r="C204" s="7">
        <v>45755</v>
      </c>
      <c r="D204" s="6" t="s">
        <v>54</v>
      </c>
      <c r="E204" s="6" t="s">
        <v>26</v>
      </c>
      <c r="F204" s="6">
        <v>3</v>
      </c>
      <c r="G204" s="6" t="s">
        <v>46</v>
      </c>
      <c r="H204" s="6">
        <v>1</v>
      </c>
      <c r="I204" s="6">
        <v>2</v>
      </c>
      <c r="J204" s="6">
        <v>0.5</v>
      </c>
      <c r="K204" s="6" t="s">
        <v>31</v>
      </c>
      <c r="L204" s="6" t="str">
        <f>VLOOKUP(K204, 'Alphabetical by species code'!A:B, 2, FALSE)</f>
        <v>Festuca myuros</v>
      </c>
    </row>
    <row r="205" spans="1:12" x14ac:dyDescent="0.25">
      <c r="A205" s="6">
        <v>3</v>
      </c>
      <c r="B205" s="6">
        <v>2025</v>
      </c>
      <c r="C205" s="7">
        <v>45755</v>
      </c>
      <c r="D205" s="6" t="s">
        <v>54</v>
      </c>
      <c r="E205" s="6" t="s">
        <v>26</v>
      </c>
      <c r="F205" s="6">
        <v>3</v>
      </c>
      <c r="G205" s="6" t="s">
        <v>46</v>
      </c>
      <c r="H205" s="6">
        <v>1</v>
      </c>
      <c r="I205" s="6">
        <v>2</v>
      </c>
      <c r="J205" s="6">
        <v>0.5</v>
      </c>
      <c r="K205" s="6" t="s">
        <v>32</v>
      </c>
      <c r="L205" s="6" t="str">
        <f>VLOOKUP(K205, 'Alphabetical by species code'!A:B, 2, FALSE)</f>
        <v>Medicago polymorpha</v>
      </c>
    </row>
    <row r="206" spans="1:12" x14ac:dyDescent="0.25">
      <c r="A206" s="6">
        <v>3</v>
      </c>
      <c r="B206" s="6">
        <v>2025</v>
      </c>
      <c r="C206" s="7">
        <v>45755</v>
      </c>
      <c r="D206" s="6" t="s">
        <v>54</v>
      </c>
      <c r="E206" s="6" t="s">
        <v>26</v>
      </c>
      <c r="F206" s="6">
        <v>3</v>
      </c>
      <c r="G206" s="6" t="s">
        <v>46</v>
      </c>
      <c r="H206" s="6">
        <v>1</v>
      </c>
      <c r="I206" s="6">
        <v>3</v>
      </c>
      <c r="J206" s="6">
        <v>1</v>
      </c>
      <c r="K206" s="6" t="s">
        <v>51</v>
      </c>
      <c r="L206" s="6" t="str">
        <f>VLOOKUP(K206, 'Alphabetical by species code'!A:B, 2, FALSE)</f>
        <v>Bareground</v>
      </c>
    </row>
    <row r="207" spans="1:12" x14ac:dyDescent="0.25">
      <c r="A207" s="6">
        <v>3</v>
      </c>
      <c r="B207" s="6">
        <v>2025</v>
      </c>
      <c r="C207" s="7">
        <v>45755</v>
      </c>
      <c r="D207" s="6" t="s">
        <v>54</v>
      </c>
      <c r="E207" s="6" t="s">
        <v>26</v>
      </c>
      <c r="F207" s="6">
        <v>3</v>
      </c>
      <c r="G207" s="6" t="s">
        <v>46</v>
      </c>
      <c r="H207" s="6">
        <v>1</v>
      </c>
      <c r="I207" s="6">
        <v>3</v>
      </c>
      <c r="J207" s="6">
        <v>1</v>
      </c>
      <c r="K207" s="6" t="s">
        <v>31</v>
      </c>
      <c r="L207" s="6" t="str">
        <f>VLOOKUP(K207, 'Alphabetical by species code'!A:B, 2, FALSE)</f>
        <v>Festuca myuros</v>
      </c>
    </row>
    <row r="208" spans="1:12" x14ac:dyDescent="0.25">
      <c r="A208" s="6">
        <v>3</v>
      </c>
      <c r="B208" s="6">
        <v>2025</v>
      </c>
      <c r="C208" s="7">
        <v>45755</v>
      </c>
      <c r="D208" s="6" t="s">
        <v>54</v>
      </c>
      <c r="E208" s="6" t="s">
        <v>26</v>
      </c>
      <c r="F208" s="6">
        <v>3</v>
      </c>
      <c r="G208" s="6" t="s">
        <v>46</v>
      </c>
      <c r="H208" s="6">
        <v>1</v>
      </c>
      <c r="I208" s="6">
        <v>3</v>
      </c>
      <c r="J208" s="6">
        <v>1</v>
      </c>
      <c r="K208" s="6" t="s">
        <v>55</v>
      </c>
      <c r="L208" s="6" t="str">
        <f>VLOOKUP(K208, 'Alphabetical by species code'!A:B, 2, FALSE)</f>
        <v>Daucus pusillus</v>
      </c>
    </row>
    <row r="209" spans="1:12" x14ac:dyDescent="0.25">
      <c r="A209" s="6">
        <v>3</v>
      </c>
      <c r="B209" s="6">
        <v>2025</v>
      </c>
      <c r="C209" s="7">
        <v>45755</v>
      </c>
      <c r="D209" s="6" t="s">
        <v>54</v>
      </c>
      <c r="E209" s="6" t="s">
        <v>26</v>
      </c>
      <c r="F209" s="6">
        <v>3</v>
      </c>
      <c r="G209" s="6" t="s">
        <v>46</v>
      </c>
      <c r="H209" s="6">
        <v>1</v>
      </c>
      <c r="I209" s="6">
        <v>3</v>
      </c>
      <c r="J209" s="6">
        <v>1</v>
      </c>
      <c r="K209" s="6" t="s">
        <v>35</v>
      </c>
      <c r="L209" s="6" t="str">
        <f>VLOOKUP(K209, 'Alphabetical by species code'!A:B, 2, FALSE)</f>
        <v>Deinandra fasciculata</v>
      </c>
    </row>
    <row r="210" spans="1:12" x14ac:dyDescent="0.25">
      <c r="A210" s="6">
        <v>3</v>
      </c>
      <c r="B210" s="6">
        <v>2025</v>
      </c>
      <c r="C210" s="7">
        <v>45755</v>
      </c>
      <c r="D210" s="6" t="s">
        <v>54</v>
      </c>
      <c r="E210" s="6" t="s">
        <v>26</v>
      </c>
      <c r="F210" s="6">
        <v>3</v>
      </c>
      <c r="G210" s="6" t="s">
        <v>46</v>
      </c>
      <c r="H210" s="6">
        <v>1</v>
      </c>
      <c r="I210" s="6">
        <v>3</v>
      </c>
      <c r="J210" s="6">
        <v>1</v>
      </c>
      <c r="K210" s="6" t="s">
        <v>56</v>
      </c>
      <c r="L210" s="6" t="str">
        <f>VLOOKUP(K210, 'Alphabetical by species code'!A:B, 2, FALSE)</f>
        <v>Grindelia camporum</v>
      </c>
    </row>
    <row r="211" spans="1:12" x14ac:dyDescent="0.25">
      <c r="A211" s="6">
        <v>3</v>
      </c>
      <c r="B211" s="6">
        <v>2025</v>
      </c>
      <c r="C211" s="7">
        <v>45755</v>
      </c>
      <c r="D211" s="6" t="s">
        <v>54</v>
      </c>
      <c r="E211" s="6" t="s">
        <v>26</v>
      </c>
      <c r="F211" s="6">
        <v>3</v>
      </c>
      <c r="G211" s="6" t="s">
        <v>46</v>
      </c>
      <c r="H211" s="6">
        <v>1</v>
      </c>
      <c r="I211" s="6">
        <v>4</v>
      </c>
      <c r="J211" s="6">
        <v>1.5</v>
      </c>
      <c r="K211" s="6" t="s">
        <v>28</v>
      </c>
      <c r="L211" s="6" t="str">
        <f>VLOOKUP(K211, 'Alphabetical by species code'!A:B, 2, FALSE)</f>
        <v>Litter</v>
      </c>
    </row>
    <row r="212" spans="1:12" x14ac:dyDescent="0.25">
      <c r="A212" s="6">
        <v>3</v>
      </c>
      <c r="B212" s="6">
        <v>2025</v>
      </c>
      <c r="C212" s="7">
        <v>45755</v>
      </c>
      <c r="D212" s="6" t="s">
        <v>54</v>
      </c>
      <c r="E212" s="6" t="s">
        <v>26</v>
      </c>
      <c r="F212" s="6">
        <v>3</v>
      </c>
      <c r="G212" s="6" t="s">
        <v>46</v>
      </c>
      <c r="H212" s="6">
        <v>1</v>
      </c>
      <c r="I212" s="6">
        <v>4</v>
      </c>
      <c r="J212" s="6">
        <v>1.5</v>
      </c>
      <c r="K212" s="6" t="s">
        <v>34</v>
      </c>
      <c r="L212" s="6" t="str">
        <f>VLOOKUP(K212, 'Alphabetical by species code'!A:B, 2, FALSE)</f>
        <v>Erodium cicutarium</v>
      </c>
    </row>
    <row r="213" spans="1:12" x14ac:dyDescent="0.25">
      <c r="A213" s="6">
        <v>3</v>
      </c>
      <c r="B213" s="6">
        <v>2025</v>
      </c>
      <c r="C213" s="7">
        <v>45755</v>
      </c>
      <c r="D213" s="6" t="s">
        <v>54</v>
      </c>
      <c r="E213" s="6" t="s">
        <v>26</v>
      </c>
      <c r="F213" s="6">
        <v>3</v>
      </c>
      <c r="G213" s="6" t="s">
        <v>46</v>
      </c>
      <c r="H213" s="6">
        <v>1</v>
      </c>
      <c r="I213" s="6">
        <v>4</v>
      </c>
      <c r="J213" s="6">
        <v>1.5</v>
      </c>
      <c r="K213" s="6" t="s">
        <v>31</v>
      </c>
      <c r="L213" s="6" t="str">
        <f>VLOOKUP(K213, 'Alphabetical by species code'!A:B, 2, FALSE)</f>
        <v>Festuca myuros</v>
      </c>
    </row>
    <row r="214" spans="1:12" x14ac:dyDescent="0.25">
      <c r="A214" s="6">
        <v>3</v>
      </c>
      <c r="B214" s="6">
        <v>2025</v>
      </c>
      <c r="C214" s="7">
        <v>45755</v>
      </c>
      <c r="D214" s="6" t="s">
        <v>54</v>
      </c>
      <c r="E214" s="6" t="s">
        <v>26</v>
      </c>
      <c r="F214" s="6">
        <v>3</v>
      </c>
      <c r="G214" s="6" t="s">
        <v>46</v>
      </c>
      <c r="H214" s="6">
        <v>1</v>
      </c>
      <c r="I214" s="6">
        <v>5</v>
      </c>
      <c r="J214" s="6">
        <v>2</v>
      </c>
      <c r="K214" s="6" t="s">
        <v>28</v>
      </c>
      <c r="L214" s="6" t="str">
        <f>VLOOKUP(K214, 'Alphabetical by species code'!A:B, 2, FALSE)</f>
        <v>Litter</v>
      </c>
    </row>
    <row r="215" spans="1:12" x14ac:dyDescent="0.25">
      <c r="A215" s="6">
        <v>3</v>
      </c>
      <c r="B215" s="6">
        <v>2025</v>
      </c>
      <c r="C215" s="7">
        <v>45755</v>
      </c>
      <c r="D215" s="6" t="s">
        <v>54</v>
      </c>
      <c r="E215" s="6" t="s">
        <v>26</v>
      </c>
      <c r="F215" s="6">
        <v>3</v>
      </c>
      <c r="G215" s="6" t="s">
        <v>46</v>
      </c>
      <c r="H215" s="6">
        <v>1</v>
      </c>
      <c r="I215" s="6">
        <v>5</v>
      </c>
      <c r="J215" s="6">
        <v>2</v>
      </c>
      <c r="K215" s="6" t="s">
        <v>37</v>
      </c>
      <c r="L215" s="6" t="str">
        <f>VLOOKUP(K215, 'Alphabetical by species code'!A:B, 2, FALSE)</f>
        <v>Sonchus oleraceus</v>
      </c>
    </row>
    <row r="216" spans="1:12" x14ac:dyDescent="0.25">
      <c r="A216" s="6">
        <v>3</v>
      </c>
      <c r="B216" s="6">
        <v>2025</v>
      </c>
      <c r="C216" s="7">
        <v>45755</v>
      </c>
      <c r="D216" s="6" t="s">
        <v>54</v>
      </c>
      <c r="E216" s="6" t="s">
        <v>26</v>
      </c>
      <c r="F216" s="6">
        <v>3</v>
      </c>
      <c r="G216" s="6" t="s">
        <v>46</v>
      </c>
      <c r="H216" s="6">
        <v>1</v>
      </c>
      <c r="I216" s="6">
        <v>5</v>
      </c>
      <c r="J216" s="6">
        <v>2</v>
      </c>
      <c r="K216" s="6" t="s">
        <v>32</v>
      </c>
      <c r="L216" s="6" t="str">
        <f>VLOOKUP(K216, 'Alphabetical by species code'!A:B, 2, FALSE)</f>
        <v>Medicago polymorpha</v>
      </c>
    </row>
    <row r="217" spans="1:12" x14ac:dyDescent="0.25">
      <c r="A217" s="6">
        <v>3</v>
      </c>
      <c r="B217" s="6">
        <v>2025</v>
      </c>
      <c r="C217" s="7">
        <v>45755</v>
      </c>
      <c r="D217" s="6" t="s">
        <v>54</v>
      </c>
      <c r="E217" s="6" t="s">
        <v>26</v>
      </c>
      <c r="F217" s="6">
        <v>3</v>
      </c>
      <c r="G217" s="6" t="s">
        <v>46</v>
      </c>
      <c r="H217" s="6">
        <v>1</v>
      </c>
      <c r="I217" s="6">
        <v>5</v>
      </c>
      <c r="J217" s="6">
        <v>2</v>
      </c>
      <c r="K217" s="6" t="s">
        <v>55</v>
      </c>
      <c r="L217" s="6" t="str">
        <f>VLOOKUP(K217, 'Alphabetical by species code'!A:B, 2, FALSE)</f>
        <v>Daucus pusillus</v>
      </c>
    </row>
    <row r="218" spans="1:12" x14ac:dyDescent="0.25">
      <c r="A218" s="6">
        <v>3</v>
      </c>
      <c r="B218" s="6">
        <v>2025</v>
      </c>
      <c r="C218" s="7">
        <v>45755</v>
      </c>
      <c r="D218" s="6" t="s">
        <v>54</v>
      </c>
      <c r="E218" s="6" t="s">
        <v>26</v>
      </c>
      <c r="F218" s="6">
        <v>3</v>
      </c>
      <c r="G218" s="6" t="s">
        <v>46</v>
      </c>
      <c r="H218" s="6">
        <v>1</v>
      </c>
      <c r="I218" s="6">
        <v>6</v>
      </c>
      <c r="J218" s="6">
        <v>2.5</v>
      </c>
      <c r="K218" s="6" t="s">
        <v>51</v>
      </c>
      <c r="L218" s="6" t="str">
        <f>VLOOKUP(K218, 'Alphabetical by species code'!A:B, 2, FALSE)</f>
        <v>Bareground</v>
      </c>
    </row>
    <row r="219" spans="1:12" x14ac:dyDescent="0.25">
      <c r="A219" s="6">
        <v>3</v>
      </c>
      <c r="B219" s="6">
        <v>2025</v>
      </c>
      <c r="C219" s="7">
        <v>45755</v>
      </c>
      <c r="D219" s="6" t="s">
        <v>54</v>
      </c>
      <c r="E219" s="6" t="s">
        <v>26</v>
      </c>
      <c r="F219" s="6">
        <v>3</v>
      </c>
      <c r="G219" s="6" t="s">
        <v>46</v>
      </c>
      <c r="H219" s="6">
        <v>1</v>
      </c>
      <c r="I219" s="6">
        <v>6</v>
      </c>
      <c r="J219" s="6">
        <v>2.5</v>
      </c>
      <c r="K219" s="6" t="s">
        <v>29</v>
      </c>
      <c r="L219" s="6" t="str">
        <f>VLOOKUP(K219, 'Alphabetical by species code'!A:B, 2, FALSE)</f>
        <v>Opuntia littoralis</v>
      </c>
    </row>
    <row r="220" spans="1:12" x14ac:dyDescent="0.25">
      <c r="A220" s="6">
        <v>3</v>
      </c>
      <c r="B220" s="6">
        <v>2025</v>
      </c>
      <c r="C220" s="7">
        <v>45755</v>
      </c>
      <c r="D220" s="6" t="s">
        <v>54</v>
      </c>
      <c r="E220" s="6" t="s">
        <v>26</v>
      </c>
      <c r="F220" s="6">
        <v>3</v>
      </c>
      <c r="G220" s="6" t="s">
        <v>46</v>
      </c>
      <c r="H220" s="6">
        <v>1</v>
      </c>
      <c r="I220" s="6">
        <v>6</v>
      </c>
      <c r="J220" s="6">
        <v>2.5</v>
      </c>
      <c r="K220" s="6" t="s">
        <v>55</v>
      </c>
      <c r="L220" s="6" t="str">
        <f>VLOOKUP(K220, 'Alphabetical by species code'!A:B, 2, FALSE)</f>
        <v>Daucus pusillus</v>
      </c>
    </row>
    <row r="221" spans="1:12" x14ac:dyDescent="0.25">
      <c r="A221" s="6">
        <v>3</v>
      </c>
      <c r="B221" s="6">
        <v>2025</v>
      </c>
      <c r="C221" s="7">
        <v>45755</v>
      </c>
      <c r="D221" s="6" t="s">
        <v>54</v>
      </c>
      <c r="E221" s="6" t="s">
        <v>26</v>
      </c>
      <c r="F221" s="6">
        <v>3</v>
      </c>
      <c r="G221" s="6" t="s">
        <v>46</v>
      </c>
      <c r="H221" s="6">
        <v>1</v>
      </c>
      <c r="I221" s="6">
        <v>6</v>
      </c>
      <c r="J221" s="6">
        <v>2.5</v>
      </c>
      <c r="K221" s="6" t="s">
        <v>31</v>
      </c>
      <c r="L221" s="6" t="str">
        <f>VLOOKUP(K221, 'Alphabetical by species code'!A:B, 2, FALSE)</f>
        <v>Festuca myuros</v>
      </c>
    </row>
    <row r="222" spans="1:12" x14ac:dyDescent="0.25">
      <c r="A222" s="6">
        <v>3</v>
      </c>
      <c r="B222" s="6">
        <v>2025</v>
      </c>
      <c r="C222" s="7">
        <v>45755</v>
      </c>
      <c r="D222" s="6" t="s">
        <v>54</v>
      </c>
      <c r="E222" s="6" t="s">
        <v>26</v>
      </c>
      <c r="F222" s="6">
        <v>3</v>
      </c>
      <c r="G222" s="6" t="s">
        <v>46</v>
      </c>
      <c r="H222" s="6">
        <v>1</v>
      </c>
      <c r="I222" s="6">
        <v>6</v>
      </c>
      <c r="J222" s="6">
        <v>2.5</v>
      </c>
      <c r="K222" s="6" t="s">
        <v>37</v>
      </c>
      <c r="L222" s="6" t="str">
        <f>VLOOKUP(K222, 'Alphabetical by species code'!A:B, 2, FALSE)</f>
        <v>Sonchus oleraceus</v>
      </c>
    </row>
    <row r="223" spans="1:12" x14ac:dyDescent="0.25">
      <c r="A223" s="6">
        <v>3</v>
      </c>
      <c r="B223" s="6">
        <v>2025</v>
      </c>
      <c r="C223" s="7">
        <v>45755</v>
      </c>
      <c r="D223" s="6" t="s">
        <v>54</v>
      </c>
      <c r="E223" s="6" t="s">
        <v>26</v>
      </c>
      <c r="F223" s="6">
        <v>3</v>
      </c>
      <c r="G223" s="6" t="s">
        <v>46</v>
      </c>
      <c r="H223" s="6">
        <v>1</v>
      </c>
      <c r="I223" s="6">
        <v>7</v>
      </c>
      <c r="J223" s="6">
        <v>3</v>
      </c>
      <c r="K223" s="6" t="s">
        <v>51</v>
      </c>
      <c r="L223" s="6" t="str">
        <f>VLOOKUP(K223, 'Alphabetical by species code'!A:B, 2, FALSE)</f>
        <v>Bareground</v>
      </c>
    </row>
    <row r="224" spans="1:12" x14ac:dyDescent="0.25">
      <c r="A224" s="6">
        <v>3</v>
      </c>
      <c r="B224" s="6">
        <v>2025</v>
      </c>
      <c r="C224" s="7">
        <v>45755</v>
      </c>
      <c r="D224" s="6" t="s">
        <v>54</v>
      </c>
      <c r="E224" s="6" t="s">
        <v>26</v>
      </c>
      <c r="F224" s="6">
        <v>3</v>
      </c>
      <c r="G224" s="6" t="s">
        <v>46</v>
      </c>
      <c r="H224" s="6">
        <v>1</v>
      </c>
      <c r="I224" s="6">
        <v>7</v>
      </c>
      <c r="J224" s="6">
        <v>3</v>
      </c>
      <c r="K224" s="6" t="s">
        <v>36</v>
      </c>
      <c r="L224" s="6" t="str">
        <f>VLOOKUP(K224, 'Alphabetical by species code'!A:B, 2, FALSE)</f>
        <v>Bromus madritensis</v>
      </c>
    </row>
    <row r="225" spans="1:12" x14ac:dyDescent="0.25">
      <c r="A225" s="6">
        <v>3</v>
      </c>
      <c r="B225" s="6">
        <v>2025</v>
      </c>
      <c r="C225" s="7">
        <v>45755</v>
      </c>
      <c r="D225" s="6" t="s">
        <v>54</v>
      </c>
      <c r="E225" s="6" t="s">
        <v>26</v>
      </c>
      <c r="F225" s="6">
        <v>3</v>
      </c>
      <c r="G225" s="6" t="s">
        <v>46</v>
      </c>
      <c r="H225" s="6">
        <v>1</v>
      </c>
      <c r="I225" s="6">
        <v>7</v>
      </c>
      <c r="J225" s="6">
        <v>3</v>
      </c>
      <c r="K225" s="6" t="s">
        <v>55</v>
      </c>
      <c r="L225" s="6" t="str">
        <f>VLOOKUP(K225, 'Alphabetical by species code'!A:B, 2, FALSE)</f>
        <v>Daucus pusillus</v>
      </c>
    </row>
    <row r="226" spans="1:12" x14ac:dyDescent="0.25">
      <c r="A226" s="6">
        <v>3</v>
      </c>
      <c r="B226" s="6">
        <v>2025</v>
      </c>
      <c r="C226" s="7">
        <v>45755</v>
      </c>
      <c r="D226" s="6" t="s">
        <v>54</v>
      </c>
      <c r="E226" s="6" t="s">
        <v>26</v>
      </c>
      <c r="F226" s="6">
        <v>3</v>
      </c>
      <c r="G226" s="6" t="s">
        <v>46</v>
      </c>
      <c r="H226" s="6">
        <v>1</v>
      </c>
      <c r="I226" s="6">
        <v>7</v>
      </c>
      <c r="J226" s="6">
        <v>3</v>
      </c>
      <c r="K226" s="6" t="s">
        <v>31</v>
      </c>
      <c r="L226" s="6" t="str">
        <f>VLOOKUP(K226, 'Alphabetical by species code'!A:B, 2, FALSE)</f>
        <v>Festuca myuros</v>
      </c>
    </row>
    <row r="227" spans="1:12" x14ac:dyDescent="0.25">
      <c r="A227" s="6">
        <v>3</v>
      </c>
      <c r="B227" s="6">
        <v>2025</v>
      </c>
      <c r="C227" s="7">
        <v>45755</v>
      </c>
      <c r="D227" s="6" t="s">
        <v>54</v>
      </c>
      <c r="E227" s="6" t="s">
        <v>26</v>
      </c>
      <c r="F227" s="6">
        <v>3</v>
      </c>
      <c r="G227" s="6" t="s">
        <v>46</v>
      </c>
      <c r="H227" s="6">
        <v>1</v>
      </c>
      <c r="I227" s="6">
        <v>7</v>
      </c>
      <c r="J227" s="6">
        <v>3</v>
      </c>
      <c r="K227" s="6" t="s">
        <v>35</v>
      </c>
      <c r="L227" s="6" t="str">
        <f>VLOOKUP(K227, 'Alphabetical by species code'!A:B, 2, FALSE)</f>
        <v>Deinandra fasciculata</v>
      </c>
    </row>
    <row r="228" spans="1:12" x14ac:dyDescent="0.25">
      <c r="A228" s="6">
        <v>3</v>
      </c>
      <c r="B228" s="6">
        <v>2025</v>
      </c>
      <c r="C228" s="7">
        <v>45755</v>
      </c>
      <c r="D228" s="6" t="s">
        <v>54</v>
      </c>
      <c r="E228" s="6" t="s">
        <v>26</v>
      </c>
      <c r="F228" s="6">
        <v>3</v>
      </c>
      <c r="G228" s="6" t="s">
        <v>46</v>
      </c>
      <c r="H228" s="6">
        <v>1</v>
      </c>
      <c r="I228" s="6">
        <v>8</v>
      </c>
      <c r="J228" s="6">
        <v>3.5</v>
      </c>
      <c r="K228" s="6" t="s">
        <v>51</v>
      </c>
      <c r="L228" s="6" t="str">
        <f>VLOOKUP(K228, 'Alphabetical by species code'!A:B, 2, FALSE)</f>
        <v>Bareground</v>
      </c>
    </row>
    <row r="229" spans="1:12" x14ac:dyDescent="0.25">
      <c r="A229" s="6">
        <v>3</v>
      </c>
      <c r="B229" s="6">
        <v>2025</v>
      </c>
      <c r="C229" s="7">
        <v>45755</v>
      </c>
      <c r="D229" s="6" t="s">
        <v>54</v>
      </c>
      <c r="E229" s="6" t="s">
        <v>26</v>
      </c>
      <c r="F229" s="6">
        <v>3</v>
      </c>
      <c r="G229" s="6" t="s">
        <v>46</v>
      </c>
      <c r="H229" s="6">
        <v>1</v>
      </c>
      <c r="I229" s="6">
        <v>8</v>
      </c>
      <c r="J229" s="6">
        <v>3.5</v>
      </c>
      <c r="K229" s="6" t="s">
        <v>55</v>
      </c>
      <c r="L229" s="6" t="str">
        <f>VLOOKUP(K229, 'Alphabetical by species code'!A:B, 2, FALSE)</f>
        <v>Daucus pusillus</v>
      </c>
    </row>
    <row r="230" spans="1:12" x14ac:dyDescent="0.25">
      <c r="A230" s="6">
        <v>3</v>
      </c>
      <c r="B230" s="6">
        <v>2025</v>
      </c>
      <c r="C230" s="7">
        <v>45755</v>
      </c>
      <c r="D230" s="6" t="s">
        <v>54</v>
      </c>
      <c r="E230" s="6" t="s">
        <v>26</v>
      </c>
      <c r="F230" s="6">
        <v>3</v>
      </c>
      <c r="G230" s="6" t="s">
        <v>46</v>
      </c>
      <c r="H230" s="6">
        <v>1</v>
      </c>
      <c r="I230" s="6">
        <v>8</v>
      </c>
      <c r="J230" s="6">
        <v>3.5</v>
      </c>
      <c r="K230" s="6" t="s">
        <v>31</v>
      </c>
      <c r="L230" s="6" t="str">
        <f>VLOOKUP(K230, 'Alphabetical by species code'!A:B, 2, FALSE)</f>
        <v>Festuca myuros</v>
      </c>
    </row>
    <row r="231" spans="1:12" x14ac:dyDescent="0.25">
      <c r="A231" s="6">
        <v>3</v>
      </c>
      <c r="B231" s="6">
        <v>2025</v>
      </c>
      <c r="C231" s="7">
        <v>45755</v>
      </c>
      <c r="D231" s="6" t="s">
        <v>54</v>
      </c>
      <c r="E231" s="6" t="s">
        <v>26</v>
      </c>
      <c r="F231" s="6">
        <v>3</v>
      </c>
      <c r="G231" s="6" t="s">
        <v>46</v>
      </c>
      <c r="H231" s="6">
        <v>1</v>
      </c>
      <c r="I231" s="6">
        <v>9</v>
      </c>
      <c r="J231" s="6">
        <v>4</v>
      </c>
      <c r="K231" s="6" t="s">
        <v>51</v>
      </c>
      <c r="L231" s="6" t="str">
        <f>VLOOKUP(K231, 'Alphabetical by species code'!A:B, 2, FALSE)</f>
        <v>Bareground</v>
      </c>
    </row>
    <row r="232" spans="1:12" x14ac:dyDescent="0.25">
      <c r="A232" s="6">
        <v>3</v>
      </c>
      <c r="B232" s="6">
        <v>2025</v>
      </c>
      <c r="C232" s="7">
        <v>45755</v>
      </c>
      <c r="D232" s="6" t="s">
        <v>54</v>
      </c>
      <c r="E232" s="6" t="s">
        <v>26</v>
      </c>
      <c r="F232" s="6">
        <v>3</v>
      </c>
      <c r="G232" s="6" t="s">
        <v>46</v>
      </c>
      <c r="H232" s="6">
        <v>1</v>
      </c>
      <c r="I232" s="6">
        <v>9</v>
      </c>
      <c r="J232" s="6">
        <v>4</v>
      </c>
      <c r="K232" s="6" t="s">
        <v>32</v>
      </c>
      <c r="L232" s="6" t="str">
        <f>VLOOKUP(K232, 'Alphabetical by species code'!A:B, 2, FALSE)</f>
        <v>Medicago polymorpha</v>
      </c>
    </row>
    <row r="233" spans="1:12" x14ac:dyDescent="0.25">
      <c r="A233" s="6">
        <v>3</v>
      </c>
      <c r="B233" s="6">
        <v>2025</v>
      </c>
      <c r="C233" s="7">
        <v>45755</v>
      </c>
      <c r="D233" s="6" t="s">
        <v>54</v>
      </c>
      <c r="E233" s="6" t="s">
        <v>26</v>
      </c>
      <c r="F233" s="6">
        <v>3</v>
      </c>
      <c r="G233" s="6" t="s">
        <v>46</v>
      </c>
      <c r="H233" s="6">
        <v>1</v>
      </c>
      <c r="I233" s="6">
        <v>9</v>
      </c>
      <c r="J233" s="6">
        <v>4</v>
      </c>
      <c r="K233" s="6" t="s">
        <v>31</v>
      </c>
      <c r="L233" s="6" t="str">
        <f>VLOOKUP(K233, 'Alphabetical by species code'!A:B, 2, FALSE)</f>
        <v>Festuca myuros</v>
      </c>
    </row>
    <row r="234" spans="1:12" x14ac:dyDescent="0.25">
      <c r="A234" s="6">
        <v>3</v>
      </c>
      <c r="B234" s="6">
        <v>2025</v>
      </c>
      <c r="C234" s="7">
        <v>45755</v>
      </c>
      <c r="D234" s="6" t="s">
        <v>54</v>
      </c>
      <c r="E234" s="6" t="s">
        <v>26</v>
      </c>
      <c r="F234" s="6">
        <v>3</v>
      </c>
      <c r="G234" s="6" t="s">
        <v>46</v>
      </c>
      <c r="H234" s="6">
        <v>1</v>
      </c>
      <c r="I234" s="6">
        <v>10</v>
      </c>
      <c r="J234" s="6">
        <v>4.5</v>
      </c>
      <c r="K234" s="6" t="s">
        <v>28</v>
      </c>
      <c r="L234" s="6" t="str">
        <f>VLOOKUP(K234, 'Alphabetical by species code'!A:B, 2, FALSE)</f>
        <v>Litter</v>
      </c>
    </row>
    <row r="235" spans="1:12" x14ac:dyDescent="0.25">
      <c r="A235" s="6">
        <v>3</v>
      </c>
      <c r="B235" s="6">
        <v>2025</v>
      </c>
      <c r="C235" s="7">
        <v>45755</v>
      </c>
      <c r="D235" s="6" t="s">
        <v>54</v>
      </c>
      <c r="E235" s="6" t="s">
        <v>26</v>
      </c>
      <c r="F235" s="6">
        <v>3</v>
      </c>
      <c r="G235" s="6" t="s">
        <v>46</v>
      </c>
      <c r="H235" s="6">
        <v>1</v>
      </c>
      <c r="I235" s="6">
        <v>10</v>
      </c>
      <c r="J235" s="6">
        <v>4.5</v>
      </c>
      <c r="K235" s="6" t="s">
        <v>55</v>
      </c>
      <c r="L235" s="6" t="str">
        <f>VLOOKUP(K235, 'Alphabetical by species code'!A:B, 2, FALSE)</f>
        <v>Daucus pusillus</v>
      </c>
    </row>
    <row r="236" spans="1:12" x14ac:dyDescent="0.25">
      <c r="A236" s="6">
        <v>3</v>
      </c>
      <c r="B236" s="6">
        <v>2025</v>
      </c>
      <c r="C236" s="7">
        <v>45755</v>
      </c>
      <c r="D236" s="6" t="s">
        <v>54</v>
      </c>
      <c r="E236" s="6" t="s">
        <v>26</v>
      </c>
      <c r="F236" s="6">
        <v>3</v>
      </c>
      <c r="G236" s="6" t="s">
        <v>46</v>
      </c>
      <c r="H236" s="6">
        <v>1</v>
      </c>
      <c r="I236" s="6">
        <v>10</v>
      </c>
      <c r="J236" s="6">
        <v>4.5</v>
      </c>
      <c r="K236" s="6" t="s">
        <v>48</v>
      </c>
      <c r="L236" s="6" t="str">
        <f>VLOOKUP(K236, 'Alphabetical by species code'!A:B, 2, FALSE)</f>
        <v>Sonchus asper</v>
      </c>
    </row>
    <row r="237" spans="1:12" x14ac:dyDescent="0.25">
      <c r="A237" s="6">
        <v>3</v>
      </c>
      <c r="B237" s="6">
        <v>2025</v>
      </c>
      <c r="C237" s="7">
        <v>45755</v>
      </c>
      <c r="D237" s="6" t="s">
        <v>54</v>
      </c>
      <c r="E237" s="6" t="s">
        <v>26</v>
      </c>
      <c r="F237" s="6">
        <v>3</v>
      </c>
      <c r="G237" s="6" t="s">
        <v>46</v>
      </c>
      <c r="H237" s="6">
        <v>1</v>
      </c>
      <c r="I237" s="6">
        <v>11</v>
      </c>
      <c r="J237" s="6">
        <v>5</v>
      </c>
      <c r="K237" s="6" t="s">
        <v>28</v>
      </c>
      <c r="L237" s="6" t="str">
        <f>VLOOKUP(K237, 'Alphabetical by species code'!A:B, 2, FALSE)</f>
        <v>Litter</v>
      </c>
    </row>
    <row r="238" spans="1:12" x14ac:dyDescent="0.25">
      <c r="A238" s="6">
        <v>3</v>
      </c>
      <c r="B238" s="6">
        <v>2025</v>
      </c>
      <c r="C238" s="7">
        <v>45755</v>
      </c>
      <c r="D238" s="6" t="s">
        <v>54</v>
      </c>
      <c r="E238" s="6" t="s">
        <v>26</v>
      </c>
      <c r="F238" s="6">
        <v>3</v>
      </c>
      <c r="G238" s="6" t="s">
        <v>46</v>
      </c>
      <c r="H238" s="6">
        <v>1</v>
      </c>
      <c r="I238" s="6">
        <v>11</v>
      </c>
      <c r="J238" s="6">
        <v>5</v>
      </c>
      <c r="K238" s="6" t="s">
        <v>35</v>
      </c>
      <c r="L238" s="6" t="str">
        <f>VLOOKUP(K238, 'Alphabetical by species code'!A:B, 2, FALSE)</f>
        <v>Deinandra fasciculata</v>
      </c>
    </row>
    <row r="239" spans="1:12" x14ac:dyDescent="0.25">
      <c r="A239" s="6">
        <v>3</v>
      </c>
      <c r="B239" s="6">
        <v>2025</v>
      </c>
      <c r="C239" s="7">
        <v>45755</v>
      </c>
      <c r="D239" s="6" t="s">
        <v>54</v>
      </c>
      <c r="E239" s="6" t="s">
        <v>26</v>
      </c>
      <c r="F239" s="6">
        <v>3</v>
      </c>
      <c r="G239" s="6" t="s">
        <v>46</v>
      </c>
      <c r="H239" s="6">
        <v>1</v>
      </c>
      <c r="I239" s="6">
        <v>11</v>
      </c>
      <c r="J239" s="6">
        <v>5</v>
      </c>
      <c r="K239" s="6" t="s">
        <v>31</v>
      </c>
      <c r="L239" s="6" t="str">
        <f>VLOOKUP(K239, 'Alphabetical by species code'!A:B, 2, FALSE)</f>
        <v>Festuca myuros</v>
      </c>
    </row>
    <row r="240" spans="1:12" x14ac:dyDescent="0.25">
      <c r="A240" s="6">
        <v>3</v>
      </c>
      <c r="B240" s="6">
        <v>2025</v>
      </c>
      <c r="C240" s="7">
        <v>45755</v>
      </c>
      <c r="D240" s="6" t="s">
        <v>54</v>
      </c>
      <c r="E240" s="6" t="s">
        <v>26</v>
      </c>
      <c r="F240" s="6">
        <v>3</v>
      </c>
      <c r="G240" s="6" t="s">
        <v>46</v>
      </c>
      <c r="H240" s="6">
        <v>1</v>
      </c>
      <c r="I240" s="6">
        <v>12</v>
      </c>
      <c r="J240" s="6">
        <v>5.5</v>
      </c>
      <c r="K240" s="6" t="s">
        <v>28</v>
      </c>
      <c r="L240" s="6" t="str">
        <f>VLOOKUP(K240, 'Alphabetical by species code'!A:B, 2, FALSE)</f>
        <v>Litter</v>
      </c>
    </row>
    <row r="241" spans="1:12" x14ac:dyDescent="0.25">
      <c r="A241" s="6">
        <v>3</v>
      </c>
      <c r="B241" s="6">
        <v>2025</v>
      </c>
      <c r="C241" s="7">
        <v>45755</v>
      </c>
      <c r="D241" s="6" t="s">
        <v>54</v>
      </c>
      <c r="E241" s="6" t="s">
        <v>26</v>
      </c>
      <c r="F241" s="6">
        <v>3</v>
      </c>
      <c r="G241" s="6" t="s">
        <v>46</v>
      </c>
      <c r="H241" s="6">
        <v>1</v>
      </c>
      <c r="I241" s="6">
        <v>12</v>
      </c>
      <c r="J241" s="6">
        <v>5.5</v>
      </c>
      <c r="K241" s="6" t="s">
        <v>31</v>
      </c>
      <c r="L241" s="6" t="str">
        <f>VLOOKUP(K241, 'Alphabetical by species code'!A:B, 2, FALSE)</f>
        <v>Festuca myuros</v>
      </c>
    </row>
    <row r="242" spans="1:12" x14ac:dyDescent="0.25">
      <c r="A242" s="6">
        <v>3</v>
      </c>
      <c r="B242" s="6">
        <v>2025</v>
      </c>
      <c r="C242" s="7">
        <v>45755</v>
      </c>
      <c r="D242" s="6" t="s">
        <v>54</v>
      </c>
      <c r="E242" s="6" t="s">
        <v>26</v>
      </c>
      <c r="F242" s="6">
        <v>3</v>
      </c>
      <c r="G242" s="6" t="s">
        <v>46</v>
      </c>
      <c r="H242" s="6">
        <v>1</v>
      </c>
      <c r="I242" s="6">
        <v>13</v>
      </c>
      <c r="J242" s="6">
        <v>6.5</v>
      </c>
      <c r="K242" s="6" t="s">
        <v>28</v>
      </c>
      <c r="L242" s="6" t="str">
        <f>VLOOKUP(K242, 'Alphabetical by species code'!A:B, 2, FALSE)</f>
        <v>Litter</v>
      </c>
    </row>
    <row r="243" spans="1:12" x14ac:dyDescent="0.25">
      <c r="A243" s="6">
        <v>3</v>
      </c>
      <c r="B243" s="6">
        <v>2025</v>
      </c>
      <c r="C243" s="7">
        <v>45755</v>
      </c>
      <c r="D243" s="6" t="s">
        <v>54</v>
      </c>
      <c r="E243" s="6" t="s">
        <v>26</v>
      </c>
      <c r="F243" s="6">
        <v>3</v>
      </c>
      <c r="G243" s="6" t="s">
        <v>46</v>
      </c>
      <c r="H243" s="6">
        <v>1</v>
      </c>
      <c r="I243" s="6">
        <v>13</v>
      </c>
      <c r="J243" s="6">
        <v>6.5</v>
      </c>
      <c r="K243" s="6" t="s">
        <v>55</v>
      </c>
      <c r="L243" s="6" t="str">
        <f>VLOOKUP(K243, 'Alphabetical by species code'!A:B, 2, FALSE)</f>
        <v>Daucus pusillus</v>
      </c>
    </row>
    <row r="244" spans="1:12" x14ac:dyDescent="0.25">
      <c r="A244" s="6">
        <v>3</v>
      </c>
      <c r="B244" s="6">
        <v>2025</v>
      </c>
      <c r="C244" s="7">
        <v>45755</v>
      </c>
      <c r="D244" s="6" t="s">
        <v>54</v>
      </c>
      <c r="E244" s="6" t="s">
        <v>26</v>
      </c>
      <c r="F244" s="6">
        <v>3</v>
      </c>
      <c r="G244" s="6" t="s">
        <v>46</v>
      </c>
      <c r="H244" s="6">
        <v>1</v>
      </c>
      <c r="I244" s="6">
        <v>13</v>
      </c>
      <c r="J244" s="6">
        <v>6.5</v>
      </c>
      <c r="K244" s="6" t="s">
        <v>35</v>
      </c>
      <c r="L244" s="6" t="str">
        <f>VLOOKUP(K244, 'Alphabetical by species code'!A:B, 2, FALSE)</f>
        <v>Deinandra fasciculata</v>
      </c>
    </row>
    <row r="245" spans="1:12" x14ac:dyDescent="0.25">
      <c r="A245" s="6">
        <v>3</v>
      </c>
      <c r="B245" s="6">
        <v>2025</v>
      </c>
      <c r="C245" s="7">
        <v>45755</v>
      </c>
      <c r="D245" s="6" t="s">
        <v>54</v>
      </c>
      <c r="E245" s="6" t="s">
        <v>26</v>
      </c>
      <c r="F245" s="6">
        <v>3</v>
      </c>
      <c r="G245" s="6" t="s">
        <v>46</v>
      </c>
      <c r="H245" s="6">
        <v>1</v>
      </c>
      <c r="I245" s="6">
        <v>13</v>
      </c>
      <c r="J245" s="6">
        <v>6.5</v>
      </c>
      <c r="K245" s="6" t="s">
        <v>32</v>
      </c>
      <c r="L245" s="6" t="str">
        <f>VLOOKUP(K245, 'Alphabetical by species code'!A:B, 2, FALSE)</f>
        <v>Medicago polymorpha</v>
      </c>
    </row>
    <row r="246" spans="1:12" x14ac:dyDescent="0.25">
      <c r="A246" s="6">
        <v>3</v>
      </c>
      <c r="B246" s="6">
        <v>2025</v>
      </c>
      <c r="C246" s="7">
        <v>45755</v>
      </c>
      <c r="D246" s="6" t="s">
        <v>54</v>
      </c>
      <c r="E246" s="6" t="s">
        <v>26</v>
      </c>
      <c r="F246" s="6">
        <v>3</v>
      </c>
      <c r="G246" s="6" t="s">
        <v>46</v>
      </c>
      <c r="H246" s="6">
        <v>1</v>
      </c>
      <c r="I246" s="6">
        <v>13</v>
      </c>
      <c r="J246" s="6">
        <v>6.5</v>
      </c>
      <c r="K246" s="6" t="s">
        <v>31</v>
      </c>
      <c r="L246" s="6" t="str">
        <f>VLOOKUP(K246, 'Alphabetical by species code'!A:B, 2, FALSE)</f>
        <v>Festuca myuros</v>
      </c>
    </row>
    <row r="247" spans="1:12" x14ac:dyDescent="0.25">
      <c r="A247" s="6">
        <v>3</v>
      </c>
      <c r="B247" s="6">
        <v>2025</v>
      </c>
      <c r="C247" s="7">
        <v>45755</v>
      </c>
      <c r="D247" s="6" t="s">
        <v>54</v>
      </c>
      <c r="E247" s="6" t="s">
        <v>26</v>
      </c>
      <c r="F247" s="6">
        <v>3</v>
      </c>
      <c r="G247" s="6" t="s">
        <v>46</v>
      </c>
      <c r="H247" s="6">
        <v>1</v>
      </c>
      <c r="I247" s="6">
        <v>14</v>
      </c>
      <c r="J247" s="6">
        <v>7</v>
      </c>
      <c r="K247" s="6" t="s">
        <v>41</v>
      </c>
      <c r="L247" s="6" t="str">
        <f>VLOOKUP(K247, 'Alphabetical by species code'!A:B, 2, FALSE)</f>
        <v>Stem</v>
      </c>
    </row>
    <row r="248" spans="1:12" x14ac:dyDescent="0.25">
      <c r="A248" s="6">
        <v>3</v>
      </c>
      <c r="B248" s="6">
        <v>2025</v>
      </c>
      <c r="C248" s="7">
        <v>45755</v>
      </c>
      <c r="D248" s="6" t="s">
        <v>54</v>
      </c>
      <c r="E248" s="6" t="s">
        <v>26</v>
      </c>
      <c r="F248" s="6">
        <v>3</v>
      </c>
      <c r="G248" s="6" t="s">
        <v>46</v>
      </c>
      <c r="H248" s="6">
        <v>1</v>
      </c>
      <c r="I248" s="6">
        <v>14</v>
      </c>
      <c r="J248" s="6">
        <v>7</v>
      </c>
      <c r="K248" s="6" t="s">
        <v>32</v>
      </c>
      <c r="L248" s="6" t="str">
        <f>VLOOKUP(K248, 'Alphabetical by species code'!A:B, 2, FALSE)</f>
        <v>Medicago polymorpha</v>
      </c>
    </row>
    <row r="249" spans="1:12" x14ac:dyDescent="0.25">
      <c r="A249" s="6">
        <v>3</v>
      </c>
      <c r="B249" s="6">
        <v>2025</v>
      </c>
      <c r="C249" s="7">
        <v>45755</v>
      </c>
      <c r="D249" s="6" t="s">
        <v>54</v>
      </c>
      <c r="E249" s="6" t="s">
        <v>26</v>
      </c>
      <c r="F249" s="6">
        <v>3</v>
      </c>
      <c r="G249" s="6" t="s">
        <v>46</v>
      </c>
      <c r="H249" s="6">
        <v>1</v>
      </c>
      <c r="I249" s="6">
        <v>14</v>
      </c>
      <c r="J249" s="6">
        <v>7</v>
      </c>
      <c r="K249" s="6" t="s">
        <v>29</v>
      </c>
      <c r="L249" s="6" t="str">
        <f>VLOOKUP(K249, 'Alphabetical by species code'!A:B, 2, FALSE)</f>
        <v>Opuntia littoralis</v>
      </c>
    </row>
    <row r="250" spans="1:12" x14ac:dyDescent="0.25">
      <c r="A250" s="6">
        <v>3</v>
      </c>
      <c r="B250" s="6">
        <v>2025</v>
      </c>
      <c r="C250" s="7">
        <v>45755</v>
      </c>
      <c r="D250" s="6" t="s">
        <v>54</v>
      </c>
      <c r="E250" s="6" t="s">
        <v>26</v>
      </c>
      <c r="F250" s="6">
        <v>3</v>
      </c>
      <c r="G250" s="6" t="s">
        <v>46</v>
      </c>
      <c r="H250" s="6">
        <v>1</v>
      </c>
      <c r="I250" s="6">
        <v>15</v>
      </c>
      <c r="J250" s="6">
        <v>7.5</v>
      </c>
      <c r="K250" s="6" t="s">
        <v>28</v>
      </c>
      <c r="L250" s="6" t="str">
        <f>VLOOKUP(K250, 'Alphabetical by species code'!A:B, 2, FALSE)</f>
        <v>Litter</v>
      </c>
    </row>
    <row r="251" spans="1:12" x14ac:dyDescent="0.25">
      <c r="A251" s="6">
        <v>3</v>
      </c>
      <c r="B251" s="6">
        <v>2025</v>
      </c>
      <c r="C251" s="7">
        <v>45755</v>
      </c>
      <c r="D251" s="6" t="s">
        <v>54</v>
      </c>
      <c r="E251" s="6" t="s">
        <v>26</v>
      </c>
      <c r="F251" s="6">
        <v>3</v>
      </c>
      <c r="G251" s="6" t="s">
        <v>46</v>
      </c>
      <c r="H251" s="6">
        <v>1</v>
      </c>
      <c r="I251" s="6">
        <v>15</v>
      </c>
      <c r="J251" s="6">
        <v>7.5</v>
      </c>
      <c r="K251" s="6" t="s">
        <v>31</v>
      </c>
      <c r="L251" s="6" t="str">
        <f>VLOOKUP(K251, 'Alphabetical by species code'!A:B, 2, FALSE)</f>
        <v>Festuca myuros</v>
      </c>
    </row>
    <row r="252" spans="1:12" x14ac:dyDescent="0.25">
      <c r="A252" s="6">
        <v>3</v>
      </c>
      <c r="B252" s="6">
        <v>2025</v>
      </c>
      <c r="C252" s="7">
        <v>45755</v>
      </c>
      <c r="D252" s="6" t="s">
        <v>54</v>
      </c>
      <c r="E252" s="6" t="s">
        <v>26</v>
      </c>
      <c r="F252" s="6">
        <v>3</v>
      </c>
      <c r="G252" s="6" t="s">
        <v>46</v>
      </c>
      <c r="H252" s="6">
        <v>1</v>
      </c>
      <c r="I252" s="6">
        <v>15</v>
      </c>
      <c r="J252" s="6">
        <v>7.5</v>
      </c>
      <c r="K252" s="6" t="s">
        <v>35</v>
      </c>
      <c r="L252" s="6" t="str">
        <f>VLOOKUP(K252, 'Alphabetical by species code'!A:B, 2, FALSE)</f>
        <v>Deinandra fasciculata</v>
      </c>
    </row>
    <row r="253" spans="1:12" x14ac:dyDescent="0.25">
      <c r="A253" s="6">
        <v>3</v>
      </c>
      <c r="B253" s="6">
        <v>2025</v>
      </c>
      <c r="C253" s="7">
        <v>45755</v>
      </c>
      <c r="D253" s="6" t="s">
        <v>54</v>
      </c>
      <c r="E253" s="6" t="s">
        <v>26</v>
      </c>
      <c r="F253" s="6">
        <v>3</v>
      </c>
      <c r="G253" s="6" t="s">
        <v>46</v>
      </c>
      <c r="H253" s="6">
        <v>1</v>
      </c>
      <c r="I253" s="6">
        <v>15</v>
      </c>
      <c r="J253" s="6">
        <v>7.5</v>
      </c>
      <c r="K253" s="6" t="s">
        <v>42</v>
      </c>
      <c r="L253" s="6" t="str">
        <f>VLOOKUP(K253, 'Alphabetical by species code'!A:B, 2, FALSE)</f>
        <v>Centaurea melitensis</v>
      </c>
    </row>
    <row r="254" spans="1:12" x14ac:dyDescent="0.25">
      <c r="A254" s="6">
        <v>3</v>
      </c>
      <c r="B254" s="6">
        <v>2025</v>
      </c>
      <c r="C254" s="7">
        <v>45755</v>
      </c>
      <c r="D254" s="6" t="s">
        <v>54</v>
      </c>
      <c r="E254" s="6" t="s">
        <v>26</v>
      </c>
      <c r="F254" s="6">
        <v>3</v>
      </c>
      <c r="G254" s="6" t="s">
        <v>46</v>
      </c>
      <c r="H254" s="6">
        <v>2</v>
      </c>
      <c r="I254" s="6">
        <v>1</v>
      </c>
      <c r="J254" s="6">
        <v>0</v>
      </c>
      <c r="K254" s="6" t="s">
        <v>28</v>
      </c>
      <c r="L254" s="6" t="str">
        <f>VLOOKUP(K254, 'Alphabetical by species code'!A:B, 2, FALSE)</f>
        <v>Litter</v>
      </c>
    </row>
    <row r="255" spans="1:12" x14ac:dyDescent="0.25">
      <c r="A255" s="6">
        <v>3</v>
      </c>
      <c r="B255" s="6">
        <v>2025</v>
      </c>
      <c r="C255" s="7">
        <v>45755</v>
      </c>
      <c r="D255" s="6" t="s">
        <v>54</v>
      </c>
      <c r="E255" s="6" t="s">
        <v>26</v>
      </c>
      <c r="F255" s="6">
        <v>3</v>
      </c>
      <c r="G255" s="6" t="s">
        <v>46</v>
      </c>
      <c r="H255" s="6">
        <v>2</v>
      </c>
      <c r="I255" s="6">
        <v>1</v>
      </c>
      <c r="J255" s="6">
        <v>0</v>
      </c>
      <c r="K255" s="6" t="s">
        <v>49</v>
      </c>
      <c r="L255" s="6" t="str">
        <f>VLOOKUP(K255, 'Alphabetical by species code'!A:B, 2, FALSE)</f>
        <v>Anagallis arvensis</v>
      </c>
    </row>
    <row r="256" spans="1:12" x14ac:dyDescent="0.25">
      <c r="A256" s="6">
        <v>3</v>
      </c>
      <c r="B256" s="6">
        <v>2025</v>
      </c>
      <c r="C256" s="7">
        <v>45755</v>
      </c>
      <c r="D256" s="6" t="s">
        <v>54</v>
      </c>
      <c r="E256" s="6" t="s">
        <v>26</v>
      </c>
      <c r="F256" s="6">
        <v>3</v>
      </c>
      <c r="G256" s="6" t="s">
        <v>46</v>
      </c>
      <c r="H256" s="6">
        <v>2</v>
      </c>
      <c r="I256" s="6">
        <v>1</v>
      </c>
      <c r="J256" s="6">
        <v>0</v>
      </c>
      <c r="K256" s="6" t="s">
        <v>32</v>
      </c>
      <c r="L256" s="6" t="str">
        <f>VLOOKUP(K256, 'Alphabetical by species code'!A:B, 2, FALSE)</f>
        <v>Medicago polymorpha</v>
      </c>
    </row>
    <row r="257" spans="1:12" x14ac:dyDescent="0.25">
      <c r="A257" s="6">
        <v>3</v>
      </c>
      <c r="B257" s="6">
        <v>2025</v>
      </c>
      <c r="C257" s="7">
        <v>45755</v>
      </c>
      <c r="D257" s="6" t="s">
        <v>54</v>
      </c>
      <c r="E257" s="6" t="s">
        <v>26</v>
      </c>
      <c r="F257" s="6">
        <v>3</v>
      </c>
      <c r="G257" s="6" t="s">
        <v>46</v>
      </c>
      <c r="H257" s="6">
        <v>2</v>
      </c>
      <c r="I257" s="6">
        <v>1</v>
      </c>
      <c r="J257" s="6">
        <v>0</v>
      </c>
      <c r="K257" s="6" t="s">
        <v>31</v>
      </c>
      <c r="L257" s="6" t="str">
        <f>VLOOKUP(K257, 'Alphabetical by species code'!A:B, 2, FALSE)</f>
        <v>Festuca myuros</v>
      </c>
    </row>
    <row r="258" spans="1:12" x14ac:dyDescent="0.25">
      <c r="A258" s="6">
        <v>3</v>
      </c>
      <c r="B258" s="6">
        <v>2025</v>
      </c>
      <c r="C258" s="7">
        <v>45755</v>
      </c>
      <c r="D258" s="6" t="s">
        <v>54</v>
      </c>
      <c r="E258" s="6" t="s">
        <v>26</v>
      </c>
      <c r="F258" s="6">
        <v>3</v>
      </c>
      <c r="G258" s="6" t="s">
        <v>46</v>
      </c>
      <c r="H258" s="6">
        <v>2</v>
      </c>
      <c r="I258" s="6">
        <v>2</v>
      </c>
      <c r="J258" s="6">
        <v>0.5</v>
      </c>
      <c r="K258" s="6" t="s">
        <v>28</v>
      </c>
      <c r="L258" s="6" t="str">
        <f>VLOOKUP(K258, 'Alphabetical by species code'!A:B, 2, FALSE)</f>
        <v>Litter</v>
      </c>
    </row>
    <row r="259" spans="1:12" x14ac:dyDescent="0.25">
      <c r="A259" s="6">
        <v>3</v>
      </c>
      <c r="B259" s="6">
        <v>2025</v>
      </c>
      <c r="C259" s="7">
        <v>45755</v>
      </c>
      <c r="D259" s="6" t="s">
        <v>54</v>
      </c>
      <c r="E259" s="6" t="s">
        <v>26</v>
      </c>
      <c r="F259" s="6">
        <v>3</v>
      </c>
      <c r="G259" s="6" t="s">
        <v>46</v>
      </c>
      <c r="H259" s="6">
        <v>2</v>
      </c>
      <c r="I259" s="6">
        <v>2</v>
      </c>
      <c r="J259" s="6">
        <v>0.5</v>
      </c>
      <c r="K259" s="6" t="s">
        <v>49</v>
      </c>
      <c r="L259" s="6" t="str">
        <f>VLOOKUP(K259, 'Alphabetical by species code'!A:B, 2, FALSE)</f>
        <v>Anagallis arvensis</v>
      </c>
    </row>
    <row r="260" spans="1:12" x14ac:dyDescent="0.25">
      <c r="A260" s="6">
        <v>3</v>
      </c>
      <c r="B260" s="6">
        <v>2025</v>
      </c>
      <c r="C260" s="7">
        <v>45755</v>
      </c>
      <c r="D260" s="6" t="s">
        <v>54</v>
      </c>
      <c r="E260" s="6" t="s">
        <v>26</v>
      </c>
      <c r="F260" s="6">
        <v>3</v>
      </c>
      <c r="G260" s="6" t="s">
        <v>46</v>
      </c>
      <c r="H260" s="6">
        <v>2</v>
      </c>
      <c r="I260" s="6">
        <v>2</v>
      </c>
      <c r="J260" s="6">
        <v>0.5</v>
      </c>
      <c r="K260" s="6" t="s">
        <v>57</v>
      </c>
      <c r="L260" s="6" t="str">
        <f>VLOOKUP(K260, 'Alphabetical by species code'!A:B, 2, FALSE)</f>
        <v>Stipa pulchra</v>
      </c>
    </row>
    <row r="261" spans="1:12" x14ac:dyDescent="0.25">
      <c r="A261" s="6">
        <v>3</v>
      </c>
      <c r="B261" s="6">
        <v>2025</v>
      </c>
      <c r="C261" s="7">
        <v>45755</v>
      </c>
      <c r="D261" s="6" t="s">
        <v>54</v>
      </c>
      <c r="E261" s="6" t="s">
        <v>26</v>
      </c>
      <c r="F261" s="6">
        <v>3</v>
      </c>
      <c r="G261" s="6" t="s">
        <v>46</v>
      </c>
      <c r="H261" s="6">
        <v>2</v>
      </c>
      <c r="I261" s="6">
        <v>2</v>
      </c>
      <c r="J261" s="6">
        <v>0.5</v>
      </c>
      <c r="K261" s="6" t="s">
        <v>55</v>
      </c>
      <c r="L261" s="6" t="str">
        <f>VLOOKUP(K261, 'Alphabetical by species code'!A:B, 2, FALSE)</f>
        <v>Daucus pusillus</v>
      </c>
    </row>
    <row r="262" spans="1:12" x14ac:dyDescent="0.25">
      <c r="A262" s="6">
        <v>3</v>
      </c>
      <c r="B262" s="6">
        <v>2025</v>
      </c>
      <c r="C262" s="7">
        <v>45755</v>
      </c>
      <c r="D262" s="6" t="s">
        <v>54</v>
      </c>
      <c r="E262" s="6" t="s">
        <v>26</v>
      </c>
      <c r="F262" s="6">
        <v>3</v>
      </c>
      <c r="G262" s="6" t="s">
        <v>46</v>
      </c>
      <c r="H262" s="6">
        <v>2</v>
      </c>
      <c r="I262" s="6">
        <v>2</v>
      </c>
      <c r="J262" s="6">
        <v>0.5</v>
      </c>
      <c r="K262" s="6" t="s">
        <v>32</v>
      </c>
      <c r="L262" s="6" t="str">
        <f>VLOOKUP(K262, 'Alphabetical by species code'!A:B, 2, FALSE)</f>
        <v>Medicago polymorpha</v>
      </c>
    </row>
    <row r="263" spans="1:12" x14ac:dyDescent="0.25">
      <c r="A263" s="6">
        <v>3</v>
      </c>
      <c r="B263" s="6">
        <v>2025</v>
      </c>
      <c r="C263" s="7">
        <v>45755</v>
      </c>
      <c r="D263" s="6" t="s">
        <v>54</v>
      </c>
      <c r="E263" s="6" t="s">
        <v>26</v>
      </c>
      <c r="F263" s="6">
        <v>3</v>
      </c>
      <c r="G263" s="6" t="s">
        <v>46</v>
      </c>
      <c r="H263" s="6">
        <v>2</v>
      </c>
      <c r="I263" s="6">
        <v>3</v>
      </c>
      <c r="J263" s="6">
        <v>1</v>
      </c>
      <c r="K263" s="6" t="s">
        <v>41</v>
      </c>
      <c r="L263" s="6" t="str">
        <f>VLOOKUP(K263, 'Alphabetical by species code'!A:B, 2, FALSE)</f>
        <v>Stem</v>
      </c>
    </row>
    <row r="264" spans="1:12" x14ac:dyDescent="0.25">
      <c r="A264" s="6">
        <v>3</v>
      </c>
      <c r="B264" s="6">
        <v>2025</v>
      </c>
      <c r="C264" s="7">
        <v>45755</v>
      </c>
      <c r="D264" s="6" t="s">
        <v>54</v>
      </c>
      <c r="E264" s="6" t="s">
        <v>26</v>
      </c>
      <c r="F264" s="6">
        <v>3</v>
      </c>
      <c r="G264" s="6" t="s">
        <v>46</v>
      </c>
      <c r="H264" s="6">
        <v>2</v>
      </c>
      <c r="I264" s="6">
        <v>3</v>
      </c>
      <c r="J264" s="6">
        <v>1</v>
      </c>
      <c r="K264" s="6" t="s">
        <v>40</v>
      </c>
      <c r="L264" s="6" t="str">
        <f>VLOOKUP(K264, 'Alphabetical by species code'!A:B, 2, FALSE)</f>
        <v>Cylindropuntia prolifera</v>
      </c>
    </row>
    <row r="265" spans="1:12" x14ac:dyDescent="0.25">
      <c r="A265" s="6">
        <v>3</v>
      </c>
      <c r="B265" s="6">
        <v>2025</v>
      </c>
      <c r="C265" s="7">
        <v>45755</v>
      </c>
      <c r="D265" s="6" t="s">
        <v>54</v>
      </c>
      <c r="E265" s="6" t="s">
        <v>26</v>
      </c>
      <c r="F265" s="6">
        <v>3</v>
      </c>
      <c r="G265" s="6" t="s">
        <v>46</v>
      </c>
      <c r="H265" s="6">
        <v>2</v>
      </c>
      <c r="I265" s="6">
        <v>4</v>
      </c>
      <c r="J265" s="6">
        <v>1.5</v>
      </c>
      <c r="K265" s="6" t="s">
        <v>51</v>
      </c>
      <c r="L265" s="6" t="str">
        <f>VLOOKUP(K265, 'Alphabetical by species code'!A:B, 2, FALSE)</f>
        <v>Bareground</v>
      </c>
    </row>
    <row r="266" spans="1:12" x14ac:dyDescent="0.25">
      <c r="A266" s="6">
        <v>3</v>
      </c>
      <c r="B266" s="6">
        <v>2025</v>
      </c>
      <c r="C266" s="7">
        <v>45755</v>
      </c>
      <c r="D266" s="6" t="s">
        <v>54</v>
      </c>
      <c r="E266" s="6" t="s">
        <v>26</v>
      </c>
      <c r="F266" s="6">
        <v>3</v>
      </c>
      <c r="G266" s="6" t="s">
        <v>46</v>
      </c>
      <c r="H266" s="6">
        <v>2</v>
      </c>
      <c r="I266" s="6">
        <v>4</v>
      </c>
      <c r="J266" s="6">
        <v>1.5</v>
      </c>
      <c r="K266" s="6" t="s">
        <v>57</v>
      </c>
      <c r="L266" s="6" t="str">
        <f>VLOOKUP(K266, 'Alphabetical by species code'!A:B, 2, FALSE)</f>
        <v>Stipa pulchra</v>
      </c>
    </row>
    <row r="267" spans="1:12" x14ac:dyDescent="0.25">
      <c r="A267" s="6">
        <v>3</v>
      </c>
      <c r="B267" s="6">
        <v>2025</v>
      </c>
      <c r="C267" s="7">
        <v>45755</v>
      </c>
      <c r="D267" s="6" t="s">
        <v>54</v>
      </c>
      <c r="E267" s="6" t="s">
        <v>26</v>
      </c>
      <c r="F267" s="6">
        <v>3</v>
      </c>
      <c r="G267" s="6" t="s">
        <v>46</v>
      </c>
      <c r="H267" s="6">
        <v>2</v>
      </c>
      <c r="I267" s="6">
        <v>4</v>
      </c>
      <c r="J267" s="6">
        <v>1.5</v>
      </c>
      <c r="K267" s="6" t="s">
        <v>58</v>
      </c>
      <c r="L267" s="6" t="str">
        <f>VLOOKUP(K267, 'Alphabetical by species code'!A:B, 2, FALSE)</f>
        <v>Crassula connata</v>
      </c>
    </row>
    <row r="268" spans="1:12" x14ac:dyDescent="0.25">
      <c r="A268" s="6">
        <v>3</v>
      </c>
      <c r="B268" s="6">
        <v>2025</v>
      </c>
      <c r="C268" s="7">
        <v>45755</v>
      </c>
      <c r="D268" s="6" t="s">
        <v>54</v>
      </c>
      <c r="E268" s="6" t="s">
        <v>26</v>
      </c>
      <c r="F268" s="6">
        <v>3</v>
      </c>
      <c r="G268" s="6" t="s">
        <v>46</v>
      </c>
      <c r="H268" s="6">
        <v>2</v>
      </c>
      <c r="I268" s="6">
        <v>4</v>
      </c>
      <c r="J268" s="6">
        <v>1.5</v>
      </c>
      <c r="K268" s="6" t="s">
        <v>55</v>
      </c>
      <c r="L268" s="6" t="str">
        <f>VLOOKUP(K268, 'Alphabetical by species code'!A:B, 2, FALSE)</f>
        <v>Daucus pusillus</v>
      </c>
    </row>
    <row r="269" spans="1:12" x14ac:dyDescent="0.25">
      <c r="A269" s="6">
        <v>3</v>
      </c>
      <c r="B269" s="6">
        <v>2025</v>
      </c>
      <c r="C269" s="7">
        <v>45755</v>
      </c>
      <c r="D269" s="6" t="s">
        <v>54</v>
      </c>
      <c r="E269" s="6" t="s">
        <v>26</v>
      </c>
      <c r="F269" s="6">
        <v>3</v>
      </c>
      <c r="G269" s="6" t="s">
        <v>46</v>
      </c>
      <c r="H269" s="6">
        <v>2</v>
      </c>
      <c r="I269" s="6">
        <v>4</v>
      </c>
      <c r="J269" s="6">
        <v>1.5</v>
      </c>
      <c r="K269" s="6" t="s">
        <v>31</v>
      </c>
      <c r="L269" s="6" t="str">
        <f>VLOOKUP(K269, 'Alphabetical by species code'!A:B, 2, FALSE)</f>
        <v>Festuca myuros</v>
      </c>
    </row>
    <row r="270" spans="1:12" x14ac:dyDescent="0.25">
      <c r="A270" s="6">
        <v>3</v>
      </c>
      <c r="B270" s="6">
        <v>2025</v>
      </c>
      <c r="C270" s="7">
        <v>45755</v>
      </c>
      <c r="D270" s="6" t="s">
        <v>54</v>
      </c>
      <c r="E270" s="6" t="s">
        <v>26</v>
      </c>
      <c r="F270" s="6">
        <v>3</v>
      </c>
      <c r="G270" s="6" t="s">
        <v>46</v>
      </c>
      <c r="H270" s="6">
        <v>2</v>
      </c>
      <c r="I270" s="6">
        <v>5</v>
      </c>
      <c r="J270" s="6">
        <v>2.5</v>
      </c>
      <c r="K270" s="6" t="s">
        <v>51</v>
      </c>
      <c r="L270" s="6" t="str">
        <f>VLOOKUP(K270, 'Alphabetical by species code'!A:B, 2, FALSE)</f>
        <v>Bareground</v>
      </c>
    </row>
    <row r="271" spans="1:12" x14ac:dyDescent="0.25">
      <c r="A271" s="6">
        <v>3</v>
      </c>
      <c r="B271" s="6">
        <v>2025</v>
      </c>
      <c r="C271" s="7">
        <v>45755</v>
      </c>
      <c r="D271" s="6" t="s">
        <v>54</v>
      </c>
      <c r="E271" s="6" t="s">
        <v>26</v>
      </c>
      <c r="F271" s="6">
        <v>3</v>
      </c>
      <c r="G271" s="6" t="s">
        <v>46</v>
      </c>
      <c r="H271" s="6">
        <v>2</v>
      </c>
      <c r="I271" s="6">
        <v>5</v>
      </c>
      <c r="J271" s="6">
        <v>2.5</v>
      </c>
      <c r="K271" s="6" t="s">
        <v>31</v>
      </c>
      <c r="L271" s="6" t="str">
        <f>VLOOKUP(K271, 'Alphabetical by species code'!A:B, 2, FALSE)</f>
        <v>Festuca myuros</v>
      </c>
    </row>
    <row r="272" spans="1:12" x14ac:dyDescent="0.25">
      <c r="A272" s="6">
        <v>3</v>
      </c>
      <c r="B272" s="6">
        <v>2025</v>
      </c>
      <c r="C272" s="7">
        <v>45755</v>
      </c>
      <c r="D272" s="6" t="s">
        <v>54</v>
      </c>
      <c r="E272" s="6" t="s">
        <v>26</v>
      </c>
      <c r="F272" s="6">
        <v>3</v>
      </c>
      <c r="G272" s="6" t="s">
        <v>46</v>
      </c>
      <c r="H272" s="6">
        <v>2</v>
      </c>
      <c r="I272" s="6">
        <v>6</v>
      </c>
      <c r="J272" s="6">
        <v>3</v>
      </c>
      <c r="K272" s="6" t="s">
        <v>28</v>
      </c>
      <c r="L272" s="6" t="str">
        <f>VLOOKUP(K272, 'Alphabetical by species code'!A:B, 2, FALSE)</f>
        <v>Litter</v>
      </c>
    </row>
    <row r="273" spans="1:12" x14ac:dyDescent="0.25">
      <c r="A273" s="6">
        <v>3</v>
      </c>
      <c r="B273" s="6">
        <v>2025</v>
      </c>
      <c r="C273" s="7">
        <v>45755</v>
      </c>
      <c r="D273" s="6" t="s">
        <v>54</v>
      </c>
      <c r="E273" s="6" t="s">
        <v>26</v>
      </c>
      <c r="F273" s="6">
        <v>3</v>
      </c>
      <c r="G273" s="6" t="s">
        <v>46</v>
      </c>
      <c r="H273" s="6">
        <v>2</v>
      </c>
      <c r="I273" s="6">
        <v>6</v>
      </c>
      <c r="J273" s="6">
        <v>3</v>
      </c>
      <c r="K273" s="6" t="s">
        <v>58</v>
      </c>
      <c r="L273" s="6" t="str">
        <f>VLOOKUP(K273, 'Alphabetical by species code'!A:B, 2, FALSE)</f>
        <v>Crassula connata</v>
      </c>
    </row>
    <row r="274" spans="1:12" x14ac:dyDescent="0.25">
      <c r="A274" s="6">
        <v>3</v>
      </c>
      <c r="B274" s="6">
        <v>2025</v>
      </c>
      <c r="C274" s="7">
        <v>45755</v>
      </c>
      <c r="D274" s="6" t="s">
        <v>54</v>
      </c>
      <c r="E274" s="6" t="s">
        <v>26</v>
      </c>
      <c r="F274" s="6">
        <v>3</v>
      </c>
      <c r="G274" s="6" t="s">
        <v>46</v>
      </c>
      <c r="H274" s="6">
        <v>2</v>
      </c>
      <c r="I274" s="6">
        <v>6</v>
      </c>
      <c r="J274" s="6">
        <v>3</v>
      </c>
      <c r="K274" s="6" t="s">
        <v>31</v>
      </c>
      <c r="L274" s="6" t="str">
        <f>VLOOKUP(K274, 'Alphabetical by species code'!A:B, 2, FALSE)</f>
        <v>Festuca myuros</v>
      </c>
    </row>
    <row r="275" spans="1:12" x14ac:dyDescent="0.25">
      <c r="A275" s="6">
        <v>3</v>
      </c>
      <c r="B275" s="6">
        <v>2025</v>
      </c>
      <c r="C275" s="7">
        <v>45755</v>
      </c>
      <c r="D275" s="6" t="s">
        <v>54</v>
      </c>
      <c r="E275" s="6" t="s">
        <v>26</v>
      </c>
      <c r="F275" s="6">
        <v>3</v>
      </c>
      <c r="G275" s="6" t="s">
        <v>46</v>
      </c>
      <c r="H275" s="6">
        <v>2</v>
      </c>
      <c r="I275" s="6">
        <v>6</v>
      </c>
      <c r="J275" s="6">
        <v>3</v>
      </c>
      <c r="K275" s="6" t="s">
        <v>32</v>
      </c>
      <c r="L275" s="6" t="str">
        <f>VLOOKUP(K275, 'Alphabetical by species code'!A:B, 2, FALSE)</f>
        <v>Medicago polymorpha</v>
      </c>
    </row>
    <row r="276" spans="1:12" x14ac:dyDescent="0.25">
      <c r="A276" s="6">
        <v>3</v>
      </c>
      <c r="B276" s="6">
        <v>2025</v>
      </c>
      <c r="C276" s="7">
        <v>45755</v>
      </c>
      <c r="D276" s="6" t="s">
        <v>54</v>
      </c>
      <c r="E276" s="6" t="s">
        <v>26</v>
      </c>
      <c r="F276" s="6">
        <v>3</v>
      </c>
      <c r="G276" s="6" t="s">
        <v>46</v>
      </c>
      <c r="H276" s="6">
        <v>2</v>
      </c>
      <c r="I276" s="6">
        <v>6</v>
      </c>
      <c r="J276" s="6">
        <v>3</v>
      </c>
      <c r="K276" s="6" t="s">
        <v>29</v>
      </c>
      <c r="L276" s="6" t="str">
        <f>VLOOKUP(K276, 'Alphabetical by species code'!A:B, 2, FALSE)</f>
        <v>Opuntia littoralis</v>
      </c>
    </row>
    <row r="277" spans="1:12" x14ac:dyDescent="0.25">
      <c r="A277" s="6">
        <v>3</v>
      </c>
      <c r="B277" s="6">
        <v>2025</v>
      </c>
      <c r="C277" s="7">
        <v>45755</v>
      </c>
      <c r="D277" s="6" t="s">
        <v>54</v>
      </c>
      <c r="E277" s="6" t="s">
        <v>26</v>
      </c>
      <c r="F277" s="6">
        <v>3</v>
      </c>
      <c r="G277" s="6" t="s">
        <v>46</v>
      </c>
      <c r="H277" s="6">
        <v>2</v>
      </c>
      <c r="I277" s="6">
        <v>7</v>
      </c>
      <c r="J277" s="6">
        <v>3.5</v>
      </c>
      <c r="K277" s="6" t="s">
        <v>28</v>
      </c>
      <c r="L277" s="6" t="str">
        <f>VLOOKUP(K277, 'Alphabetical by species code'!A:B, 2, FALSE)</f>
        <v>Litter</v>
      </c>
    </row>
    <row r="278" spans="1:12" x14ac:dyDescent="0.25">
      <c r="A278" s="6">
        <v>3</v>
      </c>
      <c r="B278" s="6">
        <v>2025</v>
      </c>
      <c r="C278" s="7">
        <v>45755</v>
      </c>
      <c r="D278" s="6" t="s">
        <v>54</v>
      </c>
      <c r="E278" s="6" t="s">
        <v>26</v>
      </c>
      <c r="F278" s="6">
        <v>3</v>
      </c>
      <c r="G278" s="6" t="s">
        <v>46</v>
      </c>
      <c r="H278" s="6">
        <v>2</v>
      </c>
      <c r="I278" s="6">
        <v>7</v>
      </c>
      <c r="J278" s="6">
        <v>3.5</v>
      </c>
      <c r="K278" s="6" t="s">
        <v>31</v>
      </c>
      <c r="L278" s="6" t="str">
        <f>VLOOKUP(K278, 'Alphabetical by species code'!A:B, 2, FALSE)</f>
        <v>Festuca myuros</v>
      </c>
    </row>
    <row r="279" spans="1:12" x14ac:dyDescent="0.25">
      <c r="A279" s="6">
        <v>3</v>
      </c>
      <c r="B279" s="6">
        <v>2025</v>
      </c>
      <c r="C279" s="7">
        <v>45755</v>
      </c>
      <c r="D279" s="6" t="s">
        <v>54</v>
      </c>
      <c r="E279" s="6" t="s">
        <v>26</v>
      </c>
      <c r="F279" s="6">
        <v>3</v>
      </c>
      <c r="G279" s="6" t="s">
        <v>46</v>
      </c>
      <c r="H279" s="6">
        <v>2</v>
      </c>
      <c r="I279" s="6">
        <v>8</v>
      </c>
      <c r="J279" s="6">
        <v>4</v>
      </c>
      <c r="K279" s="6" t="s">
        <v>51</v>
      </c>
      <c r="L279" s="6" t="str">
        <f>VLOOKUP(K279, 'Alphabetical by species code'!A:B, 2, FALSE)</f>
        <v>Bareground</v>
      </c>
    </row>
    <row r="280" spans="1:12" x14ac:dyDescent="0.25">
      <c r="A280" s="6">
        <v>3</v>
      </c>
      <c r="B280" s="6">
        <v>2025</v>
      </c>
      <c r="C280" s="7">
        <v>45755</v>
      </c>
      <c r="D280" s="6" t="s">
        <v>54</v>
      </c>
      <c r="E280" s="6" t="s">
        <v>26</v>
      </c>
      <c r="F280" s="6">
        <v>3</v>
      </c>
      <c r="G280" s="6" t="s">
        <v>46</v>
      </c>
      <c r="H280" s="6">
        <v>2</v>
      </c>
      <c r="I280" s="6">
        <v>8</v>
      </c>
      <c r="J280" s="6">
        <v>4</v>
      </c>
      <c r="K280" s="6" t="s">
        <v>55</v>
      </c>
      <c r="L280" s="6" t="str">
        <f>VLOOKUP(K280, 'Alphabetical by species code'!A:B, 2, FALSE)</f>
        <v>Daucus pusillus</v>
      </c>
    </row>
    <row r="281" spans="1:12" x14ac:dyDescent="0.25">
      <c r="A281" s="6">
        <v>3</v>
      </c>
      <c r="B281" s="6">
        <v>2025</v>
      </c>
      <c r="C281" s="7">
        <v>45755</v>
      </c>
      <c r="D281" s="6" t="s">
        <v>54</v>
      </c>
      <c r="E281" s="6" t="s">
        <v>26</v>
      </c>
      <c r="F281" s="6">
        <v>3</v>
      </c>
      <c r="G281" s="6" t="s">
        <v>46</v>
      </c>
      <c r="H281" s="6">
        <v>2</v>
      </c>
      <c r="I281" s="6">
        <v>8</v>
      </c>
      <c r="J281" s="6">
        <v>4</v>
      </c>
      <c r="K281" s="6" t="s">
        <v>56</v>
      </c>
      <c r="L281" s="6" t="str">
        <f>VLOOKUP(K281, 'Alphabetical by species code'!A:B, 2, FALSE)</f>
        <v>Grindelia camporum</v>
      </c>
    </row>
    <row r="282" spans="1:12" x14ac:dyDescent="0.25">
      <c r="A282" s="6">
        <v>3</v>
      </c>
      <c r="B282" s="6">
        <v>2025</v>
      </c>
      <c r="C282" s="7">
        <v>45755</v>
      </c>
      <c r="D282" s="6" t="s">
        <v>54</v>
      </c>
      <c r="E282" s="6" t="s">
        <v>26</v>
      </c>
      <c r="F282" s="6">
        <v>3</v>
      </c>
      <c r="G282" s="6" t="s">
        <v>46</v>
      </c>
      <c r="H282" s="6">
        <v>2</v>
      </c>
      <c r="I282" s="6">
        <v>9</v>
      </c>
      <c r="J282" s="6">
        <v>4.5</v>
      </c>
      <c r="K282" s="6" t="s">
        <v>28</v>
      </c>
      <c r="L282" s="6" t="str">
        <f>VLOOKUP(K282, 'Alphabetical by species code'!A:B, 2, FALSE)</f>
        <v>Litter</v>
      </c>
    </row>
    <row r="283" spans="1:12" x14ac:dyDescent="0.25">
      <c r="A283" s="6">
        <v>3</v>
      </c>
      <c r="B283" s="6">
        <v>2025</v>
      </c>
      <c r="C283" s="7">
        <v>45755</v>
      </c>
      <c r="D283" s="6" t="s">
        <v>54</v>
      </c>
      <c r="E283" s="6" t="s">
        <v>26</v>
      </c>
      <c r="F283" s="6">
        <v>3</v>
      </c>
      <c r="G283" s="6" t="s">
        <v>46</v>
      </c>
      <c r="H283" s="6">
        <v>2</v>
      </c>
      <c r="I283" s="6">
        <v>9</v>
      </c>
      <c r="J283" s="6">
        <v>4.5</v>
      </c>
      <c r="K283" s="6" t="s">
        <v>59</v>
      </c>
      <c r="L283" s="6" t="str">
        <f>VLOOKUP(K283, 'Alphabetical by species code'!A:B, 2, FALSE)</f>
        <v>Cryptantha micromeres</v>
      </c>
    </row>
    <row r="284" spans="1:12" x14ac:dyDescent="0.25">
      <c r="A284" s="6">
        <v>3</v>
      </c>
      <c r="B284" s="6">
        <v>2025</v>
      </c>
      <c r="C284" s="7">
        <v>45755</v>
      </c>
      <c r="D284" s="6" t="s">
        <v>54</v>
      </c>
      <c r="E284" s="6" t="s">
        <v>26</v>
      </c>
      <c r="F284" s="6">
        <v>3</v>
      </c>
      <c r="G284" s="6" t="s">
        <v>46</v>
      </c>
      <c r="H284" s="6">
        <v>2</v>
      </c>
      <c r="I284" s="6">
        <v>9</v>
      </c>
      <c r="J284" s="6">
        <v>4.5</v>
      </c>
      <c r="K284" s="6" t="s">
        <v>35</v>
      </c>
      <c r="L284" s="6" t="str">
        <f>VLOOKUP(K284, 'Alphabetical by species code'!A:B, 2, FALSE)</f>
        <v>Deinandra fasciculata</v>
      </c>
    </row>
    <row r="285" spans="1:12" x14ac:dyDescent="0.25">
      <c r="A285" s="6">
        <v>3</v>
      </c>
      <c r="B285" s="6">
        <v>2025</v>
      </c>
      <c r="C285" s="7">
        <v>45755</v>
      </c>
      <c r="D285" s="6" t="s">
        <v>54</v>
      </c>
      <c r="E285" s="6" t="s">
        <v>26</v>
      </c>
      <c r="F285" s="6">
        <v>3</v>
      </c>
      <c r="G285" s="6" t="s">
        <v>46</v>
      </c>
      <c r="H285" s="6">
        <v>2</v>
      </c>
      <c r="I285" s="6">
        <v>9</v>
      </c>
      <c r="J285" s="6">
        <v>4.5</v>
      </c>
      <c r="K285" s="6" t="s">
        <v>31</v>
      </c>
      <c r="L285" s="6" t="str">
        <f>VLOOKUP(K285, 'Alphabetical by species code'!A:B, 2, FALSE)</f>
        <v>Festuca myuros</v>
      </c>
    </row>
    <row r="286" spans="1:12" x14ac:dyDescent="0.25">
      <c r="A286" s="6">
        <v>3</v>
      </c>
      <c r="B286" s="6">
        <v>2025</v>
      </c>
      <c r="C286" s="7">
        <v>45755</v>
      </c>
      <c r="D286" s="6" t="s">
        <v>54</v>
      </c>
      <c r="E286" s="6" t="s">
        <v>26</v>
      </c>
      <c r="F286" s="6">
        <v>3</v>
      </c>
      <c r="G286" s="6" t="s">
        <v>46</v>
      </c>
      <c r="H286" s="6">
        <v>2</v>
      </c>
      <c r="I286" s="6">
        <v>9</v>
      </c>
      <c r="J286" s="6">
        <v>4.5</v>
      </c>
      <c r="K286" s="6" t="s">
        <v>58</v>
      </c>
      <c r="L286" s="6" t="str">
        <f>VLOOKUP(K286, 'Alphabetical by species code'!A:B, 2, FALSE)</f>
        <v>Crassula connata</v>
      </c>
    </row>
    <row r="287" spans="1:12" x14ac:dyDescent="0.25">
      <c r="A287" s="6">
        <v>3</v>
      </c>
      <c r="B287" s="6">
        <v>2025</v>
      </c>
      <c r="C287" s="7">
        <v>45755</v>
      </c>
      <c r="D287" s="6" t="s">
        <v>54</v>
      </c>
      <c r="E287" s="6" t="s">
        <v>26</v>
      </c>
      <c r="F287" s="6">
        <v>3</v>
      </c>
      <c r="G287" s="6" t="s">
        <v>46</v>
      </c>
      <c r="H287" s="6">
        <v>2</v>
      </c>
      <c r="I287" s="6">
        <v>10</v>
      </c>
      <c r="J287" s="6">
        <v>5</v>
      </c>
      <c r="K287" s="6" t="s">
        <v>28</v>
      </c>
      <c r="L287" s="6" t="str">
        <f>VLOOKUP(K287, 'Alphabetical by species code'!A:B, 2, FALSE)</f>
        <v>Litter</v>
      </c>
    </row>
    <row r="288" spans="1:12" x14ac:dyDescent="0.25">
      <c r="A288" s="6">
        <v>3</v>
      </c>
      <c r="B288" s="6">
        <v>2025</v>
      </c>
      <c r="C288" s="7">
        <v>45755</v>
      </c>
      <c r="D288" s="6" t="s">
        <v>54</v>
      </c>
      <c r="E288" s="6" t="s">
        <v>26</v>
      </c>
      <c r="F288" s="6">
        <v>3</v>
      </c>
      <c r="G288" s="6" t="s">
        <v>46</v>
      </c>
      <c r="H288" s="6">
        <v>2</v>
      </c>
      <c r="I288" s="6">
        <v>10</v>
      </c>
      <c r="J288" s="6">
        <v>5</v>
      </c>
      <c r="K288" s="6" t="s">
        <v>58</v>
      </c>
      <c r="L288" s="6" t="str">
        <f>VLOOKUP(K288, 'Alphabetical by species code'!A:B, 2, FALSE)</f>
        <v>Crassula connata</v>
      </c>
    </row>
    <row r="289" spans="1:12" x14ac:dyDescent="0.25">
      <c r="A289" s="6">
        <v>3</v>
      </c>
      <c r="B289" s="6">
        <v>2025</v>
      </c>
      <c r="C289" s="7">
        <v>45755</v>
      </c>
      <c r="D289" s="6" t="s">
        <v>54</v>
      </c>
      <c r="E289" s="6" t="s">
        <v>26</v>
      </c>
      <c r="F289" s="6">
        <v>3</v>
      </c>
      <c r="G289" s="6" t="s">
        <v>46</v>
      </c>
      <c r="H289" s="6">
        <v>2</v>
      </c>
      <c r="I289" s="6">
        <v>10</v>
      </c>
      <c r="J289" s="6">
        <v>5</v>
      </c>
      <c r="K289" s="6" t="s">
        <v>34</v>
      </c>
      <c r="L289" s="6" t="str">
        <f>VLOOKUP(K289, 'Alphabetical by species code'!A:B, 2, FALSE)</f>
        <v>Erodium cicutarium</v>
      </c>
    </row>
    <row r="290" spans="1:12" x14ac:dyDescent="0.25">
      <c r="A290" s="6">
        <v>3</v>
      </c>
      <c r="B290" s="6">
        <v>2025</v>
      </c>
      <c r="C290" s="7">
        <v>45755</v>
      </c>
      <c r="D290" s="6" t="s">
        <v>54</v>
      </c>
      <c r="E290" s="6" t="s">
        <v>26</v>
      </c>
      <c r="F290" s="6">
        <v>3</v>
      </c>
      <c r="G290" s="6" t="s">
        <v>46</v>
      </c>
      <c r="H290" s="6">
        <v>2</v>
      </c>
      <c r="I290" s="6">
        <v>10</v>
      </c>
      <c r="J290" s="6">
        <v>5</v>
      </c>
      <c r="K290" s="6" t="s">
        <v>55</v>
      </c>
      <c r="L290" s="6" t="str">
        <f>VLOOKUP(K290, 'Alphabetical by species code'!A:B, 2, FALSE)</f>
        <v>Daucus pusillus</v>
      </c>
    </row>
    <row r="291" spans="1:12" x14ac:dyDescent="0.25">
      <c r="A291" s="6">
        <v>3</v>
      </c>
      <c r="B291" s="6">
        <v>2025</v>
      </c>
      <c r="C291" s="7">
        <v>45755</v>
      </c>
      <c r="D291" s="6" t="s">
        <v>54</v>
      </c>
      <c r="E291" s="6" t="s">
        <v>26</v>
      </c>
      <c r="F291" s="6">
        <v>3</v>
      </c>
      <c r="G291" s="6" t="s">
        <v>46</v>
      </c>
      <c r="H291" s="6">
        <v>2</v>
      </c>
      <c r="I291" s="6">
        <v>10</v>
      </c>
      <c r="J291" s="6">
        <v>5</v>
      </c>
      <c r="K291" s="6" t="s">
        <v>35</v>
      </c>
      <c r="L291" s="6" t="str">
        <f>VLOOKUP(K291, 'Alphabetical by species code'!A:B, 2, FALSE)</f>
        <v>Deinandra fasciculata</v>
      </c>
    </row>
    <row r="292" spans="1:12" x14ac:dyDescent="0.25">
      <c r="A292" s="6">
        <v>3</v>
      </c>
      <c r="B292" s="6">
        <v>2025</v>
      </c>
      <c r="C292" s="7">
        <v>45755</v>
      </c>
      <c r="D292" s="6" t="s">
        <v>54</v>
      </c>
      <c r="E292" s="6" t="s">
        <v>26</v>
      </c>
      <c r="F292" s="6">
        <v>3</v>
      </c>
      <c r="G292" s="6" t="s">
        <v>46</v>
      </c>
      <c r="H292" s="6">
        <v>2</v>
      </c>
      <c r="I292" s="6">
        <v>11</v>
      </c>
      <c r="J292" s="6">
        <v>5.5</v>
      </c>
      <c r="K292" s="6" t="s">
        <v>41</v>
      </c>
      <c r="L292" s="6" t="str">
        <f>VLOOKUP(K292, 'Alphabetical by species code'!A:B, 2, FALSE)</f>
        <v>Stem</v>
      </c>
    </row>
    <row r="293" spans="1:12" x14ac:dyDescent="0.25">
      <c r="A293" s="6">
        <v>3</v>
      </c>
      <c r="B293" s="6">
        <v>2025</v>
      </c>
      <c r="C293" s="7">
        <v>45755</v>
      </c>
      <c r="D293" s="6" t="s">
        <v>54</v>
      </c>
      <c r="E293" s="6" t="s">
        <v>26</v>
      </c>
      <c r="F293" s="6">
        <v>3</v>
      </c>
      <c r="G293" s="6" t="s">
        <v>46</v>
      </c>
      <c r="H293" s="6">
        <v>2</v>
      </c>
      <c r="I293" s="6">
        <v>11</v>
      </c>
      <c r="J293" s="6">
        <v>5.5</v>
      </c>
      <c r="K293" s="6" t="s">
        <v>34</v>
      </c>
      <c r="L293" s="6" t="str">
        <f>VLOOKUP(K293, 'Alphabetical by species code'!A:B, 2, FALSE)</f>
        <v>Erodium cicutarium</v>
      </c>
    </row>
    <row r="294" spans="1:12" x14ac:dyDescent="0.25">
      <c r="A294" s="6">
        <v>3</v>
      </c>
      <c r="B294" s="6">
        <v>2025</v>
      </c>
      <c r="C294" s="7">
        <v>45755</v>
      </c>
      <c r="D294" s="6" t="s">
        <v>54</v>
      </c>
      <c r="E294" s="6" t="s">
        <v>26</v>
      </c>
      <c r="F294" s="6">
        <v>3</v>
      </c>
      <c r="G294" s="6" t="s">
        <v>46</v>
      </c>
      <c r="H294" s="6">
        <v>2</v>
      </c>
      <c r="I294" s="6">
        <v>11</v>
      </c>
      <c r="J294" s="6">
        <v>5.5</v>
      </c>
      <c r="K294" s="6" t="s">
        <v>55</v>
      </c>
      <c r="L294" s="6" t="str">
        <f>VLOOKUP(K294, 'Alphabetical by species code'!A:B, 2, FALSE)</f>
        <v>Daucus pusillus</v>
      </c>
    </row>
    <row r="295" spans="1:12" x14ac:dyDescent="0.25">
      <c r="A295" s="6">
        <v>3</v>
      </c>
      <c r="B295" s="6">
        <v>2025</v>
      </c>
      <c r="C295" s="7">
        <v>45755</v>
      </c>
      <c r="D295" s="6" t="s">
        <v>54</v>
      </c>
      <c r="E295" s="6" t="s">
        <v>26</v>
      </c>
      <c r="F295" s="6">
        <v>3</v>
      </c>
      <c r="G295" s="6" t="s">
        <v>46</v>
      </c>
      <c r="H295" s="6">
        <v>2</v>
      </c>
      <c r="I295" s="6">
        <v>11</v>
      </c>
      <c r="J295" s="6">
        <v>5.5</v>
      </c>
      <c r="K295" s="6" t="s">
        <v>35</v>
      </c>
      <c r="L295" s="6" t="str">
        <f>VLOOKUP(K295, 'Alphabetical by species code'!A:B, 2, FALSE)</f>
        <v>Deinandra fasciculata</v>
      </c>
    </row>
    <row r="296" spans="1:12" x14ac:dyDescent="0.25">
      <c r="A296" s="6">
        <v>3</v>
      </c>
      <c r="B296" s="6">
        <v>2025</v>
      </c>
      <c r="C296" s="7">
        <v>45755</v>
      </c>
      <c r="D296" s="6" t="s">
        <v>54</v>
      </c>
      <c r="E296" s="6" t="s">
        <v>26</v>
      </c>
      <c r="F296" s="6">
        <v>3</v>
      </c>
      <c r="G296" s="6" t="s">
        <v>46</v>
      </c>
      <c r="H296" s="6">
        <v>2</v>
      </c>
      <c r="I296" s="6">
        <v>11</v>
      </c>
      <c r="J296" s="6">
        <v>5.5</v>
      </c>
      <c r="K296" s="6" t="s">
        <v>32</v>
      </c>
      <c r="L296" s="6" t="str">
        <f>VLOOKUP(K296, 'Alphabetical by species code'!A:B, 2, FALSE)</f>
        <v>Medicago polymorpha</v>
      </c>
    </row>
    <row r="297" spans="1:12" x14ac:dyDescent="0.25">
      <c r="A297" s="6">
        <v>3</v>
      </c>
      <c r="B297" s="6">
        <v>2025</v>
      </c>
      <c r="C297" s="7">
        <v>45755</v>
      </c>
      <c r="D297" s="6" t="s">
        <v>54</v>
      </c>
      <c r="E297" s="6" t="s">
        <v>26</v>
      </c>
      <c r="F297" s="6">
        <v>3</v>
      </c>
      <c r="G297" s="6" t="s">
        <v>46</v>
      </c>
      <c r="H297" s="6">
        <v>2</v>
      </c>
      <c r="I297" s="6">
        <v>12</v>
      </c>
      <c r="J297" s="6">
        <v>6</v>
      </c>
      <c r="K297" s="6" t="s">
        <v>28</v>
      </c>
      <c r="L297" s="6" t="str">
        <f>VLOOKUP(K297, 'Alphabetical by species code'!A:B, 2, FALSE)</f>
        <v>Litter</v>
      </c>
    </row>
    <row r="298" spans="1:12" x14ac:dyDescent="0.25">
      <c r="A298" s="6">
        <v>3</v>
      </c>
      <c r="B298" s="6">
        <v>2025</v>
      </c>
      <c r="C298" s="7">
        <v>45755</v>
      </c>
      <c r="D298" s="6" t="s">
        <v>54</v>
      </c>
      <c r="E298" s="6" t="s">
        <v>26</v>
      </c>
      <c r="F298" s="6">
        <v>3</v>
      </c>
      <c r="G298" s="6" t="s">
        <v>46</v>
      </c>
      <c r="H298" s="6">
        <v>2</v>
      </c>
      <c r="I298" s="6">
        <v>12</v>
      </c>
      <c r="J298" s="6">
        <v>6</v>
      </c>
      <c r="K298" s="6" t="s">
        <v>58</v>
      </c>
      <c r="L298" s="6" t="str">
        <f>VLOOKUP(K298, 'Alphabetical by species code'!A:B, 2, FALSE)</f>
        <v>Crassula connata</v>
      </c>
    </row>
    <row r="299" spans="1:12" x14ac:dyDescent="0.25">
      <c r="A299" s="6">
        <v>3</v>
      </c>
      <c r="B299" s="6">
        <v>2025</v>
      </c>
      <c r="C299" s="7">
        <v>45755</v>
      </c>
      <c r="D299" s="6" t="s">
        <v>54</v>
      </c>
      <c r="E299" s="6" t="s">
        <v>26</v>
      </c>
      <c r="F299" s="6">
        <v>3</v>
      </c>
      <c r="G299" s="6" t="s">
        <v>46</v>
      </c>
      <c r="H299" s="6">
        <v>2</v>
      </c>
      <c r="I299" s="6">
        <v>12</v>
      </c>
      <c r="J299" s="6">
        <v>6</v>
      </c>
      <c r="K299" s="6" t="s">
        <v>35</v>
      </c>
      <c r="L299" s="6" t="str">
        <f>VLOOKUP(K299, 'Alphabetical by species code'!A:B, 2, FALSE)</f>
        <v>Deinandra fasciculata</v>
      </c>
    </row>
    <row r="300" spans="1:12" x14ac:dyDescent="0.25">
      <c r="A300" s="6">
        <v>3</v>
      </c>
      <c r="B300" s="6">
        <v>2025</v>
      </c>
      <c r="C300" s="7">
        <v>45755</v>
      </c>
      <c r="D300" s="6" t="s">
        <v>54</v>
      </c>
      <c r="E300" s="6" t="s">
        <v>26</v>
      </c>
      <c r="F300" s="6">
        <v>3</v>
      </c>
      <c r="G300" s="6" t="s">
        <v>46</v>
      </c>
      <c r="H300" s="6">
        <v>2</v>
      </c>
      <c r="I300" s="6">
        <v>12</v>
      </c>
      <c r="J300" s="6">
        <v>6</v>
      </c>
      <c r="K300" s="6" t="s">
        <v>31</v>
      </c>
      <c r="L300" s="6" t="str">
        <f>VLOOKUP(K300, 'Alphabetical by species code'!A:B, 2, FALSE)</f>
        <v>Festuca myuros</v>
      </c>
    </row>
    <row r="301" spans="1:12" x14ac:dyDescent="0.25">
      <c r="A301" s="6">
        <v>3</v>
      </c>
      <c r="B301" s="6">
        <v>2025</v>
      </c>
      <c r="C301" s="7">
        <v>45755</v>
      </c>
      <c r="D301" s="6" t="s">
        <v>54</v>
      </c>
      <c r="E301" s="6" t="s">
        <v>26</v>
      </c>
      <c r="F301" s="6">
        <v>3</v>
      </c>
      <c r="G301" s="6" t="s">
        <v>46</v>
      </c>
      <c r="H301" s="6">
        <v>2</v>
      </c>
      <c r="I301" s="6">
        <v>13</v>
      </c>
      <c r="J301" s="6">
        <v>6.5</v>
      </c>
      <c r="K301" s="6" t="s">
        <v>51</v>
      </c>
      <c r="L301" s="6" t="str">
        <f>VLOOKUP(K301, 'Alphabetical by species code'!A:B, 2, FALSE)</f>
        <v>Bareground</v>
      </c>
    </row>
    <row r="302" spans="1:12" x14ac:dyDescent="0.25">
      <c r="A302" s="6">
        <v>3</v>
      </c>
      <c r="B302" s="6">
        <v>2025</v>
      </c>
      <c r="C302" s="7">
        <v>45755</v>
      </c>
      <c r="D302" s="6" t="s">
        <v>54</v>
      </c>
      <c r="E302" s="6" t="s">
        <v>26</v>
      </c>
      <c r="F302" s="6">
        <v>3</v>
      </c>
      <c r="G302" s="6" t="s">
        <v>46</v>
      </c>
      <c r="H302" s="6">
        <v>2</v>
      </c>
      <c r="I302" s="6">
        <v>13</v>
      </c>
      <c r="J302" s="6">
        <v>6.5</v>
      </c>
      <c r="K302" s="6" t="s">
        <v>31</v>
      </c>
      <c r="L302" s="6" t="str">
        <f>VLOOKUP(K302, 'Alphabetical by species code'!A:B, 2, FALSE)</f>
        <v>Festuca myuros</v>
      </c>
    </row>
    <row r="303" spans="1:12" x14ac:dyDescent="0.25">
      <c r="A303" s="6">
        <v>3</v>
      </c>
      <c r="B303" s="6">
        <v>2025</v>
      </c>
      <c r="C303" s="7">
        <v>45755</v>
      </c>
      <c r="D303" s="6" t="s">
        <v>54</v>
      </c>
      <c r="E303" s="6" t="s">
        <v>26</v>
      </c>
      <c r="F303" s="6">
        <v>3</v>
      </c>
      <c r="G303" s="6" t="s">
        <v>46</v>
      </c>
      <c r="H303" s="6">
        <v>2</v>
      </c>
      <c r="I303" s="6">
        <v>14</v>
      </c>
      <c r="J303" s="6">
        <v>7</v>
      </c>
      <c r="K303" s="6" t="s">
        <v>41</v>
      </c>
      <c r="L303" s="6" t="str">
        <f>VLOOKUP(K303, 'Alphabetical by species code'!A:B, 2, FALSE)</f>
        <v>Stem</v>
      </c>
    </row>
    <row r="304" spans="1:12" x14ac:dyDescent="0.25">
      <c r="A304" s="6">
        <v>3</v>
      </c>
      <c r="B304" s="6">
        <v>2025</v>
      </c>
      <c r="C304" s="7">
        <v>45755</v>
      </c>
      <c r="D304" s="6" t="s">
        <v>54</v>
      </c>
      <c r="E304" s="6" t="s">
        <v>26</v>
      </c>
      <c r="F304" s="6">
        <v>3</v>
      </c>
      <c r="G304" s="6" t="s">
        <v>46</v>
      </c>
      <c r="H304" s="6">
        <v>2</v>
      </c>
      <c r="I304" s="6">
        <v>14</v>
      </c>
      <c r="J304" s="6">
        <v>7</v>
      </c>
      <c r="K304" s="6" t="s">
        <v>29</v>
      </c>
      <c r="L304" s="6" t="str">
        <f>VLOOKUP(K304, 'Alphabetical by species code'!A:B, 2, FALSE)</f>
        <v>Opuntia littoralis</v>
      </c>
    </row>
    <row r="305" spans="1:12" x14ac:dyDescent="0.25">
      <c r="A305" s="6">
        <v>3</v>
      </c>
      <c r="B305" s="6">
        <v>2025</v>
      </c>
      <c r="C305" s="7">
        <v>45755</v>
      </c>
      <c r="D305" s="6" t="s">
        <v>54</v>
      </c>
      <c r="E305" s="6" t="s">
        <v>26</v>
      </c>
      <c r="F305" s="6">
        <v>3</v>
      </c>
      <c r="G305" s="6" t="s">
        <v>46</v>
      </c>
      <c r="H305" s="6">
        <v>2</v>
      </c>
      <c r="I305" s="6">
        <v>15</v>
      </c>
      <c r="J305" s="6">
        <v>7.5</v>
      </c>
      <c r="K305" s="6" t="s">
        <v>60</v>
      </c>
      <c r="L305" s="6" t="str">
        <f>VLOOKUP(K305, 'Alphabetical by species code'!A:B, 2, FALSE)</f>
        <v>Moss</v>
      </c>
    </row>
    <row r="306" spans="1:12" x14ac:dyDescent="0.25">
      <c r="A306" s="6">
        <v>3</v>
      </c>
      <c r="B306" s="6">
        <v>2025</v>
      </c>
      <c r="C306" s="7">
        <v>45755</v>
      </c>
      <c r="D306" s="6" t="s">
        <v>54</v>
      </c>
      <c r="E306" s="6" t="s">
        <v>26</v>
      </c>
      <c r="F306" s="6">
        <v>3</v>
      </c>
      <c r="G306" s="6" t="s">
        <v>46</v>
      </c>
      <c r="H306" s="6">
        <v>2</v>
      </c>
      <c r="I306" s="6">
        <v>15</v>
      </c>
      <c r="J306" s="6">
        <v>7.5</v>
      </c>
      <c r="K306" s="6" t="s">
        <v>50</v>
      </c>
      <c r="L306" s="6" t="str">
        <f>VLOOKUP(K306, 'Alphabetical by species code'!A:B, 2, FALSE)</f>
        <v>Crypantha maritima</v>
      </c>
    </row>
    <row r="307" spans="1:12" x14ac:dyDescent="0.25">
      <c r="A307" s="6">
        <v>3</v>
      </c>
      <c r="B307" s="6">
        <v>2025</v>
      </c>
      <c r="C307" s="7">
        <v>45755</v>
      </c>
      <c r="D307" s="6" t="s">
        <v>54</v>
      </c>
      <c r="E307" s="6" t="s">
        <v>26</v>
      </c>
      <c r="F307" s="6">
        <v>3</v>
      </c>
      <c r="G307" s="6" t="s">
        <v>46</v>
      </c>
      <c r="H307" s="6">
        <v>2</v>
      </c>
      <c r="I307" s="6">
        <v>15</v>
      </c>
      <c r="J307" s="6">
        <v>7.5</v>
      </c>
      <c r="K307" s="6" t="s">
        <v>55</v>
      </c>
      <c r="L307" s="6" t="str">
        <f>VLOOKUP(K307, 'Alphabetical by species code'!A:B, 2, FALSE)</f>
        <v>Daucus pusillus</v>
      </c>
    </row>
    <row r="308" spans="1:12" x14ac:dyDescent="0.25">
      <c r="A308" s="6">
        <v>4</v>
      </c>
      <c r="B308" s="6">
        <v>2025</v>
      </c>
      <c r="C308" s="7">
        <v>45755</v>
      </c>
      <c r="D308" s="6" t="s">
        <v>54</v>
      </c>
      <c r="E308" s="6" t="s">
        <v>26</v>
      </c>
      <c r="F308" s="6">
        <v>3</v>
      </c>
      <c r="G308" s="6" t="s">
        <v>27</v>
      </c>
      <c r="H308" s="6">
        <v>1</v>
      </c>
      <c r="I308" s="6">
        <v>1</v>
      </c>
      <c r="J308" s="6">
        <v>0</v>
      </c>
      <c r="K308" s="6" t="s">
        <v>51</v>
      </c>
      <c r="L308" s="6" t="str">
        <f>VLOOKUP(K308, 'Alphabetical by species code'!A:B, 2, FALSE)</f>
        <v>Bareground</v>
      </c>
    </row>
    <row r="309" spans="1:12" x14ac:dyDescent="0.25">
      <c r="A309" s="6">
        <v>4</v>
      </c>
      <c r="B309" s="6">
        <v>2025</v>
      </c>
      <c r="C309" s="7">
        <v>45755</v>
      </c>
      <c r="D309" s="6" t="s">
        <v>54</v>
      </c>
      <c r="E309" s="6" t="s">
        <v>26</v>
      </c>
      <c r="F309" s="6">
        <v>3</v>
      </c>
      <c r="G309" s="6" t="s">
        <v>27</v>
      </c>
      <c r="H309" s="6">
        <v>1</v>
      </c>
      <c r="I309" s="6">
        <v>1</v>
      </c>
      <c r="J309" s="6">
        <v>0</v>
      </c>
      <c r="K309" s="6" t="s">
        <v>49</v>
      </c>
      <c r="L309" s="6" t="str">
        <f>VLOOKUP(K309, 'Alphabetical by species code'!A:B, 2, FALSE)</f>
        <v>Anagallis arvensis</v>
      </c>
    </row>
    <row r="310" spans="1:12" x14ac:dyDescent="0.25">
      <c r="A310" s="6">
        <v>4</v>
      </c>
      <c r="B310" s="6">
        <v>2025</v>
      </c>
      <c r="C310" s="7">
        <v>45755</v>
      </c>
      <c r="D310" s="6" t="s">
        <v>54</v>
      </c>
      <c r="E310" s="6" t="s">
        <v>26</v>
      </c>
      <c r="F310" s="6">
        <v>3</v>
      </c>
      <c r="G310" s="6" t="s">
        <v>27</v>
      </c>
      <c r="H310" s="6">
        <v>1</v>
      </c>
      <c r="I310" s="6">
        <v>1</v>
      </c>
      <c r="J310" s="6">
        <v>0</v>
      </c>
      <c r="K310" s="6" t="s">
        <v>29</v>
      </c>
      <c r="L310" s="6" t="str">
        <f>VLOOKUP(K310, 'Alphabetical by species code'!A:B, 2, FALSE)</f>
        <v>Opuntia littoralis</v>
      </c>
    </row>
    <row r="311" spans="1:12" x14ac:dyDescent="0.25">
      <c r="A311" s="6">
        <v>4</v>
      </c>
      <c r="B311" s="6">
        <v>2025</v>
      </c>
      <c r="C311" s="7">
        <v>45755</v>
      </c>
      <c r="D311" s="6" t="s">
        <v>54</v>
      </c>
      <c r="E311" s="6" t="s">
        <v>26</v>
      </c>
      <c r="F311" s="6">
        <v>3</v>
      </c>
      <c r="G311" s="6" t="s">
        <v>27</v>
      </c>
      <c r="H311" s="6">
        <v>1</v>
      </c>
      <c r="I311" s="6">
        <v>1</v>
      </c>
      <c r="J311" s="6">
        <v>0</v>
      </c>
      <c r="K311" s="6" t="s">
        <v>37</v>
      </c>
      <c r="L311" s="6" t="str">
        <f>VLOOKUP(K311, 'Alphabetical by species code'!A:B, 2, FALSE)</f>
        <v>Sonchus oleraceus</v>
      </c>
    </row>
    <row r="312" spans="1:12" x14ac:dyDescent="0.25">
      <c r="A312" s="6">
        <v>4</v>
      </c>
      <c r="B312" s="6">
        <v>2025</v>
      </c>
      <c r="C312" s="7">
        <v>45755</v>
      </c>
      <c r="D312" s="6" t="s">
        <v>54</v>
      </c>
      <c r="E312" s="6" t="s">
        <v>26</v>
      </c>
      <c r="F312" s="6">
        <v>3</v>
      </c>
      <c r="G312" s="6" t="s">
        <v>27</v>
      </c>
      <c r="H312" s="6">
        <v>1</v>
      </c>
      <c r="I312" s="6">
        <v>1</v>
      </c>
      <c r="J312" s="6">
        <v>0</v>
      </c>
      <c r="K312" s="6" t="s">
        <v>35</v>
      </c>
      <c r="L312" s="6" t="str">
        <f>VLOOKUP(K312, 'Alphabetical by species code'!A:B, 2, FALSE)</f>
        <v>Deinandra fasciculata</v>
      </c>
    </row>
    <row r="313" spans="1:12" x14ac:dyDescent="0.25">
      <c r="A313" s="6">
        <v>4</v>
      </c>
      <c r="B313" s="6">
        <v>2025</v>
      </c>
      <c r="C313" s="7">
        <v>45755</v>
      </c>
      <c r="D313" s="6" t="s">
        <v>54</v>
      </c>
      <c r="E313" s="6" t="s">
        <v>26</v>
      </c>
      <c r="F313" s="6">
        <v>3</v>
      </c>
      <c r="G313" s="6" t="s">
        <v>27</v>
      </c>
      <c r="H313" s="6">
        <v>1</v>
      </c>
      <c r="I313" s="6">
        <v>2</v>
      </c>
      <c r="J313" s="6">
        <v>0.5</v>
      </c>
      <c r="K313" s="6" t="s">
        <v>28</v>
      </c>
      <c r="L313" s="6" t="str">
        <f>VLOOKUP(K313, 'Alphabetical by species code'!A:B, 2, FALSE)</f>
        <v>Litter</v>
      </c>
    </row>
    <row r="314" spans="1:12" x14ac:dyDescent="0.25">
      <c r="A314" s="6">
        <v>4</v>
      </c>
      <c r="B314" s="6">
        <v>2025</v>
      </c>
      <c r="C314" s="7">
        <v>45755</v>
      </c>
      <c r="D314" s="6" t="s">
        <v>54</v>
      </c>
      <c r="E314" s="6" t="s">
        <v>26</v>
      </c>
      <c r="F314" s="6">
        <v>3</v>
      </c>
      <c r="G314" s="6" t="s">
        <v>27</v>
      </c>
      <c r="H314" s="6">
        <v>1</v>
      </c>
      <c r="I314" s="6">
        <v>2</v>
      </c>
      <c r="J314" s="6">
        <v>0.5</v>
      </c>
      <c r="K314" s="6" t="s">
        <v>31</v>
      </c>
      <c r="L314" s="6" t="str">
        <f>VLOOKUP(K314, 'Alphabetical by species code'!A:B, 2, FALSE)</f>
        <v>Festuca myuros</v>
      </c>
    </row>
    <row r="315" spans="1:12" x14ac:dyDescent="0.25">
      <c r="A315" s="6">
        <v>4</v>
      </c>
      <c r="B315" s="6">
        <v>2025</v>
      </c>
      <c r="C315" s="7">
        <v>45755</v>
      </c>
      <c r="D315" s="6" t="s">
        <v>54</v>
      </c>
      <c r="E315" s="6" t="s">
        <v>26</v>
      </c>
      <c r="F315" s="6">
        <v>3</v>
      </c>
      <c r="G315" s="6" t="s">
        <v>27</v>
      </c>
      <c r="H315" s="6">
        <v>1</v>
      </c>
      <c r="I315" s="6">
        <v>3</v>
      </c>
      <c r="J315" s="6">
        <v>1</v>
      </c>
      <c r="K315" s="6" t="s">
        <v>28</v>
      </c>
      <c r="L315" s="6" t="str">
        <f>VLOOKUP(K315, 'Alphabetical by species code'!A:B, 2, FALSE)</f>
        <v>Litter</v>
      </c>
    </row>
    <row r="316" spans="1:12" x14ac:dyDescent="0.25">
      <c r="A316" s="6">
        <v>4</v>
      </c>
      <c r="B316" s="6">
        <v>2025</v>
      </c>
      <c r="C316" s="7">
        <v>45755</v>
      </c>
      <c r="D316" s="6" t="s">
        <v>54</v>
      </c>
      <c r="E316" s="6" t="s">
        <v>26</v>
      </c>
      <c r="F316" s="6">
        <v>3</v>
      </c>
      <c r="G316" s="6" t="s">
        <v>27</v>
      </c>
      <c r="H316" s="6">
        <v>1</v>
      </c>
      <c r="I316" s="6">
        <v>3</v>
      </c>
      <c r="J316" s="6">
        <v>1</v>
      </c>
      <c r="K316" s="6" t="s">
        <v>31</v>
      </c>
      <c r="L316" s="6" t="str">
        <f>VLOOKUP(K316, 'Alphabetical by species code'!A:B, 2, FALSE)</f>
        <v>Festuca myuros</v>
      </c>
    </row>
    <row r="317" spans="1:12" x14ac:dyDescent="0.25">
      <c r="A317" s="6">
        <v>4</v>
      </c>
      <c r="B317" s="6">
        <v>2025</v>
      </c>
      <c r="C317" s="7">
        <v>45755</v>
      </c>
      <c r="D317" s="6" t="s">
        <v>54</v>
      </c>
      <c r="E317" s="6" t="s">
        <v>26</v>
      </c>
      <c r="F317" s="6">
        <v>3</v>
      </c>
      <c r="G317" s="6" t="s">
        <v>27</v>
      </c>
      <c r="H317" s="6">
        <v>1</v>
      </c>
      <c r="I317" s="6">
        <v>3</v>
      </c>
      <c r="J317" s="6">
        <v>1</v>
      </c>
      <c r="K317" s="6" t="s">
        <v>36</v>
      </c>
      <c r="L317" s="6" t="str">
        <f>VLOOKUP(K317, 'Alphabetical by species code'!A:B, 2, FALSE)</f>
        <v>Bromus madritensis</v>
      </c>
    </row>
    <row r="318" spans="1:12" x14ac:dyDescent="0.25">
      <c r="A318" s="6">
        <v>4</v>
      </c>
      <c r="B318" s="6">
        <v>2025</v>
      </c>
      <c r="C318" s="7">
        <v>45755</v>
      </c>
      <c r="D318" s="6" t="s">
        <v>54</v>
      </c>
      <c r="E318" s="6" t="s">
        <v>26</v>
      </c>
      <c r="F318" s="6">
        <v>3</v>
      </c>
      <c r="G318" s="6" t="s">
        <v>27</v>
      </c>
      <c r="H318" s="6">
        <v>1</v>
      </c>
      <c r="I318" s="6">
        <v>3</v>
      </c>
      <c r="J318" s="6">
        <v>1</v>
      </c>
      <c r="K318" s="6" t="s">
        <v>34</v>
      </c>
      <c r="L318" s="6" t="str">
        <f>VLOOKUP(K318, 'Alphabetical by species code'!A:B, 2, FALSE)</f>
        <v>Erodium cicutarium</v>
      </c>
    </row>
    <row r="319" spans="1:12" x14ac:dyDescent="0.25">
      <c r="A319" s="6">
        <v>4</v>
      </c>
      <c r="B319" s="6">
        <v>2025</v>
      </c>
      <c r="C319" s="7">
        <v>45755</v>
      </c>
      <c r="D319" s="6" t="s">
        <v>54</v>
      </c>
      <c r="E319" s="6" t="s">
        <v>26</v>
      </c>
      <c r="F319" s="6">
        <v>3</v>
      </c>
      <c r="G319" s="6" t="s">
        <v>27</v>
      </c>
      <c r="H319" s="6">
        <v>1</v>
      </c>
      <c r="I319" s="6">
        <v>4</v>
      </c>
      <c r="J319" s="6">
        <v>1.5</v>
      </c>
      <c r="K319" s="6" t="s">
        <v>51</v>
      </c>
      <c r="L319" s="6" t="str">
        <f>VLOOKUP(K319, 'Alphabetical by species code'!A:B, 2, FALSE)</f>
        <v>Bareground</v>
      </c>
    </row>
    <row r="320" spans="1:12" x14ac:dyDescent="0.25">
      <c r="A320" s="6">
        <v>4</v>
      </c>
      <c r="B320" s="6">
        <v>2025</v>
      </c>
      <c r="C320" s="7">
        <v>45755</v>
      </c>
      <c r="D320" s="6" t="s">
        <v>54</v>
      </c>
      <c r="E320" s="6" t="s">
        <v>26</v>
      </c>
      <c r="F320" s="6">
        <v>3</v>
      </c>
      <c r="G320" s="6" t="s">
        <v>27</v>
      </c>
      <c r="H320" s="6">
        <v>1</v>
      </c>
      <c r="I320" s="6">
        <v>4</v>
      </c>
      <c r="J320" s="6">
        <v>1.5</v>
      </c>
      <c r="K320" s="6" t="s">
        <v>37</v>
      </c>
      <c r="L320" s="6" t="str">
        <f>VLOOKUP(K320, 'Alphabetical by species code'!A:B, 2, FALSE)</f>
        <v>Sonchus oleraceus</v>
      </c>
    </row>
    <row r="321" spans="1:12" x14ac:dyDescent="0.25">
      <c r="A321" s="6">
        <v>4</v>
      </c>
      <c r="B321" s="6">
        <v>2025</v>
      </c>
      <c r="C321" s="7">
        <v>45755</v>
      </c>
      <c r="D321" s="6" t="s">
        <v>54</v>
      </c>
      <c r="E321" s="6" t="s">
        <v>26</v>
      </c>
      <c r="F321" s="6">
        <v>3</v>
      </c>
      <c r="G321" s="6" t="s">
        <v>27</v>
      </c>
      <c r="H321" s="6">
        <v>1</v>
      </c>
      <c r="I321" s="6">
        <v>4</v>
      </c>
      <c r="J321" s="6">
        <v>1.5</v>
      </c>
      <c r="K321" s="6" t="s">
        <v>32</v>
      </c>
      <c r="L321" s="6" t="str">
        <f>VLOOKUP(K321, 'Alphabetical by species code'!A:B, 2, FALSE)</f>
        <v>Medicago polymorpha</v>
      </c>
    </row>
    <row r="322" spans="1:12" x14ac:dyDescent="0.25">
      <c r="A322" s="6">
        <v>4</v>
      </c>
      <c r="B322" s="6">
        <v>2025</v>
      </c>
      <c r="C322" s="7">
        <v>45755</v>
      </c>
      <c r="D322" s="6" t="s">
        <v>54</v>
      </c>
      <c r="E322" s="6" t="s">
        <v>26</v>
      </c>
      <c r="F322" s="6">
        <v>3</v>
      </c>
      <c r="G322" s="6" t="s">
        <v>27</v>
      </c>
      <c r="H322" s="6">
        <v>1</v>
      </c>
      <c r="I322" s="6">
        <v>4</v>
      </c>
      <c r="J322" s="6">
        <v>1.5</v>
      </c>
      <c r="K322" s="6" t="s">
        <v>31</v>
      </c>
      <c r="L322" s="6" t="str">
        <f>VLOOKUP(K322, 'Alphabetical by species code'!A:B, 2, FALSE)</f>
        <v>Festuca myuros</v>
      </c>
    </row>
    <row r="323" spans="1:12" x14ac:dyDescent="0.25">
      <c r="A323" s="6">
        <v>4</v>
      </c>
      <c r="B323" s="6">
        <v>2025</v>
      </c>
      <c r="C323" s="7">
        <v>45755</v>
      </c>
      <c r="D323" s="6" t="s">
        <v>54</v>
      </c>
      <c r="E323" s="6" t="s">
        <v>26</v>
      </c>
      <c r="F323" s="6">
        <v>3</v>
      </c>
      <c r="G323" s="6" t="s">
        <v>27</v>
      </c>
      <c r="H323" s="6">
        <v>1</v>
      </c>
      <c r="I323" s="6">
        <v>5</v>
      </c>
      <c r="J323" s="6">
        <v>2</v>
      </c>
      <c r="K323" s="6" t="s">
        <v>51</v>
      </c>
      <c r="L323" s="6" t="str">
        <f>VLOOKUP(K323, 'Alphabetical by species code'!A:B, 2, FALSE)</f>
        <v>Bareground</v>
      </c>
    </row>
    <row r="324" spans="1:12" x14ac:dyDescent="0.25">
      <c r="A324" s="6">
        <v>4</v>
      </c>
      <c r="B324" s="6">
        <v>2025</v>
      </c>
      <c r="C324" s="7">
        <v>45755</v>
      </c>
      <c r="D324" s="6" t="s">
        <v>54</v>
      </c>
      <c r="E324" s="6" t="s">
        <v>26</v>
      </c>
      <c r="F324" s="6">
        <v>3</v>
      </c>
      <c r="G324" s="6" t="s">
        <v>27</v>
      </c>
      <c r="H324" s="6">
        <v>1</v>
      </c>
      <c r="I324" s="6">
        <v>5</v>
      </c>
      <c r="J324" s="6">
        <v>2</v>
      </c>
      <c r="K324" s="6" t="s">
        <v>31</v>
      </c>
      <c r="L324" s="6" t="str">
        <f>VLOOKUP(K324, 'Alphabetical by species code'!A:B, 2, FALSE)</f>
        <v>Festuca myuros</v>
      </c>
    </row>
    <row r="325" spans="1:12" x14ac:dyDescent="0.25">
      <c r="A325" s="6">
        <v>4</v>
      </c>
      <c r="B325" s="6">
        <v>2025</v>
      </c>
      <c r="C325" s="7">
        <v>45755</v>
      </c>
      <c r="D325" s="6" t="s">
        <v>54</v>
      </c>
      <c r="E325" s="6" t="s">
        <v>26</v>
      </c>
      <c r="F325" s="6">
        <v>3</v>
      </c>
      <c r="G325" s="6" t="s">
        <v>27</v>
      </c>
      <c r="H325" s="6">
        <v>1</v>
      </c>
      <c r="I325" s="6">
        <v>5</v>
      </c>
      <c r="J325" s="6">
        <v>2</v>
      </c>
      <c r="K325" s="6" t="s">
        <v>37</v>
      </c>
      <c r="L325" s="6" t="str">
        <f>VLOOKUP(K325, 'Alphabetical by species code'!A:B, 2, FALSE)</f>
        <v>Sonchus oleraceus</v>
      </c>
    </row>
    <row r="326" spans="1:12" x14ac:dyDescent="0.25">
      <c r="A326" s="6">
        <v>4</v>
      </c>
      <c r="B326" s="6">
        <v>2025</v>
      </c>
      <c r="C326" s="7">
        <v>45755</v>
      </c>
      <c r="D326" s="6" t="s">
        <v>54</v>
      </c>
      <c r="E326" s="6" t="s">
        <v>26</v>
      </c>
      <c r="F326" s="6">
        <v>3</v>
      </c>
      <c r="G326" s="6" t="s">
        <v>27</v>
      </c>
      <c r="H326" s="6">
        <v>1</v>
      </c>
      <c r="I326" s="6">
        <v>6</v>
      </c>
      <c r="J326" s="6">
        <v>2.5</v>
      </c>
      <c r="K326" s="6" t="s">
        <v>41</v>
      </c>
      <c r="L326" s="6" t="str">
        <f>VLOOKUP(K326, 'Alphabetical by species code'!A:B, 2, FALSE)</f>
        <v>Stem</v>
      </c>
    </row>
    <row r="327" spans="1:12" x14ac:dyDescent="0.25">
      <c r="A327" s="6">
        <v>4</v>
      </c>
      <c r="B327" s="6">
        <v>2025</v>
      </c>
      <c r="C327" s="7">
        <v>45755</v>
      </c>
      <c r="D327" s="6" t="s">
        <v>54</v>
      </c>
      <c r="E327" s="6" t="s">
        <v>26</v>
      </c>
      <c r="F327" s="6">
        <v>3</v>
      </c>
      <c r="G327" s="6" t="s">
        <v>27</v>
      </c>
      <c r="H327" s="6">
        <v>1</v>
      </c>
      <c r="I327" s="6">
        <v>6</v>
      </c>
      <c r="J327" s="6">
        <v>2.5</v>
      </c>
      <c r="K327" s="6" t="s">
        <v>29</v>
      </c>
      <c r="L327" s="6" t="str">
        <f>VLOOKUP(K327, 'Alphabetical by species code'!A:B, 2, FALSE)</f>
        <v>Opuntia littoralis</v>
      </c>
    </row>
    <row r="328" spans="1:12" x14ac:dyDescent="0.25">
      <c r="A328" s="6">
        <v>4</v>
      </c>
      <c r="B328" s="6">
        <v>2025</v>
      </c>
      <c r="C328" s="7">
        <v>45755</v>
      </c>
      <c r="D328" s="6" t="s">
        <v>54</v>
      </c>
      <c r="E328" s="6" t="s">
        <v>26</v>
      </c>
      <c r="F328" s="6">
        <v>3</v>
      </c>
      <c r="G328" s="6" t="s">
        <v>27</v>
      </c>
      <c r="H328" s="6">
        <v>1</v>
      </c>
      <c r="I328" s="6">
        <v>7</v>
      </c>
      <c r="J328" s="6">
        <v>3</v>
      </c>
      <c r="K328" s="6" t="s">
        <v>51</v>
      </c>
      <c r="L328" s="6" t="str">
        <f>VLOOKUP(K328, 'Alphabetical by species code'!A:B, 2, FALSE)</f>
        <v>Bareground</v>
      </c>
    </row>
    <row r="329" spans="1:12" x14ac:dyDescent="0.25">
      <c r="A329" s="6">
        <v>4</v>
      </c>
      <c r="B329" s="6">
        <v>2025</v>
      </c>
      <c r="C329" s="7">
        <v>45755</v>
      </c>
      <c r="D329" s="6" t="s">
        <v>54</v>
      </c>
      <c r="E329" s="6" t="s">
        <v>26</v>
      </c>
      <c r="F329" s="6">
        <v>3</v>
      </c>
      <c r="G329" s="6" t="s">
        <v>27</v>
      </c>
      <c r="H329" s="6">
        <v>1</v>
      </c>
      <c r="I329" s="6">
        <v>7</v>
      </c>
      <c r="J329" s="6">
        <v>3</v>
      </c>
      <c r="K329" s="6" t="s">
        <v>31</v>
      </c>
      <c r="L329" s="6" t="str">
        <f>VLOOKUP(K329, 'Alphabetical by species code'!A:B, 2, FALSE)</f>
        <v>Festuca myuros</v>
      </c>
    </row>
    <row r="330" spans="1:12" x14ac:dyDescent="0.25">
      <c r="A330" s="6">
        <v>4</v>
      </c>
      <c r="B330" s="6">
        <v>2025</v>
      </c>
      <c r="C330" s="7">
        <v>45755</v>
      </c>
      <c r="D330" s="6" t="s">
        <v>54</v>
      </c>
      <c r="E330" s="6" t="s">
        <v>26</v>
      </c>
      <c r="F330" s="6">
        <v>3</v>
      </c>
      <c r="G330" s="6" t="s">
        <v>27</v>
      </c>
      <c r="H330" s="6">
        <v>1</v>
      </c>
      <c r="I330" s="6">
        <v>7</v>
      </c>
      <c r="J330" s="6">
        <v>3</v>
      </c>
      <c r="K330" s="6" t="s">
        <v>37</v>
      </c>
      <c r="L330" s="6" t="str">
        <f>VLOOKUP(K330, 'Alphabetical by species code'!A:B, 2, FALSE)</f>
        <v>Sonchus oleraceus</v>
      </c>
    </row>
    <row r="331" spans="1:12" x14ac:dyDescent="0.25">
      <c r="A331" s="6">
        <v>4</v>
      </c>
      <c r="B331" s="6">
        <v>2025</v>
      </c>
      <c r="C331" s="7">
        <v>45755</v>
      </c>
      <c r="D331" s="6" t="s">
        <v>54</v>
      </c>
      <c r="E331" s="6" t="s">
        <v>26</v>
      </c>
      <c r="F331" s="6">
        <v>3</v>
      </c>
      <c r="G331" s="6" t="s">
        <v>27</v>
      </c>
      <c r="H331" s="6">
        <v>1</v>
      </c>
      <c r="I331" s="6">
        <v>8</v>
      </c>
      <c r="J331" s="6">
        <v>3.5</v>
      </c>
      <c r="K331" s="6" t="s">
        <v>28</v>
      </c>
      <c r="L331" s="6" t="str">
        <f>VLOOKUP(K331, 'Alphabetical by species code'!A:B, 2, FALSE)</f>
        <v>Litter</v>
      </c>
    </row>
    <row r="332" spans="1:12" x14ac:dyDescent="0.25">
      <c r="A332" s="6">
        <v>4</v>
      </c>
      <c r="B332" s="6">
        <v>2025</v>
      </c>
      <c r="C332" s="7">
        <v>45755</v>
      </c>
      <c r="D332" s="6" t="s">
        <v>54</v>
      </c>
      <c r="E332" s="6" t="s">
        <v>26</v>
      </c>
      <c r="F332" s="6">
        <v>3</v>
      </c>
      <c r="G332" s="6" t="s">
        <v>27</v>
      </c>
      <c r="H332" s="6">
        <v>1</v>
      </c>
      <c r="I332" s="6">
        <v>8</v>
      </c>
      <c r="J332" s="6">
        <v>3.5</v>
      </c>
      <c r="K332" s="6" t="s">
        <v>31</v>
      </c>
      <c r="L332" s="6" t="str">
        <f>VLOOKUP(K332, 'Alphabetical by species code'!A:B, 2, FALSE)</f>
        <v>Festuca myuros</v>
      </c>
    </row>
    <row r="333" spans="1:12" x14ac:dyDescent="0.25">
      <c r="A333" s="6">
        <v>4</v>
      </c>
      <c r="B333" s="6">
        <v>2025</v>
      </c>
      <c r="C333" s="7">
        <v>45755</v>
      </c>
      <c r="D333" s="6" t="s">
        <v>54</v>
      </c>
      <c r="E333" s="6" t="s">
        <v>26</v>
      </c>
      <c r="F333" s="6">
        <v>3</v>
      </c>
      <c r="G333" s="6" t="s">
        <v>27</v>
      </c>
      <c r="H333" s="6">
        <v>1</v>
      </c>
      <c r="I333" s="6">
        <v>8</v>
      </c>
      <c r="J333" s="6">
        <v>3.5</v>
      </c>
      <c r="K333" s="6" t="s">
        <v>35</v>
      </c>
      <c r="L333" s="6" t="str">
        <f>VLOOKUP(K333, 'Alphabetical by species code'!A:B, 2, FALSE)</f>
        <v>Deinandra fasciculata</v>
      </c>
    </row>
    <row r="334" spans="1:12" x14ac:dyDescent="0.25">
      <c r="A334" s="6">
        <v>4</v>
      </c>
      <c r="B334" s="6">
        <v>2025</v>
      </c>
      <c r="C334" s="7">
        <v>45755</v>
      </c>
      <c r="D334" s="6" t="s">
        <v>54</v>
      </c>
      <c r="E334" s="6" t="s">
        <v>26</v>
      </c>
      <c r="F334" s="6">
        <v>3</v>
      </c>
      <c r="G334" s="6" t="s">
        <v>27</v>
      </c>
      <c r="H334" s="6">
        <v>1</v>
      </c>
      <c r="I334" s="6">
        <v>8</v>
      </c>
      <c r="J334" s="6">
        <v>3.5</v>
      </c>
      <c r="K334" s="6" t="s">
        <v>32</v>
      </c>
      <c r="L334" s="6" t="str">
        <f>VLOOKUP(K334, 'Alphabetical by species code'!A:B, 2, FALSE)</f>
        <v>Medicago polymorpha</v>
      </c>
    </row>
    <row r="335" spans="1:12" x14ac:dyDescent="0.25">
      <c r="A335" s="6">
        <v>4</v>
      </c>
      <c r="B335" s="6">
        <v>2025</v>
      </c>
      <c r="C335" s="7">
        <v>45755</v>
      </c>
      <c r="D335" s="6" t="s">
        <v>54</v>
      </c>
      <c r="E335" s="6" t="s">
        <v>26</v>
      </c>
      <c r="F335" s="6">
        <v>3</v>
      </c>
      <c r="G335" s="6" t="s">
        <v>27</v>
      </c>
      <c r="H335" s="6">
        <v>1</v>
      </c>
      <c r="I335" s="6">
        <v>9</v>
      </c>
      <c r="J335" s="6">
        <v>4</v>
      </c>
      <c r="K335" s="6" t="s">
        <v>28</v>
      </c>
      <c r="L335" s="6" t="str">
        <f>VLOOKUP(K335, 'Alphabetical by species code'!A:B, 2, FALSE)</f>
        <v>Litter</v>
      </c>
    </row>
    <row r="336" spans="1:12" x14ac:dyDescent="0.25">
      <c r="A336" s="6">
        <v>4</v>
      </c>
      <c r="B336" s="6">
        <v>2025</v>
      </c>
      <c r="C336" s="7">
        <v>45755</v>
      </c>
      <c r="D336" s="6" t="s">
        <v>54</v>
      </c>
      <c r="E336" s="6" t="s">
        <v>26</v>
      </c>
      <c r="F336" s="6">
        <v>3</v>
      </c>
      <c r="G336" s="6" t="s">
        <v>27</v>
      </c>
      <c r="H336" s="6">
        <v>1</v>
      </c>
      <c r="I336" s="6">
        <v>9</v>
      </c>
      <c r="J336" s="6">
        <v>4</v>
      </c>
      <c r="K336" s="6" t="s">
        <v>32</v>
      </c>
      <c r="L336" s="6" t="str">
        <f>VLOOKUP(K336, 'Alphabetical by species code'!A:B, 2, FALSE)</f>
        <v>Medicago polymorpha</v>
      </c>
    </row>
    <row r="337" spans="1:12" x14ac:dyDescent="0.25">
      <c r="A337" s="6">
        <v>4</v>
      </c>
      <c r="B337" s="6">
        <v>2025</v>
      </c>
      <c r="C337" s="7">
        <v>45755</v>
      </c>
      <c r="D337" s="6" t="s">
        <v>54</v>
      </c>
      <c r="E337" s="6" t="s">
        <v>26</v>
      </c>
      <c r="F337" s="6">
        <v>3</v>
      </c>
      <c r="G337" s="6" t="s">
        <v>27</v>
      </c>
      <c r="H337" s="6">
        <v>1</v>
      </c>
      <c r="I337" s="6">
        <v>10</v>
      </c>
      <c r="J337" s="6">
        <v>4.5</v>
      </c>
      <c r="K337" s="6" t="s">
        <v>28</v>
      </c>
      <c r="L337" s="6" t="str">
        <f>VLOOKUP(K337, 'Alphabetical by species code'!A:B, 2, FALSE)</f>
        <v>Litter</v>
      </c>
    </row>
    <row r="338" spans="1:12" x14ac:dyDescent="0.25">
      <c r="A338" s="6">
        <v>4</v>
      </c>
      <c r="B338" s="6">
        <v>2025</v>
      </c>
      <c r="C338" s="7">
        <v>45755</v>
      </c>
      <c r="D338" s="6" t="s">
        <v>54</v>
      </c>
      <c r="E338" s="6" t="s">
        <v>26</v>
      </c>
      <c r="F338" s="6">
        <v>3</v>
      </c>
      <c r="G338" s="6" t="s">
        <v>27</v>
      </c>
      <c r="H338" s="6">
        <v>1</v>
      </c>
      <c r="I338" s="6">
        <v>10</v>
      </c>
      <c r="J338" s="6">
        <v>4.5</v>
      </c>
      <c r="K338" s="6" t="s">
        <v>55</v>
      </c>
      <c r="L338" s="6" t="str">
        <f>VLOOKUP(K338, 'Alphabetical by species code'!A:B, 2, FALSE)</f>
        <v>Daucus pusillus</v>
      </c>
    </row>
    <row r="339" spans="1:12" x14ac:dyDescent="0.25">
      <c r="A339" s="6">
        <v>4</v>
      </c>
      <c r="B339" s="6">
        <v>2025</v>
      </c>
      <c r="C339" s="7">
        <v>45755</v>
      </c>
      <c r="D339" s="6" t="s">
        <v>54</v>
      </c>
      <c r="E339" s="6" t="s">
        <v>26</v>
      </c>
      <c r="F339" s="6">
        <v>3</v>
      </c>
      <c r="G339" s="6" t="s">
        <v>27</v>
      </c>
      <c r="H339" s="6">
        <v>1</v>
      </c>
      <c r="I339" s="6">
        <v>10</v>
      </c>
      <c r="J339" s="6">
        <v>4.5</v>
      </c>
      <c r="K339" s="6" t="s">
        <v>35</v>
      </c>
      <c r="L339" s="6" t="str">
        <f>VLOOKUP(K339, 'Alphabetical by species code'!A:B, 2, FALSE)</f>
        <v>Deinandra fasciculata</v>
      </c>
    </row>
    <row r="340" spans="1:12" x14ac:dyDescent="0.25">
      <c r="A340" s="6">
        <v>4</v>
      </c>
      <c r="B340" s="6">
        <v>2025</v>
      </c>
      <c r="C340" s="7">
        <v>45755</v>
      </c>
      <c r="D340" s="6" t="s">
        <v>54</v>
      </c>
      <c r="E340" s="6" t="s">
        <v>26</v>
      </c>
      <c r="F340" s="6">
        <v>3</v>
      </c>
      <c r="G340" s="6" t="s">
        <v>27</v>
      </c>
      <c r="H340" s="6">
        <v>1</v>
      </c>
      <c r="I340" s="6">
        <v>10</v>
      </c>
      <c r="J340" s="6">
        <v>4.5</v>
      </c>
      <c r="K340" s="6" t="s">
        <v>31</v>
      </c>
      <c r="L340" s="6" t="str">
        <f>VLOOKUP(K340, 'Alphabetical by species code'!A:B, 2, FALSE)</f>
        <v>Festuca myuros</v>
      </c>
    </row>
    <row r="341" spans="1:12" x14ac:dyDescent="0.25">
      <c r="A341" s="6">
        <v>4</v>
      </c>
      <c r="B341" s="6">
        <v>2025</v>
      </c>
      <c r="C341" s="7">
        <v>45755</v>
      </c>
      <c r="D341" s="6" t="s">
        <v>54</v>
      </c>
      <c r="E341" s="6" t="s">
        <v>26</v>
      </c>
      <c r="F341" s="6">
        <v>3</v>
      </c>
      <c r="G341" s="6" t="s">
        <v>27</v>
      </c>
      <c r="H341" s="6">
        <v>1</v>
      </c>
      <c r="I341" s="6">
        <v>11</v>
      </c>
      <c r="J341" s="6">
        <v>5</v>
      </c>
      <c r="K341" s="6" t="s">
        <v>28</v>
      </c>
      <c r="L341" s="6" t="str">
        <f>VLOOKUP(K341, 'Alphabetical by species code'!A:B, 2, FALSE)</f>
        <v>Litter</v>
      </c>
    </row>
    <row r="342" spans="1:12" x14ac:dyDescent="0.25">
      <c r="A342" s="6">
        <v>4</v>
      </c>
      <c r="B342" s="6">
        <v>2025</v>
      </c>
      <c r="C342" s="7">
        <v>45755</v>
      </c>
      <c r="D342" s="6" t="s">
        <v>54</v>
      </c>
      <c r="E342" s="6" t="s">
        <v>26</v>
      </c>
      <c r="F342" s="6">
        <v>3</v>
      </c>
      <c r="G342" s="6" t="s">
        <v>27</v>
      </c>
      <c r="H342" s="6">
        <v>1</v>
      </c>
      <c r="I342" s="6">
        <v>11</v>
      </c>
      <c r="J342" s="6">
        <v>5</v>
      </c>
      <c r="K342" s="6" t="s">
        <v>31</v>
      </c>
      <c r="L342" s="6" t="str">
        <f>VLOOKUP(K342, 'Alphabetical by species code'!A:B, 2, FALSE)</f>
        <v>Festuca myuros</v>
      </c>
    </row>
    <row r="343" spans="1:12" x14ac:dyDescent="0.25">
      <c r="A343" s="6">
        <v>4</v>
      </c>
      <c r="B343" s="6">
        <v>2025</v>
      </c>
      <c r="C343" s="7">
        <v>45755</v>
      </c>
      <c r="D343" s="6" t="s">
        <v>54</v>
      </c>
      <c r="E343" s="6" t="s">
        <v>26</v>
      </c>
      <c r="F343" s="6">
        <v>3</v>
      </c>
      <c r="G343" s="6" t="s">
        <v>27</v>
      </c>
      <c r="H343" s="6">
        <v>1</v>
      </c>
      <c r="I343" s="6">
        <v>11</v>
      </c>
      <c r="J343" s="6">
        <v>5</v>
      </c>
      <c r="K343" s="6" t="s">
        <v>37</v>
      </c>
      <c r="L343" s="6" t="str">
        <f>VLOOKUP(K343, 'Alphabetical by species code'!A:B, 2, FALSE)</f>
        <v>Sonchus oleraceus</v>
      </c>
    </row>
    <row r="344" spans="1:12" x14ac:dyDescent="0.25">
      <c r="A344" s="6">
        <v>4</v>
      </c>
      <c r="B344" s="6">
        <v>2025</v>
      </c>
      <c r="C344" s="7">
        <v>45755</v>
      </c>
      <c r="D344" s="6" t="s">
        <v>54</v>
      </c>
      <c r="E344" s="6" t="s">
        <v>26</v>
      </c>
      <c r="F344" s="6">
        <v>3</v>
      </c>
      <c r="G344" s="6" t="s">
        <v>27</v>
      </c>
      <c r="H344" s="6">
        <v>1</v>
      </c>
      <c r="I344" s="6">
        <v>11</v>
      </c>
      <c r="J344" s="6">
        <v>5</v>
      </c>
      <c r="K344" s="6" t="s">
        <v>39</v>
      </c>
      <c r="L344" s="6" t="str">
        <f>VLOOKUP(K344, 'Alphabetical by species code'!A:B, 2, FALSE)</f>
        <v>Stephanomeria diegensis</v>
      </c>
    </row>
    <row r="345" spans="1:12" x14ac:dyDescent="0.25">
      <c r="A345" s="6">
        <v>4</v>
      </c>
      <c r="B345" s="6">
        <v>2025</v>
      </c>
      <c r="C345" s="7">
        <v>45755</v>
      </c>
      <c r="D345" s="6" t="s">
        <v>54</v>
      </c>
      <c r="E345" s="6" t="s">
        <v>26</v>
      </c>
      <c r="F345" s="6">
        <v>3</v>
      </c>
      <c r="G345" s="6" t="s">
        <v>27</v>
      </c>
      <c r="H345" s="6">
        <v>1</v>
      </c>
      <c r="I345" s="6">
        <v>12</v>
      </c>
      <c r="J345" s="6">
        <v>5.5</v>
      </c>
      <c r="K345" s="6" t="s">
        <v>38</v>
      </c>
      <c r="L345" s="6" t="str">
        <f>VLOOKUP(K345, 'Alphabetical by species code'!A:B, 2, FALSE)</f>
        <v>Thatch</v>
      </c>
    </row>
    <row r="346" spans="1:12" x14ac:dyDescent="0.25">
      <c r="A346" s="6">
        <v>4</v>
      </c>
      <c r="B346" s="6">
        <v>2025</v>
      </c>
      <c r="C346" s="7">
        <v>45755</v>
      </c>
      <c r="D346" s="6" t="s">
        <v>54</v>
      </c>
      <c r="E346" s="6" t="s">
        <v>26</v>
      </c>
      <c r="F346" s="6">
        <v>3</v>
      </c>
      <c r="G346" s="6" t="s">
        <v>27</v>
      </c>
      <c r="H346" s="6">
        <v>1</v>
      </c>
      <c r="I346" s="6">
        <v>13</v>
      </c>
      <c r="J346" s="6">
        <v>6.5</v>
      </c>
      <c r="K346" s="6" t="s">
        <v>38</v>
      </c>
      <c r="L346" s="6" t="str">
        <f>VLOOKUP(K346, 'Alphabetical by species code'!A:B, 2, FALSE)</f>
        <v>Thatch</v>
      </c>
    </row>
    <row r="347" spans="1:12" x14ac:dyDescent="0.25">
      <c r="A347" s="6">
        <v>4</v>
      </c>
      <c r="B347" s="6">
        <v>2025</v>
      </c>
      <c r="C347" s="7">
        <v>45755</v>
      </c>
      <c r="D347" s="6" t="s">
        <v>54</v>
      </c>
      <c r="E347" s="6" t="s">
        <v>26</v>
      </c>
      <c r="F347" s="6">
        <v>3</v>
      </c>
      <c r="G347" s="6" t="s">
        <v>27</v>
      </c>
      <c r="H347" s="6">
        <v>1</v>
      </c>
      <c r="I347" s="6">
        <v>13</v>
      </c>
      <c r="J347" s="6">
        <v>6.5</v>
      </c>
      <c r="K347" s="6" t="s">
        <v>43</v>
      </c>
      <c r="L347" s="6" t="str">
        <f>VLOOKUP(K347, 'Alphabetical by species code'!A:B, 2, FALSE)</f>
        <v>Uropappus lindleyi</v>
      </c>
    </row>
    <row r="348" spans="1:12" x14ac:dyDescent="0.25">
      <c r="A348" s="6">
        <v>4</v>
      </c>
      <c r="B348" s="6">
        <v>2025</v>
      </c>
      <c r="C348" s="7">
        <v>45755</v>
      </c>
      <c r="D348" s="6" t="s">
        <v>54</v>
      </c>
      <c r="E348" s="6" t="s">
        <v>26</v>
      </c>
      <c r="F348" s="6">
        <v>3</v>
      </c>
      <c r="G348" s="6" t="s">
        <v>27</v>
      </c>
      <c r="H348" s="6">
        <v>1</v>
      </c>
      <c r="I348" s="6">
        <v>14</v>
      </c>
      <c r="J348" s="6">
        <v>7</v>
      </c>
      <c r="K348" s="6" t="s">
        <v>28</v>
      </c>
      <c r="L348" s="6" t="str">
        <f>VLOOKUP(K348, 'Alphabetical by species code'!A:B, 2, FALSE)</f>
        <v>Litter</v>
      </c>
    </row>
    <row r="349" spans="1:12" x14ac:dyDescent="0.25">
      <c r="A349" s="6">
        <v>4</v>
      </c>
      <c r="B349" s="6">
        <v>2025</v>
      </c>
      <c r="C349" s="7">
        <v>45755</v>
      </c>
      <c r="D349" s="6" t="s">
        <v>54</v>
      </c>
      <c r="E349" s="6" t="s">
        <v>26</v>
      </c>
      <c r="F349" s="6">
        <v>3</v>
      </c>
      <c r="G349" s="6" t="s">
        <v>27</v>
      </c>
      <c r="H349" s="6">
        <v>1</v>
      </c>
      <c r="I349" s="6">
        <v>14</v>
      </c>
      <c r="J349" s="6">
        <v>7</v>
      </c>
      <c r="K349" s="6" t="s">
        <v>32</v>
      </c>
      <c r="L349" s="6" t="str">
        <f>VLOOKUP(K349, 'Alphabetical by species code'!A:B, 2, FALSE)</f>
        <v>Medicago polymorpha</v>
      </c>
    </row>
    <row r="350" spans="1:12" x14ac:dyDescent="0.25">
      <c r="A350" s="6">
        <v>4</v>
      </c>
      <c r="B350" s="6">
        <v>2025</v>
      </c>
      <c r="C350" s="7">
        <v>45755</v>
      </c>
      <c r="D350" s="6" t="s">
        <v>54</v>
      </c>
      <c r="E350" s="6" t="s">
        <v>26</v>
      </c>
      <c r="F350" s="6">
        <v>3</v>
      </c>
      <c r="G350" s="6" t="s">
        <v>27</v>
      </c>
      <c r="H350" s="6">
        <v>1</v>
      </c>
      <c r="I350" s="6">
        <v>14</v>
      </c>
      <c r="J350" s="6">
        <v>7</v>
      </c>
      <c r="K350" s="6" t="s">
        <v>42</v>
      </c>
      <c r="L350" s="6" t="str">
        <f>VLOOKUP(K350, 'Alphabetical by species code'!A:B, 2, FALSE)</f>
        <v>Centaurea melitensis</v>
      </c>
    </row>
    <row r="351" spans="1:12" x14ac:dyDescent="0.25">
      <c r="A351" s="6">
        <v>4</v>
      </c>
      <c r="B351" s="6">
        <v>2025</v>
      </c>
      <c r="C351" s="7">
        <v>45755</v>
      </c>
      <c r="D351" s="6" t="s">
        <v>54</v>
      </c>
      <c r="E351" s="6" t="s">
        <v>26</v>
      </c>
      <c r="F351" s="6">
        <v>3</v>
      </c>
      <c r="G351" s="6" t="s">
        <v>27</v>
      </c>
      <c r="H351" s="6">
        <v>1</v>
      </c>
      <c r="I351" s="6">
        <v>14</v>
      </c>
      <c r="J351" s="6">
        <v>7</v>
      </c>
      <c r="K351" s="6" t="s">
        <v>31</v>
      </c>
      <c r="L351" s="6" t="str">
        <f>VLOOKUP(K351, 'Alphabetical by species code'!A:B, 2, FALSE)</f>
        <v>Festuca myuros</v>
      </c>
    </row>
    <row r="352" spans="1:12" x14ac:dyDescent="0.25">
      <c r="A352" s="6">
        <v>4</v>
      </c>
      <c r="B352" s="6">
        <v>2025</v>
      </c>
      <c r="C352" s="7">
        <v>45755</v>
      </c>
      <c r="D352" s="6" t="s">
        <v>54</v>
      </c>
      <c r="E352" s="6" t="s">
        <v>26</v>
      </c>
      <c r="F352" s="6">
        <v>3</v>
      </c>
      <c r="G352" s="6" t="s">
        <v>27</v>
      </c>
      <c r="H352" s="6">
        <v>1</v>
      </c>
      <c r="I352" s="6">
        <v>15</v>
      </c>
      <c r="J352" s="6">
        <v>7.5</v>
      </c>
      <c r="K352" s="6" t="s">
        <v>41</v>
      </c>
      <c r="L352" s="6" t="str">
        <f>VLOOKUP(K352, 'Alphabetical by species code'!A:B, 2, FALSE)</f>
        <v>Stem</v>
      </c>
    </row>
    <row r="353" spans="1:12" x14ac:dyDescent="0.25">
      <c r="A353" s="6">
        <v>4</v>
      </c>
      <c r="B353" s="6">
        <v>2025</v>
      </c>
      <c r="C353" s="7">
        <v>45755</v>
      </c>
      <c r="D353" s="6" t="s">
        <v>54</v>
      </c>
      <c r="E353" s="6" t="s">
        <v>26</v>
      </c>
      <c r="F353" s="6">
        <v>3</v>
      </c>
      <c r="G353" s="6" t="s">
        <v>27</v>
      </c>
      <c r="H353" s="6">
        <v>1</v>
      </c>
      <c r="I353" s="6">
        <v>15</v>
      </c>
      <c r="J353" s="6">
        <v>7.5</v>
      </c>
      <c r="K353" s="6" t="s">
        <v>29</v>
      </c>
      <c r="L353" s="6" t="str">
        <f>VLOOKUP(K353, 'Alphabetical by species code'!A:B, 2, FALSE)</f>
        <v>Opuntia littoralis</v>
      </c>
    </row>
    <row r="354" spans="1:12" x14ac:dyDescent="0.25">
      <c r="A354" s="6">
        <v>4</v>
      </c>
      <c r="B354" s="6">
        <v>2025</v>
      </c>
      <c r="C354" s="7">
        <v>45755</v>
      </c>
      <c r="D354" s="6" t="s">
        <v>54</v>
      </c>
      <c r="E354" s="6" t="s">
        <v>26</v>
      </c>
      <c r="F354" s="6">
        <v>3</v>
      </c>
      <c r="G354" s="6" t="s">
        <v>27</v>
      </c>
      <c r="H354" s="6">
        <v>2</v>
      </c>
      <c r="I354" s="6">
        <v>1</v>
      </c>
      <c r="J354" s="6">
        <v>0</v>
      </c>
      <c r="K354" s="6" t="s">
        <v>28</v>
      </c>
      <c r="L354" s="6" t="str">
        <f>VLOOKUP(K354, 'Alphabetical by species code'!A:B, 2, FALSE)</f>
        <v>Litter</v>
      </c>
    </row>
    <row r="355" spans="1:12" x14ac:dyDescent="0.25">
      <c r="A355" s="6">
        <v>4</v>
      </c>
      <c r="B355" s="6">
        <v>2025</v>
      </c>
      <c r="C355" s="7">
        <v>45755</v>
      </c>
      <c r="D355" s="6" t="s">
        <v>54</v>
      </c>
      <c r="E355" s="6" t="s">
        <v>26</v>
      </c>
      <c r="F355" s="6">
        <v>3</v>
      </c>
      <c r="G355" s="6" t="s">
        <v>27</v>
      </c>
      <c r="H355" s="6">
        <v>2</v>
      </c>
      <c r="I355" s="6">
        <v>1</v>
      </c>
      <c r="J355" s="6">
        <v>0</v>
      </c>
      <c r="K355" s="6" t="s">
        <v>48</v>
      </c>
      <c r="L355" s="6" t="str">
        <f>VLOOKUP(K355, 'Alphabetical by species code'!A:B, 2, FALSE)</f>
        <v>Sonchus asper</v>
      </c>
    </row>
    <row r="356" spans="1:12" x14ac:dyDescent="0.25">
      <c r="A356" s="6">
        <v>4</v>
      </c>
      <c r="B356" s="6">
        <v>2025</v>
      </c>
      <c r="C356" s="7">
        <v>45755</v>
      </c>
      <c r="D356" s="6" t="s">
        <v>54</v>
      </c>
      <c r="E356" s="6" t="s">
        <v>26</v>
      </c>
      <c r="F356" s="6">
        <v>3</v>
      </c>
      <c r="G356" s="6" t="s">
        <v>27</v>
      </c>
      <c r="H356" s="6">
        <v>2</v>
      </c>
      <c r="I356" s="6">
        <v>1</v>
      </c>
      <c r="J356" s="6">
        <v>0</v>
      </c>
      <c r="K356" s="6" t="s">
        <v>31</v>
      </c>
      <c r="L356" s="6" t="str">
        <f>VLOOKUP(K356, 'Alphabetical by species code'!A:B, 2, FALSE)</f>
        <v>Festuca myuros</v>
      </c>
    </row>
    <row r="357" spans="1:12" x14ac:dyDescent="0.25">
      <c r="A357" s="6">
        <v>4</v>
      </c>
      <c r="B357" s="6">
        <v>2025</v>
      </c>
      <c r="C357" s="7">
        <v>45755</v>
      </c>
      <c r="D357" s="6" t="s">
        <v>54</v>
      </c>
      <c r="E357" s="6" t="s">
        <v>26</v>
      </c>
      <c r="F357" s="6">
        <v>3</v>
      </c>
      <c r="G357" s="6" t="s">
        <v>27</v>
      </c>
      <c r="H357" s="6">
        <v>2</v>
      </c>
      <c r="I357" s="6">
        <v>1</v>
      </c>
      <c r="J357" s="6">
        <v>0</v>
      </c>
      <c r="K357" s="6" t="s">
        <v>49</v>
      </c>
      <c r="L357" s="6" t="str">
        <f>VLOOKUP(K357, 'Alphabetical by species code'!A:B, 2, FALSE)</f>
        <v>Anagallis arvensis</v>
      </c>
    </row>
    <row r="358" spans="1:12" x14ac:dyDescent="0.25">
      <c r="A358" s="6">
        <v>4</v>
      </c>
      <c r="B358" s="6">
        <v>2025</v>
      </c>
      <c r="C358" s="7">
        <v>45755</v>
      </c>
      <c r="D358" s="6" t="s">
        <v>54</v>
      </c>
      <c r="E358" s="6" t="s">
        <v>26</v>
      </c>
      <c r="F358" s="6">
        <v>3</v>
      </c>
      <c r="G358" s="6" t="s">
        <v>27</v>
      </c>
      <c r="H358" s="6">
        <v>2</v>
      </c>
      <c r="I358" s="6">
        <v>1</v>
      </c>
      <c r="J358" s="6">
        <v>0</v>
      </c>
      <c r="K358" s="6" t="s">
        <v>55</v>
      </c>
      <c r="L358" s="6" t="str">
        <f>VLOOKUP(K358, 'Alphabetical by species code'!A:B, 2, FALSE)</f>
        <v>Daucus pusillus</v>
      </c>
    </row>
    <row r="359" spans="1:12" x14ac:dyDescent="0.25">
      <c r="A359" s="6">
        <v>4</v>
      </c>
      <c r="B359" s="6">
        <v>2025</v>
      </c>
      <c r="C359" s="7">
        <v>45755</v>
      </c>
      <c r="D359" s="6" t="s">
        <v>54</v>
      </c>
      <c r="E359" s="6" t="s">
        <v>26</v>
      </c>
      <c r="F359" s="6">
        <v>3</v>
      </c>
      <c r="G359" s="6" t="s">
        <v>27</v>
      </c>
      <c r="H359" s="6">
        <v>2</v>
      </c>
      <c r="I359" s="6">
        <v>2</v>
      </c>
      <c r="J359" s="6">
        <v>0.5</v>
      </c>
      <c r="K359" s="6" t="s">
        <v>51</v>
      </c>
      <c r="L359" s="6" t="str">
        <f>VLOOKUP(K359, 'Alphabetical by species code'!A:B, 2, FALSE)</f>
        <v>Bareground</v>
      </c>
    </row>
    <row r="360" spans="1:12" x14ac:dyDescent="0.25">
      <c r="A360" s="6">
        <v>4</v>
      </c>
      <c r="B360" s="6">
        <v>2025</v>
      </c>
      <c r="C360" s="7">
        <v>45755</v>
      </c>
      <c r="D360" s="6" t="s">
        <v>54</v>
      </c>
      <c r="E360" s="6" t="s">
        <v>26</v>
      </c>
      <c r="F360" s="6">
        <v>3</v>
      </c>
      <c r="G360" s="6" t="s">
        <v>27</v>
      </c>
      <c r="H360" s="6">
        <v>2</v>
      </c>
      <c r="I360" s="6">
        <v>2</v>
      </c>
      <c r="J360" s="6">
        <v>0.5</v>
      </c>
      <c r="K360" s="6" t="s">
        <v>31</v>
      </c>
      <c r="L360" s="6" t="str">
        <f>VLOOKUP(K360, 'Alphabetical by species code'!A:B, 2, FALSE)</f>
        <v>Festuca myuros</v>
      </c>
    </row>
    <row r="361" spans="1:12" x14ac:dyDescent="0.25">
      <c r="A361" s="6">
        <v>4</v>
      </c>
      <c r="B361" s="6">
        <v>2025</v>
      </c>
      <c r="C361" s="7">
        <v>45755</v>
      </c>
      <c r="D361" s="6" t="s">
        <v>54</v>
      </c>
      <c r="E361" s="6" t="s">
        <v>26</v>
      </c>
      <c r="F361" s="6">
        <v>3</v>
      </c>
      <c r="G361" s="6" t="s">
        <v>27</v>
      </c>
      <c r="H361" s="6">
        <v>2</v>
      </c>
      <c r="I361" s="6">
        <v>3</v>
      </c>
      <c r="J361" s="6">
        <v>1</v>
      </c>
      <c r="K361" s="6" t="s">
        <v>41</v>
      </c>
      <c r="L361" s="6" t="str">
        <f>VLOOKUP(K361, 'Alphabetical by species code'!A:B, 2, FALSE)</f>
        <v>Stem</v>
      </c>
    </row>
    <row r="362" spans="1:12" x14ac:dyDescent="0.25">
      <c r="A362" s="6">
        <v>4</v>
      </c>
      <c r="B362" s="6">
        <v>2025</v>
      </c>
      <c r="C362" s="7">
        <v>45755</v>
      </c>
      <c r="D362" s="6" t="s">
        <v>54</v>
      </c>
      <c r="E362" s="6" t="s">
        <v>26</v>
      </c>
      <c r="F362" s="6">
        <v>3</v>
      </c>
      <c r="G362" s="6" t="s">
        <v>27</v>
      </c>
      <c r="H362" s="6">
        <v>2</v>
      </c>
      <c r="I362" s="6">
        <v>3</v>
      </c>
      <c r="J362" s="6">
        <v>1</v>
      </c>
      <c r="K362" s="6" t="s">
        <v>29</v>
      </c>
      <c r="L362" s="6" t="str">
        <f>VLOOKUP(K362, 'Alphabetical by species code'!A:B, 2, FALSE)</f>
        <v>Opuntia littoralis</v>
      </c>
    </row>
    <row r="363" spans="1:12" x14ac:dyDescent="0.25">
      <c r="A363" s="6">
        <v>4</v>
      </c>
      <c r="B363" s="6">
        <v>2025</v>
      </c>
      <c r="C363" s="7">
        <v>45755</v>
      </c>
      <c r="D363" s="6" t="s">
        <v>54</v>
      </c>
      <c r="E363" s="6" t="s">
        <v>26</v>
      </c>
      <c r="F363" s="6">
        <v>3</v>
      </c>
      <c r="G363" s="6" t="s">
        <v>27</v>
      </c>
      <c r="H363" s="6">
        <v>2</v>
      </c>
      <c r="I363" s="6">
        <v>4</v>
      </c>
      <c r="J363" s="6">
        <v>1.5</v>
      </c>
      <c r="K363" s="6" t="s">
        <v>41</v>
      </c>
      <c r="L363" s="6" t="str">
        <f>VLOOKUP(K363, 'Alphabetical by species code'!A:B, 2, FALSE)</f>
        <v>Stem</v>
      </c>
    </row>
    <row r="364" spans="1:12" x14ac:dyDescent="0.25">
      <c r="A364" s="6">
        <v>4</v>
      </c>
      <c r="B364" s="6">
        <v>2025</v>
      </c>
      <c r="C364" s="7">
        <v>45755</v>
      </c>
      <c r="D364" s="6" t="s">
        <v>54</v>
      </c>
      <c r="E364" s="6" t="s">
        <v>26</v>
      </c>
      <c r="F364" s="6">
        <v>3</v>
      </c>
      <c r="G364" s="6" t="s">
        <v>27</v>
      </c>
      <c r="H364" s="6">
        <v>2</v>
      </c>
      <c r="I364" s="6">
        <v>4</v>
      </c>
      <c r="J364" s="6">
        <v>1.5</v>
      </c>
      <c r="K364" s="6" t="s">
        <v>29</v>
      </c>
      <c r="L364" s="6" t="str">
        <f>VLOOKUP(K364, 'Alphabetical by species code'!A:B, 2, FALSE)</f>
        <v>Opuntia littoralis</v>
      </c>
    </row>
    <row r="365" spans="1:12" x14ac:dyDescent="0.25">
      <c r="A365" s="6">
        <v>4</v>
      </c>
      <c r="B365" s="6">
        <v>2025</v>
      </c>
      <c r="C365" s="7">
        <v>45755</v>
      </c>
      <c r="D365" s="6" t="s">
        <v>54</v>
      </c>
      <c r="E365" s="6" t="s">
        <v>26</v>
      </c>
      <c r="F365" s="6">
        <v>3</v>
      </c>
      <c r="G365" s="6" t="s">
        <v>27</v>
      </c>
      <c r="H365" s="6">
        <v>2</v>
      </c>
      <c r="I365" s="6">
        <v>4</v>
      </c>
      <c r="J365" s="6">
        <v>1.5</v>
      </c>
      <c r="K365" s="6" t="s">
        <v>31</v>
      </c>
      <c r="L365" s="6" t="str">
        <f>VLOOKUP(K365, 'Alphabetical by species code'!A:B, 2, FALSE)</f>
        <v>Festuca myuros</v>
      </c>
    </row>
    <row r="366" spans="1:12" x14ac:dyDescent="0.25">
      <c r="A366" s="6">
        <v>4</v>
      </c>
      <c r="B366" s="6">
        <v>2025</v>
      </c>
      <c r="C366" s="7">
        <v>45755</v>
      </c>
      <c r="D366" s="6" t="s">
        <v>54</v>
      </c>
      <c r="E366" s="6" t="s">
        <v>26</v>
      </c>
      <c r="F366" s="6">
        <v>3</v>
      </c>
      <c r="G366" s="6" t="s">
        <v>27</v>
      </c>
      <c r="H366" s="6">
        <v>2</v>
      </c>
      <c r="I366" s="6">
        <v>5</v>
      </c>
      <c r="J366" s="6">
        <v>2.5</v>
      </c>
      <c r="K366" s="6" t="s">
        <v>51</v>
      </c>
      <c r="L366" s="6" t="str">
        <f>VLOOKUP(K366, 'Alphabetical by species code'!A:B, 2, FALSE)</f>
        <v>Bareground</v>
      </c>
    </row>
    <row r="367" spans="1:12" x14ac:dyDescent="0.25">
      <c r="A367" s="6">
        <v>4</v>
      </c>
      <c r="B367" s="6">
        <v>2025</v>
      </c>
      <c r="C367" s="7">
        <v>45755</v>
      </c>
      <c r="D367" s="6" t="s">
        <v>54</v>
      </c>
      <c r="E367" s="6" t="s">
        <v>26</v>
      </c>
      <c r="F367" s="6">
        <v>3</v>
      </c>
      <c r="G367" s="6" t="s">
        <v>27</v>
      </c>
      <c r="H367" s="6">
        <v>2</v>
      </c>
      <c r="I367" s="6">
        <v>5</v>
      </c>
      <c r="J367" s="6">
        <v>2.5</v>
      </c>
      <c r="K367" s="6" t="s">
        <v>31</v>
      </c>
      <c r="L367" s="6" t="str">
        <f>VLOOKUP(K367, 'Alphabetical by species code'!A:B, 2, FALSE)</f>
        <v>Festuca myuros</v>
      </c>
    </row>
    <row r="368" spans="1:12" x14ac:dyDescent="0.25">
      <c r="A368" s="6">
        <v>4</v>
      </c>
      <c r="B368" s="6">
        <v>2025</v>
      </c>
      <c r="C368" s="7">
        <v>45755</v>
      </c>
      <c r="D368" s="6" t="s">
        <v>54</v>
      </c>
      <c r="E368" s="6" t="s">
        <v>26</v>
      </c>
      <c r="F368" s="6">
        <v>3</v>
      </c>
      <c r="G368" s="6" t="s">
        <v>27</v>
      </c>
      <c r="H368" s="6">
        <v>2</v>
      </c>
      <c r="I368" s="6">
        <v>5</v>
      </c>
      <c r="J368" s="6">
        <v>2.5</v>
      </c>
      <c r="K368" s="6" t="s">
        <v>32</v>
      </c>
      <c r="L368" s="6" t="str">
        <f>VLOOKUP(K368, 'Alphabetical by species code'!A:B, 2, FALSE)</f>
        <v>Medicago polymorpha</v>
      </c>
    </row>
    <row r="369" spans="1:12" x14ac:dyDescent="0.25">
      <c r="A369" s="6">
        <v>4</v>
      </c>
      <c r="B369" s="6">
        <v>2025</v>
      </c>
      <c r="C369" s="7">
        <v>45755</v>
      </c>
      <c r="D369" s="6" t="s">
        <v>54</v>
      </c>
      <c r="E369" s="6" t="s">
        <v>26</v>
      </c>
      <c r="F369" s="6">
        <v>3</v>
      </c>
      <c r="G369" s="6" t="s">
        <v>27</v>
      </c>
      <c r="H369" s="6">
        <v>2</v>
      </c>
      <c r="I369" s="6">
        <v>6</v>
      </c>
      <c r="J369" s="6">
        <v>3</v>
      </c>
      <c r="K369" s="6" t="s">
        <v>52</v>
      </c>
      <c r="L369" s="6" t="str">
        <f>VLOOKUP(K369, 'Alphabetical by species code'!A:B, 2, FALSE)</f>
        <v>Rock</v>
      </c>
    </row>
    <row r="370" spans="1:12" x14ac:dyDescent="0.25">
      <c r="A370" s="6">
        <v>4</v>
      </c>
      <c r="B370" s="6">
        <v>2025</v>
      </c>
      <c r="C370" s="7">
        <v>45755</v>
      </c>
      <c r="D370" s="6" t="s">
        <v>54</v>
      </c>
      <c r="E370" s="6" t="s">
        <v>26</v>
      </c>
      <c r="F370" s="6">
        <v>3</v>
      </c>
      <c r="G370" s="6" t="s">
        <v>27</v>
      </c>
      <c r="H370" s="6">
        <v>2</v>
      </c>
      <c r="I370" s="6">
        <v>6</v>
      </c>
      <c r="J370" s="6">
        <v>3</v>
      </c>
      <c r="K370" s="6" t="s">
        <v>31</v>
      </c>
      <c r="L370" s="6" t="str">
        <f>VLOOKUP(K370, 'Alphabetical by species code'!A:B, 2, FALSE)</f>
        <v>Festuca myuros</v>
      </c>
    </row>
    <row r="371" spans="1:12" x14ac:dyDescent="0.25">
      <c r="A371" s="6">
        <v>4</v>
      </c>
      <c r="B371" s="6">
        <v>2025</v>
      </c>
      <c r="C371" s="7">
        <v>45755</v>
      </c>
      <c r="D371" s="6" t="s">
        <v>54</v>
      </c>
      <c r="E371" s="6" t="s">
        <v>26</v>
      </c>
      <c r="F371" s="6">
        <v>3</v>
      </c>
      <c r="G371" s="6" t="s">
        <v>27</v>
      </c>
      <c r="H371" s="6">
        <v>2</v>
      </c>
      <c r="I371" s="6">
        <v>7</v>
      </c>
      <c r="J371" s="6">
        <v>3.5</v>
      </c>
      <c r="K371" s="6" t="s">
        <v>28</v>
      </c>
      <c r="L371" s="6" t="str">
        <f>VLOOKUP(K371, 'Alphabetical by species code'!A:B, 2, FALSE)</f>
        <v>Litter</v>
      </c>
    </row>
    <row r="372" spans="1:12" x14ac:dyDescent="0.25">
      <c r="A372" s="6">
        <v>4</v>
      </c>
      <c r="B372" s="6">
        <v>2025</v>
      </c>
      <c r="C372" s="7">
        <v>45755</v>
      </c>
      <c r="D372" s="6" t="s">
        <v>54</v>
      </c>
      <c r="E372" s="6" t="s">
        <v>26</v>
      </c>
      <c r="F372" s="6">
        <v>3</v>
      </c>
      <c r="G372" s="6" t="s">
        <v>27</v>
      </c>
      <c r="H372" s="6">
        <v>2</v>
      </c>
      <c r="I372" s="6">
        <v>7</v>
      </c>
      <c r="J372" s="6">
        <v>3.5</v>
      </c>
      <c r="K372" s="6" t="s">
        <v>32</v>
      </c>
      <c r="L372" s="6" t="str">
        <f>VLOOKUP(K372, 'Alphabetical by species code'!A:B, 2, FALSE)</f>
        <v>Medicago polymorpha</v>
      </c>
    </row>
    <row r="373" spans="1:12" x14ac:dyDescent="0.25">
      <c r="A373" s="6">
        <v>4</v>
      </c>
      <c r="B373" s="6">
        <v>2025</v>
      </c>
      <c r="C373" s="7">
        <v>45755</v>
      </c>
      <c r="D373" s="6" t="s">
        <v>54</v>
      </c>
      <c r="E373" s="6" t="s">
        <v>26</v>
      </c>
      <c r="F373" s="6">
        <v>3</v>
      </c>
      <c r="G373" s="6" t="s">
        <v>27</v>
      </c>
      <c r="H373" s="6">
        <v>2</v>
      </c>
      <c r="I373" s="6">
        <v>7</v>
      </c>
      <c r="J373" s="6">
        <v>3.5</v>
      </c>
      <c r="K373" s="6" t="s">
        <v>31</v>
      </c>
      <c r="L373" s="6" t="str">
        <f>VLOOKUP(K373, 'Alphabetical by species code'!A:B, 2, FALSE)</f>
        <v>Festuca myuros</v>
      </c>
    </row>
    <row r="374" spans="1:12" x14ac:dyDescent="0.25">
      <c r="A374" s="6">
        <v>4</v>
      </c>
      <c r="B374" s="6">
        <v>2025</v>
      </c>
      <c r="C374" s="7">
        <v>45755</v>
      </c>
      <c r="D374" s="6" t="s">
        <v>54</v>
      </c>
      <c r="E374" s="6" t="s">
        <v>26</v>
      </c>
      <c r="F374" s="6">
        <v>3</v>
      </c>
      <c r="G374" s="6" t="s">
        <v>27</v>
      </c>
      <c r="H374" s="6">
        <v>2</v>
      </c>
      <c r="I374" s="6">
        <v>7</v>
      </c>
      <c r="J374" s="6">
        <v>3.5</v>
      </c>
      <c r="K374" s="6" t="s">
        <v>48</v>
      </c>
      <c r="L374" s="6" t="str">
        <f>VLOOKUP(K374, 'Alphabetical by species code'!A:B, 2, FALSE)</f>
        <v>Sonchus asper</v>
      </c>
    </row>
    <row r="375" spans="1:12" x14ac:dyDescent="0.25">
      <c r="A375" s="6">
        <v>4</v>
      </c>
      <c r="B375" s="6">
        <v>2025</v>
      </c>
      <c r="C375" s="7">
        <v>45755</v>
      </c>
      <c r="D375" s="6" t="s">
        <v>54</v>
      </c>
      <c r="E375" s="6" t="s">
        <v>26</v>
      </c>
      <c r="F375" s="6">
        <v>3</v>
      </c>
      <c r="G375" s="6" t="s">
        <v>27</v>
      </c>
      <c r="H375" s="6">
        <v>2</v>
      </c>
      <c r="I375" s="6">
        <v>8</v>
      </c>
      <c r="J375" s="6">
        <v>4</v>
      </c>
      <c r="K375" s="6" t="s">
        <v>28</v>
      </c>
      <c r="L375" s="6" t="str">
        <f>VLOOKUP(K375, 'Alphabetical by species code'!A:B, 2, FALSE)</f>
        <v>Litter</v>
      </c>
    </row>
    <row r="376" spans="1:12" x14ac:dyDescent="0.25">
      <c r="A376" s="6">
        <v>4</v>
      </c>
      <c r="B376" s="6">
        <v>2025</v>
      </c>
      <c r="C376" s="7">
        <v>45755</v>
      </c>
      <c r="D376" s="6" t="s">
        <v>54</v>
      </c>
      <c r="E376" s="6" t="s">
        <v>26</v>
      </c>
      <c r="F376" s="6">
        <v>3</v>
      </c>
      <c r="G376" s="6" t="s">
        <v>27</v>
      </c>
      <c r="H376" s="6">
        <v>2</v>
      </c>
      <c r="I376" s="6">
        <v>8</v>
      </c>
      <c r="J376" s="6">
        <v>4</v>
      </c>
      <c r="K376" s="6" t="s">
        <v>55</v>
      </c>
      <c r="L376" s="6" t="str">
        <f>VLOOKUP(K376, 'Alphabetical by species code'!A:B, 2, FALSE)</f>
        <v>Daucus pusillus</v>
      </c>
    </row>
    <row r="377" spans="1:12" x14ac:dyDescent="0.25">
      <c r="A377" s="6">
        <v>4</v>
      </c>
      <c r="B377" s="6">
        <v>2025</v>
      </c>
      <c r="C377" s="7">
        <v>45755</v>
      </c>
      <c r="D377" s="6" t="s">
        <v>54</v>
      </c>
      <c r="E377" s="6" t="s">
        <v>26</v>
      </c>
      <c r="F377" s="6">
        <v>3</v>
      </c>
      <c r="G377" s="6" t="s">
        <v>27</v>
      </c>
      <c r="H377" s="6">
        <v>2</v>
      </c>
      <c r="I377" s="6">
        <v>8</v>
      </c>
      <c r="J377" s="6">
        <v>4</v>
      </c>
      <c r="K377" s="6" t="s">
        <v>35</v>
      </c>
      <c r="L377" s="6" t="str">
        <f>VLOOKUP(K377, 'Alphabetical by species code'!A:B, 2, FALSE)</f>
        <v>Deinandra fasciculata</v>
      </c>
    </row>
    <row r="378" spans="1:12" x14ac:dyDescent="0.25">
      <c r="A378" s="6">
        <v>4</v>
      </c>
      <c r="B378" s="6">
        <v>2025</v>
      </c>
      <c r="C378" s="7">
        <v>45755</v>
      </c>
      <c r="D378" s="6" t="s">
        <v>54</v>
      </c>
      <c r="E378" s="6" t="s">
        <v>26</v>
      </c>
      <c r="F378" s="6">
        <v>3</v>
      </c>
      <c r="G378" s="6" t="s">
        <v>27</v>
      </c>
      <c r="H378" s="6">
        <v>2</v>
      </c>
      <c r="I378" s="6">
        <v>8</v>
      </c>
      <c r="J378" s="6">
        <v>4</v>
      </c>
      <c r="K378" s="6" t="s">
        <v>31</v>
      </c>
      <c r="L378" s="6" t="str">
        <f>VLOOKUP(K378, 'Alphabetical by species code'!A:B, 2, FALSE)</f>
        <v>Festuca myuros</v>
      </c>
    </row>
    <row r="379" spans="1:12" x14ac:dyDescent="0.25">
      <c r="A379" s="6">
        <v>4</v>
      </c>
      <c r="B379" s="6">
        <v>2025</v>
      </c>
      <c r="C379" s="7">
        <v>45755</v>
      </c>
      <c r="D379" s="6" t="s">
        <v>54</v>
      </c>
      <c r="E379" s="6" t="s">
        <v>26</v>
      </c>
      <c r="F379" s="6">
        <v>3</v>
      </c>
      <c r="G379" s="6" t="s">
        <v>27</v>
      </c>
      <c r="H379" s="6">
        <v>2</v>
      </c>
      <c r="I379" s="6">
        <v>8</v>
      </c>
      <c r="J379" s="6">
        <v>4</v>
      </c>
      <c r="K379" s="6" t="s">
        <v>42</v>
      </c>
      <c r="L379" s="6" t="str">
        <f>VLOOKUP(K379, 'Alphabetical by species code'!A:B, 2, FALSE)</f>
        <v>Centaurea melitensis</v>
      </c>
    </row>
    <row r="380" spans="1:12" x14ac:dyDescent="0.25">
      <c r="A380" s="6">
        <v>4</v>
      </c>
      <c r="B380" s="6">
        <v>2025</v>
      </c>
      <c r="C380" s="7">
        <v>45755</v>
      </c>
      <c r="D380" s="6" t="s">
        <v>54</v>
      </c>
      <c r="E380" s="6" t="s">
        <v>26</v>
      </c>
      <c r="F380" s="6">
        <v>3</v>
      </c>
      <c r="G380" s="6" t="s">
        <v>27</v>
      </c>
      <c r="H380" s="6">
        <v>2</v>
      </c>
      <c r="I380" s="6">
        <v>9</v>
      </c>
      <c r="J380" s="6">
        <v>4.5</v>
      </c>
      <c r="K380" s="6" t="s">
        <v>51</v>
      </c>
      <c r="L380" s="6" t="str">
        <f>VLOOKUP(K380, 'Alphabetical by species code'!A:B, 2, FALSE)</f>
        <v>Bareground</v>
      </c>
    </row>
    <row r="381" spans="1:12" x14ac:dyDescent="0.25">
      <c r="A381" s="6">
        <v>4</v>
      </c>
      <c r="B381" s="6">
        <v>2025</v>
      </c>
      <c r="C381" s="7">
        <v>45755</v>
      </c>
      <c r="D381" s="6" t="s">
        <v>54</v>
      </c>
      <c r="E381" s="6" t="s">
        <v>26</v>
      </c>
      <c r="F381" s="6">
        <v>3</v>
      </c>
      <c r="G381" s="6" t="s">
        <v>27</v>
      </c>
      <c r="H381" s="6">
        <v>2</v>
      </c>
      <c r="I381" s="6">
        <v>9</v>
      </c>
      <c r="J381" s="6">
        <v>4.5</v>
      </c>
      <c r="K381" s="6" t="s">
        <v>32</v>
      </c>
      <c r="L381" s="6" t="str">
        <f>VLOOKUP(K381, 'Alphabetical by species code'!A:B, 2, FALSE)</f>
        <v>Medicago polymorpha</v>
      </c>
    </row>
    <row r="382" spans="1:12" x14ac:dyDescent="0.25">
      <c r="A382" s="6">
        <v>4</v>
      </c>
      <c r="B382" s="6">
        <v>2025</v>
      </c>
      <c r="C382" s="7">
        <v>45755</v>
      </c>
      <c r="D382" s="6" t="s">
        <v>54</v>
      </c>
      <c r="E382" s="6" t="s">
        <v>26</v>
      </c>
      <c r="F382" s="6">
        <v>3</v>
      </c>
      <c r="G382" s="6" t="s">
        <v>27</v>
      </c>
      <c r="H382" s="6">
        <v>2</v>
      </c>
      <c r="I382" s="6">
        <v>9</v>
      </c>
      <c r="J382" s="6">
        <v>4.5</v>
      </c>
      <c r="K382" s="6" t="s">
        <v>31</v>
      </c>
      <c r="L382" s="6" t="str">
        <f>VLOOKUP(K382, 'Alphabetical by species code'!A:B, 2, FALSE)</f>
        <v>Festuca myuros</v>
      </c>
    </row>
    <row r="383" spans="1:12" x14ac:dyDescent="0.25">
      <c r="A383" s="6">
        <v>4</v>
      </c>
      <c r="B383" s="6">
        <v>2025</v>
      </c>
      <c r="C383" s="7">
        <v>45755</v>
      </c>
      <c r="D383" s="6" t="s">
        <v>54</v>
      </c>
      <c r="E383" s="6" t="s">
        <v>26</v>
      </c>
      <c r="F383" s="6">
        <v>3</v>
      </c>
      <c r="G383" s="6" t="s">
        <v>27</v>
      </c>
      <c r="H383" s="6">
        <v>2</v>
      </c>
      <c r="I383" s="6">
        <v>9</v>
      </c>
      <c r="J383" s="6">
        <v>4.5</v>
      </c>
      <c r="K383" s="6" t="s">
        <v>57</v>
      </c>
      <c r="L383" s="6" t="str">
        <f>VLOOKUP(K383, 'Alphabetical by species code'!A:B, 2, FALSE)</f>
        <v>Stipa pulchra</v>
      </c>
    </row>
    <row r="384" spans="1:12" x14ac:dyDescent="0.25">
      <c r="A384" s="6">
        <v>4</v>
      </c>
      <c r="B384" s="6">
        <v>2025</v>
      </c>
      <c r="C384" s="7">
        <v>45755</v>
      </c>
      <c r="D384" s="6" t="s">
        <v>54</v>
      </c>
      <c r="E384" s="6" t="s">
        <v>26</v>
      </c>
      <c r="F384" s="6">
        <v>3</v>
      </c>
      <c r="G384" s="6" t="s">
        <v>27</v>
      </c>
      <c r="H384" s="6">
        <v>2</v>
      </c>
      <c r="I384" s="6">
        <v>10</v>
      </c>
      <c r="J384" s="6">
        <v>5</v>
      </c>
      <c r="K384" s="6" t="s">
        <v>28</v>
      </c>
      <c r="L384" s="6" t="str">
        <f>VLOOKUP(K384, 'Alphabetical by species code'!A:B, 2, FALSE)</f>
        <v>Litter</v>
      </c>
    </row>
    <row r="385" spans="1:12" x14ac:dyDescent="0.25">
      <c r="A385" s="6">
        <v>4</v>
      </c>
      <c r="B385" s="6">
        <v>2025</v>
      </c>
      <c r="C385" s="7">
        <v>45755</v>
      </c>
      <c r="D385" s="6" t="s">
        <v>54</v>
      </c>
      <c r="E385" s="6" t="s">
        <v>26</v>
      </c>
      <c r="F385" s="6">
        <v>3</v>
      </c>
      <c r="G385" s="6" t="s">
        <v>27</v>
      </c>
      <c r="H385" s="6">
        <v>2</v>
      </c>
      <c r="I385" s="6">
        <v>10</v>
      </c>
      <c r="J385" s="6">
        <v>5</v>
      </c>
      <c r="K385" s="6" t="s">
        <v>49</v>
      </c>
      <c r="L385" s="6" t="str">
        <f>VLOOKUP(K385, 'Alphabetical by species code'!A:B, 2, FALSE)</f>
        <v>Anagallis arvensis</v>
      </c>
    </row>
    <row r="386" spans="1:12" x14ac:dyDescent="0.25">
      <c r="A386" s="6">
        <v>4</v>
      </c>
      <c r="B386" s="6">
        <v>2025</v>
      </c>
      <c r="C386" s="7">
        <v>45755</v>
      </c>
      <c r="D386" s="6" t="s">
        <v>54</v>
      </c>
      <c r="E386" s="6" t="s">
        <v>26</v>
      </c>
      <c r="F386" s="6">
        <v>3</v>
      </c>
      <c r="G386" s="6" t="s">
        <v>27</v>
      </c>
      <c r="H386" s="6">
        <v>2</v>
      </c>
      <c r="I386" s="6">
        <v>10</v>
      </c>
      <c r="J386" s="6">
        <v>5</v>
      </c>
      <c r="K386" s="6" t="s">
        <v>31</v>
      </c>
      <c r="L386" s="6" t="str">
        <f>VLOOKUP(K386, 'Alphabetical by species code'!A:B, 2, FALSE)</f>
        <v>Festuca myuros</v>
      </c>
    </row>
    <row r="387" spans="1:12" x14ac:dyDescent="0.25">
      <c r="A387" s="6">
        <v>4</v>
      </c>
      <c r="B387" s="6">
        <v>2025</v>
      </c>
      <c r="C387" s="7">
        <v>45755</v>
      </c>
      <c r="D387" s="6" t="s">
        <v>54</v>
      </c>
      <c r="E387" s="6" t="s">
        <v>26</v>
      </c>
      <c r="F387" s="6">
        <v>3</v>
      </c>
      <c r="G387" s="6" t="s">
        <v>27</v>
      </c>
      <c r="H387" s="6">
        <v>2</v>
      </c>
      <c r="I387" s="6">
        <v>11</v>
      </c>
      <c r="J387" s="6">
        <v>5.5</v>
      </c>
      <c r="K387" s="6" t="s">
        <v>38</v>
      </c>
      <c r="L387" s="6" t="str">
        <f>VLOOKUP(K387, 'Alphabetical by species code'!A:B, 2, FALSE)</f>
        <v>Thatch</v>
      </c>
    </row>
    <row r="388" spans="1:12" x14ac:dyDescent="0.25">
      <c r="A388" s="6">
        <v>4</v>
      </c>
      <c r="B388" s="6">
        <v>2025</v>
      </c>
      <c r="C388" s="7">
        <v>45755</v>
      </c>
      <c r="D388" s="6" t="s">
        <v>54</v>
      </c>
      <c r="E388" s="6" t="s">
        <v>26</v>
      </c>
      <c r="F388" s="6">
        <v>3</v>
      </c>
      <c r="G388" s="6" t="s">
        <v>27</v>
      </c>
      <c r="H388" s="6">
        <v>2</v>
      </c>
      <c r="I388" s="6">
        <v>11</v>
      </c>
      <c r="J388" s="6">
        <v>5.5</v>
      </c>
      <c r="K388" s="6" t="s">
        <v>35</v>
      </c>
      <c r="L388" s="6" t="str">
        <f>VLOOKUP(K388, 'Alphabetical by species code'!A:B, 2, FALSE)</f>
        <v>Deinandra fasciculata</v>
      </c>
    </row>
    <row r="389" spans="1:12" x14ac:dyDescent="0.25">
      <c r="A389" s="6">
        <v>4</v>
      </c>
      <c r="B389" s="6">
        <v>2025</v>
      </c>
      <c r="C389" s="7">
        <v>45755</v>
      </c>
      <c r="D389" s="6" t="s">
        <v>54</v>
      </c>
      <c r="E389" s="6" t="s">
        <v>26</v>
      </c>
      <c r="F389" s="6">
        <v>3</v>
      </c>
      <c r="G389" s="6" t="s">
        <v>27</v>
      </c>
      <c r="H389" s="6">
        <v>2</v>
      </c>
      <c r="I389" s="6">
        <v>11</v>
      </c>
      <c r="J389" s="6">
        <v>5.5</v>
      </c>
      <c r="K389" s="6" t="s">
        <v>42</v>
      </c>
      <c r="L389" s="6" t="str">
        <f>VLOOKUP(K389, 'Alphabetical by species code'!A:B, 2, FALSE)</f>
        <v>Centaurea melitensis</v>
      </c>
    </row>
    <row r="390" spans="1:12" x14ac:dyDescent="0.25">
      <c r="A390" s="6">
        <v>4</v>
      </c>
      <c r="B390" s="6">
        <v>2025</v>
      </c>
      <c r="C390" s="7">
        <v>45755</v>
      </c>
      <c r="D390" s="6" t="s">
        <v>54</v>
      </c>
      <c r="E390" s="6" t="s">
        <v>26</v>
      </c>
      <c r="F390" s="6">
        <v>3</v>
      </c>
      <c r="G390" s="6" t="s">
        <v>27</v>
      </c>
      <c r="H390" s="6">
        <v>2</v>
      </c>
      <c r="I390" s="6">
        <v>11</v>
      </c>
      <c r="J390" s="6">
        <v>5.5</v>
      </c>
      <c r="K390" s="6" t="s">
        <v>31</v>
      </c>
      <c r="L390" s="6" t="str">
        <f>VLOOKUP(K390, 'Alphabetical by species code'!A:B, 2, FALSE)</f>
        <v>Festuca myuros</v>
      </c>
    </row>
    <row r="391" spans="1:12" x14ac:dyDescent="0.25">
      <c r="A391" s="6">
        <v>4</v>
      </c>
      <c r="B391" s="6">
        <v>2025</v>
      </c>
      <c r="C391" s="7">
        <v>45755</v>
      </c>
      <c r="D391" s="6" t="s">
        <v>54</v>
      </c>
      <c r="E391" s="6" t="s">
        <v>26</v>
      </c>
      <c r="F391" s="6">
        <v>3</v>
      </c>
      <c r="G391" s="6" t="s">
        <v>27</v>
      </c>
      <c r="H391" s="6">
        <v>2</v>
      </c>
      <c r="I391" s="6">
        <v>12</v>
      </c>
      <c r="J391" s="6">
        <v>6</v>
      </c>
      <c r="K391" s="6" t="s">
        <v>28</v>
      </c>
      <c r="L391" s="6" t="str">
        <f>VLOOKUP(K391, 'Alphabetical by species code'!A:B, 2, FALSE)</f>
        <v>Litter</v>
      </c>
    </row>
    <row r="392" spans="1:12" x14ac:dyDescent="0.25">
      <c r="A392" s="6">
        <v>4</v>
      </c>
      <c r="B392" s="6">
        <v>2025</v>
      </c>
      <c r="C392" s="7">
        <v>45755</v>
      </c>
      <c r="D392" s="6" t="s">
        <v>54</v>
      </c>
      <c r="E392" s="6" t="s">
        <v>26</v>
      </c>
      <c r="F392" s="6">
        <v>3</v>
      </c>
      <c r="G392" s="6" t="s">
        <v>27</v>
      </c>
      <c r="H392" s="6">
        <v>2</v>
      </c>
      <c r="I392" s="6">
        <v>12</v>
      </c>
      <c r="J392" s="6">
        <v>6</v>
      </c>
      <c r="K392" s="6" t="s">
        <v>43</v>
      </c>
      <c r="L392" s="6" t="str">
        <f>VLOOKUP(K392, 'Alphabetical by species code'!A:B, 2, FALSE)</f>
        <v>Uropappus lindleyi</v>
      </c>
    </row>
    <row r="393" spans="1:12" x14ac:dyDescent="0.25">
      <c r="A393" s="6">
        <v>4</v>
      </c>
      <c r="B393" s="6">
        <v>2025</v>
      </c>
      <c r="C393" s="7">
        <v>45755</v>
      </c>
      <c r="D393" s="6" t="s">
        <v>54</v>
      </c>
      <c r="E393" s="6" t="s">
        <v>26</v>
      </c>
      <c r="F393" s="6">
        <v>3</v>
      </c>
      <c r="G393" s="6" t="s">
        <v>27</v>
      </c>
      <c r="H393" s="6">
        <v>2</v>
      </c>
      <c r="I393" s="6">
        <v>12</v>
      </c>
      <c r="J393" s="6">
        <v>6</v>
      </c>
      <c r="K393" s="6" t="s">
        <v>31</v>
      </c>
      <c r="L393" s="6" t="str">
        <f>VLOOKUP(K393, 'Alphabetical by species code'!A:B, 2, FALSE)</f>
        <v>Festuca myuros</v>
      </c>
    </row>
    <row r="394" spans="1:12" x14ac:dyDescent="0.25">
      <c r="A394" s="6">
        <v>4</v>
      </c>
      <c r="B394" s="6">
        <v>2025</v>
      </c>
      <c r="C394" s="7">
        <v>45755</v>
      </c>
      <c r="D394" s="6" t="s">
        <v>54</v>
      </c>
      <c r="E394" s="6" t="s">
        <v>26</v>
      </c>
      <c r="F394" s="6">
        <v>3</v>
      </c>
      <c r="G394" s="6" t="s">
        <v>27</v>
      </c>
      <c r="H394" s="6">
        <v>2</v>
      </c>
      <c r="I394" s="6">
        <v>13</v>
      </c>
      <c r="J394" s="6">
        <v>6.5</v>
      </c>
      <c r="K394" s="6" t="s">
        <v>28</v>
      </c>
      <c r="L394" s="6" t="str">
        <f>VLOOKUP(K394, 'Alphabetical by species code'!A:B, 2, FALSE)</f>
        <v>Litter</v>
      </c>
    </row>
    <row r="395" spans="1:12" x14ac:dyDescent="0.25">
      <c r="A395" s="6">
        <v>4</v>
      </c>
      <c r="B395" s="6">
        <v>2025</v>
      </c>
      <c r="C395" s="7">
        <v>45755</v>
      </c>
      <c r="D395" s="6" t="s">
        <v>54</v>
      </c>
      <c r="E395" s="6" t="s">
        <v>26</v>
      </c>
      <c r="F395" s="6">
        <v>3</v>
      </c>
      <c r="G395" s="6" t="s">
        <v>27</v>
      </c>
      <c r="H395" s="6">
        <v>2</v>
      </c>
      <c r="I395" s="6">
        <v>13</v>
      </c>
      <c r="J395" s="6">
        <v>6.5</v>
      </c>
      <c r="K395" s="6" t="s">
        <v>35</v>
      </c>
      <c r="L395" s="6" t="str">
        <f>VLOOKUP(K395, 'Alphabetical by species code'!A:B, 2, FALSE)</f>
        <v>Deinandra fasciculata</v>
      </c>
    </row>
    <row r="396" spans="1:12" x14ac:dyDescent="0.25">
      <c r="A396" s="6">
        <v>4</v>
      </c>
      <c r="B396" s="6">
        <v>2025</v>
      </c>
      <c r="C396" s="7">
        <v>45755</v>
      </c>
      <c r="D396" s="6" t="s">
        <v>54</v>
      </c>
      <c r="E396" s="6" t="s">
        <v>26</v>
      </c>
      <c r="F396" s="6">
        <v>3</v>
      </c>
      <c r="G396" s="6" t="s">
        <v>27</v>
      </c>
      <c r="H396" s="6">
        <v>2</v>
      </c>
      <c r="I396" s="6">
        <v>14</v>
      </c>
      <c r="J396" s="6">
        <v>7</v>
      </c>
      <c r="K396" s="6" t="s">
        <v>28</v>
      </c>
      <c r="L396" s="6" t="str">
        <f>VLOOKUP(K396, 'Alphabetical by species code'!A:B, 2, FALSE)</f>
        <v>Litter</v>
      </c>
    </row>
    <row r="397" spans="1:12" x14ac:dyDescent="0.25">
      <c r="A397" s="6">
        <v>4</v>
      </c>
      <c r="B397" s="6">
        <v>2025</v>
      </c>
      <c r="C397" s="7">
        <v>45755</v>
      </c>
      <c r="D397" s="6" t="s">
        <v>54</v>
      </c>
      <c r="E397" s="6" t="s">
        <v>26</v>
      </c>
      <c r="F397" s="6">
        <v>3</v>
      </c>
      <c r="G397" s="6" t="s">
        <v>27</v>
      </c>
      <c r="H397" s="6">
        <v>2</v>
      </c>
      <c r="I397" s="6">
        <v>14</v>
      </c>
      <c r="J397" s="6">
        <v>7</v>
      </c>
      <c r="K397" s="6" t="s">
        <v>42</v>
      </c>
      <c r="L397" s="6" t="str">
        <f>VLOOKUP(K397, 'Alphabetical by species code'!A:B, 2, FALSE)</f>
        <v>Centaurea melitensis</v>
      </c>
    </row>
    <row r="398" spans="1:12" x14ac:dyDescent="0.25">
      <c r="A398" s="6">
        <v>4</v>
      </c>
      <c r="B398" s="6">
        <v>2025</v>
      </c>
      <c r="C398" s="7">
        <v>45755</v>
      </c>
      <c r="D398" s="6" t="s">
        <v>54</v>
      </c>
      <c r="E398" s="6" t="s">
        <v>26</v>
      </c>
      <c r="F398" s="6">
        <v>3</v>
      </c>
      <c r="G398" s="6" t="s">
        <v>27</v>
      </c>
      <c r="H398" s="6">
        <v>2</v>
      </c>
      <c r="I398" s="6">
        <v>14</v>
      </c>
      <c r="J398" s="6">
        <v>7</v>
      </c>
      <c r="K398" s="6" t="s">
        <v>29</v>
      </c>
      <c r="L398" s="6" t="str">
        <f>VLOOKUP(K398, 'Alphabetical by species code'!A:B, 2, FALSE)</f>
        <v>Opuntia littoralis</v>
      </c>
    </row>
    <row r="399" spans="1:12" x14ac:dyDescent="0.25">
      <c r="A399" s="6">
        <v>4</v>
      </c>
      <c r="B399" s="6">
        <v>2025</v>
      </c>
      <c r="C399" s="7">
        <v>45755</v>
      </c>
      <c r="D399" s="6" t="s">
        <v>54</v>
      </c>
      <c r="E399" s="6" t="s">
        <v>26</v>
      </c>
      <c r="F399" s="6">
        <v>3</v>
      </c>
      <c r="G399" s="6" t="s">
        <v>27</v>
      </c>
      <c r="H399" s="6">
        <v>2</v>
      </c>
      <c r="I399" s="6">
        <v>14</v>
      </c>
      <c r="J399" s="6">
        <v>7</v>
      </c>
      <c r="K399" s="6" t="s">
        <v>61</v>
      </c>
      <c r="L399" s="6" t="str">
        <f>VLOOKUP(K399, 'Alphabetical by species code'!A:B, 2, FALSE)</f>
        <v>Phacelia cicutaria</v>
      </c>
    </row>
    <row r="400" spans="1:12" x14ac:dyDescent="0.25">
      <c r="A400" s="6">
        <v>4</v>
      </c>
      <c r="B400" s="6">
        <v>2025</v>
      </c>
      <c r="C400" s="7">
        <v>45755</v>
      </c>
      <c r="D400" s="6" t="s">
        <v>54</v>
      </c>
      <c r="E400" s="6" t="s">
        <v>26</v>
      </c>
      <c r="F400" s="6">
        <v>3</v>
      </c>
      <c r="G400" s="6" t="s">
        <v>27</v>
      </c>
      <c r="H400" s="6">
        <v>2</v>
      </c>
      <c r="I400" s="6">
        <v>15</v>
      </c>
      <c r="J400" s="6">
        <v>7.5</v>
      </c>
      <c r="K400" s="6" t="s">
        <v>28</v>
      </c>
      <c r="L400" s="6" t="str">
        <f>VLOOKUP(K400, 'Alphabetical by species code'!A:B, 2, FALSE)</f>
        <v>Litter</v>
      </c>
    </row>
    <row r="401" spans="1:12" x14ac:dyDescent="0.25">
      <c r="A401" s="6">
        <v>4</v>
      </c>
      <c r="B401" s="6">
        <v>2025</v>
      </c>
      <c r="C401" s="7">
        <v>45755</v>
      </c>
      <c r="D401" s="6" t="s">
        <v>54</v>
      </c>
      <c r="E401" s="6" t="s">
        <v>26</v>
      </c>
      <c r="F401" s="6">
        <v>3</v>
      </c>
      <c r="G401" s="6" t="s">
        <v>27</v>
      </c>
      <c r="H401" s="6">
        <v>2</v>
      </c>
      <c r="I401" s="6">
        <v>15</v>
      </c>
      <c r="J401" s="6">
        <v>7.5</v>
      </c>
      <c r="K401" s="6" t="s">
        <v>35</v>
      </c>
      <c r="L401" s="6" t="str">
        <f>VLOOKUP(K401, 'Alphabetical by species code'!A:B, 2, FALSE)</f>
        <v>Deinandra fasciculata</v>
      </c>
    </row>
    <row r="402" spans="1:12" x14ac:dyDescent="0.25">
      <c r="A402" s="6">
        <v>4</v>
      </c>
      <c r="B402" s="6">
        <v>2025</v>
      </c>
      <c r="C402" s="7">
        <v>45755</v>
      </c>
      <c r="D402" s="6" t="s">
        <v>54</v>
      </c>
      <c r="E402" s="6" t="s">
        <v>26</v>
      </c>
      <c r="F402" s="6">
        <v>3</v>
      </c>
      <c r="G402" s="6" t="s">
        <v>27</v>
      </c>
      <c r="H402" s="6">
        <v>2</v>
      </c>
      <c r="I402" s="6">
        <v>15</v>
      </c>
      <c r="J402" s="6">
        <v>7.5</v>
      </c>
      <c r="K402" s="6" t="s">
        <v>42</v>
      </c>
      <c r="L402" s="6" t="str">
        <f>VLOOKUP(K402, 'Alphabetical by species code'!A:B, 2, FALSE)</f>
        <v>Centaurea melitensis</v>
      </c>
    </row>
    <row r="403" spans="1:12" x14ac:dyDescent="0.25">
      <c r="A403" s="6">
        <v>5</v>
      </c>
      <c r="B403" s="6">
        <v>2025</v>
      </c>
      <c r="C403" s="7">
        <v>45755</v>
      </c>
      <c r="D403" s="6" t="s">
        <v>62</v>
      </c>
      <c r="E403" s="6" t="s">
        <v>26</v>
      </c>
      <c r="F403" s="6">
        <v>3</v>
      </c>
      <c r="G403" s="6" t="s">
        <v>63</v>
      </c>
      <c r="H403" s="6">
        <v>1</v>
      </c>
      <c r="I403" s="6">
        <v>1</v>
      </c>
      <c r="J403" s="6">
        <v>0</v>
      </c>
      <c r="K403" s="6" t="s">
        <v>28</v>
      </c>
      <c r="L403" s="6" t="str">
        <f>VLOOKUP(K403, 'Alphabetical by species code'!A:B, 2, FALSE)</f>
        <v>Litter</v>
      </c>
    </row>
    <row r="404" spans="1:12" x14ac:dyDescent="0.25">
      <c r="A404" s="6">
        <v>5</v>
      </c>
      <c r="B404" s="6">
        <v>2025</v>
      </c>
      <c r="C404" s="7">
        <v>45755</v>
      </c>
      <c r="D404" s="6" t="s">
        <v>62</v>
      </c>
      <c r="E404" s="6" t="s">
        <v>26</v>
      </c>
      <c r="F404" s="6">
        <v>3</v>
      </c>
      <c r="G404" s="6" t="s">
        <v>63</v>
      </c>
      <c r="H404" s="6">
        <v>1</v>
      </c>
      <c r="I404" s="6">
        <v>1</v>
      </c>
      <c r="J404" s="6">
        <v>0</v>
      </c>
      <c r="K404" s="6" t="s">
        <v>31</v>
      </c>
      <c r="L404" s="6" t="str">
        <f>VLOOKUP(K404, 'Alphabetical by species code'!A:B, 2, FALSE)</f>
        <v>Festuca myuros</v>
      </c>
    </row>
    <row r="405" spans="1:12" x14ac:dyDescent="0.25">
      <c r="A405" s="6">
        <v>5</v>
      </c>
      <c r="B405" s="6">
        <v>2025</v>
      </c>
      <c r="C405" s="7">
        <v>45755</v>
      </c>
      <c r="D405" s="6" t="s">
        <v>62</v>
      </c>
      <c r="E405" s="6" t="s">
        <v>26</v>
      </c>
      <c r="F405" s="6">
        <v>3</v>
      </c>
      <c r="G405" s="6" t="s">
        <v>63</v>
      </c>
      <c r="H405" s="6">
        <v>1</v>
      </c>
      <c r="I405" s="6">
        <v>1</v>
      </c>
      <c r="J405" s="6">
        <v>0</v>
      </c>
      <c r="K405" s="6" t="s">
        <v>32</v>
      </c>
      <c r="L405" s="6" t="str">
        <f>VLOOKUP(K405, 'Alphabetical by species code'!A:B, 2, FALSE)</f>
        <v>Medicago polymorpha</v>
      </c>
    </row>
    <row r="406" spans="1:12" x14ac:dyDescent="0.25">
      <c r="A406" s="6">
        <v>5</v>
      </c>
      <c r="B406" s="6">
        <v>2025</v>
      </c>
      <c r="C406" s="7">
        <v>45755</v>
      </c>
      <c r="D406" s="6" t="s">
        <v>62</v>
      </c>
      <c r="E406" s="6" t="s">
        <v>26</v>
      </c>
      <c r="F406" s="6">
        <v>3</v>
      </c>
      <c r="G406" s="6" t="s">
        <v>63</v>
      </c>
      <c r="H406" s="6">
        <v>1</v>
      </c>
      <c r="I406" s="6">
        <v>1</v>
      </c>
      <c r="J406" s="6">
        <v>0</v>
      </c>
      <c r="K406" s="6" t="s">
        <v>42</v>
      </c>
      <c r="L406" s="6" t="str">
        <f>VLOOKUP(K406, 'Alphabetical by species code'!A:B, 2, FALSE)</f>
        <v>Centaurea melitensis</v>
      </c>
    </row>
    <row r="407" spans="1:12" x14ac:dyDescent="0.25">
      <c r="A407" s="6">
        <v>5</v>
      </c>
      <c r="B407" s="6">
        <v>2025</v>
      </c>
      <c r="C407" s="7">
        <v>45755</v>
      </c>
      <c r="D407" s="6" t="s">
        <v>62</v>
      </c>
      <c r="E407" s="6" t="s">
        <v>26</v>
      </c>
      <c r="F407" s="6">
        <v>3</v>
      </c>
      <c r="G407" s="6" t="s">
        <v>63</v>
      </c>
      <c r="H407" s="6">
        <v>1</v>
      </c>
      <c r="I407" s="6">
        <v>2</v>
      </c>
      <c r="J407" s="6">
        <v>1</v>
      </c>
      <c r="K407" s="6" t="s">
        <v>28</v>
      </c>
      <c r="L407" s="6" t="str">
        <f>VLOOKUP(K407, 'Alphabetical by species code'!A:B, 2, FALSE)</f>
        <v>Litter</v>
      </c>
    </row>
    <row r="408" spans="1:12" x14ac:dyDescent="0.25">
      <c r="A408" s="6">
        <v>5</v>
      </c>
      <c r="B408" s="6">
        <v>2025</v>
      </c>
      <c r="C408" s="7">
        <v>45755</v>
      </c>
      <c r="D408" s="6" t="s">
        <v>62</v>
      </c>
      <c r="E408" s="6" t="s">
        <v>26</v>
      </c>
      <c r="F408" s="6">
        <v>3</v>
      </c>
      <c r="G408" s="6" t="s">
        <v>63</v>
      </c>
      <c r="H408" s="6">
        <v>1</v>
      </c>
      <c r="I408" s="6">
        <v>2</v>
      </c>
      <c r="J408" s="6">
        <v>1</v>
      </c>
      <c r="K408" s="6" t="s">
        <v>31</v>
      </c>
      <c r="L408" s="6" t="str">
        <f>VLOOKUP(K408, 'Alphabetical by species code'!A:B, 2, FALSE)</f>
        <v>Festuca myuros</v>
      </c>
    </row>
    <row r="409" spans="1:12" x14ac:dyDescent="0.25">
      <c r="A409" s="6">
        <v>5</v>
      </c>
      <c r="B409" s="6">
        <v>2025</v>
      </c>
      <c r="C409" s="7">
        <v>45755</v>
      </c>
      <c r="D409" s="6" t="s">
        <v>62</v>
      </c>
      <c r="E409" s="6" t="s">
        <v>26</v>
      </c>
      <c r="F409" s="6">
        <v>3</v>
      </c>
      <c r="G409" s="6" t="s">
        <v>63</v>
      </c>
      <c r="H409" s="6">
        <v>1</v>
      </c>
      <c r="I409" s="6">
        <v>2</v>
      </c>
      <c r="J409" s="6">
        <v>1</v>
      </c>
      <c r="K409" s="6" t="s">
        <v>39</v>
      </c>
      <c r="L409" s="6" t="str">
        <f>VLOOKUP(K409, 'Alphabetical by species code'!A:B, 2, FALSE)</f>
        <v>Stephanomeria diegensis</v>
      </c>
    </row>
    <row r="410" spans="1:12" x14ac:dyDescent="0.25">
      <c r="A410" s="6">
        <v>5</v>
      </c>
      <c r="B410" s="6">
        <v>2025</v>
      </c>
      <c r="C410" s="7">
        <v>45755</v>
      </c>
      <c r="D410" s="6" t="s">
        <v>62</v>
      </c>
      <c r="E410" s="6" t="s">
        <v>26</v>
      </c>
      <c r="F410" s="6">
        <v>3</v>
      </c>
      <c r="G410" s="6" t="s">
        <v>63</v>
      </c>
      <c r="H410" s="6">
        <v>1</v>
      </c>
      <c r="I410" s="6">
        <v>3</v>
      </c>
      <c r="J410" s="6">
        <v>1.5</v>
      </c>
      <c r="K410" s="6" t="s">
        <v>28</v>
      </c>
      <c r="L410" s="6" t="str">
        <f>VLOOKUP(K410, 'Alphabetical by species code'!A:B, 2, FALSE)</f>
        <v>Litter</v>
      </c>
    </row>
    <row r="411" spans="1:12" x14ac:dyDescent="0.25">
      <c r="A411" s="6">
        <v>5</v>
      </c>
      <c r="B411" s="6">
        <v>2025</v>
      </c>
      <c r="C411" s="7">
        <v>45755</v>
      </c>
      <c r="D411" s="6" t="s">
        <v>62</v>
      </c>
      <c r="E411" s="6" t="s">
        <v>26</v>
      </c>
      <c r="F411" s="6">
        <v>3</v>
      </c>
      <c r="G411" s="6" t="s">
        <v>63</v>
      </c>
      <c r="H411" s="6">
        <v>1</v>
      </c>
      <c r="I411" s="6">
        <v>3</v>
      </c>
      <c r="J411" s="6">
        <v>1.5</v>
      </c>
      <c r="K411" s="6" t="s">
        <v>55</v>
      </c>
      <c r="L411" s="6" t="str">
        <f>VLOOKUP(K411, 'Alphabetical by species code'!A:B, 2, FALSE)</f>
        <v>Daucus pusillus</v>
      </c>
    </row>
    <row r="412" spans="1:12" x14ac:dyDescent="0.25">
      <c r="A412" s="6">
        <v>5</v>
      </c>
      <c r="B412" s="6">
        <v>2025</v>
      </c>
      <c r="C412" s="7">
        <v>45755</v>
      </c>
      <c r="D412" s="6" t="s">
        <v>62</v>
      </c>
      <c r="E412" s="6" t="s">
        <v>26</v>
      </c>
      <c r="F412" s="6">
        <v>3</v>
      </c>
      <c r="G412" s="6" t="s">
        <v>63</v>
      </c>
      <c r="H412" s="6">
        <v>1</v>
      </c>
      <c r="I412" s="6">
        <v>3</v>
      </c>
      <c r="J412" s="6">
        <v>1.5</v>
      </c>
      <c r="K412" s="6" t="s">
        <v>49</v>
      </c>
      <c r="L412" s="6" t="str">
        <f>VLOOKUP(K412, 'Alphabetical by species code'!A:B, 2, FALSE)</f>
        <v>Anagallis arvensis</v>
      </c>
    </row>
    <row r="413" spans="1:12" x14ac:dyDescent="0.25">
      <c r="A413" s="6">
        <v>5</v>
      </c>
      <c r="B413" s="6">
        <v>2025</v>
      </c>
      <c r="C413" s="7">
        <v>45755</v>
      </c>
      <c r="D413" s="6" t="s">
        <v>62</v>
      </c>
      <c r="E413" s="6" t="s">
        <v>26</v>
      </c>
      <c r="F413" s="6">
        <v>3</v>
      </c>
      <c r="G413" s="6" t="s">
        <v>63</v>
      </c>
      <c r="H413" s="6">
        <v>1</v>
      </c>
      <c r="I413" s="6">
        <v>3</v>
      </c>
      <c r="J413" s="6">
        <v>1.5</v>
      </c>
      <c r="K413" s="6" t="s">
        <v>31</v>
      </c>
      <c r="L413" s="6" t="str">
        <f>VLOOKUP(K413, 'Alphabetical by species code'!A:B, 2, FALSE)</f>
        <v>Festuca myuros</v>
      </c>
    </row>
    <row r="414" spans="1:12" x14ac:dyDescent="0.25">
      <c r="A414" s="6">
        <v>5</v>
      </c>
      <c r="B414" s="6">
        <v>2025</v>
      </c>
      <c r="C414" s="7">
        <v>45755</v>
      </c>
      <c r="D414" s="6" t="s">
        <v>62</v>
      </c>
      <c r="E414" s="6" t="s">
        <v>26</v>
      </c>
      <c r="F414" s="6">
        <v>3</v>
      </c>
      <c r="G414" s="6" t="s">
        <v>63</v>
      </c>
      <c r="H414" s="6">
        <v>1</v>
      </c>
      <c r="I414" s="6">
        <v>4</v>
      </c>
      <c r="J414" s="6">
        <v>2</v>
      </c>
      <c r="K414" s="6" t="s">
        <v>28</v>
      </c>
      <c r="L414" s="6" t="str">
        <f>VLOOKUP(K414, 'Alphabetical by species code'!A:B, 2, FALSE)</f>
        <v>Litter</v>
      </c>
    </row>
    <row r="415" spans="1:12" x14ac:dyDescent="0.25">
      <c r="A415" s="6">
        <v>5</v>
      </c>
      <c r="B415" s="6">
        <v>2025</v>
      </c>
      <c r="C415" s="7">
        <v>45755</v>
      </c>
      <c r="D415" s="6" t="s">
        <v>62</v>
      </c>
      <c r="E415" s="6" t="s">
        <v>26</v>
      </c>
      <c r="F415" s="6">
        <v>3</v>
      </c>
      <c r="G415" s="6" t="s">
        <v>63</v>
      </c>
      <c r="H415" s="6">
        <v>1</v>
      </c>
      <c r="I415" s="6">
        <v>4</v>
      </c>
      <c r="J415" s="6">
        <v>2</v>
      </c>
      <c r="K415" s="6" t="s">
        <v>32</v>
      </c>
      <c r="L415" s="6" t="str">
        <f>VLOOKUP(K415, 'Alphabetical by species code'!A:B, 2, FALSE)</f>
        <v>Medicago polymorpha</v>
      </c>
    </row>
    <row r="416" spans="1:12" x14ac:dyDescent="0.25">
      <c r="A416" s="6">
        <v>5</v>
      </c>
      <c r="B416" s="6">
        <v>2025</v>
      </c>
      <c r="C416" s="7">
        <v>45755</v>
      </c>
      <c r="D416" s="6" t="s">
        <v>62</v>
      </c>
      <c r="E416" s="6" t="s">
        <v>26</v>
      </c>
      <c r="F416" s="6">
        <v>3</v>
      </c>
      <c r="G416" s="6" t="s">
        <v>63</v>
      </c>
      <c r="H416" s="6">
        <v>1</v>
      </c>
      <c r="I416" s="6">
        <v>4</v>
      </c>
      <c r="J416" s="6">
        <v>2</v>
      </c>
      <c r="K416" s="6" t="s">
        <v>31</v>
      </c>
      <c r="L416" s="6" t="str">
        <f>VLOOKUP(K416, 'Alphabetical by species code'!A:B, 2, FALSE)</f>
        <v>Festuca myuros</v>
      </c>
    </row>
    <row r="417" spans="1:12" x14ac:dyDescent="0.25">
      <c r="A417" s="6">
        <v>5</v>
      </c>
      <c r="B417" s="6">
        <v>2025</v>
      </c>
      <c r="C417" s="7">
        <v>45755</v>
      </c>
      <c r="D417" s="6" t="s">
        <v>62</v>
      </c>
      <c r="E417" s="6" t="s">
        <v>26</v>
      </c>
      <c r="F417" s="6">
        <v>3</v>
      </c>
      <c r="G417" s="6" t="s">
        <v>63</v>
      </c>
      <c r="H417" s="6">
        <v>1</v>
      </c>
      <c r="I417" s="6">
        <v>4</v>
      </c>
      <c r="J417" s="6">
        <v>2</v>
      </c>
      <c r="K417" s="6" t="s">
        <v>64</v>
      </c>
      <c r="L417" s="6" t="str">
        <f>VLOOKUP(K417, 'Alphabetical by species code'!A:B, 2, FALSE)</f>
        <v>Brassica nigra</v>
      </c>
    </row>
    <row r="418" spans="1:12" x14ac:dyDescent="0.25">
      <c r="A418" s="6">
        <v>5</v>
      </c>
      <c r="B418" s="6">
        <v>2025</v>
      </c>
      <c r="C418" s="7">
        <v>45755</v>
      </c>
      <c r="D418" s="6" t="s">
        <v>62</v>
      </c>
      <c r="E418" s="6" t="s">
        <v>26</v>
      </c>
      <c r="F418" s="6">
        <v>3</v>
      </c>
      <c r="G418" s="6" t="s">
        <v>63</v>
      </c>
      <c r="H418" s="6">
        <v>1</v>
      </c>
      <c r="I418" s="6">
        <v>5</v>
      </c>
      <c r="J418" s="6">
        <v>3</v>
      </c>
      <c r="K418" s="6" t="s">
        <v>28</v>
      </c>
      <c r="L418" s="6" t="str">
        <f>VLOOKUP(K418, 'Alphabetical by species code'!A:B, 2, FALSE)</f>
        <v>Litter</v>
      </c>
    </row>
    <row r="419" spans="1:12" x14ac:dyDescent="0.25">
      <c r="A419" s="6">
        <v>5</v>
      </c>
      <c r="B419" s="6">
        <v>2025</v>
      </c>
      <c r="C419" s="7">
        <v>45755</v>
      </c>
      <c r="D419" s="6" t="s">
        <v>62</v>
      </c>
      <c r="E419" s="6" t="s">
        <v>26</v>
      </c>
      <c r="F419" s="6">
        <v>3</v>
      </c>
      <c r="G419" s="6" t="s">
        <v>63</v>
      </c>
      <c r="H419" s="6">
        <v>1</v>
      </c>
      <c r="I419" s="6">
        <v>5</v>
      </c>
      <c r="J419" s="6">
        <v>3</v>
      </c>
      <c r="K419" s="6" t="s">
        <v>49</v>
      </c>
      <c r="L419" s="6" t="str">
        <f>VLOOKUP(K419, 'Alphabetical by species code'!A:B, 2, FALSE)</f>
        <v>Anagallis arvensis</v>
      </c>
    </row>
    <row r="420" spans="1:12" x14ac:dyDescent="0.25">
      <c r="A420" s="6">
        <v>5</v>
      </c>
      <c r="B420" s="6">
        <v>2025</v>
      </c>
      <c r="C420" s="7">
        <v>45755</v>
      </c>
      <c r="D420" s="6" t="s">
        <v>62</v>
      </c>
      <c r="E420" s="6" t="s">
        <v>26</v>
      </c>
      <c r="F420" s="6">
        <v>3</v>
      </c>
      <c r="G420" s="6" t="s">
        <v>63</v>
      </c>
      <c r="H420" s="6">
        <v>1</v>
      </c>
      <c r="I420" s="6">
        <v>5</v>
      </c>
      <c r="J420" s="6">
        <v>3</v>
      </c>
      <c r="K420" s="6" t="s">
        <v>32</v>
      </c>
      <c r="L420" s="6" t="str">
        <f>VLOOKUP(K420, 'Alphabetical by species code'!A:B, 2, FALSE)</f>
        <v>Medicago polymorpha</v>
      </c>
    </row>
    <row r="421" spans="1:12" x14ac:dyDescent="0.25">
      <c r="A421" s="6">
        <v>5</v>
      </c>
      <c r="B421" s="6">
        <v>2025</v>
      </c>
      <c r="C421" s="7">
        <v>45755</v>
      </c>
      <c r="D421" s="6" t="s">
        <v>62</v>
      </c>
      <c r="E421" s="6" t="s">
        <v>26</v>
      </c>
      <c r="F421" s="6">
        <v>3</v>
      </c>
      <c r="G421" s="6" t="s">
        <v>63</v>
      </c>
      <c r="H421" s="6">
        <v>1</v>
      </c>
      <c r="I421" s="6">
        <v>5</v>
      </c>
      <c r="J421" s="6">
        <v>3</v>
      </c>
      <c r="K421" s="6" t="s">
        <v>42</v>
      </c>
      <c r="L421" s="6" t="str">
        <f>VLOOKUP(K421, 'Alphabetical by species code'!A:B, 2, FALSE)</f>
        <v>Centaurea melitensis</v>
      </c>
    </row>
    <row r="422" spans="1:12" x14ac:dyDescent="0.25">
      <c r="A422" s="6">
        <v>5</v>
      </c>
      <c r="B422" s="6">
        <v>2025</v>
      </c>
      <c r="C422" s="7">
        <v>45755</v>
      </c>
      <c r="D422" s="6" t="s">
        <v>62</v>
      </c>
      <c r="E422" s="6" t="s">
        <v>26</v>
      </c>
      <c r="F422" s="6">
        <v>3</v>
      </c>
      <c r="G422" s="6" t="s">
        <v>63</v>
      </c>
      <c r="H422" s="6">
        <v>1</v>
      </c>
      <c r="I422" s="6">
        <v>6</v>
      </c>
      <c r="J422" s="6">
        <v>3.5</v>
      </c>
      <c r="K422" s="6" t="s">
        <v>28</v>
      </c>
      <c r="L422" s="6" t="str">
        <f>VLOOKUP(K422, 'Alphabetical by species code'!A:B, 2, FALSE)</f>
        <v>Litter</v>
      </c>
    </row>
    <row r="423" spans="1:12" x14ac:dyDescent="0.25">
      <c r="A423" s="6">
        <v>5</v>
      </c>
      <c r="B423" s="6">
        <v>2025</v>
      </c>
      <c r="C423" s="7">
        <v>45755</v>
      </c>
      <c r="D423" s="6" t="s">
        <v>62</v>
      </c>
      <c r="E423" s="6" t="s">
        <v>26</v>
      </c>
      <c r="F423" s="6">
        <v>3</v>
      </c>
      <c r="G423" s="6" t="s">
        <v>63</v>
      </c>
      <c r="H423" s="6">
        <v>1</v>
      </c>
      <c r="I423" s="6">
        <v>6</v>
      </c>
      <c r="J423" s="6">
        <v>3.5</v>
      </c>
      <c r="K423" s="6" t="s">
        <v>32</v>
      </c>
      <c r="L423" s="6" t="str">
        <f>VLOOKUP(K423, 'Alphabetical by species code'!A:B, 2, FALSE)</f>
        <v>Medicago polymorpha</v>
      </c>
    </row>
    <row r="424" spans="1:12" x14ac:dyDescent="0.25">
      <c r="A424" s="6">
        <v>5</v>
      </c>
      <c r="B424" s="6">
        <v>2025</v>
      </c>
      <c r="C424" s="7">
        <v>45755</v>
      </c>
      <c r="D424" s="6" t="s">
        <v>62</v>
      </c>
      <c r="E424" s="6" t="s">
        <v>26</v>
      </c>
      <c r="F424" s="6">
        <v>3</v>
      </c>
      <c r="G424" s="6" t="s">
        <v>63</v>
      </c>
      <c r="H424" s="6">
        <v>1</v>
      </c>
      <c r="I424" s="6">
        <v>6</v>
      </c>
      <c r="J424" s="6">
        <v>3.5</v>
      </c>
      <c r="K424" s="6" t="s">
        <v>31</v>
      </c>
      <c r="L424" s="6" t="str">
        <f>VLOOKUP(K424, 'Alphabetical by species code'!A:B, 2, FALSE)</f>
        <v>Festuca myuros</v>
      </c>
    </row>
    <row r="425" spans="1:12" x14ac:dyDescent="0.25">
      <c r="A425" s="6">
        <v>5</v>
      </c>
      <c r="B425" s="6">
        <v>2025</v>
      </c>
      <c r="C425" s="7">
        <v>45755</v>
      </c>
      <c r="D425" s="6" t="s">
        <v>62</v>
      </c>
      <c r="E425" s="6" t="s">
        <v>26</v>
      </c>
      <c r="F425" s="6">
        <v>3</v>
      </c>
      <c r="G425" s="6" t="s">
        <v>63</v>
      </c>
      <c r="H425" s="6">
        <v>1</v>
      </c>
      <c r="I425" s="6">
        <v>6</v>
      </c>
      <c r="J425" s="6">
        <v>3.5</v>
      </c>
      <c r="K425" s="6" t="s">
        <v>42</v>
      </c>
      <c r="L425" s="6" t="str">
        <f>VLOOKUP(K425, 'Alphabetical by species code'!A:B, 2, FALSE)</f>
        <v>Centaurea melitensis</v>
      </c>
    </row>
    <row r="426" spans="1:12" x14ac:dyDescent="0.25">
      <c r="A426" s="6">
        <v>5</v>
      </c>
      <c r="B426" s="6">
        <v>2025</v>
      </c>
      <c r="C426" s="7">
        <v>45755</v>
      </c>
      <c r="D426" s="6" t="s">
        <v>62</v>
      </c>
      <c r="E426" s="6" t="s">
        <v>26</v>
      </c>
      <c r="F426" s="6">
        <v>3</v>
      </c>
      <c r="G426" s="6" t="s">
        <v>63</v>
      </c>
      <c r="H426" s="6">
        <v>1</v>
      </c>
      <c r="I426" s="6">
        <v>6</v>
      </c>
      <c r="J426" s="6">
        <v>3.5</v>
      </c>
      <c r="K426" s="6" t="s">
        <v>48</v>
      </c>
      <c r="L426" s="6" t="str">
        <f>VLOOKUP(K426, 'Alphabetical by species code'!A:B, 2, FALSE)</f>
        <v>Sonchus asper</v>
      </c>
    </row>
    <row r="427" spans="1:12" x14ac:dyDescent="0.25">
      <c r="A427" s="6">
        <v>5</v>
      </c>
      <c r="B427" s="6">
        <v>2025</v>
      </c>
      <c r="C427" s="7">
        <v>45755</v>
      </c>
      <c r="D427" s="6" t="s">
        <v>62</v>
      </c>
      <c r="E427" s="6" t="s">
        <v>26</v>
      </c>
      <c r="F427" s="6">
        <v>3</v>
      </c>
      <c r="G427" s="6" t="s">
        <v>63</v>
      </c>
      <c r="H427" s="6">
        <v>1</v>
      </c>
      <c r="I427" s="6">
        <v>7</v>
      </c>
      <c r="J427" s="6">
        <v>4</v>
      </c>
      <c r="K427" s="6" t="s">
        <v>28</v>
      </c>
      <c r="L427" s="6" t="str">
        <f>VLOOKUP(K427, 'Alphabetical by species code'!A:B, 2, FALSE)</f>
        <v>Litter</v>
      </c>
    </row>
    <row r="428" spans="1:12" x14ac:dyDescent="0.25">
      <c r="A428" s="6">
        <v>5</v>
      </c>
      <c r="B428" s="6">
        <v>2025</v>
      </c>
      <c r="C428" s="7">
        <v>45755</v>
      </c>
      <c r="D428" s="6" t="s">
        <v>62</v>
      </c>
      <c r="E428" s="6" t="s">
        <v>26</v>
      </c>
      <c r="F428" s="6">
        <v>3</v>
      </c>
      <c r="G428" s="6" t="s">
        <v>63</v>
      </c>
      <c r="H428" s="6">
        <v>1</v>
      </c>
      <c r="I428" s="6">
        <v>7</v>
      </c>
      <c r="J428" s="6">
        <v>4</v>
      </c>
      <c r="K428" s="6" t="s">
        <v>32</v>
      </c>
      <c r="L428" s="6" t="str">
        <f>VLOOKUP(K428, 'Alphabetical by species code'!A:B, 2, FALSE)</f>
        <v>Medicago polymorpha</v>
      </c>
    </row>
    <row r="429" spans="1:12" x14ac:dyDescent="0.25">
      <c r="A429" s="6">
        <v>5</v>
      </c>
      <c r="B429" s="6">
        <v>2025</v>
      </c>
      <c r="C429" s="7">
        <v>45755</v>
      </c>
      <c r="D429" s="6" t="s">
        <v>62</v>
      </c>
      <c r="E429" s="6" t="s">
        <v>26</v>
      </c>
      <c r="F429" s="6">
        <v>3</v>
      </c>
      <c r="G429" s="6" t="s">
        <v>63</v>
      </c>
      <c r="H429" s="6">
        <v>1</v>
      </c>
      <c r="I429" s="6">
        <v>7</v>
      </c>
      <c r="J429" s="6">
        <v>4</v>
      </c>
      <c r="K429" s="6" t="s">
        <v>42</v>
      </c>
      <c r="L429" s="6" t="str">
        <f>VLOOKUP(K429, 'Alphabetical by species code'!A:B, 2, FALSE)</f>
        <v>Centaurea melitensis</v>
      </c>
    </row>
    <row r="430" spans="1:12" x14ac:dyDescent="0.25">
      <c r="A430" s="6">
        <v>5</v>
      </c>
      <c r="B430" s="6">
        <v>2025</v>
      </c>
      <c r="C430" s="7">
        <v>45755</v>
      </c>
      <c r="D430" s="6" t="s">
        <v>62</v>
      </c>
      <c r="E430" s="6" t="s">
        <v>26</v>
      </c>
      <c r="F430" s="6">
        <v>3</v>
      </c>
      <c r="G430" s="6" t="s">
        <v>63</v>
      </c>
      <c r="H430" s="6">
        <v>1</v>
      </c>
      <c r="I430" s="6">
        <v>7</v>
      </c>
      <c r="J430" s="6">
        <v>4</v>
      </c>
      <c r="K430" s="6" t="s">
        <v>31</v>
      </c>
      <c r="L430" s="6" t="str">
        <f>VLOOKUP(K430, 'Alphabetical by species code'!A:B, 2, FALSE)</f>
        <v>Festuca myuros</v>
      </c>
    </row>
    <row r="431" spans="1:12" x14ac:dyDescent="0.25">
      <c r="A431" s="6">
        <v>5</v>
      </c>
      <c r="B431" s="6">
        <v>2025</v>
      </c>
      <c r="C431" s="7">
        <v>45755</v>
      </c>
      <c r="D431" s="6" t="s">
        <v>62</v>
      </c>
      <c r="E431" s="6" t="s">
        <v>26</v>
      </c>
      <c r="F431" s="6">
        <v>3</v>
      </c>
      <c r="G431" s="6" t="s">
        <v>63</v>
      </c>
      <c r="H431" s="6">
        <v>1</v>
      </c>
      <c r="I431" s="6">
        <v>8</v>
      </c>
      <c r="J431" s="6">
        <v>5</v>
      </c>
      <c r="K431" s="6" t="s">
        <v>28</v>
      </c>
      <c r="L431" s="6" t="str">
        <f>VLOOKUP(K431, 'Alphabetical by species code'!A:B, 2, FALSE)</f>
        <v>Litter</v>
      </c>
    </row>
    <row r="432" spans="1:12" x14ac:dyDescent="0.25">
      <c r="A432" s="6">
        <v>5</v>
      </c>
      <c r="B432" s="6">
        <v>2025</v>
      </c>
      <c r="C432" s="7">
        <v>45755</v>
      </c>
      <c r="D432" s="6" t="s">
        <v>62</v>
      </c>
      <c r="E432" s="6" t="s">
        <v>26</v>
      </c>
      <c r="F432" s="6">
        <v>3</v>
      </c>
      <c r="G432" s="6" t="s">
        <v>63</v>
      </c>
      <c r="H432" s="6">
        <v>1</v>
      </c>
      <c r="I432" s="6">
        <v>8</v>
      </c>
      <c r="J432" s="6">
        <v>5</v>
      </c>
      <c r="K432" s="6" t="s">
        <v>35</v>
      </c>
      <c r="L432" s="6" t="str">
        <f>VLOOKUP(K432, 'Alphabetical by species code'!A:B, 2, FALSE)</f>
        <v>Deinandra fasciculata</v>
      </c>
    </row>
    <row r="433" spans="1:12" x14ac:dyDescent="0.25">
      <c r="A433" s="6">
        <v>5</v>
      </c>
      <c r="B433" s="6">
        <v>2025</v>
      </c>
      <c r="C433" s="7">
        <v>45755</v>
      </c>
      <c r="D433" s="6" t="s">
        <v>62</v>
      </c>
      <c r="E433" s="6" t="s">
        <v>26</v>
      </c>
      <c r="F433" s="6">
        <v>3</v>
      </c>
      <c r="G433" s="6" t="s">
        <v>63</v>
      </c>
      <c r="H433" s="6">
        <v>1</v>
      </c>
      <c r="I433" s="6">
        <v>8</v>
      </c>
      <c r="J433" s="6">
        <v>5</v>
      </c>
      <c r="K433" s="6" t="s">
        <v>31</v>
      </c>
      <c r="L433" s="6" t="str">
        <f>VLOOKUP(K433, 'Alphabetical by species code'!A:B, 2, FALSE)</f>
        <v>Festuca myuros</v>
      </c>
    </row>
    <row r="434" spans="1:12" x14ac:dyDescent="0.25">
      <c r="A434" s="6">
        <v>5</v>
      </c>
      <c r="B434" s="6">
        <v>2025</v>
      </c>
      <c r="C434" s="7">
        <v>45755</v>
      </c>
      <c r="D434" s="6" t="s">
        <v>62</v>
      </c>
      <c r="E434" s="6" t="s">
        <v>26</v>
      </c>
      <c r="F434" s="6">
        <v>3</v>
      </c>
      <c r="G434" s="6" t="s">
        <v>63</v>
      </c>
      <c r="H434" s="6">
        <v>1</v>
      </c>
      <c r="I434" s="6">
        <v>8</v>
      </c>
      <c r="J434" s="6">
        <v>5</v>
      </c>
      <c r="K434" s="6" t="s">
        <v>48</v>
      </c>
      <c r="L434" s="6" t="str">
        <f>VLOOKUP(K434, 'Alphabetical by species code'!A:B, 2, FALSE)</f>
        <v>Sonchus asper</v>
      </c>
    </row>
    <row r="435" spans="1:12" x14ac:dyDescent="0.25">
      <c r="A435" s="6">
        <v>5</v>
      </c>
      <c r="B435" s="6">
        <v>2025</v>
      </c>
      <c r="C435" s="7">
        <v>45755</v>
      </c>
      <c r="D435" s="6" t="s">
        <v>62</v>
      </c>
      <c r="E435" s="6" t="s">
        <v>26</v>
      </c>
      <c r="F435" s="6">
        <v>3</v>
      </c>
      <c r="G435" s="6" t="s">
        <v>63</v>
      </c>
      <c r="H435" s="6">
        <v>1</v>
      </c>
      <c r="I435" s="6">
        <v>8</v>
      </c>
      <c r="J435" s="6">
        <v>5</v>
      </c>
      <c r="K435" s="6" t="s">
        <v>39</v>
      </c>
      <c r="L435" s="6" t="str">
        <f>VLOOKUP(K435, 'Alphabetical by species code'!A:B, 2, FALSE)</f>
        <v>Stephanomeria diegensis</v>
      </c>
    </row>
    <row r="436" spans="1:12" x14ac:dyDescent="0.25">
      <c r="A436" s="6">
        <v>5</v>
      </c>
      <c r="B436" s="6">
        <v>2025</v>
      </c>
      <c r="C436" s="7">
        <v>45755</v>
      </c>
      <c r="D436" s="6" t="s">
        <v>62</v>
      </c>
      <c r="E436" s="6" t="s">
        <v>26</v>
      </c>
      <c r="F436" s="6">
        <v>3</v>
      </c>
      <c r="G436" s="6" t="s">
        <v>63</v>
      </c>
      <c r="H436" s="6">
        <v>1</v>
      </c>
      <c r="I436" s="6">
        <v>9</v>
      </c>
      <c r="J436" s="6">
        <v>7</v>
      </c>
      <c r="K436" s="6" t="s">
        <v>28</v>
      </c>
      <c r="L436" s="6" t="str">
        <f>VLOOKUP(K436, 'Alphabetical by species code'!A:B, 2, FALSE)</f>
        <v>Litter</v>
      </c>
    </row>
    <row r="437" spans="1:12" x14ac:dyDescent="0.25">
      <c r="A437" s="6">
        <v>5</v>
      </c>
      <c r="B437" s="6">
        <v>2025</v>
      </c>
      <c r="C437" s="7">
        <v>45755</v>
      </c>
      <c r="D437" s="6" t="s">
        <v>62</v>
      </c>
      <c r="E437" s="6" t="s">
        <v>26</v>
      </c>
      <c r="F437" s="6">
        <v>3</v>
      </c>
      <c r="G437" s="6" t="s">
        <v>63</v>
      </c>
      <c r="H437" s="6">
        <v>1</v>
      </c>
      <c r="I437" s="6">
        <v>9</v>
      </c>
      <c r="J437" s="6">
        <v>7</v>
      </c>
      <c r="K437" s="6" t="s">
        <v>49</v>
      </c>
      <c r="L437" s="6" t="str">
        <f>VLOOKUP(K437, 'Alphabetical by species code'!A:B, 2, FALSE)</f>
        <v>Anagallis arvensis</v>
      </c>
    </row>
    <row r="438" spans="1:12" x14ac:dyDescent="0.25">
      <c r="A438" s="6">
        <v>5</v>
      </c>
      <c r="B438" s="6">
        <v>2025</v>
      </c>
      <c r="C438" s="7">
        <v>45755</v>
      </c>
      <c r="D438" s="6" t="s">
        <v>62</v>
      </c>
      <c r="E438" s="6" t="s">
        <v>26</v>
      </c>
      <c r="F438" s="6">
        <v>3</v>
      </c>
      <c r="G438" s="6" t="s">
        <v>63</v>
      </c>
      <c r="H438" s="6">
        <v>1</v>
      </c>
      <c r="I438" s="6">
        <v>9</v>
      </c>
      <c r="J438" s="6">
        <v>7</v>
      </c>
      <c r="K438" s="6" t="s">
        <v>34</v>
      </c>
      <c r="L438" s="6" t="str">
        <f>VLOOKUP(K438, 'Alphabetical by species code'!A:B, 2, FALSE)</f>
        <v>Erodium cicutarium</v>
      </c>
    </row>
    <row r="439" spans="1:12" x14ac:dyDescent="0.25">
      <c r="A439" s="6">
        <v>5</v>
      </c>
      <c r="B439" s="6">
        <v>2025</v>
      </c>
      <c r="C439" s="7">
        <v>45755</v>
      </c>
      <c r="D439" s="6" t="s">
        <v>62</v>
      </c>
      <c r="E439" s="6" t="s">
        <v>26</v>
      </c>
      <c r="F439" s="6">
        <v>3</v>
      </c>
      <c r="G439" s="6" t="s">
        <v>63</v>
      </c>
      <c r="H439" s="6">
        <v>1</v>
      </c>
      <c r="I439" s="6">
        <v>10</v>
      </c>
      <c r="J439" s="6">
        <v>8</v>
      </c>
      <c r="K439" s="6" t="s">
        <v>28</v>
      </c>
      <c r="L439" s="6" t="str">
        <f>VLOOKUP(K439, 'Alphabetical by species code'!A:B, 2, FALSE)</f>
        <v>Litter</v>
      </c>
    </row>
    <row r="440" spans="1:12" x14ac:dyDescent="0.25">
      <c r="A440" s="6">
        <v>5</v>
      </c>
      <c r="B440" s="6">
        <v>2025</v>
      </c>
      <c r="C440" s="7">
        <v>45755</v>
      </c>
      <c r="D440" s="6" t="s">
        <v>62</v>
      </c>
      <c r="E440" s="6" t="s">
        <v>26</v>
      </c>
      <c r="F440" s="6">
        <v>3</v>
      </c>
      <c r="G440" s="6" t="s">
        <v>63</v>
      </c>
      <c r="H440" s="6">
        <v>1</v>
      </c>
      <c r="I440" s="6">
        <v>10</v>
      </c>
      <c r="J440" s="6">
        <v>8</v>
      </c>
      <c r="K440" s="6" t="s">
        <v>31</v>
      </c>
      <c r="L440" s="6" t="str">
        <f>VLOOKUP(K440, 'Alphabetical by species code'!A:B, 2, FALSE)</f>
        <v>Festuca myuros</v>
      </c>
    </row>
    <row r="441" spans="1:12" x14ac:dyDescent="0.25">
      <c r="A441" s="6">
        <v>5</v>
      </c>
      <c r="B441" s="6">
        <v>2025</v>
      </c>
      <c r="C441" s="7">
        <v>45755</v>
      </c>
      <c r="D441" s="6" t="s">
        <v>62</v>
      </c>
      <c r="E441" s="6" t="s">
        <v>26</v>
      </c>
      <c r="F441" s="6">
        <v>3</v>
      </c>
      <c r="G441" s="6" t="s">
        <v>63</v>
      </c>
      <c r="H441" s="6">
        <v>1</v>
      </c>
      <c r="I441" s="6">
        <v>10</v>
      </c>
      <c r="J441" s="6">
        <v>8</v>
      </c>
      <c r="K441" s="6" t="s">
        <v>35</v>
      </c>
      <c r="L441" s="6" t="str">
        <f>VLOOKUP(K441, 'Alphabetical by species code'!A:B, 2, FALSE)</f>
        <v>Deinandra fasciculata</v>
      </c>
    </row>
    <row r="442" spans="1:12" x14ac:dyDescent="0.25">
      <c r="A442" s="6">
        <v>5</v>
      </c>
      <c r="B442" s="6">
        <v>2025</v>
      </c>
      <c r="C442" s="7">
        <v>45755</v>
      </c>
      <c r="D442" s="6" t="s">
        <v>62</v>
      </c>
      <c r="E442" s="6" t="s">
        <v>26</v>
      </c>
      <c r="F442" s="6">
        <v>3</v>
      </c>
      <c r="G442" s="6" t="s">
        <v>63</v>
      </c>
      <c r="H442" s="6">
        <v>1</v>
      </c>
      <c r="I442" s="6">
        <v>10</v>
      </c>
      <c r="J442" s="6">
        <v>8</v>
      </c>
      <c r="K442" s="6" t="s">
        <v>34</v>
      </c>
      <c r="L442" s="6" t="str">
        <f>VLOOKUP(K442, 'Alphabetical by species code'!A:B, 2, FALSE)</f>
        <v>Erodium cicutarium</v>
      </c>
    </row>
    <row r="443" spans="1:12" x14ac:dyDescent="0.25">
      <c r="A443" s="6">
        <v>5</v>
      </c>
      <c r="B443" s="6">
        <v>2025</v>
      </c>
      <c r="C443" s="7">
        <v>45755</v>
      </c>
      <c r="D443" s="6" t="s">
        <v>62</v>
      </c>
      <c r="E443" s="6" t="s">
        <v>26</v>
      </c>
      <c r="F443" s="6">
        <v>3</v>
      </c>
      <c r="G443" s="6" t="s">
        <v>63</v>
      </c>
      <c r="H443" s="6">
        <v>1</v>
      </c>
      <c r="I443" s="6">
        <v>11</v>
      </c>
      <c r="J443" s="6">
        <v>8.5</v>
      </c>
      <c r="K443" s="6" t="s">
        <v>51</v>
      </c>
      <c r="L443" s="6" t="str">
        <f>VLOOKUP(K443, 'Alphabetical by species code'!A:B, 2, FALSE)</f>
        <v>Bareground</v>
      </c>
    </row>
    <row r="444" spans="1:12" x14ac:dyDescent="0.25">
      <c r="A444" s="6">
        <v>5</v>
      </c>
      <c r="B444" s="6">
        <v>2025</v>
      </c>
      <c r="C444" s="7">
        <v>45755</v>
      </c>
      <c r="D444" s="6" t="s">
        <v>62</v>
      </c>
      <c r="E444" s="6" t="s">
        <v>26</v>
      </c>
      <c r="F444" s="6">
        <v>3</v>
      </c>
      <c r="G444" s="6" t="s">
        <v>63</v>
      </c>
      <c r="H444" s="6">
        <v>1</v>
      </c>
      <c r="I444" s="6">
        <v>11</v>
      </c>
      <c r="J444" s="6">
        <v>8.5</v>
      </c>
      <c r="K444" s="6" t="s">
        <v>64</v>
      </c>
      <c r="L444" s="6" t="str">
        <f>VLOOKUP(K444, 'Alphabetical by species code'!A:B, 2, FALSE)</f>
        <v>Brassica nigra</v>
      </c>
    </row>
    <row r="445" spans="1:12" x14ac:dyDescent="0.25">
      <c r="A445" s="6">
        <v>5</v>
      </c>
      <c r="B445" s="6">
        <v>2025</v>
      </c>
      <c r="C445" s="7">
        <v>45755</v>
      </c>
      <c r="D445" s="6" t="s">
        <v>62</v>
      </c>
      <c r="E445" s="6" t="s">
        <v>26</v>
      </c>
      <c r="F445" s="6">
        <v>3</v>
      </c>
      <c r="G445" s="6" t="s">
        <v>63</v>
      </c>
      <c r="H445" s="6">
        <v>1</v>
      </c>
      <c r="I445" s="6">
        <v>12</v>
      </c>
      <c r="J445" s="6">
        <v>9</v>
      </c>
      <c r="K445" s="6" t="s">
        <v>28</v>
      </c>
      <c r="L445" s="6" t="str">
        <f>VLOOKUP(K445, 'Alphabetical by species code'!A:B, 2, FALSE)</f>
        <v>Litter</v>
      </c>
    </row>
    <row r="446" spans="1:12" x14ac:dyDescent="0.25">
      <c r="A446" s="6">
        <v>5</v>
      </c>
      <c r="B446" s="6">
        <v>2025</v>
      </c>
      <c r="C446" s="7">
        <v>45755</v>
      </c>
      <c r="D446" s="6" t="s">
        <v>62</v>
      </c>
      <c r="E446" s="6" t="s">
        <v>26</v>
      </c>
      <c r="F446" s="6">
        <v>3</v>
      </c>
      <c r="G446" s="6" t="s">
        <v>63</v>
      </c>
      <c r="H446" s="6">
        <v>1</v>
      </c>
      <c r="I446" s="6">
        <v>12</v>
      </c>
      <c r="J446" s="6">
        <v>9</v>
      </c>
      <c r="K446" s="6" t="s">
        <v>48</v>
      </c>
      <c r="L446" s="6" t="str">
        <f>VLOOKUP(K446, 'Alphabetical by species code'!A:B, 2, FALSE)</f>
        <v>Sonchus asper</v>
      </c>
    </row>
    <row r="447" spans="1:12" x14ac:dyDescent="0.25">
      <c r="A447" s="6">
        <v>5</v>
      </c>
      <c r="B447" s="6">
        <v>2025</v>
      </c>
      <c r="C447" s="7">
        <v>45755</v>
      </c>
      <c r="D447" s="6" t="s">
        <v>62</v>
      </c>
      <c r="E447" s="6" t="s">
        <v>26</v>
      </c>
      <c r="F447" s="6">
        <v>3</v>
      </c>
      <c r="G447" s="6" t="s">
        <v>63</v>
      </c>
      <c r="H447" s="6">
        <v>1</v>
      </c>
      <c r="I447" s="6">
        <v>13</v>
      </c>
      <c r="J447" s="6">
        <v>10</v>
      </c>
      <c r="K447" s="6" t="s">
        <v>28</v>
      </c>
      <c r="L447" s="6" t="str">
        <f>VLOOKUP(K447, 'Alphabetical by species code'!A:B, 2, FALSE)</f>
        <v>Litter</v>
      </c>
    </row>
    <row r="448" spans="1:12" x14ac:dyDescent="0.25">
      <c r="A448" s="6">
        <v>5</v>
      </c>
      <c r="B448" s="6">
        <v>2025</v>
      </c>
      <c r="C448" s="7">
        <v>45755</v>
      </c>
      <c r="D448" s="6" t="s">
        <v>62</v>
      </c>
      <c r="E448" s="6" t="s">
        <v>26</v>
      </c>
      <c r="F448" s="6">
        <v>3</v>
      </c>
      <c r="G448" s="6" t="s">
        <v>63</v>
      </c>
      <c r="H448" s="6">
        <v>1</v>
      </c>
      <c r="I448" s="6">
        <v>13</v>
      </c>
      <c r="J448" s="6">
        <v>10</v>
      </c>
      <c r="K448" s="6" t="s">
        <v>48</v>
      </c>
      <c r="L448" s="6" t="str">
        <f>VLOOKUP(K448, 'Alphabetical by species code'!A:B, 2, FALSE)</f>
        <v>Sonchus asper</v>
      </c>
    </row>
    <row r="449" spans="1:12" x14ac:dyDescent="0.25">
      <c r="A449" s="6">
        <v>5</v>
      </c>
      <c r="B449" s="6">
        <v>2025</v>
      </c>
      <c r="C449" s="7">
        <v>45755</v>
      </c>
      <c r="D449" s="6" t="s">
        <v>62</v>
      </c>
      <c r="E449" s="6" t="s">
        <v>26</v>
      </c>
      <c r="F449" s="6">
        <v>3</v>
      </c>
      <c r="G449" s="6" t="s">
        <v>63</v>
      </c>
      <c r="H449" s="6">
        <v>1</v>
      </c>
      <c r="I449" s="6">
        <v>14</v>
      </c>
      <c r="J449" s="6">
        <v>11</v>
      </c>
      <c r="K449" s="6" t="s">
        <v>51</v>
      </c>
      <c r="L449" s="6" t="str">
        <f>VLOOKUP(K449, 'Alphabetical by species code'!A:B, 2, FALSE)</f>
        <v>Bareground</v>
      </c>
    </row>
    <row r="450" spans="1:12" x14ac:dyDescent="0.25">
      <c r="A450" s="6">
        <v>5</v>
      </c>
      <c r="B450" s="6">
        <v>2025</v>
      </c>
      <c r="C450" s="7">
        <v>45755</v>
      </c>
      <c r="D450" s="6" t="s">
        <v>62</v>
      </c>
      <c r="E450" s="6" t="s">
        <v>26</v>
      </c>
      <c r="F450" s="6">
        <v>3</v>
      </c>
      <c r="G450" s="6" t="s">
        <v>63</v>
      </c>
      <c r="H450" s="6">
        <v>1</v>
      </c>
      <c r="I450" s="6">
        <v>15</v>
      </c>
      <c r="J450" s="6">
        <v>12</v>
      </c>
      <c r="K450" s="6" t="s">
        <v>51</v>
      </c>
      <c r="L450" s="6" t="str">
        <f>VLOOKUP(K450, 'Alphabetical by species code'!A:B, 2, FALSE)</f>
        <v>Bareground</v>
      </c>
    </row>
    <row r="451" spans="1:12" x14ac:dyDescent="0.25">
      <c r="A451" s="6">
        <v>5</v>
      </c>
      <c r="B451" s="6">
        <v>2025</v>
      </c>
      <c r="C451" s="7">
        <v>45755</v>
      </c>
      <c r="D451" s="6" t="s">
        <v>62</v>
      </c>
      <c r="E451" s="6" t="s">
        <v>26</v>
      </c>
      <c r="F451" s="6">
        <v>3</v>
      </c>
      <c r="G451" s="6" t="s">
        <v>63</v>
      </c>
      <c r="H451" s="6">
        <v>2</v>
      </c>
      <c r="I451" s="6">
        <v>1</v>
      </c>
      <c r="J451" s="6">
        <v>0</v>
      </c>
      <c r="K451" s="6" t="s">
        <v>28</v>
      </c>
      <c r="L451" s="6" t="str">
        <f>VLOOKUP(K451, 'Alphabetical by species code'!A:B, 2, FALSE)</f>
        <v>Litter</v>
      </c>
    </row>
    <row r="452" spans="1:12" x14ac:dyDescent="0.25">
      <c r="A452" s="6">
        <v>5</v>
      </c>
      <c r="B452" s="6">
        <v>2025</v>
      </c>
      <c r="C452" s="7">
        <v>45755</v>
      </c>
      <c r="D452" s="6" t="s">
        <v>62</v>
      </c>
      <c r="E452" s="6" t="s">
        <v>26</v>
      </c>
      <c r="F452" s="6">
        <v>3</v>
      </c>
      <c r="G452" s="6" t="s">
        <v>63</v>
      </c>
      <c r="H452" s="6">
        <v>2</v>
      </c>
      <c r="I452" s="6">
        <v>1</v>
      </c>
      <c r="J452" s="6">
        <v>0</v>
      </c>
      <c r="K452" s="6" t="s">
        <v>40</v>
      </c>
      <c r="L452" s="6" t="str">
        <f>VLOOKUP(K452, 'Alphabetical by species code'!A:B, 2, FALSE)</f>
        <v>Cylindropuntia prolifera</v>
      </c>
    </row>
    <row r="453" spans="1:12" x14ac:dyDescent="0.25">
      <c r="A453" s="6">
        <v>5</v>
      </c>
      <c r="B453" s="6">
        <v>2025</v>
      </c>
      <c r="C453" s="7">
        <v>45755</v>
      </c>
      <c r="D453" s="6" t="s">
        <v>62</v>
      </c>
      <c r="E453" s="6" t="s">
        <v>26</v>
      </c>
      <c r="F453" s="6">
        <v>3</v>
      </c>
      <c r="G453" s="6" t="s">
        <v>63</v>
      </c>
      <c r="H453" s="6">
        <v>2</v>
      </c>
      <c r="I453" s="6">
        <v>1</v>
      </c>
      <c r="J453" s="6">
        <v>0</v>
      </c>
      <c r="K453" s="6" t="s">
        <v>32</v>
      </c>
      <c r="L453" s="6" t="str">
        <f>VLOOKUP(K453, 'Alphabetical by species code'!A:B, 2, FALSE)</f>
        <v>Medicago polymorpha</v>
      </c>
    </row>
    <row r="454" spans="1:12" x14ac:dyDescent="0.25">
      <c r="A454" s="6">
        <v>5</v>
      </c>
      <c r="B454" s="6">
        <v>2025</v>
      </c>
      <c r="C454" s="7">
        <v>45755</v>
      </c>
      <c r="D454" s="6" t="s">
        <v>62</v>
      </c>
      <c r="E454" s="6" t="s">
        <v>26</v>
      </c>
      <c r="F454" s="6">
        <v>3</v>
      </c>
      <c r="G454" s="6" t="s">
        <v>63</v>
      </c>
      <c r="H454" s="6">
        <v>2</v>
      </c>
      <c r="I454" s="6">
        <v>1</v>
      </c>
      <c r="J454" s="6">
        <v>0</v>
      </c>
      <c r="K454" s="6" t="s">
        <v>31</v>
      </c>
      <c r="L454" s="6" t="str">
        <f>VLOOKUP(K454, 'Alphabetical by species code'!A:B, 2, FALSE)</f>
        <v>Festuca myuros</v>
      </c>
    </row>
    <row r="455" spans="1:12" x14ac:dyDescent="0.25">
      <c r="A455" s="6">
        <v>5</v>
      </c>
      <c r="B455" s="6">
        <v>2025</v>
      </c>
      <c r="C455" s="7">
        <v>45755</v>
      </c>
      <c r="D455" s="6" t="s">
        <v>62</v>
      </c>
      <c r="E455" s="6" t="s">
        <v>26</v>
      </c>
      <c r="F455" s="6">
        <v>3</v>
      </c>
      <c r="G455" s="6" t="s">
        <v>63</v>
      </c>
      <c r="H455" s="6">
        <v>2</v>
      </c>
      <c r="I455" s="6">
        <v>1</v>
      </c>
      <c r="J455" s="6">
        <v>0</v>
      </c>
      <c r="K455" s="6" t="s">
        <v>37</v>
      </c>
      <c r="L455" s="6" t="str">
        <f>VLOOKUP(K455, 'Alphabetical by species code'!A:B, 2, FALSE)</f>
        <v>Sonchus oleraceus</v>
      </c>
    </row>
    <row r="456" spans="1:12" x14ac:dyDescent="0.25">
      <c r="A456" s="6">
        <v>5</v>
      </c>
      <c r="B456" s="6">
        <v>2025</v>
      </c>
      <c r="C456" s="7">
        <v>45755</v>
      </c>
      <c r="D456" s="6" t="s">
        <v>62</v>
      </c>
      <c r="E456" s="6" t="s">
        <v>26</v>
      </c>
      <c r="F456" s="6">
        <v>3</v>
      </c>
      <c r="G456" s="6" t="s">
        <v>63</v>
      </c>
      <c r="H456" s="6">
        <v>2</v>
      </c>
      <c r="I456" s="6">
        <v>2</v>
      </c>
      <c r="J456" s="6">
        <v>1</v>
      </c>
      <c r="K456" s="6" t="s">
        <v>28</v>
      </c>
      <c r="L456" s="6" t="str">
        <f>VLOOKUP(K456, 'Alphabetical by species code'!A:B, 2, FALSE)</f>
        <v>Litter</v>
      </c>
    </row>
    <row r="457" spans="1:12" x14ac:dyDescent="0.25">
      <c r="A457" s="6">
        <v>5</v>
      </c>
      <c r="B457" s="6">
        <v>2025</v>
      </c>
      <c r="C457" s="7">
        <v>45755</v>
      </c>
      <c r="D457" s="6" t="s">
        <v>62</v>
      </c>
      <c r="E457" s="6" t="s">
        <v>26</v>
      </c>
      <c r="F457" s="6">
        <v>3</v>
      </c>
      <c r="G457" s="6" t="s">
        <v>63</v>
      </c>
      <c r="H457" s="6">
        <v>2</v>
      </c>
      <c r="I457" s="6">
        <v>2</v>
      </c>
      <c r="J457" s="6">
        <v>1</v>
      </c>
      <c r="K457" s="6" t="s">
        <v>37</v>
      </c>
      <c r="L457" s="6" t="str">
        <f>VLOOKUP(K457, 'Alphabetical by species code'!A:B, 2, FALSE)</f>
        <v>Sonchus oleraceus</v>
      </c>
    </row>
    <row r="458" spans="1:12" x14ac:dyDescent="0.25">
      <c r="A458" s="6">
        <v>5</v>
      </c>
      <c r="B458" s="6">
        <v>2025</v>
      </c>
      <c r="C458" s="7">
        <v>45755</v>
      </c>
      <c r="D458" s="6" t="s">
        <v>62</v>
      </c>
      <c r="E458" s="6" t="s">
        <v>26</v>
      </c>
      <c r="F458" s="6">
        <v>3</v>
      </c>
      <c r="G458" s="6" t="s">
        <v>63</v>
      </c>
      <c r="H458" s="6">
        <v>2</v>
      </c>
      <c r="I458" s="6">
        <v>2</v>
      </c>
      <c r="J458" s="6">
        <v>1</v>
      </c>
      <c r="K458" s="6" t="s">
        <v>32</v>
      </c>
      <c r="L458" s="6" t="str">
        <f>VLOOKUP(K458, 'Alphabetical by species code'!A:B, 2, FALSE)</f>
        <v>Medicago polymorpha</v>
      </c>
    </row>
    <row r="459" spans="1:12" x14ac:dyDescent="0.25">
      <c r="A459" s="6">
        <v>5</v>
      </c>
      <c r="B459" s="6">
        <v>2025</v>
      </c>
      <c r="C459" s="7">
        <v>45755</v>
      </c>
      <c r="D459" s="6" t="s">
        <v>62</v>
      </c>
      <c r="E459" s="6" t="s">
        <v>26</v>
      </c>
      <c r="F459" s="6">
        <v>3</v>
      </c>
      <c r="G459" s="6" t="s">
        <v>63</v>
      </c>
      <c r="H459" s="6">
        <v>2</v>
      </c>
      <c r="I459" s="6">
        <v>3</v>
      </c>
      <c r="J459" s="6">
        <v>1.5</v>
      </c>
      <c r="K459" s="6" t="s">
        <v>28</v>
      </c>
      <c r="L459" s="6" t="str">
        <f>VLOOKUP(K459, 'Alphabetical by species code'!A:B, 2, FALSE)</f>
        <v>Litter</v>
      </c>
    </row>
    <row r="460" spans="1:12" x14ac:dyDescent="0.25">
      <c r="A460" s="6">
        <v>5</v>
      </c>
      <c r="B460" s="6">
        <v>2025</v>
      </c>
      <c r="C460" s="7">
        <v>45755</v>
      </c>
      <c r="D460" s="6" t="s">
        <v>62</v>
      </c>
      <c r="E460" s="6" t="s">
        <v>26</v>
      </c>
      <c r="F460" s="6">
        <v>3</v>
      </c>
      <c r="G460" s="6" t="s">
        <v>63</v>
      </c>
      <c r="H460" s="6">
        <v>2</v>
      </c>
      <c r="I460" s="6">
        <v>3</v>
      </c>
      <c r="J460" s="6">
        <v>1.5</v>
      </c>
      <c r="K460" s="6" t="s">
        <v>49</v>
      </c>
      <c r="L460" s="6" t="str">
        <f>VLOOKUP(K460, 'Alphabetical by species code'!A:B, 2, FALSE)</f>
        <v>Anagallis arvensis</v>
      </c>
    </row>
    <row r="461" spans="1:12" x14ac:dyDescent="0.25">
      <c r="A461" s="6">
        <v>5</v>
      </c>
      <c r="B461" s="6">
        <v>2025</v>
      </c>
      <c r="C461" s="7">
        <v>45755</v>
      </c>
      <c r="D461" s="6" t="s">
        <v>62</v>
      </c>
      <c r="E461" s="6" t="s">
        <v>26</v>
      </c>
      <c r="F461" s="6">
        <v>3</v>
      </c>
      <c r="G461" s="6" t="s">
        <v>63</v>
      </c>
      <c r="H461" s="6">
        <v>2</v>
      </c>
      <c r="I461" s="6">
        <v>3</v>
      </c>
      <c r="J461" s="6">
        <v>1.5</v>
      </c>
      <c r="K461" s="6" t="s">
        <v>40</v>
      </c>
      <c r="L461" s="6" t="str">
        <f>VLOOKUP(K461, 'Alphabetical by species code'!A:B, 2, FALSE)</f>
        <v>Cylindropuntia prolifera</v>
      </c>
    </row>
    <row r="462" spans="1:12" x14ac:dyDescent="0.25">
      <c r="A462" s="6">
        <v>5</v>
      </c>
      <c r="B462" s="6">
        <v>2025</v>
      </c>
      <c r="C462" s="7">
        <v>45755</v>
      </c>
      <c r="D462" s="6" t="s">
        <v>62</v>
      </c>
      <c r="E462" s="6" t="s">
        <v>26</v>
      </c>
      <c r="F462" s="6">
        <v>3</v>
      </c>
      <c r="G462" s="6" t="s">
        <v>63</v>
      </c>
      <c r="H462" s="6">
        <v>2</v>
      </c>
      <c r="I462" s="6">
        <v>3</v>
      </c>
      <c r="J462" s="6">
        <v>1.5</v>
      </c>
      <c r="K462" s="6" t="s">
        <v>48</v>
      </c>
      <c r="L462" s="6" t="str">
        <f>VLOOKUP(K462, 'Alphabetical by species code'!A:B, 2, FALSE)</f>
        <v>Sonchus asper</v>
      </c>
    </row>
    <row r="463" spans="1:12" x14ac:dyDescent="0.25">
      <c r="A463" s="6">
        <v>5</v>
      </c>
      <c r="B463" s="6">
        <v>2025</v>
      </c>
      <c r="C463" s="7">
        <v>45755</v>
      </c>
      <c r="D463" s="6" t="s">
        <v>62</v>
      </c>
      <c r="E463" s="6" t="s">
        <v>26</v>
      </c>
      <c r="F463" s="6">
        <v>3</v>
      </c>
      <c r="G463" s="6" t="s">
        <v>63</v>
      </c>
      <c r="H463" s="6">
        <v>2</v>
      </c>
      <c r="I463" s="6">
        <v>3</v>
      </c>
      <c r="J463" s="6">
        <v>1.5</v>
      </c>
      <c r="K463" s="6" t="s">
        <v>31</v>
      </c>
      <c r="L463" s="6" t="str">
        <f>VLOOKUP(K463, 'Alphabetical by species code'!A:B, 2, FALSE)</f>
        <v>Festuca myuros</v>
      </c>
    </row>
    <row r="464" spans="1:12" x14ac:dyDescent="0.25">
      <c r="A464" s="6">
        <v>5</v>
      </c>
      <c r="B464" s="6">
        <v>2025</v>
      </c>
      <c r="C464" s="7">
        <v>45755</v>
      </c>
      <c r="D464" s="6" t="s">
        <v>62</v>
      </c>
      <c r="E464" s="6" t="s">
        <v>26</v>
      </c>
      <c r="F464" s="6">
        <v>3</v>
      </c>
      <c r="G464" s="6" t="s">
        <v>63</v>
      </c>
      <c r="H464" s="6">
        <v>2</v>
      </c>
      <c r="I464" s="6">
        <v>4</v>
      </c>
      <c r="J464" s="6">
        <v>2</v>
      </c>
      <c r="K464" s="6" t="s">
        <v>28</v>
      </c>
      <c r="L464" s="6" t="str">
        <f>VLOOKUP(K464, 'Alphabetical by species code'!A:B, 2, FALSE)</f>
        <v>Litter</v>
      </c>
    </row>
    <row r="465" spans="1:12" x14ac:dyDescent="0.25">
      <c r="A465" s="6">
        <v>5</v>
      </c>
      <c r="B465" s="6">
        <v>2025</v>
      </c>
      <c r="C465" s="7">
        <v>45755</v>
      </c>
      <c r="D465" s="6" t="s">
        <v>62</v>
      </c>
      <c r="E465" s="6" t="s">
        <v>26</v>
      </c>
      <c r="F465" s="6">
        <v>3</v>
      </c>
      <c r="G465" s="6" t="s">
        <v>63</v>
      </c>
      <c r="H465" s="6">
        <v>2</v>
      </c>
      <c r="I465" s="6">
        <v>4</v>
      </c>
      <c r="J465" s="6">
        <v>2</v>
      </c>
      <c r="K465" s="6" t="s">
        <v>32</v>
      </c>
      <c r="L465" s="6" t="str">
        <f>VLOOKUP(K465, 'Alphabetical by species code'!A:B, 2, FALSE)</f>
        <v>Medicago polymorpha</v>
      </c>
    </row>
    <row r="466" spans="1:12" x14ac:dyDescent="0.25">
      <c r="A466" s="6">
        <v>5</v>
      </c>
      <c r="B466" s="6">
        <v>2025</v>
      </c>
      <c r="C466" s="7">
        <v>45755</v>
      </c>
      <c r="D466" s="6" t="s">
        <v>62</v>
      </c>
      <c r="E466" s="6" t="s">
        <v>26</v>
      </c>
      <c r="F466" s="6">
        <v>3</v>
      </c>
      <c r="G466" s="6" t="s">
        <v>63</v>
      </c>
      <c r="H466" s="6">
        <v>2</v>
      </c>
      <c r="I466" s="6">
        <v>4</v>
      </c>
      <c r="J466" s="6">
        <v>2</v>
      </c>
      <c r="K466" s="6" t="s">
        <v>35</v>
      </c>
      <c r="L466" s="6" t="str">
        <f>VLOOKUP(K466, 'Alphabetical by species code'!A:B, 2, FALSE)</f>
        <v>Deinandra fasciculata</v>
      </c>
    </row>
    <row r="467" spans="1:12" x14ac:dyDescent="0.25">
      <c r="A467" s="6">
        <v>5</v>
      </c>
      <c r="B467" s="6">
        <v>2025</v>
      </c>
      <c r="C467" s="7">
        <v>45755</v>
      </c>
      <c r="D467" s="6" t="s">
        <v>62</v>
      </c>
      <c r="E467" s="6" t="s">
        <v>26</v>
      </c>
      <c r="F467" s="6">
        <v>3</v>
      </c>
      <c r="G467" s="6" t="s">
        <v>63</v>
      </c>
      <c r="H467" s="6">
        <v>2</v>
      </c>
      <c r="I467" s="6">
        <v>4</v>
      </c>
      <c r="J467" s="6">
        <v>2</v>
      </c>
      <c r="K467" s="6" t="s">
        <v>31</v>
      </c>
      <c r="L467" s="6" t="str">
        <f>VLOOKUP(K467, 'Alphabetical by species code'!A:B, 2, FALSE)</f>
        <v>Festuca myuros</v>
      </c>
    </row>
    <row r="468" spans="1:12" x14ac:dyDescent="0.25">
      <c r="A468" s="6">
        <v>5</v>
      </c>
      <c r="B468" s="6">
        <v>2025</v>
      </c>
      <c r="C468" s="7">
        <v>45755</v>
      </c>
      <c r="D468" s="6" t="s">
        <v>62</v>
      </c>
      <c r="E468" s="6" t="s">
        <v>26</v>
      </c>
      <c r="F468" s="6">
        <v>3</v>
      </c>
      <c r="G468" s="6" t="s">
        <v>63</v>
      </c>
      <c r="H468" s="6">
        <v>2</v>
      </c>
      <c r="I468" s="6">
        <v>5</v>
      </c>
      <c r="J468" s="6">
        <v>3</v>
      </c>
      <c r="K468" s="6" t="s">
        <v>28</v>
      </c>
      <c r="L468" s="6" t="str">
        <f>VLOOKUP(K468, 'Alphabetical by species code'!A:B, 2, FALSE)</f>
        <v>Litter</v>
      </c>
    </row>
    <row r="469" spans="1:12" x14ac:dyDescent="0.25">
      <c r="A469" s="6">
        <v>5</v>
      </c>
      <c r="B469" s="6">
        <v>2025</v>
      </c>
      <c r="C469" s="7">
        <v>45755</v>
      </c>
      <c r="D469" s="6" t="s">
        <v>62</v>
      </c>
      <c r="E469" s="6" t="s">
        <v>26</v>
      </c>
      <c r="F469" s="6">
        <v>3</v>
      </c>
      <c r="G469" s="6" t="s">
        <v>63</v>
      </c>
      <c r="H469" s="6">
        <v>2</v>
      </c>
      <c r="I469" s="6">
        <v>5</v>
      </c>
      <c r="J469" s="6">
        <v>3</v>
      </c>
      <c r="K469" s="6" t="s">
        <v>55</v>
      </c>
      <c r="L469" s="6" t="str">
        <f>VLOOKUP(K469, 'Alphabetical by species code'!A:B, 2, FALSE)</f>
        <v>Daucus pusillus</v>
      </c>
    </row>
    <row r="470" spans="1:12" x14ac:dyDescent="0.25">
      <c r="A470" s="6">
        <v>5</v>
      </c>
      <c r="B470" s="6">
        <v>2025</v>
      </c>
      <c r="C470" s="7">
        <v>45755</v>
      </c>
      <c r="D470" s="6" t="s">
        <v>62</v>
      </c>
      <c r="E470" s="6" t="s">
        <v>26</v>
      </c>
      <c r="F470" s="6">
        <v>3</v>
      </c>
      <c r="G470" s="6" t="s">
        <v>63</v>
      </c>
      <c r="H470" s="6">
        <v>2</v>
      </c>
      <c r="I470" s="6">
        <v>5</v>
      </c>
      <c r="J470" s="6">
        <v>3</v>
      </c>
      <c r="K470" s="6" t="s">
        <v>42</v>
      </c>
      <c r="L470" s="6" t="str">
        <f>VLOOKUP(K470, 'Alphabetical by species code'!A:B, 2, FALSE)</f>
        <v>Centaurea melitensis</v>
      </c>
    </row>
    <row r="471" spans="1:12" x14ac:dyDescent="0.25">
      <c r="A471" s="6">
        <v>5</v>
      </c>
      <c r="B471" s="6">
        <v>2025</v>
      </c>
      <c r="C471" s="7">
        <v>45755</v>
      </c>
      <c r="D471" s="6" t="s">
        <v>62</v>
      </c>
      <c r="E471" s="6" t="s">
        <v>26</v>
      </c>
      <c r="F471" s="6">
        <v>3</v>
      </c>
      <c r="G471" s="6" t="s">
        <v>63</v>
      </c>
      <c r="H471" s="6">
        <v>2</v>
      </c>
      <c r="I471" s="6">
        <v>5</v>
      </c>
      <c r="J471" s="6">
        <v>3</v>
      </c>
      <c r="K471" s="6" t="s">
        <v>59</v>
      </c>
      <c r="L471" s="6" t="str">
        <f>VLOOKUP(K471, 'Alphabetical by species code'!A:B, 2, FALSE)</f>
        <v>Cryptantha micromeres</v>
      </c>
    </row>
    <row r="472" spans="1:12" x14ac:dyDescent="0.25">
      <c r="A472" s="6">
        <v>5</v>
      </c>
      <c r="B472" s="6">
        <v>2025</v>
      </c>
      <c r="C472" s="7">
        <v>45755</v>
      </c>
      <c r="D472" s="6" t="s">
        <v>62</v>
      </c>
      <c r="E472" s="6" t="s">
        <v>26</v>
      </c>
      <c r="F472" s="6">
        <v>3</v>
      </c>
      <c r="G472" s="6" t="s">
        <v>63</v>
      </c>
      <c r="H472" s="6">
        <v>2</v>
      </c>
      <c r="I472" s="6">
        <v>6</v>
      </c>
      <c r="J472" s="6">
        <v>3.5</v>
      </c>
      <c r="K472" s="6" t="s">
        <v>28</v>
      </c>
      <c r="L472" s="6" t="str">
        <f>VLOOKUP(K472, 'Alphabetical by species code'!A:B, 2, FALSE)</f>
        <v>Litter</v>
      </c>
    </row>
    <row r="473" spans="1:12" x14ac:dyDescent="0.25">
      <c r="A473" s="6">
        <v>5</v>
      </c>
      <c r="B473" s="6">
        <v>2025</v>
      </c>
      <c r="C473" s="7">
        <v>45755</v>
      </c>
      <c r="D473" s="6" t="s">
        <v>62</v>
      </c>
      <c r="E473" s="6" t="s">
        <v>26</v>
      </c>
      <c r="F473" s="6">
        <v>3</v>
      </c>
      <c r="G473" s="6" t="s">
        <v>63</v>
      </c>
      <c r="H473" s="6">
        <v>2</v>
      </c>
      <c r="I473" s="6">
        <v>6</v>
      </c>
      <c r="J473" s="6">
        <v>3.5</v>
      </c>
      <c r="K473" s="6" t="s">
        <v>49</v>
      </c>
      <c r="L473" s="6" t="str">
        <f>VLOOKUP(K473, 'Alphabetical by species code'!A:B, 2, FALSE)</f>
        <v>Anagallis arvensis</v>
      </c>
    </row>
    <row r="474" spans="1:12" x14ac:dyDescent="0.25">
      <c r="A474" s="6">
        <v>5</v>
      </c>
      <c r="B474" s="6">
        <v>2025</v>
      </c>
      <c r="C474" s="7">
        <v>45755</v>
      </c>
      <c r="D474" s="6" t="s">
        <v>62</v>
      </c>
      <c r="E474" s="6" t="s">
        <v>26</v>
      </c>
      <c r="F474" s="6">
        <v>3</v>
      </c>
      <c r="G474" s="6" t="s">
        <v>63</v>
      </c>
      <c r="H474" s="6">
        <v>2</v>
      </c>
      <c r="I474" s="6">
        <v>6</v>
      </c>
      <c r="J474" s="6">
        <v>3.5</v>
      </c>
      <c r="K474" s="6" t="s">
        <v>42</v>
      </c>
      <c r="L474" s="6" t="str">
        <f>VLOOKUP(K474, 'Alphabetical by species code'!A:B, 2, FALSE)</f>
        <v>Centaurea melitensis</v>
      </c>
    </row>
    <row r="475" spans="1:12" x14ac:dyDescent="0.25">
      <c r="A475" s="6">
        <v>5</v>
      </c>
      <c r="B475" s="6">
        <v>2025</v>
      </c>
      <c r="C475" s="7">
        <v>45755</v>
      </c>
      <c r="D475" s="6" t="s">
        <v>62</v>
      </c>
      <c r="E475" s="6" t="s">
        <v>26</v>
      </c>
      <c r="F475" s="6">
        <v>3</v>
      </c>
      <c r="G475" s="6" t="s">
        <v>63</v>
      </c>
      <c r="H475" s="6">
        <v>2</v>
      </c>
      <c r="I475" s="6">
        <v>6</v>
      </c>
      <c r="J475" s="6">
        <v>3.5</v>
      </c>
      <c r="K475" s="6" t="s">
        <v>65</v>
      </c>
      <c r="L475" s="6" t="str">
        <f>VLOOKUP(K475, 'Alphabetical by species code'!A:B, 2, FALSE)</f>
        <v>Cryptantha intermedia</v>
      </c>
    </row>
    <row r="476" spans="1:12" x14ac:dyDescent="0.25">
      <c r="A476" s="6">
        <v>5</v>
      </c>
      <c r="B476" s="6">
        <v>2025</v>
      </c>
      <c r="C476" s="7">
        <v>45755</v>
      </c>
      <c r="D476" s="6" t="s">
        <v>62</v>
      </c>
      <c r="E476" s="6" t="s">
        <v>26</v>
      </c>
      <c r="F476" s="6">
        <v>3</v>
      </c>
      <c r="G476" s="6" t="s">
        <v>63</v>
      </c>
      <c r="H476" s="6">
        <v>2</v>
      </c>
      <c r="I476" s="6">
        <v>6</v>
      </c>
      <c r="J476" s="6">
        <v>3.5</v>
      </c>
      <c r="K476" s="6" t="s">
        <v>55</v>
      </c>
      <c r="L476" s="6" t="str">
        <f>VLOOKUP(K476, 'Alphabetical by species code'!A:B, 2, FALSE)</f>
        <v>Daucus pusillus</v>
      </c>
    </row>
    <row r="477" spans="1:12" x14ac:dyDescent="0.25">
      <c r="A477" s="6">
        <v>5</v>
      </c>
      <c r="B477" s="6">
        <v>2025</v>
      </c>
      <c r="C477" s="7">
        <v>45755</v>
      </c>
      <c r="D477" s="6" t="s">
        <v>62</v>
      </c>
      <c r="E477" s="6" t="s">
        <v>26</v>
      </c>
      <c r="F477" s="6">
        <v>3</v>
      </c>
      <c r="G477" s="6" t="s">
        <v>63</v>
      </c>
      <c r="H477" s="6">
        <v>2</v>
      </c>
      <c r="I477" s="6">
        <v>7</v>
      </c>
      <c r="J477" s="6">
        <v>4</v>
      </c>
      <c r="K477" s="6" t="s">
        <v>28</v>
      </c>
      <c r="L477" s="6" t="str">
        <f>VLOOKUP(K477, 'Alphabetical by species code'!A:B, 2, FALSE)</f>
        <v>Litter</v>
      </c>
    </row>
    <row r="478" spans="1:12" x14ac:dyDescent="0.25">
      <c r="A478" s="6">
        <v>5</v>
      </c>
      <c r="B478" s="6">
        <v>2025</v>
      </c>
      <c r="C478" s="7">
        <v>45755</v>
      </c>
      <c r="D478" s="6" t="s">
        <v>62</v>
      </c>
      <c r="E478" s="6" t="s">
        <v>26</v>
      </c>
      <c r="F478" s="6">
        <v>3</v>
      </c>
      <c r="G478" s="6" t="s">
        <v>63</v>
      </c>
      <c r="H478" s="6">
        <v>2</v>
      </c>
      <c r="I478" s="6">
        <v>7</v>
      </c>
      <c r="J478" s="6">
        <v>4</v>
      </c>
      <c r="K478" s="6" t="s">
        <v>49</v>
      </c>
      <c r="L478" s="6" t="str">
        <f>VLOOKUP(K478, 'Alphabetical by species code'!A:B, 2, FALSE)</f>
        <v>Anagallis arvensis</v>
      </c>
    </row>
    <row r="479" spans="1:12" x14ac:dyDescent="0.25">
      <c r="A479" s="6">
        <v>5</v>
      </c>
      <c r="B479" s="6">
        <v>2025</v>
      </c>
      <c r="C479" s="7">
        <v>45755</v>
      </c>
      <c r="D479" s="6" t="s">
        <v>62</v>
      </c>
      <c r="E479" s="6" t="s">
        <v>26</v>
      </c>
      <c r="F479" s="6">
        <v>3</v>
      </c>
      <c r="G479" s="6" t="s">
        <v>63</v>
      </c>
      <c r="H479" s="6">
        <v>2</v>
      </c>
      <c r="I479" s="6">
        <v>7</v>
      </c>
      <c r="J479" s="6">
        <v>4</v>
      </c>
      <c r="K479" s="6" t="s">
        <v>32</v>
      </c>
      <c r="L479" s="6" t="str">
        <f>VLOOKUP(K479, 'Alphabetical by species code'!A:B, 2, FALSE)</f>
        <v>Medicago polymorpha</v>
      </c>
    </row>
    <row r="480" spans="1:12" x14ac:dyDescent="0.25">
      <c r="A480" s="6">
        <v>5</v>
      </c>
      <c r="B480" s="6">
        <v>2025</v>
      </c>
      <c r="C480" s="7">
        <v>45755</v>
      </c>
      <c r="D480" s="6" t="s">
        <v>62</v>
      </c>
      <c r="E480" s="6" t="s">
        <v>26</v>
      </c>
      <c r="F480" s="6">
        <v>3</v>
      </c>
      <c r="G480" s="6" t="s">
        <v>63</v>
      </c>
      <c r="H480" s="6">
        <v>2</v>
      </c>
      <c r="I480" s="6">
        <v>8</v>
      </c>
      <c r="J480" s="6">
        <v>5</v>
      </c>
      <c r="K480" s="6" t="s">
        <v>28</v>
      </c>
      <c r="L480" s="6" t="str">
        <f>VLOOKUP(K480, 'Alphabetical by species code'!A:B, 2, FALSE)</f>
        <v>Litter</v>
      </c>
    </row>
    <row r="481" spans="1:12" x14ac:dyDescent="0.25">
      <c r="A481" s="6">
        <v>5</v>
      </c>
      <c r="B481" s="6">
        <v>2025</v>
      </c>
      <c r="C481" s="7">
        <v>45755</v>
      </c>
      <c r="D481" s="6" t="s">
        <v>62</v>
      </c>
      <c r="E481" s="6" t="s">
        <v>26</v>
      </c>
      <c r="F481" s="6">
        <v>3</v>
      </c>
      <c r="G481" s="6" t="s">
        <v>63</v>
      </c>
      <c r="H481" s="6">
        <v>2</v>
      </c>
      <c r="I481" s="6">
        <v>8</v>
      </c>
      <c r="J481" s="6">
        <v>5</v>
      </c>
      <c r="K481" s="6" t="s">
        <v>48</v>
      </c>
      <c r="L481" s="6" t="str">
        <f>VLOOKUP(K481, 'Alphabetical by species code'!A:B, 2, FALSE)</f>
        <v>Sonchus asper</v>
      </c>
    </row>
    <row r="482" spans="1:12" x14ac:dyDescent="0.25">
      <c r="A482" s="6">
        <v>5</v>
      </c>
      <c r="B482" s="6">
        <v>2025</v>
      </c>
      <c r="C482" s="7">
        <v>45755</v>
      </c>
      <c r="D482" s="6" t="s">
        <v>62</v>
      </c>
      <c r="E482" s="6" t="s">
        <v>26</v>
      </c>
      <c r="F482" s="6">
        <v>3</v>
      </c>
      <c r="G482" s="6" t="s">
        <v>63</v>
      </c>
      <c r="H482" s="6">
        <v>2</v>
      </c>
      <c r="I482" s="6">
        <v>9</v>
      </c>
      <c r="J482" s="6">
        <v>7</v>
      </c>
      <c r="K482" s="6" t="s">
        <v>28</v>
      </c>
      <c r="L482" s="6" t="str">
        <f>VLOOKUP(K482, 'Alphabetical by species code'!A:B, 2, FALSE)</f>
        <v>Litter</v>
      </c>
    </row>
    <row r="483" spans="1:12" x14ac:dyDescent="0.25">
      <c r="A483" s="6">
        <v>5</v>
      </c>
      <c r="B483" s="6">
        <v>2025</v>
      </c>
      <c r="C483" s="7">
        <v>45755</v>
      </c>
      <c r="D483" s="6" t="s">
        <v>62</v>
      </c>
      <c r="E483" s="6" t="s">
        <v>26</v>
      </c>
      <c r="F483" s="6">
        <v>3</v>
      </c>
      <c r="G483" s="6" t="s">
        <v>63</v>
      </c>
      <c r="H483" s="6">
        <v>2</v>
      </c>
      <c r="I483" s="6">
        <v>9</v>
      </c>
      <c r="J483" s="6">
        <v>7</v>
      </c>
      <c r="K483" s="6" t="s">
        <v>31</v>
      </c>
      <c r="L483" s="6" t="str">
        <f>VLOOKUP(K483, 'Alphabetical by species code'!A:B, 2, FALSE)</f>
        <v>Festuca myuros</v>
      </c>
    </row>
    <row r="484" spans="1:12" x14ac:dyDescent="0.25">
      <c r="A484" s="6">
        <v>5</v>
      </c>
      <c r="B484" s="6">
        <v>2025</v>
      </c>
      <c r="C484" s="7">
        <v>45755</v>
      </c>
      <c r="D484" s="6" t="s">
        <v>62</v>
      </c>
      <c r="E484" s="6" t="s">
        <v>26</v>
      </c>
      <c r="F484" s="6">
        <v>3</v>
      </c>
      <c r="G484" s="6" t="s">
        <v>63</v>
      </c>
      <c r="H484" s="6">
        <v>2</v>
      </c>
      <c r="I484" s="6">
        <v>9</v>
      </c>
      <c r="J484" s="6">
        <v>7</v>
      </c>
      <c r="K484" s="6" t="s">
        <v>42</v>
      </c>
      <c r="L484" s="6" t="str">
        <f>VLOOKUP(K484, 'Alphabetical by species code'!A:B, 2, FALSE)</f>
        <v>Centaurea melitensis</v>
      </c>
    </row>
    <row r="485" spans="1:12" x14ac:dyDescent="0.25">
      <c r="A485" s="6">
        <v>5</v>
      </c>
      <c r="B485" s="6">
        <v>2025</v>
      </c>
      <c r="C485" s="7">
        <v>45755</v>
      </c>
      <c r="D485" s="6" t="s">
        <v>62</v>
      </c>
      <c r="E485" s="6" t="s">
        <v>26</v>
      </c>
      <c r="F485" s="6">
        <v>3</v>
      </c>
      <c r="G485" s="6" t="s">
        <v>63</v>
      </c>
      <c r="H485" s="6">
        <v>2</v>
      </c>
      <c r="I485" s="6">
        <v>10</v>
      </c>
      <c r="J485" s="6">
        <v>8</v>
      </c>
      <c r="K485" s="6" t="s">
        <v>51</v>
      </c>
      <c r="L485" s="6" t="str">
        <f>VLOOKUP(K485, 'Alphabetical by species code'!A:B, 2, FALSE)</f>
        <v>Bareground</v>
      </c>
    </row>
    <row r="486" spans="1:12" x14ac:dyDescent="0.25">
      <c r="A486" s="6">
        <v>5</v>
      </c>
      <c r="B486" s="6">
        <v>2025</v>
      </c>
      <c r="C486" s="7">
        <v>45755</v>
      </c>
      <c r="D486" s="6" t="s">
        <v>62</v>
      </c>
      <c r="E486" s="6" t="s">
        <v>26</v>
      </c>
      <c r="F486" s="6">
        <v>3</v>
      </c>
      <c r="G486" s="6" t="s">
        <v>63</v>
      </c>
      <c r="H486" s="6">
        <v>2</v>
      </c>
      <c r="I486" s="6">
        <v>10</v>
      </c>
      <c r="J486" s="6">
        <v>8</v>
      </c>
      <c r="K486" s="6" t="s">
        <v>44</v>
      </c>
      <c r="L486" s="6" t="str">
        <f>VLOOKUP(K486, 'Alphabetical by species code'!A:B, 2, FALSE)</f>
        <v>Amsinckia menziesii</v>
      </c>
    </row>
    <row r="487" spans="1:12" x14ac:dyDescent="0.25">
      <c r="A487" s="6">
        <v>5</v>
      </c>
      <c r="B487" s="6">
        <v>2025</v>
      </c>
      <c r="C487" s="7">
        <v>45755</v>
      </c>
      <c r="D487" s="6" t="s">
        <v>62</v>
      </c>
      <c r="E487" s="6" t="s">
        <v>26</v>
      </c>
      <c r="F487" s="6">
        <v>3</v>
      </c>
      <c r="G487" s="6" t="s">
        <v>63</v>
      </c>
      <c r="H487" s="6">
        <v>2</v>
      </c>
      <c r="I487" s="6">
        <v>10</v>
      </c>
      <c r="J487" s="6">
        <v>8</v>
      </c>
      <c r="K487" s="6" t="s">
        <v>31</v>
      </c>
      <c r="L487" s="6" t="str">
        <f>VLOOKUP(K487, 'Alphabetical by species code'!A:B, 2, FALSE)</f>
        <v>Festuca myuros</v>
      </c>
    </row>
    <row r="488" spans="1:12" x14ac:dyDescent="0.25">
      <c r="A488" s="6">
        <v>5</v>
      </c>
      <c r="B488" s="6">
        <v>2025</v>
      </c>
      <c r="C488" s="7">
        <v>45755</v>
      </c>
      <c r="D488" s="6" t="s">
        <v>62</v>
      </c>
      <c r="E488" s="6" t="s">
        <v>26</v>
      </c>
      <c r="F488" s="6">
        <v>3</v>
      </c>
      <c r="G488" s="6" t="s">
        <v>63</v>
      </c>
      <c r="H488" s="6">
        <v>2</v>
      </c>
      <c r="I488" s="6">
        <v>11</v>
      </c>
      <c r="J488" s="6">
        <v>8.5</v>
      </c>
      <c r="K488" s="6" t="s">
        <v>28</v>
      </c>
      <c r="L488" s="6" t="str">
        <f>VLOOKUP(K488, 'Alphabetical by species code'!A:B, 2, FALSE)</f>
        <v>Litter</v>
      </c>
    </row>
    <row r="489" spans="1:12" x14ac:dyDescent="0.25">
      <c r="A489" s="6">
        <v>5</v>
      </c>
      <c r="B489" s="6">
        <v>2025</v>
      </c>
      <c r="C489" s="7">
        <v>45755</v>
      </c>
      <c r="D489" s="6" t="s">
        <v>62</v>
      </c>
      <c r="E489" s="6" t="s">
        <v>26</v>
      </c>
      <c r="F489" s="6">
        <v>3</v>
      </c>
      <c r="G489" s="6" t="s">
        <v>63</v>
      </c>
      <c r="H489" s="6">
        <v>2</v>
      </c>
      <c r="I489" s="6">
        <v>11</v>
      </c>
      <c r="J489" s="6">
        <v>8.5</v>
      </c>
      <c r="K489" s="6" t="s">
        <v>42</v>
      </c>
      <c r="L489" s="6" t="str">
        <f>VLOOKUP(K489, 'Alphabetical by species code'!A:B, 2, FALSE)</f>
        <v>Centaurea melitensis</v>
      </c>
    </row>
    <row r="490" spans="1:12" x14ac:dyDescent="0.25">
      <c r="A490" s="6">
        <v>5</v>
      </c>
      <c r="B490" s="6">
        <v>2025</v>
      </c>
      <c r="C490" s="7">
        <v>45755</v>
      </c>
      <c r="D490" s="6" t="s">
        <v>62</v>
      </c>
      <c r="E490" s="6" t="s">
        <v>26</v>
      </c>
      <c r="F490" s="6">
        <v>3</v>
      </c>
      <c r="G490" s="6" t="s">
        <v>63</v>
      </c>
      <c r="H490" s="6">
        <v>2</v>
      </c>
      <c r="I490" s="6">
        <v>12</v>
      </c>
      <c r="J490" s="6">
        <v>9</v>
      </c>
      <c r="K490" s="6" t="s">
        <v>28</v>
      </c>
      <c r="L490" s="6" t="str">
        <f>VLOOKUP(K490, 'Alphabetical by species code'!A:B, 2, FALSE)</f>
        <v>Litter</v>
      </c>
    </row>
    <row r="491" spans="1:12" x14ac:dyDescent="0.25">
      <c r="A491" s="6">
        <v>5</v>
      </c>
      <c r="B491" s="6">
        <v>2025</v>
      </c>
      <c r="C491" s="7">
        <v>45755</v>
      </c>
      <c r="D491" s="6" t="s">
        <v>62</v>
      </c>
      <c r="E491" s="6" t="s">
        <v>26</v>
      </c>
      <c r="F491" s="6">
        <v>3</v>
      </c>
      <c r="G491" s="6" t="s">
        <v>63</v>
      </c>
      <c r="H491" s="6">
        <v>2</v>
      </c>
      <c r="I491" s="6">
        <v>12</v>
      </c>
      <c r="J491" s="6">
        <v>9</v>
      </c>
      <c r="K491" s="6" t="s">
        <v>31</v>
      </c>
      <c r="L491" s="6" t="str">
        <f>VLOOKUP(K491, 'Alphabetical by species code'!A:B, 2, FALSE)</f>
        <v>Festuca myuros</v>
      </c>
    </row>
    <row r="492" spans="1:12" x14ac:dyDescent="0.25">
      <c r="A492" s="6">
        <v>5</v>
      </c>
      <c r="B492" s="6">
        <v>2025</v>
      </c>
      <c r="C492" s="7">
        <v>45755</v>
      </c>
      <c r="D492" s="6" t="s">
        <v>62</v>
      </c>
      <c r="E492" s="6" t="s">
        <v>26</v>
      </c>
      <c r="F492" s="6">
        <v>3</v>
      </c>
      <c r="G492" s="6" t="s">
        <v>63</v>
      </c>
      <c r="H492" s="6">
        <v>2</v>
      </c>
      <c r="I492" s="6">
        <v>12</v>
      </c>
      <c r="J492" s="6">
        <v>9</v>
      </c>
      <c r="K492" s="6" t="s">
        <v>64</v>
      </c>
      <c r="L492" s="6" t="str">
        <f>VLOOKUP(K492, 'Alphabetical by species code'!A:B, 2, FALSE)</f>
        <v>Brassica nigra</v>
      </c>
    </row>
    <row r="493" spans="1:12" x14ac:dyDescent="0.25">
      <c r="A493" s="6">
        <v>5</v>
      </c>
      <c r="B493" s="6">
        <v>2025</v>
      </c>
      <c r="C493" s="7">
        <v>45755</v>
      </c>
      <c r="D493" s="6" t="s">
        <v>62</v>
      </c>
      <c r="E493" s="6" t="s">
        <v>26</v>
      </c>
      <c r="F493" s="6">
        <v>3</v>
      </c>
      <c r="G493" s="6" t="s">
        <v>63</v>
      </c>
      <c r="H493" s="6">
        <v>2</v>
      </c>
      <c r="I493" s="6">
        <v>13</v>
      </c>
      <c r="J493" s="6">
        <v>10</v>
      </c>
      <c r="K493" s="6" t="s">
        <v>28</v>
      </c>
      <c r="L493" s="6" t="str">
        <f>VLOOKUP(K493, 'Alphabetical by species code'!A:B, 2, FALSE)</f>
        <v>Litter</v>
      </c>
    </row>
    <row r="494" spans="1:12" x14ac:dyDescent="0.25">
      <c r="A494" s="6">
        <v>5</v>
      </c>
      <c r="B494" s="6">
        <v>2025</v>
      </c>
      <c r="C494" s="7">
        <v>45755</v>
      </c>
      <c r="D494" s="6" t="s">
        <v>62</v>
      </c>
      <c r="E494" s="6" t="s">
        <v>26</v>
      </c>
      <c r="F494" s="6">
        <v>3</v>
      </c>
      <c r="G494" s="6" t="s">
        <v>63</v>
      </c>
      <c r="H494" s="6">
        <v>2</v>
      </c>
      <c r="I494" s="6">
        <v>13</v>
      </c>
      <c r="J494" s="6">
        <v>10</v>
      </c>
      <c r="K494" s="6" t="s">
        <v>31</v>
      </c>
      <c r="L494" s="6" t="str">
        <f>VLOOKUP(K494, 'Alphabetical by species code'!A:B, 2, FALSE)</f>
        <v>Festuca myuros</v>
      </c>
    </row>
    <row r="495" spans="1:12" x14ac:dyDescent="0.25">
      <c r="A495" s="6">
        <v>5</v>
      </c>
      <c r="B495" s="6">
        <v>2025</v>
      </c>
      <c r="C495" s="7">
        <v>45755</v>
      </c>
      <c r="D495" s="6" t="s">
        <v>62</v>
      </c>
      <c r="E495" s="6" t="s">
        <v>26</v>
      </c>
      <c r="F495" s="6">
        <v>3</v>
      </c>
      <c r="G495" s="6" t="s">
        <v>63</v>
      </c>
      <c r="H495" s="6">
        <v>2</v>
      </c>
      <c r="I495" s="6">
        <v>13</v>
      </c>
      <c r="J495" s="6">
        <v>10</v>
      </c>
      <c r="K495" s="6" t="s">
        <v>42</v>
      </c>
      <c r="L495" s="6" t="str">
        <f>VLOOKUP(K495, 'Alphabetical by species code'!A:B, 2, FALSE)</f>
        <v>Centaurea melitensis</v>
      </c>
    </row>
    <row r="496" spans="1:12" x14ac:dyDescent="0.25">
      <c r="A496" s="6">
        <v>5</v>
      </c>
      <c r="B496" s="6">
        <v>2025</v>
      </c>
      <c r="C496" s="7">
        <v>45755</v>
      </c>
      <c r="D496" s="6" t="s">
        <v>62</v>
      </c>
      <c r="E496" s="6" t="s">
        <v>26</v>
      </c>
      <c r="F496" s="6">
        <v>3</v>
      </c>
      <c r="G496" s="6" t="s">
        <v>63</v>
      </c>
      <c r="H496" s="6">
        <v>2</v>
      </c>
      <c r="I496" s="6">
        <v>14</v>
      </c>
      <c r="J496" s="6">
        <v>11</v>
      </c>
      <c r="K496" s="6" t="s">
        <v>28</v>
      </c>
      <c r="L496" s="6" t="str">
        <f>VLOOKUP(K496, 'Alphabetical by species code'!A:B, 2, FALSE)</f>
        <v>Litter</v>
      </c>
    </row>
    <row r="497" spans="1:12" x14ac:dyDescent="0.25">
      <c r="A497" s="6">
        <v>5</v>
      </c>
      <c r="B497" s="6">
        <v>2025</v>
      </c>
      <c r="C497" s="7">
        <v>45755</v>
      </c>
      <c r="D497" s="6" t="s">
        <v>62</v>
      </c>
      <c r="E497" s="6" t="s">
        <v>26</v>
      </c>
      <c r="F497" s="6">
        <v>3</v>
      </c>
      <c r="G497" s="6" t="s">
        <v>63</v>
      </c>
      <c r="H497" s="6">
        <v>2</v>
      </c>
      <c r="I497" s="6">
        <v>14</v>
      </c>
      <c r="J497" s="6">
        <v>11</v>
      </c>
      <c r="K497" s="6" t="s">
        <v>64</v>
      </c>
      <c r="L497" s="6" t="str">
        <f>VLOOKUP(K497, 'Alphabetical by species code'!A:B, 2, FALSE)</f>
        <v>Brassica nigra</v>
      </c>
    </row>
    <row r="498" spans="1:12" x14ac:dyDescent="0.25">
      <c r="A498" s="6">
        <v>5</v>
      </c>
      <c r="B498" s="6">
        <v>2025</v>
      </c>
      <c r="C498" s="7">
        <v>45755</v>
      </c>
      <c r="D498" s="6" t="s">
        <v>62</v>
      </c>
      <c r="E498" s="6" t="s">
        <v>26</v>
      </c>
      <c r="F498" s="6">
        <v>3</v>
      </c>
      <c r="G498" s="6" t="s">
        <v>63</v>
      </c>
      <c r="H498" s="6">
        <v>2</v>
      </c>
      <c r="I498" s="6">
        <v>15</v>
      </c>
      <c r="J498" s="6">
        <v>12</v>
      </c>
      <c r="K498" s="6" t="s">
        <v>28</v>
      </c>
      <c r="L498" s="6" t="str">
        <f>VLOOKUP(K498, 'Alphabetical by species code'!A:B, 2, FALSE)</f>
        <v>Litter</v>
      </c>
    </row>
    <row r="499" spans="1:12" x14ac:dyDescent="0.25">
      <c r="A499" s="6">
        <v>5</v>
      </c>
      <c r="B499" s="6">
        <v>2025</v>
      </c>
      <c r="C499" s="7">
        <v>45755</v>
      </c>
      <c r="D499" s="6" t="s">
        <v>62</v>
      </c>
      <c r="E499" s="6" t="s">
        <v>26</v>
      </c>
      <c r="F499" s="6">
        <v>3</v>
      </c>
      <c r="G499" s="6" t="s">
        <v>63</v>
      </c>
      <c r="H499" s="6">
        <v>2</v>
      </c>
      <c r="I499" s="6">
        <v>15</v>
      </c>
      <c r="J499" s="6">
        <v>12</v>
      </c>
      <c r="K499" s="6" t="s">
        <v>48</v>
      </c>
      <c r="L499" s="6" t="str">
        <f>VLOOKUP(K499, 'Alphabetical by species code'!A:B, 2, FALSE)</f>
        <v>Sonchus asper</v>
      </c>
    </row>
    <row r="500" spans="1:12" x14ac:dyDescent="0.25">
      <c r="A500" s="6">
        <v>5</v>
      </c>
      <c r="B500" s="6">
        <v>2025</v>
      </c>
      <c r="C500" s="7">
        <v>45755</v>
      </c>
      <c r="D500" s="6" t="s">
        <v>62</v>
      </c>
      <c r="E500" s="6" t="s">
        <v>26</v>
      </c>
      <c r="F500" s="6">
        <v>3</v>
      </c>
      <c r="G500" s="6" t="s">
        <v>63</v>
      </c>
      <c r="H500" s="6">
        <v>2</v>
      </c>
      <c r="I500" s="6">
        <v>15</v>
      </c>
      <c r="J500" s="6">
        <v>12</v>
      </c>
      <c r="K500" s="6" t="s">
        <v>31</v>
      </c>
      <c r="L500" s="6" t="str">
        <f>VLOOKUP(K500, 'Alphabetical by species code'!A:B, 2, FALSE)</f>
        <v>Festuca myuros</v>
      </c>
    </row>
    <row r="501" spans="1:12" x14ac:dyDescent="0.25">
      <c r="A501" s="6">
        <v>6</v>
      </c>
      <c r="B501" s="6">
        <v>2025</v>
      </c>
      <c r="C501" s="7">
        <v>45755</v>
      </c>
      <c r="D501" s="6" t="s">
        <v>54</v>
      </c>
      <c r="E501" s="6" t="s">
        <v>26</v>
      </c>
      <c r="F501" s="6">
        <v>3</v>
      </c>
      <c r="G501" s="6" t="s">
        <v>66</v>
      </c>
      <c r="H501" s="6">
        <v>1</v>
      </c>
      <c r="I501" s="6">
        <v>1</v>
      </c>
      <c r="J501" s="6">
        <v>0</v>
      </c>
      <c r="K501" s="6" t="s">
        <v>28</v>
      </c>
      <c r="L501" s="6" t="str">
        <f>VLOOKUP(K501, 'Alphabetical by species code'!A:B, 2, FALSE)</f>
        <v>Litter</v>
      </c>
    </row>
    <row r="502" spans="1:12" x14ac:dyDescent="0.25">
      <c r="A502" s="6">
        <v>6</v>
      </c>
      <c r="B502" s="6">
        <v>2025</v>
      </c>
      <c r="C502" s="7">
        <v>45755</v>
      </c>
      <c r="D502" s="6" t="s">
        <v>54</v>
      </c>
      <c r="E502" s="6" t="s">
        <v>26</v>
      </c>
      <c r="F502" s="6">
        <v>3</v>
      </c>
      <c r="G502" s="6" t="s">
        <v>66</v>
      </c>
      <c r="H502" s="6">
        <v>1</v>
      </c>
      <c r="I502" s="6">
        <v>1</v>
      </c>
      <c r="J502" s="6">
        <v>0</v>
      </c>
      <c r="K502" s="6" t="s">
        <v>35</v>
      </c>
      <c r="L502" s="6" t="str">
        <f>VLOOKUP(K502, 'Alphabetical by species code'!A:B, 2, FALSE)</f>
        <v>Deinandra fasciculata</v>
      </c>
    </row>
    <row r="503" spans="1:12" x14ac:dyDescent="0.25">
      <c r="A503" s="6">
        <v>6</v>
      </c>
      <c r="B503" s="6">
        <v>2025</v>
      </c>
      <c r="C503" s="7">
        <v>45755</v>
      </c>
      <c r="D503" s="6" t="s">
        <v>54</v>
      </c>
      <c r="E503" s="6" t="s">
        <v>26</v>
      </c>
      <c r="F503" s="6">
        <v>3</v>
      </c>
      <c r="G503" s="6" t="s">
        <v>66</v>
      </c>
      <c r="H503" s="6">
        <v>1</v>
      </c>
      <c r="I503" s="6">
        <v>1</v>
      </c>
      <c r="J503" s="6">
        <v>0</v>
      </c>
      <c r="K503" s="6" t="s">
        <v>49</v>
      </c>
      <c r="L503" s="6" t="str">
        <f>VLOOKUP(K503, 'Alphabetical by species code'!A:B, 2, FALSE)</f>
        <v>Anagallis arvensis</v>
      </c>
    </row>
    <row r="504" spans="1:12" x14ac:dyDescent="0.25">
      <c r="A504" s="6">
        <v>6</v>
      </c>
      <c r="B504" s="6">
        <v>2025</v>
      </c>
      <c r="C504" s="7">
        <v>45755</v>
      </c>
      <c r="D504" s="6" t="s">
        <v>54</v>
      </c>
      <c r="E504" s="6" t="s">
        <v>26</v>
      </c>
      <c r="F504" s="6">
        <v>3</v>
      </c>
      <c r="G504" s="6" t="s">
        <v>66</v>
      </c>
      <c r="H504" s="6">
        <v>1</v>
      </c>
      <c r="I504" s="6">
        <v>1</v>
      </c>
      <c r="J504" s="6">
        <v>0</v>
      </c>
      <c r="K504" s="6" t="s">
        <v>34</v>
      </c>
      <c r="L504" s="6" t="str">
        <f>VLOOKUP(K504, 'Alphabetical by species code'!A:B, 2, FALSE)</f>
        <v>Erodium cicutarium</v>
      </c>
    </row>
    <row r="505" spans="1:12" x14ac:dyDescent="0.25">
      <c r="A505" s="6">
        <v>6</v>
      </c>
      <c r="B505" s="6">
        <v>2025</v>
      </c>
      <c r="C505" s="7">
        <v>45755</v>
      </c>
      <c r="D505" s="6" t="s">
        <v>54</v>
      </c>
      <c r="E505" s="6" t="s">
        <v>26</v>
      </c>
      <c r="F505" s="6">
        <v>3</v>
      </c>
      <c r="G505" s="6" t="s">
        <v>66</v>
      </c>
      <c r="H505" s="6">
        <v>1</v>
      </c>
      <c r="I505" s="6">
        <v>2</v>
      </c>
      <c r="J505" s="6">
        <v>1</v>
      </c>
      <c r="K505" s="6" t="s">
        <v>28</v>
      </c>
      <c r="L505" s="6" t="str">
        <f>VLOOKUP(K505, 'Alphabetical by species code'!A:B, 2, FALSE)</f>
        <v>Litter</v>
      </c>
    </row>
    <row r="506" spans="1:12" x14ac:dyDescent="0.25">
      <c r="A506" s="6">
        <v>6</v>
      </c>
      <c r="B506" s="6">
        <v>2025</v>
      </c>
      <c r="C506" s="7">
        <v>45755</v>
      </c>
      <c r="D506" s="6" t="s">
        <v>54</v>
      </c>
      <c r="E506" s="6" t="s">
        <v>26</v>
      </c>
      <c r="F506" s="6">
        <v>3</v>
      </c>
      <c r="G506" s="6" t="s">
        <v>66</v>
      </c>
      <c r="H506" s="6">
        <v>1</v>
      </c>
      <c r="I506" s="6">
        <v>2</v>
      </c>
      <c r="J506" s="6">
        <v>1</v>
      </c>
      <c r="K506" s="6" t="s">
        <v>40</v>
      </c>
      <c r="L506" s="6" t="str">
        <f>VLOOKUP(K506, 'Alphabetical by species code'!A:B, 2, FALSE)</f>
        <v>Cylindropuntia prolifera</v>
      </c>
    </row>
    <row r="507" spans="1:12" x14ac:dyDescent="0.25">
      <c r="A507" s="6">
        <v>6</v>
      </c>
      <c r="B507" s="6">
        <v>2025</v>
      </c>
      <c r="C507" s="7">
        <v>45755</v>
      </c>
      <c r="D507" s="6" t="s">
        <v>54</v>
      </c>
      <c r="E507" s="6" t="s">
        <v>26</v>
      </c>
      <c r="F507" s="6">
        <v>3</v>
      </c>
      <c r="G507" s="6" t="s">
        <v>66</v>
      </c>
      <c r="H507" s="6">
        <v>1</v>
      </c>
      <c r="I507" s="6">
        <v>2</v>
      </c>
      <c r="J507" s="6">
        <v>1</v>
      </c>
      <c r="K507" s="6" t="s">
        <v>39</v>
      </c>
      <c r="L507" s="6" t="str">
        <f>VLOOKUP(K507, 'Alphabetical by species code'!A:B, 2, FALSE)</f>
        <v>Stephanomeria diegensis</v>
      </c>
    </row>
    <row r="508" spans="1:12" x14ac:dyDescent="0.25">
      <c r="A508" s="6">
        <v>6</v>
      </c>
      <c r="B508" s="6">
        <v>2025</v>
      </c>
      <c r="C508" s="7">
        <v>45755</v>
      </c>
      <c r="D508" s="6" t="s">
        <v>54</v>
      </c>
      <c r="E508" s="6" t="s">
        <v>26</v>
      </c>
      <c r="F508" s="6">
        <v>3</v>
      </c>
      <c r="G508" s="6" t="s">
        <v>66</v>
      </c>
      <c r="H508" s="6">
        <v>1</v>
      </c>
      <c r="I508" s="6">
        <v>2</v>
      </c>
      <c r="J508" s="6">
        <v>1</v>
      </c>
      <c r="K508" s="6" t="s">
        <v>31</v>
      </c>
      <c r="L508" s="6" t="str">
        <f>VLOOKUP(K508, 'Alphabetical by species code'!A:B, 2, FALSE)</f>
        <v>Festuca myuros</v>
      </c>
    </row>
    <row r="509" spans="1:12" x14ac:dyDescent="0.25">
      <c r="A509" s="6">
        <v>6</v>
      </c>
      <c r="B509" s="6">
        <v>2025</v>
      </c>
      <c r="C509" s="7">
        <v>45755</v>
      </c>
      <c r="D509" s="6" t="s">
        <v>54</v>
      </c>
      <c r="E509" s="6" t="s">
        <v>26</v>
      </c>
      <c r="F509" s="6">
        <v>3</v>
      </c>
      <c r="G509" s="6" t="s">
        <v>66</v>
      </c>
      <c r="H509" s="6">
        <v>1</v>
      </c>
      <c r="I509" s="6">
        <v>3</v>
      </c>
      <c r="J509" s="6">
        <v>2</v>
      </c>
      <c r="K509" s="6" t="s">
        <v>28</v>
      </c>
      <c r="L509" s="6" t="str">
        <f>VLOOKUP(K509, 'Alphabetical by species code'!A:B, 2, FALSE)</f>
        <v>Litter</v>
      </c>
    </row>
    <row r="510" spans="1:12" x14ac:dyDescent="0.25">
      <c r="A510" s="6">
        <v>6</v>
      </c>
      <c r="B510" s="6">
        <v>2025</v>
      </c>
      <c r="C510" s="7">
        <v>45755</v>
      </c>
      <c r="D510" s="6" t="s">
        <v>54</v>
      </c>
      <c r="E510" s="6" t="s">
        <v>26</v>
      </c>
      <c r="F510" s="6">
        <v>3</v>
      </c>
      <c r="G510" s="6" t="s">
        <v>66</v>
      </c>
      <c r="H510" s="6">
        <v>1</v>
      </c>
      <c r="I510" s="6">
        <v>3</v>
      </c>
      <c r="J510" s="6">
        <v>2</v>
      </c>
      <c r="K510" s="6" t="s">
        <v>31</v>
      </c>
      <c r="L510" s="6" t="str">
        <f>VLOOKUP(K510, 'Alphabetical by species code'!A:B, 2, FALSE)</f>
        <v>Festuca myuros</v>
      </c>
    </row>
    <row r="511" spans="1:12" x14ac:dyDescent="0.25">
      <c r="A511" s="6">
        <v>6</v>
      </c>
      <c r="B511" s="6">
        <v>2025</v>
      </c>
      <c r="C511" s="7">
        <v>45755</v>
      </c>
      <c r="D511" s="6" t="s">
        <v>54</v>
      </c>
      <c r="E511" s="6" t="s">
        <v>26</v>
      </c>
      <c r="F511" s="6">
        <v>3</v>
      </c>
      <c r="G511" s="6" t="s">
        <v>66</v>
      </c>
      <c r="H511" s="6">
        <v>1</v>
      </c>
      <c r="I511" s="6">
        <v>3</v>
      </c>
      <c r="J511" s="6">
        <v>2</v>
      </c>
      <c r="K511" s="6" t="s">
        <v>49</v>
      </c>
      <c r="L511" s="6" t="str">
        <f>VLOOKUP(K511, 'Alphabetical by species code'!A:B, 2, FALSE)</f>
        <v>Anagallis arvensis</v>
      </c>
    </row>
    <row r="512" spans="1:12" x14ac:dyDescent="0.25">
      <c r="A512" s="6">
        <v>6</v>
      </c>
      <c r="B512" s="6">
        <v>2025</v>
      </c>
      <c r="C512" s="7">
        <v>45755</v>
      </c>
      <c r="D512" s="6" t="s">
        <v>54</v>
      </c>
      <c r="E512" s="6" t="s">
        <v>26</v>
      </c>
      <c r="F512" s="6">
        <v>3</v>
      </c>
      <c r="G512" s="6" t="s">
        <v>66</v>
      </c>
      <c r="H512" s="6">
        <v>1</v>
      </c>
      <c r="I512" s="6">
        <v>4</v>
      </c>
      <c r="J512" s="6">
        <v>3</v>
      </c>
      <c r="K512" s="6" t="s">
        <v>28</v>
      </c>
      <c r="L512" s="6" t="str">
        <f>VLOOKUP(K512, 'Alphabetical by species code'!A:B, 2, FALSE)</f>
        <v>Litter</v>
      </c>
    </row>
    <row r="513" spans="1:12" x14ac:dyDescent="0.25">
      <c r="A513" s="6">
        <v>6</v>
      </c>
      <c r="B513" s="6">
        <v>2025</v>
      </c>
      <c r="C513" s="7">
        <v>45755</v>
      </c>
      <c r="D513" s="6" t="s">
        <v>54</v>
      </c>
      <c r="E513" s="6" t="s">
        <v>26</v>
      </c>
      <c r="F513" s="6">
        <v>3</v>
      </c>
      <c r="G513" s="6" t="s">
        <v>66</v>
      </c>
      <c r="H513" s="6">
        <v>1</v>
      </c>
      <c r="I513" s="6">
        <v>4</v>
      </c>
      <c r="J513" s="6">
        <v>3</v>
      </c>
      <c r="K513" s="6" t="s">
        <v>32</v>
      </c>
      <c r="L513" s="6" t="str">
        <f>VLOOKUP(K513, 'Alphabetical by species code'!A:B, 2, FALSE)</f>
        <v>Medicago polymorpha</v>
      </c>
    </row>
    <row r="514" spans="1:12" x14ac:dyDescent="0.25">
      <c r="A514" s="6">
        <v>6</v>
      </c>
      <c r="B514" s="6">
        <v>2025</v>
      </c>
      <c r="C514" s="7">
        <v>45755</v>
      </c>
      <c r="D514" s="6" t="s">
        <v>54</v>
      </c>
      <c r="E514" s="6" t="s">
        <v>26</v>
      </c>
      <c r="F514" s="6">
        <v>3</v>
      </c>
      <c r="G514" s="6" t="s">
        <v>66</v>
      </c>
      <c r="H514" s="6">
        <v>1</v>
      </c>
      <c r="I514" s="6">
        <v>4</v>
      </c>
      <c r="J514" s="6">
        <v>3</v>
      </c>
      <c r="K514" s="6" t="s">
        <v>31</v>
      </c>
      <c r="L514" s="6" t="str">
        <f>VLOOKUP(K514, 'Alphabetical by species code'!A:B, 2, FALSE)</f>
        <v>Festuca myuros</v>
      </c>
    </row>
    <row r="515" spans="1:12" x14ac:dyDescent="0.25">
      <c r="A515" s="6">
        <v>6</v>
      </c>
      <c r="B515" s="6">
        <v>2025</v>
      </c>
      <c r="C515" s="7">
        <v>45755</v>
      </c>
      <c r="D515" s="6" t="s">
        <v>54</v>
      </c>
      <c r="E515" s="6" t="s">
        <v>26</v>
      </c>
      <c r="F515" s="6">
        <v>3</v>
      </c>
      <c r="G515" s="6" t="s">
        <v>66</v>
      </c>
      <c r="H515" s="6">
        <v>1</v>
      </c>
      <c r="I515" s="6">
        <v>4</v>
      </c>
      <c r="J515" s="6">
        <v>3</v>
      </c>
      <c r="K515" s="6" t="s">
        <v>37</v>
      </c>
      <c r="L515" s="6" t="str">
        <f>VLOOKUP(K515, 'Alphabetical by species code'!A:B, 2, FALSE)</f>
        <v>Sonchus oleraceus</v>
      </c>
    </row>
    <row r="516" spans="1:12" x14ac:dyDescent="0.25">
      <c r="A516" s="6">
        <v>6</v>
      </c>
      <c r="B516" s="6">
        <v>2025</v>
      </c>
      <c r="C516" s="7">
        <v>45755</v>
      </c>
      <c r="D516" s="6" t="s">
        <v>54</v>
      </c>
      <c r="E516" s="6" t="s">
        <v>26</v>
      </c>
      <c r="F516" s="6">
        <v>3</v>
      </c>
      <c r="G516" s="6" t="s">
        <v>66</v>
      </c>
      <c r="H516" s="6">
        <v>1</v>
      </c>
      <c r="I516" s="6">
        <v>5</v>
      </c>
      <c r="J516" s="6">
        <v>3.5</v>
      </c>
      <c r="K516" s="6" t="s">
        <v>28</v>
      </c>
      <c r="L516" s="6" t="str">
        <f>VLOOKUP(K516, 'Alphabetical by species code'!A:B, 2, FALSE)</f>
        <v>Litter</v>
      </c>
    </row>
    <row r="517" spans="1:12" x14ac:dyDescent="0.25">
      <c r="A517" s="6">
        <v>6</v>
      </c>
      <c r="B517" s="6">
        <v>2025</v>
      </c>
      <c r="C517" s="7">
        <v>45755</v>
      </c>
      <c r="D517" s="6" t="s">
        <v>54</v>
      </c>
      <c r="E517" s="6" t="s">
        <v>26</v>
      </c>
      <c r="F517" s="6">
        <v>3</v>
      </c>
      <c r="G517" s="6" t="s">
        <v>66</v>
      </c>
      <c r="H517" s="6">
        <v>1</v>
      </c>
      <c r="I517" s="6">
        <v>5</v>
      </c>
      <c r="J517" s="6">
        <v>3.5</v>
      </c>
      <c r="K517" s="6" t="s">
        <v>58</v>
      </c>
      <c r="L517" s="6" t="str">
        <f>VLOOKUP(K517, 'Alphabetical by species code'!A:B, 2, FALSE)</f>
        <v>Crassula connata</v>
      </c>
    </row>
    <row r="518" spans="1:12" x14ac:dyDescent="0.25">
      <c r="A518" s="6">
        <v>6</v>
      </c>
      <c r="B518" s="6">
        <v>2025</v>
      </c>
      <c r="C518" s="7">
        <v>45755</v>
      </c>
      <c r="D518" s="6" t="s">
        <v>54</v>
      </c>
      <c r="E518" s="6" t="s">
        <v>26</v>
      </c>
      <c r="F518" s="6">
        <v>3</v>
      </c>
      <c r="G518" s="6" t="s">
        <v>66</v>
      </c>
      <c r="H518" s="6">
        <v>1</v>
      </c>
      <c r="I518" s="6">
        <v>5</v>
      </c>
      <c r="J518" s="6">
        <v>3.5</v>
      </c>
      <c r="K518" s="6" t="s">
        <v>31</v>
      </c>
      <c r="L518" s="6" t="str">
        <f>VLOOKUP(K518, 'Alphabetical by species code'!A:B, 2, FALSE)</f>
        <v>Festuca myuros</v>
      </c>
    </row>
    <row r="519" spans="1:12" x14ac:dyDescent="0.25">
      <c r="A519" s="6">
        <v>6</v>
      </c>
      <c r="B519" s="6">
        <v>2025</v>
      </c>
      <c r="C519" s="7">
        <v>45755</v>
      </c>
      <c r="D519" s="6" t="s">
        <v>54</v>
      </c>
      <c r="E519" s="6" t="s">
        <v>26</v>
      </c>
      <c r="F519" s="6">
        <v>3</v>
      </c>
      <c r="G519" s="6" t="s">
        <v>66</v>
      </c>
      <c r="H519" s="6">
        <v>1</v>
      </c>
      <c r="I519" s="6">
        <v>5</v>
      </c>
      <c r="J519" s="6">
        <v>3.5</v>
      </c>
      <c r="K519" s="6" t="s">
        <v>32</v>
      </c>
      <c r="L519" s="6" t="str">
        <f>VLOOKUP(K519, 'Alphabetical by species code'!A:B, 2, FALSE)</f>
        <v>Medicago polymorpha</v>
      </c>
    </row>
    <row r="520" spans="1:12" x14ac:dyDescent="0.25">
      <c r="A520" s="6">
        <v>6</v>
      </c>
      <c r="B520" s="6">
        <v>2025</v>
      </c>
      <c r="C520" s="7">
        <v>45755</v>
      </c>
      <c r="D520" s="6" t="s">
        <v>54</v>
      </c>
      <c r="E520" s="6" t="s">
        <v>26</v>
      </c>
      <c r="F520" s="6">
        <v>3</v>
      </c>
      <c r="G520" s="6" t="s">
        <v>66</v>
      </c>
      <c r="H520" s="6">
        <v>1</v>
      </c>
      <c r="I520" s="6">
        <v>6</v>
      </c>
      <c r="J520" s="6">
        <v>4</v>
      </c>
      <c r="K520" s="6" t="s">
        <v>28</v>
      </c>
      <c r="L520" s="6" t="str">
        <f>VLOOKUP(K520, 'Alphabetical by species code'!A:B, 2, FALSE)</f>
        <v>Litter</v>
      </c>
    </row>
    <row r="521" spans="1:12" x14ac:dyDescent="0.25">
      <c r="A521" s="6">
        <v>6</v>
      </c>
      <c r="B521" s="6">
        <v>2025</v>
      </c>
      <c r="C521" s="7">
        <v>45755</v>
      </c>
      <c r="D521" s="6" t="s">
        <v>54</v>
      </c>
      <c r="E521" s="6" t="s">
        <v>26</v>
      </c>
      <c r="F521" s="6">
        <v>3</v>
      </c>
      <c r="G521" s="6" t="s">
        <v>66</v>
      </c>
      <c r="H521" s="6">
        <v>1</v>
      </c>
      <c r="I521" s="6">
        <v>6</v>
      </c>
      <c r="J521" s="6">
        <v>4</v>
      </c>
      <c r="K521" s="6" t="s">
        <v>32</v>
      </c>
      <c r="L521" s="6" t="str">
        <f>VLOOKUP(K521, 'Alphabetical by species code'!A:B, 2, FALSE)</f>
        <v>Medicago polymorpha</v>
      </c>
    </row>
    <row r="522" spans="1:12" x14ac:dyDescent="0.25">
      <c r="A522" s="6">
        <v>6</v>
      </c>
      <c r="B522" s="6">
        <v>2025</v>
      </c>
      <c r="C522" s="7">
        <v>45755</v>
      </c>
      <c r="D522" s="6" t="s">
        <v>54</v>
      </c>
      <c r="E522" s="6" t="s">
        <v>26</v>
      </c>
      <c r="F522" s="6">
        <v>3</v>
      </c>
      <c r="G522" s="6" t="s">
        <v>66</v>
      </c>
      <c r="H522" s="6">
        <v>1</v>
      </c>
      <c r="I522" s="6">
        <v>6</v>
      </c>
      <c r="J522" s="6">
        <v>4</v>
      </c>
      <c r="K522" s="6" t="s">
        <v>35</v>
      </c>
      <c r="L522" s="6" t="str">
        <f>VLOOKUP(K522, 'Alphabetical by species code'!A:B, 2, FALSE)</f>
        <v>Deinandra fasciculata</v>
      </c>
    </row>
    <row r="523" spans="1:12" x14ac:dyDescent="0.25">
      <c r="A523" s="6">
        <v>6</v>
      </c>
      <c r="B523" s="6">
        <v>2025</v>
      </c>
      <c r="C523" s="7">
        <v>45755</v>
      </c>
      <c r="D523" s="6" t="s">
        <v>54</v>
      </c>
      <c r="E523" s="6" t="s">
        <v>26</v>
      </c>
      <c r="F523" s="6">
        <v>3</v>
      </c>
      <c r="G523" s="6" t="s">
        <v>66</v>
      </c>
      <c r="H523" s="6">
        <v>1</v>
      </c>
      <c r="I523" s="6">
        <v>6</v>
      </c>
      <c r="J523" s="6">
        <v>4</v>
      </c>
      <c r="K523" s="6" t="s">
        <v>31</v>
      </c>
      <c r="L523" s="6" t="str">
        <f>VLOOKUP(K523, 'Alphabetical by species code'!A:B, 2, FALSE)</f>
        <v>Festuca myuros</v>
      </c>
    </row>
    <row r="524" spans="1:12" x14ac:dyDescent="0.25">
      <c r="A524" s="6">
        <v>6</v>
      </c>
      <c r="B524" s="6">
        <v>2025</v>
      </c>
      <c r="C524" s="7">
        <v>45755</v>
      </c>
      <c r="D524" s="6" t="s">
        <v>54</v>
      </c>
      <c r="E524" s="6" t="s">
        <v>26</v>
      </c>
      <c r="F524" s="6">
        <v>3</v>
      </c>
      <c r="G524" s="6" t="s">
        <v>66</v>
      </c>
      <c r="H524" s="6">
        <v>1</v>
      </c>
      <c r="I524" s="6">
        <v>7</v>
      </c>
      <c r="J524" s="6">
        <v>5</v>
      </c>
      <c r="K524" s="6" t="s">
        <v>28</v>
      </c>
      <c r="L524" s="6" t="str">
        <f>VLOOKUP(K524, 'Alphabetical by species code'!A:B, 2, FALSE)</f>
        <v>Litter</v>
      </c>
    </row>
    <row r="525" spans="1:12" x14ac:dyDescent="0.25">
      <c r="A525" s="6">
        <v>6</v>
      </c>
      <c r="B525" s="6">
        <v>2025</v>
      </c>
      <c r="C525" s="7">
        <v>45755</v>
      </c>
      <c r="D525" s="6" t="s">
        <v>54</v>
      </c>
      <c r="E525" s="6" t="s">
        <v>26</v>
      </c>
      <c r="F525" s="6">
        <v>3</v>
      </c>
      <c r="G525" s="6" t="s">
        <v>66</v>
      </c>
      <c r="H525" s="6">
        <v>1</v>
      </c>
      <c r="I525" s="6">
        <v>7</v>
      </c>
      <c r="J525" s="6">
        <v>5</v>
      </c>
      <c r="K525" s="6" t="s">
        <v>67</v>
      </c>
      <c r="L525" s="6" t="str">
        <f>VLOOKUP(K525, 'Alphabetical by species code'!A:B, 2, FALSE)</f>
        <v>Galium aparine</v>
      </c>
    </row>
    <row r="526" spans="1:12" x14ac:dyDescent="0.25">
      <c r="A526" s="6">
        <v>6</v>
      </c>
      <c r="B526" s="6">
        <v>2025</v>
      </c>
      <c r="C526" s="7">
        <v>45755</v>
      </c>
      <c r="D526" s="6" t="s">
        <v>54</v>
      </c>
      <c r="E526" s="6" t="s">
        <v>26</v>
      </c>
      <c r="F526" s="6">
        <v>3</v>
      </c>
      <c r="G526" s="6" t="s">
        <v>66</v>
      </c>
      <c r="H526" s="6">
        <v>1</v>
      </c>
      <c r="I526" s="6">
        <v>7</v>
      </c>
      <c r="J526" s="6">
        <v>5</v>
      </c>
      <c r="K526" s="6" t="s">
        <v>31</v>
      </c>
      <c r="L526" s="6" t="str">
        <f>VLOOKUP(K526, 'Alphabetical by species code'!A:B, 2, FALSE)</f>
        <v>Festuca myuros</v>
      </c>
    </row>
    <row r="527" spans="1:12" x14ac:dyDescent="0.25">
      <c r="A527" s="6">
        <v>6</v>
      </c>
      <c r="B527" s="6">
        <v>2025</v>
      </c>
      <c r="C527" s="7">
        <v>45755</v>
      </c>
      <c r="D527" s="6" t="s">
        <v>54</v>
      </c>
      <c r="E527" s="6" t="s">
        <v>26</v>
      </c>
      <c r="F527" s="6">
        <v>3</v>
      </c>
      <c r="G527" s="6" t="s">
        <v>66</v>
      </c>
      <c r="H527" s="6">
        <v>1</v>
      </c>
      <c r="I527" s="6">
        <v>7</v>
      </c>
      <c r="J527" s="6">
        <v>5</v>
      </c>
      <c r="K527" s="6" t="s">
        <v>29</v>
      </c>
      <c r="L527" s="6" t="str">
        <f>VLOOKUP(K527, 'Alphabetical by species code'!A:B, 2, FALSE)</f>
        <v>Opuntia littoralis</v>
      </c>
    </row>
    <row r="528" spans="1:12" x14ac:dyDescent="0.25">
      <c r="A528" s="6">
        <v>6</v>
      </c>
      <c r="B528" s="6">
        <v>2025</v>
      </c>
      <c r="C528" s="7">
        <v>45755</v>
      </c>
      <c r="D528" s="6" t="s">
        <v>54</v>
      </c>
      <c r="E528" s="6" t="s">
        <v>26</v>
      </c>
      <c r="F528" s="6">
        <v>3</v>
      </c>
      <c r="G528" s="6" t="s">
        <v>66</v>
      </c>
      <c r="H528" s="6">
        <v>1</v>
      </c>
      <c r="I528" s="6">
        <v>8</v>
      </c>
      <c r="J528" s="6">
        <v>7</v>
      </c>
      <c r="K528" s="6" t="s">
        <v>28</v>
      </c>
      <c r="L528" s="6" t="str">
        <f>VLOOKUP(K528, 'Alphabetical by species code'!A:B, 2, FALSE)</f>
        <v>Litter</v>
      </c>
    </row>
    <row r="529" spans="1:12" x14ac:dyDescent="0.25">
      <c r="A529" s="6">
        <v>6</v>
      </c>
      <c r="B529" s="6">
        <v>2025</v>
      </c>
      <c r="C529" s="7">
        <v>45755</v>
      </c>
      <c r="D529" s="6" t="s">
        <v>54</v>
      </c>
      <c r="E529" s="6" t="s">
        <v>26</v>
      </c>
      <c r="F529" s="6">
        <v>3</v>
      </c>
      <c r="G529" s="6" t="s">
        <v>66</v>
      </c>
      <c r="H529" s="6">
        <v>1</v>
      </c>
      <c r="I529" s="6">
        <v>8</v>
      </c>
      <c r="J529" s="6">
        <v>7</v>
      </c>
      <c r="K529" s="6" t="s">
        <v>35</v>
      </c>
      <c r="L529" s="6" t="str">
        <f>VLOOKUP(K529, 'Alphabetical by species code'!A:B, 2, FALSE)</f>
        <v>Deinandra fasciculata</v>
      </c>
    </row>
    <row r="530" spans="1:12" x14ac:dyDescent="0.25">
      <c r="A530" s="6">
        <v>6</v>
      </c>
      <c r="B530" s="6">
        <v>2025</v>
      </c>
      <c r="C530" s="7">
        <v>45755</v>
      </c>
      <c r="D530" s="6" t="s">
        <v>54</v>
      </c>
      <c r="E530" s="6" t="s">
        <v>26</v>
      </c>
      <c r="F530" s="6">
        <v>3</v>
      </c>
      <c r="G530" s="6" t="s">
        <v>66</v>
      </c>
      <c r="H530" s="6">
        <v>1</v>
      </c>
      <c r="I530" s="6">
        <v>8</v>
      </c>
      <c r="J530" s="6">
        <v>7</v>
      </c>
      <c r="K530" s="6" t="s">
        <v>31</v>
      </c>
      <c r="L530" s="6" t="str">
        <f>VLOOKUP(K530, 'Alphabetical by species code'!A:B, 2, FALSE)</f>
        <v>Festuca myuros</v>
      </c>
    </row>
    <row r="531" spans="1:12" x14ac:dyDescent="0.25">
      <c r="A531" s="6">
        <v>6</v>
      </c>
      <c r="B531" s="6">
        <v>2025</v>
      </c>
      <c r="C531" s="7">
        <v>45755</v>
      </c>
      <c r="D531" s="6" t="s">
        <v>54</v>
      </c>
      <c r="E531" s="6" t="s">
        <v>26</v>
      </c>
      <c r="F531" s="6">
        <v>3</v>
      </c>
      <c r="G531" s="6" t="s">
        <v>66</v>
      </c>
      <c r="H531" s="6">
        <v>1</v>
      </c>
      <c r="I531" s="6">
        <v>9</v>
      </c>
      <c r="J531" s="6">
        <v>8</v>
      </c>
      <c r="K531" s="6" t="s">
        <v>28</v>
      </c>
      <c r="L531" s="6" t="str">
        <f>VLOOKUP(K531, 'Alphabetical by species code'!A:B, 2, FALSE)</f>
        <v>Litter</v>
      </c>
    </row>
    <row r="532" spans="1:12" x14ac:dyDescent="0.25">
      <c r="A532" s="6">
        <v>6</v>
      </c>
      <c r="B532" s="6">
        <v>2025</v>
      </c>
      <c r="C532" s="7">
        <v>45755</v>
      </c>
      <c r="D532" s="6" t="s">
        <v>54</v>
      </c>
      <c r="E532" s="6" t="s">
        <v>26</v>
      </c>
      <c r="F532" s="6">
        <v>3</v>
      </c>
      <c r="G532" s="6" t="s">
        <v>66</v>
      </c>
      <c r="H532" s="6">
        <v>1</v>
      </c>
      <c r="I532" s="6">
        <v>9</v>
      </c>
      <c r="J532" s="6">
        <v>8</v>
      </c>
      <c r="K532" s="6" t="s">
        <v>35</v>
      </c>
      <c r="L532" s="6" t="str">
        <f>VLOOKUP(K532, 'Alphabetical by species code'!A:B, 2, FALSE)</f>
        <v>Deinandra fasciculata</v>
      </c>
    </row>
    <row r="533" spans="1:12" x14ac:dyDescent="0.25">
      <c r="A533" s="6">
        <v>6</v>
      </c>
      <c r="B533" s="6">
        <v>2025</v>
      </c>
      <c r="C533" s="7">
        <v>45755</v>
      </c>
      <c r="D533" s="6" t="s">
        <v>54</v>
      </c>
      <c r="E533" s="6" t="s">
        <v>26</v>
      </c>
      <c r="F533" s="6">
        <v>3</v>
      </c>
      <c r="G533" s="6" t="s">
        <v>66</v>
      </c>
      <c r="H533" s="6">
        <v>1</v>
      </c>
      <c r="I533" s="6">
        <v>10</v>
      </c>
      <c r="J533" s="6">
        <v>8.5</v>
      </c>
      <c r="K533" s="6" t="s">
        <v>28</v>
      </c>
      <c r="L533" s="6" t="str">
        <f>VLOOKUP(K533, 'Alphabetical by species code'!A:B, 2, FALSE)</f>
        <v>Litter</v>
      </c>
    </row>
    <row r="534" spans="1:12" x14ac:dyDescent="0.25">
      <c r="A534" s="6">
        <v>6</v>
      </c>
      <c r="B534" s="6">
        <v>2025</v>
      </c>
      <c r="C534" s="7">
        <v>45755</v>
      </c>
      <c r="D534" s="6" t="s">
        <v>54</v>
      </c>
      <c r="E534" s="6" t="s">
        <v>26</v>
      </c>
      <c r="F534" s="6">
        <v>3</v>
      </c>
      <c r="G534" s="6" t="s">
        <v>66</v>
      </c>
      <c r="H534" s="6">
        <v>1</v>
      </c>
      <c r="I534" s="6">
        <v>10</v>
      </c>
      <c r="J534" s="6">
        <v>8.5</v>
      </c>
      <c r="K534" s="6" t="s">
        <v>35</v>
      </c>
      <c r="L534" s="6" t="str">
        <f>VLOOKUP(K534, 'Alphabetical by species code'!A:B, 2, FALSE)</f>
        <v>Deinandra fasciculata</v>
      </c>
    </row>
    <row r="535" spans="1:12" x14ac:dyDescent="0.25">
      <c r="A535" s="6">
        <v>6</v>
      </c>
      <c r="B535" s="6">
        <v>2025</v>
      </c>
      <c r="C535" s="7">
        <v>45755</v>
      </c>
      <c r="D535" s="6" t="s">
        <v>54</v>
      </c>
      <c r="E535" s="6" t="s">
        <v>26</v>
      </c>
      <c r="F535" s="6">
        <v>3</v>
      </c>
      <c r="G535" s="6" t="s">
        <v>66</v>
      </c>
      <c r="H535" s="6">
        <v>1</v>
      </c>
      <c r="I535" s="6">
        <v>10</v>
      </c>
      <c r="J535" s="6">
        <v>8.5</v>
      </c>
      <c r="K535" s="6" t="s">
        <v>31</v>
      </c>
      <c r="L535" s="6" t="str">
        <f>VLOOKUP(K535, 'Alphabetical by species code'!A:B, 2, FALSE)</f>
        <v>Festuca myuros</v>
      </c>
    </row>
    <row r="536" spans="1:12" x14ac:dyDescent="0.25">
      <c r="A536" s="6">
        <v>6</v>
      </c>
      <c r="B536" s="6">
        <v>2025</v>
      </c>
      <c r="C536" s="7">
        <v>45755</v>
      </c>
      <c r="D536" s="6" t="s">
        <v>54</v>
      </c>
      <c r="E536" s="6" t="s">
        <v>26</v>
      </c>
      <c r="F536" s="6">
        <v>3</v>
      </c>
      <c r="G536" s="6" t="s">
        <v>66</v>
      </c>
      <c r="H536" s="6">
        <v>1</v>
      </c>
      <c r="I536" s="6">
        <v>11</v>
      </c>
      <c r="J536" s="6">
        <v>9</v>
      </c>
      <c r="K536" s="6" t="s">
        <v>28</v>
      </c>
      <c r="L536" s="6" t="str">
        <f>VLOOKUP(K536, 'Alphabetical by species code'!A:B, 2, FALSE)</f>
        <v>Litter</v>
      </c>
    </row>
    <row r="537" spans="1:12" x14ac:dyDescent="0.25">
      <c r="A537" s="6">
        <v>6</v>
      </c>
      <c r="B537" s="6">
        <v>2025</v>
      </c>
      <c r="C537" s="7">
        <v>45755</v>
      </c>
      <c r="D537" s="6" t="s">
        <v>54</v>
      </c>
      <c r="E537" s="6" t="s">
        <v>26</v>
      </c>
      <c r="F537" s="6">
        <v>3</v>
      </c>
      <c r="G537" s="6" t="s">
        <v>66</v>
      </c>
      <c r="H537" s="6">
        <v>1</v>
      </c>
      <c r="I537" s="6">
        <v>11</v>
      </c>
      <c r="J537" s="6">
        <v>9</v>
      </c>
      <c r="K537" s="6" t="s">
        <v>31</v>
      </c>
      <c r="L537" s="6" t="str">
        <f>VLOOKUP(K537, 'Alphabetical by species code'!A:B, 2, FALSE)</f>
        <v>Festuca myuros</v>
      </c>
    </row>
    <row r="538" spans="1:12" x14ac:dyDescent="0.25">
      <c r="A538" s="6">
        <v>6</v>
      </c>
      <c r="B538" s="6">
        <v>2025</v>
      </c>
      <c r="C538" s="7">
        <v>45755</v>
      </c>
      <c r="D538" s="6" t="s">
        <v>54</v>
      </c>
      <c r="E538" s="6" t="s">
        <v>26</v>
      </c>
      <c r="F538" s="6">
        <v>3</v>
      </c>
      <c r="G538" s="6" t="s">
        <v>66</v>
      </c>
      <c r="H538" s="6">
        <v>1</v>
      </c>
      <c r="I538" s="6">
        <v>11</v>
      </c>
      <c r="J538" s="6">
        <v>9</v>
      </c>
      <c r="K538" s="6" t="s">
        <v>35</v>
      </c>
      <c r="L538" s="6" t="str">
        <f>VLOOKUP(K538, 'Alphabetical by species code'!A:B, 2, FALSE)</f>
        <v>Deinandra fasciculata</v>
      </c>
    </row>
    <row r="539" spans="1:12" x14ac:dyDescent="0.25">
      <c r="A539" s="6">
        <v>6</v>
      </c>
      <c r="B539" s="6">
        <v>2025</v>
      </c>
      <c r="C539" s="7">
        <v>45755</v>
      </c>
      <c r="D539" s="6" t="s">
        <v>54</v>
      </c>
      <c r="E539" s="6" t="s">
        <v>26</v>
      </c>
      <c r="F539" s="6">
        <v>3</v>
      </c>
      <c r="G539" s="6" t="s">
        <v>66</v>
      </c>
      <c r="H539" s="6">
        <v>1</v>
      </c>
      <c r="I539" s="6">
        <v>12</v>
      </c>
      <c r="J539" s="6">
        <v>10</v>
      </c>
      <c r="K539" s="6" t="s">
        <v>51</v>
      </c>
      <c r="L539" s="6" t="str">
        <f>VLOOKUP(K539, 'Alphabetical by species code'!A:B, 2, FALSE)</f>
        <v>Bareground</v>
      </c>
    </row>
    <row r="540" spans="1:12" x14ac:dyDescent="0.25">
      <c r="A540" s="6">
        <v>6</v>
      </c>
      <c r="B540" s="6">
        <v>2025</v>
      </c>
      <c r="C540" s="7">
        <v>45755</v>
      </c>
      <c r="D540" s="6" t="s">
        <v>54</v>
      </c>
      <c r="E540" s="6" t="s">
        <v>26</v>
      </c>
      <c r="F540" s="6">
        <v>3</v>
      </c>
      <c r="G540" s="6" t="s">
        <v>66</v>
      </c>
      <c r="H540" s="6">
        <v>1</v>
      </c>
      <c r="I540" s="6">
        <v>13</v>
      </c>
      <c r="J540" s="6">
        <v>10.5</v>
      </c>
      <c r="K540" s="6" t="s">
        <v>51</v>
      </c>
      <c r="L540" s="6" t="str">
        <f>VLOOKUP(K540, 'Alphabetical by species code'!A:B, 2, FALSE)</f>
        <v>Bareground</v>
      </c>
    </row>
    <row r="541" spans="1:12" x14ac:dyDescent="0.25">
      <c r="A541" s="6">
        <v>6</v>
      </c>
      <c r="B541" s="6">
        <v>2025</v>
      </c>
      <c r="C541" s="7">
        <v>45755</v>
      </c>
      <c r="D541" s="6" t="s">
        <v>54</v>
      </c>
      <c r="E541" s="6" t="s">
        <v>26</v>
      </c>
      <c r="F541" s="6">
        <v>3</v>
      </c>
      <c r="G541" s="6" t="s">
        <v>66</v>
      </c>
      <c r="H541" s="6">
        <v>1</v>
      </c>
      <c r="I541" s="6">
        <v>13</v>
      </c>
      <c r="J541" s="6">
        <v>10.5</v>
      </c>
      <c r="K541" s="6" t="s">
        <v>31</v>
      </c>
      <c r="L541" s="6" t="str">
        <f>VLOOKUP(K541, 'Alphabetical by species code'!A:B, 2, FALSE)</f>
        <v>Festuca myuros</v>
      </c>
    </row>
    <row r="542" spans="1:12" x14ac:dyDescent="0.25">
      <c r="A542" s="6">
        <v>6</v>
      </c>
      <c r="B542" s="6">
        <v>2025</v>
      </c>
      <c r="C542" s="7">
        <v>45755</v>
      </c>
      <c r="D542" s="6" t="s">
        <v>54</v>
      </c>
      <c r="E542" s="6" t="s">
        <v>26</v>
      </c>
      <c r="F542" s="6">
        <v>3</v>
      </c>
      <c r="G542" s="6" t="s">
        <v>66</v>
      </c>
      <c r="H542" s="6">
        <v>1</v>
      </c>
      <c r="I542" s="6">
        <v>14</v>
      </c>
      <c r="J542" s="6">
        <v>11</v>
      </c>
      <c r="K542" s="6" t="s">
        <v>28</v>
      </c>
      <c r="L542" s="6" t="str">
        <f>VLOOKUP(K542, 'Alphabetical by species code'!A:B, 2, FALSE)</f>
        <v>Litter</v>
      </c>
    </row>
    <row r="543" spans="1:12" x14ac:dyDescent="0.25">
      <c r="A543" s="6">
        <v>6</v>
      </c>
      <c r="B543" s="6">
        <v>2025</v>
      </c>
      <c r="C543" s="7">
        <v>45755</v>
      </c>
      <c r="D543" s="6" t="s">
        <v>54</v>
      </c>
      <c r="E543" s="6" t="s">
        <v>26</v>
      </c>
      <c r="F543" s="6">
        <v>3</v>
      </c>
      <c r="G543" s="6" t="s">
        <v>66</v>
      </c>
      <c r="H543" s="6">
        <v>1</v>
      </c>
      <c r="I543" s="6">
        <v>14</v>
      </c>
      <c r="J543" s="6">
        <v>11</v>
      </c>
      <c r="K543" s="6" t="s">
        <v>31</v>
      </c>
      <c r="L543" s="6" t="str">
        <f>VLOOKUP(K543, 'Alphabetical by species code'!A:B, 2, FALSE)</f>
        <v>Festuca myuros</v>
      </c>
    </row>
    <row r="544" spans="1:12" x14ac:dyDescent="0.25">
      <c r="A544" s="6">
        <v>6</v>
      </c>
      <c r="B544" s="6">
        <v>2025</v>
      </c>
      <c r="C544" s="7">
        <v>45755</v>
      </c>
      <c r="D544" s="6" t="s">
        <v>54</v>
      </c>
      <c r="E544" s="6" t="s">
        <v>26</v>
      </c>
      <c r="F544" s="6">
        <v>3</v>
      </c>
      <c r="G544" s="6" t="s">
        <v>66</v>
      </c>
      <c r="H544" s="6">
        <v>1</v>
      </c>
      <c r="I544" s="6">
        <v>14</v>
      </c>
      <c r="J544" s="6">
        <v>11</v>
      </c>
      <c r="K544" s="6" t="s">
        <v>35</v>
      </c>
      <c r="L544" s="6" t="str">
        <f>VLOOKUP(K544, 'Alphabetical by species code'!A:B, 2, FALSE)</f>
        <v>Deinandra fasciculata</v>
      </c>
    </row>
    <row r="545" spans="1:12" x14ac:dyDescent="0.25">
      <c r="A545" s="6">
        <v>6</v>
      </c>
      <c r="B545" s="6">
        <v>2025</v>
      </c>
      <c r="C545" s="7">
        <v>45755</v>
      </c>
      <c r="D545" s="6" t="s">
        <v>54</v>
      </c>
      <c r="E545" s="6" t="s">
        <v>26</v>
      </c>
      <c r="F545" s="6">
        <v>3</v>
      </c>
      <c r="G545" s="6" t="s">
        <v>66</v>
      </c>
      <c r="H545" s="6">
        <v>1</v>
      </c>
      <c r="I545" s="6">
        <v>14</v>
      </c>
      <c r="J545" s="6">
        <v>11</v>
      </c>
      <c r="K545" s="6" t="s">
        <v>68</v>
      </c>
      <c r="L545" s="6" t="str">
        <f>VLOOKUP(K545, 'Alphabetical by species code'!A:B, 2, FALSE)</f>
        <v>Unknown Species</v>
      </c>
    </row>
    <row r="546" spans="1:12" x14ac:dyDescent="0.25">
      <c r="A546" s="6">
        <v>6</v>
      </c>
      <c r="B546" s="6">
        <v>2025</v>
      </c>
      <c r="C546" s="7">
        <v>45755</v>
      </c>
      <c r="D546" s="6" t="s">
        <v>54</v>
      </c>
      <c r="E546" s="6" t="s">
        <v>26</v>
      </c>
      <c r="F546" s="6">
        <v>3</v>
      </c>
      <c r="G546" s="6" t="s">
        <v>66</v>
      </c>
      <c r="H546" s="6">
        <v>1</v>
      </c>
      <c r="I546" s="6">
        <v>15</v>
      </c>
      <c r="J546" s="6">
        <v>12</v>
      </c>
      <c r="K546" s="6" t="s">
        <v>28</v>
      </c>
      <c r="L546" s="6" t="str">
        <f>VLOOKUP(K546, 'Alphabetical by species code'!A:B, 2, FALSE)</f>
        <v>Litter</v>
      </c>
    </row>
    <row r="547" spans="1:12" x14ac:dyDescent="0.25">
      <c r="A547" s="6">
        <v>6</v>
      </c>
      <c r="B547" s="6">
        <v>2025</v>
      </c>
      <c r="C547" s="7">
        <v>45755</v>
      </c>
      <c r="D547" s="6" t="s">
        <v>54</v>
      </c>
      <c r="E547" s="6" t="s">
        <v>26</v>
      </c>
      <c r="F547" s="6">
        <v>3</v>
      </c>
      <c r="G547" s="6" t="s">
        <v>66</v>
      </c>
      <c r="H547" s="6">
        <v>1</v>
      </c>
      <c r="I547" s="6">
        <v>15</v>
      </c>
      <c r="J547" s="6">
        <v>12</v>
      </c>
      <c r="K547" s="6" t="s">
        <v>31</v>
      </c>
      <c r="L547" s="6" t="str">
        <f>VLOOKUP(K547, 'Alphabetical by species code'!A:B, 2, FALSE)</f>
        <v>Festuca myuros</v>
      </c>
    </row>
    <row r="548" spans="1:12" x14ac:dyDescent="0.25">
      <c r="A548" s="6">
        <v>6</v>
      </c>
      <c r="B548" s="6">
        <v>2025</v>
      </c>
      <c r="C548" s="7">
        <v>45755</v>
      </c>
      <c r="D548" s="6" t="s">
        <v>54</v>
      </c>
      <c r="E548" s="6" t="s">
        <v>26</v>
      </c>
      <c r="F548" s="6">
        <v>3</v>
      </c>
      <c r="G548" s="6" t="s">
        <v>66</v>
      </c>
      <c r="H548" s="6">
        <v>1</v>
      </c>
      <c r="I548" s="6">
        <v>15</v>
      </c>
      <c r="J548" s="6">
        <v>12</v>
      </c>
      <c r="K548" s="6" t="s">
        <v>40</v>
      </c>
      <c r="L548" s="6" t="str">
        <f>VLOOKUP(K548, 'Alphabetical by species code'!A:B, 2, FALSE)</f>
        <v>Cylindropuntia prolifera</v>
      </c>
    </row>
    <row r="549" spans="1:12" x14ac:dyDescent="0.25">
      <c r="A549" s="6">
        <v>6</v>
      </c>
      <c r="B549" s="6">
        <v>2025</v>
      </c>
      <c r="C549" s="7">
        <v>45755</v>
      </c>
      <c r="D549" s="6" t="s">
        <v>54</v>
      </c>
      <c r="E549" s="6" t="s">
        <v>26</v>
      </c>
      <c r="F549" s="6">
        <v>3</v>
      </c>
      <c r="G549" s="6" t="s">
        <v>66</v>
      </c>
      <c r="H549" s="6">
        <v>2</v>
      </c>
      <c r="I549" s="6">
        <v>1</v>
      </c>
      <c r="J549" s="6">
        <v>0</v>
      </c>
      <c r="K549" s="6" t="s">
        <v>28</v>
      </c>
      <c r="L549" s="6" t="str">
        <f>VLOOKUP(K549, 'Alphabetical by species code'!A:B, 2, FALSE)</f>
        <v>Litter</v>
      </c>
    </row>
    <row r="550" spans="1:12" x14ac:dyDescent="0.25">
      <c r="A550" s="6">
        <v>6</v>
      </c>
      <c r="B550" s="6">
        <v>2025</v>
      </c>
      <c r="C550" s="7">
        <v>45755</v>
      </c>
      <c r="D550" s="6" t="s">
        <v>54</v>
      </c>
      <c r="E550" s="6" t="s">
        <v>26</v>
      </c>
      <c r="F550" s="6">
        <v>3</v>
      </c>
      <c r="G550" s="6" t="s">
        <v>66</v>
      </c>
      <c r="H550" s="6">
        <v>2</v>
      </c>
      <c r="I550" s="6">
        <v>1</v>
      </c>
      <c r="J550" s="6">
        <v>0</v>
      </c>
      <c r="K550" s="6" t="s">
        <v>35</v>
      </c>
      <c r="L550" s="6" t="str">
        <f>VLOOKUP(K550, 'Alphabetical by species code'!A:B, 2, FALSE)</f>
        <v>Deinandra fasciculata</v>
      </c>
    </row>
    <row r="551" spans="1:12" x14ac:dyDescent="0.25">
      <c r="A551" s="6">
        <v>6</v>
      </c>
      <c r="B551" s="6">
        <v>2025</v>
      </c>
      <c r="C551" s="7">
        <v>45755</v>
      </c>
      <c r="D551" s="6" t="s">
        <v>54</v>
      </c>
      <c r="E551" s="6" t="s">
        <v>26</v>
      </c>
      <c r="F551" s="6">
        <v>3</v>
      </c>
      <c r="G551" s="6" t="s">
        <v>66</v>
      </c>
      <c r="H551" s="6">
        <v>2</v>
      </c>
      <c r="I551" s="6">
        <v>1</v>
      </c>
      <c r="J551" s="6">
        <v>0</v>
      </c>
      <c r="K551" s="6" t="s">
        <v>31</v>
      </c>
      <c r="L551" s="6" t="str">
        <f>VLOOKUP(K551, 'Alphabetical by species code'!A:B, 2, FALSE)</f>
        <v>Festuca myuros</v>
      </c>
    </row>
    <row r="552" spans="1:12" x14ac:dyDescent="0.25">
      <c r="A552" s="6">
        <v>6</v>
      </c>
      <c r="B552" s="6">
        <v>2025</v>
      </c>
      <c r="C552" s="7">
        <v>45755</v>
      </c>
      <c r="D552" s="6" t="s">
        <v>54</v>
      </c>
      <c r="E552" s="6" t="s">
        <v>26</v>
      </c>
      <c r="F552" s="6">
        <v>3</v>
      </c>
      <c r="G552" s="6" t="s">
        <v>66</v>
      </c>
      <c r="H552" s="6">
        <v>2</v>
      </c>
      <c r="I552" s="6">
        <v>2</v>
      </c>
      <c r="J552" s="6">
        <v>1</v>
      </c>
      <c r="K552" s="6" t="s">
        <v>28</v>
      </c>
      <c r="L552" s="6" t="str">
        <f>VLOOKUP(K552, 'Alphabetical by species code'!A:B, 2, FALSE)</f>
        <v>Litter</v>
      </c>
    </row>
    <row r="553" spans="1:12" x14ac:dyDescent="0.25">
      <c r="A553" s="6">
        <v>6</v>
      </c>
      <c r="B553" s="6">
        <v>2025</v>
      </c>
      <c r="C553" s="7">
        <v>45755</v>
      </c>
      <c r="D553" s="6" t="s">
        <v>54</v>
      </c>
      <c r="E553" s="6" t="s">
        <v>26</v>
      </c>
      <c r="F553" s="6">
        <v>3</v>
      </c>
      <c r="G553" s="6" t="s">
        <v>66</v>
      </c>
      <c r="H553" s="6">
        <v>2</v>
      </c>
      <c r="I553" s="6">
        <v>2</v>
      </c>
      <c r="J553" s="6">
        <v>1</v>
      </c>
      <c r="K553" s="6" t="s">
        <v>29</v>
      </c>
      <c r="L553" s="6" t="str">
        <f>VLOOKUP(K553, 'Alphabetical by species code'!A:B, 2, FALSE)</f>
        <v>Opuntia littoralis</v>
      </c>
    </row>
    <row r="554" spans="1:12" x14ac:dyDescent="0.25">
      <c r="A554" s="6">
        <v>6</v>
      </c>
      <c r="B554" s="6">
        <v>2025</v>
      </c>
      <c r="C554" s="7">
        <v>45755</v>
      </c>
      <c r="D554" s="6" t="s">
        <v>54</v>
      </c>
      <c r="E554" s="6" t="s">
        <v>26</v>
      </c>
      <c r="F554" s="6">
        <v>3</v>
      </c>
      <c r="G554" s="6" t="s">
        <v>66</v>
      </c>
      <c r="H554" s="6">
        <v>2</v>
      </c>
      <c r="I554" s="6">
        <v>2</v>
      </c>
      <c r="J554" s="6">
        <v>1</v>
      </c>
      <c r="K554" s="6" t="s">
        <v>37</v>
      </c>
      <c r="L554" s="6" t="str">
        <f>VLOOKUP(K554, 'Alphabetical by species code'!A:B, 2, FALSE)</f>
        <v>Sonchus oleraceus</v>
      </c>
    </row>
    <row r="555" spans="1:12" x14ac:dyDescent="0.25">
      <c r="A555" s="6">
        <v>6</v>
      </c>
      <c r="B555" s="6">
        <v>2025</v>
      </c>
      <c r="C555" s="7">
        <v>45755</v>
      </c>
      <c r="D555" s="6" t="s">
        <v>54</v>
      </c>
      <c r="E555" s="6" t="s">
        <v>26</v>
      </c>
      <c r="F555" s="6">
        <v>3</v>
      </c>
      <c r="G555" s="6" t="s">
        <v>66</v>
      </c>
      <c r="H555" s="6">
        <v>2</v>
      </c>
      <c r="I555" s="6">
        <v>2</v>
      </c>
      <c r="J555" s="6">
        <v>1</v>
      </c>
      <c r="K555" s="6" t="s">
        <v>31</v>
      </c>
      <c r="L555" s="6" t="str">
        <f>VLOOKUP(K555, 'Alphabetical by species code'!A:B, 2, FALSE)</f>
        <v>Festuca myuros</v>
      </c>
    </row>
    <row r="556" spans="1:12" x14ac:dyDescent="0.25">
      <c r="A556" s="6">
        <v>6</v>
      </c>
      <c r="B556" s="6">
        <v>2025</v>
      </c>
      <c r="C556" s="7">
        <v>45755</v>
      </c>
      <c r="D556" s="6" t="s">
        <v>54</v>
      </c>
      <c r="E556" s="6" t="s">
        <v>26</v>
      </c>
      <c r="F556" s="6">
        <v>3</v>
      </c>
      <c r="G556" s="6" t="s">
        <v>66</v>
      </c>
      <c r="H556" s="6">
        <v>2</v>
      </c>
      <c r="I556" s="6">
        <v>3</v>
      </c>
      <c r="J556" s="6">
        <v>1.5</v>
      </c>
      <c r="K556" s="6" t="s">
        <v>28</v>
      </c>
      <c r="L556" s="6" t="str">
        <f>VLOOKUP(K556, 'Alphabetical by species code'!A:B, 2, FALSE)</f>
        <v>Litter</v>
      </c>
    </row>
    <row r="557" spans="1:12" x14ac:dyDescent="0.25">
      <c r="A557" s="6">
        <v>6</v>
      </c>
      <c r="B557" s="6">
        <v>2025</v>
      </c>
      <c r="C557" s="7">
        <v>45755</v>
      </c>
      <c r="D557" s="6" t="s">
        <v>54</v>
      </c>
      <c r="E557" s="6" t="s">
        <v>26</v>
      </c>
      <c r="F557" s="6">
        <v>3</v>
      </c>
      <c r="G557" s="6" t="s">
        <v>66</v>
      </c>
      <c r="H557" s="6">
        <v>2</v>
      </c>
      <c r="I557" s="6">
        <v>3</v>
      </c>
      <c r="J557" s="6">
        <v>1.5</v>
      </c>
      <c r="K557" s="6" t="s">
        <v>37</v>
      </c>
      <c r="L557" s="6" t="str">
        <f>VLOOKUP(K557, 'Alphabetical by species code'!A:B, 2, FALSE)</f>
        <v>Sonchus oleraceus</v>
      </c>
    </row>
    <row r="558" spans="1:12" x14ac:dyDescent="0.25">
      <c r="A558" s="6">
        <v>6</v>
      </c>
      <c r="B558" s="6">
        <v>2025</v>
      </c>
      <c r="C558" s="7">
        <v>45755</v>
      </c>
      <c r="D558" s="6" t="s">
        <v>54</v>
      </c>
      <c r="E558" s="6" t="s">
        <v>26</v>
      </c>
      <c r="F558" s="6">
        <v>3</v>
      </c>
      <c r="G558" s="6" t="s">
        <v>66</v>
      </c>
      <c r="H558" s="6">
        <v>2</v>
      </c>
      <c r="I558" s="6">
        <v>3</v>
      </c>
      <c r="J558" s="6">
        <v>1.5</v>
      </c>
      <c r="K558" s="6" t="s">
        <v>31</v>
      </c>
      <c r="L558" s="6" t="str">
        <f>VLOOKUP(K558, 'Alphabetical by species code'!A:B, 2, FALSE)</f>
        <v>Festuca myuros</v>
      </c>
    </row>
    <row r="559" spans="1:12" x14ac:dyDescent="0.25">
      <c r="A559" s="6">
        <v>6</v>
      </c>
      <c r="B559" s="6">
        <v>2025</v>
      </c>
      <c r="C559" s="7">
        <v>45755</v>
      </c>
      <c r="D559" s="6" t="s">
        <v>54</v>
      </c>
      <c r="E559" s="6" t="s">
        <v>26</v>
      </c>
      <c r="F559" s="6">
        <v>3</v>
      </c>
      <c r="G559" s="6" t="s">
        <v>66</v>
      </c>
      <c r="H559" s="6">
        <v>2</v>
      </c>
      <c r="I559" s="6">
        <v>3</v>
      </c>
      <c r="J559" s="6">
        <v>1.5</v>
      </c>
      <c r="K559" s="6" t="s">
        <v>55</v>
      </c>
      <c r="L559" s="6" t="str">
        <f>VLOOKUP(K559, 'Alphabetical by species code'!A:B, 2, FALSE)</f>
        <v>Daucus pusillus</v>
      </c>
    </row>
    <row r="560" spans="1:12" x14ac:dyDescent="0.25">
      <c r="A560" s="6">
        <v>6</v>
      </c>
      <c r="B560" s="6">
        <v>2025</v>
      </c>
      <c r="C560" s="7">
        <v>45755</v>
      </c>
      <c r="D560" s="6" t="s">
        <v>54</v>
      </c>
      <c r="E560" s="6" t="s">
        <v>26</v>
      </c>
      <c r="F560" s="6">
        <v>3</v>
      </c>
      <c r="G560" s="6" t="s">
        <v>66</v>
      </c>
      <c r="H560" s="6">
        <v>2</v>
      </c>
      <c r="I560" s="6">
        <v>4</v>
      </c>
      <c r="J560" s="6">
        <v>2</v>
      </c>
      <c r="K560" s="6" t="s">
        <v>28</v>
      </c>
      <c r="L560" s="6" t="str">
        <f>VLOOKUP(K560, 'Alphabetical by species code'!A:B, 2, FALSE)</f>
        <v>Litter</v>
      </c>
    </row>
    <row r="561" spans="1:12" x14ac:dyDescent="0.25">
      <c r="A561" s="6">
        <v>6</v>
      </c>
      <c r="B561" s="6">
        <v>2025</v>
      </c>
      <c r="C561" s="7">
        <v>45755</v>
      </c>
      <c r="D561" s="6" t="s">
        <v>54</v>
      </c>
      <c r="E561" s="6" t="s">
        <v>26</v>
      </c>
      <c r="F561" s="6">
        <v>3</v>
      </c>
      <c r="G561" s="6" t="s">
        <v>66</v>
      </c>
      <c r="H561" s="6">
        <v>2</v>
      </c>
      <c r="I561" s="6">
        <v>4</v>
      </c>
      <c r="J561" s="6">
        <v>2</v>
      </c>
      <c r="K561" s="6" t="s">
        <v>37</v>
      </c>
      <c r="L561" s="6" t="str">
        <f>VLOOKUP(K561, 'Alphabetical by species code'!A:B, 2, FALSE)</f>
        <v>Sonchus oleraceus</v>
      </c>
    </row>
    <row r="562" spans="1:12" x14ac:dyDescent="0.25">
      <c r="A562" s="6">
        <v>6</v>
      </c>
      <c r="B562" s="6">
        <v>2025</v>
      </c>
      <c r="C562" s="7">
        <v>45755</v>
      </c>
      <c r="D562" s="6" t="s">
        <v>54</v>
      </c>
      <c r="E562" s="6" t="s">
        <v>26</v>
      </c>
      <c r="F562" s="6">
        <v>3</v>
      </c>
      <c r="G562" s="6" t="s">
        <v>66</v>
      </c>
      <c r="H562" s="6">
        <v>2</v>
      </c>
      <c r="I562" s="6">
        <v>5</v>
      </c>
      <c r="J562" s="6">
        <v>3</v>
      </c>
      <c r="K562" s="6" t="s">
        <v>28</v>
      </c>
      <c r="L562" s="6" t="str">
        <f>VLOOKUP(K562, 'Alphabetical by species code'!A:B, 2, FALSE)</f>
        <v>Litter</v>
      </c>
    </row>
    <row r="563" spans="1:12" x14ac:dyDescent="0.25">
      <c r="A563" s="6">
        <v>6</v>
      </c>
      <c r="B563" s="6">
        <v>2025</v>
      </c>
      <c r="C563" s="7">
        <v>45755</v>
      </c>
      <c r="D563" s="6" t="s">
        <v>54</v>
      </c>
      <c r="E563" s="6" t="s">
        <v>26</v>
      </c>
      <c r="F563" s="6">
        <v>3</v>
      </c>
      <c r="G563" s="6" t="s">
        <v>66</v>
      </c>
      <c r="H563" s="6">
        <v>2</v>
      </c>
      <c r="I563" s="6">
        <v>5</v>
      </c>
      <c r="J563" s="6">
        <v>3</v>
      </c>
      <c r="K563" s="6" t="s">
        <v>32</v>
      </c>
      <c r="L563" s="6" t="str">
        <f>VLOOKUP(K563, 'Alphabetical by species code'!A:B, 2, FALSE)</f>
        <v>Medicago polymorpha</v>
      </c>
    </row>
    <row r="564" spans="1:12" x14ac:dyDescent="0.25">
      <c r="A564" s="6">
        <v>6</v>
      </c>
      <c r="B564" s="6">
        <v>2025</v>
      </c>
      <c r="C564" s="7">
        <v>45755</v>
      </c>
      <c r="D564" s="6" t="s">
        <v>54</v>
      </c>
      <c r="E564" s="6" t="s">
        <v>26</v>
      </c>
      <c r="F564" s="6">
        <v>3</v>
      </c>
      <c r="G564" s="6" t="s">
        <v>66</v>
      </c>
      <c r="H564" s="6">
        <v>2</v>
      </c>
      <c r="I564" s="6">
        <v>5</v>
      </c>
      <c r="J564" s="6">
        <v>3</v>
      </c>
      <c r="K564" s="6" t="s">
        <v>31</v>
      </c>
      <c r="L564" s="6" t="str">
        <f>VLOOKUP(K564, 'Alphabetical by species code'!A:B, 2, FALSE)</f>
        <v>Festuca myuros</v>
      </c>
    </row>
    <row r="565" spans="1:12" x14ac:dyDescent="0.25">
      <c r="A565" s="6">
        <v>6</v>
      </c>
      <c r="B565" s="6">
        <v>2025</v>
      </c>
      <c r="C565" s="7">
        <v>45755</v>
      </c>
      <c r="D565" s="6" t="s">
        <v>54</v>
      </c>
      <c r="E565" s="6" t="s">
        <v>26</v>
      </c>
      <c r="F565" s="6">
        <v>3</v>
      </c>
      <c r="G565" s="6" t="s">
        <v>66</v>
      </c>
      <c r="H565" s="6">
        <v>2</v>
      </c>
      <c r="I565" s="6">
        <v>6</v>
      </c>
      <c r="J565" s="6">
        <v>3.5</v>
      </c>
      <c r="K565" s="6" t="s">
        <v>28</v>
      </c>
      <c r="L565" s="6" t="str">
        <f>VLOOKUP(K565, 'Alphabetical by species code'!A:B, 2, FALSE)</f>
        <v>Litter</v>
      </c>
    </row>
    <row r="566" spans="1:12" x14ac:dyDescent="0.25">
      <c r="A566" s="6">
        <v>6</v>
      </c>
      <c r="B566" s="6">
        <v>2025</v>
      </c>
      <c r="C566" s="7">
        <v>45755</v>
      </c>
      <c r="D566" s="6" t="s">
        <v>54</v>
      </c>
      <c r="E566" s="6" t="s">
        <v>26</v>
      </c>
      <c r="F566" s="6">
        <v>3</v>
      </c>
      <c r="G566" s="6" t="s">
        <v>66</v>
      </c>
      <c r="H566" s="6">
        <v>2</v>
      </c>
      <c r="I566" s="6">
        <v>6</v>
      </c>
      <c r="J566" s="6">
        <v>3.5</v>
      </c>
      <c r="K566" s="6" t="s">
        <v>58</v>
      </c>
      <c r="L566" s="6" t="str">
        <f>VLOOKUP(K566, 'Alphabetical by species code'!A:B, 2, FALSE)</f>
        <v>Crassula connata</v>
      </c>
    </row>
    <row r="567" spans="1:12" x14ac:dyDescent="0.25">
      <c r="A567" s="6">
        <v>6</v>
      </c>
      <c r="B567" s="6">
        <v>2025</v>
      </c>
      <c r="C567" s="7">
        <v>45755</v>
      </c>
      <c r="D567" s="6" t="s">
        <v>54</v>
      </c>
      <c r="E567" s="6" t="s">
        <v>26</v>
      </c>
      <c r="F567" s="6">
        <v>3</v>
      </c>
      <c r="G567" s="6" t="s">
        <v>66</v>
      </c>
      <c r="H567" s="6">
        <v>2</v>
      </c>
      <c r="I567" s="6">
        <v>6</v>
      </c>
      <c r="J567" s="6">
        <v>3.5</v>
      </c>
      <c r="K567" s="6" t="s">
        <v>37</v>
      </c>
      <c r="L567" s="6" t="str">
        <f>VLOOKUP(K567, 'Alphabetical by species code'!A:B, 2, FALSE)</f>
        <v>Sonchus oleraceus</v>
      </c>
    </row>
    <row r="568" spans="1:12" x14ac:dyDescent="0.25">
      <c r="A568" s="6">
        <v>6</v>
      </c>
      <c r="B568" s="6">
        <v>2025</v>
      </c>
      <c r="C568" s="7">
        <v>45755</v>
      </c>
      <c r="D568" s="6" t="s">
        <v>54</v>
      </c>
      <c r="E568" s="6" t="s">
        <v>26</v>
      </c>
      <c r="F568" s="6">
        <v>3</v>
      </c>
      <c r="G568" s="6" t="s">
        <v>66</v>
      </c>
      <c r="H568" s="6">
        <v>2</v>
      </c>
      <c r="I568" s="6">
        <v>6</v>
      </c>
      <c r="J568" s="6">
        <v>3.5</v>
      </c>
      <c r="K568" s="6" t="s">
        <v>31</v>
      </c>
      <c r="L568" s="6" t="str">
        <f>VLOOKUP(K568, 'Alphabetical by species code'!A:B, 2, FALSE)</f>
        <v>Festuca myuros</v>
      </c>
    </row>
    <row r="569" spans="1:12" x14ac:dyDescent="0.25">
      <c r="A569" s="6">
        <v>6</v>
      </c>
      <c r="B569" s="6">
        <v>2025</v>
      </c>
      <c r="C569" s="7">
        <v>45755</v>
      </c>
      <c r="D569" s="6" t="s">
        <v>54</v>
      </c>
      <c r="E569" s="6" t="s">
        <v>26</v>
      </c>
      <c r="F569" s="6">
        <v>3</v>
      </c>
      <c r="G569" s="6" t="s">
        <v>66</v>
      </c>
      <c r="H569" s="6">
        <v>2</v>
      </c>
      <c r="I569" s="6">
        <v>7</v>
      </c>
      <c r="J569" s="6">
        <v>4</v>
      </c>
      <c r="K569" s="6" t="s">
        <v>51</v>
      </c>
      <c r="L569" s="6" t="str">
        <f>VLOOKUP(K569, 'Alphabetical by species code'!A:B, 2, FALSE)</f>
        <v>Bareground</v>
      </c>
    </row>
    <row r="570" spans="1:12" x14ac:dyDescent="0.25">
      <c r="A570" s="6">
        <v>6</v>
      </c>
      <c r="B570" s="6">
        <v>2025</v>
      </c>
      <c r="C570" s="7">
        <v>45755</v>
      </c>
      <c r="D570" s="6" t="s">
        <v>54</v>
      </c>
      <c r="E570" s="6" t="s">
        <v>26</v>
      </c>
      <c r="F570" s="6">
        <v>3</v>
      </c>
      <c r="G570" s="6" t="s">
        <v>66</v>
      </c>
      <c r="H570" s="6">
        <v>2</v>
      </c>
      <c r="I570" s="6">
        <v>7</v>
      </c>
      <c r="J570" s="6">
        <v>4</v>
      </c>
      <c r="K570" s="6" t="s">
        <v>37</v>
      </c>
      <c r="L570" s="6" t="str">
        <f>VLOOKUP(K570, 'Alphabetical by species code'!A:B, 2, FALSE)</f>
        <v>Sonchus oleraceus</v>
      </c>
    </row>
    <row r="571" spans="1:12" x14ac:dyDescent="0.25">
      <c r="A571" s="6">
        <v>6</v>
      </c>
      <c r="B571" s="6">
        <v>2025</v>
      </c>
      <c r="C571" s="7">
        <v>45755</v>
      </c>
      <c r="D571" s="6" t="s">
        <v>54</v>
      </c>
      <c r="E571" s="6" t="s">
        <v>26</v>
      </c>
      <c r="F571" s="6">
        <v>3</v>
      </c>
      <c r="G571" s="6" t="s">
        <v>66</v>
      </c>
      <c r="H571" s="6">
        <v>2</v>
      </c>
      <c r="I571" s="6">
        <v>7</v>
      </c>
      <c r="J571" s="6">
        <v>4</v>
      </c>
      <c r="K571" s="6" t="s">
        <v>31</v>
      </c>
      <c r="L571" s="6" t="str">
        <f>VLOOKUP(K571, 'Alphabetical by species code'!A:B, 2, FALSE)</f>
        <v>Festuca myuros</v>
      </c>
    </row>
    <row r="572" spans="1:12" x14ac:dyDescent="0.25">
      <c r="A572" s="6">
        <v>6</v>
      </c>
      <c r="B572" s="6">
        <v>2025</v>
      </c>
      <c r="C572" s="7">
        <v>45755</v>
      </c>
      <c r="D572" s="6" t="s">
        <v>54</v>
      </c>
      <c r="E572" s="6" t="s">
        <v>26</v>
      </c>
      <c r="F572" s="6">
        <v>3</v>
      </c>
      <c r="G572" s="6" t="s">
        <v>66</v>
      </c>
      <c r="H572" s="6">
        <v>2</v>
      </c>
      <c r="I572" s="6">
        <v>8</v>
      </c>
      <c r="J572" s="6">
        <v>5</v>
      </c>
      <c r="K572" s="6" t="s">
        <v>28</v>
      </c>
      <c r="L572" s="6" t="str">
        <f>VLOOKUP(K572, 'Alphabetical by species code'!A:B, 2, FALSE)</f>
        <v>Litter</v>
      </c>
    </row>
    <row r="573" spans="1:12" x14ac:dyDescent="0.25">
      <c r="A573" s="6">
        <v>6</v>
      </c>
      <c r="B573" s="6">
        <v>2025</v>
      </c>
      <c r="C573" s="7">
        <v>45755</v>
      </c>
      <c r="D573" s="6" t="s">
        <v>54</v>
      </c>
      <c r="E573" s="6" t="s">
        <v>26</v>
      </c>
      <c r="F573" s="6">
        <v>3</v>
      </c>
      <c r="G573" s="6" t="s">
        <v>66</v>
      </c>
      <c r="H573" s="6">
        <v>2</v>
      </c>
      <c r="I573" s="6">
        <v>8</v>
      </c>
      <c r="J573" s="6">
        <v>5</v>
      </c>
      <c r="K573" s="6" t="s">
        <v>31</v>
      </c>
      <c r="L573" s="6" t="str">
        <f>VLOOKUP(K573, 'Alphabetical by species code'!A:B, 2, FALSE)</f>
        <v>Festuca myuros</v>
      </c>
    </row>
    <row r="574" spans="1:12" x14ac:dyDescent="0.25">
      <c r="A574" s="6">
        <v>6</v>
      </c>
      <c r="B574" s="6">
        <v>2025</v>
      </c>
      <c r="C574" s="7">
        <v>45755</v>
      </c>
      <c r="D574" s="6" t="s">
        <v>54</v>
      </c>
      <c r="E574" s="6" t="s">
        <v>26</v>
      </c>
      <c r="F574" s="6">
        <v>3</v>
      </c>
      <c r="G574" s="6" t="s">
        <v>66</v>
      </c>
      <c r="H574" s="6">
        <v>2</v>
      </c>
      <c r="I574" s="6">
        <v>9</v>
      </c>
      <c r="J574" s="6">
        <v>7</v>
      </c>
      <c r="K574" s="6" t="s">
        <v>28</v>
      </c>
      <c r="L574" s="6" t="str">
        <f>VLOOKUP(K574, 'Alphabetical by species code'!A:B, 2, FALSE)</f>
        <v>Litter</v>
      </c>
    </row>
    <row r="575" spans="1:12" x14ac:dyDescent="0.25">
      <c r="A575" s="6">
        <v>6</v>
      </c>
      <c r="B575" s="6">
        <v>2025</v>
      </c>
      <c r="C575" s="7">
        <v>45755</v>
      </c>
      <c r="D575" s="6" t="s">
        <v>54</v>
      </c>
      <c r="E575" s="6" t="s">
        <v>26</v>
      </c>
      <c r="F575" s="6">
        <v>3</v>
      </c>
      <c r="G575" s="6" t="s">
        <v>66</v>
      </c>
      <c r="H575" s="6">
        <v>2</v>
      </c>
      <c r="I575" s="6">
        <v>9</v>
      </c>
      <c r="J575" s="6">
        <v>7</v>
      </c>
      <c r="K575" s="6" t="s">
        <v>34</v>
      </c>
      <c r="L575" s="6" t="str">
        <f>VLOOKUP(K575, 'Alphabetical by species code'!A:B, 2, FALSE)</f>
        <v>Erodium cicutarium</v>
      </c>
    </row>
    <row r="576" spans="1:12" x14ac:dyDescent="0.25">
      <c r="A576" s="6">
        <v>6</v>
      </c>
      <c r="B576" s="6">
        <v>2025</v>
      </c>
      <c r="C576" s="7">
        <v>45755</v>
      </c>
      <c r="D576" s="6" t="s">
        <v>54</v>
      </c>
      <c r="E576" s="6" t="s">
        <v>26</v>
      </c>
      <c r="F576" s="6">
        <v>3</v>
      </c>
      <c r="G576" s="6" t="s">
        <v>66</v>
      </c>
      <c r="H576" s="6">
        <v>2</v>
      </c>
      <c r="I576" s="6">
        <v>9</v>
      </c>
      <c r="J576" s="6">
        <v>7</v>
      </c>
      <c r="K576" s="6" t="s">
        <v>35</v>
      </c>
      <c r="L576" s="6" t="str">
        <f>VLOOKUP(K576, 'Alphabetical by species code'!A:B, 2, FALSE)</f>
        <v>Deinandra fasciculata</v>
      </c>
    </row>
    <row r="577" spans="1:12" x14ac:dyDescent="0.25">
      <c r="A577" s="6">
        <v>6</v>
      </c>
      <c r="B577" s="6">
        <v>2025</v>
      </c>
      <c r="C577" s="7">
        <v>45755</v>
      </c>
      <c r="D577" s="6" t="s">
        <v>54</v>
      </c>
      <c r="E577" s="6" t="s">
        <v>26</v>
      </c>
      <c r="F577" s="6">
        <v>3</v>
      </c>
      <c r="G577" s="6" t="s">
        <v>66</v>
      </c>
      <c r="H577" s="6">
        <v>2</v>
      </c>
      <c r="I577" s="6">
        <v>9</v>
      </c>
      <c r="J577" s="6">
        <v>7</v>
      </c>
      <c r="K577" s="6" t="s">
        <v>31</v>
      </c>
      <c r="L577" s="6" t="str">
        <f>VLOOKUP(K577, 'Alphabetical by species code'!A:B, 2, FALSE)</f>
        <v>Festuca myuros</v>
      </c>
    </row>
    <row r="578" spans="1:12" x14ac:dyDescent="0.25">
      <c r="A578" s="6">
        <v>6</v>
      </c>
      <c r="B578" s="6">
        <v>2025</v>
      </c>
      <c r="C578" s="7">
        <v>45755</v>
      </c>
      <c r="D578" s="6" t="s">
        <v>54</v>
      </c>
      <c r="E578" s="6" t="s">
        <v>26</v>
      </c>
      <c r="F578" s="6">
        <v>3</v>
      </c>
      <c r="G578" s="6" t="s">
        <v>66</v>
      </c>
      <c r="H578" s="6">
        <v>2</v>
      </c>
      <c r="I578" s="6">
        <v>10</v>
      </c>
      <c r="J578" s="6">
        <v>8</v>
      </c>
      <c r="K578" s="6" t="s">
        <v>28</v>
      </c>
      <c r="L578" s="6" t="str">
        <f>VLOOKUP(K578, 'Alphabetical by species code'!A:B, 2, FALSE)</f>
        <v>Litter</v>
      </c>
    </row>
    <row r="579" spans="1:12" x14ac:dyDescent="0.25">
      <c r="A579" s="6">
        <v>6</v>
      </c>
      <c r="B579" s="6">
        <v>2025</v>
      </c>
      <c r="C579" s="7">
        <v>45755</v>
      </c>
      <c r="D579" s="6" t="s">
        <v>54</v>
      </c>
      <c r="E579" s="6" t="s">
        <v>26</v>
      </c>
      <c r="F579" s="6">
        <v>3</v>
      </c>
      <c r="G579" s="6" t="s">
        <v>66</v>
      </c>
      <c r="H579" s="6">
        <v>2</v>
      </c>
      <c r="I579" s="6">
        <v>10</v>
      </c>
      <c r="J579" s="6">
        <v>8</v>
      </c>
      <c r="K579" s="6" t="s">
        <v>31</v>
      </c>
      <c r="L579" s="6" t="str">
        <f>VLOOKUP(K579, 'Alphabetical by species code'!A:B, 2, FALSE)</f>
        <v>Festuca myuros</v>
      </c>
    </row>
    <row r="580" spans="1:12" x14ac:dyDescent="0.25">
      <c r="A580" s="6">
        <v>6</v>
      </c>
      <c r="B580" s="6">
        <v>2025</v>
      </c>
      <c r="C580" s="7">
        <v>45755</v>
      </c>
      <c r="D580" s="6" t="s">
        <v>54</v>
      </c>
      <c r="E580" s="6" t="s">
        <v>26</v>
      </c>
      <c r="F580" s="6">
        <v>3</v>
      </c>
      <c r="G580" s="6" t="s">
        <v>66</v>
      </c>
      <c r="H580" s="6">
        <v>2</v>
      </c>
      <c r="I580" s="6">
        <v>11</v>
      </c>
      <c r="J580" s="6">
        <v>8.5</v>
      </c>
      <c r="K580" s="6" t="s">
        <v>51</v>
      </c>
      <c r="L580" s="6" t="str">
        <f>VLOOKUP(K580, 'Alphabetical by species code'!A:B, 2, FALSE)</f>
        <v>Bareground</v>
      </c>
    </row>
    <row r="581" spans="1:12" x14ac:dyDescent="0.25">
      <c r="A581" s="6">
        <v>6</v>
      </c>
      <c r="B581" s="6">
        <v>2025</v>
      </c>
      <c r="C581" s="7">
        <v>45755</v>
      </c>
      <c r="D581" s="6" t="s">
        <v>54</v>
      </c>
      <c r="E581" s="6" t="s">
        <v>26</v>
      </c>
      <c r="F581" s="6">
        <v>3</v>
      </c>
      <c r="G581" s="6" t="s">
        <v>66</v>
      </c>
      <c r="H581" s="6">
        <v>2</v>
      </c>
      <c r="I581" s="6">
        <v>11</v>
      </c>
      <c r="J581" s="6">
        <v>8.5</v>
      </c>
      <c r="K581" s="6" t="s">
        <v>31</v>
      </c>
      <c r="L581" s="6" t="str">
        <f>VLOOKUP(K581, 'Alphabetical by species code'!A:B, 2, FALSE)</f>
        <v>Festuca myuros</v>
      </c>
    </row>
    <row r="582" spans="1:12" x14ac:dyDescent="0.25">
      <c r="A582" s="6">
        <v>6</v>
      </c>
      <c r="B582" s="6">
        <v>2025</v>
      </c>
      <c r="C582" s="7">
        <v>45755</v>
      </c>
      <c r="D582" s="6" t="s">
        <v>54</v>
      </c>
      <c r="E582" s="6" t="s">
        <v>26</v>
      </c>
      <c r="F582" s="6">
        <v>3</v>
      </c>
      <c r="G582" s="6" t="s">
        <v>66</v>
      </c>
      <c r="H582" s="6">
        <v>2</v>
      </c>
      <c r="I582" s="6">
        <v>12</v>
      </c>
      <c r="J582" s="6">
        <v>9</v>
      </c>
      <c r="K582" s="6" t="s">
        <v>28</v>
      </c>
      <c r="L582" s="6" t="str">
        <f>VLOOKUP(K582, 'Alphabetical by species code'!A:B, 2, FALSE)</f>
        <v>Litter</v>
      </c>
    </row>
    <row r="583" spans="1:12" x14ac:dyDescent="0.25">
      <c r="A583" s="6">
        <v>6</v>
      </c>
      <c r="B583" s="6">
        <v>2025</v>
      </c>
      <c r="C583" s="7">
        <v>45755</v>
      </c>
      <c r="D583" s="6" t="s">
        <v>54</v>
      </c>
      <c r="E583" s="6" t="s">
        <v>26</v>
      </c>
      <c r="F583" s="6">
        <v>3</v>
      </c>
      <c r="G583" s="6" t="s">
        <v>66</v>
      </c>
      <c r="H583" s="6">
        <v>2</v>
      </c>
      <c r="I583" s="6">
        <v>12</v>
      </c>
      <c r="J583" s="6">
        <v>9</v>
      </c>
      <c r="K583" s="6" t="s">
        <v>35</v>
      </c>
      <c r="L583" s="6" t="str">
        <f>VLOOKUP(K583, 'Alphabetical by species code'!A:B, 2, FALSE)</f>
        <v>Deinandra fasciculata</v>
      </c>
    </row>
    <row r="584" spans="1:12" x14ac:dyDescent="0.25">
      <c r="A584" s="6">
        <v>6</v>
      </c>
      <c r="B584" s="6">
        <v>2025</v>
      </c>
      <c r="C584" s="7">
        <v>45755</v>
      </c>
      <c r="D584" s="6" t="s">
        <v>54</v>
      </c>
      <c r="E584" s="6" t="s">
        <v>26</v>
      </c>
      <c r="F584" s="6">
        <v>3</v>
      </c>
      <c r="G584" s="6" t="s">
        <v>66</v>
      </c>
      <c r="H584" s="6">
        <v>2</v>
      </c>
      <c r="I584" s="6">
        <v>13</v>
      </c>
      <c r="J584" s="6">
        <v>10</v>
      </c>
      <c r="K584" s="6" t="s">
        <v>28</v>
      </c>
      <c r="L584" s="6" t="str">
        <f>VLOOKUP(K584, 'Alphabetical by species code'!A:B, 2, FALSE)</f>
        <v>Litter</v>
      </c>
    </row>
    <row r="585" spans="1:12" x14ac:dyDescent="0.25">
      <c r="A585" s="6">
        <v>6</v>
      </c>
      <c r="B585" s="6">
        <v>2025</v>
      </c>
      <c r="C585" s="7">
        <v>45755</v>
      </c>
      <c r="D585" s="6" t="s">
        <v>54</v>
      </c>
      <c r="E585" s="6" t="s">
        <v>26</v>
      </c>
      <c r="F585" s="6">
        <v>3</v>
      </c>
      <c r="G585" s="6" t="s">
        <v>66</v>
      </c>
      <c r="H585" s="6">
        <v>2</v>
      </c>
      <c r="I585" s="6">
        <v>13</v>
      </c>
      <c r="J585" s="6">
        <v>10</v>
      </c>
      <c r="K585" s="6" t="s">
        <v>31</v>
      </c>
      <c r="L585" s="6" t="str">
        <f>VLOOKUP(K585, 'Alphabetical by species code'!A:B, 2, FALSE)</f>
        <v>Festuca myuros</v>
      </c>
    </row>
    <row r="586" spans="1:12" x14ac:dyDescent="0.25">
      <c r="A586" s="6">
        <v>6</v>
      </c>
      <c r="B586" s="6">
        <v>2025</v>
      </c>
      <c r="C586" s="7">
        <v>45755</v>
      </c>
      <c r="D586" s="6" t="s">
        <v>54</v>
      </c>
      <c r="E586" s="6" t="s">
        <v>26</v>
      </c>
      <c r="F586" s="6">
        <v>3</v>
      </c>
      <c r="G586" s="6" t="s">
        <v>66</v>
      </c>
      <c r="H586" s="6">
        <v>2</v>
      </c>
      <c r="I586" s="6">
        <v>13</v>
      </c>
      <c r="J586" s="6">
        <v>10</v>
      </c>
      <c r="K586" s="6" t="s">
        <v>48</v>
      </c>
      <c r="L586" s="6" t="str">
        <f>VLOOKUP(K586, 'Alphabetical by species code'!A:B, 2, FALSE)</f>
        <v>Sonchus asper</v>
      </c>
    </row>
    <row r="587" spans="1:12" x14ac:dyDescent="0.25">
      <c r="A587" s="6">
        <v>6</v>
      </c>
      <c r="B587" s="6">
        <v>2025</v>
      </c>
      <c r="C587" s="7">
        <v>45755</v>
      </c>
      <c r="D587" s="6" t="s">
        <v>54</v>
      </c>
      <c r="E587" s="6" t="s">
        <v>26</v>
      </c>
      <c r="F587" s="6">
        <v>3</v>
      </c>
      <c r="G587" s="6" t="s">
        <v>66</v>
      </c>
      <c r="H587" s="6">
        <v>2</v>
      </c>
      <c r="I587" s="6">
        <v>14</v>
      </c>
      <c r="J587" s="6">
        <v>11</v>
      </c>
      <c r="K587" s="6" t="s">
        <v>28</v>
      </c>
      <c r="L587" s="6" t="str">
        <f>VLOOKUP(K587, 'Alphabetical by species code'!A:B, 2, FALSE)</f>
        <v>Litter</v>
      </c>
    </row>
    <row r="588" spans="1:12" x14ac:dyDescent="0.25">
      <c r="A588" s="6">
        <v>6</v>
      </c>
      <c r="B588" s="6">
        <v>2025</v>
      </c>
      <c r="C588" s="7">
        <v>45755</v>
      </c>
      <c r="D588" s="6" t="s">
        <v>54</v>
      </c>
      <c r="E588" s="6" t="s">
        <v>26</v>
      </c>
      <c r="F588" s="6">
        <v>3</v>
      </c>
      <c r="G588" s="6" t="s">
        <v>66</v>
      </c>
      <c r="H588" s="6">
        <v>2</v>
      </c>
      <c r="I588" s="6">
        <v>14</v>
      </c>
      <c r="J588" s="6">
        <v>11</v>
      </c>
      <c r="K588" s="6" t="s">
        <v>29</v>
      </c>
      <c r="L588" s="6" t="str">
        <f>VLOOKUP(K588, 'Alphabetical by species code'!A:B, 2, FALSE)</f>
        <v>Opuntia littoralis</v>
      </c>
    </row>
    <row r="589" spans="1:12" x14ac:dyDescent="0.25">
      <c r="A589" s="6">
        <v>6</v>
      </c>
      <c r="B589" s="6">
        <v>2025</v>
      </c>
      <c r="C589" s="7">
        <v>45755</v>
      </c>
      <c r="D589" s="6" t="s">
        <v>54</v>
      </c>
      <c r="E589" s="6" t="s">
        <v>26</v>
      </c>
      <c r="F589" s="6">
        <v>3</v>
      </c>
      <c r="G589" s="6" t="s">
        <v>66</v>
      </c>
      <c r="H589" s="6">
        <v>2</v>
      </c>
      <c r="I589" s="6">
        <v>14</v>
      </c>
      <c r="J589" s="6">
        <v>11</v>
      </c>
      <c r="K589" s="6" t="s">
        <v>36</v>
      </c>
      <c r="L589" s="6" t="str">
        <f>VLOOKUP(K589, 'Alphabetical by species code'!A:B, 2, FALSE)</f>
        <v>Bromus madritensis</v>
      </c>
    </row>
    <row r="590" spans="1:12" x14ac:dyDescent="0.25">
      <c r="A590" s="6">
        <v>6</v>
      </c>
      <c r="B590" s="6">
        <v>2025</v>
      </c>
      <c r="C590" s="7">
        <v>45755</v>
      </c>
      <c r="D590" s="6" t="s">
        <v>54</v>
      </c>
      <c r="E590" s="6" t="s">
        <v>26</v>
      </c>
      <c r="F590" s="6">
        <v>3</v>
      </c>
      <c r="G590" s="6" t="s">
        <v>66</v>
      </c>
      <c r="H590" s="6">
        <v>2</v>
      </c>
      <c r="I590" s="6">
        <v>14</v>
      </c>
      <c r="J590" s="6">
        <v>11</v>
      </c>
      <c r="K590" s="6" t="s">
        <v>34</v>
      </c>
      <c r="L590" s="6" t="str">
        <f>VLOOKUP(K590, 'Alphabetical by species code'!A:B, 2, FALSE)</f>
        <v>Erodium cicutarium</v>
      </c>
    </row>
    <row r="591" spans="1:12" x14ac:dyDescent="0.25">
      <c r="A591" s="6">
        <v>6</v>
      </c>
      <c r="B591" s="6">
        <v>2025</v>
      </c>
      <c r="C591" s="7">
        <v>45755</v>
      </c>
      <c r="D591" s="6" t="s">
        <v>54</v>
      </c>
      <c r="E591" s="6" t="s">
        <v>26</v>
      </c>
      <c r="F591" s="6">
        <v>3</v>
      </c>
      <c r="G591" s="6" t="s">
        <v>66</v>
      </c>
      <c r="H591" s="6">
        <v>2</v>
      </c>
      <c r="I591" s="6">
        <v>15</v>
      </c>
      <c r="J591" s="6">
        <v>12</v>
      </c>
      <c r="K591" s="6" t="s">
        <v>28</v>
      </c>
      <c r="L591" s="6" t="str">
        <f>VLOOKUP(K591, 'Alphabetical by species code'!A:B, 2, FALSE)</f>
        <v>Litter</v>
      </c>
    </row>
    <row r="592" spans="1:12" x14ac:dyDescent="0.25">
      <c r="A592" s="6">
        <v>6</v>
      </c>
      <c r="B592" s="6">
        <v>2025</v>
      </c>
      <c r="C592" s="7">
        <v>45755</v>
      </c>
      <c r="D592" s="6" t="s">
        <v>54</v>
      </c>
      <c r="E592" s="6" t="s">
        <v>26</v>
      </c>
      <c r="F592" s="6">
        <v>3</v>
      </c>
      <c r="G592" s="6" t="s">
        <v>66</v>
      </c>
      <c r="H592" s="6">
        <v>2</v>
      </c>
      <c r="I592" s="6">
        <v>15</v>
      </c>
      <c r="J592" s="6">
        <v>12</v>
      </c>
      <c r="K592" s="6" t="s">
        <v>35</v>
      </c>
      <c r="L592" s="6" t="str">
        <f>VLOOKUP(K592, 'Alphabetical by species code'!A:B, 2, FALSE)</f>
        <v>Deinandra fasciculata</v>
      </c>
    </row>
    <row r="593" spans="1:12" x14ac:dyDescent="0.25">
      <c r="A593" s="6">
        <v>6</v>
      </c>
      <c r="B593" s="6">
        <v>2025</v>
      </c>
      <c r="C593" s="7">
        <v>45755</v>
      </c>
      <c r="D593" s="6" t="s">
        <v>54</v>
      </c>
      <c r="E593" s="6" t="s">
        <v>26</v>
      </c>
      <c r="F593" s="6">
        <v>3</v>
      </c>
      <c r="G593" s="6" t="s">
        <v>66</v>
      </c>
      <c r="H593" s="6">
        <v>2</v>
      </c>
      <c r="I593" s="6">
        <v>15</v>
      </c>
      <c r="J593" s="6">
        <v>12</v>
      </c>
      <c r="K593" s="6" t="s">
        <v>31</v>
      </c>
      <c r="L593" s="6" t="str">
        <f>VLOOKUP(K593, 'Alphabetical by species code'!A:B, 2, FALSE)</f>
        <v>Festuca myuros</v>
      </c>
    </row>
    <row r="594" spans="1:12" x14ac:dyDescent="0.25">
      <c r="A594" s="6">
        <v>7</v>
      </c>
      <c r="B594" s="6">
        <v>2025</v>
      </c>
      <c r="C594" s="7">
        <v>45764</v>
      </c>
      <c r="D594" s="6" t="s">
        <v>25</v>
      </c>
      <c r="E594" s="6" t="s">
        <v>26</v>
      </c>
      <c r="F594" s="6">
        <v>1</v>
      </c>
      <c r="G594" s="6" t="s">
        <v>66</v>
      </c>
      <c r="H594" s="6">
        <v>1</v>
      </c>
      <c r="I594" s="6">
        <v>1</v>
      </c>
      <c r="J594" s="6">
        <v>0</v>
      </c>
      <c r="K594" s="6" t="s">
        <v>28</v>
      </c>
      <c r="L594" s="6" t="str">
        <f>VLOOKUP(K594, 'Alphabetical by species code'!A:B, 2, FALSE)</f>
        <v>Litter</v>
      </c>
    </row>
    <row r="595" spans="1:12" x14ac:dyDescent="0.25">
      <c r="A595" s="6">
        <v>7</v>
      </c>
      <c r="B595" s="6">
        <v>2025</v>
      </c>
      <c r="C595" s="7">
        <v>45764</v>
      </c>
      <c r="D595" s="6" t="s">
        <v>25</v>
      </c>
      <c r="E595" s="6" t="s">
        <v>26</v>
      </c>
      <c r="F595" s="6">
        <v>1</v>
      </c>
      <c r="G595" s="6" t="s">
        <v>66</v>
      </c>
      <c r="H595" s="6">
        <v>1</v>
      </c>
      <c r="I595" s="6">
        <v>1</v>
      </c>
      <c r="J595" s="6">
        <v>0</v>
      </c>
      <c r="K595" s="6" t="s">
        <v>34</v>
      </c>
      <c r="L595" s="6" t="str">
        <f>VLOOKUP(K595, 'Alphabetical by species code'!A:B, 2, FALSE)</f>
        <v>Erodium cicutarium</v>
      </c>
    </row>
    <row r="596" spans="1:12" x14ac:dyDescent="0.25">
      <c r="A596" s="6">
        <v>7</v>
      </c>
      <c r="B596" s="6">
        <v>2025</v>
      </c>
      <c r="C596" s="7">
        <v>45764</v>
      </c>
      <c r="D596" s="6" t="s">
        <v>25</v>
      </c>
      <c r="E596" s="6" t="s">
        <v>26</v>
      </c>
      <c r="F596" s="6">
        <v>1</v>
      </c>
      <c r="G596" s="6" t="s">
        <v>66</v>
      </c>
      <c r="H596" s="6">
        <v>1</v>
      </c>
      <c r="I596" s="6">
        <v>1</v>
      </c>
      <c r="J596" s="6">
        <v>0</v>
      </c>
      <c r="K596" s="6" t="s">
        <v>35</v>
      </c>
      <c r="L596" s="6" t="str">
        <f>VLOOKUP(K596, 'Alphabetical by species code'!A:B, 2, FALSE)</f>
        <v>Deinandra fasciculata</v>
      </c>
    </row>
    <row r="597" spans="1:12" x14ac:dyDescent="0.25">
      <c r="A597" s="6">
        <v>7</v>
      </c>
      <c r="B597" s="6">
        <v>2025</v>
      </c>
      <c r="C597" s="7">
        <v>45764</v>
      </c>
      <c r="D597" s="6" t="s">
        <v>25</v>
      </c>
      <c r="E597" s="6" t="s">
        <v>26</v>
      </c>
      <c r="F597" s="6">
        <v>1</v>
      </c>
      <c r="G597" s="6" t="s">
        <v>66</v>
      </c>
      <c r="H597" s="6">
        <v>1</v>
      </c>
      <c r="I597" s="6">
        <v>2</v>
      </c>
      <c r="J597" s="6">
        <v>1</v>
      </c>
      <c r="K597" s="6" t="s">
        <v>28</v>
      </c>
      <c r="L597" s="6" t="str">
        <f>VLOOKUP(K597, 'Alphabetical by species code'!A:B, 2, FALSE)</f>
        <v>Litter</v>
      </c>
    </row>
    <row r="598" spans="1:12" x14ac:dyDescent="0.25">
      <c r="A598" s="6">
        <v>7</v>
      </c>
      <c r="B598" s="6">
        <v>2025</v>
      </c>
      <c r="C598" s="7">
        <v>45764</v>
      </c>
      <c r="D598" s="6" t="s">
        <v>25</v>
      </c>
      <c r="E598" s="6" t="s">
        <v>26</v>
      </c>
      <c r="F598" s="6">
        <v>1</v>
      </c>
      <c r="G598" s="6" t="s">
        <v>66</v>
      </c>
      <c r="H598" s="6">
        <v>1</v>
      </c>
      <c r="I598" s="6">
        <v>2</v>
      </c>
      <c r="J598" s="6">
        <v>1</v>
      </c>
      <c r="K598" s="6" t="s">
        <v>36</v>
      </c>
      <c r="L598" s="6" t="str">
        <f>VLOOKUP(K598, 'Alphabetical by species code'!A:B, 2, FALSE)</f>
        <v>Bromus madritensis</v>
      </c>
    </row>
    <row r="599" spans="1:12" x14ac:dyDescent="0.25">
      <c r="A599" s="6">
        <v>7</v>
      </c>
      <c r="B599" s="6">
        <v>2025</v>
      </c>
      <c r="C599" s="7">
        <v>45764</v>
      </c>
      <c r="D599" s="6" t="s">
        <v>25</v>
      </c>
      <c r="E599" s="6" t="s">
        <v>26</v>
      </c>
      <c r="F599" s="6">
        <v>1</v>
      </c>
      <c r="G599" s="6" t="s">
        <v>66</v>
      </c>
      <c r="H599" s="6">
        <v>1</v>
      </c>
      <c r="I599" s="6">
        <v>2</v>
      </c>
      <c r="J599" s="6">
        <v>1</v>
      </c>
      <c r="K599" s="6" t="s">
        <v>42</v>
      </c>
      <c r="L599" s="6" t="str">
        <f>VLOOKUP(K599, 'Alphabetical by species code'!A:B, 2, FALSE)</f>
        <v>Centaurea melitensis</v>
      </c>
    </row>
    <row r="600" spans="1:12" x14ac:dyDescent="0.25">
      <c r="A600" s="6">
        <v>7</v>
      </c>
      <c r="B600" s="6">
        <v>2025</v>
      </c>
      <c r="C600" s="7">
        <v>45764</v>
      </c>
      <c r="D600" s="6" t="s">
        <v>25</v>
      </c>
      <c r="E600" s="6" t="s">
        <v>26</v>
      </c>
      <c r="F600" s="6">
        <v>1</v>
      </c>
      <c r="G600" s="6" t="s">
        <v>66</v>
      </c>
      <c r="H600" s="6">
        <v>1</v>
      </c>
      <c r="I600" s="6">
        <v>3</v>
      </c>
      <c r="J600" s="6">
        <v>1.5</v>
      </c>
      <c r="K600" s="6" t="s">
        <v>28</v>
      </c>
      <c r="L600" s="6" t="str">
        <f>VLOOKUP(K600, 'Alphabetical by species code'!A:B, 2, FALSE)</f>
        <v>Litter</v>
      </c>
    </row>
    <row r="601" spans="1:12" x14ac:dyDescent="0.25">
      <c r="A601" s="6">
        <v>7</v>
      </c>
      <c r="B601" s="6">
        <v>2025</v>
      </c>
      <c r="C601" s="7">
        <v>45764</v>
      </c>
      <c r="D601" s="6" t="s">
        <v>25</v>
      </c>
      <c r="E601" s="6" t="s">
        <v>26</v>
      </c>
      <c r="F601" s="6">
        <v>1</v>
      </c>
      <c r="G601" s="6" t="s">
        <v>66</v>
      </c>
      <c r="H601" s="6">
        <v>1</v>
      </c>
      <c r="I601" s="6">
        <v>3</v>
      </c>
      <c r="J601" s="6">
        <v>1.5</v>
      </c>
      <c r="K601" s="6" t="s">
        <v>35</v>
      </c>
      <c r="L601" s="6" t="str">
        <f>VLOOKUP(K601, 'Alphabetical by species code'!A:B, 2, FALSE)</f>
        <v>Deinandra fasciculata</v>
      </c>
    </row>
    <row r="602" spans="1:12" x14ac:dyDescent="0.25">
      <c r="A602" s="6">
        <v>7</v>
      </c>
      <c r="B602" s="6">
        <v>2025</v>
      </c>
      <c r="C602" s="7">
        <v>45764</v>
      </c>
      <c r="D602" s="6" t="s">
        <v>25</v>
      </c>
      <c r="E602" s="6" t="s">
        <v>26</v>
      </c>
      <c r="F602" s="6">
        <v>1</v>
      </c>
      <c r="G602" s="6" t="s">
        <v>66</v>
      </c>
      <c r="H602" s="6">
        <v>1</v>
      </c>
      <c r="I602" s="6">
        <v>3</v>
      </c>
      <c r="J602" s="6">
        <v>1.5</v>
      </c>
      <c r="K602" s="6" t="s">
        <v>42</v>
      </c>
      <c r="L602" s="6" t="str">
        <f>VLOOKUP(K602, 'Alphabetical by species code'!A:B, 2, FALSE)</f>
        <v>Centaurea melitensis</v>
      </c>
    </row>
    <row r="603" spans="1:12" x14ac:dyDescent="0.25">
      <c r="A603" s="6">
        <v>7</v>
      </c>
      <c r="B603" s="6">
        <v>2025</v>
      </c>
      <c r="C603" s="7">
        <v>45764</v>
      </c>
      <c r="D603" s="6" t="s">
        <v>25</v>
      </c>
      <c r="E603" s="6" t="s">
        <v>26</v>
      </c>
      <c r="F603" s="6">
        <v>1</v>
      </c>
      <c r="G603" s="6" t="s">
        <v>66</v>
      </c>
      <c r="H603" s="6">
        <v>1</v>
      </c>
      <c r="I603" s="6">
        <v>3</v>
      </c>
      <c r="J603" s="6">
        <v>1.5</v>
      </c>
      <c r="K603" s="6" t="s">
        <v>49</v>
      </c>
      <c r="L603" s="6" t="str">
        <f>VLOOKUP(K603, 'Alphabetical by species code'!A:B, 2, FALSE)</f>
        <v>Anagallis arvensis</v>
      </c>
    </row>
    <row r="604" spans="1:12" x14ac:dyDescent="0.25">
      <c r="A604" s="6">
        <v>7</v>
      </c>
      <c r="B604" s="6">
        <v>2025</v>
      </c>
      <c r="C604" s="7">
        <v>45764</v>
      </c>
      <c r="D604" s="6" t="s">
        <v>25</v>
      </c>
      <c r="E604" s="6" t="s">
        <v>26</v>
      </c>
      <c r="F604" s="6">
        <v>1</v>
      </c>
      <c r="G604" s="6" t="s">
        <v>66</v>
      </c>
      <c r="H604" s="6">
        <v>1</v>
      </c>
      <c r="I604" s="6">
        <v>4</v>
      </c>
      <c r="J604" s="6">
        <v>2</v>
      </c>
      <c r="K604" s="6" t="s">
        <v>41</v>
      </c>
      <c r="L604" s="6" t="str">
        <f>VLOOKUP(K604, 'Alphabetical by species code'!A:B, 2, FALSE)</f>
        <v>Stem</v>
      </c>
    </row>
    <row r="605" spans="1:12" x14ac:dyDescent="0.25">
      <c r="A605" s="6">
        <v>7</v>
      </c>
      <c r="B605" s="6">
        <v>2025</v>
      </c>
      <c r="C605" s="7">
        <v>45764</v>
      </c>
      <c r="D605" s="6" t="s">
        <v>25</v>
      </c>
      <c r="E605" s="6" t="s">
        <v>26</v>
      </c>
      <c r="F605" s="6">
        <v>1</v>
      </c>
      <c r="G605" s="6" t="s">
        <v>66</v>
      </c>
      <c r="H605" s="6">
        <v>1</v>
      </c>
      <c r="I605" s="6">
        <v>4</v>
      </c>
      <c r="J605" s="6">
        <v>2</v>
      </c>
      <c r="K605" s="6" t="s">
        <v>30</v>
      </c>
      <c r="L605" s="6" t="str">
        <f>VLOOKUP(K605, 'Alphabetical by species code'!A:B, 2, FALSE)</f>
        <v>Erodium moschatum</v>
      </c>
    </row>
    <row r="606" spans="1:12" x14ac:dyDescent="0.25">
      <c r="A606" s="6">
        <v>7</v>
      </c>
      <c r="B606" s="6">
        <v>2025</v>
      </c>
      <c r="C606" s="7">
        <v>45764</v>
      </c>
      <c r="D606" s="6" t="s">
        <v>25</v>
      </c>
      <c r="E606" s="6" t="s">
        <v>26</v>
      </c>
      <c r="F606" s="6">
        <v>1</v>
      </c>
      <c r="G606" s="6" t="s">
        <v>66</v>
      </c>
      <c r="H606" s="6">
        <v>1</v>
      </c>
      <c r="I606" s="6">
        <v>5</v>
      </c>
      <c r="J606" s="6">
        <v>3</v>
      </c>
      <c r="K606" s="6" t="s">
        <v>51</v>
      </c>
      <c r="L606" s="6" t="str">
        <f>VLOOKUP(K606, 'Alphabetical by species code'!A:B, 2, FALSE)</f>
        <v>Bareground</v>
      </c>
    </row>
    <row r="607" spans="1:12" x14ac:dyDescent="0.25">
      <c r="A607" s="6">
        <v>7</v>
      </c>
      <c r="B607" s="6">
        <v>2025</v>
      </c>
      <c r="C607" s="7">
        <v>45764</v>
      </c>
      <c r="D607" s="6" t="s">
        <v>25</v>
      </c>
      <c r="E607" s="6" t="s">
        <v>26</v>
      </c>
      <c r="F607" s="6">
        <v>1</v>
      </c>
      <c r="G607" s="6" t="s">
        <v>66</v>
      </c>
      <c r="H607" s="6">
        <v>1</v>
      </c>
      <c r="I607" s="6">
        <v>5</v>
      </c>
      <c r="J607" s="6">
        <v>3</v>
      </c>
      <c r="K607" s="6" t="s">
        <v>37</v>
      </c>
      <c r="L607" s="6" t="str">
        <f>VLOOKUP(K607, 'Alphabetical by species code'!A:B, 2, FALSE)</f>
        <v>Sonchus oleraceus</v>
      </c>
    </row>
    <row r="608" spans="1:12" x14ac:dyDescent="0.25">
      <c r="A608" s="6">
        <v>7</v>
      </c>
      <c r="B608" s="6">
        <v>2025</v>
      </c>
      <c r="C608" s="7">
        <v>45764</v>
      </c>
      <c r="D608" s="6" t="s">
        <v>25</v>
      </c>
      <c r="E608" s="6" t="s">
        <v>26</v>
      </c>
      <c r="F608" s="6">
        <v>1</v>
      </c>
      <c r="G608" s="6" t="s">
        <v>66</v>
      </c>
      <c r="H608" s="6">
        <v>1</v>
      </c>
      <c r="I608" s="6">
        <v>6</v>
      </c>
      <c r="J608" s="6">
        <v>3.5</v>
      </c>
      <c r="K608" s="6" t="s">
        <v>28</v>
      </c>
      <c r="L608" s="6" t="str">
        <f>VLOOKUP(K608, 'Alphabetical by species code'!A:B, 2, FALSE)</f>
        <v>Litter</v>
      </c>
    </row>
    <row r="609" spans="1:12" x14ac:dyDescent="0.25">
      <c r="A609" s="6">
        <v>7</v>
      </c>
      <c r="B609" s="6">
        <v>2025</v>
      </c>
      <c r="C609" s="7">
        <v>45764</v>
      </c>
      <c r="D609" s="6" t="s">
        <v>25</v>
      </c>
      <c r="E609" s="6" t="s">
        <v>26</v>
      </c>
      <c r="F609" s="6">
        <v>1</v>
      </c>
      <c r="G609" s="6" t="s">
        <v>66</v>
      </c>
      <c r="H609" s="6">
        <v>1</v>
      </c>
      <c r="I609" s="6">
        <v>6</v>
      </c>
      <c r="J609" s="6">
        <v>3.5</v>
      </c>
      <c r="K609" s="6" t="s">
        <v>31</v>
      </c>
      <c r="L609" s="6" t="str">
        <f>VLOOKUP(K609, 'Alphabetical by species code'!A:B, 2, FALSE)</f>
        <v>Festuca myuros</v>
      </c>
    </row>
    <row r="610" spans="1:12" x14ac:dyDescent="0.25">
      <c r="A610" s="6">
        <v>7</v>
      </c>
      <c r="B610" s="6">
        <v>2025</v>
      </c>
      <c r="C610" s="7">
        <v>45764</v>
      </c>
      <c r="D610" s="6" t="s">
        <v>25</v>
      </c>
      <c r="E610" s="6" t="s">
        <v>26</v>
      </c>
      <c r="F610" s="6">
        <v>1</v>
      </c>
      <c r="G610" s="6" t="s">
        <v>66</v>
      </c>
      <c r="H610" s="6">
        <v>1</v>
      </c>
      <c r="I610" s="6">
        <v>6</v>
      </c>
      <c r="J610" s="6">
        <v>3.5</v>
      </c>
      <c r="K610" s="6" t="s">
        <v>35</v>
      </c>
      <c r="L610" s="6" t="str">
        <f>VLOOKUP(K610, 'Alphabetical by species code'!A:B, 2, FALSE)</f>
        <v>Deinandra fasciculata</v>
      </c>
    </row>
    <row r="611" spans="1:12" x14ac:dyDescent="0.25">
      <c r="A611" s="6">
        <v>7</v>
      </c>
      <c r="B611" s="6">
        <v>2025</v>
      </c>
      <c r="C611" s="7">
        <v>45764</v>
      </c>
      <c r="D611" s="6" t="s">
        <v>25</v>
      </c>
      <c r="E611" s="6" t="s">
        <v>26</v>
      </c>
      <c r="F611" s="6">
        <v>1</v>
      </c>
      <c r="G611" s="6" t="s">
        <v>66</v>
      </c>
      <c r="H611" s="6">
        <v>1</v>
      </c>
      <c r="I611" s="6">
        <v>7</v>
      </c>
      <c r="J611" s="6">
        <v>4</v>
      </c>
      <c r="K611" s="6" t="s">
        <v>51</v>
      </c>
      <c r="L611" s="6" t="str">
        <f>VLOOKUP(K611, 'Alphabetical by species code'!A:B, 2, FALSE)</f>
        <v>Bareground</v>
      </c>
    </row>
    <row r="612" spans="1:12" x14ac:dyDescent="0.25">
      <c r="A612" s="6">
        <v>7</v>
      </c>
      <c r="B612" s="6">
        <v>2025</v>
      </c>
      <c r="C612" s="7">
        <v>45764</v>
      </c>
      <c r="D612" s="6" t="s">
        <v>25</v>
      </c>
      <c r="E612" s="6" t="s">
        <v>26</v>
      </c>
      <c r="F612" s="6">
        <v>1</v>
      </c>
      <c r="G612" s="6" t="s">
        <v>66</v>
      </c>
      <c r="H612" s="6">
        <v>1</v>
      </c>
      <c r="I612" s="6">
        <v>7</v>
      </c>
      <c r="J612" s="6">
        <v>4</v>
      </c>
      <c r="K612" s="6" t="s">
        <v>35</v>
      </c>
      <c r="L612" s="6" t="str">
        <f>VLOOKUP(K612, 'Alphabetical by species code'!A:B, 2, FALSE)</f>
        <v>Deinandra fasciculata</v>
      </c>
    </row>
    <row r="613" spans="1:12" x14ac:dyDescent="0.25">
      <c r="A613" s="6">
        <v>7</v>
      </c>
      <c r="B613" s="6">
        <v>2025</v>
      </c>
      <c r="C613" s="7">
        <v>45764</v>
      </c>
      <c r="D613" s="6" t="s">
        <v>25</v>
      </c>
      <c r="E613" s="6" t="s">
        <v>26</v>
      </c>
      <c r="F613" s="6">
        <v>1</v>
      </c>
      <c r="G613" s="6" t="s">
        <v>66</v>
      </c>
      <c r="H613" s="6">
        <v>1</v>
      </c>
      <c r="I613" s="6">
        <v>7</v>
      </c>
      <c r="J613" s="6">
        <v>4</v>
      </c>
      <c r="K613" s="6" t="s">
        <v>34</v>
      </c>
      <c r="L613" s="6" t="str">
        <f>VLOOKUP(K613, 'Alphabetical by species code'!A:B, 2, FALSE)</f>
        <v>Erodium cicutarium</v>
      </c>
    </row>
    <row r="614" spans="1:12" x14ac:dyDescent="0.25">
      <c r="A614" s="6">
        <v>7</v>
      </c>
      <c r="B614" s="6">
        <v>2025</v>
      </c>
      <c r="C614" s="7">
        <v>45764</v>
      </c>
      <c r="D614" s="6" t="s">
        <v>25</v>
      </c>
      <c r="E614" s="6" t="s">
        <v>26</v>
      </c>
      <c r="F614" s="6">
        <v>1</v>
      </c>
      <c r="G614" s="6" t="s">
        <v>66</v>
      </c>
      <c r="H614" s="6">
        <v>1</v>
      </c>
      <c r="I614" s="6">
        <v>8</v>
      </c>
      <c r="J614" s="6">
        <v>5</v>
      </c>
      <c r="K614" s="6" t="s">
        <v>28</v>
      </c>
      <c r="L614" s="6" t="str">
        <f>VLOOKUP(K614, 'Alphabetical by species code'!A:B, 2, FALSE)</f>
        <v>Litter</v>
      </c>
    </row>
    <row r="615" spans="1:12" x14ac:dyDescent="0.25">
      <c r="A615" s="6">
        <v>7</v>
      </c>
      <c r="B615" s="6">
        <v>2025</v>
      </c>
      <c r="C615" s="7">
        <v>45764</v>
      </c>
      <c r="D615" s="6" t="s">
        <v>25</v>
      </c>
      <c r="E615" s="6" t="s">
        <v>26</v>
      </c>
      <c r="F615" s="6">
        <v>1</v>
      </c>
      <c r="G615" s="6" t="s">
        <v>66</v>
      </c>
      <c r="H615" s="6">
        <v>1</v>
      </c>
      <c r="I615" s="6">
        <v>8</v>
      </c>
      <c r="J615" s="6">
        <v>5</v>
      </c>
      <c r="K615" s="6" t="s">
        <v>49</v>
      </c>
      <c r="L615" s="6" t="str">
        <f>VLOOKUP(K615, 'Alphabetical by species code'!A:B, 2, FALSE)</f>
        <v>Anagallis arvensis</v>
      </c>
    </row>
    <row r="616" spans="1:12" x14ac:dyDescent="0.25">
      <c r="A616" s="6">
        <v>7</v>
      </c>
      <c r="B616" s="6">
        <v>2025</v>
      </c>
      <c r="C616" s="7">
        <v>45764</v>
      </c>
      <c r="D616" s="6" t="s">
        <v>25</v>
      </c>
      <c r="E616" s="6" t="s">
        <v>26</v>
      </c>
      <c r="F616" s="6">
        <v>1</v>
      </c>
      <c r="G616" s="6" t="s">
        <v>66</v>
      </c>
      <c r="H616" s="6">
        <v>1</v>
      </c>
      <c r="I616" s="6">
        <v>8</v>
      </c>
      <c r="J616" s="6">
        <v>5</v>
      </c>
      <c r="K616" s="6" t="s">
        <v>48</v>
      </c>
      <c r="L616" s="6" t="str">
        <f>VLOOKUP(K616, 'Alphabetical by species code'!A:B, 2, FALSE)</f>
        <v>Sonchus asper</v>
      </c>
    </row>
    <row r="617" spans="1:12" x14ac:dyDescent="0.25">
      <c r="A617" s="6">
        <v>7</v>
      </c>
      <c r="B617" s="6">
        <v>2025</v>
      </c>
      <c r="C617" s="7">
        <v>45764</v>
      </c>
      <c r="D617" s="6" t="s">
        <v>25</v>
      </c>
      <c r="E617" s="6" t="s">
        <v>26</v>
      </c>
      <c r="F617" s="6">
        <v>1</v>
      </c>
      <c r="G617" s="6" t="s">
        <v>66</v>
      </c>
      <c r="H617" s="6">
        <v>1</v>
      </c>
      <c r="I617" s="6">
        <v>9</v>
      </c>
      <c r="J617" s="6">
        <v>7</v>
      </c>
      <c r="K617" s="6" t="s">
        <v>41</v>
      </c>
      <c r="L617" s="6" t="str">
        <f>VLOOKUP(K617, 'Alphabetical by species code'!A:B, 2, FALSE)</f>
        <v>Stem</v>
      </c>
    </row>
    <row r="618" spans="1:12" x14ac:dyDescent="0.25">
      <c r="A618" s="6">
        <v>7</v>
      </c>
      <c r="B618" s="6">
        <v>2025</v>
      </c>
      <c r="C618" s="7">
        <v>45764</v>
      </c>
      <c r="D618" s="6" t="s">
        <v>25</v>
      </c>
      <c r="E618" s="6" t="s">
        <v>26</v>
      </c>
      <c r="F618" s="6">
        <v>1</v>
      </c>
      <c r="G618" s="6" t="s">
        <v>66</v>
      </c>
      <c r="H618" s="6">
        <v>1</v>
      </c>
      <c r="I618" s="6">
        <v>9</v>
      </c>
      <c r="J618" s="6">
        <v>7</v>
      </c>
      <c r="K618" s="6" t="s">
        <v>31</v>
      </c>
      <c r="L618" s="6" t="str">
        <f>VLOOKUP(K618, 'Alphabetical by species code'!A:B, 2, FALSE)</f>
        <v>Festuca myuros</v>
      </c>
    </row>
    <row r="619" spans="1:12" x14ac:dyDescent="0.25">
      <c r="A619" s="6">
        <v>7</v>
      </c>
      <c r="B619" s="6">
        <v>2025</v>
      </c>
      <c r="C619" s="7">
        <v>45764</v>
      </c>
      <c r="D619" s="6" t="s">
        <v>25</v>
      </c>
      <c r="E619" s="6" t="s">
        <v>26</v>
      </c>
      <c r="F619" s="6">
        <v>1</v>
      </c>
      <c r="G619" s="6" t="s">
        <v>66</v>
      </c>
      <c r="H619" s="6">
        <v>1</v>
      </c>
      <c r="I619" s="6">
        <v>9</v>
      </c>
      <c r="J619" s="6">
        <v>7</v>
      </c>
      <c r="K619" s="6" t="s">
        <v>34</v>
      </c>
      <c r="L619" s="6" t="str">
        <f>VLOOKUP(K619, 'Alphabetical by species code'!A:B, 2, FALSE)</f>
        <v>Erodium cicutarium</v>
      </c>
    </row>
    <row r="620" spans="1:12" x14ac:dyDescent="0.25">
      <c r="A620" s="6">
        <v>7</v>
      </c>
      <c r="B620" s="6">
        <v>2025</v>
      </c>
      <c r="C620" s="7">
        <v>45764</v>
      </c>
      <c r="D620" s="6" t="s">
        <v>25</v>
      </c>
      <c r="E620" s="6" t="s">
        <v>26</v>
      </c>
      <c r="F620" s="6">
        <v>1</v>
      </c>
      <c r="G620" s="6" t="s">
        <v>66</v>
      </c>
      <c r="H620" s="6">
        <v>1</v>
      </c>
      <c r="I620" s="6">
        <v>10</v>
      </c>
      <c r="J620" s="6">
        <v>8</v>
      </c>
      <c r="K620" s="6" t="s">
        <v>28</v>
      </c>
      <c r="L620" s="6" t="str">
        <f>VLOOKUP(K620, 'Alphabetical by species code'!A:B, 2, FALSE)</f>
        <v>Litter</v>
      </c>
    </row>
    <row r="621" spans="1:12" x14ac:dyDescent="0.25">
      <c r="A621" s="6">
        <v>7</v>
      </c>
      <c r="B621" s="6">
        <v>2025</v>
      </c>
      <c r="C621" s="7">
        <v>45764</v>
      </c>
      <c r="D621" s="6" t="s">
        <v>25</v>
      </c>
      <c r="E621" s="6" t="s">
        <v>26</v>
      </c>
      <c r="F621" s="6">
        <v>1</v>
      </c>
      <c r="G621" s="6" t="s">
        <v>66</v>
      </c>
      <c r="H621" s="6">
        <v>1</v>
      </c>
      <c r="I621" s="6">
        <v>10</v>
      </c>
      <c r="J621" s="6">
        <v>8</v>
      </c>
      <c r="K621" s="6" t="s">
        <v>30</v>
      </c>
      <c r="L621" s="6" t="str">
        <f>VLOOKUP(K621, 'Alphabetical by species code'!A:B, 2, FALSE)</f>
        <v>Erodium moschatum</v>
      </c>
    </row>
    <row r="622" spans="1:12" x14ac:dyDescent="0.25">
      <c r="A622" s="6">
        <v>7</v>
      </c>
      <c r="B622" s="6">
        <v>2025</v>
      </c>
      <c r="C622" s="7">
        <v>45764</v>
      </c>
      <c r="D622" s="6" t="s">
        <v>25</v>
      </c>
      <c r="E622" s="6" t="s">
        <v>26</v>
      </c>
      <c r="F622" s="6">
        <v>1</v>
      </c>
      <c r="G622" s="6" t="s">
        <v>66</v>
      </c>
      <c r="H622" s="6">
        <v>1</v>
      </c>
      <c r="I622" s="6">
        <v>11</v>
      </c>
      <c r="J622" s="6">
        <v>8.5</v>
      </c>
      <c r="K622" s="6" t="s">
        <v>28</v>
      </c>
      <c r="L622" s="6" t="str">
        <f>VLOOKUP(K622, 'Alphabetical by species code'!A:B, 2, FALSE)</f>
        <v>Litter</v>
      </c>
    </row>
    <row r="623" spans="1:12" x14ac:dyDescent="0.25">
      <c r="A623" s="6">
        <v>7</v>
      </c>
      <c r="B623" s="6">
        <v>2025</v>
      </c>
      <c r="C623" s="7">
        <v>45764</v>
      </c>
      <c r="D623" s="6" t="s">
        <v>25</v>
      </c>
      <c r="E623" s="6" t="s">
        <v>26</v>
      </c>
      <c r="F623" s="6">
        <v>1</v>
      </c>
      <c r="G623" s="6" t="s">
        <v>66</v>
      </c>
      <c r="H623" s="6">
        <v>1</v>
      </c>
      <c r="I623" s="6">
        <v>11</v>
      </c>
      <c r="J623" s="6">
        <v>8.5</v>
      </c>
      <c r="K623" s="6" t="s">
        <v>34</v>
      </c>
      <c r="L623" s="6" t="str">
        <f>VLOOKUP(K623, 'Alphabetical by species code'!A:B, 2, FALSE)</f>
        <v>Erodium cicutarium</v>
      </c>
    </row>
    <row r="624" spans="1:12" x14ac:dyDescent="0.25">
      <c r="A624" s="6">
        <v>7</v>
      </c>
      <c r="B624" s="6">
        <v>2025</v>
      </c>
      <c r="C624" s="7">
        <v>45764</v>
      </c>
      <c r="D624" s="6" t="s">
        <v>25</v>
      </c>
      <c r="E624" s="6" t="s">
        <v>26</v>
      </c>
      <c r="F624" s="6">
        <v>1</v>
      </c>
      <c r="G624" s="6" t="s">
        <v>66</v>
      </c>
      <c r="H624" s="6">
        <v>1</v>
      </c>
      <c r="I624" s="6">
        <v>11</v>
      </c>
      <c r="J624" s="6">
        <v>8.5</v>
      </c>
      <c r="K624" s="6" t="s">
        <v>35</v>
      </c>
      <c r="L624" s="6" t="str">
        <f>VLOOKUP(K624, 'Alphabetical by species code'!A:B, 2, FALSE)</f>
        <v>Deinandra fasciculata</v>
      </c>
    </row>
    <row r="625" spans="1:12" x14ac:dyDescent="0.25">
      <c r="A625" s="6">
        <v>7</v>
      </c>
      <c r="B625" s="6">
        <v>2025</v>
      </c>
      <c r="C625" s="7">
        <v>45764</v>
      </c>
      <c r="D625" s="6" t="s">
        <v>25</v>
      </c>
      <c r="E625" s="6" t="s">
        <v>26</v>
      </c>
      <c r="F625" s="6">
        <v>1</v>
      </c>
      <c r="G625" s="6" t="s">
        <v>66</v>
      </c>
      <c r="H625" s="6">
        <v>1</v>
      </c>
      <c r="I625" s="6">
        <v>11</v>
      </c>
      <c r="J625" s="6">
        <v>8.5</v>
      </c>
      <c r="K625" s="6" t="s">
        <v>48</v>
      </c>
      <c r="L625" s="6" t="str">
        <f>VLOOKUP(K625, 'Alphabetical by species code'!A:B, 2, FALSE)</f>
        <v>Sonchus asper</v>
      </c>
    </row>
    <row r="626" spans="1:12" x14ac:dyDescent="0.25">
      <c r="A626" s="6">
        <v>7</v>
      </c>
      <c r="B626" s="6">
        <v>2025</v>
      </c>
      <c r="C626" s="7">
        <v>45764</v>
      </c>
      <c r="D626" s="6" t="s">
        <v>25</v>
      </c>
      <c r="E626" s="6" t="s">
        <v>26</v>
      </c>
      <c r="F626" s="6">
        <v>1</v>
      </c>
      <c r="G626" s="6" t="s">
        <v>66</v>
      </c>
      <c r="H626" s="6">
        <v>1</v>
      </c>
      <c r="I626" s="6">
        <v>12</v>
      </c>
      <c r="J626" s="6">
        <v>9</v>
      </c>
      <c r="K626" s="6" t="s">
        <v>28</v>
      </c>
      <c r="L626" s="6" t="str">
        <f>VLOOKUP(K626, 'Alphabetical by species code'!A:B, 2, FALSE)</f>
        <v>Litter</v>
      </c>
    </row>
    <row r="627" spans="1:12" x14ac:dyDescent="0.25">
      <c r="A627" s="6">
        <v>7</v>
      </c>
      <c r="B627" s="6">
        <v>2025</v>
      </c>
      <c r="C627" s="7">
        <v>45764</v>
      </c>
      <c r="D627" s="6" t="s">
        <v>25</v>
      </c>
      <c r="E627" s="6" t="s">
        <v>26</v>
      </c>
      <c r="F627" s="6">
        <v>1</v>
      </c>
      <c r="G627" s="6" t="s">
        <v>66</v>
      </c>
      <c r="H627" s="6">
        <v>1</v>
      </c>
      <c r="I627" s="6">
        <v>12</v>
      </c>
      <c r="J627" s="6">
        <v>9</v>
      </c>
      <c r="K627" s="6" t="s">
        <v>35</v>
      </c>
      <c r="L627" s="6" t="str">
        <f>VLOOKUP(K627, 'Alphabetical by species code'!A:B, 2, FALSE)</f>
        <v>Deinandra fasciculata</v>
      </c>
    </row>
    <row r="628" spans="1:12" x14ac:dyDescent="0.25">
      <c r="A628" s="6">
        <v>7</v>
      </c>
      <c r="B628" s="6">
        <v>2025</v>
      </c>
      <c r="C628" s="7">
        <v>45764</v>
      </c>
      <c r="D628" s="6" t="s">
        <v>25</v>
      </c>
      <c r="E628" s="6" t="s">
        <v>26</v>
      </c>
      <c r="F628" s="6">
        <v>1</v>
      </c>
      <c r="G628" s="6" t="s">
        <v>66</v>
      </c>
      <c r="H628" s="6">
        <v>1</v>
      </c>
      <c r="I628" s="6">
        <v>12</v>
      </c>
      <c r="J628" s="6">
        <v>9</v>
      </c>
      <c r="K628" s="6" t="s">
        <v>43</v>
      </c>
      <c r="L628" s="6" t="str">
        <f>VLOOKUP(K628, 'Alphabetical by species code'!A:B, 2, FALSE)</f>
        <v>Uropappus lindleyi</v>
      </c>
    </row>
    <row r="629" spans="1:12" x14ac:dyDescent="0.25">
      <c r="A629" s="6">
        <v>7</v>
      </c>
      <c r="B629" s="6">
        <v>2025</v>
      </c>
      <c r="C629" s="7">
        <v>45764</v>
      </c>
      <c r="D629" s="6" t="s">
        <v>25</v>
      </c>
      <c r="E629" s="6" t="s">
        <v>26</v>
      </c>
      <c r="F629" s="6">
        <v>1</v>
      </c>
      <c r="G629" s="6" t="s">
        <v>66</v>
      </c>
      <c r="H629" s="6">
        <v>1</v>
      </c>
      <c r="I629" s="6">
        <v>13</v>
      </c>
      <c r="J629" s="6">
        <v>10</v>
      </c>
      <c r="K629" s="6" t="s">
        <v>38</v>
      </c>
      <c r="L629" s="6" t="str">
        <f>VLOOKUP(K629, 'Alphabetical by species code'!A:B, 2, FALSE)</f>
        <v>Thatch</v>
      </c>
    </row>
    <row r="630" spans="1:12" x14ac:dyDescent="0.25">
      <c r="A630" s="6">
        <v>7</v>
      </c>
      <c r="B630" s="6">
        <v>2025</v>
      </c>
      <c r="C630" s="7">
        <v>45764</v>
      </c>
      <c r="D630" s="6" t="s">
        <v>25</v>
      </c>
      <c r="E630" s="6" t="s">
        <v>26</v>
      </c>
      <c r="F630" s="6">
        <v>1</v>
      </c>
      <c r="G630" s="6" t="s">
        <v>66</v>
      </c>
      <c r="H630" s="6">
        <v>1</v>
      </c>
      <c r="I630" s="6">
        <v>13</v>
      </c>
      <c r="J630" s="6">
        <v>10</v>
      </c>
      <c r="K630" s="6" t="s">
        <v>70</v>
      </c>
      <c r="L630" s="6" t="str">
        <f>VLOOKUP(K630, 'Alphabetical by species code'!A:B, 2, FALSE)</f>
        <v>Lupinus succulentus</v>
      </c>
    </row>
    <row r="631" spans="1:12" x14ac:dyDescent="0.25">
      <c r="A631" s="6">
        <v>7</v>
      </c>
      <c r="B631" s="6">
        <v>2025</v>
      </c>
      <c r="C631" s="7">
        <v>45764</v>
      </c>
      <c r="D631" s="6" t="s">
        <v>25</v>
      </c>
      <c r="E631" s="6" t="s">
        <v>26</v>
      </c>
      <c r="F631" s="6">
        <v>1</v>
      </c>
      <c r="G631" s="6" t="s">
        <v>66</v>
      </c>
      <c r="H631" s="6">
        <v>1</v>
      </c>
      <c r="I631" s="6">
        <v>13</v>
      </c>
      <c r="J631" s="6">
        <v>10</v>
      </c>
      <c r="K631" s="6" t="s">
        <v>35</v>
      </c>
      <c r="L631" s="6" t="str">
        <f>VLOOKUP(K631, 'Alphabetical by species code'!A:B, 2, FALSE)</f>
        <v>Deinandra fasciculata</v>
      </c>
    </row>
    <row r="632" spans="1:12" x14ac:dyDescent="0.25">
      <c r="A632" s="6">
        <v>7</v>
      </c>
      <c r="B632" s="6">
        <v>2025</v>
      </c>
      <c r="C632" s="7">
        <v>45764</v>
      </c>
      <c r="D632" s="6" t="s">
        <v>25</v>
      </c>
      <c r="E632" s="6" t="s">
        <v>26</v>
      </c>
      <c r="F632" s="6">
        <v>1</v>
      </c>
      <c r="G632" s="6" t="s">
        <v>66</v>
      </c>
      <c r="H632" s="6">
        <v>1</v>
      </c>
      <c r="I632" s="6">
        <v>14</v>
      </c>
      <c r="J632" s="6">
        <v>11</v>
      </c>
      <c r="K632" s="6" t="s">
        <v>28</v>
      </c>
      <c r="L632" s="6" t="str">
        <f>VLOOKUP(K632, 'Alphabetical by species code'!A:B, 2, FALSE)</f>
        <v>Litter</v>
      </c>
    </row>
    <row r="633" spans="1:12" x14ac:dyDescent="0.25">
      <c r="A633" s="6">
        <v>7</v>
      </c>
      <c r="B633" s="6">
        <v>2025</v>
      </c>
      <c r="C633" s="7">
        <v>45764</v>
      </c>
      <c r="D633" s="6" t="s">
        <v>25</v>
      </c>
      <c r="E633" s="6" t="s">
        <v>26</v>
      </c>
      <c r="F633" s="6">
        <v>1</v>
      </c>
      <c r="G633" s="6" t="s">
        <v>66</v>
      </c>
      <c r="H633" s="6">
        <v>1</v>
      </c>
      <c r="I633" s="6">
        <v>14</v>
      </c>
      <c r="J633" s="6">
        <v>11</v>
      </c>
      <c r="K633" s="6" t="s">
        <v>30</v>
      </c>
      <c r="L633" s="6" t="str">
        <f>VLOOKUP(K633, 'Alphabetical by species code'!A:B, 2, FALSE)</f>
        <v>Erodium moschatum</v>
      </c>
    </row>
    <row r="634" spans="1:12" x14ac:dyDescent="0.25">
      <c r="A634" s="6">
        <v>7</v>
      </c>
      <c r="B634" s="6">
        <v>2025</v>
      </c>
      <c r="C634" s="7">
        <v>45764</v>
      </c>
      <c r="D634" s="6" t="s">
        <v>25</v>
      </c>
      <c r="E634" s="6" t="s">
        <v>26</v>
      </c>
      <c r="F634" s="6">
        <v>1</v>
      </c>
      <c r="G634" s="6" t="s">
        <v>66</v>
      </c>
      <c r="H634" s="6">
        <v>1</v>
      </c>
      <c r="I634" s="6">
        <v>15</v>
      </c>
      <c r="J634" s="6">
        <v>12</v>
      </c>
      <c r="K634" s="6" t="s">
        <v>28</v>
      </c>
      <c r="L634" s="6" t="str">
        <f>VLOOKUP(K634, 'Alphabetical by species code'!A:B, 2, FALSE)</f>
        <v>Litter</v>
      </c>
    </row>
    <row r="635" spans="1:12" x14ac:dyDescent="0.25">
      <c r="A635" s="6">
        <v>7</v>
      </c>
      <c r="B635" s="6">
        <v>2025</v>
      </c>
      <c r="C635" s="7">
        <v>45764</v>
      </c>
      <c r="D635" s="6" t="s">
        <v>25</v>
      </c>
      <c r="E635" s="6" t="s">
        <v>26</v>
      </c>
      <c r="F635" s="6">
        <v>1</v>
      </c>
      <c r="G635" s="6" t="s">
        <v>66</v>
      </c>
      <c r="H635" s="6">
        <v>1</v>
      </c>
      <c r="I635" s="6">
        <v>15</v>
      </c>
      <c r="J635" s="6">
        <v>12</v>
      </c>
      <c r="K635" s="6" t="s">
        <v>40</v>
      </c>
      <c r="L635" s="6" t="str">
        <f>VLOOKUP(K635, 'Alphabetical by species code'!A:B, 2, FALSE)</f>
        <v>Cylindropuntia prolifera</v>
      </c>
    </row>
    <row r="636" spans="1:12" x14ac:dyDescent="0.25">
      <c r="A636" s="6">
        <v>7</v>
      </c>
      <c r="B636" s="6">
        <v>2025</v>
      </c>
      <c r="C636" s="7">
        <v>45764</v>
      </c>
      <c r="D636" s="6" t="s">
        <v>25</v>
      </c>
      <c r="E636" s="6" t="s">
        <v>26</v>
      </c>
      <c r="F636" s="6">
        <v>1</v>
      </c>
      <c r="G636" s="6" t="s">
        <v>66</v>
      </c>
      <c r="H636" s="6">
        <v>2</v>
      </c>
      <c r="I636" s="6">
        <v>1</v>
      </c>
      <c r="J636" s="6">
        <v>0</v>
      </c>
      <c r="K636" s="6" t="s">
        <v>51</v>
      </c>
      <c r="L636" s="6" t="str">
        <f>VLOOKUP(K636, 'Alphabetical by species code'!A:B, 2, FALSE)</f>
        <v>Bareground</v>
      </c>
    </row>
    <row r="637" spans="1:12" x14ac:dyDescent="0.25">
      <c r="A637" s="6">
        <v>7</v>
      </c>
      <c r="B637" s="6">
        <v>2025</v>
      </c>
      <c r="C637" s="7">
        <v>45764</v>
      </c>
      <c r="D637" s="6" t="s">
        <v>25</v>
      </c>
      <c r="E637" s="6" t="s">
        <v>26</v>
      </c>
      <c r="F637" s="6">
        <v>1</v>
      </c>
      <c r="G637" s="6" t="s">
        <v>66</v>
      </c>
      <c r="H637" s="6">
        <v>2</v>
      </c>
      <c r="I637" s="6">
        <v>1</v>
      </c>
      <c r="J637" s="6">
        <v>0</v>
      </c>
      <c r="K637" s="6" t="s">
        <v>34</v>
      </c>
      <c r="L637" s="6" t="str">
        <f>VLOOKUP(K637, 'Alphabetical by species code'!A:B, 2, FALSE)</f>
        <v>Erodium cicutarium</v>
      </c>
    </row>
    <row r="638" spans="1:12" x14ac:dyDescent="0.25">
      <c r="A638" s="6">
        <v>7</v>
      </c>
      <c r="B638" s="6">
        <v>2025</v>
      </c>
      <c r="C638" s="7">
        <v>45764</v>
      </c>
      <c r="D638" s="6" t="s">
        <v>25</v>
      </c>
      <c r="E638" s="6" t="s">
        <v>26</v>
      </c>
      <c r="F638" s="6">
        <v>1</v>
      </c>
      <c r="G638" s="6" t="s">
        <v>66</v>
      </c>
      <c r="H638" s="6">
        <v>2</v>
      </c>
      <c r="I638" s="6">
        <v>2</v>
      </c>
      <c r="J638" s="6">
        <v>1</v>
      </c>
      <c r="K638" s="6" t="s">
        <v>28</v>
      </c>
      <c r="L638" s="6" t="str">
        <f>VLOOKUP(K638, 'Alphabetical by species code'!A:B, 2, FALSE)</f>
        <v>Litter</v>
      </c>
    </row>
    <row r="639" spans="1:12" x14ac:dyDescent="0.25">
      <c r="A639" s="6">
        <v>7</v>
      </c>
      <c r="B639" s="6">
        <v>2025</v>
      </c>
      <c r="C639" s="7">
        <v>45764</v>
      </c>
      <c r="D639" s="6" t="s">
        <v>25</v>
      </c>
      <c r="E639" s="6" t="s">
        <v>26</v>
      </c>
      <c r="F639" s="6">
        <v>1</v>
      </c>
      <c r="G639" s="6" t="s">
        <v>66</v>
      </c>
      <c r="H639" s="6">
        <v>2</v>
      </c>
      <c r="I639" s="6">
        <v>2</v>
      </c>
      <c r="J639" s="6">
        <v>1</v>
      </c>
      <c r="K639" s="6" t="s">
        <v>30</v>
      </c>
      <c r="L639" s="6" t="str">
        <f>VLOOKUP(K639, 'Alphabetical by species code'!A:B, 2, FALSE)</f>
        <v>Erodium moschatum</v>
      </c>
    </row>
    <row r="640" spans="1:12" x14ac:dyDescent="0.25">
      <c r="A640" s="6">
        <v>7</v>
      </c>
      <c r="B640" s="6">
        <v>2025</v>
      </c>
      <c r="C640" s="7">
        <v>45764</v>
      </c>
      <c r="D640" s="6" t="s">
        <v>25</v>
      </c>
      <c r="E640" s="6" t="s">
        <v>26</v>
      </c>
      <c r="F640" s="6">
        <v>1</v>
      </c>
      <c r="G640" s="6" t="s">
        <v>66</v>
      </c>
      <c r="H640" s="6">
        <v>2</v>
      </c>
      <c r="I640" s="6">
        <v>2</v>
      </c>
      <c r="J640" s="6">
        <v>1</v>
      </c>
      <c r="K640" s="6" t="s">
        <v>33</v>
      </c>
      <c r="L640" s="6" t="str">
        <f>VLOOKUP(K640, 'Alphabetical by species code'!A:B, 2, FALSE)</f>
        <v>Unknown non-native grass</v>
      </c>
    </row>
    <row r="641" spans="1:12" x14ac:dyDescent="0.25">
      <c r="A641" s="6">
        <v>7</v>
      </c>
      <c r="B641" s="6">
        <v>2025</v>
      </c>
      <c r="C641" s="7">
        <v>45764</v>
      </c>
      <c r="D641" s="6" t="s">
        <v>25</v>
      </c>
      <c r="E641" s="6" t="s">
        <v>26</v>
      </c>
      <c r="F641" s="6">
        <v>1</v>
      </c>
      <c r="G641" s="6" t="s">
        <v>66</v>
      </c>
      <c r="H641" s="6">
        <v>2</v>
      </c>
      <c r="I641" s="6">
        <v>3</v>
      </c>
      <c r="J641" s="6">
        <v>1.5</v>
      </c>
      <c r="K641" s="6" t="s">
        <v>51</v>
      </c>
      <c r="L641" s="6" t="str">
        <f>VLOOKUP(K641, 'Alphabetical by species code'!A:B, 2, FALSE)</f>
        <v>Bareground</v>
      </c>
    </row>
    <row r="642" spans="1:12" x14ac:dyDescent="0.25">
      <c r="A642" s="6">
        <v>7</v>
      </c>
      <c r="B642" s="6">
        <v>2025</v>
      </c>
      <c r="C642" s="7">
        <v>45764</v>
      </c>
      <c r="D642" s="6" t="s">
        <v>25</v>
      </c>
      <c r="E642" s="6" t="s">
        <v>26</v>
      </c>
      <c r="F642" s="6">
        <v>1</v>
      </c>
      <c r="G642" s="6" t="s">
        <v>66</v>
      </c>
      <c r="H642" s="6">
        <v>2</v>
      </c>
      <c r="I642" s="6">
        <v>3</v>
      </c>
      <c r="J642" s="6">
        <v>1.5</v>
      </c>
      <c r="K642" s="6" t="s">
        <v>35</v>
      </c>
      <c r="L642" s="6" t="str">
        <f>VLOOKUP(K642, 'Alphabetical by species code'!A:B, 2, FALSE)</f>
        <v>Deinandra fasciculata</v>
      </c>
    </row>
    <row r="643" spans="1:12" x14ac:dyDescent="0.25">
      <c r="A643" s="6">
        <v>7</v>
      </c>
      <c r="B643" s="6">
        <v>2025</v>
      </c>
      <c r="C643" s="7">
        <v>45764</v>
      </c>
      <c r="D643" s="6" t="s">
        <v>25</v>
      </c>
      <c r="E643" s="6" t="s">
        <v>26</v>
      </c>
      <c r="F643" s="6">
        <v>1</v>
      </c>
      <c r="G643" s="6" t="s">
        <v>66</v>
      </c>
      <c r="H643" s="6">
        <v>2</v>
      </c>
      <c r="I643" s="6">
        <v>4</v>
      </c>
      <c r="J643" s="6">
        <v>2</v>
      </c>
      <c r="K643" s="6" t="s">
        <v>28</v>
      </c>
      <c r="L643" s="6" t="str">
        <f>VLOOKUP(K643, 'Alphabetical by species code'!A:B, 2, FALSE)</f>
        <v>Litter</v>
      </c>
    </row>
    <row r="644" spans="1:12" x14ac:dyDescent="0.25">
      <c r="A644" s="6">
        <v>7</v>
      </c>
      <c r="B644" s="6">
        <v>2025</v>
      </c>
      <c r="C644" s="7">
        <v>45764</v>
      </c>
      <c r="D644" s="6" t="s">
        <v>25</v>
      </c>
      <c r="E644" s="6" t="s">
        <v>26</v>
      </c>
      <c r="F644" s="6">
        <v>1</v>
      </c>
      <c r="G644" s="6" t="s">
        <v>66</v>
      </c>
      <c r="H644" s="6">
        <v>2</v>
      </c>
      <c r="I644" s="6">
        <v>4</v>
      </c>
      <c r="J644" s="6">
        <v>2</v>
      </c>
      <c r="K644" s="6" t="s">
        <v>31</v>
      </c>
      <c r="L644" s="6" t="str">
        <f>VLOOKUP(K644, 'Alphabetical by species code'!A:B, 2, FALSE)</f>
        <v>Festuca myuros</v>
      </c>
    </row>
    <row r="645" spans="1:12" x14ac:dyDescent="0.25">
      <c r="A645" s="6">
        <v>7</v>
      </c>
      <c r="B645" s="6">
        <v>2025</v>
      </c>
      <c r="C645" s="7">
        <v>45764</v>
      </c>
      <c r="D645" s="6" t="s">
        <v>25</v>
      </c>
      <c r="E645" s="6" t="s">
        <v>26</v>
      </c>
      <c r="F645" s="6">
        <v>1</v>
      </c>
      <c r="G645" s="6" t="s">
        <v>66</v>
      </c>
      <c r="H645" s="6">
        <v>2</v>
      </c>
      <c r="I645" s="6">
        <v>5</v>
      </c>
      <c r="J645" s="6">
        <v>3</v>
      </c>
      <c r="K645" s="6" t="s">
        <v>28</v>
      </c>
      <c r="L645" s="6" t="str">
        <f>VLOOKUP(K645, 'Alphabetical by species code'!A:B, 2, FALSE)</f>
        <v>Litter</v>
      </c>
    </row>
    <row r="646" spans="1:12" x14ac:dyDescent="0.25">
      <c r="A646" s="6">
        <v>7</v>
      </c>
      <c r="B646" s="6">
        <v>2025</v>
      </c>
      <c r="C646" s="7">
        <v>45764</v>
      </c>
      <c r="D646" s="6" t="s">
        <v>25</v>
      </c>
      <c r="E646" s="6" t="s">
        <v>26</v>
      </c>
      <c r="F646" s="6">
        <v>1</v>
      </c>
      <c r="G646" s="6" t="s">
        <v>66</v>
      </c>
      <c r="H646" s="6">
        <v>2</v>
      </c>
      <c r="I646" s="6">
        <v>5</v>
      </c>
      <c r="J646" s="6">
        <v>3</v>
      </c>
      <c r="K646" s="6" t="s">
        <v>30</v>
      </c>
      <c r="L646" s="6" t="str">
        <f>VLOOKUP(K646, 'Alphabetical by species code'!A:B, 2, FALSE)</f>
        <v>Erodium moschatum</v>
      </c>
    </row>
    <row r="647" spans="1:12" x14ac:dyDescent="0.25">
      <c r="A647" s="6">
        <v>7</v>
      </c>
      <c r="B647" s="6">
        <v>2025</v>
      </c>
      <c r="C647" s="7">
        <v>45764</v>
      </c>
      <c r="D647" s="6" t="s">
        <v>25</v>
      </c>
      <c r="E647" s="6" t="s">
        <v>26</v>
      </c>
      <c r="F647" s="6">
        <v>1</v>
      </c>
      <c r="G647" s="6" t="s">
        <v>66</v>
      </c>
      <c r="H647" s="6">
        <v>2</v>
      </c>
      <c r="I647" s="6">
        <v>6</v>
      </c>
      <c r="J647" s="6">
        <v>3.5</v>
      </c>
      <c r="K647" s="6" t="s">
        <v>28</v>
      </c>
      <c r="L647" s="6" t="str">
        <f>VLOOKUP(K647, 'Alphabetical by species code'!A:B, 2, FALSE)</f>
        <v>Litter</v>
      </c>
    </row>
    <row r="648" spans="1:12" x14ac:dyDescent="0.25">
      <c r="A648" s="6">
        <v>7</v>
      </c>
      <c r="B648" s="6">
        <v>2025</v>
      </c>
      <c r="C648" s="7">
        <v>45764</v>
      </c>
      <c r="D648" s="6" t="s">
        <v>25</v>
      </c>
      <c r="E648" s="6" t="s">
        <v>26</v>
      </c>
      <c r="F648" s="6">
        <v>1</v>
      </c>
      <c r="G648" s="6" t="s">
        <v>66</v>
      </c>
      <c r="H648" s="6">
        <v>2</v>
      </c>
      <c r="I648" s="6">
        <v>6</v>
      </c>
      <c r="J648" s="6">
        <v>3.5</v>
      </c>
      <c r="K648" s="6" t="s">
        <v>35</v>
      </c>
      <c r="L648" s="6" t="str">
        <f>VLOOKUP(K648, 'Alphabetical by species code'!A:B, 2, FALSE)</f>
        <v>Deinandra fasciculata</v>
      </c>
    </row>
    <row r="649" spans="1:12" x14ac:dyDescent="0.25">
      <c r="A649" s="6">
        <v>7</v>
      </c>
      <c r="B649" s="6">
        <v>2025</v>
      </c>
      <c r="C649" s="7">
        <v>45764</v>
      </c>
      <c r="D649" s="6" t="s">
        <v>25</v>
      </c>
      <c r="E649" s="6" t="s">
        <v>26</v>
      </c>
      <c r="F649" s="6">
        <v>1</v>
      </c>
      <c r="G649" s="6" t="s">
        <v>66</v>
      </c>
      <c r="H649" s="6">
        <v>2</v>
      </c>
      <c r="I649" s="6">
        <v>7</v>
      </c>
      <c r="J649" s="6">
        <v>4</v>
      </c>
      <c r="K649" s="6" t="s">
        <v>28</v>
      </c>
      <c r="L649" s="6" t="str">
        <f>VLOOKUP(K649, 'Alphabetical by species code'!A:B, 2, FALSE)</f>
        <v>Litter</v>
      </c>
    </row>
    <row r="650" spans="1:12" x14ac:dyDescent="0.25">
      <c r="A650" s="6">
        <v>7</v>
      </c>
      <c r="B650" s="6">
        <v>2025</v>
      </c>
      <c r="C650" s="7">
        <v>45764</v>
      </c>
      <c r="D650" s="6" t="s">
        <v>25</v>
      </c>
      <c r="E650" s="6" t="s">
        <v>26</v>
      </c>
      <c r="F650" s="6">
        <v>1</v>
      </c>
      <c r="G650" s="6" t="s">
        <v>66</v>
      </c>
      <c r="H650" s="6">
        <v>2</v>
      </c>
      <c r="I650" s="6">
        <v>7</v>
      </c>
      <c r="J650" s="6">
        <v>4</v>
      </c>
      <c r="K650" s="6" t="s">
        <v>30</v>
      </c>
      <c r="L650" s="6" t="str">
        <f>VLOOKUP(K650, 'Alphabetical by species code'!A:B, 2, FALSE)</f>
        <v>Erodium moschatum</v>
      </c>
    </row>
    <row r="651" spans="1:12" x14ac:dyDescent="0.25">
      <c r="A651" s="6">
        <v>7</v>
      </c>
      <c r="B651" s="6">
        <v>2025</v>
      </c>
      <c r="C651" s="7">
        <v>45764</v>
      </c>
      <c r="D651" s="6" t="s">
        <v>25</v>
      </c>
      <c r="E651" s="6" t="s">
        <v>26</v>
      </c>
      <c r="F651" s="6">
        <v>1</v>
      </c>
      <c r="G651" s="6" t="s">
        <v>66</v>
      </c>
      <c r="H651" s="6">
        <v>2</v>
      </c>
      <c r="I651" s="6">
        <v>8</v>
      </c>
      <c r="J651" s="6">
        <v>5</v>
      </c>
      <c r="K651" s="6" t="s">
        <v>28</v>
      </c>
      <c r="L651" s="6" t="str">
        <f>VLOOKUP(K651, 'Alphabetical by species code'!A:B, 2, FALSE)</f>
        <v>Litter</v>
      </c>
    </row>
    <row r="652" spans="1:12" x14ac:dyDescent="0.25">
      <c r="A652" s="6">
        <v>7</v>
      </c>
      <c r="B652" s="6">
        <v>2025</v>
      </c>
      <c r="C652" s="7">
        <v>45764</v>
      </c>
      <c r="D652" s="6" t="s">
        <v>25</v>
      </c>
      <c r="E652" s="6" t="s">
        <v>26</v>
      </c>
      <c r="F652" s="6">
        <v>1</v>
      </c>
      <c r="G652" s="6" t="s">
        <v>66</v>
      </c>
      <c r="H652" s="6">
        <v>2</v>
      </c>
      <c r="I652" s="6">
        <v>8</v>
      </c>
      <c r="J652" s="6">
        <v>5</v>
      </c>
      <c r="K652" s="6" t="s">
        <v>30</v>
      </c>
      <c r="L652" s="6" t="str">
        <f>VLOOKUP(K652, 'Alphabetical by species code'!A:B, 2, FALSE)</f>
        <v>Erodium moschatum</v>
      </c>
    </row>
    <row r="653" spans="1:12" x14ac:dyDescent="0.25">
      <c r="A653" s="6">
        <v>7</v>
      </c>
      <c r="B653" s="6">
        <v>2025</v>
      </c>
      <c r="C653" s="7">
        <v>45764</v>
      </c>
      <c r="D653" s="6" t="s">
        <v>25</v>
      </c>
      <c r="E653" s="6" t="s">
        <v>26</v>
      </c>
      <c r="F653" s="6">
        <v>1</v>
      </c>
      <c r="G653" s="6" t="s">
        <v>66</v>
      </c>
      <c r="H653" s="6">
        <v>2</v>
      </c>
      <c r="I653" s="6">
        <v>8</v>
      </c>
      <c r="J653" s="6">
        <v>5</v>
      </c>
      <c r="K653" s="6" t="s">
        <v>37</v>
      </c>
      <c r="L653" s="6" t="str">
        <f>VLOOKUP(K653, 'Alphabetical by species code'!A:B, 2, FALSE)</f>
        <v>Sonchus oleraceus</v>
      </c>
    </row>
    <row r="654" spans="1:12" x14ac:dyDescent="0.25">
      <c r="A654" s="6">
        <v>7</v>
      </c>
      <c r="B654" s="6">
        <v>2025</v>
      </c>
      <c r="C654" s="7">
        <v>45764</v>
      </c>
      <c r="D654" s="6" t="s">
        <v>25</v>
      </c>
      <c r="E654" s="6" t="s">
        <v>26</v>
      </c>
      <c r="F654" s="6">
        <v>1</v>
      </c>
      <c r="G654" s="6" t="s">
        <v>66</v>
      </c>
      <c r="H654" s="6">
        <v>2</v>
      </c>
      <c r="I654" s="6">
        <v>9</v>
      </c>
      <c r="J654" s="6">
        <v>7</v>
      </c>
      <c r="K654" s="6" t="s">
        <v>28</v>
      </c>
      <c r="L654" s="6" t="str">
        <f>VLOOKUP(K654, 'Alphabetical by species code'!A:B, 2, FALSE)</f>
        <v>Litter</v>
      </c>
    </row>
    <row r="655" spans="1:12" x14ac:dyDescent="0.25">
      <c r="A655" s="6">
        <v>7</v>
      </c>
      <c r="B655" s="6">
        <v>2025</v>
      </c>
      <c r="C655" s="7">
        <v>45764</v>
      </c>
      <c r="D655" s="6" t="s">
        <v>25</v>
      </c>
      <c r="E655" s="6" t="s">
        <v>26</v>
      </c>
      <c r="F655" s="6">
        <v>1</v>
      </c>
      <c r="G655" s="6" t="s">
        <v>66</v>
      </c>
      <c r="H655" s="6">
        <v>2</v>
      </c>
      <c r="I655" s="6">
        <v>9</v>
      </c>
      <c r="J655" s="6">
        <v>7</v>
      </c>
      <c r="K655" s="6" t="s">
        <v>42</v>
      </c>
      <c r="L655" s="6" t="str">
        <f>VLOOKUP(K655, 'Alphabetical by species code'!A:B, 2, FALSE)</f>
        <v>Centaurea melitensis</v>
      </c>
    </row>
    <row r="656" spans="1:12" x14ac:dyDescent="0.25">
      <c r="A656" s="6">
        <v>7</v>
      </c>
      <c r="B656" s="6">
        <v>2025</v>
      </c>
      <c r="C656" s="7">
        <v>45764</v>
      </c>
      <c r="D656" s="6" t="s">
        <v>25</v>
      </c>
      <c r="E656" s="6" t="s">
        <v>26</v>
      </c>
      <c r="F656" s="6">
        <v>1</v>
      </c>
      <c r="G656" s="6" t="s">
        <v>66</v>
      </c>
      <c r="H656" s="6">
        <v>2</v>
      </c>
      <c r="I656" s="6">
        <v>9</v>
      </c>
      <c r="J656" s="6">
        <v>7</v>
      </c>
      <c r="K656" s="6" t="s">
        <v>43</v>
      </c>
      <c r="L656" s="6" t="str">
        <f>VLOOKUP(K656, 'Alphabetical by species code'!A:B, 2, FALSE)</f>
        <v>Uropappus lindleyi</v>
      </c>
    </row>
    <row r="657" spans="1:12" x14ac:dyDescent="0.25">
      <c r="A657" s="6">
        <v>7</v>
      </c>
      <c r="B657" s="6">
        <v>2025</v>
      </c>
      <c r="C657" s="7">
        <v>45764</v>
      </c>
      <c r="D657" s="6" t="s">
        <v>25</v>
      </c>
      <c r="E657" s="6" t="s">
        <v>26</v>
      </c>
      <c r="F657" s="6">
        <v>1</v>
      </c>
      <c r="G657" s="6" t="s">
        <v>66</v>
      </c>
      <c r="H657" s="6">
        <v>2</v>
      </c>
      <c r="I657" s="6">
        <v>9</v>
      </c>
      <c r="J657" s="6">
        <v>7</v>
      </c>
      <c r="K657" s="6" t="s">
        <v>30</v>
      </c>
      <c r="L657" s="6" t="str">
        <f>VLOOKUP(K657, 'Alphabetical by species code'!A:B, 2, FALSE)</f>
        <v>Erodium moschatum</v>
      </c>
    </row>
    <row r="658" spans="1:12" x14ac:dyDescent="0.25">
      <c r="A658" s="6">
        <v>7</v>
      </c>
      <c r="B658" s="6">
        <v>2025</v>
      </c>
      <c r="C658" s="7">
        <v>45764</v>
      </c>
      <c r="D658" s="6" t="s">
        <v>25</v>
      </c>
      <c r="E658" s="6" t="s">
        <v>26</v>
      </c>
      <c r="F658" s="6">
        <v>1</v>
      </c>
      <c r="G658" s="6" t="s">
        <v>66</v>
      </c>
      <c r="H658" s="6">
        <v>2</v>
      </c>
      <c r="I658" s="6">
        <v>10</v>
      </c>
      <c r="J658" s="6">
        <v>8</v>
      </c>
      <c r="K658" s="6" t="s">
        <v>28</v>
      </c>
      <c r="L658" s="6" t="str">
        <f>VLOOKUP(K658, 'Alphabetical by species code'!A:B, 2, FALSE)</f>
        <v>Litter</v>
      </c>
    </row>
    <row r="659" spans="1:12" x14ac:dyDescent="0.25">
      <c r="A659" s="6">
        <v>7</v>
      </c>
      <c r="B659" s="6">
        <v>2025</v>
      </c>
      <c r="C659" s="7">
        <v>45764</v>
      </c>
      <c r="D659" s="6" t="s">
        <v>25</v>
      </c>
      <c r="E659" s="6" t="s">
        <v>26</v>
      </c>
      <c r="F659" s="6">
        <v>1</v>
      </c>
      <c r="G659" s="6" t="s">
        <v>66</v>
      </c>
      <c r="H659" s="6">
        <v>2</v>
      </c>
      <c r="I659" s="6">
        <v>10</v>
      </c>
      <c r="J659" s="6">
        <v>8</v>
      </c>
      <c r="K659" s="6" t="s">
        <v>30</v>
      </c>
      <c r="L659" s="6" t="str">
        <f>VLOOKUP(K659, 'Alphabetical by species code'!A:B, 2, FALSE)</f>
        <v>Erodium moschatum</v>
      </c>
    </row>
    <row r="660" spans="1:12" x14ac:dyDescent="0.25">
      <c r="A660" s="6">
        <v>7</v>
      </c>
      <c r="B660" s="6">
        <v>2025</v>
      </c>
      <c r="C660" s="7">
        <v>45764</v>
      </c>
      <c r="D660" s="6" t="s">
        <v>25</v>
      </c>
      <c r="E660" s="6" t="s">
        <v>26</v>
      </c>
      <c r="F660" s="6">
        <v>1</v>
      </c>
      <c r="G660" s="6" t="s">
        <v>66</v>
      </c>
      <c r="H660" s="6">
        <v>2</v>
      </c>
      <c r="I660" s="6">
        <v>10</v>
      </c>
      <c r="J660" s="6">
        <v>8</v>
      </c>
      <c r="K660" s="6" t="s">
        <v>39</v>
      </c>
      <c r="L660" s="6" t="str">
        <f>VLOOKUP(K660, 'Alphabetical by species code'!A:B, 2, FALSE)</f>
        <v>Stephanomeria diegensis</v>
      </c>
    </row>
    <row r="661" spans="1:12" x14ac:dyDescent="0.25">
      <c r="A661" s="6">
        <v>7</v>
      </c>
      <c r="B661" s="6">
        <v>2025</v>
      </c>
      <c r="C661" s="7">
        <v>45764</v>
      </c>
      <c r="D661" s="6" t="s">
        <v>25</v>
      </c>
      <c r="E661" s="6" t="s">
        <v>26</v>
      </c>
      <c r="F661" s="6">
        <v>1</v>
      </c>
      <c r="G661" s="6" t="s">
        <v>66</v>
      </c>
      <c r="H661" s="6">
        <v>2</v>
      </c>
      <c r="I661" s="6">
        <v>11</v>
      </c>
      <c r="J661" s="6">
        <v>8.5</v>
      </c>
      <c r="K661" s="6" t="s">
        <v>28</v>
      </c>
      <c r="L661" s="6" t="str">
        <f>VLOOKUP(K661, 'Alphabetical by species code'!A:B, 2, FALSE)</f>
        <v>Litter</v>
      </c>
    </row>
    <row r="662" spans="1:12" x14ac:dyDescent="0.25">
      <c r="A662" s="6">
        <v>7</v>
      </c>
      <c r="B662" s="6">
        <v>2025</v>
      </c>
      <c r="C662" s="7">
        <v>45764</v>
      </c>
      <c r="D662" s="6" t="s">
        <v>25</v>
      </c>
      <c r="E662" s="6" t="s">
        <v>26</v>
      </c>
      <c r="F662" s="6">
        <v>1</v>
      </c>
      <c r="G662" s="6" t="s">
        <v>66</v>
      </c>
      <c r="H662" s="6">
        <v>2</v>
      </c>
      <c r="I662" s="6">
        <v>11</v>
      </c>
      <c r="J662" s="6">
        <v>8.5</v>
      </c>
      <c r="K662" s="6" t="s">
        <v>42</v>
      </c>
      <c r="L662" s="6" t="str">
        <f>VLOOKUP(K662, 'Alphabetical by species code'!A:B, 2, FALSE)</f>
        <v>Centaurea melitensis</v>
      </c>
    </row>
    <row r="663" spans="1:12" x14ac:dyDescent="0.25">
      <c r="A663" s="6">
        <v>7</v>
      </c>
      <c r="B663" s="6">
        <v>2025</v>
      </c>
      <c r="C663" s="7">
        <v>45764</v>
      </c>
      <c r="D663" s="6" t="s">
        <v>25</v>
      </c>
      <c r="E663" s="6" t="s">
        <v>26</v>
      </c>
      <c r="F663" s="6">
        <v>1</v>
      </c>
      <c r="G663" s="6" t="s">
        <v>66</v>
      </c>
      <c r="H663" s="6">
        <v>2</v>
      </c>
      <c r="I663" s="6">
        <v>11</v>
      </c>
      <c r="J663" s="6">
        <v>8.5</v>
      </c>
      <c r="K663" s="6" t="s">
        <v>36</v>
      </c>
      <c r="L663" s="6" t="str">
        <f>VLOOKUP(K663, 'Alphabetical by species code'!A:B, 2, FALSE)</f>
        <v>Bromus madritensis</v>
      </c>
    </row>
    <row r="664" spans="1:12" x14ac:dyDescent="0.25">
      <c r="A664" s="6">
        <v>7</v>
      </c>
      <c r="B664" s="6">
        <v>2025</v>
      </c>
      <c r="C664" s="7">
        <v>45764</v>
      </c>
      <c r="D664" s="6" t="s">
        <v>25</v>
      </c>
      <c r="E664" s="6" t="s">
        <v>26</v>
      </c>
      <c r="F664" s="6">
        <v>1</v>
      </c>
      <c r="G664" s="6" t="s">
        <v>66</v>
      </c>
      <c r="H664" s="6">
        <v>2</v>
      </c>
      <c r="I664" s="6">
        <v>12</v>
      </c>
      <c r="J664" s="6">
        <v>9</v>
      </c>
      <c r="K664" s="6" t="s">
        <v>28</v>
      </c>
      <c r="L664" s="6" t="str">
        <f>VLOOKUP(K664, 'Alphabetical by species code'!A:B, 2, FALSE)</f>
        <v>Litter</v>
      </c>
    </row>
    <row r="665" spans="1:12" x14ac:dyDescent="0.25">
      <c r="A665" s="6">
        <v>7</v>
      </c>
      <c r="B665" s="6">
        <v>2025</v>
      </c>
      <c r="C665" s="7">
        <v>45764</v>
      </c>
      <c r="D665" s="6" t="s">
        <v>25</v>
      </c>
      <c r="E665" s="6" t="s">
        <v>26</v>
      </c>
      <c r="F665" s="6">
        <v>1</v>
      </c>
      <c r="G665" s="6" t="s">
        <v>66</v>
      </c>
      <c r="H665" s="6">
        <v>2</v>
      </c>
      <c r="I665" s="6">
        <v>12</v>
      </c>
      <c r="J665" s="6">
        <v>9</v>
      </c>
      <c r="K665" s="6" t="s">
        <v>35</v>
      </c>
      <c r="L665" s="6" t="str">
        <f>VLOOKUP(K665, 'Alphabetical by species code'!A:B, 2, FALSE)</f>
        <v>Deinandra fasciculata</v>
      </c>
    </row>
    <row r="666" spans="1:12" x14ac:dyDescent="0.25">
      <c r="A666" s="6">
        <v>7</v>
      </c>
      <c r="B666" s="6">
        <v>2025</v>
      </c>
      <c r="C666" s="7">
        <v>45764</v>
      </c>
      <c r="D666" s="6" t="s">
        <v>25</v>
      </c>
      <c r="E666" s="6" t="s">
        <v>26</v>
      </c>
      <c r="F666" s="6">
        <v>1</v>
      </c>
      <c r="G666" s="6" t="s">
        <v>66</v>
      </c>
      <c r="H666" s="6">
        <v>2</v>
      </c>
      <c r="I666" s="6">
        <v>12</v>
      </c>
      <c r="J666" s="6">
        <v>9</v>
      </c>
      <c r="K666" s="6" t="s">
        <v>32</v>
      </c>
      <c r="L666" s="6" t="str">
        <f>VLOOKUP(K666, 'Alphabetical by species code'!A:B, 2, FALSE)</f>
        <v>Medicago polymorpha</v>
      </c>
    </row>
    <row r="667" spans="1:12" x14ac:dyDescent="0.25">
      <c r="A667" s="6">
        <v>7</v>
      </c>
      <c r="B667" s="6">
        <v>2025</v>
      </c>
      <c r="C667" s="7">
        <v>45764</v>
      </c>
      <c r="D667" s="6" t="s">
        <v>25</v>
      </c>
      <c r="E667" s="6" t="s">
        <v>26</v>
      </c>
      <c r="F667" s="6">
        <v>1</v>
      </c>
      <c r="G667" s="6" t="s">
        <v>66</v>
      </c>
      <c r="H667" s="6">
        <v>2</v>
      </c>
      <c r="I667" s="6">
        <v>13</v>
      </c>
      <c r="J667" s="6">
        <v>10</v>
      </c>
      <c r="K667" s="6" t="s">
        <v>28</v>
      </c>
      <c r="L667" s="6" t="str">
        <f>VLOOKUP(K667, 'Alphabetical by species code'!A:B, 2, FALSE)</f>
        <v>Litter</v>
      </c>
    </row>
    <row r="668" spans="1:12" x14ac:dyDescent="0.25">
      <c r="A668" s="6">
        <v>7</v>
      </c>
      <c r="B668" s="6">
        <v>2025</v>
      </c>
      <c r="C668" s="7">
        <v>45764</v>
      </c>
      <c r="D668" s="6" t="s">
        <v>25</v>
      </c>
      <c r="E668" s="6" t="s">
        <v>26</v>
      </c>
      <c r="F668" s="6">
        <v>1</v>
      </c>
      <c r="G668" s="6" t="s">
        <v>66</v>
      </c>
      <c r="H668" s="6">
        <v>2</v>
      </c>
      <c r="I668" s="6">
        <v>14</v>
      </c>
      <c r="J668" s="6">
        <v>11</v>
      </c>
      <c r="K668" s="6" t="s">
        <v>28</v>
      </c>
      <c r="L668" s="6" t="str">
        <f>VLOOKUP(K668, 'Alphabetical by species code'!A:B, 2, FALSE)</f>
        <v>Litter</v>
      </c>
    </row>
    <row r="669" spans="1:12" x14ac:dyDescent="0.25">
      <c r="A669" s="6">
        <v>7</v>
      </c>
      <c r="B669" s="6">
        <v>2025</v>
      </c>
      <c r="C669" s="7">
        <v>45764</v>
      </c>
      <c r="D669" s="6" t="s">
        <v>25</v>
      </c>
      <c r="E669" s="6" t="s">
        <v>26</v>
      </c>
      <c r="F669" s="6">
        <v>1</v>
      </c>
      <c r="G669" s="6" t="s">
        <v>66</v>
      </c>
      <c r="H669" s="6">
        <v>2</v>
      </c>
      <c r="I669" s="6">
        <v>14</v>
      </c>
      <c r="J669" s="6">
        <v>11</v>
      </c>
      <c r="K669" s="6" t="s">
        <v>35</v>
      </c>
      <c r="L669" s="6" t="str">
        <f>VLOOKUP(K669, 'Alphabetical by species code'!A:B, 2, FALSE)</f>
        <v>Deinandra fasciculata</v>
      </c>
    </row>
    <row r="670" spans="1:12" x14ac:dyDescent="0.25">
      <c r="A670" s="6">
        <v>7</v>
      </c>
      <c r="B670" s="6">
        <v>2025</v>
      </c>
      <c r="C670" s="7">
        <v>45764</v>
      </c>
      <c r="D670" s="6" t="s">
        <v>25</v>
      </c>
      <c r="E670" s="6" t="s">
        <v>26</v>
      </c>
      <c r="F670" s="6">
        <v>1</v>
      </c>
      <c r="G670" s="6" t="s">
        <v>66</v>
      </c>
      <c r="H670" s="6">
        <v>2</v>
      </c>
      <c r="I670" s="6">
        <v>14</v>
      </c>
      <c r="J670" s="6">
        <v>11</v>
      </c>
      <c r="K670" s="6" t="s">
        <v>32</v>
      </c>
      <c r="L670" s="6" t="str">
        <f>VLOOKUP(K670, 'Alphabetical by species code'!A:B, 2, FALSE)</f>
        <v>Medicago polymorpha</v>
      </c>
    </row>
    <row r="671" spans="1:12" x14ac:dyDescent="0.25">
      <c r="A671" s="6">
        <v>7</v>
      </c>
      <c r="B671" s="6">
        <v>2025</v>
      </c>
      <c r="C671" s="7">
        <v>45764</v>
      </c>
      <c r="D671" s="6" t="s">
        <v>25</v>
      </c>
      <c r="E671" s="6" t="s">
        <v>26</v>
      </c>
      <c r="F671" s="6">
        <v>1</v>
      </c>
      <c r="G671" s="6" t="s">
        <v>66</v>
      </c>
      <c r="H671" s="6">
        <v>2</v>
      </c>
      <c r="I671" s="6">
        <v>14</v>
      </c>
      <c r="J671" s="6">
        <v>11</v>
      </c>
      <c r="K671" s="6" t="s">
        <v>43</v>
      </c>
      <c r="L671" s="6" t="str">
        <f>VLOOKUP(K671, 'Alphabetical by species code'!A:B, 2, FALSE)</f>
        <v>Uropappus lindleyi</v>
      </c>
    </row>
    <row r="672" spans="1:12" x14ac:dyDescent="0.25">
      <c r="A672" s="6">
        <v>7</v>
      </c>
      <c r="B672" s="6">
        <v>2025</v>
      </c>
      <c r="C672" s="7">
        <v>45764</v>
      </c>
      <c r="D672" s="6" t="s">
        <v>25</v>
      </c>
      <c r="E672" s="6" t="s">
        <v>26</v>
      </c>
      <c r="F672" s="6">
        <v>1</v>
      </c>
      <c r="G672" s="6" t="s">
        <v>66</v>
      </c>
      <c r="H672" s="6">
        <v>2</v>
      </c>
      <c r="I672" s="6">
        <v>15</v>
      </c>
      <c r="J672" s="6">
        <v>12</v>
      </c>
      <c r="K672" s="6" t="s">
        <v>28</v>
      </c>
      <c r="L672" s="6" t="str">
        <f>VLOOKUP(K672, 'Alphabetical by species code'!A:B, 2, FALSE)</f>
        <v>Litter</v>
      </c>
    </row>
    <row r="673" spans="1:12" x14ac:dyDescent="0.25">
      <c r="A673" s="6">
        <v>7</v>
      </c>
      <c r="B673" s="6">
        <v>2025</v>
      </c>
      <c r="C673" s="7">
        <v>45764</v>
      </c>
      <c r="D673" s="6" t="s">
        <v>25</v>
      </c>
      <c r="E673" s="6" t="s">
        <v>26</v>
      </c>
      <c r="F673" s="6">
        <v>1</v>
      </c>
      <c r="G673" s="6" t="s">
        <v>66</v>
      </c>
      <c r="H673" s="6">
        <v>2</v>
      </c>
      <c r="I673" s="6">
        <v>15</v>
      </c>
      <c r="J673" s="6">
        <v>12</v>
      </c>
      <c r="K673" s="6" t="s">
        <v>42</v>
      </c>
      <c r="L673" s="6" t="str">
        <f>VLOOKUP(K673, 'Alphabetical by species code'!A:B, 2, FALSE)</f>
        <v>Centaurea melitensis</v>
      </c>
    </row>
    <row r="674" spans="1:12" x14ac:dyDescent="0.25">
      <c r="A674" s="6">
        <v>7</v>
      </c>
      <c r="B674" s="6">
        <v>2025</v>
      </c>
      <c r="C674" s="7">
        <v>45764</v>
      </c>
      <c r="D674" s="6" t="s">
        <v>25</v>
      </c>
      <c r="E674" s="6" t="s">
        <v>26</v>
      </c>
      <c r="F674" s="6">
        <v>1</v>
      </c>
      <c r="G674" s="6" t="s">
        <v>66</v>
      </c>
      <c r="H674" s="6">
        <v>2</v>
      </c>
      <c r="I674" s="6">
        <v>15</v>
      </c>
      <c r="J674" s="6">
        <v>12</v>
      </c>
      <c r="K674" s="6" t="s">
        <v>31</v>
      </c>
      <c r="L674" s="6" t="str">
        <f>VLOOKUP(K674, 'Alphabetical by species code'!A:B, 2, FALSE)</f>
        <v>Festuca myuros</v>
      </c>
    </row>
    <row r="675" spans="1:12" x14ac:dyDescent="0.25">
      <c r="A675" s="6">
        <v>7</v>
      </c>
      <c r="B675" s="6">
        <v>2025</v>
      </c>
      <c r="C675" s="7">
        <v>45764</v>
      </c>
      <c r="D675" s="6" t="s">
        <v>25</v>
      </c>
      <c r="E675" s="6" t="s">
        <v>26</v>
      </c>
      <c r="F675" s="6">
        <v>1</v>
      </c>
      <c r="G675" s="6" t="s">
        <v>66</v>
      </c>
      <c r="H675" s="6">
        <v>2</v>
      </c>
      <c r="I675" s="6">
        <v>15</v>
      </c>
      <c r="J675" s="6">
        <v>12</v>
      </c>
      <c r="K675" s="6" t="s">
        <v>71</v>
      </c>
      <c r="L675" s="6" t="str">
        <f>VLOOKUP(K675, 'Alphabetical by species code'!A:B, 2, FALSE)</f>
        <v>Lasthenia californica</v>
      </c>
    </row>
    <row r="676" spans="1:12" x14ac:dyDescent="0.25">
      <c r="A676" s="6">
        <v>7</v>
      </c>
      <c r="B676" s="6">
        <v>2025</v>
      </c>
      <c r="C676" s="7">
        <v>45764</v>
      </c>
      <c r="D676" s="6" t="s">
        <v>25</v>
      </c>
      <c r="E676" s="6" t="s">
        <v>26</v>
      </c>
      <c r="F676" s="6">
        <v>1</v>
      </c>
      <c r="G676" s="6" t="s">
        <v>66</v>
      </c>
      <c r="H676" s="6">
        <v>2</v>
      </c>
      <c r="I676" s="6">
        <v>15</v>
      </c>
      <c r="J676" s="6">
        <v>12</v>
      </c>
      <c r="K676" s="6" t="s">
        <v>30</v>
      </c>
      <c r="L676" s="6" t="str">
        <f>VLOOKUP(K676, 'Alphabetical by species code'!A:B, 2, FALSE)</f>
        <v>Erodium moschatum</v>
      </c>
    </row>
    <row r="677" spans="1:12" x14ac:dyDescent="0.25">
      <c r="A677" s="6">
        <v>8</v>
      </c>
      <c r="B677" s="6">
        <v>2025</v>
      </c>
      <c r="C677" s="7">
        <v>45764</v>
      </c>
      <c r="D677" s="6" t="s">
        <v>72</v>
      </c>
      <c r="E677" s="6" t="s">
        <v>26</v>
      </c>
      <c r="F677" s="6">
        <v>1</v>
      </c>
      <c r="G677" s="6" t="s">
        <v>63</v>
      </c>
      <c r="H677" s="6">
        <v>1</v>
      </c>
      <c r="I677" s="6">
        <v>1</v>
      </c>
      <c r="J677" s="6">
        <v>0</v>
      </c>
      <c r="K677" s="6" t="s">
        <v>28</v>
      </c>
      <c r="L677" s="6" t="str">
        <f>VLOOKUP(K677, 'Alphabetical by species code'!A:B, 2, FALSE)</f>
        <v>Litter</v>
      </c>
    </row>
    <row r="678" spans="1:12" x14ac:dyDescent="0.25">
      <c r="A678" s="6">
        <v>8</v>
      </c>
      <c r="B678" s="6">
        <v>2025</v>
      </c>
      <c r="C678" s="7">
        <v>45764</v>
      </c>
      <c r="D678" s="6" t="s">
        <v>72</v>
      </c>
      <c r="E678" s="6" t="s">
        <v>26</v>
      </c>
      <c r="F678" s="6">
        <v>1</v>
      </c>
      <c r="G678" s="6" t="s">
        <v>63</v>
      </c>
      <c r="H678" s="6">
        <v>1</v>
      </c>
      <c r="I678" s="6">
        <v>1</v>
      </c>
      <c r="J678" s="6">
        <v>0</v>
      </c>
      <c r="K678" s="6" t="s">
        <v>42</v>
      </c>
      <c r="L678" s="6" t="str">
        <f>VLOOKUP(K678, 'Alphabetical by species code'!A:B, 2, FALSE)</f>
        <v>Centaurea melitensis</v>
      </c>
    </row>
    <row r="679" spans="1:12" x14ac:dyDescent="0.25">
      <c r="A679" s="6">
        <v>8</v>
      </c>
      <c r="B679" s="6">
        <v>2025</v>
      </c>
      <c r="C679" s="7">
        <v>45764</v>
      </c>
      <c r="D679" s="6" t="s">
        <v>72</v>
      </c>
      <c r="E679" s="6" t="s">
        <v>26</v>
      </c>
      <c r="F679" s="6">
        <v>1</v>
      </c>
      <c r="G679" s="6" t="s">
        <v>63</v>
      </c>
      <c r="H679" s="6">
        <v>1</v>
      </c>
      <c r="I679" s="6">
        <v>1</v>
      </c>
      <c r="J679" s="6">
        <v>0</v>
      </c>
      <c r="K679" s="6" t="s">
        <v>31</v>
      </c>
      <c r="L679" s="6" t="str">
        <f>VLOOKUP(K679, 'Alphabetical by species code'!A:B, 2, FALSE)</f>
        <v>Festuca myuros</v>
      </c>
    </row>
    <row r="680" spans="1:12" x14ac:dyDescent="0.25">
      <c r="A680" s="6">
        <v>8</v>
      </c>
      <c r="B680" s="6">
        <v>2025</v>
      </c>
      <c r="C680" s="7">
        <v>45764</v>
      </c>
      <c r="D680" s="6" t="s">
        <v>72</v>
      </c>
      <c r="E680" s="6" t="s">
        <v>26</v>
      </c>
      <c r="F680" s="6">
        <v>1</v>
      </c>
      <c r="G680" s="6" t="s">
        <v>63</v>
      </c>
      <c r="H680" s="6">
        <v>1</v>
      </c>
      <c r="I680" s="6">
        <v>1</v>
      </c>
      <c r="J680" s="6">
        <v>0</v>
      </c>
      <c r="K680" s="6" t="s">
        <v>35</v>
      </c>
      <c r="L680" s="6" t="str">
        <f>VLOOKUP(K680, 'Alphabetical by species code'!A:B, 2, FALSE)</f>
        <v>Deinandra fasciculata</v>
      </c>
    </row>
    <row r="681" spans="1:12" x14ac:dyDescent="0.25">
      <c r="A681" s="6">
        <v>8</v>
      </c>
      <c r="B681" s="6">
        <v>2025</v>
      </c>
      <c r="C681" s="7">
        <v>45764</v>
      </c>
      <c r="D681" s="6" t="s">
        <v>72</v>
      </c>
      <c r="E681" s="6" t="s">
        <v>26</v>
      </c>
      <c r="F681" s="6">
        <v>1</v>
      </c>
      <c r="G681" s="6" t="s">
        <v>63</v>
      </c>
      <c r="H681" s="6">
        <v>1</v>
      </c>
      <c r="I681" s="6">
        <v>1</v>
      </c>
      <c r="J681" s="6">
        <v>0</v>
      </c>
      <c r="K681" s="6" t="s">
        <v>48</v>
      </c>
      <c r="L681" s="6" t="str">
        <f>VLOOKUP(K681, 'Alphabetical by species code'!A:B, 2, FALSE)</f>
        <v>Sonchus asper</v>
      </c>
    </row>
    <row r="682" spans="1:12" x14ac:dyDescent="0.25">
      <c r="A682" s="6">
        <v>8</v>
      </c>
      <c r="B682" s="6">
        <v>2025</v>
      </c>
      <c r="C682" s="7">
        <v>45764</v>
      </c>
      <c r="D682" s="6" t="s">
        <v>72</v>
      </c>
      <c r="E682" s="6" t="s">
        <v>26</v>
      </c>
      <c r="F682" s="6">
        <v>1</v>
      </c>
      <c r="G682" s="6" t="s">
        <v>63</v>
      </c>
      <c r="H682" s="6">
        <v>1</v>
      </c>
      <c r="I682" s="6">
        <v>2</v>
      </c>
      <c r="J682" s="6">
        <v>1</v>
      </c>
      <c r="K682" s="6" t="s">
        <v>28</v>
      </c>
      <c r="L682" s="6" t="str">
        <f>VLOOKUP(K682, 'Alphabetical by species code'!A:B, 2, FALSE)</f>
        <v>Litter</v>
      </c>
    </row>
    <row r="683" spans="1:12" x14ac:dyDescent="0.25">
      <c r="A683" s="6">
        <v>8</v>
      </c>
      <c r="B683" s="6">
        <v>2025</v>
      </c>
      <c r="C683" s="7">
        <v>45764</v>
      </c>
      <c r="D683" s="6" t="s">
        <v>72</v>
      </c>
      <c r="E683" s="6" t="s">
        <v>26</v>
      </c>
      <c r="F683" s="6">
        <v>1</v>
      </c>
      <c r="G683" s="6" t="s">
        <v>63</v>
      </c>
      <c r="H683" s="6">
        <v>1</v>
      </c>
      <c r="I683" s="6">
        <v>2</v>
      </c>
      <c r="J683" s="6">
        <v>1</v>
      </c>
      <c r="K683" s="6" t="s">
        <v>32</v>
      </c>
      <c r="L683" s="6" t="str">
        <f>VLOOKUP(K683, 'Alphabetical by species code'!A:B, 2, FALSE)</f>
        <v>Medicago polymorpha</v>
      </c>
    </row>
    <row r="684" spans="1:12" x14ac:dyDescent="0.25">
      <c r="A684" s="6">
        <v>8</v>
      </c>
      <c r="B684" s="6">
        <v>2025</v>
      </c>
      <c r="C684" s="7">
        <v>45764</v>
      </c>
      <c r="D684" s="6" t="s">
        <v>72</v>
      </c>
      <c r="E684" s="6" t="s">
        <v>26</v>
      </c>
      <c r="F684" s="6">
        <v>1</v>
      </c>
      <c r="G684" s="6" t="s">
        <v>63</v>
      </c>
      <c r="H684" s="6">
        <v>1</v>
      </c>
      <c r="I684" s="6">
        <v>2</v>
      </c>
      <c r="J684" s="6">
        <v>1</v>
      </c>
      <c r="K684" s="6" t="s">
        <v>42</v>
      </c>
      <c r="L684" s="6" t="str">
        <f>VLOOKUP(K684, 'Alphabetical by species code'!A:B, 2, FALSE)</f>
        <v>Centaurea melitensis</v>
      </c>
    </row>
    <row r="685" spans="1:12" x14ac:dyDescent="0.25">
      <c r="A685" s="6">
        <v>8</v>
      </c>
      <c r="B685" s="6">
        <v>2025</v>
      </c>
      <c r="C685" s="7">
        <v>45764</v>
      </c>
      <c r="D685" s="6" t="s">
        <v>72</v>
      </c>
      <c r="E685" s="6" t="s">
        <v>26</v>
      </c>
      <c r="F685" s="6">
        <v>1</v>
      </c>
      <c r="G685" s="6" t="s">
        <v>63</v>
      </c>
      <c r="H685" s="6">
        <v>1</v>
      </c>
      <c r="I685" s="6">
        <v>3</v>
      </c>
      <c r="J685" s="6">
        <v>1.5</v>
      </c>
      <c r="K685" s="6" t="s">
        <v>28</v>
      </c>
      <c r="L685" s="6" t="str">
        <f>VLOOKUP(K685, 'Alphabetical by species code'!A:B, 2, FALSE)</f>
        <v>Litter</v>
      </c>
    </row>
    <row r="686" spans="1:12" x14ac:dyDescent="0.25">
      <c r="A686" s="6">
        <v>8</v>
      </c>
      <c r="B686" s="6">
        <v>2025</v>
      </c>
      <c r="C686" s="7">
        <v>45764</v>
      </c>
      <c r="D686" s="6" t="s">
        <v>72</v>
      </c>
      <c r="E686" s="6" t="s">
        <v>26</v>
      </c>
      <c r="F686" s="6">
        <v>1</v>
      </c>
      <c r="G686" s="6" t="s">
        <v>63</v>
      </c>
      <c r="H686" s="6">
        <v>1</v>
      </c>
      <c r="I686" s="6">
        <v>3</v>
      </c>
      <c r="J686" s="6">
        <v>1.5</v>
      </c>
      <c r="K686" s="6" t="s">
        <v>30</v>
      </c>
      <c r="L686" s="6" t="str">
        <f>VLOOKUP(K686, 'Alphabetical by species code'!A:B, 2, FALSE)</f>
        <v>Erodium moschatum</v>
      </c>
    </row>
    <row r="687" spans="1:12" x14ac:dyDescent="0.25">
      <c r="A687" s="6">
        <v>8</v>
      </c>
      <c r="B687" s="6">
        <v>2025</v>
      </c>
      <c r="C687" s="7">
        <v>45764</v>
      </c>
      <c r="D687" s="6" t="s">
        <v>72</v>
      </c>
      <c r="E687" s="6" t="s">
        <v>26</v>
      </c>
      <c r="F687" s="6">
        <v>1</v>
      </c>
      <c r="G687" s="6" t="s">
        <v>63</v>
      </c>
      <c r="H687" s="6">
        <v>1</v>
      </c>
      <c r="I687" s="6">
        <v>4</v>
      </c>
      <c r="J687" s="6">
        <v>2</v>
      </c>
      <c r="K687" s="6" t="s">
        <v>28</v>
      </c>
      <c r="L687" s="6" t="str">
        <f>VLOOKUP(K687, 'Alphabetical by species code'!A:B, 2, FALSE)</f>
        <v>Litter</v>
      </c>
    </row>
    <row r="688" spans="1:12" x14ac:dyDescent="0.25">
      <c r="A688" s="6">
        <v>8</v>
      </c>
      <c r="B688" s="6">
        <v>2025</v>
      </c>
      <c r="C688" s="7">
        <v>45764</v>
      </c>
      <c r="D688" s="6" t="s">
        <v>72</v>
      </c>
      <c r="E688" s="6" t="s">
        <v>26</v>
      </c>
      <c r="F688" s="6">
        <v>1</v>
      </c>
      <c r="G688" s="6" t="s">
        <v>63</v>
      </c>
      <c r="H688" s="6">
        <v>1</v>
      </c>
      <c r="I688" s="6">
        <v>4</v>
      </c>
      <c r="J688" s="6">
        <v>2</v>
      </c>
      <c r="K688" s="6" t="s">
        <v>35</v>
      </c>
      <c r="L688" s="6" t="str">
        <f>VLOOKUP(K688, 'Alphabetical by species code'!A:B, 2, FALSE)</f>
        <v>Deinandra fasciculata</v>
      </c>
    </row>
    <row r="689" spans="1:12" x14ac:dyDescent="0.25">
      <c r="A689" s="6">
        <v>8</v>
      </c>
      <c r="B689" s="6">
        <v>2025</v>
      </c>
      <c r="C689" s="7">
        <v>45764</v>
      </c>
      <c r="D689" s="6" t="s">
        <v>72</v>
      </c>
      <c r="E689" s="6" t="s">
        <v>26</v>
      </c>
      <c r="F689" s="6">
        <v>1</v>
      </c>
      <c r="G689" s="6" t="s">
        <v>63</v>
      </c>
      <c r="H689" s="6">
        <v>1</v>
      </c>
      <c r="I689" s="6">
        <v>5</v>
      </c>
      <c r="J689" s="6">
        <v>3</v>
      </c>
      <c r="K689" s="6" t="s">
        <v>28</v>
      </c>
      <c r="L689" s="6" t="str">
        <f>VLOOKUP(K689, 'Alphabetical by species code'!A:B, 2, FALSE)</f>
        <v>Litter</v>
      </c>
    </row>
    <row r="690" spans="1:12" x14ac:dyDescent="0.25">
      <c r="A690" s="6">
        <v>8</v>
      </c>
      <c r="B690" s="6">
        <v>2025</v>
      </c>
      <c r="C690" s="7">
        <v>45764</v>
      </c>
      <c r="D690" s="6" t="s">
        <v>72</v>
      </c>
      <c r="E690" s="6" t="s">
        <v>26</v>
      </c>
      <c r="F690" s="6">
        <v>1</v>
      </c>
      <c r="G690" s="6" t="s">
        <v>63</v>
      </c>
      <c r="H690" s="6">
        <v>1</v>
      </c>
      <c r="I690" s="6">
        <v>6</v>
      </c>
      <c r="J690" s="6">
        <v>3.5</v>
      </c>
      <c r="K690" s="6" t="s">
        <v>28</v>
      </c>
      <c r="L690" s="6" t="str">
        <f>VLOOKUP(K690, 'Alphabetical by species code'!A:B, 2, FALSE)</f>
        <v>Litter</v>
      </c>
    </row>
    <row r="691" spans="1:12" x14ac:dyDescent="0.25">
      <c r="A691" s="6">
        <v>8</v>
      </c>
      <c r="B691" s="6">
        <v>2025</v>
      </c>
      <c r="C691" s="7">
        <v>45764</v>
      </c>
      <c r="D691" s="6" t="s">
        <v>72</v>
      </c>
      <c r="E691" s="6" t="s">
        <v>26</v>
      </c>
      <c r="F691" s="6">
        <v>1</v>
      </c>
      <c r="G691" s="6" t="s">
        <v>63</v>
      </c>
      <c r="H691" s="6">
        <v>1</v>
      </c>
      <c r="I691" s="6">
        <v>6</v>
      </c>
      <c r="J691" s="6">
        <v>3.5</v>
      </c>
      <c r="K691" s="6" t="s">
        <v>32</v>
      </c>
      <c r="L691" s="6" t="str">
        <f>VLOOKUP(K691, 'Alphabetical by species code'!A:B, 2, FALSE)</f>
        <v>Medicago polymorpha</v>
      </c>
    </row>
    <row r="692" spans="1:12" x14ac:dyDescent="0.25">
      <c r="A692" s="6">
        <v>8</v>
      </c>
      <c r="B692" s="6">
        <v>2025</v>
      </c>
      <c r="C692" s="7">
        <v>45764</v>
      </c>
      <c r="D692" s="6" t="s">
        <v>72</v>
      </c>
      <c r="E692" s="6" t="s">
        <v>26</v>
      </c>
      <c r="F692" s="6">
        <v>1</v>
      </c>
      <c r="G692" s="6" t="s">
        <v>63</v>
      </c>
      <c r="H692" s="6">
        <v>1</v>
      </c>
      <c r="I692" s="6">
        <v>6</v>
      </c>
      <c r="J692" s="6">
        <v>3.5</v>
      </c>
      <c r="K692" s="6" t="s">
        <v>30</v>
      </c>
      <c r="L692" s="6" t="str">
        <f>VLOOKUP(K692, 'Alphabetical by species code'!A:B, 2, FALSE)</f>
        <v>Erodium moschatum</v>
      </c>
    </row>
    <row r="693" spans="1:12" x14ac:dyDescent="0.25">
      <c r="A693" s="6">
        <v>8</v>
      </c>
      <c r="B693" s="6">
        <v>2025</v>
      </c>
      <c r="C693" s="7">
        <v>45764</v>
      </c>
      <c r="D693" s="6" t="s">
        <v>72</v>
      </c>
      <c r="E693" s="6" t="s">
        <v>26</v>
      </c>
      <c r="F693" s="6">
        <v>1</v>
      </c>
      <c r="G693" s="6" t="s">
        <v>63</v>
      </c>
      <c r="H693" s="6">
        <v>1</v>
      </c>
      <c r="I693" s="6">
        <v>6</v>
      </c>
      <c r="J693" s="6">
        <v>3.5</v>
      </c>
      <c r="K693" s="6" t="s">
        <v>35</v>
      </c>
      <c r="L693" s="6" t="str">
        <f>VLOOKUP(K693, 'Alphabetical by species code'!A:B, 2, FALSE)</f>
        <v>Deinandra fasciculata</v>
      </c>
    </row>
    <row r="694" spans="1:12" x14ac:dyDescent="0.25">
      <c r="A694" s="6">
        <v>8</v>
      </c>
      <c r="B694" s="6">
        <v>2025</v>
      </c>
      <c r="C694" s="7">
        <v>45764</v>
      </c>
      <c r="D694" s="6" t="s">
        <v>72</v>
      </c>
      <c r="E694" s="6" t="s">
        <v>26</v>
      </c>
      <c r="F694" s="6">
        <v>1</v>
      </c>
      <c r="G694" s="6" t="s">
        <v>63</v>
      </c>
      <c r="H694" s="6">
        <v>1</v>
      </c>
      <c r="I694" s="6">
        <v>7</v>
      </c>
      <c r="J694" s="6">
        <v>4</v>
      </c>
      <c r="K694" s="6" t="s">
        <v>28</v>
      </c>
      <c r="L694" s="6" t="str">
        <f>VLOOKUP(K694, 'Alphabetical by species code'!A:B, 2, FALSE)</f>
        <v>Litter</v>
      </c>
    </row>
    <row r="695" spans="1:12" x14ac:dyDescent="0.25">
      <c r="A695" s="6">
        <v>8</v>
      </c>
      <c r="B695" s="6">
        <v>2025</v>
      </c>
      <c r="C695" s="7">
        <v>45764</v>
      </c>
      <c r="D695" s="6" t="s">
        <v>72</v>
      </c>
      <c r="E695" s="6" t="s">
        <v>26</v>
      </c>
      <c r="F695" s="6">
        <v>1</v>
      </c>
      <c r="G695" s="6" t="s">
        <v>63</v>
      </c>
      <c r="H695" s="6">
        <v>1</v>
      </c>
      <c r="I695" s="6">
        <v>7</v>
      </c>
      <c r="J695" s="6">
        <v>4</v>
      </c>
      <c r="K695" s="6" t="s">
        <v>30</v>
      </c>
      <c r="L695" s="6" t="str">
        <f>VLOOKUP(K695, 'Alphabetical by species code'!A:B, 2, FALSE)</f>
        <v>Erodium moschatum</v>
      </c>
    </row>
    <row r="696" spans="1:12" x14ac:dyDescent="0.25">
      <c r="A696" s="6">
        <v>8</v>
      </c>
      <c r="B696" s="6">
        <v>2025</v>
      </c>
      <c r="C696" s="7">
        <v>45764</v>
      </c>
      <c r="D696" s="6" t="s">
        <v>72</v>
      </c>
      <c r="E696" s="6" t="s">
        <v>26</v>
      </c>
      <c r="F696" s="6">
        <v>1</v>
      </c>
      <c r="G696" s="6" t="s">
        <v>63</v>
      </c>
      <c r="H696" s="6">
        <v>1</v>
      </c>
      <c r="I696" s="6">
        <v>7</v>
      </c>
      <c r="J696" s="6">
        <v>4</v>
      </c>
      <c r="K696" s="6" t="s">
        <v>37</v>
      </c>
      <c r="L696" s="6" t="str">
        <f>VLOOKUP(K696, 'Alphabetical by species code'!A:B, 2, FALSE)</f>
        <v>Sonchus oleraceus</v>
      </c>
    </row>
    <row r="697" spans="1:12" x14ac:dyDescent="0.25">
      <c r="A697" s="6">
        <v>8</v>
      </c>
      <c r="B697" s="6">
        <v>2025</v>
      </c>
      <c r="C697" s="7">
        <v>45764</v>
      </c>
      <c r="D697" s="6" t="s">
        <v>72</v>
      </c>
      <c r="E697" s="6" t="s">
        <v>26</v>
      </c>
      <c r="F697" s="6">
        <v>1</v>
      </c>
      <c r="G697" s="6" t="s">
        <v>63</v>
      </c>
      <c r="H697" s="6">
        <v>1</v>
      </c>
      <c r="I697" s="6">
        <v>7</v>
      </c>
      <c r="J697" s="6">
        <v>4</v>
      </c>
      <c r="K697" s="6" t="s">
        <v>35</v>
      </c>
      <c r="L697" s="6" t="str">
        <f>VLOOKUP(K697, 'Alphabetical by species code'!A:B, 2, FALSE)</f>
        <v>Deinandra fasciculata</v>
      </c>
    </row>
    <row r="698" spans="1:12" x14ac:dyDescent="0.25">
      <c r="A698" s="6">
        <v>8</v>
      </c>
      <c r="B698" s="6">
        <v>2025</v>
      </c>
      <c r="C698" s="7">
        <v>45764</v>
      </c>
      <c r="D698" s="6" t="s">
        <v>72</v>
      </c>
      <c r="E698" s="6" t="s">
        <v>26</v>
      </c>
      <c r="F698" s="6">
        <v>1</v>
      </c>
      <c r="G698" s="6" t="s">
        <v>63</v>
      </c>
      <c r="H698" s="6">
        <v>1</v>
      </c>
      <c r="I698" s="6">
        <v>8</v>
      </c>
      <c r="J698" s="6">
        <v>5</v>
      </c>
      <c r="K698" s="6" t="s">
        <v>28</v>
      </c>
      <c r="L698" s="6" t="str">
        <f>VLOOKUP(K698, 'Alphabetical by species code'!A:B, 2, FALSE)</f>
        <v>Litter</v>
      </c>
    </row>
    <row r="699" spans="1:12" x14ac:dyDescent="0.25">
      <c r="A699" s="6">
        <v>8</v>
      </c>
      <c r="B699" s="6">
        <v>2025</v>
      </c>
      <c r="C699" s="7">
        <v>45764</v>
      </c>
      <c r="D699" s="6" t="s">
        <v>72</v>
      </c>
      <c r="E699" s="6" t="s">
        <v>26</v>
      </c>
      <c r="F699" s="6">
        <v>1</v>
      </c>
      <c r="G699" s="6" t="s">
        <v>63</v>
      </c>
      <c r="H699" s="6">
        <v>1</v>
      </c>
      <c r="I699" s="6">
        <v>8</v>
      </c>
      <c r="J699" s="6">
        <v>5</v>
      </c>
      <c r="K699" s="6" t="s">
        <v>30</v>
      </c>
      <c r="L699" s="6" t="str">
        <f>VLOOKUP(K699, 'Alphabetical by species code'!A:B, 2, FALSE)</f>
        <v>Erodium moschatum</v>
      </c>
    </row>
    <row r="700" spans="1:12" x14ac:dyDescent="0.25">
      <c r="A700" s="6">
        <v>8</v>
      </c>
      <c r="B700" s="6">
        <v>2025</v>
      </c>
      <c r="C700" s="7">
        <v>45764</v>
      </c>
      <c r="D700" s="6" t="s">
        <v>72</v>
      </c>
      <c r="E700" s="6" t="s">
        <v>26</v>
      </c>
      <c r="F700" s="6">
        <v>1</v>
      </c>
      <c r="G700" s="6" t="s">
        <v>63</v>
      </c>
      <c r="H700" s="6">
        <v>1</v>
      </c>
      <c r="I700" s="6">
        <v>9</v>
      </c>
      <c r="J700" s="6">
        <v>7</v>
      </c>
      <c r="K700" s="6" t="s">
        <v>28</v>
      </c>
      <c r="L700" s="6" t="str">
        <f>VLOOKUP(K700, 'Alphabetical by species code'!A:B, 2, FALSE)</f>
        <v>Litter</v>
      </c>
    </row>
    <row r="701" spans="1:12" x14ac:dyDescent="0.25">
      <c r="A701" s="6">
        <v>8</v>
      </c>
      <c r="B701" s="6">
        <v>2025</v>
      </c>
      <c r="C701" s="7">
        <v>45764</v>
      </c>
      <c r="D701" s="6" t="s">
        <v>72</v>
      </c>
      <c r="E701" s="6" t="s">
        <v>26</v>
      </c>
      <c r="F701" s="6">
        <v>1</v>
      </c>
      <c r="G701" s="6" t="s">
        <v>63</v>
      </c>
      <c r="H701" s="6">
        <v>1</v>
      </c>
      <c r="I701" s="6">
        <v>9</v>
      </c>
      <c r="J701" s="6">
        <v>7</v>
      </c>
      <c r="K701" s="6" t="s">
        <v>36</v>
      </c>
      <c r="L701" s="6" t="str">
        <f>VLOOKUP(K701, 'Alphabetical by species code'!A:B, 2, FALSE)</f>
        <v>Bromus madritensis</v>
      </c>
    </row>
    <row r="702" spans="1:12" x14ac:dyDescent="0.25">
      <c r="A702" s="6">
        <v>8</v>
      </c>
      <c r="B702" s="6">
        <v>2025</v>
      </c>
      <c r="C702" s="7">
        <v>45764</v>
      </c>
      <c r="D702" s="6" t="s">
        <v>72</v>
      </c>
      <c r="E702" s="6" t="s">
        <v>26</v>
      </c>
      <c r="F702" s="6">
        <v>1</v>
      </c>
      <c r="G702" s="6" t="s">
        <v>63</v>
      </c>
      <c r="H702" s="6">
        <v>1</v>
      </c>
      <c r="I702" s="6">
        <v>9</v>
      </c>
      <c r="J702" s="6">
        <v>7</v>
      </c>
      <c r="K702" s="6" t="s">
        <v>35</v>
      </c>
      <c r="L702" s="6" t="str">
        <f>VLOOKUP(K702, 'Alphabetical by species code'!A:B, 2, FALSE)</f>
        <v>Deinandra fasciculata</v>
      </c>
    </row>
    <row r="703" spans="1:12" x14ac:dyDescent="0.25">
      <c r="A703" s="6">
        <v>8</v>
      </c>
      <c r="B703" s="6">
        <v>2025</v>
      </c>
      <c r="C703" s="7">
        <v>45764</v>
      </c>
      <c r="D703" s="6" t="s">
        <v>72</v>
      </c>
      <c r="E703" s="6" t="s">
        <v>26</v>
      </c>
      <c r="F703" s="6">
        <v>1</v>
      </c>
      <c r="G703" s="6" t="s">
        <v>63</v>
      </c>
      <c r="H703" s="6">
        <v>1</v>
      </c>
      <c r="I703" s="6">
        <v>9</v>
      </c>
      <c r="J703" s="6">
        <v>7</v>
      </c>
      <c r="K703" s="6" t="s">
        <v>48</v>
      </c>
      <c r="L703" s="6" t="str">
        <f>VLOOKUP(K703, 'Alphabetical by species code'!A:B, 2, FALSE)</f>
        <v>Sonchus asper</v>
      </c>
    </row>
    <row r="704" spans="1:12" x14ac:dyDescent="0.25">
      <c r="A704" s="6">
        <v>8</v>
      </c>
      <c r="B704" s="6">
        <v>2025</v>
      </c>
      <c r="C704" s="7">
        <v>45764</v>
      </c>
      <c r="D704" s="6" t="s">
        <v>72</v>
      </c>
      <c r="E704" s="6" t="s">
        <v>26</v>
      </c>
      <c r="F704" s="6">
        <v>1</v>
      </c>
      <c r="G704" s="6" t="s">
        <v>63</v>
      </c>
      <c r="H704" s="6">
        <v>1</v>
      </c>
      <c r="I704" s="6">
        <v>10</v>
      </c>
      <c r="J704" s="6">
        <v>8</v>
      </c>
      <c r="K704" s="6" t="s">
        <v>28</v>
      </c>
      <c r="L704" s="6" t="str">
        <f>VLOOKUP(K704, 'Alphabetical by species code'!A:B, 2, FALSE)</f>
        <v>Litter</v>
      </c>
    </row>
    <row r="705" spans="1:12" x14ac:dyDescent="0.25">
      <c r="A705" s="6">
        <v>8</v>
      </c>
      <c r="B705" s="6">
        <v>2025</v>
      </c>
      <c r="C705" s="7">
        <v>45764</v>
      </c>
      <c r="D705" s="6" t="s">
        <v>72</v>
      </c>
      <c r="E705" s="6" t="s">
        <v>26</v>
      </c>
      <c r="F705" s="6">
        <v>1</v>
      </c>
      <c r="G705" s="6" t="s">
        <v>63</v>
      </c>
      <c r="H705" s="6">
        <v>1</v>
      </c>
      <c r="I705" s="6">
        <v>10</v>
      </c>
      <c r="J705" s="6">
        <v>8</v>
      </c>
      <c r="K705" s="6" t="s">
        <v>37</v>
      </c>
      <c r="L705" s="6" t="str">
        <f>VLOOKUP(K705, 'Alphabetical by species code'!A:B, 2, FALSE)</f>
        <v>Sonchus oleraceus</v>
      </c>
    </row>
    <row r="706" spans="1:12" x14ac:dyDescent="0.25">
      <c r="A706" s="6">
        <v>8</v>
      </c>
      <c r="B706" s="6">
        <v>2025</v>
      </c>
      <c r="C706" s="7">
        <v>45764</v>
      </c>
      <c r="D706" s="6" t="s">
        <v>72</v>
      </c>
      <c r="E706" s="6" t="s">
        <v>26</v>
      </c>
      <c r="F706" s="6">
        <v>1</v>
      </c>
      <c r="G706" s="6" t="s">
        <v>63</v>
      </c>
      <c r="H706" s="6">
        <v>1</v>
      </c>
      <c r="I706" s="6">
        <v>10</v>
      </c>
      <c r="J706" s="6">
        <v>8</v>
      </c>
      <c r="K706" s="6" t="s">
        <v>36</v>
      </c>
      <c r="L706" s="6" t="str">
        <f>VLOOKUP(K706, 'Alphabetical by species code'!A:B, 2, FALSE)</f>
        <v>Bromus madritensis</v>
      </c>
    </row>
    <row r="707" spans="1:12" x14ac:dyDescent="0.25">
      <c r="A707" s="6">
        <v>8</v>
      </c>
      <c r="B707" s="6">
        <v>2025</v>
      </c>
      <c r="C707" s="7">
        <v>45764</v>
      </c>
      <c r="D707" s="6" t="s">
        <v>72</v>
      </c>
      <c r="E707" s="6" t="s">
        <v>26</v>
      </c>
      <c r="F707" s="6">
        <v>1</v>
      </c>
      <c r="G707" s="6" t="s">
        <v>63</v>
      </c>
      <c r="H707" s="6">
        <v>1</v>
      </c>
      <c r="I707" s="6">
        <v>11</v>
      </c>
      <c r="J707" s="6">
        <v>8.5</v>
      </c>
      <c r="K707" s="6" t="s">
        <v>28</v>
      </c>
      <c r="L707" s="6" t="str">
        <f>VLOOKUP(K707, 'Alphabetical by species code'!A:B, 2, FALSE)</f>
        <v>Litter</v>
      </c>
    </row>
    <row r="708" spans="1:12" x14ac:dyDescent="0.25">
      <c r="A708" s="6">
        <v>8</v>
      </c>
      <c r="B708" s="6">
        <v>2025</v>
      </c>
      <c r="C708" s="7">
        <v>45764</v>
      </c>
      <c r="D708" s="6" t="s">
        <v>72</v>
      </c>
      <c r="E708" s="6" t="s">
        <v>26</v>
      </c>
      <c r="F708" s="6">
        <v>1</v>
      </c>
      <c r="G708" s="6" t="s">
        <v>63</v>
      </c>
      <c r="H708" s="6">
        <v>1</v>
      </c>
      <c r="I708" s="6">
        <v>11</v>
      </c>
      <c r="J708" s="6">
        <v>8.5</v>
      </c>
      <c r="K708" s="6" t="s">
        <v>31</v>
      </c>
      <c r="L708" s="6" t="str">
        <f>VLOOKUP(K708, 'Alphabetical by species code'!A:B, 2, FALSE)</f>
        <v>Festuca myuros</v>
      </c>
    </row>
    <row r="709" spans="1:12" x14ac:dyDescent="0.25">
      <c r="A709" s="6">
        <v>8</v>
      </c>
      <c r="B709" s="6">
        <v>2025</v>
      </c>
      <c r="C709" s="7">
        <v>45764</v>
      </c>
      <c r="D709" s="6" t="s">
        <v>72</v>
      </c>
      <c r="E709" s="6" t="s">
        <v>26</v>
      </c>
      <c r="F709" s="6">
        <v>1</v>
      </c>
      <c r="G709" s="6" t="s">
        <v>63</v>
      </c>
      <c r="H709" s="6">
        <v>1</v>
      </c>
      <c r="I709" s="6">
        <v>11</v>
      </c>
      <c r="J709" s="6">
        <v>8.5</v>
      </c>
      <c r="K709" s="6" t="s">
        <v>35</v>
      </c>
      <c r="L709" s="6" t="str">
        <f>VLOOKUP(K709, 'Alphabetical by species code'!A:B, 2, FALSE)</f>
        <v>Deinandra fasciculata</v>
      </c>
    </row>
    <row r="710" spans="1:12" x14ac:dyDescent="0.25">
      <c r="A710" s="6">
        <v>8</v>
      </c>
      <c r="B710" s="6">
        <v>2025</v>
      </c>
      <c r="C710" s="7">
        <v>45764</v>
      </c>
      <c r="D710" s="6" t="s">
        <v>72</v>
      </c>
      <c r="E710" s="6" t="s">
        <v>26</v>
      </c>
      <c r="F710" s="6">
        <v>1</v>
      </c>
      <c r="G710" s="6" t="s">
        <v>63</v>
      </c>
      <c r="H710" s="6">
        <v>1</v>
      </c>
      <c r="I710" s="6">
        <v>12</v>
      </c>
      <c r="J710" s="6">
        <v>9</v>
      </c>
      <c r="K710" s="6" t="s">
        <v>28</v>
      </c>
      <c r="L710" s="6" t="str">
        <f>VLOOKUP(K710, 'Alphabetical by species code'!A:B, 2, FALSE)</f>
        <v>Litter</v>
      </c>
    </row>
    <row r="711" spans="1:12" x14ac:dyDescent="0.25">
      <c r="A711" s="6">
        <v>8</v>
      </c>
      <c r="B711" s="6">
        <v>2025</v>
      </c>
      <c r="C711" s="7">
        <v>45764</v>
      </c>
      <c r="D711" s="6" t="s">
        <v>72</v>
      </c>
      <c r="E711" s="6" t="s">
        <v>26</v>
      </c>
      <c r="F711" s="6">
        <v>1</v>
      </c>
      <c r="G711" s="6" t="s">
        <v>63</v>
      </c>
      <c r="H711" s="6">
        <v>1</v>
      </c>
      <c r="I711" s="6">
        <v>12</v>
      </c>
      <c r="J711" s="6">
        <v>9</v>
      </c>
      <c r="K711" s="6" t="s">
        <v>48</v>
      </c>
      <c r="L711" s="6" t="str">
        <f>VLOOKUP(K711, 'Alphabetical by species code'!A:B, 2, FALSE)</f>
        <v>Sonchus asper</v>
      </c>
    </row>
    <row r="712" spans="1:12" x14ac:dyDescent="0.25">
      <c r="A712" s="6">
        <v>8</v>
      </c>
      <c r="B712" s="6">
        <v>2025</v>
      </c>
      <c r="C712" s="7">
        <v>45764</v>
      </c>
      <c r="D712" s="6" t="s">
        <v>72</v>
      </c>
      <c r="E712" s="6" t="s">
        <v>26</v>
      </c>
      <c r="F712" s="6">
        <v>1</v>
      </c>
      <c r="G712" s="6" t="s">
        <v>63</v>
      </c>
      <c r="H712" s="6">
        <v>1</v>
      </c>
      <c r="I712" s="6">
        <v>13</v>
      </c>
      <c r="J712" s="6">
        <v>10</v>
      </c>
      <c r="K712" s="6" t="s">
        <v>28</v>
      </c>
      <c r="L712" s="6" t="str">
        <f>VLOOKUP(K712, 'Alphabetical by species code'!A:B, 2, FALSE)</f>
        <v>Litter</v>
      </c>
    </row>
    <row r="713" spans="1:12" x14ac:dyDescent="0.25">
      <c r="A713" s="6">
        <v>8</v>
      </c>
      <c r="B713" s="6">
        <v>2025</v>
      </c>
      <c r="C713" s="7">
        <v>45764</v>
      </c>
      <c r="D713" s="6" t="s">
        <v>72</v>
      </c>
      <c r="E713" s="6" t="s">
        <v>26</v>
      </c>
      <c r="F713" s="6">
        <v>1</v>
      </c>
      <c r="G713" s="6" t="s">
        <v>63</v>
      </c>
      <c r="H713" s="6">
        <v>1</v>
      </c>
      <c r="I713" s="6">
        <v>13</v>
      </c>
      <c r="J713" s="6">
        <v>10</v>
      </c>
      <c r="K713" s="6" t="s">
        <v>35</v>
      </c>
      <c r="L713" s="6" t="str">
        <f>VLOOKUP(K713, 'Alphabetical by species code'!A:B, 2, FALSE)</f>
        <v>Deinandra fasciculata</v>
      </c>
    </row>
    <row r="714" spans="1:12" x14ac:dyDescent="0.25">
      <c r="A714" s="6">
        <v>8</v>
      </c>
      <c r="B714" s="6">
        <v>2025</v>
      </c>
      <c r="C714" s="7">
        <v>45764</v>
      </c>
      <c r="D714" s="6" t="s">
        <v>72</v>
      </c>
      <c r="E714" s="6" t="s">
        <v>26</v>
      </c>
      <c r="F714" s="6">
        <v>1</v>
      </c>
      <c r="G714" s="6" t="s">
        <v>63</v>
      </c>
      <c r="H714" s="6">
        <v>1</v>
      </c>
      <c r="I714" s="6">
        <v>14</v>
      </c>
      <c r="J714" s="6">
        <v>11</v>
      </c>
      <c r="K714" s="6" t="s">
        <v>28</v>
      </c>
      <c r="L714" s="6" t="str">
        <f>VLOOKUP(K714, 'Alphabetical by species code'!A:B, 2, FALSE)</f>
        <v>Litter</v>
      </c>
    </row>
    <row r="715" spans="1:12" x14ac:dyDescent="0.25">
      <c r="A715" s="6">
        <v>8</v>
      </c>
      <c r="B715" s="6">
        <v>2025</v>
      </c>
      <c r="C715" s="7">
        <v>45764</v>
      </c>
      <c r="D715" s="6" t="s">
        <v>72</v>
      </c>
      <c r="E715" s="6" t="s">
        <v>26</v>
      </c>
      <c r="F715" s="6">
        <v>1</v>
      </c>
      <c r="G715" s="6" t="s">
        <v>63</v>
      </c>
      <c r="H715" s="6">
        <v>1</v>
      </c>
      <c r="I715" s="6">
        <v>14</v>
      </c>
      <c r="J715" s="6">
        <v>11</v>
      </c>
      <c r="K715" s="6" t="s">
        <v>36</v>
      </c>
      <c r="L715" s="6" t="str">
        <f>VLOOKUP(K715, 'Alphabetical by species code'!A:B, 2, FALSE)</f>
        <v>Bromus madritensis</v>
      </c>
    </row>
    <row r="716" spans="1:12" x14ac:dyDescent="0.25">
      <c r="A716" s="6">
        <v>8</v>
      </c>
      <c r="B716" s="6">
        <v>2025</v>
      </c>
      <c r="C716" s="7">
        <v>45764</v>
      </c>
      <c r="D716" s="6" t="s">
        <v>72</v>
      </c>
      <c r="E716" s="6" t="s">
        <v>26</v>
      </c>
      <c r="F716" s="6">
        <v>1</v>
      </c>
      <c r="G716" s="6" t="s">
        <v>63</v>
      </c>
      <c r="H716" s="6">
        <v>1</v>
      </c>
      <c r="I716" s="6">
        <v>15</v>
      </c>
      <c r="J716" s="6">
        <v>12</v>
      </c>
      <c r="K716" s="6" t="s">
        <v>51</v>
      </c>
      <c r="L716" s="6" t="str">
        <f>VLOOKUP(K716, 'Alphabetical by species code'!A:B, 2, FALSE)</f>
        <v>Bareground</v>
      </c>
    </row>
    <row r="717" spans="1:12" x14ac:dyDescent="0.25">
      <c r="A717" s="6">
        <v>8</v>
      </c>
      <c r="B717" s="6">
        <v>2025</v>
      </c>
      <c r="C717" s="7">
        <v>45764</v>
      </c>
      <c r="D717" s="6" t="s">
        <v>72</v>
      </c>
      <c r="E717" s="6" t="s">
        <v>26</v>
      </c>
      <c r="F717" s="6">
        <v>1</v>
      </c>
      <c r="G717" s="6" t="s">
        <v>63</v>
      </c>
      <c r="H717" s="6">
        <v>2</v>
      </c>
      <c r="I717" s="6">
        <v>1</v>
      </c>
      <c r="J717" s="6">
        <v>0</v>
      </c>
      <c r="K717" s="6" t="s">
        <v>60</v>
      </c>
      <c r="L717" s="6" t="str">
        <f>VLOOKUP(K717, 'Alphabetical by species code'!A:B, 2, FALSE)</f>
        <v>Moss</v>
      </c>
    </row>
    <row r="718" spans="1:12" x14ac:dyDescent="0.25">
      <c r="A718" s="6">
        <v>8</v>
      </c>
      <c r="B718" s="6">
        <v>2025</v>
      </c>
      <c r="C718" s="7">
        <v>45764</v>
      </c>
      <c r="D718" s="6" t="s">
        <v>72</v>
      </c>
      <c r="E718" s="6" t="s">
        <v>26</v>
      </c>
      <c r="F718" s="6">
        <v>1</v>
      </c>
      <c r="G718" s="6" t="s">
        <v>63</v>
      </c>
      <c r="H718" s="6">
        <v>2</v>
      </c>
      <c r="I718" s="6">
        <v>1</v>
      </c>
      <c r="J718" s="6">
        <v>0</v>
      </c>
      <c r="K718" s="6" t="s">
        <v>40</v>
      </c>
      <c r="L718" s="6" t="str">
        <f>VLOOKUP(K718, 'Alphabetical by species code'!A:B, 2, FALSE)</f>
        <v>Cylindropuntia prolifera</v>
      </c>
    </row>
    <row r="719" spans="1:12" x14ac:dyDescent="0.25">
      <c r="A719" s="6">
        <v>8</v>
      </c>
      <c r="B719" s="6">
        <v>2025</v>
      </c>
      <c r="C719" s="7">
        <v>45764</v>
      </c>
      <c r="D719" s="6" t="s">
        <v>72</v>
      </c>
      <c r="E719" s="6" t="s">
        <v>26</v>
      </c>
      <c r="F719" s="6">
        <v>1</v>
      </c>
      <c r="G719" s="6" t="s">
        <v>63</v>
      </c>
      <c r="H719" s="6">
        <v>2</v>
      </c>
      <c r="I719" s="6">
        <v>1</v>
      </c>
      <c r="J719" s="6">
        <v>0</v>
      </c>
      <c r="K719" s="6" t="s">
        <v>37</v>
      </c>
      <c r="L719" s="6" t="str">
        <f>VLOOKUP(K719, 'Alphabetical by species code'!A:B, 2, FALSE)</f>
        <v>Sonchus oleraceus</v>
      </c>
    </row>
    <row r="720" spans="1:12" x14ac:dyDescent="0.25">
      <c r="A720" s="6">
        <v>8</v>
      </c>
      <c r="B720" s="6">
        <v>2025</v>
      </c>
      <c r="C720" s="7">
        <v>45764</v>
      </c>
      <c r="D720" s="6" t="s">
        <v>72</v>
      </c>
      <c r="E720" s="6" t="s">
        <v>26</v>
      </c>
      <c r="F720" s="6">
        <v>1</v>
      </c>
      <c r="G720" s="6" t="s">
        <v>63</v>
      </c>
      <c r="H720" s="6">
        <v>2</v>
      </c>
      <c r="I720" s="6">
        <v>1</v>
      </c>
      <c r="J720" s="6">
        <v>0</v>
      </c>
      <c r="K720" s="6" t="s">
        <v>73</v>
      </c>
      <c r="L720" s="6" t="str">
        <f>VLOOKUP(K720, 'Alphabetical by species code'!A:B, 2, FALSE)</f>
        <v>Eriogonum fasciculatum</v>
      </c>
    </row>
    <row r="721" spans="1:12" x14ac:dyDescent="0.25">
      <c r="A721" s="6">
        <v>8</v>
      </c>
      <c r="B721" s="6">
        <v>2025</v>
      </c>
      <c r="C721" s="7">
        <v>45764</v>
      </c>
      <c r="D721" s="6" t="s">
        <v>72</v>
      </c>
      <c r="E721" s="6" t="s">
        <v>26</v>
      </c>
      <c r="F721" s="6">
        <v>1</v>
      </c>
      <c r="G721" s="6" t="s">
        <v>63</v>
      </c>
      <c r="H721" s="6">
        <v>2</v>
      </c>
      <c r="I721" s="6">
        <v>2</v>
      </c>
      <c r="J721" s="6">
        <v>1</v>
      </c>
      <c r="K721" s="6" t="s">
        <v>28</v>
      </c>
      <c r="L721" s="6" t="str">
        <f>VLOOKUP(K721, 'Alphabetical by species code'!A:B, 2, FALSE)</f>
        <v>Litter</v>
      </c>
    </row>
    <row r="722" spans="1:12" x14ac:dyDescent="0.25">
      <c r="A722" s="6">
        <v>8</v>
      </c>
      <c r="B722" s="6">
        <v>2025</v>
      </c>
      <c r="C722" s="7">
        <v>45764</v>
      </c>
      <c r="D722" s="6" t="s">
        <v>72</v>
      </c>
      <c r="E722" s="6" t="s">
        <v>26</v>
      </c>
      <c r="F722" s="6">
        <v>1</v>
      </c>
      <c r="G722" s="6" t="s">
        <v>63</v>
      </c>
      <c r="H722" s="6">
        <v>2</v>
      </c>
      <c r="I722" s="6">
        <v>2</v>
      </c>
      <c r="J722" s="6">
        <v>1</v>
      </c>
      <c r="K722" s="6" t="s">
        <v>32</v>
      </c>
      <c r="L722" s="6" t="str">
        <f>VLOOKUP(K722, 'Alphabetical by species code'!A:B, 2, FALSE)</f>
        <v>Medicago polymorpha</v>
      </c>
    </row>
    <row r="723" spans="1:12" x14ac:dyDescent="0.25">
      <c r="A723" s="6">
        <v>8</v>
      </c>
      <c r="B723" s="6">
        <v>2025</v>
      </c>
      <c r="C723" s="7">
        <v>45764</v>
      </c>
      <c r="D723" s="6" t="s">
        <v>72</v>
      </c>
      <c r="E723" s="6" t="s">
        <v>26</v>
      </c>
      <c r="F723" s="6">
        <v>1</v>
      </c>
      <c r="G723" s="6" t="s">
        <v>63</v>
      </c>
      <c r="H723" s="6">
        <v>2</v>
      </c>
      <c r="I723" s="6">
        <v>2</v>
      </c>
      <c r="J723" s="6">
        <v>1</v>
      </c>
      <c r="K723" s="6" t="s">
        <v>34</v>
      </c>
      <c r="L723" s="6" t="str">
        <f>VLOOKUP(K723, 'Alphabetical by species code'!A:B, 2, FALSE)</f>
        <v>Erodium cicutarium</v>
      </c>
    </row>
    <row r="724" spans="1:12" x14ac:dyDescent="0.25">
      <c r="A724" s="6">
        <v>8</v>
      </c>
      <c r="B724" s="6">
        <v>2025</v>
      </c>
      <c r="C724" s="7">
        <v>45764</v>
      </c>
      <c r="D724" s="6" t="s">
        <v>72</v>
      </c>
      <c r="E724" s="6" t="s">
        <v>26</v>
      </c>
      <c r="F724" s="6">
        <v>1</v>
      </c>
      <c r="G724" s="6" t="s">
        <v>63</v>
      </c>
      <c r="H724" s="6">
        <v>2</v>
      </c>
      <c r="I724" s="6">
        <v>3</v>
      </c>
      <c r="J724" s="6">
        <v>1.5</v>
      </c>
      <c r="K724" s="6" t="s">
        <v>28</v>
      </c>
      <c r="L724" s="6" t="str">
        <f>VLOOKUP(K724, 'Alphabetical by species code'!A:B, 2, FALSE)</f>
        <v>Litter</v>
      </c>
    </row>
    <row r="725" spans="1:12" x14ac:dyDescent="0.25">
      <c r="A725" s="6">
        <v>8</v>
      </c>
      <c r="B725" s="6">
        <v>2025</v>
      </c>
      <c r="C725" s="7">
        <v>45764</v>
      </c>
      <c r="D725" s="6" t="s">
        <v>72</v>
      </c>
      <c r="E725" s="6" t="s">
        <v>26</v>
      </c>
      <c r="F725" s="6">
        <v>1</v>
      </c>
      <c r="G725" s="6" t="s">
        <v>63</v>
      </c>
      <c r="H725" s="6">
        <v>2</v>
      </c>
      <c r="I725" s="6">
        <v>3</v>
      </c>
      <c r="J725" s="6">
        <v>1.5</v>
      </c>
      <c r="K725" s="6" t="s">
        <v>35</v>
      </c>
      <c r="L725" s="6" t="str">
        <f>VLOOKUP(K725, 'Alphabetical by species code'!A:B, 2, FALSE)</f>
        <v>Deinandra fasciculata</v>
      </c>
    </row>
    <row r="726" spans="1:12" x14ac:dyDescent="0.25">
      <c r="A726" s="6">
        <v>8</v>
      </c>
      <c r="B726" s="6">
        <v>2025</v>
      </c>
      <c r="C726" s="7">
        <v>45764</v>
      </c>
      <c r="D726" s="6" t="s">
        <v>72</v>
      </c>
      <c r="E726" s="6" t="s">
        <v>26</v>
      </c>
      <c r="F726" s="6">
        <v>1</v>
      </c>
      <c r="G726" s="6" t="s">
        <v>63</v>
      </c>
      <c r="H726" s="6">
        <v>2</v>
      </c>
      <c r="I726" s="6">
        <v>3</v>
      </c>
      <c r="J726" s="6">
        <v>1.5</v>
      </c>
      <c r="K726" s="6" t="s">
        <v>30</v>
      </c>
      <c r="L726" s="6" t="str">
        <f>VLOOKUP(K726, 'Alphabetical by species code'!A:B, 2, FALSE)</f>
        <v>Erodium moschatum</v>
      </c>
    </row>
    <row r="727" spans="1:12" x14ac:dyDescent="0.25">
      <c r="A727" s="6">
        <v>8</v>
      </c>
      <c r="B727" s="6">
        <v>2025</v>
      </c>
      <c r="C727" s="7">
        <v>45764</v>
      </c>
      <c r="D727" s="6" t="s">
        <v>72</v>
      </c>
      <c r="E727" s="6" t="s">
        <v>26</v>
      </c>
      <c r="F727" s="6">
        <v>1</v>
      </c>
      <c r="G727" s="6" t="s">
        <v>63</v>
      </c>
      <c r="H727" s="6">
        <v>2</v>
      </c>
      <c r="I727" s="6">
        <v>4</v>
      </c>
      <c r="J727" s="6">
        <v>2</v>
      </c>
      <c r="K727" s="6" t="s">
        <v>28</v>
      </c>
      <c r="L727" s="6" t="str">
        <f>VLOOKUP(K727, 'Alphabetical by species code'!A:B, 2, FALSE)</f>
        <v>Litter</v>
      </c>
    </row>
    <row r="728" spans="1:12" x14ac:dyDescent="0.25">
      <c r="A728" s="6">
        <v>8</v>
      </c>
      <c r="B728" s="6">
        <v>2025</v>
      </c>
      <c r="C728" s="7">
        <v>45764</v>
      </c>
      <c r="D728" s="6" t="s">
        <v>72</v>
      </c>
      <c r="E728" s="6" t="s">
        <v>26</v>
      </c>
      <c r="F728" s="6">
        <v>1</v>
      </c>
      <c r="G728" s="6" t="s">
        <v>63</v>
      </c>
      <c r="H728" s="6">
        <v>2</v>
      </c>
      <c r="I728" s="6">
        <v>4</v>
      </c>
      <c r="J728" s="6">
        <v>2</v>
      </c>
      <c r="K728" s="6" t="s">
        <v>36</v>
      </c>
      <c r="L728" s="6" t="str">
        <f>VLOOKUP(K728, 'Alphabetical by species code'!A:B, 2, FALSE)</f>
        <v>Bromus madritensis</v>
      </c>
    </row>
    <row r="729" spans="1:12" x14ac:dyDescent="0.25">
      <c r="A729" s="6">
        <v>8</v>
      </c>
      <c r="B729" s="6">
        <v>2025</v>
      </c>
      <c r="C729" s="7">
        <v>45764</v>
      </c>
      <c r="D729" s="6" t="s">
        <v>72</v>
      </c>
      <c r="E729" s="6" t="s">
        <v>26</v>
      </c>
      <c r="F729" s="6">
        <v>1</v>
      </c>
      <c r="G729" s="6" t="s">
        <v>63</v>
      </c>
      <c r="H729" s="6">
        <v>2</v>
      </c>
      <c r="I729" s="6">
        <v>5</v>
      </c>
      <c r="J729" s="6">
        <v>3</v>
      </c>
      <c r="K729" s="6" t="s">
        <v>51</v>
      </c>
      <c r="L729" s="6" t="str">
        <f>VLOOKUP(K729, 'Alphabetical by species code'!A:B, 2, FALSE)</f>
        <v>Bareground</v>
      </c>
    </row>
    <row r="730" spans="1:12" x14ac:dyDescent="0.25">
      <c r="A730" s="6">
        <v>8</v>
      </c>
      <c r="B730" s="6">
        <v>2025</v>
      </c>
      <c r="C730" s="7">
        <v>45764</v>
      </c>
      <c r="D730" s="6" t="s">
        <v>72</v>
      </c>
      <c r="E730" s="6" t="s">
        <v>26</v>
      </c>
      <c r="F730" s="6">
        <v>1</v>
      </c>
      <c r="G730" s="6" t="s">
        <v>63</v>
      </c>
      <c r="H730" s="6">
        <v>2</v>
      </c>
      <c r="I730" s="6">
        <v>5</v>
      </c>
      <c r="J730" s="6">
        <v>3</v>
      </c>
      <c r="K730" s="6" t="s">
        <v>36</v>
      </c>
      <c r="L730" s="6" t="str">
        <f>VLOOKUP(K730, 'Alphabetical by species code'!A:B, 2, FALSE)</f>
        <v>Bromus madritensis</v>
      </c>
    </row>
    <row r="731" spans="1:12" x14ac:dyDescent="0.25">
      <c r="A731" s="6">
        <v>8</v>
      </c>
      <c r="B731" s="6">
        <v>2025</v>
      </c>
      <c r="C731" s="7">
        <v>45764</v>
      </c>
      <c r="D731" s="6" t="s">
        <v>72</v>
      </c>
      <c r="E731" s="6" t="s">
        <v>26</v>
      </c>
      <c r="F731" s="6">
        <v>1</v>
      </c>
      <c r="G731" s="6" t="s">
        <v>63</v>
      </c>
      <c r="H731" s="6">
        <v>2</v>
      </c>
      <c r="I731" s="6">
        <v>6</v>
      </c>
      <c r="J731" s="6">
        <v>3.5</v>
      </c>
      <c r="K731" s="6" t="s">
        <v>28</v>
      </c>
      <c r="L731" s="6" t="str">
        <f>VLOOKUP(K731, 'Alphabetical by species code'!A:B, 2, FALSE)</f>
        <v>Litter</v>
      </c>
    </row>
    <row r="732" spans="1:12" x14ac:dyDescent="0.25">
      <c r="A732" s="6">
        <v>8</v>
      </c>
      <c r="B732" s="6">
        <v>2025</v>
      </c>
      <c r="C732" s="7">
        <v>45764</v>
      </c>
      <c r="D732" s="6" t="s">
        <v>72</v>
      </c>
      <c r="E732" s="6" t="s">
        <v>26</v>
      </c>
      <c r="F732" s="6">
        <v>1</v>
      </c>
      <c r="G732" s="6" t="s">
        <v>63</v>
      </c>
      <c r="H732" s="6">
        <v>2</v>
      </c>
      <c r="I732" s="6">
        <v>6</v>
      </c>
      <c r="J732" s="6">
        <v>3.5</v>
      </c>
      <c r="K732" s="6" t="s">
        <v>36</v>
      </c>
      <c r="L732" s="6" t="str">
        <f>VLOOKUP(K732, 'Alphabetical by species code'!A:B, 2, FALSE)</f>
        <v>Bromus madritensis</v>
      </c>
    </row>
    <row r="733" spans="1:12" x14ac:dyDescent="0.25">
      <c r="A733" s="6">
        <v>8</v>
      </c>
      <c r="B733" s="6">
        <v>2025</v>
      </c>
      <c r="C733" s="7">
        <v>45764</v>
      </c>
      <c r="D733" s="6" t="s">
        <v>72</v>
      </c>
      <c r="E733" s="6" t="s">
        <v>26</v>
      </c>
      <c r="F733" s="6">
        <v>1</v>
      </c>
      <c r="G733" s="6" t="s">
        <v>63</v>
      </c>
      <c r="H733" s="6">
        <v>2</v>
      </c>
      <c r="I733" s="6">
        <v>7</v>
      </c>
      <c r="J733" s="6">
        <v>4</v>
      </c>
      <c r="K733" s="6" t="s">
        <v>28</v>
      </c>
      <c r="L733" s="6" t="str">
        <f>VLOOKUP(K733, 'Alphabetical by species code'!A:B, 2, FALSE)</f>
        <v>Litter</v>
      </c>
    </row>
    <row r="734" spans="1:12" x14ac:dyDescent="0.25">
      <c r="A734" s="6">
        <v>8</v>
      </c>
      <c r="B734" s="6">
        <v>2025</v>
      </c>
      <c r="C734" s="7">
        <v>45764</v>
      </c>
      <c r="D734" s="6" t="s">
        <v>72</v>
      </c>
      <c r="E734" s="6" t="s">
        <v>26</v>
      </c>
      <c r="F734" s="6">
        <v>1</v>
      </c>
      <c r="G734" s="6" t="s">
        <v>63</v>
      </c>
      <c r="H734" s="6">
        <v>2</v>
      </c>
      <c r="I734" s="6">
        <v>7</v>
      </c>
      <c r="J734" s="6">
        <v>4</v>
      </c>
      <c r="K734" s="6" t="s">
        <v>36</v>
      </c>
      <c r="L734" s="6" t="str">
        <f>VLOOKUP(K734, 'Alphabetical by species code'!A:B, 2, FALSE)</f>
        <v>Bromus madritensis</v>
      </c>
    </row>
    <row r="735" spans="1:12" x14ac:dyDescent="0.25">
      <c r="A735" s="6">
        <v>8</v>
      </c>
      <c r="B735" s="6">
        <v>2025</v>
      </c>
      <c r="C735" s="7">
        <v>45764</v>
      </c>
      <c r="D735" s="6" t="s">
        <v>72</v>
      </c>
      <c r="E735" s="6" t="s">
        <v>26</v>
      </c>
      <c r="F735" s="6">
        <v>1</v>
      </c>
      <c r="G735" s="6" t="s">
        <v>63</v>
      </c>
      <c r="H735" s="6">
        <v>2</v>
      </c>
      <c r="I735" s="6">
        <v>8</v>
      </c>
      <c r="J735" s="6">
        <v>5</v>
      </c>
      <c r="K735" s="6" t="s">
        <v>28</v>
      </c>
      <c r="L735" s="6" t="str">
        <f>VLOOKUP(K735, 'Alphabetical by species code'!A:B, 2, FALSE)</f>
        <v>Litter</v>
      </c>
    </row>
    <row r="736" spans="1:12" x14ac:dyDescent="0.25">
      <c r="A736" s="6">
        <v>8</v>
      </c>
      <c r="B736" s="6">
        <v>2025</v>
      </c>
      <c r="C736" s="7">
        <v>45764</v>
      </c>
      <c r="D736" s="6" t="s">
        <v>72</v>
      </c>
      <c r="E736" s="6" t="s">
        <v>26</v>
      </c>
      <c r="F736" s="6">
        <v>1</v>
      </c>
      <c r="G736" s="6" t="s">
        <v>63</v>
      </c>
      <c r="H736" s="6">
        <v>2</v>
      </c>
      <c r="I736" s="6">
        <v>8</v>
      </c>
      <c r="J736" s="6">
        <v>5</v>
      </c>
      <c r="K736" s="6" t="s">
        <v>35</v>
      </c>
      <c r="L736" s="6" t="str">
        <f>VLOOKUP(K736, 'Alphabetical by species code'!A:B, 2, FALSE)</f>
        <v>Deinandra fasciculata</v>
      </c>
    </row>
    <row r="737" spans="1:12" x14ac:dyDescent="0.25">
      <c r="A737" s="6">
        <v>8</v>
      </c>
      <c r="B737" s="6">
        <v>2025</v>
      </c>
      <c r="C737" s="7">
        <v>45764</v>
      </c>
      <c r="D737" s="6" t="s">
        <v>72</v>
      </c>
      <c r="E737" s="6" t="s">
        <v>26</v>
      </c>
      <c r="F737" s="6">
        <v>1</v>
      </c>
      <c r="G737" s="6" t="s">
        <v>63</v>
      </c>
      <c r="H737" s="6">
        <v>2</v>
      </c>
      <c r="I737" s="6">
        <v>8</v>
      </c>
      <c r="J737" s="6">
        <v>5</v>
      </c>
      <c r="K737" s="6" t="s">
        <v>36</v>
      </c>
      <c r="L737" s="6" t="str">
        <f>VLOOKUP(K737, 'Alphabetical by species code'!A:B, 2, FALSE)</f>
        <v>Bromus madritensis</v>
      </c>
    </row>
    <row r="738" spans="1:12" x14ac:dyDescent="0.25">
      <c r="A738" s="6">
        <v>8</v>
      </c>
      <c r="B738" s="6">
        <v>2025</v>
      </c>
      <c r="C738" s="7">
        <v>45764</v>
      </c>
      <c r="D738" s="6" t="s">
        <v>72</v>
      </c>
      <c r="E738" s="6" t="s">
        <v>26</v>
      </c>
      <c r="F738" s="6">
        <v>1</v>
      </c>
      <c r="G738" s="6" t="s">
        <v>63</v>
      </c>
      <c r="H738" s="6">
        <v>2</v>
      </c>
      <c r="I738" s="6">
        <v>9</v>
      </c>
      <c r="J738" s="6">
        <v>7</v>
      </c>
      <c r="K738" s="6" t="s">
        <v>28</v>
      </c>
      <c r="L738" s="6" t="str">
        <f>VLOOKUP(K738, 'Alphabetical by species code'!A:B, 2, FALSE)</f>
        <v>Litter</v>
      </c>
    </row>
    <row r="739" spans="1:12" x14ac:dyDescent="0.25">
      <c r="A739" s="6">
        <v>8</v>
      </c>
      <c r="B739" s="6">
        <v>2025</v>
      </c>
      <c r="C739" s="7">
        <v>45764</v>
      </c>
      <c r="D739" s="6" t="s">
        <v>72</v>
      </c>
      <c r="E739" s="6" t="s">
        <v>26</v>
      </c>
      <c r="F739" s="6">
        <v>1</v>
      </c>
      <c r="G739" s="6" t="s">
        <v>63</v>
      </c>
      <c r="H739" s="6">
        <v>2</v>
      </c>
      <c r="I739" s="6">
        <v>9</v>
      </c>
      <c r="J739" s="6">
        <v>7</v>
      </c>
      <c r="K739" s="6" t="s">
        <v>35</v>
      </c>
      <c r="L739" s="6" t="str">
        <f>VLOOKUP(K739, 'Alphabetical by species code'!A:B, 2, FALSE)</f>
        <v>Deinandra fasciculata</v>
      </c>
    </row>
    <row r="740" spans="1:12" x14ac:dyDescent="0.25">
      <c r="A740" s="6">
        <v>8</v>
      </c>
      <c r="B740" s="6">
        <v>2025</v>
      </c>
      <c r="C740" s="7">
        <v>45764</v>
      </c>
      <c r="D740" s="6" t="s">
        <v>72</v>
      </c>
      <c r="E740" s="6" t="s">
        <v>26</v>
      </c>
      <c r="F740" s="6">
        <v>1</v>
      </c>
      <c r="G740" s="6" t="s">
        <v>63</v>
      </c>
      <c r="H740" s="6">
        <v>2</v>
      </c>
      <c r="I740" s="6">
        <v>9</v>
      </c>
      <c r="J740" s="6">
        <v>7</v>
      </c>
      <c r="K740" s="6" t="s">
        <v>43</v>
      </c>
      <c r="L740" s="6" t="str">
        <f>VLOOKUP(K740, 'Alphabetical by species code'!A:B, 2, FALSE)</f>
        <v>Uropappus lindleyi</v>
      </c>
    </row>
    <row r="741" spans="1:12" x14ac:dyDescent="0.25">
      <c r="A741" s="6">
        <v>8</v>
      </c>
      <c r="B741" s="6">
        <v>2025</v>
      </c>
      <c r="C741" s="7">
        <v>45764</v>
      </c>
      <c r="D741" s="6" t="s">
        <v>72</v>
      </c>
      <c r="E741" s="6" t="s">
        <v>26</v>
      </c>
      <c r="F741" s="6">
        <v>1</v>
      </c>
      <c r="G741" s="6" t="s">
        <v>63</v>
      </c>
      <c r="H741" s="6">
        <v>2</v>
      </c>
      <c r="I741" s="6">
        <v>9</v>
      </c>
      <c r="J741" s="6">
        <v>7</v>
      </c>
      <c r="K741" s="6" t="s">
        <v>37</v>
      </c>
      <c r="L741" s="6" t="str">
        <f>VLOOKUP(K741, 'Alphabetical by species code'!A:B, 2, FALSE)</f>
        <v>Sonchus oleraceus</v>
      </c>
    </row>
    <row r="742" spans="1:12" x14ac:dyDescent="0.25">
      <c r="A742" s="6">
        <v>8</v>
      </c>
      <c r="B742" s="6">
        <v>2025</v>
      </c>
      <c r="C742" s="7">
        <v>45764</v>
      </c>
      <c r="D742" s="6" t="s">
        <v>72</v>
      </c>
      <c r="E742" s="6" t="s">
        <v>26</v>
      </c>
      <c r="F742" s="6">
        <v>1</v>
      </c>
      <c r="G742" s="6" t="s">
        <v>63</v>
      </c>
      <c r="H742" s="6">
        <v>2</v>
      </c>
      <c r="I742" s="6">
        <v>10</v>
      </c>
      <c r="J742" s="6">
        <v>8</v>
      </c>
      <c r="K742" s="6" t="s">
        <v>28</v>
      </c>
      <c r="L742" s="6" t="str">
        <f>VLOOKUP(K742, 'Alphabetical by species code'!A:B, 2, FALSE)</f>
        <v>Litter</v>
      </c>
    </row>
    <row r="743" spans="1:12" x14ac:dyDescent="0.25">
      <c r="A743" s="6">
        <v>8</v>
      </c>
      <c r="B743" s="6">
        <v>2025</v>
      </c>
      <c r="C743" s="7">
        <v>45764</v>
      </c>
      <c r="D743" s="6" t="s">
        <v>72</v>
      </c>
      <c r="E743" s="6" t="s">
        <v>26</v>
      </c>
      <c r="F743" s="6">
        <v>1</v>
      </c>
      <c r="G743" s="6" t="s">
        <v>63</v>
      </c>
      <c r="H743" s="6">
        <v>2</v>
      </c>
      <c r="I743" s="6">
        <v>10</v>
      </c>
      <c r="J743" s="6">
        <v>8</v>
      </c>
      <c r="K743" s="6" t="s">
        <v>35</v>
      </c>
      <c r="L743" s="6" t="str">
        <f>VLOOKUP(K743, 'Alphabetical by species code'!A:B, 2, FALSE)</f>
        <v>Deinandra fasciculata</v>
      </c>
    </row>
    <row r="744" spans="1:12" x14ac:dyDescent="0.25">
      <c r="A744" s="6">
        <v>8</v>
      </c>
      <c r="B744" s="6">
        <v>2025</v>
      </c>
      <c r="C744" s="7">
        <v>45764</v>
      </c>
      <c r="D744" s="6" t="s">
        <v>72</v>
      </c>
      <c r="E744" s="6" t="s">
        <v>26</v>
      </c>
      <c r="F744" s="6">
        <v>1</v>
      </c>
      <c r="G744" s="6" t="s">
        <v>63</v>
      </c>
      <c r="H744" s="6">
        <v>2</v>
      </c>
      <c r="I744" s="6">
        <v>10</v>
      </c>
      <c r="J744" s="6">
        <v>8</v>
      </c>
      <c r="K744" s="6" t="s">
        <v>65</v>
      </c>
      <c r="L744" s="6" t="str">
        <f>VLOOKUP(K744, 'Alphabetical by species code'!A:B, 2, FALSE)</f>
        <v>Cryptantha intermedia</v>
      </c>
    </row>
    <row r="745" spans="1:12" x14ac:dyDescent="0.25">
      <c r="A745" s="6">
        <v>8</v>
      </c>
      <c r="B745" s="6">
        <v>2025</v>
      </c>
      <c r="C745" s="7">
        <v>45764</v>
      </c>
      <c r="D745" s="6" t="s">
        <v>72</v>
      </c>
      <c r="E745" s="6" t="s">
        <v>26</v>
      </c>
      <c r="F745" s="6">
        <v>1</v>
      </c>
      <c r="G745" s="6" t="s">
        <v>63</v>
      </c>
      <c r="H745" s="6">
        <v>2</v>
      </c>
      <c r="I745" s="6">
        <v>11</v>
      </c>
      <c r="J745" s="6">
        <v>8.5</v>
      </c>
      <c r="K745" s="6" t="s">
        <v>28</v>
      </c>
      <c r="L745" s="6" t="str">
        <f>VLOOKUP(K745, 'Alphabetical by species code'!A:B, 2, FALSE)</f>
        <v>Litter</v>
      </c>
    </row>
    <row r="746" spans="1:12" x14ac:dyDescent="0.25">
      <c r="A746" s="6">
        <v>8</v>
      </c>
      <c r="B746" s="6">
        <v>2025</v>
      </c>
      <c r="C746" s="7">
        <v>45764</v>
      </c>
      <c r="D746" s="6" t="s">
        <v>72</v>
      </c>
      <c r="E746" s="6" t="s">
        <v>26</v>
      </c>
      <c r="F746" s="6">
        <v>1</v>
      </c>
      <c r="G746" s="6" t="s">
        <v>63</v>
      </c>
      <c r="H746" s="6">
        <v>2</v>
      </c>
      <c r="I746" s="6">
        <v>11</v>
      </c>
      <c r="J746" s="6">
        <v>8.5</v>
      </c>
      <c r="K746" s="6" t="s">
        <v>35</v>
      </c>
      <c r="L746" s="6" t="str">
        <f>VLOOKUP(K746, 'Alphabetical by species code'!A:B, 2, FALSE)</f>
        <v>Deinandra fasciculata</v>
      </c>
    </row>
    <row r="747" spans="1:12" x14ac:dyDescent="0.25">
      <c r="A747" s="6">
        <v>8</v>
      </c>
      <c r="B747" s="6">
        <v>2025</v>
      </c>
      <c r="C747" s="7">
        <v>45764</v>
      </c>
      <c r="D747" s="6" t="s">
        <v>72</v>
      </c>
      <c r="E747" s="6" t="s">
        <v>26</v>
      </c>
      <c r="F747" s="6">
        <v>1</v>
      </c>
      <c r="G747" s="6" t="s">
        <v>63</v>
      </c>
      <c r="H747" s="6">
        <v>2</v>
      </c>
      <c r="I747" s="6">
        <v>12</v>
      </c>
      <c r="J747" s="6">
        <v>9</v>
      </c>
      <c r="K747" s="6" t="s">
        <v>28</v>
      </c>
      <c r="L747" s="6" t="str">
        <f>VLOOKUP(K747, 'Alphabetical by species code'!A:B, 2, FALSE)</f>
        <v>Litter</v>
      </c>
    </row>
    <row r="748" spans="1:12" x14ac:dyDescent="0.25">
      <c r="A748" s="6">
        <v>8</v>
      </c>
      <c r="B748" s="6">
        <v>2025</v>
      </c>
      <c r="C748" s="7">
        <v>45764</v>
      </c>
      <c r="D748" s="6" t="s">
        <v>72</v>
      </c>
      <c r="E748" s="6" t="s">
        <v>26</v>
      </c>
      <c r="F748" s="6">
        <v>1</v>
      </c>
      <c r="G748" s="6" t="s">
        <v>63</v>
      </c>
      <c r="H748" s="6">
        <v>2</v>
      </c>
      <c r="I748" s="6">
        <v>12</v>
      </c>
      <c r="J748" s="6">
        <v>9</v>
      </c>
      <c r="K748" s="6" t="s">
        <v>48</v>
      </c>
      <c r="L748" s="6" t="str">
        <f>VLOOKUP(K748, 'Alphabetical by species code'!A:B, 2, FALSE)</f>
        <v>Sonchus asper</v>
      </c>
    </row>
    <row r="749" spans="1:12" x14ac:dyDescent="0.25">
      <c r="A749" s="6">
        <v>8</v>
      </c>
      <c r="B749" s="6">
        <v>2025</v>
      </c>
      <c r="C749" s="7">
        <v>45764</v>
      </c>
      <c r="D749" s="6" t="s">
        <v>72</v>
      </c>
      <c r="E749" s="6" t="s">
        <v>26</v>
      </c>
      <c r="F749" s="6">
        <v>1</v>
      </c>
      <c r="G749" s="6" t="s">
        <v>63</v>
      </c>
      <c r="H749" s="6">
        <v>2</v>
      </c>
      <c r="I749" s="6">
        <v>12</v>
      </c>
      <c r="J749" s="6">
        <v>9</v>
      </c>
      <c r="K749" s="6" t="s">
        <v>35</v>
      </c>
      <c r="L749" s="6" t="str">
        <f>VLOOKUP(K749, 'Alphabetical by species code'!A:B, 2, FALSE)</f>
        <v>Deinandra fasciculata</v>
      </c>
    </row>
    <row r="750" spans="1:12" x14ac:dyDescent="0.25">
      <c r="A750" s="6">
        <v>8</v>
      </c>
      <c r="B750" s="6">
        <v>2025</v>
      </c>
      <c r="C750" s="7">
        <v>45764</v>
      </c>
      <c r="D750" s="6" t="s">
        <v>72</v>
      </c>
      <c r="E750" s="6" t="s">
        <v>26</v>
      </c>
      <c r="F750" s="6">
        <v>1</v>
      </c>
      <c r="G750" s="6" t="s">
        <v>63</v>
      </c>
      <c r="H750" s="6">
        <v>2</v>
      </c>
      <c r="I750" s="6">
        <v>12</v>
      </c>
      <c r="J750" s="6">
        <v>9</v>
      </c>
      <c r="K750" s="6" t="s">
        <v>31</v>
      </c>
      <c r="L750" s="6" t="str">
        <f>VLOOKUP(K750, 'Alphabetical by species code'!A:B, 2, FALSE)</f>
        <v>Festuca myuros</v>
      </c>
    </row>
    <row r="751" spans="1:12" x14ac:dyDescent="0.25">
      <c r="A751" s="6">
        <v>8</v>
      </c>
      <c r="B751" s="6">
        <v>2025</v>
      </c>
      <c r="C751" s="7">
        <v>45764</v>
      </c>
      <c r="D751" s="6" t="s">
        <v>72</v>
      </c>
      <c r="E751" s="6" t="s">
        <v>26</v>
      </c>
      <c r="F751" s="6">
        <v>1</v>
      </c>
      <c r="G751" s="6" t="s">
        <v>63</v>
      </c>
      <c r="H751" s="6">
        <v>2</v>
      </c>
      <c r="I751" s="6">
        <v>13</v>
      </c>
      <c r="J751" s="6">
        <v>10</v>
      </c>
      <c r="K751" s="6" t="s">
        <v>28</v>
      </c>
      <c r="L751" s="6" t="str">
        <f>VLOOKUP(K751, 'Alphabetical by species code'!A:B, 2, FALSE)</f>
        <v>Litter</v>
      </c>
    </row>
    <row r="752" spans="1:12" x14ac:dyDescent="0.25">
      <c r="A752" s="6">
        <v>8</v>
      </c>
      <c r="B752" s="6">
        <v>2025</v>
      </c>
      <c r="C752" s="7">
        <v>45764</v>
      </c>
      <c r="D752" s="6" t="s">
        <v>72</v>
      </c>
      <c r="E752" s="6" t="s">
        <v>26</v>
      </c>
      <c r="F752" s="6">
        <v>1</v>
      </c>
      <c r="G752" s="6" t="s">
        <v>63</v>
      </c>
      <c r="H752" s="6">
        <v>2</v>
      </c>
      <c r="I752" s="6">
        <v>13</v>
      </c>
      <c r="J752" s="6">
        <v>10</v>
      </c>
      <c r="K752" s="6" t="s">
        <v>35</v>
      </c>
      <c r="L752" s="6" t="str">
        <f>VLOOKUP(K752, 'Alphabetical by species code'!A:B, 2, FALSE)</f>
        <v>Deinandra fasciculata</v>
      </c>
    </row>
    <row r="753" spans="1:12" x14ac:dyDescent="0.25">
      <c r="A753" s="6">
        <v>8</v>
      </c>
      <c r="B753" s="6">
        <v>2025</v>
      </c>
      <c r="C753" s="7">
        <v>45764</v>
      </c>
      <c r="D753" s="6" t="s">
        <v>72</v>
      </c>
      <c r="E753" s="6" t="s">
        <v>26</v>
      </c>
      <c r="F753" s="6">
        <v>1</v>
      </c>
      <c r="G753" s="6" t="s">
        <v>63</v>
      </c>
      <c r="H753" s="6">
        <v>2</v>
      </c>
      <c r="I753" s="6">
        <v>13</v>
      </c>
      <c r="J753" s="6">
        <v>10</v>
      </c>
      <c r="K753" s="6" t="s">
        <v>31</v>
      </c>
      <c r="L753" s="6" t="str">
        <f>VLOOKUP(K753, 'Alphabetical by species code'!A:B, 2, FALSE)</f>
        <v>Festuca myuros</v>
      </c>
    </row>
    <row r="754" spans="1:12" x14ac:dyDescent="0.25">
      <c r="A754" s="6">
        <v>8</v>
      </c>
      <c r="B754" s="6">
        <v>2025</v>
      </c>
      <c r="C754" s="7">
        <v>45764</v>
      </c>
      <c r="D754" s="6" t="s">
        <v>72</v>
      </c>
      <c r="E754" s="6" t="s">
        <v>26</v>
      </c>
      <c r="F754" s="6">
        <v>1</v>
      </c>
      <c r="G754" s="6" t="s">
        <v>63</v>
      </c>
      <c r="H754" s="6">
        <v>2</v>
      </c>
      <c r="I754" s="6">
        <v>14</v>
      </c>
      <c r="J754" s="6">
        <v>11</v>
      </c>
      <c r="K754" s="6" t="s">
        <v>51</v>
      </c>
      <c r="L754" s="6" t="str">
        <f>VLOOKUP(K754, 'Alphabetical by species code'!A:B, 2, FALSE)</f>
        <v>Bareground</v>
      </c>
    </row>
    <row r="755" spans="1:12" x14ac:dyDescent="0.25">
      <c r="A755" s="6">
        <v>8</v>
      </c>
      <c r="B755" s="6">
        <v>2025</v>
      </c>
      <c r="C755" s="7">
        <v>45764</v>
      </c>
      <c r="D755" s="6" t="s">
        <v>72</v>
      </c>
      <c r="E755" s="6" t="s">
        <v>26</v>
      </c>
      <c r="F755" s="6">
        <v>1</v>
      </c>
      <c r="G755" s="6" t="s">
        <v>63</v>
      </c>
      <c r="H755" s="6">
        <v>2</v>
      </c>
      <c r="I755" s="6">
        <v>14</v>
      </c>
      <c r="J755" s="6">
        <v>11</v>
      </c>
      <c r="K755" s="6" t="s">
        <v>35</v>
      </c>
      <c r="L755" s="6" t="str">
        <f>VLOOKUP(K755, 'Alphabetical by species code'!A:B, 2, FALSE)</f>
        <v>Deinandra fasciculata</v>
      </c>
    </row>
    <row r="756" spans="1:12" x14ac:dyDescent="0.25">
      <c r="A756" s="6">
        <v>8</v>
      </c>
      <c r="B756" s="6">
        <v>2025</v>
      </c>
      <c r="C756" s="7">
        <v>45764</v>
      </c>
      <c r="D756" s="6" t="s">
        <v>72</v>
      </c>
      <c r="E756" s="6" t="s">
        <v>26</v>
      </c>
      <c r="F756" s="6">
        <v>1</v>
      </c>
      <c r="G756" s="6" t="s">
        <v>63</v>
      </c>
      <c r="H756" s="6">
        <v>2</v>
      </c>
      <c r="I756" s="6">
        <v>14</v>
      </c>
      <c r="J756" s="6">
        <v>11</v>
      </c>
      <c r="K756" s="6" t="s">
        <v>31</v>
      </c>
      <c r="L756" s="6" t="str">
        <f>VLOOKUP(K756, 'Alphabetical by species code'!A:B, 2, FALSE)</f>
        <v>Festuca myuros</v>
      </c>
    </row>
    <row r="757" spans="1:12" x14ac:dyDescent="0.25">
      <c r="A757" s="6">
        <v>8</v>
      </c>
      <c r="B757" s="6">
        <v>2025</v>
      </c>
      <c r="C757" s="7">
        <v>45764</v>
      </c>
      <c r="D757" s="6" t="s">
        <v>72</v>
      </c>
      <c r="E757" s="6" t="s">
        <v>26</v>
      </c>
      <c r="F757" s="6">
        <v>1</v>
      </c>
      <c r="G757" s="6" t="s">
        <v>63</v>
      </c>
      <c r="H757" s="6">
        <v>2</v>
      </c>
      <c r="I757" s="6">
        <v>15</v>
      </c>
      <c r="J757" s="6">
        <v>12</v>
      </c>
      <c r="K757" s="6" t="s">
        <v>28</v>
      </c>
      <c r="L757" s="6" t="str">
        <f>VLOOKUP(K757, 'Alphabetical by species code'!A:B, 2, FALSE)</f>
        <v>Litter</v>
      </c>
    </row>
    <row r="758" spans="1:12" x14ac:dyDescent="0.25">
      <c r="A758" s="6">
        <v>8</v>
      </c>
      <c r="B758" s="6">
        <v>2025</v>
      </c>
      <c r="C758" s="7">
        <v>45764</v>
      </c>
      <c r="D758" s="6" t="s">
        <v>72</v>
      </c>
      <c r="E758" s="6" t="s">
        <v>26</v>
      </c>
      <c r="F758" s="6">
        <v>1</v>
      </c>
      <c r="G758" s="6" t="s">
        <v>63</v>
      </c>
      <c r="H758" s="6">
        <v>2</v>
      </c>
      <c r="I758" s="6">
        <v>15</v>
      </c>
      <c r="J758" s="6">
        <v>12</v>
      </c>
      <c r="K758" s="6" t="s">
        <v>31</v>
      </c>
      <c r="L758" s="6" t="str">
        <f>VLOOKUP(K758, 'Alphabetical by species code'!A:B, 2, FALSE)</f>
        <v>Festuca myuros</v>
      </c>
    </row>
    <row r="759" spans="1:12" x14ac:dyDescent="0.25">
      <c r="A759" s="6">
        <v>8</v>
      </c>
      <c r="B759" s="6">
        <v>2025</v>
      </c>
      <c r="C759" s="7">
        <v>45764</v>
      </c>
      <c r="D759" s="6" t="s">
        <v>72</v>
      </c>
      <c r="E759" s="6" t="s">
        <v>26</v>
      </c>
      <c r="F759" s="6">
        <v>1</v>
      </c>
      <c r="G759" s="6" t="s">
        <v>63</v>
      </c>
      <c r="H759" s="6">
        <v>2</v>
      </c>
      <c r="I759" s="6">
        <v>15</v>
      </c>
      <c r="J759" s="6">
        <v>12</v>
      </c>
      <c r="K759" s="6" t="s">
        <v>43</v>
      </c>
      <c r="L759" s="6" t="str">
        <f>VLOOKUP(K759, 'Alphabetical by species code'!A:B, 2, FALSE)</f>
        <v>Uropappus lindleyi</v>
      </c>
    </row>
    <row r="760" spans="1:12" x14ac:dyDescent="0.25">
      <c r="A760" s="6">
        <v>9</v>
      </c>
      <c r="B760" s="6">
        <v>2025</v>
      </c>
      <c r="C760" s="7">
        <v>45764</v>
      </c>
      <c r="D760" s="6" t="s">
        <v>74</v>
      </c>
      <c r="E760" s="6" t="s">
        <v>75</v>
      </c>
      <c r="F760" s="6">
        <v>1</v>
      </c>
      <c r="G760" s="6" t="s">
        <v>27</v>
      </c>
      <c r="H760" s="6">
        <v>1</v>
      </c>
      <c r="I760" s="6">
        <v>1</v>
      </c>
      <c r="J760" s="6">
        <v>0</v>
      </c>
      <c r="K760" s="6" t="s">
        <v>60</v>
      </c>
      <c r="L760" s="6" t="str">
        <f>VLOOKUP(K760, 'Alphabetical by species code'!A:B, 2, FALSE)</f>
        <v>Moss</v>
      </c>
    </row>
    <row r="761" spans="1:12" x14ac:dyDescent="0.25">
      <c r="A761" s="6">
        <v>9</v>
      </c>
      <c r="B761" s="6">
        <v>2025</v>
      </c>
      <c r="C761" s="7">
        <v>45764</v>
      </c>
      <c r="D761" s="6" t="s">
        <v>74</v>
      </c>
      <c r="E761" s="6" t="s">
        <v>75</v>
      </c>
      <c r="F761" s="6">
        <v>1</v>
      </c>
      <c r="G761" s="6" t="s">
        <v>27</v>
      </c>
      <c r="H761" s="6">
        <v>1</v>
      </c>
      <c r="I761" s="6">
        <v>1</v>
      </c>
      <c r="J761" s="6">
        <v>0</v>
      </c>
      <c r="K761" s="6" t="s">
        <v>29</v>
      </c>
      <c r="L761" s="6" t="str">
        <f>VLOOKUP(K761, 'Alphabetical by species code'!A:B, 2, FALSE)</f>
        <v>Opuntia littoralis</v>
      </c>
    </row>
    <row r="762" spans="1:12" x14ac:dyDescent="0.25">
      <c r="A762" s="6">
        <v>9</v>
      </c>
      <c r="B762" s="6">
        <v>2025</v>
      </c>
      <c r="C762" s="7">
        <v>45764</v>
      </c>
      <c r="D762" s="6" t="s">
        <v>74</v>
      </c>
      <c r="E762" s="6" t="s">
        <v>75</v>
      </c>
      <c r="F762" s="6">
        <v>1</v>
      </c>
      <c r="G762" s="6" t="s">
        <v>27</v>
      </c>
      <c r="H762" s="6">
        <v>1</v>
      </c>
      <c r="I762" s="6">
        <v>2</v>
      </c>
      <c r="J762" s="6">
        <v>0.5</v>
      </c>
      <c r="K762" s="6" t="s">
        <v>41</v>
      </c>
      <c r="L762" s="6" t="str">
        <f>VLOOKUP(K762, 'Alphabetical by species code'!A:B, 2, FALSE)</f>
        <v>Stem</v>
      </c>
    </row>
    <row r="763" spans="1:12" x14ac:dyDescent="0.25">
      <c r="A763" s="6">
        <v>9</v>
      </c>
      <c r="B763" s="6">
        <v>2025</v>
      </c>
      <c r="C763" s="7">
        <v>45764</v>
      </c>
      <c r="D763" s="6" t="s">
        <v>74</v>
      </c>
      <c r="E763" s="6" t="s">
        <v>75</v>
      </c>
      <c r="F763" s="6">
        <v>1</v>
      </c>
      <c r="G763" s="6" t="s">
        <v>27</v>
      </c>
      <c r="H763" s="6">
        <v>1</v>
      </c>
      <c r="I763" s="6">
        <v>2</v>
      </c>
      <c r="J763" s="6">
        <v>0.5</v>
      </c>
      <c r="K763" s="6" t="s">
        <v>29</v>
      </c>
      <c r="L763" s="6" t="str">
        <f>VLOOKUP(K763, 'Alphabetical by species code'!A:B, 2, FALSE)</f>
        <v>Opuntia littoralis</v>
      </c>
    </row>
    <row r="764" spans="1:12" x14ac:dyDescent="0.25">
      <c r="A764" s="6">
        <v>9</v>
      </c>
      <c r="B764" s="6">
        <v>2025</v>
      </c>
      <c r="C764" s="7">
        <v>45764</v>
      </c>
      <c r="D764" s="6" t="s">
        <v>74</v>
      </c>
      <c r="E764" s="6" t="s">
        <v>75</v>
      </c>
      <c r="F764" s="6">
        <v>1</v>
      </c>
      <c r="G764" s="6" t="s">
        <v>27</v>
      </c>
      <c r="H764" s="6">
        <v>1</v>
      </c>
      <c r="I764" s="6">
        <v>3</v>
      </c>
      <c r="J764" s="6">
        <v>1</v>
      </c>
      <c r="K764" s="6" t="s">
        <v>28</v>
      </c>
      <c r="L764" s="6" t="str">
        <f>VLOOKUP(K764, 'Alphabetical by species code'!A:B, 2, FALSE)</f>
        <v>Litter</v>
      </c>
    </row>
    <row r="765" spans="1:12" x14ac:dyDescent="0.25">
      <c r="A765" s="6">
        <v>9</v>
      </c>
      <c r="B765" s="6">
        <v>2025</v>
      </c>
      <c r="C765" s="7">
        <v>45764</v>
      </c>
      <c r="D765" s="6" t="s">
        <v>74</v>
      </c>
      <c r="E765" s="6" t="s">
        <v>75</v>
      </c>
      <c r="F765" s="6">
        <v>1</v>
      </c>
      <c r="G765" s="6" t="s">
        <v>27</v>
      </c>
      <c r="H765" s="6">
        <v>1</v>
      </c>
      <c r="I765" s="6">
        <v>3</v>
      </c>
      <c r="J765" s="6">
        <v>1</v>
      </c>
      <c r="K765" s="6" t="s">
        <v>29</v>
      </c>
      <c r="L765" s="6" t="str">
        <f>VLOOKUP(K765, 'Alphabetical by species code'!A:B, 2, FALSE)</f>
        <v>Opuntia littoralis</v>
      </c>
    </row>
    <row r="766" spans="1:12" x14ac:dyDescent="0.25">
      <c r="A766" s="6">
        <v>9</v>
      </c>
      <c r="B766" s="6">
        <v>2025</v>
      </c>
      <c r="C766" s="7">
        <v>45764</v>
      </c>
      <c r="D766" s="6" t="s">
        <v>74</v>
      </c>
      <c r="E766" s="6" t="s">
        <v>75</v>
      </c>
      <c r="F766" s="6">
        <v>1</v>
      </c>
      <c r="G766" s="6" t="s">
        <v>27</v>
      </c>
      <c r="H766" s="6">
        <v>1</v>
      </c>
      <c r="I766" s="6">
        <v>3</v>
      </c>
      <c r="J766" s="6">
        <v>1</v>
      </c>
      <c r="K766" s="6" t="s">
        <v>33</v>
      </c>
      <c r="L766" s="6" t="str">
        <f>VLOOKUP(K766, 'Alphabetical by species code'!A:B, 2, FALSE)</f>
        <v>Unknown non-native grass</v>
      </c>
    </row>
    <row r="767" spans="1:12" x14ac:dyDescent="0.25">
      <c r="A767" s="6">
        <v>9</v>
      </c>
      <c r="B767" s="6">
        <v>2025</v>
      </c>
      <c r="C767" s="7">
        <v>45764</v>
      </c>
      <c r="D767" s="6" t="s">
        <v>74</v>
      </c>
      <c r="E767" s="6" t="s">
        <v>75</v>
      </c>
      <c r="F767" s="6">
        <v>1</v>
      </c>
      <c r="G767" s="6" t="s">
        <v>27</v>
      </c>
      <c r="H767" s="6">
        <v>1</v>
      </c>
      <c r="I767" s="6">
        <v>4</v>
      </c>
      <c r="J767" s="6">
        <v>1.5</v>
      </c>
      <c r="K767" s="6" t="s">
        <v>41</v>
      </c>
      <c r="L767" s="6" t="str">
        <f>VLOOKUP(K767, 'Alphabetical by species code'!A:B, 2, FALSE)</f>
        <v>Stem</v>
      </c>
    </row>
    <row r="768" spans="1:12" x14ac:dyDescent="0.25">
      <c r="A768" s="6">
        <v>9</v>
      </c>
      <c r="B768" s="6">
        <v>2025</v>
      </c>
      <c r="C768" s="7">
        <v>45764</v>
      </c>
      <c r="D768" s="6" t="s">
        <v>74</v>
      </c>
      <c r="E768" s="6" t="s">
        <v>75</v>
      </c>
      <c r="F768" s="6">
        <v>1</v>
      </c>
      <c r="G768" s="6" t="s">
        <v>27</v>
      </c>
      <c r="H768" s="6">
        <v>1</v>
      </c>
      <c r="I768" s="6">
        <v>4</v>
      </c>
      <c r="J768" s="6">
        <v>1.5</v>
      </c>
      <c r="K768" s="6" t="s">
        <v>29</v>
      </c>
      <c r="L768" s="6" t="str">
        <f>VLOOKUP(K768, 'Alphabetical by species code'!A:B, 2, FALSE)</f>
        <v>Opuntia littoralis</v>
      </c>
    </row>
    <row r="769" spans="1:12" x14ac:dyDescent="0.25">
      <c r="A769" s="6">
        <v>9</v>
      </c>
      <c r="B769" s="6">
        <v>2025</v>
      </c>
      <c r="C769" s="7">
        <v>45764</v>
      </c>
      <c r="D769" s="6" t="s">
        <v>74</v>
      </c>
      <c r="E769" s="6" t="s">
        <v>75</v>
      </c>
      <c r="F769" s="6">
        <v>1</v>
      </c>
      <c r="G769" s="6" t="s">
        <v>27</v>
      </c>
      <c r="H769" s="6">
        <v>1</v>
      </c>
      <c r="I769" s="6">
        <v>4</v>
      </c>
      <c r="J769" s="6">
        <v>1.5</v>
      </c>
      <c r="K769" s="6" t="s">
        <v>35</v>
      </c>
      <c r="L769" s="6" t="str">
        <f>VLOOKUP(K769, 'Alphabetical by species code'!A:B, 2, FALSE)</f>
        <v>Deinandra fasciculata</v>
      </c>
    </row>
    <row r="770" spans="1:12" x14ac:dyDescent="0.25">
      <c r="A770" s="6">
        <v>9</v>
      </c>
      <c r="B770" s="6">
        <v>2025</v>
      </c>
      <c r="C770" s="7">
        <v>45764</v>
      </c>
      <c r="D770" s="6" t="s">
        <v>74</v>
      </c>
      <c r="E770" s="6" t="s">
        <v>75</v>
      </c>
      <c r="F770" s="6">
        <v>1</v>
      </c>
      <c r="G770" s="6" t="s">
        <v>27</v>
      </c>
      <c r="H770" s="6">
        <v>1</v>
      </c>
      <c r="I770" s="6">
        <v>5</v>
      </c>
      <c r="J770" s="6">
        <v>2</v>
      </c>
      <c r="K770" s="6" t="s">
        <v>28</v>
      </c>
      <c r="L770" s="6" t="str">
        <f>VLOOKUP(K770, 'Alphabetical by species code'!A:B, 2, FALSE)</f>
        <v>Litter</v>
      </c>
    </row>
    <row r="771" spans="1:12" x14ac:dyDescent="0.25">
      <c r="A771" s="6">
        <v>9</v>
      </c>
      <c r="B771" s="6">
        <v>2025</v>
      </c>
      <c r="C771" s="7">
        <v>45764</v>
      </c>
      <c r="D771" s="6" t="s">
        <v>74</v>
      </c>
      <c r="E771" s="6" t="s">
        <v>75</v>
      </c>
      <c r="F771" s="6">
        <v>1</v>
      </c>
      <c r="G771" s="6" t="s">
        <v>27</v>
      </c>
      <c r="H771" s="6">
        <v>1</v>
      </c>
      <c r="I771" s="6">
        <v>5</v>
      </c>
      <c r="J771" s="6">
        <v>2</v>
      </c>
      <c r="K771" s="6" t="s">
        <v>48</v>
      </c>
      <c r="L771" s="6" t="str">
        <f>VLOOKUP(K771, 'Alphabetical by species code'!A:B, 2, FALSE)</f>
        <v>Sonchus asper</v>
      </c>
    </row>
    <row r="772" spans="1:12" x14ac:dyDescent="0.25">
      <c r="A772" s="6">
        <v>9</v>
      </c>
      <c r="B772" s="6">
        <v>2025</v>
      </c>
      <c r="C772" s="7">
        <v>45764</v>
      </c>
      <c r="D772" s="6" t="s">
        <v>74</v>
      </c>
      <c r="E772" s="6" t="s">
        <v>75</v>
      </c>
      <c r="F772" s="6">
        <v>1</v>
      </c>
      <c r="G772" s="6" t="s">
        <v>27</v>
      </c>
      <c r="H772" s="6">
        <v>1</v>
      </c>
      <c r="I772" s="6">
        <v>5</v>
      </c>
      <c r="J772" s="6">
        <v>2</v>
      </c>
      <c r="K772" s="6" t="s">
        <v>42</v>
      </c>
      <c r="L772" s="6" t="str">
        <f>VLOOKUP(K772, 'Alphabetical by species code'!A:B, 2, FALSE)</f>
        <v>Centaurea melitensis</v>
      </c>
    </row>
    <row r="773" spans="1:12" x14ac:dyDescent="0.25">
      <c r="A773" s="6">
        <v>9</v>
      </c>
      <c r="B773" s="6">
        <v>2025</v>
      </c>
      <c r="C773" s="7">
        <v>45764</v>
      </c>
      <c r="D773" s="6" t="s">
        <v>74</v>
      </c>
      <c r="E773" s="6" t="s">
        <v>75</v>
      </c>
      <c r="F773" s="6">
        <v>1</v>
      </c>
      <c r="G773" s="6" t="s">
        <v>27</v>
      </c>
      <c r="H773" s="6">
        <v>1</v>
      </c>
      <c r="I773" s="6">
        <v>6</v>
      </c>
      <c r="J773" s="6">
        <v>2.5</v>
      </c>
      <c r="K773" s="6" t="s">
        <v>28</v>
      </c>
      <c r="L773" s="6" t="str">
        <f>VLOOKUP(K773, 'Alphabetical by species code'!A:B, 2, FALSE)</f>
        <v>Litter</v>
      </c>
    </row>
    <row r="774" spans="1:12" x14ac:dyDescent="0.25">
      <c r="A774" s="6">
        <v>9</v>
      </c>
      <c r="B774" s="6">
        <v>2025</v>
      </c>
      <c r="C774" s="7">
        <v>45764</v>
      </c>
      <c r="D774" s="6" t="s">
        <v>74</v>
      </c>
      <c r="E774" s="6" t="s">
        <v>75</v>
      </c>
      <c r="F774" s="6">
        <v>1</v>
      </c>
      <c r="G774" s="6" t="s">
        <v>27</v>
      </c>
      <c r="H774" s="6">
        <v>1</v>
      </c>
      <c r="I774" s="6">
        <v>6</v>
      </c>
      <c r="J774" s="6">
        <v>2.5</v>
      </c>
      <c r="K774" s="6" t="s">
        <v>76</v>
      </c>
      <c r="L774" s="6" t="str">
        <f>VLOOKUP(K774, 'Alphabetical by species code'!A:B, 2, FALSE)</f>
        <v>Avena fatua</v>
      </c>
    </row>
    <row r="775" spans="1:12" x14ac:dyDescent="0.25">
      <c r="A775" s="6">
        <v>9</v>
      </c>
      <c r="B775" s="6">
        <v>2025</v>
      </c>
      <c r="C775" s="7">
        <v>45764</v>
      </c>
      <c r="D775" s="6" t="s">
        <v>74</v>
      </c>
      <c r="E775" s="6" t="s">
        <v>75</v>
      </c>
      <c r="F775" s="6">
        <v>1</v>
      </c>
      <c r="G775" s="6" t="s">
        <v>27</v>
      </c>
      <c r="H775" s="6">
        <v>1</v>
      </c>
      <c r="I775" s="6">
        <v>6</v>
      </c>
      <c r="J775" s="6">
        <v>2.5</v>
      </c>
      <c r="K775" s="6" t="s">
        <v>36</v>
      </c>
      <c r="L775" s="6" t="str">
        <f>VLOOKUP(K775, 'Alphabetical by species code'!A:B, 2, FALSE)</f>
        <v>Bromus madritensis</v>
      </c>
    </row>
    <row r="776" spans="1:12" x14ac:dyDescent="0.25">
      <c r="A776" s="6">
        <v>9</v>
      </c>
      <c r="B776" s="6">
        <v>2025</v>
      </c>
      <c r="C776" s="7">
        <v>45764</v>
      </c>
      <c r="D776" s="6" t="s">
        <v>74</v>
      </c>
      <c r="E776" s="6" t="s">
        <v>75</v>
      </c>
      <c r="F776" s="6">
        <v>1</v>
      </c>
      <c r="G776" s="6" t="s">
        <v>27</v>
      </c>
      <c r="H776" s="6">
        <v>1</v>
      </c>
      <c r="I776" s="6">
        <v>6</v>
      </c>
      <c r="J776" s="6">
        <v>2.5</v>
      </c>
      <c r="K776" s="6" t="s">
        <v>29</v>
      </c>
      <c r="L776" s="6" t="str">
        <f>VLOOKUP(K776, 'Alphabetical by species code'!A:B, 2, FALSE)</f>
        <v>Opuntia littoralis</v>
      </c>
    </row>
    <row r="777" spans="1:12" x14ac:dyDescent="0.25">
      <c r="A777" s="6">
        <v>9</v>
      </c>
      <c r="B777" s="6">
        <v>2025</v>
      </c>
      <c r="C777" s="7">
        <v>45764</v>
      </c>
      <c r="D777" s="6" t="s">
        <v>74</v>
      </c>
      <c r="E777" s="6" t="s">
        <v>75</v>
      </c>
      <c r="F777" s="6">
        <v>1</v>
      </c>
      <c r="G777" s="6" t="s">
        <v>27</v>
      </c>
      <c r="H777" s="6">
        <v>1</v>
      </c>
      <c r="I777" s="6">
        <v>7</v>
      </c>
      <c r="J777" s="6">
        <v>3</v>
      </c>
      <c r="K777" s="6" t="s">
        <v>28</v>
      </c>
      <c r="L777" s="6" t="str">
        <f>VLOOKUP(K777, 'Alphabetical by species code'!A:B, 2, FALSE)</f>
        <v>Litter</v>
      </c>
    </row>
    <row r="778" spans="1:12" x14ac:dyDescent="0.25">
      <c r="A778" s="6">
        <v>9</v>
      </c>
      <c r="B778" s="6">
        <v>2025</v>
      </c>
      <c r="C778" s="7">
        <v>45764</v>
      </c>
      <c r="D778" s="6" t="s">
        <v>74</v>
      </c>
      <c r="E778" s="6" t="s">
        <v>75</v>
      </c>
      <c r="F778" s="6">
        <v>1</v>
      </c>
      <c r="G778" s="6" t="s">
        <v>27</v>
      </c>
      <c r="H778" s="6">
        <v>1</v>
      </c>
      <c r="I778" s="6">
        <v>7</v>
      </c>
      <c r="J778" s="6">
        <v>3</v>
      </c>
      <c r="K778" s="6" t="s">
        <v>35</v>
      </c>
      <c r="L778" s="6" t="str">
        <f>VLOOKUP(K778, 'Alphabetical by species code'!A:B, 2, FALSE)</f>
        <v>Deinandra fasciculata</v>
      </c>
    </row>
    <row r="779" spans="1:12" x14ac:dyDescent="0.25">
      <c r="A779" s="6">
        <v>9</v>
      </c>
      <c r="B779" s="6">
        <v>2025</v>
      </c>
      <c r="C779" s="7">
        <v>45764</v>
      </c>
      <c r="D779" s="6" t="s">
        <v>74</v>
      </c>
      <c r="E779" s="6" t="s">
        <v>75</v>
      </c>
      <c r="F779" s="6">
        <v>1</v>
      </c>
      <c r="G779" s="6" t="s">
        <v>27</v>
      </c>
      <c r="H779" s="6">
        <v>1</v>
      </c>
      <c r="I779" s="6">
        <v>7</v>
      </c>
      <c r="J779" s="6">
        <v>3</v>
      </c>
      <c r="K779" s="6" t="s">
        <v>31</v>
      </c>
      <c r="L779" s="6" t="str">
        <f>VLOOKUP(K779, 'Alphabetical by species code'!A:B, 2, FALSE)</f>
        <v>Festuca myuros</v>
      </c>
    </row>
    <row r="780" spans="1:12" x14ac:dyDescent="0.25">
      <c r="A780" s="6">
        <v>9</v>
      </c>
      <c r="B780" s="6">
        <v>2025</v>
      </c>
      <c r="C780" s="7">
        <v>45764</v>
      </c>
      <c r="D780" s="6" t="s">
        <v>74</v>
      </c>
      <c r="E780" s="6" t="s">
        <v>75</v>
      </c>
      <c r="F780" s="6">
        <v>1</v>
      </c>
      <c r="G780" s="6" t="s">
        <v>27</v>
      </c>
      <c r="H780" s="6">
        <v>1</v>
      </c>
      <c r="I780" s="6">
        <v>8</v>
      </c>
      <c r="J780" s="6">
        <v>3.5</v>
      </c>
      <c r="K780" s="6" t="s">
        <v>28</v>
      </c>
      <c r="L780" s="6" t="str">
        <f>VLOOKUP(K780, 'Alphabetical by species code'!A:B, 2, FALSE)</f>
        <v>Litter</v>
      </c>
    </row>
    <row r="781" spans="1:12" x14ac:dyDescent="0.25">
      <c r="A781" s="6">
        <v>9</v>
      </c>
      <c r="B781" s="6">
        <v>2025</v>
      </c>
      <c r="C781" s="7">
        <v>45764</v>
      </c>
      <c r="D781" s="6" t="s">
        <v>74</v>
      </c>
      <c r="E781" s="6" t="s">
        <v>75</v>
      </c>
      <c r="F781" s="6">
        <v>1</v>
      </c>
      <c r="G781" s="6" t="s">
        <v>27</v>
      </c>
      <c r="H781" s="6">
        <v>1</v>
      </c>
      <c r="I781" s="6">
        <v>8</v>
      </c>
      <c r="J781" s="6">
        <v>3.5</v>
      </c>
      <c r="K781" s="6" t="s">
        <v>35</v>
      </c>
      <c r="L781" s="6" t="str">
        <f>VLOOKUP(K781, 'Alphabetical by species code'!A:B, 2, FALSE)</f>
        <v>Deinandra fasciculata</v>
      </c>
    </row>
    <row r="782" spans="1:12" x14ac:dyDescent="0.25">
      <c r="A782" s="6">
        <v>9</v>
      </c>
      <c r="B782" s="6">
        <v>2025</v>
      </c>
      <c r="C782" s="7">
        <v>45764</v>
      </c>
      <c r="D782" s="6" t="s">
        <v>74</v>
      </c>
      <c r="E782" s="6" t="s">
        <v>75</v>
      </c>
      <c r="F782" s="6">
        <v>1</v>
      </c>
      <c r="G782" s="6" t="s">
        <v>27</v>
      </c>
      <c r="H782" s="6">
        <v>1</v>
      </c>
      <c r="I782" s="6">
        <v>8</v>
      </c>
      <c r="J782" s="6">
        <v>3.5</v>
      </c>
      <c r="K782" s="6" t="s">
        <v>37</v>
      </c>
      <c r="L782" s="6" t="str">
        <f>VLOOKUP(K782, 'Alphabetical by species code'!A:B, 2, FALSE)</f>
        <v>Sonchus oleraceus</v>
      </c>
    </row>
    <row r="783" spans="1:12" x14ac:dyDescent="0.25">
      <c r="A783" s="6">
        <v>9</v>
      </c>
      <c r="B783" s="6">
        <v>2025</v>
      </c>
      <c r="C783" s="7">
        <v>45764</v>
      </c>
      <c r="D783" s="6" t="s">
        <v>74</v>
      </c>
      <c r="E783" s="6" t="s">
        <v>75</v>
      </c>
      <c r="F783" s="6">
        <v>1</v>
      </c>
      <c r="G783" s="6" t="s">
        <v>27</v>
      </c>
      <c r="H783" s="6">
        <v>1</v>
      </c>
      <c r="I783" s="6">
        <v>9</v>
      </c>
      <c r="J783" s="6">
        <v>4</v>
      </c>
      <c r="K783" s="6" t="s">
        <v>28</v>
      </c>
      <c r="L783" s="6" t="str">
        <f>VLOOKUP(K783, 'Alphabetical by species code'!A:B, 2, FALSE)</f>
        <v>Litter</v>
      </c>
    </row>
    <row r="784" spans="1:12" x14ac:dyDescent="0.25">
      <c r="A784" s="6">
        <v>9</v>
      </c>
      <c r="B784" s="6">
        <v>2025</v>
      </c>
      <c r="C784" s="7">
        <v>45764</v>
      </c>
      <c r="D784" s="6" t="s">
        <v>74</v>
      </c>
      <c r="E784" s="6" t="s">
        <v>75</v>
      </c>
      <c r="F784" s="6">
        <v>1</v>
      </c>
      <c r="G784" s="6" t="s">
        <v>27</v>
      </c>
      <c r="H784" s="6">
        <v>1</v>
      </c>
      <c r="I784" s="6">
        <v>9</v>
      </c>
      <c r="J784" s="6">
        <v>4</v>
      </c>
      <c r="K784" s="6" t="s">
        <v>36</v>
      </c>
      <c r="L784" s="6" t="str">
        <f>VLOOKUP(K784, 'Alphabetical by species code'!A:B, 2, FALSE)</f>
        <v>Bromus madritensis</v>
      </c>
    </row>
    <row r="785" spans="1:12" x14ac:dyDescent="0.25">
      <c r="A785" s="6">
        <v>9</v>
      </c>
      <c r="B785" s="6">
        <v>2025</v>
      </c>
      <c r="C785" s="7">
        <v>45764</v>
      </c>
      <c r="D785" s="6" t="s">
        <v>74</v>
      </c>
      <c r="E785" s="6" t="s">
        <v>75</v>
      </c>
      <c r="F785" s="6">
        <v>1</v>
      </c>
      <c r="G785" s="6" t="s">
        <v>27</v>
      </c>
      <c r="H785" s="6">
        <v>1</v>
      </c>
      <c r="I785" s="6">
        <v>9</v>
      </c>
      <c r="J785" s="6">
        <v>4</v>
      </c>
      <c r="K785" s="6" t="s">
        <v>35</v>
      </c>
      <c r="L785" s="6" t="str">
        <f>VLOOKUP(K785, 'Alphabetical by species code'!A:B, 2, FALSE)</f>
        <v>Deinandra fasciculata</v>
      </c>
    </row>
    <row r="786" spans="1:12" x14ac:dyDescent="0.25">
      <c r="A786" s="6">
        <v>9</v>
      </c>
      <c r="B786" s="6">
        <v>2025</v>
      </c>
      <c r="C786" s="7">
        <v>45764</v>
      </c>
      <c r="D786" s="6" t="s">
        <v>74</v>
      </c>
      <c r="E786" s="6" t="s">
        <v>75</v>
      </c>
      <c r="F786" s="6">
        <v>1</v>
      </c>
      <c r="G786" s="6" t="s">
        <v>27</v>
      </c>
      <c r="H786" s="6">
        <v>1</v>
      </c>
      <c r="I786" s="6">
        <v>9</v>
      </c>
      <c r="J786" s="6">
        <v>4</v>
      </c>
      <c r="K786" s="6" t="s">
        <v>43</v>
      </c>
      <c r="L786" s="6" t="str">
        <f>VLOOKUP(K786, 'Alphabetical by species code'!A:B, 2, FALSE)</f>
        <v>Uropappus lindleyi</v>
      </c>
    </row>
    <row r="787" spans="1:12" x14ac:dyDescent="0.25">
      <c r="A787" s="6">
        <v>9</v>
      </c>
      <c r="B787" s="6">
        <v>2025</v>
      </c>
      <c r="C787" s="7">
        <v>45764</v>
      </c>
      <c r="D787" s="6" t="s">
        <v>74</v>
      </c>
      <c r="E787" s="6" t="s">
        <v>75</v>
      </c>
      <c r="F787" s="6">
        <v>1</v>
      </c>
      <c r="G787" s="6" t="s">
        <v>27</v>
      </c>
      <c r="H787" s="6">
        <v>1</v>
      </c>
      <c r="I787" s="6">
        <v>10</v>
      </c>
      <c r="J787" s="6">
        <v>4.5</v>
      </c>
      <c r="K787" s="6" t="s">
        <v>28</v>
      </c>
      <c r="L787" s="6" t="str">
        <f>VLOOKUP(K787, 'Alphabetical by species code'!A:B, 2, FALSE)</f>
        <v>Litter</v>
      </c>
    </row>
    <row r="788" spans="1:12" x14ac:dyDescent="0.25">
      <c r="A788" s="6">
        <v>9</v>
      </c>
      <c r="B788" s="6">
        <v>2025</v>
      </c>
      <c r="C788" s="7">
        <v>45764</v>
      </c>
      <c r="D788" s="6" t="s">
        <v>74</v>
      </c>
      <c r="E788" s="6" t="s">
        <v>75</v>
      </c>
      <c r="F788" s="6">
        <v>1</v>
      </c>
      <c r="G788" s="6" t="s">
        <v>27</v>
      </c>
      <c r="H788" s="6">
        <v>1</v>
      </c>
      <c r="I788" s="6">
        <v>10</v>
      </c>
      <c r="J788" s="6">
        <v>4.5</v>
      </c>
      <c r="K788" s="6" t="s">
        <v>48</v>
      </c>
      <c r="L788" s="6" t="str">
        <f>VLOOKUP(K788, 'Alphabetical by species code'!A:B, 2, FALSE)</f>
        <v>Sonchus asper</v>
      </c>
    </row>
    <row r="789" spans="1:12" x14ac:dyDescent="0.25">
      <c r="A789" s="6">
        <v>9</v>
      </c>
      <c r="B789" s="6">
        <v>2025</v>
      </c>
      <c r="C789" s="7">
        <v>45764</v>
      </c>
      <c r="D789" s="6" t="s">
        <v>74</v>
      </c>
      <c r="E789" s="6" t="s">
        <v>75</v>
      </c>
      <c r="F789" s="6">
        <v>1</v>
      </c>
      <c r="G789" s="6" t="s">
        <v>27</v>
      </c>
      <c r="H789" s="6">
        <v>1</v>
      </c>
      <c r="I789" s="6">
        <v>10</v>
      </c>
      <c r="J789" s="6">
        <v>4.5</v>
      </c>
      <c r="K789" s="6" t="s">
        <v>37</v>
      </c>
      <c r="L789" s="6" t="str">
        <f>VLOOKUP(K789, 'Alphabetical by species code'!A:B, 2, FALSE)</f>
        <v>Sonchus oleraceus</v>
      </c>
    </row>
    <row r="790" spans="1:12" x14ac:dyDescent="0.25">
      <c r="A790" s="6">
        <v>9</v>
      </c>
      <c r="B790" s="6">
        <v>2025</v>
      </c>
      <c r="C790" s="7">
        <v>45764</v>
      </c>
      <c r="D790" s="6" t="s">
        <v>74</v>
      </c>
      <c r="E790" s="6" t="s">
        <v>75</v>
      </c>
      <c r="F790" s="6">
        <v>1</v>
      </c>
      <c r="G790" s="6" t="s">
        <v>27</v>
      </c>
      <c r="H790" s="6">
        <v>1</v>
      </c>
      <c r="I790" s="6">
        <v>10</v>
      </c>
      <c r="J790" s="6">
        <v>4.5</v>
      </c>
      <c r="K790" s="6" t="s">
        <v>36</v>
      </c>
      <c r="L790" s="6" t="str">
        <f>VLOOKUP(K790, 'Alphabetical by species code'!A:B, 2, FALSE)</f>
        <v>Bromus madritensis</v>
      </c>
    </row>
    <row r="791" spans="1:12" x14ac:dyDescent="0.25">
      <c r="A791" s="6">
        <v>9</v>
      </c>
      <c r="B791" s="6">
        <v>2025</v>
      </c>
      <c r="C791" s="7">
        <v>45764</v>
      </c>
      <c r="D791" s="6" t="s">
        <v>74</v>
      </c>
      <c r="E791" s="6" t="s">
        <v>75</v>
      </c>
      <c r="F791" s="6">
        <v>1</v>
      </c>
      <c r="G791" s="6" t="s">
        <v>27</v>
      </c>
      <c r="H791" s="6">
        <v>1</v>
      </c>
      <c r="I791" s="6">
        <v>10</v>
      </c>
      <c r="J791" s="6">
        <v>4.5</v>
      </c>
      <c r="K791" s="6" t="s">
        <v>31</v>
      </c>
      <c r="L791" s="6" t="str">
        <f>VLOOKUP(K791, 'Alphabetical by species code'!A:B, 2, FALSE)</f>
        <v>Festuca myuros</v>
      </c>
    </row>
    <row r="792" spans="1:12" x14ac:dyDescent="0.25">
      <c r="A792" s="6">
        <v>9</v>
      </c>
      <c r="B792" s="6">
        <v>2025</v>
      </c>
      <c r="C792" s="7">
        <v>45764</v>
      </c>
      <c r="D792" s="6" t="s">
        <v>74</v>
      </c>
      <c r="E792" s="6" t="s">
        <v>75</v>
      </c>
      <c r="F792" s="6">
        <v>1</v>
      </c>
      <c r="G792" s="6" t="s">
        <v>27</v>
      </c>
      <c r="H792" s="6">
        <v>1</v>
      </c>
      <c r="I792" s="6">
        <v>11</v>
      </c>
      <c r="J792" s="6">
        <v>5</v>
      </c>
      <c r="K792" s="6" t="s">
        <v>28</v>
      </c>
      <c r="L792" s="6" t="str">
        <f>VLOOKUP(K792, 'Alphabetical by species code'!A:B, 2, FALSE)</f>
        <v>Litter</v>
      </c>
    </row>
    <row r="793" spans="1:12" x14ac:dyDescent="0.25">
      <c r="A793" s="6">
        <v>9</v>
      </c>
      <c r="B793" s="6">
        <v>2025</v>
      </c>
      <c r="C793" s="7">
        <v>45764</v>
      </c>
      <c r="D793" s="6" t="s">
        <v>74</v>
      </c>
      <c r="E793" s="6" t="s">
        <v>75</v>
      </c>
      <c r="F793" s="6">
        <v>1</v>
      </c>
      <c r="G793" s="6" t="s">
        <v>27</v>
      </c>
      <c r="H793" s="6">
        <v>1</v>
      </c>
      <c r="I793" s="6">
        <v>11</v>
      </c>
      <c r="J793" s="6">
        <v>5</v>
      </c>
      <c r="K793" s="6" t="s">
        <v>36</v>
      </c>
      <c r="L793" s="6" t="str">
        <f>VLOOKUP(K793, 'Alphabetical by species code'!A:B, 2, FALSE)</f>
        <v>Bromus madritensis</v>
      </c>
    </row>
    <row r="794" spans="1:12" x14ac:dyDescent="0.25">
      <c r="A794" s="6">
        <v>9</v>
      </c>
      <c r="B794" s="6">
        <v>2025</v>
      </c>
      <c r="C794" s="7">
        <v>45764</v>
      </c>
      <c r="D794" s="6" t="s">
        <v>74</v>
      </c>
      <c r="E794" s="6" t="s">
        <v>75</v>
      </c>
      <c r="F794" s="6">
        <v>1</v>
      </c>
      <c r="G794" s="6" t="s">
        <v>27</v>
      </c>
      <c r="H794" s="6">
        <v>1</v>
      </c>
      <c r="I794" s="6">
        <v>11</v>
      </c>
      <c r="J794" s="6">
        <v>5</v>
      </c>
      <c r="K794" s="6" t="s">
        <v>48</v>
      </c>
      <c r="L794" s="6" t="str">
        <f>VLOOKUP(K794, 'Alphabetical by species code'!A:B, 2, FALSE)</f>
        <v>Sonchus asper</v>
      </c>
    </row>
    <row r="795" spans="1:12" x14ac:dyDescent="0.25">
      <c r="A795" s="6">
        <v>9</v>
      </c>
      <c r="B795" s="6">
        <v>2025</v>
      </c>
      <c r="C795" s="7">
        <v>45764</v>
      </c>
      <c r="D795" s="6" t="s">
        <v>74</v>
      </c>
      <c r="E795" s="6" t="s">
        <v>75</v>
      </c>
      <c r="F795" s="6">
        <v>1</v>
      </c>
      <c r="G795" s="6" t="s">
        <v>27</v>
      </c>
      <c r="H795" s="6">
        <v>1</v>
      </c>
      <c r="I795" s="6">
        <v>12</v>
      </c>
      <c r="J795" s="6">
        <v>5.5</v>
      </c>
      <c r="K795" s="6" t="s">
        <v>28</v>
      </c>
      <c r="L795" s="6" t="str">
        <f>VLOOKUP(K795, 'Alphabetical by species code'!A:B, 2, FALSE)</f>
        <v>Litter</v>
      </c>
    </row>
    <row r="796" spans="1:12" x14ac:dyDescent="0.25">
      <c r="A796" s="6">
        <v>9</v>
      </c>
      <c r="B796" s="6">
        <v>2025</v>
      </c>
      <c r="C796" s="7">
        <v>45764</v>
      </c>
      <c r="D796" s="6" t="s">
        <v>74</v>
      </c>
      <c r="E796" s="6" t="s">
        <v>75</v>
      </c>
      <c r="F796" s="6">
        <v>1</v>
      </c>
      <c r="G796" s="6" t="s">
        <v>27</v>
      </c>
      <c r="H796" s="6">
        <v>1</v>
      </c>
      <c r="I796" s="6">
        <v>12</v>
      </c>
      <c r="J796" s="6">
        <v>5.5</v>
      </c>
      <c r="K796" s="6" t="s">
        <v>49</v>
      </c>
      <c r="L796" s="6" t="str">
        <f>VLOOKUP(K796, 'Alphabetical by species code'!A:B, 2, FALSE)</f>
        <v>Anagallis arvensis</v>
      </c>
    </row>
    <row r="797" spans="1:12" x14ac:dyDescent="0.25">
      <c r="A797" s="6">
        <v>9</v>
      </c>
      <c r="B797" s="6">
        <v>2025</v>
      </c>
      <c r="C797" s="7">
        <v>45764</v>
      </c>
      <c r="D797" s="6" t="s">
        <v>74</v>
      </c>
      <c r="E797" s="6" t="s">
        <v>75</v>
      </c>
      <c r="F797" s="6">
        <v>1</v>
      </c>
      <c r="G797" s="6" t="s">
        <v>27</v>
      </c>
      <c r="H797" s="6">
        <v>1</v>
      </c>
      <c r="I797" s="6">
        <v>13</v>
      </c>
      <c r="J797" s="6">
        <v>6.5</v>
      </c>
      <c r="K797" s="6" t="s">
        <v>28</v>
      </c>
      <c r="L797" s="6" t="str">
        <f>VLOOKUP(K797, 'Alphabetical by species code'!A:B, 2, FALSE)</f>
        <v>Litter</v>
      </c>
    </row>
    <row r="798" spans="1:12" x14ac:dyDescent="0.25">
      <c r="A798" s="6">
        <v>9</v>
      </c>
      <c r="B798" s="6">
        <v>2025</v>
      </c>
      <c r="C798" s="7">
        <v>45764</v>
      </c>
      <c r="D798" s="6" t="s">
        <v>74</v>
      </c>
      <c r="E798" s="6" t="s">
        <v>75</v>
      </c>
      <c r="F798" s="6">
        <v>1</v>
      </c>
      <c r="G798" s="6" t="s">
        <v>27</v>
      </c>
      <c r="H798" s="6">
        <v>1</v>
      </c>
      <c r="I798" s="6">
        <v>13</v>
      </c>
      <c r="J798" s="6">
        <v>6.5</v>
      </c>
      <c r="K798" s="6" t="s">
        <v>49</v>
      </c>
      <c r="L798" s="6" t="str">
        <f>VLOOKUP(K798, 'Alphabetical by species code'!A:B, 2, FALSE)</f>
        <v>Anagallis arvensis</v>
      </c>
    </row>
    <row r="799" spans="1:12" x14ac:dyDescent="0.25">
      <c r="A799" s="6">
        <v>9</v>
      </c>
      <c r="B799" s="6">
        <v>2025</v>
      </c>
      <c r="C799" s="7">
        <v>45764</v>
      </c>
      <c r="D799" s="6" t="s">
        <v>74</v>
      </c>
      <c r="E799" s="6" t="s">
        <v>75</v>
      </c>
      <c r="F799" s="6">
        <v>1</v>
      </c>
      <c r="G799" s="6" t="s">
        <v>27</v>
      </c>
      <c r="H799" s="6">
        <v>1</v>
      </c>
      <c r="I799" s="6">
        <v>13</v>
      </c>
      <c r="J799" s="6">
        <v>6.5</v>
      </c>
      <c r="K799" s="6" t="s">
        <v>35</v>
      </c>
      <c r="L799" s="6" t="str">
        <f>VLOOKUP(K799, 'Alphabetical by species code'!A:B, 2, FALSE)</f>
        <v>Deinandra fasciculata</v>
      </c>
    </row>
    <row r="800" spans="1:12" x14ac:dyDescent="0.25">
      <c r="A800" s="6">
        <v>9</v>
      </c>
      <c r="B800" s="6">
        <v>2025</v>
      </c>
      <c r="C800" s="7">
        <v>45764</v>
      </c>
      <c r="D800" s="6" t="s">
        <v>74</v>
      </c>
      <c r="E800" s="6" t="s">
        <v>75</v>
      </c>
      <c r="F800" s="6">
        <v>1</v>
      </c>
      <c r="G800" s="6" t="s">
        <v>27</v>
      </c>
      <c r="H800" s="6">
        <v>1</v>
      </c>
      <c r="I800" s="6">
        <v>13</v>
      </c>
      <c r="J800" s="6">
        <v>6.5</v>
      </c>
      <c r="K800" s="6" t="s">
        <v>31</v>
      </c>
      <c r="L800" s="6" t="str">
        <f>VLOOKUP(K800, 'Alphabetical by species code'!A:B, 2, FALSE)</f>
        <v>Festuca myuros</v>
      </c>
    </row>
    <row r="801" spans="1:12" x14ac:dyDescent="0.25">
      <c r="A801" s="6">
        <v>9</v>
      </c>
      <c r="B801" s="6">
        <v>2025</v>
      </c>
      <c r="C801" s="7">
        <v>45764</v>
      </c>
      <c r="D801" s="6" t="s">
        <v>74</v>
      </c>
      <c r="E801" s="6" t="s">
        <v>75</v>
      </c>
      <c r="F801" s="6">
        <v>1</v>
      </c>
      <c r="G801" s="6" t="s">
        <v>27</v>
      </c>
      <c r="H801" s="6">
        <v>1</v>
      </c>
      <c r="I801" s="6">
        <v>14</v>
      </c>
      <c r="J801" s="6">
        <v>7</v>
      </c>
      <c r="K801" s="6" t="s">
        <v>28</v>
      </c>
      <c r="L801" s="6" t="str">
        <f>VLOOKUP(K801, 'Alphabetical by species code'!A:B, 2, FALSE)</f>
        <v>Litter</v>
      </c>
    </row>
    <row r="802" spans="1:12" x14ac:dyDescent="0.25">
      <c r="A802" s="6">
        <v>9</v>
      </c>
      <c r="B802" s="6">
        <v>2025</v>
      </c>
      <c r="C802" s="7">
        <v>45764</v>
      </c>
      <c r="D802" s="6" t="s">
        <v>74</v>
      </c>
      <c r="E802" s="6" t="s">
        <v>75</v>
      </c>
      <c r="F802" s="6">
        <v>1</v>
      </c>
      <c r="G802" s="6" t="s">
        <v>27</v>
      </c>
      <c r="H802" s="6">
        <v>1</v>
      </c>
      <c r="I802" s="6">
        <v>14</v>
      </c>
      <c r="J802" s="6">
        <v>7</v>
      </c>
      <c r="K802" s="6" t="s">
        <v>43</v>
      </c>
      <c r="L802" s="6" t="str">
        <f>VLOOKUP(K802, 'Alphabetical by species code'!A:B, 2, FALSE)</f>
        <v>Uropappus lindleyi</v>
      </c>
    </row>
    <row r="803" spans="1:12" x14ac:dyDescent="0.25">
      <c r="A803" s="6">
        <v>9</v>
      </c>
      <c r="B803" s="6">
        <v>2025</v>
      </c>
      <c r="C803" s="7">
        <v>45764</v>
      </c>
      <c r="D803" s="6" t="s">
        <v>74</v>
      </c>
      <c r="E803" s="6" t="s">
        <v>75</v>
      </c>
      <c r="F803" s="6">
        <v>1</v>
      </c>
      <c r="G803" s="6" t="s">
        <v>27</v>
      </c>
      <c r="H803" s="6">
        <v>1</v>
      </c>
      <c r="I803" s="6">
        <v>14</v>
      </c>
      <c r="J803" s="6">
        <v>7</v>
      </c>
      <c r="K803" s="6" t="s">
        <v>49</v>
      </c>
      <c r="L803" s="6" t="str">
        <f>VLOOKUP(K803, 'Alphabetical by species code'!A:B, 2, FALSE)</f>
        <v>Anagallis arvensis</v>
      </c>
    </row>
    <row r="804" spans="1:12" x14ac:dyDescent="0.25">
      <c r="A804" s="6">
        <v>9</v>
      </c>
      <c r="B804" s="6">
        <v>2025</v>
      </c>
      <c r="C804" s="7">
        <v>45764</v>
      </c>
      <c r="D804" s="6" t="s">
        <v>74</v>
      </c>
      <c r="E804" s="6" t="s">
        <v>75</v>
      </c>
      <c r="F804" s="6">
        <v>1</v>
      </c>
      <c r="G804" s="6" t="s">
        <v>27</v>
      </c>
      <c r="H804" s="6">
        <v>1</v>
      </c>
      <c r="I804" s="6">
        <v>14</v>
      </c>
      <c r="J804" s="6">
        <v>7</v>
      </c>
      <c r="K804" s="6" t="s">
        <v>48</v>
      </c>
      <c r="L804" s="6" t="str">
        <f>VLOOKUP(K804, 'Alphabetical by species code'!A:B, 2, FALSE)</f>
        <v>Sonchus asper</v>
      </c>
    </row>
    <row r="805" spans="1:12" x14ac:dyDescent="0.25">
      <c r="A805" s="6">
        <v>9</v>
      </c>
      <c r="B805" s="6">
        <v>2025</v>
      </c>
      <c r="C805" s="7">
        <v>45764</v>
      </c>
      <c r="D805" s="6" t="s">
        <v>74</v>
      </c>
      <c r="E805" s="6" t="s">
        <v>75</v>
      </c>
      <c r="F805" s="6">
        <v>1</v>
      </c>
      <c r="G805" s="6" t="s">
        <v>27</v>
      </c>
      <c r="H805" s="6">
        <v>1</v>
      </c>
      <c r="I805" s="6">
        <v>15</v>
      </c>
      <c r="J805" s="6">
        <v>7.5</v>
      </c>
      <c r="K805" s="6" t="s">
        <v>28</v>
      </c>
      <c r="L805" s="6" t="str">
        <f>VLOOKUP(K805, 'Alphabetical by species code'!A:B, 2, FALSE)</f>
        <v>Litter</v>
      </c>
    </row>
    <row r="806" spans="1:12" x14ac:dyDescent="0.25">
      <c r="A806" s="6">
        <v>9</v>
      </c>
      <c r="B806" s="6">
        <v>2025</v>
      </c>
      <c r="C806" s="7">
        <v>45764</v>
      </c>
      <c r="D806" s="6" t="s">
        <v>74</v>
      </c>
      <c r="E806" s="6" t="s">
        <v>75</v>
      </c>
      <c r="F806" s="6">
        <v>1</v>
      </c>
      <c r="G806" s="6" t="s">
        <v>27</v>
      </c>
      <c r="H806" s="6">
        <v>1</v>
      </c>
      <c r="I806" s="6">
        <v>15</v>
      </c>
      <c r="J806" s="6">
        <v>7.5</v>
      </c>
      <c r="K806" s="6" t="s">
        <v>36</v>
      </c>
      <c r="L806" s="6" t="str">
        <f>VLOOKUP(K806, 'Alphabetical by species code'!A:B, 2, FALSE)</f>
        <v>Bromus madritensis</v>
      </c>
    </row>
    <row r="807" spans="1:12" x14ac:dyDescent="0.25">
      <c r="A807" s="6">
        <v>9</v>
      </c>
      <c r="B807" s="6">
        <v>2025</v>
      </c>
      <c r="C807" s="7">
        <v>45764</v>
      </c>
      <c r="D807" s="6" t="s">
        <v>74</v>
      </c>
      <c r="E807" s="6" t="s">
        <v>75</v>
      </c>
      <c r="F807" s="6">
        <v>1</v>
      </c>
      <c r="G807" s="6" t="s">
        <v>27</v>
      </c>
      <c r="H807" s="6">
        <v>1</v>
      </c>
      <c r="I807" s="6">
        <v>15</v>
      </c>
      <c r="J807" s="6">
        <v>7.5</v>
      </c>
      <c r="K807" s="6" t="s">
        <v>43</v>
      </c>
      <c r="L807" s="6" t="str">
        <f>VLOOKUP(K807, 'Alphabetical by species code'!A:B, 2, FALSE)</f>
        <v>Uropappus lindleyi</v>
      </c>
    </row>
    <row r="808" spans="1:12" x14ac:dyDescent="0.25">
      <c r="A808" s="6">
        <v>9</v>
      </c>
      <c r="B808" s="6">
        <v>2025</v>
      </c>
      <c r="C808" s="7">
        <v>45764</v>
      </c>
      <c r="D808" s="6" t="s">
        <v>74</v>
      </c>
      <c r="E808" s="6" t="s">
        <v>75</v>
      </c>
      <c r="F808" s="6">
        <v>1</v>
      </c>
      <c r="G808" s="6" t="s">
        <v>27</v>
      </c>
      <c r="H808" s="6">
        <v>2</v>
      </c>
      <c r="I808" s="6">
        <v>1</v>
      </c>
      <c r="J808" s="6">
        <v>0</v>
      </c>
      <c r="K808" s="6" t="s">
        <v>28</v>
      </c>
      <c r="L808" s="6" t="str">
        <f>VLOOKUP(K808, 'Alphabetical by species code'!A:B, 2, FALSE)</f>
        <v>Litter</v>
      </c>
    </row>
    <row r="809" spans="1:12" x14ac:dyDescent="0.25">
      <c r="A809" s="6">
        <v>9</v>
      </c>
      <c r="B809" s="6">
        <v>2025</v>
      </c>
      <c r="C809" s="7">
        <v>45764</v>
      </c>
      <c r="D809" s="6" t="s">
        <v>74</v>
      </c>
      <c r="E809" s="6" t="s">
        <v>75</v>
      </c>
      <c r="F809" s="6">
        <v>1</v>
      </c>
      <c r="G809" s="6" t="s">
        <v>27</v>
      </c>
      <c r="H809" s="6">
        <v>2</v>
      </c>
      <c r="I809" s="6">
        <v>1</v>
      </c>
      <c r="J809" s="6">
        <v>0</v>
      </c>
      <c r="K809" s="6" t="s">
        <v>36</v>
      </c>
      <c r="L809" s="6" t="str">
        <f>VLOOKUP(K809, 'Alphabetical by species code'!A:B, 2, FALSE)</f>
        <v>Bromus madritensis</v>
      </c>
    </row>
    <row r="810" spans="1:12" x14ac:dyDescent="0.25">
      <c r="A810" s="6">
        <v>9</v>
      </c>
      <c r="B810" s="6">
        <v>2025</v>
      </c>
      <c r="C810" s="7">
        <v>45764</v>
      </c>
      <c r="D810" s="6" t="s">
        <v>74</v>
      </c>
      <c r="E810" s="6" t="s">
        <v>75</v>
      </c>
      <c r="F810" s="6">
        <v>1</v>
      </c>
      <c r="G810" s="6" t="s">
        <v>27</v>
      </c>
      <c r="H810" s="6">
        <v>2</v>
      </c>
      <c r="I810" s="6">
        <v>1</v>
      </c>
      <c r="J810" s="6">
        <v>0</v>
      </c>
      <c r="K810" s="6" t="s">
        <v>31</v>
      </c>
      <c r="L810" s="6" t="str">
        <f>VLOOKUP(K810, 'Alphabetical by species code'!A:B, 2, FALSE)</f>
        <v>Festuca myuros</v>
      </c>
    </row>
    <row r="811" spans="1:12" x14ac:dyDescent="0.25">
      <c r="A811" s="6">
        <v>9</v>
      </c>
      <c r="B811" s="6">
        <v>2025</v>
      </c>
      <c r="C811" s="7">
        <v>45764</v>
      </c>
      <c r="D811" s="6" t="s">
        <v>74</v>
      </c>
      <c r="E811" s="6" t="s">
        <v>75</v>
      </c>
      <c r="F811" s="6">
        <v>1</v>
      </c>
      <c r="G811" s="6" t="s">
        <v>27</v>
      </c>
      <c r="H811" s="6">
        <v>2</v>
      </c>
      <c r="I811" s="6">
        <v>1</v>
      </c>
      <c r="J811" s="6">
        <v>0</v>
      </c>
      <c r="K811" s="6" t="s">
        <v>42</v>
      </c>
      <c r="L811" s="6" t="str">
        <f>VLOOKUP(K811, 'Alphabetical by species code'!A:B, 2, FALSE)</f>
        <v>Centaurea melitensis</v>
      </c>
    </row>
    <row r="812" spans="1:12" x14ac:dyDescent="0.25">
      <c r="A812" s="6">
        <v>9</v>
      </c>
      <c r="B812" s="6">
        <v>2025</v>
      </c>
      <c r="C812" s="7">
        <v>45764</v>
      </c>
      <c r="D812" s="6" t="s">
        <v>74</v>
      </c>
      <c r="E812" s="6" t="s">
        <v>75</v>
      </c>
      <c r="F812" s="6">
        <v>1</v>
      </c>
      <c r="G812" s="6" t="s">
        <v>27</v>
      </c>
      <c r="H812" s="6">
        <v>2</v>
      </c>
      <c r="I812" s="6">
        <v>1</v>
      </c>
      <c r="J812" s="6">
        <v>0</v>
      </c>
      <c r="K812" s="6" t="s">
        <v>29</v>
      </c>
      <c r="L812" s="6" t="str">
        <f>VLOOKUP(K812, 'Alphabetical by species code'!A:B, 2, FALSE)</f>
        <v>Opuntia littoralis</v>
      </c>
    </row>
    <row r="813" spans="1:12" x14ac:dyDescent="0.25">
      <c r="A813" s="6">
        <v>9</v>
      </c>
      <c r="B813" s="6">
        <v>2025</v>
      </c>
      <c r="C813" s="7">
        <v>45764</v>
      </c>
      <c r="D813" s="6" t="s">
        <v>74</v>
      </c>
      <c r="E813" s="6" t="s">
        <v>75</v>
      </c>
      <c r="F813" s="6">
        <v>1</v>
      </c>
      <c r="G813" s="6" t="s">
        <v>27</v>
      </c>
      <c r="H813" s="6">
        <v>2</v>
      </c>
      <c r="I813" s="6">
        <v>2</v>
      </c>
      <c r="J813" s="6">
        <v>0.5</v>
      </c>
      <c r="K813" s="6" t="s">
        <v>41</v>
      </c>
      <c r="L813" s="6" t="str">
        <f>VLOOKUP(K813, 'Alphabetical by species code'!A:B, 2, FALSE)</f>
        <v>Stem</v>
      </c>
    </row>
    <row r="814" spans="1:12" x14ac:dyDescent="0.25">
      <c r="A814" s="6">
        <v>9</v>
      </c>
      <c r="B814" s="6">
        <v>2025</v>
      </c>
      <c r="C814" s="7">
        <v>45764</v>
      </c>
      <c r="D814" s="6" t="s">
        <v>74</v>
      </c>
      <c r="E814" s="6" t="s">
        <v>75</v>
      </c>
      <c r="F814" s="6">
        <v>1</v>
      </c>
      <c r="G814" s="6" t="s">
        <v>27</v>
      </c>
      <c r="H814" s="6">
        <v>2</v>
      </c>
      <c r="I814" s="6">
        <v>2</v>
      </c>
      <c r="J814" s="6">
        <v>0.5</v>
      </c>
      <c r="K814" s="6" t="s">
        <v>29</v>
      </c>
      <c r="L814" s="6" t="str">
        <f>VLOOKUP(K814, 'Alphabetical by species code'!A:B, 2, FALSE)</f>
        <v>Opuntia littoralis</v>
      </c>
    </row>
    <row r="815" spans="1:12" x14ac:dyDescent="0.25">
      <c r="A815" s="6">
        <v>9</v>
      </c>
      <c r="B815" s="6">
        <v>2025</v>
      </c>
      <c r="C815" s="7">
        <v>45764</v>
      </c>
      <c r="D815" s="6" t="s">
        <v>74</v>
      </c>
      <c r="E815" s="6" t="s">
        <v>75</v>
      </c>
      <c r="F815" s="6">
        <v>1</v>
      </c>
      <c r="G815" s="6" t="s">
        <v>27</v>
      </c>
      <c r="H815" s="6">
        <v>2</v>
      </c>
      <c r="I815" s="6">
        <v>2</v>
      </c>
      <c r="J815" s="6">
        <v>0.5</v>
      </c>
      <c r="K815" s="6" t="s">
        <v>36</v>
      </c>
      <c r="L815" s="6" t="str">
        <f>VLOOKUP(K815, 'Alphabetical by species code'!A:B, 2, FALSE)</f>
        <v>Bromus madritensis</v>
      </c>
    </row>
    <row r="816" spans="1:12" x14ac:dyDescent="0.25">
      <c r="A816" s="6">
        <v>9</v>
      </c>
      <c r="B816" s="6">
        <v>2025</v>
      </c>
      <c r="C816" s="7">
        <v>45764</v>
      </c>
      <c r="D816" s="6" t="s">
        <v>74</v>
      </c>
      <c r="E816" s="6" t="s">
        <v>75</v>
      </c>
      <c r="F816" s="6">
        <v>1</v>
      </c>
      <c r="G816" s="6" t="s">
        <v>27</v>
      </c>
      <c r="H816" s="6">
        <v>2</v>
      </c>
      <c r="I816" s="6">
        <v>3</v>
      </c>
      <c r="J816" s="6">
        <v>1</v>
      </c>
      <c r="K816" s="6" t="s">
        <v>28</v>
      </c>
      <c r="L816" s="6" t="str">
        <f>VLOOKUP(K816, 'Alphabetical by species code'!A:B, 2, FALSE)</f>
        <v>Litter</v>
      </c>
    </row>
    <row r="817" spans="1:12" x14ac:dyDescent="0.25">
      <c r="A817" s="6">
        <v>9</v>
      </c>
      <c r="B817" s="6">
        <v>2025</v>
      </c>
      <c r="C817" s="7">
        <v>45764</v>
      </c>
      <c r="D817" s="6" t="s">
        <v>74</v>
      </c>
      <c r="E817" s="6" t="s">
        <v>75</v>
      </c>
      <c r="F817" s="6">
        <v>1</v>
      </c>
      <c r="G817" s="6" t="s">
        <v>27</v>
      </c>
      <c r="H817" s="6">
        <v>2</v>
      </c>
      <c r="I817" s="6">
        <v>3</v>
      </c>
      <c r="J817" s="6">
        <v>1</v>
      </c>
      <c r="K817" s="6" t="s">
        <v>29</v>
      </c>
      <c r="L817" s="6" t="str">
        <f>VLOOKUP(K817, 'Alphabetical by species code'!A:B, 2, FALSE)</f>
        <v>Opuntia littoralis</v>
      </c>
    </row>
    <row r="818" spans="1:12" x14ac:dyDescent="0.25">
      <c r="A818" s="6">
        <v>9</v>
      </c>
      <c r="B818" s="6">
        <v>2025</v>
      </c>
      <c r="C818" s="7">
        <v>45764</v>
      </c>
      <c r="D818" s="6" t="s">
        <v>74</v>
      </c>
      <c r="E818" s="6" t="s">
        <v>75</v>
      </c>
      <c r="F818" s="6">
        <v>1</v>
      </c>
      <c r="G818" s="6" t="s">
        <v>27</v>
      </c>
      <c r="H818" s="6">
        <v>2</v>
      </c>
      <c r="I818" s="6">
        <v>3</v>
      </c>
      <c r="J818" s="6">
        <v>1</v>
      </c>
      <c r="K818" s="6" t="s">
        <v>36</v>
      </c>
      <c r="L818" s="6" t="str">
        <f>VLOOKUP(K818, 'Alphabetical by species code'!A:B, 2, FALSE)</f>
        <v>Bromus madritensis</v>
      </c>
    </row>
    <row r="819" spans="1:12" x14ac:dyDescent="0.25">
      <c r="A819" s="6">
        <v>9</v>
      </c>
      <c r="B819" s="6">
        <v>2025</v>
      </c>
      <c r="C819" s="7">
        <v>45764</v>
      </c>
      <c r="D819" s="6" t="s">
        <v>74</v>
      </c>
      <c r="E819" s="6" t="s">
        <v>75</v>
      </c>
      <c r="F819" s="6">
        <v>1</v>
      </c>
      <c r="G819" s="6" t="s">
        <v>27</v>
      </c>
      <c r="H819" s="6">
        <v>2</v>
      </c>
      <c r="I819" s="6">
        <v>3</v>
      </c>
      <c r="J819" s="6">
        <v>1</v>
      </c>
      <c r="K819" s="6" t="s">
        <v>49</v>
      </c>
      <c r="L819" s="6" t="str">
        <f>VLOOKUP(K819, 'Alphabetical by species code'!A:B, 2, FALSE)</f>
        <v>Anagallis arvensis</v>
      </c>
    </row>
    <row r="820" spans="1:12" x14ac:dyDescent="0.25">
      <c r="A820" s="6">
        <v>9</v>
      </c>
      <c r="B820" s="6">
        <v>2025</v>
      </c>
      <c r="C820" s="7">
        <v>45764</v>
      </c>
      <c r="D820" s="6" t="s">
        <v>74</v>
      </c>
      <c r="E820" s="6" t="s">
        <v>75</v>
      </c>
      <c r="F820" s="6">
        <v>1</v>
      </c>
      <c r="G820" s="6" t="s">
        <v>27</v>
      </c>
      <c r="H820" s="6">
        <v>2</v>
      </c>
      <c r="I820" s="6">
        <v>3</v>
      </c>
      <c r="J820" s="6">
        <v>1</v>
      </c>
      <c r="K820" s="6" t="s">
        <v>35</v>
      </c>
      <c r="L820" s="6" t="str">
        <f>VLOOKUP(K820, 'Alphabetical by species code'!A:B, 2, FALSE)</f>
        <v>Deinandra fasciculata</v>
      </c>
    </row>
    <row r="821" spans="1:12" x14ac:dyDescent="0.25">
      <c r="A821" s="6">
        <v>9</v>
      </c>
      <c r="B821" s="6">
        <v>2025</v>
      </c>
      <c r="C821" s="7">
        <v>45764</v>
      </c>
      <c r="D821" s="6" t="s">
        <v>74</v>
      </c>
      <c r="E821" s="6" t="s">
        <v>75</v>
      </c>
      <c r="F821" s="6">
        <v>1</v>
      </c>
      <c r="G821" s="6" t="s">
        <v>27</v>
      </c>
      <c r="H821" s="6">
        <v>2</v>
      </c>
      <c r="I821" s="6">
        <v>4</v>
      </c>
      <c r="J821" s="6">
        <v>1.5</v>
      </c>
      <c r="K821" s="6" t="s">
        <v>51</v>
      </c>
      <c r="L821" s="6" t="str">
        <f>VLOOKUP(K821, 'Alphabetical by species code'!A:B, 2, FALSE)</f>
        <v>Bareground</v>
      </c>
    </row>
    <row r="822" spans="1:12" x14ac:dyDescent="0.25">
      <c r="A822" s="6">
        <v>9</v>
      </c>
      <c r="B822" s="6">
        <v>2025</v>
      </c>
      <c r="C822" s="7">
        <v>45764</v>
      </c>
      <c r="D822" s="6" t="s">
        <v>74</v>
      </c>
      <c r="E822" s="6" t="s">
        <v>75</v>
      </c>
      <c r="F822" s="6">
        <v>1</v>
      </c>
      <c r="G822" s="6" t="s">
        <v>27</v>
      </c>
      <c r="H822" s="6">
        <v>2</v>
      </c>
      <c r="I822" s="6">
        <v>4</v>
      </c>
      <c r="J822" s="6">
        <v>1.5</v>
      </c>
      <c r="K822" s="6" t="s">
        <v>31</v>
      </c>
      <c r="L822" s="6" t="str">
        <f>VLOOKUP(K822, 'Alphabetical by species code'!A:B, 2, FALSE)</f>
        <v>Festuca myuros</v>
      </c>
    </row>
    <row r="823" spans="1:12" x14ac:dyDescent="0.25">
      <c r="A823" s="6">
        <v>9</v>
      </c>
      <c r="B823" s="6">
        <v>2025</v>
      </c>
      <c r="C823" s="7">
        <v>45764</v>
      </c>
      <c r="D823" s="6" t="s">
        <v>74</v>
      </c>
      <c r="E823" s="6" t="s">
        <v>75</v>
      </c>
      <c r="F823" s="6">
        <v>1</v>
      </c>
      <c r="G823" s="6" t="s">
        <v>27</v>
      </c>
      <c r="H823" s="6">
        <v>2</v>
      </c>
      <c r="I823" s="6">
        <v>5</v>
      </c>
      <c r="J823" s="6">
        <v>2.5</v>
      </c>
      <c r="K823" s="6" t="s">
        <v>28</v>
      </c>
      <c r="L823" s="6" t="str">
        <f>VLOOKUP(K823, 'Alphabetical by species code'!A:B, 2, FALSE)</f>
        <v>Litter</v>
      </c>
    </row>
    <row r="824" spans="1:12" x14ac:dyDescent="0.25">
      <c r="A824" s="6">
        <v>9</v>
      </c>
      <c r="B824" s="6">
        <v>2025</v>
      </c>
      <c r="C824" s="7">
        <v>45764</v>
      </c>
      <c r="D824" s="6" t="s">
        <v>74</v>
      </c>
      <c r="E824" s="6" t="s">
        <v>75</v>
      </c>
      <c r="F824" s="6">
        <v>1</v>
      </c>
      <c r="G824" s="6" t="s">
        <v>27</v>
      </c>
      <c r="H824" s="6">
        <v>2</v>
      </c>
      <c r="I824" s="6">
        <v>5</v>
      </c>
      <c r="J824" s="6">
        <v>2.5</v>
      </c>
      <c r="K824" s="6" t="s">
        <v>42</v>
      </c>
      <c r="L824" s="6" t="str">
        <f>VLOOKUP(K824, 'Alphabetical by species code'!A:B, 2, FALSE)</f>
        <v>Centaurea melitensis</v>
      </c>
    </row>
    <row r="825" spans="1:12" x14ac:dyDescent="0.25">
      <c r="A825" s="6">
        <v>9</v>
      </c>
      <c r="B825" s="6">
        <v>2025</v>
      </c>
      <c r="C825" s="7">
        <v>45764</v>
      </c>
      <c r="D825" s="6" t="s">
        <v>74</v>
      </c>
      <c r="E825" s="6" t="s">
        <v>75</v>
      </c>
      <c r="F825" s="6">
        <v>1</v>
      </c>
      <c r="G825" s="6" t="s">
        <v>27</v>
      </c>
      <c r="H825" s="6">
        <v>2</v>
      </c>
      <c r="I825" s="6">
        <v>5</v>
      </c>
      <c r="J825" s="6">
        <v>2.5</v>
      </c>
      <c r="K825" s="6" t="s">
        <v>48</v>
      </c>
      <c r="L825" s="6" t="str">
        <f>VLOOKUP(K825, 'Alphabetical by species code'!A:B, 2, FALSE)</f>
        <v>Sonchus asper</v>
      </c>
    </row>
    <row r="826" spans="1:12" x14ac:dyDescent="0.25">
      <c r="A826" s="6">
        <v>9</v>
      </c>
      <c r="B826" s="6">
        <v>2025</v>
      </c>
      <c r="C826" s="7">
        <v>45764</v>
      </c>
      <c r="D826" s="6" t="s">
        <v>74</v>
      </c>
      <c r="E826" s="6" t="s">
        <v>75</v>
      </c>
      <c r="F826" s="6">
        <v>1</v>
      </c>
      <c r="G826" s="6" t="s">
        <v>27</v>
      </c>
      <c r="H826" s="6">
        <v>2</v>
      </c>
      <c r="I826" s="6">
        <v>6</v>
      </c>
      <c r="J826" s="6">
        <v>3</v>
      </c>
      <c r="K826" s="6" t="s">
        <v>28</v>
      </c>
      <c r="L826" s="6" t="str">
        <f>VLOOKUP(K826, 'Alphabetical by species code'!A:B, 2, FALSE)</f>
        <v>Litter</v>
      </c>
    </row>
    <row r="827" spans="1:12" x14ac:dyDescent="0.25">
      <c r="A827" s="6">
        <v>9</v>
      </c>
      <c r="B827" s="6">
        <v>2025</v>
      </c>
      <c r="C827" s="7">
        <v>45764</v>
      </c>
      <c r="D827" s="6" t="s">
        <v>74</v>
      </c>
      <c r="E827" s="6" t="s">
        <v>75</v>
      </c>
      <c r="F827" s="6">
        <v>1</v>
      </c>
      <c r="G827" s="6" t="s">
        <v>27</v>
      </c>
      <c r="H827" s="6">
        <v>2</v>
      </c>
      <c r="I827" s="6">
        <v>6</v>
      </c>
      <c r="J827" s="6">
        <v>3</v>
      </c>
      <c r="K827" s="6" t="s">
        <v>40</v>
      </c>
      <c r="L827" s="6" t="str">
        <f>VLOOKUP(K827, 'Alphabetical by species code'!A:B, 2, FALSE)</f>
        <v>Cylindropuntia prolifera</v>
      </c>
    </row>
    <row r="828" spans="1:12" x14ac:dyDescent="0.25">
      <c r="A828" s="6">
        <v>9</v>
      </c>
      <c r="B828" s="6">
        <v>2025</v>
      </c>
      <c r="C828" s="7">
        <v>45764</v>
      </c>
      <c r="D828" s="6" t="s">
        <v>74</v>
      </c>
      <c r="E828" s="6" t="s">
        <v>75</v>
      </c>
      <c r="F828" s="6">
        <v>1</v>
      </c>
      <c r="G828" s="6" t="s">
        <v>27</v>
      </c>
      <c r="H828" s="6">
        <v>2</v>
      </c>
      <c r="I828" s="6">
        <v>6</v>
      </c>
      <c r="J828" s="6">
        <v>3</v>
      </c>
      <c r="K828" s="6" t="s">
        <v>31</v>
      </c>
      <c r="L828" s="6" t="str">
        <f>VLOOKUP(K828, 'Alphabetical by species code'!A:B, 2, FALSE)</f>
        <v>Festuca myuros</v>
      </c>
    </row>
    <row r="829" spans="1:12" x14ac:dyDescent="0.25">
      <c r="A829" s="6">
        <v>9</v>
      </c>
      <c r="B829" s="6">
        <v>2025</v>
      </c>
      <c r="C829" s="7">
        <v>45764</v>
      </c>
      <c r="D829" s="6" t="s">
        <v>74</v>
      </c>
      <c r="E829" s="6" t="s">
        <v>75</v>
      </c>
      <c r="F829" s="6">
        <v>1</v>
      </c>
      <c r="G829" s="6" t="s">
        <v>27</v>
      </c>
      <c r="H829" s="6">
        <v>2</v>
      </c>
      <c r="I829" s="6">
        <v>6</v>
      </c>
      <c r="J829" s="6">
        <v>3</v>
      </c>
      <c r="K829" s="6" t="s">
        <v>36</v>
      </c>
      <c r="L829" s="6" t="str">
        <f>VLOOKUP(K829, 'Alphabetical by species code'!A:B, 2, FALSE)</f>
        <v>Bromus madritensis</v>
      </c>
    </row>
    <row r="830" spans="1:12" x14ac:dyDescent="0.25">
      <c r="A830" s="6">
        <v>9</v>
      </c>
      <c r="B830" s="6">
        <v>2025</v>
      </c>
      <c r="C830" s="7">
        <v>45764</v>
      </c>
      <c r="D830" s="6" t="s">
        <v>74</v>
      </c>
      <c r="E830" s="6" t="s">
        <v>75</v>
      </c>
      <c r="F830" s="6">
        <v>1</v>
      </c>
      <c r="G830" s="6" t="s">
        <v>27</v>
      </c>
      <c r="H830" s="6">
        <v>2</v>
      </c>
      <c r="I830" s="6">
        <v>6</v>
      </c>
      <c r="J830" s="6">
        <v>3</v>
      </c>
      <c r="K830" s="6" t="s">
        <v>35</v>
      </c>
      <c r="L830" s="6" t="str">
        <f>VLOOKUP(K830, 'Alphabetical by species code'!A:B, 2, FALSE)</f>
        <v>Deinandra fasciculata</v>
      </c>
    </row>
    <row r="831" spans="1:12" x14ac:dyDescent="0.25">
      <c r="A831" s="6">
        <v>9</v>
      </c>
      <c r="B831" s="6">
        <v>2025</v>
      </c>
      <c r="C831" s="7">
        <v>45764</v>
      </c>
      <c r="D831" s="6" t="s">
        <v>74</v>
      </c>
      <c r="E831" s="6" t="s">
        <v>75</v>
      </c>
      <c r="F831" s="6">
        <v>1</v>
      </c>
      <c r="G831" s="6" t="s">
        <v>27</v>
      </c>
      <c r="H831" s="6">
        <v>2</v>
      </c>
      <c r="I831" s="6">
        <v>7</v>
      </c>
      <c r="J831" s="6">
        <v>3.5</v>
      </c>
      <c r="K831" s="6" t="s">
        <v>28</v>
      </c>
      <c r="L831" s="6" t="str">
        <f>VLOOKUP(K831, 'Alphabetical by species code'!A:B, 2, FALSE)</f>
        <v>Litter</v>
      </c>
    </row>
    <row r="832" spans="1:12" x14ac:dyDescent="0.25">
      <c r="A832" s="6">
        <v>9</v>
      </c>
      <c r="B832" s="6">
        <v>2025</v>
      </c>
      <c r="C832" s="7">
        <v>45764</v>
      </c>
      <c r="D832" s="6" t="s">
        <v>74</v>
      </c>
      <c r="E832" s="6" t="s">
        <v>75</v>
      </c>
      <c r="F832" s="6">
        <v>1</v>
      </c>
      <c r="G832" s="6" t="s">
        <v>27</v>
      </c>
      <c r="H832" s="6">
        <v>2</v>
      </c>
      <c r="I832" s="6">
        <v>7</v>
      </c>
      <c r="J832" s="6">
        <v>3.5</v>
      </c>
      <c r="K832" s="6" t="s">
        <v>48</v>
      </c>
      <c r="L832" s="6" t="str">
        <f>VLOOKUP(K832, 'Alphabetical by species code'!A:B, 2, FALSE)</f>
        <v>Sonchus asper</v>
      </c>
    </row>
    <row r="833" spans="1:12" x14ac:dyDescent="0.25">
      <c r="A833" s="6">
        <v>9</v>
      </c>
      <c r="B833" s="6">
        <v>2025</v>
      </c>
      <c r="C833" s="7">
        <v>45764</v>
      </c>
      <c r="D833" s="6" t="s">
        <v>74</v>
      </c>
      <c r="E833" s="6" t="s">
        <v>75</v>
      </c>
      <c r="F833" s="6">
        <v>1</v>
      </c>
      <c r="G833" s="6" t="s">
        <v>27</v>
      </c>
      <c r="H833" s="6">
        <v>2</v>
      </c>
      <c r="I833" s="6">
        <v>7</v>
      </c>
      <c r="J833" s="6">
        <v>3.5</v>
      </c>
      <c r="K833" s="6" t="s">
        <v>31</v>
      </c>
      <c r="L833" s="6" t="str">
        <f>VLOOKUP(K833, 'Alphabetical by species code'!A:B, 2, FALSE)</f>
        <v>Festuca myuros</v>
      </c>
    </row>
    <row r="834" spans="1:12" x14ac:dyDescent="0.25">
      <c r="A834" s="6">
        <v>9</v>
      </c>
      <c r="B834" s="6">
        <v>2025</v>
      </c>
      <c r="C834" s="7">
        <v>45764</v>
      </c>
      <c r="D834" s="6" t="s">
        <v>74</v>
      </c>
      <c r="E834" s="6" t="s">
        <v>75</v>
      </c>
      <c r="F834" s="6">
        <v>1</v>
      </c>
      <c r="G834" s="6" t="s">
        <v>27</v>
      </c>
      <c r="H834" s="6">
        <v>2</v>
      </c>
      <c r="I834" s="6">
        <v>7</v>
      </c>
      <c r="J834" s="6">
        <v>3.5</v>
      </c>
      <c r="K834" s="6" t="s">
        <v>35</v>
      </c>
      <c r="L834" s="6" t="str">
        <f>VLOOKUP(K834, 'Alphabetical by species code'!A:B, 2, FALSE)</f>
        <v>Deinandra fasciculata</v>
      </c>
    </row>
    <row r="835" spans="1:12" x14ac:dyDescent="0.25">
      <c r="A835" s="6">
        <v>9</v>
      </c>
      <c r="B835" s="6">
        <v>2025</v>
      </c>
      <c r="C835" s="7">
        <v>45764</v>
      </c>
      <c r="D835" s="6" t="s">
        <v>74</v>
      </c>
      <c r="E835" s="6" t="s">
        <v>75</v>
      </c>
      <c r="F835" s="6">
        <v>1</v>
      </c>
      <c r="G835" s="6" t="s">
        <v>27</v>
      </c>
      <c r="H835" s="6">
        <v>2</v>
      </c>
      <c r="I835" s="6">
        <v>8</v>
      </c>
      <c r="J835" s="6">
        <v>4</v>
      </c>
      <c r="K835" s="6" t="s">
        <v>28</v>
      </c>
      <c r="L835" s="6" t="str">
        <f>VLOOKUP(K835, 'Alphabetical by species code'!A:B, 2, FALSE)</f>
        <v>Litter</v>
      </c>
    </row>
    <row r="836" spans="1:12" x14ac:dyDescent="0.25">
      <c r="A836" s="6">
        <v>9</v>
      </c>
      <c r="B836" s="6">
        <v>2025</v>
      </c>
      <c r="C836" s="7">
        <v>45764</v>
      </c>
      <c r="D836" s="6" t="s">
        <v>74</v>
      </c>
      <c r="E836" s="6" t="s">
        <v>75</v>
      </c>
      <c r="F836" s="6">
        <v>1</v>
      </c>
      <c r="G836" s="6" t="s">
        <v>27</v>
      </c>
      <c r="H836" s="6">
        <v>2</v>
      </c>
      <c r="I836" s="6">
        <v>8</v>
      </c>
      <c r="J836" s="6">
        <v>4</v>
      </c>
      <c r="K836" s="6" t="s">
        <v>31</v>
      </c>
      <c r="L836" s="6" t="str">
        <f>VLOOKUP(K836, 'Alphabetical by species code'!A:B, 2, FALSE)</f>
        <v>Festuca myuros</v>
      </c>
    </row>
    <row r="837" spans="1:12" x14ac:dyDescent="0.25">
      <c r="A837" s="6">
        <v>9</v>
      </c>
      <c r="B837" s="6">
        <v>2025</v>
      </c>
      <c r="C837" s="7">
        <v>45764</v>
      </c>
      <c r="D837" s="6" t="s">
        <v>74</v>
      </c>
      <c r="E837" s="6" t="s">
        <v>75</v>
      </c>
      <c r="F837" s="6">
        <v>1</v>
      </c>
      <c r="G837" s="6" t="s">
        <v>27</v>
      </c>
      <c r="H837" s="6">
        <v>2</v>
      </c>
      <c r="I837" s="6">
        <v>8</v>
      </c>
      <c r="J837" s="6">
        <v>4</v>
      </c>
      <c r="K837" s="6" t="s">
        <v>36</v>
      </c>
      <c r="L837" s="6" t="str">
        <f>VLOOKUP(K837, 'Alphabetical by species code'!A:B, 2, FALSE)</f>
        <v>Bromus madritensis</v>
      </c>
    </row>
    <row r="838" spans="1:12" x14ac:dyDescent="0.25">
      <c r="A838" s="6">
        <v>9</v>
      </c>
      <c r="B838" s="6">
        <v>2025</v>
      </c>
      <c r="C838" s="7">
        <v>45764</v>
      </c>
      <c r="D838" s="6" t="s">
        <v>74</v>
      </c>
      <c r="E838" s="6" t="s">
        <v>75</v>
      </c>
      <c r="F838" s="6">
        <v>1</v>
      </c>
      <c r="G838" s="6" t="s">
        <v>27</v>
      </c>
      <c r="H838" s="6">
        <v>2</v>
      </c>
      <c r="I838" s="6">
        <v>8</v>
      </c>
      <c r="J838" s="6">
        <v>4</v>
      </c>
      <c r="K838" s="6" t="s">
        <v>30</v>
      </c>
      <c r="L838" s="6" t="str">
        <f>VLOOKUP(K838, 'Alphabetical by species code'!A:B, 2, FALSE)</f>
        <v>Erodium moschatum</v>
      </c>
    </row>
    <row r="839" spans="1:12" x14ac:dyDescent="0.25">
      <c r="A839" s="6">
        <v>9</v>
      </c>
      <c r="B839" s="6">
        <v>2025</v>
      </c>
      <c r="C839" s="7">
        <v>45764</v>
      </c>
      <c r="D839" s="6" t="s">
        <v>74</v>
      </c>
      <c r="E839" s="6" t="s">
        <v>75</v>
      </c>
      <c r="F839" s="6">
        <v>1</v>
      </c>
      <c r="G839" s="6" t="s">
        <v>27</v>
      </c>
      <c r="H839" s="6">
        <v>2</v>
      </c>
      <c r="I839" s="6">
        <v>9</v>
      </c>
      <c r="J839" s="6">
        <v>4.5</v>
      </c>
      <c r="K839" s="6" t="s">
        <v>28</v>
      </c>
      <c r="L839" s="6" t="str">
        <f>VLOOKUP(K839, 'Alphabetical by species code'!A:B, 2, FALSE)</f>
        <v>Litter</v>
      </c>
    </row>
    <row r="840" spans="1:12" x14ac:dyDescent="0.25">
      <c r="A840" s="6">
        <v>9</v>
      </c>
      <c r="B840" s="6">
        <v>2025</v>
      </c>
      <c r="C840" s="7">
        <v>45764</v>
      </c>
      <c r="D840" s="6" t="s">
        <v>74</v>
      </c>
      <c r="E840" s="6" t="s">
        <v>75</v>
      </c>
      <c r="F840" s="6">
        <v>1</v>
      </c>
      <c r="G840" s="6" t="s">
        <v>27</v>
      </c>
      <c r="H840" s="6">
        <v>2</v>
      </c>
      <c r="I840" s="6">
        <v>9</v>
      </c>
      <c r="J840" s="6">
        <v>4.5</v>
      </c>
      <c r="K840" s="6" t="s">
        <v>65</v>
      </c>
      <c r="L840" s="6" t="str">
        <f>VLOOKUP(K840, 'Alphabetical by species code'!A:B, 2, FALSE)</f>
        <v>Cryptantha intermedia</v>
      </c>
    </row>
    <row r="841" spans="1:12" x14ac:dyDescent="0.25">
      <c r="A841" s="6">
        <v>9</v>
      </c>
      <c r="B841" s="6">
        <v>2025</v>
      </c>
      <c r="C841" s="7">
        <v>45764</v>
      </c>
      <c r="D841" s="6" t="s">
        <v>74</v>
      </c>
      <c r="E841" s="6" t="s">
        <v>75</v>
      </c>
      <c r="F841" s="6">
        <v>1</v>
      </c>
      <c r="G841" s="6" t="s">
        <v>27</v>
      </c>
      <c r="H841" s="6">
        <v>2</v>
      </c>
      <c r="I841" s="6">
        <v>9</v>
      </c>
      <c r="J841" s="6">
        <v>4.5</v>
      </c>
      <c r="K841" s="6" t="s">
        <v>48</v>
      </c>
      <c r="L841" s="6" t="str">
        <f>VLOOKUP(K841, 'Alphabetical by species code'!A:B, 2, FALSE)</f>
        <v>Sonchus asper</v>
      </c>
    </row>
    <row r="842" spans="1:12" x14ac:dyDescent="0.25">
      <c r="A842" s="6">
        <v>9</v>
      </c>
      <c r="B842" s="6">
        <v>2025</v>
      </c>
      <c r="C842" s="7">
        <v>45764</v>
      </c>
      <c r="D842" s="6" t="s">
        <v>74</v>
      </c>
      <c r="E842" s="6" t="s">
        <v>75</v>
      </c>
      <c r="F842" s="6">
        <v>1</v>
      </c>
      <c r="G842" s="6" t="s">
        <v>27</v>
      </c>
      <c r="H842" s="6">
        <v>2</v>
      </c>
      <c r="I842" s="6">
        <v>9</v>
      </c>
      <c r="J842" s="6">
        <v>4.5</v>
      </c>
      <c r="K842" s="6" t="s">
        <v>37</v>
      </c>
      <c r="L842" s="6" t="str">
        <f>VLOOKUP(K842, 'Alphabetical by species code'!A:B, 2, FALSE)</f>
        <v>Sonchus oleraceus</v>
      </c>
    </row>
    <row r="843" spans="1:12" x14ac:dyDescent="0.25">
      <c r="A843" s="6">
        <v>9</v>
      </c>
      <c r="B843" s="6">
        <v>2025</v>
      </c>
      <c r="C843" s="7">
        <v>45764</v>
      </c>
      <c r="D843" s="6" t="s">
        <v>74</v>
      </c>
      <c r="E843" s="6" t="s">
        <v>75</v>
      </c>
      <c r="F843" s="6">
        <v>1</v>
      </c>
      <c r="G843" s="6" t="s">
        <v>27</v>
      </c>
      <c r="H843" s="6">
        <v>2</v>
      </c>
      <c r="I843" s="6">
        <v>9</v>
      </c>
      <c r="J843" s="6">
        <v>4.5</v>
      </c>
      <c r="K843" s="6" t="s">
        <v>31</v>
      </c>
      <c r="L843" s="6" t="str">
        <f>VLOOKUP(K843, 'Alphabetical by species code'!A:B, 2, FALSE)</f>
        <v>Festuca myuros</v>
      </c>
    </row>
    <row r="844" spans="1:12" x14ac:dyDescent="0.25">
      <c r="A844" s="6">
        <v>9</v>
      </c>
      <c r="B844" s="6">
        <v>2025</v>
      </c>
      <c r="C844" s="7">
        <v>45764</v>
      </c>
      <c r="D844" s="6" t="s">
        <v>74</v>
      </c>
      <c r="E844" s="6" t="s">
        <v>75</v>
      </c>
      <c r="F844" s="6">
        <v>1</v>
      </c>
      <c r="G844" s="6" t="s">
        <v>27</v>
      </c>
      <c r="H844" s="6">
        <v>2</v>
      </c>
      <c r="I844" s="6">
        <v>10</v>
      </c>
      <c r="J844" s="6">
        <v>5</v>
      </c>
      <c r="K844" s="6" t="s">
        <v>28</v>
      </c>
      <c r="L844" s="6" t="str">
        <f>VLOOKUP(K844, 'Alphabetical by species code'!A:B, 2, FALSE)</f>
        <v>Litter</v>
      </c>
    </row>
    <row r="845" spans="1:12" x14ac:dyDescent="0.25">
      <c r="A845" s="6">
        <v>9</v>
      </c>
      <c r="B845" s="6">
        <v>2025</v>
      </c>
      <c r="C845" s="7">
        <v>45764</v>
      </c>
      <c r="D845" s="6" t="s">
        <v>74</v>
      </c>
      <c r="E845" s="6" t="s">
        <v>75</v>
      </c>
      <c r="F845" s="6">
        <v>1</v>
      </c>
      <c r="G845" s="6" t="s">
        <v>27</v>
      </c>
      <c r="H845" s="6">
        <v>2</v>
      </c>
      <c r="I845" s="6">
        <v>10</v>
      </c>
      <c r="J845" s="6">
        <v>5</v>
      </c>
      <c r="K845" s="6" t="s">
        <v>42</v>
      </c>
      <c r="L845" s="6" t="str">
        <f>VLOOKUP(K845, 'Alphabetical by species code'!A:B, 2, FALSE)</f>
        <v>Centaurea melitensis</v>
      </c>
    </row>
    <row r="846" spans="1:12" x14ac:dyDescent="0.25">
      <c r="A846" s="6">
        <v>9</v>
      </c>
      <c r="B846" s="6">
        <v>2025</v>
      </c>
      <c r="C846" s="7">
        <v>45764</v>
      </c>
      <c r="D846" s="6" t="s">
        <v>74</v>
      </c>
      <c r="E846" s="6" t="s">
        <v>75</v>
      </c>
      <c r="F846" s="6">
        <v>1</v>
      </c>
      <c r="G846" s="6" t="s">
        <v>27</v>
      </c>
      <c r="H846" s="6">
        <v>2</v>
      </c>
      <c r="I846" s="6">
        <v>11</v>
      </c>
      <c r="J846" s="6">
        <v>5.5</v>
      </c>
      <c r="K846" s="6" t="s">
        <v>28</v>
      </c>
      <c r="L846" s="6" t="str">
        <f>VLOOKUP(K846, 'Alphabetical by species code'!A:B, 2, FALSE)</f>
        <v>Litter</v>
      </c>
    </row>
    <row r="847" spans="1:12" x14ac:dyDescent="0.25">
      <c r="A847" s="6">
        <v>9</v>
      </c>
      <c r="B847" s="6">
        <v>2025</v>
      </c>
      <c r="C847" s="7">
        <v>45764</v>
      </c>
      <c r="D847" s="6" t="s">
        <v>74</v>
      </c>
      <c r="E847" s="6" t="s">
        <v>75</v>
      </c>
      <c r="F847" s="6">
        <v>1</v>
      </c>
      <c r="G847" s="6" t="s">
        <v>27</v>
      </c>
      <c r="H847" s="6">
        <v>2</v>
      </c>
      <c r="I847" s="6">
        <v>11</v>
      </c>
      <c r="J847" s="6">
        <v>5.5</v>
      </c>
      <c r="K847" s="6" t="s">
        <v>42</v>
      </c>
      <c r="L847" s="6" t="str">
        <f>VLOOKUP(K847, 'Alphabetical by species code'!A:B, 2, FALSE)</f>
        <v>Centaurea melitensis</v>
      </c>
    </row>
    <row r="848" spans="1:12" x14ac:dyDescent="0.25">
      <c r="A848" s="6">
        <v>9</v>
      </c>
      <c r="B848" s="6">
        <v>2025</v>
      </c>
      <c r="C848" s="7">
        <v>45764</v>
      </c>
      <c r="D848" s="6" t="s">
        <v>74</v>
      </c>
      <c r="E848" s="6" t="s">
        <v>75</v>
      </c>
      <c r="F848" s="6">
        <v>1</v>
      </c>
      <c r="G848" s="6" t="s">
        <v>27</v>
      </c>
      <c r="H848" s="6">
        <v>2</v>
      </c>
      <c r="I848" s="6">
        <v>11</v>
      </c>
      <c r="J848" s="6">
        <v>5.5</v>
      </c>
      <c r="K848" s="6" t="s">
        <v>37</v>
      </c>
      <c r="L848" s="6" t="str">
        <f>VLOOKUP(K848, 'Alphabetical by species code'!A:B, 2, FALSE)</f>
        <v>Sonchus oleraceus</v>
      </c>
    </row>
    <row r="849" spans="1:12" x14ac:dyDescent="0.25">
      <c r="A849" s="6">
        <v>9</v>
      </c>
      <c r="B849" s="6">
        <v>2025</v>
      </c>
      <c r="C849" s="7">
        <v>45764</v>
      </c>
      <c r="D849" s="6" t="s">
        <v>74</v>
      </c>
      <c r="E849" s="6" t="s">
        <v>75</v>
      </c>
      <c r="F849" s="6">
        <v>1</v>
      </c>
      <c r="G849" s="6" t="s">
        <v>27</v>
      </c>
      <c r="H849" s="6">
        <v>2</v>
      </c>
      <c r="I849" s="6">
        <v>12</v>
      </c>
      <c r="J849" s="6">
        <v>6</v>
      </c>
      <c r="K849" s="6" t="s">
        <v>28</v>
      </c>
      <c r="L849" s="6" t="str">
        <f>VLOOKUP(K849, 'Alphabetical by species code'!A:B, 2, FALSE)</f>
        <v>Litter</v>
      </c>
    </row>
    <row r="850" spans="1:12" x14ac:dyDescent="0.25">
      <c r="A850" s="6">
        <v>9</v>
      </c>
      <c r="B850" s="6">
        <v>2025</v>
      </c>
      <c r="C850" s="7">
        <v>45764</v>
      </c>
      <c r="D850" s="6" t="s">
        <v>74</v>
      </c>
      <c r="E850" s="6" t="s">
        <v>75</v>
      </c>
      <c r="F850" s="6">
        <v>1</v>
      </c>
      <c r="G850" s="6" t="s">
        <v>27</v>
      </c>
      <c r="H850" s="6">
        <v>2</v>
      </c>
      <c r="I850" s="6">
        <v>12</v>
      </c>
      <c r="J850" s="6">
        <v>6</v>
      </c>
      <c r="K850" s="6" t="s">
        <v>31</v>
      </c>
      <c r="L850" s="6" t="str">
        <f>VLOOKUP(K850, 'Alphabetical by species code'!A:B, 2, FALSE)</f>
        <v>Festuca myuros</v>
      </c>
    </row>
    <row r="851" spans="1:12" x14ac:dyDescent="0.25">
      <c r="A851" s="6">
        <v>9</v>
      </c>
      <c r="B851" s="6">
        <v>2025</v>
      </c>
      <c r="C851" s="7">
        <v>45764</v>
      </c>
      <c r="D851" s="6" t="s">
        <v>74</v>
      </c>
      <c r="E851" s="6" t="s">
        <v>75</v>
      </c>
      <c r="F851" s="6">
        <v>1</v>
      </c>
      <c r="G851" s="6" t="s">
        <v>27</v>
      </c>
      <c r="H851" s="6">
        <v>2</v>
      </c>
      <c r="I851" s="6">
        <v>12</v>
      </c>
      <c r="J851" s="6">
        <v>6</v>
      </c>
      <c r="K851" s="6" t="s">
        <v>48</v>
      </c>
      <c r="L851" s="6" t="str">
        <f>VLOOKUP(K851, 'Alphabetical by species code'!A:B, 2, FALSE)</f>
        <v>Sonchus asper</v>
      </c>
    </row>
    <row r="852" spans="1:12" x14ac:dyDescent="0.25">
      <c r="A852" s="6">
        <v>9</v>
      </c>
      <c r="B852" s="6">
        <v>2025</v>
      </c>
      <c r="C852" s="7">
        <v>45764</v>
      </c>
      <c r="D852" s="6" t="s">
        <v>74</v>
      </c>
      <c r="E852" s="6" t="s">
        <v>75</v>
      </c>
      <c r="F852" s="6">
        <v>1</v>
      </c>
      <c r="G852" s="6" t="s">
        <v>27</v>
      </c>
      <c r="H852" s="6">
        <v>2</v>
      </c>
      <c r="I852" s="6">
        <v>13</v>
      </c>
      <c r="J852" s="6">
        <v>6.5</v>
      </c>
      <c r="K852" s="6" t="s">
        <v>28</v>
      </c>
      <c r="L852" s="6" t="str">
        <f>VLOOKUP(K852, 'Alphabetical by species code'!A:B, 2, FALSE)</f>
        <v>Litter</v>
      </c>
    </row>
    <row r="853" spans="1:12" x14ac:dyDescent="0.25">
      <c r="A853" s="6">
        <v>9</v>
      </c>
      <c r="B853" s="6">
        <v>2025</v>
      </c>
      <c r="C853" s="7">
        <v>45764</v>
      </c>
      <c r="D853" s="6" t="s">
        <v>74</v>
      </c>
      <c r="E853" s="6" t="s">
        <v>75</v>
      </c>
      <c r="F853" s="6">
        <v>1</v>
      </c>
      <c r="G853" s="6" t="s">
        <v>27</v>
      </c>
      <c r="H853" s="6">
        <v>2</v>
      </c>
      <c r="I853" s="6">
        <v>13</v>
      </c>
      <c r="J853" s="6">
        <v>6.5</v>
      </c>
      <c r="K853" s="6" t="s">
        <v>36</v>
      </c>
      <c r="L853" s="6" t="str">
        <f>VLOOKUP(K853, 'Alphabetical by species code'!A:B, 2, FALSE)</f>
        <v>Bromus madritensis</v>
      </c>
    </row>
    <row r="854" spans="1:12" x14ac:dyDescent="0.25">
      <c r="A854" s="6">
        <v>9</v>
      </c>
      <c r="B854" s="6">
        <v>2025</v>
      </c>
      <c r="C854" s="7">
        <v>45764</v>
      </c>
      <c r="D854" s="6" t="s">
        <v>74</v>
      </c>
      <c r="E854" s="6" t="s">
        <v>75</v>
      </c>
      <c r="F854" s="6">
        <v>1</v>
      </c>
      <c r="G854" s="6" t="s">
        <v>27</v>
      </c>
      <c r="H854" s="6">
        <v>2</v>
      </c>
      <c r="I854" s="6">
        <v>13</v>
      </c>
      <c r="J854" s="6">
        <v>6.5</v>
      </c>
      <c r="K854" s="6" t="s">
        <v>35</v>
      </c>
      <c r="L854" s="6" t="str">
        <f>VLOOKUP(K854, 'Alphabetical by species code'!A:B, 2, FALSE)</f>
        <v>Deinandra fasciculata</v>
      </c>
    </row>
    <row r="855" spans="1:12" x14ac:dyDescent="0.25">
      <c r="A855" s="6">
        <v>9</v>
      </c>
      <c r="B855" s="6">
        <v>2025</v>
      </c>
      <c r="C855" s="7">
        <v>45764</v>
      </c>
      <c r="D855" s="6" t="s">
        <v>74</v>
      </c>
      <c r="E855" s="6" t="s">
        <v>75</v>
      </c>
      <c r="F855" s="6">
        <v>1</v>
      </c>
      <c r="G855" s="6" t="s">
        <v>27</v>
      </c>
      <c r="H855" s="6">
        <v>2</v>
      </c>
      <c r="I855" s="6">
        <v>14</v>
      </c>
      <c r="J855" s="6">
        <v>7</v>
      </c>
      <c r="K855" s="6" t="s">
        <v>52</v>
      </c>
      <c r="L855" s="6" t="str">
        <f>VLOOKUP(K855, 'Alphabetical by species code'!A:B, 2, FALSE)</f>
        <v>Rock</v>
      </c>
    </row>
    <row r="856" spans="1:12" x14ac:dyDescent="0.25">
      <c r="A856" s="6">
        <v>9</v>
      </c>
      <c r="B856" s="6">
        <v>2025</v>
      </c>
      <c r="C856" s="7">
        <v>45764</v>
      </c>
      <c r="D856" s="6" t="s">
        <v>74</v>
      </c>
      <c r="E856" s="6" t="s">
        <v>75</v>
      </c>
      <c r="F856" s="6">
        <v>1</v>
      </c>
      <c r="G856" s="6" t="s">
        <v>27</v>
      </c>
      <c r="H856" s="6">
        <v>2</v>
      </c>
      <c r="I856" s="6">
        <v>14</v>
      </c>
      <c r="J856" s="6">
        <v>7</v>
      </c>
      <c r="K856" s="6" t="s">
        <v>48</v>
      </c>
      <c r="L856" s="6" t="str">
        <f>VLOOKUP(K856, 'Alphabetical by species code'!A:B, 2, FALSE)</f>
        <v>Sonchus asper</v>
      </c>
    </row>
    <row r="857" spans="1:12" x14ac:dyDescent="0.25">
      <c r="A857" s="6">
        <v>9</v>
      </c>
      <c r="B857" s="6">
        <v>2025</v>
      </c>
      <c r="C857" s="7">
        <v>45764</v>
      </c>
      <c r="D857" s="6" t="s">
        <v>74</v>
      </c>
      <c r="E857" s="6" t="s">
        <v>75</v>
      </c>
      <c r="F857" s="6">
        <v>1</v>
      </c>
      <c r="G857" s="6" t="s">
        <v>27</v>
      </c>
      <c r="H857" s="6">
        <v>2</v>
      </c>
      <c r="I857" s="6">
        <v>14</v>
      </c>
      <c r="J857" s="6">
        <v>7</v>
      </c>
      <c r="K857" s="6" t="s">
        <v>65</v>
      </c>
      <c r="L857" s="6" t="str">
        <f>VLOOKUP(K857, 'Alphabetical by species code'!A:B, 2, FALSE)</f>
        <v>Cryptantha intermedia</v>
      </c>
    </row>
    <row r="858" spans="1:12" x14ac:dyDescent="0.25">
      <c r="A858" s="6">
        <v>9</v>
      </c>
      <c r="B858" s="6">
        <v>2025</v>
      </c>
      <c r="C858" s="7">
        <v>45764</v>
      </c>
      <c r="D858" s="6" t="s">
        <v>74</v>
      </c>
      <c r="E858" s="6" t="s">
        <v>75</v>
      </c>
      <c r="F858" s="6">
        <v>1</v>
      </c>
      <c r="G858" s="6" t="s">
        <v>27</v>
      </c>
      <c r="H858" s="6">
        <v>2</v>
      </c>
      <c r="I858" s="6">
        <v>15</v>
      </c>
      <c r="J858" s="6">
        <v>7.5</v>
      </c>
      <c r="K858" s="6" t="s">
        <v>52</v>
      </c>
      <c r="L858" s="6" t="str">
        <f>VLOOKUP(K858, 'Alphabetical by species code'!A:B, 2, FALSE)</f>
        <v>Rock</v>
      </c>
    </row>
    <row r="859" spans="1:12" x14ac:dyDescent="0.25">
      <c r="A859" s="6">
        <v>10</v>
      </c>
      <c r="B859" s="6">
        <v>2025</v>
      </c>
      <c r="C859" s="7">
        <v>45777</v>
      </c>
      <c r="D859" s="6" t="s">
        <v>77</v>
      </c>
      <c r="E859" s="6" t="s">
        <v>75</v>
      </c>
      <c r="F859" s="6">
        <v>1</v>
      </c>
      <c r="G859" s="6" t="s">
        <v>46</v>
      </c>
      <c r="H859" s="6">
        <v>1</v>
      </c>
      <c r="I859" s="6">
        <v>1</v>
      </c>
      <c r="J859" s="6">
        <v>0</v>
      </c>
      <c r="K859" s="6" t="s">
        <v>28</v>
      </c>
      <c r="L859" s="6" t="str">
        <f>VLOOKUP(K859, 'Alphabetical by species code'!A:B, 2, FALSE)</f>
        <v>Litter</v>
      </c>
    </row>
    <row r="860" spans="1:12" x14ac:dyDescent="0.25">
      <c r="A860" s="6">
        <v>10</v>
      </c>
      <c r="B860" s="6">
        <v>2025</v>
      </c>
      <c r="C860" s="7">
        <v>45777</v>
      </c>
      <c r="D860" s="6" t="s">
        <v>77</v>
      </c>
      <c r="E860" s="6" t="s">
        <v>75</v>
      </c>
      <c r="F860" s="6">
        <v>1</v>
      </c>
      <c r="G860" s="6" t="s">
        <v>46</v>
      </c>
      <c r="H860" s="6">
        <v>1</v>
      </c>
      <c r="I860" s="6">
        <v>1</v>
      </c>
      <c r="J860" s="6">
        <v>0</v>
      </c>
      <c r="K860" s="6" t="s">
        <v>35</v>
      </c>
      <c r="L860" s="6" t="str">
        <f>VLOOKUP(K860, 'Alphabetical by species code'!A:B, 2, FALSE)</f>
        <v>Deinandra fasciculata</v>
      </c>
    </row>
    <row r="861" spans="1:12" x14ac:dyDescent="0.25">
      <c r="A861" s="6">
        <v>10</v>
      </c>
      <c r="B861" s="6">
        <v>2025</v>
      </c>
      <c r="C861" s="7">
        <v>45777</v>
      </c>
      <c r="D861" s="6" t="s">
        <v>77</v>
      </c>
      <c r="E861" s="6" t="s">
        <v>75</v>
      </c>
      <c r="F861" s="6">
        <v>1</v>
      </c>
      <c r="G861" s="6" t="s">
        <v>46</v>
      </c>
      <c r="H861" s="6">
        <v>1</v>
      </c>
      <c r="I861" s="6">
        <v>1</v>
      </c>
      <c r="J861" s="6">
        <v>0</v>
      </c>
      <c r="K861" s="6" t="s">
        <v>30</v>
      </c>
      <c r="L861" s="6" t="str">
        <f>VLOOKUP(K861, 'Alphabetical by species code'!A:B, 2, FALSE)</f>
        <v>Erodium moschatum</v>
      </c>
    </row>
    <row r="862" spans="1:12" x14ac:dyDescent="0.25">
      <c r="A862" s="6">
        <v>10</v>
      </c>
      <c r="B862" s="6">
        <v>2025</v>
      </c>
      <c r="C862" s="7">
        <v>45777</v>
      </c>
      <c r="D862" s="6" t="s">
        <v>77</v>
      </c>
      <c r="E862" s="6" t="s">
        <v>75</v>
      </c>
      <c r="F862" s="6">
        <v>1</v>
      </c>
      <c r="G862" s="6" t="s">
        <v>46</v>
      </c>
      <c r="H862" s="6">
        <v>1</v>
      </c>
      <c r="I862" s="6">
        <v>1</v>
      </c>
      <c r="J862" s="6">
        <v>0</v>
      </c>
      <c r="K862" s="6" t="s">
        <v>31</v>
      </c>
      <c r="L862" s="6" t="str">
        <f>VLOOKUP(K862, 'Alphabetical by species code'!A:B, 2, FALSE)</f>
        <v>Festuca myuros</v>
      </c>
    </row>
    <row r="863" spans="1:12" x14ac:dyDescent="0.25">
      <c r="A863" s="6">
        <v>10</v>
      </c>
      <c r="B863" s="6">
        <v>2025</v>
      </c>
      <c r="C863" s="7">
        <v>45777</v>
      </c>
      <c r="D863" s="6" t="s">
        <v>77</v>
      </c>
      <c r="E863" s="6" t="s">
        <v>75</v>
      </c>
      <c r="F863" s="6">
        <v>1</v>
      </c>
      <c r="G863" s="6" t="s">
        <v>46</v>
      </c>
      <c r="H863" s="6">
        <v>1</v>
      </c>
      <c r="I863" s="6">
        <v>2</v>
      </c>
      <c r="J863" s="6">
        <v>0.5</v>
      </c>
      <c r="K863" s="6" t="s">
        <v>28</v>
      </c>
      <c r="L863" s="6" t="str">
        <f>VLOOKUP(K863, 'Alphabetical by species code'!A:B, 2, FALSE)</f>
        <v>Litter</v>
      </c>
    </row>
    <row r="864" spans="1:12" x14ac:dyDescent="0.25">
      <c r="A864" s="6">
        <v>10</v>
      </c>
      <c r="B864" s="6">
        <v>2025</v>
      </c>
      <c r="C864" s="7">
        <v>45777</v>
      </c>
      <c r="D864" s="6" t="s">
        <v>77</v>
      </c>
      <c r="E864" s="6" t="s">
        <v>75</v>
      </c>
      <c r="F864" s="6">
        <v>1</v>
      </c>
      <c r="G864" s="6" t="s">
        <v>46</v>
      </c>
      <c r="H864" s="6">
        <v>1</v>
      </c>
      <c r="I864" s="6">
        <v>2</v>
      </c>
      <c r="J864" s="6">
        <v>0.5</v>
      </c>
      <c r="K864" s="6" t="s">
        <v>36</v>
      </c>
      <c r="L864" s="6" t="str">
        <f>VLOOKUP(K864, 'Alphabetical by species code'!A:B, 2, FALSE)</f>
        <v>Bromus madritensis</v>
      </c>
    </row>
    <row r="865" spans="1:12" x14ac:dyDescent="0.25">
      <c r="A865" s="6">
        <v>10</v>
      </c>
      <c r="B865" s="6">
        <v>2025</v>
      </c>
      <c r="C865" s="7">
        <v>45777</v>
      </c>
      <c r="D865" s="6" t="s">
        <v>77</v>
      </c>
      <c r="E865" s="6" t="s">
        <v>75</v>
      </c>
      <c r="F865" s="6">
        <v>1</v>
      </c>
      <c r="G865" s="6" t="s">
        <v>46</v>
      </c>
      <c r="H865" s="6">
        <v>1</v>
      </c>
      <c r="I865" s="6">
        <v>2</v>
      </c>
      <c r="J865" s="6">
        <v>0.5</v>
      </c>
      <c r="K865" s="6" t="s">
        <v>29</v>
      </c>
      <c r="L865" s="6" t="str">
        <f>VLOOKUP(K865, 'Alphabetical by species code'!A:B, 2, FALSE)</f>
        <v>Opuntia littoralis</v>
      </c>
    </row>
    <row r="866" spans="1:12" x14ac:dyDescent="0.25">
      <c r="A866" s="6">
        <v>10</v>
      </c>
      <c r="B866" s="6">
        <v>2025</v>
      </c>
      <c r="C866" s="7">
        <v>45777</v>
      </c>
      <c r="D866" s="6" t="s">
        <v>77</v>
      </c>
      <c r="E866" s="6" t="s">
        <v>75</v>
      </c>
      <c r="F866" s="6">
        <v>1</v>
      </c>
      <c r="G866" s="6" t="s">
        <v>46</v>
      </c>
      <c r="H866" s="6">
        <v>1</v>
      </c>
      <c r="I866" s="6">
        <v>2</v>
      </c>
      <c r="J866" s="6">
        <v>0.5</v>
      </c>
      <c r="K866" s="6" t="s">
        <v>35</v>
      </c>
      <c r="L866" s="6" t="str">
        <f>VLOOKUP(K866, 'Alphabetical by species code'!A:B, 2, FALSE)</f>
        <v>Deinandra fasciculata</v>
      </c>
    </row>
    <row r="867" spans="1:12" x14ac:dyDescent="0.25">
      <c r="A867" s="6">
        <v>10</v>
      </c>
      <c r="B867" s="6">
        <v>2025</v>
      </c>
      <c r="C867" s="7">
        <v>45777</v>
      </c>
      <c r="D867" s="6" t="s">
        <v>77</v>
      </c>
      <c r="E867" s="6" t="s">
        <v>75</v>
      </c>
      <c r="F867" s="6">
        <v>1</v>
      </c>
      <c r="G867" s="6" t="s">
        <v>46</v>
      </c>
      <c r="H867" s="6">
        <v>1</v>
      </c>
      <c r="I867" s="6">
        <v>2</v>
      </c>
      <c r="J867" s="6">
        <v>0.5</v>
      </c>
      <c r="K867" s="6" t="s">
        <v>49</v>
      </c>
      <c r="L867" s="6" t="str">
        <f>VLOOKUP(K867, 'Alphabetical by species code'!A:B, 2, FALSE)</f>
        <v>Anagallis arvensis</v>
      </c>
    </row>
    <row r="868" spans="1:12" x14ac:dyDescent="0.25">
      <c r="A868" s="6">
        <v>10</v>
      </c>
      <c r="B868" s="6">
        <v>2025</v>
      </c>
      <c r="C868" s="7">
        <v>45777</v>
      </c>
      <c r="D868" s="6" t="s">
        <v>77</v>
      </c>
      <c r="E868" s="6" t="s">
        <v>75</v>
      </c>
      <c r="F868" s="6">
        <v>1</v>
      </c>
      <c r="G868" s="6" t="s">
        <v>46</v>
      </c>
      <c r="H868" s="6">
        <v>1</v>
      </c>
      <c r="I868" s="6">
        <v>3</v>
      </c>
      <c r="J868" s="6">
        <v>1</v>
      </c>
      <c r="K868" s="6" t="s">
        <v>28</v>
      </c>
      <c r="L868" s="6" t="str">
        <f>VLOOKUP(K868, 'Alphabetical by species code'!A:B, 2, FALSE)</f>
        <v>Litter</v>
      </c>
    </row>
    <row r="869" spans="1:12" x14ac:dyDescent="0.25">
      <c r="A869" s="6">
        <v>10</v>
      </c>
      <c r="B869" s="6">
        <v>2025</v>
      </c>
      <c r="C869" s="7">
        <v>45777</v>
      </c>
      <c r="D869" s="6" t="s">
        <v>77</v>
      </c>
      <c r="E869" s="6" t="s">
        <v>75</v>
      </c>
      <c r="F869" s="6">
        <v>1</v>
      </c>
      <c r="G869" s="6" t="s">
        <v>46</v>
      </c>
      <c r="H869" s="6">
        <v>1</v>
      </c>
      <c r="I869" s="6">
        <v>3</v>
      </c>
      <c r="J869" s="6">
        <v>1</v>
      </c>
      <c r="K869" s="6" t="s">
        <v>36</v>
      </c>
      <c r="L869" s="6" t="str">
        <f>VLOOKUP(K869, 'Alphabetical by species code'!A:B, 2, FALSE)</f>
        <v>Bromus madritensis</v>
      </c>
    </row>
    <row r="870" spans="1:12" x14ac:dyDescent="0.25">
      <c r="A870" s="6">
        <v>10</v>
      </c>
      <c r="B870" s="6">
        <v>2025</v>
      </c>
      <c r="C870" s="7">
        <v>45777</v>
      </c>
      <c r="D870" s="6" t="s">
        <v>77</v>
      </c>
      <c r="E870" s="6" t="s">
        <v>75</v>
      </c>
      <c r="F870" s="6">
        <v>1</v>
      </c>
      <c r="G870" s="6" t="s">
        <v>46</v>
      </c>
      <c r="H870" s="6">
        <v>1</v>
      </c>
      <c r="I870" s="6">
        <v>3</v>
      </c>
      <c r="J870" s="6">
        <v>1</v>
      </c>
      <c r="K870" s="6" t="s">
        <v>35</v>
      </c>
      <c r="L870" s="6" t="str">
        <f>VLOOKUP(K870, 'Alphabetical by species code'!A:B, 2, FALSE)</f>
        <v>Deinandra fasciculata</v>
      </c>
    </row>
    <row r="871" spans="1:12" x14ac:dyDescent="0.25">
      <c r="A871" s="6">
        <v>10</v>
      </c>
      <c r="B871" s="6">
        <v>2025</v>
      </c>
      <c r="C871" s="7">
        <v>45777</v>
      </c>
      <c r="D871" s="6" t="s">
        <v>77</v>
      </c>
      <c r="E871" s="6" t="s">
        <v>75</v>
      </c>
      <c r="F871" s="6">
        <v>1</v>
      </c>
      <c r="G871" s="6" t="s">
        <v>46</v>
      </c>
      <c r="H871" s="6">
        <v>1</v>
      </c>
      <c r="I871" s="6">
        <v>4</v>
      </c>
      <c r="J871" s="6">
        <v>1.5</v>
      </c>
      <c r="K871" s="6" t="s">
        <v>41</v>
      </c>
      <c r="L871" s="6" t="str">
        <f>VLOOKUP(K871, 'Alphabetical by species code'!A:B, 2, FALSE)</f>
        <v>Stem</v>
      </c>
    </row>
    <row r="872" spans="1:12" x14ac:dyDescent="0.25">
      <c r="A872" s="6">
        <v>10</v>
      </c>
      <c r="B872" s="6">
        <v>2025</v>
      </c>
      <c r="C872" s="7">
        <v>45777</v>
      </c>
      <c r="D872" s="6" t="s">
        <v>77</v>
      </c>
      <c r="E872" s="6" t="s">
        <v>75</v>
      </c>
      <c r="F872" s="6">
        <v>1</v>
      </c>
      <c r="G872" s="6" t="s">
        <v>46</v>
      </c>
      <c r="H872" s="6">
        <v>1</v>
      </c>
      <c r="I872" s="6">
        <v>4</v>
      </c>
      <c r="J872" s="6">
        <v>1.5</v>
      </c>
      <c r="K872" s="6" t="s">
        <v>29</v>
      </c>
      <c r="L872" s="6" t="str">
        <f>VLOOKUP(K872, 'Alphabetical by species code'!A:B, 2, FALSE)</f>
        <v>Opuntia littoralis</v>
      </c>
    </row>
    <row r="873" spans="1:12" x14ac:dyDescent="0.25">
      <c r="A873" s="6">
        <v>10</v>
      </c>
      <c r="B873" s="6">
        <v>2025</v>
      </c>
      <c r="C873" s="7">
        <v>45777</v>
      </c>
      <c r="D873" s="6" t="s">
        <v>77</v>
      </c>
      <c r="E873" s="6" t="s">
        <v>75</v>
      </c>
      <c r="F873" s="6">
        <v>1</v>
      </c>
      <c r="G873" s="6" t="s">
        <v>46</v>
      </c>
      <c r="H873" s="6">
        <v>1</v>
      </c>
      <c r="I873" s="6">
        <v>4</v>
      </c>
      <c r="J873" s="6">
        <v>1.5</v>
      </c>
      <c r="K873" s="6" t="s">
        <v>43</v>
      </c>
      <c r="L873" s="6" t="str">
        <f>VLOOKUP(K873, 'Alphabetical by species code'!A:B, 2, FALSE)</f>
        <v>Uropappus lindleyi</v>
      </c>
    </row>
    <row r="874" spans="1:12" x14ac:dyDescent="0.25">
      <c r="A874" s="6">
        <v>10</v>
      </c>
      <c r="B874" s="6">
        <v>2025</v>
      </c>
      <c r="C874" s="7">
        <v>45777</v>
      </c>
      <c r="D874" s="6" t="s">
        <v>77</v>
      </c>
      <c r="E874" s="6" t="s">
        <v>75</v>
      </c>
      <c r="F874" s="6">
        <v>1</v>
      </c>
      <c r="G874" s="6" t="s">
        <v>46</v>
      </c>
      <c r="H874" s="6">
        <v>1</v>
      </c>
      <c r="I874" s="6">
        <v>5</v>
      </c>
      <c r="J874" s="6">
        <v>2</v>
      </c>
      <c r="K874" s="6" t="s">
        <v>28</v>
      </c>
      <c r="L874" s="6" t="str">
        <f>VLOOKUP(K874, 'Alphabetical by species code'!A:B, 2, FALSE)</f>
        <v>Litter</v>
      </c>
    </row>
    <row r="875" spans="1:12" x14ac:dyDescent="0.25">
      <c r="A875" s="6">
        <v>10</v>
      </c>
      <c r="B875" s="6">
        <v>2025</v>
      </c>
      <c r="C875" s="7">
        <v>45777</v>
      </c>
      <c r="D875" s="6" t="s">
        <v>77</v>
      </c>
      <c r="E875" s="6" t="s">
        <v>75</v>
      </c>
      <c r="F875" s="6">
        <v>1</v>
      </c>
      <c r="G875" s="6" t="s">
        <v>46</v>
      </c>
      <c r="H875" s="6">
        <v>1</v>
      </c>
      <c r="I875" s="6">
        <v>5</v>
      </c>
      <c r="J875" s="6">
        <v>2</v>
      </c>
      <c r="K875" s="6" t="s">
        <v>30</v>
      </c>
      <c r="L875" s="6" t="str">
        <f>VLOOKUP(K875, 'Alphabetical by species code'!A:B, 2, FALSE)</f>
        <v>Erodium moschatum</v>
      </c>
    </row>
    <row r="876" spans="1:12" x14ac:dyDescent="0.25">
      <c r="A876" s="6">
        <v>10</v>
      </c>
      <c r="B876" s="6">
        <v>2025</v>
      </c>
      <c r="C876" s="7">
        <v>45777</v>
      </c>
      <c r="D876" s="6" t="s">
        <v>77</v>
      </c>
      <c r="E876" s="6" t="s">
        <v>75</v>
      </c>
      <c r="F876" s="6">
        <v>1</v>
      </c>
      <c r="G876" s="6" t="s">
        <v>46</v>
      </c>
      <c r="H876" s="6">
        <v>1</v>
      </c>
      <c r="I876" s="6">
        <v>5</v>
      </c>
      <c r="J876" s="6">
        <v>2</v>
      </c>
      <c r="K876" s="6" t="s">
        <v>42</v>
      </c>
      <c r="L876" s="6" t="str">
        <f>VLOOKUP(K876, 'Alphabetical by species code'!A:B, 2, FALSE)</f>
        <v>Centaurea melitensis</v>
      </c>
    </row>
    <row r="877" spans="1:12" x14ac:dyDescent="0.25">
      <c r="A877" s="6">
        <v>10</v>
      </c>
      <c r="B877" s="6">
        <v>2025</v>
      </c>
      <c r="C877" s="7">
        <v>45777</v>
      </c>
      <c r="D877" s="6" t="s">
        <v>77</v>
      </c>
      <c r="E877" s="6" t="s">
        <v>75</v>
      </c>
      <c r="F877" s="6">
        <v>1</v>
      </c>
      <c r="G877" s="6" t="s">
        <v>46</v>
      </c>
      <c r="H877" s="6">
        <v>1</v>
      </c>
      <c r="I877" s="6">
        <v>6</v>
      </c>
      <c r="J877" s="6">
        <v>2.5</v>
      </c>
      <c r="K877" s="6" t="s">
        <v>51</v>
      </c>
      <c r="L877" s="6" t="str">
        <f>VLOOKUP(K877, 'Alphabetical by species code'!A:B, 2, FALSE)</f>
        <v>Bareground</v>
      </c>
    </row>
    <row r="878" spans="1:12" x14ac:dyDescent="0.25">
      <c r="A878" s="6">
        <v>10</v>
      </c>
      <c r="B878" s="6">
        <v>2025</v>
      </c>
      <c r="C878" s="7">
        <v>45777</v>
      </c>
      <c r="D878" s="6" t="s">
        <v>77</v>
      </c>
      <c r="E878" s="6" t="s">
        <v>75</v>
      </c>
      <c r="F878" s="6">
        <v>1</v>
      </c>
      <c r="G878" s="6" t="s">
        <v>46</v>
      </c>
      <c r="H878" s="6">
        <v>1</v>
      </c>
      <c r="I878" s="6">
        <v>6</v>
      </c>
      <c r="J878" s="6">
        <v>2.5</v>
      </c>
      <c r="K878" s="6" t="s">
        <v>29</v>
      </c>
      <c r="L878" s="6" t="str">
        <f>VLOOKUP(K878, 'Alphabetical by species code'!A:B, 2, FALSE)</f>
        <v>Opuntia littoralis</v>
      </c>
    </row>
    <row r="879" spans="1:12" x14ac:dyDescent="0.25">
      <c r="A879" s="6">
        <v>10</v>
      </c>
      <c r="B879" s="6">
        <v>2025</v>
      </c>
      <c r="C879" s="7">
        <v>45777</v>
      </c>
      <c r="D879" s="6" t="s">
        <v>77</v>
      </c>
      <c r="E879" s="6" t="s">
        <v>75</v>
      </c>
      <c r="F879" s="6">
        <v>1</v>
      </c>
      <c r="G879" s="6" t="s">
        <v>46</v>
      </c>
      <c r="H879" s="6">
        <v>1</v>
      </c>
      <c r="I879" s="6">
        <v>6</v>
      </c>
      <c r="J879" s="6">
        <v>2.5</v>
      </c>
      <c r="K879" s="6" t="s">
        <v>48</v>
      </c>
      <c r="L879" s="6" t="str">
        <f>VLOOKUP(K879, 'Alphabetical by species code'!A:B, 2, FALSE)</f>
        <v>Sonchus asper</v>
      </c>
    </row>
    <row r="880" spans="1:12" x14ac:dyDescent="0.25">
      <c r="A880" s="6">
        <v>10</v>
      </c>
      <c r="B880" s="6">
        <v>2025</v>
      </c>
      <c r="C880" s="7">
        <v>45777</v>
      </c>
      <c r="D880" s="6" t="s">
        <v>77</v>
      </c>
      <c r="E880" s="6" t="s">
        <v>75</v>
      </c>
      <c r="F880" s="6">
        <v>1</v>
      </c>
      <c r="G880" s="6" t="s">
        <v>46</v>
      </c>
      <c r="H880" s="6">
        <v>1</v>
      </c>
      <c r="I880" s="6">
        <v>6</v>
      </c>
      <c r="J880" s="6">
        <v>2.5</v>
      </c>
      <c r="K880" s="6" t="s">
        <v>31</v>
      </c>
      <c r="L880" s="6" t="str">
        <f>VLOOKUP(K880, 'Alphabetical by species code'!A:B, 2, FALSE)</f>
        <v>Festuca myuros</v>
      </c>
    </row>
    <row r="881" spans="1:12" x14ac:dyDescent="0.25">
      <c r="A881" s="6">
        <v>10</v>
      </c>
      <c r="B881" s="6">
        <v>2025</v>
      </c>
      <c r="C881" s="7">
        <v>45777</v>
      </c>
      <c r="D881" s="6" t="s">
        <v>77</v>
      </c>
      <c r="E881" s="6" t="s">
        <v>75</v>
      </c>
      <c r="F881" s="6">
        <v>1</v>
      </c>
      <c r="G881" s="6" t="s">
        <v>46</v>
      </c>
      <c r="H881" s="6">
        <v>1</v>
      </c>
      <c r="I881" s="6">
        <v>7</v>
      </c>
      <c r="J881" s="6">
        <v>3</v>
      </c>
      <c r="K881" s="6" t="s">
        <v>28</v>
      </c>
      <c r="L881" s="6" t="str">
        <f>VLOOKUP(K881, 'Alphabetical by species code'!A:B, 2, FALSE)</f>
        <v>Litter</v>
      </c>
    </row>
    <row r="882" spans="1:12" x14ac:dyDescent="0.25">
      <c r="A882" s="6">
        <v>10</v>
      </c>
      <c r="B882" s="6">
        <v>2025</v>
      </c>
      <c r="C882" s="7">
        <v>45777</v>
      </c>
      <c r="D882" s="6" t="s">
        <v>77</v>
      </c>
      <c r="E882" s="6" t="s">
        <v>75</v>
      </c>
      <c r="F882" s="6">
        <v>1</v>
      </c>
      <c r="G882" s="6" t="s">
        <v>46</v>
      </c>
      <c r="H882" s="6">
        <v>1</v>
      </c>
      <c r="I882" s="6">
        <v>7</v>
      </c>
      <c r="J882" s="6">
        <v>3</v>
      </c>
      <c r="K882" s="6" t="s">
        <v>48</v>
      </c>
      <c r="L882" s="6" t="str">
        <f>VLOOKUP(K882, 'Alphabetical by species code'!A:B, 2, FALSE)</f>
        <v>Sonchus asper</v>
      </c>
    </row>
    <row r="883" spans="1:12" x14ac:dyDescent="0.25">
      <c r="A883" s="6">
        <v>10</v>
      </c>
      <c r="B883" s="6">
        <v>2025</v>
      </c>
      <c r="C883" s="7">
        <v>45777</v>
      </c>
      <c r="D883" s="6" t="s">
        <v>77</v>
      </c>
      <c r="E883" s="6" t="s">
        <v>75</v>
      </c>
      <c r="F883" s="6">
        <v>1</v>
      </c>
      <c r="G883" s="6" t="s">
        <v>46</v>
      </c>
      <c r="H883" s="6">
        <v>1</v>
      </c>
      <c r="I883" s="6">
        <v>7</v>
      </c>
      <c r="J883" s="6">
        <v>3</v>
      </c>
      <c r="K883" s="6" t="s">
        <v>35</v>
      </c>
      <c r="L883" s="6" t="str">
        <f>VLOOKUP(K883, 'Alphabetical by species code'!A:B, 2, FALSE)</f>
        <v>Deinandra fasciculata</v>
      </c>
    </row>
    <row r="884" spans="1:12" x14ac:dyDescent="0.25">
      <c r="A884" s="6">
        <v>10</v>
      </c>
      <c r="B884" s="6">
        <v>2025</v>
      </c>
      <c r="C884" s="7">
        <v>45777</v>
      </c>
      <c r="D884" s="6" t="s">
        <v>77</v>
      </c>
      <c r="E884" s="6" t="s">
        <v>75</v>
      </c>
      <c r="F884" s="6">
        <v>1</v>
      </c>
      <c r="G884" s="6" t="s">
        <v>46</v>
      </c>
      <c r="H884" s="6">
        <v>1</v>
      </c>
      <c r="I884" s="6">
        <v>7</v>
      </c>
      <c r="J884" s="6">
        <v>3</v>
      </c>
      <c r="K884" s="6" t="s">
        <v>29</v>
      </c>
      <c r="L884" s="6" t="str">
        <f>VLOOKUP(K884, 'Alphabetical by species code'!A:B, 2, FALSE)</f>
        <v>Opuntia littoralis</v>
      </c>
    </row>
    <row r="885" spans="1:12" x14ac:dyDescent="0.25">
      <c r="A885" s="6">
        <v>10</v>
      </c>
      <c r="B885" s="6">
        <v>2025</v>
      </c>
      <c r="C885" s="7">
        <v>45777</v>
      </c>
      <c r="D885" s="6" t="s">
        <v>77</v>
      </c>
      <c r="E885" s="6" t="s">
        <v>75</v>
      </c>
      <c r="F885" s="6">
        <v>1</v>
      </c>
      <c r="G885" s="6" t="s">
        <v>46</v>
      </c>
      <c r="H885" s="6">
        <v>1</v>
      </c>
      <c r="I885" s="6">
        <v>8</v>
      </c>
      <c r="J885" s="6">
        <v>3.5</v>
      </c>
      <c r="K885" s="6" t="s">
        <v>28</v>
      </c>
      <c r="L885" s="6" t="str">
        <f>VLOOKUP(K885, 'Alphabetical by species code'!A:B, 2, FALSE)</f>
        <v>Litter</v>
      </c>
    </row>
    <row r="886" spans="1:12" x14ac:dyDescent="0.25">
      <c r="A886" s="6">
        <v>10</v>
      </c>
      <c r="B886" s="6">
        <v>2025</v>
      </c>
      <c r="C886" s="7">
        <v>45777</v>
      </c>
      <c r="D886" s="6" t="s">
        <v>77</v>
      </c>
      <c r="E886" s="6" t="s">
        <v>75</v>
      </c>
      <c r="F886" s="6">
        <v>1</v>
      </c>
      <c r="G886" s="6" t="s">
        <v>46</v>
      </c>
      <c r="H886" s="6">
        <v>1</v>
      </c>
      <c r="I886" s="6">
        <v>8</v>
      </c>
      <c r="J886" s="6">
        <v>3.5</v>
      </c>
      <c r="K886" s="6" t="s">
        <v>35</v>
      </c>
      <c r="L886" s="6" t="str">
        <f>VLOOKUP(K886, 'Alphabetical by species code'!A:B, 2, FALSE)</f>
        <v>Deinandra fasciculata</v>
      </c>
    </row>
    <row r="887" spans="1:12" x14ac:dyDescent="0.25">
      <c r="A887" s="6">
        <v>10</v>
      </c>
      <c r="B887" s="6">
        <v>2025</v>
      </c>
      <c r="C887" s="7">
        <v>45777</v>
      </c>
      <c r="D887" s="6" t="s">
        <v>77</v>
      </c>
      <c r="E887" s="6" t="s">
        <v>75</v>
      </c>
      <c r="F887" s="6">
        <v>1</v>
      </c>
      <c r="G887" s="6" t="s">
        <v>46</v>
      </c>
      <c r="H887" s="6">
        <v>1</v>
      </c>
      <c r="I887" s="6">
        <v>9</v>
      </c>
      <c r="J887" s="6">
        <v>4</v>
      </c>
      <c r="K887" s="6" t="s">
        <v>38</v>
      </c>
      <c r="L887" s="6" t="str">
        <f>VLOOKUP(K887, 'Alphabetical by species code'!A:B, 2, FALSE)</f>
        <v>Thatch</v>
      </c>
    </row>
    <row r="888" spans="1:12" x14ac:dyDescent="0.25">
      <c r="A888" s="6">
        <v>10</v>
      </c>
      <c r="B888" s="6">
        <v>2025</v>
      </c>
      <c r="C888" s="7">
        <v>45777</v>
      </c>
      <c r="D888" s="6" t="s">
        <v>77</v>
      </c>
      <c r="E888" s="6" t="s">
        <v>75</v>
      </c>
      <c r="F888" s="6">
        <v>1</v>
      </c>
      <c r="G888" s="6" t="s">
        <v>46</v>
      </c>
      <c r="H888" s="6">
        <v>1</v>
      </c>
      <c r="I888" s="6">
        <v>9</v>
      </c>
      <c r="J888" s="6">
        <v>4</v>
      </c>
      <c r="K888" s="6" t="s">
        <v>31</v>
      </c>
      <c r="L888" s="6" t="str">
        <f>VLOOKUP(K888, 'Alphabetical by species code'!A:B, 2, FALSE)</f>
        <v>Festuca myuros</v>
      </c>
    </row>
    <row r="889" spans="1:12" x14ac:dyDescent="0.25">
      <c r="A889" s="6">
        <v>10</v>
      </c>
      <c r="B889" s="6">
        <v>2025</v>
      </c>
      <c r="C889" s="7">
        <v>45777</v>
      </c>
      <c r="D889" s="6" t="s">
        <v>77</v>
      </c>
      <c r="E889" s="6" t="s">
        <v>75</v>
      </c>
      <c r="F889" s="6">
        <v>1</v>
      </c>
      <c r="G889" s="6" t="s">
        <v>46</v>
      </c>
      <c r="H889" s="6">
        <v>1</v>
      </c>
      <c r="I889" s="6">
        <v>9</v>
      </c>
      <c r="J889" s="6">
        <v>4</v>
      </c>
      <c r="K889" s="6" t="s">
        <v>36</v>
      </c>
      <c r="L889" s="6" t="str">
        <f>VLOOKUP(K889, 'Alphabetical by species code'!A:B, 2, FALSE)</f>
        <v>Bromus madritensis</v>
      </c>
    </row>
    <row r="890" spans="1:12" x14ac:dyDescent="0.25">
      <c r="A890" s="6">
        <v>10</v>
      </c>
      <c r="B890" s="6">
        <v>2025</v>
      </c>
      <c r="C890" s="7">
        <v>45777</v>
      </c>
      <c r="D890" s="6" t="s">
        <v>77</v>
      </c>
      <c r="E890" s="6" t="s">
        <v>75</v>
      </c>
      <c r="F890" s="6">
        <v>1</v>
      </c>
      <c r="G890" s="6" t="s">
        <v>46</v>
      </c>
      <c r="H890" s="6">
        <v>1</v>
      </c>
      <c r="I890" s="6">
        <v>10</v>
      </c>
      <c r="J890" s="6">
        <v>4.5</v>
      </c>
      <c r="K890" s="6" t="s">
        <v>38</v>
      </c>
      <c r="L890" s="6" t="str">
        <f>VLOOKUP(K890, 'Alphabetical by species code'!A:B, 2, FALSE)</f>
        <v>Thatch</v>
      </c>
    </row>
    <row r="891" spans="1:12" x14ac:dyDescent="0.25">
      <c r="A891" s="6">
        <v>10</v>
      </c>
      <c r="B891" s="6">
        <v>2025</v>
      </c>
      <c r="C891" s="7">
        <v>45777</v>
      </c>
      <c r="D891" s="6" t="s">
        <v>77</v>
      </c>
      <c r="E891" s="6" t="s">
        <v>75</v>
      </c>
      <c r="F891" s="6">
        <v>1</v>
      </c>
      <c r="G891" s="6" t="s">
        <v>46</v>
      </c>
      <c r="H891" s="6">
        <v>1</v>
      </c>
      <c r="I891" s="6">
        <v>10</v>
      </c>
      <c r="J891" s="6">
        <v>4.5</v>
      </c>
      <c r="K891" s="6" t="s">
        <v>76</v>
      </c>
      <c r="L891" s="6" t="str">
        <f>VLOOKUP(K891, 'Alphabetical by species code'!A:B, 2, FALSE)</f>
        <v>Avena fatua</v>
      </c>
    </row>
    <row r="892" spans="1:12" x14ac:dyDescent="0.25">
      <c r="A892" s="6">
        <v>10</v>
      </c>
      <c r="B892" s="6">
        <v>2025</v>
      </c>
      <c r="C892" s="7">
        <v>45777</v>
      </c>
      <c r="D892" s="6" t="s">
        <v>77</v>
      </c>
      <c r="E892" s="6" t="s">
        <v>75</v>
      </c>
      <c r="F892" s="6">
        <v>1</v>
      </c>
      <c r="G892" s="6" t="s">
        <v>46</v>
      </c>
      <c r="H892" s="6">
        <v>1</v>
      </c>
      <c r="I892" s="6">
        <v>10</v>
      </c>
      <c r="J892" s="6">
        <v>4.5</v>
      </c>
      <c r="K892" s="6" t="s">
        <v>31</v>
      </c>
      <c r="L892" s="6" t="str">
        <f>VLOOKUP(K892, 'Alphabetical by species code'!A:B, 2, FALSE)</f>
        <v>Festuca myuros</v>
      </c>
    </row>
    <row r="893" spans="1:12" x14ac:dyDescent="0.25">
      <c r="A893" s="6">
        <v>10</v>
      </c>
      <c r="B893" s="6">
        <v>2025</v>
      </c>
      <c r="C893" s="7">
        <v>45777</v>
      </c>
      <c r="D893" s="6" t="s">
        <v>77</v>
      </c>
      <c r="E893" s="6" t="s">
        <v>75</v>
      </c>
      <c r="F893" s="6">
        <v>1</v>
      </c>
      <c r="G893" s="6" t="s">
        <v>46</v>
      </c>
      <c r="H893" s="6">
        <v>1</v>
      </c>
      <c r="I893" s="6">
        <v>10</v>
      </c>
      <c r="J893" s="6">
        <v>4.5</v>
      </c>
      <c r="K893" s="6" t="s">
        <v>29</v>
      </c>
      <c r="L893" s="6" t="str">
        <f>VLOOKUP(K893, 'Alphabetical by species code'!A:B, 2, FALSE)</f>
        <v>Opuntia littoralis</v>
      </c>
    </row>
    <row r="894" spans="1:12" x14ac:dyDescent="0.25">
      <c r="A894" s="6">
        <v>10</v>
      </c>
      <c r="B894" s="6">
        <v>2025</v>
      </c>
      <c r="C894" s="7">
        <v>45777</v>
      </c>
      <c r="D894" s="6" t="s">
        <v>77</v>
      </c>
      <c r="E894" s="6" t="s">
        <v>75</v>
      </c>
      <c r="F894" s="6">
        <v>1</v>
      </c>
      <c r="G894" s="6" t="s">
        <v>46</v>
      </c>
      <c r="H894" s="6">
        <v>1</v>
      </c>
      <c r="I894" s="6">
        <v>11</v>
      </c>
      <c r="J894" s="6">
        <v>5</v>
      </c>
      <c r="K894" s="6" t="s">
        <v>28</v>
      </c>
      <c r="L894" s="6" t="str">
        <f>VLOOKUP(K894, 'Alphabetical by species code'!A:B, 2, FALSE)</f>
        <v>Litter</v>
      </c>
    </row>
    <row r="895" spans="1:12" x14ac:dyDescent="0.25">
      <c r="A895" s="6">
        <v>10</v>
      </c>
      <c r="B895" s="6">
        <v>2025</v>
      </c>
      <c r="C895" s="7">
        <v>45777</v>
      </c>
      <c r="D895" s="6" t="s">
        <v>77</v>
      </c>
      <c r="E895" s="6" t="s">
        <v>75</v>
      </c>
      <c r="F895" s="6">
        <v>1</v>
      </c>
      <c r="G895" s="6" t="s">
        <v>46</v>
      </c>
      <c r="H895" s="6">
        <v>1</v>
      </c>
      <c r="I895" s="6">
        <v>11</v>
      </c>
      <c r="J895" s="6">
        <v>5</v>
      </c>
      <c r="K895" s="6" t="s">
        <v>37</v>
      </c>
      <c r="L895" s="6" t="str">
        <f>VLOOKUP(K895, 'Alphabetical by species code'!A:B, 2, FALSE)</f>
        <v>Sonchus oleraceus</v>
      </c>
    </row>
    <row r="896" spans="1:12" x14ac:dyDescent="0.25">
      <c r="A896" s="6">
        <v>10</v>
      </c>
      <c r="B896" s="6">
        <v>2025</v>
      </c>
      <c r="C896" s="7">
        <v>45777</v>
      </c>
      <c r="D896" s="6" t="s">
        <v>77</v>
      </c>
      <c r="E896" s="6" t="s">
        <v>75</v>
      </c>
      <c r="F896" s="6">
        <v>1</v>
      </c>
      <c r="G896" s="6" t="s">
        <v>46</v>
      </c>
      <c r="H896" s="6">
        <v>1</v>
      </c>
      <c r="I896" s="6">
        <v>12</v>
      </c>
      <c r="J896" s="6">
        <v>5.5</v>
      </c>
      <c r="K896" s="6" t="s">
        <v>28</v>
      </c>
      <c r="L896" s="6" t="str">
        <f>VLOOKUP(K896, 'Alphabetical by species code'!A:B, 2, FALSE)</f>
        <v>Litter</v>
      </c>
    </row>
    <row r="897" spans="1:13" x14ac:dyDescent="0.25">
      <c r="A897" s="6">
        <v>10</v>
      </c>
      <c r="B897" s="6">
        <v>2025</v>
      </c>
      <c r="C897" s="7">
        <v>45777</v>
      </c>
      <c r="D897" s="6" t="s">
        <v>77</v>
      </c>
      <c r="E897" s="6" t="s">
        <v>75</v>
      </c>
      <c r="F897" s="6">
        <v>1</v>
      </c>
      <c r="G897" s="6" t="s">
        <v>46</v>
      </c>
      <c r="H897" s="6">
        <v>1</v>
      </c>
      <c r="I897" s="6">
        <v>12</v>
      </c>
      <c r="J897" s="6">
        <v>5.5</v>
      </c>
      <c r="K897" s="6" t="s">
        <v>48</v>
      </c>
      <c r="L897" s="6" t="str">
        <f>VLOOKUP(K897, 'Alphabetical by species code'!A:B, 2, FALSE)</f>
        <v>Sonchus asper</v>
      </c>
    </row>
    <row r="898" spans="1:13" x14ac:dyDescent="0.25">
      <c r="A898" s="6">
        <v>10</v>
      </c>
      <c r="B898" s="6">
        <v>2025</v>
      </c>
      <c r="C898" s="7">
        <v>45777</v>
      </c>
      <c r="D898" s="6" t="s">
        <v>77</v>
      </c>
      <c r="E898" s="6" t="s">
        <v>75</v>
      </c>
      <c r="F898" s="6">
        <v>1</v>
      </c>
      <c r="G898" s="6" t="s">
        <v>46</v>
      </c>
      <c r="H898" s="6">
        <v>1</v>
      </c>
      <c r="I898" s="6">
        <v>12</v>
      </c>
      <c r="J898" s="6">
        <v>5.5</v>
      </c>
      <c r="K898" s="6" t="s">
        <v>31</v>
      </c>
      <c r="L898" s="6" t="str">
        <f>VLOOKUP(K898, 'Alphabetical by species code'!A:B, 2, FALSE)</f>
        <v>Festuca myuros</v>
      </c>
    </row>
    <row r="899" spans="1:13" x14ac:dyDescent="0.25">
      <c r="A899" s="6">
        <v>10</v>
      </c>
      <c r="B899" s="6">
        <v>2025</v>
      </c>
      <c r="C899" s="7">
        <v>45777</v>
      </c>
      <c r="D899" s="6" t="s">
        <v>77</v>
      </c>
      <c r="E899" s="6" t="s">
        <v>75</v>
      </c>
      <c r="F899" s="6">
        <v>1</v>
      </c>
      <c r="G899" s="6" t="s">
        <v>46</v>
      </c>
      <c r="H899" s="6">
        <v>1</v>
      </c>
      <c r="I899" s="6">
        <v>13</v>
      </c>
      <c r="J899" s="6">
        <v>6.5</v>
      </c>
      <c r="K899" s="6" t="s">
        <v>41</v>
      </c>
      <c r="L899" s="6" t="str">
        <f>VLOOKUP(K899, 'Alphabetical by species code'!A:B, 2, FALSE)</f>
        <v>Stem</v>
      </c>
    </row>
    <row r="900" spans="1:13" x14ac:dyDescent="0.25">
      <c r="A900" s="6">
        <v>10</v>
      </c>
      <c r="B900" s="6">
        <v>2025</v>
      </c>
      <c r="C900" s="7">
        <v>45777</v>
      </c>
      <c r="D900" s="6" t="s">
        <v>77</v>
      </c>
      <c r="E900" s="6" t="s">
        <v>75</v>
      </c>
      <c r="F900" s="6">
        <v>1</v>
      </c>
      <c r="G900" s="6" t="s">
        <v>46</v>
      </c>
      <c r="H900" s="6">
        <v>1</v>
      </c>
      <c r="I900" s="6">
        <v>13</v>
      </c>
      <c r="J900" s="6">
        <v>6.5</v>
      </c>
      <c r="K900" s="6" t="s">
        <v>29</v>
      </c>
      <c r="L900" s="6" t="str">
        <f>VLOOKUP(K900, 'Alphabetical by species code'!A:B, 2, FALSE)</f>
        <v>Opuntia littoralis</v>
      </c>
    </row>
    <row r="901" spans="1:13" x14ac:dyDescent="0.25">
      <c r="A901" s="6">
        <v>10</v>
      </c>
      <c r="B901" s="6">
        <v>2025</v>
      </c>
      <c r="C901" s="7">
        <v>45777</v>
      </c>
      <c r="D901" s="6" t="s">
        <v>77</v>
      </c>
      <c r="E901" s="6" t="s">
        <v>75</v>
      </c>
      <c r="F901" s="6">
        <v>1</v>
      </c>
      <c r="G901" s="6" t="s">
        <v>46</v>
      </c>
      <c r="H901" s="6">
        <v>1</v>
      </c>
      <c r="I901" s="6">
        <v>14</v>
      </c>
      <c r="J901" s="6">
        <v>7</v>
      </c>
      <c r="K901" s="6" t="s">
        <v>52</v>
      </c>
      <c r="L901" s="6" t="str">
        <f>VLOOKUP(K901, 'Alphabetical by species code'!A:B, 2, FALSE)</f>
        <v>Rock</v>
      </c>
    </row>
    <row r="902" spans="1:13" x14ac:dyDescent="0.25">
      <c r="A902" s="6">
        <v>10</v>
      </c>
      <c r="B902" s="6">
        <v>2025</v>
      </c>
      <c r="C902" s="7">
        <v>45777</v>
      </c>
      <c r="D902" s="6" t="s">
        <v>77</v>
      </c>
      <c r="E902" s="6" t="s">
        <v>75</v>
      </c>
      <c r="F902" s="6">
        <v>1</v>
      </c>
      <c r="G902" s="6" t="s">
        <v>46</v>
      </c>
      <c r="H902" s="6">
        <v>1</v>
      </c>
      <c r="I902" s="6">
        <v>14</v>
      </c>
      <c r="J902" s="6">
        <v>7</v>
      </c>
      <c r="K902" s="6" t="s">
        <v>78</v>
      </c>
      <c r="L902" s="6" t="e">
        <f>VLOOKUP(K902, 'Alphabetical by species code'!A:B, 2, FALSE)</f>
        <v>#N/A</v>
      </c>
      <c r="M902" s="6" t="s">
        <v>90</v>
      </c>
    </row>
    <row r="903" spans="1:13" x14ac:dyDescent="0.25">
      <c r="A903" s="6">
        <v>10</v>
      </c>
      <c r="B903" s="6">
        <v>2025</v>
      </c>
      <c r="C903" s="7">
        <v>45777</v>
      </c>
      <c r="D903" s="6" t="s">
        <v>77</v>
      </c>
      <c r="E903" s="6" t="s">
        <v>75</v>
      </c>
      <c r="F903" s="6">
        <v>1</v>
      </c>
      <c r="G903" s="6" t="s">
        <v>46</v>
      </c>
      <c r="H903" s="6">
        <v>1</v>
      </c>
      <c r="I903" s="6">
        <v>15</v>
      </c>
      <c r="J903" s="6">
        <v>7.5</v>
      </c>
      <c r="K903" s="6" t="s">
        <v>28</v>
      </c>
      <c r="L903" s="6" t="str">
        <f>VLOOKUP(K903, 'Alphabetical by species code'!A:B, 2, FALSE)</f>
        <v>Litter</v>
      </c>
    </row>
    <row r="904" spans="1:13" x14ac:dyDescent="0.25">
      <c r="A904" s="6">
        <v>10</v>
      </c>
      <c r="B904" s="6">
        <v>2025</v>
      </c>
      <c r="C904" s="7">
        <v>45777</v>
      </c>
      <c r="D904" s="6" t="s">
        <v>77</v>
      </c>
      <c r="E904" s="6" t="s">
        <v>75</v>
      </c>
      <c r="F904" s="6">
        <v>1</v>
      </c>
      <c r="G904" s="6" t="s">
        <v>46</v>
      </c>
      <c r="H904" s="6">
        <v>1</v>
      </c>
      <c r="I904" s="6">
        <v>15</v>
      </c>
      <c r="J904" s="6">
        <v>7.5</v>
      </c>
      <c r="K904" s="6" t="s">
        <v>64</v>
      </c>
      <c r="L904" s="6" t="str">
        <f>VLOOKUP(K904, 'Alphabetical by species code'!A:B, 2, FALSE)</f>
        <v>Brassica nigra</v>
      </c>
    </row>
    <row r="905" spans="1:13" x14ac:dyDescent="0.25">
      <c r="A905" s="6">
        <v>10</v>
      </c>
      <c r="B905" s="6">
        <v>2025</v>
      </c>
      <c r="C905" s="7">
        <v>45777</v>
      </c>
      <c r="D905" s="6" t="s">
        <v>77</v>
      </c>
      <c r="E905" s="6" t="s">
        <v>75</v>
      </c>
      <c r="F905" s="6">
        <v>1</v>
      </c>
      <c r="G905" s="6" t="s">
        <v>46</v>
      </c>
      <c r="H905" s="6">
        <v>1</v>
      </c>
      <c r="I905" s="6">
        <v>15</v>
      </c>
      <c r="J905" s="6">
        <v>7.5</v>
      </c>
      <c r="K905" s="6" t="s">
        <v>42</v>
      </c>
      <c r="L905" s="6" t="str">
        <f>VLOOKUP(K905, 'Alphabetical by species code'!A:B, 2, FALSE)</f>
        <v>Centaurea melitensis</v>
      </c>
    </row>
    <row r="906" spans="1:13" x14ac:dyDescent="0.25">
      <c r="A906" s="6">
        <v>10</v>
      </c>
      <c r="B906" s="6">
        <v>2025</v>
      </c>
      <c r="C906" s="7">
        <v>45777</v>
      </c>
      <c r="D906" s="6" t="s">
        <v>77</v>
      </c>
      <c r="E906" s="6" t="s">
        <v>75</v>
      </c>
      <c r="F906" s="6">
        <v>1</v>
      </c>
      <c r="G906" s="6" t="s">
        <v>46</v>
      </c>
      <c r="H906" s="6">
        <v>2</v>
      </c>
      <c r="I906" s="6">
        <v>1</v>
      </c>
      <c r="J906" s="6">
        <v>0</v>
      </c>
      <c r="K906" s="6" t="s">
        <v>52</v>
      </c>
      <c r="L906" s="6" t="str">
        <f>VLOOKUP(K906, 'Alphabetical by species code'!A:B, 2, FALSE)</f>
        <v>Rock</v>
      </c>
    </row>
    <row r="907" spans="1:13" x14ac:dyDescent="0.25">
      <c r="A907" s="6">
        <v>10</v>
      </c>
      <c r="B907" s="6">
        <v>2025</v>
      </c>
      <c r="C907" s="7">
        <v>45777</v>
      </c>
      <c r="D907" s="6" t="s">
        <v>77</v>
      </c>
      <c r="E907" s="6" t="s">
        <v>75</v>
      </c>
      <c r="F907" s="6">
        <v>1</v>
      </c>
      <c r="G907" s="6" t="s">
        <v>46</v>
      </c>
      <c r="H907" s="6">
        <v>2</v>
      </c>
      <c r="I907" s="6">
        <v>2</v>
      </c>
      <c r="J907" s="6">
        <v>0.5</v>
      </c>
      <c r="K907" s="6" t="s">
        <v>28</v>
      </c>
      <c r="L907" s="6" t="str">
        <f>VLOOKUP(K907, 'Alphabetical by species code'!A:B, 2, FALSE)</f>
        <v>Litter</v>
      </c>
    </row>
    <row r="908" spans="1:13" x14ac:dyDescent="0.25">
      <c r="A908" s="6">
        <v>10</v>
      </c>
      <c r="B908" s="6">
        <v>2025</v>
      </c>
      <c r="C908" s="7">
        <v>45777</v>
      </c>
      <c r="D908" s="6" t="s">
        <v>77</v>
      </c>
      <c r="E908" s="6" t="s">
        <v>75</v>
      </c>
      <c r="F908" s="6">
        <v>1</v>
      </c>
      <c r="G908" s="6" t="s">
        <v>46</v>
      </c>
      <c r="H908" s="6">
        <v>2</v>
      </c>
      <c r="I908" s="6">
        <v>2</v>
      </c>
      <c r="J908" s="6">
        <v>0.5</v>
      </c>
      <c r="K908" s="6" t="s">
        <v>36</v>
      </c>
      <c r="L908" s="6" t="str">
        <f>VLOOKUP(K908, 'Alphabetical by species code'!A:B, 2, FALSE)</f>
        <v>Bromus madritensis</v>
      </c>
    </row>
    <row r="909" spans="1:13" x14ac:dyDescent="0.25">
      <c r="A909" s="6">
        <v>10</v>
      </c>
      <c r="B909" s="6">
        <v>2025</v>
      </c>
      <c r="C909" s="7">
        <v>45777</v>
      </c>
      <c r="D909" s="6" t="s">
        <v>77</v>
      </c>
      <c r="E909" s="6" t="s">
        <v>75</v>
      </c>
      <c r="F909" s="6">
        <v>1</v>
      </c>
      <c r="G909" s="6" t="s">
        <v>46</v>
      </c>
      <c r="H909" s="6">
        <v>2</v>
      </c>
      <c r="I909" s="6">
        <v>3</v>
      </c>
      <c r="J909" s="6">
        <v>1</v>
      </c>
      <c r="K909" s="6" t="s">
        <v>51</v>
      </c>
      <c r="L909" s="6" t="str">
        <f>VLOOKUP(K909, 'Alphabetical by species code'!A:B, 2, FALSE)</f>
        <v>Bareground</v>
      </c>
    </row>
    <row r="910" spans="1:13" x14ac:dyDescent="0.25">
      <c r="A910" s="6">
        <v>10</v>
      </c>
      <c r="B910" s="6">
        <v>2025</v>
      </c>
      <c r="C910" s="7">
        <v>45777</v>
      </c>
      <c r="D910" s="6" t="s">
        <v>77</v>
      </c>
      <c r="E910" s="6" t="s">
        <v>75</v>
      </c>
      <c r="F910" s="6">
        <v>1</v>
      </c>
      <c r="G910" s="6" t="s">
        <v>46</v>
      </c>
      <c r="H910" s="6">
        <v>2</v>
      </c>
      <c r="I910" s="6">
        <v>3</v>
      </c>
      <c r="J910" s="6">
        <v>1</v>
      </c>
      <c r="K910" s="6" t="s">
        <v>91</v>
      </c>
      <c r="L910" s="6" t="e">
        <f>VLOOKUP(K910, 'Alphabetical by species code'!A:B, 2, FALSE)</f>
        <v>#N/A</v>
      </c>
    </row>
    <row r="911" spans="1:13" x14ac:dyDescent="0.25">
      <c r="A911" s="6">
        <v>10</v>
      </c>
      <c r="B911" s="6">
        <v>2025</v>
      </c>
      <c r="C911" s="7">
        <v>45777</v>
      </c>
      <c r="D911" s="6" t="s">
        <v>77</v>
      </c>
      <c r="E911" s="6" t="s">
        <v>75</v>
      </c>
      <c r="F911" s="6">
        <v>1</v>
      </c>
      <c r="G911" s="6" t="s">
        <v>46</v>
      </c>
      <c r="H911" s="6">
        <v>2</v>
      </c>
      <c r="I911" s="6">
        <v>3</v>
      </c>
      <c r="J911" s="6">
        <v>1</v>
      </c>
      <c r="K911" s="6" t="s">
        <v>80</v>
      </c>
      <c r="L911" s="6" t="str">
        <f>VLOOKUP(K911, 'Alphabetical by species code'!A:B, 2, FALSE)</f>
        <v>Erodium species</v>
      </c>
    </row>
    <row r="912" spans="1:13" x14ac:dyDescent="0.25">
      <c r="A912" s="6">
        <v>10</v>
      </c>
      <c r="B912" s="6">
        <v>2025</v>
      </c>
      <c r="C912" s="7">
        <v>45777</v>
      </c>
      <c r="D912" s="6" t="s">
        <v>77</v>
      </c>
      <c r="E912" s="6" t="s">
        <v>75</v>
      </c>
      <c r="F912" s="6">
        <v>1</v>
      </c>
      <c r="G912" s="6" t="s">
        <v>46</v>
      </c>
      <c r="H912" s="6">
        <v>2</v>
      </c>
      <c r="I912" s="6">
        <v>4</v>
      </c>
      <c r="J912" s="6">
        <v>1.5</v>
      </c>
      <c r="K912" s="6" t="s">
        <v>28</v>
      </c>
      <c r="L912" s="6" t="str">
        <f>VLOOKUP(K912, 'Alphabetical by species code'!A:B, 2, FALSE)</f>
        <v>Litter</v>
      </c>
    </row>
    <row r="913" spans="1:12" x14ac:dyDescent="0.25">
      <c r="A913" s="6">
        <v>10</v>
      </c>
      <c r="B913" s="6">
        <v>2025</v>
      </c>
      <c r="C913" s="7">
        <v>45777</v>
      </c>
      <c r="D913" s="6" t="s">
        <v>77</v>
      </c>
      <c r="E913" s="6" t="s">
        <v>75</v>
      </c>
      <c r="F913" s="6">
        <v>1</v>
      </c>
      <c r="G913" s="6" t="s">
        <v>46</v>
      </c>
      <c r="H913" s="6">
        <v>2</v>
      </c>
      <c r="I913" s="6">
        <v>4</v>
      </c>
      <c r="J913" s="6">
        <v>1.5</v>
      </c>
      <c r="K913" s="6" t="s">
        <v>35</v>
      </c>
      <c r="L913" s="6" t="str">
        <f>VLOOKUP(K913, 'Alphabetical by species code'!A:B, 2, FALSE)</f>
        <v>Deinandra fasciculata</v>
      </c>
    </row>
    <row r="914" spans="1:12" x14ac:dyDescent="0.25">
      <c r="A914" s="6">
        <v>10</v>
      </c>
      <c r="B914" s="6">
        <v>2025</v>
      </c>
      <c r="C914" s="7">
        <v>45777</v>
      </c>
      <c r="D914" s="6" t="s">
        <v>77</v>
      </c>
      <c r="E914" s="6" t="s">
        <v>75</v>
      </c>
      <c r="F914" s="6">
        <v>1</v>
      </c>
      <c r="G914" s="6" t="s">
        <v>46</v>
      </c>
      <c r="H914" s="6">
        <v>2</v>
      </c>
      <c r="I914" s="6">
        <v>5</v>
      </c>
      <c r="J914" s="6">
        <v>2.5</v>
      </c>
      <c r="K914" s="6" t="s">
        <v>28</v>
      </c>
      <c r="L914" s="6" t="str">
        <f>VLOOKUP(K914, 'Alphabetical by species code'!A:B, 2, FALSE)</f>
        <v>Litter</v>
      </c>
    </row>
    <row r="915" spans="1:12" x14ac:dyDescent="0.25">
      <c r="A915" s="6">
        <v>10</v>
      </c>
      <c r="B915" s="6">
        <v>2025</v>
      </c>
      <c r="C915" s="7">
        <v>45777</v>
      </c>
      <c r="D915" s="6" t="s">
        <v>77</v>
      </c>
      <c r="E915" s="6" t="s">
        <v>75</v>
      </c>
      <c r="F915" s="6">
        <v>1</v>
      </c>
      <c r="G915" s="6" t="s">
        <v>46</v>
      </c>
      <c r="H915" s="6">
        <v>2</v>
      </c>
      <c r="I915" s="6">
        <v>6</v>
      </c>
      <c r="J915" s="6">
        <v>3</v>
      </c>
      <c r="K915" s="6" t="s">
        <v>28</v>
      </c>
      <c r="L915" s="6" t="str">
        <f>VLOOKUP(K915, 'Alphabetical by species code'!A:B, 2, FALSE)</f>
        <v>Litter</v>
      </c>
    </row>
    <row r="916" spans="1:12" x14ac:dyDescent="0.25">
      <c r="A916" s="6">
        <v>10</v>
      </c>
      <c r="B916" s="6">
        <v>2025</v>
      </c>
      <c r="C916" s="7">
        <v>45777</v>
      </c>
      <c r="D916" s="6" t="s">
        <v>77</v>
      </c>
      <c r="E916" s="6" t="s">
        <v>75</v>
      </c>
      <c r="F916" s="6">
        <v>1</v>
      </c>
      <c r="G916" s="6" t="s">
        <v>46</v>
      </c>
      <c r="H916" s="6">
        <v>2</v>
      </c>
      <c r="I916" s="6">
        <v>6</v>
      </c>
      <c r="J916" s="6">
        <v>3</v>
      </c>
      <c r="K916" s="6" t="s">
        <v>35</v>
      </c>
      <c r="L916" s="6" t="str">
        <f>VLOOKUP(K916, 'Alphabetical by species code'!A:B, 2, FALSE)</f>
        <v>Deinandra fasciculata</v>
      </c>
    </row>
    <row r="917" spans="1:12" x14ac:dyDescent="0.25">
      <c r="A917" s="6">
        <v>10</v>
      </c>
      <c r="B917" s="6">
        <v>2025</v>
      </c>
      <c r="C917" s="7">
        <v>45777</v>
      </c>
      <c r="D917" s="6" t="s">
        <v>77</v>
      </c>
      <c r="E917" s="6" t="s">
        <v>75</v>
      </c>
      <c r="F917" s="6">
        <v>1</v>
      </c>
      <c r="G917" s="6" t="s">
        <v>46</v>
      </c>
      <c r="H917" s="6">
        <v>2</v>
      </c>
      <c r="I917" s="6">
        <v>7</v>
      </c>
      <c r="J917" s="6">
        <v>3.5</v>
      </c>
      <c r="K917" s="6" t="s">
        <v>28</v>
      </c>
      <c r="L917" s="6" t="str">
        <f>VLOOKUP(K917, 'Alphabetical by species code'!A:B, 2, FALSE)</f>
        <v>Litter</v>
      </c>
    </row>
    <row r="918" spans="1:12" x14ac:dyDescent="0.25">
      <c r="A918" s="6">
        <v>10</v>
      </c>
      <c r="B918" s="6">
        <v>2025</v>
      </c>
      <c r="C918" s="7">
        <v>45777</v>
      </c>
      <c r="D918" s="6" t="s">
        <v>77</v>
      </c>
      <c r="E918" s="6" t="s">
        <v>75</v>
      </c>
      <c r="F918" s="6">
        <v>1</v>
      </c>
      <c r="G918" s="6" t="s">
        <v>46</v>
      </c>
      <c r="H918" s="6">
        <v>2</v>
      </c>
      <c r="I918" s="6">
        <v>8</v>
      </c>
      <c r="J918" s="6">
        <v>4</v>
      </c>
      <c r="K918" s="6" t="s">
        <v>28</v>
      </c>
      <c r="L918" s="6" t="str">
        <f>VLOOKUP(K918, 'Alphabetical by species code'!A:B, 2, FALSE)</f>
        <v>Litter</v>
      </c>
    </row>
    <row r="919" spans="1:12" x14ac:dyDescent="0.25">
      <c r="A919" s="6">
        <v>10</v>
      </c>
      <c r="B919" s="6">
        <v>2025</v>
      </c>
      <c r="C919" s="7">
        <v>45777</v>
      </c>
      <c r="D919" s="6" t="s">
        <v>77</v>
      </c>
      <c r="E919" s="6" t="s">
        <v>75</v>
      </c>
      <c r="F919" s="6">
        <v>1</v>
      </c>
      <c r="G919" s="6" t="s">
        <v>46</v>
      </c>
      <c r="H919" s="6">
        <v>2</v>
      </c>
      <c r="I919" s="6">
        <v>9</v>
      </c>
      <c r="J919" s="6">
        <v>4.5</v>
      </c>
      <c r="K919" s="6" t="s">
        <v>51</v>
      </c>
      <c r="L919" s="6" t="str">
        <f>VLOOKUP(K919, 'Alphabetical by species code'!A:B, 2, FALSE)</f>
        <v>Bareground</v>
      </c>
    </row>
    <row r="920" spans="1:12" x14ac:dyDescent="0.25">
      <c r="A920" s="6">
        <v>10</v>
      </c>
      <c r="B920" s="6">
        <v>2025</v>
      </c>
      <c r="C920" s="7">
        <v>45777</v>
      </c>
      <c r="D920" s="6" t="s">
        <v>77</v>
      </c>
      <c r="E920" s="6" t="s">
        <v>75</v>
      </c>
      <c r="F920" s="6">
        <v>1</v>
      </c>
      <c r="G920" s="6" t="s">
        <v>46</v>
      </c>
      <c r="H920" s="6">
        <v>2</v>
      </c>
      <c r="I920" s="6">
        <v>10</v>
      </c>
      <c r="J920" s="6">
        <v>5</v>
      </c>
      <c r="K920" s="6" t="s">
        <v>51</v>
      </c>
      <c r="L920" s="6" t="str">
        <f>VLOOKUP(K920, 'Alphabetical by species code'!A:B, 2, FALSE)</f>
        <v>Bareground</v>
      </c>
    </row>
    <row r="921" spans="1:12" x14ac:dyDescent="0.25">
      <c r="A921" s="6">
        <v>10</v>
      </c>
      <c r="B921" s="6">
        <v>2025</v>
      </c>
      <c r="C921" s="7">
        <v>45777</v>
      </c>
      <c r="D921" s="6" t="s">
        <v>77</v>
      </c>
      <c r="E921" s="6" t="s">
        <v>75</v>
      </c>
      <c r="F921" s="6">
        <v>1</v>
      </c>
      <c r="G921" s="6" t="s">
        <v>46</v>
      </c>
      <c r="H921" s="6">
        <v>2</v>
      </c>
      <c r="I921" s="6">
        <v>10</v>
      </c>
      <c r="J921" s="6">
        <v>5</v>
      </c>
      <c r="K921" s="6" t="s">
        <v>81</v>
      </c>
      <c r="L921" s="6" t="str">
        <f>VLOOKUP(K921, 'Alphabetical by species code'!A:B, 2, FALSE)</f>
        <v>Brachypodium distachyon</v>
      </c>
    </row>
    <row r="922" spans="1:12" x14ac:dyDescent="0.25">
      <c r="A922" s="6">
        <v>10</v>
      </c>
      <c r="B922" s="6">
        <v>2025</v>
      </c>
      <c r="C922" s="7">
        <v>45777</v>
      </c>
      <c r="D922" s="6" t="s">
        <v>77</v>
      </c>
      <c r="E922" s="6" t="s">
        <v>75</v>
      </c>
      <c r="F922" s="6">
        <v>1</v>
      </c>
      <c r="G922" s="6" t="s">
        <v>46</v>
      </c>
      <c r="H922" s="6">
        <v>2</v>
      </c>
      <c r="I922" s="6">
        <v>10</v>
      </c>
      <c r="J922" s="6">
        <v>5</v>
      </c>
      <c r="K922" s="6" t="s">
        <v>65</v>
      </c>
      <c r="L922" s="6" t="str">
        <f>VLOOKUP(K922, 'Alphabetical by species code'!A:B, 2, FALSE)</f>
        <v>Cryptantha intermedia</v>
      </c>
    </row>
    <row r="923" spans="1:12" x14ac:dyDescent="0.25">
      <c r="A923" s="6">
        <v>10</v>
      </c>
      <c r="B923" s="6">
        <v>2025</v>
      </c>
      <c r="C923" s="7">
        <v>45777</v>
      </c>
      <c r="D923" s="6" t="s">
        <v>77</v>
      </c>
      <c r="E923" s="6" t="s">
        <v>75</v>
      </c>
      <c r="F923" s="6">
        <v>1</v>
      </c>
      <c r="G923" s="6" t="s">
        <v>46</v>
      </c>
      <c r="H923" s="6">
        <v>2</v>
      </c>
      <c r="I923" s="6">
        <v>10</v>
      </c>
      <c r="J923" s="6">
        <v>5</v>
      </c>
      <c r="K923" s="6" t="s">
        <v>82</v>
      </c>
      <c r="L923" s="6" t="str">
        <f>VLOOKUP(K923, 'Alphabetical by species code'!A:B, 2, FALSE)</f>
        <v>Helminthotheca echioides</v>
      </c>
    </row>
    <row r="924" spans="1:12" x14ac:dyDescent="0.25">
      <c r="A924" s="6">
        <v>10</v>
      </c>
      <c r="B924" s="6">
        <v>2025</v>
      </c>
      <c r="C924" s="7">
        <v>45777</v>
      </c>
      <c r="D924" s="6" t="s">
        <v>77</v>
      </c>
      <c r="E924" s="6" t="s">
        <v>75</v>
      </c>
      <c r="F924" s="6">
        <v>1</v>
      </c>
      <c r="G924" s="6" t="s">
        <v>46</v>
      </c>
      <c r="H924" s="6">
        <v>2</v>
      </c>
      <c r="I924" s="6">
        <v>11</v>
      </c>
      <c r="J924" s="6">
        <v>5.5</v>
      </c>
      <c r="K924" s="6" t="s">
        <v>28</v>
      </c>
      <c r="L924" s="6" t="str">
        <f>VLOOKUP(K924, 'Alphabetical by species code'!A:B, 2, FALSE)</f>
        <v>Litter</v>
      </c>
    </row>
    <row r="925" spans="1:12" x14ac:dyDescent="0.25">
      <c r="A925" s="6">
        <v>10</v>
      </c>
      <c r="B925" s="6">
        <v>2025</v>
      </c>
      <c r="C925" s="7">
        <v>45777</v>
      </c>
      <c r="D925" s="6" t="s">
        <v>77</v>
      </c>
      <c r="E925" s="6" t="s">
        <v>75</v>
      </c>
      <c r="F925" s="6">
        <v>1</v>
      </c>
      <c r="G925" s="6" t="s">
        <v>46</v>
      </c>
      <c r="H925" s="6">
        <v>2</v>
      </c>
      <c r="I925" s="6">
        <v>11</v>
      </c>
      <c r="J925" s="6">
        <v>5.5</v>
      </c>
      <c r="K925" s="6" t="s">
        <v>36</v>
      </c>
      <c r="L925" s="6" t="str">
        <f>VLOOKUP(K925, 'Alphabetical by species code'!A:B, 2, FALSE)</f>
        <v>Bromus madritensis</v>
      </c>
    </row>
    <row r="926" spans="1:12" x14ac:dyDescent="0.25">
      <c r="A926" s="6">
        <v>10</v>
      </c>
      <c r="B926" s="6">
        <v>2025</v>
      </c>
      <c r="C926" s="7">
        <v>45777</v>
      </c>
      <c r="D926" s="6" t="s">
        <v>77</v>
      </c>
      <c r="E926" s="6" t="s">
        <v>75</v>
      </c>
      <c r="F926" s="6">
        <v>1</v>
      </c>
      <c r="G926" s="6" t="s">
        <v>46</v>
      </c>
      <c r="H926" s="6">
        <v>2</v>
      </c>
      <c r="I926" s="6">
        <v>11</v>
      </c>
      <c r="J926" s="6">
        <v>5.5</v>
      </c>
      <c r="K926" s="6" t="s">
        <v>31</v>
      </c>
      <c r="L926" s="6" t="str">
        <f>VLOOKUP(K926, 'Alphabetical by species code'!A:B, 2, FALSE)</f>
        <v>Festuca myuros</v>
      </c>
    </row>
    <row r="927" spans="1:12" x14ac:dyDescent="0.25">
      <c r="A927" s="6">
        <v>10</v>
      </c>
      <c r="B927" s="6">
        <v>2025</v>
      </c>
      <c r="C927" s="7">
        <v>45777</v>
      </c>
      <c r="D927" s="6" t="s">
        <v>77</v>
      </c>
      <c r="E927" s="6" t="s">
        <v>75</v>
      </c>
      <c r="F927" s="6">
        <v>1</v>
      </c>
      <c r="G927" s="6" t="s">
        <v>46</v>
      </c>
      <c r="H927" s="6">
        <v>2</v>
      </c>
      <c r="I927" s="6">
        <v>11</v>
      </c>
      <c r="J927" s="6">
        <v>5.5</v>
      </c>
      <c r="K927" s="6" t="s">
        <v>42</v>
      </c>
      <c r="L927" s="6" t="str">
        <f>VLOOKUP(K927, 'Alphabetical by species code'!A:B, 2, FALSE)</f>
        <v>Centaurea melitensis</v>
      </c>
    </row>
    <row r="928" spans="1:12" x14ac:dyDescent="0.25">
      <c r="A928" s="6">
        <v>10</v>
      </c>
      <c r="B928" s="6">
        <v>2025</v>
      </c>
      <c r="C928" s="7">
        <v>45777</v>
      </c>
      <c r="D928" s="6" t="s">
        <v>77</v>
      </c>
      <c r="E928" s="6" t="s">
        <v>75</v>
      </c>
      <c r="F928" s="6">
        <v>1</v>
      </c>
      <c r="G928" s="6" t="s">
        <v>46</v>
      </c>
      <c r="H928" s="6">
        <v>2</v>
      </c>
      <c r="I928" s="6">
        <v>12</v>
      </c>
      <c r="J928" s="6">
        <v>6</v>
      </c>
      <c r="K928" s="6" t="s">
        <v>28</v>
      </c>
      <c r="L928" s="6" t="str">
        <f>VLOOKUP(K928, 'Alphabetical by species code'!A:B, 2, FALSE)</f>
        <v>Litter</v>
      </c>
    </row>
    <row r="929" spans="1:12" x14ac:dyDescent="0.25">
      <c r="A929" s="6">
        <v>10</v>
      </c>
      <c r="B929" s="6">
        <v>2025</v>
      </c>
      <c r="C929" s="7">
        <v>45777</v>
      </c>
      <c r="D929" s="6" t="s">
        <v>77</v>
      </c>
      <c r="E929" s="6" t="s">
        <v>75</v>
      </c>
      <c r="F929" s="6">
        <v>1</v>
      </c>
      <c r="G929" s="6" t="s">
        <v>46</v>
      </c>
      <c r="H929" s="6">
        <v>2</v>
      </c>
      <c r="I929" s="6">
        <v>13</v>
      </c>
      <c r="J929" s="6">
        <v>6.5</v>
      </c>
      <c r="K929" s="6" t="s">
        <v>28</v>
      </c>
      <c r="L929" s="6" t="str">
        <f>VLOOKUP(K929, 'Alphabetical by species code'!A:B, 2, FALSE)</f>
        <v>Litter</v>
      </c>
    </row>
    <row r="930" spans="1:12" x14ac:dyDescent="0.25">
      <c r="A930" s="6">
        <v>10</v>
      </c>
      <c r="B930" s="6">
        <v>2025</v>
      </c>
      <c r="C930" s="7">
        <v>45777</v>
      </c>
      <c r="D930" s="6" t="s">
        <v>77</v>
      </c>
      <c r="E930" s="6" t="s">
        <v>75</v>
      </c>
      <c r="F930" s="6">
        <v>1</v>
      </c>
      <c r="G930" s="6" t="s">
        <v>46</v>
      </c>
      <c r="H930" s="6">
        <v>2</v>
      </c>
      <c r="I930" s="6">
        <v>13</v>
      </c>
      <c r="J930" s="6">
        <v>6.5</v>
      </c>
      <c r="K930" s="6" t="s">
        <v>81</v>
      </c>
      <c r="L930" s="6" t="str">
        <f>VLOOKUP(K930, 'Alphabetical by species code'!A:B, 2, FALSE)</f>
        <v>Brachypodium distachyon</v>
      </c>
    </row>
    <row r="931" spans="1:12" x14ac:dyDescent="0.25">
      <c r="A931" s="6">
        <v>10</v>
      </c>
      <c r="B931" s="6">
        <v>2025</v>
      </c>
      <c r="C931" s="7">
        <v>45777</v>
      </c>
      <c r="D931" s="6" t="s">
        <v>77</v>
      </c>
      <c r="E931" s="6" t="s">
        <v>75</v>
      </c>
      <c r="F931" s="6">
        <v>1</v>
      </c>
      <c r="G931" s="6" t="s">
        <v>46</v>
      </c>
      <c r="H931" s="6">
        <v>2</v>
      </c>
      <c r="I931" s="6">
        <v>14</v>
      </c>
      <c r="J931" s="6">
        <v>7</v>
      </c>
      <c r="K931" s="6" t="s">
        <v>28</v>
      </c>
      <c r="L931" s="6" t="str">
        <f>VLOOKUP(K931, 'Alphabetical by species code'!A:B, 2, FALSE)</f>
        <v>Litter</v>
      </c>
    </row>
    <row r="932" spans="1:12" x14ac:dyDescent="0.25">
      <c r="A932" s="6">
        <v>10</v>
      </c>
      <c r="B932" s="6">
        <v>2025</v>
      </c>
      <c r="C932" s="7">
        <v>45777</v>
      </c>
      <c r="D932" s="6" t="s">
        <v>77</v>
      </c>
      <c r="E932" s="6" t="s">
        <v>75</v>
      </c>
      <c r="F932" s="6">
        <v>1</v>
      </c>
      <c r="G932" s="6" t="s">
        <v>46</v>
      </c>
      <c r="H932" s="6">
        <v>2</v>
      </c>
      <c r="I932" s="6">
        <v>14</v>
      </c>
      <c r="J932" s="6">
        <v>7</v>
      </c>
      <c r="K932" s="6" t="s">
        <v>76</v>
      </c>
      <c r="L932" s="6" t="str">
        <f>VLOOKUP(K932, 'Alphabetical by species code'!A:B, 2, FALSE)</f>
        <v>Avena fatua</v>
      </c>
    </row>
    <row r="933" spans="1:12" x14ac:dyDescent="0.25">
      <c r="A933" s="6">
        <v>10</v>
      </c>
      <c r="B933" s="6">
        <v>2025</v>
      </c>
      <c r="C933" s="7">
        <v>45777</v>
      </c>
      <c r="D933" s="6" t="s">
        <v>77</v>
      </c>
      <c r="E933" s="6" t="s">
        <v>75</v>
      </c>
      <c r="F933" s="6">
        <v>1</v>
      </c>
      <c r="G933" s="6" t="s">
        <v>46</v>
      </c>
      <c r="H933" s="6">
        <v>2</v>
      </c>
      <c r="I933" s="6">
        <v>14</v>
      </c>
      <c r="J933" s="6">
        <v>7</v>
      </c>
      <c r="K933" s="6" t="s">
        <v>81</v>
      </c>
      <c r="L933" s="6" t="str">
        <f>VLOOKUP(K933, 'Alphabetical by species code'!A:B, 2, FALSE)</f>
        <v>Brachypodium distachyon</v>
      </c>
    </row>
    <row r="934" spans="1:12" x14ac:dyDescent="0.25">
      <c r="A934" s="6">
        <v>10</v>
      </c>
      <c r="B934" s="6">
        <v>2025</v>
      </c>
      <c r="C934" s="7">
        <v>45777</v>
      </c>
      <c r="D934" s="6" t="s">
        <v>77</v>
      </c>
      <c r="E934" s="6" t="s">
        <v>75</v>
      </c>
      <c r="F934" s="6">
        <v>1</v>
      </c>
      <c r="G934" s="6" t="s">
        <v>46</v>
      </c>
      <c r="H934" s="6">
        <v>2</v>
      </c>
      <c r="I934" s="6">
        <v>15</v>
      </c>
      <c r="J934" s="6">
        <v>7.5</v>
      </c>
      <c r="K934" s="6" t="s">
        <v>28</v>
      </c>
      <c r="L934" s="6" t="str">
        <f>VLOOKUP(K934, 'Alphabetical by species code'!A:B, 2, FALSE)</f>
        <v>Litter</v>
      </c>
    </row>
    <row r="935" spans="1:12" x14ac:dyDescent="0.25">
      <c r="A935" s="6">
        <v>10</v>
      </c>
      <c r="B935" s="6">
        <v>2025</v>
      </c>
      <c r="C935" s="7">
        <v>45777</v>
      </c>
      <c r="D935" s="6" t="s">
        <v>77</v>
      </c>
      <c r="E935" s="6" t="s">
        <v>75</v>
      </c>
      <c r="F935" s="6">
        <v>1</v>
      </c>
      <c r="G935" s="6" t="s">
        <v>46</v>
      </c>
      <c r="H935" s="6">
        <v>2</v>
      </c>
      <c r="I935" s="6">
        <v>15</v>
      </c>
      <c r="J935" s="6">
        <v>7.5</v>
      </c>
      <c r="K935" s="6" t="s">
        <v>76</v>
      </c>
      <c r="L935" s="6" t="str">
        <f>VLOOKUP(K935, 'Alphabetical by species code'!A:B, 2, FALSE)</f>
        <v>Avena fatua</v>
      </c>
    </row>
    <row r="936" spans="1:12" x14ac:dyDescent="0.25">
      <c r="A936" s="6">
        <v>10</v>
      </c>
      <c r="B936" s="6">
        <v>2025</v>
      </c>
      <c r="C936" s="7">
        <v>45777</v>
      </c>
      <c r="D936" s="6" t="s">
        <v>77</v>
      </c>
      <c r="E936" s="6" t="s">
        <v>75</v>
      </c>
      <c r="F936" s="6">
        <v>1</v>
      </c>
      <c r="G936" s="6" t="s">
        <v>46</v>
      </c>
      <c r="H936" s="6">
        <v>2</v>
      </c>
      <c r="I936" s="6">
        <v>15</v>
      </c>
      <c r="J936" s="6">
        <v>7.5</v>
      </c>
      <c r="K936" s="6" t="s">
        <v>81</v>
      </c>
      <c r="L936" s="6" t="str">
        <f>VLOOKUP(K936, 'Alphabetical by species code'!A:B, 2, FALSE)</f>
        <v>Brachypodium distachyon</v>
      </c>
    </row>
    <row r="937" spans="1:12" x14ac:dyDescent="0.25">
      <c r="A937" s="6">
        <v>11</v>
      </c>
      <c r="B937" s="6">
        <v>2025</v>
      </c>
      <c r="C937" s="7">
        <v>45790</v>
      </c>
      <c r="D937" s="6" t="s">
        <v>83</v>
      </c>
      <c r="E937" s="6" t="s">
        <v>75</v>
      </c>
      <c r="F937" s="6">
        <v>1</v>
      </c>
      <c r="G937" s="6" t="s">
        <v>63</v>
      </c>
      <c r="H937" s="6">
        <v>1</v>
      </c>
      <c r="I937" s="6">
        <v>1</v>
      </c>
      <c r="J937" s="6">
        <v>0</v>
      </c>
      <c r="K937" s="6" t="s">
        <v>28</v>
      </c>
      <c r="L937" s="6" t="str">
        <f>VLOOKUP(K937, 'Alphabetical by species code'!A:B, 2, FALSE)</f>
        <v>Litter</v>
      </c>
    </row>
    <row r="938" spans="1:12" x14ac:dyDescent="0.25">
      <c r="A938" s="6">
        <v>11</v>
      </c>
      <c r="B938" s="6">
        <v>2025</v>
      </c>
      <c r="C938" s="7">
        <v>45790</v>
      </c>
      <c r="D938" s="6" t="s">
        <v>83</v>
      </c>
      <c r="E938" s="6" t="s">
        <v>75</v>
      </c>
      <c r="F938" s="6">
        <v>1</v>
      </c>
      <c r="G938" s="6" t="s">
        <v>63</v>
      </c>
      <c r="H938" s="6">
        <v>1</v>
      </c>
      <c r="I938" s="6">
        <v>1</v>
      </c>
      <c r="J938" s="6">
        <v>0</v>
      </c>
      <c r="K938" s="6" t="s">
        <v>35</v>
      </c>
      <c r="L938" s="6" t="str">
        <f>VLOOKUP(K938, 'Alphabetical by species code'!A:B, 2, FALSE)</f>
        <v>Deinandra fasciculata</v>
      </c>
    </row>
    <row r="939" spans="1:12" x14ac:dyDescent="0.25">
      <c r="A939" s="6">
        <v>11</v>
      </c>
      <c r="B939" s="6">
        <v>2025</v>
      </c>
      <c r="C939" s="7">
        <v>45790</v>
      </c>
      <c r="D939" s="6" t="s">
        <v>83</v>
      </c>
      <c r="E939" s="6" t="s">
        <v>75</v>
      </c>
      <c r="F939" s="6">
        <v>1</v>
      </c>
      <c r="G939" s="6" t="s">
        <v>63</v>
      </c>
      <c r="H939" s="6">
        <v>1</v>
      </c>
      <c r="I939" s="6">
        <v>2</v>
      </c>
      <c r="J939" s="6">
        <v>1</v>
      </c>
      <c r="K939" s="6" t="s">
        <v>28</v>
      </c>
      <c r="L939" s="6" t="str">
        <f>VLOOKUP(K939, 'Alphabetical by species code'!A:B, 2, FALSE)</f>
        <v>Litter</v>
      </c>
    </row>
    <row r="940" spans="1:12" x14ac:dyDescent="0.25">
      <c r="A940" s="6">
        <v>11</v>
      </c>
      <c r="B940" s="6">
        <v>2025</v>
      </c>
      <c r="C940" s="7">
        <v>45790</v>
      </c>
      <c r="D940" s="6" t="s">
        <v>83</v>
      </c>
      <c r="E940" s="6" t="s">
        <v>75</v>
      </c>
      <c r="F940" s="6">
        <v>1</v>
      </c>
      <c r="G940" s="6" t="s">
        <v>63</v>
      </c>
      <c r="H940" s="6">
        <v>1</v>
      </c>
      <c r="I940" s="6">
        <v>2</v>
      </c>
      <c r="J940" s="6">
        <v>1</v>
      </c>
      <c r="K940" s="6" t="s">
        <v>47</v>
      </c>
      <c r="L940" s="6" t="str">
        <f>VLOOKUP(K940, 'Alphabetical by species code'!A:B, 2, FALSE)</f>
        <v>Sonchus species</v>
      </c>
    </row>
    <row r="941" spans="1:12" x14ac:dyDescent="0.25">
      <c r="A941" s="6">
        <v>11</v>
      </c>
      <c r="B941" s="6">
        <v>2025</v>
      </c>
      <c r="C941" s="7">
        <v>45790</v>
      </c>
      <c r="D941" s="6" t="s">
        <v>83</v>
      </c>
      <c r="E941" s="6" t="s">
        <v>75</v>
      </c>
      <c r="F941" s="6">
        <v>1</v>
      </c>
      <c r="G941" s="6" t="s">
        <v>63</v>
      </c>
      <c r="H941" s="6">
        <v>1</v>
      </c>
      <c r="I941" s="6">
        <v>3</v>
      </c>
      <c r="J941" s="6">
        <v>1.5</v>
      </c>
      <c r="K941" s="6" t="s">
        <v>28</v>
      </c>
      <c r="L941" s="6" t="str">
        <f>VLOOKUP(K941, 'Alphabetical by species code'!A:B, 2, FALSE)</f>
        <v>Litter</v>
      </c>
    </row>
    <row r="942" spans="1:12" x14ac:dyDescent="0.25">
      <c r="A942" s="6">
        <v>11</v>
      </c>
      <c r="B942" s="6">
        <v>2025</v>
      </c>
      <c r="C942" s="7">
        <v>45790</v>
      </c>
      <c r="D942" s="6" t="s">
        <v>83</v>
      </c>
      <c r="E942" s="6" t="s">
        <v>75</v>
      </c>
      <c r="F942" s="6">
        <v>1</v>
      </c>
      <c r="G942" s="6" t="s">
        <v>63</v>
      </c>
      <c r="H942" s="6">
        <v>1</v>
      </c>
      <c r="I942" s="6">
        <v>3</v>
      </c>
      <c r="J942" s="6">
        <v>1.5</v>
      </c>
      <c r="K942" s="6" t="s">
        <v>64</v>
      </c>
      <c r="L942" s="6" t="str">
        <f>VLOOKUP(K942, 'Alphabetical by species code'!A:B, 2, FALSE)</f>
        <v>Brassica nigra</v>
      </c>
    </row>
    <row r="943" spans="1:12" x14ac:dyDescent="0.25">
      <c r="A943" s="6">
        <v>11</v>
      </c>
      <c r="B943" s="6">
        <v>2025</v>
      </c>
      <c r="C943" s="7">
        <v>45790</v>
      </c>
      <c r="D943" s="6" t="s">
        <v>83</v>
      </c>
      <c r="E943" s="6" t="s">
        <v>75</v>
      </c>
      <c r="F943" s="6">
        <v>1</v>
      </c>
      <c r="G943" s="6" t="s">
        <v>63</v>
      </c>
      <c r="H943" s="6">
        <v>1</v>
      </c>
      <c r="I943" s="6">
        <v>3</v>
      </c>
      <c r="J943" s="6">
        <v>1.5</v>
      </c>
      <c r="K943" s="6" t="s">
        <v>35</v>
      </c>
      <c r="L943" s="6" t="str">
        <f>VLOOKUP(K943, 'Alphabetical by species code'!A:B, 2, FALSE)</f>
        <v>Deinandra fasciculata</v>
      </c>
    </row>
    <row r="944" spans="1:12" x14ac:dyDescent="0.25">
      <c r="A944" s="6">
        <v>11</v>
      </c>
      <c r="B944" s="6">
        <v>2025</v>
      </c>
      <c r="C944" s="7">
        <v>45790</v>
      </c>
      <c r="D944" s="6" t="s">
        <v>83</v>
      </c>
      <c r="E944" s="6" t="s">
        <v>75</v>
      </c>
      <c r="F944" s="6">
        <v>1</v>
      </c>
      <c r="G944" s="6" t="s">
        <v>63</v>
      </c>
      <c r="H944" s="6">
        <v>1</v>
      </c>
      <c r="I944" s="6">
        <v>3</v>
      </c>
      <c r="J944" s="6">
        <v>1.5</v>
      </c>
      <c r="K944" s="6" t="s">
        <v>31</v>
      </c>
      <c r="L944" s="6" t="str">
        <f>VLOOKUP(K944, 'Alphabetical by species code'!A:B, 2, FALSE)</f>
        <v>Festuca myuros</v>
      </c>
    </row>
    <row r="945" spans="1:12" x14ac:dyDescent="0.25">
      <c r="A945" s="6">
        <v>11</v>
      </c>
      <c r="B945" s="6">
        <v>2025</v>
      </c>
      <c r="C945" s="7">
        <v>45790</v>
      </c>
      <c r="D945" s="6" t="s">
        <v>83</v>
      </c>
      <c r="E945" s="6" t="s">
        <v>75</v>
      </c>
      <c r="F945" s="6">
        <v>1</v>
      </c>
      <c r="G945" s="6" t="s">
        <v>63</v>
      </c>
      <c r="H945" s="6">
        <v>1</v>
      </c>
      <c r="I945" s="6">
        <v>4</v>
      </c>
      <c r="J945" s="6">
        <v>2</v>
      </c>
      <c r="K945" s="6" t="s">
        <v>28</v>
      </c>
      <c r="L945" s="6" t="str">
        <f>VLOOKUP(K945, 'Alphabetical by species code'!A:B, 2, FALSE)</f>
        <v>Litter</v>
      </c>
    </row>
    <row r="946" spans="1:12" x14ac:dyDescent="0.25">
      <c r="A946" s="6">
        <v>11</v>
      </c>
      <c r="B946" s="6">
        <v>2025</v>
      </c>
      <c r="C946" s="7">
        <v>45790</v>
      </c>
      <c r="D946" s="6" t="s">
        <v>83</v>
      </c>
      <c r="E946" s="6" t="s">
        <v>75</v>
      </c>
      <c r="F946" s="6">
        <v>1</v>
      </c>
      <c r="G946" s="6" t="s">
        <v>63</v>
      </c>
      <c r="H946" s="6">
        <v>1</v>
      </c>
      <c r="I946" s="6">
        <v>4</v>
      </c>
      <c r="J946" s="6">
        <v>2</v>
      </c>
      <c r="K946" s="6" t="s">
        <v>35</v>
      </c>
      <c r="L946" s="6" t="str">
        <f>VLOOKUP(K946, 'Alphabetical by species code'!A:B, 2, FALSE)</f>
        <v>Deinandra fasciculata</v>
      </c>
    </row>
    <row r="947" spans="1:12" x14ac:dyDescent="0.25">
      <c r="A947" s="6">
        <v>11</v>
      </c>
      <c r="B947" s="6">
        <v>2025</v>
      </c>
      <c r="C947" s="7">
        <v>45790</v>
      </c>
      <c r="D947" s="6" t="s">
        <v>83</v>
      </c>
      <c r="E947" s="6" t="s">
        <v>75</v>
      </c>
      <c r="F947" s="6">
        <v>1</v>
      </c>
      <c r="G947" s="6" t="s">
        <v>63</v>
      </c>
      <c r="H947" s="6">
        <v>1</v>
      </c>
      <c r="I947" s="6">
        <v>4</v>
      </c>
      <c r="J947" s="6">
        <v>2</v>
      </c>
      <c r="K947" s="6" t="s">
        <v>47</v>
      </c>
      <c r="L947" s="6" t="str">
        <f>VLOOKUP(K947, 'Alphabetical by species code'!A:B, 2, FALSE)</f>
        <v>Sonchus species</v>
      </c>
    </row>
    <row r="948" spans="1:12" x14ac:dyDescent="0.25">
      <c r="A948" s="6">
        <v>11</v>
      </c>
      <c r="B948" s="6">
        <v>2025</v>
      </c>
      <c r="C948" s="7">
        <v>45790</v>
      </c>
      <c r="D948" s="6" t="s">
        <v>83</v>
      </c>
      <c r="E948" s="6" t="s">
        <v>75</v>
      </c>
      <c r="F948" s="6">
        <v>1</v>
      </c>
      <c r="G948" s="6" t="s">
        <v>63</v>
      </c>
      <c r="H948" s="6">
        <v>1</v>
      </c>
      <c r="I948" s="6">
        <v>4</v>
      </c>
      <c r="J948" s="6">
        <v>2</v>
      </c>
      <c r="K948" s="6" t="s">
        <v>64</v>
      </c>
      <c r="L948" s="6" t="str">
        <f>VLOOKUP(K948, 'Alphabetical by species code'!A:B, 2, FALSE)</f>
        <v>Brassica nigra</v>
      </c>
    </row>
    <row r="949" spans="1:12" x14ac:dyDescent="0.25">
      <c r="A949" s="6">
        <v>11</v>
      </c>
      <c r="B949" s="6">
        <v>2025</v>
      </c>
      <c r="C949" s="7">
        <v>45790</v>
      </c>
      <c r="D949" s="6" t="s">
        <v>83</v>
      </c>
      <c r="E949" s="6" t="s">
        <v>75</v>
      </c>
      <c r="F949" s="6">
        <v>1</v>
      </c>
      <c r="G949" s="6" t="s">
        <v>63</v>
      </c>
      <c r="H949" s="6">
        <v>1</v>
      </c>
      <c r="I949" s="6">
        <v>5</v>
      </c>
      <c r="J949" s="6">
        <v>3</v>
      </c>
      <c r="K949" s="6" t="s">
        <v>28</v>
      </c>
      <c r="L949" s="6" t="str">
        <f>VLOOKUP(K949, 'Alphabetical by species code'!A:B, 2, FALSE)</f>
        <v>Litter</v>
      </c>
    </row>
    <row r="950" spans="1:12" x14ac:dyDescent="0.25">
      <c r="A950" s="6">
        <v>11</v>
      </c>
      <c r="B950" s="6">
        <v>2025</v>
      </c>
      <c r="C950" s="7">
        <v>45790</v>
      </c>
      <c r="D950" s="6" t="s">
        <v>83</v>
      </c>
      <c r="E950" s="6" t="s">
        <v>75</v>
      </c>
      <c r="F950" s="6">
        <v>1</v>
      </c>
      <c r="G950" s="6" t="s">
        <v>63</v>
      </c>
      <c r="H950" s="6">
        <v>1</v>
      </c>
      <c r="I950" s="6">
        <v>5</v>
      </c>
      <c r="J950" s="6">
        <v>3</v>
      </c>
      <c r="K950" s="6" t="s">
        <v>64</v>
      </c>
      <c r="L950" s="6" t="str">
        <f>VLOOKUP(K950, 'Alphabetical by species code'!A:B, 2, FALSE)</f>
        <v>Brassica nigra</v>
      </c>
    </row>
    <row r="951" spans="1:12" x14ac:dyDescent="0.25">
      <c r="A951" s="6">
        <v>11</v>
      </c>
      <c r="B951" s="6">
        <v>2025</v>
      </c>
      <c r="C951" s="7">
        <v>45790</v>
      </c>
      <c r="D951" s="6" t="s">
        <v>83</v>
      </c>
      <c r="E951" s="6" t="s">
        <v>75</v>
      </c>
      <c r="F951" s="6">
        <v>1</v>
      </c>
      <c r="G951" s="6" t="s">
        <v>63</v>
      </c>
      <c r="H951" s="6">
        <v>1</v>
      </c>
      <c r="I951" s="6">
        <v>5</v>
      </c>
      <c r="J951" s="6">
        <v>3</v>
      </c>
      <c r="K951" s="6" t="s">
        <v>35</v>
      </c>
      <c r="L951" s="6" t="str">
        <f>VLOOKUP(K951, 'Alphabetical by species code'!A:B, 2, FALSE)</f>
        <v>Deinandra fasciculata</v>
      </c>
    </row>
    <row r="952" spans="1:12" x14ac:dyDescent="0.25">
      <c r="A952" s="6">
        <v>11</v>
      </c>
      <c r="B952" s="6">
        <v>2025</v>
      </c>
      <c r="C952" s="7">
        <v>45790</v>
      </c>
      <c r="D952" s="6" t="s">
        <v>83</v>
      </c>
      <c r="E952" s="6" t="s">
        <v>75</v>
      </c>
      <c r="F952" s="6">
        <v>1</v>
      </c>
      <c r="G952" s="6" t="s">
        <v>63</v>
      </c>
      <c r="H952" s="6">
        <v>1</v>
      </c>
      <c r="I952" s="6">
        <v>6</v>
      </c>
      <c r="J952" s="6">
        <v>3.5</v>
      </c>
      <c r="K952" s="6" t="s">
        <v>38</v>
      </c>
      <c r="L952" s="6" t="str">
        <f>VLOOKUP(K952, 'Alphabetical by species code'!A:B, 2, FALSE)</f>
        <v>Thatch</v>
      </c>
    </row>
    <row r="953" spans="1:12" x14ac:dyDescent="0.25">
      <c r="A953" s="6">
        <v>11</v>
      </c>
      <c r="B953" s="6">
        <v>2025</v>
      </c>
      <c r="C953" s="7">
        <v>45790</v>
      </c>
      <c r="D953" s="6" t="s">
        <v>83</v>
      </c>
      <c r="E953" s="6" t="s">
        <v>75</v>
      </c>
      <c r="F953" s="6">
        <v>1</v>
      </c>
      <c r="G953" s="6" t="s">
        <v>63</v>
      </c>
      <c r="H953" s="6">
        <v>1</v>
      </c>
      <c r="I953" s="6">
        <v>6</v>
      </c>
      <c r="J953" s="6">
        <v>3.5</v>
      </c>
      <c r="K953" s="6" t="s">
        <v>64</v>
      </c>
      <c r="L953" s="6" t="str">
        <f>VLOOKUP(K953, 'Alphabetical by species code'!A:B, 2, FALSE)</f>
        <v>Brassica nigra</v>
      </c>
    </row>
    <row r="954" spans="1:12" x14ac:dyDescent="0.25">
      <c r="A954" s="6">
        <v>11</v>
      </c>
      <c r="B954" s="6">
        <v>2025</v>
      </c>
      <c r="C954" s="7">
        <v>45790</v>
      </c>
      <c r="D954" s="6" t="s">
        <v>83</v>
      </c>
      <c r="E954" s="6" t="s">
        <v>75</v>
      </c>
      <c r="F954" s="6">
        <v>1</v>
      </c>
      <c r="G954" s="6" t="s">
        <v>63</v>
      </c>
      <c r="H954" s="6">
        <v>1</v>
      </c>
      <c r="I954" s="6">
        <v>7</v>
      </c>
      <c r="J954" s="6">
        <v>4</v>
      </c>
      <c r="K954" s="6" t="s">
        <v>38</v>
      </c>
      <c r="L954" s="6" t="str">
        <f>VLOOKUP(K954, 'Alphabetical by species code'!A:B, 2, FALSE)</f>
        <v>Thatch</v>
      </c>
    </row>
    <row r="955" spans="1:12" x14ac:dyDescent="0.25">
      <c r="A955" s="6">
        <v>11</v>
      </c>
      <c r="B955" s="6">
        <v>2025</v>
      </c>
      <c r="C955" s="7">
        <v>45790</v>
      </c>
      <c r="D955" s="6" t="s">
        <v>83</v>
      </c>
      <c r="E955" s="6" t="s">
        <v>75</v>
      </c>
      <c r="F955" s="6">
        <v>1</v>
      </c>
      <c r="G955" s="6" t="s">
        <v>63</v>
      </c>
      <c r="H955" s="6">
        <v>1</v>
      </c>
      <c r="I955" s="6">
        <v>7</v>
      </c>
      <c r="J955" s="6">
        <v>4</v>
      </c>
      <c r="K955" s="6" t="s">
        <v>35</v>
      </c>
      <c r="L955" s="6" t="str">
        <f>VLOOKUP(K955, 'Alphabetical by species code'!A:B, 2, FALSE)</f>
        <v>Deinandra fasciculata</v>
      </c>
    </row>
    <row r="956" spans="1:12" x14ac:dyDescent="0.25">
      <c r="A956" s="6">
        <v>11</v>
      </c>
      <c r="B956" s="6">
        <v>2025</v>
      </c>
      <c r="C956" s="7">
        <v>45790</v>
      </c>
      <c r="D956" s="6" t="s">
        <v>83</v>
      </c>
      <c r="E956" s="6" t="s">
        <v>75</v>
      </c>
      <c r="F956" s="6">
        <v>1</v>
      </c>
      <c r="G956" s="6" t="s">
        <v>63</v>
      </c>
      <c r="H956" s="6">
        <v>1</v>
      </c>
      <c r="I956" s="6">
        <v>8</v>
      </c>
      <c r="J956" s="6">
        <v>5</v>
      </c>
      <c r="K956" s="6" t="s">
        <v>28</v>
      </c>
      <c r="L956" s="6" t="str">
        <f>VLOOKUP(K956, 'Alphabetical by species code'!A:B, 2, FALSE)</f>
        <v>Litter</v>
      </c>
    </row>
    <row r="957" spans="1:12" x14ac:dyDescent="0.25">
      <c r="A957" s="6">
        <v>11</v>
      </c>
      <c r="B957" s="6">
        <v>2025</v>
      </c>
      <c r="C957" s="7">
        <v>45790</v>
      </c>
      <c r="D957" s="6" t="s">
        <v>83</v>
      </c>
      <c r="E957" s="6" t="s">
        <v>75</v>
      </c>
      <c r="F957" s="6">
        <v>1</v>
      </c>
      <c r="G957" s="6" t="s">
        <v>63</v>
      </c>
      <c r="H957" s="6">
        <v>1</v>
      </c>
      <c r="I957" s="6">
        <v>8</v>
      </c>
      <c r="J957" s="6">
        <v>5</v>
      </c>
      <c r="K957" s="6" t="s">
        <v>31</v>
      </c>
      <c r="L957" s="6" t="str">
        <f>VLOOKUP(K957, 'Alphabetical by species code'!A:B, 2, FALSE)</f>
        <v>Festuca myuros</v>
      </c>
    </row>
    <row r="958" spans="1:12" x14ac:dyDescent="0.25">
      <c r="A958" s="6">
        <v>11</v>
      </c>
      <c r="B958" s="6">
        <v>2025</v>
      </c>
      <c r="C958" s="7">
        <v>45790</v>
      </c>
      <c r="D958" s="6" t="s">
        <v>83</v>
      </c>
      <c r="E958" s="6" t="s">
        <v>75</v>
      </c>
      <c r="F958" s="6">
        <v>1</v>
      </c>
      <c r="G958" s="6" t="s">
        <v>63</v>
      </c>
      <c r="H958" s="6">
        <v>1</v>
      </c>
      <c r="I958" s="6">
        <v>9</v>
      </c>
      <c r="J958" s="6">
        <v>7</v>
      </c>
      <c r="K958" s="6" t="s">
        <v>28</v>
      </c>
      <c r="L958" s="6" t="str">
        <f>VLOOKUP(K958, 'Alphabetical by species code'!A:B, 2, FALSE)</f>
        <v>Litter</v>
      </c>
    </row>
    <row r="959" spans="1:12" x14ac:dyDescent="0.25">
      <c r="A959" s="6">
        <v>11</v>
      </c>
      <c r="B959" s="6">
        <v>2025</v>
      </c>
      <c r="C959" s="7">
        <v>45790</v>
      </c>
      <c r="D959" s="6" t="s">
        <v>83</v>
      </c>
      <c r="E959" s="6" t="s">
        <v>75</v>
      </c>
      <c r="F959" s="6">
        <v>1</v>
      </c>
      <c r="G959" s="6" t="s">
        <v>63</v>
      </c>
      <c r="H959" s="6">
        <v>1</v>
      </c>
      <c r="I959" s="6">
        <v>9</v>
      </c>
      <c r="J959" s="6">
        <v>7</v>
      </c>
      <c r="K959" s="6" t="s">
        <v>35</v>
      </c>
      <c r="L959" s="6" t="str">
        <f>VLOOKUP(K959, 'Alphabetical by species code'!A:B, 2, FALSE)</f>
        <v>Deinandra fasciculata</v>
      </c>
    </row>
    <row r="960" spans="1:12" x14ac:dyDescent="0.25">
      <c r="A960" s="6">
        <v>11</v>
      </c>
      <c r="B960" s="6">
        <v>2025</v>
      </c>
      <c r="C960" s="7">
        <v>45790</v>
      </c>
      <c r="D960" s="6" t="s">
        <v>83</v>
      </c>
      <c r="E960" s="6" t="s">
        <v>75</v>
      </c>
      <c r="F960" s="6">
        <v>1</v>
      </c>
      <c r="G960" s="6" t="s">
        <v>63</v>
      </c>
      <c r="H960" s="6">
        <v>1</v>
      </c>
      <c r="I960" s="6">
        <v>9</v>
      </c>
      <c r="J960" s="6">
        <v>7</v>
      </c>
      <c r="K960" s="6" t="s">
        <v>31</v>
      </c>
      <c r="L960" s="6" t="str">
        <f>VLOOKUP(K960, 'Alphabetical by species code'!A:B, 2, FALSE)</f>
        <v>Festuca myuros</v>
      </c>
    </row>
    <row r="961" spans="1:12" x14ac:dyDescent="0.25">
      <c r="A961" s="6">
        <v>11</v>
      </c>
      <c r="B961" s="6">
        <v>2025</v>
      </c>
      <c r="C961" s="7">
        <v>45790</v>
      </c>
      <c r="D961" s="6" t="s">
        <v>83</v>
      </c>
      <c r="E961" s="6" t="s">
        <v>75</v>
      </c>
      <c r="F961" s="6">
        <v>1</v>
      </c>
      <c r="G961" s="6" t="s">
        <v>63</v>
      </c>
      <c r="H961" s="6">
        <v>1</v>
      </c>
      <c r="I961" s="6">
        <v>10</v>
      </c>
      <c r="J961" s="6">
        <v>8</v>
      </c>
      <c r="K961" s="6" t="s">
        <v>28</v>
      </c>
      <c r="L961" s="6" t="str">
        <f>VLOOKUP(K961, 'Alphabetical by species code'!A:B, 2, FALSE)</f>
        <v>Litter</v>
      </c>
    </row>
    <row r="962" spans="1:12" x14ac:dyDescent="0.25">
      <c r="A962" s="6">
        <v>11</v>
      </c>
      <c r="B962" s="6">
        <v>2025</v>
      </c>
      <c r="C962" s="7">
        <v>45790</v>
      </c>
      <c r="D962" s="6" t="s">
        <v>83</v>
      </c>
      <c r="E962" s="6" t="s">
        <v>75</v>
      </c>
      <c r="F962" s="6">
        <v>1</v>
      </c>
      <c r="G962" s="6" t="s">
        <v>63</v>
      </c>
      <c r="H962" s="6">
        <v>1</v>
      </c>
      <c r="I962" s="6">
        <v>10</v>
      </c>
      <c r="J962" s="6">
        <v>8</v>
      </c>
      <c r="K962" s="6" t="s">
        <v>31</v>
      </c>
      <c r="L962" s="6" t="str">
        <f>VLOOKUP(K962, 'Alphabetical by species code'!A:B, 2, FALSE)</f>
        <v>Festuca myuros</v>
      </c>
    </row>
    <row r="963" spans="1:12" x14ac:dyDescent="0.25">
      <c r="A963" s="6">
        <v>11</v>
      </c>
      <c r="B963" s="6">
        <v>2025</v>
      </c>
      <c r="C963" s="7">
        <v>45790</v>
      </c>
      <c r="D963" s="6" t="s">
        <v>83</v>
      </c>
      <c r="E963" s="6" t="s">
        <v>75</v>
      </c>
      <c r="F963" s="6">
        <v>1</v>
      </c>
      <c r="G963" s="6" t="s">
        <v>63</v>
      </c>
      <c r="H963" s="6">
        <v>1</v>
      </c>
      <c r="I963" s="6">
        <v>10</v>
      </c>
      <c r="J963" s="6">
        <v>8</v>
      </c>
      <c r="K963" s="6" t="s">
        <v>64</v>
      </c>
      <c r="L963" s="6" t="str">
        <f>VLOOKUP(K963, 'Alphabetical by species code'!A:B, 2, FALSE)</f>
        <v>Brassica nigra</v>
      </c>
    </row>
    <row r="964" spans="1:12" x14ac:dyDescent="0.25">
      <c r="A964" s="6">
        <v>11</v>
      </c>
      <c r="B964" s="6">
        <v>2025</v>
      </c>
      <c r="C964" s="7">
        <v>45790</v>
      </c>
      <c r="D964" s="6" t="s">
        <v>83</v>
      </c>
      <c r="E964" s="6" t="s">
        <v>75</v>
      </c>
      <c r="F964" s="6">
        <v>1</v>
      </c>
      <c r="G964" s="6" t="s">
        <v>63</v>
      </c>
      <c r="H964" s="6">
        <v>1</v>
      </c>
      <c r="I964" s="6">
        <v>11</v>
      </c>
      <c r="J964" s="6">
        <v>8.5</v>
      </c>
      <c r="K964" s="6" t="s">
        <v>28</v>
      </c>
      <c r="L964" s="6" t="str">
        <f>VLOOKUP(K964, 'Alphabetical by species code'!A:B, 2, FALSE)</f>
        <v>Litter</v>
      </c>
    </row>
    <row r="965" spans="1:12" x14ac:dyDescent="0.25">
      <c r="A965" s="6">
        <v>11</v>
      </c>
      <c r="B965" s="6">
        <v>2025</v>
      </c>
      <c r="C965" s="7">
        <v>45790</v>
      </c>
      <c r="D965" s="6" t="s">
        <v>83</v>
      </c>
      <c r="E965" s="6" t="s">
        <v>75</v>
      </c>
      <c r="F965" s="6">
        <v>1</v>
      </c>
      <c r="G965" s="6" t="s">
        <v>63</v>
      </c>
      <c r="H965" s="6">
        <v>1</v>
      </c>
      <c r="I965" s="6">
        <v>11</v>
      </c>
      <c r="J965" s="6">
        <v>8.5</v>
      </c>
      <c r="K965" s="6" t="s">
        <v>36</v>
      </c>
      <c r="L965" s="6" t="str">
        <f>VLOOKUP(K965, 'Alphabetical by species code'!A:B, 2, FALSE)</f>
        <v>Bromus madritensis</v>
      </c>
    </row>
    <row r="966" spans="1:12" x14ac:dyDescent="0.25">
      <c r="A966" s="6">
        <v>11</v>
      </c>
      <c r="B966" s="6">
        <v>2025</v>
      </c>
      <c r="C966" s="7">
        <v>45790</v>
      </c>
      <c r="D966" s="6" t="s">
        <v>83</v>
      </c>
      <c r="E966" s="6" t="s">
        <v>75</v>
      </c>
      <c r="F966" s="6">
        <v>1</v>
      </c>
      <c r="G966" s="6" t="s">
        <v>63</v>
      </c>
      <c r="H966" s="6">
        <v>1</v>
      </c>
      <c r="I966" s="6">
        <v>12</v>
      </c>
      <c r="J966" s="6">
        <v>9</v>
      </c>
      <c r="K966" s="6" t="s">
        <v>28</v>
      </c>
      <c r="L966" s="6" t="str">
        <f>VLOOKUP(K966, 'Alphabetical by species code'!A:B, 2, FALSE)</f>
        <v>Litter</v>
      </c>
    </row>
    <row r="967" spans="1:12" x14ac:dyDescent="0.25">
      <c r="A967" s="6">
        <v>11</v>
      </c>
      <c r="B967" s="6">
        <v>2025</v>
      </c>
      <c r="C967" s="7">
        <v>45790</v>
      </c>
      <c r="D967" s="6" t="s">
        <v>83</v>
      </c>
      <c r="E967" s="6" t="s">
        <v>75</v>
      </c>
      <c r="F967" s="6">
        <v>1</v>
      </c>
      <c r="G967" s="6" t="s">
        <v>63</v>
      </c>
      <c r="H967" s="6">
        <v>1</v>
      </c>
      <c r="I967" s="6">
        <v>12</v>
      </c>
      <c r="J967" s="6">
        <v>9</v>
      </c>
      <c r="K967" s="6" t="s">
        <v>35</v>
      </c>
      <c r="L967" s="6" t="str">
        <f>VLOOKUP(K967, 'Alphabetical by species code'!A:B, 2, FALSE)</f>
        <v>Deinandra fasciculata</v>
      </c>
    </row>
    <row r="968" spans="1:12" x14ac:dyDescent="0.25">
      <c r="A968" s="6">
        <v>11</v>
      </c>
      <c r="B968" s="6">
        <v>2025</v>
      </c>
      <c r="C968" s="7">
        <v>45790</v>
      </c>
      <c r="D968" s="6" t="s">
        <v>83</v>
      </c>
      <c r="E968" s="6" t="s">
        <v>75</v>
      </c>
      <c r="F968" s="6">
        <v>1</v>
      </c>
      <c r="G968" s="6" t="s">
        <v>63</v>
      </c>
      <c r="H968" s="6">
        <v>1</v>
      </c>
      <c r="I968" s="6">
        <v>13</v>
      </c>
      <c r="J968" s="6">
        <v>10</v>
      </c>
      <c r="K968" s="6" t="s">
        <v>28</v>
      </c>
      <c r="L968" s="6" t="str">
        <f>VLOOKUP(K968, 'Alphabetical by species code'!A:B, 2, FALSE)</f>
        <v>Litter</v>
      </c>
    </row>
    <row r="969" spans="1:12" x14ac:dyDescent="0.25">
      <c r="A969" s="6">
        <v>11</v>
      </c>
      <c r="B969" s="6">
        <v>2025</v>
      </c>
      <c r="C969" s="7">
        <v>45790</v>
      </c>
      <c r="D969" s="6" t="s">
        <v>83</v>
      </c>
      <c r="E969" s="6" t="s">
        <v>75</v>
      </c>
      <c r="F969" s="6">
        <v>1</v>
      </c>
      <c r="G969" s="6" t="s">
        <v>63</v>
      </c>
      <c r="H969" s="6">
        <v>1</v>
      </c>
      <c r="I969" s="6">
        <v>13</v>
      </c>
      <c r="J969" s="6">
        <v>10</v>
      </c>
      <c r="K969" s="6" t="s">
        <v>31</v>
      </c>
      <c r="L969" s="6" t="str">
        <f>VLOOKUP(K969, 'Alphabetical by species code'!A:B, 2, FALSE)</f>
        <v>Festuca myuros</v>
      </c>
    </row>
    <row r="970" spans="1:12" x14ac:dyDescent="0.25">
      <c r="A970" s="6">
        <v>11</v>
      </c>
      <c r="B970" s="6">
        <v>2025</v>
      </c>
      <c r="C970" s="7">
        <v>45790</v>
      </c>
      <c r="D970" s="6" t="s">
        <v>83</v>
      </c>
      <c r="E970" s="6" t="s">
        <v>75</v>
      </c>
      <c r="F970" s="6">
        <v>1</v>
      </c>
      <c r="G970" s="6" t="s">
        <v>63</v>
      </c>
      <c r="H970" s="6">
        <v>1</v>
      </c>
      <c r="I970" s="6">
        <v>14</v>
      </c>
      <c r="J970" s="6">
        <v>11</v>
      </c>
      <c r="K970" s="6" t="s">
        <v>28</v>
      </c>
      <c r="L970" s="6" t="str">
        <f>VLOOKUP(K970, 'Alphabetical by species code'!A:B, 2, FALSE)</f>
        <v>Litter</v>
      </c>
    </row>
    <row r="971" spans="1:12" x14ac:dyDescent="0.25">
      <c r="A971" s="6">
        <v>11</v>
      </c>
      <c r="B971" s="6">
        <v>2025</v>
      </c>
      <c r="C971" s="7">
        <v>45790</v>
      </c>
      <c r="D971" s="6" t="s">
        <v>83</v>
      </c>
      <c r="E971" s="6" t="s">
        <v>75</v>
      </c>
      <c r="F971" s="6">
        <v>1</v>
      </c>
      <c r="G971" s="6" t="s">
        <v>63</v>
      </c>
      <c r="H971" s="6">
        <v>1</v>
      </c>
      <c r="I971" s="6">
        <v>14</v>
      </c>
      <c r="J971" s="6">
        <v>11</v>
      </c>
      <c r="K971" s="6" t="s">
        <v>64</v>
      </c>
      <c r="L971" s="6" t="str">
        <f>VLOOKUP(K971, 'Alphabetical by species code'!A:B, 2, FALSE)</f>
        <v>Brassica nigra</v>
      </c>
    </row>
    <row r="972" spans="1:12" x14ac:dyDescent="0.25">
      <c r="A972" s="6">
        <v>11</v>
      </c>
      <c r="B972" s="6">
        <v>2025</v>
      </c>
      <c r="C972" s="7">
        <v>45790</v>
      </c>
      <c r="D972" s="6" t="s">
        <v>83</v>
      </c>
      <c r="E972" s="6" t="s">
        <v>75</v>
      </c>
      <c r="F972" s="6">
        <v>1</v>
      </c>
      <c r="G972" s="6" t="s">
        <v>63</v>
      </c>
      <c r="H972" s="6">
        <v>1</v>
      </c>
      <c r="I972" s="6">
        <v>15</v>
      </c>
      <c r="J972" s="6">
        <v>12</v>
      </c>
      <c r="K972" s="6" t="s">
        <v>28</v>
      </c>
      <c r="L972" s="6" t="str">
        <f>VLOOKUP(K972, 'Alphabetical by species code'!A:B, 2, FALSE)</f>
        <v>Litter</v>
      </c>
    </row>
    <row r="973" spans="1:12" x14ac:dyDescent="0.25">
      <c r="A973" s="6">
        <v>11</v>
      </c>
      <c r="B973" s="6">
        <v>2025</v>
      </c>
      <c r="C973" s="7">
        <v>45790</v>
      </c>
      <c r="D973" s="6" t="s">
        <v>83</v>
      </c>
      <c r="E973" s="6" t="s">
        <v>75</v>
      </c>
      <c r="F973" s="6">
        <v>1</v>
      </c>
      <c r="G973" s="6" t="s">
        <v>63</v>
      </c>
      <c r="H973" s="6">
        <v>1</v>
      </c>
      <c r="I973" s="6">
        <v>15</v>
      </c>
      <c r="J973" s="6">
        <v>12</v>
      </c>
      <c r="K973" s="6" t="s">
        <v>29</v>
      </c>
      <c r="L973" s="6" t="str">
        <f>VLOOKUP(K973, 'Alphabetical by species code'!A:B, 2, FALSE)</f>
        <v>Opuntia littoralis</v>
      </c>
    </row>
    <row r="974" spans="1:12" x14ac:dyDescent="0.25">
      <c r="A974" s="6">
        <v>11</v>
      </c>
      <c r="B974" s="6">
        <v>2025</v>
      </c>
      <c r="C974" s="7">
        <v>45790</v>
      </c>
      <c r="D974" s="6" t="s">
        <v>83</v>
      </c>
      <c r="E974" s="6" t="s">
        <v>75</v>
      </c>
      <c r="F974" s="6">
        <v>1</v>
      </c>
      <c r="G974" s="6" t="s">
        <v>63</v>
      </c>
      <c r="H974" s="6">
        <v>1</v>
      </c>
      <c r="I974" s="6">
        <v>15</v>
      </c>
      <c r="J974" s="6">
        <v>12</v>
      </c>
      <c r="K974" s="6" t="s">
        <v>47</v>
      </c>
      <c r="L974" s="6" t="str">
        <f>VLOOKUP(K974, 'Alphabetical by species code'!A:B, 2, FALSE)</f>
        <v>Sonchus species</v>
      </c>
    </row>
    <row r="975" spans="1:12" x14ac:dyDescent="0.25">
      <c r="A975" s="6">
        <v>11</v>
      </c>
      <c r="B975" s="6">
        <v>2025</v>
      </c>
      <c r="C975" s="7">
        <v>45790</v>
      </c>
      <c r="D975" s="6" t="s">
        <v>83</v>
      </c>
      <c r="E975" s="6" t="s">
        <v>75</v>
      </c>
      <c r="F975" s="6">
        <v>1</v>
      </c>
      <c r="G975" s="6" t="s">
        <v>63</v>
      </c>
      <c r="H975" s="6">
        <v>2</v>
      </c>
      <c r="I975" s="6">
        <v>1</v>
      </c>
      <c r="J975" s="6">
        <v>0</v>
      </c>
      <c r="K975" s="6" t="s">
        <v>28</v>
      </c>
      <c r="L975" s="6" t="str">
        <f>VLOOKUP(K975, 'Alphabetical by species code'!A:B, 2, FALSE)</f>
        <v>Litter</v>
      </c>
    </row>
    <row r="976" spans="1:12" x14ac:dyDescent="0.25">
      <c r="A976" s="6">
        <v>11</v>
      </c>
      <c r="B976" s="6">
        <v>2025</v>
      </c>
      <c r="C976" s="7">
        <v>45790</v>
      </c>
      <c r="D976" s="6" t="s">
        <v>83</v>
      </c>
      <c r="E976" s="6" t="s">
        <v>75</v>
      </c>
      <c r="F976" s="6">
        <v>1</v>
      </c>
      <c r="G976" s="6" t="s">
        <v>63</v>
      </c>
      <c r="H976" s="6">
        <v>2</v>
      </c>
      <c r="I976" s="6">
        <v>1</v>
      </c>
      <c r="J976" s="6">
        <v>0</v>
      </c>
      <c r="K976" s="6" t="s">
        <v>36</v>
      </c>
      <c r="L976" s="6" t="str">
        <f>VLOOKUP(K976, 'Alphabetical by species code'!A:B, 2, FALSE)</f>
        <v>Bromus madritensis</v>
      </c>
    </row>
    <row r="977" spans="1:12" x14ac:dyDescent="0.25">
      <c r="A977" s="6">
        <v>11</v>
      </c>
      <c r="B977" s="6">
        <v>2025</v>
      </c>
      <c r="C977" s="7">
        <v>45790</v>
      </c>
      <c r="D977" s="6" t="s">
        <v>83</v>
      </c>
      <c r="E977" s="6" t="s">
        <v>75</v>
      </c>
      <c r="F977" s="6">
        <v>1</v>
      </c>
      <c r="G977" s="6" t="s">
        <v>63</v>
      </c>
      <c r="H977" s="6">
        <v>2</v>
      </c>
      <c r="I977" s="6">
        <v>1</v>
      </c>
      <c r="J977" s="6">
        <v>0</v>
      </c>
      <c r="K977" s="6" t="s">
        <v>29</v>
      </c>
      <c r="L977" s="6" t="str">
        <f>VLOOKUP(K977, 'Alphabetical by species code'!A:B, 2, FALSE)</f>
        <v>Opuntia littoralis</v>
      </c>
    </row>
    <row r="978" spans="1:12" x14ac:dyDescent="0.25">
      <c r="A978" s="6">
        <v>11</v>
      </c>
      <c r="B978" s="6">
        <v>2025</v>
      </c>
      <c r="C978" s="7">
        <v>45790</v>
      </c>
      <c r="D978" s="6" t="s">
        <v>83</v>
      </c>
      <c r="E978" s="6" t="s">
        <v>75</v>
      </c>
      <c r="F978" s="6">
        <v>1</v>
      </c>
      <c r="G978" s="6" t="s">
        <v>63</v>
      </c>
      <c r="H978" s="6">
        <v>2</v>
      </c>
      <c r="I978" s="6">
        <v>2</v>
      </c>
      <c r="J978" s="6">
        <v>1</v>
      </c>
      <c r="K978" s="6" t="s">
        <v>28</v>
      </c>
      <c r="L978" s="6" t="str">
        <f>VLOOKUP(K978, 'Alphabetical by species code'!A:B, 2, FALSE)</f>
        <v>Litter</v>
      </c>
    </row>
    <row r="979" spans="1:12" x14ac:dyDescent="0.25">
      <c r="A979" s="6">
        <v>11</v>
      </c>
      <c r="B979" s="6">
        <v>2025</v>
      </c>
      <c r="C979" s="7">
        <v>45790</v>
      </c>
      <c r="D979" s="6" t="s">
        <v>83</v>
      </c>
      <c r="E979" s="6" t="s">
        <v>75</v>
      </c>
      <c r="F979" s="6">
        <v>1</v>
      </c>
      <c r="G979" s="6" t="s">
        <v>63</v>
      </c>
      <c r="H979" s="6">
        <v>2</v>
      </c>
      <c r="I979" s="6">
        <v>2</v>
      </c>
      <c r="J979" s="6">
        <v>1</v>
      </c>
      <c r="K979" s="6" t="s">
        <v>47</v>
      </c>
      <c r="L979" s="6" t="str">
        <f>VLOOKUP(K979, 'Alphabetical by species code'!A:B, 2, FALSE)</f>
        <v>Sonchus species</v>
      </c>
    </row>
    <row r="980" spans="1:12" x14ac:dyDescent="0.25">
      <c r="A980" s="6">
        <v>11</v>
      </c>
      <c r="B980" s="6">
        <v>2025</v>
      </c>
      <c r="C980" s="7">
        <v>45790</v>
      </c>
      <c r="D980" s="6" t="s">
        <v>83</v>
      </c>
      <c r="E980" s="6" t="s">
        <v>75</v>
      </c>
      <c r="F980" s="6">
        <v>1</v>
      </c>
      <c r="G980" s="6" t="s">
        <v>63</v>
      </c>
      <c r="H980" s="6">
        <v>2</v>
      </c>
      <c r="I980" s="6">
        <v>2</v>
      </c>
      <c r="J980" s="6">
        <v>1</v>
      </c>
      <c r="K980" s="6" t="s">
        <v>67</v>
      </c>
      <c r="L980" s="6" t="str">
        <f>VLOOKUP(K980, 'Alphabetical by species code'!A:B, 2, FALSE)</f>
        <v>Galium aparine</v>
      </c>
    </row>
    <row r="981" spans="1:12" x14ac:dyDescent="0.25">
      <c r="A981" s="6">
        <v>11</v>
      </c>
      <c r="B981" s="6">
        <v>2025</v>
      </c>
      <c r="C981" s="7">
        <v>45790</v>
      </c>
      <c r="D981" s="6" t="s">
        <v>83</v>
      </c>
      <c r="E981" s="6" t="s">
        <v>75</v>
      </c>
      <c r="F981" s="6">
        <v>1</v>
      </c>
      <c r="G981" s="6" t="s">
        <v>63</v>
      </c>
      <c r="H981" s="6">
        <v>2</v>
      </c>
      <c r="I981" s="6">
        <v>3</v>
      </c>
      <c r="J981" s="6">
        <v>1.5</v>
      </c>
      <c r="K981" s="6" t="s">
        <v>52</v>
      </c>
      <c r="L981" s="6" t="str">
        <f>VLOOKUP(K981, 'Alphabetical by species code'!A:B, 2, FALSE)</f>
        <v>Rock</v>
      </c>
    </row>
    <row r="982" spans="1:12" x14ac:dyDescent="0.25">
      <c r="A982" s="6">
        <v>11</v>
      </c>
      <c r="B982" s="6">
        <v>2025</v>
      </c>
      <c r="C982" s="7">
        <v>45790</v>
      </c>
      <c r="D982" s="6" t="s">
        <v>83</v>
      </c>
      <c r="E982" s="6" t="s">
        <v>75</v>
      </c>
      <c r="F982" s="6">
        <v>1</v>
      </c>
      <c r="G982" s="6" t="s">
        <v>63</v>
      </c>
      <c r="H982" s="6">
        <v>2</v>
      </c>
      <c r="I982" s="6">
        <v>4</v>
      </c>
      <c r="J982" s="6">
        <v>2</v>
      </c>
      <c r="K982" s="6" t="s">
        <v>28</v>
      </c>
      <c r="L982" s="6" t="str">
        <f>VLOOKUP(K982, 'Alphabetical by species code'!A:B, 2, FALSE)</f>
        <v>Litter</v>
      </c>
    </row>
    <row r="983" spans="1:12" x14ac:dyDescent="0.25">
      <c r="A983" s="6">
        <v>11</v>
      </c>
      <c r="B983" s="6">
        <v>2025</v>
      </c>
      <c r="C983" s="7">
        <v>45790</v>
      </c>
      <c r="D983" s="6" t="s">
        <v>83</v>
      </c>
      <c r="E983" s="6" t="s">
        <v>75</v>
      </c>
      <c r="F983" s="6">
        <v>1</v>
      </c>
      <c r="G983" s="6" t="s">
        <v>63</v>
      </c>
      <c r="H983" s="6">
        <v>2</v>
      </c>
      <c r="I983" s="6">
        <v>5</v>
      </c>
      <c r="J983" s="6">
        <v>3</v>
      </c>
      <c r="K983" s="6" t="s">
        <v>28</v>
      </c>
      <c r="L983" s="6" t="str">
        <f>VLOOKUP(K983, 'Alphabetical by species code'!A:B, 2, FALSE)</f>
        <v>Litter</v>
      </c>
    </row>
    <row r="984" spans="1:12" x14ac:dyDescent="0.25">
      <c r="A984" s="6">
        <v>11</v>
      </c>
      <c r="B984" s="6">
        <v>2025</v>
      </c>
      <c r="C984" s="7">
        <v>45790</v>
      </c>
      <c r="D984" s="6" t="s">
        <v>83</v>
      </c>
      <c r="E984" s="6" t="s">
        <v>75</v>
      </c>
      <c r="F984" s="6">
        <v>1</v>
      </c>
      <c r="G984" s="6" t="s">
        <v>63</v>
      </c>
      <c r="H984" s="6">
        <v>2</v>
      </c>
      <c r="I984" s="6">
        <v>5</v>
      </c>
      <c r="J984" s="6">
        <v>3</v>
      </c>
      <c r="K984" s="6" t="s">
        <v>35</v>
      </c>
      <c r="L984" s="6" t="str">
        <f>VLOOKUP(K984, 'Alphabetical by species code'!A:B, 2, FALSE)</f>
        <v>Deinandra fasciculata</v>
      </c>
    </row>
    <row r="985" spans="1:12" x14ac:dyDescent="0.25">
      <c r="A985" s="6">
        <v>11</v>
      </c>
      <c r="B985" s="6">
        <v>2025</v>
      </c>
      <c r="C985" s="7">
        <v>45790</v>
      </c>
      <c r="D985" s="6" t="s">
        <v>83</v>
      </c>
      <c r="E985" s="6" t="s">
        <v>75</v>
      </c>
      <c r="F985" s="6">
        <v>1</v>
      </c>
      <c r="G985" s="6" t="s">
        <v>63</v>
      </c>
      <c r="H985" s="6">
        <v>2</v>
      </c>
      <c r="I985" s="6">
        <v>5</v>
      </c>
      <c r="J985" s="6">
        <v>3</v>
      </c>
      <c r="K985" s="6" t="s">
        <v>31</v>
      </c>
      <c r="L985" s="6" t="str">
        <f>VLOOKUP(K985, 'Alphabetical by species code'!A:B, 2, FALSE)</f>
        <v>Festuca myuros</v>
      </c>
    </row>
    <row r="986" spans="1:12" x14ac:dyDescent="0.25">
      <c r="A986" s="6">
        <v>11</v>
      </c>
      <c r="B986" s="6">
        <v>2025</v>
      </c>
      <c r="C986" s="7">
        <v>45790</v>
      </c>
      <c r="D986" s="6" t="s">
        <v>83</v>
      </c>
      <c r="E986" s="6" t="s">
        <v>75</v>
      </c>
      <c r="F986" s="6">
        <v>1</v>
      </c>
      <c r="G986" s="6" t="s">
        <v>63</v>
      </c>
      <c r="H986" s="6">
        <v>2</v>
      </c>
      <c r="I986" s="6">
        <v>6</v>
      </c>
      <c r="J986" s="6">
        <v>3.5</v>
      </c>
      <c r="K986" s="6" t="s">
        <v>28</v>
      </c>
      <c r="L986" s="6" t="str">
        <f>VLOOKUP(K986, 'Alphabetical by species code'!A:B, 2, FALSE)</f>
        <v>Litter</v>
      </c>
    </row>
    <row r="987" spans="1:12" x14ac:dyDescent="0.25">
      <c r="A987" s="6">
        <v>11</v>
      </c>
      <c r="B987" s="6">
        <v>2025</v>
      </c>
      <c r="C987" s="7">
        <v>45790</v>
      </c>
      <c r="D987" s="6" t="s">
        <v>83</v>
      </c>
      <c r="E987" s="6" t="s">
        <v>75</v>
      </c>
      <c r="F987" s="6">
        <v>1</v>
      </c>
      <c r="G987" s="6" t="s">
        <v>63</v>
      </c>
      <c r="H987" s="6">
        <v>2</v>
      </c>
      <c r="I987" s="6">
        <v>6</v>
      </c>
      <c r="J987" s="6">
        <v>3.5</v>
      </c>
      <c r="K987" s="6" t="s">
        <v>31</v>
      </c>
      <c r="L987" s="6" t="str">
        <f>VLOOKUP(K987, 'Alphabetical by species code'!A:B, 2, FALSE)</f>
        <v>Festuca myuros</v>
      </c>
    </row>
    <row r="988" spans="1:12" x14ac:dyDescent="0.25">
      <c r="A988" s="6">
        <v>11</v>
      </c>
      <c r="B988" s="6">
        <v>2025</v>
      </c>
      <c r="C988" s="7">
        <v>45790</v>
      </c>
      <c r="D988" s="6" t="s">
        <v>83</v>
      </c>
      <c r="E988" s="6" t="s">
        <v>75</v>
      </c>
      <c r="F988" s="6">
        <v>1</v>
      </c>
      <c r="G988" s="6" t="s">
        <v>63</v>
      </c>
      <c r="H988" s="6">
        <v>2</v>
      </c>
      <c r="I988" s="6">
        <v>7</v>
      </c>
      <c r="J988" s="6">
        <v>4</v>
      </c>
      <c r="K988" s="6" t="s">
        <v>28</v>
      </c>
      <c r="L988" s="6" t="str">
        <f>VLOOKUP(K988, 'Alphabetical by species code'!A:B, 2, FALSE)</f>
        <v>Litter</v>
      </c>
    </row>
    <row r="989" spans="1:12" x14ac:dyDescent="0.25">
      <c r="A989" s="6">
        <v>11</v>
      </c>
      <c r="B989" s="6">
        <v>2025</v>
      </c>
      <c r="C989" s="7">
        <v>45790</v>
      </c>
      <c r="D989" s="6" t="s">
        <v>83</v>
      </c>
      <c r="E989" s="6" t="s">
        <v>75</v>
      </c>
      <c r="F989" s="6">
        <v>1</v>
      </c>
      <c r="G989" s="6" t="s">
        <v>63</v>
      </c>
      <c r="H989" s="6">
        <v>2</v>
      </c>
      <c r="I989" s="6">
        <v>7</v>
      </c>
      <c r="J989" s="6">
        <v>4</v>
      </c>
      <c r="K989" s="6" t="s">
        <v>36</v>
      </c>
      <c r="L989" s="6" t="str">
        <f>VLOOKUP(K989, 'Alphabetical by species code'!A:B, 2, FALSE)</f>
        <v>Bromus madritensis</v>
      </c>
    </row>
    <row r="990" spans="1:12" x14ac:dyDescent="0.25">
      <c r="A990" s="6">
        <v>11</v>
      </c>
      <c r="B990" s="6">
        <v>2025</v>
      </c>
      <c r="C990" s="7">
        <v>45790</v>
      </c>
      <c r="D990" s="6" t="s">
        <v>83</v>
      </c>
      <c r="E990" s="6" t="s">
        <v>75</v>
      </c>
      <c r="F990" s="6">
        <v>1</v>
      </c>
      <c r="G990" s="6" t="s">
        <v>63</v>
      </c>
      <c r="H990" s="6">
        <v>2</v>
      </c>
      <c r="I990" s="6">
        <v>8</v>
      </c>
      <c r="J990" s="6">
        <v>5</v>
      </c>
      <c r="K990" s="6" t="s">
        <v>28</v>
      </c>
      <c r="L990" s="6" t="str">
        <f>VLOOKUP(K990, 'Alphabetical by species code'!A:B, 2, FALSE)</f>
        <v>Litter</v>
      </c>
    </row>
    <row r="991" spans="1:12" x14ac:dyDescent="0.25">
      <c r="A991" s="6">
        <v>11</v>
      </c>
      <c r="B991" s="6">
        <v>2025</v>
      </c>
      <c r="C991" s="7">
        <v>45790</v>
      </c>
      <c r="D991" s="6" t="s">
        <v>83</v>
      </c>
      <c r="E991" s="6" t="s">
        <v>75</v>
      </c>
      <c r="F991" s="6">
        <v>1</v>
      </c>
      <c r="G991" s="6" t="s">
        <v>63</v>
      </c>
      <c r="H991" s="6">
        <v>2</v>
      </c>
      <c r="I991" s="6">
        <v>8</v>
      </c>
      <c r="J991" s="6">
        <v>5</v>
      </c>
      <c r="K991" s="6" t="s">
        <v>35</v>
      </c>
      <c r="L991" s="6" t="str">
        <f>VLOOKUP(K991, 'Alphabetical by species code'!A:B, 2, FALSE)</f>
        <v>Deinandra fasciculata</v>
      </c>
    </row>
    <row r="992" spans="1:12" x14ac:dyDescent="0.25">
      <c r="A992" s="6">
        <v>11</v>
      </c>
      <c r="B992" s="6">
        <v>2025</v>
      </c>
      <c r="C992" s="7">
        <v>45790</v>
      </c>
      <c r="D992" s="6" t="s">
        <v>83</v>
      </c>
      <c r="E992" s="6" t="s">
        <v>75</v>
      </c>
      <c r="F992" s="6">
        <v>1</v>
      </c>
      <c r="G992" s="6" t="s">
        <v>63</v>
      </c>
      <c r="H992" s="6">
        <v>2</v>
      </c>
      <c r="I992" s="6">
        <v>8</v>
      </c>
      <c r="J992" s="6">
        <v>5</v>
      </c>
      <c r="K992" s="6" t="s">
        <v>36</v>
      </c>
      <c r="L992" s="6" t="str">
        <f>VLOOKUP(K992, 'Alphabetical by species code'!A:B, 2, FALSE)</f>
        <v>Bromus madritensis</v>
      </c>
    </row>
    <row r="993" spans="1:12" x14ac:dyDescent="0.25">
      <c r="A993" s="6">
        <v>11</v>
      </c>
      <c r="B993" s="6">
        <v>2025</v>
      </c>
      <c r="C993" s="7">
        <v>45790</v>
      </c>
      <c r="D993" s="6" t="s">
        <v>83</v>
      </c>
      <c r="E993" s="6" t="s">
        <v>75</v>
      </c>
      <c r="F993" s="6">
        <v>1</v>
      </c>
      <c r="G993" s="6" t="s">
        <v>63</v>
      </c>
      <c r="H993" s="6">
        <v>2</v>
      </c>
      <c r="I993" s="6">
        <v>9</v>
      </c>
      <c r="J993" s="6">
        <v>7</v>
      </c>
      <c r="K993" s="6" t="s">
        <v>28</v>
      </c>
      <c r="L993" s="6" t="str">
        <f>VLOOKUP(K993, 'Alphabetical by species code'!A:B, 2, FALSE)</f>
        <v>Litter</v>
      </c>
    </row>
    <row r="994" spans="1:12" x14ac:dyDescent="0.25">
      <c r="A994" s="6">
        <v>11</v>
      </c>
      <c r="B994" s="6">
        <v>2025</v>
      </c>
      <c r="C994" s="7">
        <v>45790</v>
      </c>
      <c r="D994" s="6" t="s">
        <v>83</v>
      </c>
      <c r="E994" s="6" t="s">
        <v>75</v>
      </c>
      <c r="F994" s="6">
        <v>1</v>
      </c>
      <c r="G994" s="6" t="s">
        <v>63</v>
      </c>
      <c r="H994" s="6">
        <v>2</v>
      </c>
      <c r="I994" s="6">
        <v>9</v>
      </c>
      <c r="J994" s="6">
        <v>7</v>
      </c>
      <c r="K994" s="6" t="s">
        <v>35</v>
      </c>
      <c r="L994" s="6" t="str">
        <f>VLOOKUP(K994, 'Alphabetical by species code'!A:B, 2, FALSE)</f>
        <v>Deinandra fasciculata</v>
      </c>
    </row>
    <row r="995" spans="1:12" x14ac:dyDescent="0.25">
      <c r="A995" s="6">
        <v>11</v>
      </c>
      <c r="B995" s="6">
        <v>2025</v>
      </c>
      <c r="C995" s="7">
        <v>45790</v>
      </c>
      <c r="D995" s="6" t="s">
        <v>83</v>
      </c>
      <c r="E995" s="6" t="s">
        <v>75</v>
      </c>
      <c r="F995" s="6">
        <v>1</v>
      </c>
      <c r="G995" s="6" t="s">
        <v>63</v>
      </c>
      <c r="H995" s="6">
        <v>2</v>
      </c>
      <c r="I995" s="6">
        <v>9</v>
      </c>
      <c r="J995" s="6">
        <v>7</v>
      </c>
      <c r="K995" s="6" t="s">
        <v>47</v>
      </c>
      <c r="L995" s="6" t="str">
        <f>VLOOKUP(K995, 'Alphabetical by species code'!A:B, 2, FALSE)</f>
        <v>Sonchus species</v>
      </c>
    </row>
    <row r="996" spans="1:12" x14ac:dyDescent="0.25">
      <c r="A996" s="6">
        <v>11</v>
      </c>
      <c r="B996" s="6">
        <v>2025</v>
      </c>
      <c r="C996" s="7">
        <v>45790</v>
      </c>
      <c r="D996" s="6" t="s">
        <v>83</v>
      </c>
      <c r="E996" s="6" t="s">
        <v>75</v>
      </c>
      <c r="F996" s="6">
        <v>1</v>
      </c>
      <c r="G996" s="6" t="s">
        <v>63</v>
      </c>
      <c r="H996" s="6">
        <v>2</v>
      </c>
      <c r="I996" s="6">
        <v>9</v>
      </c>
      <c r="J996" s="6">
        <v>7</v>
      </c>
      <c r="K996" s="6" t="s">
        <v>84</v>
      </c>
      <c r="L996" s="6" t="str">
        <f>VLOOKUP(K996, 'Alphabetical by species code'!A:B, 2, FALSE)</f>
        <v>Bromus diandrus</v>
      </c>
    </row>
    <row r="997" spans="1:12" x14ac:dyDescent="0.25">
      <c r="A997" s="6">
        <v>11</v>
      </c>
      <c r="B997" s="6">
        <v>2025</v>
      </c>
      <c r="C997" s="7">
        <v>45790</v>
      </c>
      <c r="D997" s="6" t="s">
        <v>83</v>
      </c>
      <c r="E997" s="6" t="s">
        <v>75</v>
      </c>
      <c r="F997" s="6">
        <v>1</v>
      </c>
      <c r="G997" s="6" t="s">
        <v>63</v>
      </c>
      <c r="H997" s="6">
        <v>2</v>
      </c>
      <c r="I997" s="6">
        <v>10</v>
      </c>
      <c r="J997" s="6">
        <v>8</v>
      </c>
      <c r="K997" s="6" t="s">
        <v>28</v>
      </c>
      <c r="L997" s="6" t="str">
        <f>VLOOKUP(K997, 'Alphabetical by species code'!A:B, 2, FALSE)</f>
        <v>Litter</v>
      </c>
    </row>
    <row r="998" spans="1:12" x14ac:dyDescent="0.25">
      <c r="A998" s="6">
        <v>11</v>
      </c>
      <c r="B998" s="6">
        <v>2025</v>
      </c>
      <c r="C998" s="7">
        <v>45790</v>
      </c>
      <c r="D998" s="6" t="s">
        <v>83</v>
      </c>
      <c r="E998" s="6" t="s">
        <v>75</v>
      </c>
      <c r="F998" s="6">
        <v>1</v>
      </c>
      <c r="G998" s="6" t="s">
        <v>63</v>
      </c>
      <c r="H998" s="6">
        <v>2</v>
      </c>
      <c r="I998" s="6">
        <v>10</v>
      </c>
      <c r="J998" s="6">
        <v>8</v>
      </c>
      <c r="K998" s="6" t="s">
        <v>35</v>
      </c>
      <c r="L998" s="6" t="str">
        <f>VLOOKUP(K998, 'Alphabetical by species code'!A:B, 2, FALSE)</f>
        <v>Deinandra fasciculata</v>
      </c>
    </row>
    <row r="999" spans="1:12" x14ac:dyDescent="0.25">
      <c r="A999" s="6">
        <v>11</v>
      </c>
      <c r="B999" s="6">
        <v>2025</v>
      </c>
      <c r="C999" s="7">
        <v>45790</v>
      </c>
      <c r="D999" s="6" t="s">
        <v>83</v>
      </c>
      <c r="E999" s="6" t="s">
        <v>75</v>
      </c>
      <c r="F999" s="6">
        <v>1</v>
      </c>
      <c r="G999" s="6" t="s">
        <v>63</v>
      </c>
      <c r="H999" s="6">
        <v>2</v>
      </c>
      <c r="I999" s="6">
        <v>10</v>
      </c>
      <c r="J999" s="6">
        <v>8</v>
      </c>
      <c r="K999" s="6" t="s">
        <v>31</v>
      </c>
      <c r="L999" s="6" t="str">
        <f>VLOOKUP(K999, 'Alphabetical by species code'!A:B, 2, FALSE)</f>
        <v>Festuca myuros</v>
      </c>
    </row>
    <row r="1000" spans="1:12" x14ac:dyDescent="0.25">
      <c r="A1000" s="6">
        <v>11</v>
      </c>
      <c r="B1000" s="6">
        <v>2025</v>
      </c>
      <c r="C1000" s="7">
        <v>45790</v>
      </c>
      <c r="D1000" s="6" t="s">
        <v>83</v>
      </c>
      <c r="E1000" s="6" t="s">
        <v>75</v>
      </c>
      <c r="F1000" s="6">
        <v>1</v>
      </c>
      <c r="G1000" s="6" t="s">
        <v>63</v>
      </c>
      <c r="H1000" s="6">
        <v>2</v>
      </c>
      <c r="I1000" s="6">
        <v>11</v>
      </c>
      <c r="J1000" s="6">
        <v>8.5</v>
      </c>
      <c r="K1000" s="6" t="s">
        <v>28</v>
      </c>
      <c r="L1000" s="6" t="str">
        <f>VLOOKUP(K1000, 'Alphabetical by species code'!A:B, 2, FALSE)</f>
        <v>Litter</v>
      </c>
    </row>
    <row r="1001" spans="1:12" x14ac:dyDescent="0.25">
      <c r="A1001" s="6">
        <v>11</v>
      </c>
      <c r="B1001" s="6">
        <v>2025</v>
      </c>
      <c r="C1001" s="7">
        <v>45790</v>
      </c>
      <c r="D1001" s="6" t="s">
        <v>83</v>
      </c>
      <c r="E1001" s="6" t="s">
        <v>75</v>
      </c>
      <c r="F1001" s="6">
        <v>1</v>
      </c>
      <c r="G1001" s="6" t="s">
        <v>63</v>
      </c>
      <c r="H1001" s="6">
        <v>2</v>
      </c>
      <c r="I1001" s="6">
        <v>11</v>
      </c>
      <c r="J1001" s="6">
        <v>8.5</v>
      </c>
      <c r="K1001" s="6" t="s">
        <v>64</v>
      </c>
      <c r="L1001" s="6" t="str">
        <f>VLOOKUP(K1001, 'Alphabetical by species code'!A:B, 2, FALSE)</f>
        <v>Brassica nigra</v>
      </c>
    </row>
    <row r="1002" spans="1:12" x14ac:dyDescent="0.25">
      <c r="A1002" s="6">
        <v>11</v>
      </c>
      <c r="B1002" s="6">
        <v>2025</v>
      </c>
      <c r="C1002" s="7">
        <v>45790</v>
      </c>
      <c r="D1002" s="6" t="s">
        <v>83</v>
      </c>
      <c r="E1002" s="6" t="s">
        <v>75</v>
      </c>
      <c r="F1002" s="6">
        <v>1</v>
      </c>
      <c r="G1002" s="6" t="s">
        <v>63</v>
      </c>
      <c r="H1002" s="6">
        <v>2</v>
      </c>
      <c r="I1002" s="6">
        <v>11</v>
      </c>
      <c r="J1002" s="6">
        <v>8.5</v>
      </c>
      <c r="K1002" s="6" t="s">
        <v>35</v>
      </c>
      <c r="L1002" s="6" t="str">
        <f>VLOOKUP(K1002, 'Alphabetical by species code'!A:B, 2, FALSE)</f>
        <v>Deinandra fasciculata</v>
      </c>
    </row>
    <row r="1003" spans="1:12" x14ac:dyDescent="0.25">
      <c r="A1003" s="6">
        <v>11</v>
      </c>
      <c r="B1003" s="6">
        <v>2025</v>
      </c>
      <c r="C1003" s="7">
        <v>45790</v>
      </c>
      <c r="D1003" s="6" t="s">
        <v>83</v>
      </c>
      <c r="E1003" s="6" t="s">
        <v>75</v>
      </c>
      <c r="F1003" s="6">
        <v>1</v>
      </c>
      <c r="G1003" s="6" t="s">
        <v>63</v>
      </c>
      <c r="H1003" s="6">
        <v>2</v>
      </c>
      <c r="I1003" s="6">
        <v>12</v>
      </c>
      <c r="J1003" s="6">
        <v>9</v>
      </c>
      <c r="K1003" s="6" t="s">
        <v>28</v>
      </c>
      <c r="L1003" s="6" t="str">
        <f>VLOOKUP(K1003, 'Alphabetical by species code'!A:B, 2, FALSE)</f>
        <v>Litter</v>
      </c>
    </row>
    <row r="1004" spans="1:12" x14ac:dyDescent="0.25">
      <c r="A1004" s="6">
        <v>11</v>
      </c>
      <c r="B1004" s="6">
        <v>2025</v>
      </c>
      <c r="C1004" s="7">
        <v>45790</v>
      </c>
      <c r="D1004" s="6" t="s">
        <v>83</v>
      </c>
      <c r="E1004" s="6" t="s">
        <v>75</v>
      </c>
      <c r="F1004" s="6">
        <v>1</v>
      </c>
      <c r="G1004" s="6" t="s">
        <v>63</v>
      </c>
      <c r="H1004" s="6">
        <v>2</v>
      </c>
      <c r="I1004" s="6">
        <v>12</v>
      </c>
      <c r="J1004" s="6">
        <v>9</v>
      </c>
      <c r="K1004" s="6" t="s">
        <v>35</v>
      </c>
      <c r="L1004" s="6" t="str">
        <f>VLOOKUP(K1004, 'Alphabetical by species code'!A:B, 2, FALSE)</f>
        <v>Deinandra fasciculata</v>
      </c>
    </row>
    <row r="1005" spans="1:12" x14ac:dyDescent="0.25">
      <c r="A1005" s="6">
        <v>11</v>
      </c>
      <c r="B1005" s="6">
        <v>2025</v>
      </c>
      <c r="C1005" s="7">
        <v>45790</v>
      </c>
      <c r="D1005" s="6" t="s">
        <v>83</v>
      </c>
      <c r="E1005" s="6" t="s">
        <v>75</v>
      </c>
      <c r="F1005" s="6">
        <v>1</v>
      </c>
      <c r="G1005" s="6" t="s">
        <v>63</v>
      </c>
      <c r="H1005" s="6">
        <v>2</v>
      </c>
      <c r="I1005" s="6">
        <v>12</v>
      </c>
      <c r="J1005" s="6">
        <v>9</v>
      </c>
      <c r="K1005" s="6" t="s">
        <v>47</v>
      </c>
      <c r="L1005" s="6" t="str">
        <f>VLOOKUP(K1005, 'Alphabetical by species code'!A:B, 2, FALSE)</f>
        <v>Sonchus species</v>
      </c>
    </row>
    <row r="1006" spans="1:12" x14ac:dyDescent="0.25">
      <c r="A1006" s="6">
        <v>11</v>
      </c>
      <c r="B1006" s="6">
        <v>2025</v>
      </c>
      <c r="C1006" s="7">
        <v>45790</v>
      </c>
      <c r="D1006" s="6" t="s">
        <v>83</v>
      </c>
      <c r="E1006" s="6" t="s">
        <v>75</v>
      </c>
      <c r="F1006" s="6">
        <v>1</v>
      </c>
      <c r="G1006" s="6" t="s">
        <v>63</v>
      </c>
      <c r="H1006" s="6">
        <v>2</v>
      </c>
      <c r="I1006" s="6">
        <v>13</v>
      </c>
      <c r="J1006" s="6">
        <v>10</v>
      </c>
      <c r="K1006" s="6" t="s">
        <v>28</v>
      </c>
      <c r="L1006" s="6" t="str">
        <f>VLOOKUP(K1006, 'Alphabetical by species code'!A:B, 2, FALSE)</f>
        <v>Litter</v>
      </c>
    </row>
    <row r="1007" spans="1:12" x14ac:dyDescent="0.25">
      <c r="A1007" s="6">
        <v>11</v>
      </c>
      <c r="B1007" s="6">
        <v>2025</v>
      </c>
      <c r="C1007" s="7">
        <v>45790</v>
      </c>
      <c r="D1007" s="6" t="s">
        <v>83</v>
      </c>
      <c r="E1007" s="6" t="s">
        <v>75</v>
      </c>
      <c r="F1007" s="6">
        <v>1</v>
      </c>
      <c r="G1007" s="6" t="s">
        <v>63</v>
      </c>
      <c r="H1007" s="6">
        <v>2</v>
      </c>
      <c r="I1007" s="6">
        <v>13</v>
      </c>
      <c r="J1007" s="6">
        <v>10</v>
      </c>
      <c r="K1007" s="6" t="s">
        <v>64</v>
      </c>
      <c r="L1007" s="6" t="str">
        <f>VLOOKUP(K1007, 'Alphabetical by species code'!A:B, 2, FALSE)</f>
        <v>Brassica nigra</v>
      </c>
    </row>
    <row r="1008" spans="1:12" x14ac:dyDescent="0.25">
      <c r="A1008" s="6">
        <v>11</v>
      </c>
      <c r="B1008" s="6">
        <v>2025</v>
      </c>
      <c r="C1008" s="7">
        <v>45790</v>
      </c>
      <c r="D1008" s="6" t="s">
        <v>83</v>
      </c>
      <c r="E1008" s="6" t="s">
        <v>75</v>
      </c>
      <c r="F1008" s="6">
        <v>1</v>
      </c>
      <c r="G1008" s="6" t="s">
        <v>63</v>
      </c>
      <c r="H1008" s="6">
        <v>2</v>
      </c>
      <c r="I1008" s="6">
        <v>14</v>
      </c>
      <c r="J1008" s="6">
        <v>11</v>
      </c>
      <c r="K1008" s="6" t="s">
        <v>28</v>
      </c>
      <c r="L1008" s="6" t="str">
        <f>VLOOKUP(K1008, 'Alphabetical by species code'!A:B, 2, FALSE)</f>
        <v>Litter</v>
      </c>
    </row>
    <row r="1009" spans="1:12" x14ac:dyDescent="0.25">
      <c r="A1009" s="6">
        <v>11</v>
      </c>
      <c r="B1009" s="6">
        <v>2025</v>
      </c>
      <c r="C1009" s="7">
        <v>45790</v>
      </c>
      <c r="D1009" s="6" t="s">
        <v>83</v>
      </c>
      <c r="E1009" s="6" t="s">
        <v>75</v>
      </c>
      <c r="F1009" s="6">
        <v>1</v>
      </c>
      <c r="G1009" s="6" t="s">
        <v>63</v>
      </c>
      <c r="H1009" s="6">
        <v>2</v>
      </c>
      <c r="I1009" s="6">
        <v>14</v>
      </c>
      <c r="J1009" s="6">
        <v>11</v>
      </c>
      <c r="K1009" s="6" t="s">
        <v>64</v>
      </c>
      <c r="L1009" s="6" t="str">
        <f>VLOOKUP(K1009, 'Alphabetical by species code'!A:B, 2, FALSE)</f>
        <v>Brassica nigra</v>
      </c>
    </row>
    <row r="1010" spans="1:12" x14ac:dyDescent="0.25">
      <c r="A1010" s="6">
        <v>11</v>
      </c>
      <c r="B1010" s="6">
        <v>2025</v>
      </c>
      <c r="C1010" s="7">
        <v>45790</v>
      </c>
      <c r="D1010" s="6" t="s">
        <v>83</v>
      </c>
      <c r="E1010" s="6" t="s">
        <v>75</v>
      </c>
      <c r="F1010" s="6">
        <v>1</v>
      </c>
      <c r="G1010" s="6" t="s">
        <v>63</v>
      </c>
      <c r="H1010" s="6">
        <v>2</v>
      </c>
      <c r="I1010" s="6">
        <v>14</v>
      </c>
      <c r="J1010" s="6">
        <v>11</v>
      </c>
      <c r="K1010" s="6" t="s">
        <v>35</v>
      </c>
      <c r="L1010" s="6" t="str">
        <f>VLOOKUP(K1010, 'Alphabetical by species code'!A:B, 2, FALSE)</f>
        <v>Deinandra fasciculata</v>
      </c>
    </row>
    <row r="1011" spans="1:12" x14ac:dyDescent="0.25">
      <c r="A1011" s="6">
        <v>11</v>
      </c>
      <c r="B1011" s="6">
        <v>2025</v>
      </c>
      <c r="C1011" s="7">
        <v>45790</v>
      </c>
      <c r="D1011" s="6" t="s">
        <v>83</v>
      </c>
      <c r="E1011" s="6" t="s">
        <v>75</v>
      </c>
      <c r="F1011" s="6">
        <v>1</v>
      </c>
      <c r="G1011" s="6" t="s">
        <v>63</v>
      </c>
      <c r="H1011" s="6">
        <v>2</v>
      </c>
      <c r="I1011" s="6">
        <v>15</v>
      </c>
      <c r="J1011" s="6">
        <v>12</v>
      </c>
      <c r="K1011" s="6" t="s">
        <v>28</v>
      </c>
      <c r="L1011" s="6" t="str">
        <f>VLOOKUP(K1011, 'Alphabetical by species code'!A:B, 2, FALSE)</f>
        <v>Litter</v>
      </c>
    </row>
    <row r="1012" spans="1:12" x14ac:dyDescent="0.25">
      <c r="A1012" s="6">
        <v>11</v>
      </c>
      <c r="B1012" s="6">
        <v>2025</v>
      </c>
      <c r="C1012" s="7">
        <v>45790</v>
      </c>
      <c r="D1012" s="6" t="s">
        <v>83</v>
      </c>
      <c r="E1012" s="6" t="s">
        <v>75</v>
      </c>
      <c r="F1012" s="6">
        <v>1</v>
      </c>
      <c r="G1012" s="6" t="s">
        <v>63</v>
      </c>
      <c r="H1012" s="6">
        <v>2</v>
      </c>
      <c r="I1012" s="6">
        <v>15</v>
      </c>
      <c r="J1012" s="6">
        <v>12</v>
      </c>
      <c r="K1012" s="6" t="s">
        <v>35</v>
      </c>
      <c r="L1012" s="6" t="str">
        <f>VLOOKUP(K1012, 'Alphabetical by species code'!A:B, 2, FALSE)</f>
        <v>Deinandra fasciculata</v>
      </c>
    </row>
    <row r="1013" spans="1:12" x14ac:dyDescent="0.25">
      <c r="A1013" s="6">
        <v>12</v>
      </c>
      <c r="B1013" s="6">
        <v>2025</v>
      </c>
      <c r="C1013" s="7">
        <v>45790</v>
      </c>
      <c r="D1013" s="6" t="s">
        <v>92</v>
      </c>
      <c r="E1013" s="6" t="s">
        <v>75</v>
      </c>
      <c r="F1013" s="6">
        <v>1</v>
      </c>
      <c r="G1013" s="6" t="s">
        <v>66</v>
      </c>
      <c r="H1013" s="6">
        <v>1</v>
      </c>
      <c r="I1013" s="6">
        <v>1</v>
      </c>
      <c r="J1013" s="6">
        <v>0</v>
      </c>
      <c r="K1013" s="6" t="s">
        <v>28</v>
      </c>
      <c r="L1013" s="6" t="str">
        <f>VLOOKUP(K1013, 'Alphabetical by species code'!A:B, 2, FALSE)</f>
        <v>Litter</v>
      </c>
    </row>
    <row r="1014" spans="1:12" x14ac:dyDescent="0.25">
      <c r="A1014" s="6">
        <v>12</v>
      </c>
      <c r="B1014" s="6">
        <v>2025</v>
      </c>
      <c r="C1014" s="7">
        <v>45790</v>
      </c>
      <c r="D1014" s="6" t="s">
        <v>92</v>
      </c>
      <c r="E1014" s="6" t="s">
        <v>75</v>
      </c>
      <c r="F1014" s="6">
        <v>1</v>
      </c>
      <c r="G1014" s="6" t="s">
        <v>66</v>
      </c>
      <c r="H1014" s="6">
        <v>1</v>
      </c>
      <c r="I1014" s="6">
        <v>1</v>
      </c>
      <c r="J1014" s="6">
        <v>0</v>
      </c>
      <c r="K1014" s="6" t="s">
        <v>64</v>
      </c>
      <c r="L1014" s="6" t="str">
        <f>VLOOKUP(K1014, 'Alphabetical by species code'!A:B, 2, FALSE)</f>
        <v>Brassica nigra</v>
      </c>
    </row>
    <row r="1015" spans="1:12" x14ac:dyDescent="0.25">
      <c r="A1015" s="6">
        <v>12</v>
      </c>
      <c r="B1015" s="6">
        <v>2025</v>
      </c>
      <c r="C1015" s="7">
        <v>45790</v>
      </c>
      <c r="D1015" s="6" t="s">
        <v>92</v>
      </c>
      <c r="E1015" s="6" t="s">
        <v>75</v>
      </c>
      <c r="F1015" s="6">
        <v>1</v>
      </c>
      <c r="G1015" s="6" t="s">
        <v>66</v>
      </c>
      <c r="H1015" s="6">
        <v>1</v>
      </c>
      <c r="I1015" s="6">
        <v>2</v>
      </c>
      <c r="J1015" s="6">
        <v>1</v>
      </c>
      <c r="K1015" s="6" t="s">
        <v>28</v>
      </c>
      <c r="L1015" s="6" t="str">
        <f>VLOOKUP(K1015, 'Alphabetical by species code'!A:B, 2, FALSE)</f>
        <v>Litter</v>
      </c>
    </row>
    <row r="1016" spans="1:12" x14ac:dyDescent="0.25">
      <c r="A1016" s="6">
        <v>12</v>
      </c>
      <c r="B1016" s="6">
        <v>2025</v>
      </c>
      <c r="C1016" s="7">
        <v>45790</v>
      </c>
      <c r="D1016" s="6" t="s">
        <v>92</v>
      </c>
      <c r="E1016" s="6" t="s">
        <v>75</v>
      </c>
      <c r="F1016" s="6">
        <v>1</v>
      </c>
      <c r="G1016" s="6" t="s">
        <v>66</v>
      </c>
      <c r="H1016" s="6">
        <v>1</v>
      </c>
      <c r="I1016" s="6">
        <v>2</v>
      </c>
      <c r="J1016" s="6">
        <v>1</v>
      </c>
      <c r="K1016" s="6" t="s">
        <v>34</v>
      </c>
      <c r="L1016" s="6" t="str">
        <f>VLOOKUP(K1016, 'Alphabetical by species code'!A:B, 2, FALSE)</f>
        <v>Erodium cicutarium</v>
      </c>
    </row>
    <row r="1017" spans="1:12" x14ac:dyDescent="0.25">
      <c r="A1017" s="6">
        <v>12</v>
      </c>
      <c r="B1017" s="6">
        <v>2025</v>
      </c>
      <c r="C1017" s="7">
        <v>45790</v>
      </c>
      <c r="D1017" s="6" t="s">
        <v>92</v>
      </c>
      <c r="E1017" s="6" t="s">
        <v>75</v>
      </c>
      <c r="F1017" s="6">
        <v>1</v>
      </c>
      <c r="G1017" s="6" t="s">
        <v>66</v>
      </c>
      <c r="H1017" s="6">
        <v>1</v>
      </c>
      <c r="I1017" s="6">
        <v>3</v>
      </c>
      <c r="J1017" s="6">
        <v>1.5</v>
      </c>
      <c r="K1017" s="6" t="s">
        <v>28</v>
      </c>
      <c r="L1017" s="6" t="str">
        <f>VLOOKUP(K1017, 'Alphabetical by species code'!A:B, 2, FALSE)</f>
        <v>Litter</v>
      </c>
    </row>
    <row r="1018" spans="1:12" x14ac:dyDescent="0.25">
      <c r="A1018" s="6">
        <v>12</v>
      </c>
      <c r="B1018" s="6">
        <v>2025</v>
      </c>
      <c r="C1018" s="7">
        <v>45790</v>
      </c>
      <c r="D1018" s="6" t="s">
        <v>92</v>
      </c>
      <c r="E1018" s="6" t="s">
        <v>75</v>
      </c>
      <c r="F1018" s="6">
        <v>1</v>
      </c>
      <c r="G1018" s="6" t="s">
        <v>66</v>
      </c>
      <c r="H1018" s="6">
        <v>1</v>
      </c>
      <c r="I1018" s="6">
        <v>4</v>
      </c>
      <c r="J1018" s="6">
        <v>2</v>
      </c>
      <c r="K1018" s="6" t="s">
        <v>28</v>
      </c>
      <c r="L1018" s="6" t="str">
        <f>VLOOKUP(K1018, 'Alphabetical by species code'!A:B, 2, FALSE)</f>
        <v>Litter</v>
      </c>
    </row>
    <row r="1019" spans="1:12" x14ac:dyDescent="0.25">
      <c r="A1019" s="6">
        <v>12</v>
      </c>
      <c r="B1019" s="6">
        <v>2025</v>
      </c>
      <c r="C1019" s="7">
        <v>45790</v>
      </c>
      <c r="D1019" s="6" t="s">
        <v>92</v>
      </c>
      <c r="E1019" s="6" t="s">
        <v>75</v>
      </c>
      <c r="F1019" s="6">
        <v>1</v>
      </c>
      <c r="G1019" s="6" t="s">
        <v>66</v>
      </c>
      <c r="H1019" s="6">
        <v>1</v>
      </c>
      <c r="I1019" s="6">
        <v>4</v>
      </c>
      <c r="J1019" s="6">
        <v>2</v>
      </c>
      <c r="K1019" s="6" t="s">
        <v>35</v>
      </c>
      <c r="L1019" s="6" t="str">
        <f>VLOOKUP(K1019, 'Alphabetical by species code'!A:B, 2, FALSE)</f>
        <v>Deinandra fasciculata</v>
      </c>
    </row>
    <row r="1020" spans="1:12" x14ac:dyDescent="0.25">
      <c r="A1020" s="6">
        <v>12</v>
      </c>
      <c r="B1020" s="6">
        <v>2025</v>
      </c>
      <c r="C1020" s="7">
        <v>45790</v>
      </c>
      <c r="D1020" s="6" t="s">
        <v>92</v>
      </c>
      <c r="E1020" s="6" t="s">
        <v>75</v>
      </c>
      <c r="F1020" s="6">
        <v>1</v>
      </c>
      <c r="G1020" s="6" t="s">
        <v>66</v>
      </c>
      <c r="H1020" s="6">
        <v>1</v>
      </c>
      <c r="I1020" s="6">
        <v>5</v>
      </c>
      <c r="J1020" s="6">
        <v>3</v>
      </c>
      <c r="K1020" s="6" t="s">
        <v>28</v>
      </c>
      <c r="L1020" s="6" t="str">
        <f>VLOOKUP(K1020, 'Alphabetical by species code'!A:B, 2, FALSE)</f>
        <v>Litter</v>
      </c>
    </row>
    <row r="1021" spans="1:12" x14ac:dyDescent="0.25">
      <c r="A1021" s="6">
        <v>12</v>
      </c>
      <c r="B1021" s="6">
        <v>2025</v>
      </c>
      <c r="C1021" s="7">
        <v>45790</v>
      </c>
      <c r="D1021" s="6" t="s">
        <v>92</v>
      </c>
      <c r="E1021" s="6" t="s">
        <v>75</v>
      </c>
      <c r="F1021" s="6">
        <v>1</v>
      </c>
      <c r="G1021" s="6" t="s">
        <v>66</v>
      </c>
      <c r="H1021" s="6">
        <v>1</v>
      </c>
      <c r="I1021" s="6">
        <v>5</v>
      </c>
      <c r="J1021" s="6">
        <v>3</v>
      </c>
      <c r="K1021" s="6" t="s">
        <v>35</v>
      </c>
      <c r="L1021" s="6" t="str">
        <f>VLOOKUP(K1021, 'Alphabetical by species code'!A:B, 2, FALSE)</f>
        <v>Deinandra fasciculata</v>
      </c>
    </row>
    <row r="1022" spans="1:12" x14ac:dyDescent="0.25">
      <c r="A1022" s="6">
        <v>12</v>
      </c>
      <c r="B1022" s="6">
        <v>2025</v>
      </c>
      <c r="C1022" s="7">
        <v>45790</v>
      </c>
      <c r="D1022" s="6" t="s">
        <v>92</v>
      </c>
      <c r="E1022" s="6" t="s">
        <v>75</v>
      </c>
      <c r="F1022" s="6">
        <v>1</v>
      </c>
      <c r="G1022" s="6" t="s">
        <v>66</v>
      </c>
      <c r="H1022" s="6">
        <v>1</v>
      </c>
      <c r="I1022" s="6">
        <v>6</v>
      </c>
      <c r="J1022" s="6">
        <v>3.5</v>
      </c>
      <c r="K1022" s="6" t="s">
        <v>28</v>
      </c>
      <c r="L1022" s="6" t="str">
        <f>VLOOKUP(K1022, 'Alphabetical by species code'!A:B, 2, FALSE)</f>
        <v>Litter</v>
      </c>
    </row>
    <row r="1023" spans="1:12" x14ac:dyDescent="0.25">
      <c r="A1023" s="6">
        <v>12</v>
      </c>
      <c r="B1023" s="6">
        <v>2025</v>
      </c>
      <c r="C1023" s="7">
        <v>45790</v>
      </c>
      <c r="D1023" s="6" t="s">
        <v>92</v>
      </c>
      <c r="E1023" s="6" t="s">
        <v>75</v>
      </c>
      <c r="F1023" s="6">
        <v>1</v>
      </c>
      <c r="G1023" s="6" t="s">
        <v>66</v>
      </c>
      <c r="H1023" s="6">
        <v>1</v>
      </c>
      <c r="I1023" s="6">
        <v>6</v>
      </c>
      <c r="J1023" s="6">
        <v>3.5</v>
      </c>
      <c r="K1023" s="6" t="s">
        <v>64</v>
      </c>
      <c r="L1023" s="6" t="str">
        <f>VLOOKUP(K1023, 'Alphabetical by species code'!A:B, 2, FALSE)</f>
        <v>Brassica nigra</v>
      </c>
    </row>
    <row r="1024" spans="1:12" x14ac:dyDescent="0.25">
      <c r="A1024" s="6">
        <v>12</v>
      </c>
      <c r="B1024" s="6">
        <v>2025</v>
      </c>
      <c r="C1024" s="7">
        <v>45790</v>
      </c>
      <c r="D1024" s="6" t="s">
        <v>92</v>
      </c>
      <c r="E1024" s="6" t="s">
        <v>75</v>
      </c>
      <c r="F1024" s="6">
        <v>1</v>
      </c>
      <c r="G1024" s="6" t="s">
        <v>66</v>
      </c>
      <c r="H1024" s="6">
        <v>1</v>
      </c>
      <c r="I1024" s="6">
        <v>7</v>
      </c>
      <c r="J1024" s="6">
        <v>4</v>
      </c>
      <c r="K1024" s="6" t="s">
        <v>28</v>
      </c>
      <c r="L1024" s="6" t="str">
        <f>VLOOKUP(K1024, 'Alphabetical by species code'!A:B, 2, FALSE)</f>
        <v>Litter</v>
      </c>
    </row>
    <row r="1025" spans="1:12" x14ac:dyDescent="0.25">
      <c r="A1025" s="6">
        <v>12</v>
      </c>
      <c r="B1025" s="6">
        <v>2025</v>
      </c>
      <c r="C1025" s="7">
        <v>45790</v>
      </c>
      <c r="D1025" s="6" t="s">
        <v>92</v>
      </c>
      <c r="E1025" s="6" t="s">
        <v>75</v>
      </c>
      <c r="F1025" s="6">
        <v>1</v>
      </c>
      <c r="G1025" s="6" t="s">
        <v>66</v>
      </c>
      <c r="H1025" s="6">
        <v>1</v>
      </c>
      <c r="I1025" s="6">
        <v>7</v>
      </c>
      <c r="J1025" s="6">
        <v>4</v>
      </c>
      <c r="K1025" s="6" t="s">
        <v>35</v>
      </c>
      <c r="L1025" s="6" t="str">
        <f>VLOOKUP(K1025, 'Alphabetical by species code'!A:B, 2, FALSE)</f>
        <v>Deinandra fasciculata</v>
      </c>
    </row>
    <row r="1026" spans="1:12" x14ac:dyDescent="0.25">
      <c r="A1026" s="6">
        <v>12</v>
      </c>
      <c r="B1026" s="6">
        <v>2025</v>
      </c>
      <c r="C1026" s="7">
        <v>45790</v>
      </c>
      <c r="D1026" s="6" t="s">
        <v>92</v>
      </c>
      <c r="E1026" s="6" t="s">
        <v>75</v>
      </c>
      <c r="F1026" s="6">
        <v>1</v>
      </c>
      <c r="G1026" s="6" t="s">
        <v>66</v>
      </c>
      <c r="H1026" s="6">
        <v>1</v>
      </c>
      <c r="I1026" s="6">
        <v>8</v>
      </c>
      <c r="J1026" s="6">
        <v>5</v>
      </c>
      <c r="K1026" s="6" t="s">
        <v>28</v>
      </c>
      <c r="L1026" s="6" t="str">
        <f>VLOOKUP(K1026, 'Alphabetical by species code'!A:B, 2, FALSE)</f>
        <v>Litter</v>
      </c>
    </row>
    <row r="1027" spans="1:12" x14ac:dyDescent="0.25">
      <c r="A1027" s="6">
        <v>12</v>
      </c>
      <c r="B1027" s="6">
        <v>2025</v>
      </c>
      <c r="C1027" s="7">
        <v>45790</v>
      </c>
      <c r="D1027" s="6" t="s">
        <v>92</v>
      </c>
      <c r="E1027" s="6" t="s">
        <v>75</v>
      </c>
      <c r="F1027" s="6">
        <v>1</v>
      </c>
      <c r="G1027" s="6" t="s">
        <v>66</v>
      </c>
      <c r="H1027" s="6">
        <v>1</v>
      </c>
      <c r="I1027" s="6">
        <v>8</v>
      </c>
      <c r="J1027" s="6">
        <v>5</v>
      </c>
      <c r="K1027" s="6" t="s">
        <v>64</v>
      </c>
      <c r="L1027" s="6" t="str">
        <f>VLOOKUP(K1027, 'Alphabetical by species code'!A:B, 2, FALSE)</f>
        <v>Brassica nigra</v>
      </c>
    </row>
    <row r="1028" spans="1:12" x14ac:dyDescent="0.25">
      <c r="A1028" s="6">
        <v>12</v>
      </c>
      <c r="B1028" s="6">
        <v>2025</v>
      </c>
      <c r="C1028" s="7">
        <v>45790</v>
      </c>
      <c r="D1028" s="6" t="s">
        <v>92</v>
      </c>
      <c r="E1028" s="6" t="s">
        <v>75</v>
      </c>
      <c r="F1028" s="6">
        <v>1</v>
      </c>
      <c r="G1028" s="6" t="s">
        <v>66</v>
      </c>
      <c r="H1028" s="6">
        <v>1</v>
      </c>
      <c r="I1028" s="6">
        <v>9</v>
      </c>
      <c r="J1028" s="6">
        <v>7</v>
      </c>
      <c r="K1028" s="6" t="s">
        <v>28</v>
      </c>
      <c r="L1028" s="6" t="str">
        <f>VLOOKUP(K1028, 'Alphabetical by species code'!A:B, 2, FALSE)</f>
        <v>Litter</v>
      </c>
    </row>
    <row r="1029" spans="1:12" x14ac:dyDescent="0.25">
      <c r="A1029" s="6">
        <v>12</v>
      </c>
      <c r="B1029" s="6">
        <v>2025</v>
      </c>
      <c r="C1029" s="7">
        <v>45790</v>
      </c>
      <c r="D1029" s="6" t="s">
        <v>92</v>
      </c>
      <c r="E1029" s="6" t="s">
        <v>75</v>
      </c>
      <c r="F1029" s="6">
        <v>1</v>
      </c>
      <c r="G1029" s="6" t="s">
        <v>66</v>
      </c>
      <c r="H1029" s="6">
        <v>1</v>
      </c>
      <c r="I1029" s="6">
        <v>9</v>
      </c>
      <c r="J1029" s="6">
        <v>7</v>
      </c>
      <c r="K1029" s="6" t="s">
        <v>76</v>
      </c>
      <c r="L1029" s="6" t="str">
        <f>VLOOKUP(K1029, 'Alphabetical by species code'!A:B, 2, FALSE)</f>
        <v>Avena fatua</v>
      </c>
    </row>
    <row r="1030" spans="1:12" x14ac:dyDescent="0.25">
      <c r="A1030" s="6">
        <v>12</v>
      </c>
      <c r="B1030" s="6">
        <v>2025</v>
      </c>
      <c r="C1030" s="7">
        <v>45790</v>
      </c>
      <c r="D1030" s="6" t="s">
        <v>92</v>
      </c>
      <c r="E1030" s="6" t="s">
        <v>75</v>
      </c>
      <c r="F1030" s="6">
        <v>1</v>
      </c>
      <c r="G1030" s="6" t="s">
        <v>66</v>
      </c>
      <c r="H1030" s="6">
        <v>1</v>
      </c>
      <c r="I1030" s="6">
        <v>9</v>
      </c>
      <c r="J1030" s="6">
        <v>7</v>
      </c>
      <c r="K1030" s="6" t="s">
        <v>64</v>
      </c>
      <c r="L1030" s="6" t="str">
        <f>VLOOKUP(K1030, 'Alphabetical by species code'!A:B, 2, FALSE)</f>
        <v>Brassica nigra</v>
      </c>
    </row>
    <row r="1031" spans="1:12" x14ac:dyDescent="0.25">
      <c r="A1031" s="6">
        <v>12</v>
      </c>
      <c r="B1031" s="6">
        <v>2025</v>
      </c>
      <c r="C1031" s="7">
        <v>45790</v>
      </c>
      <c r="D1031" s="6" t="s">
        <v>92</v>
      </c>
      <c r="E1031" s="6" t="s">
        <v>75</v>
      </c>
      <c r="F1031" s="6">
        <v>1</v>
      </c>
      <c r="G1031" s="6" t="s">
        <v>66</v>
      </c>
      <c r="H1031" s="6">
        <v>1</v>
      </c>
      <c r="I1031" s="6">
        <v>10</v>
      </c>
      <c r="J1031" s="6">
        <v>8</v>
      </c>
      <c r="K1031" s="6" t="s">
        <v>52</v>
      </c>
      <c r="L1031" s="6" t="str">
        <f>VLOOKUP(K1031, 'Alphabetical by species code'!A:B, 2, FALSE)</f>
        <v>Rock</v>
      </c>
    </row>
    <row r="1032" spans="1:12" x14ac:dyDescent="0.25">
      <c r="A1032" s="6">
        <v>12</v>
      </c>
      <c r="B1032" s="6">
        <v>2025</v>
      </c>
      <c r="C1032" s="7">
        <v>45790</v>
      </c>
      <c r="D1032" s="6" t="s">
        <v>92</v>
      </c>
      <c r="E1032" s="6" t="s">
        <v>75</v>
      </c>
      <c r="F1032" s="6">
        <v>1</v>
      </c>
      <c r="G1032" s="6" t="s">
        <v>66</v>
      </c>
      <c r="H1032" s="6">
        <v>1</v>
      </c>
      <c r="I1032" s="6">
        <v>11</v>
      </c>
      <c r="J1032" s="6">
        <v>8.5</v>
      </c>
      <c r="K1032" s="6" t="s">
        <v>28</v>
      </c>
      <c r="L1032" s="6" t="str">
        <f>VLOOKUP(K1032, 'Alphabetical by species code'!A:B, 2, FALSE)</f>
        <v>Litter</v>
      </c>
    </row>
    <row r="1033" spans="1:12" x14ac:dyDescent="0.25">
      <c r="A1033" s="6">
        <v>12</v>
      </c>
      <c r="B1033" s="6">
        <v>2025</v>
      </c>
      <c r="C1033" s="7">
        <v>45790</v>
      </c>
      <c r="D1033" s="6" t="s">
        <v>92</v>
      </c>
      <c r="E1033" s="6" t="s">
        <v>75</v>
      </c>
      <c r="F1033" s="6">
        <v>1</v>
      </c>
      <c r="G1033" s="6" t="s">
        <v>66</v>
      </c>
      <c r="H1033" s="6">
        <v>1</v>
      </c>
      <c r="I1033" s="6">
        <v>12</v>
      </c>
      <c r="J1033" s="6">
        <v>9</v>
      </c>
      <c r="K1033" s="6" t="s">
        <v>52</v>
      </c>
      <c r="L1033" s="6" t="str">
        <f>VLOOKUP(K1033, 'Alphabetical by species code'!A:B, 2, FALSE)</f>
        <v>Rock</v>
      </c>
    </row>
    <row r="1034" spans="1:12" x14ac:dyDescent="0.25">
      <c r="A1034" s="6">
        <v>12</v>
      </c>
      <c r="B1034" s="6">
        <v>2025</v>
      </c>
      <c r="C1034" s="7">
        <v>45790</v>
      </c>
      <c r="D1034" s="6" t="s">
        <v>92</v>
      </c>
      <c r="E1034" s="6" t="s">
        <v>75</v>
      </c>
      <c r="F1034" s="6">
        <v>1</v>
      </c>
      <c r="G1034" s="6" t="s">
        <v>66</v>
      </c>
      <c r="H1034" s="6">
        <v>1</v>
      </c>
      <c r="I1034" s="6">
        <v>13</v>
      </c>
      <c r="J1034" s="6">
        <v>10</v>
      </c>
      <c r="K1034" s="6" t="s">
        <v>28</v>
      </c>
      <c r="L1034" s="6" t="str">
        <f>VLOOKUP(K1034, 'Alphabetical by species code'!A:B, 2, FALSE)</f>
        <v>Litter</v>
      </c>
    </row>
    <row r="1035" spans="1:12" x14ac:dyDescent="0.25">
      <c r="A1035" s="6">
        <v>12</v>
      </c>
      <c r="B1035" s="6">
        <v>2025</v>
      </c>
      <c r="C1035" s="7">
        <v>45790</v>
      </c>
      <c r="D1035" s="6" t="s">
        <v>92</v>
      </c>
      <c r="E1035" s="6" t="s">
        <v>75</v>
      </c>
      <c r="F1035" s="6">
        <v>1</v>
      </c>
      <c r="G1035" s="6" t="s">
        <v>66</v>
      </c>
      <c r="H1035" s="6">
        <v>1</v>
      </c>
      <c r="I1035" s="6">
        <v>13</v>
      </c>
      <c r="J1035" s="6">
        <v>10</v>
      </c>
      <c r="K1035" s="6" t="s">
        <v>35</v>
      </c>
      <c r="L1035" s="6" t="str">
        <f>VLOOKUP(K1035, 'Alphabetical by species code'!A:B, 2, FALSE)</f>
        <v>Deinandra fasciculata</v>
      </c>
    </row>
    <row r="1036" spans="1:12" x14ac:dyDescent="0.25">
      <c r="A1036" s="6">
        <v>12</v>
      </c>
      <c r="B1036" s="6">
        <v>2025</v>
      </c>
      <c r="C1036" s="7">
        <v>45790</v>
      </c>
      <c r="D1036" s="6" t="s">
        <v>92</v>
      </c>
      <c r="E1036" s="6" t="s">
        <v>75</v>
      </c>
      <c r="F1036" s="6">
        <v>1</v>
      </c>
      <c r="G1036" s="6" t="s">
        <v>66</v>
      </c>
      <c r="H1036" s="6">
        <v>1</v>
      </c>
      <c r="I1036" s="6">
        <v>14</v>
      </c>
      <c r="J1036" s="6">
        <v>11</v>
      </c>
      <c r="K1036" s="6" t="s">
        <v>51</v>
      </c>
      <c r="L1036" s="6" t="str">
        <f>VLOOKUP(K1036, 'Alphabetical by species code'!A:B, 2, FALSE)</f>
        <v>Bareground</v>
      </c>
    </row>
    <row r="1037" spans="1:12" x14ac:dyDescent="0.25">
      <c r="A1037" s="6">
        <v>12</v>
      </c>
      <c r="B1037" s="6">
        <v>2025</v>
      </c>
      <c r="C1037" s="7">
        <v>45790</v>
      </c>
      <c r="D1037" s="6" t="s">
        <v>92</v>
      </c>
      <c r="E1037" s="6" t="s">
        <v>75</v>
      </c>
      <c r="F1037" s="6">
        <v>1</v>
      </c>
      <c r="G1037" s="6" t="s">
        <v>66</v>
      </c>
      <c r="H1037" s="6">
        <v>1</v>
      </c>
      <c r="I1037" s="6">
        <v>15</v>
      </c>
      <c r="J1037" s="6">
        <v>12</v>
      </c>
      <c r="K1037" s="6" t="s">
        <v>28</v>
      </c>
      <c r="L1037" s="6" t="str">
        <f>VLOOKUP(K1037, 'Alphabetical by species code'!A:B, 2, FALSE)</f>
        <v>Litter</v>
      </c>
    </row>
    <row r="1038" spans="1:12" x14ac:dyDescent="0.25">
      <c r="A1038" s="6">
        <v>12</v>
      </c>
      <c r="B1038" s="6">
        <v>2025</v>
      </c>
      <c r="C1038" s="7">
        <v>45790</v>
      </c>
      <c r="D1038" s="6" t="s">
        <v>92</v>
      </c>
      <c r="E1038" s="6" t="s">
        <v>75</v>
      </c>
      <c r="F1038" s="6">
        <v>1</v>
      </c>
      <c r="G1038" s="6" t="s">
        <v>66</v>
      </c>
      <c r="H1038" s="6">
        <v>1</v>
      </c>
      <c r="I1038" s="6">
        <v>15</v>
      </c>
      <c r="J1038" s="6">
        <v>12</v>
      </c>
      <c r="K1038" s="6" t="s">
        <v>35</v>
      </c>
      <c r="L1038" s="6" t="str">
        <f>VLOOKUP(K1038, 'Alphabetical by species code'!A:B, 2, FALSE)</f>
        <v>Deinandra fasciculata</v>
      </c>
    </row>
    <row r="1039" spans="1:12" x14ac:dyDescent="0.25">
      <c r="A1039" s="6">
        <v>12</v>
      </c>
      <c r="B1039" s="6">
        <v>2025</v>
      </c>
      <c r="C1039" s="7">
        <v>45790</v>
      </c>
      <c r="D1039" s="6" t="s">
        <v>92</v>
      </c>
      <c r="E1039" s="6" t="s">
        <v>75</v>
      </c>
      <c r="F1039" s="6">
        <v>1</v>
      </c>
      <c r="G1039" s="6" t="s">
        <v>66</v>
      </c>
      <c r="H1039" s="6">
        <v>2</v>
      </c>
      <c r="I1039" s="6">
        <v>1</v>
      </c>
      <c r="J1039" s="6">
        <v>0</v>
      </c>
      <c r="K1039" s="6" t="s">
        <v>28</v>
      </c>
      <c r="L1039" s="6" t="str">
        <f>VLOOKUP(K1039, 'Alphabetical by species code'!A:B, 2, FALSE)</f>
        <v>Litter</v>
      </c>
    </row>
    <row r="1040" spans="1:12" x14ac:dyDescent="0.25">
      <c r="A1040" s="6">
        <v>12</v>
      </c>
      <c r="B1040" s="6">
        <v>2025</v>
      </c>
      <c r="C1040" s="7">
        <v>45790</v>
      </c>
      <c r="D1040" s="6" t="s">
        <v>92</v>
      </c>
      <c r="E1040" s="6" t="s">
        <v>75</v>
      </c>
      <c r="F1040" s="6">
        <v>1</v>
      </c>
      <c r="G1040" s="6" t="s">
        <v>66</v>
      </c>
      <c r="H1040" s="6">
        <v>2</v>
      </c>
      <c r="I1040" s="6">
        <v>2</v>
      </c>
      <c r="J1040" s="6">
        <v>1</v>
      </c>
      <c r="K1040" s="6" t="s">
        <v>28</v>
      </c>
      <c r="L1040" s="6" t="str">
        <f>VLOOKUP(K1040, 'Alphabetical by species code'!A:B, 2, FALSE)</f>
        <v>Litter</v>
      </c>
    </row>
    <row r="1041" spans="1:12" x14ac:dyDescent="0.25">
      <c r="A1041" s="6">
        <v>12</v>
      </c>
      <c r="B1041" s="6">
        <v>2025</v>
      </c>
      <c r="C1041" s="7">
        <v>45790</v>
      </c>
      <c r="D1041" s="6" t="s">
        <v>92</v>
      </c>
      <c r="E1041" s="6" t="s">
        <v>75</v>
      </c>
      <c r="F1041" s="6">
        <v>1</v>
      </c>
      <c r="G1041" s="6" t="s">
        <v>66</v>
      </c>
      <c r="H1041" s="6">
        <v>2</v>
      </c>
      <c r="I1041" s="6">
        <v>2</v>
      </c>
      <c r="J1041" s="6">
        <v>1</v>
      </c>
      <c r="K1041" s="6" t="s">
        <v>36</v>
      </c>
      <c r="L1041" s="6" t="str">
        <f>VLOOKUP(K1041, 'Alphabetical by species code'!A:B, 2, FALSE)</f>
        <v>Bromus madritensis</v>
      </c>
    </row>
    <row r="1042" spans="1:12" x14ac:dyDescent="0.25">
      <c r="A1042" s="6">
        <v>12</v>
      </c>
      <c r="B1042" s="6">
        <v>2025</v>
      </c>
      <c r="C1042" s="7">
        <v>45790</v>
      </c>
      <c r="D1042" s="6" t="s">
        <v>92</v>
      </c>
      <c r="E1042" s="6" t="s">
        <v>75</v>
      </c>
      <c r="F1042" s="6">
        <v>1</v>
      </c>
      <c r="G1042" s="6" t="s">
        <v>66</v>
      </c>
      <c r="H1042" s="6">
        <v>2</v>
      </c>
      <c r="I1042" s="6">
        <v>3</v>
      </c>
      <c r="J1042" s="6">
        <v>1.5</v>
      </c>
      <c r="K1042" s="6" t="s">
        <v>28</v>
      </c>
      <c r="L1042" s="6" t="str">
        <f>VLOOKUP(K1042, 'Alphabetical by species code'!A:B, 2, FALSE)</f>
        <v>Litter</v>
      </c>
    </row>
    <row r="1043" spans="1:12" x14ac:dyDescent="0.25">
      <c r="A1043" s="6">
        <v>12</v>
      </c>
      <c r="B1043" s="6">
        <v>2025</v>
      </c>
      <c r="C1043" s="7">
        <v>45790</v>
      </c>
      <c r="D1043" s="6" t="s">
        <v>92</v>
      </c>
      <c r="E1043" s="6" t="s">
        <v>75</v>
      </c>
      <c r="F1043" s="6">
        <v>1</v>
      </c>
      <c r="G1043" s="6" t="s">
        <v>66</v>
      </c>
      <c r="H1043" s="6">
        <v>2</v>
      </c>
      <c r="I1043" s="6">
        <v>3</v>
      </c>
      <c r="J1043" s="6">
        <v>1.5</v>
      </c>
      <c r="K1043" s="6" t="s">
        <v>64</v>
      </c>
      <c r="L1043" s="6" t="str">
        <f>VLOOKUP(K1043, 'Alphabetical by species code'!A:B, 2, FALSE)</f>
        <v>Brassica nigra</v>
      </c>
    </row>
    <row r="1044" spans="1:12" x14ac:dyDescent="0.25">
      <c r="A1044" s="6">
        <v>12</v>
      </c>
      <c r="B1044" s="6">
        <v>2025</v>
      </c>
      <c r="C1044" s="7">
        <v>45790</v>
      </c>
      <c r="D1044" s="6" t="s">
        <v>92</v>
      </c>
      <c r="E1044" s="6" t="s">
        <v>75</v>
      </c>
      <c r="F1044" s="6">
        <v>1</v>
      </c>
      <c r="G1044" s="6" t="s">
        <v>66</v>
      </c>
      <c r="H1044" s="6">
        <v>2</v>
      </c>
      <c r="I1044" s="6">
        <v>3</v>
      </c>
      <c r="J1044" s="6">
        <v>1.5</v>
      </c>
      <c r="K1044" s="6" t="s">
        <v>35</v>
      </c>
      <c r="L1044" s="6" t="str">
        <f>VLOOKUP(K1044, 'Alphabetical by species code'!A:B, 2, FALSE)</f>
        <v>Deinandra fasciculata</v>
      </c>
    </row>
    <row r="1045" spans="1:12" x14ac:dyDescent="0.25">
      <c r="A1045" s="6">
        <v>12</v>
      </c>
      <c r="B1045" s="6">
        <v>2025</v>
      </c>
      <c r="C1045" s="7">
        <v>45790</v>
      </c>
      <c r="D1045" s="6" t="s">
        <v>92</v>
      </c>
      <c r="E1045" s="6" t="s">
        <v>75</v>
      </c>
      <c r="F1045" s="6">
        <v>1</v>
      </c>
      <c r="G1045" s="6" t="s">
        <v>66</v>
      </c>
      <c r="H1045" s="6">
        <v>2</v>
      </c>
      <c r="I1045" s="6">
        <v>4</v>
      </c>
      <c r="J1045" s="6">
        <v>2</v>
      </c>
      <c r="K1045" s="6" t="s">
        <v>28</v>
      </c>
      <c r="L1045" s="6" t="str">
        <f>VLOOKUP(K1045, 'Alphabetical by species code'!A:B, 2, FALSE)</f>
        <v>Litter</v>
      </c>
    </row>
    <row r="1046" spans="1:12" x14ac:dyDescent="0.25">
      <c r="A1046" s="6">
        <v>12</v>
      </c>
      <c r="B1046" s="6">
        <v>2025</v>
      </c>
      <c r="C1046" s="7">
        <v>45790</v>
      </c>
      <c r="D1046" s="6" t="s">
        <v>92</v>
      </c>
      <c r="E1046" s="6" t="s">
        <v>75</v>
      </c>
      <c r="F1046" s="6">
        <v>1</v>
      </c>
      <c r="G1046" s="6" t="s">
        <v>66</v>
      </c>
      <c r="H1046" s="6">
        <v>2</v>
      </c>
      <c r="I1046" s="6">
        <v>4</v>
      </c>
      <c r="J1046" s="6">
        <v>2</v>
      </c>
      <c r="K1046" s="6" t="s">
        <v>36</v>
      </c>
      <c r="L1046" s="6" t="str">
        <f>VLOOKUP(K1046, 'Alphabetical by species code'!A:B, 2, FALSE)</f>
        <v>Bromus madritensis</v>
      </c>
    </row>
    <row r="1047" spans="1:12" x14ac:dyDescent="0.25">
      <c r="A1047" s="6">
        <v>12</v>
      </c>
      <c r="B1047" s="6">
        <v>2025</v>
      </c>
      <c r="C1047" s="7">
        <v>45790</v>
      </c>
      <c r="D1047" s="6" t="s">
        <v>92</v>
      </c>
      <c r="E1047" s="6" t="s">
        <v>75</v>
      </c>
      <c r="F1047" s="6">
        <v>1</v>
      </c>
      <c r="G1047" s="6" t="s">
        <v>66</v>
      </c>
      <c r="H1047" s="6">
        <v>2</v>
      </c>
      <c r="I1047" s="6">
        <v>5</v>
      </c>
      <c r="J1047" s="6">
        <v>3</v>
      </c>
      <c r="K1047" s="6" t="s">
        <v>38</v>
      </c>
      <c r="L1047" s="6" t="str">
        <f>VLOOKUP(K1047, 'Alphabetical by species code'!A:B, 2, FALSE)</f>
        <v>Thatch</v>
      </c>
    </row>
    <row r="1048" spans="1:12" x14ac:dyDescent="0.25">
      <c r="A1048" s="6">
        <v>12</v>
      </c>
      <c r="B1048" s="6">
        <v>2025</v>
      </c>
      <c r="C1048" s="7">
        <v>45790</v>
      </c>
      <c r="D1048" s="6" t="s">
        <v>92</v>
      </c>
      <c r="E1048" s="6" t="s">
        <v>75</v>
      </c>
      <c r="F1048" s="6">
        <v>1</v>
      </c>
      <c r="G1048" s="6" t="s">
        <v>66</v>
      </c>
      <c r="H1048" s="6">
        <v>2</v>
      </c>
      <c r="I1048" s="6">
        <v>5</v>
      </c>
      <c r="J1048" s="6">
        <v>3</v>
      </c>
      <c r="K1048" s="6" t="s">
        <v>31</v>
      </c>
      <c r="L1048" s="6" t="str">
        <f>VLOOKUP(K1048, 'Alphabetical by species code'!A:B, 2, FALSE)</f>
        <v>Festuca myuros</v>
      </c>
    </row>
    <row r="1049" spans="1:12" x14ac:dyDescent="0.25">
      <c r="A1049" s="6">
        <v>12</v>
      </c>
      <c r="B1049" s="6">
        <v>2025</v>
      </c>
      <c r="C1049" s="7">
        <v>45790</v>
      </c>
      <c r="D1049" s="6" t="s">
        <v>92</v>
      </c>
      <c r="E1049" s="6" t="s">
        <v>75</v>
      </c>
      <c r="F1049" s="6">
        <v>1</v>
      </c>
      <c r="G1049" s="6" t="s">
        <v>66</v>
      </c>
      <c r="H1049" s="6">
        <v>2</v>
      </c>
      <c r="I1049" s="6">
        <v>6</v>
      </c>
      <c r="J1049" s="6">
        <v>3.5</v>
      </c>
      <c r="K1049" s="6" t="s">
        <v>38</v>
      </c>
      <c r="L1049" s="6" t="str">
        <f>VLOOKUP(K1049, 'Alphabetical by species code'!A:B, 2, FALSE)</f>
        <v>Thatch</v>
      </c>
    </row>
    <row r="1050" spans="1:12" x14ac:dyDescent="0.25">
      <c r="A1050" s="6">
        <v>12</v>
      </c>
      <c r="B1050" s="6">
        <v>2025</v>
      </c>
      <c r="C1050" s="7">
        <v>45790</v>
      </c>
      <c r="D1050" s="6" t="s">
        <v>92</v>
      </c>
      <c r="E1050" s="6" t="s">
        <v>75</v>
      </c>
      <c r="F1050" s="6">
        <v>1</v>
      </c>
      <c r="G1050" s="6" t="s">
        <v>66</v>
      </c>
      <c r="H1050" s="6">
        <v>2</v>
      </c>
      <c r="I1050" s="6">
        <v>6</v>
      </c>
      <c r="J1050" s="6">
        <v>3.5</v>
      </c>
      <c r="K1050" s="6" t="s">
        <v>36</v>
      </c>
      <c r="L1050" s="6" t="str">
        <f>VLOOKUP(K1050, 'Alphabetical by species code'!A:B, 2, FALSE)</f>
        <v>Bromus madritensis</v>
      </c>
    </row>
    <row r="1051" spans="1:12" x14ac:dyDescent="0.25">
      <c r="A1051" s="6">
        <v>12</v>
      </c>
      <c r="B1051" s="6">
        <v>2025</v>
      </c>
      <c r="C1051" s="7">
        <v>45790</v>
      </c>
      <c r="D1051" s="6" t="s">
        <v>92</v>
      </c>
      <c r="E1051" s="6" t="s">
        <v>75</v>
      </c>
      <c r="F1051" s="6">
        <v>1</v>
      </c>
      <c r="G1051" s="6" t="s">
        <v>66</v>
      </c>
      <c r="H1051" s="6">
        <v>2</v>
      </c>
      <c r="I1051" s="6">
        <v>7</v>
      </c>
      <c r="J1051" s="6">
        <v>4</v>
      </c>
      <c r="K1051" s="6" t="s">
        <v>28</v>
      </c>
      <c r="L1051" s="6" t="str">
        <f>VLOOKUP(K1051, 'Alphabetical by species code'!A:B, 2, FALSE)</f>
        <v>Litter</v>
      </c>
    </row>
    <row r="1052" spans="1:12" x14ac:dyDescent="0.25">
      <c r="A1052" s="6">
        <v>12</v>
      </c>
      <c r="B1052" s="6">
        <v>2025</v>
      </c>
      <c r="C1052" s="7">
        <v>45790</v>
      </c>
      <c r="D1052" s="6" t="s">
        <v>92</v>
      </c>
      <c r="E1052" s="6" t="s">
        <v>75</v>
      </c>
      <c r="F1052" s="6">
        <v>1</v>
      </c>
      <c r="G1052" s="6" t="s">
        <v>66</v>
      </c>
      <c r="H1052" s="6">
        <v>2</v>
      </c>
      <c r="I1052" s="6">
        <v>7</v>
      </c>
      <c r="J1052" s="6">
        <v>4</v>
      </c>
      <c r="K1052" s="6" t="s">
        <v>35</v>
      </c>
      <c r="L1052" s="6" t="str">
        <f>VLOOKUP(K1052, 'Alphabetical by species code'!A:B, 2, FALSE)</f>
        <v>Deinandra fasciculata</v>
      </c>
    </row>
    <row r="1053" spans="1:12" x14ac:dyDescent="0.25">
      <c r="A1053" s="6">
        <v>12</v>
      </c>
      <c r="B1053" s="6">
        <v>2025</v>
      </c>
      <c r="C1053" s="7">
        <v>45790</v>
      </c>
      <c r="D1053" s="6" t="s">
        <v>92</v>
      </c>
      <c r="E1053" s="6" t="s">
        <v>75</v>
      </c>
      <c r="F1053" s="6">
        <v>1</v>
      </c>
      <c r="G1053" s="6" t="s">
        <v>66</v>
      </c>
      <c r="H1053" s="6">
        <v>2</v>
      </c>
      <c r="I1053" s="6">
        <v>8</v>
      </c>
      <c r="J1053" s="6">
        <v>5</v>
      </c>
      <c r="K1053" s="6" t="s">
        <v>28</v>
      </c>
      <c r="L1053" s="6" t="str">
        <f>VLOOKUP(K1053, 'Alphabetical by species code'!A:B, 2, FALSE)</f>
        <v>Litter</v>
      </c>
    </row>
    <row r="1054" spans="1:12" x14ac:dyDescent="0.25">
      <c r="A1054" s="6">
        <v>12</v>
      </c>
      <c r="B1054" s="6">
        <v>2025</v>
      </c>
      <c r="C1054" s="7">
        <v>45790</v>
      </c>
      <c r="D1054" s="6" t="s">
        <v>92</v>
      </c>
      <c r="E1054" s="6" t="s">
        <v>75</v>
      </c>
      <c r="F1054" s="6">
        <v>1</v>
      </c>
      <c r="G1054" s="6" t="s">
        <v>66</v>
      </c>
      <c r="H1054" s="6">
        <v>2</v>
      </c>
      <c r="I1054" s="6">
        <v>8</v>
      </c>
      <c r="J1054" s="6">
        <v>5</v>
      </c>
      <c r="K1054" s="6" t="s">
        <v>34</v>
      </c>
      <c r="L1054" s="6" t="str">
        <f>VLOOKUP(K1054, 'Alphabetical by species code'!A:B, 2, FALSE)</f>
        <v>Erodium cicutarium</v>
      </c>
    </row>
    <row r="1055" spans="1:12" x14ac:dyDescent="0.25">
      <c r="A1055" s="6">
        <v>12</v>
      </c>
      <c r="B1055" s="6">
        <v>2025</v>
      </c>
      <c r="C1055" s="7">
        <v>45790</v>
      </c>
      <c r="D1055" s="6" t="s">
        <v>92</v>
      </c>
      <c r="E1055" s="6" t="s">
        <v>75</v>
      </c>
      <c r="F1055" s="6">
        <v>1</v>
      </c>
      <c r="G1055" s="6" t="s">
        <v>66</v>
      </c>
      <c r="H1055" s="6">
        <v>2</v>
      </c>
      <c r="I1055" s="6">
        <v>9</v>
      </c>
      <c r="J1055" s="6">
        <v>7</v>
      </c>
      <c r="K1055" s="6" t="s">
        <v>28</v>
      </c>
      <c r="L1055" s="6" t="str">
        <f>VLOOKUP(K1055, 'Alphabetical by species code'!A:B, 2, FALSE)</f>
        <v>Litter</v>
      </c>
    </row>
    <row r="1056" spans="1:12" x14ac:dyDescent="0.25">
      <c r="A1056" s="6">
        <v>12</v>
      </c>
      <c r="B1056" s="6">
        <v>2025</v>
      </c>
      <c r="C1056" s="7">
        <v>45790</v>
      </c>
      <c r="D1056" s="6" t="s">
        <v>92</v>
      </c>
      <c r="E1056" s="6" t="s">
        <v>75</v>
      </c>
      <c r="F1056" s="6">
        <v>1</v>
      </c>
      <c r="G1056" s="6" t="s">
        <v>66</v>
      </c>
      <c r="H1056" s="6">
        <v>2</v>
      </c>
      <c r="I1056" s="6">
        <v>9</v>
      </c>
      <c r="J1056" s="6">
        <v>7</v>
      </c>
      <c r="K1056" s="6" t="s">
        <v>36</v>
      </c>
      <c r="L1056" s="6" t="str">
        <f>VLOOKUP(K1056, 'Alphabetical by species code'!A:B, 2, FALSE)</f>
        <v>Bromus madritensis</v>
      </c>
    </row>
    <row r="1057" spans="1:12" x14ac:dyDescent="0.25">
      <c r="A1057" s="6">
        <v>12</v>
      </c>
      <c r="B1057" s="6">
        <v>2025</v>
      </c>
      <c r="C1057" s="7">
        <v>45790</v>
      </c>
      <c r="D1057" s="6" t="s">
        <v>92</v>
      </c>
      <c r="E1057" s="6" t="s">
        <v>75</v>
      </c>
      <c r="F1057" s="6">
        <v>1</v>
      </c>
      <c r="G1057" s="6" t="s">
        <v>66</v>
      </c>
      <c r="H1057" s="6">
        <v>2</v>
      </c>
      <c r="I1057" s="6">
        <v>9</v>
      </c>
      <c r="J1057" s="6">
        <v>7</v>
      </c>
      <c r="K1057" s="6" t="s">
        <v>31</v>
      </c>
      <c r="L1057" s="6" t="str">
        <f>VLOOKUP(K1057, 'Alphabetical by species code'!A:B, 2, FALSE)</f>
        <v>Festuca myuros</v>
      </c>
    </row>
    <row r="1058" spans="1:12" x14ac:dyDescent="0.25">
      <c r="A1058" s="6">
        <v>12</v>
      </c>
      <c r="B1058" s="6">
        <v>2025</v>
      </c>
      <c r="C1058" s="7">
        <v>45790</v>
      </c>
      <c r="D1058" s="6" t="s">
        <v>92</v>
      </c>
      <c r="E1058" s="6" t="s">
        <v>75</v>
      </c>
      <c r="F1058" s="6">
        <v>1</v>
      </c>
      <c r="G1058" s="6" t="s">
        <v>66</v>
      </c>
      <c r="H1058" s="6">
        <v>2</v>
      </c>
      <c r="I1058" s="6">
        <v>10</v>
      </c>
      <c r="J1058" s="6">
        <v>8</v>
      </c>
      <c r="K1058" s="6" t="s">
        <v>28</v>
      </c>
      <c r="L1058" s="6" t="str">
        <f>VLOOKUP(K1058, 'Alphabetical by species code'!A:B, 2, FALSE)</f>
        <v>Litter</v>
      </c>
    </row>
    <row r="1059" spans="1:12" x14ac:dyDescent="0.25">
      <c r="A1059" s="6">
        <v>12</v>
      </c>
      <c r="B1059" s="6">
        <v>2025</v>
      </c>
      <c r="C1059" s="7">
        <v>45790</v>
      </c>
      <c r="D1059" s="6" t="s">
        <v>92</v>
      </c>
      <c r="E1059" s="6" t="s">
        <v>75</v>
      </c>
      <c r="F1059" s="6">
        <v>1</v>
      </c>
      <c r="G1059" s="6" t="s">
        <v>66</v>
      </c>
      <c r="H1059" s="6">
        <v>2</v>
      </c>
      <c r="I1059" s="6">
        <v>10</v>
      </c>
      <c r="J1059" s="6">
        <v>8</v>
      </c>
      <c r="K1059" s="6" t="s">
        <v>64</v>
      </c>
      <c r="L1059" s="6" t="str">
        <f>VLOOKUP(K1059, 'Alphabetical by species code'!A:B, 2, FALSE)</f>
        <v>Brassica nigra</v>
      </c>
    </row>
    <row r="1060" spans="1:12" x14ac:dyDescent="0.25">
      <c r="A1060" s="6">
        <v>12</v>
      </c>
      <c r="B1060" s="6">
        <v>2025</v>
      </c>
      <c r="C1060" s="7">
        <v>45790</v>
      </c>
      <c r="D1060" s="6" t="s">
        <v>92</v>
      </c>
      <c r="E1060" s="6" t="s">
        <v>75</v>
      </c>
      <c r="F1060" s="6">
        <v>1</v>
      </c>
      <c r="G1060" s="6" t="s">
        <v>66</v>
      </c>
      <c r="H1060" s="6">
        <v>2</v>
      </c>
      <c r="I1060" s="6">
        <v>11</v>
      </c>
      <c r="J1060" s="6">
        <v>8.5</v>
      </c>
      <c r="K1060" s="6" t="s">
        <v>52</v>
      </c>
      <c r="L1060" s="6" t="str">
        <f>VLOOKUP(K1060, 'Alphabetical by species code'!A:B, 2, FALSE)</f>
        <v>Rock</v>
      </c>
    </row>
    <row r="1061" spans="1:12" x14ac:dyDescent="0.25">
      <c r="A1061" s="6">
        <v>12</v>
      </c>
      <c r="B1061" s="6">
        <v>2025</v>
      </c>
      <c r="C1061" s="7">
        <v>45790</v>
      </c>
      <c r="D1061" s="6" t="s">
        <v>92</v>
      </c>
      <c r="E1061" s="6" t="s">
        <v>75</v>
      </c>
      <c r="F1061" s="6">
        <v>1</v>
      </c>
      <c r="G1061" s="6" t="s">
        <v>66</v>
      </c>
      <c r="H1061" s="6">
        <v>2</v>
      </c>
      <c r="I1061" s="6">
        <v>12</v>
      </c>
      <c r="J1061" s="6">
        <v>9</v>
      </c>
      <c r="K1061" s="6" t="s">
        <v>52</v>
      </c>
      <c r="L1061" s="6" t="str">
        <f>VLOOKUP(K1061, 'Alphabetical by species code'!A:B, 2, FALSE)</f>
        <v>Rock</v>
      </c>
    </row>
    <row r="1062" spans="1:12" x14ac:dyDescent="0.25">
      <c r="A1062" s="6">
        <v>12</v>
      </c>
      <c r="B1062" s="6">
        <v>2025</v>
      </c>
      <c r="C1062" s="7">
        <v>45790</v>
      </c>
      <c r="D1062" s="6" t="s">
        <v>92</v>
      </c>
      <c r="E1062" s="6" t="s">
        <v>75</v>
      </c>
      <c r="F1062" s="6">
        <v>1</v>
      </c>
      <c r="G1062" s="6" t="s">
        <v>66</v>
      </c>
      <c r="H1062" s="6">
        <v>2</v>
      </c>
      <c r="I1062" s="6">
        <v>13</v>
      </c>
      <c r="J1062" s="6">
        <v>10</v>
      </c>
      <c r="K1062" s="6" t="s">
        <v>28</v>
      </c>
      <c r="L1062" s="6" t="str">
        <f>VLOOKUP(K1062, 'Alphabetical by species code'!A:B, 2, FALSE)</f>
        <v>Litter</v>
      </c>
    </row>
    <row r="1063" spans="1:12" x14ac:dyDescent="0.25">
      <c r="A1063" s="6">
        <v>12</v>
      </c>
      <c r="B1063" s="6">
        <v>2025</v>
      </c>
      <c r="C1063" s="7">
        <v>45790</v>
      </c>
      <c r="D1063" s="6" t="s">
        <v>92</v>
      </c>
      <c r="E1063" s="6" t="s">
        <v>75</v>
      </c>
      <c r="F1063" s="6">
        <v>1</v>
      </c>
      <c r="G1063" s="6" t="s">
        <v>66</v>
      </c>
      <c r="H1063" s="6">
        <v>2</v>
      </c>
      <c r="I1063" s="6">
        <v>13</v>
      </c>
      <c r="J1063" s="6">
        <v>10</v>
      </c>
      <c r="K1063" s="6" t="s">
        <v>47</v>
      </c>
      <c r="L1063" s="6" t="str">
        <f>VLOOKUP(K1063, 'Alphabetical by species code'!A:B, 2, FALSE)</f>
        <v>Sonchus species</v>
      </c>
    </row>
    <row r="1064" spans="1:12" x14ac:dyDescent="0.25">
      <c r="A1064" s="6">
        <v>12</v>
      </c>
      <c r="B1064" s="6">
        <v>2025</v>
      </c>
      <c r="C1064" s="7">
        <v>45790</v>
      </c>
      <c r="D1064" s="6" t="s">
        <v>92</v>
      </c>
      <c r="E1064" s="6" t="s">
        <v>75</v>
      </c>
      <c r="F1064" s="6">
        <v>1</v>
      </c>
      <c r="G1064" s="6" t="s">
        <v>66</v>
      </c>
      <c r="H1064" s="6">
        <v>2</v>
      </c>
      <c r="I1064" s="6">
        <v>13</v>
      </c>
      <c r="J1064" s="6">
        <v>10</v>
      </c>
      <c r="K1064" s="6" t="s">
        <v>65</v>
      </c>
      <c r="L1064" s="6" t="str">
        <f>VLOOKUP(K1064, 'Alphabetical by species code'!A:B, 2, FALSE)</f>
        <v>Cryptantha intermedia</v>
      </c>
    </row>
    <row r="1065" spans="1:12" x14ac:dyDescent="0.25">
      <c r="A1065" s="6">
        <v>12</v>
      </c>
      <c r="B1065" s="6">
        <v>2025</v>
      </c>
      <c r="C1065" s="7">
        <v>45790</v>
      </c>
      <c r="D1065" s="6" t="s">
        <v>92</v>
      </c>
      <c r="E1065" s="6" t="s">
        <v>75</v>
      </c>
      <c r="F1065" s="6">
        <v>1</v>
      </c>
      <c r="G1065" s="6" t="s">
        <v>66</v>
      </c>
      <c r="H1065" s="6">
        <v>2</v>
      </c>
      <c r="I1065" s="6">
        <v>13</v>
      </c>
      <c r="J1065" s="6">
        <v>10</v>
      </c>
      <c r="K1065" s="6" t="s">
        <v>64</v>
      </c>
      <c r="L1065" s="6" t="str">
        <f>VLOOKUP(K1065, 'Alphabetical by species code'!A:B, 2, FALSE)</f>
        <v>Brassica nigra</v>
      </c>
    </row>
    <row r="1066" spans="1:12" x14ac:dyDescent="0.25">
      <c r="A1066" s="6">
        <v>12</v>
      </c>
      <c r="B1066" s="6">
        <v>2025</v>
      </c>
      <c r="C1066" s="7">
        <v>45790</v>
      </c>
      <c r="D1066" s="6" t="s">
        <v>92</v>
      </c>
      <c r="E1066" s="6" t="s">
        <v>75</v>
      </c>
      <c r="F1066" s="6">
        <v>1</v>
      </c>
      <c r="G1066" s="6" t="s">
        <v>66</v>
      </c>
      <c r="H1066" s="6">
        <v>2</v>
      </c>
      <c r="I1066" s="6">
        <v>14</v>
      </c>
      <c r="J1066" s="6">
        <v>11</v>
      </c>
      <c r="K1066" s="6" t="s">
        <v>28</v>
      </c>
      <c r="L1066" s="6" t="str">
        <f>VLOOKUP(K1066, 'Alphabetical by species code'!A:B, 2, FALSE)</f>
        <v>Litter</v>
      </c>
    </row>
    <row r="1067" spans="1:12" x14ac:dyDescent="0.25">
      <c r="A1067" s="6">
        <v>12</v>
      </c>
      <c r="B1067" s="6">
        <v>2025</v>
      </c>
      <c r="C1067" s="7">
        <v>45790</v>
      </c>
      <c r="D1067" s="6" t="s">
        <v>92</v>
      </c>
      <c r="E1067" s="6" t="s">
        <v>75</v>
      </c>
      <c r="F1067" s="6">
        <v>1</v>
      </c>
      <c r="G1067" s="6" t="s">
        <v>66</v>
      </c>
      <c r="H1067" s="6">
        <v>2</v>
      </c>
      <c r="I1067" s="6">
        <v>14</v>
      </c>
      <c r="J1067" s="6">
        <v>11</v>
      </c>
      <c r="K1067" s="6" t="s">
        <v>35</v>
      </c>
      <c r="L1067" s="6" t="str">
        <f>VLOOKUP(K1067, 'Alphabetical by species code'!A:B, 2, FALSE)</f>
        <v>Deinandra fasciculata</v>
      </c>
    </row>
    <row r="1068" spans="1:12" x14ac:dyDescent="0.25">
      <c r="A1068" s="6">
        <v>12</v>
      </c>
      <c r="B1068" s="6">
        <v>2025</v>
      </c>
      <c r="C1068" s="7">
        <v>45790</v>
      </c>
      <c r="D1068" s="6" t="s">
        <v>92</v>
      </c>
      <c r="E1068" s="6" t="s">
        <v>75</v>
      </c>
      <c r="F1068" s="6">
        <v>1</v>
      </c>
      <c r="G1068" s="6" t="s">
        <v>66</v>
      </c>
      <c r="H1068" s="6">
        <v>2</v>
      </c>
      <c r="I1068" s="6">
        <v>15</v>
      </c>
      <c r="J1068" s="6">
        <v>12</v>
      </c>
      <c r="K1068" s="6" t="s">
        <v>52</v>
      </c>
      <c r="L1068" s="6" t="str">
        <f>VLOOKUP(K1068, 'Alphabetical by species code'!A:B, 2, FALSE)</f>
        <v>Rock</v>
      </c>
    </row>
    <row r="1069" spans="1:12" x14ac:dyDescent="0.25">
      <c r="A1069" s="6">
        <v>12</v>
      </c>
      <c r="B1069" s="6">
        <v>2025</v>
      </c>
      <c r="C1069" s="7">
        <v>45790</v>
      </c>
      <c r="D1069" s="6" t="s">
        <v>92</v>
      </c>
      <c r="E1069" s="6" t="s">
        <v>75</v>
      </c>
      <c r="F1069" s="6">
        <v>1</v>
      </c>
      <c r="G1069" s="6" t="s">
        <v>66</v>
      </c>
      <c r="H1069" s="6">
        <v>2</v>
      </c>
      <c r="I1069" s="6">
        <v>15</v>
      </c>
      <c r="J1069" s="6">
        <v>12</v>
      </c>
      <c r="K1069" s="6" t="s">
        <v>29</v>
      </c>
      <c r="L1069" s="6" t="str">
        <f>VLOOKUP(K1069, 'Alphabetical by species code'!A:B, 2, FALSE)</f>
        <v>Opuntia littoralis</v>
      </c>
    </row>
    <row r="1070" spans="1:12" x14ac:dyDescent="0.25">
      <c r="A1070" s="6">
        <v>13</v>
      </c>
      <c r="B1070" s="6">
        <v>2025</v>
      </c>
      <c r="C1070" s="7">
        <v>45790</v>
      </c>
      <c r="D1070" s="6" t="s">
        <v>83</v>
      </c>
      <c r="E1070" s="6" t="s">
        <v>85</v>
      </c>
      <c r="F1070" s="6">
        <v>3</v>
      </c>
      <c r="G1070" s="6" t="s">
        <v>27</v>
      </c>
      <c r="H1070" s="6">
        <v>1</v>
      </c>
      <c r="I1070" s="6">
        <v>1</v>
      </c>
      <c r="J1070" s="6">
        <v>0</v>
      </c>
      <c r="K1070" s="6" t="s">
        <v>28</v>
      </c>
      <c r="L1070" s="6" t="str">
        <f>VLOOKUP(K1070, 'Alphabetical by species code'!A:B, 2, FALSE)</f>
        <v>Litter</v>
      </c>
    </row>
    <row r="1071" spans="1:12" x14ac:dyDescent="0.25">
      <c r="A1071" s="6">
        <v>13</v>
      </c>
      <c r="B1071" s="6">
        <v>2025</v>
      </c>
      <c r="C1071" s="7">
        <v>45790</v>
      </c>
      <c r="D1071" s="6" t="s">
        <v>83</v>
      </c>
      <c r="E1071" s="6" t="s">
        <v>85</v>
      </c>
      <c r="F1071" s="6">
        <v>3</v>
      </c>
      <c r="G1071" s="6" t="s">
        <v>27</v>
      </c>
      <c r="H1071" s="6">
        <v>1</v>
      </c>
      <c r="I1071" s="6">
        <v>1</v>
      </c>
      <c r="J1071" s="6">
        <v>0</v>
      </c>
      <c r="K1071" s="6" t="s">
        <v>64</v>
      </c>
      <c r="L1071" s="6" t="str">
        <f>VLOOKUP(K1071, 'Alphabetical by species code'!A:B, 2, FALSE)</f>
        <v>Brassica nigra</v>
      </c>
    </row>
    <row r="1072" spans="1:12" x14ac:dyDescent="0.25">
      <c r="A1072" s="6">
        <v>13</v>
      </c>
      <c r="B1072" s="6">
        <v>2025</v>
      </c>
      <c r="C1072" s="7">
        <v>45790</v>
      </c>
      <c r="D1072" s="6" t="s">
        <v>83</v>
      </c>
      <c r="E1072" s="6" t="s">
        <v>85</v>
      </c>
      <c r="F1072" s="6">
        <v>3</v>
      </c>
      <c r="G1072" s="6" t="s">
        <v>27</v>
      </c>
      <c r="H1072" s="6">
        <v>1</v>
      </c>
      <c r="I1072" s="6">
        <v>1</v>
      </c>
      <c r="J1072" s="6">
        <v>0</v>
      </c>
      <c r="K1072" s="6" t="s">
        <v>36</v>
      </c>
      <c r="L1072" s="6" t="str">
        <f>VLOOKUP(K1072, 'Alphabetical by species code'!A:B, 2, FALSE)</f>
        <v>Bromus madritensis</v>
      </c>
    </row>
    <row r="1073" spans="1:12" x14ac:dyDescent="0.25">
      <c r="A1073" s="6">
        <v>13</v>
      </c>
      <c r="B1073" s="6">
        <v>2025</v>
      </c>
      <c r="C1073" s="7">
        <v>45790</v>
      </c>
      <c r="D1073" s="6" t="s">
        <v>83</v>
      </c>
      <c r="E1073" s="6" t="s">
        <v>85</v>
      </c>
      <c r="F1073" s="6">
        <v>3</v>
      </c>
      <c r="G1073" s="6" t="s">
        <v>27</v>
      </c>
      <c r="H1073" s="6">
        <v>1</v>
      </c>
      <c r="I1073" s="6">
        <v>2</v>
      </c>
      <c r="J1073" s="6">
        <v>0.5</v>
      </c>
      <c r="K1073" s="6" t="s">
        <v>28</v>
      </c>
      <c r="L1073" s="6" t="str">
        <f>VLOOKUP(K1073, 'Alphabetical by species code'!A:B, 2, FALSE)</f>
        <v>Litter</v>
      </c>
    </row>
    <row r="1074" spans="1:12" x14ac:dyDescent="0.25">
      <c r="A1074" s="6">
        <v>13</v>
      </c>
      <c r="B1074" s="6">
        <v>2025</v>
      </c>
      <c r="C1074" s="7">
        <v>45790</v>
      </c>
      <c r="D1074" s="6" t="s">
        <v>83</v>
      </c>
      <c r="E1074" s="6" t="s">
        <v>85</v>
      </c>
      <c r="F1074" s="6">
        <v>3</v>
      </c>
      <c r="G1074" s="6" t="s">
        <v>27</v>
      </c>
      <c r="H1074" s="6">
        <v>1</v>
      </c>
      <c r="I1074" s="6">
        <v>2</v>
      </c>
      <c r="J1074" s="6">
        <v>0.5</v>
      </c>
      <c r="K1074" s="6" t="s">
        <v>36</v>
      </c>
      <c r="L1074" s="6" t="str">
        <f>VLOOKUP(K1074, 'Alphabetical by species code'!A:B, 2, FALSE)</f>
        <v>Bromus madritensis</v>
      </c>
    </row>
    <row r="1075" spans="1:12" x14ac:dyDescent="0.25">
      <c r="A1075" s="6">
        <v>13</v>
      </c>
      <c r="B1075" s="6">
        <v>2025</v>
      </c>
      <c r="C1075" s="7">
        <v>45790</v>
      </c>
      <c r="D1075" s="6" t="s">
        <v>83</v>
      </c>
      <c r="E1075" s="6" t="s">
        <v>85</v>
      </c>
      <c r="F1075" s="6">
        <v>3</v>
      </c>
      <c r="G1075" s="6" t="s">
        <v>27</v>
      </c>
      <c r="H1075" s="6">
        <v>1</v>
      </c>
      <c r="I1075" s="6">
        <v>2</v>
      </c>
      <c r="J1075" s="6">
        <v>0.5</v>
      </c>
      <c r="K1075" s="6" t="s">
        <v>29</v>
      </c>
      <c r="L1075" s="6" t="str">
        <f>VLOOKUP(K1075, 'Alphabetical by species code'!A:B, 2, FALSE)</f>
        <v>Opuntia littoralis</v>
      </c>
    </row>
    <row r="1076" spans="1:12" x14ac:dyDescent="0.25">
      <c r="A1076" s="6">
        <v>13</v>
      </c>
      <c r="B1076" s="6">
        <v>2025</v>
      </c>
      <c r="C1076" s="7">
        <v>45790</v>
      </c>
      <c r="D1076" s="6" t="s">
        <v>83</v>
      </c>
      <c r="E1076" s="6" t="s">
        <v>85</v>
      </c>
      <c r="F1076" s="6">
        <v>3</v>
      </c>
      <c r="G1076" s="6" t="s">
        <v>27</v>
      </c>
      <c r="H1076" s="6">
        <v>1</v>
      </c>
      <c r="I1076" s="6">
        <v>3</v>
      </c>
      <c r="J1076" s="6">
        <v>1</v>
      </c>
      <c r="K1076" s="6" t="s">
        <v>28</v>
      </c>
      <c r="L1076" s="6" t="str">
        <f>VLOOKUP(K1076, 'Alphabetical by species code'!A:B, 2, FALSE)</f>
        <v>Litter</v>
      </c>
    </row>
    <row r="1077" spans="1:12" x14ac:dyDescent="0.25">
      <c r="A1077" s="6">
        <v>13</v>
      </c>
      <c r="B1077" s="6">
        <v>2025</v>
      </c>
      <c r="C1077" s="7">
        <v>45790</v>
      </c>
      <c r="D1077" s="6" t="s">
        <v>83</v>
      </c>
      <c r="E1077" s="6" t="s">
        <v>85</v>
      </c>
      <c r="F1077" s="6">
        <v>3</v>
      </c>
      <c r="G1077" s="6" t="s">
        <v>27</v>
      </c>
      <c r="H1077" s="6">
        <v>1</v>
      </c>
      <c r="I1077" s="6">
        <v>3</v>
      </c>
      <c r="J1077" s="6">
        <v>1</v>
      </c>
      <c r="K1077" s="6" t="s">
        <v>64</v>
      </c>
      <c r="L1077" s="6" t="str">
        <f>VLOOKUP(K1077, 'Alphabetical by species code'!A:B, 2, FALSE)</f>
        <v>Brassica nigra</v>
      </c>
    </row>
    <row r="1078" spans="1:12" x14ac:dyDescent="0.25">
      <c r="A1078" s="6">
        <v>13</v>
      </c>
      <c r="B1078" s="6">
        <v>2025</v>
      </c>
      <c r="C1078" s="7">
        <v>45790</v>
      </c>
      <c r="D1078" s="6" t="s">
        <v>83</v>
      </c>
      <c r="E1078" s="6" t="s">
        <v>85</v>
      </c>
      <c r="F1078" s="6">
        <v>3</v>
      </c>
      <c r="G1078" s="6" t="s">
        <v>27</v>
      </c>
      <c r="H1078" s="6">
        <v>1</v>
      </c>
      <c r="I1078" s="6">
        <v>3</v>
      </c>
      <c r="J1078" s="6">
        <v>1</v>
      </c>
      <c r="K1078" s="6" t="s">
        <v>49</v>
      </c>
      <c r="L1078" s="6" t="str">
        <f>VLOOKUP(K1078, 'Alphabetical by species code'!A:B, 2, FALSE)</f>
        <v>Anagallis arvensis</v>
      </c>
    </row>
    <row r="1079" spans="1:12" x14ac:dyDescent="0.25">
      <c r="A1079" s="6">
        <v>13</v>
      </c>
      <c r="B1079" s="6">
        <v>2025</v>
      </c>
      <c r="C1079" s="7">
        <v>45790</v>
      </c>
      <c r="D1079" s="6" t="s">
        <v>83</v>
      </c>
      <c r="E1079" s="6" t="s">
        <v>85</v>
      </c>
      <c r="F1079" s="6">
        <v>3</v>
      </c>
      <c r="G1079" s="6" t="s">
        <v>27</v>
      </c>
      <c r="H1079" s="6">
        <v>1</v>
      </c>
      <c r="I1079" s="6">
        <v>4</v>
      </c>
      <c r="J1079" s="6">
        <v>1.5</v>
      </c>
      <c r="K1079" s="6" t="s">
        <v>28</v>
      </c>
      <c r="L1079" s="6" t="str">
        <f>VLOOKUP(K1079, 'Alphabetical by species code'!A:B, 2, FALSE)</f>
        <v>Litter</v>
      </c>
    </row>
    <row r="1080" spans="1:12" x14ac:dyDescent="0.25">
      <c r="A1080" s="6">
        <v>13</v>
      </c>
      <c r="B1080" s="6">
        <v>2025</v>
      </c>
      <c r="C1080" s="7">
        <v>45790</v>
      </c>
      <c r="D1080" s="6" t="s">
        <v>83</v>
      </c>
      <c r="E1080" s="6" t="s">
        <v>85</v>
      </c>
      <c r="F1080" s="6">
        <v>3</v>
      </c>
      <c r="G1080" s="6" t="s">
        <v>27</v>
      </c>
      <c r="H1080" s="6">
        <v>1</v>
      </c>
      <c r="I1080" s="6">
        <v>4</v>
      </c>
      <c r="J1080" s="6">
        <v>1.5</v>
      </c>
      <c r="K1080" s="6" t="s">
        <v>64</v>
      </c>
      <c r="L1080" s="6" t="str">
        <f>VLOOKUP(K1080, 'Alphabetical by species code'!A:B, 2, FALSE)</f>
        <v>Brassica nigra</v>
      </c>
    </row>
    <row r="1081" spans="1:12" x14ac:dyDescent="0.25">
      <c r="A1081" s="6">
        <v>13</v>
      </c>
      <c r="B1081" s="6">
        <v>2025</v>
      </c>
      <c r="C1081" s="7">
        <v>45790</v>
      </c>
      <c r="D1081" s="6" t="s">
        <v>83</v>
      </c>
      <c r="E1081" s="6" t="s">
        <v>85</v>
      </c>
      <c r="F1081" s="6">
        <v>3</v>
      </c>
      <c r="G1081" s="6" t="s">
        <v>27</v>
      </c>
      <c r="H1081" s="6">
        <v>1</v>
      </c>
      <c r="I1081" s="6">
        <v>4</v>
      </c>
      <c r="J1081" s="6">
        <v>1.5</v>
      </c>
      <c r="K1081" s="6" t="s">
        <v>36</v>
      </c>
      <c r="L1081" s="6" t="str">
        <f>VLOOKUP(K1081, 'Alphabetical by species code'!A:B, 2, FALSE)</f>
        <v>Bromus madritensis</v>
      </c>
    </row>
    <row r="1082" spans="1:12" x14ac:dyDescent="0.25">
      <c r="A1082" s="6">
        <v>13</v>
      </c>
      <c r="B1082" s="6">
        <v>2025</v>
      </c>
      <c r="C1082" s="7">
        <v>45790</v>
      </c>
      <c r="D1082" s="6" t="s">
        <v>83</v>
      </c>
      <c r="E1082" s="6" t="s">
        <v>85</v>
      </c>
      <c r="F1082" s="6">
        <v>3</v>
      </c>
      <c r="G1082" s="6" t="s">
        <v>27</v>
      </c>
      <c r="H1082" s="6">
        <v>1</v>
      </c>
      <c r="I1082" s="6">
        <v>4</v>
      </c>
      <c r="J1082" s="6">
        <v>1.5</v>
      </c>
      <c r="K1082" s="6" t="s">
        <v>31</v>
      </c>
      <c r="L1082" s="6" t="str">
        <f>VLOOKUP(K1082, 'Alphabetical by species code'!A:B, 2, FALSE)</f>
        <v>Festuca myuros</v>
      </c>
    </row>
    <row r="1083" spans="1:12" x14ac:dyDescent="0.25">
      <c r="A1083" s="6">
        <v>13</v>
      </c>
      <c r="B1083" s="6">
        <v>2025</v>
      </c>
      <c r="C1083" s="7">
        <v>45790</v>
      </c>
      <c r="D1083" s="6" t="s">
        <v>83</v>
      </c>
      <c r="E1083" s="6" t="s">
        <v>85</v>
      </c>
      <c r="F1083" s="6">
        <v>3</v>
      </c>
      <c r="G1083" s="6" t="s">
        <v>27</v>
      </c>
      <c r="H1083" s="6">
        <v>1</v>
      </c>
      <c r="I1083" s="6">
        <v>4</v>
      </c>
      <c r="J1083" s="6">
        <v>1.5</v>
      </c>
      <c r="K1083" s="6" t="s">
        <v>49</v>
      </c>
      <c r="L1083" s="6" t="str">
        <f>VLOOKUP(K1083, 'Alphabetical by species code'!A:B, 2, FALSE)</f>
        <v>Anagallis arvensis</v>
      </c>
    </row>
    <row r="1084" spans="1:12" x14ac:dyDescent="0.25">
      <c r="A1084" s="6">
        <v>13</v>
      </c>
      <c r="B1084" s="6">
        <v>2025</v>
      </c>
      <c r="C1084" s="7">
        <v>45790</v>
      </c>
      <c r="D1084" s="6" t="s">
        <v>83</v>
      </c>
      <c r="E1084" s="6" t="s">
        <v>85</v>
      </c>
      <c r="F1084" s="6">
        <v>3</v>
      </c>
      <c r="G1084" s="6" t="s">
        <v>27</v>
      </c>
      <c r="H1084" s="6">
        <v>1</v>
      </c>
      <c r="I1084" s="6">
        <v>5</v>
      </c>
      <c r="J1084" s="6">
        <v>2</v>
      </c>
      <c r="K1084" s="6" t="s">
        <v>28</v>
      </c>
      <c r="L1084" s="6" t="str">
        <f>VLOOKUP(K1084, 'Alphabetical by species code'!A:B, 2, FALSE)</f>
        <v>Litter</v>
      </c>
    </row>
    <row r="1085" spans="1:12" x14ac:dyDescent="0.25">
      <c r="A1085" s="6">
        <v>13</v>
      </c>
      <c r="B1085" s="6">
        <v>2025</v>
      </c>
      <c r="C1085" s="7">
        <v>45790</v>
      </c>
      <c r="D1085" s="6" t="s">
        <v>83</v>
      </c>
      <c r="E1085" s="6" t="s">
        <v>85</v>
      </c>
      <c r="F1085" s="6">
        <v>3</v>
      </c>
      <c r="G1085" s="6" t="s">
        <v>27</v>
      </c>
      <c r="H1085" s="6">
        <v>1</v>
      </c>
      <c r="I1085" s="6">
        <v>5</v>
      </c>
      <c r="J1085" s="6">
        <v>2</v>
      </c>
      <c r="K1085" s="6" t="s">
        <v>36</v>
      </c>
      <c r="L1085" s="6" t="str">
        <f>VLOOKUP(K1085, 'Alphabetical by species code'!A:B, 2, FALSE)</f>
        <v>Bromus madritensis</v>
      </c>
    </row>
    <row r="1086" spans="1:12" x14ac:dyDescent="0.25">
      <c r="A1086" s="6">
        <v>13</v>
      </c>
      <c r="B1086" s="6">
        <v>2025</v>
      </c>
      <c r="C1086" s="7">
        <v>45790</v>
      </c>
      <c r="D1086" s="6" t="s">
        <v>83</v>
      </c>
      <c r="E1086" s="6" t="s">
        <v>85</v>
      </c>
      <c r="F1086" s="6">
        <v>3</v>
      </c>
      <c r="G1086" s="6" t="s">
        <v>27</v>
      </c>
      <c r="H1086" s="6">
        <v>1</v>
      </c>
      <c r="I1086" s="6">
        <v>5</v>
      </c>
      <c r="J1086" s="6">
        <v>2</v>
      </c>
      <c r="K1086" s="6" t="s">
        <v>31</v>
      </c>
      <c r="L1086" s="6" t="str">
        <f>VLOOKUP(K1086, 'Alphabetical by species code'!A:B, 2, FALSE)</f>
        <v>Festuca myuros</v>
      </c>
    </row>
    <row r="1087" spans="1:12" x14ac:dyDescent="0.25">
      <c r="A1087" s="6">
        <v>13</v>
      </c>
      <c r="B1087" s="6">
        <v>2025</v>
      </c>
      <c r="C1087" s="7">
        <v>45790</v>
      </c>
      <c r="D1087" s="6" t="s">
        <v>83</v>
      </c>
      <c r="E1087" s="6" t="s">
        <v>85</v>
      </c>
      <c r="F1087" s="6">
        <v>3</v>
      </c>
      <c r="G1087" s="6" t="s">
        <v>27</v>
      </c>
      <c r="H1087" s="6">
        <v>1</v>
      </c>
      <c r="I1087" s="6">
        <v>5</v>
      </c>
      <c r="J1087" s="6">
        <v>2</v>
      </c>
      <c r="K1087" s="6" t="s">
        <v>49</v>
      </c>
      <c r="L1087" s="6" t="str">
        <f>VLOOKUP(K1087, 'Alphabetical by species code'!A:B, 2, FALSE)</f>
        <v>Anagallis arvensis</v>
      </c>
    </row>
    <row r="1088" spans="1:12" x14ac:dyDescent="0.25">
      <c r="A1088" s="6">
        <v>13</v>
      </c>
      <c r="B1088" s="6">
        <v>2025</v>
      </c>
      <c r="C1088" s="7">
        <v>45790</v>
      </c>
      <c r="D1088" s="6" t="s">
        <v>83</v>
      </c>
      <c r="E1088" s="6" t="s">
        <v>85</v>
      </c>
      <c r="F1088" s="6">
        <v>3</v>
      </c>
      <c r="G1088" s="6" t="s">
        <v>27</v>
      </c>
      <c r="H1088" s="6">
        <v>1</v>
      </c>
      <c r="I1088" s="6">
        <v>6</v>
      </c>
      <c r="J1088" s="6">
        <v>2.5</v>
      </c>
      <c r="K1088" s="6" t="s">
        <v>28</v>
      </c>
      <c r="L1088" s="6" t="str">
        <f>VLOOKUP(K1088, 'Alphabetical by species code'!A:B, 2, FALSE)</f>
        <v>Litter</v>
      </c>
    </row>
    <row r="1089" spans="1:12" x14ac:dyDescent="0.25">
      <c r="A1089" s="6">
        <v>13</v>
      </c>
      <c r="B1089" s="6">
        <v>2025</v>
      </c>
      <c r="C1089" s="7">
        <v>45790</v>
      </c>
      <c r="D1089" s="6" t="s">
        <v>83</v>
      </c>
      <c r="E1089" s="6" t="s">
        <v>85</v>
      </c>
      <c r="F1089" s="6">
        <v>3</v>
      </c>
      <c r="G1089" s="6" t="s">
        <v>27</v>
      </c>
      <c r="H1089" s="6">
        <v>1</v>
      </c>
      <c r="I1089" s="6">
        <v>6</v>
      </c>
      <c r="J1089" s="6">
        <v>2.5</v>
      </c>
      <c r="K1089" s="6" t="s">
        <v>31</v>
      </c>
      <c r="L1089" s="6" t="str">
        <f>VLOOKUP(K1089, 'Alphabetical by species code'!A:B, 2, FALSE)</f>
        <v>Festuca myuros</v>
      </c>
    </row>
    <row r="1090" spans="1:12" x14ac:dyDescent="0.25">
      <c r="A1090" s="6">
        <v>13</v>
      </c>
      <c r="B1090" s="6">
        <v>2025</v>
      </c>
      <c r="C1090" s="7">
        <v>45790</v>
      </c>
      <c r="D1090" s="6" t="s">
        <v>83</v>
      </c>
      <c r="E1090" s="6" t="s">
        <v>85</v>
      </c>
      <c r="F1090" s="6">
        <v>3</v>
      </c>
      <c r="G1090" s="6" t="s">
        <v>27</v>
      </c>
      <c r="H1090" s="6">
        <v>1</v>
      </c>
      <c r="I1090" s="6">
        <v>6</v>
      </c>
      <c r="J1090" s="6">
        <v>2.5</v>
      </c>
      <c r="K1090" s="6" t="s">
        <v>64</v>
      </c>
      <c r="L1090" s="6" t="str">
        <f>VLOOKUP(K1090, 'Alphabetical by species code'!A:B, 2, FALSE)</f>
        <v>Brassica nigra</v>
      </c>
    </row>
    <row r="1091" spans="1:12" x14ac:dyDescent="0.25">
      <c r="A1091" s="6">
        <v>13</v>
      </c>
      <c r="B1091" s="6">
        <v>2025</v>
      </c>
      <c r="C1091" s="7">
        <v>45790</v>
      </c>
      <c r="D1091" s="6" t="s">
        <v>83</v>
      </c>
      <c r="E1091" s="6" t="s">
        <v>85</v>
      </c>
      <c r="F1091" s="6">
        <v>3</v>
      </c>
      <c r="G1091" s="6" t="s">
        <v>27</v>
      </c>
      <c r="H1091" s="6">
        <v>1</v>
      </c>
      <c r="I1091" s="6">
        <v>6</v>
      </c>
      <c r="J1091" s="6">
        <v>2.5</v>
      </c>
      <c r="K1091" s="6" t="s">
        <v>36</v>
      </c>
      <c r="L1091" s="6" t="str">
        <f>VLOOKUP(K1091, 'Alphabetical by species code'!A:B, 2, FALSE)</f>
        <v>Bromus madritensis</v>
      </c>
    </row>
    <row r="1092" spans="1:12" x14ac:dyDescent="0.25">
      <c r="A1092" s="6">
        <v>13</v>
      </c>
      <c r="B1092" s="6">
        <v>2025</v>
      </c>
      <c r="C1092" s="7">
        <v>45790</v>
      </c>
      <c r="D1092" s="6" t="s">
        <v>83</v>
      </c>
      <c r="E1092" s="6" t="s">
        <v>85</v>
      </c>
      <c r="F1092" s="6">
        <v>3</v>
      </c>
      <c r="G1092" s="6" t="s">
        <v>27</v>
      </c>
      <c r="H1092" s="6">
        <v>1</v>
      </c>
      <c r="I1092" s="6">
        <v>7</v>
      </c>
      <c r="J1092" s="6">
        <v>3</v>
      </c>
      <c r="K1092" s="6" t="s">
        <v>28</v>
      </c>
      <c r="L1092" s="6" t="str">
        <f>VLOOKUP(K1092, 'Alphabetical by species code'!A:B, 2, FALSE)</f>
        <v>Litter</v>
      </c>
    </row>
    <row r="1093" spans="1:12" x14ac:dyDescent="0.25">
      <c r="A1093" s="6">
        <v>13</v>
      </c>
      <c r="B1093" s="6">
        <v>2025</v>
      </c>
      <c r="C1093" s="7">
        <v>45790</v>
      </c>
      <c r="D1093" s="6" t="s">
        <v>83</v>
      </c>
      <c r="E1093" s="6" t="s">
        <v>85</v>
      </c>
      <c r="F1093" s="6">
        <v>3</v>
      </c>
      <c r="G1093" s="6" t="s">
        <v>27</v>
      </c>
      <c r="H1093" s="6">
        <v>1</v>
      </c>
      <c r="I1093" s="6">
        <v>7</v>
      </c>
      <c r="J1093" s="6">
        <v>3</v>
      </c>
      <c r="K1093" s="6" t="s">
        <v>36</v>
      </c>
      <c r="L1093" s="6" t="str">
        <f>VLOOKUP(K1093, 'Alphabetical by species code'!A:B, 2, FALSE)</f>
        <v>Bromus madritensis</v>
      </c>
    </row>
    <row r="1094" spans="1:12" x14ac:dyDescent="0.25">
      <c r="A1094" s="6">
        <v>13</v>
      </c>
      <c r="B1094" s="6">
        <v>2025</v>
      </c>
      <c r="C1094" s="7">
        <v>45790</v>
      </c>
      <c r="D1094" s="6" t="s">
        <v>83</v>
      </c>
      <c r="E1094" s="6" t="s">
        <v>85</v>
      </c>
      <c r="F1094" s="6">
        <v>3</v>
      </c>
      <c r="G1094" s="6" t="s">
        <v>27</v>
      </c>
      <c r="H1094" s="6">
        <v>1</v>
      </c>
      <c r="I1094" s="6">
        <v>7</v>
      </c>
      <c r="J1094" s="6">
        <v>3</v>
      </c>
      <c r="K1094" s="6" t="s">
        <v>31</v>
      </c>
      <c r="L1094" s="6" t="str">
        <f>VLOOKUP(K1094, 'Alphabetical by species code'!A:B, 2, FALSE)</f>
        <v>Festuca myuros</v>
      </c>
    </row>
    <row r="1095" spans="1:12" x14ac:dyDescent="0.25">
      <c r="A1095" s="6">
        <v>13</v>
      </c>
      <c r="B1095" s="6">
        <v>2025</v>
      </c>
      <c r="C1095" s="7">
        <v>45790</v>
      </c>
      <c r="D1095" s="6" t="s">
        <v>83</v>
      </c>
      <c r="E1095" s="6" t="s">
        <v>85</v>
      </c>
      <c r="F1095" s="6">
        <v>3</v>
      </c>
      <c r="G1095" s="6" t="s">
        <v>27</v>
      </c>
      <c r="H1095" s="6">
        <v>1</v>
      </c>
      <c r="I1095" s="6">
        <v>8</v>
      </c>
      <c r="J1095" s="6">
        <v>3.5</v>
      </c>
      <c r="K1095" s="6" t="s">
        <v>28</v>
      </c>
      <c r="L1095" s="6" t="str">
        <f>VLOOKUP(K1095, 'Alphabetical by species code'!A:B, 2, FALSE)</f>
        <v>Litter</v>
      </c>
    </row>
    <row r="1096" spans="1:12" x14ac:dyDescent="0.25">
      <c r="A1096" s="6">
        <v>13</v>
      </c>
      <c r="B1096" s="6">
        <v>2025</v>
      </c>
      <c r="C1096" s="7">
        <v>45790</v>
      </c>
      <c r="D1096" s="6" t="s">
        <v>83</v>
      </c>
      <c r="E1096" s="6" t="s">
        <v>85</v>
      </c>
      <c r="F1096" s="6">
        <v>3</v>
      </c>
      <c r="G1096" s="6" t="s">
        <v>27</v>
      </c>
      <c r="H1096" s="6">
        <v>1</v>
      </c>
      <c r="I1096" s="6">
        <v>8</v>
      </c>
      <c r="J1096" s="6">
        <v>3.5</v>
      </c>
      <c r="K1096" s="6" t="s">
        <v>36</v>
      </c>
      <c r="L1096" s="6" t="str">
        <f>VLOOKUP(K1096, 'Alphabetical by species code'!A:B, 2, FALSE)</f>
        <v>Bromus madritensis</v>
      </c>
    </row>
    <row r="1097" spans="1:12" x14ac:dyDescent="0.25">
      <c r="A1097" s="6">
        <v>13</v>
      </c>
      <c r="B1097" s="6">
        <v>2025</v>
      </c>
      <c r="C1097" s="7">
        <v>45790</v>
      </c>
      <c r="D1097" s="6" t="s">
        <v>83</v>
      </c>
      <c r="E1097" s="6" t="s">
        <v>85</v>
      </c>
      <c r="F1097" s="6">
        <v>3</v>
      </c>
      <c r="G1097" s="6" t="s">
        <v>27</v>
      </c>
      <c r="H1097" s="6">
        <v>1</v>
      </c>
      <c r="I1097" s="6">
        <v>8</v>
      </c>
      <c r="J1097" s="6">
        <v>3.5</v>
      </c>
      <c r="K1097" s="6" t="s">
        <v>35</v>
      </c>
      <c r="L1097" s="6" t="str">
        <f>VLOOKUP(K1097, 'Alphabetical by species code'!A:B, 2, FALSE)</f>
        <v>Deinandra fasciculata</v>
      </c>
    </row>
    <row r="1098" spans="1:12" x14ac:dyDescent="0.25">
      <c r="A1098" s="6">
        <v>13</v>
      </c>
      <c r="B1098" s="6">
        <v>2025</v>
      </c>
      <c r="C1098" s="7">
        <v>45790</v>
      </c>
      <c r="D1098" s="6" t="s">
        <v>83</v>
      </c>
      <c r="E1098" s="6" t="s">
        <v>85</v>
      </c>
      <c r="F1098" s="6">
        <v>3</v>
      </c>
      <c r="G1098" s="6" t="s">
        <v>27</v>
      </c>
      <c r="H1098" s="6">
        <v>1</v>
      </c>
      <c r="I1098" s="6">
        <v>8</v>
      </c>
      <c r="J1098" s="6">
        <v>3.5</v>
      </c>
      <c r="K1098" s="6" t="s">
        <v>49</v>
      </c>
      <c r="L1098" s="6" t="str">
        <f>VLOOKUP(K1098, 'Alphabetical by species code'!A:B, 2, FALSE)</f>
        <v>Anagallis arvensis</v>
      </c>
    </row>
    <row r="1099" spans="1:12" x14ac:dyDescent="0.25">
      <c r="A1099" s="6">
        <v>13</v>
      </c>
      <c r="B1099" s="6">
        <v>2025</v>
      </c>
      <c r="C1099" s="7">
        <v>45790</v>
      </c>
      <c r="D1099" s="6" t="s">
        <v>83</v>
      </c>
      <c r="E1099" s="6" t="s">
        <v>85</v>
      </c>
      <c r="F1099" s="6">
        <v>3</v>
      </c>
      <c r="G1099" s="6" t="s">
        <v>27</v>
      </c>
      <c r="H1099" s="6">
        <v>1</v>
      </c>
      <c r="I1099" s="6">
        <v>9</v>
      </c>
      <c r="J1099" s="6">
        <v>4</v>
      </c>
      <c r="K1099" s="6" t="s">
        <v>28</v>
      </c>
      <c r="L1099" s="6" t="str">
        <f>VLOOKUP(K1099, 'Alphabetical by species code'!A:B, 2, FALSE)</f>
        <v>Litter</v>
      </c>
    </row>
    <row r="1100" spans="1:12" x14ac:dyDescent="0.25">
      <c r="A1100" s="6">
        <v>13</v>
      </c>
      <c r="B1100" s="6">
        <v>2025</v>
      </c>
      <c r="C1100" s="7">
        <v>45790</v>
      </c>
      <c r="D1100" s="6" t="s">
        <v>83</v>
      </c>
      <c r="E1100" s="6" t="s">
        <v>85</v>
      </c>
      <c r="F1100" s="6">
        <v>3</v>
      </c>
      <c r="G1100" s="6" t="s">
        <v>27</v>
      </c>
      <c r="H1100" s="6">
        <v>1</v>
      </c>
      <c r="I1100" s="6">
        <v>9</v>
      </c>
      <c r="J1100" s="6">
        <v>4</v>
      </c>
      <c r="K1100" s="6" t="s">
        <v>35</v>
      </c>
      <c r="L1100" s="6" t="str">
        <f>VLOOKUP(K1100, 'Alphabetical by species code'!A:B, 2, FALSE)</f>
        <v>Deinandra fasciculata</v>
      </c>
    </row>
    <row r="1101" spans="1:12" x14ac:dyDescent="0.25">
      <c r="A1101" s="6">
        <v>13</v>
      </c>
      <c r="B1101" s="6">
        <v>2025</v>
      </c>
      <c r="C1101" s="7">
        <v>45790</v>
      </c>
      <c r="D1101" s="6" t="s">
        <v>83</v>
      </c>
      <c r="E1101" s="6" t="s">
        <v>85</v>
      </c>
      <c r="F1101" s="6">
        <v>3</v>
      </c>
      <c r="G1101" s="6" t="s">
        <v>27</v>
      </c>
      <c r="H1101" s="6">
        <v>1</v>
      </c>
      <c r="I1101" s="6">
        <v>9</v>
      </c>
      <c r="J1101" s="6">
        <v>4</v>
      </c>
      <c r="K1101" s="6" t="s">
        <v>31</v>
      </c>
      <c r="L1101" s="6" t="str">
        <f>VLOOKUP(K1101, 'Alphabetical by species code'!A:B, 2, FALSE)</f>
        <v>Festuca myuros</v>
      </c>
    </row>
    <row r="1102" spans="1:12" x14ac:dyDescent="0.25">
      <c r="A1102" s="6">
        <v>13</v>
      </c>
      <c r="B1102" s="6">
        <v>2025</v>
      </c>
      <c r="C1102" s="7">
        <v>45790</v>
      </c>
      <c r="D1102" s="6" t="s">
        <v>83</v>
      </c>
      <c r="E1102" s="6" t="s">
        <v>85</v>
      </c>
      <c r="F1102" s="6">
        <v>3</v>
      </c>
      <c r="G1102" s="6" t="s">
        <v>27</v>
      </c>
      <c r="H1102" s="6">
        <v>1</v>
      </c>
      <c r="I1102" s="6">
        <v>10</v>
      </c>
      <c r="J1102" s="6">
        <v>4.5</v>
      </c>
      <c r="K1102" s="6" t="s">
        <v>28</v>
      </c>
      <c r="L1102" s="6" t="str">
        <f>VLOOKUP(K1102, 'Alphabetical by species code'!A:B, 2, FALSE)</f>
        <v>Litter</v>
      </c>
    </row>
    <row r="1103" spans="1:12" x14ac:dyDescent="0.25">
      <c r="A1103" s="6">
        <v>13</v>
      </c>
      <c r="B1103" s="6">
        <v>2025</v>
      </c>
      <c r="C1103" s="7">
        <v>45790</v>
      </c>
      <c r="D1103" s="6" t="s">
        <v>83</v>
      </c>
      <c r="E1103" s="6" t="s">
        <v>85</v>
      </c>
      <c r="F1103" s="6">
        <v>3</v>
      </c>
      <c r="G1103" s="6" t="s">
        <v>27</v>
      </c>
      <c r="H1103" s="6">
        <v>1</v>
      </c>
      <c r="I1103" s="6">
        <v>10</v>
      </c>
      <c r="J1103" s="6">
        <v>4.5</v>
      </c>
      <c r="K1103" s="6" t="s">
        <v>31</v>
      </c>
      <c r="L1103" s="6" t="str">
        <f>VLOOKUP(K1103, 'Alphabetical by species code'!A:B, 2, FALSE)</f>
        <v>Festuca myuros</v>
      </c>
    </row>
    <row r="1104" spans="1:12" x14ac:dyDescent="0.25">
      <c r="A1104" s="6">
        <v>13</v>
      </c>
      <c r="B1104" s="6">
        <v>2025</v>
      </c>
      <c r="C1104" s="7">
        <v>45790</v>
      </c>
      <c r="D1104" s="6" t="s">
        <v>83</v>
      </c>
      <c r="E1104" s="6" t="s">
        <v>85</v>
      </c>
      <c r="F1104" s="6">
        <v>3</v>
      </c>
      <c r="G1104" s="6" t="s">
        <v>27</v>
      </c>
      <c r="H1104" s="6">
        <v>1</v>
      </c>
      <c r="I1104" s="6">
        <v>10</v>
      </c>
      <c r="J1104" s="6">
        <v>4.5</v>
      </c>
      <c r="K1104" s="6" t="s">
        <v>36</v>
      </c>
      <c r="L1104" s="6" t="str">
        <f>VLOOKUP(K1104, 'Alphabetical by species code'!A:B, 2, FALSE)</f>
        <v>Bromus madritensis</v>
      </c>
    </row>
    <row r="1105" spans="1:12" x14ac:dyDescent="0.25">
      <c r="A1105" s="6">
        <v>13</v>
      </c>
      <c r="B1105" s="6">
        <v>2025</v>
      </c>
      <c r="C1105" s="7">
        <v>45790</v>
      </c>
      <c r="D1105" s="6" t="s">
        <v>83</v>
      </c>
      <c r="E1105" s="6" t="s">
        <v>85</v>
      </c>
      <c r="F1105" s="6">
        <v>3</v>
      </c>
      <c r="G1105" s="6" t="s">
        <v>27</v>
      </c>
      <c r="H1105" s="6">
        <v>1</v>
      </c>
      <c r="I1105" s="6">
        <v>11</v>
      </c>
      <c r="J1105" s="6">
        <v>5</v>
      </c>
      <c r="K1105" s="6" t="s">
        <v>51</v>
      </c>
      <c r="L1105" s="6" t="str">
        <f>VLOOKUP(K1105, 'Alphabetical by species code'!A:B, 2, FALSE)</f>
        <v>Bareground</v>
      </c>
    </row>
    <row r="1106" spans="1:12" x14ac:dyDescent="0.25">
      <c r="A1106" s="6">
        <v>13</v>
      </c>
      <c r="B1106" s="6">
        <v>2025</v>
      </c>
      <c r="C1106" s="7">
        <v>45790</v>
      </c>
      <c r="D1106" s="6" t="s">
        <v>83</v>
      </c>
      <c r="E1106" s="6" t="s">
        <v>85</v>
      </c>
      <c r="F1106" s="6">
        <v>3</v>
      </c>
      <c r="G1106" s="6" t="s">
        <v>27</v>
      </c>
      <c r="H1106" s="6">
        <v>1</v>
      </c>
      <c r="I1106" s="6">
        <v>11</v>
      </c>
      <c r="J1106" s="6">
        <v>5</v>
      </c>
      <c r="K1106" s="6" t="s">
        <v>35</v>
      </c>
      <c r="L1106" s="6" t="str">
        <f>VLOOKUP(K1106, 'Alphabetical by species code'!A:B, 2, FALSE)</f>
        <v>Deinandra fasciculata</v>
      </c>
    </row>
    <row r="1107" spans="1:12" x14ac:dyDescent="0.25">
      <c r="A1107" s="6">
        <v>13</v>
      </c>
      <c r="B1107" s="6">
        <v>2025</v>
      </c>
      <c r="C1107" s="7">
        <v>45790</v>
      </c>
      <c r="D1107" s="6" t="s">
        <v>83</v>
      </c>
      <c r="E1107" s="6" t="s">
        <v>85</v>
      </c>
      <c r="F1107" s="6">
        <v>3</v>
      </c>
      <c r="G1107" s="6" t="s">
        <v>27</v>
      </c>
      <c r="H1107" s="6">
        <v>1</v>
      </c>
      <c r="I1107" s="6">
        <v>11</v>
      </c>
      <c r="J1107" s="6">
        <v>5</v>
      </c>
      <c r="K1107" s="6" t="s">
        <v>31</v>
      </c>
      <c r="L1107" s="6" t="str">
        <f>VLOOKUP(K1107, 'Alphabetical by species code'!A:B, 2, FALSE)</f>
        <v>Festuca myuros</v>
      </c>
    </row>
    <row r="1108" spans="1:12" x14ac:dyDescent="0.25">
      <c r="A1108" s="6">
        <v>13</v>
      </c>
      <c r="B1108" s="6">
        <v>2025</v>
      </c>
      <c r="C1108" s="7">
        <v>45790</v>
      </c>
      <c r="D1108" s="6" t="s">
        <v>83</v>
      </c>
      <c r="E1108" s="6" t="s">
        <v>85</v>
      </c>
      <c r="F1108" s="6">
        <v>3</v>
      </c>
      <c r="G1108" s="6" t="s">
        <v>27</v>
      </c>
      <c r="H1108" s="6">
        <v>1</v>
      </c>
      <c r="I1108" s="6">
        <v>12</v>
      </c>
      <c r="J1108" s="6">
        <v>5.5</v>
      </c>
      <c r="K1108" s="6" t="s">
        <v>51</v>
      </c>
      <c r="L1108" s="6" t="str">
        <f>VLOOKUP(K1108, 'Alphabetical by species code'!A:B, 2, FALSE)</f>
        <v>Bareground</v>
      </c>
    </row>
    <row r="1109" spans="1:12" x14ac:dyDescent="0.25">
      <c r="A1109" s="6">
        <v>13</v>
      </c>
      <c r="B1109" s="6">
        <v>2025</v>
      </c>
      <c r="C1109" s="7">
        <v>45790</v>
      </c>
      <c r="D1109" s="6" t="s">
        <v>83</v>
      </c>
      <c r="E1109" s="6" t="s">
        <v>85</v>
      </c>
      <c r="F1109" s="6">
        <v>3</v>
      </c>
      <c r="G1109" s="6" t="s">
        <v>27</v>
      </c>
      <c r="H1109" s="6">
        <v>1</v>
      </c>
      <c r="I1109" s="6">
        <v>12</v>
      </c>
      <c r="J1109" s="6">
        <v>5.5</v>
      </c>
      <c r="K1109" s="6" t="s">
        <v>31</v>
      </c>
      <c r="L1109" s="6" t="str">
        <f>VLOOKUP(K1109, 'Alphabetical by species code'!A:B, 2, FALSE)</f>
        <v>Festuca myuros</v>
      </c>
    </row>
    <row r="1110" spans="1:12" x14ac:dyDescent="0.25">
      <c r="A1110" s="6">
        <v>13</v>
      </c>
      <c r="B1110" s="6">
        <v>2025</v>
      </c>
      <c r="C1110" s="7">
        <v>45790</v>
      </c>
      <c r="D1110" s="6" t="s">
        <v>83</v>
      </c>
      <c r="E1110" s="6" t="s">
        <v>85</v>
      </c>
      <c r="F1110" s="6">
        <v>3</v>
      </c>
      <c r="G1110" s="6" t="s">
        <v>27</v>
      </c>
      <c r="H1110" s="6">
        <v>1</v>
      </c>
      <c r="I1110" s="6">
        <v>13</v>
      </c>
      <c r="J1110" s="6">
        <v>6.5</v>
      </c>
      <c r="K1110" s="6" t="s">
        <v>28</v>
      </c>
      <c r="L1110" s="6" t="str">
        <f>VLOOKUP(K1110, 'Alphabetical by species code'!A:B, 2, FALSE)</f>
        <v>Litter</v>
      </c>
    </row>
    <row r="1111" spans="1:12" x14ac:dyDescent="0.25">
      <c r="A1111" s="6">
        <v>13</v>
      </c>
      <c r="B1111" s="6">
        <v>2025</v>
      </c>
      <c r="C1111" s="7">
        <v>45790</v>
      </c>
      <c r="D1111" s="6" t="s">
        <v>83</v>
      </c>
      <c r="E1111" s="6" t="s">
        <v>85</v>
      </c>
      <c r="F1111" s="6">
        <v>3</v>
      </c>
      <c r="G1111" s="6" t="s">
        <v>27</v>
      </c>
      <c r="H1111" s="6">
        <v>1</v>
      </c>
      <c r="I1111" s="6">
        <v>13</v>
      </c>
      <c r="J1111" s="6">
        <v>6.5</v>
      </c>
      <c r="K1111" s="6" t="s">
        <v>31</v>
      </c>
      <c r="L1111" s="6" t="str">
        <f>VLOOKUP(K1111, 'Alphabetical by species code'!A:B, 2, FALSE)</f>
        <v>Festuca myuros</v>
      </c>
    </row>
    <row r="1112" spans="1:12" x14ac:dyDescent="0.25">
      <c r="A1112" s="6">
        <v>13</v>
      </c>
      <c r="B1112" s="6">
        <v>2025</v>
      </c>
      <c r="C1112" s="7">
        <v>45790</v>
      </c>
      <c r="D1112" s="6" t="s">
        <v>83</v>
      </c>
      <c r="E1112" s="6" t="s">
        <v>85</v>
      </c>
      <c r="F1112" s="6">
        <v>3</v>
      </c>
      <c r="G1112" s="6" t="s">
        <v>27</v>
      </c>
      <c r="H1112" s="6">
        <v>1</v>
      </c>
      <c r="I1112" s="6">
        <v>14</v>
      </c>
      <c r="J1112" s="6">
        <v>7</v>
      </c>
      <c r="K1112" s="6" t="s">
        <v>28</v>
      </c>
      <c r="L1112" s="6" t="str">
        <f>VLOOKUP(K1112, 'Alphabetical by species code'!A:B, 2, FALSE)</f>
        <v>Litter</v>
      </c>
    </row>
    <row r="1113" spans="1:12" x14ac:dyDescent="0.25">
      <c r="A1113" s="6">
        <v>13</v>
      </c>
      <c r="B1113" s="6">
        <v>2025</v>
      </c>
      <c r="C1113" s="7">
        <v>45790</v>
      </c>
      <c r="D1113" s="6" t="s">
        <v>83</v>
      </c>
      <c r="E1113" s="6" t="s">
        <v>85</v>
      </c>
      <c r="F1113" s="6">
        <v>3</v>
      </c>
      <c r="G1113" s="6" t="s">
        <v>27</v>
      </c>
      <c r="H1113" s="6">
        <v>1</v>
      </c>
      <c r="I1113" s="6">
        <v>14</v>
      </c>
      <c r="J1113" s="6">
        <v>7</v>
      </c>
      <c r="K1113" s="6" t="s">
        <v>35</v>
      </c>
      <c r="L1113" s="6" t="str">
        <f>VLOOKUP(K1113, 'Alphabetical by species code'!A:B, 2, FALSE)</f>
        <v>Deinandra fasciculata</v>
      </c>
    </row>
    <row r="1114" spans="1:12" x14ac:dyDescent="0.25">
      <c r="A1114" s="6">
        <v>13</v>
      </c>
      <c r="B1114" s="6">
        <v>2025</v>
      </c>
      <c r="C1114" s="7">
        <v>45790</v>
      </c>
      <c r="D1114" s="6" t="s">
        <v>83</v>
      </c>
      <c r="E1114" s="6" t="s">
        <v>85</v>
      </c>
      <c r="F1114" s="6">
        <v>3</v>
      </c>
      <c r="G1114" s="6" t="s">
        <v>27</v>
      </c>
      <c r="H1114" s="6">
        <v>1</v>
      </c>
      <c r="I1114" s="6">
        <v>14</v>
      </c>
      <c r="J1114" s="6">
        <v>7</v>
      </c>
      <c r="K1114" s="6" t="s">
        <v>31</v>
      </c>
      <c r="L1114" s="6" t="str">
        <f>VLOOKUP(K1114, 'Alphabetical by species code'!A:B, 2, FALSE)</f>
        <v>Festuca myuros</v>
      </c>
    </row>
    <row r="1115" spans="1:12" x14ac:dyDescent="0.25">
      <c r="A1115" s="6">
        <v>13</v>
      </c>
      <c r="B1115" s="6">
        <v>2025</v>
      </c>
      <c r="C1115" s="7">
        <v>45790</v>
      </c>
      <c r="D1115" s="6" t="s">
        <v>83</v>
      </c>
      <c r="E1115" s="6" t="s">
        <v>85</v>
      </c>
      <c r="F1115" s="6">
        <v>3</v>
      </c>
      <c r="G1115" s="6" t="s">
        <v>27</v>
      </c>
      <c r="H1115" s="6">
        <v>1</v>
      </c>
      <c r="I1115" s="6">
        <v>15</v>
      </c>
      <c r="J1115" s="6">
        <v>7.5</v>
      </c>
      <c r="K1115" s="6" t="s">
        <v>28</v>
      </c>
      <c r="L1115" s="6" t="str">
        <f>VLOOKUP(K1115, 'Alphabetical by species code'!A:B, 2, FALSE)</f>
        <v>Litter</v>
      </c>
    </row>
    <row r="1116" spans="1:12" x14ac:dyDescent="0.25">
      <c r="A1116" s="6">
        <v>13</v>
      </c>
      <c r="B1116" s="6">
        <v>2025</v>
      </c>
      <c r="C1116" s="7">
        <v>45790</v>
      </c>
      <c r="D1116" s="6" t="s">
        <v>83</v>
      </c>
      <c r="E1116" s="6" t="s">
        <v>85</v>
      </c>
      <c r="F1116" s="6">
        <v>3</v>
      </c>
      <c r="G1116" s="6" t="s">
        <v>27</v>
      </c>
      <c r="H1116" s="6">
        <v>1</v>
      </c>
      <c r="I1116" s="6">
        <v>15</v>
      </c>
      <c r="J1116" s="6">
        <v>7.5</v>
      </c>
      <c r="K1116" s="6" t="s">
        <v>36</v>
      </c>
      <c r="L1116" s="6" t="str">
        <f>VLOOKUP(K1116, 'Alphabetical by species code'!A:B, 2, FALSE)</f>
        <v>Bromus madritensis</v>
      </c>
    </row>
    <row r="1117" spans="1:12" x14ac:dyDescent="0.25">
      <c r="A1117" s="6">
        <v>13</v>
      </c>
      <c r="B1117" s="6">
        <v>2025</v>
      </c>
      <c r="C1117" s="7">
        <v>45790</v>
      </c>
      <c r="D1117" s="6" t="s">
        <v>83</v>
      </c>
      <c r="E1117" s="6" t="s">
        <v>85</v>
      </c>
      <c r="F1117" s="6">
        <v>3</v>
      </c>
      <c r="G1117" s="6" t="s">
        <v>27</v>
      </c>
      <c r="H1117" s="6">
        <v>2</v>
      </c>
      <c r="I1117" s="6">
        <v>1</v>
      </c>
      <c r="J1117" s="6">
        <v>0</v>
      </c>
      <c r="K1117" s="6" t="s">
        <v>38</v>
      </c>
      <c r="L1117" s="6" t="str">
        <f>VLOOKUP(K1117, 'Alphabetical by species code'!A:B, 2, FALSE)</f>
        <v>Thatch</v>
      </c>
    </row>
    <row r="1118" spans="1:12" x14ac:dyDescent="0.25">
      <c r="A1118" s="6">
        <v>13</v>
      </c>
      <c r="B1118" s="6">
        <v>2025</v>
      </c>
      <c r="C1118" s="7">
        <v>45790</v>
      </c>
      <c r="D1118" s="6" t="s">
        <v>83</v>
      </c>
      <c r="E1118" s="6" t="s">
        <v>85</v>
      </c>
      <c r="F1118" s="6">
        <v>3</v>
      </c>
      <c r="G1118" s="6" t="s">
        <v>27</v>
      </c>
      <c r="H1118" s="6">
        <v>2</v>
      </c>
      <c r="I1118" s="6">
        <v>1</v>
      </c>
      <c r="J1118" s="6">
        <v>0</v>
      </c>
      <c r="K1118" s="6" t="s">
        <v>36</v>
      </c>
      <c r="L1118" s="6" t="str">
        <f>VLOOKUP(K1118, 'Alphabetical by species code'!A:B, 2, FALSE)</f>
        <v>Bromus madritensis</v>
      </c>
    </row>
    <row r="1119" spans="1:12" x14ac:dyDescent="0.25">
      <c r="A1119" s="6">
        <v>13</v>
      </c>
      <c r="B1119" s="6">
        <v>2025</v>
      </c>
      <c r="C1119" s="7">
        <v>45790</v>
      </c>
      <c r="D1119" s="6" t="s">
        <v>83</v>
      </c>
      <c r="E1119" s="6" t="s">
        <v>85</v>
      </c>
      <c r="F1119" s="6">
        <v>3</v>
      </c>
      <c r="G1119" s="6" t="s">
        <v>27</v>
      </c>
      <c r="H1119" s="6">
        <v>2</v>
      </c>
      <c r="I1119" s="6">
        <v>2</v>
      </c>
      <c r="J1119" s="6">
        <v>0.5</v>
      </c>
      <c r="K1119" s="6" t="s">
        <v>28</v>
      </c>
      <c r="L1119" s="6" t="str">
        <f>VLOOKUP(K1119, 'Alphabetical by species code'!A:B, 2, FALSE)</f>
        <v>Litter</v>
      </c>
    </row>
    <row r="1120" spans="1:12" x14ac:dyDescent="0.25">
      <c r="A1120" s="6">
        <v>13</v>
      </c>
      <c r="B1120" s="6">
        <v>2025</v>
      </c>
      <c r="C1120" s="7">
        <v>45790</v>
      </c>
      <c r="D1120" s="6" t="s">
        <v>83</v>
      </c>
      <c r="E1120" s="6" t="s">
        <v>85</v>
      </c>
      <c r="F1120" s="6">
        <v>3</v>
      </c>
      <c r="G1120" s="6" t="s">
        <v>27</v>
      </c>
      <c r="H1120" s="6">
        <v>2</v>
      </c>
      <c r="I1120" s="6">
        <v>2</v>
      </c>
      <c r="J1120" s="6">
        <v>0.5</v>
      </c>
      <c r="K1120" s="6" t="s">
        <v>31</v>
      </c>
      <c r="L1120" s="6" t="str">
        <f>VLOOKUP(K1120, 'Alphabetical by species code'!A:B, 2, FALSE)</f>
        <v>Festuca myuros</v>
      </c>
    </row>
    <row r="1121" spans="1:12" x14ac:dyDescent="0.25">
      <c r="A1121" s="6">
        <v>13</v>
      </c>
      <c r="B1121" s="6">
        <v>2025</v>
      </c>
      <c r="C1121" s="7">
        <v>45790</v>
      </c>
      <c r="D1121" s="6" t="s">
        <v>83</v>
      </c>
      <c r="E1121" s="6" t="s">
        <v>85</v>
      </c>
      <c r="F1121" s="6">
        <v>3</v>
      </c>
      <c r="G1121" s="6" t="s">
        <v>27</v>
      </c>
      <c r="H1121" s="6">
        <v>2</v>
      </c>
      <c r="I1121" s="6">
        <v>2</v>
      </c>
      <c r="J1121" s="6">
        <v>0.5</v>
      </c>
      <c r="K1121" s="6" t="s">
        <v>36</v>
      </c>
      <c r="L1121" s="6" t="str">
        <f>VLOOKUP(K1121, 'Alphabetical by species code'!A:B, 2, FALSE)</f>
        <v>Bromus madritensis</v>
      </c>
    </row>
    <row r="1122" spans="1:12" x14ac:dyDescent="0.25">
      <c r="A1122" s="6">
        <v>13</v>
      </c>
      <c r="B1122" s="6">
        <v>2025</v>
      </c>
      <c r="C1122" s="7">
        <v>45790</v>
      </c>
      <c r="D1122" s="6" t="s">
        <v>83</v>
      </c>
      <c r="E1122" s="6" t="s">
        <v>85</v>
      </c>
      <c r="F1122" s="6">
        <v>3</v>
      </c>
      <c r="G1122" s="6" t="s">
        <v>27</v>
      </c>
      <c r="H1122" s="6">
        <v>2</v>
      </c>
      <c r="I1122" s="6">
        <v>3</v>
      </c>
      <c r="J1122" s="6">
        <v>1</v>
      </c>
      <c r="K1122" s="6" t="s">
        <v>38</v>
      </c>
      <c r="L1122" s="6" t="str">
        <f>VLOOKUP(K1122, 'Alphabetical by species code'!A:B, 2, FALSE)</f>
        <v>Thatch</v>
      </c>
    </row>
    <row r="1123" spans="1:12" x14ac:dyDescent="0.25">
      <c r="A1123" s="6">
        <v>13</v>
      </c>
      <c r="B1123" s="6">
        <v>2025</v>
      </c>
      <c r="C1123" s="7">
        <v>45790</v>
      </c>
      <c r="D1123" s="6" t="s">
        <v>83</v>
      </c>
      <c r="E1123" s="6" t="s">
        <v>85</v>
      </c>
      <c r="F1123" s="6">
        <v>3</v>
      </c>
      <c r="G1123" s="6" t="s">
        <v>27</v>
      </c>
      <c r="H1123" s="6">
        <v>2</v>
      </c>
      <c r="I1123" s="6">
        <v>3</v>
      </c>
      <c r="J1123" s="6">
        <v>1</v>
      </c>
      <c r="K1123" s="6" t="s">
        <v>36</v>
      </c>
      <c r="L1123" s="6" t="str">
        <f>VLOOKUP(K1123, 'Alphabetical by species code'!A:B, 2, FALSE)</f>
        <v>Bromus madritensis</v>
      </c>
    </row>
    <row r="1124" spans="1:12" x14ac:dyDescent="0.25">
      <c r="A1124" s="6">
        <v>13</v>
      </c>
      <c r="B1124" s="6">
        <v>2025</v>
      </c>
      <c r="C1124" s="7">
        <v>45790</v>
      </c>
      <c r="D1124" s="6" t="s">
        <v>83</v>
      </c>
      <c r="E1124" s="6" t="s">
        <v>85</v>
      </c>
      <c r="F1124" s="6">
        <v>3</v>
      </c>
      <c r="G1124" s="6" t="s">
        <v>27</v>
      </c>
      <c r="H1124" s="6">
        <v>2</v>
      </c>
      <c r="I1124" s="6">
        <v>3</v>
      </c>
      <c r="J1124" s="6">
        <v>1</v>
      </c>
      <c r="K1124" s="6" t="s">
        <v>31</v>
      </c>
      <c r="L1124" s="6" t="str">
        <f>VLOOKUP(K1124, 'Alphabetical by species code'!A:B, 2, FALSE)</f>
        <v>Festuca myuros</v>
      </c>
    </row>
    <row r="1125" spans="1:12" x14ac:dyDescent="0.25">
      <c r="A1125" s="6">
        <v>13</v>
      </c>
      <c r="B1125" s="6">
        <v>2025</v>
      </c>
      <c r="C1125" s="7">
        <v>45790</v>
      </c>
      <c r="D1125" s="6" t="s">
        <v>83</v>
      </c>
      <c r="E1125" s="6" t="s">
        <v>85</v>
      </c>
      <c r="F1125" s="6">
        <v>3</v>
      </c>
      <c r="G1125" s="6" t="s">
        <v>27</v>
      </c>
      <c r="H1125" s="6">
        <v>2</v>
      </c>
      <c r="I1125" s="6">
        <v>4</v>
      </c>
      <c r="J1125" s="6">
        <v>1.5</v>
      </c>
      <c r="K1125" s="6" t="s">
        <v>28</v>
      </c>
      <c r="L1125" s="6" t="str">
        <f>VLOOKUP(K1125, 'Alphabetical by species code'!A:B, 2, FALSE)</f>
        <v>Litter</v>
      </c>
    </row>
    <row r="1126" spans="1:12" x14ac:dyDescent="0.25">
      <c r="A1126" s="6">
        <v>13</v>
      </c>
      <c r="B1126" s="6">
        <v>2025</v>
      </c>
      <c r="C1126" s="7">
        <v>45790</v>
      </c>
      <c r="D1126" s="6" t="s">
        <v>83</v>
      </c>
      <c r="E1126" s="6" t="s">
        <v>85</v>
      </c>
      <c r="F1126" s="6">
        <v>3</v>
      </c>
      <c r="G1126" s="6" t="s">
        <v>27</v>
      </c>
      <c r="H1126" s="6">
        <v>2</v>
      </c>
      <c r="I1126" s="6">
        <v>4</v>
      </c>
      <c r="J1126" s="6">
        <v>1.5</v>
      </c>
      <c r="K1126" s="6" t="s">
        <v>36</v>
      </c>
      <c r="L1126" s="6" t="str">
        <f>VLOOKUP(K1126, 'Alphabetical by species code'!A:B, 2, FALSE)</f>
        <v>Bromus madritensis</v>
      </c>
    </row>
    <row r="1127" spans="1:12" x14ac:dyDescent="0.25">
      <c r="A1127" s="6">
        <v>13</v>
      </c>
      <c r="B1127" s="6">
        <v>2025</v>
      </c>
      <c r="C1127" s="7">
        <v>45790</v>
      </c>
      <c r="D1127" s="6" t="s">
        <v>83</v>
      </c>
      <c r="E1127" s="6" t="s">
        <v>85</v>
      </c>
      <c r="F1127" s="6">
        <v>3</v>
      </c>
      <c r="G1127" s="6" t="s">
        <v>27</v>
      </c>
      <c r="H1127" s="6">
        <v>2</v>
      </c>
      <c r="I1127" s="6">
        <v>4</v>
      </c>
      <c r="J1127" s="6">
        <v>1.5</v>
      </c>
      <c r="K1127" s="6" t="s">
        <v>43</v>
      </c>
      <c r="L1127" s="6" t="str">
        <f>VLOOKUP(K1127, 'Alphabetical by species code'!A:B, 2, FALSE)</f>
        <v>Uropappus lindleyi</v>
      </c>
    </row>
    <row r="1128" spans="1:12" x14ac:dyDescent="0.25">
      <c r="A1128" s="6">
        <v>13</v>
      </c>
      <c r="B1128" s="6">
        <v>2025</v>
      </c>
      <c r="C1128" s="7">
        <v>45790</v>
      </c>
      <c r="D1128" s="6" t="s">
        <v>83</v>
      </c>
      <c r="E1128" s="6" t="s">
        <v>85</v>
      </c>
      <c r="F1128" s="6">
        <v>3</v>
      </c>
      <c r="G1128" s="6" t="s">
        <v>27</v>
      </c>
      <c r="H1128" s="6">
        <v>2</v>
      </c>
      <c r="I1128" s="6">
        <v>5</v>
      </c>
      <c r="J1128" s="6">
        <v>2.5</v>
      </c>
      <c r="K1128" s="6" t="s">
        <v>28</v>
      </c>
      <c r="L1128" s="6" t="str">
        <f>VLOOKUP(K1128, 'Alphabetical by species code'!A:B, 2, FALSE)</f>
        <v>Litter</v>
      </c>
    </row>
    <row r="1129" spans="1:12" x14ac:dyDescent="0.25">
      <c r="A1129" s="6">
        <v>13</v>
      </c>
      <c r="B1129" s="6">
        <v>2025</v>
      </c>
      <c r="C1129" s="7">
        <v>45790</v>
      </c>
      <c r="D1129" s="6" t="s">
        <v>83</v>
      </c>
      <c r="E1129" s="6" t="s">
        <v>85</v>
      </c>
      <c r="F1129" s="6">
        <v>3</v>
      </c>
      <c r="G1129" s="6" t="s">
        <v>27</v>
      </c>
      <c r="H1129" s="6">
        <v>2</v>
      </c>
      <c r="I1129" s="6">
        <v>5</v>
      </c>
      <c r="J1129" s="6">
        <v>2.5</v>
      </c>
      <c r="K1129" s="6" t="s">
        <v>31</v>
      </c>
      <c r="L1129" s="6" t="str">
        <f>VLOOKUP(K1129, 'Alphabetical by species code'!A:B, 2, FALSE)</f>
        <v>Festuca myuros</v>
      </c>
    </row>
    <row r="1130" spans="1:12" x14ac:dyDescent="0.25">
      <c r="A1130" s="6">
        <v>13</v>
      </c>
      <c r="B1130" s="6">
        <v>2025</v>
      </c>
      <c r="C1130" s="7">
        <v>45790</v>
      </c>
      <c r="D1130" s="6" t="s">
        <v>83</v>
      </c>
      <c r="E1130" s="6" t="s">
        <v>85</v>
      </c>
      <c r="F1130" s="6">
        <v>3</v>
      </c>
      <c r="G1130" s="6" t="s">
        <v>27</v>
      </c>
      <c r="H1130" s="6">
        <v>2</v>
      </c>
      <c r="I1130" s="6">
        <v>6</v>
      </c>
      <c r="J1130" s="6">
        <v>3</v>
      </c>
      <c r="K1130" s="6" t="s">
        <v>28</v>
      </c>
      <c r="L1130" s="6" t="str">
        <f>VLOOKUP(K1130, 'Alphabetical by species code'!A:B, 2, FALSE)</f>
        <v>Litter</v>
      </c>
    </row>
    <row r="1131" spans="1:12" x14ac:dyDescent="0.25">
      <c r="A1131" s="6">
        <v>13</v>
      </c>
      <c r="B1131" s="6">
        <v>2025</v>
      </c>
      <c r="C1131" s="7">
        <v>45790</v>
      </c>
      <c r="D1131" s="6" t="s">
        <v>83</v>
      </c>
      <c r="E1131" s="6" t="s">
        <v>85</v>
      </c>
      <c r="F1131" s="6">
        <v>3</v>
      </c>
      <c r="G1131" s="6" t="s">
        <v>27</v>
      </c>
      <c r="H1131" s="6">
        <v>2</v>
      </c>
      <c r="I1131" s="6">
        <v>6</v>
      </c>
      <c r="J1131" s="6">
        <v>3</v>
      </c>
      <c r="K1131" s="6" t="s">
        <v>36</v>
      </c>
      <c r="L1131" s="6" t="str">
        <f>VLOOKUP(K1131, 'Alphabetical by species code'!A:B, 2, FALSE)</f>
        <v>Bromus madritensis</v>
      </c>
    </row>
    <row r="1132" spans="1:12" x14ac:dyDescent="0.25">
      <c r="A1132" s="6">
        <v>13</v>
      </c>
      <c r="B1132" s="6">
        <v>2025</v>
      </c>
      <c r="C1132" s="7">
        <v>45790</v>
      </c>
      <c r="D1132" s="6" t="s">
        <v>83</v>
      </c>
      <c r="E1132" s="6" t="s">
        <v>85</v>
      </c>
      <c r="F1132" s="6">
        <v>3</v>
      </c>
      <c r="G1132" s="6" t="s">
        <v>27</v>
      </c>
      <c r="H1132" s="6">
        <v>2</v>
      </c>
      <c r="I1132" s="6">
        <v>7</v>
      </c>
      <c r="J1132" s="6">
        <v>3.5</v>
      </c>
      <c r="K1132" s="6" t="s">
        <v>28</v>
      </c>
      <c r="L1132" s="6" t="str">
        <f>VLOOKUP(K1132, 'Alphabetical by species code'!A:B, 2, FALSE)</f>
        <v>Litter</v>
      </c>
    </row>
    <row r="1133" spans="1:12" x14ac:dyDescent="0.25">
      <c r="A1133" s="6">
        <v>13</v>
      </c>
      <c r="B1133" s="6">
        <v>2025</v>
      </c>
      <c r="C1133" s="7">
        <v>45790</v>
      </c>
      <c r="D1133" s="6" t="s">
        <v>83</v>
      </c>
      <c r="E1133" s="6" t="s">
        <v>85</v>
      </c>
      <c r="F1133" s="6">
        <v>3</v>
      </c>
      <c r="G1133" s="6" t="s">
        <v>27</v>
      </c>
      <c r="H1133" s="6">
        <v>2</v>
      </c>
      <c r="I1133" s="6">
        <v>7</v>
      </c>
      <c r="J1133" s="6">
        <v>3.5</v>
      </c>
      <c r="K1133" s="6" t="s">
        <v>35</v>
      </c>
      <c r="L1133" s="6" t="str">
        <f>VLOOKUP(K1133, 'Alphabetical by species code'!A:B, 2, FALSE)</f>
        <v>Deinandra fasciculata</v>
      </c>
    </row>
    <row r="1134" spans="1:12" x14ac:dyDescent="0.25">
      <c r="A1134" s="6">
        <v>13</v>
      </c>
      <c r="B1134" s="6">
        <v>2025</v>
      </c>
      <c r="C1134" s="7">
        <v>45790</v>
      </c>
      <c r="D1134" s="6" t="s">
        <v>83</v>
      </c>
      <c r="E1134" s="6" t="s">
        <v>85</v>
      </c>
      <c r="F1134" s="6">
        <v>3</v>
      </c>
      <c r="G1134" s="6" t="s">
        <v>27</v>
      </c>
      <c r="H1134" s="6">
        <v>2</v>
      </c>
      <c r="I1134" s="6">
        <v>7</v>
      </c>
      <c r="J1134" s="6">
        <v>3.5</v>
      </c>
      <c r="K1134" s="6" t="s">
        <v>36</v>
      </c>
      <c r="L1134" s="6" t="str">
        <f>VLOOKUP(K1134, 'Alphabetical by species code'!A:B, 2, FALSE)</f>
        <v>Bromus madritensis</v>
      </c>
    </row>
    <row r="1135" spans="1:12" x14ac:dyDescent="0.25">
      <c r="A1135" s="6">
        <v>13</v>
      </c>
      <c r="B1135" s="6">
        <v>2025</v>
      </c>
      <c r="C1135" s="7">
        <v>45790</v>
      </c>
      <c r="D1135" s="6" t="s">
        <v>83</v>
      </c>
      <c r="E1135" s="6" t="s">
        <v>85</v>
      </c>
      <c r="F1135" s="6">
        <v>3</v>
      </c>
      <c r="G1135" s="6" t="s">
        <v>27</v>
      </c>
      <c r="H1135" s="6">
        <v>2</v>
      </c>
      <c r="I1135" s="6">
        <v>7</v>
      </c>
      <c r="J1135" s="6">
        <v>3.5</v>
      </c>
      <c r="K1135" s="6" t="s">
        <v>31</v>
      </c>
      <c r="L1135" s="6" t="str">
        <f>VLOOKUP(K1135, 'Alphabetical by species code'!A:B, 2, FALSE)</f>
        <v>Festuca myuros</v>
      </c>
    </row>
    <row r="1136" spans="1:12" x14ac:dyDescent="0.25">
      <c r="A1136" s="6">
        <v>13</v>
      </c>
      <c r="B1136" s="6">
        <v>2025</v>
      </c>
      <c r="C1136" s="7">
        <v>45790</v>
      </c>
      <c r="D1136" s="6" t="s">
        <v>83</v>
      </c>
      <c r="E1136" s="6" t="s">
        <v>85</v>
      </c>
      <c r="F1136" s="6">
        <v>3</v>
      </c>
      <c r="G1136" s="6" t="s">
        <v>27</v>
      </c>
      <c r="H1136" s="6">
        <v>2</v>
      </c>
      <c r="I1136" s="6">
        <v>8</v>
      </c>
      <c r="J1136" s="6">
        <v>4</v>
      </c>
      <c r="K1136" s="6" t="s">
        <v>28</v>
      </c>
      <c r="L1136" s="6" t="str">
        <f>VLOOKUP(K1136, 'Alphabetical by species code'!A:B, 2, FALSE)</f>
        <v>Litter</v>
      </c>
    </row>
    <row r="1137" spans="1:12" x14ac:dyDescent="0.25">
      <c r="A1137" s="6">
        <v>13</v>
      </c>
      <c r="B1137" s="6">
        <v>2025</v>
      </c>
      <c r="C1137" s="7">
        <v>45790</v>
      </c>
      <c r="D1137" s="6" t="s">
        <v>83</v>
      </c>
      <c r="E1137" s="6" t="s">
        <v>85</v>
      </c>
      <c r="F1137" s="6">
        <v>3</v>
      </c>
      <c r="G1137" s="6" t="s">
        <v>27</v>
      </c>
      <c r="H1137" s="6">
        <v>2</v>
      </c>
      <c r="I1137" s="6">
        <v>8</v>
      </c>
      <c r="J1137" s="6">
        <v>4</v>
      </c>
      <c r="K1137" s="6" t="s">
        <v>31</v>
      </c>
      <c r="L1137" s="6" t="str">
        <f>VLOOKUP(K1137, 'Alphabetical by species code'!A:B, 2, FALSE)</f>
        <v>Festuca myuros</v>
      </c>
    </row>
    <row r="1138" spans="1:12" x14ac:dyDescent="0.25">
      <c r="A1138" s="6">
        <v>13</v>
      </c>
      <c r="B1138" s="6">
        <v>2025</v>
      </c>
      <c r="C1138" s="7">
        <v>45790</v>
      </c>
      <c r="D1138" s="6" t="s">
        <v>83</v>
      </c>
      <c r="E1138" s="6" t="s">
        <v>85</v>
      </c>
      <c r="F1138" s="6">
        <v>3</v>
      </c>
      <c r="G1138" s="6" t="s">
        <v>27</v>
      </c>
      <c r="H1138" s="6">
        <v>2</v>
      </c>
      <c r="I1138" s="6">
        <v>9</v>
      </c>
      <c r="J1138" s="6">
        <v>4.5</v>
      </c>
      <c r="K1138" s="6" t="s">
        <v>28</v>
      </c>
      <c r="L1138" s="6" t="str">
        <f>VLOOKUP(K1138, 'Alphabetical by species code'!A:B, 2, FALSE)</f>
        <v>Litter</v>
      </c>
    </row>
    <row r="1139" spans="1:12" x14ac:dyDescent="0.25">
      <c r="A1139" s="6">
        <v>13</v>
      </c>
      <c r="B1139" s="6">
        <v>2025</v>
      </c>
      <c r="C1139" s="7">
        <v>45790</v>
      </c>
      <c r="D1139" s="6" t="s">
        <v>83</v>
      </c>
      <c r="E1139" s="6" t="s">
        <v>85</v>
      </c>
      <c r="F1139" s="6">
        <v>3</v>
      </c>
      <c r="G1139" s="6" t="s">
        <v>27</v>
      </c>
      <c r="H1139" s="6">
        <v>2</v>
      </c>
      <c r="I1139" s="6">
        <v>9</v>
      </c>
      <c r="J1139" s="6">
        <v>4.5</v>
      </c>
      <c r="K1139" s="6" t="s">
        <v>31</v>
      </c>
      <c r="L1139" s="6" t="str">
        <f>VLOOKUP(K1139, 'Alphabetical by species code'!A:B, 2, FALSE)</f>
        <v>Festuca myuros</v>
      </c>
    </row>
    <row r="1140" spans="1:12" x14ac:dyDescent="0.25">
      <c r="A1140" s="6">
        <v>13</v>
      </c>
      <c r="B1140" s="6">
        <v>2025</v>
      </c>
      <c r="C1140" s="7">
        <v>45790</v>
      </c>
      <c r="D1140" s="6" t="s">
        <v>83</v>
      </c>
      <c r="E1140" s="6" t="s">
        <v>85</v>
      </c>
      <c r="F1140" s="6">
        <v>3</v>
      </c>
      <c r="G1140" s="6" t="s">
        <v>27</v>
      </c>
      <c r="H1140" s="6">
        <v>2</v>
      </c>
      <c r="I1140" s="6">
        <v>10</v>
      </c>
      <c r="J1140" s="6">
        <v>5</v>
      </c>
      <c r="K1140" s="6" t="s">
        <v>28</v>
      </c>
      <c r="L1140" s="6" t="str">
        <f>VLOOKUP(K1140, 'Alphabetical by species code'!A:B, 2, FALSE)</f>
        <v>Litter</v>
      </c>
    </row>
    <row r="1141" spans="1:12" x14ac:dyDescent="0.25">
      <c r="A1141" s="6">
        <v>13</v>
      </c>
      <c r="B1141" s="6">
        <v>2025</v>
      </c>
      <c r="C1141" s="7">
        <v>45790</v>
      </c>
      <c r="D1141" s="6" t="s">
        <v>83</v>
      </c>
      <c r="E1141" s="6" t="s">
        <v>85</v>
      </c>
      <c r="F1141" s="6">
        <v>3</v>
      </c>
      <c r="G1141" s="6" t="s">
        <v>27</v>
      </c>
      <c r="H1141" s="6">
        <v>2</v>
      </c>
      <c r="I1141" s="6">
        <v>10</v>
      </c>
      <c r="J1141" s="6">
        <v>5</v>
      </c>
      <c r="K1141" s="6" t="s">
        <v>36</v>
      </c>
      <c r="L1141" s="6" t="str">
        <f>VLOOKUP(K1141, 'Alphabetical by species code'!A:B, 2, FALSE)</f>
        <v>Bromus madritensis</v>
      </c>
    </row>
    <row r="1142" spans="1:12" x14ac:dyDescent="0.25">
      <c r="A1142" s="6">
        <v>13</v>
      </c>
      <c r="B1142" s="6">
        <v>2025</v>
      </c>
      <c r="C1142" s="7">
        <v>45790</v>
      </c>
      <c r="D1142" s="6" t="s">
        <v>83</v>
      </c>
      <c r="E1142" s="6" t="s">
        <v>85</v>
      </c>
      <c r="F1142" s="6">
        <v>3</v>
      </c>
      <c r="G1142" s="6" t="s">
        <v>27</v>
      </c>
      <c r="H1142" s="6">
        <v>2</v>
      </c>
      <c r="I1142" s="6">
        <v>11</v>
      </c>
      <c r="J1142" s="6">
        <v>5.5</v>
      </c>
      <c r="K1142" s="6" t="s">
        <v>28</v>
      </c>
      <c r="L1142" s="6" t="str">
        <f>VLOOKUP(K1142, 'Alphabetical by species code'!A:B, 2, FALSE)</f>
        <v>Litter</v>
      </c>
    </row>
    <row r="1143" spans="1:12" x14ac:dyDescent="0.25">
      <c r="A1143" s="6">
        <v>13</v>
      </c>
      <c r="B1143" s="6">
        <v>2025</v>
      </c>
      <c r="C1143" s="7">
        <v>45790</v>
      </c>
      <c r="D1143" s="6" t="s">
        <v>83</v>
      </c>
      <c r="E1143" s="6" t="s">
        <v>85</v>
      </c>
      <c r="F1143" s="6">
        <v>3</v>
      </c>
      <c r="G1143" s="6" t="s">
        <v>27</v>
      </c>
      <c r="H1143" s="6">
        <v>2</v>
      </c>
      <c r="I1143" s="6">
        <v>11</v>
      </c>
      <c r="J1143" s="6">
        <v>5.5</v>
      </c>
      <c r="K1143" s="6" t="s">
        <v>31</v>
      </c>
      <c r="L1143" s="6" t="str">
        <f>VLOOKUP(K1143, 'Alphabetical by species code'!A:B, 2, FALSE)</f>
        <v>Festuca myuros</v>
      </c>
    </row>
    <row r="1144" spans="1:12" x14ac:dyDescent="0.25">
      <c r="A1144" s="6">
        <v>13</v>
      </c>
      <c r="B1144" s="6">
        <v>2025</v>
      </c>
      <c r="C1144" s="7">
        <v>45790</v>
      </c>
      <c r="D1144" s="6" t="s">
        <v>83</v>
      </c>
      <c r="E1144" s="6" t="s">
        <v>85</v>
      </c>
      <c r="F1144" s="6">
        <v>3</v>
      </c>
      <c r="G1144" s="6" t="s">
        <v>27</v>
      </c>
      <c r="H1144" s="6">
        <v>2</v>
      </c>
      <c r="I1144" s="6">
        <v>11</v>
      </c>
      <c r="J1144" s="6">
        <v>5.5</v>
      </c>
      <c r="K1144" s="6" t="s">
        <v>57</v>
      </c>
      <c r="L1144" s="6" t="str">
        <f>VLOOKUP(K1144, 'Alphabetical by species code'!A:B, 2, FALSE)</f>
        <v>Stipa pulchra</v>
      </c>
    </row>
    <row r="1145" spans="1:12" x14ac:dyDescent="0.25">
      <c r="A1145" s="6">
        <v>13</v>
      </c>
      <c r="B1145" s="6">
        <v>2025</v>
      </c>
      <c r="C1145" s="7">
        <v>45790</v>
      </c>
      <c r="D1145" s="6" t="s">
        <v>83</v>
      </c>
      <c r="E1145" s="6" t="s">
        <v>85</v>
      </c>
      <c r="F1145" s="6">
        <v>3</v>
      </c>
      <c r="G1145" s="6" t="s">
        <v>27</v>
      </c>
      <c r="H1145" s="6">
        <v>2</v>
      </c>
      <c r="I1145" s="6">
        <v>12</v>
      </c>
      <c r="J1145" s="6">
        <v>6</v>
      </c>
      <c r="K1145" s="6" t="s">
        <v>38</v>
      </c>
      <c r="L1145" s="6" t="str">
        <f>VLOOKUP(K1145, 'Alphabetical by species code'!A:B, 2, FALSE)</f>
        <v>Thatch</v>
      </c>
    </row>
    <row r="1146" spans="1:12" x14ac:dyDescent="0.25">
      <c r="A1146" s="6">
        <v>13</v>
      </c>
      <c r="B1146" s="6">
        <v>2025</v>
      </c>
      <c r="C1146" s="7">
        <v>45790</v>
      </c>
      <c r="D1146" s="6" t="s">
        <v>83</v>
      </c>
      <c r="E1146" s="6" t="s">
        <v>85</v>
      </c>
      <c r="F1146" s="6">
        <v>3</v>
      </c>
      <c r="G1146" s="6" t="s">
        <v>27</v>
      </c>
      <c r="H1146" s="6">
        <v>2</v>
      </c>
      <c r="I1146" s="6">
        <v>12</v>
      </c>
      <c r="J1146" s="6">
        <v>6</v>
      </c>
      <c r="K1146" s="6" t="s">
        <v>31</v>
      </c>
      <c r="L1146" s="6" t="str">
        <f>VLOOKUP(K1146, 'Alphabetical by species code'!A:B, 2, FALSE)</f>
        <v>Festuca myuros</v>
      </c>
    </row>
    <row r="1147" spans="1:12" x14ac:dyDescent="0.25">
      <c r="A1147" s="6">
        <v>13</v>
      </c>
      <c r="B1147" s="6">
        <v>2025</v>
      </c>
      <c r="C1147" s="7">
        <v>45790</v>
      </c>
      <c r="D1147" s="6" t="s">
        <v>83</v>
      </c>
      <c r="E1147" s="6" t="s">
        <v>85</v>
      </c>
      <c r="F1147" s="6">
        <v>3</v>
      </c>
      <c r="G1147" s="6" t="s">
        <v>27</v>
      </c>
      <c r="H1147" s="6">
        <v>2</v>
      </c>
      <c r="I1147" s="6">
        <v>13</v>
      </c>
      <c r="J1147" s="6">
        <v>6.5</v>
      </c>
      <c r="K1147" s="6" t="s">
        <v>28</v>
      </c>
      <c r="L1147" s="6" t="str">
        <f>VLOOKUP(K1147, 'Alphabetical by species code'!A:B, 2, FALSE)</f>
        <v>Litter</v>
      </c>
    </row>
    <row r="1148" spans="1:12" x14ac:dyDescent="0.25">
      <c r="A1148" s="6">
        <v>13</v>
      </c>
      <c r="B1148" s="6">
        <v>2025</v>
      </c>
      <c r="C1148" s="7">
        <v>45790</v>
      </c>
      <c r="D1148" s="6" t="s">
        <v>83</v>
      </c>
      <c r="E1148" s="6" t="s">
        <v>85</v>
      </c>
      <c r="F1148" s="6">
        <v>3</v>
      </c>
      <c r="G1148" s="6" t="s">
        <v>27</v>
      </c>
      <c r="H1148" s="6">
        <v>2</v>
      </c>
      <c r="I1148" s="6">
        <v>13</v>
      </c>
      <c r="J1148" s="6">
        <v>6.5</v>
      </c>
      <c r="K1148" s="6" t="s">
        <v>36</v>
      </c>
      <c r="L1148" s="6" t="str">
        <f>VLOOKUP(K1148, 'Alphabetical by species code'!A:B, 2, FALSE)</f>
        <v>Bromus madritensis</v>
      </c>
    </row>
    <row r="1149" spans="1:12" x14ac:dyDescent="0.25">
      <c r="A1149" s="6">
        <v>13</v>
      </c>
      <c r="B1149" s="6">
        <v>2025</v>
      </c>
      <c r="C1149" s="7">
        <v>45790</v>
      </c>
      <c r="D1149" s="6" t="s">
        <v>83</v>
      </c>
      <c r="E1149" s="6" t="s">
        <v>85</v>
      </c>
      <c r="F1149" s="6">
        <v>3</v>
      </c>
      <c r="G1149" s="6" t="s">
        <v>27</v>
      </c>
      <c r="H1149" s="6">
        <v>2</v>
      </c>
      <c r="I1149" s="6">
        <v>13</v>
      </c>
      <c r="J1149" s="6">
        <v>6.5</v>
      </c>
      <c r="K1149" s="6" t="s">
        <v>31</v>
      </c>
      <c r="L1149" s="6" t="str">
        <f>VLOOKUP(K1149, 'Alphabetical by species code'!A:B, 2, FALSE)</f>
        <v>Festuca myuros</v>
      </c>
    </row>
    <row r="1150" spans="1:12" x14ac:dyDescent="0.25">
      <c r="A1150" s="6">
        <v>13</v>
      </c>
      <c r="B1150" s="6">
        <v>2025</v>
      </c>
      <c r="C1150" s="7">
        <v>45790</v>
      </c>
      <c r="D1150" s="6" t="s">
        <v>83</v>
      </c>
      <c r="E1150" s="6" t="s">
        <v>85</v>
      </c>
      <c r="F1150" s="6">
        <v>3</v>
      </c>
      <c r="G1150" s="6" t="s">
        <v>27</v>
      </c>
      <c r="H1150" s="6">
        <v>2</v>
      </c>
      <c r="I1150" s="6">
        <v>14</v>
      </c>
      <c r="J1150" s="6">
        <v>7</v>
      </c>
      <c r="K1150" s="6" t="s">
        <v>38</v>
      </c>
      <c r="L1150" s="6" t="str">
        <f>VLOOKUP(K1150, 'Alphabetical by species code'!A:B, 2, FALSE)</f>
        <v>Thatch</v>
      </c>
    </row>
    <row r="1151" spans="1:12" x14ac:dyDescent="0.25">
      <c r="A1151" s="6">
        <v>13</v>
      </c>
      <c r="B1151" s="6">
        <v>2025</v>
      </c>
      <c r="C1151" s="7">
        <v>45790</v>
      </c>
      <c r="D1151" s="6" t="s">
        <v>83</v>
      </c>
      <c r="E1151" s="6" t="s">
        <v>85</v>
      </c>
      <c r="F1151" s="6">
        <v>3</v>
      </c>
      <c r="G1151" s="6" t="s">
        <v>27</v>
      </c>
      <c r="H1151" s="6">
        <v>2</v>
      </c>
      <c r="I1151" s="6">
        <v>14</v>
      </c>
      <c r="J1151" s="6">
        <v>7</v>
      </c>
      <c r="K1151" s="6" t="s">
        <v>31</v>
      </c>
      <c r="L1151" s="6" t="str">
        <f>VLOOKUP(K1151, 'Alphabetical by species code'!A:B, 2, FALSE)</f>
        <v>Festuca myuros</v>
      </c>
    </row>
    <row r="1152" spans="1:12" x14ac:dyDescent="0.25">
      <c r="A1152" s="6">
        <v>13</v>
      </c>
      <c r="B1152" s="6">
        <v>2025</v>
      </c>
      <c r="C1152" s="7">
        <v>45790</v>
      </c>
      <c r="D1152" s="6" t="s">
        <v>83</v>
      </c>
      <c r="E1152" s="6" t="s">
        <v>85</v>
      </c>
      <c r="F1152" s="6">
        <v>3</v>
      </c>
      <c r="G1152" s="6" t="s">
        <v>27</v>
      </c>
      <c r="H1152" s="6">
        <v>2</v>
      </c>
      <c r="I1152" s="6">
        <v>15</v>
      </c>
      <c r="J1152" s="6">
        <v>7.5</v>
      </c>
      <c r="K1152" s="6" t="s">
        <v>28</v>
      </c>
      <c r="L1152" s="6" t="str">
        <f>VLOOKUP(K1152, 'Alphabetical by species code'!A:B, 2, FALSE)</f>
        <v>Litter</v>
      </c>
    </row>
    <row r="1153" spans="1:12" x14ac:dyDescent="0.25">
      <c r="A1153" s="6">
        <v>13</v>
      </c>
      <c r="B1153" s="6">
        <v>2025</v>
      </c>
      <c r="C1153" s="7">
        <v>45790</v>
      </c>
      <c r="D1153" s="6" t="s">
        <v>83</v>
      </c>
      <c r="E1153" s="6" t="s">
        <v>85</v>
      </c>
      <c r="F1153" s="6">
        <v>3</v>
      </c>
      <c r="G1153" s="6" t="s">
        <v>27</v>
      </c>
      <c r="H1153" s="6">
        <v>2</v>
      </c>
      <c r="I1153" s="6">
        <v>15</v>
      </c>
      <c r="J1153" s="6">
        <v>7.5</v>
      </c>
      <c r="K1153" s="6" t="s">
        <v>31</v>
      </c>
      <c r="L1153" s="6" t="str">
        <f>VLOOKUP(K1153, 'Alphabetical by species code'!A:B, 2, FALSE)</f>
        <v>Festuca myuros</v>
      </c>
    </row>
    <row r="1154" spans="1:12" x14ac:dyDescent="0.25">
      <c r="A1154" s="6">
        <v>14</v>
      </c>
      <c r="B1154" s="6">
        <v>2025</v>
      </c>
      <c r="C1154" s="7">
        <v>45790</v>
      </c>
      <c r="D1154" s="6" t="s">
        <v>83</v>
      </c>
      <c r="E1154" s="6" t="s">
        <v>85</v>
      </c>
      <c r="F1154" s="6">
        <v>3</v>
      </c>
      <c r="G1154" s="6" t="s">
        <v>46</v>
      </c>
      <c r="H1154" s="6">
        <v>1</v>
      </c>
      <c r="I1154" s="6">
        <v>1</v>
      </c>
      <c r="J1154" s="6">
        <v>0</v>
      </c>
      <c r="K1154" s="6" t="s">
        <v>28</v>
      </c>
      <c r="L1154" s="6" t="str">
        <f>VLOOKUP(K1154, 'Alphabetical by species code'!A:B, 2, FALSE)</f>
        <v>Litter</v>
      </c>
    </row>
    <row r="1155" spans="1:12" x14ac:dyDescent="0.25">
      <c r="A1155" s="6">
        <v>14</v>
      </c>
      <c r="B1155" s="6">
        <v>2025</v>
      </c>
      <c r="C1155" s="7">
        <v>45790</v>
      </c>
      <c r="D1155" s="6" t="s">
        <v>83</v>
      </c>
      <c r="E1155" s="6" t="s">
        <v>85</v>
      </c>
      <c r="F1155" s="6">
        <v>3</v>
      </c>
      <c r="G1155" s="6" t="s">
        <v>46</v>
      </c>
      <c r="H1155" s="6">
        <v>1</v>
      </c>
      <c r="I1155" s="6">
        <v>1</v>
      </c>
      <c r="J1155" s="6">
        <v>0</v>
      </c>
      <c r="K1155" s="6" t="s">
        <v>64</v>
      </c>
      <c r="L1155" s="6" t="str">
        <f>VLOOKUP(K1155, 'Alphabetical by species code'!A:B, 2, FALSE)</f>
        <v>Brassica nigra</v>
      </c>
    </row>
    <row r="1156" spans="1:12" x14ac:dyDescent="0.25">
      <c r="A1156" s="6">
        <v>14</v>
      </c>
      <c r="B1156" s="6">
        <v>2025</v>
      </c>
      <c r="C1156" s="7">
        <v>45790</v>
      </c>
      <c r="D1156" s="6" t="s">
        <v>83</v>
      </c>
      <c r="E1156" s="6" t="s">
        <v>85</v>
      </c>
      <c r="F1156" s="6">
        <v>3</v>
      </c>
      <c r="G1156" s="6" t="s">
        <v>46</v>
      </c>
      <c r="H1156" s="6">
        <v>1</v>
      </c>
      <c r="I1156" s="6">
        <v>1</v>
      </c>
      <c r="J1156" s="6">
        <v>0</v>
      </c>
      <c r="K1156" s="6" t="s">
        <v>36</v>
      </c>
      <c r="L1156" s="6" t="str">
        <f>VLOOKUP(K1156, 'Alphabetical by species code'!A:B, 2, FALSE)</f>
        <v>Bromus madritensis</v>
      </c>
    </row>
    <row r="1157" spans="1:12" x14ac:dyDescent="0.25">
      <c r="A1157" s="6">
        <v>14</v>
      </c>
      <c r="B1157" s="6">
        <v>2025</v>
      </c>
      <c r="C1157" s="7">
        <v>45790</v>
      </c>
      <c r="D1157" s="6" t="s">
        <v>83</v>
      </c>
      <c r="E1157" s="6" t="s">
        <v>85</v>
      </c>
      <c r="F1157" s="6">
        <v>3</v>
      </c>
      <c r="G1157" s="6" t="s">
        <v>46</v>
      </c>
      <c r="H1157" s="6">
        <v>1</v>
      </c>
      <c r="I1157" s="6">
        <v>2</v>
      </c>
      <c r="J1157" s="6">
        <v>0.5</v>
      </c>
      <c r="K1157" s="6" t="s">
        <v>28</v>
      </c>
      <c r="L1157" s="6" t="str">
        <f>VLOOKUP(K1157, 'Alphabetical by species code'!A:B, 2, FALSE)</f>
        <v>Litter</v>
      </c>
    </row>
    <row r="1158" spans="1:12" x14ac:dyDescent="0.25">
      <c r="A1158" s="6">
        <v>14</v>
      </c>
      <c r="B1158" s="6">
        <v>2025</v>
      </c>
      <c r="C1158" s="7">
        <v>45790</v>
      </c>
      <c r="D1158" s="6" t="s">
        <v>83</v>
      </c>
      <c r="E1158" s="6" t="s">
        <v>85</v>
      </c>
      <c r="F1158" s="6">
        <v>3</v>
      </c>
      <c r="G1158" s="6" t="s">
        <v>46</v>
      </c>
      <c r="H1158" s="6">
        <v>1</v>
      </c>
      <c r="I1158" s="6">
        <v>2</v>
      </c>
      <c r="J1158" s="6">
        <v>0.5</v>
      </c>
      <c r="K1158" s="6" t="s">
        <v>55</v>
      </c>
      <c r="L1158" s="6" t="str">
        <f>VLOOKUP(K1158, 'Alphabetical by species code'!A:B, 2, FALSE)</f>
        <v>Daucus pusillus</v>
      </c>
    </row>
    <row r="1159" spans="1:12" x14ac:dyDescent="0.25">
      <c r="A1159" s="6">
        <v>14</v>
      </c>
      <c r="B1159" s="6">
        <v>2025</v>
      </c>
      <c r="C1159" s="7">
        <v>45790</v>
      </c>
      <c r="D1159" s="6" t="s">
        <v>83</v>
      </c>
      <c r="E1159" s="6" t="s">
        <v>85</v>
      </c>
      <c r="F1159" s="6">
        <v>3</v>
      </c>
      <c r="G1159" s="6" t="s">
        <v>46</v>
      </c>
      <c r="H1159" s="6">
        <v>1</v>
      </c>
      <c r="I1159" s="6">
        <v>2</v>
      </c>
      <c r="J1159" s="6">
        <v>0.5</v>
      </c>
      <c r="K1159" s="6" t="s">
        <v>31</v>
      </c>
      <c r="L1159" s="6" t="str">
        <f>VLOOKUP(K1159, 'Alphabetical by species code'!A:B, 2, FALSE)</f>
        <v>Festuca myuros</v>
      </c>
    </row>
    <row r="1160" spans="1:12" x14ac:dyDescent="0.25">
      <c r="A1160" s="6">
        <v>14</v>
      </c>
      <c r="B1160" s="6">
        <v>2025</v>
      </c>
      <c r="C1160" s="7">
        <v>45790</v>
      </c>
      <c r="D1160" s="6" t="s">
        <v>83</v>
      </c>
      <c r="E1160" s="6" t="s">
        <v>85</v>
      </c>
      <c r="F1160" s="6">
        <v>3</v>
      </c>
      <c r="G1160" s="6" t="s">
        <v>46</v>
      </c>
      <c r="H1160" s="6">
        <v>1</v>
      </c>
      <c r="I1160" s="6">
        <v>3</v>
      </c>
      <c r="J1160" s="6">
        <v>1</v>
      </c>
      <c r="K1160" s="6" t="s">
        <v>28</v>
      </c>
      <c r="L1160" s="6" t="str">
        <f>VLOOKUP(K1160, 'Alphabetical by species code'!A:B, 2, FALSE)</f>
        <v>Litter</v>
      </c>
    </row>
    <row r="1161" spans="1:12" x14ac:dyDescent="0.25">
      <c r="A1161" s="6">
        <v>14</v>
      </c>
      <c r="B1161" s="6">
        <v>2025</v>
      </c>
      <c r="C1161" s="7">
        <v>45790</v>
      </c>
      <c r="D1161" s="6" t="s">
        <v>83</v>
      </c>
      <c r="E1161" s="6" t="s">
        <v>85</v>
      </c>
      <c r="F1161" s="6">
        <v>3</v>
      </c>
      <c r="G1161" s="6" t="s">
        <v>46</v>
      </c>
      <c r="H1161" s="6">
        <v>1</v>
      </c>
      <c r="I1161" s="6">
        <v>3</v>
      </c>
      <c r="J1161" s="6">
        <v>1</v>
      </c>
      <c r="K1161" s="6" t="s">
        <v>36</v>
      </c>
      <c r="L1161" s="6" t="str">
        <f>VLOOKUP(K1161, 'Alphabetical by species code'!A:B, 2, FALSE)</f>
        <v>Bromus madritensis</v>
      </c>
    </row>
    <row r="1162" spans="1:12" x14ac:dyDescent="0.25">
      <c r="A1162" s="6">
        <v>14</v>
      </c>
      <c r="B1162" s="6">
        <v>2025</v>
      </c>
      <c r="C1162" s="7">
        <v>45790</v>
      </c>
      <c r="D1162" s="6" t="s">
        <v>83</v>
      </c>
      <c r="E1162" s="6" t="s">
        <v>85</v>
      </c>
      <c r="F1162" s="6">
        <v>3</v>
      </c>
      <c r="G1162" s="6" t="s">
        <v>46</v>
      </c>
      <c r="H1162" s="6">
        <v>1</v>
      </c>
      <c r="I1162" s="6">
        <v>3</v>
      </c>
      <c r="J1162" s="6">
        <v>1</v>
      </c>
      <c r="K1162" s="6" t="s">
        <v>47</v>
      </c>
      <c r="L1162" s="6" t="str">
        <f>VLOOKUP(K1162, 'Alphabetical by species code'!A:B, 2, FALSE)</f>
        <v>Sonchus species</v>
      </c>
    </row>
    <row r="1163" spans="1:12" x14ac:dyDescent="0.25">
      <c r="A1163" s="6">
        <v>14</v>
      </c>
      <c r="B1163" s="6">
        <v>2025</v>
      </c>
      <c r="C1163" s="7">
        <v>45790</v>
      </c>
      <c r="D1163" s="6" t="s">
        <v>83</v>
      </c>
      <c r="E1163" s="6" t="s">
        <v>85</v>
      </c>
      <c r="F1163" s="6">
        <v>3</v>
      </c>
      <c r="G1163" s="6" t="s">
        <v>46</v>
      </c>
      <c r="H1163" s="6">
        <v>1</v>
      </c>
      <c r="I1163" s="6">
        <v>4</v>
      </c>
      <c r="J1163" s="6">
        <v>1.5</v>
      </c>
      <c r="K1163" s="6" t="s">
        <v>28</v>
      </c>
      <c r="L1163" s="6" t="str">
        <f>VLOOKUP(K1163, 'Alphabetical by species code'!A:B, 2, FALSE)</f>
        <v>Litter</v>
      </c>
    </row>
    <row r="1164" spans="1:12" x14ac:dyDescent="0.25">
      <c r="A1164" s="6">
        <v>14</v>
      </c>
      <c r="B1164" s="6">
        <v>2025</v>
      </c>
      <c r="C1164" s="7">
        <v>45790</v>
      </c>
      <c r="D1164" s="6" t="s">
        <v>83</v>
      </c>
      <c r="E1164" s="6" t="s">
        <v>85</v>
      </c>
      <c r="F1164" s="6">
        <v>3</v>
      </c>
      <c r="G1164" s="6" t="s">
        <v>46</v>
      </c>
      <c r="H1164" s="6">
        <v>1</v>
      </c>
      <c r="I1164" s="6">
        <v>4</v>
      </c>
      <c r="J1164" s="6">
        <v>1.5</v>
      </c>
      <c r="K1164" s="6" t="s">
        <v>84</v>
      </c>
      <c r="L1164" s="6" t="str">
        <f>VLOOKUP(K1164, 'Alphabetical by species code'!A:B, 2, FALSE)</f>
        <v>Bromus diandrus</v>
      </c>
    </row>
    <row r="1165" spans="1:12" x14ac:dyDescent="0.25">
      <c r="A1165" s="6">
        <v>14</v>
      </c>
      <c r="B1165" s="6">
        <v>2025</v>
      </c>
      <c r="C1165" s="7">
        <v>45790</v>
      </c>
      <c r="D1165" s="6" t="s">
        <v>83</v>
      </c>
      <c r="E1165" s="6" t="s">
        <v>85</v>
      </c>
      <c r="F1165" s="6">
        <v>3</v>
      </c>
      <c r="G1165" s="6" t="s">
        <v>46</v>
      </c>
      <c r="H1165" s="6">
        <v>1</v>
      </c>
      <c r="I1165" s="6">
        <v>4</v>
      </c>
      <c r="J1165" s="6">
        <v>1.5</v>
      </c>
      <c r="K1165" s="6" t="s">
        <v>29</v>
      </c>
      <c r="L1165" s="6" t="str">
        <f>VLOOKUP(K1165, 'Alphabetical by species code'!A:B, 2, FALSE)</f>
        <v>Opuntia littoralis</v>
      </c>
    </row>
    <row r="1166" spans="1:12" x14ac:dyDescent="0.25">
      <c r="A1166" s="6">
        <v>14</v>
      </c>
      <c r="B1166" s="6">
        <v>2025</v>
      </c>
      <c r="C1166" s="7">
        <v>45790</v>
      </c>
      <c r="D1166" s="6" t="s">
        <v>83</v>
      </c>
      <c r="E1166" s="6" t="s">
        <v>85</v>
      </c>
      <c r="F1166" s="6">
        <v>3</v>
      </c>
      <c r="G1166" s="6" t="s">
        <v>46</v>
      </c>
      <c r="H1166" s="6">
        <v>1</v>
      </c>
      <c r="I1166" s="6">
        <v>4</v>
      </c>
      <c r="J1166" s="6">
        <v>1.5</v>
      </c>
      <c r="K1166" s="6" t="s">
        <v>36</v>
      </c>
      <c r="L1166" s="6" t="str">
        <f>VLOOKUP(K1166, 'Alphabetical by species code'!A:B, 2, FALSE)</f>
        <v>Bromus madritensis</v>
      </c>
    </row>
    <row r="1167" spans="1:12" x14ac:dyDescent="0.25">
      <c r="A1167" s="6">
        <v>14</v>
      </c>
      <c r="B1167" s="6">
        <v>2025</v>
      </c>
      <c r="C1167" s="7">
        <v>45790</v>
      </c>
      <c r="D1167" s="6" t="s">
        <v>83</v>
      </c>
      <c r="E1167" s="6" t="s">
        <v>85</v>
      </c>
      <c r="F1167" s="6">
        <v>3</v>
      </c>
      <c r="G1167" s="6" t="s">
        <v>46</v>
      </c>
      <c r="H1167" s="6">
        <v>1</v>
      </c>
      <c r="I1167" s="6">
        <v>5</v>
      </c>
      <c r="J1167" s="6">
        <v>2</v>
      </c>
      <c r="K1167" s="6" t="s">
        <v>28</v>
      </c>
      <c r="L1167" s="6" t="str">
        <f>VLOOKUP(K1167, 'Alphabetical by species code'!A:B, 2, FALSE)</f>
        <v>Litter</v>
      </c>
    </row>
    <row r="1168" spans="1:12" x14ac:dyDescent="0.25">
      <c r="A1168" s="6">
        <v>14</v>
      </c>
      <c r="B1168" s="6">
        <v>2025</v>
      </c>
      <c r="C1168" s="7">
        <v>45790</v>
      </c>
      <c r="D1168" s="6" t="s">
        <v>83</v>
      </c>
      <c r="E1168" s="6" t="s">
        <v>85</v>
      </c>
      <c r="F1168" s="6">
        <v>3</v>
      </c>
      <c r="G1168" s="6" t="s">
        <v>46</v>
      </c>
      <c r="H1168" s="6">
        <v>1</v>
      </c>
      <c r="I1168" s="6">
        <v>5</v>
      </c>
      <c r="J1168" s="6">
        <v>2</v>
      </c>
      <c r="K1168" s="6" t="s">
        <v>29</v>
      </c>
      <c r="L1168" s="6" t="str">
        <f>VLOOKUP(K1168, 'Alphabetical by species code'!A:B, 2, FALSE)</f>
        <v>Opuntia littoralis</v>
      </c>
    </row>
    <row r="1169" spans="1:12" x14ac:dyDescent="0.25">
      <c r="A1169" s="6">
        <v>14</v>
      </c>
      <c r="B1169" s="6">
        <v>2025</v>
      </c>
      <c r="C1169" s="7">
        <v>45790</v>
      </c>
      <c r="D1169" s="6" t="s">
        <v>83</v>
      </c>
      <c r="E1169" s="6" t="s">
        <v>85</v>
      </c>
      <c r="F1169" s="6">
        <v>3</v>
      </c>
      <c r="G1169" s="6" t="s">
        <v>46</v>
      </c>
      <c r="H1169" s="6">
        <v>1</v>
      </c>
      <c r="I1169" s="6">
        <v>5</v>
      </c>
      <c r="J1169" s="6">
        <v>2</v>
      </c>
      <c r="K1169" s="6" t="s">
        <v>31</v>
      </c>
      <c r="L1169" s="6" t="str">
        <f>VLOOKUP(K1169, 'Alphabetical by species code'!A:B, 2, FALSE)</f>
        <v>Festuca myuros</v>
      </c>
    </row>
    <row r="1170" spans="1:12" x14ac:dyDescent="0.25">
      <c r="A1170" s="6">
        <v>14</v>
      </c>
      <c r="B1170" s="6">
        <v>2025</v>
      </c>
      <c r="C1170" s="7">
        <v>45790</v>
      </c>
      <c r="D1170" s="6" t="s">
        <v>83</v>
      </c>
      <c r="E1170" s="6" t="s">
        <v>85</v>
      </c>
      <c r="F1170" s="6">
        <v>3</v>
      </c>
      <c r="G1170" s="6" t="s">
        <v>46</v>
      </c>
      <c r="H1170" s="6">
        <v>1</v>
      </c>
      <c r="I1170" s="6">
        <v>6</v>
      </c>
      <c r="J1170" s="6">
        <v>2.5</v>
      </c>
      <c r="K1170" s="6" t="s">
        <v>38</v>
      </c>
      <c r="L1170" s="6" t="str">
        <f>VLOOKUP(K1170, 'Alphabetical by species code'!A:B, 2, FALSE)</f>
        <v>Thatch</v>
      </c>
    </row>
    <row r="1171" spans="1:12" x14ac:dyDescent="0.25">
      <c r="A1171" s="6">
        <v>14</v>
      </c>
      <c r="B1171" s="6">
        <v>2025</v>
      </c>
      <c r="C1171" s="7">
        <v>45790</v>
      </c>
      <c r="D1171" s="6" t="s">
        <v>83</v>
      </c>
      <c r="E1171" s="6" t="s">
        <v>85</v>
      </c>
      <c r="F1171" s="6">
        <v>3</v>
      </c>
      <c r="G1171" s="6" t="s">
        <v>46</v>
      </c>
      <c r="H1171" s="6">
        <v>1</v>
      </c>
      <c r="I1171" s="6">
        <v>6</v>
      </c>
      <c r="J1171" s="6">
        <v>2.5</v>
      </c>
      <c r="K1171" s="6" t="s">
        <v>36</v>
      </c>
      <c r="L1171" s="6" t="str">
        <f>VLOOKUP(K1171, 'Alphabetical by species code'!A:B, 2, FALSE)</f>
        <v>Bromus madritensis</v>
      </c>
    </row>
    <row r="1172" spans="1:12" x14ac:dyDescent="0.25">
      <c r="A1172" s="6">
        <v>14</v>
      </c>
      <c r="B1172" s="6">
        <v>2025</v>
      </c>
      <c r="C1172" s="7">
        <v>45790</v>
      </c>
      <c r="D1172" s="6" t="s">
        <v>83</v>
      </c>
      <c r="E1172" s="6" t="s">
        <v>85</v>
      </c>
      <c r="F1172" s="6">
        <v>3</v>
      </c>
      <c r="G1172" s="6" t="s">
        <v>46</v>
      </c>
      <c r="H1172" s="6">
        <v>1</v>
      </c>
      <c r="I1172" s="6">
        <v>6</v>
      </c>
      <c r="J1172" s="6">
        <v>2.5</v>
      </c>
      <c r="K1172" s="6" t="s">
        <v>31</v>
      </c>
      <c r="L1172" s="6" t="str">
        <f>VLOOKUP(K1172, 'Alphabetical by species code'!A:B, 2, FALSE)</f>
        <v>Festuca myuros</v>
      </c>
    </row>
    <row r="1173" spans="1:12" x14ac:dyDescent="0.25">
      <c r="A1173" s="6">
        <v>14</v>
      </c>
      <c r="B1173" s="6">
        <v>2025</v>
      </c>
      <c r="C1173" s="7">
        <v>45790</v>
      </c>
      <c r="D1173" s="6" t="s">
        <v>83</v>
      </c>
      <c r="E1173" s="6" t="s">
        <v>85</v>
      </c>
      <c r="F1173" s="6">
        <v>3</v>
      </c>
      <c r="G1173" s="6" t="s">
        <v>46</v>
      </c>
      <c r="H1173" s="6">
        <v>1</v>
      </c>
      <c r="I1173" s="6">
        <v>7</v>
      </c>
      <c r="J1173" s="6">
        <v>3</v>
      </c>
      <c r="K1173" s="6" t="s">
        <v>38</v>
      </c>
      <c r="L1173" s="6" t="str">
        <f>VLOOKUP(K1173, 'Alphabetical by species code'!A:B, 2, FALSE)</f>
        <v>Thatch</v>
      </c>
    </row>
    <row r="1174" spans="1:12" x14ac:dyDescent="0.25">
      <c r="A1174" s="6">
        <v>14</v>
      </c>
      <c r="B1174" s="6">
        <v>2025</v>
      </c>
      <c r="C1174" s="7">
        <v>45790</v>
      </c>
      <c r="D1174" s="6" t="s">
        <v>83</v>
      </c>
      <c r="E1174" s="6" t="s">
        <v>85</v>
      </c>
      <c r="F1174" s="6">
        <v>3</v>
      </c>
      <c r="G1174" s="6" t="s">
        <v>46</v>
      </c>
      <c r="H1174" s="6">
        <v>1</v>
      </c>
      <c r="I1174" s="6">
        <v>7</v>
      </c>
      <c r="J1174" s="6">
        <v>3</v>
      </c>
      <c r="K1174" s="6" t="s">
        <v>31</v>
      </c>
      <c r="L1174" s="6" t="str">
        <f>VLOOKUP(K1174, 'Alphabetical by species code'!A:B, 2, FALSE)</f>
        <v>Festuca myuros</v>
      </c>
    </row>
    <row r="1175" spans="1:12" x14ac:dyDescent="0.25">
      <c r="A1175" s="6">
        <v>14</v>
      </c>
      <c r="B1175" s="6">
        <v>2025</v>
      </c>
      <c r="C1175" s="7">
        <v>45790</v>
      </c>
      <c r="D1175" s="6" t="s">
        <v>83</v>
      </c>
      <c r="E1175" s="6" t="s">
        <v>85</v>
      </c>
      <c r="F1175" s="6">
        <v>3</v>
      </c>
      <c r="G1175" s="6" t="s">
        <v>46</v>
      </c>
      <c r="H1175" s="6">
        <v>1</v>
      </c>
      <c r="I1175" s="6">
        <v>7</v>
      </c>
      <c r="J1175" s="6">
        <v>3</v>
      </c>
      <c r="K1175" s="6" t="s">
        <v>36</v>
      </c>
      <c r="L1175" s="6" t="str">
        <f>VLOOKUP(K1175, 'Alphabetical by species code'!A:B, 2, FALSE)</f>
        <v>Bromus madritensis</v>
      </c>
    </row>
    <row r="1176" spans="1:12" x14ac:dyDescent="0.25">
      <c r="A1176" s="6">
        <v>14</v>
      </c>
      <c r="B1176" s="6">
        <v>2025</v>
      </c>
      <c r="C1176" s="7">
        <v>45790</v>
      </c>
      <c r="D1176" s="6" t="s">
        <v>83</v>
      </c>
      <c r="E1176" s="6" t="s">
        <v>85</v>
      </c>
      <c r="F1176" s="6">
        <v>3</v>
      </c>
      <c r="G1176" s="6" t="s">
        <v>46</v>
      </c>
      <c r="H1176" s="6">
        <v>1</v>
      </c>
      <c r="I1176" s="6">
        <v>8</v>
      </c>
      <c r="J1176" s="6">
        <v>3.5</v>
      </c>
      <c r="K1176" s="6" t="s">
        <v>28</v>
      </c>
      <c r="L1176" s="6" t="str">
        <f>VLOOKUP(K1176, 'Alphabetical by species code'!A:B, 2, FALSE)</f>
        <v>Litter</v>
      </c>
    </row>
    <row r="1177" spans="1:12" x14ac:dyDescent="0.25">
      <c r="A1177" s="6">
        <v>14</v>
      </c>
      <c r="B1177" s="6">
        <v>2025</v>
      </c>
      <c r="C1177" s="7">
        <v>45790</v>
      </c>
      <c r="D1177" s="6" t="s">
        <v>83</v>
      </c>
      <c r="E1177" s="6" t="s">
        <v>85</v>
      </c>
      <c r="F1177" s="6">
        <v>3</v>
      </c>
      <c r="G1177" s="6" t="s">
        <v>46</v>
      </c>
      <c r="H1177" s="6">
        <v>1</v>
      </c>
      <c r="I1177" s="6">
        <v>8</v>
      </c>
      <c r="J1177" s="6">
        <v>3.5</v>
      </c>
      <c r="K1177" s="6" t="s">
        <v>31</v>
      </c>
      <c r="L1177" s="6" t="str">
        <f>VLOOKUP(K1177, 'Alphabetical by species code'!A:B, 2, FALSE)</f>
        <v>Festuca myuros</v>
      </c>
    </row>
    <row r="1178" spans="1:12" x14ac:dyDescent="0.25">
      <c r="A1178" s="6">
        <v>14</v>
      </c>
      <c r="B1178" s="6">
        <v>2025</v>
      </c>
      <c r="C1178" s="7">
        <v>45790</v>
      </c>
      <c r="D1178" s="6" t="s">
        <v>83</v>
      </c>
      <c r="E1178" s="6" t="s">
        <v>85</v>
      </c>
      <c r="F1178" s="6">
        <v>3</v>
      </c>
      <c r="G1178" s="6" t="s">
        <v>46</v>
      </c>
      <c r="H1178" s="6">
        <v>1</v>
      </c>
      <c r="I1178" s="6">
        <v>8</v>
      </c>
      <c r="J1178" s="6">
        <v>3.5</v>
      </c>
      <c r="K1178" s="6" t="s">
        <v>36</v>
      </c>
      <c r="L1178" s="6" t="str">
        <f>VLOOKUP(K1178, 'Alphabetical by species code'!A:B, 2, FALSE)</f>
        <v>Bromus madritensis</v>
      </c>
    </row>
    <row r="1179" spans="1:12" x14ac:dyDescent="0.25">
      <c r="A1179" s="6">
        <v>14</v>
      </c>
      <c r="B1179" s="6">
        <v>2025</v>
      </c>
      <c r="C1179" s="7">
        <v>45790</v>
      </c>
      <c r="D1179" s="6" t="s">
        <v>83</v>
      </c>
      <c r="E1179" s="6" t="s">
        <v>85</v>
      </c>
      <c r="F1179" s="6">
        <v>3</v>
      </c>
      <c r="G1179" s="6" t="s">
        <v>46</v>
      </c>
      <c r="H1179" s="6">
        <v>1</v>
      </c>
      <c r="I1179" s="6">
        <v>9</v>
      </c>
      <c r="J1179" s="6">
        <v>4</v>
      </c>
      <c r="K1179" s="6" t="s">
        <v>28</v>
      </c>
      <c r="L1179" s="6" t="str">
        <f>VLOOKUP(K1179, 'Alphabetical by species code'!A:B, 2, FALSE)</f>
        <v>Litter</v>
      </c>
    </row>
    <row r="1180" spans="1:12" x14ac:dyDescent="0.25">
      <c r="A1180" s="6">
        <v>14</v>
      </c>
      <c r="B1180" s="6">
        <v>2025</v>
      </c>
      <c r="C1180" s="7">
        <v>45790</v>
      </c>
      <c r="D1180" s="6" t="s">
        <v>83</v>
      </c>
      <c r="E1180" s="6" t="s">
        <v>85</v>
      </c>
      <c r="F1180" s="6">
        <v>3</v>
      </c>
      <c r="G1180" s="6" t="s">
        <v>46</v>
      </c>
      <c r="H1180" s="6">
        <v>1</v>
      </c>
      <c r="I1180" s="6">
        <v>9</v>
      </c>
      <c r="J1180" s="6">
        <v>4</v>
      </c>
      <c r="K1180" s="6" t="s">
        <v>44</v>
      </c>
      <c r="L1180" s="6" t="str">
        <f>VLOOKUP(K1180, 'Alphabetical by species code'!A:B, 2, FALSE)</f>
        <v>Amsinckia menziesii</v>
      </c>
    </row>
    <row r="1181" spans="1:12" x14ac:dyDescent="0.25">
      <c r="A1181" s="6">
        <v>14</v>
      </c>
      <c r="B1181" s="6">
        <v>2025</v>
      </c>
      <c r="C1181" s="7">
        <v>45790</v>
      </c>
      <c r="D1181" s="6" t="s">
        <v>83</v>
      </c>
      <c r="E1181" s="6" t="s">
        <v>85</v>
      </c>
      <c r="F1181" s="6">
        <v>3</v>
      </c>
      <c r="G1181" s="6" t="s">
        <v>46</v>
      </c>
      <c r="H1181" s="6">
        <v>1</v>
      </c>
      <c r="I1181" s="6">
        <v>9</v>
      </c>
      <c r="J1181" s="6">
        <v>4</v>
      </c>
      <c r="K1181" s="6" t="s">
        <v>31</v>
      </c>
      <c r="L1181" s="6" t="str">
        <f>VLOOKUP(K1181, 'Alphabetical by species code'!A:B, 2, FALSE)</f>
        <v>Festuca myuros</v>
      </c>
    </row>
    <row r="1182" spans="1:12" x14ac:dyDescent="0.25">
      <c r="A1182" s="6">
        <v>14</v>
      </c>
      <c r="B1182" s="6">
        <v>2025</v>
      </c>
      <c r="C1182" s="7">
        <v>45790</v>
      </c>
      <c r="D1182" s="6" t="s">
        <v>83</v>
      </c>
      <c r="E1182" s="6" t="s">
        <v>85</v>
      </c>
      <c r="F1182" s="6">
        <v>3</v>
      </c>
      <c r="G1182" s="6" t="s">
        <v>46</v>
      </c>
      <c r="H1182" s="6">
        <v>1</v>
      </c>
      <c r="I1182" s="6">
        <v>10</v>
      </c>
      <c r="J1182" s="6">
        <v>4.5</v>
      </c>
      <c r="K1182" s="6" t="s">
        <v>28</v>
      </c>
      <c r="L1182" s="6" t="str">
        <f>VLOOKUP(K1182, 'Alphabetical by species code'!A:B, 2, FALSE)</f>
        <v>Litter</v>
      </c>
    </row>
    <row r="1183" spans="1:12" x14ac:dyDescent="0.25">
      <c r="A1183" s="6">
        <v>14</v>
      </c>
      <c r="B1183" s="6">
        <v>2025</v>
      </c>
      <c r="C1183" s="7">
        <v>45790</v>
      </c>
      <c r="D1183" s="6" t="s">
        <v>83</v>
      </c>
      <c r="E1183" s="6" t="s">
        <v>85</v>
      </c>
      <c r="F1183" s="6">
        <v>3</v>
      </c>
      <c r="G1183" s="6" t="s">
        <v>46</v>
      </c>
      <c r="H1183" s="6">
        <v>1</v>
      </c>
      <c r="I1183" s="6">
        <v>10</v>
      </c>
      <c r="J1183" s="6">
        <v>4.5</v>
      </c>
      <c r="K1183" s="6" t="s">
        <v>39</v>
      </c>
      <c r="L1183" s="6" t="str">
        <f>VLOOKUP(K1183, 'Alphabetical by species code'!A:B, 2, FALSE)</f>
        <v>Stephanomeria diegensis</v>
      </c>
    </row>
    <row r="1184" spans="1:12" x14ac:dyDescent="0.25">
      <c r="A1184" s="6">
        <v>14</v>
      </c>
      <c r="B1184" s="6">
        <v>2025</v>
      </c>
      <c r="C1184" s="7">
        <v>45790</v>
      </c>
      <c r="D1184" s="6" t="s">
        <v>83</v>
      </c>
      <c r="E1184" s="6" t="s">
        <v>85</v>
      </c>
      <c r="F1184" s="6">
        <v>3</v>
      </c>
      <c r="G1184" s="6" t="s">
        <v>46</v>
      </c>
      <c r="H1184" s="6">
        <v>1</v>
      </c>
      <c r="I1184" s="6">
        <v>10</v>
      </c>
      <c r="J1184" s="6">
        <v>4.5</v>
      </c>
      <c r="K1184" s="6" t="s">
        <v>31</v>
      </c>
      <c r="L1184" s="6" t="str">
        <f>VLOOKUP(K1184, 'Alphabetical by species code'!A:B, 2, FALSE)</f>
        <v>Festuca myuros</v>
      </c>
    </row>
    <row r="1185" spans="1:12" x14ac:dyDescent="0.25">
      <c r="A1185" s="6">
        <v>14</v>
      </c>
      <c r="B1185" s="6">
        <v>2025</v>
      </c>
      <c r="C1185" s="7">
        <v>45790</v>
      </c>
      <c r="D1185" s="6" t="s">
        <v>83</v>
      </c>
      <c r="E1185" s="6" t="s">
        <v>85</v>
      </c>
      <c r="F1185" s="6">
        <v>3</v>
      </c>
      <c r="G1185" s="6" t="s">
        <v>46</v>
      </c>
      <c r="H1185" s="6">
        <v>1</v>
      </c>
      <c r="I1185" s="6">
        <v>10</v>
      </c>
      <c r="J1185" s="6">
        <v>4.5</v>
      </c>
      <c r="K1185" s="6" t="s">
        <v>44</v>
      </c>
      <c r="L1185" s="6" t="str">
        <f>VLOOKUP(K1185, 'Alphabetical by species code'!A:B, 2, FALSE)</f>
        <v>Amsinckia menziesii</v>
      </c>
    </row>
    <row r="1186" spans="1:12" x14ac:dyDescent="0.25">
      <c r="A1186" s="6">
        <v>14</v>
      </c>
      <c r="B1186" s="6">
        <v>2025</v>
      </c>
      <c r="C1186" s="7">
        <v>45790</v>
      </c>
      <c r="D1186" s="6" t="s">
        <v>83</v>
      </c>
      <c r="E1186" s="6" t="s">
        <v>85</v>
      </c>
      <c r="F1186" s="6">
        <v>3</v>
      </c>
      <c r="G1186" s="6" t="s">
        <v>46</v>
      </c>
      <c r="H1186" s="6">
        <v>1</v>
      </c>
      <c r="I1186" s="6">
        <v>11</v>
      </c>
      <c r="J1186" s="6">
        <v>5</v>
      </c>
      <c r="K1186" s="6" t="s">
        <v>28</v>
      </c>
      <c r="L1186" s="6" t="str">
        <f>VLOOKUP(K1186, 'Alphabetical by species code'!A:B, 2, FALSE)</f>
        <v>Litter</v>
      </c>
    </row>
    <row r="1187" spans="1:12" x14ac:dyDescent="0.25">
      <c r="A1187" s="6">
        <v>14</v>
      </c>
      <c r="B1187" s="6">
        <v>2025</v>
      </c>
      <c r="C1187" s="7">
        <v>45790</v>
      </c>
      <c r="D1187" s="6" t="s">
        <v>83</v>
      </c>
      <c r="E1187" s="6" t="s">
        <v>85</v>
      </c>
      <c r="F1187" s="6">
        <v>3</v>
      </c>
      <c r="G1187" s="6" t="s">
        <v>46</v>
      </c>
      <c r="H1187" s="6">
        <v>1</v>
      </c>
      <c r="I1187" s="6">
        <v>11</v>
      </c>
      <c r="J1187" s="6">
        <v>5</v>
      </c>
      <c r="K1187" s="6" t="s">
        <v>44</v>
      </c>
      <c r="L1187" s="6" t="str">
        <f>VLOOKUP(K1187, 'Alphabetical by species code'!A:B, 2, FALSE)</f>
        <v>Amsinckia menziesii</v>
      </c>
    </row>
    <row r="1188" spans="1:12" x14ac:dyDescent="0.25">
      <c r="A1188" s="6">
        <v>14</v>
      </c>
      <c r="B1188" s="6">
        <v>2025</v>
      </c>
      <c r="C1188" s="7">
        <v>45790</v>
      </c>
      <c r="D1188" s="6" t="s">
        <v>83</v>
      </c>
      <c r="E1188" s="6" t="s">
        <v>85</v>
      </c>
      <c r="F1188" s="6">
        <v>3</v>
      </c>
      <c r="G1188" s="6" t="s">
        <v>46</v>
      </c>
      <c r="H1188" s="6">
        <v>1</v>
      </c>
      <c r="I1188" s="6">
        <v>11</v>
      </c>
      <c r="J1188" s="6">
        <v>5</v>
      </c>
      <c r="K1188" s="6" t="s">
        <v>31</v>
      </c>
      <c r="L1188" s="6" t="str">
        <f>VLOOKUP(K1188, 'Alphabetical by species code'!A:B, 2, FALSE)</f>
        <v>Festuca myuros</v>
      </c>
    </row>
    <row r="1189" spans="1:12" x14ac:dyDescent="0.25">
      <c r="A1189" s="6">
        <v>14</v>
      </c>
      <c r="B1189" s="6">
        <v>2025</v>
      </c>
      <c r="C1189" s="7">
        <v>45790</v>
      </c>
      <c r="D1189" s="6" t="s">
        <v>83</v>
      </c>
      <c r="E1189" s="6" t="s">
        <v>85</v>
      </c>
      <c r="F1189" s="6">
        <v>3</v>
      </c>
      <c r="G1189" s="6" t="s">
        <v>46</v>
      </c>
      <c r="H1189" s="6">
        <v>1</v>
      </c>
      <c r="I1189" s="6">
        <v>12</v>
      </c>
      <c r="J1189" s="6">
        <v>5.5</v>
      </c>
      <c r="K1189" s="6" t="s">
        <v>28</v>
      </c>
      <c r="L1189" s="6" t="str">
        <f>VLOOKUP(K1189, 'Alphabetical by species code'!A:B, 2, FALSE)</f>
        <v>Litter</v>
      </c>
    </row>
    <row r="1190" spans="1:12" x14ac:dyDescent="0.25">
      <c r="A1190" s="6">
        <v>14</v>
      </c>
      <c r="B1190" s="6">
        <v>2025</v>
      </c>
      <c r="C1190" s="7">
        <v>45790</v>
      </c>
      <c r="D1190" s="6" t="s">
        <v>83</v>
      </c>
      <c r="E1190" s="6" t="s">
        <v>85</v>
      </c>
      <c r="F1190" s="6">
        <v>3</v>
      </c>
      <c r="G1190" s="6" t="s">
        <v>46</v>
      </c>
      <c r="H1190" s="6">
        <v>1</v>
      </c>
      <c r="I1190" s="6">
        <v>12</v>
      </c>
      <c r="J1190" s="6">
        <v>5.5</v>
      </c>
      <c r="K1190" s="6" t="s">
        <v>31</v>
      </c>
      <c r="L1190" s="6" t="str">
        <f>VLOOKUP(K1190, 'Alphabetical by species code'!A:B, 2, FALSE)</f>
        <v>Festuca myuros</v>
      </c>
    </row>
    <row r="1191" spans="1:12" x14ac:dyDescent="0.25">
      <c r="A1191" s="6">
        <v>14</v>
      </c>
      <c r="B1191" s="6">
        <v>2025</v>
      </c>
      <c r="C1191" s="7">
        <v>45790</v>
      </c>
      <c r="D1191" s="6" t="s">
        <v>83</v>
      </c>
      <c r="E1191" s="6" t="s">
        <v>85</v>
      </c>
      <c r="F1191" s="6">
        <v>3</v>
      </c>
      <c r="G1191" s="6" t="s">
        <v>46</v>
      </c>
      <c r="H1191" s="6">
        <v>1</v>
      </c>
      <c r="I1191" s="6">
        <v>13</v>
      </c>
      <c r="J1191" s="6">
        <v>6.5</v>
      </c>
      <c r="K1191" s="6" t="s">
        <v>28</v>
      </c>
      <c r="L1191" s="6" t="str">
        <f>VLOOKUP(K1191, 'Alphabetical by species code'!A:B, 2, FALSE)</f>
        <v>Litter</v>
      </c>
    </row>
    <row r="1192" spans="1:12" x14ac:dyDescent="0.25">
      <c r="A1192" s="6">
        <v>14</v>
      </c>
      <c r="B1192" s="6">
        <v>2025</v>
      </c>
      <c r="C1192" s="7">
        <v>45790</v>
      </c>
      <c r="D1192" s="6" t="s">
        <v>83</v>
      </c>
      <c r="E1192" s="6" t="s">
        <v>85</v>
      </c>
      <c r="F1192" s="6">
        <v>3</v>
      </c>
      <c r="G1192" s="6" t="s">
        <v>46</v>
      </c>
      <c r="H1192" s="6">
        <v>1</v>
      </c>
      <c r="I1192" s="6">
        <v>13</v>
      </c>
      <c r="J1192" s="6">
        <v>6.5</v>
      </c>
      <c r="K1192" s="6" t="s">
        <v>36</v>
      </c>
      <c r="L1192" s="6" t="str">
        <f>VLOOKUP(K1192, 'Alphabetical by species code'!A:B, 2, FALSE)</f>
        <v>Bromus madritensis</v>
      </c>
    </row>
    <row r="1193" spans="1:12" x14ac:dyDescent="0.25">
      <c r="A1193" s="6">
        <v>14</v>
      </c>
      <c r="B1193" s="6">
        <v>2025</v>
      </c>
      <c r="C1193" s="7">
        <v>45790</v>
      </c>
      <c r="D1193" s="6" t="s">
        <v>83</v>
      </c>
      <c r="E1193" s="6" t="s">
        <v>85</v>
      </c>
      <c r="F1193" s="6">
        <v>3</v>
      </c>
      <c r="G1193" s="6" t="s">
        <v>46</v>
      </c>
      <c r="H1193" s="6">
        <v>1</v>
      </c>
      <c r="I1193" s="6">
        <v>14</v>
      </c>
      <c r="J1193" s="6">
        <v>7</v>
      </c>
      <c r="K1193" s="6" t="s">
        <v>38</v>
      </c>
      <c r="L1193" s="6" t="str">
        <f>VLOOKUP(K1193, 'Alphabetical by species code'!A:B, 2, FALSE)</f>
        <v>Thatch</v>
      </c>
    </row>
    <row r="1194" spans="1:12" x14ac:dyDescent="0.25">
      <c r="A1194" s="6">
        <v>14</v>
      </c>
      <c r="B1194" s="6">
        <v>2025</v>
      </c>
      <c r="C1194" s="7">
        <v>45790</v>
      </c>
      <c r="D1194" s="6" t="s">
        <v>83</v>
      </c>
      <c r="E1194" s="6" t="s">
        <v>85</v>
      </c>
      <c r="F1194" s="6">
        <v>3</v>
      </c>
      <c r="G1194" s="6" t="s">
        <v>46</v>
      </c>
      <c r="H1194" s="6">
        <v>1</v>
      </c>
      <c r="I1194" s="6">
        <v>14</v>
      </c>
      <c r="J1194" s="6">
        <v>7</v>
      </c>
      <c r="K1194" s="6" t="s">
        <v>64</v>
      </c>
      <c r="L1194" s="6" t="str">
        <f>VLOOKUP(K1194, 'Alphabetical by species code'!A:B, 2, FALSE)</f>
        <v>Brassica nigra</v>
      </c>
    </row>
    <row r="1195" spans="1:12" x14ac:dyDescent="0.25">
      <c r="A1195" s="6">
        <v>14</v>
      </c>
      <c r="B1195" s="6">
        <v>2025</v>
      </c>
      <c r="C1195" s="7">
        <v>45790</v>
      </c>
      <c r="D1195" s="6" t="s">
        <v>83</v>
      </c>
      <c r="E1195" s="6" t="s">
        <v>85</v>
      </c>
      <c r="F1195" s="6">
        <v>3</v>
      </c>
      <c r="G1195" s="6" t="s">
        <v>46</v>
      </c>
      <c r="H1195" s="6">
        <v>1</v>
      </c>
      <c r="I1195" s="6">
        <v>14</v>
      </c>
      <c r="J1195" s="6">
        <v>7</v>
      </c>
      <c r="K1195" s="6" t="s">
        <v>36</v>
      </c>
      <c r="L1195" s="6" t="str">
        <f>VLOOKUP(K1195, 'Alphabetical by species code'!A:B, 2, FALSE)</f>
        <v>Bromus madritensis</v>
      </c>
    </row>
    <row r="1196" spans="1:12" x14ac:dyDescent="0.25">
      <c r="A1196" s="6">
        <v>14</v>
      </c>
      <c r="B1196" s="6">
        <v>2025</v>
      </c>
      <c r="C1196" s="7">
        <v>45790</v>
      </c>
      <c r="D1196" s="6" t="s">
        <v>83</v>
      </c>
      <c r="E1196" s="6" t="s">
        <v>85</v>
      </c>
      <c r="F1196" s="6">
        <v>3</v>
      </c>
      <c r="G1196" s="6" t="s">
        <v>46</v>
      </c>
      <c r="H1196" s="6">
        <v>1</v>
      </c>
      <c r="I1196" s="6">
        <v>14</v>
      </c>
      <c r="J1196" s="6">
        <v>7</v>
      </c>
      <c r="K1196" s="6" t="s">
        <v>31</v>
      </c>
      <c r="L1196" s="6" t="str">
        <f>VLOOKUP(K1196, 'Alphabetical by species code'!A:B, 2, FALSE)</f>
        <v>Festuca myuros</v>
      </c>
    </row>
    <row r="1197" spans="1:12" x14ac:dyDescent="0.25">
      <c r="A1197" s="6">
        <v>14</v>
      </c>
      <c r="B1197" s="6">
        <v>2025</v>
      </c>
      <c r="C1197" s="7">
        <v>45790</v>
      </c>
      <c r="D1197" s="6" t="s">
        <v>83</v>
      </c>
      <c r="E1197" s="6" t="s">
        <v>85</v>
      </c>
      <c r="F1197" s="6">
        <v>3</v>
      </c>
      <c r="G1197" s="6" t="s">
        <v>46</v>
      </c>
      <c r="H1197" s="6">
        <v>1</v>
      </c>
      <c r="I1197" s="6">
        <v>15</v>
      </c>
      <c r="J1197" s="6">
        <v>7.5</v>
      </c>
      <c r="K1197" s="6" t="s">
        <v>38</v>
      </c>
      <c r="L1197" s="6" t="str">
        <f>VLOOKUP(K1197, 'Alphabetical by species code'!A:B, 2, FALSE)</f>
        <v>Thatch</v>
      </c>
    </row>
    <row r="1198" spans="1:12" x14ac:dyDescent="0.25">
      <c r="A1198" s="6">
        <v>14</v>
      </c>
      <c r="B1198" s="6">
        <v>2025</v>
      </c>
      <c r="C1198" s="7">
        <v>45790</v>
      </c>
      <c r="D1198" s="6" t="s">
        <v>83</v>
      </c>
      <c r="E1198" s="6" t="s">
        <v>85</v>
      </c>
      <c r="F1198" s="6">
        <v>3</v>
      </c>
      <c r="G1198" s="6" t="s">
        <v>46</v>
      </c>
      <c r="H1198" s="6">
        <v>1</v>
      </c>
      <c r="I1198" s="6">
        <v>15</v>
      </c>
      <c r="J1198" s="6">
        <v>7.5</v>
      </c>
      <c r="K1198" s="6" t="s">
        <v>40</v>
      </c>
      <c r="L1198" s="6" t="str">
        <f>VLOOKUP(K1198, 'Alphabetical by species code'!A:B, 2, FALSE)</f>
        <v>Cylindropuntia prolifera</v>
      </c>
    </row>
    <row r="1199" spans="1:12" x14ac:dyDescent="0.25">
      <c r="A1199" s="6">
        <v>14</v>
      </c>
      <c r="B1199" s="6">
        <v>2025</v>
      </c>
      <c r="C1199" s="7">
        <v>45790</v>
      </c>
      <c r="D1199" s="6" t="s">
        <v>83</v>
      </c>
      <c r="E1199" s="6" t="s">
        <v>85</v>
      </c>
      <c r="F1199" s="6">
        <v>3</v>
      </c>
      <c r="G1199" s="6" t="s">
        <v>46</v>
      </c>
      <c r="H1199" s="6">
        <v>1</v>
      </c>
      <c r="I1199" s="6">
        <v>15</v>
      </c>
      <c r="J1199" s="6">
        <v>7.5</v>
      </c>
      <c r="K1199" s="6" t="s">
        <v>36</v>
      </c>
      <c r="L1199" s="6" t="str">
        <f>VLOOKUP(K1199, 'Alphabetical by species code'!A:B, 2, FALSE)</f>
        <v>Bromus madritensis</v>
      </c>
    </row>
    <row r="1200" spans="1:12" x14ac:dyDescent="0.25">
      <c r="A1200" s="6">
        <v>14</v>
      </c>
      <c r="B1200" s="6">
        <v>2025</v>
      </c>
      <c r="C1200" s="7">
        <v>45790</v>
      </c>
      <c r="D1200" s="6" t="s">
        <v>83</v>
      </c>
      <c r="E1200" s="6" t="s">
        <v>85</v>
      </c>
      <c r="F1200" s="6">
        <v>3</v>
      </c>
      <c r="G1200" s="6" t="s">
        <v>46</v>
      </c>
      <c r="H1200" s="6">
        <v>1</v>
      </c>
      <c r="I1200" s="6">
        <v>15</v>
      </c>
      <c r="J1200" s="6">
        <v>7.5</v>
      </c>
      <c r="K1200" s="6" t="s">
        <v>31</v>
      </c>
      <c r="L1200" s="6" t="str">
        <f>VLOOKUP(K1200, 'Alphabetical by species code'!A:B, 2, FALSE)</f>
        <v>Festuca myuros</v>
      </c>
    </row>
    <row r="1201" spans="1:12" x14ac:dyDescent="0.25">
      <c r="A1201" s="6">
        <v>14</v>
      </c>
      <c r="B1201" s="6">
        <v>2025</v>
      </c>
      <c r="C1201" s="7">
        <v>45790</v>
      </c>
      <c r="D1201" s="6" t="s">
        <v>83</v>
      </c>
      <c r="E1201" s="6" t="s">
        <v>85</v>
      </c>
      <c r="F1201" s="6">
        <v>3</v>
      </c>
      <c r="G1201" s="6" t="s">
        <v>46</v>
      </c>
      <c r="H1201" s="6">
        <v>1</v>
      </c>
      <c r="I1201" s="6">
        <v>15</v>
      </c>
      <c r="J1201" s="6">
        <v>7.5</v>
      </c>
      <c r="K1201" s="6" t="s">
        <v>64</v>
      </c>
      <c r="L1201" s="6" t="str">
        <f>VLOOKUP(K1201, 'Alphabetical by species code'!A:B, 2, FALSE)</f>
        <v>Brassica nigra</v>
      </c>
    </row>
    <row r="1202" spans="1:12" x14ac:dyDescent="0.25">
      <c r="A1202" s="6">
        <v>14</v>
      </c>
      <c r="B1202" s="6">
        <v>2025</v>
      </c>
      <c r="C1202" s="7">
        <v>45790</v>
      </c>
      <c r="D1202" s="6" t="s">
        <v>83</v>
      </c>
      <c r="E1202" s="6" t="s">
        <v>85</v>
      </c>
      <c r="F1202" s="6">
        <v>3</v>
      </c>
      <c r="G1202" s="6" t="s">
        <v>46</v>
      </c>
      <c r="H1202" s="6">
        <v>2</v>
      </c>
      <c r="I1202" s="6">
        <v>1</v>
      </c>
      <c r="J1202" s="6">
        <v>0</v>
      </c>
      <c r="K1202" s="6" t="s">
        <v>28</v>
      </c>
      <c r="L1202" s="6" t="str">
        <f>VLOOKUP(K1202, 'Alphabetical by species code'!A:B, 2, FALSE)</f>
        <v>Litter</v>
      </c>
    </row>
    <row r="1203" spans="1:12" x14ac:dyDescent="0.25">
      <c r="A1203" s="6">
        <v>14</v>
      </c>
      <c r="B1203" s="6">
        <v>2025</v>
      </c>
      <c r="C1203" s="7">
        <v>45790</v>
      </c>
      <c r="D1203" s="6" t="s">
        <v>83</v>
      </c>
      <c r="E1203" s="6" t="s">
        <v>85</v>
      </c>
      <c r="F1203" s="6">
        <v>3</v>
      </c>
      <c r="G1203" s="6" t="s">
        <v>46</v>
      </c>
      <c r="H1203" s="6">
        <v>2</v>
      </c>
      <c r="I1203" s="6">
        <v>1</v>
      </c>
      <c r="J1203" s="6">
        <v>0</v>
      </c>
      <c r="K1203" s="6" t="s">
        <v>42</v>
      </c>
      <c r="L1203" s="6" t="str">
        <f>VLOOKUP(K1203, 'Alphabetical by species code'!A:B, 2, FALSE)</f>
        <v>Centaurea melitensis</v>
      </c>
    </row>
    <row r="1204" spans="1:12" x14ac:dyDescent="0.25">
      <c r="A1204" s="6">
        <v>14</v>
      </c>
      <c r="B1204" s="6">
        <v>2025</v>
      </c>
      <c r="C1204" s="7">
        <v>45790</v>
      </c>
      <c r="D1204" s="6" t="s">
        <v>83</v>
      </c>
      <c r="E1204" s="6" t="s">
        <v>85</v>
      </c>
      <c r="F1204" s="6">
        <v>3</v>
      </c>
      <c r="G1204" s="6" t="s">
        <v>46</v>
      </c>
      <c r="H1204" s="6">
        <v>2</v>
      </c>
      <c r="I1204" s="6">
        <v>2</v>
      </c>
      <c r="J1204" s="6">
        <v>0.5</v>
      </c>
      <c r="K1204" s="6" t="s">
        <v>51</v>
      </c>
      <c r="L1204" s="6" t="str">
        <f>VLOOKUP(K1204, 'Alphabetical by species code'!A:B, 2, FALSE)</f>
        <v>Bareground</v>
      </c>
    </row>
    <row r="1205" spans="1:12" x14ac:dyDescent="0.25">
      <c r="A1205" s="6">
        <v>14</v>
      </c>
      <c r="B1205" s="6">
        <v>2025</v>
      </c>
      <c r="C1205" s="7">
        <v>45790</v>
      </c>
      <c r="D1205" s="6" t="s">
        <v>83</v>
      </c>
      <c r="E1205" s="6" t="s">
        <v>85</v>
      </c>
      <c r="F1205" s="6">
        <v>3</v>
      </c>
      <c r="G1205" s="6" t="s">
        <v>46</v>
      </c>
      <c r="H1205" s="6">
        <v>2</v>
      </c>
      <c r="I1205" s="6">
        <v>2</v>
      </c>
      <c r="J1205" s="6">
        <v>0.5</v>
      </c>
      <c r="K1205" s="6" t="s">
        <v>64</v>
      </c>
      <c r="L1205" s="6" t="str">
        <f>VLOOKUP(K1205, 'Alphabetical by species code'!A:B, 2, FALSE)</f>
        <v>Brassica nigra</v>
      </c>
    </row>
    <row r="1206" spans="1:12" x14ac:dyDescent="0.25">
      <c r="A1206" s="6">
        <v>14</v>
      </c>
      <c r="B1206" s="6">
        <v>2025</v>
      </c>
      <c r="C1206" s="7">
        <v>45790</v>
      </c>
      <c r="D1206" s="6" t="s">
        <v>83</v>
      </c>
      <c r="E1206" s="6" t="s">
        <v>85</v>
      </c>
      <c r="F1206" s="6">
        <v>3</v>
      </c>
      <c r="G1206" s="6" t="s">
        <v>46</v>
      </c>
      <c r="H1206" s="6">
        <v>2</v>
      </c>
      <c r="I1206" s="6">
        <v>2</v>
      </c>
      <c r="J1206" s="6">
        <v>0.5</v>
      </c>
      <c r="K1206" s="6" t="s">
        <v>29</v>
      </c>
      <c r="L1206" s="6" t="str">
        <f>VLOOKUP(K1206, 'Alphabetical by species code'!A:B, 2, FALSE)</f>
        <v>Opuntia littoralis</v>
      </c>
    </row>
    <row r="1207" spans="1:12" x14ac:dyDescent="0.25">
      <c r="A1207" s="6">
        <v>14</v>
      </c>
      <c r="B1207" s="6">
        <v>2025</v>
      </c>
      <c r="C1207" s="7">
        <v>45790</v>
      </c>
      <c r="D1207" s="6" t="s">
        <v>83</v>
      </c>
      <c r="E1207" s="6" t="s">
        <v>85</v>
      </c>
      <c r="F1207" s="6">
        <v>3</v>
      </c>
      <c r="G1207" s="6" t="s">
        <v>46</v>
      </c>
      <c r="H1207" s="6">
        <v>2</v>
      </c>
      <c r="I1207" s="6">
        <v>3</v>
      </c>
      <c r="J1207" s="6">
        <v>1</v>
      </c>
      <c r="K1207" s="6" t="s">
        <v>28</v>
      </c>
      <c r="L1207" s="6" t="str">
        <f>VLOOKUP(K1207, 'Alphabetical by species code'!A:B, 2, FALSE)</f>
        <v>Litter</v>
      </c>
    </row>
    <row r="1208" spans="1:12" x14ac:dyDescent="0.25">
      <c r="A1208" s="6">
        <v>14</v>
      </c>
      <c r="B1208" s="6">
        <v>2025</v>
      </c>
      <c r="C1208" s="7">
        <v>45790</v>
      </c>
      <c r="D1208" s="6" t="s">
        <v>83</v>
      </c>
      <c r="E1208" s="6" t="s">
        <v>85</v>
      </c>
      <c r="F1208" s="6">
        <v>3</v>
      </c>
      <c r="G1208" s="6" t="s">
        <v>46</v>
      </c>
      <c r="H1208" s="6">
        <v>2</v>
      </c>
      <c r="I1208" s="6">
        <v>3</v>
      </c>
      <c r="J1208" s="6">
        <v>1</v>
      </c>
      <c r="K1208" s="6" t="s">
        <v>36</v>
      </c>
      <c r="L1208" s="6" t="str">
        <f>VLOOKUP(K1208, 'Alphabetical by species code'!A:B, 2, FALSE)</f>
        <v>Bromus madritensis</v>
      </c>
    </row>
    <row r="1209" spans="1:12" x14ac:dyDescent="0.25">
      <c r="A1209" s="6">
        <v>14</v>
      </c>
      <c r="B1209" s="6">
        <v>2025</v>
      </c>
      <c r="C1209" s="7">
        <v>45790</v>
      </c>
      <c r="D1209" s="6" t="s">
        <v>83</v>
      </c>
      <c r="E1209" s="6" t="s">
        <v>85</v>
      </c>
      <c r="F1209" s="6">
        <v>3</v>
      </c>
      <c r="G1209" s="6" t="s">
        <v>46</v>
      </c>
      <c r="H1209" s="6">
        <v>2</v>
      </c>
      <c r="I1209" s="6">
        <v>4</v>
      </c>
      <c r="J1209" s="6">
        <v>1.5</v>
      </c>
      <c r="K1209" s="6" t="s">
        <v>28</v>
      </c>
      <c r="L1209" s="6" t="str">
        <f>VLOOKUP(K1209, 'Alphabetical by species code'!A:B, 2, FALSE)</f>
        <v>Litter</v>
      </c>
    </row>
    <row r="1210" spans="1:12" x14ac:dyDescent="0.25">
      <c r="A1210" s="6">
        <v>14</v>
      </c>
      <c r="B1210" s="6">
        <v>2025</v>
      </c>
      <c r="C1210" s="7">
        <v>45790</v>
      </c>
      <c r="D1210" s="6" t="s">
        <v>83</v>
      </c>
      <c r="E1210" s="6" t="s">
        <v>85</v>
      </c>
      <c r="F1210" s="6">
        <v>3</v>
      </c>
      <c r="G1210" s="6" t="s">
        <v>46</v>
      </c>
      <c r="H1210" s="6">
        <v>2</v>
      </c>
      <c r="I1210" s="6">
        <v>4</v>
      </c>
      <c r="J1210" s="6">
        <v>1.5</v>
      </c>
      <c r="K1210" s="6" t="s">
        <v>36</v>
      </c>
      <c r="L1210" s="6" t="str">
        <f>VLOOKUP(K1210, 'Alphabetical by species code'!A:B, 2, FALSE)</f>
        <v>Bromus madritensis</v>
      </c>
    </row>
    <row r="1211" spans="1:12" x14ac:dyDescent="0.25">
      <c r="A1211" s="6">
        <v>14</v>
      </c>
      <c r="B1211" s="6">
        <v>2025</v>
      </c>
      <c r="C1211" s="7">
        <v>45790</v>
      </c>
      <c r="D1211" s="6" t="s">
        <v>83</v>
      </c>
      <c r="E1211" s="6" t="s">
        <v>85</v>
      </c>
      <c r="F1211" s="6">
        <v>3</v>
      </c>
      <c r="G1211" s="6" t="s">
        <v>46</v>
      </c>
      <c r="H1211" s="6">
        <v>2</v>
      </c>
      <c r="I1211" s="6">
        <v>4</v>
      </c>
      <c r="J1211" s="6">
        <v>1.5</v>
      </c>
      <c r="K1211" s="6" t="s">
        <v>47</v>
      </c>
      <c r="L1211" s="6" t="str">
        <f>VLOOKUP(K1211, 'Alphabetical by species code'!A:B, 2, FALSE)</f>
        <v>Sonchus species</v>
      </c>
    </row>
    <row r="1212" spans="1:12" x14ac:dyDescent="0.25">
      <c r="A1212" s="6">
        <v>14</v>
      </c>
      <c r="B1212" s="6">
        <v>2025</v>
      </c>
      <c r="C1212" s="7">
        <v>45790</v>
      </c>
      <c r="D1212" s="6" t="s">
        <v>83</v>
      </c>
      <c r="E1212" s="6" t="s">
        <v>85</v>
      </c>
      <c r="F1212" s="6">
        <v>3</v>
      </c>
      <c r="G1212" s="6" t="s">
        <v>46</v>
      </c>
      <c r="H1212" s="6">
        <v>2</v>
      </c>
      <c r="I1212" s="6">
        <v>5</v>
      </c>
      <c r="J1212" s="6">
        <v>2.5</v>
      </c>
      <c r="K1212" s="6" t="s">
        <v>28</v>
      </c>
      <c r="L1212" s="6" t="str">
        <f>VLOOKUP(K1212, 'Alphabetical by species code'!A:B, 2, FALSE)</f>
        <v>Litter</v>
      </c>
    </row>
    <row r="1213" spans="1:12" x14ac:dyDescent="0.25">
      <c r="A1213" s="6">
        <v>14</v>
      </c>
      <c r="B1213" s="6">
        <v>2025</v>
      </c>
      <c r="C1213" s="7">
        <v>45790</v>
      </c>
      <c r="D1213" s="6" t="s">
        <v>83</v>
      </c>
      <c r="E1213" s="6" t="s">
        <v>85</v>
      </c>
      <c r="F1213" s="6">
        <v>3</v>
      </c>
      <c r="G1213" s="6" t="s">
        <v>46</v>
      </c>
      <c r="H1213" s="6">
        <v>2</v>
      </c>
      <c r="I1213" s="6">
        <v>5</v>
      </c>
      <c r="J1213" s="6">
        <v>2.5</v>
      </c>
      <c r="K1213" s="6" t="s">
        <v>36</v>
      </c>
      <c r="L1213" s="6" t="str">
        <f>VLOOKUP(K1213, 'Alphabetical by species code'!A:B, 2, FALSE)</f>
        <v>Bromus madritensis</v>
      </c>
    </row>
    <row r="1214" spans="1:12" x14ac:dyDescent="0.25">
      <c r="A1214" s="6">
        <v>14</v>
      </c>
      <c r="B1214" s="6">
        <v>2025</v>
      </c>
      <c r="C1214" s="7">
        <v>45790</v>
      </c>
      <c r="D1214" s="6" t="s">
        <v>83</v>
      </c>
      <c r="E1214" s="6" t="s">
        <v>85</v>
      </c>
      <c r="F1214" s="6">
        <v>3</v>
      </c>
      <c r="G1214" s="6" t="s">
        <v>46</v>
      </c>
      <c r="H1214" s="6">
        <v>2</v>
      </c>
      <c r="I1214" s="6">
        <v>5</v>
      </c>
      <c r="J1214" s="6">
        <v>2.5</v>
      </c>
      <c r="K1214" s="6" t="s">
        <v>42</v>
      </c>
      <c r="L1214" s="6" t="str">
        <f>VLOOKUP(K1214, 'Alphabetical by species code'!A:B, 2, FALSE)</f>
        <v>Centaurea melitensis</v>
      </c>
    </row>
    <row r="1215" spans="1:12" x14ac:dyDescent="0.25">
      <c r="A1215" s="6">
        <v>14</v>
      </c>
      <c r="B1215" s="6">
        <v>2025</v>
      </c>
      <c r="C1215" s="7">
        <v>45790</v>
      </c>
      <c r="D1215" s="6" t="s">
        <v>83</v>
      </c>
      <c r="E1215" s="6" t="s">
        <v>85</v>
      </c>
      <c r="F1215" s="6">
        <v>3</v>
      </c>
      <c r="G1215" s="6" t="s">
        <v>46</v>
      </c>
      <c r="H1215" s="6">
        <v>2</v>
      </c>
      <c r="I1215" s="6">
        <v>6</v>
      </c>
      <c r="J1215" s="6">
        <v>3</v>
      </c>
      <c r="K1215" s="6" t="s">
        <v>28</v>
      </c>
      <c r="L1215" s="6" t="str">
        <f>VLOOKUP(K1215, 'Alphabetical by species code'!A:B, 2, FALSE)</f>
        <v>Litter</v>
      </c>
    </row>
    <row r="1216" spans="1:12" x14ac:dyDescent="0.25">
      <c r="A1216" s="6">
        <v>14</v>
      </c>
      <c r="B1216" s="6">
        <v>2025</v>
      </c>
      <c r="C1216" s="7">
        <v>45790</v>
      </c>
      <c r="D1216" s="6" t="s">
        <v>83</v>
      </c>
      <c r="E1216" s="6" t="s">
        <v>85</v>
      </c>
      <c r="F1216" s="6">
        <v>3</v>
      </c>
      <c r="G1216" s="6" t="s">
        <v>46</v>
      </c>
      <c r="H1216" s="6">
        <v>2</v>
      </c>
      <c r="I1216" s="6">
        <v>6</v>
      </c>
      <c r="J1216" s="6">
        <v>3</v>
      </c>
      <c r="K1216" s="6" t="s">
        <v>64</v>
      </c>
      <c r="L1216" s="6" t="str">
        <f>VLOOKUP(K1216, 'Alphabetical by species code'!A:B, 2, FALSE)</f>
        <v>Brassica nigra</v>
      </c>
    </row>
    <row r="1217" spans="1:12" x14ac:dyDescent="0.25">
      <c r="A1217" s="6">
        <v>14</v>
      </c>
      <c r="B1217" s="6">
        <v>2025</v>
      </c>
      <c r="C1217" s="7">
        <v>45790</v>
      </c>
      <c r="D1217" s="6" t="s">
        <v>83</v>
      </c>
      <c r="E1217" s="6" t="s">
        <v>85</v>
      </c>
      <c r="F1217" s="6">
        <v>3</v>
      </c>
      <c r="G1217" s="6" t="s">
        <v>46</v>
      </c>
      <c r="H1217" s="6">
        <v>2</v>
      </c>
      <c r="I1217" s="6">
        <v>6</v>
      </c>
      <c r="J1217" s="6">
        <v>3</v>
      </c>
      <c r="K1217" s="6" t="s">
        <v>36</v>
      </c>
      <c r="L1217" s="6" t="str">
        <f>VLOOKUP(K1217, 'Alphabetical by species code'!A:B, 2, FALSE)</f>
        <v>Bromus madritensis</v>
      </c>
    </row>
    <row r="1218" spans="1:12" x14ac:dyDescent="0.25">
      <c r="A1218" s="6">
        <v>14</v>
      </c>
      <c r="B1218" s="6">
        <v>2025</v>
      </c>
      <c r="C1218" s="7">
        <v>45790</v>
      </c>
      <c r="D1218" s="6" t="s">
        <v>83</v>
      </c>
      <c r="E1218" s="6" t="s">
        <v>85</v>
      </c>
      <c r="F1218" s="6">
        <v>3</v>
      </c>
      <c r="G1218" s="6" t="s">
        <v>46</v>
      </c>
      <c r="H1218" s="6">
        <v>2</v>
      </c>
      <c r="I1218" s="6">
        <v>6</v>
      </c>
      <c r="J1218" s="6">
        <v>3</v>
      </c>
      <c r="K1218" s="6" t="s">
        <v>31</v>
      </c>
      <c r="L1218" s="6" t="str">
        <f>VLOOKUP(K1218, 'Alphabetical by species code'!A:B, 2, FALSE)</f>
        <v>Festuca myuros</v>
      </c>
    </row>
    <row r="1219" spans="1:12" x14ac:dyDescent="0.25">
      <c r="A1219" s="6">
        <v>14</v>
      </c>
      <c r="B1219" s="6">
        <v>2025</v>
      </c>
      <c r="C1219" s="7">
        <v>45790</v>
      </c>
      <c r="D1219" s="6" t="s">
        <v>83</v>
      </c>
      <c r="E1219" s="6" t="s">
        <v>85</v>
      </c>
      <c r="F1219" s="6">
        <v>3</v>
      </c>
      <c r="G1219" s="6" t="s">
        <v>46</v>
      </c>
      <c r="H1219" s="6">
        <v>2</v>
      </c>
      <c r="I1219" s="6">
        <v>7</v>
      </c>
      <c r="J1219" s="6">
        <v>3.5</v>
      </c>
      <c r="K1219" s="6" t="s">
        <v>28</v>
      </c>
      <c r="L1219" s="6" t="str">
        <f>VLOOKUP(K1219, 'Alphabetical by species code'!A:B, 2, FALSE)</f>
        <v>Litter</v>
      </c>
    </row>
    <row r="1220" spans="1:12" x14ac:dyDescent="0.25">
      <c r="A1220" s="6">
        <v>14</v>
      </c>
      <c r="B1220" s="6">
        <v>2025</v>
      </c>
      <c r="C1220" s="7">
        <v>45790</v>
      </c>
      <c r="D1220" s="6" t="s">
        <v>83</v>
      </c>
      <c r="E1220" s="6" t="s">
        <v>85</v>
      </c>
      <c r="F1220" s="6">
        <v>3</v>
      </c>
      <c r="G1220" s="6" t="s">
        <v>46</v>
      </c>
      <c r="H1220" s="6">
        <v>2</v>
      </c>
      <c r="I1220" s="6">
        <v>7</v>
      </c>
      <c r="J1220" s="6">
        <v>3.5</v>
      </c>
      <c r="K1220" s="6" t="s">
        <v>64</v>
      </c>
      <c r="L1220" s="6" t="str">
        <f>VLOOKUP(K1220, 'Alphabetical by species code'!A:B, 2, FALSE)</f>
        <v>Brassica nigra</v>
      </c>
    </row>
    <row r="1221" spans="1:12" x14ac:dyDescent="0.25">
      <c r="A1221" s="6">
        <v>14</v>
      </c>
      <c r="B1221" s="6">
        <v>2025</v>
      </c>
      <c r="C1221" s="7">
        <v>45790</v>
      </c>
      <c r="D1221" s="6" t="s">
        <v>83</v>
      </c>
      <c r="E1221" s="6" t="s">
        <v>85</v>
      </c>
      <c r="F1221" s="6">
        <v>3</v>
      </c>
      <c r="G1221" s="6" t="s">
        <v>46</v>
      </c>
      <c r="H1221" s="6">
        <v>2</v>
      </c>
      <c r="I1221" s="6">
        <v>8</v>
      </c>
      <c r="J1221" s="6">
        <v>4</v>
      </c>
      <c r="K1221" s="6" t="s">
        <v>38</v>
      </c>
      <c r="L1221" s="6" t="str">
        <f>VLOOKUP(K1221, 'Alphabetical by species code'!A:B, 2, FALSE)</f>
        <v>Thatch</v>
      </c>
    </row>
    <row r="1222" spans="1:12" x14ac:dyDescent="0.25">
      <c r="A1222" s="6">
        <v>14</v>
      </c>
      <c r="B1222" s="6">
        <v>2025</v>
      </c>
      <c r="C1222" s="7">
        <v>45790</v>
      </c>
      <c r="D1222" s="6" t="s">
        <v>83</v>
      </c>
      <c r="E1222" s="6" t="s">
        <v>85</v>
      </c>
      <c r="F1222" s="6">
        <v>3</v>
      </c>
      <c r="G1222" s="6" t="s">
        <v>46</v>
      </c>
      <c r="H1222" s="6">
        <v>2</v>
      </c>
      <c r="I1222" s="6">
        <v>8</v>
      </c>
      <c r="J1222" s="6">
        <v>4</v>
      </c>
      <c r="K1222" s="6" t="s">
        <v>36</v>
      </c>
      <c r="L1222" s="6" t="str">
        <f>VLOOKUP(K1222, 'Alphabetical by species code'!A:B, 2, FALSE)</f>
        <v>Bromus madritensis</v>
      </c>
    </row>
    <row r="1223" spans="1:12" x14ac:dyDescent="0.25">
      <c r="A1223" s="6">
        <v>14</v>
      </c>
      <c r="B1223" s="6">
        <v>2025</v>
      </c>
      <c r="C1223" s="7">
        <v>45790</v>
      </c>
      <c r="D1223" s="6" t="s">
        <v>83</v>
      </c>
      <c r="E1223" s="6" t="s">
        <v>85</v>
      </c>
      <c r="F1223" s="6">
        <v>3</v>
      </c>
      <c r="G1223" s="6" t="s">
        <v>46</v>
      </c>
      <c r="H1223" s="6">
        <v>2</v>
      </c>
      <c r="I1223" s="6">
        <v>9</v>
      </c>
      <c r="J1223" s="6">
        <v>4.5</v>
      </c>
      <c r="K1223" s="6" t="s">
        <v>28</v>
      </c>
      <c r="L1223" s="6" t="str">
        <f>VLOOKUP(K1223, 'Alphabetical by species code'!A:B, 2, FALSE)</f>
        <v>Litter</v>
      </c>
    </row>
    <row r="1224" spans="1:12" x14ac:dyDescent="0.25">
      <c r="A1224" s="6">
        <v>14</v>
      </c>
      <c r="B1224" s="6">
        <v>2025</v>
      </c>
      <c r="C1224" s="7">
        <v>45790</v>
      </c>
      <c r="D1224" s="6" t="s">
        <v>83</v>
      </c>
      <c r="E1224" s="6" t="s">
        <v>85</v>
      </c>
      <c r="F1224" s="6">
        <v>3</v>
      </c>
      <c r="G1224" s="6" t="s">
        <v>46</v>
      </c>
      <c r="H1224" s="6">
        <v>2</v>
      </c>
      <c r="I1224" s="6">
        <v>9</v>
      </c>
      <c r="J1224" s="6">
        <v>4.5</v>
      </c>
      <c r="K1224" s="6" t="s">
        <v>44</v>
      </c>
      <c r="L1224" s="6" t="str">
        <f>VLOOKUP(K1224, 'Alphabetical by species code'!A:B, 2, FALSE)</f>
        <v>Amsinckia menziesii</v>
      </c>
    </row>
    <row r="1225" spans="1:12" x14ac:dyDescent="0.25">
      <c r="A1225" s="6">
        <v>14</v>
      </c>
      <c r="B1225" s="6">
        <v>2025</v>
      </c>
      <c r="C1225" s="7">
        <v>45790</v>
      </c>
      <c r="D1225" s="6" t="s">
        <v>83</v>
      </c>
      <c r="E1225" s="6" t="s">
        <v>85</v>
      </c>
      <c r="F1225" s="6">
        <v>3</v>
      </c>
      <c r="G1225" s="6" t="s">
        <v>46</v>
      </c>
      <c r="H1225" s="6">
        <v>2</v>
      </c>
      <c r="I1225" s="6">
        <v>10</v>
      </c>
      <c r="J1225" s="6">
        <v>5</v>
      </c>
      <c r="K1225" s="6" t="s">
        <v>28</v>
      </c>
      <c r="L1225" s="6" t="str">
        <f>VLOOKUP(K1225, 'Alphabetical by species code'!A:B, 2, FALSE)</f>
        <v>Litter</v>
      </c>
    </row>
    <row r="1226" spans="1:12" x14ac:dyDescent="0.25">
      <c r="A1226" s="6">
        <v>14</v>
      </c>
      <c r="B1226" s="6">
        <v>2025</v>
      </c>
      <c r="C1226" s="7">
        <v>45790</v>
      </c>
      <c r="D1226" s="6" t="s">
        <v>83</v>
      </c>
      <c r="E1226" s="6" t="s">
        <v>85</v>
      </c>
      <c r="F1226" s="6">
        <v>3</v>
      </c>
      <c r="G1226" s="6" t="s">
        <v>46</v>
      </c>
      <c r="H1226" s="6">
        <v>2</v>
      </c>
      <c r="I1226" s="6">
        <v>10</v>
      </c>
      <c r="J1226" s="6">
        <v>5</v>
      </c>
      <c r="K1226" s="6" t="s">
        <v>36</v>
      </c>
      <c r="L1226" s="6" t="str">
        <f>VLOOKUP(K1226, 'Alphabetical by species code'!A:B, 2, FALSE)</f>
        <v>Bromus madritensis</v>
      </c>
    </row>
    <row r="1227" spans="1:12" x14ac:dyDescent="0.25">
      <c r="A1227" s="6">
        <v>14</v>
      </c>
      <c r="B1227" s="6">
        <v>2025</v>
      </c>
      <c r="C1227" s="7">
        <v>45790</v>
      </c>
      <c r="D1227" s="6" t="s">
        <v>83</v>
      </c>
      <c r="E1227" s="6" t="s">
        <v>85</v>
      </c>
      <c r="F1227" s="6">
        <v>3</v>
      </c>
      <c r="G1227" s="6" t="s">
        <v>46</v>
      </c>
      <c r="H1227" s="6">
        <v>2</v>
      </c>
      <c r="I1227" s="6">
        <v>10</v>
      </c>
      <c r="J1227" s="6">
        <v>5</v>
      </c>
      <c r="K1227" s="6" t="s">
        <v>47</v>
      </c>
      <c r="L1227" s="6" t="str">
        <f>VLOOKUP(K1227, 'Alphabetical by species code'!A:B, 2, FALSE)</f>
        <v>Sonchus species</v>
      </c>
    </row>
    <row r="1228" spans="1:12" x14ac:dyDescent="0.25">
      <c r="A1228" s="6">
        <v>14</v>
      </c>
      <c r="B1228" s="6">
        <v>2025</v>
      </c>
      <c r="C1228" s="7">
        <v>45790</v>
      </c>
      <c r="D1228" s="6" t="s">
        <v>83</v>
      </c>
      <c r="E1228" s="6" t="s">
        <v>85</v>
      </c>
      <c r="F1228" s="6">
        <v>3</v>
      </c>
      <c r="G1228" s="6" t="s">
        <v>46</v>
      </c>
      <c r="H1228" s="6">
        <v>2</v>
      </c>
      <c r="I1228" s="6">
        <v>10</v>
      </c>
      <c r="J1228" s="6">
        <v>5</v>
      </c>
      <c r="K1228" s="6" t="s">
        <v>31</v>
      </c>
      <c r="L1228" s="6" t="str">
        <f>VLOOKUP(K1228, 'Alphabetical by species code'!A:B, 2, FALSE)</f>
        <v>Festuca myuros</v>
      </c>
    </row>
    <row r="1229" spans="1:12" x14ac:dyDescent="0.25">
      <c r="A1229" s="6">
        <v>14</v>
      </c>
      <c r="B1229" s="6">
        <v>2025</v>
      </c>
      <c r="C1229" s="7">
        <v>45790</v>
      </c>
      <c r="D1229" s="6" t="s">
        <v>83</v>
      </c>
      <c r="E1229" s="6" t="s">
        <v>85</v>
      </c>
      <c r="F1229" s="6">
        <v>3</v>
      </c>
      <c r="G1229" s="6" t="s">
        <v>46</v>
      </c>
      <c r="H1229" s="6">
        <v>2</v>
      </c>
      <c r="I1229" s="6">
        <v>11</v>
      </c>
      <c r="J1229" s="6">
        <v>5.5</v>
      </c>
      <c r="K1229" s="6" t="s">
        <v>38</v>
      </c>
      <c r="L1229" s="6" t="str">
        <f>VLOOKUP(K1229, 'Alphabetical by species code'!A:B, 2, FALSE)</f>
        <v>Thatch</v>
      </c>
    </row>
    <row r="1230" spans="1:12" x14ac:dyDescent="0.25">
      <c r="A1230" s="6">
        <v>14</v>
      </c>
      <c r="B1230" s="6">
        <v>2025</v>
      </c>
      <c r="C1230" s="7">
        <v>45790</v>
      </c>
      <c r="D1230" s="6" t="s">
        <v>83</v>
      </c>
      <c r="E1230" s="6" t="s">
        <v>85</v>
      </c>
      <c r="F1230" s="6">
        <v>3</v>
      </c>
      <c r="G1230" s="6" t="s">
        <v>46</v>
      </c>
      <c r="H1230" s="6">
        <v>2</v>
      </c>
      <c r="I1230" s="6">
        <v>12</v>
      </c>
      <c r="J1230" s="6">
        <v>6</v>
      </c>
      <c r="K1230" s="6" t="s">
        <v>38</v>
      </c>
      <c r="L1230" s="6" t="str">
        <f>VLOOKUP(K1230, 'Alphabetical by species code'!A:B, 2, FALSE)</f>
        <v>Thatch</v>
      </c>
    </row>
    <row r="1231" spans="1:12" x14ac:dyDescent="0.25">
      <c r="A1231" s="6">
        <v>14</v>
      </c>
      <c r="B1231" s="6">
        <v>2025</v>
      </c>
      <c r="C1231" s="7">
        <v>45790</v>
      </c>
      <c r="D1231" s="6" t="s">
        <v>83</v>
      </c>
      <c r="E1231" s="6" t="s">
        <v>85</v>
      </c>
      <c r="F1231" s="6">
        <v>3</v>
      </c>
      <c r="G1231" s="6" t="s">
        <v>46</v>
      </c>
      <c r="H1231" s="6">
        <v>2</v>
      </c>
      <c r="I1231" s="6">
        <v>12</v>
      </c>
      <c r="J1231" s="6">
        <v>6</v>
      </c>
      <c r="K1231" s="6" t="s">
        <v>44</v>
      </c>
      <c r="L1231" s="6" t="str">
        <f>VLOOKUP(K1231, 'Alphabetical by species code'!A:B, 2, FALSE)</f>
        <v>Amsinckia menziesii</v>
      </c>
    </row>
    <row r="1232" spans="1:12" x14ac:dyDescent="0.25">
      <c r="A1232" s="6">
        <v>14</v>
      </c>
      <c r="B1232" s="6">
        <v>2025</v>
      </c>
      <c r="C1232" s="7">
        <v>45790</v>
      </c>
      <c r="D1232" s="6" t="s">
        <v>83</v>
      </c>
      <c r="E1232" s="6" t="s">
        <v>85</v>
      </c>
      <c r="F1232" s="6">
        <v>3</v>
      </c>
      <c r="G1232" s="6" t="s">
        <v>46</v>
      </c>
      <c r="H1232" s="6">
        <v>2</v>
      </c>
      <c r="I1232" s="6">
        <v>12</v>
      </c>
      <c r="J1232" s="6">
        <v>6</v>
      </c>
      <c r="K1232" s="6" t="s">
        <v>31</v>
      </c>
      <c r="L1232" s="6" t="str">
        <f>VLOOKUP(K1232, 'Alphabetical by species code'!A:B, 2, FALSE)</f>
        <v>Festuca myuros</v>
      </c>
    </row>
    <row r="1233" spans="1:12" x14ac:dyDescent="0.25">
      <c r="A1233" s="6">
        <v>14</v>
      </c>
      <c r="B1233" s="6">
        <v>2025</v>
      </c>
      <c r="C1233" s="7">
        <v>45790</v>
      </c>
      <c r="D1233" s="6" t="s">
        <v>83</v>
      </c>
      <c r="E1233" s="6" t="s">
        <v>85</v>
      </c>
      <c r="F1233" s="6">
        <v>3</v>
      </c>
      <c r="G1233" s="6" t="s">
        <v>46</v>
      </c>
      <c r="H1233" s="6">
        <v>2</v>
      </c>
      <c r="I1233" s="6">
        <v>12</v>
      </c>
      <c r="J1233" s="6">
        <v>6</v>
      </c>
      <c r="K1233" s="6" t="s">
        <v>29</v>
      </c>
      <c r="L1233" s="6" t="str">
        <f>VLOOKUP(K1233, 'Alphabetical by species code'!A:B, 2, FALSE)</f>
        <v>Opuntia littoralis</v>
      </c>
    </row>
    <row r="1234" spans="1:12" x14ac:dyDescent="0.25">
      <c r="A1234" s="6">
        <v>14</v>
      </c>
      <c r="B1234" s="6">
        <v>2025</v>
      </c>
      <c r="C1234" s="7">
        <v>45790</v>
      </c>
      <c r="D1234" s="6" t="s">
        <v>83</v>
      </c>
      <c r="E1234" s="6" t="s">
        <v>85</v>
      </c>
      <c r="F1234" s="6">
        <v>3</v>
      </c>
      <c r="G1234" s="6" t="s">
        <v>46</v>
      </c>
      <c r="H1234" s="6">
        <v>2</v>
      </c>
      <c r="I1234" s="6">
        <v>13</v>
      </c>
      <c r="J1234" s="6">
        <v>6.5</v>
      </c>
      <c r="K1234" s="6" t="s">
        <v>28</v>
      </c>
      <c r="L1234" s="6" t="str">
        <f>VLOOKUP(K1234, 'Alphabetical by species code'!A:B, 2, FALSE)</f>
        <v>Litter</v>
      </c>
    </row>
    <row r="1235" spans="1:12" x14ac:dyDescent="0.25">
      <c r="A1235" s="6">
        <v>14</v>
      </c>
      <c r="B1235" s="6">
        <v>2025</v>
      </c>
      <c r="C1235" s="7">
        <v>45790</v>
      </c>
      <c r="D1235" s="6" t="s">
        <v>83</v>
      </c>
      <c r="E1235" s="6" t="s">
        <v>85</v>
      </c>
      <c r="F1235" s="6">
        <v>3</v>
      </c>
      <c r="G1235" s="6" t="s">
        <v>46</v>
      </c>
      <c r="H1235" s="6">
        <v>2</v>
      </c>
      <c r="I1235" s="6">
        <v>13</v>
      </c>
      <c r="J1235" s="6">
        <v>6.5</v>
      </c>
      <c r="K1235" s="6" t="s">
        <v>36</v>
      </c>
      <c r="L1235" s="6" t="str">
        <f>VLOOKUP(K1235, 'Alphabetical by species code'!A:B, 2, FALSE)</f>
        <v>Bromus madritensis</v>
      </c>
    </row>
    <row r="1236" spans="1:12" x14ac:dyDescent="0.25">
      <c r="A1236" s="6">
        <v>14</v>
      </c>
      <c r="B1236" s="6">
        <v>2025</v>
      </c>
      <c r="C1236" s="7">
        <v>45790</v>
      </c>
      <c r="D1236" s="6" t="s">
        <v>83</v>
      </c>
      <c r="E1236" s="6" t="s">
        <v>85</v>
      </c>
      <c r="F1236" s="6">
        <v>3</v>
      </c>
      <c r="G1236" s="6" t="s">
        <v>46</v>
      </c>
      <c r="H1236" s="6">
        <v>2</v>
      </c>
      <c r="I1236" s="6">
        <v>13</v>
      </c>
      <c r="J1236" s="6">
        <v>6.5</v>
      </c>
      <c r="K1236" s="6" t="s">
        <v>31</v>
      </c>
      <c r="L1236" s="6" t="str">
        <f>VLOOKUP(K1236, 'Alphabetical by species code'!A:B, 2, FALSE)</f>
        <v>Festuca myuros</v>
      </c>
    </row>
    <row r="1237" spans="1:12" x14ac:dyDescent="0.25">
      <c r="A1237" s="6">
        <v>14</v>
      </c>
      <c r="B1237" s="6">
        <v>2025</v>
      </c>
      <c r="C1237" s="7">
        <v>45790</v>
      </c>
      <c r="D1237" s="6" t="s">
        <v>83</v>
      </c>
      <c r="E1237" s="6" t="s">
        <v>85</v>
      </c>
      <c r="F1237" s="6">
        <v>3</v>
      </c>
      <c r="G1237" s="6" t="s">
        <v>46</v>
      </c>
      <c r="H1237" s="6">
        <v>2</v>
      </c>
      <c r="I1237" s="6">
        <v>14</v>
      </c>
      <c r="J1237" s="6">
        <v>7</v>
      </c>
      <c r="K1237" s="6" t="s">
        <v>28</v>
      </c>
      <c r="L1237" s="6" t="str">
        <f>VLOOKUP(K1237, 'Alphabetical by species code'!A:B, 2, FALSE)</f>
        <v>Litter</v>
      </c>
    </row>
    <row r="1238" spans="1:12" x14ac:dyDescent="0.25">
      <c r="A1238" s="6">
        <v>14</v>
      </c>
      <c r="B1238" s="6">
        <v>2025</v>
      </c>
      <c r="C1238" s="7">
        <v>45790</v>
      </c>
      <c r="D1238" s="6" t="s">
        <v>83</v>
      </c>
      <c r="E1238" s="6" t="s">
        <v>85</v>
      </c>
      <c r="F1238" s="6">
        <v>3</v>
      </c>
      <c r="G1238" s="6" t="s">
        <v>46</v>
      </c>
      <c r="H1238" s="6">
        <v>2</v>
      </c>
      <c r="I1238" s="6">
        <v>14</v>
      </c>
      <c r="J1238" s="6">
        <v>7</v>
      </c>
      <c r="K1238" s="6" t="s">
        <v>36</v>
      </c>
      <c r="L1238" s="6" t="str">
        <f>VLOOKUP(K1238, 'Alphabetical by species code'!A:B, 2, FALSE)</f>
        <v>Bromus madritensis</v>
      </c>
    </row>
    <row r="1239" spans="1:12" x14ac:dyDescent="0.25">
      <c r="A1239" s="6">
        <v>14</v>
      </c>
      <c r="B1239" s="6">
        <v>2025</v>
      </c>
      <c r="C1239" s="7">
        <v>45790</v>
      </c>
      <c r="D1239" s="6" t="s">
        <v>83</v>
      </c>
      <c r="E1239" s="6" t="s">
        <v>85</v>
      </c>
      <c r="F1239" s="6">
        <v>3</v>
      </c>
      <c r="G1239" s="6" t="s">
        <v>46</v>
      </c>
      <c r="H1239" s="6">
        <v>2</v>
      </c>
      <c r="I1239" s="6">
        <v>14</v>
      </c>
      <c r="J1239" s="6">
        <v>7</v>
      </c>
      <c r="K1239" s="6" t="s">
        <v>31</v>
      </c>
      <c r="L1239" s="6" t="str">
        <f>VLOOKUP(K1239, 'Alphabetical by species code'!A:B, 2, FALSE)</f>
        <v>Festuca myuros</v>
      </c>
    </row>
    <row r="1240" spans="1:12" x14ac:dyDescent="0.25">
      <c r="A1240" s="6">
        <v>14</v>
      </c>
      <c r="B1240" s="6">
        <v>2025</v>
      </c>
      <c r="C1240" s="7">
        <v>45790</v>
      </c>
      <c r="D1240" s="6" t="s">
        <v>83</v>
      </c>
      <c r="E1240" s="6" t="s">
        <v>85</v>
      </c>
      <c r="F1240" s="6">
        <v>3</v>
      </c>
      <c r="G1240" s="6" t="s">
        <v>46</v>
      </c>
      <c r="H1240" s="6">
        <v>2</v>
      </c>
      <c r="I1240" s="6">
        <v>15</v>
      </c>
      <c r="J1240" s="6">
        <v>7.5</v>
      </c>
      <c r="K1240" s="6" t="s">
        <v>28</v>
      </c>
      <c r="L1240" s="6" t="str">
        <f>VLOOKUP(K1240, 'Alphabetical by species code'!A:B, 2, FALSE)</f>
        <v>Litter</v>
      </c>
    </row>
    <row r="1241" spans="1:12" x14ac:dyDescent="0.25">
      <c r="A1241" s="6">
        <v>14</v>
      </c>
      <c r="B1241" s="6">
        <v>2025</v>
      </c>
      <c r="C1241" s="7">
        <v>45790</v>
      </c>
      <c r="D1241" s="6" t="s">
        <v>83</v>
      </c>
      <c r="E1241" s="6" t="s">
        <v>85</v>
      </c>
      <c r="F1241" s="6">
        <v>3</v>
      </c>
      <c r="G1241" s="6" t="s">
        <v>46</v>
      </c>
      <c r="H1241" s="6">
        <v>2</v>
      </c>
      <c r="I1241" s="6">
        <v>15</v>
      </c>
      <c r="J1241" s="6">
        <v>7.5</v>
      </c>
      <c r="K1241" s="6" t="s">
        <v>47</v>
      </c>
      <c r="L1241" s="6" t="str">
        <f>VLOOKUP(K1241, 'Alphabetical by species code'!A:B, 2, FALSE)</f>
        <v>Sonchus species</v>
      </c>
    </row>
    <row r="1242" spans="1:12" x14ac:dyDescent="0.25">
      <c r="A1242" s="6">
        <v>14</v>
      </c>
      <c r="B1242" s="6">
        <v>2025</v>
      </c>
      <c r="C1242" s="7">
        <v>45790</v>
      </c>
      <c r="D1242" s="6" t="s">
        <v>83</v>
      </c>
      <c r="E1242" s="6" t="s">
        <v>85</v>
      </c>
      <c r="F1242" s="6">
        <v>3</v>
      </c>
      <c r="G1242" s="6" t="s">
        <v>46</v>
      </c>
      <c r="H1242" s="6">
        <v>2</v>
      </c>
      <c r="I1242" s="6">
        <v>15</v>
      </c>
      <c r="J1242" s="6">
        <v>7.5</v>
      </c>
      <c r="K1242" s="6" t="s">
        <v>31</v>
      </c>
      <c r="L1242" s="6" t="str">
        <f>VLOOKUP(K1242, 'Alphabetical by species code'!A:B, 2, FALSE)</f>
        <v>Festuca myuros</v>
      </c>
    </row>
    <row r="1243" spans="1:12" x14ac:dyDescent="0.25">
      <c r="A1243" s="6">
        <v>15</v>
      </c>
      <c r="B1243" s="6">
        <v>2025</v>
      </c>
      <c r="C1243" s="7">
        <v>45790</v>
      </c>
      <c r="D1243" s="6" t="s">
        <v>92</v>
      </c>
      <c r="E1243" s="6" t="s">
        <v>85</v>
      </c>
      <c r="F1243" s="6">
        <v>3</v>
      </c>
      <c r="G1243" s="6" t="s">
        <v>63</v>
      </c>
      <c r="H1243" s="6">
        <v>1</v>
      </c>
      <c r="I1243" s="6">
        <v>1</v>
      </c>
      <c r="J1243" s="6">
        <v>0</v>
      </c>
      <c r="K1243" s="6" t="s">
        <v>51</v>
      </c>
      <c r="L1243" s="6" t="str">
        <f>VLOOKUP(K1243, 'Alphabetical by species code'!A:B, 2, FALSE)</f>
        <v>Bareground</v>
      </c>
    </row>
    <row r="1244" spans="1:12" x14ac:dyDescent="0.25">
      <c r="A1244" s="6">
        <v>15</v>
      </c>
      <c r="B1244" s="6">
        <v>2025</v>
      </c>
      <c r="C1244" s="7">
        <v>45790</v>
      </c>
      <c r="D1244" s="6" t="s">
        <v>92</v>
      </c>
      <c r="E1244" s="6" t="s">
        <v>85</v>
      </c>
      <c r="F1244" s="6">
        <v>3</v>
      </c>
      <c r="G1244" s="6" t="s">
        <v>63</v>
      </c>
      <c r="H1244" s="6">
        <v>1</v>
      </c>
      <c r="I1244" s="6">
        <v>1</v>
      </c>
      <c r="J1244" s="6">
        <v>0</v>
      </c>
      <c r="K1244" s="6" t="s">
        <v>73</v>
      </c>
      <c r="L1244" s="6" t="str">
        <f>VLOOKUP(K1244, 'Alphabetical by species code'!A:B, 2, FALSE)</f>
        <v>Eriogonum fasciculatum</v>
      </c>
    </row>
    <row r="1245" spans="1:12" x14ac:dyDescent="0.25">
      <c r="A1245" s="6">
        <v>15</v>
      </c>
      <c r="B1245" s="6">
        <v>2025</v>
      </c>
      <c r="C1245" s="7">
        <v>45790</v>
      </c>
      <c r="D1245" s="6" t="s">
        <v>92</v>
      </c>
      <c r="E1245" s="6" t="s">
        <v>85</v>
      </c>
      <c r="F1245" s="6">
        <v>3</v>
      </c>
      <c r="G1245" s="6" t="s">
        <v>63</v>
      </c>
      <c r="H1245" s="6">
        <v>1</v>
      </c>
      <c r="I1245" s="6">
        <v>2</v>
      </c>
      <c r="J1245" s="6">
        <v>1</v>
      </c>
      <c r="K1245" s="6" t="s">
        <v>38</v>
      </c>
      <c r="L1245" s="6" t="str">
        <f>VLOOKUP(K1245, 'Alphabetical by species code'!A:B, 2, FALSE)</f>
        <v>Thatch</v>
      </c>
    </row>
    <row r="1246" spans="1:12" x14ac:dyDescent="0.25">
      <c r="A1246" s="6">
        <v>15</v>
      </c>
      <c r="B1246" s="6">
        <v>2025</v>
      </c>
      <c r="C1246" s="7">
        <v>45790</v>
      </c>
      <c r="D1246" s="6" t="s">
        <v>92</v>
      </c>
      <c r="E1246" s="6" t="s">
        <v>85</v>
      </c>
      <c r="F1246" s="6">
        <v>3</v>
      </c>
      <c r="G1246" s="6" t="s">
        <v>63</v>
      </c>
      <c r="H1246" s="6">
        <v>1</v>
      </c>
      <c r="I1246" s="6">
        <v>2</v>
      </c>
      <c r="J1246" s="6">
        <v>1</v>
      </c>
      <c r="K1246" s="6" t="s">
        <v>31</v>
      </c>
      <c r="L1246" s="6" t="str">
        <f>VLOOKUP(K1246, 'Alphabetical by species code'!A:B, 2, FALSE)</f>
        <v>Festuca myuros</v>
      </c>
    </row>
    <row r="1247" spans="1:12" x14ac:dyDescent="0.25">
      <c r="A1247" s="6">
        <v>15</v>
      </c>
      <c r="B1247" s="6">
        <v>2025</v>
      </c>
      <c r="C1247" s="7">
        <v>45790</v>
      </c>
      <c r="D1247" s="6" t="s">
        <v>92</v>
      </c>
      <c r="E1247" s="6" t="s">
        <v>85</v>
      </c>
      <c r="F1247" s="6">
        <v>3</v>
      </c>
      <c r="G1247" s="6" t="s">
        <v>63</v>
      </c>
      <c r="H1247" s="6">
        <v>1</v>
      </c>
      <c r="I1247" s="6">
        <v>3</v>
      </c>
      <c r="J1247" s="6">
        <v>1.5</v>
      </c>
      <c r="K1247" s="6" t="s">
        <v>51</v>
      </c>
      <c r="L1247" s="6" t="str">
        <f>VLOOKUP(K1247, 'Alphabetical by species code'!A:B, 2, FALSE)</f>
        <v>Bareground</v>
      </c>
    </row>
    <row r="1248" spans="1:12" x14ac:dyDescent="0.25">
      <c r="A1248" s="6">
        <v>15</v>
      </c>
      <c r="B1248" s="6">
        <v>2025</v>
      </c>
      <c r="C1248" s="7">
        <v>45790</v>
      </c>
      <c r="D1248" s="6" t="s">
        <v>92</v>
      </c>
      <c r="E1248" s="6" t="s">
        <v>85</v>
      </c>
      <c r="F1248" s="6">
        <v>3</v>
      </c>
      <c r="G1248" s="6" t="s">
        <v>63</v>
      </c>
      <c r="H1248" s="6">
        <v>1</v>
      </c>
      <c r="I1248" s="6">
        <v>3</v>
      </c>
      <c r="J1248" s="6">
        <v>1.5</v>
      </c>
      <c r="K1248" s="6" t="s">
        <v>31</v>
      </c>
      <c r="L1248" s="6" t="str">
        <f>VLOOKUP(K1248, 'Alphabetical by species code'!A:B, 2, FALSE)</f>
        <v>Festuca myuros</v>
      </c>
    </row>
    <row r="1249" spans="1:12" x14ac:dyDescent="0.25">
      <c r="A1249" s="6">
        <v>15</v>
      </c>
      <c r="B1249" s="6">
        <v>2025</v>
      </c>
      <c r="C1249" s="7">
        <v>45790</v>
      </c>
      <c r="D1249" s="6" t="s">
        <v>92</v>
      </c>
      <c r="E1249" s="6" t="s">
        <v>85</v>
      </c>
      <c r="F1249" s="6">
        <v>3</v>
      </c>
      <c r="G1249" s="6" t="s">
        <v>63</v>
      </c>
      <c r="H1249" s="6">
        <v>1</v>
      </c>
      <c r="I1249" s="6">
        <v>4</v>
      </c>
      <c r="J1249" s="6">
        <v>2</v>
      </c>
      <c r="K1249" s="6" t="s">
        <v>28</v>
      </c>
      <c r="L1249" s="6" t="str">
        <f>VLOOKUP(K1249, 'Alphabetical by species code'!A:B, 2, FALSE)</f>
        <v>Litter</v>
      </c>
    </row>
    <row r="1250" spans="1:12" x14ac:dyDescent="0.25">
      <c r="A1250" s="6">
        <v>15</v>
      </c>
      <c r="B1250" s="6">
        <v>2025</v>
      </c>
      <c r="C1250" s="7">
        <v>45790</v>
      </c>
      <c r="D1250" s="6" t="s">
        <v>92</v>
      </c>
      <c r="E1250" s="6" t="s">
        <v>85</v>
      </c>
      <c r="F1250" s="6">
        <v>3</v>
      </c>
      <c r="G1250" s="6" t="s">
        <v>63</v>
      </c>
      <c r="H1250" s="6">
        <v>1</v>
      </c>
      <c r="I1250" s="6">
        <v>4</v>
      </c>
      <c r="J1250" s="6">
        <v>2</v>
      </c>
      <c r="K1250" s="6" t="s">
        <v>31</v>
      </c>
      <c r="L1250" s="6" t="str">
        <f>VLOOKUP(K1250, 'Alphabetical by species code'!A:B, 2, FALSE)</f>
        <v>Festuca myuros</v>
      </c>
    </row>
    <row r="1251" spans="1:12" x14ac:dyDescent="0.25">
      <c r="A1251" s="6">
        <v>15</v>
      </c>
      <c r="B1251" s="6">
        <v>2025</v>
      </c>
      <c r="C1251" s="7">
        <v>45790</v>
      </c>
      <c r="D1251" s="6" t="s">
        <v>92</v>
      </c>
      <c r="E1251" s="6" t="s">
        <v>85</v>
      </c>
      <c r="F1251" s="6">
        <v>3</v>
      </c>
      <c r="G1251" s="6" t="s">
        <v>63</v>
      </c>
      <c r="H1251" s="6">
        <v>1</v>
      </c>
      <c r="I1251" s="6">
        <v>5</v>
      </c>
      <c r="J1251" s="6">
        <v>3</v>
      </c>
      <c r="K1251" s="6" t="s">
        <v>28</v>
      </c>
      <c r="L1251" s="6" t="str">
        <f>VLOOKUP(K1251, 'Alphabetical by species code'!A:B, 2, FALSE)</f>
        <v>Litter</v>
      </c>
    </row>
    <row r="1252" spans="1:12" x14ac:dyDescent="0.25">
      <c r="A1252" s="6">
        <v>15</v>
      </c>
      <c r="B1252" s="6">
        <v>2025</v>
      </c>
      <c r="C1252" s="7">
        <v>45790</v>
      </c>
      <c r="D1252" s="6" t="s">
        <v>92</v>
      </c>
      <c r="E1252" s="6" t="s">
        <v>85</v>
      </c>
      <c r="F1252" s="6">
        <v>3</v>
      </c>
      <c r="G1252" s="6" t="s">
        <v>63</v>
      </c>
      <c r="H1252" s="6">
        <v>1</v>
      </c>
      <c r="I1252" s="6">
        <v>5</v>
      </c>
      <c r="J1252" s="6">
        <v>3</v>
      </c>
      <c r="K1252" s="6" t="s">
        <v>31</v>
      </c>
      <c r="L1252" s="6" t="str">
        <f>VLOOKUP(K1252, 'Alphabetical by species code'!A:B, 2, FALSE)</f>
        <v>Festuca myuros</v>
      </c>
    </row>
    <row r="1253" spans="1:12" x14ac:dyDescent="0.25">
      <c r="A1253" s="6">
        <v>15</v>
      </c>
      <c r="B1253" s="6">
        <v>2025</v>
      </c>
      <c r="C1253" s="7">
        <v>45790</v>
      </c>
      <c r="D1253" s="6" t="s">
        <v>92</v>
      </c>
      <c r="E1253" s="6" t="s">
        <v>85</v>
      </c>
      <c r="F1253" s="6">
        <v>3</v>
      </c>
      <c r="G1253" s="6" t="s">
        <v>63</v>
      </c>
      <c r="H1253" s="6">
        <v>1</v>
      </c>
      <c r="I1253" s="6">
        <v>6</v>
      </c>
      <c r="J1253" s="6">
        <v>3.5</v>
      </c>
      <c r="K1253" s="6" t="s">
        <v>51</v>
      </c>
      <c r="L1253" s="6" t="str">
        <f>VLOOKUP(K1253, 'Alphabetical by species code'!A:B, 2, FALSE)</f>
        <v>Bareground</v>
      </c>
    </row>
    <row r="1254" spans="1:12" x14ac:dyDescent="0.25">
      <c r="A1254" s="6">
        <v>15</v>
      </c>
      <c r="B1254" s="6">
        <v>2025</v>
      </c>
      <c r="C1254" s="7">
        <v>45790</v>
      </c>
      <c r="D1254" s="6" t="s">
        <v>92</v>
      </c>
      <c r="E1254" s="6" t="s">
        <v>85</v>
      </c>
      <c r="F1254" s="6">
        <v>3</v>
      </c>
      <c r="G1254" s="6" t="s">
        <v>63</v>
      </c>
      <c r="H1254" s="6">
        <v>1</v>
      </c>
      <c r="I1254" s="6">
        <v>6</v>
      </c>
      <c r="J1254" s="6">
        <v>3.5</v>
      </c>
      <c r="K1254" s="6" t="s">
        <v>31</v>
      </c>
      <c r="L1254" s="6" t="str">
        <f>VLOOKUP(K1254, 'Alphabetical by species code'!A:B, 2, FALSE)</f>
        <v>Festuca myuros</v>
      </c>
    </row>
    <row r="1255" spans="1:12" x14ac:dyDescent="0.25">
      <c r="A1255" s="6">
        <v>15</v>
      </c>
      <c r="B1255" s="6">
        <v>2025</v>
      </c>
      <c r="C1255" s="7">
        <v>45790</v>
      </c>
      <c r="D1255" s="6" t="s">
        <v>92</v>
      </c>
      <c r="E1255" s="6" t="s">
        <v>85</v>
      </c>
      <c r="F1255" s="6">
        <v>3</v>
      </c>
      <c r="G1255" s="6" t="s">
        <v>63</v>
      </c>
      <c r="H1255" s="6">
        <v>1</v>
      </c>
      <c r="I1255" s="6">
        <v>6</v>
      </c>
      <c r="J1255" s="6">
        <v>3.5</v>
      </c>
      <c r="K1255" s="6" t="s">
        <v>35</v>
      </c>
      <c r="L1255" s="6" t="str">
        <f>VLOOKUP(K1255, 'Alphabetical by species code'!A:B, 2, FALSE)</f>
        <v>Deinandra fasciculata</v>
      </c>
    </row>
    <row r="1256" spans="1:12" x14ac:dyDescent="0.25">
      <c r="A1256" s="6">
        <v>15</v>
      </c>
      <c r="B1256" s="6">
        <v>2025</v>
      </c>
      <c r="C1256" s="7">
        <v>45790</v>
      </c>
      <c r="D1256" s="6" t="s">
        <v>92</v>
      </c>
      <c r="E1256" s="6" t="s">
        <v>85</v>
      </c>
      <c r="F1256" s="6">
        <v>3</v>
      </c>
      <c r="G1256" s="6" t="s">
        <v>63</v>
      </c>
      <c r="H1256" s="6">
        <v>1</v>
      </c>
      <c r="I1256" s="6">
        <v>7</v>
      </c>
      <c r="J1256" s="6">
        <v>4</v>
      </c>
      <c r="K1256" s="6" t="s">
        <v>28</v>
      </c>
      <c r="L1256" s="6" t="str">
        <f>VLOOKUP(K1256, 'Alphabetical by species code'!A:B, 2, FALSE)</f>
        <v>Litter</v>
      </c>
    </row>
    <row r="1257" spans="1:12" x14ac:dyDescent="0.25">
      <c r="A1257" s="6">
        <v>15</v>
      </c>
      <c r="B1257" s="6">
        <v>2025</v>
      </c>
      <c r="C1257" s="7">
        <v>45790</v>
      </c>
      <c r="D1257" s="6" t="s">
        <v>92</v>
      </c>
      <c r="E1257" s="6" t="s">
        <v>85</v>
      </c>
      <c r="F1257" s="6">
        <v>3</v>
      </c>
      <c r="G1257" s="6" t="s">
        <v>63</v>
      </c>
      <c r="H1257" s="6">
        <v>1</v>
      </c>
      <c r="I1257" s="6">
        <v>7</v>
      </c>
      <c r="J1257" s="6">
        <v>4</v>
      </c>
      <c r="K1257" s="6" t="s">
        <v>31</v>
      </c>
      <c r="L1257" s="6" t="str">
        <f>VLOOKUP(K1257, 'Alphabetical by species code'!A:B, 2, FALSE)</f>
        <v>Festuca myuros</v>
      </c>
    </row>
    <row r="1258" spans="1:12" x14ac:dyDescent="0.25">
      <c r="A1258" s="6">
        <v>15</v>
      </c>
      <c r="B1258" s="6">
        <v>2025</v>
      </c>
      <c r="C1258" s="7">
        <v>45790</v>
      </c>
      <c r="D1258" s="6" t="s">
        <v>92</v>
      </c>
      <c r="E1258" s="6" t="s">
        <v>85</v>
      </c>
      <c r="F1258" s="6">
        <v>3</v>
      </c>
      <c r="G1258" s="6" t="s">
        <v>63</v>
      </c>
      <c r="H1258" s="6">
        <v>1</v>
      </c>
      <c r="I1258" s="6">
        <v>8</v>
      </c>
      <c r="J1258" s="6">
        <v>5</v>
      </c>
      <c r="K1258" s="6" t="s">
        <v>28</v>
      </c>
      <c r="L1258" s="6" t="str">
        <f>VLOOKUP(K1258, 'Alphabetical by species code'!A:B, 2, FALSE)</f>
        <v>Litter</v>
      </c>
    </row>
    <row r="1259" spans="1:12" x14ac:dyDescent="0.25">
      <c r="A1259" s="6">
        <v>15</v>
      </c>
      <c r="B1259" s="6">
        <v>2025</v>
      </c>
      <c r="C1259" s="7">
        <v>45790</v>
      </c>
      <c r="D1259" s="6" t="s">
        <v>92</v>
      </c>
      <c r="E1259" s="6" t="s">
        <v>85</v>
      </c>
      <c r="F1259" s="6">
        <v>3</v>
      </c>
      <c r="G1259" s="6" t="s">
        <v>63</v>
      </c>
      <c r="H1259" s="6">
        <v>1</v>
      </c>
      <c r="I1259" s="6">
        <v>8</v>
      </c>
      <c r="J1259" s="6">
        <v>5</v>
      </c>
      <c r="K1259" s="6" t="s">
        <v>35</v>
      </c>
      <c r="L1259" s="6" t="str">
        <f>VLOOKUP(K1259, 'Alphabetical by species code'!A:B, 2, FALSE)</f>
        <v>Deinandra fasciculata</v>
      </c>
    </row>
    <row r="1260" spans="1:12" x14ac:dyDescent="0.25">
      <c r="A1260" s="6">
        <v>15</v>
      </c>
      <c r="B1260" s="6">
        <v>2025</v>
      </c>
      <c r="C1260" s="7">
        <v>45790</v>
      </c>
      <c r="D1260" s="6" t="s">
        <v>92</v>
      </c>
      <c r="E1260" s="6" t="s">
        <v>85</v>
      </c>
      <c r="F1260" s="6">
        <v>3</v>
      </c>
      <c r="G1260" s="6" t="s">
        <v>63</v>
      </c>
      <c r="H1260" s="6">
        <v>1</v>
      </c>
      <c r="I1260" s="6">
        <v>8</v>
      </c>
      <c r="J1260" s="6">
        <v>5</v>
      </c>
      <c r="K1260" s="6" t="s">
        <v>36</v>
      </c>
      <c r="L1260" s="6" t="str">
        <f>VLOOKUP(K1260, 'Alphabetical by species code'!A:B, 2, FALSE)</f>
        <v>Bromus madritensis</v>
      </c>
    </row>
    <row r="1261" spans="1:12" x14ac:dyDescent="0.25">
      <c r="A1261" s="6">
        <v>15</v>
      </c>
      <c r="B1261" s="6">
        <v>2025</v>
      </c>
      <c r="C1261" s="7">
        <v>45790</v>
      </c>
      <c r="D1261" s="6" t="s">
        <v>92</v>
      </c>
      <c r="E1261" s="6" t="s">
        <v>85</v>
      </c>
      <c r="F1261" s="6">
        <v>3</v>
      </c>
      <c r="G1261" s="6" t="s">
        <v>63</v>
      </c>
      <c r="H1261" s="6">
        <v>1</v>
      </c>
      <c r="I1261" s="6">
        <v>9</v>
      </c>
      <c r="J1261" s="6">
        <v>7</v>
      </c>
      <c r="K1261" s="6" t="s">
        <v>28</v>
      </c>
      <c r="L1261" s="6" t="str">
        <f>VLOOKUP(K1261, 'Alphabetical by species code'!A:B, 2, FALSE)</f>
        <v>Litter</v>
      </c>
    </row>
    <row r="1262" spans="1:12" x14ac:dyDescent="0.25">
      <c r="A1262" s="6">
        <v>15</v>
      </c>
      <c r="B1262" s="6">
        <v>2025</v>
      </c>
      <c r="C1262" s="7">
        <v>45790</v>
      </c>
      <c r="D1262" s="6" t="s">
        <v>92</v>
      </c>
      <c r="E1262" s="6" t="s">
        <v>85</v>
      </c>
      <c r="F1262" s="6">
        <v>3</v>
      </c>
      <c r="G1262" s="6" t="s">
        <v>63</v>
      </c>
      <c r="H1262" s="6">
        <v>1</v>
      </c>
      <c r="I1262" s="6">
        <v>9</v>
      </c>
      <c r="J1262" s="6">
        <v>7</v>
      </c>
      <c r="K1262" s="6" t="s">
        <v>32</v>
      </c>
      <c r="L1262" s="6" t="str">
        <f>VLOOKUP(K1262, 'Alphabetical by species code'!A:B, 2, FALSE)</f>
        <v>Medicago polymorpha</v>
      </c>
    </row>
    <row r="1263" spans="1:12" x14ac:dyDescent="0.25">
      <c r="A1263" s="6">
        <v>15</v>
      </c>
      <c r="B1263" s="6">
        <v>2025</v>
      </c>
      <c r="C1263" s="7">
        <v>45790</v>
      </c>
      <c r="D1263" s="6" t="s">
        <v>92</v>
      </c>
      <c r="E1263" s="6" t="s">
        <v>85</v>
      </c>
      <c r="F1263" s="6">
        <v>3</v>
      </c>
      <c r="G1263" s="6" t="s">
        <v>63</v>
      </c>
      <c r="H1263" s="6">
        <v>1</v>
      </c>
      <c r="I1263" s="6">
        <v>10</v>
      </c>
      <c r="J1263" s="6">
        <v>8</v>
      </c>
      <c r="K1263" s="6" t="s">
        <v>28</v>
      </c>
      <c r="L1263" s="6" t="str">
        <f>VLOOKUP(K1263, 'Alphabetical by species code'!A:B, 2, FALSE)</f>
        <v>Litter</v>
      </c>
    </row>
    <row r="1264" spans="1:12" x14ac:dyDescent="0.25">
      <c r="A1264" s="6">
        <v>15</v>
      </c>
      <c r="B1264" s="6">
        <v>2025</v>
      </c>
      <c r="C1264" s="7">
        <v>45790</v>
      </c>
      <c r="D1264" s="6" t="s">
        <v>92</v>
      </c>
      <c r="E1264" s="6" t="s">
        <v>85</v>
      </c>
      <c r="F1264" s="6">
        <v>3</v>
      </c>
      <c r="G1264" s="6" t="s">
        <v>63</v>
      </c>
      <c r="H1264" s="6">
        <v>1</v>
      </c>
      <c r="I1264" s="6">
        <v>10</v>
      </c>
      <c r="J1264" s="6">
        <v>8</v>
      </c>
      <c r="K1264" s="6" t="s">
        <v>31</v>
      </c>
      <c r="L1264" s="6" t="str">
        <f>VLOOKUP(K1264, 'Alphabetical by species code'!A:B, 2, FALSE)</f>
        <v>Festuca myuros</v>
      </c>
    </row>
    <row r="1265" spans="1:12" x14ac:dyDescent="0.25">
      <c r="A1265" s="6">
        <v>15</v>
      </c>
      <c r="B1265" s="6">
        <v>2025</v>
      </c>
      <c r="C1265" s="7">
        <v>45790</v>
      </c>
      <c r="D1265" s="6" t="s">
        <v>92</v>
      </c>
      <c r="E1265" s="6" t="s">
        <v>85</v>
      </c>
      <c r="F1265" s="6">
        <v>3</v>
      </c>
      <c r="G1265" s="6" t="s">
        <v>63</v>
      </c>
      <c r="H1265" s="6">
        <v>1</v>
      </c>
      <c r="I1265" s="6">
        <v>10</v>
      </c>
      <c r="J1265" s="6">
        <v>8</v>
      </c>
      <c r="K1265" s="6" t="s">
        <v>44</v>
      </c>
      <c r="L1265" s="6" t="str">
        <f>VLOOKUP(K1265, 'Alphabetical by species code'!A:B, 2, FALSE)</f>
        <v>Amsinckia menziesii</v>
      </c>
    </row>
    <row r="1266" spans="1:12" x14ac:dyDescent="0.25">
      <c r="A1266" s="6">
        <v>15</v>
      </c>
      <c r="B1266" s="6">
        <v>2025</v>
      </c>
      <c r="C1266" s="7">
        <v>45790</v>
      </c>
      <c r="D1266" s="6" t="s">
        <v>92</v>
      </c>
      <c r="E1266" s="6" t="s">
        <v>85</v>
      </c>
      <c r="F1266" s="6">
        <v>3</v>
      </c>
      <c r="G1266" s="6" t="s">
        <v>63</v>
      </c>
      <c r="H1266" s="6">
        <v>1</v>
      </c>
      <c r="I1266" s="6">
        <v>11</v>
      </c>
      <c r="J1266" s="6">
        <v>8.5</v>
      </c>
      <c r="K1266" s="6" t="s">
        <v>51</v>
      </c>
      <c r="L1266" s="6" t="str">
        <f>VLOOKUP(K1266, 'Alphabetical by species code'!A:B, 2, FALSE)</f>
        <v>Bareground</v>
      </c>
    </row>
    <row r="1267" spans="1:12" x14ac:dyDescent="0.25">
      <c r="A1267" s="6">
        <v>15</v>
      </c>
      <c r="B1267" s="6">
        <v>2025</v>
      </c>
      <c r="C1267" s="7">
        <v>45790</v>
      </c>
      <c r="D1267" s="6" t="s">
        <v>92</v>
      </c>
      <c r="E1267" s="6" t="s">
        <v>85</v>
      </c>
      <c r="F1267" s="6">
        <v>3</v>
      </c>
      <c r="G1267" s="6" t="s">
        <v>63</v>
      </c>
      <c r="H1267" s="6">
        <v>1</v>
      </c>
      <c r="I1267" s="6">
        <v>11</v>
      </c>
      <c r="J1267" s="6">
        <v>8.5</v>
      </c>
      <c r="K1267" s="6" t="s">
        <v>31</v>
      </c>
      <c r="L1267" s="6" t="str">
        <f>VLOOKUP(K1267, 'Alphabetical by species code'!A:B, 2, FALSE)</f>
        <v>Festuca myuros</v>
      </c>
    </row>
    <row r="1268" spans="1:12" x14ac:dyDescent="0.25">
      <c r="A1268" s="6">
        <v>15</v>
      </c>
      <c r="B1268" s="6">
        <v>2025</v>
      </c>
      <c r="C1268" s="7">
        <v>45790</v>
      </c>
      <c r="D1268" s="6" t="s">
        <v>92</v>
      </c>
      <c r="E1268" s="6" t="s">
        <v>85</v>
      </c>
      <c r="F1268" s="6">
        <v>3</v>
      </c>
      <c r="G1268" s="6" t="s">
        <v>63</v>
      </c>
      <c r="H1268" s="6">
        <v>1</v>
      </c>
      <c r="I1268" s="6">
        <v>11</v>
      </c>
      <c r="J1268" s="6">
        <v>8.5</v>
      </c>
      <c r="K1268" s="6" t="s">
        <v>32</v>
      </c>
      <c r="L1268" s="6" t="str">
        <f>VLOOKUP(K1268, 'Alphabetical by species code'!A:B, 2, FALSE)</f>
        <v>Medicago polymorpha</v>
      </c>
    </row>
    <row r="1269" spans="1:12" x14ac:dyDescent="0.25">
      <c r="A1269" s="6">
        <v>15</v>
      </c>
      <c r="B1269" s="6">
        <v>2025</v>
      </c>
      <c r="C1269" s="7">
        <v>45790</v>
      </c>
      <c r="D1269" s="6" t="s">
        <v>92</v>
      </c>
      <c r="E1269" s="6" t="s">
        <v>85</v>
      </c>
      <c r="F1269" s="6">
        <v>3</v>
      </c>
      <c r="G1269" s="6" t="s">
        <v>63</v>
      </c>
      <c r="H1269" s="6">
        <v>1</v>
      </c>
      <c r="I1269" s="6">
        <v>12</v>
      </c>
      <c r="J1269" s="6">
        <v>9</v>
      </c>
      <c r="K1269" s="6" t="s">
        <v>28</v>
      </c>
      <c r="L1269" s="6" t="str">
        <f>VLOOKUP(K1269, 'Alphabetical by species code'!A:B, 2, FALSE)</f>
        <v>Litter</v>
      </c>
    </row>
    <row r="1270" spans="1:12" x14ac:dyDescent="0.25">
      <c r="A1270" s="6">
        <v>15</v>
      </c>
      <c r="B1270" s="6">
        <v>2025</v>
      </c>
      <c r="C1270" s="7">
        <v>45790</v>
      </c>
      <c r="D1270" s="6" t="s">
        <v>92</v>
      </c>
      <c r="E1270" s="6" t="s">
        <v>85</v>
      </c>
      <c r="F1270" s="6">
        <v>3</v>
      </c>
      <c r="G1270" s="6" t="s">
        <v>63</v>
      </c>
      <c r="H1270" s="6">
        <v>1</v>
      </c>
      <c r="I1270" s="6">
        <v>12</v>
      </c>
      <c r="J1270" s="6">
        <v>9</v>
      </c>
      <c r="K1270" s="6" t="s">
        <v>32</v>
      </c>
      <c r="L1270" s="6" t="str">
        <f>VLOOKUP(K1270, 'Alphabetical by species code'!A:B, 2, FALSE)</f>
        <v>Medicago polymorpha</v>
      </c>
    </row>
    <row r="1271" spans="1:12" x14ac:dyDescent="0.25">
      <c r="A1271" s="6">
        <v>15</v>
      </c>
      <c r="B1271" s="6">
        <v>2025</v>
      </c>
      <c r="C1271" s="7">
        <v>45790</v>
      </c>
      <c r="D1271" s="6" t="s">
        <v>92</v>
      </c>
      <c r="E1271" s="6" t="s">
        <v>85</v>
      </c>
      <c r="F1271" s="6">
        <v>3</v>
      </c>
      <c r="G1271" s="6" t="s">
        <v>63</v>
      </c>
      <c r="H1271" s="6">
        <v>1</v>
      </c>
      <c r="I1271" s="6">
        <v>12</v>
      </c>
      <c r="J1271" s="6">
        <v>9</v>
      </c>
      <c r="K1271" s="6" t="s">
        <v>36</v>
      </c>
      <c r="L1271" s="6" t="str">
        <f>VLOOKUP(K1271, 'Alphabetical by species code'!A:B, 2, FALSE)</f>
        <v>Bromus madritensis</v>
      </c>
    </row>
    <row r="1272" spans="1:12" x14ac:dyDescent="0.25">
      <c r="A1272" s="6">
        <v>15</v>
      </c>
      <c r="B1272" s="6">
        <v>2025</v>
      </c>
      <c r="C1272" s="7">
        <v>45790</v>
      </c>
      <c r="D1272" s="6" t="s">
        <v>92</v>
      </c>
      <c r="E1272" s="6" t="s">
        <v>85</v>
      </c>
      <c r="F1272" s="6">
        <v>3</v>
      </c>
      <c r="G1272" s="6" t="s">
        <v>63</v>
      </c>
      <c r="H1272" s="6">
        <v>1</v>
      </c>
      <c r="I1272" s="6">
        <v>13</v>
      </c>
      <c r="J1272" s="6">
        <v>10</v>
      </c>
      <c r="K1272" s="6" t="s">
        <v>28</v>
      </c>
      <c r="L1272" s="6" t="str">
        <f>VLOOKUP(K1272, 'Alphabetical by species code'!A:B, 2, FALSE)</f>
        <v>Litter</v>
      </c>
    </row>
    <row r="1273" spans="1:12" x14ac:dyDescent="0.25">
      <c r="A1273" s="6">
        <v>15</v>
      </c>
      <c r="B1273" s="6">
        <v>2025</v>
      </c>
      <c r="C1273" s="7">
        <v>45790</v>
      </c>
      <c r="D1273" s="6" t="s">
        <v>92</v>
      </c>
      <c r="E1273" s="6" t="s">
        <v>85</v>
      </c>
      <c r="F1273" s="6">
        <v>3</v>
      </c>
      <c r="G1273" s="6" t="s">
        <v>63</v>
      </c>
      <c r="H1273" s="6">
        <v>1</v>
      </c>
      <c r="I1273" s="6">
        <v>13</v>
      </c>
      <c r="J1273" s="6">
        <v>10</v>
      </c>
      <c r="K1273" s="6" t="s">
        <v>36</v>
      </c>
      <c r="L1273" s="6" t="str">
        <f>VLOOKUP(K1273, 'Alphabetical by species code'!A:B, 2, FALSE)</f>
        <v>Bromus madritensis</v>
      </c>
    </row>
    <row r="1274" spans="1:12" x14ac:dyDescent="0.25">
      <c r="A1274" s="6">
        <v>15</v>
      </c>
      <c r="B1274" s="6">
        <v>2025</v>
      </c>
      <c r="C1274" s="7">
        <v>45790</v>
      </c>
      <c r="D1274" s="6" t="s">
        <v>92</v>
      </c>
      <c r="E1274" s="6" t="s">
        <v>85</v>
      </c>
      <c r="F1274" s="6">
        <v>3</v>
      </c>
      <c r="G1274" s="6" t="s">
        <v>63</v>
      </c>
      <c r="H1274" s="6">
        <v>1</v>
      </c>
      <c r="I1274" s="6">
        <v>13</v>
      </c>
      <c r="J1274" s="6">
        <v>10</v>
      </c>
      <c r="K1274" s="6" t="s">
        <v>32</v>
      </c>
      <c r="L1274" s="6" t="str">
        <f>VLOOKUP(K1274, 'Alphabetical by species code'!A:B, 2, FALSE)</f>
        <v>Medicago polymorpha</v>
      </c>
    </row>
    <row r="1275" spans="1:12" x14ac:dyDescent="0.25">
      <c r="A1275" s="6">
        <v>15</v>
      </c>
      <c r="B1275" s="6">
        <v>2025</v>
      </c>
      <c r="C1275" s="7">
        <v>45790</v>
      </c>
      <c r="D1275" s="6" t="s">
        <v>92</v>
      </c>
      <c r="E1275" s="6" t="s">
        <v>85</v>
      </c>
      <c r="F1275" s="6">
        <v>3</v>
      </c>
      <c r="G1275" s="6" t="s">
        <v>63</v>
      </c>
      <c r="H1275" s="6">
        <v>1</v>
      </c>
      <c r="I1275" s="6">
        <v>14</v>
      </c>
      <c r="J1275" s="6">
        <v>11</v>
      </c>
      <c r="K1275" s="6" t="s">
        <v>28</v>
      </c>
      <c r="L1275" s="6" t="str">
        <f>VLOOKUP(K1275, 'Alphabetical by species code'!A:B, 2, FALSE)</f>
        <v>Litter</v>
      </c>
    </row>
    <row r="1276" spans="1:12" x14ac:dyDescent="0.25">
      <c r="A1276" s="6">
        <v>15</v>
      </c>
      <c r="B1276" s="6">
        <v>2025</v>
      </c>
      <c r="C1276" s="7">
        <v>45790</v>
      </c>
      <c r="D1276" s="6" t="s">
        <v>92</v>
      </c>
      <c r="E1276" s="6" t="s">
        <v>85</v>
      </c>
      <c r="F1276" s="6">
        <v>3</v>
      </c>
      <c r="G1276" s="6" t="s">
        <v>63</v>
      </c>
      <c r="H1276" s="6">
        <v>1</v>
      </c>
      <c r="I1276" s="6">
        <v>14</v>
      </c>
      <c r="J1276" s="6">
        <v>11</v>
      </c>
      <c r="K1276" s="6" t="s">
        <v>73</v>
      </c>
      <c r="L1276" s="6" t="str">
        <f>VLOOKUP(K1276, 'Alphabetical by species code'!A:B, 2, FALSE)</f>
        <v>Eriogonum fasciculatum</v>
      </c>
    </row>
    <row r="1277" spans="1:12" x14ac:dyDescent="0.25">
      <c r="A1277" s="6">
        <v>15</v>
      </c>
      <c r="B1277" s="6">
        <v>2025</v>
      </c>
      <c r="C1277" s="7">
        <v>45790</v>
      </c>
      <c r="D1277" s="6" t="s">
        <v>92</v>
      </c>
      <c r="E1277" s="6" t="s">
        <v>85</v>
      </c>
      <c r="F1277" s="6">
        <v>3</v>
      </c>
      <c r="G1277" s="6" t="s">
        <v>63</v>
      </c>
      <c r="H1277" s="6">
        <v>1</v>
      </c>
      <c r="I1277" s="6">
        <v>14</v>
      </c>
      <c r="J1277" s="6">
        <v>11</v>
      </c>
      <c r="K1277" s="6" t="s">
        <v>31</v>
      </c>
      <c r="L1277" s="6" t="str">
        <f>VLOOKUP(K1277, 'Alphabetical by species code'!A:B, 2, FALSE)</f>
        <v>Festuca myuros</v>
      </c>
    </row>
    <row r="1278" spans="1:12" x14ac:dyDescent="0.25">
      <c r="A1278" s="6">
        <v>15</v>
      </c>
      <c r="B1278" s="6">
        <v>2025</v>
      </c>
      <c r="C1278" s="7">
        <v>45790</v>
      </c>
      <c r="D1278" s="6" t="s">
        <v>92</v>
      </c>
      <c r="E1278" s="6" t="s">
        <v>85</v>
      </c>
      <c r="F1278" s="6">
        <v>3</v>
      </c>
      <c r="G1278" s="6" t="s">
        <v>63</v>
      </c>
      <c r="H1278" s="6">
        <v>1</v>
      </c>
      <c r="I1278" s="6">
        <v>15</v>
      </c>
      <c r="J1278" s="6">
        <v>12</v>
      </c>
      <c r="K1278" s="6" t="s">
        <v>28</v>
      </c>
      <c r="L1278" s="6" t="str">
        <f>VLOOKUP(K1278, 'Alphabetical by species code'!A:B, 2, FALSE)</f>
        <v>Litter</v>
      </c>
    </row>
    <row r="1279" spans="1:12" x14ac:dyDescent="0.25">
      <c r="A1279" s="6">
        <v>15</v>
      </c>
      <c r="B1279" s="6">
        <v>2025</v>
      </c>
      <c r="C1279" s="7">
        <v>45790</v>
      </c>
      <c r="D1279" s="6" t="s">
        <v>92</v>
      </c>
      <c r="E1279" s="6" t="s">
        <v>85</v>
      </c>
      <c r="F1279" s="6">
        <v>3</v>
      </c>
      <c r="G1279" s="6" t="s">
        <v>63</v>
      </c>
      <c r="H1279" s="6">
        <v>1</v>
      </c>
      <c r="I1279" s="6">
        <v>15</v>
      </c>
      <c r="J1279" s="6">
        <v>12</v>
      </c>
      <c r="K1279" s="6" t="s">
        <v>73</v>
      </c>
      <c r="L1279" s="6" t="str">
        <f>VLOOKUP(K1279, 'Alphabetical by species code'!A:B, 2, FALSE)</f>
        <v>Eriogonum fasciculatum</v>
      </c>
    </row>
    <row r="1280" spans="1:12" x14ac:dyDescent="0.25">
      <c r="A1280" s="6">
        <v>15</v>
      </c>
      <c r="B1280" s="6">
        <v>2025</v>
      </c>
      <c r="C1280" s="7">
        <v>45790</v>
      </c>
      <c r="D1280" s="6" t="s">
        <v>92</v>
      </c>
      <c r="E1280" s="6" t="s">
        <v>85</v>
      </c>
      <c r="F1280" s="6">
        <v>3</v>
      </c>
      <c r="G1280" s="6" t="s">
        <v>63</v>
      </c>
      <c r="H1280" s="6">
        <v>2</v>
      </c>
      <c r="I1280" s="6">
        <v>1</v>
      </c>
      <c r="J1280" s="6">
        <v>0</v>
      </c>
      <c r="K1280" s="6" t="s">
        <v>51</v>
      </c>
      <c r="L1280" s="6" t="str">
        <f>VLOOKUP(K1280, 'Alphabetical by species code'!A:B, 2, FALSE)</f>
        <v>Bareground</v>
      </c>
    </row>
    <row r="1281" spans="1:12" x14ac:dyDescent="0.25">
      <c r="A1281" s="6">
        <v>15</v>
      </c>
      <c r="B1281" s="6">
        <v>2025</v>
      </c>
      <c r="C1281" s="7">
        <v>45790</v>
      </c>
      <c r="D1281" s="6" t="s">
        <v>92</v>
      </c>
      <c r="E1281" s="6" t="s">
        <v>85</v>
      </c>
      <c r="F1281" s="6">
        <v>3</v>
      </c>
      <c r="G1281" s="6" t="s">
        <v>63</v>
      </c>
      <c r="H1281" s="6">
        <v>2</v>
      </c>
      <c r="I1281" s="6">
        <v>1</v>
      </c>
      <c r="J1281" s="6">
        <v>0</v>
      </c>
      <c r="K1281" s="6" t="s">
        <v>31</v>
      </c>
      <c r="L1281" s="6" t="str">
        <f>VLOOKUP(K1281, 'Alphabetical by species code'!A:B, 2, FALSE)</f>
        <v>Festuca myuros</v>
      </c>
    </row>
    <row r="1282" spans="1:12" x14ac:dyDescent="0.25">
      <c r="A1282" s="6">
        <v>15</v>
      </c>
      <c r="B1282" s="6">
        <v>2025</v>
      </c>
      <c r="C1282" s="7">
        <v>45790</v>
      </c>
      <c r="D1282" s="6" t="s">
        <v>92</v>
      </c>
      <c r="E1282" s="6" t="s">
        <v>85</v>
      </c>
      <c r="F1282" s="6">
        <v>3</v>
      </c>
      <c r="G1282" s="6" t="s">
        <v>63</v>
      </c>
      <c r="H1282" s="6">
        <v>2</v>
      </c>
      <c r="I1282" s="6">
        <v>2</v>
      </c>
      <c r="J1282" s="6">
        <v>1</v>
      </c>
      <c r="K1282" s="6" t="s">
        <v>28</v>
      </c>
      <c r="L1282" s="6" t="str">
        <f>VLOOKUP(K1282, 'Alphabetical by species code'!A:B, 2, FALSE)</f>
        <v>Litter</v>
      </c>
    </row>
    <row r="1283" spans="1:12" x14ac:dyDescent="0.25">
      <c r="A1283" s="6">
        <v>15</v>
      </c>
      <c r="B1283" s="6">
        <v>2025</v>
      </c>
      <c r="C1283" s="7">
        <v>45790</v>
      </c>
      <c r="D1283" s="6" t="s">
        <v>92</v>
      </c>
      <c r="E1283" s="6" t="s">
        <v>85</v>
      </c>
      <c r="F1283" s="6">
        <v>3</v>
      </c>
      <c r="G1283" s="6" t="s">
        <v>63</v>
      </c>
      <c r="H1283" s="6">
        <v>2</v>
      </c>
      <c r="I1283" s="6">
        <v>2</v>
      </c>
      <c r="J1283" s="6">
        <v>1</v>
      </c>
      <c r="K1283" s="6" t="s">
        <v>31</v>
      </c>
      <c r="L1283" s="6" t="str">
        <f>VLOOKUP(K1283, 'Alphabetical by species code'!A:B, 2, FALSE)</f>
        <v>Festuca myuros</v>
      </c>
    </row>
    <row r="1284" spans="1:12" x14ac:dyDescent="0.25">
      <c r="A1284" s="6">
        <v>15</v>
      </c>
      <c r="B1284" s="6">
        <v>2025</v>
      </c>
      <c r="C1284" s="7">
        <v>45790</v>
      </c>
      <c r="D1284" s="6" t="s">
        <v>92</v>
      </c>
      <c r="E1284" s="6" t="s">
        <v>85</v>
      </c>
      <c r="F1284" s="6">
        <v>3</v>
      </c>
      <c r="G1284" s="6" t="s">
        <v>63</v>
      </c>
      <c r="H1284" s="6">
        <v>2</v>
      </c>
      <c r="I1284" s="6">
        <v>3</v>
      </c>
      <c r="J1284" s="6">
        <v>1.5</v>
      </c>
      <c r="K1284" s="6" t="s">
        <v>28</v>
      </c>
      <c r="L1284" s="6" t="str">
        <f>VLOOKUP(K1284, 'Alphabetical by species code'!A:B, 2, FALSE)</f>
        <v>Litter</v>
      </c>
    </row>
    <row r="1285" spans="1:12" x14ac:dyDescent="0.25">
      <c r="A1285" s="6">
        <v>15</v>
      </c>
      <c r="B1285" s="6">
        <v>2025</v>
      </c>
      <c r="C1285" s="7">
        <v>45790</v>
      </c>
      <c r="D1285" s="6" t="s">
        <v>92</v>
      </c>
      <c r="E1285" s="6" t="s">
        <v>85</v>
      </c>
      <c r="F1285" s="6">
        <v>3</v>
      </c>
      <c r="G1285" s="6" t="s">
        <v>63</v>
      </c>
      <c r="H1285" s="6">
        <v>2</v>
      </c>
      <c r="I1285" s="6">
        <v>3</v>
      </c>
      <c r="J1285" s="6">
        <v>1.5</v>
      </c>
      <c r="K1285" s="6" t="s">
        <v>31</v>
      </c>
      <c r="L1285" s="6" t="str">
        <f>VLOOKUP(K1285, 'Alphabetical by species code'!A:B, 2, FALSE)</f>
        <v>Festuca myuros</v>
      </c>
    </row>
    <row r="1286" spans="1:12" x14ac:dyDescent="0.25">
      <c r="A1286" s="6">
        <v>15</v>
      </c>
      <c r="B1286" s="6">
        <v>2025</v>
      </c>
      <c r="C1286" s="7">
        <v>45790</v>
      </c>
      <c r="D1286" s="6" t="s">
        <v>92</v>
      </c>
      <c r="E1286" s="6" t="s">
        <v>85</v>
      </c>
      <c r="F1286" s="6">
        <v>3</v>
      </c>
      <c r="G1286" s="6" t="s">
        <v>63</v>
      </c>
      <c r="H1286" s="6">
        <v>2</v>
      </c>
      <c r="I1286" s="6">
        <v>4</v>
      </c>
      <c r="J1286" s="6">
        <v>2</v>
      </c>
      <c r="K1286" s="6" t="s">
        <v>28</v>
      </c>
      <c r="L1286" s="6" t="str">
        <f>VLOOKUP(K1286, 'Alphabetical by species code'!A:B, 2, FALSE)</f>
        <v>Litter</v>
      </c>
    </row>
    <row r="1287" spans="1:12" x14ac:dyDescent="0.25">
      <c r="A1287" s="6">
        <v>15</v>
      </c>
      <c r="B1287" s="6">
        <v>2025</v>
      </c>
      <c r="C1287" s="7">
        <v>45790</v>
      </c>
      <c r="D1287" s="6" t="s">
        <v>92</v>
      </c>
      <c r="E1287" s="6" t="s">
        <v>85</v>
      </c>
      <c r="F1287" s="6">
        <v>3</v>
      </c>
      <c r="G1287" s="6" t="s">
        <v>63</v>
      </c>
      <c r="H1287" s="6">
        <v>2</v>
      </c>
      <c r="I1287" s="6">
        <v>4</v>
      </c>
      <c r="J1287" s="6">
        <v>2</v>
      </c>
      <c r="K1287" s="6" t="s">
        <v>32</v>
      </c>
      <c r="L1287" s="6" t="str">
        <f>VLOOKUP(K1287, 'Alphabetical by species code'!A:B, 2, FALSE)</f>
        <v>Medicago polymorpha</v>
      </c>
    </row>
    <row r="1288" spans="1:12" x14ac:dyDescent="0.25">
      <c r="A1288" s="6">
        <v>15</v>
      </c>
      <c r="B1288" s="6">
        <v>2025</v>
      </c>
      <c r="C1288" s="7">
        <v>45790</v>
      </c>
      <c r="D1288" s="6" t="s">
        <v>92</v>
      </c>
      <c r="E1288" s="6" t="s">
        <v>85</v>
      </c>
      <c r="F1288" s="6">
        <v>3</v>
      </c>
      <c r="G1288" s="6" t="s">
        <v>63</v>
      </c>
      <c r="H1288" s="6">
        <v>2</v>
      </c>
      <c r="I1288" s="6">
        <v>4</v>
      </c>
      <c r="J1288" s="6">
        <v>2</v>
      </c>
      <c r="K1288" s="6" t="s">
        <v>31</v>
      </c>
      <c r="L1288" s="6" t="str">
        <f>VLOOKUP(K1288, 'Alphabetical by species code'!A:B, 2, FALSE)</f>
        <v>Festuca myuros</v>
      </c>
    </row>
    <row r="1289" spans="1:12" x14ac:dyDescent="0.25">
      <c r="A1289" s="6">
        <v>15</v>
      </c>
      <c r="B1289" s="6">
        <v>2025</v>
      </c>
      <c r="C1289" s="7">
        <v>45790</v>
      </c>
      <c r="D1289" s="6" t="s">
        <v>92</v>
      </c>
      <c r="E1289" s="6" t="s">
        <v>85</v>
      </c>
      <c r="F1289" s="6">
        <v>3</v>
      </c>
      <c r="G1289" s="6" t="s">
        <v>63</v>
      </c>
      <c r="H1289" s="6">
        <v>2</v>
      </c>
      <c r="I1289" s="6">
        <v>4</v>
      </c>
      <c r="J1289" s="6">
        <v>2</v>
      </c>
      <c r="K1289" s="6" t="s">
        <v>36</v>
      </c>
      <c r="L1289" s="6" t="str">
        <f>VLOOKUP(K1289, 'Alphabetical by species code'!A:B, 2, FALSE)</f>
        <v>Bromus madritensis</v>
      </c>
    </row>
    <row r="1290" spans="1:12" x14ac:dyDescent="0.25">
      <c r="A1290" s="6">
        <v>15</v>
      </c>
      <c r="B1290" s="6">
        <v>2025</v>
      </c>
      <c r="C1290" s="7">
        <v>45790</v>
      </c>
      <c r="D1290" s="6" t="s">
        <v>92</v>
      </c>
      <c r="E1290" s="6" t="s">
        <v>85</v>
      </c>
      <c r="F1290" s="6">
        <v>3</v>
      </c>
      <c r="G1290" s="6" t="s">
        <v>63</v>
      </c>
      <c r="H1290" s="6">
        <v>2</v>
      </c>
      <c r="I1290" s="6">
        <v>5</v>
      </c>
      <c r="J1290" s="6">
        <v>3</v>
      </c>
      <c r="K1290" s="6" t="s">
        <v>28</v>
      </c>
      <c r="L1290" s="6" t="str">
        <f>VLOOKUP(K1290, 'Alphabetical by species code'!A:B, 2, FALSE)</f>
        <v>Litter</v>
      </c>
    </row>
    <row r="1291" spans="1:12" x14ac:dyDescent="0.25">
      <c r="A1291" s="6">
        <v>15</v>
      </c>
      <c r="B1291" s="6">
        <v>2025</v>
      </c>
      <c r="C1291" s="7">
        <v>45790</v>
      </c>
      <c r="D1291" s="6" t="s">
        <v>92</v>
      </c>
      <c r="E1291" s="6" t="s">
        <v>85</v>
      </c>
      <c r="F1291" s="6">
        <v>3</v>
      </c>
      <c r="G1291" s="6" t="s">
        <v>63</v>
      </c>
      <c r="H1291" s="6">
        <v>2</v>
      </c>
      <c r="I1291" s="6">
        <v>5</v>
      </c>
      <c r="J1291" s="6">
        <v>3</v>
      </c>
      <c r="K1291" s="6" t="s">
        <v>31</v>
      </c>
      <c r="L1291" s="6" t="str">
        <f>VLOOKUP(K1291, 'Alphabetical by species code'!A:B, 2, FALSE)</f>
        <v>Festuca myuros</v>
      </c>
    </row>
    <row r="1292" spans="1:12" x14ac:dyDescent="0.25">
      <c r="A1292" s="6">
        <v>15</v>
      </c>
      <c r="B1292" s="6">
        <v>2025</v>
      </c>
      <c r="C1292" s="7">
        <v>45790</v>
      </c>
      <c r="D1292" s="6" t="s">
        <v>92</v>
      </c>
      <c r="E1292" s="6" t="s">
        <v>85</v>
      </c>
      <c r="F1292" s="6">
        <v>3</v>
      </c>
      <c r="G1292" s="6" t="s">
        <v>63</v>
      </c>
      <c r="H1292" s="6">
        <v>2</v>
      </c>
      <c r="I1292" s="6">
        <v>6</v>
      </c>
      <c r="J1292" s="6">
        <v>3.5</v>
      </c>
      <c r="K1292" s="6" t="s">
        <v>51</v>
      </c>
      <c r="L1292" s="6" t="str">
        <f>VLOOKUP(K1292, 'Alphabetical by species code'!A:B, 2, FALSE)</f>
        <v>Bareground</v>
      </c>
    </row>
    <row r="1293" spans="1:12" x14ac:dyDescent="0.25">
      <c r="A1293" s="6">
        <v>15</v>
      </c>
      <c r="B1293" s="6">
        <v>2025</v>
      </c>
      <c r="C1293" s="7">
        <v>45790</v>
      </c>
      <c r="D1293" s="6" t="s">
        <v>92</v>
      </c>
      <c r="E1293" s="6" t="s">
        <v>85</v>
      </c>
      <c r="F1293" s="6">
        <v>3</v>
      </c>
      <c r="G1293" s="6" t="s">
        <v>63</v>
      </c>
      <c r="H1293" s="6">
        <v>2</v>
      </c>
      <c r="I1293" s="6">
        <v>6</v>
      </c>
      <c r="J1293" s="6">
        <v>3.5</v>
      </c>
      <c r="K1293" s="6" t="s">
        <v>31</v>
      </c>
      <c r="L1293" s="6" t="str">
        <f>VLOOKUP(K1293, 'Alphabetical by species code'!A:B, 2, FALSE)</f>
        <v>Festuca myuros</v>
      </c>
    </row>
    <row r="1294" spans="1:12" x14ac:dyDescent="0.25">
      <c r="A1294" s="6">
        <v>15</v>
      </c>
      <c r="B1294" s="6">
        <v>2025</v>
      </c>
      <c r="C1294" s="7">
        <v>45790</v>
      </c>
      <c r="D1294" s="6" t="s">
        <v>92</v>
      </c>
      <c r="E1294" s="6" t="s">
        <v>85</v>
      </c>
      <c r="F1294" s="6">
        <v>3</v>
      </c>
      <c r="G1294" s="6" t="s">
        <v>63</v>
      </c>
      <c r="H1294" s="6">
        <v>2</v>
      </c>
      <c r="I1294" s="6">
        <v>7</v>
      </c>
      <c r="J1294" s="6">
        <v>4</v>
      </c>
      <c r="K1294" s="6" t="s">
        <v>28</v>
      </c>
      <c r="L1294" s="6" t="str">
        <f>VLOOKUP(K1294, 'Alphabetical by species code'!A:B, 2, FALSE)</f>
        <v>Litter</v>
      </c>
    </row>
    <row r="1295" spans="1:12" x14ac:dyDescent="0.25">
      <c r="A1295" s="6">
        <v>15</v>
      </c>
      <c r="B1295" s="6">
        <v>2025</v>
      </c>
      <c r="C1295" s="7">
        <v>45790</v>
      </c>
      <c r="D1295" s="6" t="s">
        <v>92</v>
      </c>
      <c r="E1295" s="6" t="s">
        <v>85</v>
      </c>
      <c r="F1295" s="6">
        <v>3</v>
      </c>
      <c r="G1295" s="6" t="s">
        <v>63</v>
      </c>
      <c r="H1295" s="6">
        <v>2</v>
      </c>
      <c r="I1295" s="6">
        <v>7</v>
      </c>
      <c r="J1295" s="6">
        <v>4</v>
      </c>
      <c r="K1295" s="6" t="s">
        <v>32</v>
      </c>
      <c r="L1295" s="6" t="str">
        <f>VLOOKUP(K1295, 'Alphabetical by species code'!A:B, 2, FALSE)</f>
        <v>Medicago polymorpha</v>
      </c>
    </row>
    <row r="1296" spans="1:12" x14ac:dyDescent="0.25">
      <c r="A1296" s="6">
        <v>15</v>
      </c>
      <c r="B1296" s="6">
        <v>2025</v>
      </c>
      <c r="C1296" s="7">
        <v>45790</v>
      </c>
      <c r="D1296" s="6" t="s">
        <v>92</v>
      </c>
      <c r="E1296" s="6" t="s">
        <v>85</v>
      </c>
      <c r="F1296" s="6">
        <v>3</v>
      </c>
      <c r="G1296" s="6" t="s">
        <v>63</v>
      </c>
      <c r="H1296" s="6">
        <v>2</v>
      </c>
      <c r="I1296" s="6">
        <v>7</v>
      </c>
      <c r="J1296" s="6">
        <v>4</v>
      </c>
      <c r="K1296" s="6" t="s">
        <v>31</v>
      </c>
      <c r="L1296" s="6" t="str">
        <f>VLOOKUP(K1296, 'Alphabetical by species code'!A:B, 2, FALSE)</f>
        <v>Festuca myuros</v>
      </c>
    </row>
    <row r="1297" spans="1:12" x14ac:dyDescent="0.25">
      <c r="A1297" s="6">
        <v>15</v>
      </c>
      <c r="B1297" s="6">
        <v>2025</v>
      </c>
      <c r="C1297" s="7">
        <v>45790</v>
      </c>
      <c r="D1297" s="6" t="s">
        <v>92</v>
      </c>
      <c r="E1297" s="6" t="s">
        <v>85</v>
      </c>
      <c r="F1297" s="6">
        <v>3</v>
      </c>
      <c r="G1297" s="6" t="s">
        <v>63</v>
      </c>
      <c r="H1297" s="6">
        <v>2</v>
      </c>
      <c r="I1297" s="6">
        <v>8</v>
      </c>
      <c r="J1297" s="6">
        <v>5</v>
      </c>
      <c r="K1297" s="6" t="s">
        <v>51</v>
      </c>
      <c r="L1297" s="6" t="str">
        <f>VLOOKUP(K1297, 'Alphabetical by species code'!A:B, 2, FALSE)</f>
        <v>Bareground</v>
      </c>
    </row>
    <row r="1298" spans="1:12" x14ac:dyDescent="0.25">
      <c r="A1298" s="6">
        <v>15</v>
      </c>
      <c r="B1298" s="6">
        <v>2025</v>
      </c>
      <c r="C1298" s="7">
        <v>45790</v>
      </c>
      <c r="D1298" s="6" t="s">
        <v>92</v>
      </c>
      <c r="E1298" s="6" t="s">
        <v>85</v>
      </c>
      <c r="F1298" s="6">
        <v>3</v>
      </c>
      <c r="G1298" s="6" t="s">
        <v>63</v>
      </c>
      <c r="H1298" s="6">
        <v>2</v>
      </c>
      <c r="I1298" s="6">
        <v>8</v>
      </c>
      <c r="J1298" s="6">
        <v>5</v>
      </c>
      <c r="K1298" s="6" t="s">
        <v>32</v>
      </c>
      <c r="L1298" s="6" t="str">
        <f>VLOOKUP(K1298, 'Alphabetical by species code'!A:B, 2, FALSE)</f>
        <v>Medicago polymorpha</v>
      </c>
    </row>
    <row r="1299" spans="1:12" x14ac:dyDescent="0.25">
      <c r="A1299" s="6">
        <v>15</v>
      </c>
      <c r="B1299" s="6">
        <v>2025</v>
      </c>
      <c r="C1299" s="7">
        <v>45790</v>
      </c>
      <c r="D1299" s="6" t="s">
        <v>92</v>
      </c>
      <c r="E1299" s="6" t="s">
        <v>85</v>
      </c>
      <c r="F1299" s="6">
        <v>3</v>
      </c>
      <c r="G1299" s="6" t="s">
        <v>63</v>
      </c>
      <c r="H1299" s="6">
        <v>2</v>
      </c>
      <c r="I1299" s="6">
        <v>8</v>
      </c>
      <c r="J1299" s="6">
        <v>5</v>
      </c>
      <c r="K1299" s="6" t="s">
        <v>31</v>
      </c>
      <c r="L1299" s="6" t="str">
        <f>VLOOKUP(K1299, 'Alphabetical by species code'!A:B, 2, FALSE)</f>
        <v>Festuca myuros</v>
      </c>
    </row>
    <row r="1300" spans="1:12" x14ac:dyDescent="0.25">
      <c r="A1300" s="6">
        <v>15</v>
      </c>
      <c r="B1300" s="6">
        <v>2025</v>
      </c>
      <c r="C1300" s="7">
        <v>45790</v>
      </c>
      <c r="D1300" s="6" t="s">
        <v>92</v>
      </c>
      <c r="E1300" s="6" t="s">
        <v>85</v>
      </c>
      <c r="F1300" s="6">
        <v>3</v>
      </c>
      <c r="G1300" s="6" t="s">
        <v>63</v>
      </c>
      <c r="H1300" s="6">
        <v>2</v>
      </c>
      <c r="I1300" s="6">
        <v>9</v>
      </c>
      <c r="J1300" s="6">
        <v>7</v>
      </c>
      <c r="K1300" s="6" t="s">
        <v>28</v>
      </c>
      <c r="L1300" s="6" t="str">
        <f>VLOOKUP(K1300, 'Alphabetical by species code'!A:B, 2, FALSE)</f>
        <v>Litter</v>
      </c>
    </row>
    <row r="1301" spans="1:12" x14ac:dyDescent="0.25">
      <c r="A1301" s="6">
        <v>15</v>
      </c>
      <c r="B1301" s="6">
        <v>2025</v>
      </c>
      <c r="C1301" s="7">
        <v>45790</v>
      </c>
      <c r="D1301" s="6" t="s">
        <v>92</v>
      </c>
      <c r="E1301" s="6" t="s">
        <v>85</v>
      </c>
      <c r="F1301" s="6">
        <v>3</v>
      </c>
      <c r="G1301" s="6" t="s">
        <v>63</v>
      </c>
      <c r="H1301" s="6">
        <v>2</v>
      </c>
      <c r="I1301" s="6">
        <v>9</v>
      </c>
      <c r="J1301" s="6">
        <v>7</v>
      </c>
      <c r="K1301" s="6" t="s">
        <v>32</v>
      </c>
      <c r="L1301" s="6" t="str">
        <f>VLOOKUP(K1301, 'Alphabetical by species code'!A:B, 2, FALSE)</f>
        <v>Medicago polymorpha</v>
      </c>
    </row>
    <row r="1302" spans="1:12" x14ac:dyDescent="0.25">
      <c r="A1302" s="6">
        <v>15</v>
      </c>
      <c r="B1302" s="6">
        <v>2025</v>
      </c>
      <c r="C1302" s="7">
        <v>45790</v>
      </c>
      <c r="D1302" s="6" t="s">
        <v>92</v>
      </c>
      <c r="E1302" s="6" t="s">
        <v>85</v>
      </c>
      <c r="F1302" s="6">
        <v>3</v>
      </c>
      <c r="G1302" s="6" t="s">
        <v>63</v>
      </c>
      <c r="H1302" s="6">
        <v>2</v>
      </c>
      <c r="I1302" s="6">
        <v>9</v>
      </c>
      <c r="J1302" s="6">
        <v>7</v>
      </c>
      <c r="K1302" s="6" t="s">
        <v>31</v>
      </c>
      <c r="L1302" s="6" t="str">
        <f>VLOOKUP(K1302, 'Alphabetical by species code'!A:B, 2, FALSE)</f>
        <v>Festuca myuros</v>
      </c>
    </row>
    <row r="1303" spans="1:12" x14ac:dyDescent="0.25">
      <c r="A1303" s="6">
        <v>15</v>
      </c>
      <c r="B1303" s="6">
        <v>2025</v>
      </c>
      <c r="C1303" s="7">
        <v>45790</v>
      </c>
      <c r="D1303" s="6" t="s">
        <v>92</v>
      </c>
      <c r="E1303" s="6" t="s">
        <v>85</v>
      </c>
      <c r="F1303" s="6">
        <v>3</v>
      </c>
      <c r="G1303" s="6" t="s">
        <v>63</v>
      </c>
      <c r="H1303" s="6">
        <v>2</v>
      </c>
      <c r="I1303" s="6">
        <v>9</v>
      </c>
      <c r="J1303" s="6">
        <v>7</v>
      </c>
      <c r="K1303" s="6" t="s">
        <v>44</v>
      </c>
      <c r="L1303" s="6" t="str">
        <f>VLOOKUP(K1303, 'Alphabetical by species code'!A:B, 2, FALSE)</f>
        <v>Amsinckia menziesii</v>
      </c>
    </row>
    <row r="1304" spans="1:12" x14ac:dyDescent="0.25">
      <c r="A1304" s="6">
        <v>15</v>
      </c>
      <c r="B1304" s="6">
        <v>2025</v>
      </c>
      <c r="C1304" s="7">
        <v>45790</v>
      </c>
      <c r="D1304" s="6" t="s">
        <v>92</v>
      </c>
      <c r="E1304" s="6" t="s">
        <v>85</v>
      </c>
      <c r="F1304" s="6">
        <v>3</v>
      </c>
      <c r="G1304" s="6" t="s">
        <v>63</v>
      </c>
      <c r="H1304" s="6">
        <v>2</v>
      </c>
      <c r="I1304" s="6">
        <v>10</v>
      </c>
      <c r="J1304" s="6">
        <v>8</v>
      </c>
      <c r="K1304" s="6" t="s">
        <v>28</v>
      </c>
      <c r="L1304" s="6" t="str">
        <f>VLOOKUP(K1304, 'Alphabetical by species code'!A:B, 2, FALSE)</f>
        <v>Litter</v>
      </c>
    </row>
    <row r="1305" spans="1:12" x14ac:dyDescent="0.25">
      <c r="A1305" s="6">
        <v>15</v>
      </c>
      <c r="B1305" s="6">
        <v>2025</v>
      </c>
      <c r="C1305" s="7">
        <v>45790</v>
      </c>
      <c r="D1305" s="6" t="s">
        <v>92</v>
      </c>
      <c r="E1305" s="6" t="s">
        <v>85</v>
      </c>
      <c r="F1305" s="6">
        <v>3</v>
      </c>
      <c r="G1305" s="6" t="s">
        <v>63</v>
      </c>
      <c r="H1305" s="6">
        <v>2</v>
      </c>
      <c r="I1305" s="6">
        <v>10</v>
      </c>
      <c r="J1305" s="6">
        <v>8</v>
      </c>
      <c r="K1305" s="6" t="s">
        <v>36</v>
      </c>
      <c r="L1305" s="6" t="str">
        <f>VLOOKUP(K1305, 'Alphabetical by species code'!A:B, 2, FALSE)</f>
        <v>Bromus madritensis</v>
      </c>
    </row>
    <row r="1306" spans="1:12" x14ac:dyDescent="0.25">
      <c r="A1306" s="6">
        <v>15</v>
      </c>
      <c r="B1306" s="6">
        <v>2025</v>
      </c>
      <c r="C1306" s="7">
        <v>45790</v>
      </c>
      <c r="D1306" s="6" t="s">
        <v>92</v>
      </c>
      <c r="E1306" s="6" t="s">
        <v>85</v>
      </c>
      <c r="F1306" s="6">
        <v>3</v>
      </c>
      <c r="G1306" s="6" t="s">
        <v>63</v>
      </c>
      <c r="H1306" s="6">
        <v>2</v>
      </c>
      <c r="I1306" s="6">
        <v>10</v>
      </c>
      <c r="J1306" s="6">
        <v>8</v>
      </c>
      <c r="K1306" s="6" t="s">
        <v>31</v>
      </c>
      <c r="L1306" s="6" t="str">
        <f>VLOOKUP(K1306, 'Alphabetical by species code'!A:B, 2, FALSE)</f>
        <v>Festuca myuros</v>
      </c>
    </row>
    <row r="1307" spans="1:12" x14ac:dyDescent="0.25">
      <c r="A1307" s="6">
        <v>15</v>
      </c>
      <c r="B1307" s="6">
        <v>2025</v>
      </c>
      <c r="C1307" s="7">
        <v>45790</v>
      </c>
      <c r="D1307" s="6" t="s">
        <v>92</v>
      </c>
      <c r="E1307" s="6" t="s">
        <v>85</v>
      </c>
      <c r="F1307" s="6">
        <v>3</v>
      </c>
      <c r="G1307" s="6" t="s">
        <v>63</v>
      </c>
      <c r="H1307" s="6">
        <v>2</v>
      </c>
      <c r="I1307" s="6">
        <v>11</v>
      </c>
      <c r="J1307" s="6">
        <v>8.5</v>
      </c>
      <c r="K1307" s="6" t="s">
        <v>28</v>
      </c>
      <c r="L1307" s="6" t="str">
        <f>VLOOKUP(K1307, 'Alphabetical by species code'!A:B, 2, FALSE)</f>
        <v>Litter</v>
      </c>
    </row>
    <row r="1308" spans="1:12" x14ac:dyDescent="0.25">
      <c r="A1308" s="6">
        <v>15</v>
      </c>
      <c r="B1308" s="6">
        <v>2025</v>
      </c>
      <c r="C1308" s="7">
        <v>45790</v>
      </c>
      <c r="D1308" s="6" t="s">
        <v>92</v>
      </c>
      <c r="E1308" s="6" t="s">
        <v>85</v>
      </c>
      <c r="F1308" s="6">
        <v>3</v>
      </c>
      <c r="G1308" s="6" t="s">
        <v>63</v>
      </c>
      <c r="H1308" s="6">
        <v>2</v>
      </c>
      <c r="I1308" s="6">
        <v>11</v>
      </c>
      <c r="J1308" s="6">
        <v>8.5</v>
      </c>
      <c r="K1308" s="6" t="s">
        <v>31</v>
      </c>
      <c r="L1308" s="6" t="str">
        <f>VLOOKUP(K1308, 'Alphabetical by species code'!A:B, 2, FALSE)</f>
        <v>Festuca myuros</v>
      </c>
    </row>
    <row r="1309" spans="1:12" x14ac:dyDescent="0.25">
      <c r="A1309" s="6">
        <v>15</v>
      </c>
      <c r="B1309" s="6">
        <v>2025</v>
      </c>
      <c r="C1309" s="7">
        <v>45790</v>
      </c>
      <c r="D1309" s="6" t="s">
        <v>92</v>
      </c>
      <c r="E1309" s="6" t="s">
        <v>85</v>
      </c>
      <c r="F1309" s="6">
        <v>3</v>
      </c>
      <c r="G1309" s="6" t="s">
        <v>63</v>
      </c>
      <c r="H1309" s="6">
        <v>2</v>
      </c>
      <c r="I1309" s="6">
        <v>12</v>
      </c>
      <c r="J1309" s="6">
        <v>9</v>
      </c>
      <c r="K1309" s="6" t="s">
        <v>28</v>
      </c>
      <c r="L1309" s="6" t="str">
        <f>VLOOKUP(K1309, 'Alphabetical by species code'!A:B, 2, FALSE)</f>
        <v>Litter</v>
      </c>
    </row>
    <row r="1310" spans="1:12" x14ac:dyDescent="0.25">
      <c r="A1310" s="6">
        <v>15</v>
      </c>
      <c r="B1310" s="6">
        <v>2025</v>
      </c>
      <c r="C1310" s="7">
        <v>45790</v>
      </c>
      <c r="D1310" s="6" t="s">
        <v>92</v>
      </c>
      <c r="E1310" s="6" t="s">
        <v>85</v>
      </c>
      <c r="F1310" s="6">
        <v>3</v>
      </c>
      <c r="G1310" s="6" t="s">
        <v>63</v>
      </c>
      <c r="H1310" s="6">
        <v>2</v>
      </c>
      <c r="I1310" s="6">
        <v>12</v>
      </c>
      <c r="J1310" s="6">
        <v>9</v>
      </c>
      <c r="K1310" s="6" t="s">
        <v>31</v>
      </c>
      <c r="L1310" s="6" t="str">
        <f>VLOOKUP(K1310, 'Alphabetical by species code'!A:B, 2, FALSE)</f>
        <v>Festuca myuros</v>
      </c>
    </row>
    <row r="1311" spans="1:12" x14ac:dyDescent="0.25">
      <c r="A1311" s="6">
        <v>15</v>
      </c>
      <c r="B1311" s="6">
        <v>2025</v>
      </c>
      <c r="C1311" s="7">
        <v>45790</v>
      </c>
      <c r="D1311" s="6" t="s">
        <v>92</v>
      </c>
      <c r="E1311" s="6" t="s">
        <v>85</v>
      </c>
      <c r="F1311" s="6">
        <v>3</v>
      </c>
      <c r="G1311" s="6" t="s">
        <v>63</v>
      </c>
      <c r="H1311" s="6">
        <v>2</v>
      </c>
      <c r="I1311" s="6">
        <v>13</v>
      </c>
      <c r="J1311" s="6">
        <v>10</v>
      </c>
      <c r="K1311" s="6" t="s">
        <v>51</v>
      </c>
      <c r="L1311" s="6" t="str">
        <f>VLOOKUP(K1311, 'Alphabetical by species code'!A:B, 2, FALSE)</f>
        <v>Bareground</v>
      </c>
    </row>
    <row r="1312" spans="1:12" x14ac:dyDescent="0.25">
      <c r="A1312" s="6">
        <v>15</v>
      </c>
      <c r="B1312" s="6">
        <v>2025</v>
      </c>
      <c r="C1312" s="7">
        <v>45790</v>
      </c>
      <c r="D1312" s="6" t="s">
        <v>92</v>
      </c>
      <c r="E1312" s="6" t="s">
        <v>85</v>
      </c>
      <c r="F1312" s="6">
        <v>3</v>
      </c>
      <c r="G1312" s="6" t="s">
        <v>63</v>
      </c>
      <c r="H1312" s="6">
        <v>2</v>
      </c>
      <c r="I1312" s="6">
        <v>13</v>
      </c>
      <c r="J1312" s="6">
        <v>10</v>
      </c>
      <c r="K1312" s="6" t="s">
        <v>32</v>
      </c>
      <c r="L1312" s="6" t="str">
        <f>VLOOKUP(K1312, 'Alphabetical by species code'!A:B, 2, FALSE)</f>
        <v>Medicago polymorpha</v>
      </c>
    </row>
    <row r="1313" spans="1:12" x14ac:dyDescent="0.25">
      <c r="A1313" s="6">
        <v>15</v>
      </c>
      <c r="B1313" s="6">
        <v>2025</v>
      </c>
      <c r="C1313" s="7">
        <v>45790</v>
      </c>
      <c r="D1313" s="6" t="s">
        <v>92</v>
      </c>
      <c r="E1313" s="6" t="s">
        <v>85</v>
      </c>
      <c r="F1313" s="6">
        <v>3</v>
      </c>
      <c r="G1313" s="6" t="s">
        <v>63</v>
      </c>
      <c r="H1313" s="6">
        <v>2</v>
      </c>
      <c r="I1313" s="6">
        <v>13</v>
      </c>
      <c r="J1313" s="6">
        <v>10</v>
      </c>
      <c r="K1313" s="6" t="s">
        <v>31</v>
      </c>
      <c r="L1313" s="6" t="str">
        <f>VLOOKUP(K1313, 'Alphabetical by species code'!A:B, 2, FALSE)</f>
        <v>Festuca myuros</v>
      </c>
    </row>
    <row r="1314" spans="1:12" x14ac:dyDescent="0.25">
      <c r="A1314" s="6">
        <v>15</v>
      </c>
      <c r="B1314" s="6">
        <v>2025</v>
      </c>
      <c r="C1314" s="7">
        <v>45790</v>
      </c>
      <c r="D1314" s="6" t="s">
        <v>92</v>
      </c>
      <c r="E1314" s="6" t="s">
        <v>85</v>
      </c>
      <c r="F1314" s="6">
        <v>3</v>
      </c>
      <c r="G1314" s="6" t="s">
        <v>63</v>
      </c>
      <c r="H1314" s="6">
        <v>2</v>
      </c>
      <c r="I1314" s="6">
        <v>14</v>
      </c>
      <c r="J1314" s="6">
        <v>11</v>
      </c>
      <c r="K1314" s="6" t="s">
        <v>51</v>
      </c>
      <c r="L1314" s="6" t="str">
        <f>VLOOKUP(K1314, 'Alphabetical by species code'!A:B, 2, FALSE)</f>
        <v>Bareground</v>
      </c>
    </row>
    <row r="1315" spans="1:12" x14ac:dyDescent="0.25">
      <c r="A1315" s="6">
        <v>15</v>
      </c>
      <c r="B1315" s="6">
        <v>2025</v>
      </c>
      <c r="C1315" s="7">
        <v>45790</v>
      </c>
      <c r="D1315" s="6" t="s">
        <v>92</v>
      </c>
      <c r="E1315" s="6" t="s">
        <v>85</v>
      </c>
      <c r="F1315" s="6">
        <v>3</v>
      </c>
      <c r="G1315" s="6" t="s">
        <v>63</v>
      </c>
      <c r="H1315" s="6">
        <v>2</v>
      </c>
      <c r="I1315" s="6">
        <v>14</v>
      </c>
      <c r="J1315" s="6">
        <v>11</v>
      </c>
      <c r="K1315" s="6" t="s">
        <v>31</v>
      </c>
      <c r="L1315" s="6" t="str">
        <f>VLOOKUP(K1315, 'Alphabetical by species code'!A:B, 2, FALSE)</f>
        <v>Festuca myuros</v>
      </c>
    </row>
    <row r="1316" spans="1:12" x14ac:dyDescent="0.25">
      <c r="A1316" s="6">
        <v>15</v>
      </c>
      <c r="B1316" s="6">
        <v>2025</v>
      </c>
      <c r="C1316" s="7">
        <v>45790</v>
      </c>
      <c r="D1316" s="6" t="s">
        <v>92</v>
      </c>
      <c r="E1316" s="6" t="s">
        <v>85</v>
      </c>
      <c r="F1316" s="6">
        <v>3</v>
      </c>
      <c r="G1316" s="6" t="s">
        <v>63</v>
      </c>
      <c r="H1316" s="6">
        <v>2</v>
      </c>
      <c r="I1316" s="6">
        <v>15</v>
      </c>
      <c r="J1316" s="6">
        <v>12</v>
      </c>
      <c r="K1316" s="6" t="s">
        <v>28</v>
      </c>
      <c r="L1316" s="6" t="str">
        <f>VLOOKUP(K1316, 'Alphabetical by species code'!A:B, 2, FALSE)</f>
        <v>Litter</v>
      </c>
    </row>
    <row r="1317" spans="1:12" x14ac:dyDescent="0.25">
      <c r="A1317" s="6">
        <v>15</v>
      </c>
      <c r="B1317" s="6">
        <v>2025</v>
      </c>
      <c r="C1317" s="7">
        <v>45790</v>
      </c>
      <c r="D1317" s="6" t="s">
        <v>92</v>
      </c>
      <c r="E1317" s="6" t="s">
        <v>85</v>
      </c>
      <c r="F1317" s="6">
        <v>3</v>
      </c>
      <c r="G1317" s="6" t="s">
        <v>63</v>
      </c>
      <c r="H1317" s="6">
        <v>2</v>
      </c>
      <c r="I1317" s="6">
        <v>15</v>
      </c>
      <c r="J1317" s="6">
        <v>12</v>
      </c>
      <c r="K1317" s="6" t="s">
        <v>32</v>
      </c>
      <c r="L1317" s="6" t="str">
        <f>VLOOKUP(K1317, 'Alphabetical by species code'!A:B, 2, FALSE)</f>
        <v>Medicago polymorpha</v>
      </c>
    </row>
    <row r="1318" spans="1:12" x14ac:dyDescent="0.25">
      <c r="A1318" s="6">
        <v>15</v>
      </c>
      <c r="B1318" s="6">
        <v>2025</v>
      </c>
      <c r="C1318" s="7">
        <v>45790</v>
      </c>
      <c r="D1318" s="6" t="s">
        <v>92</v>
      </c>
      <c r="E1318" s="6" t="s">
        <v>85</v>
      </c>
      <c r="F1318" s="6">
        <v>3</v>
      </c>
      <c r="G1318" s="6" t="s">
        <v>63</v>
      </c>
      <c r="H1318" s="6">
        <v>2</v>
      </c>
      <c r="I1318" s="6">
        <v>15</v>
      </c>
      <c r="J1318" s="6">
        <v>12</v>
      </c>
      <c r="K1318" s="6" t="s">
        <v>86</v>
      </c>
      <c r="L1318" s="6" t="str">
        <f>VLOOKUP(K1318, 'Alphabetical by species code'!A:B, 2, FALSE)</f>
        <v>Artemisia californica</v>
      </c>
    </row>
    <row r="1319" spans="1:12" x14ac:dyDescent="0.25">
      <c r="A1319" s="6">
        <v>16</v>
      </c>
      <c r="B1319" s="6">
        <v>2025</v>
      </c>
      <c r="C1319" s="7">
        <v>45790</v>
      </c>
      <c r="D1319" s="6" t="s">
        <v>92</v>
      </c>
      <c r="E1319" s="6" t="s">
        <v>85</v>
      </c>
      <c r="F1319" s="6">
        <v>3</v>
      </c>
      <c r="G1319" s="6" t="s">
        <v>66</v>
      </c>
      <c r="H1319" s="6">
        <v>1</v>
      </c>
      <c r="I1319" s="6">
        <v>1</v>
      </c>
      <c r="J1319" s="6">
        <v>0</v>
      </c>
      <c r="K1319" s="6" t="s">
        <v>28</v>
      </c>
      <c r="L1319" s="6" t="str">
        <f>VLOOKUP(K1319, 'Alphabetical by species code'!A:B, 2, FALSE)</f>
        <v>Litter</v>
      </c>
    </row>
    <row r="1320" spans="1:12" x14ac:dyDescent="0.25">
      <c r="A1320" s="6">
        <v>16</v>
      </c>
      <c r="B1320" s="6">
        <v>2025</v>
      </c>
      <c r="C1320" s="7">
        <v>45790</v>
      </c>
      <c r="D1320" s="6" t="s">
        <v>92</v>
      </c>
      <c r="E1320" s="6" t="s">
        <v>85</v>
      </c>
      <c r="F1320" s="6">
        <v>3</v>
      </c>
      <c r="G1320" s="6" t="s">
        <v>66</v>
      </c>
      <c r="H1320" s="6">
        <v>1</v>
      </c>
      <c r="I1320" s="6">
        <v>1</v>
      </c>
      <c r="J1320" s="6">
        <v>0</v>
      </c>
      <c r="K1320" s="6" t="s">
        <v>32</v>
      </c>
      <c r="L1320" s="6" t="str">
        <f>VLOOKUP(K1320, 'Alphabetical by species code'!A:B, 2, FALSE)</f>
        <v>Medicago polymorpha</v>
      </c>
    </row>
    <row r="1321" spans="1:12" x14ac:dyDescent="0.25">
      <c r="A1321" s="6">
        <v>16</v>
      </c>
      <c r="B1321" s="6">
        <v>2025</v>
      </c>
      <c r="C1321" s="7">
        <v>45790</v>
      </c>
      <c r="D1321" s="6" t="s">
        <v>92</v>
      </c>
      <c r="E1321" s="6" t="s">
        <v>85</v>
      </c>
      <c r="F1321" s="6">
        <v>3</v>
      </c>
      <c r="G1321" s="6" t="s">
        <v>66</v>
      </c>
      <c r="H1321" s="6">
        <v>1</v>
      </c>
      <c r="I1321" s="6">
        <v>2</v>
      </c>
      <c r="J1321" s="6">
        <v>1</v>
      </c>
      <c r="K1321" s="6" t="s">
        <v>28</v>
      </c>
      <c r="L1321" s="6" t="str">
        <f>VLOOKUP(K1321, 'Alphabetical by species code'!A:B, 2, FALSE)</f>
        <v>Litter</v>
      </c>
    </row>
    <row r="1322" spans="1:12" x14ac:dyDescent="0.25">
      <c r="A1322" s="6">
        <v>16</v>
      </c>
      <c r="B1322" s="6">
        <v>2025</v>
      </c>
      <c r="C1322" s="7">
        <v>45790</v>
      </c>
      <c r="D1322" s="6" t="s">
        <v>92</v>
      </c>
      <c r="E1322" s="6" t="s">
        <v>85</v>
      </c>
      <c r="F1322" s="6">
        <v>3</v>
      </c>
      <c r="G1322" s="6" t="s">
        <v>66</v>
      </c>
      <c r="H1322" s="6">
        <v>1</v>
      </c>
      <c r="I1322" s="6">
        <v>2</v>
      </c>
      <c r="J1322" s="6">
        <v>1</v>
      </c>
      <c r="K1322" s="6" t="s">
        <v>55</v>
      </c>
      <c r="L1322" s="6" t="str">
        <f>VLOOKUP(K1322, 'Alphabetical by species code'!A:B, 2, FALSE)</f>
        <v>Daucus pusillus</v>
      </c>
    </row>
    <row r="1323" spans="1:12" x14ac:dyDescent="0.25">
      <c r="A1323" s="6">
        <v>16</v>
      </c>
      <c r="B1323" s="6">
        <v>2025</v>
      </c>
      <c r="C1323" s="7">
        <v>45790</v>
      </c>
      <c r="D1323" s="6" t="s">
        <v>92</v>
      </c>
      <c r="E1323" s="6" t="s">
        <v>85</v>
      </c>
      <c r="F1323" s="6">
        <v>3</v>
      </c>
      <c r="G1323" s="6" t="s">
        <v>66</v>
      </c>
      <c r="H1323" s="6">
        <v>1</v>
      </c>
      <c r="I1323" s="6">
        <v>2</v>
      </c>
      <c r="J1323" s="6">
        <v>1</v>
      </c>
      <c r="K1323" s="6" t="s">
        <v>36</v>
      </c>
      <c r="L1323" s="6" t="str">
        <f>VLOOKUP(K1323, 'Alphabetical by species code'!A:B, 2, FALSE)</f>
        <v>Bromus madritensis</v>
      </c>
    </row>
    <row r="1324" spans="1:12" x14ac:dyDescent="0.25">
      <c r="A1324" s="6">
        <v>16</v>
      </c>
      <c r="B1324" s="6">
        <v>2025</v>
      </c>
      <c r="C1324" s="7">
        <v>45790</v>
      </c>
      <c r="D1324" s="6" t="s">
        <v>92</v>
      </c>
      <c r="E1324" s="6" t="s">
        <v>85</v>
      </c>
      <c r="F1324" s="6">
        <v>3</v>
      </c>
      <c r="G1324" s="6" t="s">
        <v>66</v>
      </c>
      <c r="H1324" s="6">
        <v>1</v>
      </c>
      <c r="I1324" s="6">
        <v>3</v>
      </c>
      <c r="J1324" s="6">
        <v>1.5</v>
      </c>
      <c r="K1324" s="6" t="s">
        <v>28</v>
      </c>
      <c r="L1324" s="6" t="str">
        <f>VLOOKUP(K1324, 'Alphabetical by species code'!A:B, 2, FALSE)</f>
        <v>Litter</v>
      </c>
    </row>
    <row r="1325" spans="1:12" x14ac:dyDescent="0.25">
      <c r="A1325" s="6">
        <v>16</v>
      </c>
      <c r="B1325" s="6">
        <v>2025</v>
      </c>
      <c r="C1325" s="7">
        <v>45790</v>
      </c>
      <c r="D1325" s="6" t="s">
        <v>92</v>
      </c>
      <c r="E1325" s="6" t="s">
        <v>85</v>
      </c>
      <c r="F1325" s="6">
        <v>3</v>
      </c>
      <c r="G1325" s="6" t="s">
        <v>66</v>
      </c>
      <c r="H1325" s="6">
        <v>1</v>
      </c>
      <c r="I1325" s="6">
        <v>3</v>
      </c>
      <c r="J1325" s="6">
        <v>1.5</v>
      </c>
      <c r="K1325" s="6" t="s">
        <v>32</v>
      </c>
      <c r="L1325" s="6" t="str">
        <f>VLOOKUP(K1325, 'Alphabetical by species code'!A:B, 2, FALSE)</f>
        <v>Medicago polymorpha</v>
      </c>
    </row>
    <row r="1326" spans="1:12" x14ac:dyDescent="0.25">
      <c r="A1326" s="6">
        <v>16</v>
      </c>
      <c r="B1326" s="6">
        <v>2025</v>
      </c>
      <c r="C1326" s="7">
        <v>45790</v>
      </c>
      <c r="D1326" s="6" t="s">
        <v>92</v>
      </c>
      <c r="E1326" s="6" t="s">
        <v>85</v>
      </c>
      <c r="F1326" s="6">
        <v>3</v>
      </c>
      <c r="G1326" s="6" t="s">
        <v>66</v>
      </c>
      <c r="H1326" s="6">
        <v>1</v>
      </c>
      <c r="I1326" s="6">
        <v>4</v>
      </c>
      <c r="J1326" s="6">
        <v>2</v>
      </c>
      <c r="K1326" s="6" t="s">
        <v>28</v>
      </c>
      <c r="L1326" s="6" t="str">
        <f>VLOOKUP(K1326, 'Alphabetical by species code'!A:B, 2, FALSE)</f>
        <v>Litter</v>
      </c>
    </row>
    <row r="1327" spans="1:12" x14ac:dyDescent="0.25">
      <c r="A1327" s="6">
        <v>16</v>
      </c>
      <c r="B1327" s="6">
        <v>2025</v>
      </c>
      <c r="C1327" s="7">
        <v>45790</v>
      </c>
      <c r="D1327" s="6" t="s">
        <v>92</v>
      </c>
      <c r="E1327" s="6" t="s">
        <v>85</v>
      </c>
      <c r="F1327" s="6">
        <v>3</v>
      </c>
      <c r="G1327" s="6" t="s">
        <v>66</v>
      </c>
      <c r="H1327" s="6">
        <v>1</v>
      </c>
      <c r="I1327" s="6">
        <v>4</v>
      </c>
      <c r="J1327" s="6">
        <v>2</v>
      </c>
      <c r="K1327" s="6" t="s">
        <v>42</v>
      </c>
      <c r="L1327" s="6" t="str">
        <f>VLOOKUP(K1327, 'Alphabetical by species code'!A:B, 2, FALSE)</f>
        <v>Centaurea melitensis</v>
      </c>
    </row>
    <row r="1328" spans="1:12" x14ac:dyDescent="0.25">
      <c r="A1328" s="6">
        <v>16</v>
      </c>
      <c r="B1328" s="6">
        <v>2025</v>
      </c>
      <c r="C1328" s="7">
        <v>45790</v>
      </c>
      <c r="D1328" s="6" t="s">
        <v>92</v>
      </c>
      <c r="E1328" s="6" t="s">
        <v>85</v>
      </c>
      <c r="F1328" s="6">
        <v>3</v>
      </c>
      <c r="G1328" s="6" t="s">
        <v>66</v>
      </c>
      <c r="H1328" s="6">
        <v>1</v>
      </c>
      <c r="I1328" s="6">
        <v>5</v>
      </c>
      <c r="J1328" s="6">
        <v>3</v>
      </c>
      <c r="K1328" s="6" t="s">
        <v>51</v>
      </c>
      <c r="L1328" s="6" t="str">
        <f>VLOOKUP(K1328, 'Alphabetical by species code'!A:B, 2, FALSE)</f>
        <v>Bareground</v>
      </c>
    </row>
    <row r="1329" spans="1:12" x14ac:dyDescent="0.25">
      <c r="A1329" s="6">
        <v>16</v>
      </c>
      <c r="B1329" s="6">
        <v>2025</v>
      </c>
      <c r="C1329" s="7">
        <v>45790</v>
      </c>
      <c r="D1329" s="6" t="s">
        <v>92</v>
      </c>
      <c r="E1329" s="6" t="s">
        <v>85</v>
      </c>
      <c r="F1329" s="6">
        <v>3</v>
      </c>
      <c r="G1329" s="6" t="s">
        <v>66</v>
      </c>
      <c r="H1329" s="6">
        <v>1</v>
      </c>
      <c r="I1329" s="6">
        <v>5</v>
      </c>
      <c r="J1329" s="6">
        <v>3</v>
      </c>
      <c r="K1329" s="6" t="s">
        <v>32</v>
      </c>
      <c r="L1329" s="6" t="str">
        <f>VLOOKUP(K1329, 'Alphabetical by species code'!A:B, 2, FALSE)</f>
        <v>Medicago polymorpha</v>
      </c>
    </row>
    <row r="1330" spans="1:12" x14ac:dyDescent="0.25">
      <c r="A1330" s="6">
        <v>16</v>
      </c>
      <c r="B1330" s="6">
        <v>2025</v>
      </c>
      <c r="C1330" s="7">
        <v>45790</v>
      </c>
      <c r="D1330" s="6" t="s">
        <v>92</v>
      </c>
      <c r="E1330" s="6" t="s">
        <v>85</v>
      </c>
      <c r="F1330" s="6">
        <v>3</v>
      </c>
      <c r="G1330" s="6" t="s">
        <v>66</v>
      </c>
      <c r="H1330" s="6">
        <v>1</v>
      </c>
      <c r="I1330" s="6">
        <v>6</v>
      </c>
      <c r="J1330" s="6">
        <v>3.5</v>
      </c>
      <c r="K1330" s="6" t="s">
        <v>28</v>
      </c>
      <c r="L1330" s="6" t="str">
        <f>VLOOKUP(K1330, 'Alphabetical by species code'!A:B, 2, FALSE)</f>
        <v>Litter</v>
      </c>
    </row>
    <row r="1331" spans="1:12" x14ac:dyDescent="0.25">
      <c r="A1331" s="6">
        <v>16</v>
      </c>
      <c r="B1331" s="6">
        <v>2025</v>
      </c>
      <c r="C1331" s="7">
        <v>45790</v>
      </c>
      <c r="D1331" s="6" t="s">
        <v>92</v>
      </c>
      <c r="E1331" s="6" t="s">
        <v>85</v>
      </c>
      <c r="F1331" s="6">
        <v>3</v>
      </c>
      <c r="G1331" s="6" t="s">
        <v>66</v>
      </c>
      <c r="H1331" s="6">
        <v>1</v>
      </c>
      <c r="I1331" s="6">
        <v>6</v>
      </c>
      <c r="J1331" s="6">
        <v>3.5</v>
      </c>
      <c r="K1331" s="6" t="s">
        <v>35</v>
      </c>
      <c r="L1331" s="6" t="str">
        <f>VLOOKUP(K1331, 'Alphabetical by species code'!A:B, 2, FALSE)</f>
        <v>Deinandra fasciculata</v>
      </c>
    </row>
    <row r="1332" spans="1:12" x14ac:dyDescent="0.25">
      <c r="A1332" s="6">
        <v>16</v>
      </c>
      <c r="B1332" s="6">
        <v>2025</v>
      </c>
      <c r="C1332" s="7">
        <v>45790</v>
      </c>
      <c r="D1332" s="6" t="s">
        <v>92</v>
      </c>
      <c r="E1332" s="6" t="s">
        <v>85</v>
      </c>
      <c r="F1332" s="6">
        <v>3</v>
      </c>
      <c r="G1332" s="6" t="s">
        <v>66</v>
      </c>
      <c r="H1332" s="6">
        <v>1</v>
      </c>
      <c r="I1332" s="6">
        <v>6</v>
      </c>
      <c r="J1332" s="6">
        <v>3.5</v>
      </c>
      <c r="K1332" s="6" t="s">
        <v>32</v>
      </c>
      <c r="L1332" s="6" t="str">
        <f>VLOOKUP(K1332, 'Alphabetical by species code'!A:B, 2, FALSE)</f>
        <v>Medicago polymorpha</v>
      </c>
    </row>
    <row r="1333" spans="1:12" x14ac:dyDescent="0.25">
      <c r="A1333" s="6">
        <v>16</v>
      </c>
      <c r="B1333" s="6">
        <v>2025</v>
      </c>
      <c r="C1333" s="7">
        <v>45790</v>
      </c>
      <c r="D1333" s="6" t="s">
        <v>92</v>
      </c>
      <c r="E1333" s="6" t="s">
        <v>85</v>
      </c>
      <c r="F1333" s="6">
        <v>3</v>
      </c>
      <c r="G1333" s="6" t="s">
        <v>66</v>
      </c>
      <c r="H1333" s="6">
        <v>1</v>
      </c>
      <c r="I1333" s="6">
        <v>7</v>
      </c>
      <c r="J1333" s="6">
        <v>4</v>
      </c>
      <c r="K1333" s="6" t="s">
        <v>28</v>
      </c>
      <c r="L1333" s="6" t="str">
        <f>VLOOKUP(K1333, 'Alphabetical by species code'!A:B, 2, FALSE)</f>
        <v>Litter</v>
      </c>
    </row>
    <row r="1334" spans="1:12" x14ac:dyDescent="0.25">
      <c r="A1334" s="6">
        <v>16</v>
      </c>
      <c r="B1334" s="6">
        <v>2025</v>
      </c>
      <c r="C1334" s="7">
        <v>45790</v>
      </c>
      <c r="D1334" s="6" t="s">
        <v>92</v>
      </c>
      <c r="E1334" s="6" t="s">
        <v>85</v>
      </c>
      <c r="F1334" s="6">
        <v>3</v>
      </c>
      <c r="G1334" s="6" t="s">
        <v>66</v>
      </c>
      <c r="H1334" s="6">
        <v>1</v>
      </c>
      <c r="I1334" s="6">
        <v>7</v>
      </c>
      <c r="J1334" s="6">
        <v>4</v>
      </c>
      <c r="K1334" s="6" t="s">
        <v>36</v>
      </c>
      <c r="L1334" s="6" t="str">
        <f>VLOOKUP(K1334, 'Alphabetical by species code'!A:B, 2, FALSE)</f>
        <v>Bromus madritensis</v>
      </c>
    </row>
    <row r="1335" spans="1:12" x14ac:dyDescent="0.25">
      <c r="A1335" s="6">
        <v>16</v>
      </c>
      <c r="B1335" s="6">
        <v>2025</v>
      </c>
      <c r="C1335" s="7">
        <v>45790</v>
      </c>
      <c r="D1335" s="6" t="s">
        <v>92</v>
      </c>
      <c r="E1335" s="6" t="s">
        <v>85</v>
      </c>
      <c r="F1335" s="6">
        <v>3</v>
      </c>
      <c r="G1335" s="6" t="s">
        <v>66</v>
      </c>
      <c r="H1335" s="6">
        <v>1</v>
      </c>
      <c r="I1335" s="6">
        <v>8</v>
      </c>
      <c r="J1335" s="6">
        <v>5</v>
      </c>
      <c r="K1335" s="6" t="s">
        <v>28</v>
      </c>
      <c r="L1335" s="6" t="str">
        <f>VLOOKUP(K1335, 'Alphabetical by species code'!A:B, 2, FALSE)</f>
        <v>Litter</v>
      </c>
    </row>
    <row r="1336" spans="1:12" x14ac:dyDescent="0.25">
      <c r="A1336" s="6">
        <v>16</v>
      </c>
      <c r="B1336" s="6">
        <v>2025</v>
      </c>
      <c r="C1336" s="7">
        <v>45790</v>
      </c>
      <c r="D1336" s="6" t="s">
        <v>92</v>
      </c>
      <c r="E1336" s="6" t="s">
        <v>85</v>
      </c>
      <c r="F1336" s="6">
        <v>3</v>
      </c>
      <c r="G1336" s="6" t="s">
        <v>66</v>
      </c>
      <c r="H1336" s="6">
        <v>1</v>
      </c>
      <c r="I1336" s="6">
        <v>8</v>
      </c>
      <c r="J1336" s="6">
        <v>5</v>
      </c>
      <c r="K1336" s="6" t="s">
        <v>32</v>
      </c>
      <c r="L1336" s="6" t="str">
        <f>VLOOKUP(K1336, 'Alphabetical by species code'!A:B, 2, FALSE)</f>
        <v>Medicago polymorpha</v>
      </c>
    </row>
    <row r="1337" spans="1:12" x14ac:dyDescent="0.25">
      <c r="A1337" s="6">
        <v>16</v>
      </c>
      <c r="B1337" s="6">
        <v>2025</v>
      </c>
      <c r="C1337" s="7">
        <v>45790</v>
      </c>
      <c r="D1337" s="6" t="s">
        <v>92</v>
      </c>
      <c r="E1337" s="6" t="s">
        <v>85</v>
      </c>
      <c r="F1337" s="6">
        <v>3</v>
      </c>
      <c r="G1337" s="6" t="s">
        <v>66</v>
      </c>
      <c r="H1337" s="6">
        <v>1</v>
      </c>
      <c r="I1337" s="6">
        <v>8</v>
      </c>
      <c r="J1337" s="6">
        <v>5</v>
      </c>
      <c r="K1337" s="6" t="s">
        <v>36</v>
      </c>
      <c r="L1337" s="6" t="str">
        <f>VLOOKUP(K1337, 'Alphabetical by species code'!A:B, 2, FALSE)</f>
        <v>Bromus madritensis</v>
      </c>
    </row>
    <row r="1338" spans="1:12" x14ac:dyDescent="0.25">
      <c r="A1338" s="6">
        <v>16</v>
      </c>
      <c r="B1338" s="6">
        <v>2025</v>
      </c>
      <c r="C1338" s="7">
        <v>45790</v>
      </c>
      <c r="D1338" s="6" t="s">
        <v>92</v>
      </c>
      <c r="E1338" s="6" t="s">
        <v>85</v>
      </c>
      <c r="F1338" s="6">
        <v>3</v>
      </c>
      <c r="G1338" s="6" t="s">
        <v>66</v>
      </c>
      <c r="H1338" s="6">
        <v>1</v>
      </c>
      <c r="I1338" s="6">
        <v>9</v>
      </c>
      <c r="J1338" s="6">
        <v>7</v>
      </c>
      <c r="K1338" s="6" t="s">
        <v>51</v>
      </c>
      <c r="L1338" s="6" t="str">
        <f>VLOOKUP(K1338, 'Alphabetical by species code'!A:B, 2, FALSE)</f>
        <v>Bareground</v>
      </c>
    </row>
    <row r="1339" spans="1:12" x14ac:dyDescent="0.25">
      <c r="A1339" s="6">
        <v>16</v>
      </c>
      <c r="B1339" s="6">
        <v>2025</v>
      </c>
      <c r="C1339" s="7">
        <v>45790</v>
      </c>
      <c r="D1339" s="6" t="s">
        <v>92</v>
      </c>
      <c r="E1339" s="6" t="s">
        <v>85</v>
      </c>
      <c r="F1339" s="6">
        <v>3</v>
      </c>
      <c r="G1339" s="6" t="s">
        <v>66</v>
      </c>
      <c r="H1339" s="6">
        <v>1</v>
      </c>
      <c r="I1339" s="6">
        <v>10</v>
      </c>
      <c r="J1339" s="6">
        <v>8</v>
      </c>
      <c r="K1339" s="6" t="s">
        <v>51</v>
      </c>
      <c r="L1339" s="6" t="str">
        <f>VLOOKUP(K1339, 'Alphabetical by species code'!A:B, 2, FALSE)</f>
        <v>Bareground</v>
      </c>
    </row>
    <row r="1340" spans="1:12" x14ac:dyDescent="0.25">
      <c r="A1340" s="6">
        <v>16</v>
      </c>
      <c r="B1340" s="6">
        <v>2025</v>
      </c>
      <c r="C1340" s="7">
        <v>45790</v>
      </c>
      <c r="D1340" s="6" t="s">
        <v>92</v>
      </c>
      <c r="E1340" s="6" t="s">
        <v>85</v>
      </c>
      <c r="F1340" s="6">
        <v>3</v>
      </c>
      <c r="G1340" s="6" t="s">
        <v>66</v>
      </c>
      <c r="H1340" s="6">
        <v>1</v>
      </c>
      <c r="I1340" s="6">
        <v>11</v>
      </c>
      <c r="J1340" s="6">
        <v>8.5</v>
      </c>
      <c r="K1340" s="6" t="s">
        <v>28</v>
      </c>
      <c r="L1340" s="6" t="str">
        <f>VLOOKUP(K1340, 'Alphabetical by species code'!A:B, 2, FALSE)</f>
        <v>Litter</v>
      </c>
    </row>
    <row r="1341" spans="1:12" x14ac:dyDescent="0.25">
      <c r="A1341" s="6">
        <v>16</v>
      </c>
      <c r="B1341" s="6">
        <v>2025</v>
      </c>
      <c r="C1341" s="7">
        <v>45790</v>
      </c>
      <c r="D1341" s="6" t="s">
        <v>92</v>
      </c>
      <c r="E1341" s="6" t="s">
        <v>85</v>
      </c>
      <c r="F1341" s="6">
        <v>3</v>
      </c>
      <c r="G1341" s="6" t="s">
        <v>66</v>
      </c>
      <c r="H1341" s="6">
        <v>1</v>
      </c>
      <c r="I1341" s="6">
        <v>11</v>
      </c>
      <c r="J1341" s="6">
        <v>8.5</v>
      </c>
      <c r="K1341" s="6" t="s">
        <v>34</v>
      </c>
      <c r="L1341" s="6" t="str">
        <f>VLOOKUP(K1341, 'Alphabetical by species code'!A:B, 2, FALSE)</f>
        <v>Erodium cicutarium</v>
      </c>
    </row>
    <row r="1342" spans="1:12" x14ac:dyDescent="0.25">
      <c r="A1342" s="6">
        <v>16</v>
      </c>
      <c r="B1342" s="6">
        <v>2025</v>
      </c>
      <c r="C1342" s="7">
        <v>45790</v>
      </c>
      <c r="D1342" s="6" t="s">
        <v>92</v>
      </c>
      <c r="E1342" s="6" t="s">
        <v>85</v>
      </c>
      <c r="F1342" s="6">
        <v>3</v>
      </c>
      <c r="G1342" s="6" t="s">
        <v>66</v>
      </c>
      <c r="H1342" s="6">
        <v>1</v>
      </c>
      <c r="I1342" s="6">
        <v>11</v>
      </c>
      <c r="J1342" s="6">
        <v>8.5</v>
      </c>
      <c r="K1342" s="6" t="s">
        <v>93</v>
      </c>
      <c r="L1342" s="6" t="e">
        <f>VLOOKUP(K1342, 'Alphabetical by species code'!A:B, 2, FALSE)</f>
        <v>#N/A</v>
      </c>
    </row>
    <row r="1343" spans="1:12" x14ac:dyDescent="0.25">
      <c r="A1343" s="6">
        <v>16</v>
      </c>
      <c r="B1343" s="6">
        <v>2025</v>
      </c>
      <c r="C1343" s="7">
        <v>45790</v>
      </c>
      <c r="D1343" s="6" t="s">
        <v>92</v>
      </c>
      <c r="E1343" s="6" t="s">
        <v>85</v>
      </c>
      <c r="F1343" s="6">
        <v>3</v>
      </c>
      <c r="G1343" s="6" t="s">
        <v>66</v>
      </c>
      <c r="H1343" s="6">
        <v>1</v>
      </c>
      <c r="I1343" s="6">
        <v>12</v>
      </c>
      <c r="J1343" s="6">
        <v>9</v>
      </c>
      <c r="K1343" s="6" t="s">
        <v>51</v>
      </c>
      <c r="L1343" s="6" t="str">
        <f>VLOOKUP(K1343, 'Alphabetical by species code'!A:B, 2, FALSE)</f>
        <v>Bareground</v>
      </c>
    </row>
    <row r="1344" spans="1:12" x14ac:dyDescent="0.25">
      <c r="A1344" s="6">
        <v>16</v>
      </c>
      <c r="B1344" s="6">
        <v>2025</v>
      </c>
      <c r="C1344" s="7">
        <v>45790</v>
      </c>
      <c r="D1344" s="6" t="s">
        <v>92</v>
      </c>
      <c r="E1344" s="6" t="s">
        <v>85</v>
      </c>
      <c r="F1344" s="6">
        <v>3</v>
      </c>
      <c r="G1344" s="6" t="s">
        <v>66</v>
      </c>
      <c r="H1344" s="6">
        <v>1</v>
      </c>
      <c r="I1344" s="6">
        <v>12</v>
      </c>
      <c r="J1344" s="6">
        <v>9</v>
      </c>
      <c r="K1344" s="6" t="s">
        <v>32</v>
      </c>
      <c r="L1344" s="6" t="str">
        <f>VLOOKUP(K1344, 'Alphabetical by species code'!A:B, 2, FALSE)</f>
        <v>Medicago polymorpha</v>
      </c>
    </row>
    <row r="1345" spans="1:12" x14ac:dyDescent="0.25">
      <c r="A1345" s="6">
        <v>16</v>
      </c>
      <c r="B1345" s="6">
        <v>2025</v>
      </c>
      <c r="C1345" s="7">
        <v>45790</v>
      </c>
      <c r="D1345" s="6" t="s">
        <v>92</v>
      </c>
      <c r="E1345" s="6" t="s">
        <v>85</v>
      </c>
      <c r="F1345" s="6">
        <v>3</v>
      </c>
      <c r="G1345" s="6" t="s">
        <v>66</v>
      </c>
      <c r="H1345" s="6">
        <v>1</v>
      </c>
      <c r="I1345" s="6">
        <v>12</v>
      </c>
      <c r="J1345" s="6">
        <v>9</v>
      </c>
      <c r="K1345" s="6" t="s">
        <v>64</v>
      </c>
      <c r="L1345" s="6" t="str">
        <f>VLOOKUP(K1345, 'Alphabetical by species code'!A:B, 2, FALSE)</f>
        <v>Brassica nigra</v>
      </c>
    </row>
    <row r="1346" spans="1:12" x14ac:dyDescent="0.25">
      <c r="A1346" s="6">
        <v>16</v>
      </c>
      <c r="B1346" s="6">
        <v>2025</v>
      </c>
      <c r="C1346" s="7">
        <v>45790</v>
      </c>
      <c r="D1346" s="6" t="s">
        <v>92</v>
      </c>
      <c r="E1346" s="6" t="s">
        <v>85</v>
      </c>
      <c r="F1346" s="6">
        <v>3</v>
      </c>
      <c r="G1346" s="6" t="s">
        <v>66</v>
      </c>
      <c r="H1346" s="6">
        <v>1</v>
      </c>
      <c r="I1346" s="6">
        <v>13</v>
      </c>
      <c r="J1346" s="6">
        <v>10</v>
      </c>
      <c r="K1346" s="6" t="s">
        <v>28</v>
      </c>
      <c r="L1346" s="6" t="str">
        <f>VLOOKUP(K1346, 'Alphabetical by species code'!A:B, 2, FALSE)</f>
        <v>Litter</v>
      </c>
    </row>
    <row r="1347" spans="1:12" x14ac:dyDescent="0.25">
      <c r="A1347" s="6">
        <v>16</v>
      </c>
      <c r="B1347" s="6">
        <v>2025</v>
      </c>
      <c r="C1347" s="7">
        <v>45790</v>
      </c>
      <c r="D1347" s="6" t="s">
        <v>92</v>
      </c>
      <c r="E1347" s="6" t="s">
        <v>85</v>
      </c>
      <c r="F1347" s="6">
        <v>3</v>
      </c>
      <c r="G1347" s="6" t="s">
        <v>66</v>
      </c>
      <c r="H1347" s="6">
        <v>1</v>
      </c>
      <c r="I1347" s="6">
        <v>13</v>
      </c>
      <c r="J1347" s="6">
        <v>10</v>
      </c>
      <c r="K1347" s="6" t="s">
        <v>32</v>
      </c>
      <c r="L1347" s="6" t="str">
        <f>VLOOKUP(K1347, 'Alphabetical by species code'!A:B, 2, FALSE)</f>
        <v>Medicago polymorpha</v>
      </c>
    </row>
    <row r="1348" spans="1:12" x14ac:dyDescent="0.25">
      <c r="A1348" s="6">
        <v>16</v>
      </c>
      <c r="B1348" s="6">
        <v>2025</v>
      </c>
      <c r="C1348" s="7">
        <v>45790</v>
      </c>
      <c r="D1348" s="6" t="s">
        <v>92</v>
      </c>
      <c r="E1348" s="6" t="s">
        <v>85</v>
      </c>
      <c r="F1348" s="6">
        <v>3</v>
      </c>
      <c r="G1348" s="6" t="s">
        <v>66</v>
      </c>
      <c r="H1348" s="6">
        <v>1</v>
      </c>
      <c r="I1348" s="6">
        <v>13</v>
      </c>
      <c r="J1348" s="6">
        <v>10</v>
      </c>
      <c r="K1348" s="6" t="s">
        <v>57</v>
      </c>
      <c r="L1348" s="6" t="str">
        <f>VLOOKUP(K1348, 'Alphabetical by species code'!A:B, 2, FALSE)</f>
        <v>Stipa pulchra</v>
      </c>
    </row>
    <row r="1349" spans="1:12" x14ac:dyDescent="0.25">
      <c r="A1349" s="6">
        <v>16</v>
      </c>
      <c r="B1349" s="6">
        <v>2025</v>
      </c>
      <c r="C1349" s="7">
        <v>45790</v>
      </c>
      <c r="D1349" s="6" t="s">
        <v>92</v>
      </c>
      <c r="E1349" s="6" t="s">
        <v>85</v>
      </c>
      <c r="F1349" s="6">
        <v>3</v>
      </c>
      <c r="G1349" s="6" t="s">
        <v>66</v>
      </c>
      <c r="H1349" s="6">
        <v>1</v>
      </c>
      <c r="I1349" s="6">
        <v>14</v>
      </c>
      <c r="J1349" s="6">
        <v>11</v>
      </c>
      <c r="K1349" s="6" t="s">
        <v>28</v>
      </c>
      <c r="L1349" s="6" t="str">
        <f>VLOOKUP(K1349, 'Alphabetical by species code'!A:B, 2, FALSE)</f>
        <v>Litter</v>
      </c>
    </row>
    <row r="1350" spans="1:12" x14ac:dyDescent="0.25">
      <c r="A1350" s="6">
        <v>16</v>
      </c>
      <c r="B1350" s="6">
        <v>2025</v>
      </c>
      <c r="C1350" s="7">
        <v>45790</v>
      </c>
      <c r="D1350" s="6" t="s">
        <v>92</v>
      </c>
      <c r="E1350" s="6" t="s">
        <v>85</v>
      </c>
      <c r="F1350" s="6">
        <v>3</v>
      </c>
      <c r="G1350" s="6" t="s">
        <v>66</v>
      </c>
      <c r="H1350" s="6">
        <v>1</v>
      </c>
      <c r="I1350" s="6">
        <v>14</v>
      </c>
      <c r="J1350" s="6">
        <v>11</v>
      </c>
      <c r="K1350" s="6" t="s">
        <v>32</v>
      </c>
      <c r="L1350" s="6" t="str">
        <f>VLOOKUP(K1350, 'Alphabetical by species code'!A:B, 2, FALSE)</f>
        <v>Medicago polymorpha</v>
      </c>
    </row>
    <row r="1351" spans="1:12" x14ac:dyDescent="0.25">
      <c r="A1351" s="6">
        <v>16</v>
      </c>
      <c r="B1351" s="6">
        <v>2025</v>
      </c>
      <c r="C1351" s="7">
        <v>45790</v>
      </c>
      <c r="D1351" s="6" t="s">
        <v>92</v>
      </c>
      <c r="E1351" s="6" t="s">
        <v>85</v>
      </c>
      <c r="F1351" s="6">
        <v>3</v>
      </c>
      <c r="G1351" s="6" t="s">
        <v>66</v>
      </c>
      <c r="H1351" s="6">
        <v>1</v>
      </c>
      <c r="I1351" s="6">
        <v>15</v>
      </c>
      <c r="J1351" s="6">
        <v>12</v>
      </c>
      <c r="K1351" s="6" t="s">
        <v>28</v>
      </c>
      <c r="L1351" s="6" t="str">
        <f>VLOOKUP(K1351, 'Alphabetical by species code'!A:B, 2, FALSE)</f>
        <v>Litter</v>
      </c>
    </row>
    <row r="1352" spans="1:12" x14ac:dyDescent="0.25">
      <c r="A1352" s="6">
        <v>16</v>
      </c>
      <c r="B1352" s="6">
        <v>2025</v>
      </c>
      <c r="C1352" s="7">
        <v>45790</v>
      </c>
      <c r="D1352" s="6" t="s">
        <v>92</v>
      </c>
      <c r="E1352" s="6" t="s">
        <v>85</v>
      </c>
      <c r="F1352" s="6">
        <v>3</v>
      </c>
      <c r="G1352" s="6" t="s">
        <v>66</v>
      </c>
      <c r="H1352" s="6">
        <v>2</v>
      </c>
      <c r="I1352" s="6">
        <v>1</v>
      </c>
      <c r="J1352" s="6">
        <v>0</v>
      </c>
      <c r="K1352" s="6" t="s">
        <v>51</v>
      </c>
      <c r="L1352" s="6" t="str">
        <f>VLOOKUP(K1352, 'Alphabetical by species code'!A:B, 2, FALSE)</f>
        <v>Bareground</v>
      </c>
    </row>
    <row r="1353" spans="1:12" x14ac:dyDescent="0.25">
      <c r="A1353" s="6">
        <v>16</v>
      </c>
      <c r="B1353" s="6">
        <v>2025</v>
      </c>
      <c r="C1353" s="7">
        <v>45790</v>
      </c>
      <c r="D1353" s="6" t="s">
        <v>92</v>
      </c>
      <c r="E1353" s="6" t="s">
        <v>85</v>
      </c>
      <c r="F1353" s="6">
        <v>3</v>
      </c>
      <c r="G1353" s="6" t="s">
        <v>66</v>
      </c>
      <c r="H1353" s="6">
        <v>2</v>
      </c>
      <c r="I1353" s="6">
        <v>1</v>
      </c>
      <c r="J1353" s="6">
        <v>0</v>
      </c>
      <c r="K1353" s="6" t="s">
        <v>34</v>
      </c>
      <c r="L1353" s="6" t="str">
        <f>VLOOKUP(K1353, 'Alphabetical by species code'!A:B, 2, FALSE)</f>
        <v>Erodium cicutarium</v>
      </c>
    </row>
    <row r="1354" spans="1:12" x14ac:dyDescent="0.25">
      <c r="A1354" s="6">
        <v>16</v>
      </c>
      <c r="B1354" s="6">
        <v>2025</v>
      </c>
      <c r="C1354" s="7">
        <v>45790</v>
      </c>
      <c r="D1354" s="6" t="s">
        <v>92</v>
      </c>
      <c r="E1354" s="6" t="s">
        <v>85</v>
      </c>
      <c r="F1354" s="6">
        <v>3</v>
      </c>
      <c r="G1354" s="6" t="s">
        <v>66</v>
      </c>
      <c r="H1354" s="6">
        <v>2</v>
      </c>
      <c r="I1354" s="6">
        <v>2</v>
      </c>
      <c r="J1354" s="6">
        <v>1</v>
      </c>
      <c r="K1354" s="6" t="s">
        <v>28</v>
      </c>
      <c r="L1354" s="6" t="str">
        <f>VLOOKUP(K1354, 'Alphabetical by species code'!A:B, 2, FALSE)</f>
        <v>Litter</v>
      </c>
    </row>
    <row r="1355" spans="1:12" x14ac:dyDescent="0.25">
      <c r="A1355" s="6">
        <v>16</v>
      </c>
      <c r="B1355" s="6">
        <v>2025</v>
      </c>
      <c r="C1355" s="7">
        <v>45790</v>
      </c>
      <c r="D1355" s="6" t="s">
        <v>92</v>
      </c>
      <c r="E1355" s="6" t="s">
        <v>85</v>
      </c>
      <c r="F1355" s="6">
        <v>3</v>
      </c>
      <c r="G1355" s="6" t="s">
        <v>66</v>
      </c>
      <c r="H1355" s="6">
        <v>2</v>
      </c>
      <c r="I1355" s="6">
        <v>3</v>
      </c>
      <c r="J1355" s="6">
        <v>1.5</v>
      </c>
      <c r="K1355" s="6" t="s">
        <v>51</v>
      </c>
      <c r="L1355" s="6" t="str">
        <f>VLOOKUP(K1355, 'Alphabetical by species code'!A:B, 2, FALSE)</f>
        <v>Bareground</v>
      </c>
    </row>
    <row r="1356" spans="1:12" x14ac:dyDescent="0.25">
      <c r="A1356" s="6">
        <v>16</v>
      </c>
      <c r="B1356" s="6">
        <v>2025</v>
      </c>
      <c r="C1356" s="7">
        <v>45790</v>
      </c>
      <c r="D1356" s="6" t="s">
        <v>92</v>
      </c>
      <c r="E1356" s="6" t="s">
        <v>85</v>
      </c>
      <c r="F1356" s="6">
        <v>3</v>
      </c>
      <c r="G1356" s="6" t="s">
        <v>66</v>
      </c>
      <c r="H1356" s="6">
        <v>2</v>
      </c>
      <c r="I1356" s="6">
        <v>3</v>
      </c>
      <c r="J1356" s="6">
        <v>1.5</v>
      </c>
      <c r="K1356" s="6" t="s">
        <v>32</v>
      </c>
      <c r="L1356" s="6" t="str">
        <f>VLOOKUP(K1356, 'Alphabetical by species code'!A:B, 2, FALSE)</f>
        <v>Medicago polymorpha</v>
      </c>
    </row>
    <row r="1357" spans="1:12" x14ac:dyDescent="0.25">
      <c r="A1357" s="6">
        <v>16</v>
      </c>
      <c r="B1357" s="6">
        <v>2025</v>
      </c>
      <c r="C1357" s="7">
        <v>45790</v>
      </c>
      <c r="D1357" s="6" t="s">
        <v>92</v>
      </c>
      <c r="E1357" s="6" t="s">
        <v>85</v>
      </c>
      <c r="F1357" s="6">
        <v>3</v>
      </c>
      <c r="G1357" s="6" t="s">
        <v>66</v>
      </c>
      <c r="H1357" s="6">
        <v>2</v>
      </c>
      <c r="I1357" s="6">
        <v>4</v>
      </c>
      <c r="J1357" s="6">
        <v>2</v>
      </c>
      <c r="K1357" s="6" t="s">
        <v>51</v>
      </c>
      <c r="L1357" s="6" t="str">
        <f>VLOOKUP(K1357, 'Alphabetical by species code'!A:B, 2, FALSE)</f>
        <v>Bareground</v>
      </c>
    </row>
    <row r="1358" spans="1:12" x14ac:dyDescent="0.25">
      <c r="A1358" s="6">
        <v>16</v>
      </c>
      <c r="B1358" s="6">
        <v>2025</v>
      </c>
      <c r="C1358" s="7">
        <v>45790</v>
      </c>
      <c r="D1358" s="6" t="s">
        <v>92</v>
      </c>
      <c r="E1358" s="6" t="s">
        <v>85</v>
      </c>
      <c r="F1358" s="6">
        <v>3</v>
      </c>
      <c r="G1358" s="6" t="s">
        <v>66</v>
      </c>
      <c r="H1358" s="6">
        <v>2</v>
      </c>
      <c r="I1358" s="6">
        <v>5</v>
      </c>
      <c r="J1358" s="6">
        <v>3</v>
      </c>
      <c r="K1358" s="6" t="s">
        <v>51</v>
      </c>
      <c r="L1358" s="6" t="str">
        <f>VLOOKUP(K1358, 'Alphabetical by species code'!A:B, 2, FALSE)</f>
        <v>Bareground</v>
      </c>
    </row>
    <row r="1359" spans="1:12" x14ac:dyDescent="0.25">
      <c r="A1359" s="6">
        <v>16</v>
      </c>
      <c r="B1359" s="6">
        <v>2025</v>
      </c>
      <c r="C1359" s="7">
        <v>45790</v>
      </c>
      <c r="D1359" s="6" t="s">
        <v>92</v>
      </c>
      <c r="E1359" s="6" t="s">
        <v>85</v>
      </c>
      <c r="F1359" s="6">
        <v>3</v>
      </c>
      <c r="G1359" s="6" t="s">
        <v>66</v>
      </c>
      <c r="H1359" s="6">
        <v>2</v>
      </c>
      <c r="I1359" s="6">
        <v>5</v>
      </c>
      <c r="J1359" s="6">
        <v>3</v>
      </c>
      <c r="K1359" s="6" t="s">
        <v>64</v>
      </c>
      <c r="L1359" s="6" t="str">
        <f>VLOOKUP(K1359, 'Alphabetical by species code'!A:B, 2, FALSE)</f>
        <v>Brassica nigra</v>
      </c>
    </row>
    <row r="1360" spans="1:12" x14ac:dyDescent="0.25">
      <c r="A1360" s="6">
        <v>16</v>
      </c>
      <c r="B1360" s="6">
        <v>2025</v>
      </c>
      <c r="C1360" s="7">
        <v>45790</v>
      </c>
      <c r="D1360" s="6" t="s">
        <v>92</v>
      </c>
      <c r="E1360" s="6" t="s">
        <v>85</v>
      </c>
      <c r="F1360" s="6">
        <v>3</v>
      </c>
      <c r="G1360" s="6" t="s">
        <v>66</v>
      </c>
      <c r="H1360" s="6">
        <v>2</v>
      </c>
      <c r="I1360" s="6">
        <v>6</v>
      </c>
      <c r="J1360" s="6">
        <v>3.5</v>
      </c>
      <c r="K1360" s="6" t="s">
        <v>28</v>
      </c>
      <c r="L1360" s="6" t="str">
        <f>VLOOKUP(K1360, 'Alphabetical by species code'!A:B, 2, FALSE)</f>
        <v>Litter</v>
      </c>
    </row>
    <row r="1361" spans="1:12" x14ac:dyDescent="0.25">
      <c r="A1361" s="6">
        <v>16</v>
      </c>
      <c r="B1361" s="6">
        <v>2025</v>
      </c>
      <c r="C1361" s="7">
        <v>45790</v>
      </c>
      <c r="D1361" s="6" t="s">
        <v>92</v>
      </c>
      <c r="E1361" s="6" t="s">
        <v>85</v>
      </c>
      <c r="F1361" s="6">
        <v>3</v>
      </c>
      <c r="G1361" s="6" t="s">
        <v>66</v>
      </c>
      <c r="H1361" s="6">
        <v>2</v>
      </c>
      <c r="I1361" s="6">
        <v>6</v>
      </c>
      <c r="J1361" s="6">
        <v>3.5</v>
      </c>
      <c r="K1361" s="6" t="s">
        <v>64</v>
      </c>
      <c r="L1361" s="6" t="str">
        <f>VLOOKUP(K1361, 'Alphabetical by species code'!A:B, 2, FALSE)</f>
        <v>Brassica nigra</v>
      </c>
    </row>
    <row r="1362" spans="1:12" x14ac:dyDescent="0.25">
      <c r="A1362" s="6">
        <v>16</v>
      </c>
      <c r="B1362" s="6">
        <v>2025</v>
      </c>
      <c r="C1362" s="7">
        <v>45790</v>
      </c>
      <c r="D1362" s="6" t="s">
        <v>92</v>
      </c>
      <c r="E1362" s="6" t="s">
        <v>85</v>
      </c>
      <c r="F1362" s="6">
        <v>3</v>
      </c>
      <c r="G1362" s="6" t="s">
        <v>66</v>
      </c>
      <c r="H1362" s="6">
        <v>2</v>
      </c>
      <c r="I1362" s="6">
        <v>7</v>
      </c>
      <c r="J1362" s="6">
        <v>4</v>
      </c>
      <c r="K1362" s="6" t="s">
        <v>28</v>
      </c>
      <c r="L1362" s="6" t="str">
        <f>VLOOKUP(K1362, 'Alphabetical by species code'!A:B, 2, FALSE)</f>
        <v>Litter</v>
      </c>
    </row>
    <row r="1363" spans="1:12" x14ac:dyDescent="0.25">
      <c r="A1363" s="6">
        <v>16</v>
      </c>
      <c r="B1363" s="6">
        <v>2025</v>
      </c>
      <c r="C1363" s="7">
        <v>45790</v>
      </c>
      <c r="D1363" s="6" t="s">
        <v>92</v>
      </c>
      <c r="E1363" s="6" t="s">
        <v>85</v>
      </c>
      <c r="F1363" s="6">
        <v>3</v>
      </c>
      <c r="G1363" s="6" t="s">
        <v>66</v>
      </c>
      <c r="H1363" s="6">
        <v>2</v>
      </c>
      <c r="I1363" s="6">
        <v>7</v>
      </c>
      <c r="J1363" s="6">
        <v>4</v>
      </c>
      <c r="K1363" s="6" t="s">
        <v>57</v>
      </c>
      <c r="L1363" s="6" t="str">
        <f>VLOOKUP(K1363, 'Alphabetical by species code'!A:B, 2, FALSE)</f>
        <v>Stipa pulchra</v>
      </c>
    </row>
    <row r="1364" spans="1:12" x14ac:dyDescent="0.25">
      <c r="A1364" s="6">
        <v>16</v>
      </c>
      <c r="B1364" s="6">
        <v>2025</v>
      </c>
      <c r="C1364" s="7">
        <v>45790</v>
      </c>
      <c r="D1364" s="6" t="s">
        <v>92</v>
      </c>
      <c r="E1364" s="6" t="s">
        <v>85</v>
      </c>
      <c r="F1364" s="6">
        <v>3</v>
      </c>
      <c r="G1364" s="6" t="s">
        <v>66</v>
      </c>
      <c r="H1364" s="6">
        <v>2</v>
      </c>
      <c r="I1364" s="6">
        <v>8</v>
      </c>
      <c r="J1364" s="6">
        <v>5</v>
      </c>
      <c r="K1364" s="6" t="s">
        <v>28</v>
      </c>
      <c r="L1364" s="6" t="str">
        <f>VLOOKUP(K1364, 'Alphabetical by species code'!A:B, 2, FALSE)</f>
        <v>Litter</v>
      </c>
    </row>
    <row r="1365" spans="1:12" x14ac:dyDescent="0.25">
      <c r="A1365" s="6">
        <v>16</v>
      </c>
      <c r="B1365" s="6">
        <v>2025</v>
      </c>
      <c r="C1365" s="7">
        <v>45790</v>
      </c>
      <c r="D1365" s="6" t="s">
        <v>92</v>
      </c>
      <c r="E1365" s="6" t="s">
        <v>85</v>
      </c>
      <c r="F1365" s="6">
        <v>3</v>
      </c>
      <c r="G1365" s="6" t="s">
        <v>66</v>
      </c>
      <c r="H1365" s="6">
        <v>2</v>
      </c>
      <c r="I1365" s="6">
        <v>9</v>
      </c>
      <c r="J1365" s="6">
        <v>7</v>
      </c>
      <c r="K1365" s="6" t="s">
        <v>28</v>
      </c>
      <c r="L1365" s="6" t="str">
        <f>VLOOKUP(K1365, 'Alphabetical by species code'!A:B, 2, FALSE)</f>
        <v>Litter</v>
      </c>
    </row>
    <row r="1366" spans="1:12" x14ac:dyDescent="0.25">
      <c r="A1366" s="6">
        <v>16</v>
      </c>
      <c r="B1366" s="6">
        <v>2025</v>
      </c>
      <c r="C1366" s="7">
        <v>45790</v>
      </c>
      <c r="D1366" s="6" t="s">
        <v>92</v>
      </c>
      <c r="E1366" s="6" t="s">
        <v>85</v>
      </c>
      <c r="F1366" s="6">
        <v>3</v>
      </c>
      <c r="G1366" s="6" t="s">
        <v>66</v>
      </c>
      <c r="H1366" s="6">
        <v>2</v>
      </c>
      <c r="I1366" s="6">
        <v>10</v>
      </c>
      <c r="J1366" s="6">
        <v>8</v>
      </c>
      <c r="K1366" s="6" t="s">
        <v>28</v>
      </c>
      <c r="L1366" s="6" t="str">
        <f>VLOOKUP(K1366, 'Alphabetical by species code'!A:B, 2, FALSE)</f>
        <v>Litter</v>
      </c>
    </row>
    <row r="1367" spans="1:12" x14ac:dyDescent="0.25">
      <c r="A1367" s="6">
        <v>16</v>
      </c>
      <c r="B1367" s="6">
        <v>2025</v>
      </c>
      <c r="C1367" s="7">
        <v>45790</v>
      </c>
      <c r="D1367" s="6" t="s">
        <v>92</v>
      </c>
      <c r="E1367" s="6" t="s">
        <v>85</v>
      </c>
      <c r="F1367" s="6">
        <v>3</v>
      </c>
      <c r="G1367" s="6" t="s">
        <v>66</v>
      </c>
      <c r="H1367" s="6">
        <v>2</v>
      </c>
      <c r="I1367" s="6">
        <v>11</v>
      </c>
      <c r="J1367" s="6">
        <v>8.5</v>
      </c>
      <c r="K1367" s="6" t="s">
        <v>28</v>
      </c>
      <c r="L1367" s="6" t="str">
        <f>VLOOKUP(K1367, 'Alphabetical by species code'!A:B, 2, FALSE)</f>
        <v>Litter</v>
      </c>
    </row>
    <row r="1368" spans="1:12" x14ac:dyDescent="0.25">
      <c r="A1368" s="6">
        <v>16</v>
      </c>
      <c r="B1368" s="6">
        <v>2025</v>
      </c>
      <c r="C1368" s="7">
        <v>45790</v>
      </c>
      <c r="D1368" s="6" t="s">
        <v>92</v>
      </c>
      <c r="E1368" s="6" t="s">
        <v>85</v>
      </c>
      <c r="F1368" s="6">
        <v>3</v>
      </c>
      <c r="G1368" s="6" t="s">
        <v>66</v>
      </c>
      <c r="H1368" s="6">
        <v>2</v>
      </c>
      <c r="I1368" s="6">
        <v>12</v>
      </c>
      <c r="J1368" s="6">
        <v>9</v>
      </c>
      <c r="K1368" s="6" t="s">
        <v>51</v>
      </c>
      <c r="L1368" s="6" t="str">
        <f>VLOOKUP(K1368, 'Alphabetical by species code'!A:B, 2, FALSE)</f>
        <v>Bareground</v>
      </c>
    </row>
    <row r="1369" spans="1:12" x14ac:dyDescent="0.25">
      <c r="A1369" s="6">
        <v>16</v>
      </c>
      <c r="B1369" s="6">
        <v>2025</v>
      </c>
      <c r="C1369" s="7">
        <v>45790</v>
      </c>
      <c r="D1369" s="6" t="s">
        <v>92</v>
      </c>
      <c r="E1369" s="6" t="s">
        <v>85</v>
      </c>
      <c r="F1369" s="6">
        <v>3</v>
      </c>
      <c r="G1369" s="6" t="s">
        <v>66</v>
      </c>
      <c r="H1369" s="6">
        <v>2</v>
      </c>
      <c r="I1369" s="6">
        <v>12</v>
      </c>
      <c r="J1369" s="6">
        <v>9</v>
      </c>
      <c r="K1369" s="6" t="s">
        <v>32</v>
      </c>
      <c r="L1369" s="6" t="str">
        <f>VLOOKUP(K1369, 'Alphabetical by species code'!A:B, 2, FALSE)</f>
        <v>Medicago polymorpha</v>
      </c>
    </row>
    <row r="1370" spans="1:12" x14ac:dyDescent="0.25">
      <c r="A1370" s="6">
        <v>16</v>
      </c>
      <c r="B1370" s="6">
        <v>2025</v>
      </c>
      <c r="C1370" s="7">
        <v>45790</v>
      </c>
      <c r="D1370" s="6" t="s">
        <v>92</v>
      </c>
      <c r="E1370" s="6" t="s">
        <v>85</v>
      </c>
      <c r="F1370" s="6">
        <v>3</v>
      </c>
      <c r="G1370" s="6" t="s">
        <v>66</v>
      </c>
      <c r="H1370" s="6">
        <v>2</v>
      </c>
      <c r="I1370" s="6">
        <v>13</v>
      </c>
      <c r="J1370" s="6">
        <v>10</v>
      </c>
      <c r="K1370" s="6" t="s">
        <v>28</v>
      </c>
      <c r="L1370" s="6" t="str">
        <f>VLOOKUP(K1370, 'Alphabetical by species code'!A:B, 2, FALSE)</f>
        <v>Litter</v>
      </c>
    </row>
    <row r="1371" spans="1:12" x14ac:dyDescent="0.25">
      <c r="A1371" s="6">
        <v>16</v>
      </c>
      <c r="B1371" s="6">
        <v>2025</v>
      </c>
      <c r="C1371" s="7">
        <v>45790</v>
      </c>
      <c r="D1371" s="6" t="s">
        <v>92</v>
      </c>
      <c r="E1371" s="6" t="s">
        <v>85</v>
      </c>
      <c r="F1371" s="6">
        <v>3</v>
      </c>
      <c r="G1371" s="6" t="s">
        <v>66</v>
      </c>
      <c r="H1371" s="6">
        <v>2</v>
      </c>
      <c r="I1371" s="6">
        <v>14</v>
      </c>
      <c r="J1371" s="6">
        <v>11</v>
      </c>
      <c r="K1371" s="6" t="s">
        <v>28</v>
      </c>
      <c r="L1371" s="6" t="str">
        <f>VLOOKUP(K1371, 'Alphabetical by species code'!A:B, 2, FALSE)</f>
        <v>Litter</v>
      </c>
    </row>
    <row r="1372" spans="1:12" x14ac:dyDescent="0.25">
      <c r="A1372" s="6">
        <v>16</v>
      </c>
      <c r="B1372" s="6">
        <v>2025</v>
      </c>
      <c r="C1372" s="7">
        <v>45790</v>
      </c>
      <c r="D1372" s="6" t="s">
        <v>92</v>
      </c>
      <c r="E1372" s="6" t="s">
        <v>85</v>
      </c>
      <c r="F1372" s="6">
        <v>3</v>
      </c>
      <c r="G1372" s="6" t="s">
        <v>66</v>
      </c>
      <c r="H1372" s="6">
        <v>2</v>
      </c>
      <c r="I1372" s="6">
        <v>14</v>
      </c>
      <c r="J1372" s="6">
        <v>11</v>
      </c>
      <c r="K1372" s="6" t="s">
        <v>32</v>
      </c>
      <c r="L1372" s="6" t="str">
        <f>VLOOKUP(K1372, 'Alphabetical by species code'!A:B, 2, FALSE)</f>
        <v>Medicago polymorpha</v>
      </c>
    </row>
    <row r="1373" spans="1:12" x14ac:dyDescent="0.25">
      <c r="A1373" s="6">
        <v>16</v>
      </c>
      <c r="B1373" s="6">
        <v>2025</v>
      </c>
      <c r="C1373" s="7">
        <v>45790</v>
      </c>
      <c r="D1373" s="6" t="s">
        <v>92</v>
      </c>
      <c r="E1373" s="6" t="s">
        <v>85</v>
      </c>
      <c r="F1373" s="6">
        <v>3</v>
      </c>
      <c r="G1373" s="6" t="s">
        <v>66</v>
      </c>
      <c r="H1373" s="6">
        <v>2</v>
      </c>
      <c r="I1373" s="6">
        <v>15</v>
      </c>
      <c r="J1373" s="6">
        <v>12</v>
      </c>
      <c r="K1373" s="6" t="s">
        <v>28</v>
      </c>
      <c r="L1373" s="6" t="str">
        <f>VLOOKUP(K1373, 'Alphabetical by species code'!A:B, 2, FALSE)</f>
        <v>Litter</v>
      </c>
    </row>
    <row r="1374" spans="1:12" x14ac:dyDescent="0.25">
      <c r="A1374" s="6">
        <v>16</v>
      </c>
      <c r="B1374" s="6">
        <v>2025</v>
      </c>
      <c r="C1374" s="7">
        <v>45790</v>
      </c>
      <c r="D1374" s="6" t="s">
        <v>92</v>
      </c>
      <c r="E1374" s="6" t="s">
        <v>85</v>
      </c>
      <c r="F1374" s="6">
        <v>3</v>
      </c>
      <c r="G1374" s="6" t="s">
        <v>66</v>
      </c>
      <c r="H1374" s="6">
        <v>2</v>
      </c>
      <c r="I1374" s="6">
        <v>15</v>
      </c>
      <c r="J1374" s="6">
        <v>12</v>
      </c>
      <c r="K1374" s="6" t="s">
        <v>88</v>
      </c>
      <c r="L1374" s="6" t="str">
        <f>VLOOKUP(K1374, 'Alphabetical by species code'!A:B, 2, FALSE)</f>
        <v>Bromus hordeaceus</v>
      </c>
    </row>
    <row r="1375" spans="1:12" x14ac:dyDescent="0.25">
      <c r="A1375" s="6">
        <v>16</v>
      </c>
      <c r="B1375" s="6">
        <v>2025</v>
      </c>
      <c r="C1375" s="7">
        <v>45790</v>
      </c>
      <c r="D1375" s="6" t="s">
        <v>92</v>
      </c>
      <c r="E1375" s="6" t="s">
        <v>85</v>
      </c>
      <c r="F1375" s="6">
        <v>3</v>
      </c>
      <c r="G1375" s="6" t="s">
        <v>66</v>
      </c>
      <c r="H1375" s="6">
        <v>2</v>
      </c>
      <c r="I1375" s="6">
        <v>15</v>
      </c>
      <c r="J1375" s="6">
        <v>12</v>
      </c>
      <c r="K1375" s="6" t="s">
        <v>87</v>
      </c>
      <c r="L1375" s="6" t="e">
        <f>VLOOKUP(K1375, 'Alphabetical by species code'!A:B, 2, FALSE)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896"/>
  <sheetViews>
    <sheetView workbookViewId="0"/>
  </sheetViews>
  <sheetFormatPr defaultColWidth="12.6640625" defaultRowHeight="15.75" customHeight="1" x14ac:dyDescent="0.25"/>
  <sheetData>
    <row r="1" spans="1:15" x14ac:dyDescent="0.25">
      <c r="A1" s="6" t="str">
        <f>IF(Data!A1 = 'Point Intercept 2'!A1, Data!A1, "ERROR")</f>
        <v>Page #</v>
      </c>
      <c r="B1" s="6" t="str">
        <f>IF(Data!B1 = 'Point Intercept 2'!B1, Data!B1, "ERROR")</f>
        <v>Year</v>
      </c>
      <c r="C1" s="6" t="str">
        <f>IF(Data!C1 = 'Point Intercept 2'!C1, Data!C1, "ERROR")</f>
        <v>Date</v>
      </c>
      <c r="D1" s="6" t="str">
        <f>IF(Data!D1 = 'Point Intercept 2'!D1, Data!D1, "ERROR")</f>
        <v>Team</v>
      </c>
      <c r="E1" s="6" t="str">
        <f>IF(Data!E1 = 'Point Intercept 2'!E1, Data!E1, "ERROR")</f>
        <v>Site</v>
      </c>
      <c r="F1" s="6" t="str">
        <f>IF(Data!F1 = 'Point Intercept 2'!F1, Data!F1, "ERROR")</f>
        <v>Block #</v>
      </c>
      <c r="G1" s="6" t="str">
        <f>IF(Data!G1 = 'Point Intercept 2'!G1, Data!G1, "ERROR")</f>
        <v>Treatment</v>
      </c>
      <c r="H1" s="6" t="str">
        <f>IF(Data!I1 = 'Point Intercept 2'!I1, Data!I1, "ERROR")</f>
        <v>Point</v>
      </c>
      <c r="I1" s="6" t="str">
        <f>IF(Data!H1 = 'Point Intercept 2'!H1, Data!H1, "ERROR")</f>
        <v>Transect</v>
      </c>
      <c r="J1" s="6" t="str">
        <f>IF(Data!J1 = 'Point Intercept 2'!J1, Data!J1, "ERROR")</f>
        <v>Distance</v>
      </c>
      <c r="K1" s="6" t="str">
        <f>IF(Data!K1 = 'Point Intercept 2'!K1, Data!K1, "ERROR")</f>
        <v>Code</v>
      </c>
      <c r="L1" s="6" t="str">
        <f>IF(Data!L1 = 'Point Intercept 2'!L1, Data!L1, "ERROR")</f>
        <v>Species</v>
      </c>
      <c r="M1" s="6" t="str">
        <f>IF(Data!N1 = 'Point Intercept 2'!M1, Data!N1, "ERROR")</f>
        <v>Notes</v>
      </c>
      <c r="N1" s="6">
        <f>IF(Data!O1 = 'Point Intercept 2'!N1, Data!O1, "ERROR")</f>
        <v>0</v>
      </c>
      <c r="O1" s="6">
        <f>IF(Data!P1 = 'Point Intercept 2'!O1, Data!P1, "ERROR")</f>
        <v>0</v>
      </c>
    </row>
    <row r="2" spans="1:15" x14ac:dyDescent="0.25">
      <c r="A2" s="6" t="str">
        <f>IF(Data!A2 = 'Point Intercept 2'!A2, Data!A2, "ERROR")</f>
        <v>(#)</v>
      </c>
      <c r="B2" s="6">
        <f>IF(Data!B2 = 'Point Intercept 2'!B2, Data!B2, "ERROR")</f>
        <v>2025</v>
      </c>
      <c r="C2" s="6" t="str">
        <f>IF(Data!C2 = 'Point Intercept 2'!C2, Data!C2, "ERROR")</f>
        <v>mm/dd/yy</v>
      </c>
      <c r="D2" s="6" t="str">
        <f>IF(Data!D2 = 'Point Intercept 2'!D2, Data!D2, "ERROR")</f>
        <v>initials</v>
      </c>
      <c r="E2" s="6" t="str">
        <f>IF(Data!E2 = 'Point Intercept 2'!E2, Data!E2, "ERROR")</f>
        <v>CU/VB/GB</v>
      </c>
      <c r="F2" s="9">
        <f>IF(Data!F2 = 'Point Intercept 2'!F2, Data!F2, "ERROR")</f>
        <v>43469</v>
      </c>
      <c r="G2" s="6" t="str">
        <f>IF(Data!G2 = 'Point Intercept 2'!G2, Data!G2, "ERROR")</f>
        <v>LS/LU/SS/SU</v>
      </c>
      <c r="H2" s="10" t="str">
        <f>IF(Data!I2 = 'Point Intercept 2'!I2, Data!I2, "ERROR")</f>
        <v>1-30</v>
      </c>
      <c r="I2" s="6" t="str">
        <f>IF(Data!H2 = 'Point Intercept 2'!H2, Data!H2, "ERROR")</f>
        <v>1 or 2</v>
      </c>
      <c r="J2" s="6" t="str">
        <f>IF(Data!J2 = 'Point Intercept 2'!J2, Data!J2, "ERROR")</f>
        <v>0-12m</v>
      </c>
      <c r="K2" s="6" t="str">
        <f>IF(Data!K2 = 'Point Intercept 2'!K2, Data!K2, "ERROR")</f>
        <v>six-letter code</v>
      </c>
      <c r="L2" s="6" t="str">
        <f>IF(Data!L2 = 'Point Intercept 2'!L2, Data!L2, "ERROR")</f>
        <v>ERROR</v>
      </c>
      <c r="M2" s="6" t="str">
        <f>IF(Data!N2 = 'Point Intercept 2'!M2, Data!N2, "ERROR")</f>
        <v>enter as written</v>
      </c>
      <c r="N2" s="6">
        <f>IF(Data!O2 = 'Point Intercept 2'!N2, Data!O2, "ERROR")</f>
        <v>0</v>
      </c>
      <c r="O2" s="6">
        <f>IF(Data!P2 = 'Point Intercept 2'!O2, Data!P2, "ERROR")</f>
        <v>0</v>
      </c>
    </row>
    <row r="3" spans="1:15" x14ac:dyDescent="0.25">
      <c r="A3" s="6">
        <f>IF(Data!A3 = 'Point Intercept 2'!A3, Data!A3, "ERROR")</f>
        <v>1</v>
      </c>
      <c r="B3" s="6">
        <f>IF(Data!B3 = 'Point Intercept 2'!B3, Data!B3, "ERROR")</f>
        <v>2025</v>
      </c>
      <c r="C3" s="7">
        <f>IF(Data!C3 = 'Point Intercept 2'!C3, Data!C3, "ERROR")</f>
        <v>45764</v>
      </c>
      <c r="D3" s="6" t="str">
        <f>IF(Data!D3 = 'Point Intercept 2'!D3, Data!D3, "ERROR")</f>
        <v>TL, CG, BN</v>
      </c>
      <c r="E3" s="6" t="str">
        <f>IF(Data!E3 = 'Point Intercept 2'!E3, Data!E3, "ERROR")</f>
        <v>VB</v>
      </c>
      <c r="F3" s="6">
        <f>IF(Data!F3 = 'Point Intercept 2'!F3, Data!F3, "ERROR")</f>
        <v>1</v>
      </c>
      <c r="G3" s="6" t="str">
        <f>IF(Data!G3 = 'Point Intercept 2'!G3, Data!G3, "ERROR")</f>
        <v>LS</v>
      </c>
      <c r="H3" s="6">
        <f>IF(Data!I3 = 'Point Intercept 2'!I3, Data!I3, "ERROR")</f>
        <v>1</v>
      </c>
      <c r="I3" s="6">
        <f>IF(Data!H3 = 'Point Intercept 2'!H3, Data!H3, "ERROR")</f>
        <v>1</v>
      </c>
      <c r="J3" s="6">
        <f>IF(Data!J3 = 'Point Intercept 2'!J3, Data!J3, "ERROR")</f>
        <v>0</v>
      </c>
      <c r="K3" s="6" t="str">
        <f>IF(Data!K3 = 'Point Intercept 2'!K3, Data!K3, "ERROR")</f>
        <v>L</v>
      </c>
      <c r="L3" s="6" t="str">
        <f>IF(Data!L3 = 'Point Intercept 2'!L3, Data!L3, "ERROR")</f>
        <v>Litter</v>
      </c>
      <c r="M3" s="6">
        <f>IF(Data!N3 = 'Point Intercept 2'!M3, Data!N3, "ERROR")</f>
        <v>0</v>
      </c>
      <c r="N3" s="6">
        <f>IF(Data!O3 = 'Point Intercept 2'!N3, Data!O3, "ERROR")</f>
        <v>0</v>
      </c>
      <c r="O3" s="6">
        <f>IF(Data!P3 = 'Point Intercept 2'!O3, Data!P3, "ERROR")</f>
        <v>0</v>
      </c>
    </row>
    <row r="4" spans="1:15" x14ac:dyDescent="0.25">
      <c r="A4" s="6">
        <f>IF(Data!A4 = 'Point Intercept 2'!A4, Data!A4, "ERROR")</f>
        <v>1</v>
      </c>
      <c r="B4" s="6">
        <f>IF(Data!B4 = 'Point Intercept 2'!B4, Data!B4, "ERROR")</f>
        <v>2025</v>
      </c>
      <c r="C4" s="7">
        <f>IF(Data!C4 = 'Point Intercept 2'!C4, Data!C4, "ERROR")</f>
        <v>45764</v>
      </c>
      <c r="D4" s="6" t="str">
        <f>IF(Data!D4 = 'Point Intercept 2'!D4, Data!D4, "ERROR")</f>
        <v>TL, CG, BN</v>
      </c>
      <c r="E4" s="6" t="str">
        <f>IF(Data!E4 = 'Point Intercept 2'!E4, Data!E4, "ERROR")</f>
        <v>VB</v>
      </c>
      <c r="F4" s="6">
        <f>IF(Data!F4 = 'Point Intercept 2'!F4, Data!F4, "ERROR")</f>
        <v>1</v>
      </c>
      <c r="G4" s="6" t="str">
        <f>IF(Data!G4 = 'Point Intercept 2'!G4, Data!G4, "ERROR")</f>
        <v>LS</v>
      </c>
      <c r="H4" s="6">
        <f>IF(Data!I4 = 'Point Intercept 2'!I4, Data!I4, "ERROR")</f>
        <v>1</v>
      </c>
      <c r="I4" s="6">
        <f>IF(Data!H4 = 'Point Intercept 2'!H4, Data!H4, "ERROR")</f>
        <v>1</v>
      </c>
      <c r="J4" s="6">
        <f>IF(Data!J4 = 'Point Intercept 2'!J4, Data!J4, "ERROR")</f>
        <v>0</v>
      </c>
      <c r="K4" s="6" t="str">
        <f>IF(Data!K4 = 'Point Intercept 2'!K4, Data!K4, "ERROR")</f>
        <v>OPULIT</v>
      </c>
      <c r="L4" s="6" t="str">
        <f>IF(Data!L4 = 'Point Intercept 2'!L4, Data!L4, "ERROR")</f>
        <v>Opuntia littoralis</v>
      </c>
      <c r="M4" s="6" t="str">
        <f>IF(Data!N4 = 'Point Intercept 2'!M4, Data!N4, "ERROR")</f>
        <v>ERROR</v>
      </c>
      <c r="N4" s="6">
        <f>IF(Data!O4 = 'Point Intercept 2'!N4, Data!O4, "ERROR")</f>
        <v>0</v>
      </c>
      <c r="O4" s="6">
        <f>IF(Data!P4 = 'Point Intercept 2'!O4, Data!P4, "ERROR")</f>
        <v>0</v>
      </c>
    </row>
    <row r="5" spans="1:15" x14ac:dyDescent="0.25">
      <c r="A5" s="6">
        <f>IF(Data!A5 = 'Point Intercept 2'!A5, Data!A5, "ERROR")</f>
        <v>1</v>
      </c>
      <c r="B5" s="6">
        <f>IF(Data!B5 = 'Point Intercept 2'!B5, Data!B5, "ERROR")</f>
        <v>2025</v>
      </c>
      <c r="C5" s="7">
        <f>IF(Data!C5 = 'Point Intercept 2'!C5, Data!C5, "ERROR")</f>
        <v>45764</v>
      </c>
      <c r="D5" s="6" t="str">
        <f>IF(Data!D5 = 'Point Intercept 2'!D5, Data!D5, "ERROR")</f>
        <v>TL, CG, BN</v>
      </c>
      <c r="E5" s="6" t="str">
        <f>IF(Data!E5 = 'Point Intercept 2'!E5, Data!E5, "ERROR")</f>
        <v>VB</v>
      </c>
      <c r="F5" s="6">
        <f>IF(Data!F5 = 'Point Intercept 2'!F5, Data!F5, "ERROR")</f>
        <v>1</v>
      </c>
      <c r="G5" s="6" t="str">
        <f>IF(Data!G5 = 'Point Intercept 2'!G5, Data!G5, "ERROR")</f>
        <v>LS</v>
      </c>
      <c r="H5" s="6">
        <f>IF(Data!I5 = 'Point Intercept 2'!I5, Data!I5, "ERROR")</f>
        <v>1</v>
      </c>
      <c r="I5" s="6">
        <f>IF(Data!H5 = 'Point Intercept 2'!H5, Data!H5, "ERROR")</f>
        <v>1</v>
      </c>
      <c r="J5" s="6">
        <f>IF(Data!J5 = 'Point Intercept 2'!J5, Data!J5, "ERROR")</f>
        <v>0</v>
      </c>
      <c r="K5" s="6" t="str">
        <f>IF(Data!K5 = 'Point Intercept 2'!K5, Data!K5, "ERROR")</f>
        <v>EROMOS</v>
      </c>
      <c r="L5" s="6" t="str">
        <f>IF(Data!L5 = 'Point Intercept 2'!L5, Data!L5, "ERROR")</f>
        <v>Erodium moschatum</v>
      </c>
      <c r="M5" s="6">
        <f>IF(Data!N5 = 'Point Intercept 2'!M5, Data!N5, "ERROR")</f>
        <v>0</v>
      </c>
      <c r="N5" s="6">
        <f>IF(Data!O5 = 'Point Intercept 2'!N5, Data!O5, "ERROR")</f>
        <v>0</v>
      </c>
      <c r="O5" s="6">
        <f>IF(Data!P5 = 'Point Intercept 2'!O5, Data!P5, "ERROR")</f>
        <v>0</v>
      </c>
    </row>
    <row r="6" spans="1:15" x14ac:dyDescent="0.25">
      <c r="A6" s="6">
        <f>IF(Data!A6 = 'Point Intercept 2'!A6, Data!A6, "ERROR")</f>
        <v>1</v>
      </c>
      <c r="B6" s="6">
        <f>IF(Data!B6 = 'Point Intercept 2'!B6, Data!B6, "ERROR")</f>
        <v>2025</v>
      </c>
      <c r="C6" s="7">
        <f>IF(Data!C6 = 'Point Intercept 2'!C6, Data!C6, "ERROR")</f>
        <v>45764</v>
      </c>
      <c r="D6" s="6" t="str">
        <f>IF(Data!D6 = 'Point Intercept 2'!D6, Data!D6, "ERROR")</f>
        <v>TL, CG, BN</v>
      </c>
      <c r="E6" s="6" t="str">
        <f>IF(Data!E6 = 'Point Intercept 2'!E6, Data!E6, "ERROR")</f>
        <v>VB</v>
      </c>
      <c r="F6" s="6">
        <f>IF(Data!F6 = 'Point Intercept 2'!F6, Data!F6, "ERROR")</f>
        <v>1</v>
      </c>
      <c r="G6" s="6" t="str">
        <f>IF(Data!G6 = 'Point Intercept 2'!G6, Data!G6, "ERROR")</f>
        <v>LS</v>
      </c>
      <c r="H6" s="6">
        <f>IF(Data!I6 = 'Point Intercept 2'!I6, Data!I6, "ERROR")</f>
        <v>1</v>
      </c>
      <c r="I6" s="6">
        <f>IF(Data!H6 = 'Point Intercept 2'!H6, Data!H6, "ERROR")</f>
        <v>1</v>
      </c>
      <c r="J6" s="6">
        <f>IF(Data!J6 = 'Point Intercept 2'!J6, Data!J6, "ERROR")</f>
        <v>0</v>
      </c>
      <c r="K6" s="6" t="str">
        <f>IF(Data!K6 = 'Point Intercept 2'!K6, Data!K6, "ERROR")</f>
        <v>FESMYU</v>
      </c>
      <c r="L6" s="6" t="str">
        <f>IF(Data!L6 = 'Point Intercept 2'!L6, Data!L6, "ERROR")</f>
        <v>Festuca myuros</v>
      </c>
      <c r="M6" s="6">
        <f>IF(Data!N6 = 'Point Intercept 2'!M6, Data!N6, "ERROR")</f>
        <v>0</v>
      </c>
      <c r="N6" s="6">
        <f>IF(Data!O6 = 'Point Intercept 2'!N6, Data!O6, "ERROR")</f>
        <v>0</v>
      </c>
      <c r="O6" s="6">
        <f>IF(Data!P6 = 'Point Intercept 2'!O6, Data!P6, "ERROR")</f>
        <v>0</v>
      </c>
    </row>
    <row r="7" spans="1:15" x14ac:dyDescent="0.25">
      <c r="A7" s="6">
        <f>IF(Data!A7 = 'Point Intercept 2'!A7, Data!A7, "ERROR")</f>
        <v>1</v>
      </c>
      <c r="B7" s="6">
        <f>IF(Data!B7 = 'Point Intercept 2'!B7, Data!B7, "ERROR")</f>
        <v>2025</v>
      </c>
      <c r="C7" s="7">
        <f>IF(Data!C7 = 'Point Intercept 2'!C7, Data!C7, "ERROR")</f>
        <v>45764</v>
      </c>
      <c r="D7" s="6" t="str">
        <f>IF(Data!D7 = 'Point Intercept 2'!D7, Data!D7, "ERROR")</f>
        <v>TL, CG, BN</v>
      </c>
      <c r="E7" s="6" t="str">
        <f>IF(Data!E7 = 'Point Intercept 2'!E7, Data!E7, "ERROR")</f>
        <v>VB</v>
      </c>
      <c r="F7" s="6">
        <f>IF(Data!F7 = 'Point Intercept 2'!F7, Data!F7, "ERROR")</f>
        <v>1</v>
      </c>
      <c r="G7" s="6" t="str">
        <f>IF(Data!G7 = 'Point Intercept 2'!G7, Data!G7, "ERROR")</f>
        <v>LS</v>
      </c>
      <c r="H7" s="6">
        <f>IF(Data!I7 = 'Point Intercept 2'!I7, Data!I7, "ERROR")</f>
        <v>2</v>
      </c>
      <c r="I7" s="6">
        <f>IF(Data!H7 = 'Point Intercept 2'!H7, Data!H7, "ERROR")</f>
        <v>1</v>
      </c>
      <c r="J7" s="6">
        <f>IF(Data!J7 = 'Point Intercept 2'!J7, Data!J7, "ERROR")</f>
        <v>0.5</v>
      </c>
      <c r="K7" s="6" t="str">
        <f>IF(Data!K7 = 'Point Intercept 2'!K7, Data!K7, "ERROR")</f>
        <v>L</v>
      </c>
      <c r="L7" s="6" t="str">
        <f>IF(Data!L7 = 'Point Intercept 2'!L7, Data!L7, "ERROR")</f>
        <v>Litter</v>
      </c>
      <c r="M7" s="6">
        <f>IF(Data!N7 = 'Point Intercept 2'!M7, Data!N7, "ERROR")</f>
        <v>0</v>
      </c>
      <c r="N7" s="6">
        <f>IF(Data!O7 = 'Point Intercept 2'!N7, Data!O7, "ERROR")</f>
        <v>0</v>
      </c>
      <c r="O7" s="6">
        <f>IF(Data!P7 = 'Point Intercept 2'!O7, Data!P7, "ERROR")</f>
        <v>0</v>
      </c>
    </row>
    <row r="8" spans="1:15" x14ac:dyDescent="0.25">
      <c r="A8" s="6">
        <f>IF(Data!A8 = 'Point Intercept 2'!A8, Data!A8, "ERROR")</f>
        <v>1</v>
      </c>
      <c r="B8" s="6">
        <f>IF(Data!B8 = 'Point Intercept 2'!B8, Data!B8, "ERROR")</f>
        <v>2025</v>
      </c>
      <c r="C8" s="7">
        <f>IF(Data!C8 = 'Point Intercept 2'!C8, Data!C8, "ERROR")</f>
        <v>45764</v>
      </c>
      <c r="D8" s="6" t="str">
        <f>IF(Data!D8 = 'Point Intercept 2'!D8, Data!D8, "ERROR")</f>
        <v>TL, CG, BN</v>
      </c>
      <c r="E8" s="6" t="str">
        <f>IF(Data!E8 = 'Point Intercept 2'!E8, Data!E8, "ERROR")</f>
        <v>VB</v>
      </c>
      <c r="F8" s="6">
        <f>IF(Data!F8 = 'Point Intercept 2'!F8, Data!F8, "ERROR")</f>
        <v>1</v>
      </c>
      <c r="G8" s="6" t="str">
        <f>IF(Data!G8 = 'Point Intercept 2'!G8, Data!G8, "ERROR")</f>
        <v>LS</v>
      </c>
      <c r="H8" s="6">
        <f>IF(Data!I8 = 'Point Intercept 2'!I8, Data!I8, "ERROR")</f>
        <v>2</v>
      </c>
      <c r="I8" s="6">
        <f>IF(Data!H8 = 'Point Intercept 2'!H8, Data!H8, "ERROR")</f>
        <v>1</v>
      </c>
      <c r="J8" s="6">
        <f>IF(Data!J8 = 'Point Intercept 2'!J8, Data!J8, "ERROR")</f>
        <v>0.5</v>
      </c>
      <c r="K8" s="6" t="str">
        <f>IF(Data!K8 = 'Point Intercept 2'!K8, Data!K8, "ERROR")</f>
        <v>MEDPOL</v>
      </c>
      <c r="L8" s="6" t="str">
        <f>IF(Data!L8 = 'Point Intercept 2'!L8, Data!L8, "ERROR")</f>
        <v>Medicago polymorpha</v>
      </c>
      <c r="M8" s="6">
        <f>IF(Data!N8 = 'Point Intercept 2'!M8, Data!N8, "ERROR")</f>
        <v>0</v>
      </c>
      <c r="N8" s="6">
        <f>IF(Data!O8 = 'Point Intercept 2'!N8, Data!O8, "ERROR")</f>
        <v>0</v>
      </c>
      <c r="O8" s="6">
        <f>IF(Data!P8 = 'Point Intercept 2'!O8, Data!P8, "ERROR")</f>
        <v>0</v>
      </c>
    </row>
    <row r="9" spans="1:15" x14ac:dyDescent="0.25">
      <c r="A9" s="6">
        <f>IF(Data!A9 = 'Point Intercept 2'!A9, Data!A9, "ERROR")</f>
        <v>1</v>
      </c>
      <c r="B9" s="6">
        <f>IF(Data!B9 = 'Point Intercept 2'!B9, Data!B9, "ERROR")</f>
        <v>2025</v>
      </c>
      <c r="C9" s="7">
        <f>IF(Data!C9 = 'Point Intercept 2'!C9, Data!C9, "ERROR")</f>
        <v>45764</v>
      </c>
      <c r="D9" s="6" t="str">
        <f>IF(Data!D9 = 'Point Intercept 2'!D9, Data!D9, "ERROR")</f>
        <v>TL, CG, BN</v>
      </c>
      <c r="E9" s="6" t="str">
        <f>IF(Data!E9 = 'Point Intercept 2'!E9, Data!E9, "ERROR")</f>
        <v>VB</v>
      </c>
      <c r="F9" s="6">
        <f>IF(Data!F9 = 'Point Intercept 2'!F9, Data!F9, "ERROR")</f>
        <v>1</v>
      </c>
      <c r="G9" s="6" t="str">
        <f>IF(Data!G9 = 'Point Intercept 2'!G9, Data!G9, "ERROR")</f>
        <v>LS</v>
      </c>
      <c r="H9" s="6">
        <f>IF(Data!I9 = 'Point Intercept 2'!I9, Data!I9, "ERROR")</f>
        <v>2</v>
      </c>
      <c r="I9" s="6">
        <f>IF(Data!H9 = 'Point Intercept 2'!H9, Data!H9, "ERROR")</f>
        <v>1</v>
      </c>
      <c r="J9" s="6">
        <f>IF(Data!J9 = 'Point Intercept 2'!J9, Data!J9, "ERROR")</f>
        <v>0.5</v>
      </c>
      <c r="K9" s="6" t="str">
        <f>IF(Data!K9 = 'Point Intercept 2'!K9, Data!K9, "ERROR")</f>
        <v>OPULIT</v>
      </c>
      <c r="L9" s="6" t="str">
        <f>IF(Data!L9 = 'Point Intercept 2'!L9, Data!L9, "ERROR")</f>
        <v>Opuntia littoralis</v>
      </c>
      <c r="M9" s="6">
        <f>IF(Data!N9 = 'Point Intercept 2'!M9, Data!N9, "ERROR")</f>
        <v>0</v>
      </c>
      <c r="N9" s="6">
        <f>IF(Data!O9 = 'Point Intercept 2'!N9, Data!O9, "ERROR")</f>
        <v>0</v>
      </c>
      <c r="O9" s="6">
        <f>IF(Data!P9 = 'Point Intercept 2'!O9, Data!P9, "ERROR")</f>
        <v>0</v>
      </c>
    </row>
    <row r="10" spans="1:15" x14ac:dyDescent="0.25">
      <c r="A10" s="6">
        <f>IF(Data!A10 = 'Point Intercept 2'!A10, Data!A10, "ERROR")</f>
        <v>1</v>
      </c>
      <c r="B10" s="6">
        <f>IF(Data!B10 = 'Point Intercept 2'!B10, Data!B10, "ERROR")</f>
        <v>2025</v>
      </c>
      <c r="C10" s="7">
        <f>IF(Data!C10 = 'Point Intercept 2'!C10, Data!C10, "ERROR")</f>
        <v>45764</v>
      </c>
      <c r="D10" s="6" t="str">
        <f>IF(Data!D10 = 'Point Intercept 2'!D10, Data!D10, "ERROR")</f>
        <v>TL, CG, BN</v>
      </c>
      <c r="E10" s="6" t="str">
        <f>IF(Data!E10 = 'Point Intercept 2'!E10, Data!E10, "ERROR")</f>
        <v>VB</v>
      </c>
      <c r="F10" s="6">
        <f>IF(Data!F10 = 'Point Intercept 2'!F10, Data!F10, "ERROR")</f>
        <v>1</v>
      </c>
      <c r="G10" s="6" t="str">
        <f>IF(Data!G10 = 'Point Intercept 2'!G10, Data!G10, "ERROR")</f>
        <v>LS</v>
      </c>
      <c r="H10" s="6">
        <f>IF(Data!I10 = 'Point Intercept 2'!I10, Data!I10, "ERROR")</f>
        <v>2</v>
      </c>
      <c r="I10" s="6">
        <f>IF(Data!H10 = 'Point Intercept 2'!H10, Data!H10, "ERROR")</f>
        <v>1</v>
      </c>
      <c r="J10" s="6">
        <f>IF(Data!J10 = 'Point Intercept 2'!J10, Data!J10, "ERROR")</f>
        <v>0.5</v>
      </c>
      <c r="K10" s="6" t="str">
        <f>IF(Data!K10 = 'Point Intercept 2'!K10, Data!K10, "ERROR")</f>
        <v>UNKNNGRASS</v>
      </c>
      <c r="L10" s="6" t="str">
        <f>IF(Data!L10 = 'Point Intercept 2'!L10, Data!L10, "ERROR")</f>
        <v>Unknown non-native grass</v>
      </c>
      <c r="M10" s="6">
        <f>IF(Data!N10 = 'Point Intercept 2'!M10, Data!N10, "ERROR")</f>
        <v>0</v>
      </c>
      <c r="N10" s="6">
        <f>IF(Data!O10 = 'Point Intercept 2'!N10, Data!O10, "ERROR")</f>
        <v>0</v>
      </c>
      <c r="O10" s="6">
        <f>IF(Data!P10 = 'Point Intercept 2'!O10, Data!P10, "ERROR")</f>
        <v>0</v>
      </c>
    </row>
    <row r="11" spans="1:15" x14ac:dyDescent="0.25">
      <c r="A11" s="6">
        <f>IF(Data!A11 = 'Point Intercept 2'!A11, Data!A11, "ERROR")</f>
        <v>1</v>
      </c>
      <c r="B11" s="6">
        <f>IF(Data!B11 = 'Point Intercept 2'!B11, Data!B11, "ERROR")</f>
        <v>2025</v>
      </c>
      <c r="C11" s="7">
        <f>IF(Data!C11 = 'Point Intercept 2'!C11, Data!C11, "ERROR")</f>
        <v>45764</v>
      </c>
      <c r="D11" s="6" t="str">
        <f>IF(Data!D11 = 'Point Intercept 2'!D11, Data!D11, "ERROR")</f>
        <v>TL, CG, BN</v>
      </c>
      <c r="E11" s="6" t="str">
        <f>IF(Data!E11 = 'Point Intercept 2'!E11, Data!E11, "ERROR")</f>
        <v>VB</v>
      </c>
      <c r="F11" s="6">
        <f>IF(Data!F11 = 'Point Intercept 2'!F11, Data!F11, "ERROR")</f>
        <v>1</v>
      </c>
      <c r="G11" s="6" t="str">
        <f>IF(Data!G11 = 'Point Intercept 2'!G11, Data!G11, "ERROR")</f>
        <v>LS</v>
      </c>
      <c r="H11" s="6">
        <f>IF(Data!I11 = 'Point Intercept 2'!I11, Data!I11, "ERROR")</f>
        <v>3</v>
      </c>
      <c r="I11" s="6">
        <f>IF(Data!H11 = 'Point Intercept 2'!H11, Data!H11, "ERROR")</f>
        <v>1</v>
      </c>
      <c r="J11" s="6">
        <f>IF(Data!J11 = 'Point Intercept 2'!J11, Data!J11, "ERROR")</f>
        <v>1</v>
      </c>
      <c r="K11" s="6" t="str">
        <f>IF(Data!K11 = 'Point Intercept 2'!K11, Data!K11, "ERROR")</f>
        <v>L</v>
      </c>
      <c r="L11" s="6" t="str">
        <f>IF(Data!L11 = 'Point Intercept 2'!L11, Data!L11, "ERROR")</f>
        <v>Litter</v>
      </c>
      <c r="M11" s="6">
        <f>IF(Data!N11 = 'Point Intercept 2'!M11, Data!N11, "ERROR")</f>
        <v>0</v>
      </c>
      <c r="N11" s="6">
        <f>IF(Data!O11 = 'Point Intercept 2'!N11, Data!O11, "ERROR")</f>
        <v>0</v>
      </c>
      <c r="O11" s="6">
        <f>IF(Data!P11 = 'Point Intercept 2'!O11, Data!P11, "ERROR")</f>
        <v>0</v>
      </c>
    </row>
    <row r="12" spans="1:15" x14ac:dyDescent="0.25">
      <c r="A12" s="6">
        <f>IF(Data!A12 = 'Point Intercept 2'!A12, Data!A12, "ERROR")</f>
        <v>1</v>
      </c>
      <c r="B12" s="6">
        <f>IF(Data!B12 = 'Point Intercept 2'!B12, Data!B12, "ERROR")</f>
        <v>2025</v>
      </c>
      <c r="C12" s="7">
        <f>IF(Data!C12 = 'Point Intercept 2'!C12, Data!C12, "ERROR")</f>
        <v>45764</v>
      </c>
      <c r="D12" s="6" t="str">
        <f>IF(Data!D12 = 'Point Intercept 2'!D12, Data!D12, "ERROR")</f>
        <v>TL, CG, BN</v>
      </c>
      <c r="E12" s="6" t="str">
        <f>IF(Data!E12 = 'Point Intercept 2'!E12, Data!E12, "ERROR")</f>
        <v>VB</v>
      </c>
      <c r="F12" s="6">
        <f>IF(Data!F12 = 'Point Intercept 2'!F12, Data!F12, "ERROR")</f>
        <v>1</v>
      </c>
      <c r="G12" s="6" t="str">
        <f>IF(Data!G12 = 'Point Intercept 2'!G12, Data!G12, "ERROR")</f>
        <v>LS</v>
      </c>
      <c r="H12" s="6">
        <f>IF(Data!I12 = 'Point Intercept 2'!I12, Data!I12, "ERROR")</f>
        <v>3</v>
      </c>
      <c r="I12" s="6">
        <f>IF(Data!H12 = 'Point Intercept 2'!H12, Data!H12, "ERROR")</f>
        <v>1</v>
      </c>
      <c r="J12" s="6">
        <f>IF(Data!J12 = 'Point Intercept 2'!J12, Data!J12, "ERROR")</f>
        <v>1</v>
      </c>
      <c r="K12" s="6" t="str">
        <f>IF(Data!K12 = 'Point Intercept 2'!K12, Data!K12, "ERROR")</f>
        <v>MEDPOL</v>
      </c>
      <c r="L12" s="6" t="str">
        <f>IF(Data!L12 = 'Point Intercept 2'!L12, Data!L12, "ERROR")</f>
        <v>Medicago polymorpha</v>
      </c>
      <c r="M12" s="6">
        <f>IF(Data!N12 = 'Point Intercept 2'!M12, Data!N12, "ERROR")</f>
        <v>0</v>
      </c>
      <c r="N12" s="6">
        <f>IF(Data!O12 = 'Point Intercept 2'!N12, Data!O12, "ERROR")</f>
        <v>0</v>
      </c>
      <c r="O12" s="6">
        <f>IF(Data!P12 = 'Point Intercept 2'!O12, Data!P12, "ERROR")</f>
        <v>0</v>
      </c>
    </row>
    <row r="13" spans="1:15" x14ac:dyDescent="0.25">
      <c r="A13" s="6">
        <f>IF(Data!A13 = 'Point Intercept 2'!A13, Data!A13, "ERROR")</f>
        <v>1</v>
      </c>
      <c r="B13" s="6">
        <f>IF(Data!B13 = 'Point Intercept 2'!B13, Data!B13, "ERROR")</f>
        <v>2025</v>
      </c>
      <c r="C13" s="7">
        <f>IF(Data!C13 = 'Point Intercept 2'!C13, Data!C13, "ERROR")</f>
        <v>45764</v>
      </c>
      <c r="D13" s="6" t="str">
        <f>IF(Data!D13 = 'Point Intercept 2'!D13, Data!D13, "ERROR")</f>
        <v>TL, CG, BN</v>
      </c>
      <c r="E13" s="6" t="str">
        <f>IF(Data!E13 = 'Point Intercept 2'!E13, Data!E13, "ERROR")</f>
        <v>VB</v>
      </c>
      <c r="F13" s="6">
        <f>IF(Data!F13 = 'Point Intercept 2'!F13, Data!F13, "ERROR")</f>
        <v>1</v>
      </c>
      <c r="G13" s="6" t="str">
        <f>IF(Data!G13 = 'Point Intercept 2'!G13, Data!G13, "ERROR")</f>
        <v>LS</v>
      </c>
      <c r="H13" s="6">
        <f>IF(Data!I13 = 'Point Intercept 2'!I13, Data!I13, "ERROR")</f>
        <v>3</v>
      </c>
      <c r="I13" s="6">
        <f>IF(Data!H13 = 'Point Intercept 2'!H13, Data!H13, "ERROR")</f>
        <v>1</v>
      </c>
      <c r="J13" s="6">
        <f>IF(Data!J13 = 'Point Intercept 2'!J13, Data!J13, "ERROR")</f>
        <v>1</v>
      </c>
      <c r="K13" s="6" t="str">
        <f>IF(Data!K13 = 'Point Intercept 2'!K13, Data!K13, "ERROR")</f>
        <v>FESMYU</v>
      </c>
      <c r="L13" s="6" t="str">
        <f>IF(Data!L13 = 'Point Intercept 2'!L13, Data!L13, "ERROR")</f>
        <v>Festuca myuros</v>
      </c>
      <c r="M13" s="6">
        <f>IF(Data!N13 = 'Point Intercept 2'!M13, Data!N13, "ERROR")</f>
        <v>0</v>
      </c>
      <c r="N13" s="6">
        <f>IF(Data!O13 = 'Point Intercept 2'!N13, Data!O13, "ERROR")</f>
        <v>0</v>
      </c>
      <c r="O13" s="6">
        <f>IF(Data!P13 = 'Point Intercept 2'!O13, Data!P13, "ERROR")</f>
        <v>0</v>
      </c>
    </row>
    <row r="14" spans="1:15" x14ac:dyDescent="0.25">
      <c r="A14" s="6">
        <f>IF(Data!A14 = 'Point Intercept 2'!A14, Data!A14, "ERROR")</f>
        <v>1</v>
      </c>
      <c r="B14" s="6">
        <f>IF(Data!B14 = 'Point Intercept 2'!B14, Data!B14, "ERROR")</f>
        <v>2025</v>
      </c>
      <c r="C14" s="7">
        <f>IF(Data!C14 = 'Point Intercept 2'!C14, Data!C14, "ERROR")</f>
        <v>45764</v>
      </c>
      <c r="D14" s="6" t="str">
        <f>IF(Data!D14 = 'Point Intercept 2'!D14, Data!D14, "ERROR")</f>
        <v>TL, CG, BN</v>
      </c>
      <c r="E14" s="6" t="str">
        <f>IF(Data!E14 = 'Point Intercept 2'!E14, Data!E14, "ERROR")</f>
        <v>VB</v>
      </c>
      <c r="F14" s="6">
        <f>IF(Data!F14 = 'Point Intercept 2'!F14, Data!F14, "ERROR")</f>
        <v>1</v>
      </c>
      <c r="G14" s="6" t="str">
        <f>IF(Data!G14 = 'Point Intercept 2'!G14, Data!G14, "ERROR")</f>
        <v>LS</v>
      </c>
      <c r="H14" s="6">
        <f>IF(Data!I14 = 'Point Intercept 2'!I14, Data!I14, "ERROR")</f>
        <v>3</v>
      </c>
      <c r="I14" s="6">
        <f>IF(Data!H14 = 'Point Intercept 2'!H14, Data!H14, "ERROR")</f>
        <v>1</v>
      </c>
      <c r="J14" s="6">
        <f>IF(Data!J14 = 'Point Intercept 2'!J14, Data!J14, "ERROR")</f>
        <v>1</v>
      </c>
      <c r="K14" s="6" t="str">
        <f>IF(Data!K14 = 'Point Intercept 2'!K14, Data!K14, "ERROR")</f>
        <v>EROCIC</v>
      </c>
      <c r="L14" s="6" t="str">
        <f>IF(Data!L14 = 'Point Intercept 2'!L14, Data!L14, "ERROR")</f>
        <v>Erodium cicutarium</v>
      </c>
      <c r="M14" s="6">
        <f>IF(Data!N14 = 'Point Intercept 2'!M14, Data!N14, "ERROR")</f>
        <v>0</v>
      </c>
      <c r="N14" s="6">
        <f>IF(Data!O14 = 'Point Intercept 2'!N14, Data!O14, "ERROR")</f>
        <v>0</v>
      </c>
      <c r="O14" s="6">
        <f>IF(Data!P14 = 'Point Intercept 2'!O14, Data!P14, "ERROR")</f>
        <v>0</v>
      </c>
    </row>
    <row r="15" spans="1:15" x14ac:dyDescent="0.25">
      <c r="A15" s="6">
        <f>IF(Data!A15 = 'Point Intercept 2'!A15, Data!A15, "ERROR")</f>
        <v>1</v>
      </c>
      <c r="B15" s="6">
        <f>IF(Data!B15 = 'Point Intercept 2'!B15, Data!B15, "ERROR")</f>
        <v>2025</v>
      </c>
      <c r="C15" s="7">
        <f>IF(Data!C15 = 'Point Intercept 2'!C15, Data!C15, "ERROR")</f>
        <v>45764</v>
      </c>
      <c r="D15" s="6" t="str">
        <f>IF(Data!D15 = 'Point Intercept 2'!D15, Data!D15, "ERROR")</f>
        <v>TL, CG, BN</v>
      </c>
      <c r="E15" s="6" t="str">
        <f>IF(Data!E15 = 'Point Intercept 2'!E15, Data!E15, "ERROR")</f>
        <v>VB</v>
      </c>
      <c r="F15" s="6">
        <f>IF(Data!F15 = 'Point Intercept 2'!F15, Data!F15, "ERROR")</f>
        <v>1</v>
      </c>
      <c r="G15" s="6" t="str">
        <f>IF(Data!G15 = 'Point Intercept 2'!G15, Data!G15, "ERROR")</f>
        <v>LS</v>
      </c>
      <c r="H15" s="6">
        <f>IF(Data!I15 = 'Point Intercept 2'!I15, Data!I15, "ERROR")</f>
        <v>4</v>
      </c>
      <c r="I15" s="6">
        <f>IF(Data!H15 = 'Point Intercept 2'!H15, Data!H15, "ERROR")</f>
        <v>1</v>
      </c>
      <c r="J15" s="6">
        <f>IF(Data!J15 = 'Point Intercept 2'!J15, Data!J15, "ERROR")</f>
        <v>1.5</v>
      </c>
      <c r="K15" s="6" t="str">
        <f>IF(Data!K15 = 'Point Intercept 2'!K15, Data!K15, "ERROR")</f>
        <v>L</v>
      </c>
      <c r="L15" s="6" t="str">
        <f>IF(Data!L15 = 'Point Intercept 2'!L15, Data!L15, "ERROR")</f>
        <v>Litter</v>
      </c>
      <c r="M15" s="6">
        <f>IF(Data!N15 = 'Point Intercept 2'!M15, Data!N15, "ERROR")</f>
        <v>0</v>
      </c>
      <c r="N15" s="6">
        <f>IF(Data!O15 = 'Point Intercept 2'!N15, Data!O15, "ERROR")</f>
        <v>0</v>
      </c>
      <c r="O15" s="6">
        <f>IF(Data!P15 = 'Point Intercept 2'!O15, Data!P15, "ERROR")</f>
        <v>0</v>
      </c>
    </row>
    <row r="16" spans="1:15" x14ac:dyDescent="0.25">
      <c r="A16" s="6">
        <f>IF(Data!A16 = 'Point Intercept 2'!A16, Data!A16, "ERROR")</f>
        <v>1</v>
      </c>
      <c r="B16" s="6">
        <f>IF(Data!B16 = 'Point Intercept 2'!B16, Data!B16, "ERROR")</f>
        <v>2025</v>
      </c>
      <c r="C16" s="7">
        <f>IF(Data!C16 = 'Point Intercept 2'!C16, Data!C16, "ERROR")</f>
        <v>45764</v>
      </c>
      <c r="D16" s="6" t="str">
        <f>IF(Data!D16 = 'Point Intercept 2'!D16, Data!D16, "ERROR")</f>
        <v>TL, CG, BN</v>
      </c>
      <c r="E16" s="6" t="str">
        <f>IF(Data!E16 = 'Point Intercept 2'!E16, Data!E16, "ERROR")</f>
        <v>VB</v>
      </c>
      <c r="F16" s="6">
        <f>IF(Data!F16 = 'Point Intercept 2'!F16, Data!F16, "ERROR")</f>
        <v>1</v>
      </c>
      <c r="G16" s="6" t="str">
        <f>IF(Data!G16 = 'Point Intercept 2'!G16, Data!G16, "ERROR")</f>
        <v>LS</v>
      </c>
      <c r="H16" s="6">
        <f>IF(Data!I16 = 'Point Intercept 2'!I16, Data!I16, "ERROR")</f>
        <v>4</v>
      </c>
      <c r="I16" s="6">
        <f>IF(Data!H16 = 'Point Intercept 2'!H16, Data!H16, "ERROR")</f>
        <v>1</v>
      </c>
      <c r="J16" s="6">
        <f>IF(Data!J16 = 'Point Intercept 2'!J16, Data!J16, "ERROR")</f>
        <v>1.5</v>
      </c>
      <c r="K16" s="6" t="str">
        <f>IF(Data!K16 = 'Point Intercept 2'!K16, Data!K16, "ERROR")</f>
        <v>OPULIT</v>
      </c>
      <c r="L16" s="6" t="str">
        <f>IF(Data!L16 = 'Point Intercept 2'!L16, Data!L16, "ERROR")</f>
        <v>Opuntia littoralis</v>
      </c>
      <c r="M16" s="6">
        <f>IF(Data!N16 = 'Point Intercept 2'!M16, Data!N16, "ERROR")</f>
        <v>0</v>
      </c>
      <c r="N16" s="6">
        <f>IF(Data!O16 = 'Point Intercept 2'!N16, Data!O16, "ERROR")</f>
        <v>0</v>
      </c>
      <c r="O16" s="6">
        <f>IF(Data!P16 = 'Point Intercept 2'!O16, Data!P16, "ERROR")</f>
        <v>0</v>
      </c>
    </row>
    <row r="17" spans="1:15" x14ac:dyDescent="0.25">
      <c r="A17" s="6">
        <f>IF(Data!A17 = 'Point Intercept 2'!A17, Data!A17, "ERROR")</f>
        <v>1</v>
      </c>
      <c r="B17" s="6">
        <f>IF(Data!B17 = 'Point Intercept 2'!B17, Data!B17, "ERROR")</f>
        <v>2025</v>
      </c>
      <c r="C17" s="7">
        <f>IF(Data!C17 = 'Point Intercept 2'!C17, Data!C17, "ERROR")</f>
        <v>45764</v>
      </c>
      <c r="D17" s="6" t="str">
        <f>IF(Data!D17 = 'Point Intercept 2'!D17, Data!D17, "ERROR")</f>
        <v>TL, CG, BN</v>
      </c>
      <c r="E17" s="6" t="str">
        <f>IF(Data!E17 = 'Point Intercept 2'!E17, Data!E17, "ERROR")</f>
        <v>VB</v>
      </c>
      <c r="F17" s="6">
        <f>IF(Data!F17 = 'Point Intercept 2'!F17, Data!F17, "ERROR")</f>
        <v>1</v>
      </c>
      <c r="G17" s="6" t="str">
        <f>IF(Data!G17 = 'Point Intercept 2'!G17, Data!G17, "ERROR")</f>
        <v>LS</v>
      </c>
      <c r="H17" s="6">
        <f>IF(Data!I17 = 'Point Intercept 2'!I17, Data!I17, "ERROR")</f>
        <v>4</v>
      </c>
      <c r="I17" s="6">
        <f>IF(Data!H17 = 'Point Intercept 2'!H17, Data!H17, "ERROR")</f>
        <v>1</v>
      </c>
      <c r="J17" s="6">
        <f>IF(Data!J17 = 'Point Intercept 2'!J17, Data!J17, "ERROR")</f>
        <v>1.5</v>
      </c>
      <c r="K17" s="6" t="str">
        <f>IF(Data!K17 = 'Point Intercept 2'!K17, Data!K17, "ERROR")</f>
        <v>MEDPOL</v>
      </c>
      <c r="L17" s="6" t="str">
        <f>IF(Data!L17 = 'Point Intercept 2'!L17, Data!L17, "ERROR")</f>
        <v>Medicago polymorpha</v>
      </c>
      <c r="M17" s="6">
        <f>IF(Data!N17 = 'Point Intercept 2'!M17, Data!N17, "ERROR")</f>
        <v>0</v>
      </c>
      <c r="N17" s="6">
        <f>IF(Data!O17 = 'Point Intercept 2'!N17, Data!O17, "ERROR")</f>
        <v>0</v>
      </c>
      <c r="O17" s="6">
        <f>IF(Data!P17 = 'Point Intercept 2'!O17, Data!P17, "ERROR")</f>
        <v>0</v>
      </c>
    </row>
    <row r="18" spans="1:15" x14ac:dyDescent="0.25">
      <c r="A18" s="6">
        <f>IF(Data!A18 = 'Point Intercept 2'!A18, Data!A18, "ERROR")</f>
        <v>1</v>
      </c>
      <c r="B18" s="6">
        <f>IF(Data!B18 = 'Point Intercept 2'!B18, Data!B18, "ERROR")</f>
        <v>2025</v>
      </c>
      <c r="C18" s="7">
        <f>IF(Data!C18 = 'Point Intercept 2'!C18, Data!C18, "ERROR")</f>
        <v>45764</v>
      </c>
      <c r="D18" s="6" t="str">
        <f>IF(Data!D18 = 'Point Intercept 2'!D18, Data!D18, "ERROR")</f>
        <v>TL, CG, BN</v>
      </c>
      <c r="E18" s="6" t="str">
        <f>IF(Data!E18 = 'Point Intercept 2'!E18, Data!E18, "ERROR")</f>
        <v>VB</v>
      </c>
      <c r="F18" s="6">
        <f>IF(Data!F18 = 'Point Intercept 2'!F18, Data!F18, "ERROR")</f>
        <v>1</v>
      </c>
      <c r="G18" s="6" t="str">
        <f>IF(Data!G18 = 'Point Intercept 2'!G18, Data!G18, "ERROR")</f>
        <v>LS</v>
      </c>
      <c r="H18" s="6">
        <f>IF(Data!I18 = 'Point Intercept 2'!I18, Data!I18, "ERROR")</f>
        <v>4</v>
      </c>
      <c r="I18" s="6">
        <f>IF(Data!H18 = 'Point Intercept 2'!H18, Data!H18, "ERROR")</f>
        <v>1</v>
      </c>
      <c r="J18" s="6">
        <f>IF(Data!J18 = 'Point Intercept 2'!J18, Data!J18, "ERROR")</f>
        <v>1.5</v>
      </c>
      <c r="K18" s="6" t="str">
        <f>IF(Data!K18 = 'Point Intercept 2'!K18, Data!K18, "ERROR")</f>
        <v>DEIFAS</v>
      </c>
      <c r="L18" s="6" t="str">
        <f>IF(Data!L18 = 'Point Intercept 2'!L18, Data!L18, "ERROR")</f>
        <v>Deinandra fasciculata</v>
      </c>
      <c r="M18" s="6">
        <f>IF(Data!N18 = 'Point Intercept 2'!M18, Data!N18, "ERROR")</f>
        <v>0</v>
      </c>
      <c r="N18" s="6">
        <f>IF(Data!O18 = 'Point Intercept 2'!N18, Data!O18, "ERROR")</f>
        <v>0</v>
      </c>
      <c r="O18" s="6">
        <f>IF(Data!P18 = 'Point Intercept 2'!O18, Data!P18, "ERROR")</f>
        <v>0</v>
      </c>
    </row>
    <row r="19" spans="1:15" x14ac:dyDescent="0.25">
      <c r="A19" s="6">
        <f>IF(Data!A19 = 'Point Intercept 2'!A19, Data!A19, "ERROR")</f>
        <v>1</v>
      </c>
      <c r="B19" s="6">
        <f>IF(Data!B19 = 'Point Intercept 2'!B19, Data!B19, "ERROR")</f>
        <v>2025</v>
      </c>
      <c r="C19" s="7">
        <f>IF(Data!C19 = 'Point Intercept 2'!C19, Data!C19, "ERROR")</f>
        <v>45764</v>
      </c>
      <c r="D19" s="6" t="str">
        <f>IF(Data!D19 = 'Point Intercept 2'!D19, Data!D19, "ERROR")</f>
        <v>TL, CG, BN</v>
      </c>
      <c r="E19" s="6" t="str">
        <f>IF(Data!E19 = 'Point Intercept 2'!E19, Data!E19, "ERROR")</f>
        <v>VB</v>
      </c>
      <c r="F19" s="6">
        <f>IF(Data!F19 = 'Point Intercept 2'!F19, Data!F19, "ERROR")</f>
        <v>1</v>
      </c>
      <c r="G19" s="6" t="str">
        <f>IF(Data!G19 = 'Point Intercept 2'!G19, Data!G19, "ERROR")</f>
        <v>LS</v>
      </c>
      <c r="H19" s="6">
        <f>IF(Data!I19 = 'Point Intercept 2'!I19, Data!I19, "ERROR")</f>
        <v>5</v>
      </c>
      <c r="I19" s="6">
        <f>IF(Data!H19 = 'Point Intercept 2'!H19, Data!H19, "ERROR")</f>
        <v>1</v>
      </c>
      <c r="J19" s="6">
        <f>IF(Data!J19 = 'Point Intercept 2'!J19, Data!J19, "ERROR")</f>
        <v>2</v>
      </c>
      <c r="K19" s="6" t="str">
        <f>IF(Data!K19 = 'Point Intercept 2'!K19, Data!K19, "ERROR")</f>
        <v>L</v>
      </c>
      <c r="L19" s="6" t="str">
        <f>IF(Data!L19 = 'Point Intercept 2'!L19, Data!L19, "ERROR")</f>
        <v>Litter</v>
      </c>
      <c r="M19" s="6">
        <f>IF(Data!N19 = 'Point Intercept 2'!M19, Data!N19, "ERROR")</f>
        <v>0</v>
      </c>
      <c r="N19" s="6">
        <f>IF(Data!O19 = 'Point Intercept 2'!N19, Data!O19, "ERROR")</f>
        <v>0</v>
      </c>
      <c r="O19" s="6">
        <f>IF(Data!P19 = 'Point Intercept 2'!O19, Data!P19, "ERROR")</f>
        <v>0</v>
      </c>
    </row>
    <row r="20" spans="1:15" x14ac:dyDescent="0.25">
      <c r="A20" s="6">
        <f>IF(Data!A20 = 'Point Intercept 2'!A20, Data!A20, "ERROR")</f>
        <v>1</v>
      </c>
      <c r="B20" s="6">
        <f>IF(Data!B20 = 'Point Intercept 2'!B20, Data!B20, "ERROR")</f>
        <v>2025</v>
      </c>
      <c r="C20" s="7">
        <f>IF(Data!C20 = 'Point Intercept 2'!C20, Data!C20, "ERROR")</f>
        <v>45764</v>
      </c>
      <c r="D20" s="6" t="str">
        <f>IF(Data!D20 = 'Point Intercept 2'!D20, Data!D20, "ERROR")</f>
        <v>TL, CG, BN</v>
      </c>
      <c r="E20" s="6" t="str">
        <f>IF(Data!E20 = 'Point Intercept 2'!E20, Data!E20, "ERROR")</f>
        <v>VB</v>
      </c>
      <c r="F20" s="6">
        <f>IF(Data!F20 = 'Point Intercept 2'!F20, Data!F20, "ERROR")</f>
        <v>1</v>
      </c>
      <c r="G20" s="6" t="str">
        <f>IF(Data!G20 = 'Point Intercept 2'!G20, Data!G20, "ERROR")</f>
        <v>LS</v>
      </c>
      <c r="H20" s="6">
        <f>IF(Data!I20 = 'Point Intercept 2'!I20, Data!I20, "ERROR")</f>
        <v>5</v>
      </c>
      <c r="I20" s="6">
        <f>IF(Data!H20 = 'Point Intercept 2'!H20, Data!H20, "ERROR")</f>
        <v>1</v>
      </c>
      <c r="J20" s="6">
        <f>IF(Data!J20 = 'Point Intercept 2'!J20, Data!J20, "ERROR")</f>
        <v>2</v>
      </c>
      <c r="K20" s="6" t="str">
        <f>IF(Data!K20 = 'Point Intercept 2'!K20, Data!K20, "ERROR")</f>
        <v>OPULIT</v>
      </c>
      <c r="L20" s="6" t="str">
        <f>IF(Data!L20 = 'Point Intercept 2'!L20, Data!L20, "ERROR")</f>
        <v>Opuntia littoralis</v>
      </c>
      <c r="M20" s="6">
        <f>IF(Data!N20 = 'Point Intercept 2'!M20, Data!N20, "ERROR")</f>
        <v>0</v>
      </c>
      <c r="N20" s="6">
        <f>IF(Data!O20 = 'Point Intercept 2'!N20, Data!O20, "ERROR")</f>
        <v>0</v>
      </c>
      <c r="O20" s="6">
        <f>IF(Data!P20 = 'Point Intercept 2'!O20, Data!P20, "ERROR")</f>
        <v>0</v>
      </c>
    </row>
    <row r="21" spans="1:15" x14ac:dyDescent="0.25">
      <c r="A21" s="6">
        <f>IF(Data!A21 = 'Point Intercept 2'!A21, Data!A21, "ERROR")</f>
        <v>1</v>
      </c>
      <c r="B21" s="6">
        <f>IF(Data!B21 = 'Point Intercept 2'!B21, Data!B21, "ERROR")</f>
        <v>2025</v>
      </c>
      <c r="C21" s="7">
        <f>IF(Data!C21 = 'Point Intercept 2'!C21, Data!C21, "ERROR")</f>
        <v>45764</v>
      </c>
      <c r="D21" s="6" t="str">
        <f>IF(Data!D21 = 'Point Intercept 2'!D21, Data!D21, "ERROR")</f>
        <v>TL, CG, BN</v>
      </c>
      <c r="E21" s="6" t="str">
        <f>IF(Data!E21 = 'Point Intercept 2'!E21, Data!E21, "ERROR")</f>
        <v>VB</v>
      </c>
      <c r="F21" s="6">
        <f>IF(Data!F21 = 'Point Intercept 2'!F21, Data!F21, "ERROR")</f>
        <v>1</v>
      </c>
      <c r="G21" s="6" t="str">
        <f>IF(Data!G21 = 'Point Intercept 2'!G21, Data!G21, "ERROR")</f>
        <v>LS</v>
      </c>
      <c r="H21" s="6">
        <f>IF(Data!I21 = 'Point Intercept 2'!I21, Data!I21, "ERROR")</f>
        <v>5</v>
      </c>
      <c r="I21" s="6">
        <f>IF(Data!H21 = 'Point Intercept 2'!H21, Data!H21, "ERROR")</f>
        <v>1</v>
      </c>
      <c r="J21" s="6">
        <f>IF(Data!J21 = 'Point Intercept 2'!J21, Data!J21, "ERROR")</f>
        <v>2</v>
      </c>
      <c r="K21" s="6" t="str">
        <f>IF(Data!K21 = 'Point Intercept 2'!K21, Data!K21, "ERROR")</f>
        <v>BROMAD</v>
      </c>
      <c r="L21" s="6" t="str">
        <f>IF(Data!L21 = 'Point Intercept 2'!L21, Data!L21, "ERROR")</f>
        <v>Bromus madritensis</v>
      </c>
      <c r="M21" s="6">
        <f>IF(Data!N21 = 'Point Intercept 2'!M21, Data!N21, "ERROR")</f>
        <v>0</v>
      </c>
      <c r="N21" s="6">
        <f>IF(Data!O21 = 'Point Intercept 2'!N21, Data!O21, "ERROR")</f>
        <v>0</v>
      </c>
      <c r="O21" s="6">
        <f>IF(Data!P21 = 'Point Intercept 2'!O21, Data!P21, "ERROR")</f>
        <v>0</v>
      </c>
    </row>
    <row r="22" spans="1:15" x14ac:dyDescent="0.25">
      <c r="A22" s="6">
        <f>IF(Data!A22 = 'Point Intercept 2'!A22, Data!A22, "ERROR")</f>
        <v>1</v>
      </c>
      <c r="B22" s="6">
        <f>IF(Data!B22 = 'Point Intercept 2'!B22, Data!B22, "ERROR")</f>
        <v>2025</v>
      </c>
      <c r="C22" s="7">
        <f>IF(Data!C22 = 'Point Intercept 2'!C22, Data!C22, "ERROR")</f>
        <v>45764</v>
      </c>
      <c r="D22" s="6" t="str">
        <f>IF(Data!D22 = 'Point Intercept 2'!D22, Data!D22, "ERROR")</f>
        <v>TL, CG, BN</v>
      </c>
      <c r="E22" s="6" t="str">
        <f>IF(Data!E22 = 'Point Intercept 2'!E22, Data!E22, "ERROR")</f>
        <v>VB</v>
      </c>
      <c r="F22" s="6">
        <f>IF(Data!F22 = 'Point Intercept 2'!F22, Data!F22, "ERROR")</f>
        <v>1</v>
      </c>
      <c r="G22" s="6" t="str">
        <f>IF(Data!G22 = 'Point Intercept 2'!G22, Data!G22, "ERROR")</f>
        <v>LS</v>
      </c>
      <c r="H22" s="6">
        <f>IF(Data!I22 = 'Point Intercept 2'!I22, Data!I22, "ERROR")</f>
        <v>5</v>
      </c>
      <c r="I22" s="6">
        <f>IF(Data!H22 = 'Point Intercept 2'!H22, Data!H22, "ERROR")</f>
        <v>1</v>
      </c>
      <c r="J22" s="6">
        <f>IF(Data!J22 = 'Point Intercept 2'!J22, Data!J22, "ERROR")</f>
        <v>2</v>
      </c>
      <c r="K22" s="6" t="str">
        <f>IF(Data!K22 = 'Point Intercept 2'!K22, Data!K22, "ERROR")</f>
        <v>EROMOS</v>
      </c>
      <c r="L22" s="6" t="str">
        <f>IF(Data!L22 = 'Point Intercept 2'!L22, Data!L22, "ERROR")</f>
        <v>Erodium moschatum</v>
      </c>
      <c r="M22" s="6">
        <f>IF(Data!N22 = 'Point Intercept 2'!M22, Data!N22, "ERROR")</f>
        <v>0</v>
      </c>
      <c r="N22" s="6">
        <f>IF(Data!O22 = 'Point Intercept 2'!N22, Data!O22, "ERROR")</f>
        <v>0</v>
      </c>
      <c r="O22" s="6">
        <f>IF(Data!P22 = 'Point Intercept 2'!O22, Data!P22, "ERROR")</f>
        <v>0</v>
      </c>
    </row>
    <row r="23" spans="1:15" x14ac:dyDescent="0.25">
      <c r="A23" s="6">
        <f>IF(Data!A23 = 'Point Intercept 2'!A23, Data!A23, "ERROR")</f>
        <v>1</v>
      </c>
      <c r="B23" s="6">
        <f>IF(Data!B23 = 'Point Intercept 2'!B23, Data!B23, "ERROR")</f>
        <v>2025</v>
      </c>
      <c r="C23" s="7">
        <f>IF(Data!C23 = 'Point Intercept 2'!C23, Data!C23, "ERROR")</f>
        <v>45764</v>
      </c>
      <c r="D23" s="6" t="str">
        <f>IF(Data!D23 = 'Point Intercept 2'!D23, Data!D23, "ERROR")</f>
        <v>TL, CG, BN</v>
      </c>
      <c r="E23" s="6" t="str">
        <f>IF(Data!E23 = 'Point Intercept 2'!E23, Data!E23, "ERROR")</f>
        <v>VB</v>
      </c>
      <c r="F23" s="6">
        <f>IF(Data!F23 = 'Point Intercept 2'!F23, Data!F23, "ERROR")</f>
        <v>1</v>
      </c>
      <c r="G23" s="6" t="str">
        <f>IF(Data!G23 = 'Point Intercept 2'!G23, Data!G23, "ERROR")</f>
        <v>LS</v>
      </c>
      <c r="H23" s="6">
        <f>IF(Data!I23 = 'Point Intercept 2'!I23, Data!I23, "ERROR")</f>
        <v>6</v>
      </c>
      <c r="I23" s="6">
        <f>IF(Data!H23 = 'Point Intercept 2'!H23, Data!H23, "ERROR")</f>
        <v>1</v>
      </c>
      <c r="J23" s="6">
        <f>IF(Data!J23 = 'Point Intercept 2'!J23, Data!J23, "ERROR")</f>
        <v>2.5</v>
      </c>
      <c r="K23" s="6" t="str">
        <f>IF(Data!K23 = 'Point Intercept 2'!K23, Data!K23, "ERROR")</f>
        <v>L</v>
      </c>
      <c r="L23" s="6" t="str">
        <f>IF(Data!L23 = 'Point Intercept 2'!L23, Data!L23, "ERROR")</f>
        <v>Litter</v>
      </c>
      <c r="M23" s="6">
        <f>IF(Data!N23 = 'Point Intercept 2'!M23, Data!N23, "ERROR")</f>
        <v>0</v>
      </c>
      <c r="N23" s="6">
        <f>IF(Data!O23 = 'Point Intercept 2'!N23, Data!O23, "ERROR")</f>
        <v>0</v>
      </c>
      <c r="O23" s="6">
        <f>IF(Data!P23 = 'Point Intercept 2'!O23, Data!P23, "ERROR")</f>
        <v>0</v>
      </c>
    </row>
    <row r="24" spans="1:15" x14ac:dyDescent="0.25">
      <c r="A24" s="6">
        <f>IF(Data!A24 = 'Point Intercept 2'!A24, Data!A24, "ERROR")</f>
        <v>1</v>
      </c>
      <c r="B24" s="6">
        <f>IF(Data!B24 = 'Point Intercept 2'!B24, Data!B24, "ERROR")</f>
        <v>2025</v>
      </c>
      <c r="C24" s="7">
        <f>IF(Data!C24 = 'Point Intercept 2'!C24, Data!C24, "ERROR")</f>
        <v>45764</v>
      </c>
      <c r="D24" s="6" t="str">
        <f>IF(Data!D24 = 'Point Intercept 2'!D24, Data!D24, "ERROR")</f>
        <v>TL, CG, BN</v>
      </c>
      <c r="E24" s="6" t="str">
        <f>IF(Data!E24 = 'Point Intercept 2'!E24, Data!E24, "ERROR")</f>
        <v>VB</v>
      </c>
      <c r="F24" s="6">
        <f>IF(Data!F24 = 'Point Intercept 2'!F24, Data!F24, "ERROR")</f>
        <v>1</v>
      </c>
      <c r="G24" s="6" t="str">
        <f>IF(Data!G24 = 'Point Intercept 2'!G24, Data!G24, "ERROR")</f>
        <v>LS</v>
      </c>
      <c r="H24" s="6">
        <f>IF(Data!I24 = 'Point Intercept 2'!I24, Data!I24, "ERROR")</f>
        <v>6</v>
      </c>
      <c r="I24" s="6">
        <f>IF(Data!H24 = 'Point Intercept 2'!H24, Data!H24, "ERROR")</f>
        <v>1</v>
      </c>
      <c r="J24" s="6">
        <f>IF(Data!J24 = 'Point Intercept 2'!J24, Data!J24, "ERROR")</f>
        <v>2.5</v>
      </c>
      <c r="K24" s="6" t="str">
        <f>IF(Data!K24 = 'Point Intercept 2'!K24, Data!K24, "ERROR")</f>
        <v>SONOLE</v>
      </c>
      <c r="L24" s="6" t="str">
        <f>IF(Data!L24 = 'Point Intercept 2'!L24, Data!L24, "ERROR")</f>
        <v>Sonchus oleraceus</v>
      </c>
      <c r="M24" s="6">
        <f>IF(Data!N24 = 'Point Intercept 2'!M24, Data!N24, "ERROR")</f>
        <v>0</v>
      </c>
      <c r="N24" s="6">
        <f>IF(Data!O24 = 'Point Intercept 2'!N24, Data!O24, "ERROR")</f>
        <v>0</v>
      </c>
      <c r="O24" s="6">
        <f>IF(Data!P24 = 'Point Intercept 2'!O24, Data!P24, "ERROR")</f>
        <v>0</v>
      </c>
    </row>
    <row r="25" spans="1:15" x14ac:dyDescent="0.25">
      <c r="A25" s="6">
        <f>IF(Data!A25 = 'Point Intercept 2'!A25, Data!A25, "ERROR")</f>
        <v>1</v>
      </c>
      <c r="B25" s="6">
        <f>IF(Data!B25 = 'Point Intercept 2'!B25, Data!B25, "ERROR")</f>
        <v>2025</v>
      </c>
      <c r="C25" s="7">
        <f>IF(Data!C25 = 'Point Intercept 2'!C25, Data!C25, "ERROR")</f>
        <v>45764</v>
      </c>
      <c r="D25" s="6" t="str">
        <f>IF(Data!D25 = 'Point Intercept 2'!D25, Data!D25, "ERROR")</f>
        <v>TL, CG, BN</v>
      </c>
      <c r="E25" s="6" t="str">
        <f>IF(Data!E25 = 'Point Intercept 2'!E25, Data!E25, "ERROR")</f>
        <v>VB</v>
      </c>
      <c r="F25" s="6">
        <f>IF(Data!F25 = 'Point Intercept 2'!F25, Data!F25, "ERROR")</f>
        <v>1</v>
      </c>
      <c r="G25" s="6" t="str">
        <f>IF(Data!G25 = 'Point Intercept 2'!G25, Data!G25, "ERROR")</f>
        <v>LS</v>
      </c>
      <c r="H25" s="6">
        <f>IF(Data!I25 = 'Point Intercept 2'!I25, Data!I25, "ERROR")</f>
        <v>6</v>
      </c>
      <c r="I25" s="6">
        <f>IF(Data!H25 = 'Point Intercept 2'!H25, Data!H25, "ERROR")</f>
        <v>1</v>
      </c>
      <c r="J25" s="6">
        <f>IF(Data!J25 = 'Point Intercept 2'!J25, Data!J25, "ERROR")</f>
        <v>2.5</v>
      </c>
      <c r="K25" s="6" t="str">
        <f>IF(Data!K25 = 'Point Intercept 2'!K25, Data!K25, "ERROR")</f>
        <v>FESMYU</v>
      </c>
      <c r="L25" s="6" t="str">
        <f>IF(Data!L25 = 'Point Intercept 2'!L25, Data!L25, "ERROR")</f>
        <v>Festuca myuros</v>
      </c>
      <c r="M25" s="6">
        <f>IF(Data!N25 = 'Point Intercept 2'!M25, Data!N25, "ERROR")</f>
        <v>0</v>
      </c>
      <c r="N25" s="6">
        <f>IF(Data!O25 = 'Point Intercept 2'!N25, Data!O25, "ERROR")</f>
        <v>0</v>
      </c>
      <c r="O25" s="6">
        <f>IF(Data!P25 = 'Point Intercept 2'!O25, Data!P25, "ERROR")</f>
        <v>0</v>
      </c>
    </row>
    <row r="26" spans="1:15" x14ac:dyDescent="0.25">
      <c r="A26" s="6">
        <f>IF(Data!A26 = 'Point Intercept 2'!A26, Data!A26, "ERROR")</f>
        <v>1</v>
      </c>
      <c r="B26" s="6">
        <f>IF(Data!B26 = 'Point Intercept 2'!B26, Data!B26, "ERROR")</f>
        <v>2025</v>
      </c>
      <c r="C26" s="7">
        <f>IF(Data!C26 = 'Point Intercept 2'!C26, Data!C26, "ERROR")</f>
        <v>45764</v>
      </c>
      <c r="D26" s="6" t="str">
        <f>IF(Data!D26 = 'Point Intercept 2'!D26, Data!D26, "ERROR")</f>
        <v>TL, CG, BN</v>
      </c>
      <c r="E26" s="6" t="str">
        <f>IF(Data!E26 = 'Point Intercept 2'!E26, Data!E26, "ERROR")</f>
        <v>VB</v>
      </c>
      <c r="F26" s="6">
        <f>IF(Data!F26 = 'Point Intercept 2'!F26, Data!F26, "ERROR")</f>
        <v>1</v>
      </c>
      <c r="G26" s="6" t="str">
        <f>IF(Data!G26 = 'Point Intercept 2'!G26, Data!G26, "ERROR")</f>
        <v>LS</v>
      </c>
      <c r="H26" s="6">
        <f>IF(Data!I26 = 'Point Intercept 2'!I26, Data!I26, "ERROR")</f>
        <v>7</v>
      </c>
      <c r="I26" s="6">
        <f>IF(Data!H26 = 'Point Intercept 2'!H26, Data!H26, "ERROR")</f>
        <v>1</v>
      </c>
      <c r="J26" s="6">
        <f>IF(Data!J26 = 'Point Intercept 2'!J26, Data!J26, "ERROR")</f>
        <v>3</v>
      </c>
      <c r="K26" s="6" t="str">
        <f>IF(Data!K26 = 'Point Intercept 2'!K26, Data!K26, "ERROR")</f>
        <v>TH</v>
      </c>
      <c r="L26" s="6" t="str">
        <f>IF(Data!L26 = 'Point Intercept 2'!L26, Data!L26, "ERROR")</f>
        <v>Thatch</v>
      </c>
      <c r="M26" s="6">
        <f>IF(Data!N26 = 'Point Intercept 2'!M26, Data!N26, "ERROR")</f>
        <v>0</v>
      </c>
      <c r="N26" s="6">
        <f>IF(Data!O26 = 'Point Intercept 2'!N26, Data!O26, "ERROR")</f>
        <v>0</v>
      </c>
      <c r="O26" s="6">
        <f>IF(Data!P26 = 'Point Intercept 2'!O26, Data!P26, "ERROR")</f>
        <v>0</v>
      </c>
    </row>
    <row r="27" spans="1:15" x14ac:dyDescent="0.25">
      <c r="A27" s="6">
        <f>IF(Data!A27 = 'Point Intercept 2'!A27, Data!A27, "ERROR")</f>
        <v>1</v>
      </c>
      <c r="B27" s="6">
        <f>IF(Data!B27 = 'Point Intercept 2'!B27, Data!B27, "ERROR")</f>
        <v>2025</v>
      </c>
      <c r="C27" s="7">
        <f>IF(Data!C27 = 'Point Intercept 2'!C27, Data!C27, "ERROR")</f>
        <v>45764</v>
      </c>
      <c r="D27" s="6" t="str">
        <f>IF(Data!D27 = 'Point Intercept 2'!D27, Data!D27, "ERROR")</f>
        <v>TL, CG, BN</v>
      </c>
      <c r="E27" s="6" t="str">
        <f>IF(Data!E27 = 'Point Intercept 2'!E27, Data!E27, "ERROR")</f>
        <v>VB</v>
      </c>
      <c r="F27" s="6">
        <f>IF(Data!F27 = 'Point Intercept 2'!F27, Data!F27, "ERROR")</f>
        <v>1</v>
      </c>
      <c r="G27" s="6" t="str">
        <f>IF(Data!G27 = 'Point Intercept 2'!G27, Data!G27, "ERROR")</f>
        <v>LS</v>
      </c>
      <c r="H27" s="6">
        <f>IF(Data!I27 = 'Point Intercept 2'!I27, Data!I27, "ERROR")</f>
        <v>7</v>
      </c>
      <c r="I27" s="6">
        <f>IF(Data!H27 = 'Point Intercept 2'!H27, Data!H27, "ERROR")</f>
        <v>1</v>
      </c>
      <c r="J27" s="6">
        <f>IF(Data!J27 = 'Point Intercept 2'!J27, Data!J27, "ERROR")</f>
        <v>3</v>
      </c>
      <c r="K27" s="6" t="str">
        <f>IF(Data!K27 = 'Point Intercept 2'!K27, Data!K27, "ERROR")</f>
        <v>FESMYU</v>
      </c>
      <c r="L27" s="6" t="str">
        <f>IF(Data!L27 = 'Point Intercept 2'!L27, Data!L27, "ERROR")</f>
        <v>Festuca myuros</v>
      </c>
      <c r="M27" s="6">
        <f>IF(Data!N27 = 'Point Intercept 2'!M27, Data!N27, "ERROR")</f>
        <v>0</v>
      </c>
      <c r="N27" s="6">
        <f>IF(Data!O27 = 'Point Intercept 2'!N27, Data!O27, "ERROR")</f>
        <v>0</v>
      </c>
      <c r="O27" s="6">
        <f>IF(Data!P27 = 'Point Intercept 2'!O27, Data!P27, "ERROR")</f>
        <v>0</v>
      </c>
    </row>
    <row r="28" spans="1:15" x14ac:dyDescent="0.25">
      <c r="A28" s="6">
        <f>IF(Data!A28 = 'Point Intercept 2'!A28, Data!A28, "ERROR")</f>
        <v>1</v>
      </c>
      <c r="B28" s="6">
        <f>IF(Data!B28 = 'Point Intercept 2'!B28, Data!B28, "ERROR")</f>
        <v>2025</v>
      </c>
      <c r="C28" s="7">
        <f>IF(Data!C28 = 'Point Intercept 2'!C28, Data!C28, "ERROR")</f>
        <v>45764</v>
      </c>
      <c r="D28" s="6" t="str">
        <f>IF(Data!D28 = 'Point Intercept 2'!D28, Data!D28, "ERROR")</f>
        <v>TL, CG, BN</v>
      </c>
      <c r="E28" s="6" t="str">
        <f>IF(Data!E28 = 'Point Intercept 2'!E28, Data!E28, "ERROR")</f>
        <v>VB</v>
      </c>
      <c r="F28" s="6">
        <f>IF(Data!F28 = 'Point Intercept 2'!F28, Data!F28, "ERROR")</f>
        <v>1</v>
      </c>
      <c r="G28" s="6" t="str">
        <f>IF(Data!G28 = 'Point Intercept 2'!G28, Data!G28, "ERROR")</f>
        <v>LS</v>
      </c>
      <c r="H28" s="6">
        <f>IF(Data!I28 = 'Point Intercept 2'!I28, Data!I28, "ERROR")</f>
        <v>8</v>
      </c>
      <c r="I28" s="6">
        <f>IF(Data!H28 = 'Point Intercept 2'!H28, Data!H28, "ERROR")</f>
        <v>1</v>
      </c>
      <c r="J28" s="6">
        <f>IF(Data!J28 = 'Point Intercept 2'!J28, Data!J28, "ERROR")</f>
        <v>3.5</v>
      </c>
      <c r="K28" s="6" t="str">
        <f>IF(Data!K28 = 'Point Intercept 2'!K28, Data!K28, "ERROR")</f>
        <v>TH</v>
      </c>
      <c r="L28" s="6" t="str">
        <f>IF(Data!L28 = 'Point Intercept 2'!L28, Data!L28, "ERROR")</f>
        <v>Thatch</v>
      </c>
      <c r="M28" s="6">
        <f>IF(Data!N28 = 'Point Intercept 2'!M28, Data!N28, "ERROR")</f>
        <v>0</v>
      </c>
      <c r="N28" s="6">
        <f>IF(Data!O28 = 'Point Intercept 2'!N28, Data!O28, "ERROR")</f>
        <v>0</v>
      </c>
      <c r="O28" s="6">
        <f>IF(Data!P28 = 'Point Intercept 2'!O28, Data!P28, "ERROR")</f>
        <v>0</v>
      </c>
    </row>
    <row r="29" spans="1:15" x14ac:dyDescent="0.25">
      <c r="A29" s="6">
        <f>IF(Data!A29 = 'Point Intercept 2'!A29, Data!A29, "ERROR")</f>
        <v>1</v>
      </c>
      <c r="B29" s="6">
        <f>IF(Data!B29 = 'Point Intercept 2'!B29, Data!B29, "ERROR")</f>
        <v>2025</v>
      </c>
      <c r="C29" s="7">
        <f>IF(Data!C29 = 'Point Intercept 2'!C29, Data!C29, "ERROR")</f>
        <v>45764</v>
      </c>
      <c r="D29" s="6" t="str">
        <f>IF(Data!D29 = 'Point Intercept 2'!D29, Data!D29, "ERROR")</f>
        <v>TL, CG, BN</v>
      </c>
      <c r="E29" s="6" t="str">
        <f>IF(Data!E29 = 'Point Intercept 2'!E29, Data!E29, "ERROR")</f>
        <v>VB</v>
      </c>
      <c r="F29" s="6">
        <f>IF(Data!F29 = 'Point Intercept 2'!F29, Data!F29, "ERROR")</f>
        <v>1</v>
      </c>
      <c r="G29" s="6" t="str">
        <f>IF(Data!G29 = 'Point Intercept 2'!G29, Data!G29, "ERROR")</f>
        <v>LS</v>
      </c>
      <c r="H29" s="6">
        <f>IF(Data!I29 = 'Point Intercept 2'!I29, Data!I29, "ERROR")</f>
        <v>8</v>
      </c>
      <c r="I29" s="6">
        <f>IF(Data!H29 = 'Point Intercept 2'!H29, Data!H29, "ERROR")</f>
        <v>1</v>
      </c>
      <c r="J29" s="6">
        <f>IF(Data!J29 = 'Point Intercept 2'!J29, Data!J29, "ERROR")</f>
        <v>3.5</v>
      </c>
      <c r="K29" s="6" t="str">
        <f>IF(Data!K29 = 'Point Intercept 2'!K29, Data!K29, "ERROR")</f>
        <v>EROMOS</v>
      </c>
      <c r="L29" s="6" t="str">
        <f>IF(Data!L29 = 'Point Intercept 2'!L29, Data!L29, "ERROR")</f>
        <v>Erodium moschatum</v>
      </c>
      <c r="M29" s="6">
        <f>IF(Data!N29 = 'Point Intercept 2'!M29, Data!N29, "ERROR")</f>
        <v>0</v>
      </c>
      <c r="N29" s="6">
        <f>IF(Data!O29 = 'Point Intercept 2'!N29, Data!O29, "ERROR")</f>
        <v>0</v>
      </c>
      <c r="O29" s="6">
        <f>IF(Data!P29 = 'Point Intercept 2'!O29, Data!P29, "ERROR")</f>
        <v>0</v>
      </c>
    </row>
    <row r="30" spans="1:15" x14ac:dyDescent="0.25">
      <c r="A30" s="6">
        <f>IF(Data!A30 = 'Point Intercept 2'!A30, Data!A30, "ERROR")</f>
        <v>1</v>
      </c>
      <c r="B30" s="6">
        <f>IF(Data!B30 = 'Point Intercept 2'!B30, Data!B30, "ERROR")</f>
        <v>2025</v>
      </c>
      <c r="C30" s="7">
        <f>IF(Data!C30 = 'Point Intercept 2'!C30, Data!C30, "ERROR")</f>
        <v>45764</v>
      </c>
      <c r="D30" s="6" t="str">
        <f>IF(Data!D30 = 'Point Intercept 2'!D30, Data!D30, "ERROR")</f>
        <v>TL, CG, BN</v>
      </c>
      <c r="E30" s="6" t="str">
        <f>IF(Data!E30 = 'Point Intercept 2'!E30, Data!E30, "ERROR")</f>
        <v>VB</v>
      </c>
      <c r="F30" s="6">
        <f>IF(Data!F30 = 'Point Intercept 2'!F30, Data!F30, "ERROR")</f>
        <v>1</v>
      </c>
      <c r="G30" s="6" t="str">
        <f>IF(Data!G30 = 'Point Intercept 2'!G30, Data!G30, "ERROR")</f>
        <v>LS</v>
      </c>
      <c r="H30" s="6">
        <f>IF(Data!I30 = 'Point Intercept 2'!I30, Data!I30, "ERROR")</f>
        <v>9</v>
      </c>
      <c r="I30" s="6">
        <f>IF(Data!H30 = 'Point Intercept 2'!H30, Data!H30, "ERROR")</f>
        <v>1</v>
      </c>
      <c r="J30" s="6">
        <f>IF(Data!J30 = 'Point Intercept 2'!J30, Data!J30, "ERROR")</f>
        <v>4</v>
      </c>
      <c r="K30" s="6" t="str">
        <f>IF(Data!K30 = 'Point Intercept 2'!K30, Data!K30, "ERROR")</f>
        <v>TH</v>
      </c>
      <c r="L30" s="6" t="str">
        <f>IF(Data!L30 = 'Point Intercept 2'!L30, Data!L30, "ERROR")</f>
        <v>Thatch</v>
      </c>
      <c r="M30" s="6">
        <f>IF(Data!N30 = 'Point Intercept 2'!M30, Data!N30, "ERROR")</f>
        <v>0</v>
      </c>
      <c r="N30" s="6">
        <f>IF(Data!O30 = 'Point Intercept 2'!N30, Data!O30, "ERROR")</f>
        <v>0</v>
      </c>
      <c r="O30" s="6">
        <f>IF(Data!P30 = 'Point Intercept 2'!O30, Data!P30, "ERROR")</f>
        <v>0</v>
      </c>
    </row>
    <row r="31" spans="1:15" x14ac:dyDescent="0.25">
      <c r="A31" s="6">
        <f>IF(Data!A31 = 'Point Intercept 2'!A31, Data!A31, "ERROR")</f>
        <v>1</v>
      </c>
      <c r="B31" s="6">
        <f>IF(Data!B31 = 'Point Intercept 2'!B31, Data!B31, "ERROR")</f>
        <v>2025</v>
      </c>
      <c r="C31" s="7">
        <f>IF(Data!C31 = 'Point Intercept 2'!C31, Data!C31, "ERROR")</f>
        <v>45764</v>
      </c>
      <c r="D31" s="6" t="str">
        <f>IF(Data!D31 = 'Point Intercept 2'!D31, Data!D31, "ERROR")</f>
        <v>TL, CG, BN</v>
      </c>
      <c r="E31" s="6" t="str">
        <f>IF(Data!E31 = 'Point Intercept 2'!E31, Data!E31, "ERROR")</f>
        <v>VB</v>
      </c>
      <c r="F31" s="6">
        <f>IF(Data!F31 = 'Point Intercept 2'!F31, Data!F31, "ERROR")</f>
        <v>1</v>
      </c>
      <c r="G31" s="6" t="str">
        <f>IF(Data!G31 = 'Point Intercept 2'!G31, Data!G31, "ERROR")</f>
        <v>LS</v>
      </c>
      <c r="H31" s="6">
        <f>IF(Data!I31 = 'Point Intercept 2'!I31, Data!I31, "ERROR")</f>
        <v>9</v>
      </c>
      <c r="I31" s="6">
        <f>IF(Data!H31 = 'Point Intercept 2'!H31, Data!H31, "ERROR")</f>
        <v>1</v>
      </c>
      <c r="J31" s="6">
        <f>IF(Data!J31 = 'Point Intercept 2'!J31, Data!J31, "ERROR")</f>
        <v>4</v>
      </c>
      <c r="K31" s="6" t="str">
        <f>IF(Data!K31 = 'Point Intercept 2'!K31, Data!K31, "ERROR")</f>
        <v>EROMOS</v>
      </c>
      <c r="L31" s="6" t="str">
        <f>IF(Data!L31 = 'Point Intercept 2'!L31, Data!L31, "ERROR")</f>
        <v>Erodium moschatum</v>
      </c>
      <c r="M31" s="6">
        <f>IF(Data!N31 = 'Point Intercept 2'!M31, Data!N31, "ERROR")</f>
        <v>0</v>
      </c>
      <c r="N31" s="6">
        <f>IF(Data!O31 = 'Point Intercept 2'!N31, Data!O31, "ERROR")</f>
        <v>0</v>
      </c>
      <c r="O31" s="6">
        <f>IF(Data!P31 = 'Point Intercept 2'!O31, Data!P31, "ERROR")</f>
        <v>0</v>
      </c>
    </row>
    <row r="32" spans="1:15" x14ac:dyDescent="0.25">
      <c r="A32" s="6">
        <f>IF(Data!A32 = 'Point Intercept 2'!A32, Data!A32, "ERROR")</f>
        <v>1</v>
      </c>
      <c r="B32" s="6">
        <f>IF(Data!B32 = 'Point Intercept 2'!B32, Data!B32, "ERROR")</f>
        <v>2025</v>
      </c>
      <c r="C32" s="7">
        <f>IF(Data!C32 = 'Point Intercept 2'!C32, Data!C32, "ERROR")</f>
        <v>45764</v>
      </c>
      <c r="D32" s="6" t="str">
        <f>IF(Data!D32 = 'Point Intercept 2'!D32, Data!D32, "ERROR")</f>
        <v>TL, CG, BN</v>
      </c>
      <c r="E32" s="6" t="str">
        <f>IF(Data!E32 = 'Point Intercept 2'!E32, Data!E32, "ERROR")</f>
        <v>VB</v>
      </c>
      <c r="F32" s="6">
        <f>IF(Data!F32 = 'Point Intercept 2'!F32, Data!F32, "ERROR")</f>
        <v>1</v>
      </c>
      <c r="G32" s="6" t="str">
        <f>IF(Data!G32 = 'Point Intercept 2'!G32, Data!G32, "ERROR")</f>
        <v>LS</v>
      </c>
      <c r="H32" s="6">
        <f>IF(Data!I32 = 'Point Intercept 2'!I32, Data!I32, "ERROR")</f>
        <v>9</v>
      </c>
      <c r="I32" s="6">
        <f>IF(Data!H32 = 'Point Intercept 2'!H32, Data!H32, "ERROR")</f>
        <v>1</v>
      </c>
      <c r="J32" s="6">
        <f>IF(Data!J32 = 'Point Intercept 2'!J32, Data!J32, "ERROR")</f>
        <v>4</v>
      </c>
      <c r="K32" s="6" t="str">
        <f>IF(Data!K32 = 'Point Intercept 2'!K32, Data!K32, "ERROR")</f>
        <v>SONOLE</v>
      </c>
      <c r="L32" s="6" t="str">
        <f>IF(Data!L32 = 'Point Intercept 2'!L32, Data!L32, "ERROR")</f>
        <v>Sonchus oleraceus</v>
      </c>
      <c r="M32" s="6">
        <f>IF(Data!N32 = 'Point Intercept 2'!M32, Data!N32, "ERROR")</f>
        <v>0</v>
      </c>
      <c r="N32" s="6">
        <f>IF(Data!O32 = 'Point Intercept 2'!N32, Data!O32, "ERROR")</f>
        <v>0</v>
      </c>
      <c r="O32" s="6">
        <f>IF(Data!P32 = 'Point Intercept 2'!O32, Data!P32, "ERROR")</f>
        <v>0</v>
      </c>
    </row>
    <row r="33" spans="1:15" x14ac:dyDescent="0.25">
      <c r="A33" s="6">
        <f>IF(Data!A33 = 'Point Intercept 2'!A33, Data!A33, "ERROR")</f>
        <v>1</v>
      </c>
      <c r="B33" s="6">
        <f>IF(Data!B33 = 'Point Intercept 2'!B33, Data!B33, "ERROR")</f>
        <v>2025</v>
      </c>
      <c r="C33" s="7">
        <f>IF(Data!C33 = 'Point Intercept 2'!C33, Data!C33, "ERROR")</f>
        <v>45764</v>
      </c>
      <c r="D33" s="6" t="str">
        <f>IF(Data!D33 = 'Point Intercept 2'!D33, Data!D33, "ERROR")</f>
        <v>TL, CG, BN</v>
      </c>
      <c r="E33" s="6" t="str">
        <f>IF(Data!E33 = 'Point Intercept 2'!E33, Data!E33, "ERROR")</f>
        <v>VB</v>
      </c>
      <c r="F33" s="6">
        <f>IF(Data!F33 = 'Point Intercept 2'!F33, Data!F33, "ERROR")</f>
        <v>1</v>
      </c>
      <c r="G33" s="6" t="str">
        <f>IF(Data!G33 = 'Point Intercept 2'!G33, Data!G33, "ERROR")</f>
        <v>LS</v>
      </c>
      <c r="H33" s="6">
        <f>IF(Data!I33 = 'Point Intercept 2'!I33, Data!I33, "ERROR")</f>
        <v>9</v>
      </c>
      <c r="I33" s="6">
        <f>IF(Data!H33 = 'Point Intercept 2'!H33, Data!H33, "ERROR")</f>
        <v>1</v>
      </c>
      <c r="J33" s="6">
        <f>IF(Data!J33 = 'Point Intercept 2'!J33, Data!J33, "ERROR")</f>
        <v>4</v>
      </c>
      <c r="K33" s="6" t="str">
        <f>IF(Data!K33 = 'Point Intercept 2'!K33, Data!K33, "ERROR")</f>
        <v>STEDIE</v>
      </c>
      <c r="L33" s="6" t="str">
        <f>IF(Data!L33 = 'Point Intercept 2'!L33, Data!L33, "ERROR")</f>
        <v>Stephanomeria diegensis</v>
      </c>
      <c r="M33" s="6">
        <f>IF(Data!N33 = 'Point Intercept 2'!M33, Data!N33, "ERROR")</f>
        <v>0</v>
      </c>
      <c r="N33" s="6">
        <f>IF(Data!O33 = 'Point Intercept 2'!N33, Data!O33, "ERROR")</f>
        <v>0</v>
      </c>
      <c r="O33" s="6">
        <f>IF(Data!P33 = 'Point Intercept 2'!O33, Data!P33, "ERROR")</f>
        <v>0</v>
      </c>
    </row>
    <row r="34" spans="1:15" x14ac:dyDescent="0.25">
      <c r="A34" s="6">
        <f>IF(Data!A34 = 'Point Intercept 2'!A34, Data!A34, "ERROR")</f>
        <v>1</v>
      </c>
      <c r="B34" s="6">
        <f>IF(Data!B34 = 'Point Intercept 2'!B34, Data!B34, "ERROR")</f>
        <v>2025</v>
      </c>
      <c r="C34" s="7">
        <f>IF(Data!C34 = 'Point Intercept 2'!C34, Data!C34, "ERROR")</f>
        <v>45764</v>
      </c>
      <c r="D34" s="6" t="str">
        <f>IF(Data!D34 = 'Point Intercept 2'!D34, Data!D34, "ERROR")</f>
        <v>TL, CG, BN</v>
      </c>
      <c r="E34" s="6" t="str">
        <f>IF(Data!E34 = 'Point Intercept 2'!E34, Data!E34, "ERROR")</f>
        <v>VB</v>
      </c>
      <c r="F34" s="6">
        <f>IF(Data!F34 = 'Point Intercept 2'!F34, Data!F34, "ERROR")</f>
        <v>1</v>
      </c>
      <c r="G34" s="6" t="str">
        <f>IF(Data!G34 = 'Point Intercept 2'!G34, Data!G34, "ERROR")</f>
        <v>LS</v>
      </c>
      <c r="H34" s="6">
        <f>IF(Data!I34 = 'Point Intercept 2'!I34, Data!I34, "ERROR")</f>
        <v>10</v>
      </c>
      <c r="I34" s="6">
        <f>IF(Data!H34 = 'Point Intercept 2'!H34, Data!H34, "ERROR")</f>
        <v>1</v>
      </c>
      <c r="J34" s="6">
        <f>IF(Data!J34 = 'Point Intercept 2'!J34, Data!J34, "ERROR")</f>
        <v>4.5</v>
      </c>
      <c r="K34" s="6" t="str">
        <f>IF(Data!K34 = 'Point Intercept 2'!K34, Data!K34, "ERROR")</f>
        <v>TH</v>
      </c>
      <c r="L34" s="6" t="str">
        <f>IF(Data!L34 = 'Point Intercept 2'!L34, Data!L34, "ERROR")</f>
        <v>Thatch</v>
      </c>
      <c r="M34" s="6">
        <f>IF(Data!N34 = 'Point Intercept 2'!M34, Data!N34, "ERROR")</f>
        <v>0</v>
      </c>
      <c r="N34" s="6">
        <f>IF(Data!O34 = 'Point Intercept 2'!N34, Data!O34, "ERROR")</f>
        <v>0</v>
      </c>
      <c r="O34" s="6">
        <f>IF(Data!P34 = 'Point Intercept 2'!O34, Data!P34, "ERROR")</f>
        <v>0</v>
      </c>
    </row>
    <row r="35" spans="1:15" x14ac:dyDescent="0.25">
      <c r="A35" s="6">
        <f>IF(Data!A35 = 'Point Intercept 2'!A35, Data!A35, "ERROR")</f>
        <v>1</v>
      </c>
      <c r="B35" s="6">
        <f>IF(Data!B35 = 'Point Intercept 2'!B35, Data!B35, "ERROR")</f>
        <v>2025</v>
      </c>
      <c r="C35" s="7">
        <f>IF(Data!C35 = 'Point Intercept 2'!C35, Data!C35, "ERROR")</f>
        <v>45764</v>
      </c>
      <c r="D35" s="6" t="str">
        <f>IF(Data!D35 = 'Point Intercept 2'!D35, Data!D35, "ERROR")</f>
        <v>TL, CG, BN</v>
      </c>
      <c r="E35" s="6" t="str">
        <f>IF(Data!E35 = 'Point Intercept 2'!E35, Data!E35, "ERROR")</f>
        <v>VB</v>
      </c>
      <c r="F35" s="6">
        <f>IF(Data!F35 = 'Point Intercept 2'!F35, Data!F35, "ERROR")</f>
        <v>1</v>
      </c>
      <c r="G35" s="6" t="str">
        <f>IF(Data!G35 = 'Point Intercept 2'!G35, Data!G35, "ERROR")</f>
        <v>LS</v>
      </c>
      <c r="H35" s="6">
        <f>IF(Data!I35 = 'Point Intercept 2'!I35, Data!I35, "ERROR")</f>
        <v>10</v>
      </c>
      <c r="I35" s="6">
        <f>IF(Data!H35 = 'Point Intercept 2'!H35, Data!H35, "ERROR")</f>
        <v>1</v>
      </c>
      <c r="J35" s="6">
        <f>IF(Data!J35 = 'Point Intercept 2'!J35, Data!J35, "ERROR")</f>
        <v>4.5</v>
      </c>
      <c r="K35" s="6" t="str">
        <f>IF(Data!K35 = 'Point Intercept 2'!K35, Data!K35, "ERROR")</f>
        <v>BROMAD</v>
      </c>
      <c r="L35" s="6" t="str">
        <f>IF(Data!L35 = 'Point Intercept 2'!L35, Data!L35, "ERROR")</f>
        <v>Bromus madritensis</v>
      </c>
      <c r="M35" s="6">
        <f>IF(Data!N35 = 'Point Intercept 2'!M35, Data!N35, "ERROR")</f>
        <v>0</v>
      </c>
      <c r="N35" s="6">
        <f>IF(Data!O35 = 'Point Intercept 2'!N35, Data!O35, "ERROR")</f>
        <v>0</v>
      </c>
      <c r="O35" s="6">
        <f>IF(Data!P35 = 'Point Intercept 2'!O35, Data!P35, "ERROR")</f>
        <v>0</v>
      </c>
    </row>
    <row r="36" spans="1:15" x14ac:dyDescent="0.25">
      <c r="A36" s="6">
        <f>IF(Data!A36 = 'Point Intercept 2'!A36, Data!A36, "ERROR")</f>
        <v>1</v>
      </c>
      <c r="B36" s="6">
        <f>IF(Data!B36 = 'Point Intercept 2'!B36, Data!B36, "ERROR")</f>
        <v>2025</v>
      </c>
      <c r="C36" s="7">
        <f>IF(Data!C36 = 'Point Intercept 2'!C36, Data!C36, "ERROR")</f>
        <v>45764</v>
      </c>
      <c r="D36" s="6" t="str">
        <f>IF(Data!D36 = 'Point Intercept 2'!D36, Data!D36, "ERROR")</f>
        <v>TL, CG, BN</v>
      </c>
      <c r="E36" s="6" t="str">
        <f>IF(Data!E36 = 'Point Intercept 2'!E36, Data!E36, "ERROR")</f>
        <v>VB</v>
      </c>
      <c r="F36" s="6">
        <f>IF(Data!F36 = 'Point Intercept 2'!F36, Data!F36, "ERROR")</f>
        <v>1</v>
      </c>
      <c r="G36" s="6" t="str">
        <f>IF(Data!G36 = 'Point Intercept 2'!G36, Data!G36, "ERROR")</f>
        <v>LS</v>
      </c>
      <c r="H36" s="6">
        <f>IF(Data!I36 = 'Point Intercept 2'!I36, Data!I36, "ERROR")</f>
        <v>10</v>
      </c>
      <c r="I36" s="6">
        <f>IF(Data!H36 = 'Point Intercept 2'!H36, Data!H36, "ERROR")</f>
        <v>1</v>
      </c>
      <c r="J36" s="6">
        <f>IF(Data!J36 = 'Point Intercept 2'!J36, Data!J36, "ERROR")</f>
        <v>4.5</v>
      </c>
      <c r="K36" s="6" t="str">
        <f>IF(Data!K36 = 'Point Intercept 2'!K36, Data!K36, "ERROR")</f>
        <v>EROMOS</v>
      </c>
      <c r="L36" s="6" t="str">
        <f>IF(Data!L36 = 'Point Intercept 2'!L36, Data!L36, "ERROR")</f>
        <v>Erodium moschatum</v>
      </c>
      <c r="M36" s="6">
        <f>IF(Data!N36 = 'Point Intercept 2'!M36, Data!N36, "ERROR")</f>
        <v>0</v>
      </c>
      <c r="N36" s="6">
        <f>IF(Data!O36 = 'Point Intercept 2'!N36, Data!O36, "ERROR")</f>
        <v>0</v>
      </c>
      <c r="O36" s="6">
        <f>IF(Data!P36 = 'Point Intercept 2'!O36, Data!P36, "ERROR")</f>
        <v>0</v>
      </c>
    </row>
    <row r="37" spans="1:15" x14ac:dyDescent="0.25">
      <c r="A37" s="6">
        <f>IF(Data!A37 = 'Point Intercept 2'!A37, Data!A37, "ERROR")</f>
        <v>1</v>
      </c>
      <c r="B37" s="6">
        <f>IF(Data!B37 = 'Point Intercept 2'!B37, Data!B37, "ERROR")</f>
        <v>2025</v>
      </c>
      <c r="C37" s="7">
        <f>IF(Data!C37 = 'Point Intercept 2'!C37, Data!C37, "ERROR")</f>
        <v>45764</v>
      </c>
      <c r="D37" s="6" t="str">
        <f>IF(Data!D37 = 'Point Intercept 2'!D37, Data!D37, "ERROR")</f>
        <v>TL, CG, BN</v>
      </c>
      <c r="E37" s="6" t="str">
        <f>IF(Data!E37 = 'Point Intercept 2'!E37, Data!E37, "ERROR")</f>
        <v>VB</v>
      </c>
      <c r="F37" s="6">
        <f>IF(Data!F37 = 'Point Intercept 2'!F37, Data!F37, "ERROR")</f>
        <v>1</v>
      </c>
      <c r="G37" s="6" t="str">
        <f>IF(Data!G37 = 'Point Intercept 2'!G37, Data!G37, "ERROR")</f>
        <v>LS</v>
      </c>
      <c r="H37" s="6">
        <f>IF(Data!I37 = 'Point Intercept 2'!I37, Data!I37, "ERROR")</f>
        <v>11</v>
      </c>
      <c r="I37" s="6">
        <f>IF(Data!H37 = 'Point Intercept 2'!H37, Data!H37, "ERROR")</f>
        <v>1</v>
      </c>
      <c r="J37" s="6">
        <f>IF(Data!J37 = 'Point Intercept 2'!J37, Data!J37, "ERROR")</f>
        <v>5</v>
      </c>
      <c r="K37" s="6" t="str">
        <f>IF(Data!K37 = 'Point Intercept 2'!K37, Data!K37, "ERROR")</f>
        <v>TH</v>
      </c>
      <c r="L37" s="6" t="str">
        <f>IF(Data!L37 = 'Point Intercept 2'!L37, Data!L37, "ERROR")</f>
        <v>Thatch</v>
      </c>
      <c r="M37" s="6">
        <f>IF(Data!N37 = 'Point Intercept 2'!M37, Data!N37, "ERROR")</f>
        <v>0</v>
      </c>
      <c r="N37" s="6">
        <f>IF(Data!O37 = 'Point Intercept 2'!N37, Data!O37, "ERROR")</f>
        <v>0</v>
      </c>
      <c r="O37" s="6">
        <f>IF(Data!P37 = 'Point Intercept 2'!O37, Data!P37, "ERROR")</f>
        <v>0</v>
      </c>
    </row>
    <row r="38" spans="1:15" x14ac:dyDescent="0.25">
      <c r="A38" s="6">
        <f>IF(Data!A38 = 'Point Intercept 2'!A38, Data!A38, "ERROR")</f>
        <v>1</v>
      </c>
      <c r="B38" s="6">
        <f>IF(Data!B38 = 'Point Intercept 2'!B38, Data!B38, "ERROR")</f>
        <v>2025</v>
      </c>
      <c r="C38" s="7">
        <f>IF(Data!C38 = 'Point Intercept 2'!C38, Data!C38, "ERROR")</f>
        <v>45764</v>
      </c>
      <c r="D38" s="6" t="str">
        <f>IF(Data!D38 = 'Point Intercept 2'!D38, Data!D38, "ERROR")</f>
        <v>TL, CG, BN</v>
      </c>
      <c r="E38" s="6" t="str">
        <f>IF(Data!E38 = 'Point Intercept 2'!E38, Data!E38, "ERROR")</f>
        <v>VB</v>
      </c>
      <c r="F38" s="6">
        <f>IF(Data!F38 = 'Point Intercept 2'!F38, Data!F38, "ERROR")</f>
        <v>1</v>
      </c>
      <c r="G38" s="6" t="str">
        <f>IF(Data!G38 = 'Point Intercept 2'!G38, Data!G38, "ERROR")</f>
        <v>LS</v>
      </c>
      <c r="H38" s="6">
        <f>IF(Data!I38 = 'Point Intercept 2'!I38, Data!I38, "ERROR")</f>
        <v>11</v>
      </c>
      <c r="I38" s="6">
        <f>IF(Data!H38 = 'Point Intercept 2'!H38, Data!H38, "ERROR")</f>
        <v>1</v>
      </c>
      <c r="J38" s="6">
        <f>IF(Data!J38 = 'Point Intercept 2'!J38, Data!J38, "ERROR")</f>
        <v>5</v>
      </c>
      <c r="K38" s="6" t="str">
        <f>IF(Data!K38 = 'Point Intercept 2'!K38, Data!K38, "ERROR")</f>
        <v>DEIFAS</v>
      </c>
      <c r="L38" s="6" t="str">
        <f>IF(Data!L38 = 'Point Intercept 2'!L38, Data!L38, "ERROR")</f>
        <v>Deinandra fasciculata</v>
      </c>
      <c r="M38" s="6">
        <f>IF(Data!N38 = 'Point Intercept 2'!M38, Data!N38, "ERROR")</f>
        <v>0</v>
      </c>
      <c r="N38" s="6">
        <f>IF(Data!O38 = 'Point Intercept 2'!N38, Data!O38, "ERROR")</f>
        <v>0</v>
      </c>
      <c r="O38" s="6">
        <f>IF(Data!P38 = 'Point Intercept 2'!O38, Data!P38, "ERROR")</f>
        <v>0</v>
      </c>
    </row>
    <row r="39" spans="1:15" x14ac:dyDescent="0.25">
      <c r="A39" s="6">
        <f>IF(Data!A39 = 'Point Intercept 2'!A39, Data!A39, "ERROR")</f>
        <v>1</v>
      </c>
      <c r="B39" s="6">
        <f>IF(Data!B39 = 'Point Intercept 2'!B39, Data!B39, "ERROR")</f>
        <v>2025</v>
      </c>
      <c r="C39" s="7">
        <f>IF(Data!C39 = 'Point Intercept 2'!C39, Data!C39, "ERROR")</f>
        <v>45764</v>
      </c>
      <c r="D39" s="6" t="str">
        <f>IF(Data!D39 = 'Point Intercept 2'!D39, Data!D39, "ERROR")</f>
        <v>TL, CG, BN</v>
      </c>
      <c r="E39" s="6" t="str">
        <f>IF(Data!E39 = 'Point Intercept 2'!E39, Data!E39, "ERROR")</f>
        <v>VB</v>
      </c>
      <c r="F39" s="6">
        <f>IF(Data!F39 = 'Point Intercept 2'!F39, Data!F39, "ERROR")</f>
        <v>1</v>
      </c>
      <c r="G39" s="6" t="str">
        <f>IF(Data!G39 = 'Point Intercept 2'!G39, Data!G39, "ERROR")</f>
        <v>LS</v>
      </c>
      <c r="H39" s="6">
        <f>IF(Data!I39 = 'Point Intercept 2'!I39, Data!I39, "ERROR")</f>
        <v>11</v>
      </c>
      <c r="I39" s="6">
        <f>IF(Data!H39 = 'Point Intercept 2'!H39, Data!H39, "ERROR")</f>
        <v>1</v>
      </c>
      <c r="J39" s="6">
        <f>IF(Data!J39 = 'Point Intercept 2'!J39, Data!J39, "ERROR")</f>
        <v>5</v>
      </c>
      <c r="K39" s="6" t="str">
        <f>IF(Data!K39 = 'Point Intercept 2'!K39, Data!K39, "ERROR")</f>
        <v>SONOLE</v>
      </c>
      <c r="L39" s="6" t="str">
        <f>IF(Data!L39 = 'Point Intercept 2'!L39, Data!L39, "ERROR")</f>
        <v>Sonchus oleraceus</v>
      </c>
      <c r="M39" s="6">
        <f>IF(Data!N39 = 'Point Intercept 2'!M39, Data!N39, "ERROR")</f>
        <v>0</v>
      </c>
      <c r="N39" s="6">
        <f>IF(Data!O39 = 'Point Intercept 2'!N39, Data!O39, "ERROR")</f>
        <v>0</v>
      </c>
      <c r="O39" s="6">
        <f>IF(Data!P39 = 'Point Intercept 2'!O39, Data!P39, "ERROR")</f>
        <v>0</v>
      </c>
    </row>
    <row r="40" spans="1:15" x14ac:dyDescent="0.25">
      <c r="A40" s="6">
        <f>IF(Data!A40 = 'Point Intercept 2'!A40, Data!A40, "ERROR")</f>
        <v>1</v>
      </c>
      <c r="B40" s="6">
        <f>IF(Data!B40 = 'Point Intercept 2'!B40, Data!B40, "ERROR")</f>
        <v>2025</v>
      </c>
      <c r="C40" s="7">
        <f>IF(Data!C40 = 'Point Intercept 2'!C40, Data!C40, "ERROR")</f>
        <v>45764</v>
      </c>
      <c r="D40" s="6" t="str">
        <f>IF(Data!D40 = 'Point Intercept 2'!D40, Data!D40, "ERROR")</f>
        <v>TL, CG, BN</v>
      </c>
      <c r="E40" s="6" t="str">
        <f>IF(Data!E40 = 'Point Intercept 2'!E40, Data!E40, "ERROR")</f>
        <v>VB</v>
      </c>
      <c r="F40" s="6">
        <f>IF(Data!F40 = 'Point Intercept 2'!F40, Data!F40, "ERROR")</f>
        <v>1</v>
      </c>
      <c r="G40" s="6" t="str">
        <f>IF(Data!G40 = 'Point Intercept 2'!G40, Data!G40, "ERROR")</f>
        <v>LS</v>
      </c>
      <c r="H40" s="6">
        <f>IF(Data!I40 = 'Point Intercept 2'!I40, Data!I40, "ERROR")</f>
        <v>11</v>
      </c>
      <c r="I40" s="6">
        <f>IF(Data!H40 = 'Point Intercept 2'!H40, Data!H40, "ERROR")</f>
        <v>1</v>
      </c>
      <c r="J40" s="6">
        <f>IF(Data!J40 = 'Point Intercept 2'!J40, Data!J40, "ERROR")</f>
        <v>5</v>
      </c>
      <c r="K40" s="6" t="str">
        <f>IF(Data!K40 = 'Point Intercept 2'!K40, Data!K40, "ERROR")</f>
        <v>FESMYU</v>
      </c>
      <c r="L40" s="6" t="str">
        <f>IF(Data!L40 = 'Point Intercept 2'!L40, Data!L40, "ERROR")</f>
        <v>Festuca myuros</v>
      </c>
      <c r="M40" s="6">
        <f>IF(Data!N40 = 'Point Intercept 2'!M40, Data!N40, "ERROR")</f>
        <v>0</v>
      </c>
      <c r="N40" s="6">
        <f>IF(Data!O40 = 'Point Intercept 2'!N40, Data!O40, "ERROR")</f>
        <v>0</v>
      </c>
      <c r="O40" s="6">
        <f>IF(Data!P40 = 'Point Intercept 2'!O40, Data!P40, "ERROR")</f>
        <v>0</v>
      </c>
    </row>
    <row r="41" spans="1:15" x14ac:dyDescent="0.25">
      <c r="A41" s="6">
        <f>IF(Data!A41 = 'Point Intercept 2'!A41, Data!A41, "ERROR")</f>
        <v>1</v>
      </c>
      <c r="B41" s="6">
        <f>IF(Data!B41 = 'Point Intercept 2'!B41, Data!B41, "ERROR")</f>
        <v>2025</v>
      </c>
      <c r="C41" s="7">
        <f>IF(Data!C41 = 'Point Intercept 2'!C41, Data!C41, "ERROR")</f>
        <v>45764</v>
      </c>
      <c r="D41" s="6" t="str">
        <f>IF(Data!D41 = 'Point Intercept 2'!D41, Data!D41, "ERROR")</f>
        <v>TL, CG, BN</v>
      </c>
      <c r="E41" s="6" t="str">
        <f>IF(Data!E41 = 'Point Intercept 2'!E41, Data!E41, "ERROR")</f>
        <v>VB</v>
      </c>
      <c r="F41" s="6">
        <f>IF(Data!F41 = 'Point Intercept 2'!F41, Data!F41, "ERROR")</f>
        <v>1</v>
      </c>
      <c r="G41" s="6" t="str">
        <f>IF(Data!G41 = 'Point Intercept 2'!G41, Data!G41, "ERROR")</f>
        <v>LS</v>
      </c>
      <c r="H41" s="6">
        <f>IF(Data!I41 = 'Point Intercept 2'!I41, Data!I41, "ERROR")</f>
        <v>12</v>
      </c>
      <c r="I41" s="6">
        <f>IF(Data!H41 = 'Point Intercept 2'!H41, Data!H41, "ERROR")</f>
        <v>1</v>
      </c>
      <c r="J41" s="6">
        <f>IF(Data!J41 = 'Point Intercept 2'!J41, Data!J41, "ERROR")</f>
        <v>5.5</v>
      </c>
      <c r="K41" s="6" t="str">
        <f>IF(Data!K41 = 'Point Intercept 2'!K41, Data!K41, "ERROR")</f>
        <v>TH</v>
      </c>
      <c r="L41" s="6" t="str">
        <f>IF(Data!L41 = 'Point Intercept 2'!L41, Data!L41, "ERROR")</f>
        <v>Thatch</v>
      </c>
      <c r="M41" s="6">
        <f>IF(Data!N41 = 'Point Intercept 2'!M41, Data!N41, "ERROR")</f>
        <v>0</v>
      </c>
      <c r="N41" s="6">
        <f>IF(Data!O41 = 'Point Intercept 2'!N41, Data!O41, "ERROR")</f>
        <v>0</v>
      </c>
      <c r="O41" s="6">
        <f>IF(Data!P41 = 'Point Intercept 2'!O41, Data!P41, "ERROR")</f>
        <v>0</v>
      </c>
    </row>
    <row r="42" spans="1:15" x14ac:dyDescent="0.25">
      <c r="A42" s="6">
        <f>IF(Data!A42 = 'Point Intercept 2'!A42, Data!A42, "ERROR")</f>
        <v>1</v>
      </c>
      <c r="B42" s="6">
        <f>IF(Data!B42 = 'Point Intercept 2'!B42, Data!B42, "ERROR")</f>
        <v>2025</v>
      </c>
      <c r="C42" s="7">
        <f>IF(Data!C42 = 'Point Intercept 2'!C42, Data!C42, "ERROR")</f>
        <v>45764</v>
      </c>
      <c r="D42" s="6" t="str">
        <f>IF(Data!D42 = 'Point Intercept 2'!D42, Data!D42, "ERROR")</f>
        <v>TL, CG, BN</v>
      </c>
      <c r="E42" s="6" t="str">
        <f>IF(Data!E42 = 'Point Intercept 2'!E42, Data!E42, "ERROR")</f>
        <v>VB</v>
      </c>
      <c r="F42" s="6">
        <f>IF(Data!F42 = 'Point Intercept 2'!F42, Data!F42, "ERROR")</f>
        <v>1</v>
      </c>
      <c r="G42" s="6" t="str">
        <f>IF(Data!G42 = 'Point Intercept 2'!G42, Data!G42, "ERROR")</f>
        <v>LS</v>
      </c>
      <c r="H42" s="6">
        <f>IF(Data!I42 = 'Point Intercept 2'!I42, Data!I42, "ERROR")</f>
        <v>12</v>
      </c>
      <c r="I42" s="6">
        <f>IF(Data!H42 = 'Point Intercept 2'!H42, Data!H42, "ERROR")</f>
        <v>1</v>
      </c>
      <c r="J42" s="6">
        <f>IF(Data!J42 = 'Point Intercept 2'!J42, Data!J42, "ERROR")</f>
        <v>5.5</v>
      </c>
      <c r="K42" s="6" t="str">
        <f>IF(Data!K42 = 'Point Intercept 2'!K42, Data!K42, "ERROR")</f>
        <v>OPULIT</v>
      </c>
      <c r="L42" s="6" t="str">
        <f>IF(Data!L42 = 'Point Intercept 2'!L42, Data!L42, "ERROR")</f>
        <v>Opuntia littoralis</v>
      </c>
      <c r="M42" s="6">
        <f>IF(Data!N42 = 'Point Intercept 2'!M42, Data!N42, "ERROR")</f>
        <v>0</v>
      </c>
      <c r="N42" s="6">
        <f>IF(Data!O42 = 'Point Intercept 2'!N42, Data!O42, "ERROR")</f>
        <v>0</v>
      </c>
      <c r="O42" s="6">
        <f>IF(Data!P42 = 'Point Intercept 2'!O42, Data!P42, "ERROR")</f>
        <v>0</v>
      </c>
    </row>
    <row r="43" spans="1:15" x14ac:dyDescent="0.25">
      <c r="A43" s="6">
        <f>IF(Data!A43 = 'Point Intercept 2'!A43, Data!A43, "ERROR")</f>
        <v>1</v>
      </c>
      <c r="B43" s="6">
        <f>IF(Data!B43 = 'Point Intercept 2'!B43, Data!B43, "ERROR")</f>
        <v>2025</v>
      </c>
      <c r="C43" s="7">
        <f>IF(Data!C43 = 'Point Intercept 2'!C43, Data!C43, "ERROR")</f>
        <v>45764</v>
      </c>
      <c r="D43" s="6" t="str">
        <f>IF(Data!D43 = 'Point Intercept 2'!D43, Data!D43, "ERROR")</f>
        <v>TL, CG, BN</v>
      </c>
      <c r="E43" s="6" t="str">
        <f>IF(Data!E43 = 'Point Intercept 2'!E43, Data!E43, "ERROR")</f>
        <v>VB</v>
      </c>
      <c r="F43" s="6">
        <f>IF(Data!F43 = 'Point Intercept 2'!F43, Data!F43, "ERROR")</f>
        <v>1</v>
      </c>
      <c r="G43" s="6" t="str">
        <f>IF(Data!G43 = 'Point Intercept 2'!G43, Data!G43, "ERROR")</f>
        <v>LS</v>
      </c>
      <c r="H43" s="6">
        <f>IF(Data!I43 = 'Point Intercept 2'!I43, Data!I43, "ERROR")</f>
        <v>12</v>
      </c>
      <c r="I43" s="6">
        <f>IF(Data!H43 = 'Point Intercept 2'!H43, Data!H43, "ERROR")</f>
        <v>1</v>
      </c>
      <c r="J43" s="6">
        <f>IF(Data!J43 = 'Point Intercept 2'!J43, Data!J43, "ERROR")</f>
        <v>5.5</v>
      </c>
      <c r="K43" s="6" t="str">
        <f>IF(Data!K43 = 'Point Intercept 2'!K43, Data!K43, "ERROR")</f>
        <v>EROMOS</v>
      </c>
      <c r="L43" s="6" t="str">
        <f>IF(Data!L43 = 'Point Intercept 2'!L43, Data!L43, "ERROR")</f>
        <v>Erodium moschatum</v>
      </c>
      <c r="M43" s="6">
        <f>IF(Data!N43 = 'Point Intercept 2'!M43, Data!N43, "ERROR")</f>
        <v>0</v>
      </c>
      <c r="N43" s="6">
        <f>IF(Data!O43 = 'Point Intercept 2'!N43, Data!O43, "ERROR")</f>
        <v>0</v>
      </c>
      <c r="O43" s="6">
        <f>IF(Data!P43 = 'Point Intercept 2'!O43, Data!P43, "ERROR")</f>
        <v>0</v>
      </c>
    </row>
    <row r="44" spans="1:15" x14ac:dyDescent="0.25">
      <c r="A44" s="6">
        <f>IF(Data!A44 = 'Point Intercept 2'!A44, Data!A44, "ERROR")</f>
        <v>1</v>
      </c>
      <c r="B44" s="6">
        <f>IF(Data!B44 = 'Point Intercept 2'!B44, Data!B44, "ERROR")</f>
        <v>2025</v>
      </c>
      <c r="C44" s="7">
        <f>IF(Data!C44 = 'Point Intercept 2'!C44, Data!C44, "ERROR")</f>
        <v>45764</v>
      </c>
      <c r="D44" s="6" t="str">
        <f>IF(Data!D44 = 'Point Intercept 2'!D44, Data!D44, "ERROR")</f>
        <v>TL, CG, BN</v>
      </c>
      <c r="E44" s="6" t="str">
        <f>IF(Data!E44 = 'Point Intercept 2'!E44, Data!E44, "ERROR")</f>
        <v>VB</v>
      </c>
      <c r="F44" s="6">
        <f>IF(Data!F44 = 'Point Intercept 2'!F44, Data!F44, "ERROR")</f>
        <v>1</v>
      </c>
      <c r="G44" s="6" t="str">
        <f>IF(Data!G44 = 'Point Intercept 2'!G44, Data!G44, "ERROR")</f>
        <v>LS</v>
      </c>
      <c r="H44" s="6">
        <f>IF(Data!I44 = 'Point Intercept 2'!I44, Data!I44, "ERROR")</f>
        <v>12</v>
      </c>
      <c r="I44" s="6">
        <f>IF(Data!H44 = 'Point Intercept 2'!H44, Data!H44, "ERROR")</f>
        <v>1</v>
      </c>
      <c r="J44" s="6">
        <f>IF(Data!J44 = 'Point Intercept 2'!J44, Data!J44, "ERROR")</f>
        <v>5.5</v>
      </c>
      <c r="K44" s="6" t="str">
        <f>IF(Data!K44 = 'Point Intercept 2'!K44, Data!K44, "ERROR")</f>
        <v>SONOLE</v>
      </c>
      <c r="L44" s="6" t="str">
        <f>IF(Data!L44 = 'Point Intercept 2'!L44, Data!L44, "ERROR")</f>
        <v>Sonchus oleraceus</v>
      </c>
      <c r="M44" s="6">
        <f>IF(Data!N44 = 'Point Intercept 2'!M44, Data!N44, "ERROR")</f>
        <v>0</v>
      </c>
      <c r="N44" s="6">
        <f>IF(Data!O44 = 'Point Intercept 2'!N44, Data!O44, "ERROR")</f>
        <v>0</v>
      </c>
      <c r="O44" s="6">
        <f>IF(Data!P44 = 'Point Intercept 2'!O44, Data!P44, "ERROR")</f>
        <v>0</v>
      </c>
    </row>
    <row r="45" spans="1:15" x14ac:dyDescent="0.25">
      <c r="A45" s="6">
        <f>IF(Data!A45 = 'Point Intercept 2'!A45, Data!A45, "ERROR")</f>
        <v>1</v>
      </c>
      <c r="B45" s="6">
        <f>IF(Data!B45 = 'Point Intercept 2'!B45, Data!B45, "ERROR")</f>
        <v>2025</v>
      </c>
      <c r="C45" s="7">
        <f>IF(Data!C45 = 'Point Intercept 2'!C45, Data!C45, "ERROR")</f>
        <v>45764</v>
      </c>
      <c r="D45" s="6" t="str">
        <f>IF(Data!D45 = 'Point Intercept 2'!D45, Data!D45, "ERROR")</f>
        <v>TL, CG, BN</v>
      </c>
      <c r="E45" s="6" t="str">
        <f>IF(Data!E45 = 'Point Intercept 2'!E45, Data!E45, "ERROR")</f>
        <v>VB</v>
      </c>
      <c r="F45" s="6">
        <f>IF(Data!F45 = 'Point Intercept 2'!F45, Data!F45, "ERROR")</f>
        <v>1</v>
      </c>
      <c r="G45" s="6" t="str">
        <f>IF(Data!G45 = 'Point Intercept 2'!G45, Data!G45, "ERROR")</f>
        <v>LS</v>
      </c>
      <c r="H45" s="6">
        <f>IF(Data!I45 = 'Point Intercept 2'!I45, Data!I45, "ERROR")</f>
        <v>13</v>
      </c>
      <c r="I45" s="6">
        <f>IF(Data!H45 = 'Point Intercept 2'!H45, Data!H45, "ERROR")</f>
        <v>1</v>
      </c>
      <c r="J45" s="6">
        <f>IF(Data!J45 = 'Point Intercept 2'!J45, Data!J45, "ERROR")</f>
        <v>6.5</v>
      </c>
      <c r="K45" s="6" t="str">
        <f>IF(Data!K45 = 'Point Intercept 2'!K45, Data!K45, "ERROR")</f>
        <v>L</v>
      </c>
      <c r="L45" s="6" t="str">
        <f>IF(Data!L45 = 'Point Intercept 2'!L45, Data!L45, "ERROR")</f>
        <v>Litter</v>
      </c>
      <c r="M45" s="6">
        <f>IF(Data!N45 = 'Point Intercept 2'!M45, Data!N45, "ERROR")</f>
        <v>0</v>
      </c>
      <c r="N45" s="6">
        <f>IF(Data!O45 = 'Point Intercept 2'!N45, Data!O45, "ERROR")</f>
        <v>0</v>
      </c>
      <c r="O45" s="6">
        <f>IF(Data!P45 = 'Point Intercept 2'!O45, Data!P45, "ERROR")</f>
        <v>0</v>
      </c>
    </row>
    <row r="46" spans="1:15" x14ac:dyDescent="0.25">
      <c r="A46" s="6">
        <f>IF(Data!A46 = 'Point Intercept 2'!A46, Data!A46, "ERROR")</f>
        <v>1</v>
      </c>
      <c r="B46" s="6">
        <f>IF(Data!B46 = 'Point Intercept 2'!B46, Data!B46, "ERROR")</f>
        <v>2025</v>
      </c>
      <c r="C46" s="7">
        <f>IF(Data!C46 = 'Point Intercept 2'!C46, Data!C46, "ERROR")</f>
        <v>45764</v>
      </c>
      <c r="D46" s="6" t="str">
        <f>IF(Data!D46 = 'Point Intercept 2'!D46, Data!D46, "ERROR")</f>
        <v>TL, CG, BN</v>
      </c>
      <c r="E46" s="6" t="str">
        <f>IF(Data!E46 = 'Point Intercept 2'!E46, Data!E46, "ERROR")</f>
        <v>VB</v>
      </c>
      <c r="F46" s="6">
        <f>IF(Data!F46 = 'Point Intercept 2'!F46, Data!F46, "ERROR")</f>
        <v>1</v>
      </c>
      <c r="G46" s="6" t="str">
        <f>IF(Data!G46 = 'Point Intercept 2'!G46, Data!G46, "ERROR")</f>
        <v>LS</v>
      </c>
      <c r="H46" s="6">
        <f>IF(Data!I46 = 'Point Intercept 2'!I46, Data!I46, "ERROR")</f>
        <v>13</v>
      </c>
      <c r="I46" s="6">
        <f>IF(Data!H46 = 'Point Intercept 2'!H46, Data!H46, "ERROR")</f>
        <v>1</v>
      </c>
      <c r="J46" s="6">
        <f>IF(Data!J46 = 'Point Intercept 2'!J46, Data!J46, "ERROR")</f>
        <v>6.5</v>
      </c>
      <c r="K46" s="6" t="str">
        <f>IF(Data!K46 = 'Point Intercept 2'!K46, Data!K46, "ERROR")</f>
        <v>CYLPRO</v>
      </c>
      <c r="L46" s="6" t="str">
        <f>IF(Data!L46 = 'Point Intercept 2'!L46, Data!L46, "ERROR")</f>
        <v>Cylindropuntia prolifera</v>
      </c>
      <c r="M46" s="6">
        <f>IF(Data!N46 = 'Point Intercept 2'!M46, Data!N46, "ERROR")</f>
        <v>0</v>
      </c>
      <c r="N46" s="6">
        <f>IF(Data!O46 = 'Point Intercept 2'!N46, Data!O46, "ERROR")</f>
        <v>0</v>
      </c>
      <c r="O46" s="6">
        <f>IF(Data!P46 = 'Point Intercept 2'!O46, Data!P46, "ERROR")</f>
        <v>0</v>
      </c>
    </row>
    <row r="47" spans="1:15" x14ac:dyDescent="0.25">
      <c r="A47" s="6">
        <f>IF(Data!A47 = 'Point Intercept 2'!A47, Data!A47, "ERROR")</f>
        <v>1</v>
      </c>
      <c r="B47" s="6">
        <f>IF(Data!B47 = 'Point Intercept 2'!B47, Data!B47, "ERROR")</f>
        <v>2025</v>
      </c>
      <c r="C47" s="7">
        <f>IF(Data!C47 = 'Point Intercept 2'!C47, Data!C47, "ERROR")</f>
        <v>45764</v>
      </c>
      <c r="D47" s="6" t="str">
        <f>IF(Data!D47 = 'Point Intercept 2'!D47, Data!D47, "ERROR")</f>
        <v>TL, CG, BN</v>
      </c>
      <c r="E47" s="6" t="str">
        <f>IF(Data!E47 = 'Point Intercept 2'!E47, Data!E47, "ERROR")</f>
        <v>VB</v>
      </c>
      <c r="F47" s="6">
        <f>IF(Data!F47 = 'Point Intercept 2'!F47, Data!F47, "ERROR")</f>
        <v>1</v>
      </c>
      <c r="G47" s="6" t="str">
        <f>IF(Data!G47 = 'Point Intercept 2'!G47, Data!G47, "ERROR")</f>
        <v>LS</v>
      </c>
      <c r="H47" s="6">
        <f>IF(Data!I47 = 'Point Intercept 2'!I47, Data!I47, "ERROR")</f>
        <v>13</v>
      </c>
      <c r="I47" s="6">
        <f>IF(Data!H47 = 'Point Intercept 2'!H47, Data!H47, "ERROR")</f>
        <v>1</v>
      </c>
      <c r="J47" s="6">
        <f>IF(Data!J47 = 'Point Intercept 2'!J47, Data!J47, "ERROR")</f>
        <v>6.5</v>
      </c>
      <c r="K47" s="6" t="str">
        <f>IF(Data!K47 = 'Point Intercept 2'!K47, Data!K47, "ERROR")</f>
        <v>MEDPOL</v>
      </c>
      <c r="L47" s="6" t="str">
        <f>IF(Data!L47 = 'Point Intercept 2'!L47, Data!L47, "ERROR")</f>
        <v>Medicago polymorpha</v>
      </c>
      <c r="M47" s="6">
        <f>IF(Data!N47 = 'Point Intercept 2'!M47, Data!N47, "ERROR")</f>
        <v>0</v>
      </c>
      <c r="N47" s="6">
        <f>IF(Data!O47 = 'Point Intercept 2'!N47, Data!O47, "ERROR")</f>
        <v>0</v>
      </c>
      <c r="O47" s="6">
        <f>IF(Data!P47 = 'Point Intercept 2'!O47, Data!P47, "ERROR")</f>
        <v>0</v>
      </c>
    </row>
    <row r="48" spans="1:15" x14ac:dyDescent="0.25">
      <c r="A48" s="6">
        <f>IF(Data!A48 = 'Point Intercept 2'!A48, Data!A48, "ERROR")</f>
        <v>1</v>
      </c>
      <c r="B48" s="6">
        <f>IF(Data!B48 = 'Point Intercept 2'!B48, Data!B48, "ERROR")</f>
        <v>2025</v>
      </c>
      <c r="C48" s="7">
        <f>IF(Data!C48 = 'Point Intercept 2'!C48, Data!C48, "ERROR")</f>
        <v>45764</v>
      </c>
      <c r="D48" s="6" t="str">
        <f>IF(Data!D48 = 'Point Intercept 2'!D48, Data!D48, "ERROR")</f>
        <v>TL, CG, BN</v>
      </c>
      <c r="E48" s="6" t="str">
        <f>IF(Data!E48 = 'Point Intercept 2'!E48, Data!E48, "ERROR")</f>
        <v>VB</v>
      </c>
      <c r="F48" s="6">
        <f>IF(Data!F48 = 'Point Intercept 2'!F48, Data!F48, "ERROR")</f>
        <v>1</v>
      </c>
      <c r="G48" s="6" t="str">
        <f>IF(Data!G48 = 'Point Intercept 2'!G48, Data!G48, "ERROR")</f>
        <v>LS</v>
      </c>
      <c r="H48" s="6">
        <f>IF(Data!I48 = 'Point Intercept 2'!I48, Data!I48, "ERROR")</f>
        <v>14</v>
      </c>
      <c r="I48" s="6">
        <f>IF(Data!H48 = 'Point Intercept 2'!H48, Data!H48, "ERROR")</f>
        <v>1</v>
      </c>
      <c r="J48" s="6">
        <f>IF(Data!J48 = 'Point Intercept 2'!J48, Data!J48, "ERROR")</f>
        <v>7</v>
      </c>
      <c r="K48" s="6" t="str">
        <f>IF(Data!K48 = 'Point Intercept 2'!K48, Data!K48, "ERROR")</f>
        <v>S</v>
      </c>
      <c r="L48" s="6" t="str">
        <f>IF(Data!L48 = 'Point Intercept 2'!L48, Data!L48, "ERROR")</f>
        <v>Stem</v>
      </c>
      <c r="M48" s="6">
        <f>IF(Data!N48 = 'Point Intercept 2'!M48, Data!N48, "ERROR")</f>
        <v>0</v>
      </c>
      <c r="N48" s="6">
        <f>IF(Data!O48 = 'Point Intercept 2'!N48, Data!O48, "ERROR")</f>
        <v>0</v>
      </c>
      <c r="O48" s="6">
        <f>IF(Data!P48 = 'Point Intercept 2'!O48, Data!P48, "ERROR")</f>
        <v>0</v>
      </c>
    </row>
    <row r="49" spans="1:15" x14ac:dyDescent="0.25">
      <c r="A49" s="6">
        <f>IF(Data!A49 = 'Point Intercept 2'!A49, Data!A49, "ERROR")</f>
        <v>1</v>
      </c>
      <c r="B49" s="6">
        <f>IF(Data!B49 = 'Point Intercept 2'!B49, Data!B49, "ERROR")</f>
        <v>2025</v>
      </c>
      <c r="C49" s="7">
        <f>IF(Data!C49 = 'Point Intercept 2'!C49, Data!C49, "ERROR")</f>
        <v>45764</v>
      </c>
      <c r="D49" s="6" t="str">
        <f>IF(Data!D49 = 'Point Intercept 2'!D49, Data!D49, "ERROR")</f>
        <v>TL, CG, BN</v>
      </c>
      <c r="E49" s="6" t="str">
        <f>IF(Data!E49 = 'Point Intercept 2'!E49, Data!E49, "ERROR")</f>
        <v>VB</v>
      </c>
      <c r="F49" s="6">
        <f>IF(Data!F49 = 'Point Intercept 2'!F49, Data!F49, "ERROR")</f>
        <v>1</v>
      </c>
      <c r="G49" s="6" t="str">
        <f>IF(Data!G49 = 'Point Intercept 2'!G49, Data!G49, "ERROR")</f>
        <v>LS</v>
      </c>
      <c r="H49" s="6">
        <f>IF(Data!I49 = 'Point Intercept 2'!I49, Data!I49, "ERROR")</f>
        <v>14</v>
      </c>
      <c r="I49" s="6">
        <f>IF(Data!H49 = 'Point Intercept 2'!H49, Data!H49, "ERROR")</f>
        <v>1</v>
      </c>
      <c r="J49" s="6">
        <f>IF(Data!J49 = 'Point Intercept 2'!J49, Data!J49, "ERROR")</f>
        <v>7</v>
      </c>
      <c r="K49" s="6" t="str">
        <f>IF(Data!K49 = 'Point Intercept 2'!K49, Data!K49, "ERROR")</f>
        <v>OPULIT</v>
      </c>
      <c r="L49" s="6" t="str">
        <f>IF(Data!L49 = 'Point Intercept 2'!L49, Data!L49, "ERROR")</f>
        <v>Opuntia littoralis</v>
      </c>
      <c r="M49" s="6">
        <f>IF(Data!N49 = 'Point Intercept 2'!M49, Data!N49, "ERROR")</f>
        <v>0</v>
      </c>
      <c r="N49" s="6">
        <f>IF(Data!O49 = 'Point Intercept 2'!N49, Data!O49, "ERROR")</f>
        <v>0</v>
      </c>
      <c r="O49" s="6">
        <f>IF(Data!P49 = 'Point Intercept 2'!O49, Data!P49, "ERROR")</f>
        <v>0</v>
      </c>
    </row>
    <row r="50" spans="1:15" x14ac:dyDescent="0.25">
      <c r="A50" s="6">
        <f>IF(Data!A50 = 'Point Intercept 2'!A50, Data!A50, "ERROR")</f>
        <v>1</v>
      </c>
      <c r="B50" s="6">
        <f>IF(Data!B50 = 'Point Intercept 2'!B50, Data!B50, "ERROR")</f>
        <v>2025</v>
      </c>
      <c r="C50" s="7">
        <f>IF(Data!C50 = 'Point Intercept 2'!C50, Data!C50, "ERROR")</f>
        <v>45764</v>
      </c>
      <c r="D50" s="6" t="str">
        <f>IF(Data!D50 = 'Point Intercept 2'!D50, Data!D50, "ERROR")</f>
        <v>TL, CG, BN</v>
      </c>
      <c r="E50" s="6" t="str">
        <f>IF(Data!E50 = 'Point Intercept 2'!E50, Data!E50, "ERROR")</f>
        <v>VB</v>
      </c>
      <c r="F50" s="6">
        <f>IF(Data!F50 = 'Point Intercept 2'!F50, Data!F50, "ERROR")</f>
        <v>1</v>
      </c>
      <c r="G50" s="6" t="str">
        <f>IF(Data!G50 = 'Point Intercept 2'!G50, Data!G50, "ERROR")</f>
        <v>LS</v>
      </c>
      <c r="H50" s="6">
        <f>IF(Data!I50 = 'Point Intercept 2'!I50, Data!I50, "ERROR")</f>
        <v>15</v>
      </c>
      <c r="I50" s="6">
        <f>IF(Data!H50 = 'Point Intercept 2'!H50, Data!H50, "ERROR")</f>
        <v>1</v>
      </c>
      <c r="J50" s="6">
        <f>IF(Data!J50 = 'Point Intercept 2'!J50, Data!J50, "ERROR")</f>
        <v>7.5</v>
      </c>
      <c r="K50" s="6" t="str">
        <f>IF(Data!K50 = 'Point Intercept 2'!K50, Data!K50, "ERROR")</f>
        <v>L</v>
      </c>
      <c r="L50" s="6" t="str">
        <f>IF(Data!L50 = 'Point Intercept 2'!L50, Data!L50, "ERROR")</f>
        <v>Litter</v>
      </c>
      <c r="M50" s="6">
        <f>IF(Data!N50 = 'Point Intercept 2'!M50, Data!N50, "ERROR")</f>
        <v>0</v>
      </c>
      <c r="N50" s="6">
        <f>IF(Data!O50 = 'Point Intercept 2'!N50, Data!O50, "ERROR")</f>
        <v>0</v>
      </c>
      <c r="O50" s="6">
        <f>IF(Data!P50 = 'Point Intercept 2'!O50, Data!P50, "ERROR")</f>
        <v>0</v>
      </c>
    </row>
    <row r="51" spans="1:15" x14ac:dyDescent="0.25">
      <c r="A51" s="6">
        <f>IF(Data!A51 = 'Point Intercept 2'!A51, Data!A51, "ERROR")</f>
        <v>1</v>
      </c>
      <c r="B51" s="6">
        <f>IF(Data!B51 = 'Point Intercept 2'!B51, Data!B51, "ERROR")</f>
        <v>2025</v>
      </c>
      <c r="C51" s="7">
        <f>IF(Data!C51 = 'Point Intercept 2'!C51, Data!C51, "ERROR")</f>
        <v>45764</v>
      </c>
      <c r="D51" s="6" t="str">
        <f>IF(Data!D51 = 'Point Intercept 2'!D51, Data!D51, "ERROR")</f>
        <v>TL, CG, BN</v>
      </c>
      <c r="E51" s="6" t="str">
        <f>IF(Data!E51 = 'Point Intercept 2'!E51, Data!E51, "ERROR")</f>
        <v>VB</v>
      </c>
      <c r="F51" s="6">
        <f>IF(Data!F51 = 'Point Intercept 2'!F51, Data!F51, "ERROR")</f>
        <v>1</v>
      </c>
      <c r="G51" s="6" t="str">
        <f>IF(Data!G51 = 'Point Intercept 2'!G51, Data!G51, "ERROR")</f>
        <v>LS</v>
      </c>
      <c r="H51" s="6">
        <f>IF(Data!I51 = 'Point Intercept 2'!I51, Data!I51, "ERROR")</f>
        <v>15</v>
      </c>
      <c r="I51" s="6">
        <f>IF(Data!H51 = 'Point Intercept 2'!H51, Data!H51, "ERROR")</f>
        <v>1</v>
      </c>
      <c r="J51" s="6">
        <f>IF(Data!J51 = 'Point Intercept 2'!J51, Data!J51, "ERROR")</f>
        <v>7.5</v>
      </c>
      <c r="K51" s="6" t="str">
        <f>IF(Data!K51 = 'Point Intercept 2'!K51, Data!K51, "ERROR")</f>
        <v>OPULIT</v>
      </c>
      <c r="L51" s="6" t="str">
        <f>IF(Data!L51 = 'Point Intercept 2'!L51, Data!L51, "ERROR")</f>
        <v>Opuntia littoralis</v>
      </c>
      <c r="M51" s="6">
        <f>IF(Data!N51 = 'Point Intercept 2'!M51, Data!N51, "ERROR")</f>
        <v>0</v>
      </c>
      <c r="N51" s="6">
        <f>IF(Data!O51 = 'Point Intercept 2'!N51, Data!O51, "ERROR")</f>
        <v>0</v>
      </c>
      <c r="O51" s="6">
        <f>IF(Data!P51 = 'Point Intercept 2'!O51, Data!P51, "ERROR")</f>
        <v>0</v>
      </c>
    </row>
    <row r="52" spans="1:15" x14ac:dyDescent="0.25">
      <c r="A52" s="6">
        <f>IF(Data!A52 = 'Point Intercept 2'!A52, Data!A52, "ERROR")</f>
        <v>1</v>
      </c>
      <c r="B52" s="6">
        <f>IF(Data!B52 = 'Point Intercept 2'!B52, Data!B52, "ERROR")</f>
        <v>2025</v>
      </c>
      <c r="C52" s="7">
        <f>IF(Data!C52 = 'Point Intercept 2'!C52, Data!C52, "ERROR")</f>
        <v>45764</v>
      </c>
      <c r="D52" s="6" t="str">
        <f>IF(Data!D52 = 'Point Intercept 2'!D52, Data!D52, "ERROR")</f>
        <v>TL, CG, BN</v>
      </c>
      <c r="E52" s="6" t="str">
        <f>IF(Data!E52 = 'Point Intercept 2'!E52, Data!E52, "ERROR")</f>
        <v>VB</v>
      </c>
      <c r="F52" s="6">
        <f>IF(Data!F52 = 'Point Intercept 2'!F52, Data!F52, "ERROR")</f>
        <v>1</v>
      </c>
      <c r="G52" s="6" t="str">
        <f>IF(Data!G52 = 'Point Intercept 2'!G52, Data!G52, "ERROR")</f>
        <v>LS</v>
      </c>
      <c r="H52" s="6">
        <f>IF(Data!I52 = 'Point Intercept 2'!I52, Data!I52, "ERROR")</f>
        <v>15</v>
      </c>
      <c r="I52" s="6">
        <f>IF(Data!H52 = 'Point Intercept 2'!H52, Data!H52, "ERROR")</f>
        <v>1</v>
      </c>
      <c r="J52" s="6">
        <f>IF(Data!J52 = 'Point Intercept 2'!J52, Data!J52, "ERROR")</f>
        <v>7.5</v>
      </c>
      <c r="K52" s="6" t="str">
        <f>IF(Data!K52 = 'Point Intercept 2'!K52, Data!K52, "ERROR")</f>
        <v>MEDPOL</v>
      </c>
      <c r="L52" s="6" t="str">
        <f>IF(Data!L52 = 'Point Intercept 2'!L52, Data!L52, "ERROR")</f>
        <v>Medicago polymorpha</v>
      </c>
      <c r="M52" s="6">
        <f>IF(Data!N52 = 'Point Intercept 2'!M52, Data!N52, "ERROR")</f>
        <v>0</v>
      </c>
      <c r="N52" s="6">
        <f>IF(Data!O52 = 'Point Intercept 2'!N52, Data!O52, "ERROR")</f>
        <v>0</v>
      </c>
      <c r="O52" s="6">
        <f>IF(Data!P52 = 'Point Intercept 2'!O52, Data!P52, "ERROR")</f>
        <v>0</v>
      </c>
    </row>
    <row r="53" spans="1:15" x14ac:dyDescent="0.25">
      <c r="A53" s="6">
        <f>IF(Data!A53 = 'Point Intercept 2'!A53, Data!A53, "ERROR")</f>
        <v>1</v>
      </c>
      <c r="B53" s="6">
        <f>IF(Data!B53 = 'Point Intercept 2'!B53, Data!B53, "ERROR")</f>
        <v>2025</v>
      </c>
      <c r="C53" s="7">
        <f>IF(Data!C53 = 'Point Intercept 2'!C53, Data!C53, "ERROR")</f>
        <v>45764</v>
      </c>
      <c r="D53" s="6" t="str">
        <f>IF(Data!D53 = 'Point Intercept 2'!D53, Data!D53, "ERROR")</f>
        <v>TL, CG, BN</v>
      </c>
      <c r="E53" s="6" t="str">
        <f>IF(Data!E53 = 'Point Intercept 2'!E53, Data!E53, "ERROR")</f>
        <v>VB</v>
      </c>
      <c r="F53" s="6">
        <f>IF(Data!F53 = 'Point Intercept 2'!F53, Data!F53, "ERROR")</f>
        <v>1</v>
      </c>
      <c r="G53" s="6" t="str">
        <f>IF(Data!G53 = 'Point Intercept 2'!G53, Data!G53, "ERROR")</f>
        <v>LS</v>
      </c>
      <c r="H53" s="6">
        <f>IF(Data!I53 = 'Point Intercept 2'!I53, Data!I53, "ERROR")</f>
        <v>1</v>
      </c>
      <c r="I53" s="6">
        <f>IF(Data!H53 = 'Point Intercept 2'!H53, Data!H53, "ERROR")</f>
        <v>2</v>
      </c>
      <c r="J53" s="6">
        <f>IF(Data!J53 = 'Point Intercept 2'!J53, Data!J53, "ERROR")</f>
        <v>0</v>
      </c>
      <c r="K53" s="6" t="str">
        <f>IF(Data!K53 = 'Point Intercept 2'!K53, Data!K53, "ERROR")</f>
        <v>TH</v>
      </c>
      <c r="L53" s="6" t="str">
        <f>IF(Data!L53 = 'Point Intercept 2'!L53, Data!L53, "ERROR")</f>
        <v>Thatch</v>
      </c>
      <c r="M53" s="6">
        <f>IF(Data!N53 = 'Point Intercept 2'!M53, Data!N53, "ERROR")</f>
        <v>0</v>
      </c>
      <c r="N53" s="6">
        <f>IF(Data!O53 = 'Point Intercept 2'!N53, Data!O53, "ERROR")</f>
        <v>0</v>
      </c>
      <c r="O53" s="6">
        <f>IF(Data!P53 = 'Point Intercept 2'!O53, Data!P53, "ERROR")</f>
        <v>0</v>
      </c>
    </row>
    <row r="54" spans="1:15" x14ac:dyDescent="0.25">
      <c r="A54" s="6">
        <f>IF(Data!A54 = 'Point Intercept 2'!A54, Data!A54, "ERROR")</f>
        <v>1</v>
      </c>
      <c r="B54" s="6">
        <f>IF(Data!B54 = 'Point Intercept 2'!B54, Data!B54, "ERROR")</f>
        <v>2025</v>
      </c>
      <c r="C54" s="7">
        <f>IF(Data!C54 = 'Point Intercept 2'!C54, Data!C54, "ERROR")</f>
        <v>45764</v>
      </c>
      <c r="D54" s="6" t="str">
        <f>IF(Data!D54 = 'Point Intercept 2'!D54, Data!D54, "ERROR")</f>
        <v>TL, CG, BN</v>
      </c>
      <c r="E54" s="6" t="str">
        <f>IF(Data!E54 = 'Point Intercept 2'!E54, Data!E54, "ERROR")</f>
        <v>VB</v>
      </c>
      <c r="F54" s="6">
        <f>IF(Data!F54 = 'Point Intercept 2'!F54, Data!F54, "ERROR")</f>
        <v>1</v>
      </c>
      <c r="G54" s="6" t="str">
        <f>IF(Data!G54 = 'Point Intercept 2'!G54, Data!G54, "ERROR")</f>
        <v>LS</v>
      </c>
      <c r="H54" s="6">
        <f>IF(Data!I54 = 'Point Intercept 2'!I54, Data!I54, "ERROR")</f>
        <v>1</v>
      </c>
      <c r="I54" s="6">
        <f>IF(Data!H54 = 'Point Intercept 2'!H54, Data!H54, "ERROR")</f>
        <v>2</v>
      </c>
      <c r="J54" s="6">
        <f>IF(Data!J54 = 'Point Intercept 2'!J54, Data!J54, "ERROR")</f>
        <v>0</v>
      </c>
      <c r="K54" s="6" t="str">
        <f>IF(Data!K54 = 'Point Intercept 2'!K54, Data!K54, "ERROR")</f>
        <v>STEDIE</v>
      </c>
      <c r="L54" s="6" t="str">
        <f>IF(Data!L54 = 'Point Intercept 2'!L54, Data!L54, "ERROR")</f>
        <v>Stephanomeria diegensis</v>
      </c>
      <c r="M54" s="6">
        <f>IF(Data!N54 = 'Point Intercept 2'!M54, Data!N54, "ERROR")</f>
        <v>0</v>
      </c>
      <c r="N54" s="6">
        <f>IF(Data!O54 = 'Point Intercept 2'!N54, Data!O54, "ERROR")</f>
        <v>0</v>
      </c>
      <c r="O54" s="6">
        <f>IF(Data!P54 = 'Point Intercept 2'!O54, Data!P54, "ERROR")</f>
        <v>0</v>
      </c>
    </row>
    <row r="55" spans="1:15" x14ac:dyDescent="0.25">
      <c r="A55" s="6">
        <f>IF(Data!A55 = 'Point Intercept 2'!A55, Data!A55, "ERROR")</f>
        <v>1</v>
      </c>
      <c r="B55" s="6">
        <f>IF(Data!B55 = 'Point Intercept 2'!B55, Data!B55, "ERROR")</f>
        <v>2025</v>
      </c>
      <c r="C55" s="7">
        <f>IF(Data!C55 = 'Point Intercept 2'!C55, Data!C55, "ERROR")</f>
        <v>45764</v>
      </c>
      <c r="D55" s="6" t="str">
        <f>IF(Data!D55 = 'Point Intercept 2'!D55, Data!D55, "ERROR")</f>
        <v>TL, CG, BN</v>
      </c>
      <c r="E55" s="6" t="str">
        <f>IF(Data!E55 = 'Point Intercept 2'!E55, Data!E55, "ERROR")</f>
        <v>VB</v>
      </c>
      <c r="F55" s="6">
        <f>IF(Data!F55 = 'Point Intercept 2'!F55, Data!F55, "ERROR")</f>
        <v>1</v>
      </c>
      <c r="G55" s="6" t="str">
        <f>IF(Data!G55 = 'Point Intercept 2'!G55, Data!G55, "ERROR")</f>
        <v>LS</v>
      </c>
      <c r="H55" s="6">
        <f>IF(Data!I55 = 'Point Intercept 2'!I55, Data!I55, "ERROR")</f>
        <v>1</v>
      </c>
      <c r="I55" s="6">
        <f>IF(Data!H55 = 'Point Intercept 2'!H55, Data!H55, "ERROR")</f>
        <v>2</v>
      </c>
      <c r="J55" s="6">
        <f>IF(Data!J55 = 'Point Intercept 2'!J55, Data!J55, "ERROR")</f>
        <v>0</v>
      </c>
      <c r="K55" s="6" t="str">
        <f>IF(Data!K55 = 'Point Intercept 2'!K55, Data!K55, "ERROR")</f>
        <v>MEDPOL</v>
      </c>
      <c r="L55" s="6" t="str">
        <f>IF(Data!L55 = 'Point Intercept 2'!L55, Data!L55, "ERROR")</f>
        <v>Medicago polymorpha</v>
      </c>
      <c r="M55" s="6">
        <f>IF(Data!N55 = 'Point Intercept 2'!M55, Data!N55, "ERROR")</f>
        <v>0</v>
      </c>
      <c r="N55" s="6">
        <f>IF(Data!O55 = 'Point Intercept 2'!N55, Data!O55, "ERROR")</f>
        <v>0</v>
      </c>
      <c r="O55" s="6">
        <f>IF(Data!P55 = 'Point Intercept 2'!O55, Data!P55, "ERROR")</f>
        <v>0</v>
      </c>
    </row>
    <row r="56" spans="1:15" x14ac:dyDescent="0.25">
      <c r="A56" s="6">
        <f>IF(Data!A56 = 'Point Intercept 2'!A56, Data!A56, "ERROR")</f>
        <v>1</v>
      </c>
      <c r="B56" s="6">
        <f>IF(Data!B56 = 'Point Intercept 2'!B56, Data!B56, "ERROR")</f>
        <v>2025</v>
      </c>
      <c r="C56" s="7">
        <f>IF(Data!C56 = 'Point Intercept 2'!C56, Data!C56, "ERROR")</f>
        <v>45764</v>
      </c>
      <c r="D56" s="6" t="str">
        <f>IF(Data!D56 = 'Point Intercept 2'!D56, Data!D56, "ERROR")</f>
        <v>TL, CG, BN</v>
      </c>
      <c r="E56" s="6" t="str">
        <f>IF(Data!E56 = 'Point Intercept 2'!E56, Data!E56, "ERROR")</f>
        <v>VB</v>
      </c>
      <c r="F56" s="6">
        <f>IF(Data!F56 = 'Point Intercept 2'!F56, Data!F56, "ERROR")</f>
        <v>1</v>
      </c>
      <c r="G56" s="6" t="str">
        <f>IF(Data!G56 = 'Point Intercept 2'!G56, Data!G56, "ERROR")</f>
        <v>LS</v>
      </c>
      <c r="H56" s="6">
        <f>IF(Data!I56 = 'Point Intercept 2'!I56, Data!I56, "ERROR")</f>
        <v>1</v>
      </c>
      <c r="I56" s="6">
        <f>IF(Data!H56 = 'Point Intercept 2'!H56, Data!H56, "ERROR")</f>
        <v>2</v>
      </c>
      <c r="J56" s="6">
        <f>IF(Data!J56 = 'Point Intercept 2'!J56, Data!J56, "ERROR")</f>
        <v>0</v>
      </c>
      <c r="K56" s="6" t="str">
        <f>IF(Data!K56 = 'Point Intercept 2'!K56, Data!K56, "ERROR")</f>
        <v>FESMYU</v>
      </c>
      <c r="L56" s="6" t="str">
        <f>IF(Data!L56 = 'Point Intercept 2'!L56, Data!L56, "ERROR")</f>
        <v>Festuca myuros</v>
      </c>
      <c r="M56" s="6">
        <f>IF(Data!N56 = 'Point Intercept 2'!M56, Data!N56, "ERROR")</f>
        <v>0</v>
      </c>
      <c r="N56" s="6">
        <f>IF(Data!O56 = 'Point Intercept 2'!N56, Data!O56, "ERROR")</f>
        <v>0</v>
      </c>
      <c r="O56" s="6">
        <f>IF(Data!P56 = 'Point Intercept 2'!O56, Data!P56, "ERROR")</f>
        <v>0</v>
      </c>
    </row>
    <row r="57" spans="1:15" x14ac:dyDescent="0.25">
      <c r="A57" s="6">
        <f>IF(Data!A57 = 'Point Intercept 2'!A57, Data!A57, "ERROR")</f>
        <v>1</v>
      </c>
      <c r="B57" s="6">
        <f>IF(Data!B57 = 'Point Intercept 2'!B57, Data!B57, "ERROR")</f>
        <v>2025</v>
      </c>
      <c r="C57" s="7">
        <f>IF(Data!C57 = 'Point Intercept 2'!C57, Data!C57, "ERROR")</f>
        <v>45764</v>
      </c>
      <c r="D57" s="6" t="str">
        <f>IF(Data!D57 = 'Point Intercept 2'!D57, Data!D57, "ERROR")</f>
        <v>TL, CG, BN</v>
      </c>
      <c r="E57" s="6" t="str">
        <f>IF(Data!E57 = 'Point Intercept 2'!E57, Data!E57, "ERROR")</f>
        <v>VB</v>
      </c>
      <c r="F57" s="6">
        <f>IF(Data!F57 = 'Point Intercept 2'!F57, Data!F57, "ERROR")</f>
        <v>1</v>
      </c>
      <c r="G57" s="6" t="str">
        <f>IF(Data!G57 = 'Point Intercept 2'!G57, Data!G57, "ERROR")</f>
        <v>LS</v>
      </c>
      <c r="H57" s="6">
        <f>IF(Data!I57 = 'Point Intercept 2'!I57, Data!I57, "ERROR")</f>
        <v>2</v>
      </c>
      <c r="I57" s="6">
        <f>IF(Data!H57 = 'Point Intercept 2'!H57, Data!H57, "ERROR")</f>
        <v>2</v>
      </c>
      <c r="J57" s="6">
        <f>IF(Data!J57 = 'Point Intercept 2'!J57, Data!J57, "ERROR")</f>
        <v>0.5</v>
      </c>
      <c r="K57" s="6" t="str">
        <f>IF(Data!K57 = 'Point Intercept 2'!K57, Data!K57, "ERROR")</f>
        <v>TH</v>
      </c>
      <c r="L57" s="6" t="str">
        <f>IF(Data!L57 = 'Point Intercept 2'!L57, Data!L57, "ERROR")</f>
        <v>Thatch</v>
      </c>
      <c r="M57" s="6">
        <f>IF(Data!N57 = 'Point Intercept 2'!M57, Data!N57, "ERROR")</f>
        <v>0</v>
      </c>
      <c r="N57" s="6">
        <f>IF(Data!O57 = 'Point Intercept 2'!N57, Data!O57, "ERROR")</f>
        <v>0</v>
      </c>
      <c r="O57" s="6">
        <f>IF(Data!P57 = 'Point Intercept 2'!O57, Data!P57, "ERROR")</f>
        <v>0</v>
      </c>
    </row>
    <row r="58" spans="1:15" x14ac:dyDescent="0.25">
      <c r="A58" s="6">
        <f>IF(Data!A58 = 'Point Intercept 2'!A58, Data!A58, "ERROR")</f>
        <v>1</v>
      </c>
      <c r="B58" s="6">
        <f>IF(Data!B58 = 'Point Intercept 2'!B58, Data!B58, "ERROR")</f>
        <v>2025</v>
      </c>
      <c r="C58" s="7">
        <f>IF(Data!C58 = 'Point Intercept 2'!C58, Data!C58, "ERROR")</f>
        <v>45764</v>
      </c>
      <c r="D58" s="6" t="str">
        <f>IF(Data!D58 = 'Point Intercept 2'!D58, Data!D58, "ERROR")</f>
        <v>TL, CG, BN</v>
      </c>
      <c r="E58" s="6" t="str">
        <f>IF(Data!E58 = 'Point Intercept 2'!E58, Data!E58, "ERROR")</f>
        <v>VB</v>
      </c>
      <c r="F58" s="6">
        <f>IF(Data!F58 = 'Point Intercept 2'!F58, Data!F58, "ERROR")</f>
        <v>1</v>
      </c>
      <c r="G58" s="6" t="str">
        <f>IF(Data!G58 = 'Point Intercept 2'!G58, Data!G58, "ERROR")</f>
        <v>LS</v>
      </c>
      <c r="H58" s="6">
        <f>IF(Data!I58 = 'Point Intercept 2'!I58, Data!I58, "ERROR")</f>
        <v>2</v>
      </c>
      <c r="I58" s="6">
        <f>IF(Data!H58 = 'Point Intercept 2'!H58, Data!H58, "ERROR")</f>
        <v>2</v>
      </c>
      <c r="J58" s="6">
        <f>IF(Data!J58 = 'Point Intercept 2'!J58, Data!J58, "ERROR")</f>
        <v>0.5</v>
      </c>
      <c r="K58" s="6" t="str">
        <f>IF(Data!K58 = 'Point Intercept 2'!K58, Data!K58, "ERROR")</f>
        <v>FESMYU</v>
      </c>
      <c r="L58" s="6" t="str">
        <f>IF(Data!L58 = 'Point Intercept 2'!L58, Data!L58, "ERROR")</f>
        <v>Festuca myuros</v>
      </c>
      <c r="M58" s="6">
        <f>IF(Data!N58 = 'Point Intercept 2'!M58, Data!N58, "ERROR")</f>
        <v>0</v>
      </c>
      <c r="N58" s="6">
        <f>IF(Data!O58 = 'Point Intercept 2'!N58, Data!O58, "ERROR")</f>
        <v>0</v>
      </c>
      <c r="O58" s="6">
        <f>IF(Data!P58 = 'Point Intercept 2'!O58, Data!P58, "ERROR")</f>
        <v>0</v>
      </c>
    </row>
    <row r="59" spans="1:15" x14ac:dyDescent="0.25">
      <c r="A59" s="6">
        <f>IF(Data!A59 = 'Point Intercept 2'!A59, Data!A59, "ERROR")</f>
        <v>1</v>
      </c>
      <c r="B59" s="6">
        <f>IF(Data!B59 = 'Point Intercept 2'!B59, Data!B59, "ERROR")</f>
        <v>2025</v>
      </c>
      <c r="C59" s="7">
        <f>IF(Data!C59 = 'Point Intercept 2'!C59, Data!C59, "ERROR")</f>
        <v>45764</v>
      </c>
      <c r="D59" s="6" t="str">
        <f>IF(Data!D59 = 'Point Intercept 2'!D59, Data!D59, "ERROR")</f>
        <v>TL, CG, BN</v>
      </c>
      <c r="E59" s="6" t="str">
        <f>IF(Data!E59 = 'Point Intercept 2'!E59, Data!E59, "ERROR")</f>
        <v>VB</v>
      </c>
      <c r="F59" s="6">
        <f>IF(Data!F59 = 'Point Intercept 2'!F59, Data!F59, "ERROR")</f>
        <v>1</v>
      </c>
      <c r="G59" s="6" t="str">
        <f>IF(Data!G59 = 'Point Intercept 2'!G59, Data!G59, "ERROR")</f>
        <v>LS</v>
      </c>
      <c r="H59" s="6">
        <f>IF(Data!I59 = 'Point Intercept 2'!I59, Data!I59, "ERROR")</f>
        <v>2</v>
      </c>
      <c r="I59" s="6">
        <f>IF(Data!H59 = 'Point Intercept 2'!H59, Data!H59, "ERROR")</f>
        <v>2</v>
      </c>
      <c r="J59" s="6">
        <f>IF(Data!J59 = 'Point Intercept 2'!J59, Data!J59, "ERROR")</f>
        <v>0.5</v>
      </c>
      <c r="K59" s="6" t="str">
        <f>IF(Data!K59 = 'Point Intercept 2'!K59, Data!K59, "ERROR")</f>
        <v>MEDPOL</v>
      </c>
      <c r="L59" s="6" t="str">
        <f>IF(Data!L59 = 'Point Intercept 2'!L59, Data!L59, "ERROR")</f>
        <v>Medicago polymorpha</v>
      </c>
      <c r="M59" s="6">
        <f>IF(Data!N59 = 'Point Intercept 2'!M59, Data!N59, "ERROR")</f>
        <v>0</v>
      </c>
      <c r="N59" s="6">
        <f>IF(Data!O59 = 'Point Intercept 2'!N59, Data!O59, "ERROR")</f>
        <v>0</v>
      </c>
      <c r="O59" s="6">
        <f>IF(Data!P59 = 'Point Intercept 2'!O59, Data!P59, "ERROR")</f>
        <v>0</v>
      </c>
    </row>
    <row r="60" spans="1:15" x14ac:dyDescent="0.25">
      <c r="A60" s="6">
        <f>IF(Data!A60 = 'Point Intercept 2'!A60, Data!A60, "ERROR")</f>
        <v>1</v>
      </c>
      <c r="B60" s="6">
        <f>IF(Data!B60 = 'Point Intercept 2'!B60, Data!B60, "ERROR")</f>
        <v>2025</v>
      </c>
      <c r="C60" s="7">
        <f>IF(Data!C60 = 'Point Intercept 2'!C60, Data!C60, "ERROR")</f>
        <v>45764</v>
      </c>
      <c r="D60" s="6" t="str">
        <f>IF(Data!D60 = 'Point Intercept 2'!D60, Data!D60, "ERROR")</f>
        <v>TL, CG, BN</v>
      </c>
      <c r="E60" s="6" t="str">
        <f>IF(Data!E60 = 'Point Intercept 2'!E60, Data!E60, "ERROR")</f>
        <v>VB</v>
      </c>
      <c r="F60" s="6">
        <f>IF(Data!F60 = 'Point Intercept 2'!F60, Data!F60, "ERROR")</f>
        <v>1</v>
      </c>
      <c r="G60" s="6" t="str">
        <f>IF(Data!G60 = 'Point Intercept 2'!G60, Data!G60, "ERROR")</f>
        <v>LS</v>
      </c>
      <c r="H60" s="6">
        <f>IF(Data!I60 = 'Point Intercept 2'!I60, Data!I60, "ERROR")</f>
        <v>2</v>
      </c>
      <c r="I60" s="6">
        <f>IF(Data!H60 = 'Point Intercept 2'!H60, Data!H60, "ERROR")</f>
        <v>2</v>
      </c>
      <c r="J60" s="6">
        <f>IF(Data!J60 = 'Point Intercept 2'!J60, Data!J60, "ERROR")</f>
        <v>0.5</v>
      </c>
      <c r="K60" s="6" t="str">
        <f>IF(Data!K60 = 'Point Intercept 2'!K60, Data!K60, "ERROR")</f>
        <v>CENMEL</v>
      </c>
      <c r="L60" s="6" t="str">
        <f>IF(Data!L60 = 'Point Intercept 2'!L60, Data!L60, "ERROR")</f>
        <v>Centaurea melitensis</v>
      </c>
      <c r="M60" s="6">
        <f>IF(Data!N60 = 'Point Intercept 2'!M60, Data!N60, "ERROR")</f>
        <v>0</v>
      </c>
      <c r="N60" s="6">
        <f>IF(Data!O60 = 'Point Intercept 2'!N60, Data!O60, "ERROR")</f>
        <v>0</v>
      </c>
      <c r="O60" s="6">
        <f>IF(Data!P60 = 'Point Intercept 2'!O60, Data!P60, "ERROR")</f>
        <v>0</v>
      </c>
    </row>
    <row r="61" spans="1:15" x14ac:dyDescent="0.25">
      <c r="A61" s="6">
        <f>IF(Data!A61 = 'Point Intercept 2'!A61, Data!A61, "ERROR")</f>
        <v>1</v>
      </c>
      <c r="B61" s="6">
        <f>IF(Data!B61 = 'Point Intercept 2'!B61, Data!B61, "ERROR")</f>
        <v>2025</v>
      </c>
      <c r="C61" s="7">
        <f>IF(Data!C61 = 'Point Intercept 2'!C61, Data!C61, "ERROR")</f>
        <v>45764</v>
      </c>
      <c r="D61" s="6" t="str">
        <f>IF(Data!D61 = 'Point Intercept 2'!D61, Data!D61, "ERROR")</f>
        <v>TL, CG, BN</v>
      </c>
      <c r="E61" s="6" t="str">
        <f>IF(Data!E61 = 'Point Intercept 2'!E61, Data!E61, "ERROR")</f>
        <v>VB</v>
      </c>
      <c r="F61" s="6">
        <f>IF(Data!F61 = 'Point Intercept 2'!F61, Data!F61, "ERROR")</f>
        <v>1</v>
      </c>
      <c r="G61" s="6" t="str">
        <f>IF(Data!G61 = 'Point Intercept 2'!G61, Data!G61, "ERROR")</f>
        <v>LS</v>
      </c>
      <c r="H61" s="6">
        <f>IF(Data!I61 = 'Point Intercept 2'!I61, Data!I61, "ERROR")</f>
        <v>3</v>
      </c>
      <c r="I61" s="6">
        <f>IF(Data!H61 = 'Point Intercept 2'!H61, Data!H61, "ERROR")</f>
        <v>2</v>
      </c>
      <c r="J61" s="6">
        <f>IF(Data!J61 = 'Point Intercept 2'!J61, Data!J61, "ERROR")</f>
        <v>1</v>
      </c>
      <c r="K61" s="6" t="str">
        <f>IF(Data!K61 = 'Point Intercept 2'!K61, Data!K61, "ERROR")</f>
        <v>L</v>
      </c>
      <c r="L61" s="6" t="str">
        <f>IF(Data!L61 = 'Point Intercept 2'!L61, Data!L61, "ERROR")</f>
        <v>Litter</v>
      </c>
      <c r="M61" s="6">
        <f>IF(Data!N61 = 'Point Intercept 2'!M61, Data!N61, "ERROR")</f>
        <v>0</v>
      </c>
      <c r="N61" s="6">
        <f>IF(Data!O61 = 'Point Intercept 2'!N61, Data!O61, "ERROR")</f>
        <v>0</v>
      </c>
      <c r="O61" s="6">
        <f>IF(Data!P61 = 'Point Intercept 2'!O61, Data!P61, "ERROR")</f>
        <v>0</v>
      </c>
    </row>
    <row r="62" spans="1:15" x14ac:dyDescent="0.25">
      <c r="A62" s="6">
        <f>IF(Data!A62 = 'Point Intercept 2'!A62, Data!A62, "ERROR")</f>
        <v>1</v>
      </c>
      <c r="B62" s="6">
        <f>IF(Data!B62 = 'Point Intercept 2'!B62, Data!B62, "ERROR")</f>
        <v>2025</v>
      </c>
      <c r="C62" s="7">
        <f>IF(Data!C62 = 'Point Intercept 2'!C62, Data!C62, "ERROR")</f>
        <v>45764</v>
      </c>
      <c r="D62" s="6" t="str">
        <f>IF(Data!D62 = 'Point Intercept 2'!D62, Data!D62, "ERROR")</f>
        <v>TL, CG, BN</v>
      </c>
      <c r="E62" s="6" t="str">
        <f>IF(Data!E62 = 'Point Intercept 2'!E62, Data!E62, "ERROR")</f>
        <v>VB</v>
      </c>
      <c r="F62" s="6">
        <f>IF(Data!F62 = 'Point Intercept 2'!F62, Data!F62, "ERROR")</f>
        <v>1</v>
      </c>
      <c r="G62" s="6" t="str">
        <f>IF(Data!G62 = 'Point Intercept 2'!G62, Data!G62, "ERROR")</f>
        <v>LS</v>
      </c>
      <c r="H62" s="6">
        <f>IF(Data!I62 = 'Point Intercept 2'!I62, Data!I62, "ERROR")</f>
        <v>3</v>
      </c>
      <c r="I62" s="6">
        <f>IF(Data!H62 = 'Point Intercept 2'!H62, Data!H62, "ERROR")</f>
        <v>2</v>
      </c>
      <c r="J62" s="6">
        <f>IF(Data!J62 = 'Point Intercept 2'!J62, Data!J62, "ERROR")</f>
        <v>1</v>
      </c>
      <c r="K62" s="6" t="str">
        <f>IF(Data!K62 = 'Point Intercept 2'!K62, Data!K62, "ERROR")</f>
        <v>UROLIN</v>
      </c>
      <c r="L62" s="6" t="str">
        <f>IF(Data!L62 = 'Point Intercept 2'!L62, Data!L62, "ERROR")</f>
        <v>Uropappus lindleyi</v>
      </c>
      <c r="M62" s="6">
        <f>IF(Data!N62 = 'Point Intercept 2'!M62, Data!N62, "ERROR")</f>
        <v>0</v>
      </c>
      <c r="N62" s="6">
        <f>IF(Data!O62 = 'Point Intercept 2'!N62, Data!O62, "ERROR")</f>
        <v>0</v>
      </c>
      <c r="O62" s="6">
        <f>IF(Data!P62 = 'Point Intercept 2'!O62, Data!P62, "ERROR")</f>
        <v>0</v>
      </c>
    </row>
    <row r="63" spans="1:15" x14ac:dyDescent="0.25">
      <c r="A63" s="6">
        <f>IF(Data!A63 = 'Point Intercept 2'!A63, Data!A63, "ERROR")</f>
        <v>1</v>
      </c>
      <c r="B63" s="6">
        <f>IF(Data!B63 = 'Point Intercept 2'!B63, Data!B63, "ERROR")</f>
        <v>2025</v>
      </c>
      <c r="C63" s="7">
        <f>IF(Data!C63 = 'Point Intercept 2'!C63, Data!C63, "ERROR")</f>
        <v>45764</v>
      </c>
      <c r="D63" s="6" t="str">
        <f>IF(Data!D63 = 'Point Intercept 2'!D63, Data!D63, "ERROR")</f>
        <v>TL, CG, BN</v>
      </c>
      <c r="E63" s="6" t="str">
        <f>IF(Data!E63 = 'Point Intercept 2'!E63, Data!E63, "ERROR")</f>
        <v>VB</v>
      </c>
      <c r="F63" s="6">
        <f>IF(Data!F63 = 'Point Intercept 2'!F63, Data!F63, "ERROR")</f>
        <v>1</v>
      </c>
      <c r="G63" s="6" t="str">
        <f>IF(Data!G63 = 'Point Intercept 2'!G63, Data!G63, "ERROR")</f>
        <v>LS</v>
      </c>
      <c r="H63" s="6">
        <f>IF(Data!I63 = 'Point Intercept 2'!I63, Data!I63, "ERROR")</f>
        <v>3</v>
      </c>
      <c r="I63" s="6">
        <f>IF(Data!H63 = 'Point Intercept 2'!H63, Data!H63, "ERROR")</f>
        <v>2</v>
      </c>
      <c r="J63" s="6">
        <f>IF(Data!J63 = 'Point Intercept 2'!J63, Data!J63, "ERROR")</f>
        <v>1</v>
      </c>
      <c r="K63" s="6" t="str">
        <f>IF(Data!K63 = 'Point Intercept 2'!K63, Data!K63, "ERROR")</f>
        <v>MEDPOL</v>
      </c>
      <c r="L63" s="6" t="str">
        <f>IF(Data!L63 = 'Point Intercept 2'!L63, Data!L63, "ERROR")</f>
        <v>Medicago polymorpha</v>
      </c>
      <c r="M63" s="6">
        <f>IF(Data!N63 = 'Point Intercept 2'!M63, Data!N63, "ERROR")</f>
        <v>0</v>
      </c>
      <c r="N63" s="6">
        <f>IF(Data!O63 = 'Point Intercept 2'!N63, Data!O63, "ERROR")</f>
        <v>0</v>
      </c>
      <c r="O63" s="6">
        <f>IF(Data!P63 = 'Point Intercept 2'!O63, Data!P63, "ERROR")</f>
        <v>0</v>
      </c>
    </row>
    <row r="64" spans="1:15" x14ac:dyDescent="0.25">
      <c r="A64" s="6">
        <f>IF(Data!A64 = 'Point Intercept 2'!A64, Data!A64, "ERROR")</f>
        <v>1</v>
      </c>
      <c r="B64" s="6">
        <f>IF(Data!B64 = 'Point Intercept 2'!B64, Data!B64, "ERROR")</f>
        <v>2025</v>
      </c>
      <c r="C64" s="7">
        <f>IF(Data!C64 = 'Point Intercept 2'!C64, Data!C64, "ERROR")</f>
        <v>45764</v>
      </c>
      <c r="D64" s="6" t="str">
        <f>IF(Data!D64 = 'Point Intercept 2'!D64, Data!D64, "ERROR")</f>
        <v>TL, CG, BN</v>
      </c>
      <c r="E64" s="6" t="str">
        <f>IF(Data!E64 = 'Point Intercept 2'!E64, Data!E64, "ERROR")</f>
        <v>VB</v>
      </c>
      <c r="F64" s="6">
        <f>IF(Data!F64 = 'Point Intercept 2'!F64, Data!F64, "ERROR")</f>
        <v>1</v>
      </c>
      <c r="G64" s="6" t="str">
        <f>IF(Data!G64 = 'Point Intercept 2'!G64, Data!G64, "ERROR")</f>
        <v>LS</v>
      </c>
      <c r="H64" s="6">
        <f>IF(Data!I64 = 'Point Intercept 2'!I64, Data!I64, "ERROR")</f>
        <v>4</v>
      </c>
      <c r="I64" s="6">
        <f>IF(Data!H64 = 'Point Intercept 2'!H64, Data!H64, "ERROR")</f>
        <v>2</v>
      </c>
      <c r="J64" s="6">
        <f>IF(Data!J64 = 'Point Intercept 2'!J64, Data!J64, "ERROR")</f>
        <v>1.5</v>
      </c>
      <c r="K64" s="6" t="str">
        <f>IF(Data!K64 = 'Point Intercept 2'!K64, Data!K64, "ERROR")</f>
        <v>L</v>
      </c>
      <c r="L64" s="6" t="str">
        <f>IF(Data!L64 = 'Point Intercept 2'!L64, Data!L64, "ERROR")</f>
        <v>Litter</v>
      </c>
      <c r="M64" s="6">
        <f>IF(Data!N64 = 'Point Intercept 2'!M64, Data!N64, "ERROR")</f>
        <v>0</v>
      </c>
      <c r="N64" s="6">
        <f>IF(Data!O64 = 'Point Intercept 2'!N64, Data!O64, "ERROR")</f>
        <v>0</v>
      </c>
      <c r="O64" s="6">
        <f>IF(Data!P64 = 'Point Intercept 2'!O64, Data!P64, "ERROR")</f>
        <v>0</v>
      </c>
    </row>
    <row r="65" spans="1:15" x14ac:dyDescent="0.25">
      <c r="A65" s="6">
        <f>IF(Data!A65 = 'Point Intercept 2'!A65, Data!A65, "ERROR")</f>
        <v>1</v>
      </c>
      <c r="B65" s="6">
        <f>IF(Data!B65 = 'Point Intercept 2'!B65, Data!B65, "ERROR")</f>
        <v>2025</v>
      </c>
      <c r="C65" s="7">
        <f>IF(Data!C65 = 'Point Intercept 2'!C65, Data!C65, "ERROR")</f>
        <v>45764</v>
      </c>
      <c r="D65" s="6" t="str">
        <f>IF(Data!D65 = 'Point Intercept 2'!D65, Data!D65, "ERROR")</f>
        <v>TL, CG, BN</v>
      </c>
      <c r="E65" s="6" t="str">
        <f>IF(Data!E65 = 'Point Intercept 2'!E65, Data!E65, "ERROR")</f>
        <v>VB</v>
      </c>
      <c r="F65" s="6">
        <f>IF(Data!F65 = 'Point Intercept 2'!F65, Data!F65, "ERROR")</f>
        <v>1</v>
      </c>
      <c r="G65" s="6" t="str">
        <f>IF(Data!G65 = 'Point Intercept 2'!G65, Data!G65, "ERROR")</f>
        <v>LS</v>
      </c>
      <c r="H65" s="6">
        <f>IF(Data!I65 = 'Point Intercept 2'!I65, Data!I65, "ERROR")</f>
        <v>4</v>
      </c>
      <c r="I65" s="6">
        <f>IF(Data!H65 = 'Point Intercept 2'!H65, Data!H65, "ERROR")</f>
        <v>2</v>
      </c>
      <c r="J65" s="6">
        <f>IF(Data!J65 = 'Point Intercept 2'!J65, Data!J65, "ERROR")</f>
        <v>1.5</v>
      </c>
      <c r="K65" s="6" t="str">
        <f>IF(Data!K65 = 'Point Intercept 2'!K65, Data!K65, "ERROR")</f>
        <v>MEDPOL</v>
      </c>
      <c r="L65" s="6" t="str">
        <f>IF(Data!L65 = 'Point Intercept 2'!L65, Data!L65, "ERROR")</f>
        <v>Medicago polymorpha</v>
      </c>
      <c r="M65" s="6">
        <f>IF(Data!N65 = 'Point Intercept 2'!M65, Data!N65, "ERROR")</f>
        <v>0</v>
      </c>
      <c r="N65" s="6">
        <f>IF(Data!O65 = 'Point Intercept 2'!N65, Data!O65, "ERROR")</f>
        <v>0</v>
      </c>
      <c r="O65" s="6">
        <f>IF(Data!P65 = 'Point Intercept 2'!O65, Data!P65, "ERROR")</f>
        <v>0</v>
      </c>
    </row>
    <row r="66" spans="1:15" x14ac:dyDescent="0.25">
      <c r="A66" s="6">
        <f>IF(Data!A66 = 'Point Intercept 2'!A66, Data!A66, "ERROR")</f>
        <v>1</v>
      </c>
      <c r="B66" s="6">
        <f>IF(Data!B66 = 'Point Intercept 2'!B66, Data!B66, "ERROR")</f>
        <v>2025</v>
      </c>
      <c r="C66" s="7">
        <f>IF(Data!C66 = 'Point Intercept 2'!C66, Data!C66, "ERROR")</f>
        <v>45764</v>
      </c>
      <c r="D66" s="6" t="str">
        <f>IF(Data!D66 = 'Point Intercept 2'!D66, Data!D66, "ERROR")</f>
        <v>TL, CG, BN</v>
      </c>
      <c r="E66" s="6" t="str">
        <f>IF(Data!E66 = 'Point Intercept 2'!E66, Data!E66, "ERROR")</f>
        <v>VB</v>
      </c>
      <c r="F66" s="6">
        <f>IF(Data!F66 = 'Point Intercept 2'!F66, Data!F66, "ERROR")</f>
        <v>1</v>
      </c>
      <c r="G66" s="6" t="str">
        <f>IF(Data!G66 = 'Point Intercept 2'!G66, Data!G66, "ERROR")</f>
        <v>LS</v>
      </c>
      <c r="H66" s="6">
        <f>IF(Data!I66 = 'Point Intercept 2'!I66, Data!I66, "ERROR")</f>
        <v>4</v>
      </c>
      <c r="I66" s="6">
        <f>IF(Data!H66 = 'Point Intercept 2'!H66, Data!H66, "ERROR")</f>
        <v>2</v>
      </c>
      <c r="J66" s="6">
        <f>IF(Data!J66 = 'Point Intercept 2'!J66, Data!J66, "ERROR")</f>
        <v>1.5</v>
      </c>
      <c r="K66" s="6" t="str">
        <f>IF(Data!K66 = 'Point Intercept 2'!K66, Data!K66, "ERROR")</f>
        <v>AMSMEN</v>
      </c>
      <c r="L66" s="6" t="str">
        <f>IF(Data!L66 = 'Point Intercept 2'!L66, Data!L66, "ERROR")</f>
        <v>Amsinckia menziesii</v>
      </c>
      <c r="M66" s="6">
        <f>IF(Data!N66 = 'Point Intercept 2'!M66, Data!N66, "ERROR")</f>
        <v>0</v>
      </c>
      <c r="N66" s="6">
        <f>IF(Data!O66 = 'Point Intercept 2'!N66, Data!O66, "ERROR")</f>
        <v>0</v>
      </c>
      <c r="O66" s="6">
        <f>IF(Data!P66 = 'Point Intercept 2'!O66, Data!P66, "ERROR")</f>
        <v>0</v>
      </c>
    </row>
    <row r="67" spans="1:15" x14ac:dyDescent="0.25">
      <c r="A67" s="6">
        <f>IF(Data!A67 = 'Point Intercept 2'!A67, Data!A67, "ERROR")</f>
        <v>1</v>
      </c>
      <c r="B67" s="6">
        <f>IF(Data!B67 = 'Point Intercept 2'!B67, Data!B67, "ERROR")</f>
        <v>2025</v>
      </c>
      <c r="C67" s="7">
        <f>IF(Data!C67 = 'Point Intercept 2'!C67, Data!C67, "ERROR")</f>
        <v>45764</v>
      </c>
      <c r="D67" s="6" t="str">
        <f>IF(Data!D67 = 'Point Intercept 2'!D67, Data!D67, "ERROR")</f>
        <v>TL, CG, BN</v>
      </c>
      <c r="E67" s="6" t="str">
        <f>IF(Data!E67 = 'Point Intercept 2'!E67, Data!E67, "ERROR")</f>
        <v>VB</v>
      </c>
      <c r="F67" s="6">
        <f>IF(Data!F67 = 'Point Intercept 2'!F67, Data!F67, "ERROR")</f>
        <v>1</v>
      </c>
      <c r="G67" s="6" t="str">
        <f>IF(Data!G67 = 'Point Intercept 2'!G67, Data!G67, "ERROR")</f>
        <v>LS</v>
      </c>
      <c r="H67" s="6">
        <f>IF(Data!I67 = 'Point Intercept 2'!I67, Data!I67, "ERROR")</f>
        <v>4</v>
      </c>
      <c r="I67" s="6">
        <f>IF(Data!H67 = 'Point Intercept 2'!H67, Data!H67, "ERROR")</f>
        <v>2</v>
      </c>
      <c r="J67" s="6">
        <f>IF(Data!J67 = 'Point Intercept 2'!J67, Data!J67, "ERROR")</f>
        <v>1.5</v>
      </c>
      <c r="K67" s="6" t="str">
        <f>IF(Data!K67 = 'Point Intercept 2'!K67, Data!K67, "ERROR")</f>
        <v>FESMYU</v>
      </c>
      <c r="L67" s="6" t="str">
        <f>IF(Data!L67 = 'Point Intercept 2'!L67, Data!L67, "ERROR")</f>
        <v>Festuca myuros</v>
      </c>
      <c r="M67" s="6">
        <f>IF(Data!N67 = 'Point Intercept 2'!M67, Data!N67, "ERROR")</f>
        <v>0</v>
      </c>
      <c r="N67" s="6">
        <f>IF(Data!O67 = 'Point Intercept 2'!N67, Data!O67, "ERROR")</f>
        <v>0</v>
      </c>
      <c r="O67" s="6">
        <f>IF(Data!P67 = 'Point Intercept 2'!O67, Data!P67, "ERROR")</f>
        <v>0</v>
      </c>
    </row>
    <row r="68" spans="1:15" x14ac:dyDescent="0.25">
      <c r="A68" s="6">
        <f>IF(Data!A68 = 'Point Intercept 2'!A68, Data!A68, "ERROR")</f>
        <v>1</v>
      </c>
      <c r="B68" s="6">
        <f>IF(Data!B68 = 'Point Intercept 2'!B68, Data!B68, "ERROR")</f>
        <v>2025</v>
      </c>
      <c r="C68" s="7">
        <f>IF(Data!C68 = 'Point Intercept 2'!C68, Data!C68, "ERROR")</f>
        <v>45764</v>
      </c>
      <c r="D68" s="6" t="str">
        <f>IF(Data!D68 = 'Point Intercept 2'!D68, Data!D68, "ERROR")</f>
        <v>TL, CG, BN</v>
      </c>
      <c r="E68" s="6" t="str">
        <f>IF(Data!E68 = 'Point Intercept 2'!E68, Data!E68, "ERROR")</f>
        <v>VB</v>
      </c>
      <c r="F68" s="6">
        <f>IF(Data!F68 = 'Point Intercept 2'!F68, Data!F68, "ERROR")</f>
        <v>1</v>
      </c>
      <c r="G68" s="6" t="str">
        <f>IF(Data!G68 = 'Point Intercept 2'!G68, Data!G68, "ERROR")</f>
        <v>LS</v>
      </c>
      <c r="H68" s="6">
        <f>IF(Data!I68 = 'Point Intercept 2'!I68, Data!I68, "ERROR")</f>
        <v>5</v>
      </c>
      <c r="I68" s="6">
        <f>IF(Data!H68 = 'Point Intercept 2'!H68, Data!H68, "ERROR")</f>
        <v>2</v>
      </c>
      <c r="J68" s="6">
        <f>IF(Data!J68 = 'Point Intercept 2'!J68, Data!J68, "ERROR")</f>
        <v>2.5</v>
      </c>
      <c r="K68" s="6" t="str">
        <f>IF(Data!K68 = 'Point Intercept 2'!K68, Data!K68, "ERROR")</f>
        <v>L</v>
      </c>
      <c r="L68" s="6" t="str">
        <f>IF(Data!L68 = 'Point Intercept 2'!L68, Data!L68, "ERROR")</f>
        <v>Litter</v>
      </c>
      <c r="M68" s="6">
        <f>IF(Data!N68 = 'Point Intercept 2'!M68, Data!N68, "ERROR")</f>
        <v>0</v>
      </c>
      <c r="N68" s="6">
        <f>IF(Data!O68 = 'Point Intercept 2'!N68, Data!O68, "ERROR")</f>
        <v>0</v>
      </c>
      <c r="O68" s="6">
        <f>IF(Data!P68 = 'Point Intercept 2'!O68, Data!P68, "ERROR")</f>
        <v>0</v>
      </c>
    </row>
    <row r="69" spans="1:15" x14ac:dyDescent="0.25">
      <c r="A69" s="6">
        <f>IF(Data!A69 = 'Point Intercept 2'!A69, Data!A69, "ERROR")</f>
        <v>1</v>
      </c>
      <c r="B69" s="6">
        <f>IF(Data!B69 = 'Point Intercept 2'!B69, Data!B69, "ERROR")</f>
        <v>2025</v>
      </c>
      <c r="C69" s="7">
        <f>IF(Data!C69 = 'Point Intercept 2'!C69, Data!C69, "ERROR")</f>
        <v>45764</v>
      </c>
      <c r="D69" s="6" t="str">
        <f>IF(Data!D69 = 'Point Intercept 2'!D69, Data!D69, "ERROR")</f>
        <v>TL, CG, BN</v>
      </c>
      <c r="E69" s="6" t="str">
        <f>IF(Data!E69 = 'Point Intercept 2'!E69, Data!E69, "ERROR")</f>
        <v>VB</v>
      </c>
      <c r="F69" s="6">
        <f>IF(Data!F69 = 'Point Intercept 2'!F69, Data!F69, "ERROR")</f>
        <v>1</v>
      </c>
      <c r="G69" s="6" t="str">
        <f>IF(Data!G69 = 'Point Intercept 2'!G69, Data!G69, "ERROR")</f>
        <v>LS</v>
      </c>
      <c r="H69" s="6">
        <f>IF(Data!I69 = 'Point Intercept 2'!I69, Data!I69, "ERROR")</f>
        <v>5</v>
      </c>
      <c r="I69" s="6">
        <f>IF(Data!H69 = 'Point Intercept 2'!H69, Data!H69, "ERROR")</f>
        <v>2</v>
      </c>
      <c r="J69" s="6">
        <f>IF(Data!J69 = 'Point Intercept 2'!J69, Data!J69, "ERROR")</f>
        <v>2.5</v>
      </c>
      <c r="K69" s="6" t="str">
        <f>IF(Data!K69 = 'Point Intercept 2'!K69, Data!K69, "ERROR")</f>
        <v>FESMYU</v>
      </c>
      <c r="L69" s="6" t="str">
        <f>IF(Data!L69 = 'Point Intercept 2'!L69, Data!L69, "ERROR")</f>
        <v>Festuca myuros</v>
      </c>
      <c r="M69" s="6">
        <f>IF(Data!N69 = 'Point Intercept 2'!M69, Data!N69, "ERROR")</f>
        <v>0</v>
      </c>
      <c r="N69" s="6">
        <f>IF(Data!O69 = 'Point Intercept 2'!N69, Data!O69, "ERROR")</f>
        <v>0</v>
      </c>
      <c r="O69" s="6">
        <f>IF(Data!P69 = 'Point Intercept 2'!O69, Data!P69, "ERROR")</f>
        <v>0</v>
      </c>
    </row>
    <row r="70" spans="1:15" x14ac:dyDescent="0.25">
      <c r="A70" s="6">
        <f>IF(Data!A70 = 'Point Intercept 2'!A70, Data!A70, "ERROR")</f>
        <v>1</v>
      </c>
      <c r="B70" s="6">
        <f>IF(Data!B70 = 'Point Intercept 2'!B70, Data!B70, "ERROR")</f>
        <v>2025</v>
      </c>
      <c r="C70" s="7">
        <f>IF(Data!C70 = 'Point Intercept 2'!C70, Data!C70, "ERROR")</f>
        <v>45764</v>
      </c>
      <c r="D70" s="6" t="str">
        <f>IF(Data!D70 = 'Point Intercept 2'!D70, Data!D70, "ERROR")</f>
        <v>TL, CG, BN</v>
      </c>
      <c r="E70" s="6" t="str">
        <f>IF(Data!E70 = 'Point Intercept 2'!E70, Data!E70, "ERROR")</f>
        <v>VB</v>
      </c>
      <c r="F70" s="6">
        <f>IF(Data!F70 = 'Point Intercept 2'!F70, Data!F70, "ERROR")</f>
        <v>1</v>
      </c>
      <c r="G70" s="6" t="str">
        <f>IF(Data!G70 = 'Point Intercept 2'!G70, Data!G70, "ERROR")</f>
        <v>LS</v>
      </c>
      <c r="H70" s="6">
        <f>IF(Data!I70 = 'Point Intercept 2'!I70, Data!I70, "ERROR")</f>
        <v>5</v>
      </c>
      <c r="I70" s="6">
        <f>IF(Data!H70 = 'Point Intercept 2'!H70, Data!H70, "ERROR")</f>
        <v>2</v>
      </c>
      <c r="J70" s="6">
        <f>IF(Data!J70 = 'Point Intercept 2'!J70, Data!J70, "ERROR")</f>
        <v>2.5</v>
      </c>
      <c r="K70" s="6" t="str">
        <f>IF(Data!K70 = 'Point Intercept 2'!K70, Data!K70, "ERROR")</f>
        <v>MEDPOL</v>
      </c>
      <c r="L70" s="6" t="str">
        <f>IF(Data!L70 = 'Point Intercept 2'!L70, Data!L70, "ERROR")</f>
        <v>Medicago polymorpha</v>
      </c>
      <c r="M70" s="6">
        <f>IF(Data!N70 = 'Point Intercept 2'!M70, Data!N70, "ERROR")</f>
        <v>0</v>
      </c>
      <c r="N70" s="6">
        <f>IF(Data!O70 = 'Point Intercept 2'!N70, Data!O70, "ERROR")</f>
        <v>0</v>
      </c>
      <c r="O70" s="6">
        <f>IF(Data!P70 = 'Point Intercept 2'!O70, Data!P70, "ERROR")</f>
        <v>0</v>
      </c>
    </row>
    <row r="71" spans="1:15" x14ac:dyDescent="0.25">
      <c r="A71" s="6">
        <f>IF(Data!A71 = 'Point Intercept 2'!A71, Data!A71, "ERROR")</f>
        <v>1</v>
      </c>
      <c r="B71" s="6">
        <f>IF(Data!B71 = 'Point Intercept 2'!B71, Data!B71, "ERROR")</f>
        <v>2025</v>
      </c>
      <c r="C71" s="7">
        <f>IF(Data!C71 = 'Point Intercept 2'!C71, Data!C71, "ERROR")</f>
        <v>45764</v>
      </c>
      <c r="D71" s="6" t="str">
        <f>IF(Data!D71 = 'Point Intercept 2'!D71, Data!D71, "ERROR")</f>
        <v>TL, CG, BN</v>
      </c>
      <c r="E71" s="6" t="str">
        <f>IF(Data!E71 = 'Point Intercept 2'!E71, Data!E71, "ERROR")</f>
        <v>VB</v>
      </c>
      <c r="F71" s="6">
        <f>IF(Data!F71 = 'Point Intercept 2'!F71, Data!F71, "ERROR")</f>
        <v>1</v>
      </c>
      <c r="G71" s="6" t="str">
        <f>IF(Data!G71 = 'Point Intercept 2'!G71, Data!G71, "ERROR")</f>
        <v>LS</v>
      </c>
      <c r="H71" s="6">
        <f>IF(Data!I71 = 'Point Intercept 2'!I71, Data!I71, "ERROR")</f>
        <v>6</v>
      </c>
      <c r="I71" s="6">
        <f>IF(Data!H71 = 'Point Intercept 2'!H71, Data!H71, "ERROR")</f>
        <v>2</v>
      </c>
      <c r="J71" s="6">
        <f>IF(Data!J71 = 'Point Intercept 2'!J71, Data!J71, "ERROR")</f>
        <v>3</v>
      </c>
      <c r="K71" s="6" t="str">
        <f>IF(Data!K71 = 'Point Intercept 2'!K71, Data!K71, "ERROR")</f>
        <v>L</v>
      </c>
      <c r="L71" s="6" t="str">
        <f>IF(Data!L71 = 'Point Intercept 2'!L71, Data!L71, "ERROR")</f>
        <v>Litter</v>
      </c>
      <c r="M71" s="6">
        <f>IF(Data!N71 = 'Point Intercept 2'!M71, Data!N71, "ERROR")</f>
        <v>0</v>
      </c>
      <c r="N71" s="6">
        <f>IF(Data!O71 = 'Point Intercept 2'!N71, Data!O71, "ERROR")</f>
        <v>0</v>
      </c>
      <c r="O71" s="6">
        <f>IF(Data!P71 = 'Point Intercept 2'!O71, Data!P71, "ERROR")</f>
        <v>0</v>
      </c>
    </row>
    <row r="72" spans="1:15" x14ac:dyDescent="0.25">
      <c r="A72" s="6">
        <f>IF(Data!A72 = 'Point Intercept 2'!A72, Data!A72, "ERROR")</f>
        <v>1</v>
      </c>
      <c r="B72" s="6">
        <f>IF(Data!B72 = 'Point Intercept 2'!B72, Data!B72, "ERROR")</f>
        <v>2025</v>
      </c>
      <c r="C72" s="7">
        <f>IF(Data!C72 = 'Point Intercept 2'!C72, Data!C72, "ERROR")</f>
        <v>45764</v>
      </c>
      <c r="D72" s="6" t="str">
        <f>IF(Data!D72 = 'Point Intercept 2'!D72, Data!D72, "ERROR")</f>
        <v>TL, CG, BN</v>
      </c>
      <c r="E72" s="6" t="str">
        <f>IF(Data!E72 = 'Point Intercept 2'!E72, Data!E72, "ERROR")</f>
        <v>VB</v>
      </c>
      <c r="F72" s="6">
        <f>IF(Data!F72 = 'Point Intercept 2'!F72, Data!F72, "ERROR")</f>
        <v>1</v>
      </c>
      <c r="G72" s="6" t="str">
        <f>IF(Data!G72 = 'Point Intercept 2'!G72, Data!G72, "ERROR")</f>
        <v>LS</v>
      </c>
      <c r="H72" s="6">
        <f>IF(Data!I72 = 'Point Intercept 2'!I72, Data!I72, "ERROR")</f>
        <v>6</v>
      </c>
      <c r="I72" s="6">
        <f>IF(Data!H72 = 'Point Intercept 2'!H72, Data!H72, "ERROR")</f>
        <v>2</v>
      </c>
      <c r="J72" s="6">
        <f>IF(Data!J72 = 'Point Intercept 2'!J72, Data!J72, "ERROR")</f>
        <v>3</v>
      </c>
      <c r="K72" s="6" t="str">
        <f>IF(Data!K72 = 'Point Intercept 2'!K72, Data!K72, "ERROR")</f>
        <v>MEDPOL</v>
      </c>
      <c r="L72" s="6" t="str">
        <f>IF(Data!L72 = 'Point Intercept 2'!L72, Data!L72, "ERROR")</f>
        <v>Medicago polymorpha</v>
      </c>
      <c r="M72" s="6">
        <f>IF(Data!N72 = 'Point Intercept 2'!M72, Data!N72, "ERROR")</f>
        <v>0</v>
      </c>
      <c r="N72" s="6">
        <f>IF(Data!O72 = 'Point Intercept 2'!N72, Data!O72, "ERROR")</f>
        <v>0</v>
      </c>
      <c r="O72" s="6">
        <f>IF(Data!P72 = 'Point Intercept 2'!O72, Data!P72, "ERROR")</f>
        <v>0</v>
      </c>
    </row>
    <row r="73" spans="1:15" x14ac:dyDescent="0.25">
      <c r="A73" s="6">
        <f>IF(Data!A73 = 'Point Intercept 2'!A73, Data!A73, "ERROR")</f>
        <v>1</v>
      </c>
      <c r="B73" s="6">
        <f>IF(Data!B73 = 'Point Intercept 2'!B73, Data!B73, "ERROR")</f>
        <v>2025</v>
      </c>
      <c r="C73" s="7">
        <f>IF(Data!C73 = 'Point Intercept 2'!C73, Data!C73, "ERROR")</f>
        <v>45764</v>
      </c>
      <c r="D73" s="6" t="str">
        <f>IF(Data!D73 = 'Point Intercept 2'!D73, Data!D73, "ERROR")</f>
        <v>TL, CG, BN</v>
      </c>
      <c r="E73" s="6" t="str">
        <f>IF(Data!E73 = 'Point Intercept 2'!E73, Data!E73, "ERROR")</f>
        <v>VB</v>
      </c>
      <c r="F73" s="6">
        <f>IF(Data!F73 = 'Point Intercept 2'!F73, Data!F73, "ERROR")</f>
        <v>1</v>
      </c>
      <c r="G73" s="6" t="str">
        <f>IF(Data!G73 = 'Point Intercept 2'!G73, Data!G73, "ERROR")</f>
        <v>LS</v>
      </c>
      <c r="H73" s="6">
        <f>IF(Data!I73 = 'Point Intercept 2'!I73, Data!I73, "ERROR")</f>
        <v>6</v>
      </c>
      <c r="I73" s="6">
        <f>IF(Data!H73 = 'Point Intercept 2'!H73, Data!H73, "ERROR")</f>
        <v>2</v>
      </c>
      <c r="J73" s="6">
        <f>IF(Data!J73 = 'Point Intercept 2'!J73, Data!J73, "ERROR")</f>
        <v>3</v>
      </c>
      <c r="K73" s="6" t="str">
        <f>IF(Data!K73 = 'Point Intercept 2'!K73, Data!K73, "ERROR")</f>
        <v>EROMOS</v>
      </c>
      <c r="L73" s="6" t="str">
        <f>IF(Data!L73 = 'Point Intercept 2'!L73, Data!L73, "ERROR")</f>
        <v>Erodium moschatum</v>
      </c>
      <c r="M73" s="6">
        <f>IF(Data!N73 = 'Point Intercept 2'!M73, Data!N73, "ERROR")</f>
        <v>0</v>
      </c>
      <c r="N73" s="6">
        <f>IF(Data!O73 = 'Point Intercept 2'!N73, Data!O73, "ERROR")</f>
        <v>0</v>
      </c>
      <c r="O73" s="6">
        <f>IF(Data!P73 = 'Point Intercept 2'!O73, Data!P73, "ERROR")</f>
        <v>0</v>
      </c>
    </row>
    <row r="74" spans="1:15" x14ac:dyDescent="0.25">
      <c r="A74" s="6">
        <f>IF(Data!A74 = 'Point Intercept 2'!A74, Data!A74, "ERROR")</f>
        <v>1</v>
      </c>
      <c r="B74" s="6">
        <f>IF(Data!B74 = 'Point Intercept 2'!B74, Data!B74, "ERROR")</f>
        <v>2025</v>
      </c>
      <c r="C74" s="7">
        <f>IF(Data!C74 = 'Point Intercept 2'!C74, Data!C74, "ERROR")</f>
        <v>45764</v>
      </c>
      <c r="D74" s="6" t="str">
        <f>IF(Data!D74 = 'Point Intercept 2'!D74, Data!D74, "ERROR")</f>
        <v>TL, CG, BN</v>
      </c>
      <c r="E74" s="6" t="str">
        <f>IF(Data!E74 = 'Point Intercept 2'!E74, Data!E74, "ERROR")</f>
        <v>VB</v>
      </c>
      <c r="F74" s="6">
        <f>IF(Data!F74 = 'Point Intercept 2'!F74, Data!F74, "ERROR")</f>
        <v>1</v>
      </c>
      <c r="G74" s="6" t="str">
        <f>IF(Data!G74 = 'Point Intercept 2'!G74, Data!G74, "ERROR")</f>
        <v>LS</v>
      </c>
      <c r="H74" s="6">
        <f>IF(Data!I74 = 'Point Intercept 2'!I74, Data!I74, "ERROR")</f>
        <v>7</v>
      </c>
      <c r="I74" s="6">
        <f>IF(Data!H74 = 'Point Intercept 2'!H74, Data!H74, "ERROR")</f>
        <v>2</v>
      </c>
      <c r="J74" s="6">
        <f>IF(Data!J74 = 'Point Intercept 2'!J74, Data!J74, "ERROR")</f>
        <v>3.5</v>
      </c>
      <c r="K74" s="6" t="str">
        <f>IF(Data!K74 = 'Point Intercept 2'!K74, Data!K74, "ERROR")</f>
        <v>L</v>
      </c>
      <c r="L74" s="6" t="str">
        <f>IF(Data!L74 = 'Point Intercept 2'!L74, Data!L74, "ERROR")</f>
        <v>Litter</v>
      </c>
      <c r="M74" s="6">
        <f>IF(Data!N74 = 'Point Intercept 2'!M74, Data!N74, "ERROR")</f>
        <v>0</v>
      </c>
      <c r="N74" s="6">
        <f>IF(Data!O74 = 'Point Intercept 2'!N74, Data!O74, "ERROR")</f>
        <v>0</v>
      </c>
      <c r="O74" s="6">
        <f>IF(Data!P74 = 'Point Intercept 2'!O74, Data!P74, "ERROR")</f>
        <v>0</v>
      </c>
    </row>
    <row r="75" spans="1:15" x14ac:dyDescent="0.25">
      <c r="A75" s="6">
        <f>IF(Data!A75 = 'Point Intercept 2'!A75, Data!A75, "ERROR")</f>
        <v>1</v>
      </c>
      <c r="B75" s="6">
        <f>IF(Data!B75 = 'Point Intercept 2'!B75, Data!B75, "ERROR")</f>
        <v>2025</v>
      </c>
      <c r="C75" s="7">
        <f>IF(Data!C75 = 'Point Intercept 2'!C75, Data!C75, "ERROR")</f>
        <v>45764</v>
      </c>
      <c r="D75" s="6" t="str">
        <f>IF(Data!D75 = 'Point Intercept 2'!D75, Data!D75, "ERROR")</f>
        <v>TL, CG, BN</v>
      </c>
      <c r="E75" s="6" t="str">
        <f>IF(Data!E75 = 'Point Intercept 2'!E75, Data!E75, "ERROR")</f>
        <v>VB</v>
      </c>
      <c r="F75" s="6">
        <f>IF(Data!F75 = 'Point Intercept 2'!F75, Data!F75, "ERROR")</f>
        <v>1</v>
      </c>
      <c r="G75" s="6" t="str">
        <f>IF(Data!G75 = 'Point Intercept 2'!G75, Data!G75, "ERROR")</f>
        <v>LS</v>
      </c>
      <c r="H75" s="6">
        <f>IF(Data!I75 = 'Point Intercept 2'!I75, Data!I75, "ERROR")</f>
        <v>7</v>
      </c>
      <c r="I75" s="6">
        <f>IF(Data!H75 = 'Point Intercept 2'!H75, Data!H75, "ERROR")</f>
        <v>2</v>
      </c>
      <c r="J75" s="6">
        <f>IF(Data!J75 = 'Point Intercept 2'!J75, Data!J75, "ERROR")</f>
        <v>3.5</v>
      </c>
      <c r="K75" s="6" t="str">
        <f>IF(Data!K75 = 'Point Intercept 2'!K75, Data!K75, "ERROR")</f>
        <v>MEDPOL</v>
      </c>
      <c r="L75" s="6" t="str">
        <f>IF(Data!L75 = 'Point Intercept 2'!L75, Data!L75, "ERROR")</f>
        <v>Medicago polymorpha</v>
      </c>
      <c r="M75" s="6">
        <f>IF(Data!N75 = 'Point Intercept 2'!M75, Data!N75, "ERROR")</f>
        <v>0</v>
      </c>
      <c r="N75" s="6">
        <f>IF(Data!O75 = 'Point Intercept 2'!N75, Data!O75, "ERROR")</f>
        <v>0</v>
      </c>
      <c r="O75" s="6">
        <f>IF(Data!P75 = 'Point Intercept 2'!O75, Data!P75, "ERROR")</f>
        <v>0</v>
      </c>
    </row>
    <row r="76" spans="1:15" x14ac:dyDescent="0.25">
      <c r="A76" s="6">
        <f>IF(Data!A76 = 'Point Intercept 2'!A76, Data!A76, "ERROR")</f>
        <v>1</v>
      </c>
      <c r="B76" s="6">
        <f>IF(Data!B76 = 'Point Intercept 2'!B76, Data!B76, "ERROR")</f>
        <v>2025</v>
      </c>
      <c r="C76" s="7">
        <f>IF(Data!C76 = 'Point Intercept 2'!C76, Data!C76, "ERROR")</f>
        <v>45764</v>
      </c>
      <c r="D76" s="6" t="str">
        <f>IF(Data!D76 = 'Point Intercept 2'!D76, Data!D76, "ERROR")</f>
        <v>TL, CG, BN</v>
      </c>
      <c r="E76" s="6" t="str">
        <f>IF(Data!E76 = 'Point Intercept 2'!E76, Data!E76, "ERROR")</f>
        <v>VB</v>
      </c>
      <c r="F76" s="6">
        <f>IF(Data!F76 = 'Point Intercept 2'!F76, Data!F76, "ERROR")</f>
        <v>1</v>
      </c>
      <c r="G76" s="6" t="str">
        <f>IF(Data!G76 = 'Point Intercept 2'!G76, Data!G76, "ERROR")</f>
        <v>LS</v>
      </c>
      <c r="H76" s="6">
        <f>IF(Data!I76 = 'Point Intercept 2'!I76, Data!I76, "ERROR")</f>
        <v>7</v>
      </c>
      <c r="I76" s="6">
        <f>IF(Data!H76 = 'Point Intercept 2'!H76, Data!H76, "ERROR")</f>
        <v>2</v>
      </c>
      <c r="J76" s="6">
        <f>IF(Data!J76 = 'Point Intercept 2'!J76, Data!J76, "ERROR")</f>
        <v>3.5</v>
      </c>
      <c r="K76" s="6" t="str">
        <f>IF(Data!K76 = 'Point Intercept 2'!K76, Data!K76, "ERROR")</f>
        <v>EROMOS</v>
      </c>
      <c r="L76" s="6" t="str">
        <f>IF(Data!L76 = 'Point Intercept 2'!L76, Data!L76, "ERROR")</f>
        <v>Erodium moschatum</v>
      </c>
      <c r="M76" s="6">
        <f>IF(Data!N76 = 'Point Intercept 2'!M76, Data!N76, "ERROR")</f>
        <v>0</v>
      </c>
      <c r="N76" s="6">
        <f>IF(Data!O76 = 'Point Intercept 2'!N76, Data!O76, "ERROR")</f>
        <v>0</v>
      </c>
      <c r="O76" s="6">
        <f>IF(Data!P76 = 'Point Intercept 2'!O76, Data!P76, "ERROR")</f>
        <v>0</v>
      </c>
    </row>
    <row r="77" spans="1:15" x14ac:dyDescent="0.25">
      <c r="A77" s="6">
        <f>IF(Data!A77 = 'Point Intercept 2'!A77, Data!A77, "ERROR")</f>
        <v>1</v>
      </c>
      <c r="B77" s="6">
        <f>IF(Data!B77 = 'Point Intercept 2'!B77, Data!B77, "ERROR")</f>
        <v>2025</v>
      </c>
      <c r="C77" s="7">
        <f>IF(Data!C77 = 'Point Intercept 2'!C77, Data!C77, "ERROR")</f>
        <v>45764</v>
      </c>
      <c r="D77" s="6" t="str">
        <f>IF(Data!D77 = 'Point Intercept 2'!D77, Data!D77, "ERROR")</f>
        <v>TL, CG, BN</v>
      </c>
      <c r="E77" s="6" t="str">
        <f>IF(Data!E77 = 'Point Intercept 2'!E77, Data!E77, "ERROR")</f>
        <v>VB</v>
      </c>
      <c r="F77" s="6">
        <f>IF(Data!F77 = 'Point Intercept 2'!F77, Data!F77, "ERROR")</f>
        <v>1</v>
      </c>
      <c r="G77" s="6" t="str">
        <f>IF(Data!G77 = 'Point Intercept 2'!G77, Data!G77, "ERROR")</f>
        <v>LS</v>
      </c>
      <c r="H77" s="6">
        <f>IF(Data!I77 = 'Point Intercept 2'!I77, Data!I77, "ERROR")</f>
        <v>7</v>
      </c>
      <c r="I77" s="6">
        <f>IF(Data!H77 = 'Point Intercept 2'!H77, Data!H77, "ERROR")</f>
        <v>2</v>
      </c>
      <c r="J77" s="6">
        <f>IF(Data!J77 = 'Point Intercept 2'!J77, Data!J77, "ERROR")</f>
        <v>3.5</v>
      </c>
      <c r="K77" s="6" t="str">
        <f>IF(Data!K77 = 'Point Intercept 2'!K77, Data!K77, "ERROR")</f>
        <v>DEIFAS</v>
      </c>
      <c r="L77" s="6" t="str">
        <f>IF(Data!L77 = 'Point Intercept 2'!L77, Data!L77, "ERROR")</f>
        <v>Deinandra fasciculata</v>
      </c>
      <c r="M77" s="6">
        <f>IF(Data!N77 = 'Point Intercept 2'!M77, Data!N77, "ERROR")</f>
        <v>0</v>
      </c>
      <c r="N77" s="6">
        <f>IF(Data!O77 = 'Point Intercept 2'!N77, Data!O77, "ERROR")</f>
        <v>0</v>
      </c>
      <c r="O77" s="6">
        <f>IF(Data!P77 = 'Point Intercept 2'!O77, Data!P77, "ERROR")</f>
        <v>0</v>
      </c>
    </row>
    <row r="78" spans="1:15" x14ac:dyDescent="0.25">
      <c r="A78" s="6">
        <f>IF(Data!A78 = 'Point Intercept 2'!A78, Data!A78, "ERROR")</f>
        <v>1</v>
      </c>
      <c r="B78" s="6">
        <f>IF(Data!B78 = 'Point Intercept 2'!B78, Data!B78, "ERROR")</f>
        <v>2025</v>
      </c>
      <c r="C78" s="7">
        <f>IF(Data!C78 = 'Point Intercept 2'!C78, Data!C78, "ERROR")</f>
        <v>45764</v>
      </c>
      <c r="D78" s="6" t="str">
        <f>IF(Data!D78 = 'Point Intercept 2'!D78, Data!D78, "ERROR")</f>
        <v>TL, CG, BN</v>
      </c>
      <c r="E78" s="6" t="str">
        <f>IF(Data!E78 = 'Point Intercept 2'!E78, Data!E78, "ERROR")</f>
        <v>VB</v>
      </c>
      <c r="F78" s="6">
        <f>IF(Data!F78 = 'Point Intercept 2'!F78, Data!F78, "ERROR")</f>
        <v>1</v>
      </c>
      <c r="G78" s="6" t="str">
        <f>IF(Data!G78 = 'Point Intercept 2'!G78, Data!G78, "ERROR")</f>
        <v>LS</v>
      </c>
      <c r="H78" s="6">
        <f>IF(Data!I78 = 'Point Intercept 2'!I78, Data!I78, "ERROR")</f>
        <v>8</v>
      </c>
      <c r="I78" s="6">
        <f>IF(Data!H78 = 'Point Intercept 2'!H78, Data!H78, "ERROR")</f>
        <v>2</v>
      </c>
      <c r="J78" s="6">
        <f>IF(Data!J78 = 'Point Intercept 2'!J78, Data!J78, "ERROR")</f>
        <v>4</v>
      </c>
      <c r="K78" s="6" t="str">
        <f>IF(Data!K78 = 'Point Intercept 2'!K78, Data!K78, "ERROR")</f>
        <v>L</v>
      </c>
      <c r="L78" s="6" t="str">
        <f>IF(Data!L78 = 'Point Intercept 2'!L78, Data!L78, "ERROR")</f>
        <v>Litter</v>
      </c>
      <c r="M78" s="6">
        <f>IF(Data!N78 = 'Point Intercept 2'!M78, Data!N78, "ERROR")</f>
        <v>0</v>
      </c>
      <c r="N78" s="6">
        <f>IF(Data!O78 = 'Point Intercept 2'!N78, Data!O78, "ERROR")</f>
        <v>0</v>
      </c>
      <c r="O78" s="6">
        <f>IF(Data!P78 = 'Point Intercept 2'!O78, Data!P78, "ERROR")</f>
        <v>0</v>
      </c>
    </row>
    <row r="79" spans="1:15" x14ac:dyDescent="0.25">
      <c r="A79" s="6">
        <f>IF(Data!A79 = 'Point Intercept 2'!A79, Data!A79, "ERROR")</f>
        <v>1</v>
      </c>
      <c r="B79" s="6">
        <f>IF(Data!B79 = 'Point Intercept 2'!B79, Data!B79, "ERROR")</f>
        <v>2025</v>
      </c>
      <c r="C79" s="7">
        <f>IF(Data!C79 = 'Point Intercept 2'!C79, Data!C79, "ERROR")</f>
        <v>45764</v>
      </c>
      <c r="D79" s="6" t="str">
        <f>IF(Data!D79 = 'Point Intercept 2'!D79, Data!D79, "ERROR")</f>
        <v>TL, CG, BN</v>
      </c>
      <c r="E79" s="6" t="str">
        <f>IF(Data!E79 = 'Point Intercept 2'!E79, Data!E79, "ERROR")</f>
        <v>VB</v>
      </c>
      <c r="F79" s="6">
        <f>IF(Data!F79 = 'Point Intercept 2'!F79, Data!F79, "ERROR")</f>
        <v>1</v>
      </c>
      <c r="G79" s="6" t="str">
        <f>IF(Data!G79 = 'Point Intercept 2'!G79, Data!G79, "ERROR")</f>
        <v>LS</v>
      </c>
      <c r="H79" s="6">
        <f>IF(Data!I79 = 'Point Intercept 2'!I79, Data!I79, "ERROR")</f>
        <v>8</v>
      </c>
      <c r="I79" s="6">
        <f>IF(Data!H79 = 'Point Intercept 2'!H79, Data!H79, "ERROR")</f>
        <v>2</v>
      </c>
      <c r="J79" s="6">
        <f>IF(Data!J79 = 'Point Intercept 2'!J79, Data!J79, "ERROR")</f>
        <v>4</v>
      </c>
      <c r="K79" s="6" t="str">
        <f>IF(Data!K79 = 'Point Intercept 2'!K79, Data!K79, "ERROR")</f>
        <v>EROMOS</v>
      </c>
      <c r="L79" s="6" t="str">
        <f>IF(Data!L79 = 'Point Intercept 2'!L79, Data!L79, "ERROR")</f>
        <v>Erodium moschatum</v>
      </c>
      <c r="M79" s="6">
        <f>IF(Data!N79 = 'Point Intercept 2'!M79, Data!N79, "ERROR")</f>
        <v>0</v>
      </c>
      <c r="N79" s="6">
        <f>IF(Data!O79 = 'Point Intercept 2'!N79, Data!O79, "ERROR")</f>
        <v>0</v>
      </c>
      <c r="O79" s="6">
        <f>IF(Data!P79 = 'Point Intercept 2'!O79, Data!P79, "ERROR")</f>
        <v>0</v>
      </c>
    </row>
    <row r="80" spans="1:15" x14ac:dyDescent="0.25">
      <c r="A80" s="6">
        <f>IF(Data!A80 = 'Point Intercept 2'!A80, Data!A80, "ERROR")</f>
        <v>1</v>
      </c>
      <c r="B80" s="6">
        <f>IF(Data!B80 = 'Point Intercept 2'!B80, Data!B80, "ERROR")</f>
        <v>2025</v>
      </c>
      <c r="C80" s="7">
        <f>IF(Data!C80 = 'Point Intercept 2'!C80, Data!C80, "ERROR")</f>
        <v>45764</v>
      </c>
      <c r="D80" s="6" t="str">
        <f>IF(Data!D80 = 'Point Intercept 2'!D80, Data!D80, "ERROR")</f>
        <v>TL, CG, BN</v>
      </c>
      <c r="E80" s="6" t="str">
        <f>IF(Data!E80 = 'Point Intercept 2'!E80, Data!E80, "ERROR")</f>
        <v>VB</v>
      </c>
      <c r="F80" s="6">
        <f>IF(Data!F80 = 'Point Intercept 2'!F80, Data!F80, "ERROR")</f>
        <v>1</v>
      </c>
      <c r="G80" s="6" t="str">
        <f>IF(Data!G80 = 'Point Intercept 2'!G80, Data!G80, "ERROR")</f>
        <v>LS</v>
      </c>
      <c r="H80" s="6">
        <f>IF(Data!I80 = 'Point Intercept 2'!I80, Data!I80, "ERROR")</f>
        <v>9</v>
      </c>
      <c r="I80" s="6">
        <f>IF(Data!H80 = 'Point Intercept 2'!H80, Data!H80, "ERROR")</f>
        <v>2</v>
      </c>
      <c r="J80" s="6">
        <f>IF(Data!J80 = 'Point Intercept 2'!J80, Data!J80, "ERROR")</f>
        <v>4.5</v>
      </c>
      <c r="K80" s="6" t="str">
        <f>IF(Data!K80 = 'Point Intercept 2'!K80, Data!K80, "ERROR")</f>
        <v>L</v>
      </c>
      <c r="L80" s="6" t="str">
        <f>IF(Data!L80 = 'Point Intercept 2'!L80, Data!L80, "ERROR")</f>
        <v>Litter</v>
      </c>
      <c r="M80" s="6">
        <f>IF(Data!N80 = 'Point Intercept 2'!M80, Data!N80, "ERROR")</f>
        <v>0</v>
      </c>
      <c r="N80" s="6">
        <f>IF(Data!O80 = 'Point Intercept 2'!N80, Data!O80, "ERROR")</f>
        <v>0</v>
      </c>
      <c r="O80" s="6">
        <f>IF(Data!P80 = 'Point Intercept 2'!O80, Data!P80, "ERROR")</f>
        <v>0</v>
      </c>
    </row>
    <row r="81" spans="1:15" x14ac:dyDescent="0.25">
      <c r="A81" s="6">
        <f>IF(Data!A81 = 'Point Intercept 2'!A81, Data!A81, "ERROR")</f>
        <v>1</v>
      </c>
      <c r="B81" s="6">
        <f>IF(Data!B81 = 'Point Intercept 2'!B81, Data!B81, "ERROR")</f>
        <v>2025</v>
      </c>
      <c r="C81" s="7">
        <f>IF(Data!C81 = 'Point Intercept 2'!C81, Data!C81, "ERROR")</f>
        <v>45764</v>
      </c>
      <c r="D81" s="6" t="str">
        <f>IF(Data!D81 = 'Point Intercept 2'!D81, Data!D81, "ERROR")</f>
        <v>TL, CG, BN</v>
      </c>
      <c r="E81" s="6" t="str">
        <f>IF(Data!E81 = 'Point Intercept 2'!E81, Data!E81, "ERROR")</f>
        <v>VB</v>
      </c>
      <c r="F81" s="6">
        <f>IF(Data!F81 = 'Point Intercept 2'!F81, Data!F81, "ERROR")</f>
        <v>1</v>
      </c>
      <c r="G81" s="6" t="str">
        <f>IF(Data!G81 = 'Point Intercept 2'!G81, Data!G81, "ERROR")</f>
        <v>LS</v>
      </c>
      <c r="H81" s="6">
        <f>IF(Data!I81 = 'Point Intercept 2'!I81, Data!I81, "ERROR")</f>
        <v>9</v>
      </c>
      <c r="I81" s="6">
        <f>IF(Data!H81 = 'Point Intercept 2'!H81, Data!H81, "ERROR")</f>
        <v>2</v>
      </c>
      <c r="J81" s="6">
        <f>IF(Data!J81 = 'Point Intercept 2'!J81, Data!J81, "ERROR")</f>
        <v>4.5</v>
      </c>
      <c r="K81" s="6" t="str">
        <f>IF(Data!K81 = 'Point Intercept 2'!K81, Data!K81, "ERROR")</f>
        <v>BROMAD</v>
      </c>
      <c r="L81" s="6" t="str">
        <f>IF(Data!L81 = 'Point Intercept 2'!L81, Data!L81, "ERROR")</f>
        <v>Bromus madritensis</v>
      </c>
      <c r="M81" s="6">
        <f>IF(Data!N81 = 'Point Intercept 2'!M81, Data!N81, "ERROR")</f>
        <v>0</v>
      </c>
      <c r="N81" s="6">
        <f>IF(Data!O81 = 'Point Intercept 2'!N81, Data!O81, "ERROR")</f>
        <v>0</v>
      </c>
      <c r="O81" s="6">
        <f>IF(Data!P81 = 'Point Intercept 2'!O81, Data!P81, "ERROR")</f>
        <v>0</v>
      </c>
    </row>
    <row r="82" spans="1:15" x14ac:dyDescent="0.25">
      <c r="A82" s="6">
        <f>IF(Data!A82 = 'Point Intercept 2'!A82, Data!A82, "ERROR")</f>
        <v>1</v>
      </c>
      <c r="B82" s="6">
        <f>IF(Data!B82 = 'Point Intercept 2'!B82, Data!B82, "ERROR")</f>
        <v>2025</v>
      </c>
      <c r="C82" s="7">
        <f>IF(Data!C82 = 'Point Intercept 2'!C82, Data!C82, "ERROR")</f>
        <v>45764</v>
      </c>
      <c r="D82" s="6" t="str">
        <f>IF(Data!D82 = 'Point Intercept 2'!D82, Data!D82, "ERROR")</f>
        <v>TL, CG, BN</v>
      </c>
      <c r="E82" s="6" t="str">
        <f>IF(Data!E82 = 'Point Intercept 2'!E82, Data!E82, "ERROR")</f>
        <v>VB</v>
      </c>
      <c r="F82" s="6">
        <f>IF(Data!F82 = 'Point Intercept 2'!F82, Data!F82, "ERROR")</f>
        <v>1</v>
      </c>
      <c r="G82" s="6" t="str">
        <f>IF(Data!G82 = 'Point Intercept 2'!G82, Data!G82, "ERROR")</f>
        <v>LS</v>
      </c>
      <c r="H82" s="6">
        <f>IF(Data!I82 = 'Point Intercept 2'!I82, Data!I82, "ERROR")</f>
        <v>9</v>
      </c>
      <c r="I82" s="6">
        <f>IF(Data!H82 = 'Point Intercept 2'!H82, Data!H82, "ERROR")</f>
        <v>2</v>
      </c>
      <c r="J82" s="6">
        <f>IF(Data!J82 = 'Point Intercept 2'!J82, Data!J82, "ERROR")</f>
        <v>4.5</v>
      </c>
      <c r="K82" s="6" t="str">
        <f>IF(Data!K82 = 'Point Intercept 2'!K82, Data!K82, "ERROR")</f>
        <v>EROMOS</v>
      </c>
      <c r="L82" s="6" t="str">
        <f>IF(Data!L82 = 'Point Intercept 2'!L82, Data!L82, "ERROR")</f>
        <v>Erodium moschatum</v>
      </c>
      <c r="M82" s="6">
        <f>IF(Data!N82 = 'Point Intercept 2'!M82, Data!N82, "ERROR")</f>
        <v>0</v>
      </c>
      <c r="N82" s="6">
        <f>IF(Data!O82 = 'Point Intercept 2'!N82, Data!O82, "ERROR")</f>
        <v>0</v>
      </c>
      <c r="O82" s="6">
        <f>IF(Data!P82 = 'Point Intercept 2'!O82, Data!P82, "ERROR")</f>
        <v>0</v>
      </c>
    </row>
    <row r="83" spans="1:15" x14ac:dyDescent="0.25">
      <c r="A83" s="6">
        <f>IF(Data!A83 = 'Point Intercept 2'!A83, Data!A83, "ERROR")</f>
        <v>1</v>
      </c>
      <c r="B83" s="6">
        <f>IF(Data!B83 = 'Point Intercept 2'!B83, Data!B83, "ERROR")</f>
        <v>2025</v>
      </c>
      <c r="C83" s="7">
        <f>IF(Data!C83 = 'Point Intercept 2'!C83, Data!C83, "ERROR")</f>
        <v>45764</v>
      </c>
      <c r="D83" s="6" t="str">
        <f>IF(Data!D83 = 'Point Intercept 2'!D83, Data!D83, "ERROR")</f>
        <v>TL, CG, BN</v>
      </c>
      <c r="E83" s="6" t="str">
        <f>IF(Data!E83 = 'Point Intercept 2'!E83, Data!E83, "ERROR")</f>
        <v>VB</v>
      </c>
      <c r="F83" s="6">
        <f>IF(Data!F83 = 'Point Intercept 2'!F83, Data!F83, "ERROR")</f>
        <v>1</v>
      </c>
      <c r="G83" s="6" t="str">
        <f>IF(Data!G83 = 'Point Intercept 2'!G83, Data!G83, "ERROR")</f>
        <v>LS</v>
      </c>
      <c r="H83" s="6">
        <f>IF(Data!I83 = 'Point Intercept 2'!I83, Data!I83, "ERROR")</f>
        <v>10</v>
      </c>
      <c r="I83" s="6">
        <f>IF(Data!H83 = 'Point Intercept 2'!H83, Data!H83, "ERROR")</f>
        <v>2</v>
      </c>
      <c r="J83" s="6">
        <f>IF(Data!J83 = 'Point Intercept 2'!J83, Data!J83, "ERROR")</f>
        <v>5</v>
      </c>
      <c r="K83" s="6" t="str">
        <f>IF(Data!K83 = 'Point Intercept 2'!K83, Data!K83, "ERROR")</f>
        <v>L</v>
      </c>
      <c r="L83" s="6" t="str">
        <f>IF(Data!L83 = 'Point Intercept 2'!L83, Data!L83, "ERROR")</f>
        <v>Litter</v>
      </c>
      <c r="M83" s="6">
        <f>IF(Data!N83 = 'Point Intercept 2'!M83, Data!N83, "ERROR")</f>
        <v>0</v>
      </c>
      <c r="N83" s="6">
        <f>IF(Data!O83 = 'Point Intercept 2'!N83, Data!O83, "ERROR")</f>
        <v>0</v>
      </c>
      <c r="O83" s="6">
        <f>IF(Data!P83 = 'Point Intercept 2'!O83, Data!P83, "ERROR")</f>
        <v>0</v>
      </c>
    </row>
    <row r="84" spans="1:15" x14ac:dyDescent="0.25">
      <c r="A84" s="6">
        <f>IF(Data!A84 = 'Point Intercept 2'!A84, Data!A84, "ERROR")</f>
        <v>1</v>
      </c>
      <c r="B84" s="6">
        <f>IF(Data!B84 = 'Point Intercept 2'!B84, Data!B84, "ERROR")</f>
        <v>2025</v>
      </c>
      <c r="C84" s="7">
        <f>IF(Data!C84 = 'Point Intercept 2'!C84, Data!C84, "ERROR")</f>
        <v>45764</v>
      </c>
      <c r="D84" s="6" t="str">
        <f>IF(Data!D84 = 'Point Intercept 2'!D84, Data!D84, "ERROR")</f>
        <v>TL, CG, BN</v>
      </c>
      <c r="E84" s="6" t="str">
        <f>IF(Data!E84 = 'Point Intercept 2'!E84, Data!E84, "ERROR")</f>
        <v>VB</v>
      </c>
      <c r="F84" s="6">
        <f>IF(Data!F84 = 'Point Intercept 2'!F84, Data!F84, "ERROR")</f>
        <v>1</v>
      </c>
      <c r="G84" s="6" t="str">
        <f>IF(Data!G84 = 'Point Intercept 2'!G84, Data!G84, "ERROR")</f>
        <v>LS</v>
      </c>
      <c r="H84" s="6">
        <f>IF(Data!I84 = 'Point Intercept 2'!I84, Data!I84, "ERROR")</f>
        <v>10</v>
      </c>
      <c r="I84" s="6">
        <f>IF(Data!H84 = 'Point Intercept 2'!H84, Data!H84, "ERROR")</f>
        <v>2</v>
      </c>
      <c r="J84" s="6">
        <f>IF(Data!J84 = 'Point Intercept 2'!J84, Data!J84, "ERROR")</f>
        <v>5</v>
      </c>
      <c r="K84" s="6" t="str">
        <f>IF(Data!K84 = 'Point Intercept 2'!K84, Data!K84, "ERROR")</f>
        <v>SONOLE</v>
      </c>
      <c r="L84" s="6" t="str">
        <f>IF(Data!L84 = 'Point Intercept 2'!L84, Data!L84, "ERROR")</f>
        <v>Sonchus oleraceus</v>
      </c>
      <c r="M84" s="6">
        <f>IF(Data!N84 = 'Point Intercept 2'!M84, Data!N84, "ERROR")</f>
        <v>0</v>
      </c>
      <c r="N84" s="6">
        <f>IF(Data!O84 = 'Point Intercept 2'!N84, Data!O84, "ERROR")</f>
        <v>0</v>
      </c>
      <c r="O84" s="6">
        <f>IF(Data!P84 = 'Point Intercept 2'!O84, Data!P84, "ERROR")</f>
        <v>0</v>
      </c>
    </row>
    <row r="85" spans="1:15" x14ac:dyDescent="0.25">
      <c r="A85" s="6">
        <f>IF(Data!A85 = 'Point Intercept 2'!A85, Data!A85, "ERROR")</f>
        <v>1</v>
      </c>
      <c r="B85" s="6">
        <f>IF(Data!B85 = 'Point Intercept 2'!B85, Data!B85, "ERROR")</f>
        <v>2025</v>
      </c>
      <c r="C85" s="7">
        <f>IF(Data!C85 = 'Point Intercept 2'!C85, Data!C85, "ERROR")</f>
        <v>45764</v>
      </c>
      <c r="D85" s="6" t="str">
        <f>IF(Data!D85 = 'Point Intercept 2'!D85, Data!D85, "ERROR")</f>
        <v>TL, CG, BN</v>
      </c>
      <c r="E85" s="6" t="str">
        <f>IF(Data!E85 = 'Point Intercept 2'!E85, Data!E85, "ERROR")</f>
        <v>VB</v>
      </c>
      <c r="F85" s="6">
        <f>IF(Data!F85 = 'Point Intercept 2'!F85, Data!F85, "ERROR")</f>
        <v>1</v>
      </c>
      <c r="G85" s="6" t="str">
        <f>IF(Data!G85 = 'Point Intercept 2'!G85, Data!G85, "ERROR")</f>
        <v>LS</v>
      </c>
      <c r="H85" s="6">
        <f>IF(Data!I85 = 'Point Intercept 2'!I85, Data!I85, "ERROR")</f>
        <v>10</v>
      </c>
      <c r="I85" s="6">
        <f>IF(Data!H85 = 'Point Intercept 2'!H85, Data!H85, "ERROR")</f>
        <v>2</v>
      </c>
      <c r="J85" s="6">
        <f>IF(Data!J85 = 'Point Intercept 2'!J85, Data!J85, "ERROR")</f>
        <v>5</v>
      </c>
      <c r="K85" s="6" t="str">
        <f>IF(Data!K85 = 'Point Intercept 2'!K85, Data!K85, "ERROR")</f>
        <v>EROMOS</v>
      </c>
      <c r="L85" s="6" t="str">
        <f>IF(Data!L85 = 'Point Intercept 2'!L85, Data!L85, "ERROR")</f>
        <v>Erodium moschatum</v>
      </c>
      <c r="M85" s="6">
        <f>IF(Data!N85 = 'Point Intercept 2'!M85, Data!N85, "ERROR")</f>
        <v>0</v>
      </c>
      <c r="N85" s="6">
        <f>IF(Data!O85 = 'Point Intercept 2'!N85, Data!O85, "ERROR")</f>
        <v>0</v>
      </c>
      <c r="O85" s="6">
        <f>IF(Data!P85 = 'Point Intercept 2'!O85, Data!P85, "ERROR")</f>
        <v>0</v>
      </c>
    </row>
    <row r="86" spans="1:15" x14ac:dyDescent="0.25">
      <c r="A86" s="6">
        <f>IF(Data!A86 = 'Point Intercept 2'!A86, Data!A86, "ERROR")</f>
        <v>1</v>
      </c>
      <c r="B86" s="6">
        <f>IF(Data!B86 = 'Point Intercept 2'!B86, Data!B86, "ERROR")</f>
        <v>2025</v>
      </c>
      <c r="C86" s="7">
        <f>IF(Data!C86 = 'Point Intercept 2'!C86, Data!C86, "ERROR")</f>
        <v>45764</v>
      </c>
      <c r="D86" s="6" t="str">
        <f>IF(Data!D86 = 'Point Intercept 2'!D86, Data!D86, "ERROR")</f>
        <v>TL, CG, BN</v>
      </c>
      <c r="E86" s="6" t="str">
        <f>IF(Data!E86 = 'Point Intercept 2'!E86, Data!E86, "ERROR")</f>
        <v>VB</v>
      </c>
      <c r="F86" s="6">
        <f>IF(Data!F86 = 'Point Intercept 2'!F86, Data!F86, "ERROR")</f>
        <v>1</v>
      </c>
      <c r="G86" s="6" t="str">
        <f>IF(Data!G86 = 'Point Intercept 2'!G86, Data!G86, "ERROR")</f>
        <v>LS</v>
      </c>
      <c r="H86" s="6">
        <f>IF(Data!I86 = 'Point Intercept 2'!I86, Data!I86, "ERROR")</f>
        <v>10</v>
      </c>
      <c r="I86" s="6">
        <f>IF(Data!H86 = 'Point Intercept 2'!H86, Data!H86, "ERROR")</f>
        <v>2</v>
      </c>
      <c r="J86" s="6">
        <f>IF(Data!J86 = 'Point Intercept 2'!J86, Data!J86, "ERROR")</f>
        <v>5</v>
      </c>
      <c r="K86" s="6" t="str">
        <f>IF(Data!K86 = 'Point Intercept 2'!K86, Data!K86, "ERROR")</f>
        <v>BROMAD</v>
      </c>
      <c r="L86" s="6" t="str">
        <f>IF(Data!L86 = 'Point Intercept 2'!L86, Data!L86, "ERROR")</f>
        <v>Bromus madritensis</v>
      </c>
      <c r="M86" s="6">
        <f>IF(Data!N86 = 'Point Intercept 2'!M86, Data!N86, "ERROR")</f>
        <v>0</v>
      </c>
      <c r="N86" s="6">
        <f>IF(Data!O86 = 'Point Intercept 2'!N86, Data!O86, "ERROR")</f>
        <v>0</v>
      </c>
      <c r="O86" s="6">
        <f>IF(Data!P86 = 'Point Intercept 2'!O86, Data!P86, "ERROR")</f>
        <v>0</v>
      </c>
    </row>
    <row r="87" spans="1:15" x14ac:dyDescent="0.25">
      <c r="A87" s="6">
        <f>IF(Data!A87 = 'Point Intercept 2'!A87, Data!A87, "ERROR")</f>
        <v>1</v>
      </c>
      <c r="B87" s="6">
        <f>IF(Data!B87 = 'Point Intercept 2'!B87, Data!B87, "ERROR")</f>
        <v>2025</v>
      </c>
      <c r="C87" s="7">
        <f>IF(Data!C87 = 'Point Intercept 2'!C87, Data!C87, "ERROR")</f>
        <v>45764</v>
      </c>
      <c r="D87" s="6" t="str">
        <f>IF(Data!D87 = 'Point Intercept 2'!D87, Data!D87, "ERROR")</f>
        <v>TL, CG, BN</v>
      </c>
      <c r="E87" s="6" t="str">
        <f>IF(Data!E87 = 'Point Intercept 2'!E87, Data!E87, "ERROR")</f>
        <v>VB</v>
      </c>
      <c r="F87" s="6">
        <f>IF(Data!F87 = 'Point Intercept 2'!F87, Data!F87, "ERROR")</f>
        <v>1</v>
      </c>
      <c r="G87" s="6" t="str">
        <f>IF(Data!G87 = 'Point Intercept 2'!G87, Data!G87, "ERROR")</f>
        <v>LS</v>
      </c>
      <c r="H87" s="6">
        <f>IF(Data!I87 = 'Point Intercept 2'!I87, Data!I87, "ERROR")</f>
        <v>11</v>
      </c>
      <c r="I87" s="6">
        <f>IF(Data!H87 = 'Point Intercept 2'!H87, Data!H87, "ERROR")</f>
        <v>2</v>
      </c>
      <c r="J87" s="6">
        <f>IF(Data!J87 = 'Point Intercept 2'!J87, Data!J87, "ERROR")</f>
        <v>5.5</v>
      </c>
      <c r="K87" s="6" t="str">
        <f>IF(Data!K87 = 'Point Intercept 2'!K87, Data!K87, "ERROR")</f>
        <v>L</v>
      </c>
      <c r="L87" s="6" t="str">
        <f>IF(Data!L87 = 'Point Intercept 2'!L87, Data!L87, "ERROR")</f>
        <v>Litter</v>
      </c>
      <c r="M87" s="6">
        <f>IF(Data!N87 = 'Point Intercept 2'!M87, Data!N87, "ERROR")</f>
        <v>0</v>
      </c>
      <c r="N87" s="6">
        <f>IF(Data!O87 = 'Point Intercept 2'!N87, Data!O87, "ERROR")</f>
        <v>0</v>
      </c>
      <c r="O87" s="6">
        <f>IF(Data!P87 = 'Point Intercept 2'!O87, Data!P87, "ERROR")</f>
        <v>0</v>
      </c>
    </row>
    <row r="88" spans="1:15" x14ac:dyDescent="0.25">
      <c r="A88" s="6">
        <f>IF(Data!A88 = 'Point Intercept 2'!A88, Data!A88, "ERROR")</f>
        <v>1</v>
      </c>
      <c r="B88" s="6">
        <f>IF(Data!B88 = 'Point Intercept 2'!B88, Data!B88, "ERROR")</f>
        <v>2025</v>
      </c>
      <c r="C88" s="7">
        <f>IF(Data!C88 = 'Point Intercept 2'!C88, Data!C88, "ERROR")</f>
        <v>45764</v>
      </c>
      <c r="D88" s="6" t="str">
        <f>IF(Data!D88 = 'Point Intercept 2'!D88, Data!D88, "ERROR")</f>
        <v>TL, CG, BN</v>
      </c>
      <c r="E88" s="6" t="str">
        <f>IF(Data!E88 = 'Point Intercept 2'!E88, Data!E88, "ERROR")</f>
        <v>VB</v>
      </c>
      <c r="F88" s="6">
        <f>IF(Data!F88 = 'Point Intercept 2'!F88, Data!F88, "ERROR")</f>
        <v>1</v>
      </c>
      <c r="G88" s="6" t="str">
        <f>IF(Data!G88 = 'Point Intercept 2'!G88, Data!G88, "ERROR")</f>
        <v>LS</v>
      </c>
      <c r="H88" s="6">
        <f>IF(Data!I88 = 'Point Intercept 2'!I88, Data!I88, "ERROR")</f>
        <v>11</v>
      </c>
      <c r="I88" s="6">
        <f>IF(Data!H88 = 'Point Intercept 2'!H88, Data!H88, "ERROR")</f>
        <v>2</v>
      </c>
      <c r="J88" s="6">
        <f>IF(Data!J88 = 'Point Intercept 2'!J88, Data!J88, "ERROR")</f>
        <v>5.5</v>
      </c>
      <c r="K88" s="6" t="str">
        <f>IF(Data!K88 = 'Point Intercept 2'!K88, Data!K88, "ERROR")</f>
        <v>OPULIT</v>
      </c>
      <c r="L88" s="6" t="str">
        <f>IF(Data!L88 = 'Point Intercept 2'!L88, Data!L88, "ERROR")</f>
        <v>Opuntia littoralis</v>
      </c>
      <c r="M88" s="6">
        <f>IF(Data!N88 = 'Point Intercept 2'!M88, Data!N88, "ERROR")</f>
        <v>0</v>
      </c>
      <c r="N88" s="6">
        <f>IF(Data!O88 = 'Point Intercept 2'!N88, Data!O88, "ERROR")</f>
        <v>0</v>
      </c>
      <c r="O88" s="6">
        <f>IF(Data!P88 = 'Point Intercept 2'!O88, Data!P88, "ERROR")</f>
        <v>0</v>
      </c>
    </row>
    <row r="89" spans="1:15" x14ac:dyDescent="0.25">
      <c r="A89" s="6">
        <f>IF(Data!A89 = 'Point Intercept 2'!A89, Data!A89, "ERROR")</f>
        <v>1</v>
      </c>
      <c r="B89" s="6">
        <f>IF(Data!B89 = 'Point Intercept 2'!B89, Data!B89, "ERROR")</f>
        <v>2025</v>
      </c>
      <c r="C89" s="7">
        <f>IF(Data!C89 = 'Point Intercept 2'!C89, Data!C89, "ERROR")</f>
        <v>45764</v>
      </c>
      <c r="D89" s="6" t="str">
        <f>IF(Data!D89 = 'Point Intercept 2'!D89, Data!D89, "ERROR")</f>
        <v>TL, CG, BN</v>
      </c>
      <c r="E89" s="6" t="str">
        <f>IF(Data!E89 = 'Point Intercept 2'!E89, Data!E89, "ERROR")</f>
        <v>VB</v>
      </c>
      <c r="F89" s="6">
        <f>IF(Data!F89 = 'Point Intercept 2'!F89, Data!F89, "ERROR")</f>
        <v>1</v>
      </c>
      <c r="G89" s="6" t="str">
        <f>IF(Data!G89 = 'Point Intercept 2'!G89, Data!G89, "ERROR")</f>
        <v>LS</v>
      </c>
      <c r="H89" s="6">
        <f>IF(Data!I89 = 'Point Intercept 2'!I89, Data!I89, "ERROR")</f>
        <v>11</v>
      </c>
      <c r="I89" s="6">
        <f>IF(Data!H89 = 'Point Intercept 2'!H89, Data!H89, "ERROR")</f>
        <v>2</v>
      </c>
      <c r="J89" s="6">
        <f>IF(Data!J89 = 'Point Intercept 2'!J89, Data!J89, "ERROR")</f>
        <v>5.5</v>
      </c>
      <c r="K89" s="6" t="str">
        <f>IF(Data!K89 = 'Point Intercept 2'!K89, Data!K89, "ERROR")</f>
        <v>SONOLE</v>
      </c>
      <c r="L89" s="6" t="str">
        <f>IF(Data!L89 = 'Point Intercept 2'!L89, Data!L89, "ERROR")</f>
        <v>Sonchus oleraceus</v>
      </c>
      <c r="M89" s="6">
        <f>IF(Data!N89 = 'Point Intercept 2'!M89, Data!N89, "ERROR")</f>
        <v>0</v>
      </c>
      <c r="N89" s="6">
        <f>IF(Data!O89 = 'Point Intercept 2'!N89, Data!O89, "ERROR")</f>
        <v>0</v>
      </c>
      <c r="O89" s="6">
        <f>IF(Data!P89 = 'Point Intercept 2'!O89, Data!P89, "ERROR")</f>
        <v>0</v>
      </c>
    </row>
    <row r="90" spans="1:15" x14ac:dyDescent="0.25">
      <c r="A90" s="6">
        <f>IF(Data!A90 = 'Point Intercept 2'!A90, Data!A90, "ERROR")</f>
        <v>1</v>
      </c>
      <c r="B90" s="6">
        <f>IF(Data!B90 = 'Point Intercept 2'!B90, Data!B90, "ERROR")</f>
        <v>2025</v>
      </c>
      <c r="C90" s="7">
        <f>IF(Data!C90 = 'Point Intercept 2'!C90, Data!C90, "ERROR")</f>
        <v>45764</v>
      </c>
      <c r="D90" s="6" t="str">
        <f>IF(Data!D90 = 'Point Intercept 2'!D90, Data!D90, "ERROR")</f>
        <v>TL, CG, BN</v>
      </c>
      <c r="E90" s="6" t="str">
        <f>IF(Data!E90 = 'Point Intercept 2'!E90, Data!E90, "ERROR")</f>
        <v>VB</v>
      </c>
      <c r="F90" s="6">
        <f>IF(Data!F90 = 'Point Intercept 2'!F90, Data!F90, "ERROR")</f>
        <v>1</v>
      </c>
      <c r="G90" s="6" t="str">
        <f>IF(Data!G90 = 'Point Intercept 2'!G90, Data!G90, "ERROR")</f>
        <v>LS</v>
      </c>
      <c r="H90" s="6">
        <f>IF(Data!I90 = 'Point Intercept 2'!I90, Data!I90, "ERROR")</f>
        <v>12</v>
      </c>
      <c r="I90" s="6">
        <f>IF(Data!H90 = 'Point Intercept 2'!H90, Data!H90, "ERROR")</f>
        <v>2</v>
      </c>
      <c r="J90" s="6">
        <f>IF(Data!J90 = 'Point Intercept 2'!J90, Data!J90, "ERROR")</f>
        <v>6</v>
      </c>
      <c r="K90" s="6" t="str">
        <f>IF(Data!K90 = 'Point Intercept 2'!K90, Data!K90, "ERROR")</f>
        <v>L</v>
      </c>
      <c r="L90" s="6" t="str">
        <f>IF(Data!L90 = 'Point Intercept 2'!L90, Data!L90, "ERROR")</f>
        <v>Litter</v>
      </c>
      <c r="M90" s="6">
        <f>IF(Data!N90 = 'Point Intercept 2'!M90, Data!N90, "ERROR")</f>
        <v>0</v>
      </c>
      <c r="N90" s="6">
        <f>IF(Data!O90 = 'Point Intercept 2'!N90, Data!O90, "ERROR")</f>
        <v>0</v>
      </c>
      <c r="O90" s="6">
        <f>IF(Data!P90 = 'Point Intercept 2'!O90, Data!P90, "ERROR")</f>
        <v>0</v>
      </c>
    </row>
    <row r="91" spans="1:15" x14ac:dyDescent="0.25">
      <c r="A91" s="6">
        <f>IF(Data!A91 = 'Point Intercept 2'!A91, Data!A91, "ERROR")</f>
        <v>1</v>
      </c>
      <c r="B91" s="6">
        <f>IF(Data!B91 = 'Point Intercept 2'!B91, Data!B91, "ERROR")</f>
        <v>2025</v>
      </c>
      <c r="C91" s="7">
        <f>IF(Data!C91 = 'Point Intercept 2'!C91, Data!C91, "ERROR")</f>
        <v>45764</v>
      </c>
      <c r="D91" s="6" t="str">
        <f>IF(Data!D91 = 'Point Intercept 2'!D91, Data!D91, "ERROR")</f>
        <v>TL, CG, BN</v>
      </c>
      <c r="E91" s="6" t="str">
        <f>IF(Data!E91 = 'Point Intercept 2'!E91, Data!E91, "ERROR")</f>
        <v>VB</v>
      </c>
      <c r="F91" s="6">
        <f>IF(Data!F91 = 'Point Intercept 2'!F91, Data!F91, "ERROR")</f>
        <v>1</v>
      </c>
      <c r="G91" s="6" t="str">
        <f>IF(Data!G91 = 'Point Intercept 2'!G91, Data!G91, "ERROR")</f>
        <v>LS</v>
      </c>
      <c r="H91" s="6">
        <f>IF(Data!I91 = 'Point Intercept 2'!I91, Data!I91, "ERROR")</f>
        <v>12</v>
      </c>
      <c r="I91" s="6">
        <f>IF(Data!H91 = 'Point Intercept 2'!H91, Data!H91, "ERROR")</f>
        <v>2</v>
      </c>
      <c r="J91" s="6">
        <f>IF(Data!J91 = 'Point Intercept 2'!J91, Data!J91, "ERROR")</f>
        <v>6</v>
      </c>
      <c r="K91" s="6" t="str">
        <f>IF(Data!K91 = 'Point Intercept 2'!K91, Data!K91, "ERROR")</f>
        <v>BROMAD</v>
      </c>
      <c r="L91" s="6" t="str">
        <f>IF(Data!L91 = 'Point Intercept 2'!L91, Data!L91, "ERROR")</f>
        <v>Bromus madritensis</v>
      </c>
      <c r="M91" s="6">
        <f>IF(Data!N91 = 'Point Intercept 2'!M91, Data!N91, "ERROR")</f>
        <v>0</v>
      </c>
      <c r="N91" s="6">
        <f>IF(Data!O91 = 'Point Intercept 2'!N91, Data!O91, "ERROR")</f>
        <v>0</v>
      </c>
      <c r="O91" s="6">
        <f>IF(Data!P91 = 'Point Intercept 2'!O91, Data!P91, "ERROR")</f>
        <v>0</v>
      </c>
    </row>
    <row r="92" spans="1:15" x14ac:dyDescent="0.25">
      <c r="A92" s="6">
        <f>IF(Data!A92 = 'Point Intercept 2'!A92, Data!A92, "ERROR")</f>
        <v>1</v>
      </c>
      <c r="B92" s="6">
        <f>IF(Data!B92 = 'Point Intercept 2'!B92, Data!B92, "ERROR")</f>
        <v>2025</v>
      </c>
      <c r="C92" s="7">
        <f>IF(Data!C92 = 'Point Intercept 2'!C92, Data!C92, "ERROR")</f>
        <v>45764</v>
      </c>
      <c r="D92" s="6" t="str">
        <f>IF(Data!D92 = 'Point Intercept 2'!D92, Data!D92, "ERROR")</f>
        <v>TL, CG, BN</v>
      </c>
      <c r="E92" s="6" t="str">
        <f>IF(Data!E92 = 'Point Intercept 2'!E92, Data!E92, "ERROR")</f>
        <v>VB</v>
      </c>
      <c r="F92" s="6">
        <f>IF(Data!F92 = 'Point Intercept 2'!F92, Data!F92, "ERROR")</f>
        <v>1</v>
      </c>
      <c r="G92" s="6" t="str">
        <f>IF(Data!G92 = 'Point Intercept 2'!G92, Data!G92, "ERROR")</f>
        <v>LS</v>
      </c>
      <c r="H92" s="6">
        <f>IF(Data!I92 = 'Point Intercept 2'!I92, Data!I92, "ERROR")</f>
        <v>12</v>
      </c>
      <c r="I92" s="6">
        <f>IF(Data!H92 = 'Point Intercept 2'!H92, Data!H92, "ERROR")</f>
        <v>2</v>
      </c>
      <c r="J92" s="6">
        <f>IF(Data!J92 = 'Point Intercept 2'!J92, Data!J92, "ERROR")</f>
        <v>6</v>
      </c>
      <c r="K92" s="6" t="str">
        <f>IF(Data!K92 = 'Point Intercept 2'!K92, Data!K92, "ERROR")</f>
        <v>SONOLE</v>
      </c>
      <c r="L92" s="6" t="str">
        <f>IF(Data!L92 = 'Point Intercept 2'!L92, Data!L92, "ERROR")</f>
        <v>Sonchus oleraceus</v>
      </c>
      <c r="M92" s="6">
        <f>IF(Data!N92 = 'Point Intercept 2'!M92, Data!N92, "ERROR")</f>
        <v>0</v>
      </c>
      <c r="N92" s="6">
        <f>IF(Data!O92 = 'Point Intercept 2'!N92, Data!O92, "ERROR")</f>
        <v>0</v>
      </c>
      <c r="O92" s="6">
        <f>IF(Data!P92 = 'Point Intercept 2'!O92, Data!P92, "ERROR")</f>
        <v>0</v>
      </c>
    </row>
    <row r="93" spans="1:15" x14ac:dyDescent="0.25">
      <c r="A93" s="6">
        <f>IF(Data!A93 = 'Point Intercept 2'!A93, Data!A93, "ERROR")</f>
        <v>1</v>
      </c>
      <c r="B93" s="6">
        <f>IF(Data!B93 = 'Point Intercept 2'!B93, Data!B93, "ERROR")</f>
        <v>2025</v>
      </c>
      <c r="C93" s="7">
        <f>IF(Data!C93 = 'Point Intercept 2'!C93, Data!C93, "ERROR")</f>
        <v>45764</v>
      </c>
      <c r="D93" s="6" t="str">
        <f>IF(Data!D93 = 'Point Intercept 2'!D93, Data!D93, "ERROR")</f>
        <v>TL, CG, BN</v>
      </c>
      <c r="E93" s="6" t="str">
        <f>IF(Data!E93 = 'Point Intercept 2'!E93, Data!E93, "ERROR")</f>
        <v>VB</v>
      </c>
      <c r="F93" s="6">
        <f>IF(Data!F93 = 'Point Intercept 2'!F93, Data!F93, "ERROR")</f>
        <v>1</v>
      </c>
      <c r="G93" s="6" t="str">
        <f>IF(Data!G93 = 'Point Intercept 2'!G93, Data!G93, "ERROR")</f>
        <v>LS</v>
      </c>
      <c r="H93" s="6">
        <f>IF(Data!I93 = 'Point Intercept 2'!I93, Data!I93, "ERROR")</f>
        <v>12</v>
      </c>
      <c r="I93" s="6">
        <f>IF(Data!H93 = 'Point Intercept 2'!H93, Data!H93, "ERROR")</f>
        <v>2</v>
      </c>
      <c r="J93" s="6">
        <f>IF(Data!J93 = 'Point Intercept 2'!J93, Data!J93, "ERROR")</f>
        <v>6</v>
      </c>
      <c r="K93" s="6" t="str">
        <f>IF(Data!K93 = 'Point Intercept 2'!K93, Data!K93, "ERROR")</f>
        <v>MEDPOL</v>
      </c>
      <c r="L93" s="6" t="str">
        <f>IF(Data!L93 = 'Point Intercept 2'!L93, Data!L93, "ERROR")</f>
        <v>Medicago polymorpha</v>
      </c>
      <c r="M93" s="6">
        <f>IF(Data!N93 = 'Point Intercept 2'!M93, Data!N93, "ERROR")</f>
        <v>0</v>
      </c>
      <c r="N93" s="6">
        <f>IF(Data!O93 = 'Point Intercept 2'!N93, Data!O93, "ERROR")</f>
        <v>0</v>
      </c>
      <c r="O93" s="6">
        <f>IF(Data!P93 = 'Point Intercept 2'!O93, Data!P93, "ERROR")</f>
        <v>0</v>
      </c>
    </row>
    <row r="94" spans="1:15" x14ac:dyDescent="0.25">
      <c r="A94" s="6">
        <f>IF(Data!A94 = 'Point Intercept 2'!A94, Data!A94, "ERROR")</f>
        <v>1</v>
      </c>
      <c r="B94" s="6">
        <f>IF(Data!B94 = 'Point Intercept 2'!B94, Data!B94, "ERROR")</f>
        <v>2025</v>
      </c>
      <c r="C94" s="7">
        <f>IF(Data!C94 = 'Point Intercept 2'!C94, Data!C94, "ERROR")</f>
        <v>45764</v>
      </c>
      <c r="D94" s="6" t="str">
        <f>IF(Data!D94 = 'Point Intercept 2'!D94, Data!D94, "ERROR")</f>
        <v>TL, CG, BN</v>
      </c>
      <c r="E94" s="6" t="str">
        <f>IF(Data!E94 = 'Point Intercept 2'!E94, Data!E94, "ERROR")</f>
        <v>VB</v>
      </c>
      <c r="F94" s="6">
        <f>IF(Data!F94 = 'Point Intercept 2'!F94, Data!F94, "ERROR")</f>
        <v>1</v>
      </c>
      <c r="G94" s="6" t="str">
        <f>IF(Data!G94 = 'Point Intercept 2'!G94, Data!G94, "ERROR")</f>
        <v>LS</v>
      </c>
      <c r="H94" s="6">
        <f>IF(Data!I94 = 'Point Intercept 2'!I94, Data!I94, "ERROR")</f>
        <v>13</v>
      </c>
      <c r="I94" s="6">
        <f>IF(Data!H94 = 'Point Intercept 2'!H94, Data!H94, "ERROR")</f>
        <v>2</v>
      </c>
      <c r="J94" s="6">
        <f>IF(Data!J94 = 'Point Intercept 2'!J94, Data!J94, "ERROR")</f>
        <v>6.5</v>
      </c>
      <c r="K94" s="6" t="str">
        <f>IF(Data!K94 = 'Point Intercept 2'!K94, Data!K94, "ERROR")</f>
        <v>L</v>
      </c>
      <c r="L94" s="6" t="str">
        <f>IF(Data!L94 = 'Point Intercept 2'!L94, Data!L94, "ERROR")</f>
        <v>Litter</v>
      </c>
      <c r="M94" s="6">
        <f>IF(Data!N94 = 'Point Intercept 2'!M94, Data!N94, "ERROR")</f>
        <v>0</v>
      </c>
      <c r="N94" s="6">
        <f>IF(Data!O94 = 'Point Intercept 2'!N94, Data!O94, "ERROR")</f>
        <v>0</v>
      </c>
      <c r="O94" s="6">
        <f>IF(Data!P94 = 'Point Intercept 2'!O94, Data!P94, "ERROR")</f>
        <v>0</v>
      </c>
    </row>
    <row r="95" spans="1:15" x14ac:dyDescent="0.25">
      <c r="A95" s="6">
        <f>IF(Data!A95 = 'Point Intercept 2'!A95, Data!A95, "ERROR")</f>
        <v>1</v>
      </c>
      <c r="B95" s="6">
        <f>IF(Data!B95 = 'Point Intercept 2'!B95, Data!B95, "ERROR")</f>
        <v>2025</v>
      </c>
      <c r="C95" s="7">
        <f>IF(Data!C95 = 'Point Intercept 2'!C95, Data!C95, "ERROR")</f>
        <v>45764</v>
      </c>
      <c r="D95" s="6" t="str">
        <f>IF(Data!D95 = 'Point Intercept 2'!D95, Data!D95, "ERROR")</f>
        <v>TL, CG, BN</v>
      </c>
      <c r="E95" s="6" t="str">
        <f>IF(Data!E95 = 'Point Intercept 2'!E95, Data!E95, "ERROR")</f>
        <v>VB</v>
      </c>
      <c r="F95" s="6">
        <f>IF(Data!F95 = 'Point Intercept 2'!F95, Data!F95, "ERROR")</f>
        <v>1</v>
      </c>
      <c r="G95" s="6" t="str">
        <f>IF(Data!G95 = 'Point Intercept 2'!G95, Data!G95, "ERROR")</f>
        <v>LS</v>
      </c>
      <c r="H95" s="6">
        <f>IF(Data!I95 = 'Point Intercept 2'!I95, Data!I95, "ERROR")</f>
        <v>13</v>
      </c>
      <c r="I95" s="6">
        <f>IF(Data!H95 = 'Point Intercept 2'!H95, Data!H95, "ERROR")</f>
        <v>2</v>
      </c>
      <c r="J95" s="6">
        <f>IF(Data!J95 = 'Point Intercept 2'!J95, Data!J95, "ERROR")</f>
        <v>6.5</v>
      </c>
      <c r="K95" s="6" t="str">
        <f>IF(Data!K95 = 'Point Intercept 2'!K95, Data!K95, "ERROR")</f>
        <v>BROMAD</v>
      </c>
      <c r="L95" s="6" t="str">
        <f>IF(Data!L95 = 'Point Intercept 2'!L95, Data!L95, "ERROR")</f>
        <v>Bromus madritensis</v>
      </c>
      <c r="M95" s="6">
        <f>IF(Data!N95 = 'Point Intercept 2'!M95, Data!N95, "ERROR")</f>
        <v>0</v>
      </c>
      <c r="N95" s="6">
        <f>IF(Data!O95 = 'Point Intercept 2'!N95, Data!O95, "ERROR")</f>
        <v>0</v>
      </c>
      <c r="O95" s="6">
        <f>IF(Data!P95 = 'Point Intercept 2'!O95, Data!P95, "ERROR")</f>
        <v>0</v>
      </c>
    </row>
    <row r="96" spans="1:15" x14ac:dyDescent="0.25">
      <c r="A96" s="6">
        <f>IF(Data!A96 = 'Point Intercept 2'!A96, Data!A96, "ERROR")</f>
        <v>1</v>
      </c>
      <c r="B96" s="6">
        <f>IF(Data!B96 = 'Point Intercept 2'!B96, Data!B96, "ERROR")</f>
        <v>2025</v>
      </c>
      <c r="C96" s="7">
        <f>IF(Data!C96 = 'Point Intercept 2'!C96, Data!C96, "ERROR")</f>
        <v>45764</v>
      </c>
      <c r="D96" s="6" t="str">
        <f>IF(Data!D96 = 'Point Intercept 2'!D96, Data!D96, "ERROR")</f>
        <v>TL, CG, BN</v>
      </c>
      <c r="E96" s="6" t="str">
        <f>IF(Data!E96 = 'Point Intercept 2'!E96, Data!E96, "ERROR")</f>
        <v>VB</v>
      </c>
      <c r="F96" s="6">
        <f>IF(Data!F96 = 'Point Intercept 2'!F96, Data!F96, "ERROR")</f>
        <v>1</v>
      </c>
      <c r="G96" s="6" t="str">
        <f>IF(Data!G96 = 'Point Intercept 2'!G96, Data!G96, "ERROR")</f>
        <v>LS</v>
      </c>
      <c r="H96" s="6">
        <f>IF(Data!I96 = 'Point Intercept 2'!I96, Data!I96, "ERROR")</f>
        <v>13</v>
      </c>
      <c r="I96" s="6">
        <f>IF(Data!H96 = 'Point Intercept 2'!H96, Data!H96, "ERROR")</f>
        <v>2</v>
      </c>
      <c r="J96" s="6">
        <f>IF(Data!J96 = 'Point Intercept 2'!J96, Data!J96, "ERROR")</f>
        <v>6.5</v>
      </c>
      <c r="K96" s="6" t="str">
        <f>IF(Data!K96 = 'Point Intercept 2'!K96, Data!K96, "ERROR")</f>
        <v>DEIFAS</v>
      </c>
      <c r="L96" s="6" t="str">
        <f>IF(Data!L96 = 'Point Intercept 2'!L96, Data!L96, "ERROR")</f>
        <v>Deinandra fasciculata</v>
      </c>
      <c r="M96" s="6">
        <f>IF(Data!N96 = 'Point Intercept 2'!M96, Data!N96, "ERROR")</f>
        <v>0</v>
      </c>
      <c r="N96" s="6">
        <f>IF(Data!O96 = 'Point Intercept 2'!N96, Data!O96, "ERROR")</f>
        <v>0</v>
      </c>
      <c r="O96" s="6">
        <f>IF(Data!P96 = 'Point Intercept 2'!O96, Data!P96, "ERROR")</f>
        <v>0</v>
      </c>
    </row>
    <row r="97" spans="1:15" x14ac:dyDescent="0.25">
      <c r="A97" s="6">
        <f>IF(Data!A97 = 'Point Intercept 2'!A97, Data!A97, "ERROR")</f>
        <v>1</v>
      </c>
      <c r="B97" s="6">
        <f>IF(Data!B97 = 'Point Intercept 2'!B97, Data!B97, "ERROR")</f>
        <v>2025</v>
      </c>
      <c r="C97" s="7">
        <f>IF(Data!C97 = 'Point Intercept 2'!C97, Data!C97, "ERROR")</f>
        <v>45764</v>
      </c>
      <c r="D97" s="6" t="str">
        <f>IF(Data!D97 = 'Point Intercept 2'!D97, Data!D97, "ERROR")</f>
        <v>TL, CG, BN</v>
      </c>
      <c r="E97" s="6" t="str">
        <f>IF(Data!E97 = 'Point Intercept 2'!E97, Data!E97, "ERROR")</f>
        <v>VB</v>
      </c>
      <c r="F97" s="6">
        <f>IF(Data!F97 = 'Point Intercept 2'!F97, Data!F97, "ERROR")</f>
        <v>1</v>
      </c>
      <c r="G97" s="6" t="str">
        <f>IF(Data!G97 = 'Point Intercept 2'!G97, Data!G97, "ERROR")</f>
        <v>LS</v>
      </c>
      <c r="H97" s="6">
        <f>IF(Data!I97 = 'Point Intercept 2'!I97, Data!I97, "ERROR")</f>
        <v>14</v>
      </c>
      <c r="I97" s="6">
        <f>IF(Data!H97 = 'Point Intercept 2'!H97, Data!H97, "ERROR")</f>
        <v>2</v>
      </c>
      <c r="J97" s="6">
        <f>IF(Data!J97 = 'Point Intercept 2'!J97, Data!J97, "ERROR")</f>
        <v>7</v>
      </c>
      <c r="K97" s="6" t="str">
        <f>IF(Data!K97 = 'Point Intercept 2'!K97, Data!K97, "ERROR")</f>
        <v>L</v>
      </c>
      <c r="L97" s="6" t="str">
        <f>IF(Data!L97 = 'Point Intercept 2'!L97, Data!L97, "ERROR")</f>
        <v>Litter</v>
      </c>
      <c r="M97" s="6">
        <f>IF(Data!N97 = 'Point Intercept 2'!M97, Data!N97, "ERROR")</f>
        <v>0</v>
      </c>
      <c r="N97" s="6">
        <f>IF(Data!O97 = 'Point Intercept 2'!N97, Data!O97, "ERROR")</f>
        <v>0</v>
      </c>
      <c r="O97" s="6">
        <f>IF(Data!P97 = 'Point Intercept 2'!O97, Data!P97, "ERROR")</f>
        <v>0</v>
      </c>
    </row>
    <row r="98" spans="1:15" x14ac:dyDescent="0.25">
      <c r="A98" s="6">
        <f>IF(Data!A98 = 'Point Intercept 2'!A98, Data!A98, "ERROR")</f>
        <v>1</v>
      </c>
      <c r="B98" s="6">
        <f>IF(Data!B98 = 'Point Intercept 2'!B98, Data!B98, "ERROR")</f>
        <v>2025</v>
      </c>
      <c r="C98" s="7">
        <f>IF(Data!C98 = 'Point Intercept 2'!C98, Data!C98, "ERROR")</f>
        <v>45764</v>
      </c>
      <c r="D98" s="6" t="str">
        <f>IF(Data!D98 = 'Point Intercept 2'!D98, Data!D98, "ERROR")</f>
        <v>TL, CG, BN</v>
      </c>
      <c r="E98" s="6" t="str">
        <f>IF(Data!E98 = 'Point Intercept 2'!E98, Data!E98, "ERROR")</f>
        <v>VB</v>
      </c>
      <c r="F98" s="6">
        <f>IF(Data!F98 = 'Point Intercept 2'!F98, Data!F98, "ERROR")</f>
        <v>1</v>
      </c>
      <c r="G98" s="6" t="str">
        <f>IF(Data!G98 = 'Point Intercept 2'!G98, Data!G98, "ERROR")</f>
        <v>LS</v>
      </c>
      <c r="H98" s="6">
        <f>IF(Data!I98 = 'Point Intercept 2'!I98, Data!I98, "ERROR")</f>
        <v>14</v>
      </c>
      <c r="I98" s="6">
        <f>IF(Data!H98 = 'Point Intercept 2'!H98, Data!H98, "ERROR")</f>
        <v>2</v>
      </c>
      <c r="J98" s="6">
        <f>IF(Data!J98 = 'Point Intercept 2'!J98, Data!J98, "ERROR")</f>
        <v>7</v>
      </c>
      <c r="K98" s="6" t="str">
        <f>IF(Data!K98 = 'Point Intercept 2'!K98, Data!K98, "ERROR")</f>
        <v>BROMAD</v>
      </c>
      <c r="L98" s="6" t="str">
        <f>IF(Data!L98 = 'Point Intercept 2'!L98, Data!L98, "ERROR")</f>
        <v>Bromus madritensis</v>
      </c>
      <c r="M98" s="6">
        <f>IF(Data!N98 = 'Point Intercept 2'!M98, Data!N98, "ERROR")</f>
        <v>0</v>
      </c>
      <c r="N98" s="6">
        <f>IF(Data!O98 = 'Point Intercept 2'!N98, Data!O98, "ERROR")</f>
        <v>0</v>
      </c>
      <c r="O98" s="6">
        <f>IF(Data!P98 = 'Point Intercept 2'!O98, Data!P98, "ERROR")</f>
        <v>0</v>
      </c>
    </row>
    <row r="99" spans="1:15" x14ac:dyDescent="0.25">
      <c r="A99" s="6">
        <f>IF(Data!A99 = 'Point Intercept 2'!A99, Data!A99, "ERROR")</f>
        <v>1</v>
      </c>
      <c r="B99" s="6">
        <f>IF(Data!B99 = 'Point Intercept 2'!B99, Data!B99, "ERROR")</f>
        <v>2025</v>
      </c>
      <c r="C99" s="7">
        <f>IF(Data!C99 = 'Point Intercept 2'!C99, Data!C99, "ERROR")</f>
        <v>45764</v>
      </c>
      <c r="D99" s="6" t="str">
        <f>IF(Data!D99 = 'Point Intercept 2'!D99, Data!D99, "ERROR")</f>
        <v>TL, CG, BN</v>
      </c>
      <c r="E99" s="6" t="str">
        <f>IF(Data!E99 = 'Point Intercept 2'!E99, Data!E99, "ERROR")</f>
        <v>VB</v>
      </c>
      <c r="F99" s="6">
        <f>IF(Data!F99 = 'Point Intercept 2'!F99, Data!F99, "ERROR")</f>
        <v>1</v>
      </c>
      <c r="G99" s="6" t="str">
        <f>IF(Data!G99 = 'Point Intercept 2'!G99, Data!G99, "ERROR")</f>
        <v>LS</v>
      </c>
      <c r="H99" s="6">
        <f>IF(Data!I99 = 'Point Intercept 2'!I99, Data!I99, "ERROR")</f>
        <v>14</v>
      </c>
      <c r="I99" s="6">
        <f>IF(Data!H99 = 'Point Intercept 2'!H99, Data!H99, "ERROR")</f>
        <v>2</v>
      </c>
      <c r="J99" s="6">
        <f>IF(Data!J99 = 'Point Intercept 2'!J99, Data!J99, "ERROR")</f>
        <v>7</v>
      </c>
      <c r="K99" s="6" t="str">
        <f>IF(Data!K99 = 'Point Intercept 2'!K99, Data!K99, "ERROR")</f>
        <v>SONOLE</v>
      </c>
      <c r="L99" s="6" t="str">
        <f>IF(Data!L99 = 'Point Intercept 2'!L99, Data!L99, "ERROR")</f>
        <v>Sonchus oleraceus</v>
      </c>
      <c r="M99" s="6">
        <f>IF(Data!N99 = 'Point Intercept 2'!M99, Data!N99, "ERROR")</f>
        <v>0</v>
      </c>
      <c r="N99" s="6">
        <f>IF(Data!O99 = 'Point Intercept 2'!N99, Data!O99, "ERROR")</f>
        <v>0</v>
      </c>
      <c r="O99" s="6">
        <f>IF(Data!P99 = 'Point Intercept 2'!O99, Data!P99, "ERROR")</f>
        <v>0</v>
      </c>
    </row>
    <row r="100" spans="1:15" x14ac:dyDescent="0.25">
      <c r="A100" s="6">
        <f>IF(Data!A100 = 'Point Intercept 2'!A100, Data!A100, "ERROR")</f>
        <v>1</v>
      </c>
      <c r="B100" s="6">
        <f>IF(Data!B100 = 'Point Intercept 2'!B100, Data!B100, "ERROR")</f>
        <v>2025</v>
      </c>
      <c r="C100" s="7">
        <f>IF(Data!C100 = 'Point Intercept 2'!C100, Data!C100, "ERROR")</f>
        <v>45764</v>
      </c>
      <c r="D100" s="6" t="str">
        <f>IF(Data!D100 = 'Point Intercept 2'!D100, Data!D100, "ERROR")</f>
        <v>TL, CG, BN</v>
      </c>
      <c r="E100" s="6" t="str">
        <f>IF(Data!E100 = 'Point Intercept 2'!E100, Data!E100, "ERROR")</f>
        <v>VB</v>
      </c>
      <c r="F100" s="6">
        <f>IF(Data!F100 = 'Point Intercept 2'!F100, Data!F100, "ERROR")</f>
        <v>1</v>
      </c>
      <c r="G100" s="6" t="str">
        <f>IF(Data!G100 = 'Point Intercept 2'!G100, Data!G100, "ERROR")</f>
        <v>LS</v>
      </c>
      <c r="H100" s="6">
        <f>IF(Data!I100 = 'Point Intercept 2'!I100, Data!I100, "ERROR")</f>
        <v>14</v>
      </c>
      <c r="I100" s="6">
        <f>IF(Data!H100 = 'Point Intercept 2'!H100, Data!H100, "ERROR")</f>
        <v>2</v>
      </c>
      <c r="J100" s="6">
        <f>IF(Data!J100 = 'Point Intercept 2'!J100, Data!J100, "ERROR")</f>
        <v>7</v>
      </c>
      <c r="K100" s="6" t="str">
        <f>IF(Data!K100 = 'Point Intercept 2'!K100, Data!K100, "ERROR")</f>
        <v>MEDPOL</v>
      </c>
      <c r="L100" s="6" t="str">
        <f>IF(Data!L100 = 'Point Intercept 2'!L100, Data!L100, "ERROR")</f>
        <v>Medicago polymorpha</v>
      </c>
      <c r="M100" s="6">
        <f>IF(Data!N100 = 'Point Intercept 2'!M100, Data!N100, "ERROR")</f>
        <v>0</v>
      </c>
      <c r="N100" s="6">
        <f>IF(Data!O100 = 'Point Intercept 2'!N100, Data!O100, "ERROR")</f>
        <v>0</v>
      </c>
      <c r="O100" s="6">
        <f>IF(Data!P100 = 'Point Intercept 2'!O100, Data!P100, "ERROR")</f>
        <v>0</v>
      </c>
    </row>
    <row r="101" spans="1:15" x14ac:dyDescent="0.25">
      <c r="A101" s="6">
        <f>IF(Data!A101 = 'Point Intercept 2'!A101, Data!A101, "ERROR")</f>
        <v>1</v>
      </c>
      <c r="B101" s="6">
        <f>IF(Data!B101 = 'Point Intercept 2'!B101, Data!B101, "ERROR")</f>
        <v>2025</v>
      </c>
      <c r="C101" s="7">
        <f>IF(Data!C101 = 'Point Intercept 2'!C101, Data!C101, "ERROR")</f>
        <v>45764</v>
      </c>
      <c r="D101" s="6" t="str">
        <f>IF(Data!D101 = 'Point Intercept 2'!D101, Data!D101, "ERROR")</f>
        <v>TL, CG, BN</v>
      </c>
      <c r="E101" s="6" t="str">
        <f>IF(Data!E101 = 'Point Intercept 2'!E101, Data!E101, "ERROR")</f>
        <v>VB</v>
      </c>
      <c r="F101" s="6">
        <f>IF(Data!F101 = 'Point Intercept 2'!F101, Data!F101, "ERROR")</f>
        <v>1</v>
      </c>
      <c r="G101" s="6" t="str">
        <f>IF(Data!G101 = 'Point Intercept 2'!G101, Data!G101, "ERROR")</f>
        <v>LS</v>
      </c>
      <c r="H101" s="6">
        <f>IF(Data!I101 = 'Point Intercept 2'!I101, Data!I101, "ERROR")</f>
        <v>15</v>
      </c>
      <c r="I101" s="6">
        <f>IF(Data!H101 = 'Point Intercept 2'!H101, Data!H101, "ERROR")</f>
        <v>2</v>
      </c>
      <c r="J101" s="6">
        <f>IF(Data!J101 = 'Point Intercept 2'!J101, Data!J101, "ERROR")</f>
        <v>7.5</v>
      </c>
      <c r="K101" s="6" t="str">
        <f>IF(Data!K101 = 'Point Intercept 2'!K101, Data!K101, "ERROR")</f>
        <v>L</v>
      </c>
      <c r="L101" s="6" t="str">
        <f>IF(Data!L101 = 'Point Intercept 2'!L101, Data!L101, "ERROR")</f>
        <v>Litter</v>
      </c>
      <c r="M101" s="6">
        <f>IF(Data!N101 = 'Point Intercept 2'!M101, Data!N101, "ERROR")</f>
        <v>0</v>
      </c>
      <c r="N101" s="6">
        <f>IF(Data!O101 = 'Point Intercept 2'!N101, Data!O101, "ERROR")</f>
        <v>0</v>
      </c>
      <c r="O101" s="6">
        <f>IF(Data!P101 = 'Point Intercept 2'!O101, Data!P101, "ERROR")</f>
        <v>0</v>
      </c>
    </row>
    <row r="102" spans="1:15" x14ac:dyDescent="0.25">
      <c r="A102" s="6">
        <f>IF(Data!A102 = 'Point Intercept 2'!A102, Data!A102, "ERROR")</f>
        <v>1</v>
      </c>
      <c r="B102" s="6">
        <f>IF(Data!B102 = 'Point Intercept 2'!B102, Data!B102, "ERROR")</f>
        <v>2025</v>
      </c>
      <c r="C102" s="7">
        <f>IF(Data!C102 = 'Point Intercept 2'!C102, Data!C102, "ERROR")</f>
        <v>45764</v>
      </c>
      <c r="D102" s="6" t="str">
        <f>IF(Data!D102 = 'Point Intercept 2'!D102, Data!D102, "ERROR")</f>
        <v>TL, CG, BN</v>
      </c>
      <c r="E102" s="6" t="str">
        <f>IF(Data!E102 = 'Point Intercept 2'!E102, Data!E102, "ERROR")</f>
        <v>VB</v>
      </c>
      <c r="F102" s="6">
        <f>IF(Data!F102 = 'Point Intercept 2'!F102, Data!F102, "ERROR")</f>
        <v>1</v>
      </c>
      <c r="G102" s="6" t="str">
        <f>IF(Data!G102 = 'Point Intercept 2'!G102, Data!G102, "ERROR")</f>
        <v>LS</v>
      </c>
      <c r="H102" s="6">
        <f>IF(Data!I102 = 'Point Intercept 2'!I102, Data!I102, "ERROR")</f>
        <v>15</v>
      </c>
      <c r="I102" s="6">
        <f>IF(Data!H102 = 'Point Intercept 2'!H102, Data!H102, "ERROR")</f>
        <v>2</v>
      </c>
      <c r="J102" s="6">
        <f>IF(Data!J102 = 'Point Intercept 2'!J102, Data!J102, "ERROR")</f>
        <v>7.5</v>
      </c>
      <c r="K102" s="6" t="str">
        <f>IF(Data!K102 = 'Point Intercept 2'!K102, Data!K102, "ERROR")</f>
        <v>MEDPOL</v>
      </c>
      <c r="L102" s="6" t="str">
        <f>IF(Data!L102 = 'Point Intercept 2'!L102, Data!L102, "ERROR")</f>
        <v>Medicago polymorpha</v>
      </c>
      <c r="M102" s="6">
        <f>IF(Data!N102 = 'Point Intercept 2'!M102, Data!N102, "ERROR")</f>
        <v>0</v>
      </c>
      <c r="N102" s="6">
        <f>IF(Data!O102 = 'Point Intercept 2'!N102, Data!O102, "ERROR")</f>
        <v>0</v>
      </c>
      <c r="O102" s="6">
        <f>IF(Data!P102 = 'Point Intercept 2'!O102, Data!P102, "ERROR")</f>
        <v>0</v>
      </c>
    </row>
    <row r="103" spans="1:15" x14ac:dyDescent="0.25">
      <c r="A103" s="6">
        <f>IF(Data!A103 = 'Point Intercept 2'!A103, Data!A103, "ERROR")</f>
        <v>1</v>
      </c>
      <c r="B103" s="6">
        <f>IF(Data!B103 = 'Point Intercept 2'!B103, Data!B103, "ERROR")</f>
        <v>2025</v>
      </c>
      <c r="C103" s="7">
        <f>IF(Data!C103 = 'Point Intercept 2'!C103, Data!C103, "ERROR")</f>
        <v>45764</v>
      </c>
      <c r="D103" s="6" t="str">
        <f>IF(Data!D103 = 'Point Intercept 2'!D103, Data!D103, "ERROR")</f>
        <v>TL, CG, BN</v>
      </c>
      <c r="E103" s="6" t="str">
        <f>IF(Data!E103 = 'Point Intercept 2'!E103, Data!E103, "ERROR")</f>
        <v>VB</v>
      </c>
      <c r="F103" s="6">
        <f>IF(Data!F103 = 'Point Intercept 2'!F103, Data!F103, "ERROR")</f>
        <v>1</v>
      </c>
      <c r="G103" s="6" t="str">
        <f>IF(Data!G103 = 'Point Intercept 2'!G103, Data!G103, "ERROR")</f>
        <v>LS</v>
      </c>
      <c r="H103" s="6">
        <f>IF(Data!I103 = 'Point Intercept 2'!I103, Data!I103, "ERROR")</f>
        <v>15</v>
      </c>
      <c r="I103" s="6">
        <f>IF(Data!H103 = 'Point Intercept 2'!H103, Data!H103, "ERROR")</f>
        <v>2</v>
      </c>
      <c r="J103" s="6">
        <f>IF(Data!J103 = 'Point Intercept 2'!J103, Data!J103, "ERROR")</f>
        <v>7.5</v>
      </c>
      <c r="K103" s="6" t="str">
        <f>IF(Data!K103 = 'Point Intercept 2'!K103, Data!K103, "ERROR")</f>
        <v>DEIFAS</v>
      </c>
      <c r="L103" s="6" t="str">
        <f>IF(Data!L103 = 'Point Intercept 2'!L103, Data!L103, "ERROR")</f>
        <v>Deinandra fasciculata</v>
      </c>
      <c r="M103" s="6">
        <f>IF(Data!N103 = 'Point Intercept 2'!M103, Data!N103, "ERROR")</f>
        <v>0</v>
      </c>
      <c r="N103" s="6">
        <f>IF(Data!O103 = 'Point Intercept 2'!N103, Data!O103, "ERROR")</f>
        <v>0</v>
      </c>
      <c r="O103" s="6">
        <f>IF(Data!P103 = 'Point Intercept 2'!O103, Data!P103, "ERROR")</f>
        <v>0</v>
      </c>
    </row>
    <row r="104" spans="1:15" x14ac:dyDescent="0.25">
      <c r="A104" s="6">
        <f>IF(Data!A104 = 'Point Intercept 2'!A104, Data!A104, "ERROR")</f>
        <v>1</v>
      </c>
      <c r="B104" s="6">
        <f>IF(Data!B104 = 'Point Intercept 2'!B104, Data!B104, "ERROR")</f>
        <v>2025</v>
      </c>
      <c r="C104" s="7">
        <f>IF(Data!C104 = 'Point Intercept 2'!C104, Data!C104, "ERROR")</f>
        <v>45764</v>
      </c>
      <c r="D104" s="6" t="str">
        <f>IF(Data!D104 = 'Point Intercept 2'!D104, Data!D104, "ERROR")</f>
        <v>TL, CG, BN</v>
      </c>
      <c r="E104" s="6" t="str">
        <f>IF(Data!E104 = 'Point Intercept 2'!E104, Data!E104, "ERROR")</f>
        <v>VB</v>
      </c>
      <c r="F104" s="6">
        <f>IF(Data!F104 = 'Point Intercept 2'!F104, Data!F104, "ERROR")</f>
        <v>1</v>
      </c>
      <c r="G104" s="6" t="str">
        <f>IF(Data!G104 = 'Point Intercept 2'!G104, Data!G104, "ERROR")</f>
        <v>LS</v>
      </c>
      <c r="H104" s="6">
        <f>IF(Data!I104 = 'Point Intercept 2'!I104, Data!I104, "ERROR")</f>
        <v>15</v>
      </c>
      <c r="I104" s="6">
        <f>IF(Data!H104 = 'Point Intercept 2'!H104, Data!H104, "ERROR")</f>
        <v>2</v>
      </c>
      <c r="J104" s="6">
        <f>IF(Data!J104 = 'Point Intercept 2'!J104, Data!J104, "ERROR")</f>
        <v>7.5</v>
      </c>
      <c r="K104" s="6" t="str">
        <f>IF(Data!K104 = 'Point Intercept 2'!K104, Data!K104, "ERROR")</f>
        <v>EROMOS</v>
      </c>
      <c r="L104" s="6" t="str">
        <f>IF(Data!L104 = 'Point Intercept 2'!L104, Data!L104, "ERROR")</f>
        <v>Erodium moschatum</v>
      </c>
      <c r="M104" s="6">
        <f>IF(Data!N104 = 'Point Intercept 2'!M104, Data!N104, "ERROR")</f>
        <v>0</v>
      </c>
      <c r="N104" s="6">
        <f>IF(Data!O104 = 'Point Intercept 2'!N104, Data!O104, "ERROR")</f>
        <v>0</v>
      </c>
      <c r="O104" s="6">
        <f>IF(Data!P104 = 'Point Intercept 2'!O104, Data!P104, "ERROR")</f>
        <v>0</v>
      </c>
    </row>
    <row r="105" spans="1:15" x14ac:dyDescent="0.25">
      <c r="A105" s="6">
        <f>IF(Data!A105 = 'Point Intercept 2'!A105, Data!A105, "ERROR")</f>
        <v>2</v>
      </c>
      <c r="B105" s="6">
        <f>IF(Data!B105 = 'Point Intercept 2'!B105, Data!B105, "ERROR")</f>
        <v>2025</v>
      </c>
      <c r="C105" s="8">
        <f>IF(Data!C105 = 'Point Intercept 2'!C105, Data!C105, "ERROR")</f>
        <v>45755</v>
      </c>
      <c r="D105" s="6" t="str">
        <f>IF(Data!D105 = 'Point Intercept 2'!D105, Data!D105, "ERROR")</f>
        <v>MP, TL, CG, BN</v>
      </c>
      <c r="E105" s="6" t="str">
        <f>IF(Data!E105 = 'Point Intercept 2'!E105, Data!E105, "ERROR")</f>
        <v>VB</v>
      </c>
      <c r="F105" s="6">
        <f>IF(Data!F105 = 'Point Intercept 2'!F105, Data!F105, "ERROR")</f>
        <v>1</v>
      </c>
      <c r="G105" s="6" t="str">
        <f>IF(Data!G105 = 'Point Intercept 2'!G105, Data!G105, "ERROR")</f>
        <v>LU</v>
      </c>
      <c r="H105" s="6">
        <f>IF(Data!I105 = 'Point Intercept 2'!I105, Data!I105, "ERROR")</f>
        <v>1</v>
      </c>
      <c r="I105" s="6">
        <f>IF(Data!H105 = 'Point Intercept 2'!H105, Data!H105, "ERROR")</f>
        <v>1</v>
      </c>
      <c r="J105" s="6">
        <f>IF(Data!J105 = 'Point Intercept 2'!J105, Data!J105, "ERROR")</f>
        <v>0</v>
      </c>
      <c r="K105" s="6" t="str">
        <f>IF(Data!K105 = 'Point Intercept 2'!K105, Data!K105, "ERROR")</f>
        <v>L</v>
      </c>
      <c r="L105" s="6" t="str">
        <f>IF(Data!L105 = 'Point Intercept 2'!L105, Data!L105, "ERROR")</f>
        <v>Litter</v>
      </c>
      <c r="M105" s="6">
        <f>IF(Data!N105 = 'Point Intercept 2'!M105, Data!N105, "ERROR")</f>
        <v>0</v>
      </c>
      <c r="N105" s="6">
        <f>IF(Data!O105 = 'Point Intercept 2'!N105, Data!O105, "ERROR")</f>
        <v>0</v>
      </c>
      <c r="O105" s="6">
        <f>IF(Data!P105 = 'Point Intercept 2'!O105, Data!P105, "ERROR")</f>
        <v>0</v>
      </c>
    </row>
    <row r="106" spans="1:15" x14ac:dyDescent="0.25">
      <c r="A106" s="6">
        <f>IF(Data!A106 = 'Point Intercept 2'!A106, Data!A106, "ERROR")</f>
        <v>2</v>
      </c>
      <c r="B106" s="6">
        <f>IF(Data!B106 = 'Point Intercept 2'!B106, Data!B106, "ERROR")</f>
        <v>2025</v>
      </c>
      <c r="C106" s="8">
        <f>IF(Data!C106 = 'Point Intercept 2'!C106, Data!C106, "ERROR")</f>
        <v>45755</v>
      </c>
      <c r="D106" s="6" t="str">
        <f>IF(Data!D106 = 'Point Intercept 2'!D106, Data!D106, "ERROR")</f>
        <v>MP, TL, CG, BN</v>
      </c>
      <c r="E106" s="6" t="str">
        <f>IF(Data!E106 = 'Point Intercept 2'!E106, Data!E106, "ERROR")</f>
        <v>VB</v>
      </c>
      <c r="F106" s="6">
        <f>IF(Data!F106 = 'Point Intercept 2'!F106, Data!F106, "ERROR")</f>
        <v>1</v>
      </c>
      <c r="G106" s="6" t="str">
        <f>IF(Data!G106 = 'Point Intercept 2'!G106, Data!G106, "ERROR")</f>
        <v>LU</v>
      </c>
      <c r="H106" s="6">
        <f>IF(Data!I106 = 'Point Intercept 2'!I106, Data!I106, "ERROR")</f>
        <v>1</v>
      </c>
      <c r="I106" s="6">
        <f>IF(Data!H106 = 'Point Intercept 2'!H106, Data!H106, "ERROR")</f>
        <v>1</v>
      </c>
      <c r="J106" s="6">
        <f>IF(Data!J106 = 'Point Intercept 2'!J106, Data!J106, "ERROR")</f>
        <v>0</v>
      </c>
      <c r="K106" s="6" t="str">
        <f>IF(Data!K106 = 'Point Intercept 2'!K106, Data!K106, "ERROR")</f>
        <v>CENMEL</v>
      </c>
      <c r="L106" s="6" t="str">
        <f>IF(Data!L106 = 'Point Intercept 2'!L106, Data!L106, "ERROR")</f>
        <v>Centaurea melitensis</v>
      </c>
      <c r="M106" s="6">
        <f>IF(Data!N106 = 'Point Intercept 2'!M106, Data!N106, "ERROR")</f>
        <v>0</v>
      </c>
      <c r="N106" s="6">
        <f>IF(Data!O106 = 'Point Intercept 2'!N106, Data!O106, "ERROR")</f>
        <v>0</v>
      </c>
      <c r="O106" s="6">
        <f>IF(Data!P106 = 'Point Intercept 2'!O106, Data!P106, "ERROR")</f>
        <v>0</v>
      </c>
    </row>
    <row r="107" spans="1:15" x14ac:dyDescent="0.25">
      <c r="A107" s="6">
        <f>IF(Data!A107 = 'Point Intercept 2'!A107, Data!A107, "ERROR")</f>
        <v>2</v>
      </c>
      <c r="B107" s="6">
        <f>IF(Data!B107 = 'Point Intercept 2'!B107, Data!B107, "ERROR")</f>
        <v>2025</v>
      </c>
      <c r="C107" s="8">
        <f>IF(Data!C107 = 'Point Intercept 2'!C107, Data!C107, "ERROR")</f>
        <v>45755</v>
      </c>
      <c r="D107" s="6" t="str">
        <f>IF(Data!D107 = 'Point Intercept 2'!D107, Data!D107, "ERROR")</f>
        <v>MP, TL, CG, BN</v>
      </c>
      <c r="E107" s="6" t="str">
        <f>IF(Data!E107 = 'Point Intercept 2'!E107, Data!E107, "ERROR")</f>
        <v>VB</v>
      </c>
      <c r="F107" s="6">
        <f>IF(Data!F107 = 'Point Intercept 2'!F107, Data!F107, "ERROR")</f>
        <v>1</v>
      </c>
      <c r="G107" s="6" t="str">
        <f>IF(Data!G107 = 'Point Intercept 2'!G107, Data!G107, "ERROR")</f>
        <v>LU</v>
      </c>
      <c r="H107" s="6">
        <f>IF(Data!I107 = 'Point Intercept 2'!I107, Data!I107, "ERROR")</f>
        <v>1</v>
      </c>
      <c r="I107" s="6">
        <f>IF(Data!H107 = 'Point Intercept 2'!H107, Data!H107, "ERROR")</f>
        <v>1</v>
      </c>
      <c r="J107" s="6">
        <f>IF(Data!J107 = 'Point Intercept 2'!J107, Data!J107, "ERROR")</f>
        <v>0</v>
      </c>
      <c r="K107" s="6" t="str">
        <f>IF(Data!K107 = 'Point Intercept 2'!K107, Data!K107, "ERROR")</f>
        <v>DEIFAS</v>
      </c>
      <c r="L107" s="6" t="str">
        <f>IF(Data!L107 = 'Point Intercept 2'!L107, Data!L107, "ERROR")</f>
        <v>Deinandra fasciculata</v>
      </c>
      <c r="M107" s="6">
        <f>IF(Data!N107 = 'Point Intercept 2'!M107, Data!N107, "ERROR")</f>
        <v>0</v>
      </c>
      <c r="N107" s="6">
        <f>IF(Data!O107 = 'Point Intercept 2'!N107, Data!O107, "ERROR")</f>
        <v>0</v>
      </c>
      <c r="O107" s="6">
        <f>IF(Data!P107 = 'Point Intercept 2'!O107, Data!P107, "ERROR")</f>
        <v>0</v>
      </c>
    </row>
    <row r="108" spans="1:15" x14ac:dyDescent="0.25">
      <c r="A108" s="6">
        <f>IF(Data!A108 = 'Point Intercept 2'!A108, Data!A108, "ERROR")</f>
        <v>2</v>
      </c>
      <c r="B108" s="6">
        <f>IF(Data!B108 = 'Point Intercept 2'!B108, Data!B108, "ERROR")</f>
        <v>2025</v>
      </c>
      <c r="C108" s="8">
        <f>IF(Data!C108 = 'Point Intercept 2'!C108, Data!C108, "ERROR")</f>
        <v>45755</v>
      </c>
      <c r="D108" s="6" t="str">
        <f>IF(Data!D108 = 'Point Intercept 2'!D108, Data!D108, "ERROR")</f>
        <v>MP, TL, CG, BN</v>
      </c>
      <c r="E108" s="6" t="str">
        <f>IF(Data!E108 = 'Point Intercept 2'!E108, Data!E108, "ERROR")</f>
        <v>VB</v>
      </c>
      <c r="F108" s="6">
        <f>IF(Data!F108 = 'Point Intercept 2'!F108, Data!F108, "ERROR")</f>
        <v>1</v>
      </c>
      <c r="G108" s="6" t="str">
        <f>IF(Data!G108 = 'Point Intercept 2'!G108, Data!G108, "ERROR")</f>
        <v>LU</v>
      </c>
      <c r="H108" s="6">
        <f>IF(Data!I108 = 'Point Intercept 2'!I108, Data!I108, "ERROR")</f>
        <v>2</v>
      </c>
      <c r="I108" s="6">
        <f>IF(Data!H108 = 'Point Intercept 2'!H108, Data!H108, "ERROR")</f>
        <v>1</v>
      </c>
      <c r="J108" s="6">
        <f>IF(Data!J108 = 'Point Intercept 2'!J108, Data!J108, "ERROR")</f>
        <v>0.5</v>
      </c>
      <c r="K108" s="6" t="str">
        <f>IF(Data!K108 = 'Point Intercept 2'!K108, Data!K108, "ERROR")</f>
        <v>L</v>
      </c>
      <c r="L108" s="6" t="str">
        <f>IF(Data!L108 = 'Point Intercept 2'!L108, Data!L108, "ERROR")</f>
        <v>Litter</v>
      </c>
      <c r="M108" s="6">
        <f>IF(Data!N108 = 'Point Intercept 2'!M108, Data!N108, "ERROR")</f>
        <v>0</v>
      </c>
      <c r="N108" s="6">
        <f>IF(Data!O108 = 'Point Intercept 2'!N108, Data!O108, "ERROR")</f>
        <v>0</v>
      </c>
      <c r="O108" s="6">
        <f>IF(Data!P108 = 'Point Intercept 2'!O108, Data!P108, "ERROR")</f>
        <v>0</v>
      </c>
    </row>
    <row r="109" spans="1:15" x14ac:dyDescent="0.25">
      <c r="A109" s="6">
        <f>IF(Data!A109 = 'Point Intercept 2'!A109, Data!A109, "ERROR")</f>
        <v>2</v>
      </c>
      <c r="B109" s="6">
        <f>IF(Data!B109 = 'Point Intercept 2'!B109, Data!B109, "ERROR")</f>
        <v>2025</v>
      </c>
      <c r="C109" s="8">
        <f>IF(Data!C109 = 'Point Intercept 2'!C109, Data!C109, "ERROR")</f>
        <v>45755</v>
      </c>
      <c r="D109" s="6" t="str">
        <f>IF(Data!D109 = 'Point Intercept 2'!D109, Data!D109, "ERROR")</f>
        <v>MP, TL, CG, BN</v>
      </c>
      <c r="E109" s="6" t="str">
        <f>IF(Data!E109 = 'Point Intercept 2'!E109, Data!E109, "ERROR")</f>
        <v>VB</v>
      </c>
      <c r="F109" s="6">
        <f>IF(Data!F109 = 'Point Intercept 2'!F109, Data!F109, "ERROR")</f>
        <v>1</v>
      </c>
      <c r="G109" s="6" t="str">
        <f>IF(Data!G109 = 'Point Intercept 2'!G109, Data!G109, "ERROR")</f>
        <v>LU</v>
      </c>
      <c r="H109" s="6">
        <f>IF(Data!I109 = 'Point Intercept 2'!I109, Data!I109, "ERROR")</f>
        <v>3</v>
      </c>
      <c r="I109" s="6">
        <f>IF(Data!H109 = 'Point Intercept 2'!H109, Data!H109, "ERROR")</f>
        <v>1</v>
      </c>
      <c r="J109" s="6">
        <f>IF(Data!J109 = 'Point Intercept 2'!J109, Data!J109, "ERROR")</f>
        <v>1</v>
      </c>
      <c r="K109" s="6" t="str">
        <f>IF(Data!K109 = 'Point Intercept 2'!K109, Data!K109, "ERROR")</f>
        <v>L</v>
      </c>
      <c r="L109" s="6" t="str">
        <f>IF(Data!L109 = 'Point Intercept 2'!L109, Data!L109, "ERROR")</f>
        <v>Litter</v>
      </c>
      <c r="M109" s="6">
        <f>IF(Data!N109 = 'Point Intercept 2'!M109, Data!N109, "ERROR")</f>
        <v>0</v>
      </c>
      <c r="N109" s="6">
        <f>IF(Data!O109 = 'Point Intercept 2'!N109, Data!O109, "ERROR")</f>
        <v>0</v>
      </c>
      <c r="O109" s="6">
        <f>IF(Data!P109 = 'Point Intercept 2'!O109, Data!P109, "ERROR")</f>
        <v>0</v>
      </c>
    </row>
    <row r="110" spans="1:15" x14ac:dyDescent="0.25">
      <c r="A110" s="6">
        <f>IF(Data!A110 = 'Point Intercept 2'!A110, Data!A110, "ERROR")</f>
        <v>2</v>
      </c>
      <c r="B110" s="6">
        <f>IF(Data!B110 = 'Point Intercept 2'!B110, Data!B110, "ERROR")</f>
        <v>2025</v>
      </c>
      <c r="C110" s="8">
        <f>IF(Data!C110 = 'Point Intercept 2'!C110, Data!C110, "ERROR")</f>
        <v>45755</v>
      </c>
      <c r="D110" s="6" t="str">
        <f>IF(Data!D110 = 'Point Intercept 2'!D110, Data!D110, "ERROR")</f>
        <v>MP, TL, CG, BN</v>
      </c>
      <c r="E110" s="6" t="str">
        <f>IF(Data!E110 = 'Point Intercept 2'!E110, Data!E110, "ERROR")</f>
        <v>VB</v>
      </c>
      <c r="F110" s="6">
        <f>IF(Data!F110 = 'Point Intercept 2'!F110, Data!F110, "ERROR")</f>
        <v>1</v>
      </c>
      <c r="G110" s="6" t="str">
        <f>IF(Data!G110 = 'Point Intercept 2'!G110, Data!G110, "ERROR")</f>
        <v>LU</v>
      </c>
      <c r="H110" s="6">
        <f>IF(Data!I110 = 'Point Intercept 2'!I110, Data!I110, "ERROR")</f>
        <v>3</v>
      </c>
      <c r="I110" s="6">
        <f>IF(Data!H110 = 'Point Intercept 2'!H110, Data!H110, "ERROR")</f>
        <v>1</v>
      </c>
      <c r="J110" s="6">
        <f>IF(Data!J110 = 'Point Intercept 2'!J110, Data!J110, "ERROR")</f>
        <v>1</v>
      </c>
      <c r="K110" s="6" t="str">
        <f>IF(Data!K110 = 'Point Intercept 2'!K110, Data!K110, "ERROR")</f>
        <v>OPULIT</v>
      </c>
      <c r="L110" s="6" t="str">
        <f>IF(Data!L110 = 'Point Intercept 2'!L110, Data!L110, "ERROR")</f>
        <v>Opuntia littoralis</v>
      </c>
      <c r="M110" s="6">
        <f>IF(Data!N110 = 'Point Intercept 2'!M110, Data!N110, "ERROR")</f>
        <v>0</v>
      </c>
      <c r="N110" s="6">
        <f>IF(Data!O110 = 'Point Intercept 2'!N110, Data!O110, "ERROR")</f>
        <v>0</v>
      </c>
      <c r="O110" s="6">
        <f>IF(Data!P110 = 'Point Intercept 2'!O110, Data!P110, "ERROR")</f>
        <v>0</v>
      </c>
    </row>
    <row r="111" spans="1:15" x14ac:dyDescent="0.25">
      <c r="A111" s="6">
        <f>IF(Data!A111 = 'Point Intercept 2'!A111, Data!A111, "ERROR")</f>
        <v>2</v>
      </c>
      <c r="B111" s="6">
        <f>IF(Data!B111 = 'Point Intercept 2'!B111, Data!B111, "ERROR")</f>
        <v>2025</v>
      </c>
      <c r="C111" s="8">
        <f>IF(Data!C111 = 'Point Intercept 2'!C111, Data!C111, "ERROR")</f>
        <v>45755</v>
      </c>
      <c r="D111" s="6" t="str">
        <f>IF(Data!D111 = 'Point Intercept 2'!D111, Data!D111, "ERROR")</f>
        <v>MP, TL, CG, BN</v>
      </c>
      <c r="E111" s="6" t="str">
        <f>IF(Data!E111 = 'Point Intercept 2'!E111, Data!E111, "ERROR")</f>
        <v>VB</v>
      </c>
      <c r="F111" s="6">
        <f>IF(Data!F111 = 'Point Intercept 2'!F111, Data!F111, "ERROR")</f>
        <v>1</v>
      </c>
      <c r="G111" s="6" t="str">
        <f>IF(Data!G111 = 'Point Intercept 2'!G111, Data!G111, "ERROR")</f>
        <v>LU</v>
      </c>
      <c r="H111" s="6">
        <f>IF(Data!I111 = 'Point Intercept 2'!I111, Data!I111, "ERROR")</f>
        <v>3</v>
      </c>
      <c r="I111" s="6">
        <f>IF(Data!H111 = 'Point Intercept 2'!H111, Data!H111, "ERROR")</f>
        <v>1</v>
      </c>
      <c r="J111" s="6">
        <f>IF(Data!J111 = 'Point Intercept 2'!J111, Data!J111, "ERROR")</f>
        <v>1</v>
      </c>
      <c r="K111" s="6" t="str">
        <f>IF(Data!K111 = 'Point Intercept 2'!K111, Data!K111, "ERROR")</f>
        <v>FESMYU</v>
      </c>
      <c r="L111" s="6" t="str">
        <f>IF(Data!L111 = 'Point Intercept 2'!L111, Data!L111, "ERROR")</f>
        <v>Festuca myuros</v>
      </c>
      <c r="M111" s="6">
        <f>IF(Data!N111 = 'Point Intercept 2'!M111, Data!N111, "ERROR")</f>
        <v>0</v>
      </c>
      <c r="N111" s="6">
        <f>IF(Data!O111 = 'Point Intercept 2'!N111, Data!O111, "ERROR")</f>
        <v>0</v>
      </c>
      <c r="O111" s="6">
        <f>IF(Data!P111 = 'Point Intercept 2'!O111, Data!P111, "ERROR")</f>
        <v>0</v>
      </c>
    </row>
    <row r="112" spans="1:15" x14ac:dyDescent="0.25">
      <c r="A112" s="6">
        <f>IF(Data!A112 = 'Point Intercept 2'!A112, Data!A112, "ERROR")</f>
        <v>2</v>
      </c>
      <c r="B112" s="6">
        <f>IF(Data!B112 = 'Point Intercept 2'!B112, Data!B112, "ERROR")</f>
        <v>2025</v>
      </c>
      <c r="C112" s="8">
        <f>IF(Data!C112 = 'Point Intercept 2'!C112, Data!C112, "ERROR")</f>
        <v>45755</v>
      </c>
      <c r="D112" s="6" t="str">
        <f>IF(Data!D112 = 'Point Intercept 2'!D112, Data!D112, "ERROR")</f>
        <v>MP, TL, CG, BN</v>
      </c>
      <c r="E112" s="6" t="str">
        <f>IF(Data!E112 = 'Point Intercept 2'!E112, Data!E112, "ERROR")</f>
        <v>VB</v>
      </c>
      <c r="F112" s="6">
        <f>IF(Data!F112 = 'Point Intercept 2'!F112, Data!F112, "ERROR")</f>
        <v>1</v>
      </c>
      <c r="G112" s="6" t="str">
        <f>IF(Data!G112 = 'Point Intercept 2'!G112, Data!G112, "ERROR")</f>
        <v>LU</v>
      </c>
      <c r="H112" s="6">
        <f>IF(Data!I112 = 'Point Intercept 2'!I112, Data!I112, "ERROR")</f>
        <v>4</v>
      </c>
      <c r="I112" s="6">
        <f>IF(Data!H112 = 'Point Intercept 2'!H112, Data!H112, "ERROR")</f>
        <v>1</v>
      </c>
      <c r="J112" s="6">
        <f>IF(Data!J112 = 'Point Intercept 2'!J112, Data!J112, "ERROR")</f>
        <v>1.5</v>
      </c>
      <c r="K112" s="6" t="str">
        <f>IF(Data!K112 = 'Point Intercept 2'!K112, Data!K112, "ERROR")</f>
        <v>L</v>
      </c>
      <c r="L112" s="6" t="str">
        <f>IF(Data!L112 = 'Point Intercept 2'!L112, Data!L112, "ERROR")</f>
        <v>Litter</v>
      </c>
      <c r="M112" s="6">
        <f>IF(Data!N112 = 'Point Intercept 2'!M112, Data!N112, "ERROR")</f>
        <v>0</v>
      </c>
      <c r="N112" s="6">
        <f>IF(Data!O112 = 'Point Intercept 2'!N112, Data!O112, "ERROR")</f>
        <v>0</v>
      </c>
      <c r="O112" s="6">
        <f>IF(Data!P112 = 'Point Intercept 2'!O112, Data!P112, "ERROR")</f>
        <v>0</v>
      </c>
    </row>
    <row r="113" spans="1:15" x14ac:dyDescent="0.25">
      <c r="A113" s="6">
        <f>IF(Data!A113 = 'Point Intercept 2'!A113, Data!A113, "ERROR")</f>
        <v>2</v>
      </c>
      <c r="B113" s="6">
        <f>IF(Data!B113 = 'Point Intercept 2'!B113, Data!B113, "ERROR")</f>
        <v>2025</v>
      </c>
      <c r="C113" s="8">
        <f>IF(Data!C113 = 'Point Intercept 2'!C113, Data!C113, "ERROR")</f>
        <v>45755</v>
      </c>
      <c r="D113" s="6" t="str">
        <f>IF(Data!D113 = 'Point Intercept 2'!D113, Data!D113, "ERROR")</f>
        <v>MP, TL, CG, BN</v>
      </c>
      <c r="E113" s="6" t="str">
        <f>IF(Data!E113 = 'Point Intercept 2'!E113, Data!E113, "ERROR")</f>
        <v>VB</v>
      </c>
      <c r="F113" s="6">
        <f>IF(Data!F113 = 'Point Intercept 2'!F113, Data!F113, "ERROR")</f>
        <v>1</v>
      </c>
      <c r="G113" s="6" t="str">
        <f>IF(Data!G113 = 'Point Intercept 2'!G113, Data!G113, "ERROR")</f>
        <v>LU</v>
      </c>
      <c r="H113" s="6">
        <f>IF(Data!I113 = 'Point Intercept 2'!I113, Data!I113, "ERROR")</f>
        <v>4</v>
      </c>
      <c r="I113" s="6">
        <f>IF(Data!H113 = 'Point Intercept 2'!H113, Data!H113, "ERROR")</f>
        <v>1</v>
      </c>
      <c r="J113" s="6">
        <f>IF(Data!J113 = 'Point Intercept 2'!J113, Data!J113, "ERROR")</f>
        <v>1.5</v>
      </c>
      <c r="K113" s="6" t="str">
        <f>IF(Data!K113 = 'Point Intercept 2'!K113, Data!K113, "ERROR")</f>
        <v>DEIFAS</v>
      </c>
      <c r="L113" s="6" t="str">
        <f>IF(Data!L113 = 'Point Intercept 2'!L113, Data!L113, "ERROR")</f>
        <v>Deinandra fasciculata</v>
      </c>
      <c r="M113" s="6">
        <f>IF(Data!N113 = 'Point Intercept 2'!M113, Data!N113, "ERROR")</f>
        <v>0</v>
      </c>
      <c r="N113" s="6">
        <f>IF(Data!O113 = 'Point Intercept 2'!N113, Data!O113, "ERROR")</f>
        <v>0</v>
      </c>
      <c r="O113" s="6">
        <f>IF(Data!P113 = 'Point Intercept 2'!O113, Data!P113, "ERROR")</f>
        <v>0</v>
      </c>
    </row>
    <row r="114" spans="1:15" x14ac:dyDescent="0.25">
      <c r="A114" s="6">
        <f>IF(Data!A114 = 'Point Intercept 2'!A114, Data!A114, "ERROR")</f>
        <v>2</v>
      </c>
      <c r="B114" s="6">
        <f>IF(Data!B114 = 'Point Intercept 2'!B114, Data!B114, "ERROR")</f>
        <v>2025</v>
      </c>
      <c r="C114" s="8">
        <f>IF(Data!C114 = 'Point Intercept 2'!C114, Data!C114, "ERROR")</f>
        <v>45755</v>
      </c>
      <c r="D114" s="6" t="str">
        <f>IF(Data!D114 = 'Point Intercept 2'!D114, Data!D114, "ERROR")</f>
        <v>MP, TL, CG, BN</v>
      </c>
      <c r="E114" s="6" t="str">
        <f>IF(Data!E114 = 'Point Intercept 2'!E114, Data!E114, "ERROR")</f>
        <v>VB</v>
      </c>
      <c r="F114" s="6">
        <f>IF(Data!F114 = 'Point Intercept 2'!F114, Data!F114, "ERROR")</f>
        <v>1</v>
      </c>
      <c r="G114" s="6" t="str">
        <f>IF(Data!G114 = 'Point Intercept 2'!G114, Data!G114, "ERROR")</f>
        <v>LU</v>
      </c>
      <c r="H114" s="6">
        <f>IF(Data!I114 = 'Point Intercept 2'!I114, Data!I114, "ERROR")</f>
        <v>4</v>
      </c>
      <c r="I114" s="6">
        <f>IF(Data!H114 = 'Point Intercept 2'!H114, Data!H114, "ERROR")</f>
        <v>1</v>
      </c>
      <c r="J114" s="6">
        <f>IF(Data!J114 = 'Point Intercept 2'!J114, Data!J114, "ERROR")</f>
        <v>1.5</v>
      </c>
      <c r="K114" s="6" t="str">
        <f>IF(Data!K114 = 'Point Intercept 2'!K114, Data!K114, "ERROR")</f>
        <v>FESMYU</v>
      </c>
      <c r="L114" s="6" t="str">
        <f>IF(Data!L114 = 'Point Intercept 2'!L114, Data!L114, "ERROR")</f>
        <v>Festuca myuros</v>
      </c>
      <c r="M114" s="6">
        <f>IF(Data!N114 = 'Point Intercept 2'!M114, Data!N114, "ERROR")</f>
        <v>0</v>
      </c>
      <c r="N114" s="6">
        <f>IF(Data!O114 = 'Point Intercept 2'!N114, Data!O114, "ERROR")</f>
        <v>0</v>
      </c>
      <c r="O114" s="6">
        <f>IF(Data!P114 = 'Point Intercept 2'!O114, Data!P114, "ERROR")</f>
        <v>0</v>
      </c>
    </row>
    <row r="115" spans="1:15" x14ac:dyDescent="0.25">
      <c r="A115" s="6">
        <f>IF(Data!A115 = 'Point Intercept 2'!A115, Data!A115, "ERROR")</f>
        <v>2</v>
      </c>
      <c r="B115" s="6">
        <f>IF(Data!B115 = 'Point Intercept 2'!B115, Data!B115, "ERROR")</f>
        <v>2025</v>
      </c>
      <c r="C115" s="8">
        <f>IF(Data!C115 = 'Point Intercept 2'!C115, Data!C115, "ERROR")</f>
        <v>45755</v>
      </c>
      <c r="D115" s="6" t="str">
        <f>IF(Data!D115 = 'Point Intercept 2'!D115, Data!D115, "ERROR")</f>
        <v>MP, TL, CG, BN</v>
      </c>
      <c r="E115" s="6" t="str">
        <f>IF(Data!E115 = 'Point Intercept 2'!E115, Data!E115, "ERROR")</f>
        <v>VB</v>
      </c>
      <c r="F115" s="6">
        <f>IF(Data!F115 = 'Point Intercept 2'!F115, Data!F115, "ERROR")</f>
        <v>1</v>
      </c>
      <c r="G115" s="6" t="str">
        <f>IF(Data!G115 = 'Point Intercept 2'!G115, Data!G115, "ERROR")</f>
        <v>LU</v>
      </c>
      <c r="H115" s="6">
        <f>IF(Data!I115 = 'Point Intercept 2'!I115, Data!I115, "ERROR")</f>
        <v>5</v>
      </c>
      <c r="I115" s="6">
        <f>IF(Data!H115 = 'Point Intercept 2'!H115, Data!H115, "ERROR")</f>
        <v>1</v>
      </c>
      <c r="J115" s="6">
        <f>IF(Data!J115 = 'Point Intercept 2'!J115, Data!J115, "ERROR")</f>
        <v>2</v>
      </c>
      <c r="K115" s="6" t="str">
        <f>IF(Data!K115 = 'Point Intercept 2'!K115, Data!K115, "ERROR")</f>
        <v>L</v>
      </c>
      <c r="L115" s="6" t="str">
        <f>IF(Data!L115 = 'Point Intercept 2'!L115, Data!L115, "ERROR")</f>
        <v>Litter</v>
      </c>
      <c r="M115" s="6">
        <f>IF(Data!N115 = 'Point Intercept 2'!M115, Data!N115, "ERROR")</f>
        <v>0</v>
      </c>
      <c r="N115" s="6">
        <f>IF(Data!O115 = 'Point Intercept 2'!N115, Data!O115, "ERROR")</f>
        <v>0</v>
      </c>
      <c r="O115" s="6">
        <f>IF(Data!P115 = 'Point Intercept 2'!O115, Data!P115, "ERROR")</f>
        <v>0</v>
      </c>
    </row>
    <row r="116" spans="1:15" x14ac:dyDescent="0.25">
      <c r="A116" s="6">
        <f>IF(Data!A116 = 'Point Intercept 2'!A116, Data!A116, "ERROR")</f>
        <v>2</v>
      </c>
      <c r="B116" s="6">
        <f>IF(Data!B116 = 'Point Intercept 2'!B116, Data!B116, "ERROR")</f>
        <v>2025</v>
      </c>
      <c r="C116" s="8">
        <f>IF(Data!C116 = 'Point Intercept 2'!C116, Data!C116, "ERROR")</f>
        <v>45755</v>
      </c>
      <c r="D116" s="6" t="str">
        <f>IF(Data!D116 = 'Point Intercept 2'!D116, Data!D116, "ERROR")</f>
        <v>MP, TL, CG, BN</v>
      </c>
      <c r="E116" s="6" t="str">
        <f>IF(Data!E116 = 'Point Intercept 2'!E116, Data!E116, "ERROR")</f>
        <v>VB</v>
      </c>
      <c r="F116" s="6">
        <f>IF(Data!F116 = 'Point Intercept 2'!F116, Data!F116, "ERROR")</f>
        <v>1</v>
      </c>
      <c r="G116" s="6" t="str">
        <f>IF(Data!G116 = 'Point Intercept 2'!G116, Data!G116, "ERROR")</f>
        <v>LU</v>
      </c>
      <c r="H116" s="6">
        <f>IF(Data!I116 = 'Point Intercept 2'!I116, Data!I116, "ERROR")</f>
        <v>5</v>
      </c>
      <c r="I116" s="6">
        <f>IF(Data!H116 = 'Point Intercept 2'!H116, Data!H116, "ERROR")</f>
        <v>1</v>
      </c>
      <c r="J116" s="6">
        <f>IF(Data!J116 = 'Point Intercept 2'!J116, Data!J116, "ERROR")</f>
        <v>2</v>
      </c>
      <c r="K116" s="6" t="str">
        <f>IF(Data!K116 = 'Point Intercept 2'!K116, Data!K116, "ERROR")</f>
        <v>CENMEL</v>
      </c>
      <c r="L116" s="6" t="str">
        <f>IF(Data!L116 = 'Point Intercept 2'!L116, Data!L116, "ERROR")</f>
        <v>Centaurea melitensis</v>
      </c>
      <c r="M116" s="6">
        <f>IF(Data!N116 = 'Point Intercept 2'!M116, Data!N116, "ERROR")</f>
        <v>0</v>
      </c>
      <c r="N116" s="6">
        <f>IF(Data!O116 = 'Point Intercept 2'!N116, Data!O116, "ERROR")</f>
        <v>0</v>
      </c>
      <c r="O116" s="6">
        <f>IF(Data!P116 = 'Point Intercept 2'!O116, Data!P116, "ERROR")</f>
        <v>0</v>
      </c>
    </row>
    <row r="117" spans="1:15" x14ac:dyDescent="0.25">
      <c r="A117" s="6">
        <f>IF(Data!A117 = 'Point Intercept 2'!A117, Data!A117, "ERROR")</f>
        <v>2</v>
      </c>
      <c r="B117" s="6">
        <f>IF(Data!B117 = 'Point Intercept 2'!B117, Data!B117, "ERROR")</f>
        <v>2025</v>
      </c>
      <c r="C117" s="8">
        <f>IF(Data!C117 = 'Point Intercept 2'!C117, Data!C117, "ERROR")</f>
        <v>45755</v>
      </c>
      <c r="D117" s="6" t="str">
        <f>IF(Data!D117 = 'Point Intercept 2'!D117, Data!D117, "ERROR")</f>
        <v>MP, TL, CG, BN</v>
      </c>
      <c r="E117" s="6" t="str">
        <f>IF(Data!E117 = 'Point Intercept 2'!E117, Data!E117, "ERROR")</f>
        <v>VB</v>
      </c>
      <c r="F117" s="6">
        <f>IF(Data!F117 = 'Point Intercept 2'!F117, Data!F117, "ERROR")</f>
        <v>1</v>
      </c>
      <c r="G117" s="6" t="str">
        <f>IF(Data!G117 = 'Point Intercept 2'!G117, Data!G117, "ERROR")</f>
        <v>LU</v>
      </c>
      <c r="H117" s="6">
        <f>IF(Data!I117 = 'Point Intercept 2'!I117, Data!I117, "ERROR")</f>
        <v>6</v>
      </c>
      <c r="I117" s="6">
        <f>IF(Data!H117 = 'Point Intercept 2'!H117, Data!H117, "ERROR")</f>
        <v>1</v>
      </c>
      <c r="J117" s="6">
        <f>IF(Data!J117 = 'Point Intercept 2'!J117, Data!J117, "ERROR")</f>
        <v>2.5</v>
      </c>
      <c r="K117" s="6" t="str">
        <f>IF(Data!K117 = 'Point Intercept 2'!K117, Data!K117, "ERROR")</f>
        <v>L</v>
      </c>
      <c r="L117" s="6" t="str">
        <f>IF(Data!L117 = 'Point Intercept 2'!L117, Data!L117, "ERROR")</f>
        <v>Litter</v>
      </c>
      <c r="M117" s="6">
        <f>IF(Data!N117 = 'Point Intercept 2'!M117, Data!N117, "ERROR")</f>
        <v>0</v>
      </c>
      <c r="N117" s="6">
        <f>IF(Data!O117 = 'Point Intercept 2'!N117, Data!O117, "ERROR")</f>
        <v>0</v>
      </c>
      <c r="O117" s="6">
        <f>IF(Data!P117 = 'Point Intercept 2'!O117, Data!P117, "ERROR")</f>
        <v>0</v>
      </c>
    </row>
    <row r="118" spans="1:15" x14ac:dyDescent="0.25">
      <c r="A118" s="6">
        <f>IF(Data!A118 = 'Point Intercept 2'!A118, Data!A118, "ERROR")</f>
        <v>2</v>
      </c>
      <c r="B118" s="6">
        <f>IF(Data!B118 = 'Point Intercept 2'!B118, Data!B118, "ERROR")</f>
        <v>2025</v>
      </c>
      <c r="C118" s="8">
        <f>IF(Data!C118 = 'Point Intercept 2'!C118, Data!C118, "ERROR")</f>
        <v>45755</v>
      </c>
      <c r="D118" s="6" t="str">
        <f>IF(Data!D118 = 'Point Intercept 2'!D118, Data!D118, "ERROR")</f>
        <v>MP, TL, CG, BN</v>
      </c>
      <c r="E118" s="6" t="str">
        <f>IF(Data!E118 = 'Point Intercept 2'!E118, Data!E118, "ERROR")</f>
        <v>VB</v>
      </c>
      <c r="F118" s="6">
        <f>IF(Data!F118 = 'Point Intercept 2'!F118, Data!F118, "ERROR")</f>
        <v>1</v>
      </c>
      <c r="G118" s="6" t="str">
        <f>IF(Data!G118 = 'Point Intercept 2'!G118, Data!G118, "ERROR")</f>
        <v>LU</v>
      </c>
      <c r="H118" s="6">
        <f>IF(Data!I118 = 'Point Intercept 2'!I118, Data!I118, "ERROR")</f>
        <v>6</v>
      </c>
      <c r="I118" s="6">
        <f>IF(Data!H118 = 'Point Intercept 2'!H118, Data!H118, "ERROR")</f>
        <v>1</v>
      </c>
      <c r="J118" s="6">
        <f>IF(Data!J118 = 'Point Intercept 2'!J118, Data!J118, "ERROR")</f>
        <v>2.5</v>
      </c>
      <c r="K118" s="6" t="str">
        <f>IF(Data!K118 = 'Point Intercept 2'!K118, Data!K118, "ERROR")</f>
        <v>EROCIC</v>
      </c>
      <c r="L118" s="6" t="str">
        <f>IF(Data!L118 = 'Point Intercept 2'!L118, Data!L118, "ERROR")</f>
        <v>Erodium cicutarium</v>
      </c>
      <c r="M118" s="6">
        <f>IF(Data!N118 = 'Point Intercept 2'!M118, Data!N118, "ERROR")</f>
        <v>0</v>
      </c>
      <c r="N118" s="6">
        <f>IF(Data!O118 = 'Point Intercept 2'!N118, Data!O118, "ERROR")</f>
        <v>0</v>
      </c>
      <c r="O118" s="6">
        <f>IF(Data!P118 = 'Point Intercept 2'!O118, Data!P118, "ERROR")</f>
        <v>0</v>
      </c>
    </row>
    <row r="119" spans="1:15" x14ac:dyDescent="0.25">
      <c r="A119" s="6">
        <f>IF(Data!A119 = 'Point Intercept 2'!A119, Data!A119, "ERROR")</f>
        <v>2</v>
      </c>
      <c r="B119" s="6">
        <f>IF(Data!B119 = 'Point Intercept 2'!B119, Data!B119, "ERROR")</f>
        <v>2025</v>
      </c>
      <c r="C119" s="8">
        <f>IF(Data!C119 = 'Point Intercept 2'!C119, Data!C119, "ERROR")</f>
        <v>45755</v>
      </c>
      <c r="D119" s="6" t="str">
        <f>IF(Data!D119 = 'Point Intercept 2'!D119, Data!D119, "ERROR")</f>
        <v>MP, TL, CG, BN</v>
      </c>
      <c r="E119" s="6" t="str">
        <f>IF(Data!E119 = 'Point Intercept 2'!E119, Data!E119, "ERROR")</f>
        <v>VB</v>
      </c>
      <c r="F119" s="6">
        <f>IF(Data!F119 = 'Point Intercept 2'!F119, Data!F119, "ERROR")</f>
        <v>1</v>
      </c>
      <c r="G119" s="6" t="str">
        <f>IF(Data!G119 = 'Point Intercept 2'!G119, Data!G119, "ERROR")</f>
        <v>LU</v>
      </c>
      <c r="H119" s="6">
        <f>IF(Data!I119 = 'Point Intercept 2'!I119, Data!I119, "ERROR")</f>
        <v>6</v>
      </c>
      <c r="I119" s="6">
        <f>IF(Data!H119 = 'Point Intercept 2'!H119, Data!H119, "ERROR")</f>
        <v>1</v>
      </c>
      <c r="J119" s="6">
        <f>IF(Data!J119 = 'Point Intercept 2'!J119, Data!J119, "ERROR")</f>
        <v>2.5</v>
      </c>
      <c r="K119" s="6" t="str">
        <f>IF(Data!K119 = 'Point Intercept 2'!K119, Data!K119, "ERROR")</f>
        <v>CENMEL</v>
      </c>
      <c r="L119" s="6" t="str">
        <f>IF(Data!L119 = 'Point Intercept 2'!L119, Data!L119, "ERROR")</f>
        <v>Centaurea melitensis</v>
      </c>
      <c r="M119" s="6">
        <f>IF(Data!N119 = 'Point Intercept 2'!M119, Data!N119, "ERROR")</f>
        <v>0</v>
      </c>
      <c r="N119" s="6">
        <f>IF(Data!O119 = 'Point Intercept 2'!N119, Data!O119, "ERROR")</f>
        <v>0</v>
      </c>
      <c r="O119" s="6">
        <f>IF(Data!P119 = 'Point Intercept 2'!O119, Data!P119, "ERROR")</f>
        <v>0</v>
      </c>
    </row>
    <row r="120" spans="1:15" x14ac:dyDescent="0.25">
      <c r="A120" s="6">
        <f>IF(Data!A120 = 'Point Intercept 2'!A120, Data!A120, "ERROR")</f>
        <v>2</v>
      </c>
      <c r="B120" s="6">
        <f>IF(Data!B120 = 'Point Intercept 2'!B120, Data!B120, "ERROR")</f>
        <v>2025</v>
      </c>
      <c r="C120" s="8">
        <f>IF(Data!C120 = 'Point Intercept 2'!C120, Data!C120, "ERROR")</f>
        <v>45755</v>
      </c>
      <c r="D120" s="6" t="str">
        <f>IF(Data!D120 = 'Point Intercept 2'!D120, Data!D120, "ERROR")</f>
        <v>MP, TL, CG, BN</v>
      </c>
      <c r="E120" s="6" t="str">
        <f>IF(Data!E120 = 'Point Intercept 2'!E120, Data!E120, "ERROR")</f>
        <v>VB</v>
      </c>
      <c r="F120" s="6">
        <f>IF(Data!F120 = 'Point Intercept 2'!F120, Data!F120, "ERROR")</f>
        <v>1</v>
      </c>
      <c r="G120" s="6" t="str">
        <f>IF(Data!G120 = 'Point Intercept 2'!G120, Data!G120, "ERROR")</f>
        <v>LU</v>
      </c>
      <c r="H120" s="6">
        <f>IF(Data!I120 = 'Point Intercept 2'!I120, Data!I120, "ERROR")</f>
        <v>6</v>
      </c>
      <c r="I120" s="6">
        <f>IF(Data!H120 = 'Point Intercept 2'!H120, Data!H120, "ERROR")</f>
        <v>1</v>
      </c>
      <c r="J120" s="6">
        <f>IF(Data!J120 = 'Point Intercept 2'!J120, Data!J120, "ERROR")</f>
        <v>2.5</v>
      </c>
      <c r="K120" s="6" t="str">
        <f>IF(Data!K120 = 'Point Intercept 2'!K120, Data!K120, "ERROR")</f>
        <v>SONSPP</v>
      </c>
      <c r="L120" s="6" t="str">
        <f>IF(Data!L120 = 'Point Intercept 2'!L120, Data!L120, "ERROR")</f>
        <v>Sonchus species</v>
      </c>
      <c r="M120" s="6">
        <f>IF(Data!N120 = 'Point Intercept 2'!M120, Data!N120, "ERROR")</f>
        <v>0</v>
      </c>
      <c r="N120" s="6">
        <f>IF(Data!O120 = 'Point Intercept 2'!N120, Data!O120, "ERROR")</f>
        <v>0</v>
      </c>
      <c r="O120" s="6">
        <f>IF(Data!P120 = 'Point Intercept 2'!O120, Data!P120, "ERROR")</f>
        <v>0</v>
      </c>
    </row>
    <row r="121" spans="1:15" x14ac:dyDescent="0.25">
      <c r="A121" s="6">
        <f>IF(Data!A121 = 'Point Intercept 2'!A121, Data!A121, "ERROR")</f>
        <v>2</v>
      </c>
      <c r="B121" s="6">
        <f>IF(Data!B121 = 'Point Intercept 2'!B121, Data!B121, "ERROR")</f>
        <v>2025</v>
      </c>
      <c r="C121" s="8">
        <f>IF(Data!C121 = 'Point Intercept 2'!C121, Data!C121, "ERROR")</f>
        <v>45755</v>
      </c>
      <c r="D121" s="6" t="str">
        <f>IF(Data!D121 = 'Point Intercept 2'!D121, Data!D121, "ERROR")</f>
        <v>MP, TL, CG, BN</v>
      </c>
      <c r="E121" s="6" t="str">
        <f>IF(Data!E121 = 'Point Intercept 2'!E121, Data!E121, "ERROR")</f>
        <v>VB</v>
      </c>
      <c r="F121" s="6">
        <f>IF(Data!F121 = 'Point Intercept 2'!F121, Data!F121, "ERROR")</f>
        <v>1</v>
      </c>
      <c r="G121" s="6" t="str">
        <f>IF(Data!G121 = 'Point Intercept 2'!G121, Data!G121, "ERROR")</f>
        <v>LU</v>
      </c>
      <c r="H121" s="6">
        <f>IF(Data!I121 = 'Point Intercept 2'!I121, Data!I121, "ERROR")</f>
        <v>7</v>
      </c>
      <c r="I121" s="6">
        <f>IF(Data!H121 = 'Point Intercept 2'!H121, Data!H121, "ERROR")</f>
        <v>1</v>
      </c>
      <c r="J121" s="6">
        <f>IF(Data!J121 = 'Point Intercept 2'!J121, Data!J121, "ERROR")</f>
        <v>3</v>
      </c>
      <c r="K121" s="6" t="str">
        <f>IF(Data!K121 = 'Point Intercept 2'!K121, Data!K121, "ERROR")</f>
        <v>L</v>
      </c>
      <c r="L121" s="6" t="str">
        <f>IF(Data!L121 = 'Point Intercept 2'!L121, Data!L121, "ERROR")</f>
        <v>Litter</v>
      </c>
      <c r="M121" s="6">
        <f>IF(Data!N121 = 'Point Intercept 2'!M121, Data!N121, "ERROR")</f>
        <v>0</v>
      </c>
      <c r="N121" s="6">
        <f>IF(Data!O121 = 'Point Intercept 2'!N121, Data!O121, "ERROR")</f>
        <v>0</v>
      </c>
      <c r="O121" s="6">
        <f>IF(Data!P121 = 'Point Intercept 2'!O121, Data!P121, "ERROR")</f>
        <v>0</v>
      </c>
    </row>
    <row r="122" spans="1:15" x14ac:dyDescent="0.25">
      <c r="A122" s="6">
        <f>IF(Data!A122 = 'Point Intercept 2'!A122, Data!A122, "ERROR")</f>
        <v>2</v>
      </c>
      <c r="B122" s="6">
        <f>IF(Data!B122 = 'Point Intercept 2'!B122, Data!B122, "ERROR")</f>
        <v>2025</v>
      </c>
      <c r="C122" s="8">
        <f>IF(Data!C122 = 'Point Intercept 2'!C122, Data!C122, "ERROR")</f>
        <v>45755</v>
      </c>
      <c r="D122" s="6" t="str">
        <f>IF(Data!D122 = 'Point Intercept 2'!D122, Data!D122, "ERROR")</f>
        <v>MP, TL, CG, BN</v>
      </c>
      <c r="E122" s="6" t="str">
        <f>IF(Data!E122 = 'Point Intercept 2'!E122, Data!E122, "ERROR")</f>
        <v>VB</v>
      </c>
      <c r="F122" s="6">
        <f>IF(Data!F122 = 'Point Intercept 2'!F122, Data!F122, "ERROR")</f>
        <v>1</v>
      </c>
      <c r="G122" s="6" t="str">
        <f>IF(Data!G122 = 'Point Intercept 2'!G122, Data!G122, "ERROR")</f>
        <v>LU</v>
      </c>
      <c r="H122" s="6">
        <f>IF(Data!I122 = 'Point Intercept 2'!I122, Data!I122, "ERROR")</f>
        <v>7</v>
      </c>
      <c r="I122" s="6">
        <f>IF(Data!H122 = 'Point Intercept 2'!H122, Data!H122, "ERROR")</f>
        <v>1</v>
      </c>
      <c r="J122" s="6">
        <f>IF(Data!J122 = 'Point Intercept 2'!J122, Data!J122, "ERROR")</f>
        <v>3</v>
      </c>
      <c r="K122" s="6" t="str">
        <f>IF(Data!K122 = 'Point Intercept 2'!K122, Data!K122, "ERROR")</f>
        <v>OPULIT</v>
      </c>
      <c r="L122" s="6" t="str">
        <f>IF(Data!L122 = 'Point Intercept 2'!L122, Data!L122, "ERROR")</f>
        <v>Opuntia littoralis</v>
      </c>
      <c r="M122" s="6">
        <f>IF(Data!N122 = 'Point Intercept 2'!M122, Data!N122, "ERROR")</f>
        <v>0</v>
      </c>
      <c r="N122" s="6">
        <f>IF(Data!O122 = 'Point Intercept 2'!N122, Data!O122, "ERROR")</f>
        <v>0</v>
      </c>
      <c r="O122" s="6">
        <f>IF(Data!P122 = 'Point Intercept 2'!O122, Data!P122, "ERROR")</f>
        <v>0</v>
      </c>
    </row>
    <row r="123" spans="1:15" x14ac:dyDescent="0.25">
      <c r="A123" s="6">
        <f>IF(Data!A123 = 'Point Intercept 2'!A123, Data!A123, "ERROR")</f>
        <v>2</v>
      </c>
      <c r="B123" s="6">
        <f>IF(Data!B123 = 'Point Intercept 2'!B123, Data!B123, "ERROR")</f>
        <v>2025</v>
      </c>
      <c r="C123" s="8">
        <f>IF(Data!C123 = 'Point Intercept 2'!C123, Data!C123, "ERROR")</f>
        <v>45755</v>
      </c>
      <c r="D123" s="6" t="str">
        <f>IF(Data!D123 = 'Point Intercept 2'!D123, Data!D123, "ERROR")</f>
        <v>MP, TL, CG, BN</v>
      </c>
      <c r="E123" s="6" t="str">
        <f>IF(Data!E123 = 'Point Intercept 2'!E123, Data!E123, "ERROR")</f>
        <v>VB</v>
      </c>
      <c r="F123" s="6">
        <f>IF(Data!F123 = 'Point Intercept 2'!F123, Data!F123, "ERROR")</f>
        <v>1</v>
      </c>
      <c r="G123" s="6" t="str">
        <f>IF(Data!G123 = 'Point Intercept 2'!G123, Data!G123, "ERROR")</f>
        <v>LU</v>
      </c>
      <c r="H123" s="6">
        <f>IF(Data!I123 = 'Point Intercept 2'!I123, Data!I123, "ERROR")</f>
        <v>7</v>
      </c>
      <c r="I123" s="6">
        <f>IF(Data!H123 = 'Point Intercept 2'!H123, Data!H123, "ERROR")</f>
        <v>1</v>
      </c>
      <c r="J123" s="6">
        <f>IF(Data!J123 = 'Point Intercept 2'!J123, Data!J123, "ERROR")</f>
        <v>3</v>
      </c>
      <c r="K123" s="6" t="str">
        <f>IF(Data!K123 = 'Point Intercept 2'!K123, Data!K123, "ERROR")</f>
        <v>DEIFAS</v>
      </c>
      <c r="L123" s="6" t="str">
        <f>IF(Data!L123 = 'Point Intercept 2'!L123, Data!L123, "ERROR")</f>
        <v>Deinandra fasciculata</v>
      </c>
      <c r="M123" s="6">
        <f>IF(Data!N123 = 'Point Intercept 2'!M123, Data!N123, "ERROR")</f>
        <v>0</v>
      </c>
      <c r="N123" s="6">
        <f>IF(Data!O123 = 'Point Intercept 2'!N123, Data!O123, "ERROR")</f>
        <v>0</v>
      </c>
      <c r="O123" s="6">
        <f>IF(Data!P123 = 'Point Intercept 2'!O123, Data!P123, "ERROR")</f>
        <v>0</v>
      </c>
    </row>
    <row r="124" spans="1:15" x14ac:dyDescent="0.25">
      <c r="A124" s="6">
        <f>IF(Data!A124 = 'Point Intercept 2'!A124, Data!A124, "ERROR")</f>
        <v>2</v>
      </c>
      <c r="B124" s="6">
        <f>IF(Data!B124 = 'Point Intercept 2'!B124, Data!B124, "ERROR")</f>
        <v>2025</v>
      </c>
      <c r="C124" s="8">
        <f>IF(Data!C124 = 'Point Intercept 2'!C124, Data!C124, "ERROR")</f>
        <v>45755</v>
      </c>
      <c r="D124" s="6" t="str">
        <f>IF(Data!D124 = 'Point Intercept 2'!D124, Data!D124, "ERROR")</f>
        <v>MP, TL, CG, BN</v>
      </c>
      <c r="E124" s="6" t="str">
        <f>IF(Data!E124 = 'Point Intercept 2'!E124, Data!E124, "ERROR")</f>
        <v>VB</v>
      </c>
      <c r="F124" s="6">
        <f>IF(Data!F124 = 'Point Intercept 2'!F124, Data!F124, "ERROR")</f>
        <v>1</v>
      </c>
      <c r="G124" s="6" t="str">
        <f>IF(Data!G124 = 'Point Intercept 2'!G124, Data!G124, "ERROR")</f>
        <v>LU</v>
      </c>
      <c r="H124" s="6">
        <f>IF(Data!I124 = 'Point Intercept 2'!I124, Data!I124, "ERROR")</f>
        <v>7</v>
      </c>
      <c r="I124" s="6">
        <f>IF(Data!H124 = 'Point Intercept 2'!H124, Data!H124, "ERROR")</f>
        <v>1</v>
      </c>
      <c r="J124" s="6">
        <f>IF(Data!J124 = 'Point Intercept 2'!J124, Data!J124, "ERROR")</f>
        <v>3</v>
      </c>
      <c r="K124" s="6" t="str">
        <f>IF(Data!K124 = 'Point Intercept 2'!K124, Data!K124, "ERROR")</f>
        <v>STEDIE</v>
      </c>
      <c r="L124" s="6" t="str">
        <f>IF(Data!L124 = 'Point Intercept 2'!L124, Data!L124, "ERROR")</f>
        <v>Stephanomeria diegensis</v>
      </c>
      <c r="M124" s="6">
        <f>IF(Data!N124 = 'Point Intercept 2'!M124, Data!N124, "ERROR")</f>
        <v>0</v>
      </c>
      <c r="N124" s="6">
        <f>IF(Data!O124 = 'Point Intercept 2'!N124, Data!O124, "ERROR")</f>
        <v>0</v>
      </c>
      <c r="O124" s="6">
        <f>IF(Data!P124 = 'Point Intercept 2'!O124, Data!P124, "ERROR")</f>
        <v>0</v>
      </c>
    </row>
    <row r="125" spans="1:15" x14ac:dyDescent="0.25">
      <c r="A125" s="6">
        <f>IF(Data!A125 = 'Point Intercept 2'!A125, Data!A125, "ERROR")</f>
        <v>2</v>
      </c>
      <c r="B125" s="6">
        <f>IF(Data!B125 = 'Point Intercept 2'!B125, Data!B125, "ERROR")</f>
        <v>2025</v>
      </c>
      <c r="C125" s="8">
        <f>IF(Data!C125 = 'Point Intercept 2'!C125, Data!C125, "ERROR")</f>
        <v>45755</v>
      </c>
      <c r="D125" s="6" t="str">
        <f>IF(Data!D125 = 'Point Intercept 2'!D125, Data!D125, "ERROR")</f>
        <v>MP, TL, CG, BN</v>
      </c>
      <c r="E125" s="6" t="str">
        <f>IF(Data!E125 = 'Point Intercept 2'!E125, Data!E125, "ERROR")</f>
        <v>VB</v>
      </c>
      <c r="F125" s="6">
        <f>IF(Data!F125 = 'Point Intercept 2'!F125, Data!F125, "ERROR")</f>
        <v>1</v>
      </c>
      <c r="G125" s="6" t="str">
        <f>IF(Data!G125 = 'Point Intercept 2'!G125, Data!G125, "ERROR")</f>
        <v>LU</v>
      </c>
      <c r="H125" s="6">
        <f>IF(Data!I125 = 'Point Intercept 2'!I125, Data!I125, "ERROR")</f>
        <v>8</v>
      </c>
      <c r="I125" s="6">
        <f>IF(Data!H125 = 'Point Intercept 2'!H125, Data!H125, "ERROR")</f>
        <v>1</v>
      </c>
      <c r="J125" s="6">
        <f>IF(Data!J125 = 'Point Intercept 2'!J125, Data!J125, "ERROR")</f>
        <v>3.5</v>
      </c>
      <c r="K125" s="6" t="str">
        <f>IF(Data!K125 = 'Point Intercept 2'!K125, Data!K125, "ERROR")</f>
        <v>L</v>
      </c>
      <c r="L125" s="6" t="str">
        <f>IF(Data!L125 = 'Point Intercept 2'!L125, Data!L125, "ERROR")</f>
        <v>Litter</v>
      </c>
      <c r="M125" s="6">
        <f>IF(Data!N125 = 'Point Intercept 2'!M125, Data!N125, "ERROR")</f>
        <v>0</v>
      </c>
      <c r="N125" s="6">
        <f>IF(Data!O125 = 'Point Intercept 2'!N125, Data!O125, "ERROR")</f>
        <v>0</v>
      </c>
      <c r="O125" s="6">
        <f>IF(Data!P125 = 'Point Intercept 2'!O125, Data!P125, "ERROR")</f>
        <v>0</v>
      </c>
    </row>
    <row r="126" spans="1:15" x14ac:dyDescent="0.25">
      <c r="A126" s="6">
        <f>IF(Data!A126 = 'Point Intercept 2'!A126, Data!A126, "ERROR")</f>
        <v>2</v>
      </c>
      <c r="B126" s="6">
        <f>IF(Data!B126 = 'Point Intercept 2'!B126, Data!B126, "ERROR")</f>
        <v>2025</v>
      </c>
      <c r="C126" s="8">
        <f>IF(Data!C126 = 'Point Intercept 2'!C126, Data!C126, "ERROR")</f>
        <v>45755</v>
      </c>
      <c r="D126" s="6" t="str">
        <f>IF(Data!D126 = 'Point Intercept 2'!D126, Data!D126, "ERROR")</f>
        <v>MP, TL, CG, BN</v>
      </c>
      <c r="E126" s="6" t="str">
        <f>IF(Data!E126 = 'Point Intercept 2'!E126, Data!E126, "ERROR")</f>
        <v>VB</v>
      </c>
      <c r="F126" s="6">
        <f>IF(Data!F126 = 'Point Intercept 2'!F126, Data!F126, "ERROR")</f>
        <v>1</v>
      </c>
      <c r="G126" s="6" t="str">
        <f>IF(Data!G126 = 'Point Intercept 2'!G126, Data!G126, "ERROR")</f>
        <v>LU</v>
      </c>
      <c r="H126" s="6">
        <f>IF(Data!I126 = 'Point Intercept 2'!I126, Data!I126, "ERROR")</f>
        <v>8</v>
      </c>
      <c r="I126" s="6">
        <f>IF(Data!H126 = 'Point Intercept 2'!H126, Data!H126, "ERROR")</f>
        <v>1</v>
      </c>
      <c r="J126" s="6">
        <f>IF(Data!J126 = 'Point Intercept 2'!J126, Data!J126, "ERROR")</f>
        <v>3.5</v>
      </c>
      <c r="K126" s="6" t="str">
        <f>IF(Data!K126 = 'Point Intercept 2'!K126, Data!K126, "ERROR")</f>
        <v>DEIFAS</v>
      </c>
      <c r="L126" s="6" t="str">
        <f>IF(Data!L126 = 'Point Intercept 2'!L126, Data!L126, "ERROR")</f>
        <v>Deinandra fasciculata</v>
      </c>
      <c r="M126" s="6">
        <f>IF(Data!N126 = 'Point Intercept 2'!M126, Data!N126, "ERROR")</f>
        <v>0</v>
      </c>
      <c r="N126" s="6">
        <f>IF(Data!O126 = 'Point Intercept 2'!N126, Data!O126, "ERROR")</f>
        <v>0</v>
      </c>
      <c r="O126" s="6">
        <f>IF(Data!P126 = 'Point Intercept 2'!O126, Data!P126, "ERROR")</f>
        <v>0</v>
      </c>
    </row>
    <row r="127" spans="1:15" x14ac:dyDescent="0.25">
      <c r="A127" s="6">
        <f>IF(Data!A127 = 'Point Intercept 2'!A127, Data!A127, "ERROR")</f>
        <v>2</v>
      </c>
      <c r="B127" s="6">
        <f>IF(Data!B127 = 'Point Intercept 2'!B127, Data!B127, "ERROR")</f>
        <v>2025</v>
      </c>
      <c r="C127" s="8">
        <f>IF(Data!C127 = 'Point Intercept 2'!C127, Data!C127, "ERROR")</f>
        <v>45755</v>
      </c>
      <c r="D127" s="6" t="str">
        <f>IF(Data!D127 = 'Point Intercept 2'!D127, Data!D127, "ERROR")</f>
        <v>MP, TL, CG, BN</v>
      </c>
      <c r="E127" s="6" t="str">
        <f>IF(Data!E127 = 'Point Intercept 2'!E127, Data!E127, "ERROR")</f>
        <v>VB</v>
      </c>
      <c r="F127" s="6">
        <f>IF(Data!F127 = 'Point Intercept 2'!F127, Data!F127, "ERROR")</f>
        <v>1</v>
      </c>
      <c r="G127" s="6" t="str">
        <f>IF(Data!G127 = 'Point Intercept 2'!G127, Data!G127, "ERROR")</f>
        <v>LU</v>
      </c>
      <c r="H127" s="6">
        <f>IF(Data!I127 = 'Point Intercept 2'!I127, Data!I127, "ERROR")</f>
        <v>8</v>
      </c>
      <c r="I127" s="6">
        <f>IF(Data!H127 = 'Point Intercept 2'!H127, Data!H127, "ERROR")</f>
        <v>1</v>
      </c>
      <c r="J127" s="6">
        <f>IF(Data!J127 = 'Point Intercept 2'!J127, Data!J127, "ERROR")</f>
        <v>3.5</v>
      </c>
      <c r="K127" s="6" t="str">
        <f>IF(Data!K127 = 'Point Intercept 2'!K127, Data!K127, "ERROR")</f>
        <v>EROCIC</v>
      </c>
      <c r="L127" s="6" t="str">
        <f>IF(Data!L127 = 'Point Intercept 2'!L127, Data!L127, "ERROR")</f>
        <v>Erodium cicutarium</v>
      </c>
      <c r="M127" s="6">
        <f>IF(Data!N127 = 'Point Intercept 2'!M127, Data!N127, "ERROR")</f>
        <v>0</v>
      </c>
      <c r="N127" s="6">
        <f>IF(Data!O127 = 'Point Intercept 2'!N127, Data!O127, "ERROR")</f>
        <v>0</v>
      </c>
      <c r="O127" s="6">
        <f>IF(Data!P127 = 'Point Intercept 2'!O127, Data!P127, "ERROR")</f>
        <v>0</v>
      </c>
    </row>
    <row r="128" spans="1:15" x14ac:dyDescent="0.25">
      <c r="A128" s="6">
        <f>IF(Data!A128 = 'Point Intercept 2'!A128, Data!A128, "ERROR")</f>
        <v>2</v>
      </c>
      <c r="B128" s="6">
        <f>IF(Data!B128 = 'Point Intercept 2'!B128, Data!B128, "ERROR")</f>
        <v>2025</v>
      </c>
      <c r="C128" s="8">
        <f>IF(Data!C128 = 'Point Intercept 2'!C128, Data!C128, "ERROR")</f>
        <v>45755</v>
      </c>
      <c r="D128" s="6" t="str">
        <f>IF(Data!D128 = 'Point Intercept 2'!D128, Data!D128, "ERROR")</f>
        <v>MP, TL, CG, BN</v>
      </c>
      <c r="E128" s="6" t="str">
        <f>IF(Data!E128 = 'Point Intercept 2'!E128, Data!E128, "ERROR")</f>
        <v>VB</v>
      </c>
      <c r="F128" s="6">
        <f>IF(Data!F128 = 'Point Intercept 2'!F128, Data!F128, "ERROR")</f>
        <v>1</v>
      </c>
      <c r="G128" s="6" t="str">
        <f>IF(Data!G128 = 'Point Intercept 2'!G128, Data!G128, "ERROR")</f>
        <v>LU</v>
      </c>
      <c r="H128" s="6">
        <f>IF(Data!I128 = 'Point Intercept 2'!I128, Data!I128, "ERROR")</f>
        <v>9</v>
      </c>
      <c r="I128" s="6">
        <f>IF(Data!H128 = 'Point Intercept 2'!H128, Data!H128, "ERROR")</f>
        <v>1</v>
      </c>
      <c r="J128" s="6">
        <f>IF(Data!J128 = 'Point Intercept 2'!J128, Data!J128, "ERROR")</f>
        <v>4</v>
      </c>
      <c r="K128" s="6" t="str">
        <f>IF(Data!K128 = 'Point Intercept 2'!K128, Data!K128, "ERROR")</f>
        <v>L</v>
      </c>
      <c r="L128" s="6" t="str">
        <f>IF(Data!L128 = 'Point Intercept 2'!L128, Data!L128, "ERROR")</f>
        <v>Litter</v>
      </c>
      <c r="M128" s="6">
        <f>IF(Data!N128 = 'Point Intercept 2'!M128, Data!N128, "ERROR")</f>
        <v>0</v>
      </c>
      <c r="N128" s="6">
        <f>IF(Data!O128 = 'Point Intercept 2'!N128, Data!O128, "ERROR")</f>
        <v>0</v>
      </c>
      <c r="O128" s="6">
        <f>IF(Data!P128 = 'Point Intercept 2'!O128, Data!P128, "ERROR")</f>
        <v>0</v>
      </c>
    </row>
    <row r="129" spans="1:15" x14ac:dyDescent="0.25">
      <c r="A129" s="6">
        <f>IF(Data!A129 = 'Point Intercept 2'!A129, Data!A129, "ERROR")</f>
        <v>2</v>
      </c>
      <c r="B129" s="6">
        <f>IF(Data!B129 = 'Point Intercept 2'!B129, Data!B129, "ERROR")</f>
        <v>2025</v>
      </c>
      <c r="C129" s="8">
        <f>IF(Data!C129 = 'Point Intercept 2'!C129, Data!C129, "ERROR")</f>
        <v>45755</v>
      </c>
      <c r="D129" s="6" t="str">
        <f>IF(Data!D129 = 'Point Intercept 2'!D129, Data!D129, "ERROR")</f>
        <v>MP, TL, CG, BN</v>
      </c>
      <c r="E129" s="6" t="str">
        <f>IF(Data!E129 = 'Point Intercept 2'!E129, Data!E129, "ERROR")</f>
        <v>VB</v>
      </c>
      <c r="F129" s="6">
        <f>IF(Data!F129 = 'Point Intercept 2'!F129, Data!F129, "ERROR")</f>
        <v>1</v>
      </c>
      <c r="G129" s="6" t="str">
        <f>IF(Data!G129 = 'Point Intercept 2'!G129, Data!G129, "ERROR")</f>
        <v>LU</v>
      </c>
      <c r="H129" s="6">
        <f>IF(Data!I129 = 'Point Intercept 2'!I129, Data!I129, "ERROR")</f>
        <v>9</v>
      </c>
      <c r="I129" s="6">
        <f>IF(Data!H129 = 'Point Intercept 2'!H129, Data!H129, "ERROR")</f>
        <v>1</v>
      </c>
      <c r="J129" s="6">
        <f>IF(Data!J129 = 'Point Intercept 2'!J129, Data!J129, "ERROR")</f>
        <v>4</v>
      </c>
      <c r="K129" s="6" t="str">
        <f>IF(Data!K129 = 'Point Intercept 2'!K129, Data!K129, "ERROR")</f>
        <v>DEIFAS</v>
      </c>
      <c r="L129" s="6" t="str">
        <f>IF(Data!L129 = 'Point Intercept 2'!L129, Data!L129, "ERROR")</f>
        <v>Deinandra fasciculata</v>
      </c>
      <c r="M129" s="6">
        <f>IF(Data!N129 = 'Point Intercept 2'!M129, Data!N129, "ERROR")</f>
        <v>0</v>
      </c>
      <c r="N129" s="6">
        <f>IF(Data!O129 = 'Point Intercept 2'!N129, Data!O129, "ERROR")</f>
        <v>0</v>
      </c>
      <c r="O129" s="6">
        <f>IF(Data!P129 = 'Point Intercept 2'!O129, Data!P129, "ERROR")</f>
        <v>0</v>
      </c>
    </row>
    <row r="130" spans="1:15" x14ac:dyDescent="0.25">
      <c r="A130" s="6">
        <f>IF(Data!A130 = 'Point Intercept 2'!A130, Data!A130, "ERROR")</f>
        <v>2</v>
      </c>
      <c r="B130" s="6">
        <f>IF(Data!B130 = 'Point Intercept 2'!B130, Data!B130, "ERROR")</f>
        <v>2025</v>
      </c>
      <c r="C130" s="8">
        <f>IF(Data!C130 = 'Point Intercept 2'!C130, Data!C130, "ERROR")</f>
        <v>45755</v>
      </c>
      <c r="D130" s="6" t="str">
        <f>IF(Data!D130 = 'Point Intercept 2'!D130, Data!D130, "ERROR")</f>
        <v>MP, TL, CG, BN</v>
      </c>
      <c r="E130" s="6" t="str">
        <f>IF(Data!E130 = 'Point Intercept 2'!E130, Data!E130, "ERROR")</f>
        <v>VB</v>
      </c>
      <c r="F130" s="6">
        <f>IF(Data!F130 = 'Point Intercept 2'!F130, Data!F130, "ERROR")</f>
        <v>1</v>
      </c>
      <c r="G130" s="6" t="str">
        <f>IF(Data!G130 = 'Point Intercept 2'!G130, Data!G130, "ERROR")</f>
        <v>LU</v>
      </c>
      <c r="H130" s="6">
        <f>IF(Data!I130 = 'Point Intercept 2'!I130, Data!I130, "ERROR")</f>
        <v>9</v>
      </c>
      <c r="I130" s="6">
        <f>IF(Data!H130 = 'Point Intercept 2'!H130, Data!H130, "ERROR")</f>
        <v>1</v>
      </c>
      <c r="J130" s="6">
        <f>IF(Data!J130 = 'Point Intercept 2'!J130, Data!J130, "ERROR")</f>
        <v>4</v>
      </c>
      <c r="K130" s="6" t="str">
        <f>IF(Data!K130 = 'Point Intercept 2'!K130, Data!K130, "ERROR")</f>
        <v>EROCIC</v>
      </c>
      <c r="L130" s="6" t="str">
        <f>IF(Data!L130 = 'Point Intercept 2'!L130, Data!L130, "ERROR")</f>
        <v>Erodium cicutarium</v>
      </c>
      <c r="M130" s="6">
        <f>IF(Data!N130 = 'Point Intercept 2'!M130, Data!N130, "ERROR")</f>
        <v>0</v>
      </c>
      <c r="N130" s="6">
        <f>IF(Data!O130 = 'Point Intercept 2'!N130, Data!O130, "ERROR")</f>
        <v>0</v>
      </c>
      <c r="O130" s="6">
        <f>IF(Data!P130 = 'Point Intercept 2'!O130, Data!P130, "ERROR")</f>
        <v>0</v>
      </c>
    </row>
    <row r="131" spans="1:15" x14ac:dyDescent="0.25">
      <c r="A131" s="6">
        <f>IF(Data!A131 = 'Point Intercept 2'!A131, Data!A131, "ERROR")</f>
        <v>2</v>
      </c>
      <c r="B131" s="6">
        <f>IF(Data!B131 = 'Point Intercept 2'!B131, Data!B131, "ERROR")</f>
        <v>2025</v>
      </c>
      <c r="C131" s="8">
        <f>IF(Data!C131 = 'Point Intercept 2'!C131, Data!C131, "ERROR")</f>
        <v>45755</v>
      </c>
      <c r="D131" s="6" t="str">
        <f>IF(Data!D131 = 'Point Intercept 2'!D131, Data!D131, "ERROR")</f>
        <v>MP, TL, CG, BN</v>
      </c>
      <c r="E131" s="6" t="str">
        <f>IF(Data!E131 = 'Point Intercept 2'!E131, Data!E131, "ERROR")</f>
        <v>VB</v>
      </c>
      <c r="F131" s="6">
        <f>IF(Data!F131 = 'Point Intercept 2'!F131, Data!F131, "ERROR")</f>
        <v>1</v>
      </c>
      <c r="G131" s="6" t="str">
        <f>IF(Data!G131 = 'Point Intercept 2'!G131, Data!G131, "ERROR")</f>
        <v>LU</v>
      </c>
      <c r="H131" s="6">
        <f>IF(Data!I131 = 'Point Intercept 2'!I131, Data!I131, "ERROR")</f>
        <v>10</v>
      </c>
      <c r="I131" s="6">
        <f>IF(Data!H131 = 'Point Intercept 2'!H131, Data!H131, "ERROR")</f>
        <v>1</v>
      </c>
      <c r="J131" s="6">
        <f>IF(Data!J131 = 'Point Intercept 2'!J131, Data!J131, "ERROR")</f>
        <v>4.5</v>
      </c>
      <c r="K131" s="6" t="str">
        <f>IF(Data!K131 = 'Point Intercept 2'!K131, Data!K131, "ERROR")</f>
        <v>L</v>
      </c>
      <c r="L131" s="6" t="str">
        <f>IF(Data!L131 = 'Point Intercept 2'!L131, Data!L131, "ERROR")</f>
        <v>Litter</v>
      </c>
      <c r="M131" s="6">
        <f>IF(Data!N131 = 'Point Intercept 2'!M131, Data!N131, "ERROR")</f>
        <v>0</v>
      </c>
      <c r="N131" s="6">
        <f>IF(Data!O131 = 'Point Intercept 2'!N131, Data!O131, "ERROR")</f>
        <v>0</v>
      </c>
      <c r="O131" s="6">
        <f>IF(Data!P131 = 'Point Intercept 2'!O131, Data!P131, "ERROR")</f>
        <v>0</v>
      </c>
    </row>
    <row r="132" spans="1:15" x14ac:dyDescent="0.25">
      <c r="A132" s="6">
        <f>IF(Data!A132 = 'Point Intercept 2'!A132, Data!A132, "ERROR")</f>
        <v>2</v>
      </c>
      <c r="B132" s="6">
        <f>IF(Data!B132 = 'Point Intercept 2'!B132, Data!B132, "ERROR")</f>
        <v>2025</v>
      </c>
      <c r="C132" s="8">
        <f>IF(Data!C132 = 'Point Intercept 2'!C132, Data!C132, "ERROR")</f>
        <v>45755</v>
      </c>
      <c r="D132" s="6" t="str">
        <f>IF(Data!D132 = 'Point Intercept 2'!D132, Data!D132, "ERROR")</f>
        <v>MP, TL, CG, BN</v>
      </c>
      <c r="E132" s="6" t="str">
        <f>IF(Data!E132 = 'Point Intercept 2'!E132, Data!E132, "ERROR")</f>
        <v>VB</v>
      </c>
      <c r="F132" s="6">
        <f>IF(Data!F132 = 'Point Intercept 2'!F132, Data!F132, "ERROR")</f>
        <v>1</v>
      </c>
      <c r="G132" s="6" t="str">
        <f>IF(Data!G132 = 'Point Intercept 2'!G132, Data!G132, "ERROR")</f>
        <v>LU</v>
      </c>
      <c r="H132" s="6">
        <f>IF(Data!I132 = 'Point Intercept 2'!I132, Data!I132, "ERROR")</f>
        <v>10</v>
      </c>
      <c r="I132" s="6">
        <f>IF(Data!H132 = 'Point Intercept 2'!H132, Data!H132, "ERROR")</f>
        <v>1</v>
      </c>
      <c r="J132" s="6">
        <f>IF(Data!J132 = 'Point Intercept 2'!J132, Data!J132, "ERROR")</f>
        <v>4.5</v>
      </c>
      <c r="K132" s="6" t="str">
        <f>IF(Data!K132 = 'Point Intercept 2'!K132, Data!K132, "ERROR")</f>
        <v>DEIFAS</v>
      </c>
      <c r="L132" s="6" t="str">
        <f>IF(Data!L132 = 'Point Intercept 2'!L132, Data!L132, "ERROR")</f>
        <v>Deinandra fasciculata</v>
      </c>
      <c r="M132" s="6">
        <f>IF(Data!N132 = 'Point Intercept 2'!M132, Data!N132, "ERROR")</f>
        <v>0</v>
      </c>
      <c r="N132" s="6">
        <f>IF(Data!O132 = 'Point Intercept 2'!N132, Data!O132, "ERROR")</f>
        <v>0</v>
      </c>
      <c r="O132" s="6">
        <f>IF(Data!P132 = 'Point Intercept 2'!O132, Data!P132, "ERROR")</f>
        <v>0</v>
      </c>
    </row>
    <row r="133" spans="1:15" x14ac:dyDescent="0.25">
      <c r="A133" s="6">
        <f>IF(Data!A133 = 'Point Intercept 2'!A133, Data!A133, "ERROR")</f>
        <v>2</v>
      </c>
      <c r="B133" s="6">
        <f>IF(Data!B133 = 'Point Intercept 2'!B133, Data!B133, "ERROR")</f>
        <v>2025</v>
      </c>
      <c r="C133" s="8">
        <f>IF(Data!C133 = 'Point Intercept 2'!C133, Data!C133, "ERROR")</f>
        <v>45755</v>
      </c>
      <c r="D133" s="6" t="str">
        <f>IF(Data!D133 = 'Point Intercept 2'!D133, Data!D133, "ERROR")</f>
        <v>MP, TL, CG, BN</v>
      </c>
      <c r="E133" s="6" t="str">
        <f>IF(Data!E133 = 'Point Intercept 2'!E133, Data!E133, "ERROR")</f>
        <v>VB</v>
      </c>
      <c r="F133" s="6">
        <f>IF(Data!F133 = 'Point Intercept 2'!F133, Data!F133, "ERROR")</f>
        <v>1</v>
      </c>
      <c r="G133" s="6" t="str">
        <f>IF(Data!G133 = 'Point Intercept 2'!G133, Data!G133, "ERROR")</f>
        <v>LU</v>
      </c>
      <c r="H133" s="6">
        <f>IF(Data!I133 = 'Point Intercept 2'!I133, Data!I133, "ERROR")</f>
        <v>10</v>
      </c>
      <c r="I133" s="6">
        <f>IF(Data!H133 = 'Point Intercept 2'!H133, Data!H133, "ERROR")</f>
        <v>1</v>
      </c>
      <c r="J133" s="6">
        <f>IF(Data!J133 = 'Point Intercept 2'!J133, Data!J133, "ERROR")</f>
        <v>4.5</v>
      </c>
      <c r="K133" s="6" t="str">
        <f>IF(Data!K133 = 'Point Intercept 2'!K133, Data!K133, "ERROR")</f>
        <v>BROMAD</v>
      </c>
      <c r="L133" s="6" t="str">
        <f>IF(Data!L133 = 'Point Intercept 2'!L133, Data!L133, "ERROR")</f>
        <v>Bromus madritensis</v>
      </c>
      <c r="M133" s="6">
        <f>IF(Data!N133 = 'Point Intercept 2'!M133, Data!N133, "ERROR")</f>
        <v>0</v>
      </c>
      <c r="N133" s="6">
        <f>IF(Data!O133 = 'Point Intercept 2'!N133, Data!O133, "ERROR")</f>
        <v>0</v>
      </c>
      <c r="O133" s="6">
        <f>IF(Data!P133 = 'Point Intercept 2'!O133, Data!P133, "ERROR")</f>
        <v>0</v>
      </c>
    </row>
    <row r="134" spans="1:15" x14ac:dyDescent="0.25">
      <c r="A134" s="6">
        <f>IF(Data!A134 = 'Point Intercept 2'!A134, Data!A134, "ERROR")</f>
        <v>2</v>
      </c>
      <c r="B134" s="6">
        <f>IF(Data!B134 = 'Point Intercept 2'!B134, Data!B134, "ERROR")</f>
        <v>2025</v>
      </c>
      <c r="C134" s="8">
        <f>IF(Data!C134 = 'Point Intercept 2'!C134, Data!C134, "ERROR")</f>
        <v>45755</v>
      </c>
      <c r="D134" s="6" t="str">
        <f>IF(Data!D134 = 'Point Intercept 2'!D134, Data!D134, "ERROR")</f>
        <v>MP, TL, CG, BN</v>
      </c>
      <c r="E134" s="6" t="str">
        <f>IF(Data!E134 = 'Point Intercept 2'!E134, Data!E134, "ERROR")</f>
        <v>VB</v>
      </c>
      <c r="F134" s="6">
        <f>IF(Data!F134 = 'Point Intercept 2'!F134, Data!F134, "ERROR")</f>
        <v>1</v>
      </c>
      <c r="G134" s="6" t="str">
        <f>IF(Data!G134 = 'Point Intercept 2'!G134, Data!G134, "ERROR")</f>
        <v>LU</v>
      </c>
      <c r="H134" s="6">
        <f>IF(Data!I134 = 'Point Intercept 2'!I134, Data!I134, "ERROR")</f>
        <v>11</v>
      </c>
      <c r="I134" s="6">
        <f>IF(Data!H134 = 'Point Intercept 2'!H134, Data!H134, "ERROR")</f>
        <v>1</v>
      </c>
      <c r="J134" s="6">
        <f>IF(Data!J134 = 'Point Intercept 2'!J134, Data!J134, "ERROR")</f>
        <v>5</v>
      </c>
      <c r="K134" s="6" t="str">
        <f>IF(Data!K134 = 'Point Intercept 2'!K134, Data!K134, "ERROR")</f>
        <v>L</v>
      </c>
      <c r="L134" s="6" t="str">
        <f>IF(Data!L134 = 'Point Intercept 2'!L134, Data!L134, "ERROR")</f>
        <v>Litter</v>
      </c>
      <c r="M134" s="6">
        <f>IF(Data!N134 = 'Point Intercept 2'!M134, Data!N134, "ERROR")</f>
        <v>0</v>
      </c>
      <c r="N134" s="6">
        <f>IF(Data!O134 = 'Point Intercept 2'!N134, Data!O134, "ERROR")</f>
        <v>0</v>
      </c>
      <c r="O134" s="6">
        <f>IF(Data!P134 = 'Point Intercept 2'!O134, Data!P134, "ERROR")</f>
        <v>0</v>
      </c>
    </row>
    <row r="135" spans="1:15" x14ac:dyDescent="0.25">
      <c r="A135" s="6">
        <f>IF(Data!A135 = 'Point Intercept 2'!A135, Data!A135, "ERROR")</f>
        <v>2</v>
      </c>
      <c r="B135" s="6">
        <f>IF(Data!B135 = 'Point Intercept 2'!B135, Data!B135, "ERROR")</f>
        <v>2025</v>
      </c>
      <c r="C135" s="8">
        <f>IF(Data!C135 = 'Point Intercept 2'!C135, Data!C135, "ERROR")</f>
        <v>45755</v>
      </c>
      <c r="D135" s="6" t="str">
        <f>IF(Data!D135 = 'Point Intercept 2'!D135, Data!D135, "ERROR")</f>
        <v>MP, TL, CG, BN</v>
      </c>
      <c r="E135" s="6" t="str">
        <f>IF(Data!E135 = 'Point Intercept 2'!E135, Data!E135, "ERROR")</f>
        <v>VB</v>
      </c>
      <c r="F135" s="6">
        <f>IF(Data!F135 = 'Point Intercept 2'!F135, Data!F135, "ERROR")</f>
        <v>1</v>
      </c>
      <c r="G135" s="6" t="str">
        <f>IF(Data!G135 = 'Point Intercept 2'!G135, Data!G135, "ERROR")</f>
        <v>LU</v>
      </c>
      <c r="H135" s="6">
        <f>IF(Data!I135 = 'Point Intercept 2'!I135, Data!I135, "ERROR")</f>
        <v>11</v>
      </c>
      <c r="I135" s="6">
        <f>IF(Data!H135 = 'Point Intercept 2'!H135, Data!H135, "ERROR")</f>
        <v>1</v>
      </c>
      <c r="J135" s="6">
        <f>IF(Data!J135 = 'Point Intercept 2'!J135, Data!J135, "ERROR")</f>
        <v>5</v>
      </c>
      <c r="K135" s="6" t="str">
        <f>IF(Data!K135 = 'Point Intercept 2'!K135, Data!K135, "ERROR")</f>
        <v>DEIFAS</v>
      </c>
      <c r="L135" s="6" t="str">
        <f>IF(Data!L135 = 'Point Intercept 2'!L135, Data!L135, "ERROR")</f>
        <v>Deinandra fasciculata</v>
      </c>
      <c r="M135" s="6">
        <f>IF(Data!N135 = 'Point Intercept 2'!M135, Data!N135, "ERROR")</f>
        <v>0</v>
      </c>
      <c r="N135" s="6">
        <f>IF(Data!O135 = 'Point Intercept 2'!N135, Data!O135, "ERROR")</f>
        <v>0</v>
      </c>
      <c r="O135" s="6">
        <f>IF(Data!P135 = 'Point Intercept 2'!O135, Data!P135, "ERROR")</f>
        <v>0</v>
      </c>
    </row>
    <row r="136" spans="1:15" x14ac:dyDescent="0.25">
      <c r="A136" s="6">
        <f>IF(Data!A136 = 'Point Intercept 2'!A136, Data!A136, "ERROR")</f>
        <v>2</v>
      </c>
      <c r="B136" s="6">
        <f>IF(Data!B136 = 'Point Intercept 2'!B136, Data!B136, "ERROR")</f>
        <v>2025</v>
      </c>
      <c r="C136" s="8">
        <f>IF(Data!C136 = 'Point Intercept 2'!C136, Data!C136, "ERROR")</f>
        <v>45755</v>
      </c>
      <c r="D136" s="6" t="str">
        <f>IF(Data!D136 = 'Point Intercept 2'!D136, Data!D136, "ERROR")</f>
        <v>MP, TL, CG, BN</v>
      </c>
      <c r="E136" s="6" t="str">
        <f>IF(Data!E136 = 'Point Intercept 2'!E136, Data!E136, "ERROR")</f>
        <v>VB</v>
      </c>
      <c r="F136" s="6">
        <f>IF(Data!F136 = 'Point Intercept 2'!F136, Data!F136, "ERROR")</f>
        <v>1</v>
      </c>
      <c r="G136" s="6" t="str">
        <f>IF(Data!G136 = 'Point Intercept 2'!G136, Data!G136, "ERROR")</f>
        <v>LU</v>
      </c>
      <c r="H136" s="6">
        <f>IF(Data!I136 = 'Point Intercept 2'!I136, Data!I136, "ERROR")</f>
        <v>11</v>
      </c>
      <c r="I136" s="6">
        <f>IF(Data!H136 = 'Point Intercept 2'!H136, Data!H136, "ERROR")</f>
        <v>1</v>
      </c>
      <c r="J136" s="6">
        <f>IF(Data!J136 = 'Point Intercept 2'!J136, Data!J136, "ERROR")</f>
        <v>5</v>
      </c>
      <c r="K136" s="6" t="str">
        <f>IF(Data!K136 = 'Point Intercept 2'!K136, Data!K136, "ERROR")</f>
        <v>BROMAD</v>
      </c>
      <c r="L136" s="6" t="str">
        <f>IF(Data!L136 = 'Point Intercept 2'!L136, Data!L136, "ERROR")</f>
        <v>Bromus madritensis</v>
      </c>
      <c r="M136" s="6">
        <f>IF(Data!N136 = 'Point Intercept 2'!M136, Data!N136, "ERROR")</f>
        <v>0</v>
      </c>
      <c r="N136" s="6">
        <f>IF(Data!O136 = 'Point Intercept 2'!N136, Data!O136, "ERROR")</f>
        <v>0</v>
      </c>
      <c r="O136" s="6">
        <f>IF(Data!P136 = 'Point Intercept 2'!O136, Data!P136, "ERROR")</f>
        <v>0</v>
      </c>
    </row>
    <row r="137" spans="1:15" x14ac:dyDescent="0.25">
      <c r="A137" s="6">
        <f>IF(Data!A137 = 'Point Intercept 2'!A137, Data!A137, "ERROR")</f>
        <v>2</v>
      </c>
      <c r="B137" s="6">
        <f>IF(Data!B137 = 'Point Intercept 2'!B137, Data!B137, "ERROR")</f>
        <v>2025</v>
      </c>
      <c r="C137" s="8">
        <f>IF(Data!C137 = 'Point Intercept 2'!C137, Data!C137, "ERROR")</f>
        <v>45755</v>
      </c>
      <c r="D137" s="6" t="str">
        <f>IF(Data!D137 = 'Point Intercept 2'!D137, Data!D137, "ERROR")</f>
        <v>MP, TL, CG, BN</v>
      </c>
      <c r="E137" s="6" t="str">
        <f>IF(Data!E137 = 'Point Intercept 2'!E137, Data!E137, "ERROR")</f>
        <v>VB</v>
      </c>
      <c r="F137" s="6">
        <f>IF(Data!F137 = 'Point Intercept 2'!F137, Data!F137, "ERROR")</f>
        <v>1</v>
      </c>
      <c r="G137" s="6" t="str">
        <f>IF(Data!G137 = 'Point Intercept 2'!G137, Data!G137, "ERROR")</f>
        <v>LU</v>
      </c>
      <c r="H137" s="6">
        <f>IF(Data!I137 = 'Point Intercept 2'!I137, Data!I137, "ERROR")</f>
        <v>12</v>
      </c>
      <c r="I137" s="6">
        <f>IF(Data!H137 = 'Point Intercept 2'!H137, Data!H137, "ERROR")</f>
        <v>1</v>
      </c>
      <c r="J137" s="6">
        <f>IF(Data!J137 = 'Point Intercept 2'!J137, Data!J137, "ERROR")</f>
        <v>5.5</v>
      </c>
      <c r="K137" s="6" t="str">
        <f>IF(Data!K137 = 'Point Intercept 2'!K137, Data!K137, "ERROR")</f>
        <v>L</v>
      </c>
      <c r="L137" s="6" t="str">
        <f>IF(Data!L137 = 'Point Intercept 2'!L137, Data!L137, "ERROR")</f>
        <v>Litter</v>
      </c>
      <c r="M137" s="6">
        <f>IF(Data!N137 = 'Point Intercept 2'!M137, Data!N137, "ERROR")</f>
        <v>0</v>
      </c>
      <c r="N137" s="6">
        <f>IF(Data!O137 = 'Point Intercept 2'!N137, Data!O137, "ERROR")</f>
        <v>0</v>
      </c>
      <c r="O137" s="6">
        <f>IF(Data!P137 = 'Point Intercept 2'!O137, Data!P137, "ERROR")</f>
        <v>0</v>
      </c>
    </row>
    <row r="138" spans="1:15" x14ac:dyDescent="0.25">
      <c r="A138" s="6">
        <f>IF(Data!A138 = 'Point Intercept 2'!A138, Data!A138, "ERROR")</f>
        <v>2</v>
      </c>
      <c r="B138" s="6">
        <f>IF(Data!B138 = 'Point Intercept 2'!B138, Data!B138, "ERROR")</f>
        <v>2025</v>
      </c>
      <c r="C138" s="8">
        <f>IF(Data!C138 = 'Point Intercept 2'!C138, Data!C138, "ERROR")</f>
        <v>45755</v>
      </c>
      <c r="D138" s="6" t="str">
        <f>IF(Data!D138 = 'Point Intercept 2'!D138, Data!D138, "ERROR")</f>
        <v>MP, TL, CG, BN</v>
      </c>
      <c r="E138" s="6" t="str">
        <f>IF(Data!E138 = 'Point Intercept 2'!E138, Data!E138, "ERROR")</f>
        <v>VB</v>
      </c>
      <c r="F138" s="6">
        <f>IF(Data!F138 = 'Point Intercept 2'!F138, Data!F138, "ERROR")</f>
        <v>1</v>
      </c>
      <c r="G138" s="6" t="str">
        <f>IF(Data!G138 = 'Point Intercept 2'!G138, Data!G138, "ERROR")</f>
        <v>LU</v>
      </c>
      <c r="H138" s="6">
        <f>IF(Data!I138 = 'Point Intercept 2'!I138, Data!I138, "ERROR")</f>
        <v>12</v>
      </c>
      <c r="I138" s="6">
        <f>IF(Data!H138 = 'Point Intercept 2'!H138, Data!H138, "ERROR")</f>
        <v>1</v>
      </c>
      <c r="J138" s="6">
        <f>IF(Data!J138 = 'Point Intercept 2'!J138, Data!J138, "ERROR")</f>
        <v>5.5</v>
      </c>
      <c r="K138" s="6" t="str">
        <f>IF(Data!K138 = 'Point Intercept 2'!K138, Data!K138, "ERROR")</f>
        <v>SONASP</v>
      </c>
      <c r="L138" s="6" t="str">
        <f>IF(Data!L138 = 'Point Intercept 2'!L138, Data!L138, "ERROR")</f>
        <v>Sonchus asper</v>
      </c>
      <c r="M138" s="6">
        <f>IF(Data!N138 = 'Point Intercept 2'!M138, Data!N138, "ERROR")</f>
        <v>0</v>
      </c>
      <c r="N138" s="6">
        <f>IF(Data!O138 = 'Point Intercept 2'!N138, Data!O138, "ERROR")</f>
        <v>0</v>
      </c>
      <c r="O138" s="6">
        <f>IF(Data!P138 = 'Point Intercept 2'!O138, Data!P138, "ERROR")</f>
        <v>0</v>
      </c>
    </row>
    <row r="139" spans="1:15" x14ac:dyDescent="0.25">
      <c r="A139" s="6">
        <f>IF(Data!A139 = 'Point Intercept 2'!A139, Data!A139, "ERROR")</f>
        <v>2</v>
      </c>
      <c r="B139" s="6">
        <f>IF(Data!B139 = 'Point Intercept 2'!B139, Data!B139, "ERROR")</f>
        <v>2025</v>
      </c>
      <c r="C139" s="8">
        <f>IF(Data!C139 = 'Point Intercept 2'!C139, Data!C139, "ERROR")</f>
        <v>45755</v>
      </c>
      <c r="D139" s="6" t="str">
        <f>IF(Data!D139 = 'Point Intercept 2'!D139, Data!D139, "ERROR")</f>
        <v>MP, TL, CG, BN</v>
      </c>
      <c r="E139" s="6" t="str">
        <f>IF(Data!E139 = 'Point Intercept 2'!E139, Data!E139, "ERROR")</f>
        <v>VB</v>
      </c>
      <c r="F139" s="6">
        <f>IF(Data!F139 = 'Point Intercept 2'!F139, Data!F139, "ERROR")</f>
        <v>1</v>
      </c>
      <c r="G139" s="6" t="str">
        <f>IF(Data!G139 = 'Point Intercept 2'!G139, Data!G139, "ERROR")</f>
        <v>LU</v>
      </c>
      <c r="H139" s="6">
        <f>IF(Data!I139 = 'Point Intercept 2'!I139, Data!I139, "ERROR")</f>
        <v>13</v>
      </c>
      <c r="I139" s="6">
        <f>IF(Data!H139 = 'Point Intercept 2'!H139, Data!H139, "ERROR")</f>
        <v>1</v>
      </c>
      <c r="J139" s="6">
        <f>IF(Data!J139 = 'Point Intercept 2'!J139, Data!J139, "ERROR")</f>
        <v>6.5</v>
      </c>
      <c r="K139" s="6" t="str">
        <f>IF(Data!K139 = 'Point Intercept 2'!K139, Data!K139, "ERROR")</f>
        <v>L</v>
      </c>
      <c r="L139" s="6" t="str">
        <f>IF(Data!L139 = 'Point Intercept 2'!L139, Data!L139, "ERROR")</f>
        <v>Litter</v>
      </c>
      <c r="M139" s="6">
        <f>IF(Data!N139 = 'Point Intercept 2'!M139, Data!N139, "ERROR")</f>
        <v>0</v>
      </c>
      <c r="N139" s="6">
        <f>IF(Data!O139 = 'Point Intercept 2'!N139, Data!O139, "ERROR")</f>
        <v>0</v>
      </c>
      <c r="O139" s="6">
        <f>IF(Data!P139 = 'Point Intercept 2'!O139, Data!P139, "ERROR")</f>
        <v>0</v>
      </c>
    </row>
    <row r="140" spans="1:15" x14ac:dyDescent="0.25">
      <c r="A140" s="6">
        <f>IF(Data!A140 = 'Point Intercept 2'!A140, Data!A140, "ERROR")</f>
        <v>2</v>
      </c>
      <c r="B140" s="6">
        <f>IF(Data!B140 = 'Point Intercept 2'!B140, Data!B140, "ERROR")</f>
        <v>2025</v>
      </c>
      <c r="C140" s="8">
        <f>IF(Data!C140 = 'Point Intercept 2'!C140, Data!C140, "ERROR")</f>
        <v>45755</v>
      </c>
      <c r="D140" s="6" t="str">
        <f>IF(Data!D140 = 'Point Intercept 2'!D140, Data!D140, "ERROR")</f>
        <v>MP, TL, CG, BN</v>
      </c>
      <c r="E140" s="6" t="str">
        <f>IF(Data!E140 = 'Point Intercept 2'!E140, Data!E140, "ERROR")</f>
        <v>VB</v>
      </c>
      <c r="F140" s="6">
        <f>IF(Data!F140 = 'Point Intercept 2'!F140, Data!F140, "ERROR")</f>
        <v>1</v>
      </c>
      <c r="G140" s="6" t="str">
        <f>IF(Data!G140 = 'Point Intercept 2'!G140, Data!G140, "ERROR")</f>
        <v>LU</v>
      </c>
      <c r="H140" s="6">
        <f>IF(Data!I140 = 'Point Intercept 2'!I140, Data!I140, "ERROR")</f>
        <v>13</v>
      </c>
      <c r="I140" s="6">
        <f>IF(Data!H140 = 'Point Intercept 2'!H140, Data!H140, "ERROR")</f>
        <v>1</v>
      </c>
      <c r="J140" s="6">
        <f>IF(Data!J140 = 'Point Intercept 2'!J140, Data!J140, "ERROR")</f>
        <v>6.5</v>
      </c>
      <c r="K140" s="6" t="str">
        <f>IF(Data!K140 = 'Point Intercept 2'!K140, Data!K140, "ERROR")</f>
        <v>CENMEL</v>
      </c>
      <c r="L140" s="6" t="str">
        <f>IF(Data!L140 = 'Point Intercept 2'!L140, Data!L140, "ERROR")</f>
        <v>Centaurea melitensis</v>
      </c>
      <c r="M140" s="6">
        <f>IF(Data!N140 = 'Point Intercept 2'!M140, Data!N140, "ERROR")</f>
        <v>0</v>
      </c>
      <c r="N140" s="6">
        <f>IF(Data!O140 = 'Point Intercept 2'!N140, Data!O140, "ERROR")</f>
        <v>0</v>
      </c>
      <c r="O140" s="6">
        <f>IF(Data!P140 = 'Point Intercept 2'!O140, Data!P140, "ERROR")</f>
        <v>0</v>
      </c>
    </row>
    <row r="141" spans="1:15" x14ac:dyDescent="0.25">
      <c r="A141" s="6">
        <f>IF(Data!A141 = 'Point Intercept 2'!A141, Data!A141, "ERROR")</f>
        <v>2</v>
      </c>
      <c r="B141" s="6">
        <f>IF(Data!B141 = 'Point Intercept 2'!B141, Data!B141, "ERROR")</f>
        <v>2025</v>
      </c>
      <c r="C141" s="8">
        <f>IF(Data!C141 = 'Point Intercept 2'!C141, Data!C141, "ERROR")</f>
        <v>45755</v>
      </c>
      <c r="D141" s="6" t="str">
        <f>IF(Data!D141 = 'Point Intercept 2'!D141, Data!D141, "ERROR")</f>
        <v>MP, TL, CG, BN</v>
      </c>
      <c r="E141" s="6" t="str">
        <f>IF(Data!E141 = 'Point Intercept 2'!E141, Data!E141, "ERROR")</f>
        <v>VB</v>
      </c>
      <c r="F141" s="6">
        <f>IF(Data!F141 = 'Point Intercept 2'!F141, Data!F141, "ERROR")</f>
        <v>1</v>
      </c>
      <c r="G141" s="6" t="str">
        <f>IF(Data!G141 = 'Point Intercept 2'!G141, Data!G141, "ERROR")</f>
        <v>LU</v>
      </c>
      <c r="H141" s="6">
        <f>IF(Data!I141 = 'Point Intercept 2'!I141, Data!I141, "ERROR")</f>
        <v>13</v>
      </c>
      <c r="I141" s="6">
        <f>IF(Data!H141 = 'Point Intercept 2'!H141, Data!H141, "ERROR")</f>
        <v>1</v>
      </c>
      <c r="J141" s="6">
        <f>IF(Data!J141 = 'Point Intercept 2'!J141, Data!J141, "ERROR")</f>
        <v>6.5</v>
      </c>
      <c r="K141" s="6" t="str">
        <f>IF(Data!K141 = 'Point Intercept 2'!K141, Data!K141, "ERROR")</f>
        <v>EROCIC</v>
      </c>
      <c r="L141" s="6" t="str">
        <f>IF(Data!L141 = 'Point Intercept 2'!L141, Data!L141, "ERROR")</f>
        <v>Erodium cicutarium</v>
      </c>
      <c r="M141" s="6">
        <f>IF(Data!N141 = 'Point Intercept 2'!M141, Data!N141, "ERROR")</f>
        <v>0</v>
      </c>
      <c r="N141" s="6">
        <f>IF(Data!O141 = 'Point Intercept 2'!N141, Data!O141, "ERROR")</f>
        <v>0</v>
      </c>
      <c r="O141" s="6">
        <f>IF(Data!P141 = 'Point Intercept 2'!O141, Data!P141, "ERROR")</f>
        <v>0</v>
      </c>
    </row>
    <row r="142" spans="1:15" x14ac:dyDescent="0.25">
      <c r="A142" s="6">
        <f>IF(Data!A142 = 'Point Intercept 2'!A142, Data!A142, "ERROR")</f>
        <v>2</v>
      </c>
      <c r="B142" s="6">
        <f>IF(Data!B142 = 'Point Intercept 2'!B142, Data!B142, "ERROR")</f>
        <v>2025</v>
      </c>
      <c r="C142" s="8">
        <f>IF(Data!C142 = 'Point Intercept 2'!C142, Data!C142, "ERROR")</f>
        <v>45755</v>
      </c>
      <c r="D142" s="6" t="str">
        <f>IF(Data!D142 = 'Point Intercept 2'!D142, Data!D142, "ERROR")</f>
        <v>MP, TL, CG, BN</v>
      </c>
      <c r="E142" s="6" t="str">
        <f>IF(Data!E142 = 'Point Intercept 2'!E142, Data!E142, "ERROR")</f>
        <v>VB</v>
      </c>
      <c r="F142" s="6">
        <f>IF(Data!F142 = 'Point Intercept 2'!F142, Data!F142, "ERROR")</f>
        <v>1</v>
      </c>
      <c r="G142" s="6" t="str">
        <f>IF(Data!G142 = 'Point Intercept 2'!G142, Data!G142, "ERROR")</f>
        <v>LU</v>
      </c>
      <c r="H142" s="6">
        <f>IF(Data!I142 = 'Point Intercept 2'!I142, Data!I142, "ERROR")</f>
        <v>14</v>
      </c>
      <c r="I142" s="6">
        <f>IF(Data!H142 = 'Point Intercept 2'!H142, Data!H142, "ERROR")</f>
        <v>1</v>
      </c>
      <c r="J142" s="6">
        <f>IF(Data!J142 = 'Point Intercept 2'!J142, Data!J142, "ERROR")</f>
        <v>7</v>
      </c>
      <c r="K142" s="6" t="str">
        <f>IF(Data!K142 = 'Point Intercept 2'!K142, Data!K142, "ERROR")</f>
        <v>L</v>
      </c>
      <c r="L142" s="6" t="str">
        <f>IF(Data!L142 = 'Point Intercept 2'!L142, Data!L142, "ERROR")</f>
        <v>Litter</v>
      </c>
      <c r="M142" s="6">
        <f>IF(Data!N142 = 'Point Intercept 2'!M142, Data!N142, "ERROR")</f>
        <v>0</v>
      </c>
      <c r="N142" s="6">
        <f>IF(Data!O142 = 'Point Intercept 2'!N142, Data!O142, "ERROR")</f>
        <v>0</v>
      </c>
      <c r="O142" s="6">
        <f>IF(Data!P142 = 'Point Intercept 2'!O142, Data!P142, "ERROR")</f>
        <v>0</v>
      </c>
    </row>
    <row r="143" spans="1:15" x14ac:dyDescent="0.25">
      <c r="A143" s="6">
        <f>IF(Data!A143 = 'Point Intercept 2'!A143, Data!A143, "ERROR")</f>
        <v>2</v>
      </c>
      <c r="B143" s="6">
        <f>IF(Data!B143 = 'Point Intercept 2'!B143, Data!B143, "ERROR")</f>
        <v>2025</v>
      </c>
      <c r="C143" s="8">
        <f>IF(Data!C143 = 'Point Intercept 2'!C143, Data!C143, "ERROR")</f>
        <v>45755</v>
      </c>
      <c r="D143" s="6" t="str">
        <f>IF(Data!D143 = 'Point Intercept 2'!D143, Data!D143, "ERROR")</f>
        <v>MP, TL, CG, BN</v>
      </c>
      <c r="E143" s="6" t="str">
        <f>IF(Data!E143 = 'Point Intercept 2'!E143, Data!E143, "ERROR")</f>
        <v>VB</v>
      </c>
      <c r="F143" s="6">
        <f>IF(Data!F143 = 'Point Intercept 2'!F143, Data!F143, "ERROR")</f>
        <v>1</v>
      </c>
      <c r="G143" s="6" t="str">
        <f>IF(Data!G143 = 'Point Intercept 2'!G143, Data!G143, "ERROR")</f>
        <v>LU</v>
      </c>
      <c r="H143" s="6">
        <f>IF(Data!I143 = 'Point Intercept 2'!I143, Data!I143, "ERROR")</f>
        <v>14</v>
      </c>
      <c r="I143" s="6">
        <f>IF(Data!H143 = 'Point Intercept 2'!H143, Data!H143, "ERROR")</f>
        <v>1</v>
      </c>
      <c r="J143" s="6">
        <f>IF(Data!J143 = 'Point Intercept 2'!J143, Data!J143, "ERROR")</f>
        <v>7</v>
      </c>
      <c r="K143" s="6" t="str">
        <f>IF(Data!K143 = 'Point Intercept 2'!K143, Data!K143, "ERROR")</f>
        <v>SONOLE</v>
      </c>
      <c r="L143" s="6" t="str">
        <f>IF(Data!L143 = 'Point Intercept 2'!L143, Data!L143, "ERROR")</f>
        <v>Sonchus oleraceus</v>
      </c>
      <c r="M143" s="6">
        <f>IF(Data!N143 = 'Point Intercept 2'!M143, Data!N143, "ERROR")</f>
        <v>0</v>
      </c>
      <c r="N143" s="6">
        <f>IF(Data!O143 = 'Point Intercept 2'!N143, Data!O143, "ERROR")</f>
        <v>0</v>
      </c>
      <c r="O143" s="6">
        <f>IF(Data!P143 = 'Point Intercept 2'!O143, Data!P143, "ERROR")</f>
        <v>0</v>
      </c>
    </row>
    <row r="144" spans="1:15" x14ac:dyDescent="0.25">
      <c r="A144" s="6">
        <f>IF(Data!A144 = 'Point Intercept 2'!A144, Data!A144, "ERROR")</f>
        <v>2</v>
      </c>
      <c r="B144" s="6">
        <f>IF(Data!B144 = 'Point Intercept 2'!B144, Data!B144, "ERROR")</f>
        <v>2025</v>
      </c>
      <c r="C144" s="8">
        <f>IF(Data!C144 = 'Point Intercept 2'!C144, Data!C144, "ERROR")</f>
        <v>45755</v>
      </c>
      <c r="D144" s="6" t="str">
        <f>IF(Data!D144 = 'Point Intercept 2'!D144, Data!D144, "ERROR")</f>
        <v>MP, TL, CG, BN</v>
      </c>
      <c r="E144" s="6" t="str">
        <f>IF(Data!E144 = 'Point Intercept 2'!E144, Data!E144, "ERROR")</f>
        <v>VB</v>
      </c>
      <c r="F144" s="6">
        <f>IF(Data!F144 = 'Point Intercept 2'!F144, Data!F144, "ERROR")</f>
        <v>1</v>
      </c>
      <c r="G144" s="6" t="str">
        <f>IF(Data!G144 = 'Point Intercept 2'!G144, Data!G144, "ERROR")</f>
        <v>LU</v>
      </c>
      <c r="H144" s="6">
        <f>IF(Data!I144 = 'Point Intercept 2'!I144, Data!I144, "ERROR")</f>
        <v>15</v>
      </c>
      <c r="I144" s="6">
        <f>IF(Data!H144 = 'Point Intercept 2'!H144, Data!H144, "ERROR")</f>
        <v>1</v>
      </c>
      <c r="J144" s="6">
        <f>IF(Data!J144 = 'Point Intercept 2'!J144, Data!J144, "ERROR")</f>
        <v>7.5</v>
      </c>
      <c r="K144" s="6" t="str">
        <f>IF(Data!K144 = 'Point Intercept 2'!K144, Data!K144, "ERROR")</f>
        <v>L</v>
      </c>
      <c r="L144" s="6" t="str">
        <f>IF(Data!L144 = 'Point Intercept 2'!L144, Data!L144, "ERROR")</f>
        <v>Litter</v>
      </c>
      <c r="M144" s="6">
        <f>IF(Data!N144 = 'Point Intercept 2'!M144, Data!N144, "ERROR")</f>
        <v>0</v>
      </c>
      <c r="N144" s="6">
        <f>IF(Data!O144 = 'Point Intercept 2'!N144, Data!O144, "ERROR")</f>
        <v>0</v>
      </c>
      <c r="O144" s="6">
        <f>IF(Data!P144 = 'Point Intercept 2'!O144, Data!P144, "ERROR")</f>
        <v>0</v>
      </c>
    </row>
    <row r="145" spans="1:15" x14ac:dyDescent="0.25">
      <c r="A145" s="6">
        <f>IF(Data!A145 = 'Point Intercept 2'!A145, Data!A145, "ERROR")</f>
        <v>2</v>
      </c>
      <c r="B145" s="6">
        <f>IF(Data!B145 = 'Point Intercept 2'!B145, Data!B145, "ERROR")</f>
        <v>2025</v>
      </c>
      <c r="C145" s="8">
        <f>IF(Data!C145 = 'Point Intercept 2'!C145, Data!C145, "ERROR")</f>
        <v>45755</v>
      </c>
      <c r="D145" s="6" t="str">
        <f>IF(Data!D145 = 'Point Intercept 2'!D145, Data!D145, "ERROR")</f>
        <v>MP, TL, CG, BN</v>
      </c>
      <c r="E145" s="6" t="str">
        <f>IF(Data!E145 = 'Point Intercept 2'!E145, Data!E145, "ERROR")</f>
        <v>VB</v>
      </c>
      <c r="F145" s="6">
        <f>IF(Data!F145 = 'Point Intercept 2'!F145, Data!F145, "ERROR")</f>
        <v>1</v>
      </c>
      <c r="G145" s="6" t="str">
        <f>IF(Data!G145 = 'Point Intercept 2'!G145, Data!G145, "ERROR")</f>
        <v>LU</v>
      </c>
      <c r="H145" s="6">
        <f>IF(Data!I145 = 'Point Intercept 2'!I145, Data!I145, "ERROR")</f>
        <v>15</v>
      </c>
      <c r="I145" s="6">
        <f>IF(Data!H145 = 'Point Intercept 2'!H145, Data!H145, "ERROR")</f>
        <v>1</v>
      </c>
      <c r="J145" s="6">
        <f>IF(Data!J145 = 'Point Intercept 2'!J145, Data!J145, "ERROR")</f>
        <v>7.5</v>
      </c>
      <c r="K145" s="6" t="str">
        <f>IF(Data!K145 = 'Point Intercept 2'!K145, Data!K145, "ERROR")</f>
        <v>ANAARV</v>
      </c>
      <c r="L145" s="6" t="str">
        <f>IF(Data!L145 = 'Point Intercept 2'!L145, Data!L145, "ERROR")</f>
        <v>Anagallis arvensis</v>
      </c>
      <c r="M145" s="6">
        <f>IF(Data!N145 = 'Point Intercept 2'!M145, Data!N145, "ERROR")</f>
        <v>0</v>
      </c>
      <c r="N145" s="6">
        <f>IF(Data!O145 = 'Point Intercept 2'!N145, Data!O145, "ERROR")</f>
        <v>0</v>
      </c>
      <c r="O145" s="6">
        <f>IF(Data!P145 = 'Point Intercept 2'!O145, Data!P145, "ERROR")</f>
        <v>0</v>
      </c>
    </row>
    <row r="146" spans="1:15" x14ac:dyDescent="0.25">
      <c r="A146" s="6">
        <f>IF(Data!A146 = 'Point Intercept 2'!A146, Data!A146, "ERROR")</f>
        <v>2</v>
      </c>
      <c r="B146" s="6">
        <f>IF(Data!B146 = 'Point Intercept 2'!B146, Data!B146, "ERROR")</f>
        <v>2025</v>
      </c>
      <c r="C146" s="8">
        <f>IF(Data!C146 = 'Point Intercept 2'!C146, Data!C146, "ERROR")</f>
        <v>45755</v>
      </c>
      <c r="D146" s="6" t="str">
        <f>IF(Data!D146 = 'Point Intercept 2'!D146, Data!D146, "ERROR")</f>
        <v>MP, TL, CG, BN</v>
      </c>
      <c r="E146" s="6" t="str">
        <f>IF(Data!E146 = 'Point Intercept 2'!E146, Data!E146, "ERROR")</f>
        <v>VB</v>
      </c>
      <c r="F146" s="6">
        <f>IF(Data!F146 = 'Point Intercept 2'!F146, Data!F146, "ERROR")</f>
        <v>1</v>
      </c>
      <c r="G146" s="6" t="str">
        <f>IF(Data!G146 = 'Point Intercept 2'!G146, Data!G146, "ERROR")</f>
        <v>LU</v>
      </c>
      <c r="H146" s="6">
        <f>IF(Data!I146 = 'Point Intercept 2'!I146, Data!I146, "ERROR")</f>
        <v>15</v>
      </c>
      <c r="I146" s="6">
        <f>IF(Data!H146 = 'Point Intercept 2'!H146, Data!H146, "ERROR")</f>
        <v>1</v>
      </c>
      <c r="J146" s="6">
        <f>IF(Data!J146 = 'Point Intercept 2'!J146, Data!J146, "ERROR")</f>
        <v>7.5</v>
      </c>
      <c r="K146" s="6" t="str">
        <f>IF(Data!K146 = 'Point Intercept 2'!K146, Data!K146, "ERROR")</f>
        <v>EROCIC</v>
      </c>
      <c r="L146" s="6" t="str">
        <f>IF(Data!L146 = 'Point Intercept 2'!L146, Data!L146, "ERROR")</f>
        <v>Erodium cicutarium</v>
      </c>
      <c r="M146" s="6">
        <f>IF(Data!N146 = 'Point Intercept 2'!M146, Data!N146, "ERROR")</f>
        <v>0</v>
      </c>
      <c r="N146" s="6">
        <f>IF(Data!O146 = 'Point Intercept 2'!N146, Data!O146, "ERROR")</f>
        <v>0</v>
      </c>
      <c r="O146" s="6">
        <f>IF(Data!P146 = 'Point Intercept 2'!O146, Data!P146, "ERROR")</f>
        <v>0</v>
      </c>
    </row>
    <row r="147" spans="1:15" x14ac:dyDescent="0.25">
      <c r="A147" s="6">
        <f>IF(Data!A147 = 'Point Intercept 2'!A147, Data!A147, "ERROR")</f>
        <v>2</v>
      </c>
      <c r="B147" s="6">
        <f>IF(Data!B147 = 'Point Intercept 2'!B147, Data!B147, "ERROR")</f>
        <v>2025</v>
      </c>
      <c r="C147" s="8">
        <f>IF(Data!C147 = 'Point Intercept 2'!C147, Data!C147, "ERROR")</f>
        <v>45755</v>
      </c>
      <c r="D147" s="6" t="str">
        <f>IF(Data!D147 = 'Point Intercept 2'!D147, Data!D147, "ERROR")</f>
        <v>MP, TL, CG, BN</v>
      </c>
      <c r="E147" s="6" t="str">
        <f>IF(Data!E147 = 'Point Intercept 2'!E147, Data!E147, "ERROR")</f>
        <v>VB</v>
      </c>
      <c r="F147" s="6">
        <f>IF(Data!F147 = 'Point Intercept 2'!F147, Data!F147, "ERROR")</f>
        <v>1</v>
      </c>
      <c r="G147" s="6" t="str">
        <f>IF(Data!G147 = 'Point Intercept 2'!G147, Data!G147, "ERROR")</f>
        <v>LU</v>
      </c>
      <c r="H147" s="6">
        <f>IF(Data!I147 = 'Point Intercept 2'!I147, Data!I147, "ERROR")</f>
        <v>1</v>
      </c>
      <c r="I147" s="6">
        <f>IF(Data!H147 = 'Point Intercept 2'!H147, Data!H147, "ERROR")</f>
        <v>2</v>
      </c>
      <c r="J147" s="6">
        <f>IF(Data!J147 = 'Point Intercept 2'!J147, Data!J147, "ERROR")</f>
        <v>0</v>
      </c>
      <c r="K147" s="6" t="str">
        <f>IF(Data!K147 = 'Point Intercept 2'!K147, Data!K147, "ERROR")</f>
        <v>L</v>
      </c>
      <c r="L147" s="6" t="str">
        <f>IF(Data!L147 = 'Point Intercept 2'!L147, Data!L147, "ERROR")</f>
        <v>Litter</v>
      </c>
      <c r="M147" s="6">
        <f>IF(Data!N147 = 'Point Intercept 2'!M147, Data!N147, "ERROR")</f>
        <v>0</v>
      </c>
      <c r="N147" s="6">
        <f>IF(Data!O147 = 'Point Intercept 2'!N147, Data!O147, "ERROR")</f>
        <v>0</v>
      </c>
      <c r="O147" s="6">
        <f>IF(Data!P147 = 'Point Intercept 2'!O147, Data!P147, "ERROR")</f>
        <v>0</v>
      </c>
    </row>
    <row r="148" spans="1:15" x14ac:dyDescent="0.25">
      <c r="A148" s="6">
        <f>IF(Data!A148 = 'Point Intercept 2'!A148, Data!A148, "ERROR")</f>
        <v>2</v>
      </c>
      <c r="B148" s="6">
        <f>IF(Data!B148 = 'Point Intercept 2'!B148, Data!B148, "ERROR")</f>
        <v>2025</v>
      </c>
      <c r="C148" s="8">
        <f>IF(Data!C148 = 'Point Intercept 2'!C148, Data!C148, "ERROR")</f>
        <v>45755</v>
      </c>
      <c r="D148" s="6" t="str">
        <f>IF(Data!D148 = 'Point Intercept 2'!D148, Data!D148, "ERROR")</f>
        <v>MP, TL, CG, BN</v>
      </c>
      <c r="E148" s="6" t="str">
        <f>IF(Data!E148 = 'Point Intercept 2'!E148, Data!E148, "ERROR")</f>
        <v>VB</v>
      </c>
      <c r="F148" s="6">
        <f>IF(Data!F148 = 'Point Intercept 2'!F148, Data!F148, "ERROR")</f>
        <v>1</v>
      </c>
      <c r="G148" s="6" t="str">
        <f>IF(Data!G148 = 'Point Intercept 2'!G148, Data!G148, "ERROR")</f>
        <v>LU</v>
      </c>
      <c r="H148" s="6">
        <f>IF(Data!I148 = 'Point Intercept 2'!I148, Data!I148, "ERROR")</f>
        <v>1</v>
      </c>
      <c r="I148" s="6">
        <f>IF(Data!H148 = 'Point Intercept 2'!H148, Data!H148, "ERROR")</f>
        <v>2</v>
      </c>
      <c r="J148" s="6">
        <f>IF(Data!J148 = 'Point Intercept 2'!J148, Data!J148, "ERROR")</f>
        <v>0</v>
      </c>
      <c r="K148" s="6" t="str">
        <f>IF(Data!K148 = 'Point Intercept 2'!K148, Data!K148, "ERROR")</f>
        <v>CENMEL</v>
      </c>
      <c r="L148" s="6" t="str">
        <f>IF(Data!L148 = 'Point Intercept 2'!L148, Data!L148, "ERROR")</f>
        <v>Centaurea melitensis</v>
      </c>
      <c r="M148" s="6">
        <f>IF(Data!N148 = 'Point Intercept 2'!M148, Data!N148, "ERROR")</f>
        <v>0</v>
      </c>
      <c r="N148" s="6">
        <f>IF(Data!O148 = 'Point Intercept 2'!N148, Data!O148, "ERROR")</f>
        <v>0</v>
      </c>
      <c r="O148" s="6">
        <f>IF(Data!P148 = 'Point Intercept 2'!O148, Data!P148, "ERROR")</f>
        <v>0</v>
      </c>
    </row>
    <row r="149" spans="1:15" x14ac:dyDescent="0.25">
      <c r="A149" s="6">
        <f>IF(Data!A149 = 'Point Intercept 2'!A149, Data!A149, "ERROR")</f>
        <v>2</v>
      </c>
      <c r="B149" s="6">
        <f>IF(Data!B149 = 'Point Intercept 2'!B149, Data!B149, "ERROR")</f>
        <v>2025</v>
      </c>
      <c r="C149" s="8">
        <f>IF(Data!C149 = 'Point Intercept 2'!C149, Data!C149, "ERROR")</f>
        <v>45755</v>
      </c>
      <c r="D149" s="6" t="str">
        <f>IF(Data!D149 = 'Point Intercept 2'!D149, Data!D149, "ERROR")</f>
        <v>MP, TL, CG, BN</v>
      </c>
      <c r="E149" s="6" t="str">
        <f>IF(Data!E149 = 'Point Intercept 2'!E149, Data!E149, "ERROR")</f>
        <v>VB</v>
      </c>
      <c r="F149" s="6">
        <f>IF(Data!F149 = 'Point Intercept 2'!F149, Data!F149, "ERROR")</f>
        <v>1</v>
      </c>
      <c r="G149" s="6" t="str">
        <f>IF(Data!G149 = 'Point Intercept 2'!G149, Data!G149, "ERROR")</f>
        <v>LU</v>
      </c>
      <c r="H149" s="6">
        <f>IF(Data!I149 = 'Point Intercept 2'!I149, Data!I149, "ERROR")</f>
        <v>1</v>
      </c>
      <c r="I149" s="6">
        <f>IF(Data!H149 = 'Point Intercept 2'!H149, Data!H149, "ERROR")</f>
        <v>2</v>
      </c>
      <c r="J149" s="6">
        <f>IF(Data!J149 = 'Point Intercept 2'!J149, Data!J149, "ERROR")</f>
        <v>0</v>
      </c>
      <c r="K149" s="6" t="str">
        <f>IF(Data!K149 = 'Point Intercept 2'!K149, Data!K149, "ERROR")</f>
        <v>MEDPOL</v>
      </c>
      <c r="L149" s="6" t="str">
        <f>IF(Data!L149 = 'Point Intercept 2'!L149, Data!L149, "ERROR")</f>
        <v>Medicago polymorpha</v>
      </c>
      <c r="M149" s="6">
        <f>IF(Data!N149 = 'Point Intercept 2'!M149, Data!N149, "ERROR")</f>
        <v>0</v>
      </c>
      <c r="N149" s="6">
        <f>IF(Data!O149 = 'Point Intercept 2'!N149, Data!O149, "ERROR")</f>
        <v>0</v>
      </c>
      <c r="O149" s="6">
        <f>IF(Data!P149 = 'Point Intercept 2'!O149, Data!P149, "ERROR")</f>
        <v>0</v>
      </c>
    </row>
    <row r="150" spans="1:15" x14ac:dyDescent="0.25">
      <c r="A150" s="6">
        <f>IF(Data!A150 = 'Point Intercept 2'!A150, Data!A150, "ERROR")</f>
        <v>2</v>
      </c>
      <c r="B150" s="6">
        <f>IF(Data!B150 = 'Point Intercept 2'!B150, Data!B150, "ERROR")</f>
        <v>2025</v>
      </c>
      <c r="C150" s="8">
        <f>IF(Data!C150 = 'Point Intercept 2'!C150, Data!C150, "ERROR")</f>
        <v>45755</v>
      </c>
      <c r="D150" s="6" t="str">
        <f>IF(Data!D150 = 'Point Intercept 2'!D150, Data!D150, "ERROR")</f>
        <v>MP, TL, CG, BN</v>
      </c>
      <c r="E150" s="6" t="str">
        <f>IF(Data!E150 = 'Point Intercept 2'!E150, Data!E150, "ERROR")</f>
        <v>VB</v>
      </c>
      <c r="F150" s="6">
        <f>IF(Data!F150 = 'Point Intercept 2'!F150, Data!F150, "ERROR")</f>
        <v>1</v>
      </c>
      <c r="G150" s="6" t="str">
        <f>IF(Data!G150 = 'Point Intercept 2'!G150, Data!G150, "ERROR")</f>
        <v>LU</v>
      </c>
      <c r="H150" s="6">
        <f>IF(Data!I150 = 'Point Intercept 2'!I150, Data!I150, "ERROR")</f>
        <v>1</v>
      </c>
      <c r="I150" s="6">
        <f>IF(Data!H150 = 'Point Intercept 2'!H150, Data!H150, "ERROR")</f>
        <v>2</v>
      </c>
      <c r="J150" s="6">
        <f>IF(Data!J150 = 'Point Intercept 2'!J150, Data!J150, "ERROR")</f>
        <v>0</v>
      </c>
      <c r="K150" s="6" t="str">
        <f>IF(Data!K150 = 'Point Intercept 2'!K150, Data!K150, "ERROR")</f>
        <v>FESMYU</v>
      </c>
      <c r="L150" s="6" t="str">
        <f>IF(Data!L150 = 'Point Intercept 2'!L150, Data!L150, "ERROR")</f>
        <v>Festuca myuros</v>
      </c>
      <c r="M150" s="6">
        <f>IF(Data!N150 = 'Point Intercept 2'!M150, Data!N150, "ERROR")</f>
        <v>0</v>
      </c>
      <c r="N150" s="6">
        <f>IF(Data!O150 = 'Point Intercept 2'!N150, Data!O150, "ERROR")</f>
        <v>0</v>
      </c>
      <c r="O150" s="6">
        <f>IF(Data!P150 = 'Point Intercept 2'!O150, Data!P150, "ERROR")</f>
        <v>0</v>
      </c>
    </row>
    <row r="151" spans="1:15" x14ac:dyDescent="0.25">
      <c r="A151" s="6">
        <f>IF(Data!A151 = 'Point Intercept 2'!A151, Data!A151, "ERROR")</f>
        <v>2</v>
      </c>
      <c r="B151" s="6">
        <f>IF(Data!B151 = 'Point Intercept 2'!B151, Data!B151, "ERROR")</f>
        <v>2025</v>
      </c>
      <c r="C151" s="8">
        <f>IF(Data!C151 = 'Point Intercept 2'!C151, Data!C151, "ERROR")</f>
        <v>45755</v>
      </c>
      <c r="D151" s="6" t="str">
        <f>IF(Data!D151 = 'Point Intercept 2'!D151, Data!D151, "ERROR")</f>
        <v>MP, TL, CG, BN</v>
      </c>
      <c r="E151" s="6" t="str">
        <f>IF(Data!E151 = 'Point Intercept 2'!E151, Data!E151, "ERROR")</f>
        <v>VB</v>
      </c>
      <c r="F151" s="6">
        <f>IF(Data!F151 = 'Point Intercept 2'!F151, Data!F151, "ERROR")</f>
        <v>1</v>
      </c>
      <c r="G151" s="6" t="str">
        <f>IF(Data!G151 = 'Point Intercept 2'!G151, Data!G151, "ERROR")</f>
        <v>LU</v>
      </c>
      <c r="H151" s="6">
        <f>IF(Data!I151 = 'Point Intercept 2'!I151, Data!I151, "ERROR")</f>
        <v>2</v>
      </c>
      <c r="I151" s="6">
        <f>IF(Data!H151 = 'Point Intercept 2'!H151, Data!H151, "ERROR")</f>
        <v>2</v>
      </c>
      <c r="J151" s="6">
        <f>IF(Data!J151 = 'Point Intercept 2'!J151, Data!J151, "ERROR")</f>
        <v>0.5</v>
      </c>
      <c r="K151" s="6" t="str">
        <f>IF(Data!K151 = 'Point Intercept 2'!K151, Data!K151, "ERROR")</f>
        <v>L</v>
      </c>
      <c r="L151" s="6" t="str">
        <f>IF(Data!L151 = 'Point Intercept 2'!L151, Data!L151, "ERROR")</f>
        <v>Litter</v>
      </c>
      <c r="M151" s="6">
        <f>IF(Data!N151 = 'Point Intercept 2'!M151, Data!N151, "ERROR")</f>
        <v>0</v>
      </c>
      <c r="N151" s="6">
        <f>IF(Data!O151 = 'Point Intercept 2'!N151, Data!O151, "ERROR")</f>
        <v>0</v>
      </c>
      <c r="O151" s="6">
        <f>IF(Data!P151 = 'Point Intercept 2'!O151, Data!P151, "ERROR")</f>
        <v>0</v>
      </c>
    </row>
    <row r="152" spans="1:15" x14ac:dyDescent="0.25">
      <c r="A152" s="6">
        <f>IF(Data!A152 = 'Point Intercept 2'!A152, Data!A152, "ERROR")</f>
        <v>2</v>
      </c>
      <c r="B152" s="6">
        <f>IF(Data!B152 = 'Point Intercept 2'!B152, Data!B152, "ERROR")</f>
        <v>2025</v>
      </c>
      <c r="C152" s="8">
        <f>IF(Data!C152 = 'Point Intercept 2'!C152, Data!C152, "ERROR")</f>
        <v>45755</v>
      </c>
      <c r="D152" s="6" t="str">
        <f>IF(Data!D152 = 'Point Intercept 2'!D152, Data!D152, "ERROR")</f>
        <v>MP, TL, CG, BN</v>
      </c>
      <c r="E152" s="6" t="str">
        <f>IF(Data!E152 = 'Point Intercept 2'!E152, Data!E152, "ERROR")</f>
        <v>VB</v>
      </c>
      <c r="F152" s="6">
        <f>IF(Data!F152 = 'Point Intercept 2'!F152, Data!F152, "ERROR")</f>
        <v>1</v>
      </c>
      <c r="G152" s="6" t="str">
        <f>IF(Data!G152 = 'Point Intercept 2'!G152, Data!G152, "ERROR")</f>
        <v>LU</v>
      </c>
      <c r="H152" s="6">
        <f>IF(Data!I152 = 'Point Intercept 2'!I152, Data!I152, "ERROR")</f>
        <v>2</v>
      </c>
      <c r="I152" s="6">
        <f>IF(Data!H152 = 'Point Intercept 2'!H152, Data!H152, "ERROR")</f>
        <v>2</v>
      </c>
      <c r="J152" s="6">
        <f>IF(Data!J152 = 'Point Intercept 2'!J152, Data!J152, "ERROR")</f>
        <v>0.5</v>
      </c>
      <c r="K152" s="6" t="str">
        <f>IF(Data!K152 = 'Point Intercept 2'!K152, Data!K152, "ERROR")</f>
        <v>OPULIT</v>
      </c>
      <c r="L152" s="6" t="str">
        <f>IF(Data!L152 = 'Point Intercept 2'!L152, Data!L152, "ERROR")</f>
        <v>Opuntia littoralis</v>
      </c>
      <c r="M152" s="6">
        <f>IF(Data!N152 = 'Point Intercept 2'!M152, Data!N152, "ERROR")</f>
        <v>0</v>
      </c>
      <c r="N152" s="6">
        <f>IF(Data!O152 = 'Point Intercept 2'!N152, Data!O152, "ERROR")</f>
        <v>0</v>
      </c>
      <c r="O152" s="6">
        <f>IF(Data!P152 = 'Point Intercept 2'!O152, Data!P152, "ERROR")</f>
        <v>0</v>
      </c>
    </row>
    <row r="153" spans="1:15" x14ac:dyDescent="0.25">
      <c r="A153" s="6">
        <f>IF(Data!A153 = 'Point Intercept 2'!A153, Data!A153, "ERROR")</f>
        <v>2</v>
      </c>
      <c r="B153" s="6">
        <f>IF(Data!B153 = 'Point Intercept 2'!B153, Data!B153, "ERROR")</f>
        <v>2025</v>
      </c>
      <c r="C153" s="8">
        <f>IF(Data!C153 = 'Point Intercept 2'!C153, Data!C153, "ERROR")</f>
        <v>45755</v>
      </c>
      <c r="D153" s="6" t="str">
        <f>IF(Data!D153 = 'Point Intercept 2'!D153, Data!D153, "ERROR")</f>
        <v>MP, TL, CG, BN</v>
      </c>
      <c r="E153" s="6" t="str">
        <f>IF(Data!E153 = 'Point Intercept 2'!E153, Data!E153, "ERROR")</f>
        <v>VB</v>
      </c>
      <c r="F153" s="6">
        <f>IF(Data!F153 = 'Point Intercept 2'!F153, Data!F153, "ERROR")</f>
        <v>1</v>
      </c>
      <c r="G153" s="6" t="str">
        <f>IF(Data!G153 = 'Point Intercept 2'!G153, Data!G153, "ERROR")</f>
        <v>LU</v>
      </c>
      <c r="H153" s="6">
        <f>IF(Data!I153 = 'Point Intercept 2'!I153, Data!I153, "ERROR")</f>
        <v>2</v>
      </c>
      <c r="I153" s="6">
        <f>IF(Data!H153 = 'Point Intercept 2'!H153, Data!H153, "ERROR")</f>
        <v>2</v>
      </c>
      <c r="J153" s="6">
        <f>IF(Data!J153 = 'Point Intercept 2'!J153, Data!J153, "ERROR")</f>
        <v>0.5</v>
      </c>
      <c r="K153" s="6" t="str">
        <f>IF(Data!K153 = 'Point Intercept 2'!K153, Data!K153, "ERROR")</f>
        <v>MEDPOL</v>
      </c>
      <c r="L153" s="6" t="str">
        <f>IF(Data!L153 = 'Point Intercept 2'!L153, Data!L153, "ERROR")</f>
        <v>Medicago polymorpha</v>
      </c>
      <c r="M153" s="6">
        <f>IF(Data!N153 = 'Point Intercept 2'!M153, Data!N153, "ERROR")</f>
        <v>0</v>
      </c>
      <c r="N153" s="6">
        <f>IF(Data!O153 = 'Point Intercept 2'!N153, Data!O153, "ERROR")</f>
        <v>0</v>
      </c>
      <c r="O153" s="6">
        <f>IF(Data!P153 = 'Point Intercept 2'!O153, Data!P153, "ERROR")</f>
        <v>0</v>
      </c>
    </row>
    <row r="154" spans="1:15" x14ac:dyDescent="0.25">
      <c r="A154" s="6">
        <f>IF(Data!A154 = 'Point Intercept 2'!A154, Data!A154, "ERROR")</f>
        <v>2</v>
      </c>
      <c r="B154" s="6">
        <f>IF(Data!B154 = 'Point Intercept 2'!B154, Data!B154, "ERROR")</f>
        <v>2025</v>
      </c>
      <c r="C154" s="8">
        <f>IF(Data!C154 = 'Point Intercept 2'!C154, Data!C154, "ERROR")</f>
        <v>45755</v>
      </c>
      <c r="D154" s="6" t="str">
        <f>IF(Data!D154 = 'Point Intercept 2'!D154, Data!D154, "ERROR")</f>
        <v>MP, TL, CG, BN</v>
      </c>
      <c r="E154" s="6" t="str">
        <f>IF(Data!E154 = 'Point Intercept 2'!E154, Data!E154, "ERROR")</f>
        <v>VB</v>
      </c>
      <c r="F154" s="6">
        <f>IF(Data!F154 = 'Point Intercept 2'!F154, Data!F154, "ERROR")</f>
        <v>1</v>
      </c>
      <c r="G154" s="6" t="str">
        <f>IF(Data!G154 = 'Point Intercept 2'!G154, Data!G154, "ERROR")</f>
        <v>LU</v>
      </c>
      <c r="H154" s="6">
        <f>IF(Data!I154 = 'Point Intercept 2'!I154, Data!I154, "ERROR")</f>
        <v>2</v>
      </c>
      <c r="I154" s="6">
        <f>IF(Data!H154 = 'Point Intercept 2'!H154, Data!H154, "ERROR")</f>
        <v>2</v>
      </c>
      <c r="J154" s="6">
        <f>IF(Data!J154 = 'Point Intercept 2'!J154, Data!J154, "ERROR")</f>
        <v>0.5</v>
      </c>
      <c r="K154" s="6" t="str">
        <f>IF(Data!K154 = 'Point Intercept 2'!K154, Data!K154, "ERROR")</f>
        <v>CRYMAR</v>
      </c>
      <c r="L154" s="6" t="str">
        <f>IF(Data!L154 = 'Point Intercept 2'!L154, Data!L154, "ERROR")</f>
        <v>Crypantha maritima</v>
      </c>
      <c r="M154" s="6">
        <f>IF(Data!N154 = 'Point Intercept 2'!M154, Data!N154, "ERROR")</f>
        <v>0</v>
      </c>
      <c r="N154" s="6">
        <f>IF(Data!O154 = 'Point Intercept 2'!N154, Data!O154, "ERROR")</f>
        <v>0</v>
      </c>
      <c r="O154" s="6">
        <f>IF(Data!P154 = 'Point Intercept 2'!O154, Data!P154, "ERROR")</f>
        <v>0</v>
      </c>
    </row>
    <row r="155" spans="1:15" x14ac:dyDescent="0.25">
      <c r="A155" s="6">
        <f>IF(Data!A155 = 'Point Intercept 2'!A155, Data!A155, "ERROR")</f>
        <v>2</v>
      </c>
      <c r="B155" s="6">
        <f>IF(Data!B155 = 'Point Intercept 2'!B155, Data!B155, "ERROR")</f>
        <v>2025</v>
      </c>
      <c r="C155" s="8">
        <f>IF(Data!C155 = 'Point Intercept 2'!C155, Data!C155, "ERROR")</f>
        <v>45755</v>
      </c>
      <c r="D155" s="6" t="str">
        <f>IF(Data!D155 = 'Point Intercept 2'!D155, Data!D155, "ERROR")</f>
        <v>MP, TL, CG, BN</v>
      </c>
      <c r="E155" s="6" t="str">
        <f>IF(Data!E155 = 'Point Intercept 2'!E155, Data!E155, "ERROR")</f>
        <v>VB</v>
      </c>
      <c r="F155" s="6">
        <f>IF(Data!F155 = 'Point Intercept 2'!F155, Data!F155, "ERROR")</f>
        <v>1</v>
      </c>
      <c r="G155" s="6" t="str">
        <f>IF(Data!G155 = 'Point Intercept 2'!G155, Data!G155, "ERROR")</f>
        <v>LU</v>
      </c>
      <c r="H155" s="6">
        <f>IF(Data!I155 = 'Point Intercept 2'!I155, Data!I155, "ERROR")</f>
        <v>2</v>
      </c>
      <c r="I155" s="6">
        <f>IF(Data!H155 = 'Point Intercept 2'!H155, Data!H155, "ERROR")</f>
        <v>2</v>
      </c>
      <c r="J155" s="6">
        <f>IF(Data!J155 = 'Point Intercept 2'!J155, Data!J155, "ERROR")</f>
        <v>0.5</v>
      </c>
      <c r="K155" s="6" t="str">
        <f>IF(Data!K155 = 'Point Intercept 2'!K155, Data!K155, "ERROR")</f>
        <v>CENMEL</v>
      </c>
      <c r="L155" s="6" t="str">
        <f>IF(Data!L155 = 'Point Intercept 2'!L155, Data!L155, "ERROR")</f>
        <v>Centaurea melitensis</v>
      </c>
      <c r="M155" s="6">
        <f>IF(Data!N155 = 'Point Intercept 2'!M155, Data!N155, "ERROR")</f>
        <v>0</v>
      </c>
      <c r="N155" s="6">
        <f>IF(Data!O155 = 'Point Intercept 2'!N155, Data!O155, "ERROR")</f>
        <v>0</v>
      </c>
      <c r="O155" s="6">
        <f>IF(Data!P155 = 'Point Intercept 2'!O155, Data!P155, "ERROR")</f>
        <v>0</v>
      </c>
    </row>
    <row r="156" spans="1:15" x14ac:dyDescent="0.25">
      <c r="A156" s="6">
        <f>IF(Data!A156 = 'Point Intercept 2'!A156, Data!A156, "ERROR")</f>
        <v>2</v>
      </c>
      <c r="B156" s="6">
        <f>IF(Data!B156 = 'Point Intercept 2'!B156, Data!B156, "ERROR")</f>
        <v>2025</v>
      </c>
      <c r="C156" s="8">
        <f>IF(Data!C156 = 'Point Intercept 2'!C156, Data!C156, "ERROR")</f>
        <v>45755</v>
      </c>
      <c r="D156" s="6" t="str">
        <f>IF(Data!D156 = 'Point Intercept 2'!D156, Data!D156, "ERROR")</f>
        <v>MP, TL, CG, BN</v>
      </c>
      <c r="E156" s="6" t="str">
        <f>IF(Data!E156 = 'Point Intercept 2'!E156, Data!E156, "ERROR")</f>
        <v>VB</v>
      </c>
      <c r="F156" s="6">
        <f>IF(Data!F156 = 'Point Intercept 2'!F156, Data!F156, "ERROR")</f>
        <v>1</v>
      </c>
      <c r="G156" s="6" t="str">
        <f>IF(Data!G156 = 'Point Intercept 2'!G156, Data!G156, "ERROR")</f>
        <v>LU</v>
      </c>
      <c r="H156" s="6">
        <f>IF(Data!I156 = 'Point Intercept 2'!I156, Data!I156, "ERROR")</f>
        <v>3</v>
      </c>
      <c r="I156" s="6">
        <f>IF(Data!H156 = 'Point Intercept 2'!H156, Data!H156, "ERROR")</f>
        <v>2</v>
      </c>
      <c r="J156" s="6">
        <f>IF(Data!J156 = 'Point Intercept 2'!J156, Data!J156, "ERROR")</f>
        <v>1</v>
      </c>
      <c r="K156" s="6" t="str">
        <f>IF(Data!K156 = 'Point Intercept 2'!K156, Data!K156, "ERROR")</f>
        <v>S</v>
      </c>
      <c r="L156" s="6" t="str">
        <f>IF(Data!L156 = 'Point Intercept 2'!L156, Data!L156, "ERROR")</f>
        <v>Stem</v>
      </c>
      <c r="M156" s="6">
        <f>IF(Data!N156 = 'Point Intercept 2'!M156, Data!N156, "ERROR")</f>
        <v>0</v>
      </c>
      <c r="N156" s="6">
        <f>IF(Data!O156 = 'Point Intercept 2'!N156, Data!O156, "ERROR")</f>
        <v>0</v>
      </c>
      <c r="O156" s="6">
        <f>IF(Data!P156 = 'Point Intercept 2'!O156, Data!P156, "ERROR")</f>
        <v>0</v>
      </c>
    </row>
    <row r="157" spans="1:15" x14ac:dyDescent="0.25">
      <c r="A157" s="6">
        <f>IF(Data!A157 = 'Point Intercept 2'!A157, Data!A157, "ERROR")</f>
        <v>2</v>
      </c>
      <c r="B157" s="6">
        <f>IF(Data!B157 = 'Point Intercept 2'!B157, Data!B157, "ERROR")</f>
        <v>2025</v>
      </c>
      <c r="C157" s="8">
        <f>IF(Data!C157 = 'Point Intercept 2'!C157, Data!C157, "ERROR")</f>
        <v>45755</v>
      </c>
      <c r="D157" s="6" t="str">
        <f>IF(Data!D157 = 'Point Intercept 2'!D157, Data!D157, "ERROR")</f>
        <v>MP, TL, CG, BN</v>
      </c>
      <c r="E157" s="6" t="str">
        <f>IF(Data!E157 = 'Point Intercept 2'!E157, Data!E157, "ERROR")</f>
        <v>VB</v>
      </c>
      <c r="F157" s="6">
        <f>IF(Data!F157 = 'Point Intercept 2'!F157, Data!F157, "ERROR")</f>
        <v>1</v>
      </c>
      <c r="G157" s="6" t="str">
        <f>IF(Data!G157 = 'Point Intercept 2'!G157, Data!G157, "ERROR")</f>
        <v>LU</v>
      </c>
      <c r="H157" s="6">
        <f>IF(Data!I157 = 'Point Intercept 2'!I157, Data!I157, "ERROR")</f>
        <v>3</v>
      </c>
      <c r="I157" s="6">
        <f>IF(Data!H157 = 'Point Intercept 2'!H157, Data!H157, "ERROR")</f>
        <v>2</v>
      </c>
      <c r="J157" s="6">
        <f>IF(Data!J157 = 'Point Intercept 2'!J157, Data!J157, "ERROR")</f>
        <v>1</v>
      </c>
      <c r="K157" s="6" t="str">
        <f>IF(Data!K157 = 'Point Intercept 2'!K157, Data!K157, "ERROR")</f>
        <v>CENMEL</v>
      </c>
      <c r="L157" s="6" t="str">
        <f>IF(Data!L157 = 'Point Intercept 2'!L157, Data!L157, "ERROR")</f>
        <v>Centaurea melitensis</v>
      </c>
      <c r="M157" s="6">
        <f>IF(Data!N157 = 'Point Intercept 2'!M157, Data!N157, "ERROR")</f>
        <v>0</v>
      </c>
      <c r="N157" s="6">
        <f>IF(Data!O157 = 'Point Intercept 2'!N157, Data!O157, "ERROR")</f>
        <v>0</v>
      </c>
      <c r="O157" s="6">
        <f>IF(Data!P157 = 'Point Intercept 2'!O157, Data!P157, "ERROR")</f>
        <v>0</v>
      </c>
    </row>
    <row r="158" spans="1:15" x14ac:dyDescent="0.25">
      <c r="A158" s="6">
        <f>IF(Data!A158 = 'Point Intercept 2'!A158, Data!A158, "ERROR")</f>
        <v>2</v>
      </c>
      <c r="B158" s="6">
        <f>IF(Data!B158 = 'Point Intercept 2'!B158, Data!B158, "ERROR")</f>
        <v>2025</v>
      </c>
      <c r="C158" s="8">
        <f>IF(Data!C158 = 'Point Intercept 2'!C158, Data!C158, "ERROR")</f>
        <v>45755</v>
      </c>
      <c r="D158" s="6" t="str">
        <f>IF(Data!D158 = 'Point Intercept 2'!D158, Data!D158, "ERROR")</f>
        <v>MP, TL, CG, BN</v>
      </c>
      <c r="E158" s="6" t="str">
        <f>IF(Data!E158 = 'Point Intercept 2'!E158, Data!E158, "ERROR")</f>
        <v>VB</v>
      </c>
      <c r="F158" s="6">
        <f>IF(Data!F158 = 'Point Intercept 2'!F158, Data!F158, "ERROR")</f>
        <v>1</v>
      </c>
      <c r="G158" s="6" t="str">
        <f>IF(Data!G158 = 'Point Intercept 2'!G158, Data!G158, "ERROR")</f>
        <v>LU</v>
      </c>
      <c r="H158" s="6">
        <f>IF(Data!I158 = 'Point Intercept 2'!I158, Data!I158, "ERROR")</f>
        <v>3</v>
      </c>
      <c r="I158" s="6">
        <f>IF(Data!H158 = 'Point Intercept 2'!H158, Data!H158, "ERROR")</f>
        <v>2</v>
      </c>
      <c r="J158" s="6">
        <f>IF(Data!J158 = 'Point Intercept 2'!J158, Data!J158, "ERROR")</f>
        <v>1</v>
      </c>
      <c r="K158" s="6" t="str">
        <f>IF(Data!K158 = 'Point Intercept 2'!K158, Data!K158, "ERROR")</f>
        <v>EROCIC</v>
      </c>
      <c r="L158" s="6" t="str">
        <f>IF(Data!L158 = 'Point Intercept 2'!L158, Data!L158, "ERROR")</f>
        <v>Erodium cicutarium</v>
      </c>
      <c r="M158" s="6">
        <f>IF(Data!N158 = 'Point Intercept 2'!M158, Data!N158, "ERROR")</f>
        <v>0</v>
      </c>
      <c r="N158" s="6">
        <f>IF(Data!O158 = 'Point Intercept 2'!N158, Data!O158, "ERROR")</f>
        <v>0</v>
      </c>
      <c r="O158" s="6">
        <f>IF(Data!P158 = 'Point Intercept 2'!O158, Data!P158, "ERROR")</f>
        <v>0</v>
      </c>
    </row>
    <row r="159" spans="1:15" x14ac:dyDescent="0.25">
      <c r="A159" s="6">
        <f>IF(Data!A159 = 'Point Intercept 2'!A159, Data!A159, "ERROR")</f>
        <v>2</v>
      </c>
      <c r="B159" s="6">
        <f>IF(Data!B159 = 'Point Intercept 2'!B159, Data!B159, "ERROR")</f>
        <v>2025</v>
      </c>
      <c r="C159" s="8">
        <f>IF(Data!C159 = 'Point Intercept 2'!C159, Data!C159, "ERROR")</f>
        <v>45755</v>
      </c>
      <c r="D159" s="6" t="str">
        <f>IF(Data!D159 = 'Point Intercept 2'!D159, Data!D159, "ERROR")</f>
        <v>MP, TL, CG, BN</v>
      </c>
      <c r="E159" s="6" t="str">
        <f>IF(Data!E159 = 'Point Intercept 2'!E159, Data!E159, "ERROR")</f>
        <v>VB</v>
      </c>
      <c r="F159" s="6">
        <f>IF(Data!F159 = 'Point Intercept 2'!F159, Data!F159, "ERROR")</f>
        <v>1</v>
      </c>
      <c r="G159" s="6" t="str">
        <f>IF(Data!G159 = 'Point Intercept 2'!G159, Data!G159, "ERROR")</f>
        <v>LU</v>
      </c>
      <c r="H159" s="6">
        <f>IF(Data!I159 = 'Point Intercept 2'!I159, Data!I159, "ERROR")</f>
        <v>3</v>
      </c>
      <c r="I159" s="6">
        <f>IF(Data!H159 = 'Point Intercept 2'!H159, Data!H159, "ERROR")</f>
        <v>2</v>
      </c>
      <c r="J159" s="6">
        <f>IF(Data!J159 = 'Point Intercept 2'!J159, Data!J159, "ERROR")</f>
        <v>1</v>
      </c>
      <c r="K159" s="6" t="str">
        <f>IF(Data!K159 = 'Point Intercept 2'!K159, Data!K159, "ERROR")</f>
        <v>FESMYU</v>
      </c>
      <c r="L159" s="6" t="str">
        <f>IF(Data!L159 = 'Point Intercept 2'!L159, Data!L159, "ERROR")</f>
        <v>Festuca myuros</v>
      </c>
      <c r="M159" s="6">
        <f>IF(Data!N159 = 'Point Intercept 2'!M159, Data!N159, "ERROR")</f>
        <v>0</v>
      </c>
      <c r="N159" s="6">
        <f>IF(Data!O159 = 'Point Intercept 2'!N159, Data!O159, "ERROR")</f>
        <v>0</v>
      </c>
      <c r="O159" s="6">
        <f>IF(Data!P159 = 'Point Intercept 2'!O159, Data!P159, "ERROR")</f>
        <v>0</v>
      </c>
    </row>
    <row r="160" spans="1:15" x14ac:dyDescent="0.25">
      <c r="A160" s="6">
        <f>IF(Data!A160 = 'Point Intercept 2'!A160, Data!A160, "ERROR")</f>
        <v>2</v>
      </c>
      <c r="B160" s="6">
        <f>IF(Data!B160 = 'Point Intercept 2'!B160, Data!B160, "ERROR")</f>
        <v>2025</v>
      </c>
      <c r="C160" s="8">
        <f>IF(Data!C160 = 'Point Intercept 2'!C160, Data!C160, "ERROR")</f>
        <v>45755</v>
      </c>
      <c r="D160" s="6" t="str">
        <f>IF(Data!D160 = 'Point Intercept 2'!D160, Data!D160, "ERROR")</f>
        <v>MP, TL, CG, BN</v>
      </c>
      <c r="E160" s="6" t="str">
        <f>IF(Data!E160 = 'Point Intercept 2'!E160, Data!E160, "ERROR")</f>
        <v>VB</v>
      </c>
      <c r="F160" s="6">
        <f>IF(Data!F160 = 'Point Intercept 2'!F160, Data!F160, "ERROR")</f>
        <v>1</v>
      </c>
      <c r="G160" s="6" t="str">
        <f>IF(Data!G160 = 'Point Intercept 2'!G160, Data!G160, "ERROR")</f>
        <v>LU</v>
      </c>
      <c r="H160" s="6">
        <f>IF(Data!I160 = 'Point Intercept 2'!I160, Data!I160, "ERROR")</f>
        <v>4</v>
      </c>
      <c r="I160" s="6">
        <f>IF(Data!H160 = 'Point Intercept 2'!H160, Data!H160, "ERROR")</f>
        <v>2</v>
      </c>
      <c r="J160" s="6">
        <f>IF(Data!J160 = 'Point Intercept 2'!J160, Data!J160, "ERROR")</f>
        <v>1.5</v>
      </c>
      <c r="K160" s="6" t="str">
        <f>IF(Data!K160 = 'Point Intercept 2'!K160, Data!K160, "ERROR")</f>
        <v>L</v>
      </c>
      <c r="L160" s="6" t="str">
        <f>IF(Data!L160 = 'Point Intercept 2'!L160, Data!L160, "ERROR")</f>
        <v>Litter</v>
      </c>
      <c r="M160" s="6">
        <f>IF(Data!N160 = 'Point Intercept 2'!M160, Data!N160, "ERROR")</f>
        <v>0</v>
      </c>
      <c r="N160" s="6">
        <f>IF(Data!O160 = 'Point Intercept 2'!N160, Data!O160, "ERROR")</f>
        <v>0</v>
      </c>
      <c r="O160" s="6">
        <f>IF(Data!P160 = 'Point Intercept 2'!O160, Data!P160, "ERROR")</f>
        <v>0</v>
      </c>
    </row>
    <row r="161" spans="1:15" x14ac:dyDescent="0.25">
      <c r="A161" s="6">
        <f>IF(Data!A161 = 'Point Intercept 2'!A161, Data!A161, "ERROR")</f>
        <v>2</v>
      </c>
      <c r="B161" s="6">
        <f>IF(Data!B161 = 'Point Intercept 2'!B161, Data!B161, "ERROR")</f>
        <v>2025</v>
      </c>
      <c r="C161" s="8">
        <f>IF(Data!C161 = 'Point Intercept 2'!C161, Data!C161, "ERROR")</f>
        <v>45755</v>
      </c>
      <c r="D161" s="6" t="str">
        <f>IF(Data!D161 = 'Point Intercept 2'!D161, Data!D161, "ERROR")</f>
        <v>MP, TL, CG, BN</v>
      </c>
      <c r="E161" s="6" t="str">
        <f>IF(Data!E161 = 'Point Intercept 2'!E161, Data!E161, "ERROR")</f>
        <v>VB</v>
      </c>
      <c r="F161" s="6">
        <f>IF(Data!F161 = 'Point Intercept 2'!F161, Data!F161, "ERROR")</f>
        <v>1</v>
      </c>
      <c r="G161" s="6" t="str">
        <f>IF(Data!G161 = 'Point Intercept 2'!G161, Data!G161, "ERROR")</f>
        <v>LU</v>
      </c>
      <c r="H161" s="6">
        <f>IF(Data!I161 = 'Point Intercept 2'!I161, Data!I161, "ERROR")</f>
        <v>4</v>
      </c>
      <c r="I161" s="6">
        <f>IF(Data!H161 = 'Point Intercept 2'!H161, Data!H161, "ERROR")</f>
        <v>2</v>
      </c>
      <c r="J161" s="6">
        <f>IF(Data!J161 = 'Point Intercept 2'!J161, Data!J161, "ERROR")</f>
        <v>1.5</v>
      </c>
      <c r="K161" s="6" t="str">
        <f>IF(Data!K161 = 'Point Intercept 2'!K161, Data!K161, "ERROR")</f>
        <v>MEDPOL</v>
      </c>
      <c r="L161" s="6" t="str">
        <f>IF(Data!L161 = 'Point Intercept 2'!L161, Data!L161, "ERROR")</f>
        <v>Medicago polymorpha</v>
      </c>
      <c r="M161" s="6">
        <f>IF(Data!N161 = 'Point Intercept 2'!M161, Data!N161, "ERROR")</f>
        <v>0</v>
      </c>
      <c r="N161" s="6">
        <f>IF(Data!O161 = 'Point Intercept 2'!N161, Data!O161, "ERROR")</f>
        <v>0</v>
      </c>
      <c r="O161" s="6">
        <f>IF(Data!P161 = 'Point Intercept 2'!O161, Data!P161, "ERROR")</f>
        <v>0</v>
      </c>
    </row>
    <row r="162" spans="1:15" x14ac:dyDescent="0.25">
      <c r="A162" s="6">
        <f>IF(Data!A162 = 'Point Intercept 2'!A162, Data!A162, "ERROR")</f>
        <v>2</v>
      </c>
      <c r="B162" s="6">
        <f>IF(Data!B162 = 'Point Intercept 2'!B162, Data!B162, "ERROR")</f>
        <v>2025</v>
      </c>
      <c r="C162" s="8">
        <f>IF(Data!C162 = 'Point Intercept 2'!C162, Data!C162, "ERROR")</f>
        <v>45755</v>
      </c>
      <c r="D162" s="6" t="str">
        <f>IF(Data!D162 = 'Point Intercept 2'!D162, Data!D162, "ERROR")</f>
        <v>MP, TL, CG, BN</v>
      </c>
      <c r="E162" s="6" t="str">
        <f>IF(Data!E162 = 'Point Intercept 2'!E162, Data!E162, "ERROR")</f>
        <v>VB</v>
      </c>
      <c r="F162" s="6">
        <f>IF(Data!F162 = 'Point Intercept 2'!F162, Data!F162, "ERROR")</f>
        <v>1</v>
      </c>
      <c r="G162" s="6" t="str">
        <f>IF(Data!G162 = 'Point Intercept 2'!G162, Data!G162, "ERROR")</f>
        <v>LU</v>
      </c>
      <c r="H162" s="6">
        <f>IF(Data!I162 = 'Point Intercept 2'!I162, Data!I162, "ERROR")</f>
        <v>4</v>
      </c>
      <c r="I162" s="6">
        <f>IF(Data!H162 = 'Point Intercept 2'!H162, Data!H162, "ERROR")</f>
        <v>2</v>
      </c>
      <c r="J162" s="6">
        <f>IF(Data!J162 = 'Point Intercept 2'!J162, Data!J162, "ERROR")</f>
        <v>1.5</v>
      </c>
      <c r="K162" s="6" t="str">
        <f>IF(Data!K162 = 'Point Intercept 2'!K162, Data!K162, "ERROR")</f>
        <v>CYLPRO</v>
      </c>
      <c r="L162" s="6" t="str">
        <f>IF(Data!L162 = 'Point Intercept 2'!L162, Data!L162, "ERROR")</f>
        <v>Cylindropuntia prolifera</v>
      </c>
      <c r="M162" s="6">
        <f>IF(Data!N162 = 'Point Intercept 2'!M162, Data!N162, "ERROR")</f>
        <v>0</v>
      </c>
      <c r="N162" s="6">
        <f>IF(Data!O162 = 'Point Intercept 2'!N162, Data!O162, "ERROR")</f>
        <v>0</v>
      </c>
      <c r="O162" s="6">
        <f>IF(Data!P162 = 'Point Intercept 2'!O162, Data!P162, "ERROR")</f>
        <v>0</v>
      </c>
    </row>
    <row r="163" spans="1:15" x14ac:dyDescent="0.25">
      <c r="A163" s="6">
        <f>IF(Data!A163 = 'Point Intercept 2'!A163, Data!A163, "ERROR")</f>
        <v>2</v>
      </c>
      <c r="B163" s="6">
        <f>IF(Data!B163 = 'Point Intercept 2'!B163, Data!B163, "ERROR")</f>
        <v>2025</v>
      </c>
      <c r="C163" s="8">
        <f>IF(Data!C163 = 'Point Intercept 2'!C163, Data!C163, "ERROR")</f>
        <v>45755</v>
      </c>
      <c r="D163" s="6" t="str">
        <f>IF(Data!D163 = 'Point Intercept 2'!D163, Data!D163, "ERROR")</f>
        <v>MP, TL, CG, BN</v>
      </c>
      <c r="E163" s="6" t="str">
        <f>IF(Data!E163 = 'Point Intercept 2'!E163, Data!E163, "ERROR")</f>
        <v>VB</v>
      </c>
      <c r="F163" s="6">
        <f>IF(Data!F163 = 'Point Intercept 2'!F163, Data!F163, "ERROR")</f>
        <v>1</v>
      </c>
      <c r="G163" s="6" t="str">
        <f>IF(Data!G163 = 'Point Intercept 2'!G163, Data!G163, "ERROR")</f>
        <v>LU</v>
      </c>
      <c r="H163" s="6">
        <f>IF(Data!I163 = 'Point Intercept 2'!I163, Data!I163, "ERROR")</f>
        <v>4</v>
      </c>
      <c r="I163" s="6">
        <f>IF(Data!H163 = 'Point Intercept 2'!H163, Data!H163, "ERROR")</f>
        <v>2</v>
      </c>
      <c r="J163" s="6">
        <f>IF(Data!J163 = 'Point Intercept 2'!J163, Data!J163, "ERROR")</f>
        <v>1.5</v>
      </c>
      <c r="K163" s="6" t="str">
        <f>IF(Data!K163 = 'Point Intercept 2'!K163, Data!K163, "ERROR")</f>
        <v>CENMEL</v>
      </c>
      <c r="L163" s="6" t="str">
        <f>IF(Data!L163 = 'Point Intercept 2'!L163, Data!L163, "ERROR")</f>
        <v>Centaurea melitensis</v>
      </c>
      <c r="M163" s="6">
        <f>IF(Data!N163 = 'Point Intercept 2'!M163, Data!N163, "ERROR")</f>
        <v>0</v>
      </c>
      <c r="N163" s="6">
        <f>IF(Data!O163 = 'Point Intercept 2'!N163, Data!O163, "ERROR")</f>
        <v>0</v>
      </c>
      <c r="O163" s="6">
        <f>IF(Data!P163 = 'Point Intercept 2'!O163, Data!P163, "ERROR")</f>
        <v>0</v>
      </c>
    </row>
    <row r="164" spans="1:15" x14ac:dyDescent="0.25">
      <c r="A164" s="6">
        <f>IF(Data!A164 = 'Point Intercept 2'!A164, Data!A164, "ERROR")</f>
        <v>2</v>
      </c>
      <c r="B164" s="6">
        <f>IF(Data!B164 = 'Point Intercept 2'!B164, Data!B164, "ERROR")</f>
        <v>2025</v>
      </c>
      <c r="C164" s="8">
        <f>IF(Data!C164 = 'Point Intercept 2'!C164, Data!C164, "ERROR")</f>
        <v>45755</v>
      </c>
      <c r="D164" s="6" t="str">
        <f>IF(Data!D164 = 'Point Intercept 2'!D164, Data!D164, "ERROR")</f>
        <v>MP, TL, CG, BN</v>
      </c>
      <c r="E164" s="6" t="str">
        <f>IF(Data!E164 = 'Point Intercept 2'!E164, Data!E164, "ERROR")</f>
        <v>VB</v>
      </c>
      <c r="F164" s="6">
        <f>IF(Data!F164 = 'Point Intercept 2'!F164, Data!F164, "ERROR")</f>
        <v>1</v>
      </c>
      <c r="G164" s="6" t="str">
        <f>IF(Data!G164 = 'Point Intercept 2'!G164, Data!G164, "ERROR")</f>
        <v>LU</v>
      </c>
      <c r="H164" s="6">
        <f>IF(Data!I164 = 'Point Intercept 2'!I164, Data!I164, "ERROR")</f>
        <v>5</v>
      </c>
      <c r="I164" s="6">
        <f>IF(Data!H164 = 'Point Intercept 2'!H164, Data!H164, "ERROR")</f>
        <v>2</v>
      </c>
      <c r="J164" s="6">
        <f>IF(Data!J164 = 'Point Intercept 2'!J164, Data!J164, "ERROR")</f>
        <v>2.5</v>
      </c>
      <c r="K164" s="6" t="str">
        <f>IF(Data!K164 = 'Point Intercept 2'!K164, Data!K164, "ERROR")</f>
        <v>L</v>
      </c>
      <c r="L164" s="6" t="str">
        <f>IF(Data!L164 = 'Point Intercept 2'!L164, Data!L164, "ERROR")</f>
        <v>Litter</v>
      </c>
      <c r="M164" s="6">
        <f>IF(Data!N164 = 'Point Intercept 2'!M164, Data!N164, "ERROR")</f>
        <v>0</v>
      </c>
      <c r="N164" s="6">
        <f>IF(Data!O164 = 'Point Intercept 2'!N164, Data!O164, "ERROR")</f>
        <v>0</v>
      </c>
      <c r="O164" s="6">
        <f>IF(Data!P164 = 'Point Intercept 2'!O164, Data!P164, "ERROR")</f>
        <v>0</v>
      </c>
    </row>
    <row r="165" spans="1:15" x14ac:dyDescent="0.25">
      <c r="A165" s="6">
        <f>IF(Data!A165 = 'Point Intercept 2'!A165, Data!A165, "ERROR")</f>
        <v>2</v>
      </c>
      <c r="B165" s="6">
        <f>IF(Data!B165 = 'Point Intercept 2'!B165, Data!B165, "ERROR")</f>
        <v>2025</v>
      </c>
      <c r="C165" s="8">
        <f>IF(Data!C165 = 'Point Intercept 2'!C165, Data!C165, "ERROR")</f>
        <v>45755</v>
      </c>
      <c r="D165" s="6" t="str">
        <f>IF(Data!D165 = 'Point Intercept 2'!D165, Data!D165, "ERROR")</f>
        <v>MP, TL, CG, BN</v>
      </c>
      <c r="E165" s="6" t="str">
        <f>IF(Data!E165 = 'Point Intercept 2'!E165, Data!E165, "ERROR")</f>
        <v>VB</v>
      </c>
      <c r="F165" s="6">
        <f>IF(Data!F165 = 'Point Intercept 2'!F165, Data!F165, "ERROR")</f>
        <v>1</v>
      </c>
      <c r="G165" s="6" t="str">
        <f>IF(Data!G165 = 'Point Intercept 2'!G165, Data!G165, "ERROR")</f>
        <v>LU</v>
      </c>
      <c r="H165" s="6">
        <f>IF(Data!I165 = 'Point Intercept 2'!I165, Data!I165, "ERROR")</f>
        <v>5</v>
      </c>
      <c r="I165" s="6">
        <f>IF(Data!H165 = 'Point Intercept 2'!H165, Data!H165, "ERROR")</f>
        <v>2</v>
      </c>
      <c r="J165" s="6">
        <f>IF(Data!J165 = 'Point Intercept 2'!J165, Data!J165, "ERROR")</f>
        <v>2.5</v>
      </c>
      <c r="K165" s="6" t="str">
        <f>IF(Data!K165 = 'Point Intercept 2'!K165, Data!K165, "ERROR")</f>
        <v>MEDPOL</v>
      </c>
      <c r="L165" s="6" t="str">
        <f>IF(Data!L165 = 'Point Intercept 2'!L165, Data!L165, "ERROR")</f>
        <v>Medicago polymorpha</v>
      </c>
      <c r="M165" s="6">
        <f>IF(Data!N165 = 'Point Intercept 2'!M165, Data!N165, "ERROR")</f>
        <v>0</v>
      </c>
      <c r="N165" s="6">
        <f>IF(Data!O165 = 'Point Intercept 2'!N165, Data!O165, "ERROR")</f>
        <v>0</v>
      </c>
      <c r="O165" s="6">
        <f>IF(Data!P165 = 'Point Intercept 2'!O165, Data!P165, "ERROR")</f>
        <v>0</v>
      </c>
    </row>
    <row r="166" spans="1:15" x14ac:dyDescent="0.25">
      <c r="A166" s="6">
        <f>IF(Data!A166 = 'Point Intercept 2'!A166, Data!A166, "ERROR")</f>
        <v>2</v>
      </c>
      <c r="B166" s="6">
        <f>IF(Data!B166 = 'Point Intercept 2'!B166, Data!B166, "ERROR")</f>
        <v>2025</v>
      </c>
      <c r="C166" s="8">
        <f>IF(Data!C166 = 'Point Intercept 2'!C166, Data!C166, "ERROR")</f>
        <v>45755</v>
      </c>
      <c r="D166" s="6" t="str">
        <f>IF(Data!D166 = 'Point Intercept 2'!D166, Data!D166, "ERROR")</f>
        <v>MP, TL, CG, BN</v>
      </c>
      <c r="E166" s="6" t="str">
        <f>IF(Data!E166 = 'Point Intercept 2'!E166, Data!E166, "ERROR")</f>
        <v>VB</v>
      </c>
      <c r="F166" s="6">
        <f>IF(Data!F166 = 'Point Intercept 2'!F166, Data!F166, "ERROR")</f>
        <v>1</v>
      </c>
      <c r="G166" s="6" t="str">
        <f>IF(Data!G166 = 'Point Intercept 2'!G166, Data!G166, "ERROR")</f>
        <v>LU</v>
      </c>
      <c r="H166" s="6">
        <f>IF(Data!I166 = 'Point Intercept 2'!I166, Data!I166, "ERROR")</f>
        <v>5</v>
      </c>
      <c r="I166" s="6">
        <f>IF(Data!H166 = 'Point Intercept 2'!H166, Data!H166, "ERROR")</f>
        <v>2</v>
      </c>
      <c r="J166" s="6">
        <f>IF(Data!J166 = 'Point Intercept 2'!J166, Data!J166, "ERROR")</f>
        <v>2.5</v>
      </c>
      <c r="K166" s="6" t="str">
        <f>IF(Data!K166 = 'Point Intercept 2'!K166, Data!K166, "ERROR")</f>
        <v>EROMOS</v>
      </c>
      <c r="L166" s="6" t="str">
        <f>IF(Data!L166 = 'Point Intercept 2'!L166, Data!L166, "ERROR")</f>
        <v>Erodium moschatum</v>
      </c>
      <c r="M166" s="6">
        <f>IF(Data!N166 = 'Point Intercept 2'!M166, Data!N166, "ERROR")</f>
        <v>0</v>
      </c>
      <c r="N166" s="6">
        <f>IF(Data!O166 = 'Point Intercept 2'!N166, Data!O166, "ERROR")</f>
        <v>0</v>
      </c>
      <c r="O166" s="6">
        <f>IF(Data!P166 = 'Point Intercept 2'!O166, Data!P166, "ERROR")</f>
        <v>0</v>
      </c>
    </row>
    <row r="167" spans="1:15" x14ac:dyDescent="0.25">
      <c r="A167" s="6">
        <f>IF(Data!A167 = 'Point Intercept 2'!A167, Data!A167, "ERROR")</f>
        <v>2</v>
      </c>
      <c r="B167" s="6">
        <f>IF(Data!B167 = 'Point Intercept 2'!B167, Data!B167, "ERROR")</f>
        <v>2025</v>
      </c>
      <c r="C167" s="8">
        <f>IF(Data!C167 = 'Point Intercept 2'!C167, Data!C167, "ERROR")</f>
        <v>45755</v>
      </c>
      <c r="D167" s="6" t="str">
        <f>IF(Data!D167 = 'Point Intercept 2'!D167, Data!D167, "ERROR")</f>
        <v>MP, TL, CG, BN</v>
      </c>
      <c r="E167" s="6" t="str">
        <f>IF(Data!E167 = 'Point Intercept 2'!E167, Data!E167, "ERROR")</f>
        <v>VB</v>
      </c>
      <c r="F167" s="6">
        <f>IF(Data!F167 = 'Point Intercept 2'!F167, Data!F167, "ERROR")</f>
        <v>1</v>
      </c>
      <c r="G167" s="6" t="str">
        <f>IF(Data!G167 = 'Point Intercept 2'!G167, Data!G167, "ERROR")</f>
        <v>LU</v>
      </c>
      <c r="H167" s="6">
        <f>IF(Data!I167 = 'Point Intercept 2'!I167, Data!I167, "ERROR")</f>
        <v>5</v>
      </c>
      <c r="I167" s="6">
        <f>IF(Data!H167 = 'Point Intercept 2'!H167, Data!H167, "ERROR")</f>
        <v>2</v>
      </c>
      <c r="J167" s="6">
        <f>IF(Data!J167 = 'Point Intercept 2'!J167, Data!J167, "ERROR")</f>
        <v>2.5</v>
      </c>
      <c r="K167" s="6" t="str">
        <f>IF(Data!K167 = 'Point Intercept 2'!K167, Data!K167, "ERROR")</f>
        <v>STEDIE</v>
      </c>
      <c r="L167" s="6" t="str">
        <f>IF(Data!L167 = 'Point Intercept 2'!L167, Data!L167, "ERROR")</f>
        <v>Stephanomeria diegensis</v>
      </c>
      <c r="M167" s="6">
        <f>IF(Data!N167 = 'Point Intercept 2'!M167, Data!N167, "ERROR")</f>
        <v>0</v>
      </c>
      <c r="N167" s="6">
        <f>IF(Data!O167 = 'Point Intercept 2'!N167, Data!O167, "ERROR")</f>
        <v>0</v>
      </c>
      <c r="O167" s="6">
        <f>IF(Data!P167 = 'Point Intercept 2'!O167, Data!P167, "ERROR")</f>
        <v>0</v>
      </c>
    </row>
    <row r="168" spans="1:15" x14ac:dyDescent="0.25">
      <c r="A168" s="6">
        <f>IF(Data!A168 = 'Point Intercept 2'!A168, Data!A168, "ERROR")</f>
        <v>2</v>
      </c>
      <c r="B168" s="6">
        <f>IF(Data!B168 = 'Point Intercept 2'!B168, Data!B168, "ERROR")</f>
        <v>2025</v>
      </c>
      <c r="C168" s="8">
        <f>IF(Data!C168 = 'Point Intercept 2'!C168, Data!C168, "ERROR")</f>
        <v>45755</v>
      </c>
      <c r="D168" s="6" t="str">
        <f>IF(Data!D168 = 'Point Intercept 2'!D168, Data!D168, "ERROR")</f>
        <v>MP, TL, CG, BN</v>
      </c>
      <c r="E168" s="6" t="str">
        <f>IF(Data!E168 = 'Point Intercept 2'!E168, Data!E168, "ERROR")</f>
        <v>VB</v>
      </c>
      <c r="F168" s="6">
        <f>IF(Data!F168 = 'Point Intercept 2'!F168, Data!F168, "ERROR")</f>
        <v>1</v>
      </c>
      <c r="G168" s="6" t="str">
        <f>IF(Data!G168 = 'Point Intercept 2'!G168, Data!G168, "ERROR")</f>
        <v>LU</v>
      </c>
      <c r="H168" s="6">
        <f>IF(Data!I168 = 'Point Intercept 2'!I168, Data!I168, "ERROR")</f>
        <v>6</v>
      </c>
      <c r="I168" s="6">
        <f>IF(Data!H168 = 'Point Intercept 2'!H168, Data!H168, "ERROR")</f>
        <v>2</v>
      </c>
      <c r="J168" s="6">
        <f>IF(Data!J168 = 'Point Intercept 2'!J168, Data!J168, "ERROR")</f>
        <v>3</v>
      </c>
      <c r="K168" s="6" t="str">
        <f>IF(Data!K168 = 'Point Intercept 2'!K168, Data!K168, "ERROR")</f>
        <v>L</v>
      </c>
      <c r="L168" s="6" t="str">
        <f>IF(Data!L168 = 'Point Intercept 2'!L168, Data!L168, "ERROR")</f>
        <v>Litter</v>
      </c>
      <c r="M168" s="6">
        <f>IF(Data!N168 = 'Point Intercept 2'!M168, Data!N168, "ERROR")</f>
        <v>0</v>
      </c>
      <c r="N168" s="6">
        <f>IF(Data!O168 = 'Point Intercept 2'!N168, Data!O168, "ERROR")</f>
        <v>0</v>
      </c>
      <c r="O168" s="6">
        <f>IF(Data!P168 = 'Point Intercept 2'!O168, Data!P168, "ERROR")</f>
        <v>0</v>
      </c>
    </row>
    <row r="169" spans="1:15" x14ac:dyDescent="0.25">
      <c r="A169" s="6">
        <f>IF(Data!A169 = 'Point Intercept 2'!A169, Data!A169, "ERROR")</f>
        <v>2</v>
      </c>
      <c r="B169" s="6">
        <f>IF(Data!B169 = 'Point Intercept 2'!B169, Data!B169, "ERROR")</f>
        <v>2025</v>
      </c>
      <c r="C169" s="8">
        <f>IF(Data!C169 = 'Point Intercept 2'!C169, Data!C169, "ERROR")</f>
        <v>45755</v>
      </c>
      <c r="D169" s="6" t="str">
        <f>IF(Data!D169 = 'Point Intercept 2'!D169, Data!D169, "ERROR")</f>
        <v>MP, TL, CG, BN</v>
      </c>
      <c r="E169" s="6" t="str">
        <f>IF(Data!E169 = 'Point Intercept 2'!E169, Data!E169, "ERROR")</f>
        <v>VB</v>
      </c>
      <c r="F169" s="6">
        <f>IF(Data!F169 = 'Point Intercept 2'!F169, Data!F169, "ERROR")</f>
        <v>1</v>
      </c>
      <c r="G169" s="6" t="str">
        <f>IF(Data!G169 = 'Point Intercept 2'!G169, Data!G169, "ERROR")</f>
        <v>LU</v>
      </c>
      <c r="H169" s="6">
        <f>IF(Data!I169 = 'Point Intercept 2'!I169, Data!I169, "ERROR")</f>
        <v>6</v>
      </c>
      <c r="I169" s="6">
        <f>IF(Data!H169 = 'Point Intercept 2'!H169, Data!H169, "ERROR")</f>
        <v>2</v>
      </c>
      <c r="J169" s="6">
        <f>IF(Data!J169 = 'Point Intercept 2'!J169, Data!J169, "ERROR")</f>
        <v>3</v>
      </c>
      <c r="K169" s="6" t="str">
        <f>IF(Data!K169 = 'Point Intercept 2'!K169, Data!K169, "ERROR")</f>
        <v>MEDPOL</v>
      </c>
      <c r="L169" s="6" t="str">
        <f>IF(Data!L169 = 'Point Intercept 2'!L169, Data!L169, "ERROR")</f>
        <v>Medicago polymorpha</v>
      </c>
      <c r="M169" s="6">
        <f>IF(Data!N169 = 'Point Intercept 2'!M169, Data!N169, "ERROR")</f>
        <v>0</v>
      </c>
      <c r="N169" s="6">
        <f>IF(Data!O169 = 'Point Intercept 2'!N169, Data!O169, "ERROR")</f>
        <v>0</v>
      </c>
      <c r="O169" s="6">
        <f>IF(Data!P169 = 'Point Intercept 2'!O169, Data!P169, "ERROR")</f>
        <v>0</v>
      </c>
    </row>
    <row r="170" spans="1:15" x14ac:dyDescent="0.25">
      <c r="A170" s="6">
        <f>IF(Data!A170 = 'Point Intercept 2'!A170, Data!A170, "ERROR")</f>
        <v>2</v>
      </c>
      <c r="B170" s="6">
        <f>IF(Data!B170 = 'Point Intercept 2'!B170, Data!B170, "ERROR")</f>
        <v>2025</v>
      </c>
      <c r="C170" s="8">
        <f>IF(Data!C170 = 'Point Intercept 2'!C170, Data!C170, "ERROR")</f>
        <v>45755</v>
      </c>
      <c r="D170" s="6" t="str">
        <f>IF(Data!D170 = 'Point Intercept 2'!D170, Data!D170, "ERROR")</f>
        <v>MP, TL, CG, BN</v>
      </c>
      <c r="E170" s="6" t="str">
        <f>IF(Data!E170 = 'Point Intercept 2'!E170, Data!E170, "ERROR")</f>
        <v>VB</v>
      </c>
      <c r="F170" s="6">
        <f>IF(Data!F170 = 'Point Intercept 2'!F170, Data!F170, "ERROR")</f>
        <v>1</v>
      </c>
      <c r="G170" s="6" t="str">
        <f>IF(Data!G170 = 'Point Intercept 2'!G170, Data!G170, "ERROR")</f>
        <v>LU</v>
      </c>
      <c r="H170" s="6">
        <f>IF(Data!I170 = 'Point Intercept 2'!I170, Data!I170, "ERROR")</f>
        <v>6</v>
      </c>
      <c r="I170" s="6">
        <f>IF(Data!H170 = 'Point Intercept 2'!H170, Data!H170, "ERROR")</f>
        <v>2</v>
      </c>
      <c r="J170" s="6">
        <f>IF(Data!J170 = 'Point Intercept 2'!J170, Data!J170, "ERROR")</f>
        <v>3</v>
      </c>
      <c r="K170" s="6" t="str">
        <f>IF(Data!K170 = 'Point Intercept 2'!K170, Data!K170, "ERROR")</f>
        <v>SONOLE</v>
      </c>
      <c r="L170" s="6" t="str">
        <f>IF(Data!L170 = 'Point Intercept 2'!L170, Data!L170, "ERROR")</f>
        <v>Sonchus oleraceus</v>
      </c>
      <c r="M170" s="6">
        <f>IF(Data!N170 = 'Point Intercept 2'!M170, Data!N170, "ERROR")</f>
        <v>0</v>
      </c>
      <c r="N170" s="6">
        <f>IF(Data!O170 = 'Point Intercept 2'!N170, Data!O170, "ERROR")</f>
        <v>0</v>
      </c>
      <c r="O170" s="6">
        <f>IF(Data!P170 = 'Point Intercept 2'!O170, Data!P170, "ERROR")</f>
        <v>0</v>
      </c>
    </row>
    <row r="171" spans="1:15" x14ac:dyDescent="0.25">
      <c r="A171" s="6">
        <f>IF(Data!A171 = 'Point Intercept 2'!A171, Data!A171, "ERROR")</f>
        <v>2</v>
      </c>
      <c r="B171" s="6">
        <f>IF(Data!B171 = 'Point Intercept 2'!B171, Data!B171, "ERROR")</f>
        <v>2025</v>
      </c>
      <c r="C171" s="8">
        <f>IF(Data!C171 = 'Point Intercept 2'!C171, Data!C171, "ERROR")</f>
        <v>45755</v>
      </c>
      <c r="D171" s="6" t="str">
        <f>IF(Data!D171 = 'Point Intercept 2'!D171, Data!D171, "ERROR")</f>
        <v>MP, TL, CG, BN</v>
      </c>
      <c r="E171" s="6" t="str">
        <f>IF(Data!E171 = 'Point Intercept 2'!E171, Data!E171, "ERROR")</f>
        <v>VB</v>
      </c>
      <c r="F171" s="6">
        <f>IF(Data!F171 = 'Point Intercept 2'!F171, Data!F171, "ERROR")</f>
        <v>1</v>
      </c>
      <c r="G171" s="6" t="str">
        <f>IF(Data!G171 = 'Point Intercept 2'!G171, Data!G171, "ERROR")</f>
        <v>LU</v>
      </c>
      <c r="H171" s="6">
        <f>IF(Data!I171 = 'Point Intercept 2'!I171, Data!I171, "ERROR")</f>
        <v>7</v>
      </c>
      <c r="I171" s="6">
        <f>IF(Data!H171 = 'Point Intercept 2'!H171, Data!H171, "ERROR")</f>
        <v>2</v>
      </c>
      <c r="J171" s="6">
        <f>IF(Data!J171 = 'Point Intercept 2'!J171, Data!J171, "ERROR")</f>
        <v>3.5</v>
      </c>
      <c r="K171" s="6" t="str">
        <f>IF(Data!K171 = 'Point Intercept 2'!K171, Data!K171, "ERROR")</f>
        <v>B</v>
      </c>
      <c r="L171" s="6" t="str">
        <f>IF(Data!L171 = 'Point Intercept 2'!L171, Data!L171, "ERROR")</f>
        <v>Bareground</v>
      </c>
      <c r="M171" s="6">
        <f>IF(Data!N171 = 'Point Intercept 2'!M171, Data!N171, "ERROR")</f>
        <v>0</v>
      </c>
      <c r="N171" s="6">
        <f>IF(Data!O171 = 'Point Intercept 2'!N171, Data!O171, "ERROR")</f>
        <v>0</v>
      </c>
      <c r="O171" s="6">
        <f>IF(Data!P171 = 'Point Intercept 2'!O171, Data!P171, "ERROR")</f>
        <v>0</v>
      </c>
    </row>
    <row r="172" spans="1:15" x14ac:dyDescent="0.25">
      <c r="A172" s="6">
        <f>IF(Data!A172 = 'Point Intercept 2'!A172, Data!A172, "ERROR")</f>
        <v>2</v>
      </c>
      <c r="B172" s="6">
        <f>IF(Data!B172 = 'Point Intercept 2'!B172, Data!B172, "ERROR")</f>
        <v>2025</v>
      </c>
      <c r="C172" s="8">
        <f>IF(Data!C172 = 'Point Intercept 2'!C172, Data!C172, "ERROR")</f>
        <v>45755</v>
      </c>
      <c r="D172" s="6" t="str">
        <f>IF(Data!D172 = 'Point Intercept 2'!D172, Data!D172, "ERROR")</f>
        <v>MP, TL, CG, BN</v>
      </c>
      <c r="E172" s="6" t="str">
        <f>IF(Data!E172 = 'Point Intercept 2'!E172, Data!E172, "ERROR")</f>
        <v>VB</v>
      </c>
      <c r="F172" s="6">
        <f>IF(Data!F172 = 'Point Intercept 2'!F172, Data!F172, "ERROR")</f>
        <v>1</v>
      </c>
      <c r="G172" s="6" t="str">
        <f>IF(Data!G172 = 'Point Intercept 2'!G172, Data!G172, "ERROR")</f>
        <v>LU</v>
      </c>
      <c r="H172" s="6">
        <f>IF(Data!I172 = 'Point Intercept 2'!I172, Data!I172, "ERROR")</f>
        <v>8</v>
      </c>
      <c r="I172" s="6">
        <f>IF(Data!H172 = 'Point Intercept 2'!H172, Data!H172, "ERROR")</f>
        <v>2</v>
      </c>
      <c r="J172" s="6">
        <f>IF(Data!J172 = 'Point Intercept 2'!J172, Data!J172, "ERROR")</f>
        <v>4</v>
      </c>
      <c r="K172" s="6" t="str">
        <f>IF(Data!K172 = 'Point Intercept 2'!K172, Data!K172, "ERROR")</f>
        <v>L</v>
      </c>
      <c r="L172" s="6" t="str">
        <f>IF(Data!L172 = 'Point Intercept 2'!L172, Data!L172, "ERROR")</f>
        <v>Litter</v>
      </c>
      <c r="M172" s="6">
        <f>IF(Data!N172 = 'Point Intercept 2'!M172, Data!N172, "ERROR")</f>
        <v>0</v>
      </c>
      <c r="N172" s="6">
        <f>IF(Data!O172 = 'Point Intercept 2'!N172, Data!O172, "ERROR")</f>
        <v>0</v>
      </c>
      <c r="O172" s="6">
        <f>IF(Data!P172 = 'Point Intercept 2'!O172, Data!P172, "ERROR")</f>
        <v>0</v>
      </c>
    </row>
    <row r="173" spans="1:15" x14ac:dyDescent="0.25">
      <c r="A173" s="6">
        <f>IF(Data!A173 = 'Point Intercept 2'!A173, Data!A173, "ERROR")</f>
        <v>2</v>
      </c>
      <c r="B173" s="6">
        <f>IF(Data!B173 = 'Point Intercept 2'!B173, Data!B173, "ERROR")</f>
        <v>2025</v>
      </c>
      <c r="C173" s="8">
        <f>IF(Data!C173 = 'Point Intercept 2'!C173, Data!C173, "ERROR")</f>
        <v>45755</v>
      </c>
      <c r="D173" s="6" t="str">
        <f>IF(Data!D173 = 'Point Intercept 2'!D173, Data!D173, "ERROR")</f>
        <v>MP, TL, CG, BN</v>
      </c>
      <c r="E173" s="6" t="str">
        <f>IF(Data!E173 = 'Point Intercept 2'!E173, Data!E173, "ERROR")</f>
        <v>VB</v>
      </c>
      <c r="F173" s="6">
        <f>IF(Data!F173 = 'Point Intercept 2'!F173, Data!F173, "ERROR")</f>
        <v>1</v>
      </c>
      <c r="G173" s="6" t="str">
        <f>IF(Data!G173 = 'Point Intercept 2'!G173, Data!G173, "ERROR")</f>
        <v>LU</v>
      </c>
      <c r="H173" s="6">
        <f>IF(Data!I173 = 'Point Intercept 2'!I173, Data!I173, "ERROR")</f>
        <v>8</v>
      </c>
      <c r="I173" s="6">
        <f>IF(Data!H173 = 'Point Intercept 2'!H173, Data!H173, "ERROR")</f>
        <v>2</v>
      </c>
      <c r="J173" s="6">
        <f>IF(Data!J173 = 'Point Intercept 2'!J173, Data!J173, "ERROR")</f>
        <v>4</v>
      </c>
      <c r="K173" s="6" t="str">
        <f>IF(Data!K173 = 'Point Intercept 2'!K173, Data!K173, "ERROR")</f>
        <v>SONOLE</v>
      </c>
      <c r="L173" s="6" t="str">
        <f>IF(Data!L173 = 'Point Intercept 2'!L173, Data!L173, "ERROR")</f>
        <v>Sonchus oleraceus</v>
      </c>
      <c r="M173" s="6">
        <f>IF(Data!N173 = 'Point Intercept 2'!M173, Data!N173, "ERROR")</f>
        <v>0</v>
      </c>
      <c r="N173" s="6">
        <f>IF(Data!O173 = 'Point Intercept 2'!N173, Data!O173, "ERROR")</f>
        <v>0</v>
      </c>
      <c r="O173" s="6">
        <f>IF(Data!P173 = 'Point Intercept 2'!O173, Data!P173, "ERROR")</f>
        <v>0</v>
      </c>
    </row>
    <row r="174" spans="1:15" x14ac:dyDescent="0.25">
      <c r="A174" s="6">
        <f>IF(Data!A174 = 'Point Intercept 2'!A174, Data!A174, "ERROR")</f>
        <v>2</v>
      </c>
      <c r="B174" s="6">
        <f>IF(Data!B174 = 'Point Intercept 2'!B174, Data!B174, "ERROR")</f>
        <v>2025</v>
      </c>
      <c r="C174" s="8">
        <f>IF(Data!C174 = 'Point Intercept 2'!C174, Data!C174, "ERROR")</f>
        <v>45755</v>
      </c>
      <c r="D174" s="6" t="str">
        <f>IF(Data!D174 = 'Point Intercept 2'!D174, Data!D174, "ERROR")</f>
        <v>MP, TL, CG, BN</v>
      </c>
      <c r="E174" s="6" t="str">
        <f>IF(Data!E174 = 'Point Intercept 2'!E174, Data!E174, "ERROR")</f>
        <v>VB</v>
      </c>
      <c r="F174" s="6">
        <f>IF(Data!F174 = 'Point Intercept 2'!F174, Data!F174, "ERROR")</f>
        <v>1</v>
      </c>
      <c r="G174" s="6" t="str">
        <f>IF(Data!G174 = 'Point Intercept 2'!G174, Data!G174, "ERROR")</f>
        <v>LU</v>
      </c>
      <c r="H174" s="6">
        <f>IF(Data!I174 = 'Point Intercept 2'!I174, Data!I174, "ERROR")</f>
        <v>8</v>
      </c>
      <c r="I174" s="6">
        <f>IF(Data!H174 = 'Point Intercept 2'!H174, Data!H174, "ERROR")</f>
        <v>2</v>
      </c>
      <c r="J174" s="6">
        <f>IF(Data!J174 = 'Point Intercept 2'!J174, Data!J174, "ERROR")</f>
        <v>4</v>
      </c>
      <c r="K174" s="6" t="str">
        <f>IF(Data!K174 = 'Point Intercept 2'!K174, Data!K174, "ERROR")</f>
        <v>EROCIC</v>
      </c>
      <c r="L174" s="6" t="str">
        <f>IF(Data!L174 = 'Point Intercept 2'!L174, Data!L174, "ERROR")</f>
        <v>Erodium cicutarium</v>
      </c>
      <c r="M174" s="6">
        <f>IF(Data!N174 = 'Point Intercept 2'!M174, Data!N174, "ERROR")</f>
        <v>0</v>
      </c>
      <c r="N174" s="6">
        <f>IF(Data!O174 = 'Point Intercept 2'!N174, Data!O174, "ERROR")</f>
        <v>0</v>
      </c>
      <c r="O174" s="6">
        <f>IF(Data!P174 = 'Point Intercept 2'!O174, Data!P174, "ERROR")</f>
        <v>0</v>
      </c>
    </row>
    <row r="175" spans="1:15" x14ac:dyDescent="0.25">
      <c r="A175" s="6">
        <f>IF(Data!A175 = 'Point Intercept 2'!A175, Data!A175, "ERROR")</f>
        <v>2</v>
      </c>
      <c r="B175" s="6">
        <f>IF(Data!B175 = 'Point Intercept 2'!B175, Data!B175, "ERROR")</f>
        <v>2025</v>
      </c>
      <c r="C175" s="8">
        <f>IF(Data!C175 = 'Point Intercept 2'!C175, Data!C175, "ERROR")</f>
        <v>45755</v>
      </c>
      <c r="D175" s="6" t="str">
        <f>IF(Data!D175 = 'Point Intercept 2'!D175, Data!D175, "ERROR")</f>
        <v>MP, TL, CG, BN</v>
      </c>
      <c r="E175" s="6" t="str">
        <f>IF(Data!E175 = 'Point Intercept 2'!E175, Data!E175, "ERROR")</f>
        <v>VB</v>
      </c>
      <c r="F175" s="6">
        <f>IF(Data!F175 = 'Point Intercept 2'!F175, Data!F175, "ERROR")</f>
        <v>1</v>
      </c>
      <c r="G175" s="6" t="str">
        <f>IF(Data!G175 = 'Point Intercept 2'!G175, Data!G175, "ERROR")</f>
        <v>LU</v>
      </c>
      <c r="H175" s="6">
        <f>IF(Data!I175 = 'Point Intercept 2'!I175, Data!I175, "ERROR")</f>
        <v>9</v>
      </c>
      <c r="I175" s="6">
        <f>IF(Data!H175 = 'Point Intercept 2'!H175, Data!H175, "ERROR")</f>
        <v>2</v>
      </c>
      <c r="J175" s="6">
        <f>IF(Data!J175 = 'Point Intercept 2'!J175, Data!J175, "ERROR")</f>
        <v>4.5</v>
      </c>
      <c r="K175" s="6" t="str">
        <f>IF(Data!K175 = 'Point Intercept 2'!K175, Data!K175, "ERROR")</f>
        <v>L</v>
      </c>
      <c r="L175" s="6" t="str">
        <f>IF(Data!L175 = 'Point Intercept 2'!L175, Data!L175, "ERROR")</f>
        <v>Litter</v>
      </c>
      <c r="M175" s="6">
        <f>IF(Data!N175 = 'Point Intercept 2'!M175, Data!N175, "ERROR")</f>
        <v>0</v>
      </c>
      <c r="N175" s="6">
        <f>IF(Data!O175 = 'Point Intercept 2'!N175, Data!O175, "ERROR")</f>
        <v>0</v>
      </c>
      <c r="O175" s="6">
        <f>IF(Data!P175 = 'Point Intercept 2'!O175, Data!P175, "ERROR")</f>
        <v>0</v>
      </c>
    </row>
    <row r="176" spans="1:15" x14ac:dyDescent="0.25">
      <c r="A176" s="6">
        <f>IF(Data!A176 = 'Point Intercept 2'!A176, Data!A176, "ERROR")</f>
        <v>2</v>
      </c>
      <c r="B176" s="6">
        <f>IF(Data!B176 = 'Point Intercept 2'!B176, Data!B176, "ERROR")</f>
        <v>2025</v>
      </c>
      <c r="C176" s="8">
        <f>IF(Data!C176 = 'Point Intercept 2'!C176, Data!C176, "ERROR")</f>
        <v>45755</v>
      </c>
      <c r="D176" s="6" t="str">
        <f>IF(Data!D176 = 'Point Intercept 2'!D176, Data!D176, "ERROR")</f>
        <v>MP, TL, CG, BN</v>
      </c>
      <c r="E176" s="6" t="str">
        <f>IF(Data!E176 = 'Point Intercept 2'!E176, Data!E176, "ERROR")</f>
        <v>VB</v>
      </c>
      <c r="F176" s="6">
        <f>IF(Data!F176 = 'Point Intercept 2'!F176, Data!F176, "ERROR")</f>
        <v>1</v>
      </c>
      <c r="G176" s="6" t="str">
        <f>IF(Data!G176 = 'Point Intercept 2'!G176, Data!G176, "ERROR")</f>
        <v>LU</v>
      </c>
      <c r="H176" s="6">
        <f>IF(Data!I176 = 'Point Intercept 2'!I176, Data!I176, "ERROR")</f>
        <v>9</v>
      </c>
      <c r="I176" s="6">
        <f>IF(Data!H176 = 'Point Intercept 2'!H176, Data!H176, "ERROR")</f>
        <v>2</v>
      </c>
      <c r="J176" s="6">
        <f>IF(Data!J176 = 'Point Intercept 2'!J176, Data!J176, "ERROR")</f>
        <v>4.5</v>
      </c>
      <c r="K176" s="6" t="str">
        <f>IF(Data!K176 = 'Point Intercept 2'!K176, Data!K176, "ERROR")</f>
        <v>DEIFAS</v>
      </c>
      <c r="L176" s="6" t="str">
        <f>IF(Data!L176 = 'Point Intercept 2'!L176, Data!L176, "ERROR")</f>
        <v>Deinandra fasciculata</v>
      </c>
      <c r="M176" s="6">
        <f>IF(Data!N176 = 'Point Intercept 2'!M176, Data!N176, "ERROR")</f>
        <v>0</v>
      </c>
      <c r="N176" s="6">
        <f>IF(Data!O176 = 'Point Intercept 2'!N176, Data!O176, "ERROR")</f>
        <v>0</v>
      </c>
      <c r="O176" s="6">
        <f>IF(Data!P176 = 'Point Intercept 2'!O176, Data!P176, "ERROR")</f>
        <v>0</v>
      </c>
    </row>
    <row r="177" spans="1:15" x14ac:dyDescent="0.25">
      <c r="A177" s="6">
        <f>IF(Data!A177 = 'Point Intercept 2'!A177, Data!A177, "ERROR")</f>
        <v>2</v>
      </c>
      <c r="B177" s="6">
        <f>IF(Data!B177 = 'Point Intercept 2'!B177, Data!B177, "ERROR")</f>
        <v>2025</v>
      </c>
      <c r="C177" s="8">
        <f>IF(Data!C177 = 'Point Intercept 2'!C177, Data!C177, "ERROR")</f>
        <v>45755</v>
      </c>
      <c r="D177" s="6" t="str">
        <f>IF(Data!D177 = 'Point Intercept 2'!D177, Data!D177, "ERROR")</f>
        <v>MP, TL, CG, BN</v>
      </c>
      <c r="E177" s="6" t="str">
        <f>IF(Data!E177 = 'Point Intercept 2'!E177, Data!E177, "ERROR")</f>
        <v>VB</v>
      </c>
      <c r="F177" s="6">
        <f>IF(Data!F177 = 'Point Intercept 2'!F177, Data!F177, "ERROR")</f>
        <v>1</v>
      </c>
      <c r="G177" s="6" t="str">
        <f>IF(Data!G177 = 'Point Intercept 2'!G177, Data!G177, "ERROR")</f>
        <v>LU</v>
      </c>
      <c r="H177" s="6">
        <f>IF(Data!I177 = 'Point Intercept 2'!I177, Data!I177, "ERROR")</f>
        <v>9</v>
      </c>
      <c r="I177" s="6">
        <f>IF(Data!H177 = 'Point Intercept 2'!H177, Data!H177, "ERROR")</f>
        <v>2</v>
      </c>
      <c r="J177" s="6">
        <f>IF(Data!J177 = 'Point Intercept 2'!J177, Data!J177, "ERROR")</f>
        <v>4.5</v>
      </c>
      <c r="K177" s="6" t="str">
        <f>IF(Data!K177 = 'Point Intercept 2'!K177, Data!K177, "ERROR")</f>
        <v>SONOLE</v>
      </c>
      <c r="L177" s="6" t="str">
        <f>IF(Data!L177 = 'Point Intercept 2'!L177, Data!L177, "ERROR")</f>
        <v>Sonchus oleraceus</v>
      </c>
      <c r="M177" s="6">
        <f>IF(Data!N177 = 'Point Intercept 2'!M177, Data!N177, "ERROR")</f>
        <v>0</v>
      </c>
      <c r="N177" s="6">
        <f>IF(Data!O177 = 'Point Intercept 2'!N177, Data!O177, "ERROR")</f>
        <v>0</v>
      </c>
      <c r="O177" s="6">
        <f>IF(Data!P177 = 'Point Intercept 2'!O177, Data!P177, "ERROR")</f>
        <v>0</v>
      </c>
    </row>
    <row r="178" spans="1:15" x14ac:dyDescent="0.25">
      <c r="A178" s="6">
        <f>IF(Data!A178 = 'Point Intercept 2'!A178, Data!A178, "ERROR")</f>
        <v>2</v>
      </c>
      <c r="B178" s="6">
        <f>IF(Data!B178 = 'Point Intercept 2'!B178, Data!B178, "ERROR")</f>
        <v>2025</v>
      </c>
      <c r="C178" s="8">
        <f>IF(Data!C178 = 'Point Intercept 2'!C178, Data!C178, "ERROR")</f>
        <v>45755</v>
      </c>
      <c r="D178" s="6" t="str">
        <f>IF(Data!D178 = 'Point Intercept 2'!D178, Data!D178, "ERROR")</f>
        <v>MP, TL, CG, BN</v>
      </c>
      <c r="E178" s="6" t="str">
        <f>IF(Data!E178 = 'Point Intercept 2'!E178, Data!E178, "ERROR")</f>
        <v>VB</v>
      </c>
      <c r="F178" s="6">
        <f>IF(Data!F178 = 'Point Intercept 2'!F178, Data!F178, "ERROR")</f>
        <v>1</v>
      </c>
      <c r="G178" s="6" t="str">
        <f>IF(Data!G178 = 'Point Intercept 2'!G178, Data!G178, "ERROR")</f>
        <v>LU</v>
      </c>
      <c r="H178" s="6">
        <f>IF(Data!I178 = 'Point Intercept 2'!I178, Data!I178, "ERROR")</f>
        <v>10</v>
      </c>
      <c r="I178" s="6">
        <f>IF(Data!H178 = 'Point Intercept 2'!H178, Data!H178, "ERROR")</f>
        <v>2</v>
      </c>
      <c r="J178" s="6">
        <f>IF(Data!J178 = 'Point Intercept 2'!J178, Data!J178, "ERROR")</f>
        <v>5</v>
      </c>
      <c r="K178" s="6" t="str">
        <f>IF(Data!K178 = 'Point Intercept 2'!K178, Data!K178, "ERROR")</f>
        <v>L</v>
      </c>
      <c r="L178" s="6" t="str">
        <f>IF(Data!L178 = 'Point Intercept 2'!L178, Data!L178, "ERROR")</f>
        <v>Litter</v>
      </c>
      <c r="M178" s="6">
        <f>IF(Data!N178 = 'Point Intercept 2'!M178, Data!N178, "ERROR")</f>
        <v>0</v>
      </c>
      <c r="N178" s="6">
        <f>IF(Data!O178 = 'Point Intercept 2'!N178, Data!O178, "ERROR")</f>
        <v>0</v>
      </c>
      <c r="O178" s="6">
        <f>IF(Data!P178 = 'Point Intercept 2'!O178, Data!P178, "ERROR")</f>
        <v>0</v>
      </c>
    </row>
    <row r="179" spans="1:15" x14ac:dyDescent="0.25">
      <c r="A179" s="6">
        <f>IF(Data!A179 = 'Point Intercept 2'!A179, Data!A179, "ERROR")</f>
        <v>2</v>
      </c>
      <c r="B179" s="6">
        <f>IF(Data!B179 = 'Point Intercept 2'!B179, Data!B179, "ERROR")</f>
        <v>2025</v>
      </c>
      <c r="C179" s="8">
        <f>IF(Data!C179 = 'Point Intercept 2'!C179, Data!C179, "ERROR")</f>
        <v>45755</v>
      </c>
      <c r="D179" s="6" t="str">
        <f>IF(Data!D179 = 'Point Intercept 2'!D179, Data!D179, "ERROR")</f>
        <v>MP, TL, CG, BN</v>
      </c>
      <c r="E179" s="6" t="str">
        <f>IF(Data!E179 = 'Point Intercept 2'!E179, Data!E179, "ERROR")</f>
        <v>VB</v>
      </c>
      <c r="F179" s="6">
        <f>IF(Data!F179 = 'Point Intercept 2'!F179, Data!F179, "ERROR")</f>
        <v>1</v>
      </c>
      <c r="G179" s="6" t="str">
        <f>IF(Data!G179 = 'Point Intercept 2'!G179, Data!G179, "ERROR")</f>
        <v>LU</v>
      </c>
      <c r="H179" s="6">
        <f>IF(Data!I179 = 'Point Intercept 2'!I179, Data!I179, "ERROR")</f>
        <v>10</v>
      </c>
      <c r="I179" s="6">
        <f>IF(Data!H179 = 'Point Intercept 2'!H179, Data!H179, "ERROR")</f>
        <v>2</v>
      </c>
      <c r="J179" s="6">
        <f>IF(Data!J179 = 'Point Intercept 2'!J179, Data!J179, "ERROR")</f>
        <v>5</v>
      </c>
      <c r="K179" s="6" t="str">
        <f>IF(Data!K179 = 'Point Intercept 2'!K179, Data!K179, "ERROR")</f>
        <v>EROCIC</v>
      </c>
      <c r="L179" s="6" t="str">
        <f>IF(Data!L179 = 'Point Intercept 2'!L179, Data!L179, "ERROR")</f>
        <v>Erodium cicutarium</v>
      </c>
      <c r="M179" s="6">
        <f>IF(Data!N179 = 'Point Intercept 2'!M179, Data!N179, "ERROR")</f>
        <v>0</v>
      </c>
      <c r="N179" s="6">
        <f>IF(Data!O179 = 'Point Intercept 2'!N179, Data!O179, "ERROR")</f>
        <v>0</v>
      </c>
      <c r="O179" s="6">
        <f>IF(Data!P179 = 'Point Intercept 2'!O179, Data!P179, "ERROR")</f>
        <v>0</v>
      </c>
    </row>
    <row r="180" spans="1:15" x14ac:dyDescent="0.25">
      <c r="A180" s="6">
        <f>IF(Data!A180 = 'Point Intercept 2'!A180, Data!A180, "ERROR")</f>
        <v>2</v>
      </c>
      <c r="B180" s="6">
        <f>IF(Data!B180 = 'Point Intercept 2'!B180, Data!B180, "ERROR")</f>
        <v>2025</v>
      </c>
      <c r="C180" s="8">
        <f>IF(Data!C180 = 'Point Intercept 2'!C180, Data!C180, "ERROR")</f>
        <v>45755</v>
      </c>
      <c r="D180" s="6" t="str">
        <f>IF(Data!D180 = 'Point Intercept 2'!D180, Data!D180, "ERROR")</f>
        <v>MP, TL, CG, BN</v>
      </c>
      <c r="E180" s="6" t="str">
        <f>IF(Data!E180 = 'Point Intercept 2'!E180, Data!E180, "ERROR")</f>
        <v>VB</v>
      </c>
      <c r="F180" s="6">
        <f>IF(Data!F180 = 'Point Intercept 2'!F180, Data!F180, "ERROR")</f>
        <v>1</v>
      </c>
      <c r="G180" s="6" t="str">
        <f>IF(Data!G180 = 'Point Intercept 2'!G180, Data!G180, "ERROR")</f>
        <v>LU</v>
      </c>
      <c r="H180" s="6">
        <f>IF(Data!I180 = 'Point Intercept 2'!I180, Data!I180, "ERROR")</f>
        <v>10</v>
      </c>
      <c r="I180" s="6">
        <f>IF(Data!H180 = 'Point Intercept 2'!H180, Data!H180, "ERROR")</f>
        <v>2</v>
      </c>
      <c r="J180" s="6">
        <f>IF(Data!J180 = 'Point Intercept 2'!J180, Data!J180, "ERROR")</f>
        <v>5</v>
      </c>
      <c r="K180" s="6" t="str">
        <f>IF(Data!K180 = 'Point Intercept 2'!K180, Data!K180, "ERROR")</f>
        <v>CENMEL</v>
      </c>
      <c r="L180" s="6" t="str">
        <f>IF(Data!L180 = 'Point Intercept 2'!L180, Data!L180, "ERROR")</f>
        <v>Centaurea melitensis</v>
      </c>
      <c r="M180" s="6">
        <f>IF(Data!N180 = 'Point Intercept 2'!M180, Data!N180, "ERROR")</f>
        <v>0</v>
      </c>
      <c r="N180" s="6">
        <f>IF(Data!O180 = 'Point Intercept 2'!N180, Data!O180, "ERROR")</f>
        <v>0</v>
      </c>
      <c r="O180" s="6">
        <f>IF(Data!P180 = 'Point Intercept 2'!O180, Data!P180, "ERROR")</f>
        <v>0</v>
      </c>
    </row>
    <row r="181" spans="1:15" x14ac:dyDescent="0.25">
      <c r="A181" s="6">
        <f>IF(Data!A181 = 'Point Intercept 2'!A181, Data!A181, "ERROR")</f>
        <v>2</v>
      </c>
      <c r="B181" s="6">
        <f>IF(Data!B181 = 'Point Intercept 2'!B181, Data!B181, "ERROR")</f>
        <v>2025</v>
      </c>
      <c r="C181" s="8">
        <f>IF(Data!C181 = 'Point Intercept 2'!C181, Data!C181, "ERROR")</f>
        <v>45755</v>
      </c>
      <c r="D181" s="6" t="str">
        <f>IF(Data!D181 = 'Point Intercept 2'!D181, Data!D181, "ERROR")</f>
        <v>MP, TL, CG, BN</v>
      </c>
      <c r="E181" s="6" t="str">
        <f>IF(Data!E181 = 'Point Intercept 2'!E181, Data!E181, "ERROR")</f>
        <v>VB</v>
      </c>
      <c r="F181" s="6">
        <f>IF(Data!F181 = 'Point Intercept 2'!F181, Data!F181, "ERROR")</f>
        <v>1</v>
      </c>
      <c r="G181" s="6" t="str">
        <f>IF(Data!G181 = 'Point Intercept 2'!G181, Data!G181, "ERROR")</f>
        <v>LU</v>
      </c>
      <c r="H181" s="6">
        <f>IF(Data!I181 = 'Point Intercept 2'!I181, Data!I181, "ERROR")</f>
        <v>11</v>
      </c>
      <c r="I181" s="6">
        <f>IF(Data!H181 = 'Point Intercept 2'!H181, Data!H181, "ERROR")</f>
        <v>2</v>
      </c>
      <c r="J181" s="6">
        <f>IF(Data!J181 = 'Point Intercept 2'!J181, Data!J181, "ERROR")</f>
        <v>5.5</v>
      </c>
      <c r="K181" s="6" t="str">
        <f>IF(Data!K181 = 'Point Intercept 2'!K181, Data!K181, "ERROR")</f>
        <v>L</v>
      </c>
      <c r="L181" s="6" t="str">
        <f>IF(Data!L181 = 'Point Intercept 2'!L181, Data!L181, "ERROR")</f>
        <v>Litter</v>
      </c>
      <c r="M181" s="6">
        <f>IF(Data!N181 = 'Point Intercept 2'!M181, Data!N181, "ERROR")</f>
        <v>0</v>
      </c>
      <c r="N181" s="6">
        <f>IF(Data!O181 = 'Point Intercept 2'!N181, Data!O181, "ERROR")</f>
        <v>0</v>
      </c>
      <c r="O181" s="6">
        <f>IF(Data!P181 = 'Point Intercept 2'!O181, Data!P181, "ERROR")</f>
        <v>0</v>
      </c>
    </row>
    <row r="182" spans="1:15" x14ac:dyDescent="0.25">
      <c r="A182" s="6">
        <f>IF(Data!A182 = 'Point Intercept 2'!A182, Data!A182, "ERROR")</f>
        <v>2</v>
      </c>
      <c r="B182" s="6">
        <f>IF(Data!B182 = 'Point Intercept 2'!B182, Data!B182, "ERROR")</f>
        <v>2025</v>
      </c>
      <c r="C182" s="8">
        <f>IF(Data!C182 = 'Point Intercept 2'!C182, Data!C182, "ERROR")</f>
        <v>45755</v>
      </c>
      <c r="D182" s="6" t="str">
        <f>IF(Data!D182 = 'Point Intercept 2'!D182, Data!D182, "ERROR")</f>
        <v>MP, TL, CG, BN</v>
      </c>
      <c r="E182" s="6" t="str">
        <f>IF(Data!E182 = 'Point Intercept 2'!E182, Data!E182, "ERROR")</f>
        <v>VB</v>
      </c>
      <c r="F182" s="6">
        <f>IF(Data!F182 = 'Point Intercept 2'!F182, Data!F182, "ERROR")</f>
        <v>1</v>
      </c>
      <c r="G182" s="6" t="str">
        <f>IF(Data!G182 = 'Point Intercept 2'!G182, Data!G182, "ERROR")</f>
        <v>LU</v>
      </c>
      <c r="H182" s="6">
        <f>IF(Data!I182 = 'Point Intercept 2'!I182, Data!I182, "ERROR")</f>
        <v>11</v>
      </c>
      <c r="I182" s="6">
        <f>IF(Data!H182 = 'Point Intercept 2'!H182, Data!H182, "ERROR")</f>
        <v>2</v>
      </c>
      <c r="J182" s="6">
        <f>IF(Data!J182 = 'Point Intercept 2'!J182, Data!J182, "ERROR")</f>
        <v>5.5</v>
      </c>
      <c r="K182" s="6" t="str">
        <f>IF(Data!K182 = 'Point Intercept 2'!K182, Data!K182, "ERROR")</f>
        <v>EROCIC</v>
      </c>
      <c r="L182" s="6" t="str">
        <f>IF(Data!L182 = 'Point Intercept 2'!L182, Data!L182, "ERROR")</f>
        <v>Erodium cicutarium</v>
      </c>
      <c r="M182" s="6">
        <f>IF(Data!N182 = 'Point Intercept 2'!M182, Data!N182, "ERROR")</f>
        <v>0</v>
      </c>
      <c r="N182" s="6">
        <f>IF(Data!O182 = 'Point Intercept 2'!N182, Data!O182, "ERROR")</f>
        <v>0</v>
      </c>
      <c r="O182" s="6">
        <f>IF(Data!P182 = 'Point Intercept 2'!O182, Data!P182, "ERROR")</f>
        <v>0</v>
      </c>
    </row>
    <row r="183" spans="1:15" x14ac:dyDescent="0.25">
      <c r="A183" s="6">
        <f>IF(Data!A183 = 'Point Intercept 2'!A183, Data!A183, "ERROR")</f>
        <v>2</v>
      </c>
      <c r="B183" s="6">
        <f>IF(Data!B183 = 'Point Intercept 2'!B183, Data!B183, "ERROR")</f>
        <v>2025</v>
      </c>
      <c r="C183" s="8">
        <f>IF(Data!C183 = 'Point Intercept 2'!C183, Data!C183, "ERROR")</f>
        <v>45755</v>
      </c>
      <c r="D183" s="6" t="str">
        <f>IF(Data!D183 = 'Point Intercept 2'!D183, Data!D183, "ERROR")</f>
        <v>MP, TL, CG, BN</v>
      </c>
      <c r="E183" s="6" t="str">
        <f>IF(Data!E183 = 'Point Intercept 2'!E183, Data!E183, "ERROR")</f>
        <v>VB</v>
      </c>
      <c r="F183" s="6">
        <f>IF(Data!F183 = 'Point Intercept 2'!F183, Data!F183, "ERROR")</f>
        <v>1</v>
      </c>
      <c r="G183" s="6" t="str">
        <f>IF(Data!G183 = 'Point Intercept 2'!G183, Data!G183, "ERROR")</f>
        <v>LU</v>
      </c>
      <c r="H183" s="6">
        <f>IF(Data!I183 = 'Point Intercept 2'!I183, Data!I183, "ERROR")</f>
        <v>11</v>
      </c>
      <c r="I183" s="6">
        <f>IF(Data!H183 = 'Point Intercept 2'!H183, Data!H183, "ERROR")</f>
        <v>2</v>
      </c>
      <c r="J183" s="6">
        <f>IF(Data!J183 = 'Point Intercept 2'!J183, Data!J183, "ERROR")</f>
        <v>5.5</v>
      </c>
      <c r="K183" s="6" t="str">
        <f>IF(Data!K183 = 'Point Intercept 2'!K183, Data!K183, "ERROR")</f>
        <v>CENMEL</v>
      </c>
      <c r="L183" s="6" t="str">
        <f>IF(Data!L183 = 'Point Intercept 2'!L183, Data!L183, "ERROR")</f>
        <v>Centaurea melitensis</v>
      </c>
      <c r="M183" s="6">
        <f>IF(Data!N183 = 'Point Intercept 2'!M183, Data!N183, "ERROR")</f>
        <v>0</v>
      </c>
      <c r="N183" s="6">
        <f>IF(Data!O183 = 'Point Intercept 2'!N183, Data!O183, "ERROR")</f>
        <v>0</v>
      </c>
      <c r="O183" s="6">
        <f>IF(Data!P183 = 'Point Intercept 2'!O183, Data!P183, "ERROR")</f>
        <v>0</v>
      </c>
    </row>
    <row r="184" spans="1:15" x14ac:dyDescent="0.25">
      <c r="A184" s="6">
        <f>IF(Data!A184 = 'Point Intercept 2'!A184, Data!A184, "ERROR")</f>
        <v>2</v>
      </c>
      <c r="B184" s="6">
        <f>IF(Data!B184 = 'Point Intercept 2'!B184, Data!B184, "ERROR")</f>
        <v>2025</v>
      </c>
      <c r="C184" s="8">
        <f>IF(Data!C184 = 'Point Intercept 2'!C184, Data!C184, "ERROR")</f>
        <v>45755</v>
      </c>
      <c r="D184" s="6" t="str">
        <f>IF(Data!D184 = 'Point Intercept 2'!D184, Data!D184, "ERROR")</f>
        <v>MP, TL, CG, BN</v>
      </c>
      <c r="E184" s="6" t="str">
        <f>IF(Data!E184 = 'Point Intercept 2'!E184, Data!E184, "ERROR")</f>
        <v>VB</v>
      </c>
      <c r="F184" s="6">
        <f>IF(Data!F184 = 'Point Intercept 2'!F184, Data!F184, "ERROR")</f>
        <v>1</v>
      </c>
      <c r="G184" s="6" t="str">
        <f>IF(Data!G184 = 'Point Intercept 2'!G184, Data!G184, "ERROR")</f>
        <v>LU</v>
      </c>
      <c r="H184" s="6">
        <f>IF(Data!I184 = 'Point Intercept 2'!I184, Data!I184, "ERROR")</f>
        <v>12</v>
      </c>
      <c r="I184" s="6">
        <f>IF(Data!H184 = 'Point Intercept 2'!H184, Data!H184, "ERROR")</f>
        <v>2</v>
      </c>
      <c r="J184" s="6">
        <f>IF(Data!J184 = 'Point Intercept 2'!J184, Data!J184, "ERROR")</f>
        <v>6</v>
      </c>
      <c r="K184" s="6" t="str">
        <f>IF(Data!K184 = 'Point Intercept 2'!K184, Data!K184, "ERROR")</f>
        <v>L</v>
      </c>
      <c r="L184" s="6" t="str">
        <f>IF(Data!L184 = 'Point Intercept 2'!L184, Data!L184, "ERROR")</f>
        <v>Litter</v>
      </c>
      <c r="M184" s="6">
        <f>IF(Data!N184 = 'Point Intercept 2'!M184, Data!N184, "ERROR")</f>
        <v>0</v>
      </c>
      <c r="N184" s="6">
        <f>IF(Data!O184 = 'Point Intercept 2'!N184, Data!O184, "ERROR")</f>
        <v>0</v>
      </c>
      <c r="O184" s="6">
        <f>IF(Data!P184 = 'Point Intercept 2'!O184, Data!P184, "ERROR")</f>
        <v>0</v>
      </c>
    </row>
    <row r="185" spans="1:15" x14ac:dyDescent="0.25">
      <c r="A185" s="6">
        <f>IF(Data!A185 = 'Point Intercept 2'!A185, Data!A185, "ERROR")</f>
        <v>2</v>
      </c>
      <c r="B185" s="6">
        <f>IF(Data!B185 = 'Point Intercept 2'!B185, Data!B185, "ERROR")</f>
        <v>2025</v>
      </c>
      <c r="C185" s="8">
        <f>IF(Data!C185 = 'Point Intercept 2'!C185, Data!C185, "ERROR")</f>
        <v>45755</v>
      </c>
      <c r="D185" s="6" t="str">
        <f>IF(Data!D185 = 'Point Intercept 2'!D185, Data!D185, "ERROR")</f>
        <v>MP, TL, CG, BN</v>
      </c>
      <c r="E185" s="6" t="str">
        <f>IF(Data!E185 = 'Point Intercept 2'!E185, Data!E185, "ERROR")</f>
        <v>VB</v>
      </c>
      <c r="F185" s="6">
        <f>IF(Data!F185 = 'Point Intercept 2'!F185, Data!F185, "ERROR")</f>
        <v>1</v>
      </c>
      <c r="G185" s="6" t="str">
        <f>IF(Data!G185 = 'Point Intercept 2'!G185, Data!G185, "ERROR")</f>
        <v>LU</v>
      </c>
      <c r="H185" s="6">
        <f>IF(Data!I185 = 'Point Intercept 2'!I185, Data!I185, "ERROR")</f>
        <v>12</v>
      </c>
      <c r="I185" s="6">
        <f>IF(Data!H185 = 'Point Intercept 2'!H185, Data!H185, "ERROR")</f>
        <v>2</v>
      </c>
      <c r="J185" s="6">
        <f>IF(Data!J185 = 'Point Intercept 2'!J185, Data!J185, "ERROR")</f>
        <v>6</v>
      </c>
      <c r="K185" s="6" t="str">
        <f>IF(Data!K185 = 'Point Intercept 2'!K185, Data!K185, "ERROR")</f>
        <v>STEDIE</v>
      </c>
      <c r="L185" s="6" t="str">
        <f>IF(Data!L185 = 'Point Intercept 2'!L185, Data!L185, "ERROR")</f>
        <v>Stephanomeria diegensis</v>
      </c>
      <c r="M185" s="6">
        <f>IF(Data!N185 = 'Point Intercept 2'!M185, Data!N185, "ERROR")</f>
        <v>0</v>
      </c>
      <c r="N185" s="6">
        <f>IF(Data!O185 = 'Point Intercept 2'!N185, Data!O185, "ERROR")</f>
        <v>0</v>
      </c>
      <c r="O185" s="6">
        <f>IF(Data!P185 = 'Point Intercept 2'!O185, Data!P185, "ERROR")</f>
        <v>0</v>
      </c>
    </row>
    <row r="186" spans="1:15" x14ac:dyDescent="0.25">
      <c r="A186" s="6">
        <f>IF(Data!A186 = 'Point Intercept 2'!A186, Data!A186, "ERROR")</f>
        <v>2</v>
      </c>
      <c r="B186" s="6">
        <f>IF(Data!B186 = 'Point Intercept 2'!B186, Data!B186, "ERROR")</f>
        <v>2025</v>
      </c>
      <c r="C186" s="8">
        <f>IF(Data!C186 = 'Point Intercept 2'!C186, Data!C186, "ERROR")</f>
        <v>45755</v>
      </c>
      <c r="D186" s="6" t="str">
        <f>IF(Data!D186 = 'Point Intercept 2'!D186, Data!D186, "ERROR")</f>
        <v>MP, TL, CG, BN</v>
      </c>
      <c r="E186" s="6" t="str">
        <f>IF(Data!E186 = 'Point Intercept 2'!E186, Data!E186, "ERROR")</f>
        <v>VB</v>
      </c>
      <c r="F186" s="6">
        <f>IF(Data!F186 = 'Point Intercept 2'!F186, Data!F186, "ERROR")</f>
        <v>1</v>
      </c>
      <c r="G186" s="6" t="str">
        <f>IF(Data!G186 = 'Point Intercept 2'!G186, Data!G186, "ERROR")</f>
        <v>LU</v>
      </c>
      <c r="H186" s="6">
        <f>IF(Data!I186 = 'Point Intercept 2'!I186, Data!I186, "ERROR")</f>
        <v>12</v>
      </c>
      <c r="I186" s="6">
        <f>IF(Data!H186 = 'Point Intercept 2'!H186, Data!H186, "ERROR")</f>
        <v>2</v>
      </c>
      <c r="J186" s="6">
        <f>IF(Data!J186 = 'Point Intercept 2'!J186, Data!J186, "ERROR")</f>
        <v>6</v>
      </c>
      <c r="K186" s="6" t="str">
        <f>IF(Data!K186 = 'Point Intercept 2'!K186, Data!K186, "ERROR")</f>
        <v>EROMOS</v>
      </c>
      <c r="L186" s="6" t="str">
        <f>IF(Data!L186 = 'Point Intercept 2'!L186, Data!L186, "ERROR")</f>
        <v>Erodium moschatum</v>
      </c>
      <c r="M186" s="6">
        <f>IF(Data!N186 = 'Point Intercept 2'!M186, Data!N186, "ERROR")</f>
        <v>0</v>
      </c>
      <c r="N186" s="6">
        <f>IF(Data!O186 = 'Point Intercept 2'!N186, Data!O186, "ERROR")</f>
        <v>0</v>
      </c>
      <c r="O186" s="6">
        <f>IF(Data!P186 = 'Point Intercept 2'!O186, Data!P186, "ERROR")</f>
        <v>0</v>
      </c>
    </row>
    <row r="187" spans="1:15" x14ac:dyDescent="0.25">
      <c r="A187" s="6">
        <f>IF(Data!A187 = 'Point Intercept 2'!A187, Data!A187, "ERROR")</f>
        <v>2</v>
      </c>
      <c r="B187" s="6">
        <f>IF(Data!B187 = 'Point Intercept 2'!B187, Data!B187, "ERROR")</f>
        <v>2025</v>
      </c>
      <c r="C187" s="8">
        <f>IF(Data!C187 = 'Point Intercept 2'!C187, Data!C187, "ERROR")</f>
        <v>45755</v>
      </c>
      <c r="D187" s="6" t="str">
        <f>IF(Data!D187 = 'Point Intercept 2'!D187, Data!D187, "ERROR")</f>
        <v>MP, TL, CG, BN</v>
      </c>
      <c r="E187" s="6" t="str">
        <f>IF(Data!E187 = 'Point Intercept 2'!E187, Data!E187, "ERROR")</f>
        <v>VB</v>
      </c>
      <c r="F187" s="6">
        <f>IF(Data!F187 = 'Point Intercept 2'!F187, Data!F187, "ERROR")</f>
        <v>1</v>
      </c>
      <c r="G187" s="6" t="str">
        <f>IF(Data!G187 = 'Point Intercept 2'!G187, Data!G187, "ERROR")</f>
        <v>LU</v>
      </c>
      <c r="H187" s="6">
        <f>IF(Data!I187 = 'Point Intercept 2'!I187, Data!I187, "ERROR")</f>
        <v>13</v>
      </c>
      <c r="I187" s="6">
        <f>IF(Data!H187 = 'Point Intercept 2'!H187, Data!H187, "ERROR")</f>
        <v>2</v>
      </c>
      <c r="J187" s="6">
        <f>IF(Data!J187 = 'Point Intercept 2'!J187, Data!J187, "ERROR")</f>
        <v>6.5</v>
      </c>
      <c r="K187" s="6" t="str">
        <f>IF(Data!K187 = 'Point Intercept 2'!K187, Data!K187, "ERROR")</f>
        <v>L</v>
      </c>
      <c r="L187" s="6" t="str">
        <f>IF(Data!L187 = 'Point Intercept 2'!L187, Data!L187, "ERROR")</f>
        <v>Litter</v>
      </c>
      <c r="M187" s="6">
        <f>IF(Data!N187 = 'Point Intercept 2'!M187, Data!N187, "ERROR")</f>
        <v>0</v>
      </c>
      <c r="N187" s="6">
        <f>IF(Data!O187 = 'Point Intercept 2'!N187, Data!O187, "ERROR")</f>
        <v>0</v>
      </c>
      <c r="O187" s="6">
        <f>IF(Data!P187 = 'Point Intercept 2'!O187, Data!P187, "ERROR")</f>
        <v>0</v>
      </c>
    </row>
    <row r="188" spans="1:15" x14ac:dyDescent="0.25">
      <c r="A188" s="6">
        <f>IF(Data!A188 = 'Point Intercept 2'!A188, Data!A188, "ERROR")</f>
        <v>2</v>
      </c>
      <c r="B188" s="6">
        <f>IF(Data!B188 = 'Point Intercept 2'!B188, Data!B188, "ERROR")</f>
        <v>2025</v>
      </c>
      <c r="C188" s="8">
        <f>IF(Data!C188 = 'Point Intercept 2'!C188, Data!C188, "ERROR")</f>
        <v>45755</v>
      </c>
      <c r="D188" s="6" t="str">
        <f>IF(Data!D188 = 'Point Intercept 2'!D188, Data!D188, "ERROR")</f>
        <v>MP, TL, CG, BN</v>
      </c>
      <c r="E188" s="6" t="str">
        <f>IF(Data!E188 = 'Point Intercept 2'!E188, Data!E188, "ERROR")</f>
        <v>VB</v>
      </c>
      <c r="F188" s="6">
        <f>IF(Data!F188 = 'Point Intercept 2'!F188, Data!F188, "ERROR")</f>
        <v>1</v>
      </c>
      <c r="G188" s="6" t="str">
        <f>IF(Data!G188 = 'Point Intercept 2'!G188, Data!G188, "ERROR")</f>
        <v>LU</v>
      </c>
      <c r="H188" s="6">
        <f>IF(Data!I188 = 'Point Intercept 2'!I188, Data!I188, "ERROR")</f>
        <v>13</v>
      </c>
      <c r="I188" s="6">
        <f>IF(Data!H188 = 'Point Intercept 2'!H188, Data!H188, "ERROR")</f>
        <v>2</v>
      </c>
      <c r="J188" s="6">
        <f>IF(Data!J188 = 'Point Intercept 2'!J188, Data!J188, "ERROR")</f>
        <v>6.5</v>
      </c>
      <c r="K188" s="6" t="str">
        <f>IF(Data!K188 = 'Point Intercept 2'!K188, Data!K188, "ERROR")</f>
        <v>SONASP</v>
      </c>
      <c r="L188" s="6" t="str">
        <f>IF(Data!L188 = 'Point Intercept 2'!L188, Data!L188, "ERROR")</f>
        <v>Sonchus asper</v>
      </c>
      <c r="M188" s="6">
        <f>IF(Data!N188 = 'Point Intercept 2'!M188, Data!N188, "ERROR")</f>
        <v>0</v>
      </c>
      <c r="N188" s="6">
        <f>IF(Data!O188 = 'Point Intercept 2'!N188, Data!O188, "ERROR")</f>
        <v>0</v>
      </c>
      <c r="O188" s="6">
        <f>IF(Data!P188 = 'Point Intercept 2'!O188, Data!P188, "ERROR")</f>
        <v>0</v>
      </c>
    </row>
    <row r="189" spans="1:15" x14ac:dyDescent="0.25">
      <c r="A189" s="6">
        <f>IF(Data!A189 = 'Point Intercept 2'!A189, Data!A189, "ERROR")</f>
        <v>2</v>
      </c>
      <c r="B189" s="6">
        <f>IF(Data!B189 = 'Point Intercept 2'!B189, Data!B189, "ERROR")</f>
        <v>2025</v>
      </c>
      <c r="C189" s="8">
        <f>IF(Data!C189 = 'Point Intercept 2'!C189, Data!C189, "ERROR")</f>
        <v>45755</v>
      </c>
      <c r="D189" s="6" t="str">
        <f>IF(Data!D189 = 'Point Intercept 2'!D189, Data!D189, "ERROR")</f>
        <v>MP, TL, CG, BN</v>
      </c>
      <c r="E189" s="6" t="str">
        <f>IF(Data!E189 = 'Point Intercept 2'!E189, Data!E189, "ERROR")</f>
        <v>VB</v>
      </c>
      <c r="F189" s="6">
        <f>IF(Data!F189 = 'Point Intercept 2'!F189, Data!F189, "ERROR")</f>
        <v>1</v>
      </c>
      <c r="G189" s="6" t="str">
        <f>IF(Data!G189 = 'Point Intercept 2'!G189, Data!G189, "ERROR")</f>
        <v>LU</v>
      </c>
      <c r="H189" s="6">
        <f>IF(Data!I189 = 'Point Intercept 2'!I189, Data!I189, "ERROR")</f>
        <v>13</v>
      </c>
      <c r="I189" s="6">
        <f>IF(Data!H189 = 'Point Intercept 2'!H189, Data!H189, "ERROR")</f>
        <v>2</v>
      </c>
      <c r="J189" s="6">
        <f>IF(Data!J189 = 'Point Intercept 2'!J189, Data!J189, "ERROR")</f>
        <v>6.5</v>
      </c>
      <c r="K189" s="6" t="str">
        <f>IF(Data!K189 = 'Point Intercept 2'!K189, Data!K189, "ERROR")</f>
        <v>STEDIE</v>
      </c>
      <c r="L189" s="6" t="str">
        <f>IF(Data!L189 = 'Point Intercept 2'!L189, Data!L189, "ERROR")</f>
        <v>Stephanomeria diegensis</v>
      </c>
      <c r="M189" s="6">
        <f>IF(Data!N189 = 'Point Intercept 2'!M189, Data!N189, "ERROR")</f>
        <v>0</v>
      </c>
      <c r="N189" s="6">
        <f>IF(Data!O189 = 'Point Intercept 2'!N189, Data!O189, "ERROR")</f>
        <v>0</v>
      </c>
      <c r="O189" s="6">
        <f>IF(Data!P189 = 'Point Intercept 2'!O189, Data!P189, "ERROR")</f>
        <v>0</v>
      </c>
    </row>
    <row r="190" spans="1:15" x14ac:dyDescent="0.25">
      <c r="A190" s="6">
        <f>IF(Data!A190 = 'Point Intercept 2'!A190, Data!A190, "ERROR")</f>
        <v>2</v>
      </c>
      <c r="B190" s="6">
        <f>IF(Data!B190 = 'Point Intercept 2'!B190, Data!B190, "ERROR")</f>
        <v>2025</v>
      </c>
      <c r="C190" s="8">
        <f>IF(Data!C190 = 'Point Intercept 2'!C190, Data!C190, "ERROR")</f>
        <v>45755</v>
      </c>
      <c r="D190" s="6" t="str">
        <f>IF(Data!D190 = 'Point Intercept 2'!D190, Data!D190, "ERROR")</f>
        <v>MP, TL, CG, BN</v>
      </c>
      <c r="E190" s="6" t="str">
        <f>IF(Data!E190 = 'Point Intercept 2'!E190, Data!E190, "ERROR")</f>
        <v>VB</v>
      </c>
      <c r="F190" s="6">
        <f>IF(Data!F190 = 'Point Intercept 2'!F190, Data!F190, "ERROR")</f>
        <v>1</v>
      </c>
      <c r="G190" s="6" t="str">
        <f>IF(Data!G190 = 'Point Intercept 2'!G190, Data!G190, "ERROR")</f>
        <v>LU</v>
      </c>
      <c r="H190" s="6">
        <f>IF(Data!I190 = 'Point Intercept 2'!I190, Data!I190, "ERROR")</f>
        <v>13</v>
      </c>
      <c r="I190" s="6">
        <f>IF(Data!H190 = 'Point Intercept 2'!H190, Data!H190, "ERROR")</f>
        <v>2</v>
      </c>
      <c r="J190" s="6">
        <f>IF(Data!J190 = 'Point Intercept 2'!J190, Data!J190, "ERROR")</f>
        <v>6.5</v>
      </c>
      <c r="K190" s="6" t="str">
        <f>IF(Data!K190 = 'Point Intercept 2'!K190, Data!K190, "ERROR")</f>
        <v>FESMYU</v>
      </c>
      <c r="L190" s="6" t="str">
        <f>IF(Data!L190 = 'Point Intercept 2'!L190, Data!L190, "ERROR")</f>
        <v>Festuca myuros</v>
      </c>
      <c r="M190" s="6">
        <f>IF(Data!N190 = 'Point Intercept 2'!M190, Data!N190, "ERROR")</f>
        <v>0</v>
      </c>
      <c r="N190" s="6">
        <f>IF(Data!O190 = 'Point Intercept 2'!N190, Data!O190, "ERROR")</f>
        <v>0</v>
      </c>
      <c r="O190" s="6">
        <f>IF(Data!P190 = 'Point Intercept 2'!O190, Data!P190, "ERROR")</f>
        <v>0</v>
      </c>
    </row>
    <row r="191" spans="1:15" x14ac:dyDescent="0.25">
      <c r="A191" s="6">
        <f>IF(Data!A191 = 'Point Intercept 2'!A191, Data!A191, "ERROR")</f>
        <v>2</v>
      </c>
      <c r="B191" s="6">
        <f>IF(Data!B191 = 'Point Intercept 2'!B191, Data!B191, "ERROR")</f>
        <v>2025</v>
      </c>
      <c r="C191" s="8">
        <f>IF(Data!C191 = 'Point Intercept 2'!C191, Data!C191, "ERROR")</f>
        <v>45755</v>
      </c>
      <c r="D191" s="6" t="str">
        <f>IF(Data!D191 = 'Point Intercept 2'!D191, Data!D191, "ERROR")</f>
        <v>MP, TL, CG, BN</v>
      </c>
      <c r="E191" s="6" t="str">
        <f>IF(Data!E191 = 'Point Intercept 2'!E191, Data!E191, "ERROR")</f>
        <v>VB</v>
      </c>
      <c r="F191" s="6">
        <f>IF(Data!F191 = 'Point Intercept 2'!F191, Data!F191, "ERROR")</f>
        <v>1</v>
      </c>
      <c r="G191" s="6" t="str">
        <f>IF(Data!G191 = 'Point Intercept 2'!G191, Data!G191, "ERROR")</f>
        <v>LU</v>
      </c>
      <c r="H191" s="6">
        <f>IF(Data!I191 = 'Point Intercept 2'!I191, Data!I191, "ERROR")</f>
        <v>14</v>
      </c>
      <c r="I191" s="6">
        <f>IF(Data!H191 = 'Point Intercept 2'!H191, Data!H191, "ERROR")</f>
        <v>2</v>
      </c>
      <c r="J191" s="6">
        <f>IF(Data!J191 = 'Point Intercept 2'!J191, Data!J191, "ERROR")</f>
        <v>7</v>
      </c>
      <c r="K191" s="6" t="str">
        <f>IF(Data!K191 = 'Point Intercept 2'!K191, Data!K191, "ERROR")</f>
        <v>R</v>
      </c>
      <c r="L191" s="6" t="str">
        <f>IF(Data!L191 = 'Point Intercept 2'!L191, Data!L191, "ERROR")</f>
        <v>Rock</v>
      </c>
      <c r="M191" s="6">
        <f>IF(Data!N191 = 'Point Intercept 2'!M191, Data!N191, "ERROR")</f>
        <v>0</v>
      </c>
      <c r="N191" s="6">
        <f>IF(Data!O191 = 'Point Intercept 2'!N191, Data!O191, "ERROR")</f>
        <v>0</v>
      </c>
      <c r="O191" s="6">
        <f>IF(Data!P191 = 'Point Intercept 2'!O191, Data!P191, "ERROR")</f>
        <v>0</v>
      </c>
    </row>
    <row r="192" spans="1:15" x14ac:dyDescent="0.25">
      <c r="A192" s="6">
        <f>IF(Data!A192 = 'Point Intercept 2'!A192, Data!A192, "ERROR")</f>
        <v>2</v>
      </c>
      <c r="B192" s="6">
        <f>IF(Data!B192 = 'Point Intercept 2'!B192, Data!B192, "ERROR")</f>
        <v>2025</v>
      </c>
      <c r="C192" s="8">
        <f>IF(Data!C192 = 'Point Intercept 2'!C192, Data!C192, "ERROR")</f>
        <v>45755</v>
      </c>
      <c r="D192" s="6" t="str">
        <f>IF(Data!D192 = 'Point Intercept 2'!D192, Data!D192, "ERROR")</f>
        <v>MP, TL, CG, BN</v>
      </c>
      <c r="E192" s="6" t="str">
        <f>IF(Data!E192 = 'Point Intercept 2'!E192, Data!E192, "ERROR")</f>
        <v>VB</v>
      </c>
      <c r="F192" s="6">
        <f>IF(Data!F192 = 'Point Intercept 2'!F192, Data!F192, "ERROR")</f>
        <v>1</v>
      </c>
      <c r="G192" s="6" t="str">
        <f>IF(Data!G192 = 'Point Intercept 2'!G192, Data!G192, "ERROR")</f>
        <v>LU</v>
      </c>
      <c r="H192" s="6">
        <f>IF(Data!I192 = 'Point Intercept 2'!I192, Data!I192, "ERROR")</f>
        <v>14</v>
      </c>
      <c r="I192" s="6">
        <f>IF(Data!H192 = 'Point Intercept 2'!H192, Data!H192, "ERROR")</f>
        <v>2</v>
      </c>
      <c r="J192" s="6">
        <f>IF(Data!J192 = 'Point Intercept 2'!J192, Data!J192, "ERROR")</f>
        <v>7</v>
      </c>
      <c r="K192" s="6" t="str">
        <f>IF(Data!K192 = 'Point Intercept 2'!K192, Data!K192, "ERROR")</f>
        <v>SONASP</v>
      </c>
      <c r="L192" s="6" t="str">
        <f>IF(Data!L192 = 'Point Intercept 2'!L192, Data!L192, "ERROR")</f>
        <v>Sonchus asper</v>
      </c>
      <c r="M192" s="6">
        <f>IF(Data!N192 = 'Point Intercept 2'!M192, Data!N192, "ERROR")</f>
        <v>0</v>
      </c>
      <c r="N192" s="6">
        <f>IF(Data!O192 = 'Point Intercept 2'!N192, Data!O192, "ERROR")</f>
        <v>0</v>
      </c>
      <c r="O192" s="6">
        <f>IF(Data!P192 = 'Point Intercept 2'!O192, Data!P192, "ERROR")</f>
        <v>0</v>
      </c>
    </row>
    <row r="193" spans="1:15" x14ac:dyDescent="0.25">
      <c r="A193" s="6">
        <f>IF(Data!A193 = 'Point Intercept 2'!A193, Data!A193, "ERROR")</f>
        <v>2</v>
      </c>
      <c r="B193" s="6">
        <f>IF(Data!B193 = 'Point Intercept 2'!B193, Data!B193, "ERROR")</f>
        <v>2025</v>
      </c>
      <c r="C193" s="8">
        <f>IF(Data!C193 = 'Point Intercept 2'!C193, Data!C193, "ERROR")</f>
        <v>45755</v>
      </c>
      <c r="D193" s="6" t="str">
        <f>IF(Data!D193 = 'Point Intercept 2'!D193, Data!D193, "ERROR")</f>
        <v>MP, TL, CG, BN</v>
      </c>
      <c r="E193" s="6" t="str">
        <f>IF(Data!E193 = 'Point Intercept 2'!E193, Data!E193, "ERROR")</f>
        <v>VB</v>
      </c>
      <c r="F193" s="6">
        <f>IF(Data!F193 = 'Point Intercept 2'!F193, Data!F193, "ERROR")</f>
        <v>1</v>
      </c>
      <c r="G193" s="6" t="str">
        <f>IF(Data!G193 = 'Point Intercept 2'!G193, Data!G193, "ERROR")</f>
        <v>LU</v>
      </c>
      <c r="H193" s="6">
        <f>IF(Data!I193 = 'Point Intercept 2'!I193, Data!I193, "ERROR")</f>
        <v>14</v>
      </c>
      <c r="I193" s="6">
        <f>IF(Data!H193 = 'Point Intercept 2'!H193, Data!H193, "ERROR")</f>
        <v>2</v>
      </c>
      <c r="J193" s="6">
        <f>IF(Data!J193 = 'Point Intercept 2'!J193, Data!J193, "ERROR")</f>
        <v>7</v>
      </c>
      <c r="K193" s="6" t="str">
        <f>IF(Data!K193 = 'Point Intercept 2'!K193, Data!K193, "ERROR")</f>
        <v>BROMAD</v>
      </c>
      <c r="L193" s="6" t="str">
        <f>IF(Data!L193 = 'Point Intercept 2'!L193, Data!L193, "ERROR")</f>
        <v>Bromus madritensis</v>
      </c>
      <c r="M193" s="6">
        <f>IF(Data!N193 = 'Point Intercept 2'!M193, Data!N193, "ERROR")</f>
        <v>0</v>
      </c>
      <c r="N193" s="6">
        <f>IF(Data!O193 = 'Point Intercept 2'!N193, Data!O193, "ERROR")</f>
        <v>0</v>
      </c>
      <c r="O193" s="6">
        <f>IF(Data!P193 = 'Point Intercept 2'!O193, Data!P193, "ERROR")</f>
        <v>0</v>
      </c>
    </row>
    <row r="194" spans="1:15" x14ac:dyDescent="0.25">
      <c r="A194" s="6">
        <f>IF(Data!A194 = 'Point Intercept 2'!A194, Data!A194, "ERROR")</f>
        <v>2</v>
      </c>
      <c r="B194" s="6">
        <f>IF(Data!B194 = 'Point Intercept 2'!B194, Data!B194, "ERROR")</f>
        <v>2025</v>
      </c>
      <c r="C194" s="8">
        <f>IF(Data!C194 = 'Point Intercept 2'!C194, Data!C194, "ERROR")</f>
        <v>45755</v>
      </c>
      <c r="D194" s="6" t="str">
        <f>IF(Data!D194 = 'Point Intercept 2'!D194, Data!D194, "ERROR")</f>
        <v>MP, TL, CG, BN</v>
      </c>
      <c r="E194" s="6" t="str">
        <f>IF(Data!E194 = 'Point Intercept 2'!E194, Data!E194, "ERROR")</f>
        <v>VB</v>
      </c>
      <c r="F194" s="6">
        <f>IF(Data!F194 = 'Point Intercept 2'!F194, Data!F194, "ERROR")</f>
        <v>1</v>
      </c>
      <c r="G194" s="6" t="str">
        <f>IF(Data!G194 = 'Point Intercept 2'!G194, Data!G194, "ERROR")</f>
        <v>LU</v>
      </c>
      <c r="H194" s="6">
        <f>IF(Data!I194 = 'Point Intercept 2'!I194, Data!I194, "ERROR")</f>
        <v>14</v>
      </c>
      <c r="I194" s="6">
        <f>IF(Data!H194 = 'Point Intercept 2'!H194, Data!H194, "ERROR")</f>
        <v>2</v>
      </c>
      <c r="J194" s="6">
        <f>IF(Data!J194 = 'Point Intercept 2'!J194, Data!J194, "ERROR")</f>
        <v>7</v>
      </c>
      <c r="K194" s="6" t="str">
        <f>IF(Data!K194 = 'Point Intercept 2'!K194, Data!K194, "ERROR")</f>
        <v>EROMOS</v>
      </c>
      <c r="L194" s="6" t="str">
        <f>IF(Data!L194 = 'Point Intercept 2'!L194, Data!L194, "ERROR")</f>
        <v>Erodium moschatum</v>
      </c>
      <c r="M194" s="6">
        <f>IF(Data!N194 = 'Point Intercept 2'!M194, Data!N194, "ERROR")</f>
        <v>0</v>
      </c>
      <c r="N194" s="6">
        <f>IF(Data!O194 = 'Point Intercept 2'!N194, Data!O194, "ERROR")</f>
        <v>0</v>
      </c>
      <c r="O194" s="6">
        <f>IF(Data!P194 = 'Point Intercept 2'!O194, Data!P194, "ERROR")</f>
        <v>0</v>
      </c>
    </row>
    <row r="195" spans="1:15" x14ac:dyDescent="0.25">
      <c r="A195" s="6">
        <f>IF(Data!A195 = 'Point Intercept 2'!A195, Data!A195, "ERROR")</f>
        <v>2</v>
      </c>
      <c r="B195" s="6">
        <f>IF(Data!B195 = 'Point Intercept 2'!B195, Data!B195, "ERROR")</f>
        <v>2025</v>
      </c>
      <c r="C195" s="8">
        <f>IF(Data!C195 = 'Point Intercept 2'!C195, Data!C195, "ERROR")</f>
        <v>45755</v>
      </c>
      <c r="D195" s="6" t="str">
        <f>IF(Data!D195 = 'Point Intercept 2'!D195, Data!D195, "ERROR")</f>
        <v>MP, TL, CG, BN</v>
      </c>
      <c r="E195" s="6" t="str">
        <f>IF(Data!E195 = 'Point Intercept 2'!E195, Data!E195, "ERROR")</f>
        <v>VB</v>
      </c>
      <c r="F195" s="6">
        <f>IF(Data!F195 = 'Point Intercept 2'!F195, Data!F195, "ERROR")</f>
        <v>1</v>
      </c>
      <c r="G195" s="6" t="str">
        <f>IF(Data!G195 = 'Point Intercept 2'!G195, Data!G195, "ERROR")</f>
        <v>LU</v>
      </c>
      <c r="H195" s="6">
        <f>IF(Data!I195 = 'Point Intercept 2'!I195, Data!I195, "ERROR")</f>
        <v>15</v>
      </c>
      <c r="I195" s="6">
        <f>IF(Data!H195 = 'Point Intercept 2'!H195, Data!H195, "ERROR")</f>
        <v>2</v>
      </c>
      <c r="J195" s="6">
        <f>IF(Data!J195 = 'Point Intercept 2'!J195, Data!J195, "ERROR")</f>
        <v>7.5</v>
      </c>
      <c r="K195" s="6" t="str">
        <f>IF(Data!K195 = 'Point Intercept 2'!K195, Data!K195, "ERROR")</f>
        <v>L</v>
      </c>
      <c r="L195" s="6" t="str">
        <f>IF(Data!L195 = 'Point Intercept 2'!L195, Data!L195, "ERROR")</f>
        <v>Litter</v>
      </c>
      <c r="M195" s="6">
        <f>IF(Data!N195 = 'Point Intercept 2'!M195, Data!N195, "ERROR")</f>
        <v>0</v>
      </c>
      <c r="N195" s="6">
        <f>IF(Data!O195 = 'Point Intercept 2'!N195, Data!O195, "ERROR")</f>
        <v>0</v>
      </c>
      <c r="O195" s="6">
        <f>IF(Data!P195 = 'Point Intercept 2'!O195, Data!P195, "ERROR")</f>
        <v>0</v>
      </c>
    </row>
    <row r="196" spans="1:15" x14ac:dyDescent="0.25">
      <c r="A196" s="6">
        <f>IF(Data!A196 = 'Point Intercept 2'!A196, Data!A196, "ERROR")</f>
        <v>2</v>
      </c>
      <c r="B196" s="6">
        <f>IF(Data!B196 = 'Point Intercept 2'!B196, Data!B196, "ERROR")</f>
        <v>2025</v>
      </c>
      <c r="C196" s="8">
        <f>IF(Data!C196 = 'Point Intercept 2'!C196, Data!C196, "ERROR")</f>
        <v>45755</v>
      </c>
      <c r="D196" s="6" t="str">
        <f>IF(Data!D196 = 'Point Intercept 2'!D196, Data!D196, "ERROR")</f>
        <v>MP, TL, CG, BN</v>
      </c>
      <c r="E196" s="6" t="str">
        <f>IF(Data!E196 = 'Point Intercept 2'!E196, Data!E196, "ERROR")</f>
        <v>VB</v>
      </c>
      <c r="F196" s="6">
        <f>IF(Data!F196 = 'Point Intercept 2'!F196, Data!F196, "ERROR")</f>
        <v>1</v>
      </c>
      <c r="G196" s="6" t="str">
        <f>IF(Data!G196 = 'Point Intercept 2'!G196, Data!G196, "ERROR")</f>
        <v>LU</v>
      </c>
      <c r="H196" s="6">
        <f>IF(Data!I196 = 'Point Intercept 2'!I196, Data!I196, "ERROR")</f>
        <v>15</v>
      </c>
      <c r="I196" s="6">
        <f>IF(Data!H196 = 'Point Intercept 2'!H196, Data!H196, "ERROR")</f>
        <v>2</v>
      </c>
      <c r="J196" s="6">
        <f>IF(Data!J196 = 'Point Intercept 2'!J196, Data!J196, "ERROR")</f>
        <v>7.5</v>
      </c>
      <c r="K196" s="6" t="str">
        <f>IF(Data!K196 = 'Point Intercept 2'!K196, Data!K196, "ERROR")</f>
        <v>CENMEL</v>
      </c>
      <c r="L196" s="6" t="str">
        <f>IF(Data!L196 = 'Point Intercept 2'!L196, Data!L196, "ERROR")</f>
        <v>Centaurea melitensis</v>
      </c>
      <c r="M196" s="6">
        <f>IF(Data!N196 = 'Point Intercept 2'!M196, Data!N196, "ERROR")</f>
        <v>0</v>
      </c>
      <c r="N196" s="6">
        <f>IF(Data!O196 = 'Point Intercept 2'!N196, Data!O196, "ERROR")</f>
        <v>0</v>
      </c>
      <c r="O196" s="6">
        <f>IF(Data!P196 = 'Point Intercept 2'!O196, Data!P196, "ERROR")</f>
        <v>0</v>
      </c>
    </row>
    <row r="197" spans="1:15" x14ac:dyDescent="0.25">
      <c r="A197" s="6">
        <f>IF(Data!A197 = 'Point Intercept 2'!A197, Data!A197, "ERROR")</f>
        <v>2</v>
      </c>
      <c r="B197" s="6">
        <f>IF(Data!B197 = 'Point Intercept 2'!B197, Data!B197, "ERROR")</f>
        <v>2025</v>
      </c>
      <c r="C197" s="8">
        <f>IF(Data!C197 = 'Point Intercept 2'!C197, Data!C197, "ERROR")</f>
        <v>45755</v>
      </c>
      <c r="D197" s="6" t="str">
        <f>IF(Data!D197 = 'Point Intercept 2'!D197, Data!D197, "ERROR")</f>
        <v>MP, TL, CG, BN</v>
      </c>
      <c r="E197" s="6" t="str">
        <f>IF(Data!E197 = 'Point Intercept 2'!E197, Data!E197, "ERROR")</f>
        <v>VB</v>
      </c>
      <c r="F197" s="6">
        <f>IF(Data!F197 = 'Point Intercept 2'!F197, Data!F197, "ERROR")</f>
        <v>1</v>
      </c>
      <c r="G197" s="6" t="str">
        <f>IF(Data!G197 = 'Point Intercept 2'!G197, Data!G197, "ERROR")</f>
        <v>LU</v>
      </c>
      <c r="H197" s="6">
        <f>IF(Data!I197 = 'Point Intercept 2'!I197, Data!I197, "ERROR")</f>
        <v>15</v>
      </c>
      <c r="I197" s="6">
        <f>IF(Data!H197 = 'Point Intercept 2'!H197, Data!H197, "ERROR")</f>
        <v>2</v>
      </c>
      <c r="J197" s="6">
        <f>IF(Data!J197 = 'Point Intercept 2'!J197, Data!J197, "ERROR")</f>
        <v>7.5</v>
      </c>
      <c r="K197" s="6" t="str">
        <f>IF(Data!K197 = 'Point Intercept 2'!K197, Data!K197, "ERROR")</f>
        <v>DEIFAS</v>
      </c>
      <c r="L197" s="6" t="str">
        <f>IF(Data!L197 = 'Point Intercept 2'!L197, Data!L197, "ERROR")</f>
        <v>Deinandra fasciculata</v>
      </c>
      <c r="M197" s="6">
        <f>IF(Data!N197 = 'Point Intercept 2'!M197, Data!N197, "ERROR")</f>
        <v>0</v>
      </c>
      <c r="N197" s="6">
        <f>IF(Data!O197 = 'Point Intercept 2'!N197, Data!O197, "ERROR")</f>
        <v>0</v>
      </c>
      <c r="O197" s="6">
        <f>IF(Data!P197 = 'Point Intercept 2'!O197, Data!P197, "ERROR")</f>
        <v>0</v>
      </c>
    </row>
    <row r="198" spans="1:15" x14ac:dyDescent="0.25">
      <c r="A198" s="6">
        <f>IF(Data!A198 = 'Point Intercept 2'!A198, Data!A198, "ERROR")</f>
        <v>2</v>
      </c>
      <c r="B198" s="6">
        <f>IF(Data!B198 = 'Point Intercept 2'!B198, Data!B198, "ERROR")</f>
        <v>2025</v>
      </c>
      <c r="C198" s="8">
        <f>IF(Data!C198 = 'Point Intercept 2'!C198, Data!C198, "ERROR")</f>
        <v>45755</v>
      </c>
      <c r="D198" s="6" t="str">
        <f>IF(Data!D198 = 'Point Intercept 2'!D198, Data!D198, "ERROR")</f>
        <v>MP, TL, CG, BN</v>
      </c>
      <c r="E198" s="6" t="str">
        <f>IF(Data!E198 = 'Point Intercept 2'!E198, Data!E198, "ERROR")</f>
        <v>VB</v>
      </c>
      <c r="F198" s="6">
        <f>IF(Data!F198 = 'Point Intercept 2'!F198, Data!F198, "ERROR")</f>
        <v>1</v>
      </c>
      <c r="G198" s="6" t="str">
        <f>IF(Data!G198 = 'Point Intercept 2'!G198, Data!G198, "ERROR")</f>
        <v>LU</v>
      </c>
      <c r="H198" s="6">
        <f>IF(Data!I198 = 'Point Intercept 2'!I198, Data!I198, "ERROR")</f>
        <v>15</v>
      </c>
      <c r="I198" s="6">
        <f>IF(Data!H198 = 'Point Intercept 2'!H198, Data!H198, "ERROR")</f>
        <v>2</v>
      </c>
      <c r="J198" s="6">
        <f>IF(Data!J198 = 'Point Intercept 2'!J198, Data!J198, "ERROR")</f>
        <v>7.5</v>
      </c>
      <c r="K198" s="6" t="str">
        <f>IF(Data!K198 = 'Point Intercept 2'!K198, Data!K198, "ERROR")</f>
        <v>EROBOT</v>
      </c>
      <c r="L198" s="6" t="str">
        <f>IF(Data!L198 = 'Point Intercept 2'!L198, Data!L198, "ERROR")</f>
        <v>Erodium botrys</v>
      </c>
      <c r="M198" s="6">
        <f>IF(Data!N198 = 'Point Intercept 2'!M198, Data!N198, "ERROR")</f>
        <v>0</v>
      </c>
      <c r="N198" s="6">
        <f>IF(Data!O198 = 'Point Intercept 2'!N198, Data!O198, "ERROR")</f>
        <v>0</v>
      </c>
      <c r="O198" s="6">
        <f>IF(Data!P198 = 'Point Intercept 2'!O198, Data!P198, "ERROR")</f>
        <v>0</v>
      </c>
    </row>
    <row r="199" spans="1:15" x14ac:dyDescent="0.25">
      <c r="A199" s="6">
        <f>IF(Data!A199 = 'Point Intercept 2'!A199, Data!A199, "ERROR")</f>
        <v>3</v>
      </c>
      <c r="B199" s="6">
        <f>IF(Data!B199 = 'Point Intercept 2'!B199, Data!B199, "ERROR")</f>
        <v>2025</v>
      </c>
      <c r="C199" s="8">
        <f>IF(Data!C199 = 'Point Intercept 2'!C199, Data!C199, "ERROR")</f>
        <v>45755</v>
      </c>
      <c r="D199" s="6" t="str">
        <f>IF(Data!D199 = 'Point Intercept 2'!D199, Data!D199, "ERROR")</f>
        <v>JC, TL</v>
      </c>
      <c r="E199" s="6" t="str">
        <f>IF(Data!E199 = 'Point Intercept 2'!E199, Data!E199, "ERROR")</f>
        <v>VB</v>
      </c>
      <c r="F199" s="6">
        <f>IF(Data!F199 = 'Point Intercept 2'!F199, Data!F199, "ERROR")</f>
        <v>3</v>
      </c>
      <c r="G199" s="6" t="str">
        <f>IF(Data!G199 = 'Point Intercept 2'!G199, Data!G199, "ERROR")</f>
        <v>LU</v>
      </c>
      <c r="H199" s="6">
        <f>IF(Data!I199 = 'Point Intercept 2'!I199, Data!I199, "ERROR")</f>
        <v>1</v>
      </c>
      <c r="I199" s="6">
        <f>IF(Data!H199 = 'Point Intercept 2'!H199, Data!H199, "ERROR")</f>
        <v>1</v>
      </c>
      <c r="J199" s="6">
        <f>IF(Data!J199 = 'Point Intercept 2'!J199, Data!J199, "ERROR")</f>
        <v>0</v>
      </c>
      <c r="K199" s="6" t="str">
        <f>IF(Data!K199 = 'Point Intercept 2'!K199, Data!K199, "ERROR")</f>
        <v>B</v>
      </c>
      <c r="L199" s="6" t="str">
        <f>IF(Data!L199 = 'Point Intercept 2'!L199, Data!L199, "ERROR")</f>
        <v>Bareground</v>
      </c>
      <c r="M199" s="6">
        <f>IF(Data!N199 = 'Point Intercept 2'!M199, Data!N199, "ERROR")</f>
        <v>0</v>
      </c>
      <c r="N199" s="6">
        <f>IF(Data!O199 = 'Point Intercept 2'!N199, Data!O199, "ERROR")</f>
        <v>0</v>
      </c>
      <c r="O199" s="6">
        <f>IF(Data!P199 = 'Point Intercept 2'!O199, Data!P199, "ERROR")</f>
        <v>0</v>
      </c>
    </row>
    <row r="200" spans="1:15" x14ac:dyDescent="0.25">
      <c r="A200" s="6">
        <f>IF(Data!A200 = 'Point Intercept 2'!A200, Data!A200, "ERROR")</f>
        <v>3</v>
      </c>
      <c r="B200" s="6">
        <f>IF(Data!B200 = 'Point Intercept 2'!B200, Data!B200, "ERROR")</f>
        <v>2025</v>
      </c>
      <c r="C200" s="8">
        <f>IF(Data!C200 = 'Point Intercept 2'!C200, Data!C200, "ERROR")</f>
        <v>45755</v>
      </c>
      <c r="D200" s="6" t="str">
        <f>IF(Data!D200 = 'Point Intercept 2'!D200, Data!D200, "ERROR")</f>
        <v>JC, TL</v>
      </c>
      <c r="E200" s="6" t="str">
        <f>IF(Data!E200 = 'Point Intercept 2'!E200, Data!E200, "ERROR")</f>
        <v>VB</v>
      </c>
      <c r="F200" s="6">
        <f>IF(Data!F200 = 'Point Intercept 2'!F200, Data!F200, "ERROR")</f>
        <v>3</v>
      </c>
      <c r="G200" s="6" t="str">
        <f>IF(Data!G200 = 'Point Intercept 2'!G200, Data!G200, "ERROR")</f>
        <v>LU</v>
      </c>
      <c r="H200" s="6">
        <f>IF(Data!I200 = 'Point Intercept 2'!I200, Data!I200, "ERROR")</f>
        <v>1</v>
      </c>
      <c r="I200" s="6">
        <f>IF(Data!H200 = 'Point Intercept 2'!H200, Data!H200, "ERROR")</f>
        <v>1</v>
      </c>
      <c r="J200" s="6">
        <f>IF(Data!J200 = 'Point Intercept 2'!J200, Data!J200, "ERROR")</f>
        <v>0</v>
      </c>
      <c r="K200" s="6" t="str">
        <f>IF(Data!K200 = 'Point Intercept 2'!K200, Data!K200, "ERROR")</f>
        <v>MEDPOL</v>
      </c>
      <c r="L200" s="6" t="str">
        <f>IF(Data!L200 = 'Point Intercept 2'!L200, Data!L200, "ERROR")</f>
        <v>Medicago polymorpha</v>
      </c>
      <c r="M200" s="6">
        <f>IF(Data!N200 = 'Point Intercept 2'!M200, Data!N200, "ERROR")</f>
        <v>0</v>
      </c>
      <c r="N200" s="6">
        <f>IF(Data!O200 = 'Point Intercept 2'!N200, Data!O200, "ERROR")</f>
        <v>0</v>
      </c>
      <c r="O200" s="6">
        <f>IF(Data!P200 = 'Point Intercept 2'!O200, Data!P200, "ERROR")</f>
        <v>0</v>
      </c>
    </row>
    <row r="201" spans="1:15" x14ac:dyDescent="0.25">
      <c r="A201" s="6">
        <f>IF(Data!A201 = 'Point Intercept 2'!A201, Data!A201, "ERROR")</f>
        <v>3</v>
      </c>
      <c r="B201" s="6">
        <f>IF(Data!B201 = 'Point Intercept 2'!B201, Data!B201, "ERROR")</f>
        <v>2025</v>
      </c>
      <c r="C201" s="8">
        <f>IF(Data!C201 = 'Point Intercept 2'!C201, Data!C201, "ERROR")</f>
        <v>45755</v>
      </c>
      <c r="D201" s="6" t="str">
        <f>IF(Data!D201 = 'Point Intercept 2'!D201, Data!D201, "ERROR")</f>
        <v>JC, TL</v>
      </c>
      <c r="E201" s="6" t="str">
        <f>IF(Data!E201 = 'Point Intercept 2'!E201, Data!E201, "ERROR")</f>
        <v>VB</v>
      </c>
      <c r="F201" s="6">
        <f>IF(Data!F201 = 'Point Intercept 2'!F201, Data!F201, "ERROR")</f>
        <v>3</v>
      </c>
      <c r="G201" s="6" t="str">
        <f>IF(Data!G201 = 'Point Intercept 2'!G201, Data!G201, "ERROR")</f>
        <v>LU</v>
      </c>
      <c r="H201" s="6">
        <f>IF(Data!I201 = 'Point Intercept 2'!I201, Data!I201, "ERROR")</f>
        <v>1</v>
      </c>
      <c r="I201" s="6">
        <f>IF(Data!H201 = 'Point Intercept 2'!H201, Data!H201, "ERROR")</f>
        <v>1</v>
      </c>
      <c r="J201" s="6">
        <f>IF(Data!J201 = 'Point Intercept 2'!J201, Data!J201, "ERROR")</f>
        <v>0</v>
      </c>
      <c r="K201" s="6" t="str">
        <f>IF(Data!K201 = 'Point Intercept 2'!K201, Data!K201, "ERROR")</f>
        <v>CENMEL</v>
      </c>
      <c r="L201" s="6" t="str">
        <f>IF(Data!L201 = 'Point Intercept 2'!L201, Data!L201, "ERROR")</f>
        <v>Centaurea melitensis</v>
      </c>
      <c r="M201" s="6">
        <f>IF(Data!N201 = 'Point Intercept 2'!M201, Data!N201, "ERROR")</f>
        <v>0</v>
      </c>
      <c r="N201" s="6">
        <f>IF(Data!O201 = 'Point Intercept 2'!N201, Data!O201, "ERROR")</f>
        <v>0</v>
      </c>
      <c r="O201" s="6">
        <f>IF(Data!P201 = 'Point Intercept 2'!O201, Data!P201, "ERROR")</f>
        <v>0</v>
      </c>
    </row>
    <row r="202" spans="1:15" x14ac:dyDescent="0.25">
      <c r="A202" s="6">
        <f>IF(Data!A202 = 'Point Intercept 2'!A202, Data!A202, "ERROR")</f>
        <v>3</v>
      </c>
      <c r="B202" s="6">
        <f>IF(Data!B202 = 'Point Intercept 2'!B202, Data!B202, "ERROR")</f>
        <v>2025</v>
      </c>
      <c r="C202" s="8">
        <f>IF(Data!C202 = 'Point Intercept 2'!C202, Data!C202, "ERROR")</f>
        <v>45755</v>
      </c>
      <c r="D202" s="6" t="str">
        <f>IF(Data!D202 = 'Point Intercept 2'!D202, Data!D202, "ERROR")</f>
        <v>JC, TL</v>
      </c>
      <c r="E202" s="6" t="str">
        <f>IF(Data!E202 = 'Point Intercept 2'!E202, Data!E202, "ERROR")</f>
        <v>VB</v>
      </c>
      <c r="F202" s="6">
        <f>IF(Data!F202 = 'Point Intercept 2'!F202, Data!F202, "ERROR")</f>
        <v>3</v>
      </c>
      <c r="G202" s="6" t="str">
        <f>IF(Data!G202 = 'Point Intercept 2'!G202, Data!G202, "ERROR")</f>
        <v>LU</v>
      </c>
      <c r="H202" s="6">
        <f>IF(Data!I202 = 'Point Intercept 2'!I202, Data!I202, "ERROR")</f>
        <v>2</v>
      </c>
      <c r="I202" s="6">
        <f>IF(Data!H202 = 'Point Intercept 2'!H202, Data!H202, "ERROR")</f>
        <v>1</v>
      </c>
      <c r="J202" s="6">
        <f>IF(Data!J202 = 'Point Intercept 2'!J202, Data!J202, "ERROR")</f>
        <v>0.5</v>
      </c>
      <c r="K202" s="6" t="str">
        <f>IF(Data!K202 = 'Point Intercept 2'!K202, Data!K202, "ERROR")</f>
        <v>L</v>
      </c>
      <c r="L202" s="6" t="str">
        <f>IF(Data!L202 = 'Point Intercept 2'!L202, Data!L202, "ERROR")</f>
        <v>Litter</v>
      </c>
      <c r="M202" s="6">
        <f>IF(Data!N202 = 'Point Intercept 2'!M202, Data!N202, "ERROR")</f>
        <v>0</v>
      </c>
      <c r="N202" s="6">
        <f>IF(Data!O202 = 'Point Intercept 2'!N202, Data!O202, "ERROR")</f>
        <v>0</v>
      </c>
      <c r="O202" s="6">
        <f>IF(Data!P202 = 'Point Intercept 2'!O202, Data!P202, "ERROR")</f>
        <v>0</v>
      </c>
    </row>
    <row r="203" spans="1:15" x14ac:dyDescent="0.25">
      <c r="A203" s="6">
        <f>IF(Data!A203 = 'Point Intercept 2'!A203, Data!A203, "ERROR")</f>
        <v>3</v>
      </c>
      <c r="B203" s="6">
        <f>IF(Data!B203 = 'Point Intercept 2'!B203, Data!B203, "ERROR")</f>
        <v>2025</v>
      </c>
      <c r="C203" s="8">
        <f>IF(Data!C203 = 'Point Intercept 2'!C203, Data!C203, "ERROR")</f>
        <v>45755</v>
      </c>
      <c r="D203" s="6" t="str">
        <f>IF(Data!D203 = 'Point Intercept 2'!D203, Data!D203, "ERROR")</f>
        <v>JC, TL</v>
      </c>
      <c r="E203" s="6" t="str">
        <f>IF(Data!E203 = 'Point Intercept 2'!E203, Data!E203, "ERROR")</f>
        <v>VB</v>
      </c>
      <c r="F203" s="6">
        <f>IF(Data!F203 = 'Point Intercept 2'!F203, Data!F203, "ERROR")</f>
        <v>3</v>
      </c>
      <c r="G203" s="6" t="str">
        <f>IF(Data!G203 = 'Point Intercept 2'!G203, Data!G203, "ERROR")</f>
        <v>LU</v>
      </c>
      <c r="H203" s="6">
        <f>IF(Data!I203 = 'Point Intercept 2'!I203, Data!I203, "ERROR")</f>
        <v>2</v>
      </c>
      <c r="I203" s="6">
        <f>IF(Data!H203 = 'Point Intercept 2'!H203, Data!H203, "ERROR")</f>
        <v>1</v>
      </c>
      <c r="J203" s="6">
        <f>IF(Data!J203 = 'Point Intercept 2'!J203, Data!J203, "ERROR")</f>
        <v>0.5</v>
      </c>
      <c r="K203" s="6" t="str">
        <f>IF(Data!K203 = 'Point Intercept 2'!K203, Data!K203, "ERROR")</f>
        <v>OPULIT</v>
      </c>
      <c r="L203" s="6" t="str">
        <f>IF(Data!L203 = 'Point Intercept 2'!L203, Data!L203, "ERROR")</f>
        <v>Opuntia littoralis</v>
      </c>
      <c r="M203" s="6">
        <f>IF(Data!N203 = 'Point Intercept 2'!M203, Data!N203, "ERROR")</f>
        <v>0</v>
      </c>
      <c r="N203" s="6">
        <f>IF(Data!O203 = 'Point Intercept 2'!N203, Data!O203, "ERROR")</f>
        <v>0</v>
      </c>
      <c r="O203" s="6">
        <f>IF(Data!P203 = 'Point Intercept 2'!O203, Data!P203, "ERROR")</f>
        <v>0</v>
      </c>
    </row>
    <row r="204" spans="1:15" x14ac:dyDescent="0.25">
      <c r="A204" s="6">
        <f>IF(Data!A204 = 'Point Intercept 2'!A204, Data!A204, "ERROR")</f>
        <v>3</v>
      </c>
      <c r="B204" s="6">
        <f>IF(Data!B204 = 'Point Intercept 2'!B204, Data!B204, "ERROR")</f>
        <v>2025</v>
      </c>
      <c r="C204" s="8">
        <f>IF(Data!C204 = 'Point Intercept 2'!C204, Data!C204, "ERROR")</f>
        <v>45755</v>
      </c>
      <c r="D204" s="6" t="str">
        <f>IF(Data!D204 = 'Point Intercept 2'!D204, Data!D204, "ERROR")</f>
        <v>JC, TL</v>
      </c>
      <c r="E204" s="6" t="str">
        <f>IF(Data!E204 = 'Point Intercept 2'!E204, Data!E204, "ERROR")</f>
        <v>VB</v>
      </c>
      <c r="F204" s="6">
        <f>IF(Data!F204 = 'Point Intercept 2'!F204, Data!F204, "ERROR")</f>
        <v>3</v>
      </c>
      <c r="G204" s="6" t="str">
        <f>IF(Data!G204 = 'Point Intercept 2'!G204, Data!G204, "ERROR")</f>
        <v>LU</v>
      </c>
      <c r="H204" s="6">
        <f>IF(Data!I204 = 'Point Intercept 2'!I204, Data!I204, "ERROR")</f>
        <v>2</v>
      </c>
      <c r="I204" s="6">
        <f>IF(Data!H204 = 'Point Intercept 2'!H204, Data!H204, "ERROR")</f>
        <v>1</v>
      </c>
      <c r="J204" s="6">
        <f>IF(Data!J204 = 'Point Intercept 2'!J204, Data!J204, "ERROR")</f>
        <v>0.5</v>
      </c>
      <c r="K204" s="6" t="str">
        <f>IF(Data!K204 = 'Point Intercept 2'!K204, Data!K204, "ERROR")</f>
        <v>FESMYU</v>
      </c>
      <c r="L204" s="6" t="str">
        <f>IF(Data!L204 = 'Point Intercept 2'!L204, Data!L204, "ERROR")</f>
        <v>Festuca myuros</v>
      </c>
      <c r="M204" s="6">
        <f>IF(Data!N204 = 'Point Intercept 2'!M204, Data!N204, "ERROR")</f>
        <v>0</v>
      </c>
      <c r="N204" s="6">
        <f>IF(Data!O204 = 'Point Intercept 2'!N204, Data!O204, "ERROR")</f>
        <v>0</v>
      </c>
      <c r="O204" s="6">
        <f>IF(Data!P204 = 'Point Intercept 2'!O204, Data!P204, "ERROR")</f>
        <v>0</v>
      </c>
    </row>
    <row r="205" spans="1:15" x14ac:dyDescent="0.25">
      <c r="A205" s="6">
        <f>IF(Data!A205 = 'Point Intercept 2'!A205, Data!A205, "ERROR")</f>
        <v>3</v>
      </c>
      <c r="B205" s="6">
        <f>IF(Data!B205 = 'Point Intercept 2'!B205, Data!B205, "ERROR")</f>
        <v>2025</v>
      </c>
      <c r="C205" s="8">
        <f>IF(Data!C205 = 'Point Intercept 2'!C205, Data!C205, "ERROR")</f>
        <v>45755</v>
      </c>
      <c r="D205" s="6" t="str">
        <f>IF(Data!D205 = 'Point Intercept 2'!D205, Data!D205, "ERROR")</f>
        <v>JC, TL</v>
      </c>
      <c r="E205" s="6" t="str">
        <f>IF(Data!E205 = 'Point Intercept 2'!E205, Data!E205, "ERROR")</f>
        <v>VB</v>
      </c>
      <c r="F205" s="6">
        <f>IF(Data!F205 = 'Point Intercept 2'!F205, Data!F205, "ERROR")</f>
        <v>3</v>
      </c>
      <c r="G205" s="6" t="str">
        <f>IF(Data!G205 = 'Point Intercept 2'!G205, Data!G205, "ERROR")</f>
        <v>LU</v>
      </c>
      <c r="H205" s="6">
        <f>IF(Data!I205 = 'Point Intercept 2'!I205, Data!I205, "ERROR")</f>
        <v>2</v>
      </c>
      <c r="I205" s="6">
        <f>IF(Data!H205 = 'Point Intercept 2'!H205, Data!H205, "ERROR")</f>
        <v>1</v>
      </c>
      <c r="J205" s="6">
        <f>IF(Data!J205 = 'Point Intercept 2'!J205, Data!J205, "ERROR")</f>
        <v>0.5</v>
      </c>
      <c r="K205" s="6" t="str">
        <f>IF(Data!K205 = 'Point Intercept 2'!K205, Data!K205, "ERROR")</f>
        <v>MEDPOL</v>
      </c>
      <c r="L205" s="6" t="str">
        <f>IF(Data!L205 = 'Point Intercept 2'!L205, Data!L205, "ERROR")</f>
        <v>Medicago polymorpha</v>
      </c>
      <c r="M205" s="6">
        <f>IF(Data!N205 = 'Point Intercept 2'!M205, Data!N205, "ERROR")</f>
        <v>0</v>
      </c>
      <c r="N205" s="6">
        <f>IF(Data!O205 = 'Point Intercept 2'!N205, Data!O205, "ERROR")</f>
        <v>0</v>
      </c>
      <c r="O205" s="6">
        <f>IF(Data!P205 = 'Point Intercept 2'!O205, Data!P205, "ERROR")</f>
        <v>0</v>
      </c>
    </row>
    <row r="206" spans="1:15" x14ac:dyDescent="0.25">
      <c r="A206" s="6">
        <f>IF(Data!A206 = 'Point Intercept 2'!A206, Data!A206, "ERROR")</f>
        <v>3</v>
      </c>
      <c r="B206" s="6">
        <f>IF(Data!B206 = 'Point Intercept 2'!B206, Data!B206, "ERROR")</f>
        <v>2025</v>
      </c>
      <c r="C206" s="8">
        <f>IF(Data!C206 = 'Point Intercept 2'!C206, Data!C206, "ERROR")</f>
        <v>45755</v>
      </c>
      <c r="D206" s="6" t="str">
        <f>IF(Data!D206 = 'Point Intercept 2'!D206, Data!D206, "ERROR")</f>
        <v>JC, TL</v>
      </c>
      <c r="E206" s="6" t="str">
        <f>IF(Data!E206 = 'Point Intercept 2'!E206, Data!E206, "ERROR")</f>
        <v>VB</v>
      </c>
      <c r="F206" s="6">
        <f>IF(Data!F206 = 'Point Intercept 2'!F206, Data!F206, "ERROR")</f>
        <v>3</v>
      </c>
      <c r="G206" s="6" t="str">
        <f>IF(Data!G206 = 'Point Intercept 2'!G206, Data!G206, "ERROR")</f>
        <v>LU</v>
      </c>
      <c r="H206" s="6">
        <f>IF(Data!I206 = 'Point Intercept 2'!I206, Data!I206, "ERROR")</f>
        <v>3</v>
      </c>
      <c r="I206" s="6">
        <f>IF(Data!H206 = 'Point Intercept 2'!H206, Data!H206, "ERROR")</f>
        <v>1</v>
      </c>
      <c r="J206" s="6">
        <f>IF(Data!J206 = 'Point Intercept 2'!J206, Data!J206, "ERROR")</f>
        <v>1</v>
      </c>
      <c r="K206" s="6" t="str">
        <f>IF(Data!K206 = 'Point Intercept 2'!K206, Data!K206, "ERROR")</f>
        <v>B</v>
      </c>
      <c r="L206" s="6" t="str">
        <f>IF(Data!L206 = 'Point Intercept 2'!L206, Data!L206, "ERROR")</f>
        <v>Bareground</v>
      </c>
      <c r="M206" s="6">
        <f>IF(Data!N206 = 'Point Intercept 2'!M206, Data!N206, "ERROR")</f>
        <v>0</v>
      </c>
      <c r="N206" s="6">
        <f>IF(Data!O206 = 'Point Intercept 2'!N206, Data!O206, "ERROR")</f>
        <v>0</v>
      </c>
      <c r="O206" s="6">
        <f>IF(Data!P206 = 'Point Intercept 2'!O206, Data!P206, "ERROR")</f>
        <v>0</v>
      </c>
    </row>
    <row r="207" spans="1:15" x14ac:dyDescent="0.25">
      <c r="A207" s="6">
        <f>IF(Data!A207 = 'Point Intercept 2'!A207, Data!A207, "ERROR")</f>
        <v>3</v>
      </c>
      <c r="B207" s="6">
        <f>IF(Data!B207 = 'Point Intercept 2'!B207, Data!B207, "ERROR")</f>
        <v>2025</v>
      </c>
      <c r="C207" s="8">
        <f>IF(Data!C207 = 'Point Intercept 2'!C207, Data!C207, "ERROR")</f>
        <v>45755</v>
      </c>
      <c r="D207" s="6" t="str">
        <f>IF(Data!D207 = 'Point Intercept 2'!D207, Data!D207, "ERROR")</f>
        <v>JC, TL</v>
      </c>
      <c r="E207" s="6" t="str">
        <f>IF(Data!E207 = 'Point Intercept 2'!E207, Data!E207, "ERROR")</f>
        <v>VB</v>
      </c>
      <c r="F207" s="6">
        <f>IF(Data!F207 = 'Point Intercept 2'!F207, Data!F207, "ERROR")</f>
        <v>3</v>
      </c>
      <c r="G207" s="6" t="str">
        <f>IF(Data!G207 = 'Point Intercept 2'!G207, Data!G207, "ERROR")</f>
        <v>LU</v>
      </c>
      <c r="H207" s="6">
        <f>IF(Data!I207 = 'Point Intercept 2'!I207, Data!I207, "ERROR")</f>
        <v>3</v>
      </c>
      <c r="I207" s="6">
        <f>IF(Data!H207 = 'Point Intercept 2'!H207, Data!H207, "ERROR")</f>
        <v>1</v>
      </c>
      <c r="J207" s="6">
        <f>IF(Data!J207 = 'Point Intercept 2'!J207, Data!J207, "ERROR")</f>
        <v>1</v>
      </c>
      <c r="K207" s="6" t="str">
        <f>IF(Data!K207 = 'Point Intercept 2'!K207, Data!K207, "ERROR")</f>
        <v>FESMYU</v>
      </c>
      <c r="L207" s="6" t="str">
        <f>IF(Data!L207 = 'Point Intercept 2'!L207, Data!L207, "ERROR")</f>
        <v>Festuca myuros</v>
      </c>
      <c r="M207" s="6">
        <f>IF(Data!N207 = 'Point Intercept 2'!M207, Data!N207, "ERROR")</f>
        <v>0</v>
      </c>
      <c r="N207" s="6">
        <f>IF(Data!O207 = 'Point Intercept 2'!N207, Data!O207, "ERROR")</f>
        <v>0</v>
      </c>
      <c r="O207" s="6">
        <f>IF(Data!P207 = 'Point Intercept 2'!O207, Data!P207, "ERROR")</f>
        <v>0</v>
      </c>
    </row>
    <row r="208" spans="1:15" x14ac:dyDescent="0.25">
      <c r="A208" s="6">
        <f>IF(Data!A208 = 'Point Intercept 2'!A208, Data!A208, "ERROR")</f>
        <v>3</v>
      </c>
      <c r="B208" s="6">
        <f>IF(Data!B208 = 'Point Intercept 2'!B208, Data!B208, "ERROR")</f>
        <v>2025</v>
      </c>
      <c r="C208" s="8">
        <f>IF(Data!C208 = 'Point Intercept 2'!C208, Data!C208, "ERROR")</f>
        <v>45755</v>
      </c>
      <c r="D208" s="6" t="str">
        <f>IF(Data!D208 = 'Point Intercept 2'!D208, Data!D208, "ERROR")</f>
        <v>JC, TL</v>
      </c>
      <c r="E208" s="6" t="str">
        <f>IF(Data!E208 = 'Point Intercept 2'!E208, Data!E208, "ERROR")</f>
        <v>VB</v>
      </c>
      <c r="F208" s="6">
        <f>IF(Data!F208 = 'Point Intercept 2'!F208, Data!F208, "ERROR")</f>
        <v>3</v>
      </c>
      <c r="G208" s="6" t="str">
        <f>IF(Data!G208 = 'Point Intercept 2'!G208, Data!G208, "ERROR")</f>
        <v>LU</v>
      </c>
      <c r="H208" s="6">
        <f>IF(Data!I208 = 'Point Intercept 2'!I208, Data!I208, "ERROR")</f>
        <v>3</v>
      </c>
      <c r="I208" s="6">
        <f>IF(Data!H208 = 'Point Intercept 2'!H208, Data!H208, "ERROR")</f>
        <v>1</v>
      </c>
      <c r="J208" s="6">
        <f>IF(Data!J208 = 'Point Intercept 2'!J208, Data!J208, "ERROR")</f>
        <v>1</v>
      </c>
      <c r="K208" s="6" t="str">
        <f>IF(Data!K208 = 'Point Intercept 2'!K208, Data!K208, "ERROR")</f>
        <v>DAUPUS</v>
      </c>
      <c r="L208" s="6" t="str">
        <f>IF(Data!L208 = 'Point Intercept 2'!L208, Data!L208, "ERROR")</f>
        <v>Daucus pusillus</v>
      </c>
      <c r="M208" s="6">
        <f>IF(Data!N208 = 'Point Intercept 2'!M208, Data!N208, "ERROR")</f>
        <v>0</v>
      </c>
      <c r="N208" s="6">
        <f>IF(Data!O208 = 'Point Intercept 2'!N208, Data!O208, "ERROR")</f>
        <v>0</v>
      </c>
      <c r="O208" s="6">
        <f>IF(Data!P208 = 'Point Intercept 2'!O208, Data!P208, "ERROR")</f>
        <v>0</v>
      </c>
    </row>
    <row r="209" spans="1:15" x14ac:dyDescent="0.25">
      <c r="A209" s="6">
        <f>IF(Data!A209 = 'Point Intercept 2'!A209, Data!A209, "ERROR")</f>
        <v>3</v>
      </c>
      <c r="B209" s="6">
        <f>IF(Data!B209 = 'Point Intercept 2'!B209, Data!B209, "ERROR")</f>
        <v>2025</v>
      </c>
      <c r="C209" s="8">
        <f>IF(Data!C209 = 'Point Intercept 2'!C209, Data!C209, "ERROR")</f>
        <v>45755</v>
      </c>
      <c r="D209" s="6" t="str">
        <f>IF(Data!D209 = 'Point Intercept 2'!D209, Data!D209, "ERROR")</f>
        <v>JC, TL</v>
      </c>
      <c r="E209" s="6" t="str">
        <f>IF(Data!E209 = 'Point Intercept 2'!E209, Data!E209, "ERROR")</f>
        <v>VB</v>
      </c>
      <c r="F209" s="6">
        <f>IF(Data!F209 = 'Point Intercept 2'!F209, Data!F209, "ERROR")</f>
        <v>3</v>
      </c>
      <c r="G209" s="6" t="str">
        <f>IF(Data!G209 = 'Point Intercept 2'!G209, Data!G209, "ERROR")</f>
        <v>LU</v>
      </c>
      <c r="H209" s="6">
        <f>IF(Data!I209 = 'Point Intercept 2'!I209, Data!I209, "ERROR")</f>
        <v>3</v>
      </c>
      <c r="I209" s="6">
        <f>IF(Data!H209 = 'Point Intercept 2'!H209, Data!H209, "ERROR")</f>
        <v>1</v>
      </c>
      <c r="J209" s="6">
        <f>IF(Data!J209 = 'Point Intercept 2'!J209, Data!J209, "ERROR")</f>
        <v>1</v>
      </c>
      <c r="K209" s="6" t="str">
        <f>IF(Data!K209 = 'Point Intercept 2'!K209, Data!K209, "ERROR")</f>
        <v>DEIFAS</v>
      </c>
      <c r="L209" s="6" t="str">
        <f>IF(Data!L209 = 'Point Intercept 2'!L209, Data!L209, "ERROR")</f>
        <v>Deinandra fasciculata</v>
      </c>
      <c r="M209" s="6">
        <f>IF(Data!N209 = 'Point Intercept 2'!M209, Data!N209, "ERROR")</f>
        <v>0</v>
      </c>
      <c r="N209" s="6">
        <f>IF(Data!O209 = 'Point Intercept 2'!N209, Data!O209, "ERROR")</f>
        <v>0</v>
      </c>
      <c r="O209" s="6">
        <f>IF(Data!P209 = 'Point Intercept 2'!O209, Data!P209, "ERROR")</f>
        <v>0</v>
      </c>
    </row>
    <row r="210" spans="1:15" x14ac:dyDescent="0.25">
      <c r="A210" s="6">
        <f>IF(Data!A210 = 'Point Intercept 2'!A210, Data!A210, "ERROR")</f>
        <v>3</v>
      </c>
      <c r="B210" s="6">
        <f>IF(Data!B210 = 'Point Intercept 2'!B210, Data!B210, "ERROR")</f>
        <v>2025</v>
      </c>
      <c r="C210" s="8">
        <f>IF(Data!C210 = 'Point Intercept 2'!C210, Data!C210, "ERROR")</f>
        <v>45755</v>
      </c>
      <c r="D210" s="6" t="str">
        <f>IF(Data!D210 = 'Point Intercept 2'!D210, Data!D210, "ERROR")</f>
        <v>JC, TL</v>
      </c>
      <c r="E210" s="6" t="str">
        <f>IF(Data!E210 = 'Point Intercept 2'!E210, Data!E210, "ERROR")</f>
        <v>VB</v>
      </c>
      <c r="F210" s="6">
        <f>IF(Data!F210 = 'Point Intercept 2'!F210, Data!F210, "ERROR")</f>
        <v>3</v>
      </c>
      <c r="G210" s="6" t="str">
        <f>IF(Data!G210 = 'Point Intercept 2'!G210, Data!G210, "ERROR")</f>
        <v>LU</v>
      </c>
      <c r="H210" s="6">
        <f>IF(Data!I210 = 'Point Intercept 2'!I210, Data!I210, "ERROR")</f>
        <v>3</v>
      </c>
      <c r="I210" s="6">
        <f>IF(Data!H210 = 'Point Intercept 2'!H210, Data!H210, "ERROR")</f>
        <v>1</v>
      </c>
      <c r="J210" s="6">
        <f>IF(Data!J210 = 'Point Intercept 2'!J210, Data!J210, "ERROR")</f>
        <v>1</v>
      </c>
      <c r="K210" s="6" t="str">
        <f>IF(Data!K210 = 'Point Intercept 2'!K210, Data!K210, "ERROR")</f>
        <v>GRICAM</v>
      </c>
      <c r="L210" s="6" t="str">
        <f>IF(Data!L210 = 'Point Intercept 2'!L210, Data!L210, "ERROR")</f>
        <v>Grindelia camporum</v>
      </c>
      <c r="M210" s="6">
        <f>IF(Data!N210 = 'Point Intercept 2'!M210, Data!N210, "ERROR")</f>
        <v>0</v>
      </c>
      <c r="N210" s="6">
        <f>IF(Data!O210 = 'Point Intercept 2'!N210, Data!O210, "ERROR")</f>
        <v>0</v>
      </c>
      <c r="O210" s="6">
        <f>IF(Data!P210 = 'Point Intercept 2'!O210, Data!P210, "ERROR")</f>
        <v>0</v>
      </c>
    </row>
    <row r="211" spans="1:15" x14ac:dyDescent="0.25">
      <c r="A211" s="6">
        <f>IF(Data!A211 = 'Point Intercept 2'!A211, Data!A211, "ERROR")</f>
        <v>3</v>
      </c>
      <c r="B211" s="6">
        <f>IF(Data!B211 = 'Point Intercept 2'!B211, Data!B211, "ERROR")</f>
        <v>2025</v>
      </c>
      <c r="C211" s="8">
        <f>IF(Data!C211 = 'Point Intercept 2'!C211, Data!C211, "ERROR")</f>
        <v>45755</v>
      </c>
      <c r="D211" s="6" t="str">
        <f>IF(Data!D211 = 'Point Intercept 2'!D211, Data!D211, "ERROR")</f>
        <v>JC, TL</v>
      </c>
      <c r="E211" s="6" t="str">
        <f>IF(Data!E211 = 'Point Intercept 2'!E211, Data!E211, "ERROR")</f>
        <v>VB</v>
      </c>
      <c r="F211" s="6">
        <f>IF(Data!F211 = 'Point Intercept 2'!F211, Data!F211, "ERROR")</f>
        <v>3</v>
      </c>
      <c r="G211" s="6" t="str">
        <f>IF(Data!G211 = 'Point Intercept 2'!G211, Data!G211, "ERROR")</f>
        <v>LU</v>
      </c>
      <c r="H211" s="6">
        <f>IF(Data!I211 = 'Point Intercept 2'!I211, Data!I211, "ERROR")</f>
        <v>4</v>
      </c>
      <c r="I211" s="6">
        <f>IF(Data!H211 = 'Point Intercept 2'!H211, Data!H211, "ERROR")</f>
        <v>1</v>
      </c>
      <c r="J211" s="6">
        <f>IF(Data!J211 = 'Point Intercept 2'!J211, Data!J211, "ERROR")</f>
        <v>1.5</v>
      </c>
      <c r="K211" s="6" t="str">
        <f>IF(Data!K211 = 'Point Intercept 2'!K211, Data!K211, "ERROR")</f>
        <v>L</v>
      </c>
      <c r="L211" s="6" t="str">
        <f>IF(Data!L211 = 'Point Intercept 2'!L211, Data!L211, "ERROR")</f>
        <v>Litter</v>
      </c>
      <c r="M211" s="6">
        <f>IF(Data!N211 = 'Point Intercept 2'!M211, Data!N211, "ERROR")</f>
        <v>0</v>
      </c>
      <c r="N211" s="6">
        <f>IF(Data!O211 = 'Point Intercept 2'!N211, Data!O211, "ERROR")</f>
        <v>0</v>
      </c>
      <c r="O211" s="6">
        <f>IF(Data!P211 = 'Point Intercept 2'!O211, Data!P211, "ERROR")</f>
        <v>0</v>
      </c>
    </row>
    <row r="212" spans="1:15" x14ac:dyDescent="0.25">
      <c r="A212" s="6">
        <f>IF(Data!A212 = 'Point Intercept 2'!A212, Data!A212, "ERROR")</f>
        <v>3</v>
      </c>
      <c r="B212" s="6">
        <f>IF(Data!B212 = 'Point Intercept 2'!B212, Data!B212, "ERROR")</f>
        <v>2025</v>
      </c>
      <c r="C212" s="8">
        <f>IF(Data!C212 = 'Point Intercept 2'!C212, Data!C212, "ERROR")</f>
        <v>45755</v>
      </c>
      <c r="D212" s="6" t="str">
        <f>IF(Data!D212 = 'Point Intercept 2'!D212, Data!D212, "ERROR")</f>
        <v>JC, TL</v>
      </c>
      <c r="E212" s="6" t="str">
        <f>IF(Data!E212 = 'Point Intercept 2'!E212, Data!E212, "ERROR")</f>
        <v>VB</v>
      </c>
      <c r="F212" s="6">
        <f>IF(Data!F212 = 'Point Intercept 2'!F212, Data!F212, "ERROR")</f>
        <v>3</v>
      </c>
      <c r="G212" s="6" t="str">
        <f>IF(Data!G212 = 'Point Intercept 2'!G212, Data!G212, "ERROR")</f>
        <v>LU</v>
      </c>
      <c r="H212" s="6">
        <f>IF(Data!I212 = 'Point Intercept 2'!I212, Data!I212, "ERROR")</f>
        <v>4</v>
      </c>
      <c r="I212" s="6">
        <f>IF(Data!H212 = 'Point Intercept 2'!H212, Data!H212, "ERROR")</f>
        <v>1</v>
      </c>
      <c r="J212" s="6">
        <f>IF(Data!J212 = 'Point Intercept 2'!J212, Data!J212, "ERROR")</f>
        <v>1.5</v>
      </c>
      <c r="K212" s="6" t="str">
        <f>IF(Data!K212 = 'Point Intercept 2'!K212, Data!K212, "ERROR")</f>
        <v>EROCIC</v>
      </c>
      <c r="L212" s="6" t="str">
        <f>IF(Data!L212 = 'Point Intercept 2'!L212, Data!L212, "ERROR")</f>
        <v>Erodium cicutarium</v>
      </c>
      <c r="M212" s="6">
        <f>IF(Data!N212 = 'Point Intercept 2'!M212, Data!N212, "ERROR")</f>
        <v>0</v>
      </c>
      <c r="N212" s="6">
        <f>IF(Data!O212 = 'Point Intercept 2'!N212, Data!O212, "ERROR")</f>
        <v>0</v>
      </c>
      <c r="O212" s="6">
        <f>IF(Data!P212 = 'Point Intercept 2'!O212, Data!P212, "ERROR")</f>
        <v>0</v>
      </c>
    </row>
    <row r="213" spans="1:15" x14ac:dyDescent="0.25">
      <c r="A213" s="6">
        <f>IF(Data!A213 = 'Point Intercept 2'!A213, Data!A213, "ERROR")</f>
        <v>3</v>
      </c>
      <c r="B213" s="6">
        <f>IF(Data!B213 = 'Point Intercept 2'!B213, Data!B213, "ERROR")</f>
        <v>2025</v>
      </c>
      <c r="C213" s="8">
        <f>IF(Data!C213 = 'Point Intercept 2'!C213, Data!C213, "ERROR")</f>
        <v>45755</v>
      </c>
      <c r="D213" s="6" t="str">
        <f>IF(Data!D213 = 'Point Intercept 2'!D213, Data!D213, "ERROR")</f>
        <v>JC, TL</v>
      </c>
      <c r="E213" s="6" t="str">
        <f>IF(Data!E213 = 'Point Intercept 2'!E213, Data!E213, "ERROR")</f>
        <v>VB</v>
      </c>
      <c r="F213" s="6">
        <f>IF(Data!F213 = 'Point Intercept 2'!F213, Data!F213, "ERROR")</f>
        <v>3</v>
      </c>
      <c r="G213" s="6" t="str">
        <f>IF(Data!G213 = 'Point Intercept 2'!G213, Data!G213, "ERROR")</f>
        <v>LU</v>
      </c>
      <c r="H213" s="6">
        <f>IF(Data!I213 = 'Point Intercept 2'!I213, Data!I213, "ERROR")</f>
        <v>4</v>
      </c>
      <c r="I213" s="6">
        <f>IF(Data!H213 = 'Point Intercept 2'!H213, Data!H213, "ERROR")</f>
        <v>1</v>
      </c>
      <c r="J213" s="6">
        <f>IF(Data!J213 = 'Point Intercept 2'!J213, Data!J213, "ERROR")</f>
        <v>1.5</v>
      </c>
      <c r="K213" s="6" t="str">
        <f>IF(Data!K213 = 'Point Intercept 2'!K213, Data!K213, "ERROR")</f>
        <v>FESMYU</v>
      </c>
      <c r="L213" s="6" t="str">
        <f>IF(Data!L213 = 'Point Intercept 2'!L213, Data!L213, "ERROR")</f>
        <v>Festuca myuros</v>
      </c>
      <c r="M213" s="6">
        <f>IF(Data!N213 = 'Point Intercept 2'!M213, Data!N213, "ERROR")</f>
        <v>0</v>
      </c>
      <c r="N213" s="6">
        <f>IF(Data!O213 = 'Point Intercept 2'!N213, Data!O213, "ERROR")</f>
        <v>0</v>
      </c>
      <c r="O213" s="6">
        <f>IF(Data!P213 = 'Point Intercept 2'!O213, Data!P213, "ERROR")</f>
        <v>0</v>
      </c>
    </row>
    <row r="214" spans="1:15" x14ac:dyDescent="0.25">
      <c r="A214" s="6">
        <f>IF(Data!A214 = 'Point Intercept 2'!A214, Data!A214, "ERROR")</f>
        <v>3</v>
      </c>
      <c r="B214" s="6">
        <f>IF(Data!B214 = 'Point Intercept 2'!B214, Data!B214, "ERROR")</f>
        <v>2025</v>
      </c>
      <c r="C214" s="8">
        <f>IF(Data!C214 = 'Point Intercept 2'!C214, Data!C214, "ERROR")</f>
        <v>45755</v>
      </c>
      <c r="D214" s="6" t="str">
        <f>IF(Data!D214 = 'Point Intercept 2'!D214, Data!D214, "ERROR")</f>
        <v>JC, TL</v>
      </c>
      <c r="E214" s="6" t="str">
        <f>IF(Data!E214 = 'Point Intercept 2'!E214, Data!E214, "ERROR")</f>
        <v>VB</v>
      </c>
      <c r="F214" s="6">
        <f>IF(Data!F214 = 'Point Intercept 2'!F214, Data!F214, "ERROR")</f>
        <v>3</v>
      </c>
      <c r="G214" s="6" t="str">
        <f>IF(Data!G214 = 'Point Intercept 2'!G214, Data!G214, "ERROR")</f>
        <v>LU</v>
      </c>
      <c r="H214" s="6">
        <f>IF(Data!I214 = 'Point Intercept 2'!I214, Data!I214, "ERROR")</f>
        <v>5</v>
      </c>
      <c r="I214" s="6">
        <f>IF(Data!H214 = 'Point Intercept 2'!H214, Data!H214, "ERROR")</f>
        <v>1</v>
      </c>
      <c r="J214" s="6">
        <f>IF(Data!J214 = 'Point Intercept 2'!J214, Data!J214, "ERROR")</f>
        <v>2</v>
      </c>
      <c r="K214" s="6" t="str">
        <f>IF(Data!K214 = 'Point Intercept 2'!K214, Data!K214, "ERROR")</f>
        <v>L</v>
      </c>
      <c r="L214" s="6" t="str">
        <f>IF(Data!L214 = 'Point Intercept 2'!L214, Data!L214, "ERROR")</f>
        <v>Litter</v>
      </c>
      <c r="M214" s="6">
        <f>IF(Data!N214 = 'Point Intercept 2'!M214, Data!N214, "ERROR")</f>
        <v>0</v>
      </c>
      <c r="N214" s="6">
        <f>IF(Data!O214 = 'Point Intercept 2'!N214, Data!O214, "ERROR")</f>
        <v>0</v>
      </c>
      <c r="O214" s="6">
        <f>IF(Data!P214 = 'Point Intercept 2'!O214, Data!P214, "ERROR")</f>
        <v>0</v>
      </c>
    </row>
    <row r="215" spans="1:15" x14ac:dyDescent="0.25">
      <c r="A215" s="6">
        <f>IF(Data!A215 = 'Point Intercept 2'!A215, Data!A215, "ERROR")</f>
        <v>3</v>
      </c>
      <c r="B215" s="6">
        <f>IF(Data!B215 = 'Point Intercept 2'!B215, Data!B215, "ERROR")</f>
        <v>2025</v>
      </c>
      <c r="C215" s="8">
        <f>IF(Data!C215 = 'Point Intercept 2'!C215, Data!C215, "ERROR")</f>
        <v>45755</v>
      </c>
      <c r="D215" s="6" t="str">
        <f>IF(Data!D215 = 'Point Intercept 2'!D215, Data!D215, "ERROR")</f>
        <v>JC, TL</v>
      </c>
      <c r="E215" s="6" t="str">
        <f>IF(Data!E215 = 'Point Intercept 2'!E215, Data!E215, "ERROR")</f>
        <v>VB</v>
      </c>
      <c r="F215" s="6">
        <f>IF(Data!F215 = 'Point Intercept 2'!F215, Data!F215, "ERROR")</f>
        <v>3</v>
      </c>
      <c r="G215" s="6" t="str">
        <f>IF(Data!G215 = 'Point Intercept 2'!G215, Data!G215, "ERROR")</f>
        <v>LU</v>
      </c>
      <c r="H215" s="6">
        <f>IF(Data!I215 = 'Point Intercept 2'!I215, Data!I215, "ERROR")</f>
        <v>5</v>
      </c>
      <c r="I215" s="6">
        <f>IF(Data!H215 = 'Point Intercept 2'!H215, Data!H215, "ERROR")</f>
        <v>1</v>
      </c>
      <c r="J215" s="6">
        <f>IF(Data!J215 = 'Point Intercept 2'!J215, Data!J215, "ERROR")</f>
        <v>2</v>
      </c>
      <c r="K215" s="6" t="str">
        <f>IF(Data!K215 = 'Point Intercept 2'!K215, Data!K215, "ERROR")</f>
        <v>SONOLE</v>
      </c>
      <c r="L215" s="6" t="str">
        <f>IF(Data!L215 = 'Point Intercept 2'!L215, Data!L215, "ERROR")</f>
        <v>Sonchus oleraceus</v>
      </c>
      <c r="M215" s="6">
        <f>IF(Data!N215 = 'Point Intercept 2'!M215, Data!N215, "ERROR")</f>
        <v>0</v>
      </c>
      <c r="N215" s="6">
        <f>IF(Data!O215 = 'Point Intercept 2'!N215, Data!O215, "ERROR")</f>
        <v>0</v>
      </c>
      <c r="O215" s="6">
        <f>IF(Data!P215 = 'Point Intercept 2'!O215, Data!P215, "ERROR")</f>
        <v>0</v>
      </c>
    </row>
    <row r="216" spans="1:15" x14ac:dyDescent="0.25">
      <c r="A216" s="6">
        <f>IF(Data!A216 = 'Point Intercept 2'!A216, Data!A216, "ERROR")</f>
        <v>3</v>
      </c>
      <c r="B216" s="6">
        <f>IF(Data!B216 = 'Point Intercept 2'!B216, Data!B216, "ERROR")</f>
        <v>2025</v>
      </c>
      <c r="C216" s="8">
        <f>IF(Data!C216 = 'Point Intercept 2'!C216, Data!C216, "ERROR")</f>
        <v>45755</v>
      </c>
      <c r="D216" s="6" t="str">
        <f>IF(Data!D216 = 'Point Intercept 2'!D216, Data!D216, "ERROR")</f>
        <v>JC, TL</v>
      </c>
      <c r="E216" s="6" t="str">
        <f>IF(Data!E216 = 'Point Intercept 2'!E216, Data!E216, "ERROR")</f>
        <v>VB</v>
      </c>
      <c r="F216" s="6">
        <f>IF(Data!F216 = 'Point Intercept 2'!F216, Data!F216, "ERROR")</f>
        <v>3</v>
      </c>
      <c r="G216" s="6" t="str">
        <f>IF(Data!G216 = 'Point Intercept 2'!G216, Data!G216, "ERROR")</f>
        <v>LU</v>
      </c>
      <c r="H216" s="6">
        <f>IF(Data!I216 = 'Point Intercept 2'!I216, Data!I216, "ERROR")</f>
        <v>5</v>
      </c>
      <c r="I216" s="6">
        <f>IF(Data!H216 = 'Point Intercept 2'!H216, Data!H216, "ERROR")</f>
        <v>1</v>
      </c>
      <c r="J216" s="6">
        <f>IF(Data!J216 = 'Point Intercept 2'!J216, Data!J216, "ERROR")</f>
        <v>2</v>
      </c>
      <c r="K216" s="6" t="str">
        <f>IF(Data!K216 = 'Point Intercept 2'!K216, Data!K216, "ERROR")</f>
        <v>MEDPOL</v>
      </c>
      <c r="L216" s="6" t="str">
        <f>IF(Data!L216 = 'Point Intercept 2'!L216, Data!L216, "ERROR")</f>
        <v>Medicago polymorpha</v>
      </c>
      <c r="M216" s="6">
        <f>IF(Data!N216 = 'Point Intercept 2'!M216, Data!N216, "ERROR")</f>
        <v>0</v>
      </c>
      <c r="N216" s="6">
        <f>IF(Data!O216 = 'Point Intercept 2'!N216, Data!O216, "ERROR")</f>
        <v>0</v>
      </c>
      <c r="O216" s="6">
        <f>IF(Data!P216 = 'Point Intercept 2'!O216, Data!P216, "ERROR")</f>
        <v>0</v>
      </c>
    </row>
    <row r="217" spans="1:15" x14ac:dyDescent="0.25">
      <c r="A217" s="6">
        <f>IF(Data!A217 = 'Point Intercept 2'!A217, Data!A217, "ERROR")</f>
        <v>3</v>
      </c>
      <c r="B217" s="6">
        <f>IF(Data!B217 = 'Point Intercept 2'!B217, Data!B217, "ERROR")</f>
        <v>2025</v>
      </c>
      <c r="C217" s="8">
        <f>IF(Data!C217 = 'Point Intercept 2'!C217, Data!C217, "ERROR")</f>
        <v>45755</v>
      </c>
      <c r="D217" s="6" t="str">
        <f>IF(Data!D217 = 'Point Intercept 2'!D217, Data!D217, "ERROR")</f>
        <v>JC, TL</v>
      </c>
      <c r="E217" s="6" t="str">
        <f>IF(Data!E217 = 'Point Intercept 2'!E217, Data!E217, "ERROR")</f>
        <v>VB</v>
      </c>
      <c r="F217" s="6">
        <f>IF(Data!F217 = 'Point Intercept 2'!F217, Data!F217, "ERROR")</f>
        <v>3</v>
      </c>
      <c r="G217" s="6" t="str">
        <f>IF(Data!G217 = 'Point Intercept 2'!G217, Data!G217, "ERROR")</f>
        <v>LU</v>
      </c>
      <c r="H217" s="6">
        <f>IF(Data!I217 = 'Point Intercept 2'!I217, Data!I217, "ERROR")</f>
        <v>5</v>
      </c>
      <c r="I217" s="6">
        <f>IF(Data!H217 = 'Point Intercept 2'!H217, Data!H217, "ERROR")</f>
        <v>1</v>
      </c>
      <c r="J217" s="6">
        <f>IF(Data!J217 = 'Point Intercept 2'!J217, Data!J217, "ERROR")</f>
        <v>2</v>
      </c>
      <c r="K217" s="6" t="str">
        <f>IF(Data!K217 = 'Point Intercept 2'!K217, Data!K217, "ERROR")</f>
        <v>DAUPUS</v>
      </c>
      <c r="L217" s="6" t="str">
        <f>IF(Data!L217 = 'Point Intercept 2'!L217, Data!L217, "ERROR")</f>
        <v>Daucus pusillus</v>
      </c>
      <c r="M217" s="6">
        <f>IF(Data!N217 = 'Point Intercept 2'!M217, Data!N217, "ERROR")</f>
        <v>0</v>
      </c>
      <c r="N217" s="6">
        <f>IF(Data!O217 = 'Point Intercept 2'!N217, Data!O217, "ERROR")</f>
        <v>0</v>
      </c>
      <c r="O217" s="6">
        <f>IF(Data!P217 = 'Point Intercept 2'!O217, Data!P217, "ERROR")</f>
        <v>0</v>
      </c>
    </row>
    <row r="218" spans="1:15" x14ac:dyDescent="0.25">
      <c r="A218" s="6">
        <f>IF(Data!A218 = 'Point Intercept 2'!A218, Data!A218, "ERROR")</f>
        <v>3</v>
      </c>
      <c r="B218" s="6">
        <f>IF(Data!B218 = 'Point Intercept 2'!B218, Data!B218, "ERROR")</f>
        <v>2025</v>
      </c>
      <c r="C218" s="8">
        <f>IF(Data!C218 = 'Point Intercept 2'!C218, Data!C218, "ERROR")</f>
        <v>45755</v>
      </c>
      <c r="D218" s="6" t="str">
        <f>IF(Data!D218 = 'Point Intercept 2'!D218, Data!D218, "ERROR")</f>
        <v>JC, TL</v>
      </c>
      <c r="E218" s="6" t="str">
        <f>IF(Data!E218 = 'Point Intercept 2'!E218, Data!E218, "ERROR")</f>
        <v>VB</v>
      </c>
      <c r="F218" s="6">
        <f>IF(Data!F218 = 'Point Intercept 2'!F218, Data!F218, "ERROR")</f>
        <v>3</v>
      </c>
      <c r="G218" s="6" t="str">
        <f>IF(Data!G218 = 'Point Intercept 2'!G218, Data!G218, "ERROR")</f>
        <v>LU</v>
      </c>
      <c r="H218" s="6">
        <f>IF(Data!I218 = 'Point Intercept 2'!I218, Data!I218, "ERROR")</f>
        <v>6</v>
      </c>
      <c r="I218" s="6">
        <f>IF(Data!H218 = 'Point Intercept 2'!H218, Data!H218, "ERROR")</f>
        <v>1</v>
      </c>
      <c r="J218" s="6">
        <f>IF(Data!J218 = 'Point Intercept 2'!J218, Data!J218, "ERROR")</f>
        <v>2.5</v>
      </c>
      <c r="K218" s="6" t="str">
        <f>IF(Data!K218 = 'Point Intercept 2'!K218, Data!K218, "ERROR")</f>
        <v>B</v>
      </c>
      <c r="L218" s="6" t="str">
        <f>IF(Data!L218 = 'Point Intercept 2'!L218, Data!L218, "ERROR")</f>
        <v>Bareground</v>
      </c>
      <c r="M218" s="6">
        <f>IF(Data!N218 = 'Point Intercept 2'!M218, Data!N218, "ERROR")</f>
        <v>0</v>
      </c>
      <c r="N218" s="6">
        <f>IF(Data!O218 = 'Point Intercept 2'!N218, Data!O218, "ERROR")</f>
        <v>0</v>
      </c>
      <c r="O218" s="6">
        <f>IF(Data!P218 = 'Point Intercept 2'!O218, Data!P218, "ERROR")</f>
        <v>0</v>
      </c>
    </row>
    <row r="219" spans="1:15" x14ac:dyDescent="0.25">
      <c r="A219" s="6">
        <f>IF(Data!A219 = 'Point Intercept 2'!A219, Data!A219, "ERROR")</f>
        <v>3</v>
      </c>
      <c r="B219" s="6">
        <f>IF(Data!B219 = 'Point Intercept 2'!B219, Data!B219, "ERROR")</f>
        <v>2025</v>
      </c>
      <c r="C219" s="8">
        <f>IF(Data!C219 = 'Point Intercept 2'!C219, Data!C219, "ERROR")</f>
        <v>45755</v>
      </c>
      <c r="D219" s="6" t="str">
        <f>IF(Data!D219 = 'Point Intercept 2'!D219, Data!D219, "ERROR")</f>
        <v>JC, TL</v>
      </c>
      <c r="E219" s="6" t="str">
        <f>IF(Data!E219 = 'Point Intercept 2'!E219, Data!E219, "ERROR")</f>
        <v>VB</v>
      </c>
      <c r="F219" s="6">
        <f>IF(Data!F219 = 'Point Intercept 2'!F219, Data!F219, "ERROR")</f>
        <v>3</v>
      </c>
      <c r="G219" s="6" t="str">
        <f>IF(Data!G219 = 'Point Intercept 2'!G219, Data!G219, "ERROR")</f>
        <v>LU</v>
      </c>
      <c r="H219" s="6">
        <f>IF(Data!I219 = 'Point Intercept 2'!I219, Data!I219, "ERROR")</f>
        <v>6</v>
      </c>
      <c r="I219" s="6">
        <f>IF(Data!H219 = 'Point Intercept 2'!H219, Data!H219, "ERROR")</f>
        <v>1</v>
      </c>
      <c r="J219" s="6">
        <f>IF(Data!J219 = 'Point Intercept 2'!J219, Data!J219, "ERROR")</f>
        <v>2.5</v>
      </c>
      <c r="K219" s="6" t="str">
        <f>IF(Data!K219 = 'Point Intercept 2'!K219, Data!K219, "ERROR")</f>
        <v>OPULIT</v>
      </c>
      <c r="L219" s="6" t="str">
        <f>IF(Data!L219 = 'Point Intercept 2'!L219, Data!L219, "ERROR")</f>
        <v>Opuntia littoralis</v>
      </c>
      <c r="M219" s="6">
        <f>IF(Data!N219 = 'Point Intercept 2'!M219, Data!N219, "ERROR")</f>
        <v>0</v>
      </c>
      <c r="N219" s="6">
        <f>IF(Data!O219 = 'Point Intercept 2'!N219, Data!O219, "ERROR")</f>
        <v>0</v>
      </c>
      <c r="O219" s="6">
        <f>IF(Data!P219 = 'Point Intercept 2'!O219, Data!P219, "ERROR")</f>
        <v>0</v>
      </c>
    </row>
    <row r="220" spans="1:15" x14ac:dyDescent="0.25">
      <c r="A220" s="6">
        <f>IF(Data!A220 = 'Point Intercept 2'!A220, Data!A220, "ERROR")</f>
        <v>3</v>
      </c>
      <c r="B220" s="6">
        <f>IF(Data!B220 = 'Point Intercept 2'!B220, Data!B220, "ERROR")</f>
        <v>2025</v>
      </c>
      <c r="C220" s="8">
        <f>IF(Data!C220 = 'Point Intercept 2'!C220, Data!C220, "ERROR")</f>
        <v>45755</v>
      </c>
      <c r="D220" s="6" t="str">
        <f>IF(Data!D220 = 'Point Intercept 2'!D220, Data!D220, "ERROR")</f>
        <v>JC, TL</v>
      </c>
      <c r="E220" s="6" t="str">
        <f>IF(Data!E220 = 'Point Intercept 2'!E220, Data!E220, "ERROR")</f>
        <v>VB</v>
      </c>
      <c r="F220" s="6">
        <f>IF(Data!F220 = 'Point Intercept 2'!F220, Data!F220, "ERROR")</f>
        <v>3</v>
      </c>
      <c r="G220" s="6" t="str">
        <f>IF(Data!G220 = 'Point Intercept 2'!G220, Data!G220, "ERROR")</f>
        <v>LU</v>
      </c>
      <c r="H220" s="6">
        <f>IF(Data!I220 = 'Point Intercept 2'!I220, Data!I220, "ERROR")</f>
        <v>6</v>
      </c>
      <c r="I220" s="6">
        <f>IF(Data!H220 = 'Point Intercept 2'!H220, Data!H220, "ERROR")</f>
        <v>1</v>
      </c>
      <c r="J220" s="6">
        <f>IF(Data!J220 = 'Point Intercept 2'!J220, Data!J220, "ERROR")</f>
        <v>2.5</v>
      </c>
      <c r="K220" s="6" t="str">
        <f>IF(Data!K220 = 'Point Intercept 2'!K220, Data!K220, "ERROR")</f>
        <v>DAUPUS</v>
      </c>
      <c r="L220" s="6" t="str">
        <f>IF(Data!L220 = 'Point Intercept 2'!L220, Data!L220, "ERROR")</f>
        <v>Daucus pusillus</v>
      </c>
      <c r="M220" s="6">
        <f>IF(Data!N220 = 'Point Intercept 2'!M220, Data!N220, "ERROR")</f>
        <v>0</v>
      </c>
      <c r="N220" s="6">
        <f>IF(Data!O220 = 'Point Intercept 2'!N220, Data!O220, "ERROR")</f>
        <v>0</v>
      </c>
      <c r="O220" s="6">
        <f>IF(Data!P220 = 'Point Intercept 2'!O220, Data!P220, "ERROR")</f>
        <v>0</v>
      </c>
    </row>
    <row r="221" spans="1:15" x14ac:dyDescent="0.25">
      <c r="A221" s="6">
        <f>IF(Data!A221 = 'Point Intercept 2'!A221, Data!A221, "ERROR")</f>
        <v>3</v>
      </c>
      <c r="B221" s="6">
        <f>IF(Data!B221 = 'Point Intercept 2'!B221, Data!B221, "ERROR")</f>
        <v>2025</v>
      </c>
      <c r="C221" s="8">
        <f>IF(Data!C221 = 'Point Intercept 2'!C221, Data!C221, "ERROR")</f>
        <v>45755</v>
      </c>
      <c r="D221" s="6" t="str">
        <f>IF(Data!D221 = 'Point Intercept 2'!D221, Data!D221, "ERROR")</f>
        <v>JC, TL</v>
      </c>
      <c r="E221" s="6" t="str">
        <f>IF(Data!E221 = 'Point Intercept 2'!E221, Data!E221, "ERROR")</f>
        <v>VB</v>
      </c>
      <c r="F221" s="6">
        <f>IF(Data!F221 = 'Point Intercept 2'!F221, Data!F221, "ERROR")</f>
        <v>3</v>
      </c>
      <c r="G221" s="6" t="str">
        <f>IF(Data!G221 = 'Point Intercept 2'!G221, Data!G221, "ERROR")</f>
        <v>LU</v>
      </c>
      <c r="H221" s="6">
        <f>IF(Data!I221 = 'Point Intercept 2'!I221, Data!I221, "ERROR")</f>
        <v>6</v>
      </c>
      <c r="I221" s="6">
        <f>IF(Data!H221 = 'Point Intercept 2'!H221, Data!H221, "ERROR")</f>
        <v>1</v>
      </c>
      <c r="J221" s="6">
        <f>IF(Data!J221 = 'Point Intercept 2'!J221, Data!J221, "ERROR")</f>
        <v>2.5</v>
      </c>
      <c r="K221" s="6" t="str">
        <f>IF(Data!K221 = 'Point Intercept 2'!K221, Data!K221, "ERROR")</f>
        <v>FESMYU</v>
      </c>
      <c r="L221" s="6" t="str">
        <f>IF(Data!L221 = 'Point Intercept 2'!L221, Data!L221, "ERROR")</f>
        <v>Festuca myuros</v>
      </c>
      <c r="M221" s="6">
        <f>IF(Data!N221 = 'Point Intercept 2'!M221, Data!N221, "ERROR")</f>
        <v>0</v>
      </c>
      <c r="N221" s="6">
        <f>IF(Data!O221 = 'Point Intercept 2'!N221, Data!O221, "ERROR")</f>
        <v>0</v>
      </c>
      <c r="O221" s="6">
        <f>IF(Data!P221 = 'Point Intercept 2'!O221, Data!P221, "ERROR")</f>
        <v>0</v>
      </c>
    </row>
    <row r="222" spans="1:15" x14ac:dyDescent="0.25">
      <c r="A222" s="6">
        <f>IF(Data!A222 = 'Point Intercept 2'!A222, Data!A222, "ERROR")</f>
        <v>3</v>
      </c>
      <c r="B222" s="6">
        <f>IF(Data!B222 = 'Point Intercept 2'!B222, Data!B222, "ERROR")</f>
        <v>2025</v>
      </c>
      <c r="C222" s="8">
        <f>IF(Data!C222 = 'Point Intercept 2'!C222, Data!C222, "ERROR")</f>
        <v>45755</v>
      </c>
      <c r="D222" s="6" t="str">
        <f>IF(Data!D222 = 'Point Intercept 2'!D222, Data!D222, "ERROR")</f>
        <v>JC, TL</v>
      </c>
      <c r="E222" s="6" t="str">
        <f>IF(Data!E222 = 'Point Intercept 2'!E222, Data!E222, "ERROR")</f>
        <v>VB</v>
      </c>
      <c r="F222" s="6">
        <f>IF(Data!F222 = 'Point Intercept 2'!F222, Data!F222, "ERROR")</f>
        <v>3</v>
      </c>
      <c r="G222" s="6" t="str">
        <f>IF(Data!G222 = 'Point Intercept 2'!G222, Data!G222, "ERROR")</f>
        <v>LU</v>
      </c>
      <c r="H222" s="6">
        <f>IF(Data!I222 = 'Point Intercept 2'!I222, Data!I222, "ERROR")</f>
        <v>6</v>
      </c>
      <c r="I222" s="6">
        <f>IF(Data!H222 = 'Point Intercept 2'!H222, Data!H222, "ERROR")</f>
        <v>1</v>
      </c>
      <c r="J222" s="6">
        <f>IF(Data!J222 = 'Point Intercept 2'!J222, Data!J222, "ERROR")</f>
        <v>2.5</v>
      </c>
      <c r="K222" s="6" t="str">
        <f>IF(Data!K222 = 'Point Intercept 2'!K222, Data!K222, "ERROR")</f>
        <v>SONOLE</v>
      </c>
      <c r="L222" s="6" t="str">
        <f>IF(Data!L222 = 'Point Intercept 2'!L222, Data!L222, "ERROR")</f>
        <v>Sonchus oleraceus</v>
      </c>
      <c r="M222" s="6">
        <f>IF(Data!N222 = 'Point Intercept 2'!M222, Data!N222, "ERROR")</f>
        <v>0</v>
      </c>
      <c r="N222" s="6">
        <f>IF(Data!O222 = 'Point Intercept 2'!N222, Data!O222, "ERROR")</f>
        <v>0</v>
      </c>
      <c r="O222" s="6">
        <f>IF(Data!P222 = 'Point Intercept 2'!O222, Data!P222, "ERROR")</f>
        <v>0</v>
      </c>
    </row>
    <row r="223" spans="1:15" x14ac:dyDescent="0.25">
      <c r="A223" s="6">
        <f>IF(Data!A223 = 'Point Intercept 2'!A223, Data!A223, "ERROR")</f>
        <v>3</v>
      </c>
      <c r="B223" s="6">
        <f>IF(Data!B223 = 'Point Intercept 2'!B223, Data!B223, "ERROR")</f>
        <v>2025</v>
      </c>
      <c r="C223" s="8">
        <f>IF(Data!C223 = 'Point Intercept 2'!C223, Data!C223, "ERROR")</f>
        <v>45755</v>
      </c>
      <c r="D223" s="6" t="str">
        <f>IF(Data!D223 = 'Point Intercept 2'!D223, Data!D223, "ERROR")</f>
        <v>JC, TL</v>
      </c>
      <c r="E223" s="6" t="str">
        <f>IF(Data!E223 = 'Point Intercept 2'!E223, Data!E223, "ERROR")</f>
        <v>VB</v>
      </c>
      <c r="F223" s="6">
        <f>IF(Data!F223 = 'Point Intercept 2'!F223, Data!F223, "ERROR")</f>
        <v>3</v>
      </c>
      <c r="G223" s="6" t="str">
        <f>IF(Data!G223 = 'Point Intercept 2'!G223, Data!G223, "ERROR")</f>
        <v>LU</v>
      </c>
      <c r="H223" s="6">
        <f>IF(Data!I223 = 'Point Intercept 2'!I223, Data!I223, "ERROR")</f>
        <v>7</v>
      </c>
      <c r="I223" s="6">
        <f>IF(Data!H223 = 'Point Intercept 2'!H223, Data!H223, "ERROR")</f>
        <v>1</v>
      </c>
      <c r="J223" s="6">
        <f>IF(Data!J223 = 'Point Intercept 2'!J223, Data!J223, "ERROR")</f>
        <v>3</v>
      </c>
      <c r="K223" s="6" t="str">
        <f>IF(Data!K223 = 'Point Intercept 2'!K223, Data!K223, "ERROR")</f>
        <v>B</v>
      </c>
      <c r="L223" s="6" t="str">
        <f>IF(Data!L223 = 'Point Intercept 2'!L223, Data!L223, "ERROR")</f>
        <v>Bareground</v>
      </c>
      <c r="M223" s="6">
        <f>IF(Data!N223 = 'Point Intercept 2'!M223, Data!N223, "ERROR")</f>
        <v>0</v>
      </c>
      <c r="N223" s="6">
        <f>IF(Data!O223 = 'Point Intercept 2'!N223, Data!O223, "ERROR")</f>
        <v>0</v>
      </c>
      <c r="O223" s="6">
        <f>IF(Data!P223 = 'Point Intercept 2'!O223, Data!P223, "ERROR")</f>
        <v>0</v>
      </c>
    </row>
    <row r="224" spans="1:15" x14ac:dyDescent="0.25">
      <c r="A224" s="6">
        <f>IF(Data!A224 = 'Point Intercept 2'!A224, Data!A224, "ERROR")</f>
        <v>3</v>
      </c>
      <c r="B224" s="6">
        <f>IF(Data!B224 = 'Point Intercept 2'!B224, Data!B224, "ERROR")</f>
        <v>2025</v>
      </c>
      <c r="C224" s="8">
        <f>IF(Data!C224 = 'Point Intercept 2'!C224, Data!C224, "ERROR")</f>
        <v>45755</v>
      </c>
      <c r="D224" s="6" t="str">
        <f>IF(Data!D224 = 'Point Intercept 2'!D224, Data!D224, "ERROR")</f>
        <v>JC, TL</v>
      </c>
      <c r="E224" s="6" t="str">
        <f>IF(Data!E224 = 'Point Intercept 2'!E224, Data!E224, "ERROR")</f>
        <v>VB</v>
      </c>
      <c r="F224" s="6">
        <f>IF(Data!F224 = 'Point Intercept 2'!F224, Data!F224, "ERROR")</f>
        <v>3</v>
      </c>
      <c r="G224" s="6" t="str">
        <f>IF(Data!G224 = 'Point Intercept 2'!G224, Data!G224, "ERROR")</f>
        <v>LU</v>
      </c>
      <c r="H224" s="6">
        <f>IF(Data!I224 = 'Point Intercept 2'!I224, Data!I224, "ERROR")</f>
        <v>7</v>
      </c>
      <c r="I224" s="6">
        <f>IF(Data!H224 = 'Point Intercept 2'!H224, Data!H224, "ERROR")</f>
        <v>1</v>
      </c>
      <c r="J224" s="6">
        <f>IF(Data!J224 = 'Point Intercept 2'!J224, Data!J224, "ERROR")</f>
        <v>3</v>
      </c>
      <c r="K224" s="6" t="str">
        <f>IF(Data!K224 = 'Point Intercept 2'!K224, Data!K224, "ERROR")</f>
        <v>BROMAD</v>
      </c>
      <c r="L224" s="6" t="str">
        <f>IF(Data!L224 = 'Point Intercept 2'!L224, Data!L224, "ERROR")</f>
        <v>Bromus madritensis</v>
      </c>
      <c r="M224" s="6">
        <f>IF(Data!N224 = 'Point Intercept 2'!M224, Data!N224, "ERROR")</f>
        <v>0</v>
      </c>
      <c r="N224" s="6">
        <f>IF(Data!O224 = 'Point Intercept 2'!N224, Data!O224, "ERROR")</f>
        <v>0</v>
      </c>
      <c r="O224" s="6">
        <f>IF(Data!P224 = 'Point Intercept 2'!O224, Data!P224, "ERROR")</f>
        <v>0</v>
      </c>
    </row>
    <row r="225" spans="1:15" x14ac:dyDescent="0.25">
      <c r="A225" s="6">
        <f>IF(Data!A225 = 'Point Intercept 2'!A225, Data!A225, "ERROR")</f>
        <v>3</v>
      </c>
      <c r="B225" s="6">
        <f>IF(Data!B225 = 'Point Intercept 2'!B225, Data!B225, "ERROR")</f>
        <v>2025</v>
      </c>
      <c r="C225" s="8">
        <f>IF(Data!C225 = 'Point Intercept 2'!C225, Data!C225, "ERROR")</f>
        <v>45755</v>
      </c>
      <c r="D225" s="6" t="str">
        <f>IF(Data!D225 = 'Point Intercept 2'!D225, Data!D225, "ERROR")</f>
        <v>JC, TL</v>
      </c>
      <c r="E225" s="6" t="str">
        <f>IF(Data!E225 = 'Point Intercept 2'!E225, Data!E225, "ERROR")</f>
        <v>VB</v>
      </c>
      <c r="F225" s="6">
        <f>IF(Data!F225 = 'Point Intercept 2'!F225, Data!F225, "ERROR")</f>
        <v>3</v>
      </c>
      <c r="G225" s="6" t="str">
        <f>IF(Data!G225 = 'Point Intercept 2'!G225, Data!G225, "ERROR")</f>
        <v>LU</v>
      </c>
      <c r="H225" s="6">
        <f>IF(Data!I225 = 'Point Intercept 2'!I225, Data!I225, "ERROR")</f>
        <v>7</v>
      </c>
      <c r="I225" s="6">
        <f>IF(Data!H225 = 'Point Intercept 2'!H225, Data!H225, "ERROR")</f>
        <v>1</v>
      </c>
      <c r="J225" s="6">
        <f>IF(Data!J225 = 'Point Intercept 2'!J225, Data!J225, "ERROR")</f>
        <v>3</v>
      </c>
      <c r="K225" s="6" t="str">
        <f>IF(Data!K225 = 'Point Intercept 2'!K225, Data!K225, "ERROR")</f>
        <v>DAUPUS</v>
      </c>
      <c r="L225" s="6" t="str">
        <f>IF(Data!L225 = 'Point Intercept 2'!L225, Data!L225, "ERROR")</f>
        <v>Daucus pusillus</v>
      </c>
      <c r="M225" s="6">
        <f>IF(Data!N225 = 'Point Intercept 2'!M225, Data!N225, "ERROR")</f>
        <v>0</v>
      </c>
      <c r="N225" s="6">
        <f>IF(Data!O225 = 'Point Intercept 2'!N225, Data!O225, "ERROR")</f>
        <v>0</v>
      </c>
      <c r="O225" s="6">
        <f>IF(Data!P225 = 'Point Intercept 2'!O225, Data!P225, "ERROR")</f>
        <v>0</v>
      </c>
    </row>
    <row r="226" spans="1:15" x14ac:dyDescent="0.25">
      <c r="A226" s="6">
        <f>IF(Data!A226 = 'Point Intercept 2'!A226, Data!A226, "ERROR")</f>
        <v>3</v>
      </c>
      <c r="B226" s="6">
        <f>IF(Data!B226 = 'Point Intercept 2'!B226, Data!B226, "ERROR")</f>
        <v>2025</v>
      </c>
      <c r="C226" s="8">
        <f>IF(Data!C226 = 'Point Intercept 2'!C226, Data!C226, "ERROR")</f>
        <v>45755</v>
      </c>
      <c r="D226" s="6" t="str">
        <f>IF(Data!D226 = 'Point Intercept 2'!D226, Data!D226, "ERROR")</f>
        <v>JC, TL</v>
      </c>
      <c r="E226" s="6" t="str">
        <f>IF(Data!E226 = 'Point Intercept 2'!E226, Data!E226, "ERROR")</f>
        <v>VB</v>
      </c>
      <c r="F226" s="6">
        <f>IF(Data!F226 = 'Point Intercept 2'!F226, Data!F226, "ERROR")</f>
        <v>3</v>
      </c>
      <c r="G226" s="6" t="str">
        <f>IF(Data!G226 = 'Point Intercept 2'!G226, Data!G226, "ERROR")</f>
        <v>LU</v>
      </c>
      <c r="H226" s="6">
        <f>IF(Data!I226 = 'Point Intercept 2'!I226, Data!I226, "ERROR")</f>
        <v>7</v>
      </c>
      <c r="I226" s="6">
        <f>IF(Data!H226 = 'Point Intercept 2'!H226, Data!H226, "ERROR")</f>
        <v>1</v>
      </c>
      <c r="J226" s="6">
        <f>IF(Data!J226 = 'Point Intercept 2'!J226, Data!J226, "ERROR")</f>
        <v>3</v>
      </c>
      <c r="K226" s="6" t="str">
        <f>IF(Data!K226 = 'Point Intercept 2'!K226, Data!K226, "ERROR")</f>
        <v>FESMYU</v>
      </c>
      <c r="L226" s="6" t="str">
        <f>IF(Data!L226 = 'Point Intercept 2'!L226, Data!L226, "ERROR")</f>
        <v>Festuca myuros</v>
      </c>
      <c r="M226" s="6">
        <f>IF(Data!N226 = 'Point Intercept 2'!M226, Data!N226, "ERROR")</f>
        <v>0</v>
      </c>
      <c r="N226" s="6">
        <f>IF(Data!O226 = 'Point Intercept 2'!N226, Data!O226, "ERROR")</f>
        <v>0</v>
      </c>
      <c r="O226" s="6">
        <f>IF(Data!P226 = 'Point Intercept 2'!O226, Data!P226, "ERROR")</f>
        <v>0</v>
      </c>
    </row>
    <row r="227" spans="1:15" x14ac:dyDescent="0.25">
      <c r="A227" s="6">
        <f>IF(Data!A227 = 'Point Intercept 2'!A227, Data!A227, "ERROR")</f>
        <v>3</v>
      </c>
      <c r="B227" s="6">
        <f>IF(Data!B227 = 'Point Intercept 2'!B227, Data!B227, "ERROR")</f>
        <v>2025</v>
      </c>
      <c r="C227" s="8">
        <f>IF(Data!C227 = 'Point Intercept 2'!C227, Data!C227, "ERROR")</f>
        <v>45755</v>
      </c>
      <c r="D227" s="6" t="str">
        <f>IF(Data!D227 = 'Point Intercept 2'!D227, Data!D227, "ERROR")</f>
        <v>JC, TL</v>
      </c>
      <c r="E227" s="6" t="str">
        <f>IF(Data!E227 = 'Point Intercept 2'!E227, Data!E227, "ERROR")</f>
        <v>VB</v>
      </c>
      <c r="F227" s="6">
        <f>IF(Data!F227 = 'Point Intercept 2'!F227, Data!F227, "ERROR")</f>
        <v>3</v>
      </c>
      <c r="G227" s="6" t="str">
        <f>IF(Data!G227 = 'Point Intercept 2'!G227, Data!G227, "ERROR")</f>
        <v>LU</v>
      </c>
      <c r="H227" s="6">
        <f>IF(Data!I227 = 'Point Intercept 2'!I227, Data!I227, "ERROR")</f>
        <v>7</v>
      </c>
      <c r="I227" s="6">
        <f>IF(Data!H227 = 'Point Intercept 2'!H227, Data!H227, "ERROR")</f>
        <v>1</v>
      </c>
      <c r="J227" s="6">
        <f>IF(Data!J227 = 'Point Intercept 2'!J227, Data!J227, "ERROR")</f>
        <v>3</v>
      </c>
      <c r="K227" s="6" t="str">
        <f>IF(Data!K227 = 'Point Intercept 2'!K227, Data!K227, "ERROR")</f>
        <v>DEIFAS</v>
      </c>
      <c r="L227" s="6" t="str">
        <f>IF(Data!L227 = 'Point Intercept 2'!L227, Data!L227, "ERROR")</f>
        <v>Deinandra fasciculata</v>
      </c>
      <c r="M227" s="6">
        <f>IF(Data!N227 = 'Point Intercept 2'!M227, Data!N227, "ERROR")</f>
        <v>0</v>
      </c>
      <c r="N227" s="6">
        <f>IF(Data!O227 = 'Point Intercept 2'!N227, Data!O227, "ERROR")</f>
        <v>0</v>
      </c>
      <c r="O227" s="6">
        <f>IF(Data!P227 = 'Point Intercept 2'!O227, Data!P227, "ERROR")</f>
        <v>0</v>
      </c>
    </row>
    <row r="228" spans="1:15" x14ac:dyDescent="0.25">
      <c r="A228" s="6">
        <f>IF(Data!A228 = 'Point Intercept 2'!A228, Data!A228, "ERROR")</f>
        <v>3</v>
      </c>
      <c r="B228" s="6">
        <f>IF(Data!B228 = 'Point Intercept 2'!B228, Data!B228, "ERROR")</f>
        <v>2025</v>
      </c>
      <c r="C228" s="8">
        <f>IF(Data!C228 = 'Point Intercept 2'!C228, Data!C228, "ERROR")</f>
        <v>45755</v>
      </c>
      <c r="D228" s="6" t="str">
        <f>IF(Data!D228 = 'Point Intercept 2'!D228, Data!D228, "ERROR")</f>
        <v>JC, TL</v>
      </c>
      <c r="E228" s="6" t="str">
        <f>IF(Data!E228 = 'Point Intercept 2'!E228, Data!E228, "ERROR")</f>
        <v>VB</v>
      </c>
      <c r="F228" s="6">
        <f>IF(Data!F228 = 'Point Intercept 2'!F228, Data!F228, "ERROR")</f>
        <v>3</v>
      </c>
      <c r="G228" s="6" t="str">
        <f>IF(Data!G228 = 'Point Intercept 2'!G228, Data!G228, "ERROR")</f>
        <v>LU</v>
      </c>
      <c r="H228" s="6">
        <f>IF(Data!I228 = 'Point Intercept 2'!I228, Data!I228, "ERROR")</f>
        <v>8</v>
      </c>
      <c r="I228" s="6">
        <f>IF(Data!H228 = 'Point Intercept 2'!H228, Data!H228, "ERROR")</f>
        <v>1</v>
      </c>
      <c r="J228" s="6">
        <f>IF(Data!J228 = 'Point Intercept 2'!J228, Data!J228, "ERROR")</f>
        <v>3.5</v>
      </c>
      <c r="K228" s="6" t="str">
        <f>IF(Data!K228 = 'Point Intercept 2'!K228, Data!K228, "ERROR")</f>
        <v>B</v>
      </c>
      <c r="L228" s="6" t="str">
        <f>IF(Data!L228 = 'Point Intercept 2'!L228, Data!L228, "ERROR")</f>
        <v>Bareground</v>
      </c>
      <c r="M228" s="6">
        <f>IF(Data!N228 = 'Point Intercept 2'!M228, Data!N228, "ERROR")</f>
        <v>0</v>
      </c>
      <c r="N228" s="6">
        <f>IF(Data!O228 = 'Point Intercept 2'!N228, Data!O228, "ERROR")</f>
        <v>0</v>
      </c>
      <c r="O228" s="6">
        <f>IF(Data!P228 = 'Point Intercept 2'!O228, Data!P228, "ERROR")</f>
        <v>0</v>
      </c>
    </row>
    <row r="229" spans="1:15" x14ac:dyDescent="0.25">
      <c r="A229" s="6">
        <f>IF(Data!A229 = 'Point Intercept 2'!A229, Data!A229, "ERROR")</f>
        <v>3</v>
      </c>
      <c r="B229" s="6">
        <f>IF(Data!B229 = 'Point Intercept 2'!B229, Data!B229, "ERROR")</f>
        <v>2025</v>
      </c>
      <c r="C229" s="8">
        <f>IF(Data!C229 = 'Point Intercept 2'!C229, Data!C229, "ERROR")</f>
        <v>45755</v>
      </c>
      <c r="D229" s="6" t="str">
        <f>IF(Data!D229 = 'Point Intercept 2'!D229, Data!D229, "ERROR")</f>
        <v>JC, TL</v>
      </c>
      <c r="E229" s="6" t="str">
        <f>IF(Data!E229 = 'Point Intercept 2'!E229, Data!E229, "ERROR")</f>
        <v>VB</v>
      </c>
      <c r="F229" s="6">
        <f>IF(Data!F229 = 'Point Intercept 2'!F229, Data!F229, "ERROR")</f>
        <v>3</v>
      </c>
      <c r="G229" s="6" t="str">
        <f>IF(Data!G229 = 'Point Intercept 2'!G229, Data!G229, "ERROR")</f>
        <v>LU</v>
      </c>
      <c r="H229" s="6">
        <f>IF(Data!I229 = 'Point Intercept 2'!I229, Data!I229, "ERROR")</f>
        <v>8</v>
      </c>
      <c r="I229" s="6">
        <f>IF(Data!H229 = 'Point Intercept 2'!H229, Data!H229, "ERROR")</f>
        <v>1</v>
      </c>
      <c r="J229" s="6">
        <f>IF(Data!J229 = 'Point Intercept 2'!J229, Data!J229, "ERROR")</f>
        <v>3.5</v>
      </c>
      <c r="K229" s="6" t="str">
        <f>IF(Data!K229 = 'Point Intercept 2'!K229, Data!K229, "ERROR")</f>
        <v>DAUPUS</v>
      </c>
      <c r="L229" s="6" t="str">
        <f>IF(Data!L229 = 'Point Intercept 2'!L229, Data!L229, "ERROR")</f>
        <v>Daucus pusillus</v>
      </c>
      <c r="M229" s="6">
        <f>IF(Data!N229 = 'Point Intercept 2'!M229, Data!N229, "ERROR")</f>
        <v>0</v>
      </c>
      <c r="N229" s="6">
        <f>IF(Data!O229 = 'Point Intercept 2'!N229, Data!O229, "ERROR")</f>
        <v>0</v>
      </c>
      <c r="O229" s="6">
        <f>IF(Data!P229 = 'Point Intercept 2'!O229, Data!P229, "ERROR")</f>
        <v>0</v>
      </c>
    </row>
    <row r="230" spans="1:15" x14ac:dyDescent="0.25">
      <c r="A230" s="6">
        <f>IF(Data!A230 = 'Point Intercept 2'!A230, Data!A230, "ERROR")</f>
        <v>3</v>
      </c>
      <c r="B230" s="6">
        <f>IF(Data!B230 = 'Point Intercept 2'!B230, Data!B230, "ERROR")</f>
        <v>2025</v>
      </c>
      <c r="C230" s="8">
        <f>IF(Data!C230 = 'Point Intercept 2'!C230, Data!C230, "ERROR")</f>
        <v>45755</v>
      </c>
      <c r="D230" s="6" t="str">
        <f>IF(Data!D230 = 'Point Intercept 2'!D230, Data!D230, "ERROR")</f>
        <v>JC, TL</v>
      </c>
      <c r="E230" s="6" t="str">
        <f>IF(Data!E230 = 'Point Intercept 2'!E230, Data!E230, "ERROR")</f>
        <v>VB</v>
      </c>
      <c r="F230" s="6">
        <f>IF(Data!F230 = 'Point Intercept 2'!F230, Data!F230, "ERROR")</f>
        <v>3</v>
      </c>
      <c r="G230" s="6" t="str">
        <f>IF(Data!G230 = 'Point Intercept 2'!G230, Data!G230, "ERROR")</f>
        <v>LU</v>
      </c>
      <c r="H230" s="6">
        <f>IF(Data!I230 = 'Point Intercept 2'!I230, Data!I230, "ERROR")</f>
        <v>8</v>
      </c>
      <c r="I230" s="6">
        <f>IF(Data!H230 = 'Point Intercept 2'!H230, Data!H230, "ERROR")</f>
        <v>1</v>
      </c>
      <c r="J230" s="6">
        <f>IF(Data!J230 = 'Point Intercept 2'!J230, Data!J230, "ERROR")</f>
        <v>3.5</v>
      </c>
      <c r="K230" s="6" t="str">
        <f>IF(Data!K230 = 'Point Intercept 2'!K230, Data!K230, "ERROR")</f>
        <v>FESMYU</v>
      </c>
      <c r="L230" s="6" t="str">
        <f>IF(Data!L230 = 'Point Intercept 2'!L230, Data!L230, "ERROR")</f>
        <v>Festuca myuros</v>
      </c>
      <c r="M230" s="6">
        <f>IF(Data!N230 = 'Point Intercept 2'!M230, Data!N230, "ERROR")</f>
        <v>0</v>
      </c>
      <c r="N230" s="6">
        <f>IF(Data!O230 = 'Point Intercept 2'!N230, Data!O230, "ERROR")</f>
        <v>0</v>
      </c>
      <c r="O230" s="6">
        <f>IF(Data!P230 = 'Point Intercept 2'!O230, Data!P230, "ERROR")</f>
        <v>0</v>
      </c>
    </row>
    <row r="231" spans="1:15" x14ac:dyDescent="0.25">
      <c r="A231" s="6">
        <f>IF(Data!A231 = 'Point Intercept 2'!A231, Data!A231, "ERROR")</f>
        <v>3</v>
      </c>
      <c r="B231" s="6">
        <f>IF(Data!B231 = 'Point Intercept 2'!B231, Data!B231, "ERROR")</f>
        <v>2025</v>
      </c>
      <c r="C231" s="8">
        <f>IF(Data!C231 = 'Point Intercept 2'!C231, Data!C231, "ERROR")</f>
        <v>45755</v>
      </c>
      <c r="D231" s="6" t="str">
        <f>IF(Data!D231 = 'Point Intercept 2'!D231, Data!D231, "ERROR")</f>
        <v>JC, TL</v>
      </c>
      <c r="E231" s="6" t="str">
        <f>IF(Data!E231 = 'Point Intercept 2'!E231, Data!E231, "ERROR")</f>
        <v>VB</v>
      </c>
      <c r="F231" s="6">
        <f>IF(Data!F231 = 'Point Intercept 2'!F231, Data!F231, "ERROR")</f>
        <v>3</v>
      </c>
      <c r="G231" s="6" t="str">
        <f>IF(Data!G231 = 'Point Intercept 2'!G231, Data!G231, "ERROR")</f>
        <v>LU</v>
      </c>
      <c r="H231" s="6">
        <f>IF(Data!I231 = 'Point Intercept 2'!I231, Data!I231, "ERROR")</f>
        <v>9</v>
      </c>
      <c r="I231" s="6">
        <f>IF(Data!H231 = 'Point Intercept 2'!H231, Data!H231, "ERROR")</f>
        <v>1</v>
      </c>
      <c r="J231" s="6">
        <f>IF(Data!J231 = 'Point Intercept 2'!J231, Data!J231, "ERROR")</f>
        <v>4</v>
      </c>
      <c r="K231" s="6" t="str">
        <f>IF(Data!K231 = 'Point Intercept 2'!K231, Data!K231, "ERROR")</f>
        <v>B</v>
      </c>
      <c r="L231" s="6" t="str">
        <f>IF(Data!L231 = 'Point Intercept 2'!L231, Data!L231, "ERROR")</f>
        <v>Bareground</v>
      </c>
      <c r="M231" s="6">
        <f>IF(Data!N231 = 'Point Intercept 2'!M231, Data!N231, "ERROR")</f>
        <v>0</v>
      </c>
      <c r="N231" s="6">
        <f>IF(Data!O231 = 'Point Intercept 2'!N231, Data!O231, "ERROR")</f>
        <v>0</v>
      </c>
      <c r="O231" s="6">
        <f>IF(Data!P231 = 'Point Intercept 2'!O231, Data!P231, "ERROR")</f>
        <v>0</v>
      </c>
    </row>
    <row r="232" spans="1:15" x14ac:dyDescent="0.25">
      <c r="A232" s="6">
        <f>IF(Data!A232 = 'Point Intercept 2'!A232, Data!A232, "ERROR")</f>
        <v>3</v>
      </c>
      <c r="B232" s="6">
        <f>IF(Data!B232 = 'Point Intercept 2'!B232, Data!B232, "ERROR")</f>
        <v>2025</v>
      </c>
      <c r="C232" s="8">
        <f>IF(Data!C232 = 'Point Intercept 2'!C232, Data!C232, "ERROR")</f>
        <v>45755</v>
      </c>
      <c r="D232" s="6" t="str">
        <f>IF(Data!D232 = 'Point Intercept 2'!D232, Data!D232, "ERROR")</f>
        <v>JC, TL</v>
      </c>
      <c r="E232" s="6" t="str">
        <f>IF(Data!E232 = 'Point Intercept 2'!E232, Data!E232, "ERROR")</f>
        <v>VB</v>
      </c>
      <c r="F232" s="6">
        <f>IF(Data!F232 = 'Point Intercept 2'!F232, Data!F232, "ERROR")</f>
        <v>3</v>
      </c>
      <c r="G232" s="6" t="str">
        <f>IF(Data!G232 = 'Point Intercept 2'!G232, Data!G232, "ERROR")</f>
        <v>LU</v>
      </c>
      <c r="H232" s="6">
        <f>IF(Data!I232 = 'Point Intercept 2'!I232, Data!I232, "ERROR")</f>
        <v>9</v>
      </c>
      <c r="I232" s="6">
        <f>IF(Data!H232 = 'Point Intercept 2'!H232, Data!H232, "ERROR")</f>
        <v>1</v>
      </c>
      <c r="J232" s="6">
        <f>IF(Data!J232 = 'Point Intercept 2'!J232, Data!J232, "ERROR")</f>
        <v>4</v>
      </c>
      <c r="K232" s="6" t="str">
        <f>IF(Data!K232 = 'Point Intercept 2'!K232, Data!K232, "ERROR")</f>
        <v>MEDPOL</v>
      </c>
      <c r="L232" s="6" t="str">
        <f>IF(Data!L232 = 'Point Intercept 2'!L232, Data!L232, "ERROR")</f>
        <v>Medicago polymorpha</v>
      </c>
      <c r="M232" s="6">
        <f>IF(Data!N232 = 'Point Intercept 2'!M232, Data!N232, "ERROR")</f>
        <v>0</v>
      </c>
      <c r="N232" s="6">
        <f>IF(Data!O232 = 'Point Intercept 2'!N232, Data!O232, "ERROR")</f>
        <v>0</v>
      </c>
      <c r="O232" s="6">
        <f>IF(Data!P232 = 'Point Intercept 2'!O232, Data!P232, "ERROR")</f>
        <v>0</v>
      </c>
    </row>
    <row r="233" spans="1:15" x14ac:dyDescent="0.25">
      <c r="A233" s="6">
        <f>IF(Data!A233 = 'Point Intercept 2'!A233, Data!A233, "ERROR")</f>
        <v>3</v>
      </c>
      <c r="B233" s="6">
        <f>IF(Data!B233 = 'Point Intercept 2'!B233, Data!B233, "ERROR")</f>
        <v>2025</v>
      </c>
      <c r="C233" s="8">
        <f>IF(Data!C233 = 'Point Intercept 2'!C233, Data!C233, "ERROR")</f>
        <v>45755</v>
      </c>
      <c r="D233" s="6" t="str">
        <f>IF(Data!D233 = 'Point Intercept 2'!D233, Data!D233, "ERROR")</f>
        <v>JC, TL</v>
      </c>
      <c r="E233" s="6" t="str">
        <f>IF(Data!E233 = 'Point Intercept 2'!E233, Data!E233, "ERROR")</f>
        <v>VB</v>
      </c>
      <c r="F233" s="6">
        <f>IF(Data!F233 = 'Point Intercept 2'!F233, Data!F233, "ERROR")</f>
        <v>3</v>
      </c>
      <c r="G233" s="6" t="str">
        <f>IF(Data!G233 = 'Point Intercept 2'!G233, Data!G233, "ERROR")</f>
        <v>LU</v>
      </c>
      <c r="H233" s="6">
        <f>IF(Data!I233 = 'Point Intercept 2'!I233, Data!I233, "ERROR")</f>
        <v>9</v>
      </c>
      <c r="I233" s="6">
        <f>IF(Data!H233 = 'Point Intercept 2'!H233, Data!H233, "ERROR")</f>
        <v>1</v>
      </c>
      <c r="J233" s="6">
        <f>IF(Data!J233 = 'Point Intercept 2'!J233, Data!J233, "ERROR")</f>
        <v>4</v>
      </c>
      <c r="K233" s="6" t="str">
        <f>IF(Data!K233 = 'Point Intercept 2'!K233, Data!K233, "ERROR")</f>
        <v>FESMYU</v>
      </c>
      <c r="L233" s="6" t="str">
        <f>IF(Data!L233 = 'Point Intercept 2'!L233, Data!L233, "ERROR")</f>
        <v>Festuca myuros</v>
      </c>
      <c r="M233" s="6">
        <f>IF(Data!N233 = 'Point Intercept 2'!M233, Data!N233, "ERROR")</f>
        <v>0</v>
      </c>
      <c r="N233" s="6">
        <f>IF(Data!O233 = 'Point Intercept 2'!N233, Data!O233, "ERROR")</f>
        <v>0</v>
      </c>
      <c r="O233" s="6">
        <f>IF(Data!P233 = 'Point Intercept 2'!O233, Data!P233, "ERROR")</f>
        <v>0</v>
      </c>
    </row>
    <row r="234" spans="1:15" x14ac:dyDescent="0.25">
      <c r="A234" s="6">
        <f>IF(Data!A234 = 'Point Intercept 2'!A234, Data!A234, "ERROR")</f>
        <v>3</v>
      </c>
      <c r="B234" s="6">
        <f>IF(Data!B234 = 'Point Intercept 2'!B234, Data!B234, "ERROR")</f>
        <v>2025</v>
      </c>
      <c r="C234" s="8">
        <f>IF(Data!C234 = 'Point Intercept 2'!C234, Data!C234, "ERROR")</f>
        <v>45755</v>
      </c>
      <c r="D234" s="6" t="str">
        <f>IF(Data!D234 = 'Point Intercept 2'!D234, Data!D234, "ERROR")</f>
        <v>JC, TL</v>
      </c>
      <c r="E234" s="6" t="str">
        <f>IF(Data!E234 = 'Point Intercept 2'!E234, Data!E234, "ERROR")</f>
        <v>VB</v>
      </c>
      <c r="F234" s="6">
        <f>IF(Data!F234 = 'Point Intercept 2'!F234, Data!F234, "ERROR")</f>
        <v>3</v>
      </c>
      <c r="G234" s="6" t="str">
        <f>IF(Data!G234 = 'Point Intercept 2'!G234, Data!G234, "ERROR")</f>
        <v>LU</v>
      </c>
      <c r="H234" s="6">
        <f>IF(Data!I234 = 'Point Intercept 2'!I234, Data!I234, "ERROR")</f>
        <v>10</v>
      </c>
      <c r="I234" s="6">
        <f>IF(Data!H234 = 'Point Intercept 2'!H234, Data!H234, "ERROR")</f>
        <v>1</v>
      </c>
      <c r="J234" s="6">
        <f>IF(Data!J234 = 'Point Intercept 2'!J234, Data!J234, "ERROR")</f>
        <v>4.5</v>
      </c>
      <c r="K234" s="6" t="str">
        <f>IF(Data!K234 = 'Point Intercept 2'!K234, Data!K234, "ERROR")</f>
        <v>L</v>
      </c>
      <c r="L234" s="6" t="str">
        <f>IF(Data!L234 = 'Point Intercept 2'!L234, Data!L234, "ERROR")</f>
        <v>Litter</v>
      </c>
      <c r="M234" s="6">
        <f>IF(Data!N234 = 'Point Intercept 2'!M234, Data!N234, "ERROR")</f>
        <v>0</v>
      </c>
      <c r="N234" s="6">
        <f>IF(Data!O234 = 'Point Intercept 2'!N234, Data!O234, "ERROR")</f>
        <v>0</v>
      </c>
      <c r="O234" s="6">
        <f>IF(Data!P234 = 'Point Intercept 2'!O234, Data!P234, "ERROR")</f>
        <v>0</v>
      </c>
    </row>
    <row r="235" spans="1:15" x14ac:dyDescent="0.25">
      <c r="A235" s="6">
        <f>IF(Data!A235 = 'Point Intercept 2'!A235, Data!A235, "ERROR")</f>
        <v>3</v>
      </c>
      <c r="B235" s="6">
        <f>IF(Data!B235 = 'Point Intercept 2'!B235, Data!B235, "ERROR")</f>
        <v>2025</v>
      </c>
      <c r="C235" s="8">
        <f>IF(Data!C235 = 'Point Intercept 2'!C235, Data!C235, "ERROR")</f>
        <v>45755</v>
      </c>
      <c r="D235" s="6" t="str">
        <f>IF(Data!D235 = 'Point Intercept 2'!D235, Data!D235, "ERROR")</f>
        <v>JC, TL</v>
      </c>
      <c r="E235" s="6" t="str">
        <f>IF(Data!E235 = 'Point Intercept 2'!E235, Data!E235, "ERROR")</f>
        <v>VB</v>
      </c>
      <c r="F235" s="6">
        <f>IF(Data!F235 = 'Point Intercept 2'!F235, Data!F235, "ERROR")</f>
        <v>3</v>
      </c>
      <c r="G235" s="6" t="str">
        <f>IF(Data!G235 = 'Point Intercept 2'!G235, Data!G235, "ERROR")</f>
        <v>LU</v>
      </c>
      <c r="H235" s="6">
        <f>IF(Data!I235 = 'Point Intercept 2'!I235, Data!I235, "ERROR")</f>
        <v>10</v>
      </c>
      <c r="I235" s="6">
        <f>IF(Data!H235 = 'Point Intercept 2'!H235, Data!H235, "ERROR")</f>
        <v>1</v>
      </c>
      <c r="J235" s="6">
        <f>IF(Data!J235 = 'Point Intercept 2'!J235, Data!J235, "ERROR")</f>
        <v>4.5</v>
      </c>
      <c r="K235" s="6" t="str">
        <f>IF(Data!K235 = 'Point Intercept 2'!K235, Data!K235, "ERROR")</f>
        <v>DAUPUS</v>
      </c>
      <c r="L235" s="6" t="str">
        <f>IF(Data!L235 = 'Point Intercept 2'!L235, Data!L235, "ERROR")</f>
        <v>Daucus pusillus</v>
      </c>
      <c r="M235" s="6">
        <f>IF(Data!N235 = 'Point Intercept 2'!M235, Data!N235, "ERROR")</f>
        <v>0</v>
      </c>
      <c r="N235" s="6">
        <f>IF(Data!O235 = 'Point Intercept 2'!N235, Data!O235, "ERROR")</f>
        <v>0</v>
      </c>
      <c r="O235" s="6">
        <f>IF(Data!P235 = 'Point Intercept 2'!O235, Data!P235, "ERROR")</f>
        <v>0</v>
      </c>
    </row>
    <row r="236" spans="1:15" x14ac:dyDescent="0.25">
      <c r="A236" s="6">
        <f>IF(Data!A236 = 'Point Intercept 2'!A236, Data!A236, "ERROR")</f>
        <v>3</v>
      </c>
      <c r="B236" s="6">
        <f>IF(Data!B236 = 'Point Intercept 2'!B236, Data!B236, "ERROR")</f>
        <v>2025</v>
      </c>
      <c r="C236" s="8">
        <f>IF(Data!C236 = 'Point Intercept 2'!C236, Data!C236, "ERROR")</f>
        <v>45755</v>
      </c>
      <c r="D236" s="6" t="str">
        <f>IF(Data!D236 = 'Point Intercept 2'!D236, Data!D236, "ERROR")</f>
        <v>JC, TL</v>
      </c>
      <c r="E236" s="6" t="str">
        <f>IF(Data!E236 = 'Point Intercept 2'!E236, Data!E236, "ERROR")</f>
        <v>VB</v>
      </c>
      <c r="F236" s="6">
        <f>IF(Data!F236 = 'Point Intercept 2'!F236, Data!F236, "ERROR")</f>
        <v>3</v>
      </c>
      <c r="G236" s="6" t="str">
        <f>IF(Data!G236 = 'Point Intercept 2'!G236, Data!G236, "ERROR")</f>
        <v>LU</v>
      </c>
      <c r="H236" s="6">
        <f>IF(Data!I236 = 'Point Intercept 2'!I236, Data!I236, "ERROR")</f>
        <v>10</v>
      </c>
      <c r="I236" s="6">
        <f>IF(Data!H236 = 'Point Intercept 2'!H236, Data!H236, "ERROR")</f>
        <v>1</v>
      </c>
      <c r="J236" s="6">
        <f>IF(Data!J236 = 'Point Intercept 2'!J236, Data!J236, "ERROR")</f>
        <v>4.5</v>
      </c>
      <c r="K236" s="6" t="str">
        <f>IF(Data!K236 = 'Point Intercept 2'!K236, Data!K236, "ERROR")</f>
        <v>SONASP</v>
      </c>
      <c r="L236" s="6" t="str">
        <f>IF(Data!L236 = 'Point Intercept 2'!L236, Data!L236, "ERROR")</f>
        <v>Sonchus asper</v>
      </c>
      <c r="M236" s="6">
        <f>IF(Data!N236 = 'Point Intercept 2'!M236, Data!N236, "ERROR")</f>
        <v>0</v>
      </c>
      <c r="N236" s="6">
        <f>IF(Data!O236 = 'Point Intercept 2'!N236, Data!O236, "ERROR")</f>
        <v>0</v>
      </c>
      <c r="O236" s="6">
        <f>IF(Data!P236 = 'Point Intercept 2'!O236, Data!P236, "ERROR")</f>
        <v>0</v>
      </c>
    </row>
    <row r="237" spans="1:15" x14ac:dyDescent="0.25">
      <c r="A237" s="6">
        <f>IF(Data!A237 = 'Point Intercept 2'!A237, Data!A237, "ERROR")</f>
        <v>3</v>
      </c>
      <c r="B237" s="6">
        <f>IF(Data!B237 = 'Point Intercept 2'!B237, Data!B237, "ERROR")</f>
        <v>2025</v>
      </c>
      <c r="C237" s="8">
        <f>IF(Data!C237 = 'Point Intercept 2'!C237, Data!C237, "ERROR")</f>
        <v>45755</v>
      </c>
      <c r="D237" s="6" t="str">
        <f>IF(Data!D237 = 'Point Intercept 2'!D237, Data!D237, "ERROR")</f>
        <v>JC, TL</v>
      </c>
      <c r="E237" s="6" t="str">
        <f>IF(Data!E237 = 'Point Intercept 2'!E237, Data!E237, "ERROR")</f>
        <v>VB</v>
      </c>
      <c r="F237" s="6">
        <f>IF(Data!F237 = 'Point Intercept 2'!F237, Data!F237, "ERROR")</f>
        <v>3</v>
      </c>
      <c r="G237" s="6" t="str">
        <f>IF(Data!G237 = 'Point Intercept 2'!G237, Data!G237, "ERROR")</f>
        <v>LU</v>
      </c>
      <c r="H237" s="6">
        <f>IF(Data!I237 = 'Point Intercept 2'!I237, Data!I237, "ERROR")</f>
        <v>11</v>
      </c>
      <c r="I237" s="6">
        <f>IF(Data!H237 = 'Point Intercept 2'!H237, Data!H237, "ERROR")</f>
        <v>1</v>
      </c>
      <c r="J237" s="6">
        <f>IF(Data!J237 = 'Point Intercept 2'!J237, Data!J237, "ERROR")</f>
        <v>5</v>
      </c>
      <c r="K237" s="6" t="str">
        <f>IF(Data!K237 = 'Point Intercept 2'!K237, Data!K237, "ERROR")</f>
        <v>L</v>
      </c>
      <c r="L237" s="6" t="str">
        <f>IF(Data!L237 = 'Point Intercept 2'!L237, Data!L237, "ERROR")</f>
        <v>Litter</v>
      </c>
      <c r="M237" s="6">
        <f>IF(Data!N237 = 'Point Intercept 2'!M237, Data!N237, "ERROR")</f>
        <v>0</v>
      </c>
      <c r="N237" s="6">
        <f>IF(Data!O237 = 'Point Intercept 2'!N237, Data!O237, "ERROR")</f>
        <v>0</v>
      </c>
      <c r="O237" s="6">
        <f>IF(Data!P237 = 'Point Intercept 2'!O237, Data!P237, "ERROR")</f>
        <v>0</v>
      </c>
    </row>
    <row r="238" spans="1:15" x14ac:dyDescent="0.25">
      <c r="A238" s="6">
        <f>IF(Data!A238 = 'Point Intercept 2'!A238, Data!A238, "ERROR")</f>
        <v>3</v>
      </c>
      <c r="B238" s="6">
        <f>IF(Data!B238 = 'Point Intercept 2'!B238, Data!B238, "ERROR")</f>
        <v>2025</v>
      </c>
      <c r="C238" s="8">
        <f>IF(Data!C238 = 'Point Intercept 2'!C238, Data!C238, "ERROR")</f>
        <v>45755</v>
      </c>
      <c r="D238" s="6" t="str">
        <f>IF(Data!D238 = 'Point Intercept 2'!D238, Data!D238, "ERROR")</f>
        <v>JC, TL</v>
      </c>
      <c r="E238" s="6" t="str">
        <f>IF(Data!E238 = 'Point Intercept 2'!E238, Data!E238, "ERROR")</f>
        <v>VB</v>
      </c>
      <c r="F238" s="6">
        <f>IF(Data!F238 = 'Point Intercept 2'!F238, Data!F238, "ERROR")</f>
        <v>3</v>
      </c>
      <c r="G238" s="6" t="str">
        <f>IF(Data!G238 = 'Point Intercept 2'!G238, Data!G238, "ERROR")</f>
        <v>LU</v>
      </c>
      <c r="H238" s="6">
        <f>IF(Data!I238 = 'Point Intercept 2'!I238, Data!I238, "ERROR")</f>
        <v>11</v>
      </c>
      <c r="I238" s="6">
        <f>IF(Data!H238 = 'Point Intercept 2'!H238, Data!H238, "ERROR")</f>
        <v>1</v>
      </c>
      <c r="J238" s="6">
        <f>IF(Data!J238 = 'Point Intercept 2'!J238, Data!J238, "ERROR")</f>
        <v>5</v>
      </c>
      <c r="K238" s="6" t="str">
        <f>IF(Data!K238 = 'Point Intercept 2'!K238, Data!K238, "ERROR")</f>
        <v>DEIFAS</v>
      </c>
      <c r="L238" s="6" t="str">
        <f>IF(Data!L238 = 'Point Intercept 2'!L238, Data!L238, "ERROR")</f>
        <v>Deinandra fasciculata</v>
      </c>
      <c r="M238" s="6">
        <f>IF(Data!N238 = 'Point Intercept 2'!M238, Data!N238, "ERROR")</f>
        <v>0</v>
      </c>
      <c r="N238" s="6">
        <f>IF(Data!O238 = 'Point Intercept 2'!N238, Data!O238, "ERROR")</f>
        <v>0</v>
      </c>
      <c r="O238" s="6">
        <f>IF(Data!P238 = 'Point Intercept 2'!O238, Data!P238, "ERROR")</f>
        <v>0</v>
      </c>
    </row>
    <row r="239" spans="1:15" x14ac:dyDescent="0.25">
      <c r="A239" s="6">
        <f>IF(Data!A239 = 'Point Intercept 2'!A239, Data!A239, "ERROR")</f>
        <v>3</v>
      </c>
      <c r="B239" s="6">
        <f>IF(Data!B239 = 'Point Intercept 2'!B239, Data!B239, "ERROR")</f>
        <v>2025</v>
      </c>
      <c r="C239" s="8">
        <f>IF(Data!C239 = 'Point Intercept 2'!C239, Data!C239, "ERROR")</f>
        <v>45755</v>
      </c>
      <c r="D239" s="6" t="str">
        <f>IF(Data!D239 = 'Point Intercept 2'!D239, Data!D239, "ERROR")</f>
        <v>JC, TL</v>
      </c>
      <c r="E239" s="6" t="str">
        <f>IF(Data!E239 = 'Point Intercept 2'!E239, Data!E239, "ERROR")</f>
        <v>VB</v>
      </c>
      <c r="F239" s="6">
        <f>IF(Data!F239 = 'Point Intercept 2'!F239, Data!F239, "ERROR")</f>
        <v>3</v>
      </c>
      <c r="G239" s="6" t="str">
        <f>IF(Data!G239 = 'Point Intercept 2'!G239, Data!G239, "ERROR")</f>
        <v>LU</v>
      </c>
      <c r="H239" s="6">
        <f>IF(Data!I239 = 'Point Intercept 2'!I239, Data!I239, "ERROR")</f>
        <v>11</v>
      </c>
      <c r="I239" s="6">
        <f>IF(Data!H239 = 'Point Intercept 2'!H239, Data!H239, "ERROR")</f>
        <v>1</v>
      </c>
      <c r="J239" s="6">
        <f>IF(Data!J239 = 'Point Intercept 2'!J239, Data!J239, "ERROR")</f>
        <v>5</v>
      </c>
      <c r="K239" s="6" t="str">
        <f>IF(Data!K239 = 'Point Intercept 2'!K239, Data!K239, "ERROR")</f>
        <v>FESMYU</v>
      </c>
      <c r="L239" s="6" t="str">
        <f>IF(Data!L239 = 'Point Intercept 2'!L239, Data!L239, "ERROR")</f>
        <v>Festuca myuros</v>
      </c>
      <c r="M239" s="6">
        <f>IF(Data!N239 = 'Point Intercept 2'!M239, Data!N239, "ERROR")</f>
        <v>0</v>
      </c>
      <c r="N239" s="6">
        <f>IF(Data!O239 = 'Point Intercept 2'!N239, Data!O239, "ERROR")</f>
        <v>0</v>
      </c>
      <c r="O239" s="6">
        <f>IF(Data!P239 = 'Point Intercept 2'!O239, Data!P239, "ERROR")</f>
        <v>0</v>
      </c>
    </row>
    <row r="240" spans="1:15" x14ac:dyDescent="0.25">
      <c r="A240" s="6">
        <f>IF(Data!A240 = 'Point Intercept 2'!A240, Data!A240, "ERROR")</f>
        <v>3</v>
      </c>
      <c r="B240" s="6">
        <f>IF(Data!B240 = 'Point Intercept 2'!B240, Data!B240, "ERROR")</f>
        <v>2025</v>
      </c>
      <c r="C240" s="8">
        <f>IF(Data!C240 = 'Point Intercept 2'!C240, Data!C240, "ERROR")</f>
        <v>45755</v>
      </c>
      <c r="D240" s="6" t="str">
        <f>IF(Data!D240 = 'Point Intercept 2'!D240, Data!D240, "ERROR")</f>
        <v>JC, TL</v>
      </c>
      <c r="E240" s="6" t="str">
        <f>IF(Data!E240 = 'Point Intercept 2'!E240, Data!E240, "ERROR")</f>
        <v>VB</v>
      </c>
      <c r="F240" s="6">
        <f>IF(Data!F240 = 'Point Intercept 2'!F240, Data!F240, "ERROR")</f>
        <v>3</v>
      </c>
      <c r="G240" s="6" t="str">
        <f>IF(Data!G240 = 'Point Intercept 2'!G240, Data!G240, "ERROR")</f>
        <v>LU</v>
      </c>
      <c r="H240" s="6">
        <f>IF(Data!I240 = 'Point Intercept 2'!I240, Data!I240, "ERROR")</f>
        <v>12</v>
      </c>
      <c r="I240" s="6">
        <f>IF(Data!H240 = 'Point Intercept 2'!H240, Data!H240, "ERROR")</f>
        <v>1</v>
      </c>
      <c r="J240" s="6">
        <f>IF(Data!J240 = 'Point Intercept 2'!J240, Data!J240, "ERROR")</f>
        <v>5.5</v>
      </c>
      <c r="K240" s="6" t="str">
        <f>IF(Data!K240 = 'Point Intercept 2'!K240, Data!K240, "ERROR")</f>
        <v>L</v>
      </c>
      <c r="L240" s="6" t="str">
        <f>IF(Data!L240 = 'Point Intercept 2'!L240, Data!L240, "ERROR")</f>
        <v>Litter</v>
      </c>
      <c r="M240" s="6">
        <f>IF(Data!N240 = 'Point Intercept 2'!M240, Data!N240, "ERROR")</f>
        <v>0</v>
      </c>
      <c r="N240" s="6">
        <f>IF(Data!O240 = 'Point Intercept 2'!N240, Data!O240, "ERROR")</f>
        <v>0</v>
      </c>
      <c r="O240" s="6">
        <f>IF(Data!P240 = 'Point Intercept 2'!O240, Data!P240, "ERROR")</f>
        <v>0</v>
      </c>
    </row>
    <row r="241" spans="1:15" x14ac:dyDescent="0.25">
      <c r="A241" s="6">
        <f>IF(Data!A241 = 'Point Intercept 2'!A241, Data!A241, "ERROR")</f>
        <v>3</v>
      </c>
      <c r="B241" s="6">
        <f>IF(Data!B241 = 'Point Intercept 2'!B241, Data!B241, "ERROR")</f>
        <v>2025</v>
      </c>
      <c r="C241" s="8">
        <f>IF(Data!C241 = 'Point Intercept 2'!C241, Data!C241, "ERROR")</f>
        <v>45755</v>
      </c>
      <c r="D241" s="6" t="str">
        <f>IF(Data!D241 = 'Point Intercept 2'!D241, Data!D241, "ERROR")</f>
        <v>JC, TL</v>
      </c>
      <c r="E241" s="6" t="str">
        <f>IF(Data!E241 = 'Point Intercept 2'!E241, Data!E241, "ERROR")</f>
        <v>VB</v>
      </c>
      <c r="F241" s="6">
        <f>IF(Data!F241 = 'Point Intercept 2'!F241, Data!F241, "ERROR")</f>
        <v>3</v>
      </c>
      <c r="G241" s="6" t="str">
        <f>IF(Data!G241 = 'Point Intercept 2'!G241, Data!G241, "ERROR")</f>
        <v>LU</v>
      </c>
      <c r="H241" s="6">
        <f>IF(Data!I241 = 'Point Intercept 2'!I241, Data!I241, "ERROR")</f>
        <v>12</v>
      </c>
      <c r="I241" s="6">
        <f>IF(Data!H241 = 'Point Intercept 2'!H241, Data!H241, "ERROR")</f>
        <v>1</v>
      </c>
      <c r="J241" s="6">
        <f>IF(Data!J241 = 'Point Intercept 2'!J241, Data!J241, "ERROR")</f>
        <v>5.5</v>
      </c>
      <c r="K241" s="6" t="str">
        <f>IF(Data!K241 = 'Point Intercept 2'!K241, Data!K241, "ERROR")</f>
        <v>FESMYU</v>
      </c>
      <c r="L241" s="6" t="str">
        <f>IF(Data!L241 = 'Point Intercept 2'!L241, Data!L241, "ERROR")</f>
        <v>Festuca myuros</v>
      </c>
      <c r="M241" s="6">
        <f>IF(Data!N241 = 'Point Intercept 2'!M241, Data!N241, "ERROR")</f>
        <v>0</v>
      </c>
      <c r="N241" s="6">
        <f>IF(Data!O241 = 'Point Intercept 2'!N241, Data!O241, "ERROR")</f>
        <v>0</v>
      </c>
      <c r="O241" s="6">
        <f>IF(Data!P241 = 'Point Intercept 2'!O241, Data!P241, "ERROR")</f>
        <v>0</v>
      </c>
    </row>
    <row r="242" spans="1:15" x14ac:dyDescent="0.25">
      <c r="A242" s="6">
        <f>IF(Data!A242 = 'Point Intercept 2'!A242, Data!A242, "ERROR")</f>
        <v>3</v>
      </c>
      <c r="B242" s="6">
        <f>IF(Data!B242 = 'Point Intercept 2'!B242, Data!B242, "ERROR")</f>
        <v>2025</v>
      </c>
      <c r="C242" s="8">
        <f>IF(Data!C242 = 'Point Intercept 2'!C242, Data!C242, "ERROR")</f>
        <v>45755</v>
      </c>
      <c r="D242" s="6" t="str">
        <f>IF(Data!D242 = 'Point Intercept 2'!D242, Data!D242, "ERROR")</f>
        <v>JC, TL</v>
      </c>
      <c r="E242" s="6" t="str">
        <f>IF(Data!E242 = 'Point Intercept 2'!E242, Data!E242, "ERROR")</f>
        <v>VB</v>
      </c>
      <c r="F242" s="6">
        <f>IF(Data!F242 = 'Point Intercept 2'!F242, Data!F242, "ERROR")</f>
        <v>3</v>
      </c>
      <c r="G242" s="6" t="str">
        <f>IF(Data!G242 = 'Point Intercept 2'!G242, Data!G242, "ERROR")</f>
        <v>LU</v>
      </c>
      <c r="H242" s="6">
        <f>IF(Data!I242 = 'Point Intercept 2'!I242, Data!I242, "ERROR")</f>
        <v>13</v>
      </c>
      <c r="I242" s="6">
        <f>IF(Data!H242 = 'Point Intercept 2'!H242, Data!H242, "ERROR")</f>
        <v>1</v>
      </c>
      <c r="J242" s="6">
        <f>IF(Data!J242 = 'Point Intercept 2'!J242, Data!J242, "ERROR")</f>
        <v>6.5</v>
      </c>
      <c r="K242" s="6" t="str">
        <f>IF(Data!K242 = 'Point Intercept 2'!K242, Data!K242, "ERROR")</f>
        <v>L</v>
      </c>
      <c r="L242" s="6" t="str">
        <f>IF(Data!L242 = 'Point Intercept 2'!L242, Data!L242, "ERROR")</f>
        <v>Litter</v>
      </c>
      <c r="M242" s="6">
        <f>IF(Data!N242 = 'Point Intercept 2'!M242, Data!N242, "ERROR")</f>
        <v>0</v>
      </c>
      <c r="N242" s="6">
        <f>IF(Data!O242 = 'Point Intercept 2'!N242, Data!O242, "ERROR")</f>
        <v>0</v>
      </c>
      <c r="O242" s="6">
        <f>IF(Data!P242 = 'Point Intercept 2'!O242, Data!P242, "ERROR")</f>
        <v>0</v>
      </c>
    </row>
    <row r="243" spans="1:15" x14ac:dyDescent="0.25">
      <c r="A243" s="6">
        <f>IF(Data!A243 = 'Point Intercept 2'!A243, Data!A243, "ERROR")</f>
        <v>3</v>
      </c>
      <c r="B243" s="6">
        <f>IF(Data!B243 = 'Point Intercept 2'!B243, Data!B243, "ERROR")</f>
        <v>2025</v>
      </c>
      <c r="C243" s="8">
        <f>IF(Data!C243 = 'Point Intercept 2'!C243, Data!C243, "ERROR")</f>
        <v>45755</v>
      </c>
      <c r="D243" s="6" t="str">
        <f>IF(Data!D243 = 'Point Intercept 2'!D243, Data!D243, "ERROR")</f>
        <v>JC, TL</v>
      </c>
      <c r="E243" s="6" t="str">
        <f>IF(Data!E243 = 'Point Intercept 2'!E243, Data!E243, "ERROR")</f>
        <v>VB</v>
      </c>
      <c r="F243" s="6">
        <f>IF(Data!F243 = 'Point Intercept 2'!F243, Data!F243, "ERROR")</f>
        <v>3</v>
      </c>
      <c r="G243" s="6" t="str">
        <f>IF(Data!G243 = 'Point Intercept 2'!G243, Data!G243, "ERROR")</f>
        <v>LU</v>
      </c>
      <c r="H243" s="6">
        <f>IF(Data!I243 = 'Point Intercept 2'!I243, Data!I243, "ERROR")</f>
        <v>13</v>
      </c>
      <c r="I243" s="6">
        <f>IF(Data!H243 = 'Point Intercept 2'!H243, Data!H243, "ERROR")</f>
        <v>1</v>
      </c>
      <c r="J243" s="6">
        <f>IF(Data!J243 = 'Point Intercept 2'!J243, Data!J243, "ERROR")</f>
        <v>6.5</v>
      </c>
      <c r="K243" s="6" t="str">
        <f>IF(Data!K243 = 'Point Intercept 2'!K243, Data!K243, "ERROR")</f>
        <v>DAUPUS</v>
      </c>
      <c r="L243" s="6" t="str">
        <f>IF(Data!L243 = 'Point Intercept 2'!L243, Data!L243, "ERROR")</f>
        <v>Daucus pusillus</v>
      </c>
      <c r="M243" s="6">
        <f>IF(Data!N243 = 'Point Intercept 2'!M243, Data!N243, "ERROR")</f>
        <v>0</v>
      </c>
      <c r="N243" s="6">
        <f>IF(Data!O243 = 'Point Intercept 2'!N243, Data!O243, "ERROR")</f>
        <v>0</v>
      </c>
      <c r="O243" s="6">
        <f>IF(Data!P243 = 'Point Intercept 2'!O243, Data!P243, "ERROR")</f>
        <v>0</v>
      </c>
    </row>
    <row r="244" spans="1:15" x14ac:dyDescent="0.25">
      <c r="A244" s="6">
        <f>IF(Data!A244 = 'Point Intercept 2'!A244, Data!A244, "ERROR")</f>
        <v>3</v>
      </c>
      <c r="B244" s="6">
        <f>IF(Data!B244 = 'Point Intercept 2'!B244, Data!B244, "ERROR")</f>
        <v>2025</v>
      </c>
      <c r="C244" s="8">
        <f>IF(Data!C244 = 'Point Intercept 2'!C244, Data!C244, "ERROR")</f>
        <v>45755</v>
      </c>
      <c r="D244" s="6" t="str">
        <f>IF(Data!D244 = 'Point Intercept 2'!D244, Data!D244, "ERROR")</f>
        <v>JC, TL</v>
      </c>
      <c r="E244" s="6" t="str">
        <f>IF(Data!E244 = 'Point Intercept 2'!E244, Data!E244, "ERROR")</f>
        <v>VB</v>
      </c>
      <c r="F244" s="6">
        <f>IF(Data!F244 = 'Point Intercept 2'!F244, Data!F244, "ERROR")</f>
        <v>3</v>
      </c>
      <c r="G244" s="6" t="str">
        <f>IF(Data!G244 = 'Point Intercept 2'!G244, Data!G244, "ERROR")</f>
        <v>LU</v>
      </c>
      <c r="H244" s="6">
        <f>IF(Data!I244 = 'Point Intercept 2'!I244, Data!I244, "ERROR")</f>
        <v>13</v>
      </c>
      <c r="I244" s="6">
        <f>IF(Data!H244 = 'Point Intercept 2'!H244, Data!H244, "ERROR")</f>
        <v>1</v>
      </c>
      <c r="J244" s="6">
        <f>IF(Data!J244 = 'Point Intercept 2'!J244, Data!J244, "ERROR")</f>
        <v>6.5</v>
      </c>
      <c r="K244" s="6" t="str">
        <f>IF(Data!K244 = 'Point Intercept 2'!K244, Data!K244, "ERROR")</f>
        <v>DEIFAS</v>
      </c>
      <c r="L244" s="6" t="str">
        <f>IF(Data!L244 = 'Point Intercept 2'!L244, Data!L244, "ERROR")</f>
        <v>Deinandra fasciculata</v>
      </c>
      <c r="M244" s="6">
        <f>IF(Data!N244 = 'Point Intercept 2'!M244, Data!N244, "ERROR")</f>
        <v>0</v>
      </c>
      <c r="N244" s="6">
        <f>IF(Data!O244 = 'Point Intercept 2'!N244, Data!O244, "ERROR")</f>
        <v>0</v>
      </c>
      <c r="O244" s="6">
        <f>IF(Data!P244 = 'Point Intercept 2'!O244, Data!P244, "ERROR")</f>
        <v>0</v>
      </c>
    </row>
    <row r="245" spans="1:15" x14ac:dyDescent="0.25">
      <c r="A245" s="6">
        <f>IF(Data!A245 = 'Point Intercept 2'!A245, Data!A245, "ERROR")</f>
        <v>3</v>
      </c>
      <c r="B245" s="6">
        <f>IF(Data!B245 = 'Point Intercept 2'!B245, Data!B245, "ERROR")</f>
        <v>2025</v>
      </c>
      <c r="C245" s="8">
        <f>IF(Data!C245 = 'Point Intercept 2'!C245, Data!C245, "ERROR")</f>
        <v>45755</v>
      </c>
      <c r="D245" s="6" t="str">
        <f>IF(Data!D245 = 'Point Intercept 2'!D245, Data!D245, "ERROR")</f>
        <v>JC, TL</v>
      </c>
      <c r="E245" s="6" t="str">
        <f>IF(Data!E245 = 'Point Intercept 2'!E245, Data!E245, "ERROR")</f>
        <v>VB</v>
      </c>
      <c r="F245" s="6">
        <f>IF(Data!F245 = 'Point Intercept 2'!F245, Data!F245, "ERROR")</f>
        <v>3</v>
      </c>
      <c r="G245" s="6" t="str">
        <f>IF(Data!G245 = 'Point Intercept 2'!G245, Data!G245, "ERROR")</f>
        <v>LU</v>
      </c>
      <c r="H245" s="6">
        <f>IF(Data!I245 = 'Point Intercept 2'!I245, Data!I245, "ERROR")</f>
        <v>13</v>
      </c>
      <c r="I245" s="6">
        <f>IF(Data!H245 = 'Point Intercept 2'!H245, Data!H245, "ERROR")</f>
        <v>1</v>
      </c>
      <c r="J245" s="6">
        <f>IF(Data!J245 = 'Point Intercept 2'!J245, Data!J245, "ERROR")</f>
        <v>6.5</v>
      </c>
      <c r="K245" s="6" t="str">
        <f>IF(Data!K245 = 'Point Intercept 2'!K245, Data!K245, "ERROR")</f>
        <v>MEDPOL</v>
      </c>
      <c r="L245" s="6" t="str">
        <f>IF(Data!L245 = 'Point Intercept 2'!L245, Data!L245, "ERROR")</f>
        <v>Medicago polymorpha</v>
      </c>
      <c r="M245" s="6">
        <f>IF(Data!N245 = 'Point Intercept 2'!M245, Data!N245, "ERROR")</f>
        <v>0</v>
      </c>
      <c r="N245" s="6">
        <f>IF(Data!O245 = 'Point Intercept 2'!N245, Data!O245, "ERROR")</f>
        <v>0</v>
      </c>
      <c r="O245" s="6">
        <f>IF(Data!P245 = 'Point Intercept 2'!O245, Data!P245, "ERROR")</f>
        <v>0</v>
      </c>
    </row>
    <row r="246" spans="1:15" x14ac:dyDescent="0.25">
      <c r="A246" s="6">
        <f>IF(Data!A246 = 'Point Intercept 2'!A246, Data!A246, "ERROR")</f>
        <v>3</v>
      </c>
      <c r="B246" s="6">
        <f>IF(Data!B246 = 'Point Intercept 2'!B246, Data!B246, "ERROR")</f>
        <v>2025</v>
      </c>
      <c r="C246" s="8">
        <f>IF(Data!C246 = 'Point Intercept 2'!C246, Data!C246, "ERROR")</f>
        <v>45755</v>
      </c>
      <c r="D246" s="6" t="str">
        <f>IF(Data!D246 = 'Point Intercept 2'!D246, Data!D246, "ERROR")</f>
        <v>JC, TL</v>
      </c>
      <c r="E246" s="6" t="str">
        <f>IF(Data!E246 = 'Point Intercept 2'!E246, Data!E246, "ERROR")</f>
        <v>VB</v>
      </c>
      <c r="F246" s="6">
        <f>IF(Data!F246 = 'Point Intercept 2'!F246, Data!F246, "ERROR")</f>
        <v>3</v>
      </c>
      <c r="G246" s="6" t="str">
        <f>IF(Data!G246 = 'Point Intercept 2'!G246, Data!G246, "ERROR")</f>
        <v>LU</v>
      </c>
      <c r="H246" s="6">
        <f>IF(Data!I246 = 'Point Intercept 2'!I246, Data!I246, "ERROR")</f>
        <v>13</v>
      </c>
      <c r="I246" s="6">
        <f>IF(Data!H246 = 'Point Intercept 2'!H246, Data!H246, "ERROR")</f>
        <v>1</v>
      </c>
      <c r="J246" s="6">
        <f>IF(Data!J246 = 'Point Intercept 2'!J246, Data!J246, "ERROR")</f>
        <v>6.5</v>
      </c>
      <c r="K246" s="6" t="str">
        <f>IF(Data!K246 = 'Point Intercept 2'!K246, Data!K246, "ERROR")</f>
        <v>FESMYU</v>
      </c>
      <c r="L246" s="6" t="str">
        <f>IF(Data!L246 = 'Point Intercept 2'!L246, Data!L246, "ERROR")</f>
        <v>Festuca myuros</v>
      </c>
      <c r="M246" s="6">
        <f>IF(Data!N246 = 'Point Intercept 2'!M246, Data!N246, "ERROR")</f>
        <v>0</v>
      </c>
      <c r="N246" s="6">
        <f>IF(Data!O246 = 'Point Intercept 2'!N246, Data!O246, "ERROR")</f>
        <v>0</v>
      </c>
      <c r="O246" s="6">
        <f>IF(Data!P246 = 'Point Intercept 2'!O246, Data!P246, "ERROR")</f>
        <v>0</v>
      </c>
    </row>
    <row r="247" spans="1:15" x14ac:dyDescent="0.25">
      <c r="A247" s="6">
        <f>IF(Data!A247 = 'Point Intercept 2'!A247, Data!A247, "ERROR")</f>
        <v>3</v>
      </c>
      <c r="B247" s="6">
        <f>IF(Data!B247 = 'Point Intercept 2'!B247, Data!B247, "ERROR")</f>
        <v>2025</v>
      </c>
      <c r="C247" s="8">
        <f>IF(Data!C247 = 'Point Intercept 2'!C247, Data!C247, "ERROR")</f>
        <v>45755</v>
      </c>
      <c r="D247" s="6" t="str">
        <f>IF(Data!D247 = 'Point Intercept 2'!D247, Data!D247, "ERROR")</f>
        <v>JC, TL</v>
      </c>
      <c r="E247" s="6" t="str">
        <f>IF(Data!E247 = 'Point Intercept 2'!E247, Data!E247, "ERROR")</f>
        <v>VB</v>
      </c>
      <c r="F247" s="6">
        <f>IF(Data!F247 = 'Point Intercept 2'!F247, Data!F247, "ERROR")</f>
        <v>3</v>
      </c>
      <c r="G247" s="6" t="str">
        <f>IF(Data!G247 = 'Point Intercept 2'!G247, Data!G247, "ERROR")</f>
        <v>LU</v>
      </c>
      <c r="H247" s="6">
        <f>IF(Data!I247 = 'Point Intercept 2'!I247, Data!I247, "ERROR")</f>
        <v>14</v>
      </c>
      <c r="I247" s="6">
        <f>IF(Data!H247 = 'Point Intercept 2'!H247, Data!H247, "ERROR")</f>
        <v>1</v>
      </c>
      <c r="J247" s="6">
        <f>IF(Data!J247 = 'Point Intercept 2'!J247, Data!J247, "ERROR")</f>
        <v>7</v>
      </c>
      <c r="K247" s="6" t="str">
        <f>IF(Data!K247 = 'Point Intercept 2'!K247, Data!K247, "ERROR")</f>
        <v>S</v>
      </c>
      <c r="L247" s="6" t="str">
        <f>IF(Data!L247 = 'Point Intercept 2'!L247, Data!L247, "ERROR")</f>
        <v>Stem</v>
      </c>
      <c r="M247" s="6">
        <f>IF(Data!N247 = 'Point Intercept 2'!M247, Data!N247, "ERROR")</f>
        <v>0</v>
      </c>
      <c r="N247" s="6">
        <f>IF(Data!O247 = 'Point Intercept 2'!N247, Data!O247, "ERROR")</f>
        <v>0</v>
      </c>
      <c r="O247" s="6">
        <f>IF(Data!P247 = 'Point Intercept 2'!O247, Data!P247, "ERROR")</f>
        <v>0</v>
      </c>
    </row>
    <row r="248" spans="1:15" x14ac:dyDescent="0.25">
      <c r="A248" s="6">
        <f>IF(Data!A248 = 'Point Intercept 2'!A248, Data!A248, "ERROR")</f>
        <v>3</v>
      </c>
      <c r="B248" s="6">
        <f>IF(Data!B248 = 'Point Intercept 2'!B248, Data!B248, "ERROR")</f>
        <v>2025</v>
      </c>
      <c r="C248" s="8">
        <f>IF(Data!C248 = 'Point Intercept 2'!C248, Data!C248, "ERROR")</f>
        <v>45755</v>
      </c>
      <c r="D248" s="6" t="str">
        <f>IF(Data!D248 = 'Point Intercept 2'!D248, Data!D248, "ERROR")</f>
        <v>JC, TL</v>
      </c>
      <c r="E248" s="6" t="str">
        <f>IF(Data!E248 = 'Point Intercept 2'!E248, Data!E248, "ERROR")</f>
        <v>VB</v>
      </c>
      <c r="F248" s="6">
        <f>IF(Data!F248 = 'Point Intercept 2'!F248, Data!F248, "ERROR")</f>
        <v>3</v>
      </c>
      <c r="G248" s="6" t="str">
        <f>IF(Data!G248 = 'Point Intercept 2'!G248, Data!G248, "ERROR")</f>
        <v>LU</v>
      </c>
      <c r="H248" s="6">
        <f>IF(Data!I248 = 'Point Intercept 2'!I248, Data!I248, "ERROR")</f>
        <v>14</v>
      </c>
      <c r="I248" s="6">
        <f>IF(Data!H248 = 'Point Intercept 2'!H248, Data!H248, "ERROR")</f>
        <v>1</v>
      </c>
      <c r="J248" s="6">
        <f>IF(Data!J248 = 'Point Intercept 2'!J248, Data!J248, "ERROR")</f>
        <v>7</v>
      </c>
      <c r="K248" s="6" t="str">
        <f>IF(Data!K248 = 'Point Intercept 2'!K248, Data!K248, "ERROR")</f>
        <v>MEDPOL</v>
      </c>
      <c r="L248" s="6" t="str">
        <f>IF(Data!L248 = 'Point Intercept 2'!L248, Data!L248, "ERROR")</f>
        <v>Medicago polymorpha</v>
      </c>
      <c r="M248" s="6">
        <f>IF(Data!N248 = 'Point Intercept 2'!M248, Data!N248, "ERROR")</f>
        <v>0</v>
      </c>
      <c r="N248" s="6">
        <f>IF(Data!O248 = 'Point Intercept 2'!N248, Data!O248, "ERROR")</f>
        <v>0</v>
      </c>
      <c r="O248" s="6">
        <f>IF(Data!P248 = 'Point Intercept 2'!O248, Data!P248, "ERROR")</f>
        <v>0</v>
      </c>
    </row>
    <row r="249" spans="1:15" x14ac:dyDescent="0.25">
      <c r="A249" s="6">
        <f>IF(Data!A249 = 'Point Intercept 2'!A249, Data!A249, "ERROR")</f>
        <v>3</v>
      </c>
      <c r="B249" s="6">
        <f>IF(Data!B249 = 'Point Intercept 2'!B249, Data!B249, "ERROR")</f>
        <v>2025</v>
      </c>
      <c r="C249" s="8">
        <f>IF(Data!C249 = 'Point Intercept 2'!C249, Data!C249, "ERROR")</f>
        <v>45755</v>
      </c>
      <c r="D249" s="6" t="str">
        <f>IF(Data!D249 = 'Point Intercept 2'!D249, Data!D249, "ERROR")</f>
        <v>JC, TL</v>
      </c>
      <c r="E249" s="6" t="str">
        <f>IF(Data!E249 = 'Point Intercept 2'!E249, Data!E249, "ERROR")</f>
        <v>VB</v>
      </c>
      <c r="F249" s="6">
        <f>IF(Data!F249 = 'Point Intercept 2'!F249, Data!F249, "ERROR")</f>
        <v>3</v>
      </c>
      <c r="G249" s="6" t="str">
        <f>IF(Data!G249 = 'Point Intercept 2'!G249, Data!G249, "ERROR")</f>
        <v>LU</v>
      </c>
      <c r="H249" s="6">
        <f>IF(Data!I249 = 'Point Intercept 2'!I249, Data!I249, "ERROR")</f>
        <v>14</v>
      </c>
      <c r="I249" s="6">
        <f>IF(Data!H249 = 'Point Intercept 2'!H249, Data!H249, "ERROR")</f>
        <v>1</v>
      </c>
      <c r="J249" s="6">
        <f>IF(Data!J249 = 'Point Intercept 2'!J249, Data!J249, "ERROR")</f>
        <v>7</v>
      </c>
      <c r="K249" s="6" t="str">
        <f>IF(Data!K249 = 'Point Intercept 2'!K249, Data!K249, "ERROR")</f>
        <v>OPULIT</v>
      </c>
      <c r="L249" s="6" t="str">
        <f>IF(Data!L249 = 'Point Intercept 2'!L249, Data!L249, "ERROR")</f>
        <v>Opuntia littoralis</v>
      </c>
      <c r="M249" s="6">
        <f>IF(Data!N249 = 'Point Intercept 2'!M249, Data!N249, "ERROR")</f>
        <v>0</v>
      </c>
      <c r="N249" s="6">
        <f>IF(Data!O249 = 'Point Intercept 2'!N249, Data!O249, "ERROR")</f>
        <v>0</v>
      </c>
      <c r="O249" s="6">
        <f>IF(Data!P249 = 'Point Intercept 2'!O249, Data!P249, "ERROR")</f>
        <v>0</v>
      </c>
    </row>
    <row r="250" spans="1:15" x14ac:dyDescent="0.25">
      <c r="A250" s="6">
        <f>IF(Data!A250 = 'Point Intercept 2'!A250, Data!A250, "ERROR")</f>
        <v>3</v>
      </c>
      <c r="B250" s="6">
        <f>IF(Data!B250 = 'Point Intercept 2'!B250, Data!B250, "ERROR")</f>
        <v>2025</v>
      </c>
      <c r="C250" s="8">
        <f>IF(Data!C250 = 'Point Intercept 2'!C250, Data!C250, "ERROR")</f>
        <v>45755</v>
      </c>
      <c r="D250" s="6" t="str">
        <f>IF(Data!D250 = 'Point Intercept 2'!D250, Data!D250, "ERROR")</f>
        <v>JC, TL</v>
      </c>
      <c r="E250" s="6" t="str">
        <f>IF(Data!E250 = 'Point Intercept 2'!E250, Data!E250, "ERROR")</f>
        <v>VB</v>
      </c>
      <c r="F250" s="6">
        <f>IF(Data!F250 = 'Point Intercept 2'!F250, Data!F250, "ERROR")</f>
        <v>3</v>
      </c>
      <c r="G250" s="6" t="str">
        <f>IF(Data!G250 = 'Point Intercept 2'!G250, Data!G250, "ERROR")</f>
        <v>LU</v>
      </c>
      <c r="H250" s="6">
        <f>IF(Data!I250 = 'Point Intercept 2'!I250, Data!I250, "ERROR")</f>
        <v>15</v>
      </c>
      <c r="I250" s="6">
        <f>IF(Data!H250 = 'Point Intercept 2'!H250, Data!H250, "ERROR")</f>
        <v>1</v>
      </c>
      <c r="J250" s="6">
        <f>IF(Data!J250 = 'Point Intercept 2'!J250, Data!J250, "ERROR")</f>
        <v>7.5</v>
      </c>
      <c r="K250" s="6" t="str">
        <f>IF(Data!K250 = 'Point Intercept 2'!K250, Data!K250, "ERROR")</f>
        <v>L</v>
      </c>
      <c r="L250" s="6" t="str">
        <f>IF(Data!L250 = 'Point Intercept 2'!L250, Data!L250, "ERROR")</f>
        <v>Litter</v>
      </c>
      <c r="M250" s="6">
        <f>IF(Data!N250 = 'Point Intercept 2'!M250, Data!N250, "ERROR")</f>
        <v>0</v>
      </c>
      <c r="N250" s="6">
        <f>IF(Data!O250 = 'Point Intercept 2'!N250, Data!O250, "ERROR")</f>
        <v>0</v>
      </c>
      <c r="O250" s="6">
        <f>IF(Data!P250 = 'Point Intercept 2'!O250, Data!P250, "ERROR")</f>
        <v>0</v>
      </c>
    </row>
    <row r="251" spans="1:15" x14ac:dyDescent="0.25">
      <c r="A251" s="6">
        <f>IF(Data!A251 = 'Point Intercept 2'!A251, Data!A251, "ERROR")</f>
        <v>3</v>
      </c>
      <c r="B251" s="6">
        <f>IF(Data!B251 = 'Point Intercept 2'!B251, Data!B251, "ERROR")</f>
        <v>2025</v>
      </c>
      <c r="C251" s="8">
        <f>IF(Data!C251 = 'Point Intercept 2'!C251, Data!C251, "ERROR")</f>
        <v>45755</v>
      </c>
      <c r="D251" s="6" t="str">
        <f>IF(Data!D251 = 'Point Intercept 2'!D251, Data!D251, "ERROR")</f>
        <v>JC, TL</v>
      </c>
      <c r="E251" s="6" t="str">
        <f>IF(Data!E251 = 'Point Intercept 2'!E251, Data!E251, "ERROR")</f>
        <v>VB</v>
      </c>
      <c r="F251" s="6">
        <f>IF(Data!F251 = 'Point Intercept 2'!F251, Data!F251, "ERROR")</f>
        <v>3</v>
      </c>
      <c r="G251" s="6" t="str">
        <f>IF(Data!G251 = 'Point Intercept 2'!G251, Data!G251, "ERROR")</f>
        <v>LU</v>
      </c>
      <c r="H251" s="6">
        <f>IF(Data!I251 = 'Point Intercept 2'!I251, Data!I251, "ERROR")</f>
        <v>15</v>
      </c>
      <c r="I251" s="6">
        <f>IF(Data!H251 = 'Point Intercept 2'!H251, Data!H251, "ERROR")</f>
        <v>1</v>
      </c>
      <c r="J251" s="6">
        <f>IF(Data!J251 = 'Point Intercept 2'!J251, Data!J251, "ERROR")</f>
        <v>7.5</v>
      </c>
      <c r="K251" s="6" t="str">
        <f>IF(Data!K251 = 'Point Intercept 2'!K251, Data!K251, "ERROR")</f>
        <v>FESMYU</v>
      </c>
      <c r="L251" s="6" t="str">
        <f>IF(Data!L251 = 'Point Intercept 2'!L251, Data!L251, "ERROR")</f>
        <v>Festuca myuros</v>
      </c>
      <c r="M251" s="6">
        <f>IF(Data!N251 = 'Point Intercept 2'!M251, Data!N251, "ERROR")</f>
        <v>0</v>
      </c>
      <c r="N251" s="6">
        <f>IF(Data!O251 = 'Point Intercept 2'!N251, Data!O251, "ERROR")</f>
        <v>0</v>
      </c>
      <c r="O251" s="6">
        <f>IF(Data!P251 = 'Point Intercept 2'!O251, Data!P251, "ERROR")</f>
        <v>0</v>
      </c>
    </row>
    <row r="252" spans="1:15" x14ac:dyDescent="0.25">
      <c r="A252" s="6">
        <f>IF(Data!A252 = 'Point Intercept 2'!A252, Data!A252, "ERROR")</f>
        <v>3</v>
      </c>
      <c r="B252" s="6">
        <f>IF(Data!B252 = 'Point Intercept 2'!B252, Data!B252, "ERROR")</f>
        <v>2025</v>
      </c>
      <c r="C252" s="8">
        <f>IF(Data!C252 = 'Point Intercept 2'!C252, Data!C252, "ERROR")</f>
        <v>45755</v>
      </c>
      <c r="D252" s="6" t="str">
        <f>IF(Data!D252 = 'Point Intercept 2'!D252, Data!D252, "ERROR")</f>
        <v>JC, TL</v>
      </c>
      <c r="E252" s="6" t="str">
        <f>IF(Data!E252 = 'Point Intercept 2'!E252, Data!E252, "ERROR")</f>
        <v>VB</v>
      </c>
      <c r="F252" s="6">
        <f>IF(Data!F252 = 'Point Intercept 2'!F252, Data!F252, "ERROR")</f>
        <v>3</v>
      </c>
      <c r="G252" s="6" t="str">
        <f>IF(Data!G252 = 'Point Intercept 2'!G252, Data!G252, "ERROR")</f>
        <v>LU</v>
      </c>
      <c r="H252" s="6">
        <f>IF(Data!I252 = 'Point Intercept 2'!I252, Data!I252, "ERROR")</f>
        <v>15</v>
      </c>
      <c r="I252" s="6">
        <f>IF(Data!H252 = 'Point Intercept 2'!H252, Data!H252, "ERROR")</f>
        <v>1</v>
      </c>
      <c r="J252" s="6">
        <f>IF(Data!J252 = 'Point Intercept 2'!J252, Data!J252, "ERROR")</f>
        <v>7.5</v>
      </c>
      <c r="K252" s="6" t="str">
        <f>IF(Data!K252 = 'Point Intercept 2'!K252, Data!K252, "ERROR")</f>
        <v>DEIFAS</v>
      </c>
      <c r="L252" s="6" t="str">
        <f>IF(Data!L252 = 'Point Intercept 2'!L252, Data!L252, "ERROR")</f>
        <v>Deinandra fasciculata</v>
      </c>
      <c r="M252" s="6">
        <f>IF(Data!N252 = 'Point Intercept 2'!M252, Data!N252, "ERROR")</f>
        <v>0</v>
      </c>
      <c r="N252" s="6">
        <f>IF(Data!O252 = 'Point Intercept 2'!N252, Data!O252, "ERROR")</f>
        <v>0</v>
      </c>
      <c r="O252" s="6">
        <f>IF(Data!P252 = 'Point Intercept 2'!O252, Data!P252, "ERROR")</f>
        <v>0</v>
      </c>
    </row>
    <row r="253" spans="1:15" x14ac:dyDescent="0.25">
      <c r="A253" s="6">
        <f>IF(Data!A253 = 'Point Intercept 2'!A253, Data!A253, "ERROR")</f>
        <v>3</v>
      </c>
      <c r="B253" s="6">
        <f>IF(Data!B253 = 'Point Intercept 2'!B253, Data!B253, "ERROR")</f>
        <v>2025</v>
      </c>
      <c r="C253" s="8">
        <f>IF(Data!C253 = 'Point Intercept 2'!C253, Data!C253, "ERROR")</f>
        <v>45755</v>
      </c>
      <c r="D253" s="6" t="str">
        <f>IF(Data!D253 = 'Point Intercept 2'!D253, Data!D253, "ERROR")</f>
        <v>JC, TL</v>
      </c>
      <c r="E253" s="6" t="str">
        <f>IF(Data!E253 = 'Point Intercept 2'!E253, Data!E253, "ERROR")</f>
        <v>VB</v>
      </c>
      <c r="F253" s="6">
        <f>IF(Data!F253 = 'Point Intercept 2'!F253, Data!F253, "ERROR")</f>
        <v>3</v>
      </c>
      <c r="G253" s="6" t="str">
        <f>IF(Data!G253 = 'Point Intercept 2'!G253, Data!G253, "ERROR")</f>
        <v>LU</v>
      </c>
      <c r="H253" s="6">
        <f>IF(Data!I253 = 'Point Intercept 2'!I253, Data!I253, "ERROR")</f>
        <v>15</v>
      </c>
      <c r="I253" s="6">
        <f>IF(Data!H253 = 'Point Intercept 2'!H253, Data!H253, "ERROR")</f>
        <v>1</v>
      </c>
      <c r="J253" s="6">
        <f>IF(Data!J253 = 'Point Intercept 2'!J253, Data!J253, "ERROR")</f>
        <v>7.5</v>
      </c>
      <c r="K253" s="6" t="str">
        <f>IF(Data!K253 = 'Point Intercept 2'!K253, Data!K253, "ERROR")</f>
        <v>CENMEL</v>
      </c>
      <c r="L253" s="6" t="str">
        <f>IF(Data!L253 = 'Point Intercept 2'!L253, Data!L253, "ERROR")</f>
        <v>Centaurea melitensis</v>
      </c>
      <c r="M253" s="6">
        <f>IF(Data!N253 = 'Point Intercept 2'!M253, Data!N253, "ERROR")</f>
        <v>0</v>
      </c>
      <c r="N253" s="6">
        <f>IF(Data!O253 = 'Point Intercept 2'!N253, Data!O253, "ERROR")</f>
        <v>0</v>
      </c>
      <c r="O253" s="6">
        <f>IF(Data!P253 = 'Point Intercept 2'!O253, Data!P253, "ERROR")</f>
        <v>0</v>
      </c>
    </row>
    <row r="254" spans="1:15" x14ac:dyDescent="0.25">
      <c r="A254" s="6">
        <f>IF(Data!A254 = 'Point Intercept 2'!A254, Data!A254, "ERROR")</f>
        <v>3</v>
      </c>
      <c r="B254" s="6">
        <f>IF(Data!B254 = 'Point Intercept 2'!B254, Data!B254, "ERROR")</f>
        <v>2025</v>
      </c>
      <c r="C254" s="8">
        <f>IF(Data!C254 = 'Point Intercept 2'!C254, Data!C254, "ERROR")</f>
        <v>45755</v>
      </c>
      <c r="D254" s="6" t="str">
        <f>IF(Data!D254 = 'Point Intercept 2'!D254, Data!D254, "ERROR")</f>
        <v>JC, TL</v>
      </c>
      <c r="E254" s="6" t="str">
        <f>IF(Data!E254 = 'Point Intercept 2'!E254, Data!E254, "ERROR")</f>
        <v>VB</v>
      </c>
      <c r="F254" s="6">
        <f>IF(Data!F254 = 'Point Intercept 2'!F254, Data!F254, "ERROR")</f>
        <v>3</v>
      </c>
      <c r="G254" s="6" t="str">
        <f>IF(Data!G254 = 'Point Intercept 2'!G254, Data!G254, "ERROR")</f>
        <v>LU</v>
      </c>
      <c r="H254" s="6">
        <f>IF(Data!I254 = 'Point Intercept 2'!I254, Data!I254, "ERROR")</f>
        <v>1</v>
      </c>
      <c r="I254" s="6">
        <f>IF(Data!H254 = 'Point Intercept 2'!H254, Data!H254, "ERROR")</f>
        <v>2</v>
      </c>
      <c r="J254" s="6">
        <f>IF(Data!J254 = 'Point Intercept 2'!J254, Data!J254, "ERROR")</f>
        <v>0</v>
      </c>
      <c r="K254" s="6" t="str">
        <f>IF(Data!K254 = 'Point Intercept 2'!K254, Data!K254, "ERROR")</f>
        <v>L</v>
      </c>
      <c r="L254" s="6" t="str">
        <f>IF(Data!L254 = 'Point Intercept 2'!L254, Data!L254, "ERROR")</f>
        <v>Litter</v>
      </c>
      <c r="M254" s="6">
        <f>IF(Data!N254 = 'Point Intercept 2'!M254, Data!N254, "ERROR")</f>
        <v>0</v>
      </c>
      <c r="N254" s="6">
        <f>IF(Data!O254 = 'Point Intercept 2'!N254, Data!O254, "ERROR")</f>
        <v>0</v>
      </c>
      <c r="O254" s="6">
        <f>IF(Data!P254 = 'Point Intercept 2'!O254, Data!P254, "ERROR")</f>
        <v>0</v>
      </c>
    </row>
    <row r="255" spans="1:15" x14ac:dyDescent="0.25">
      <c r="A255" s="6">
        <f>IF(Data!A255 = 'Point Intercept 2'!A255, Data!A255, "ERROR")</f>
        <v>3</v>
      </c>
      <c r="B255" s="6">
        <f>IF(Data!B255 = 'Point Intercept 2'!B255, Data!B255, "ERROR")</f>
        <v>2025</v>
      </c>
      <c r="C255" s="8">
        <f>IF(Data!C255 = 'Point Intercept 2'!C255, Data!C255, "ERROR")</f>
        <v>45755</v>
      </c>
      <c r="D255" s="6" t="str">
        <f>IF(Data!D255 = 'Point Intercept 2'!D255, Data!D255, "ERROR")</f>
        <v>JC, TL</v>
      </c>
      <c r="E255" s="6" t="str">
        <f>IF(Data!E255 = 'Point Intercept 2'!E255, Data!E255, "ERROR")</f>
        <v>VB</v>
      </c>
      <c r="F255" s="6">
        <f>IF(Data!F255 = 'Point Intercept 2'!F255, Data!F255, "ERROR")</f>
        <v>3</v>
      </c>
      <c r="G255" s="6" t="str">
        <f>IF(Data!G255 = 'Point Intercept 2'!G255, Data!G255, "ERROR")</f>
        <v>LU</v>
      </c>
      <c r="H255" s="6">
        <f>IF(Data!I255 = 'Point Intercept 2'!I255, Data!I255, "ERROR")</f>
        <v>1</v>
      </c>
      <c r="I255" s="6">
        <f>IF(Data!H255 = 'Point Intercept 2'!H255, Data!H255, "ERROR")</f>
        <v>2</v>
      </c>
      <c r="J255" s="6">
        <f>IF(Data!J255 = 'Point Intercept 2'!J255, Data!J255, "ERROR")</f>
        <v>0</v>
      </c>
      <c r="K255" s="6" t="str">
        <f>IF(Data!K255 = 'Point Intercept 2'!K255, Data!K255, "ERROR")</f>
        <v>ANAARV</v>
      </c>
      <c r="L255" s="6" t="str">
        <f>IF(Data!L255 = 'Point Intercept 2'!L255, Data!L255, "ERROR")</f>
        <v>Anagallis arvensis</v>
      </c>
      <c r="M255" s="6">
        <f>IF(Data!N255 = 'Point Intercept 2'!M255, Data!N255, "ERROR")</f>
        <v>0</v>
      </c>
      <c r="N255" s="6">
        <f>IF(Data!O255 = 'Point Intercept 2'!N255, Data!O255, "ERROR")</f>
        <v>0</v>
      </c>
      <c r="O255" s="6">
        <f>IF(Data!P255 = 'Point Intercept 2'!O255, Data!P255, "ERROR")</f>
        <v>0</v>
      </c>
    </row>
    <row r="256" spans="1:15" x14ac:dyDescent="0.25">
      <c r="A256" s="6">
        <f>IF(Data!A256 = 'Point Intercept 2'!A256, Data!A256, "ERROR")</f>
        <v>3</v>
      </c>
      <c r="B256" s="6">
        <f>IF(Data!B256 = 'Point Intercept 2'!B256, Data!B256, "ERROR")</f>
        <v>2025</v>
      </c>
      <c r="C256" s="8">
        <f>IF(Data!C256 = 'Point Intercept 2'!C256, Data!C256, "ERROR")</f>
        <v>45755</v>
      </c>
      <c r="D256" s="6" t="str">
        <f>IF(Data!D256 = 'Point Intercept 2'!D256, Data!D256, "ERROR")</f>
        <v>JC, TL</v>
      </c>
      <c r="E256" s="6" t="str">
        <f>IF(Data!E256 = 'Point Intercept 2'!E256, Data!E256, "ERROR")</f>
        <v>VB</v>
      </c>
      <c r="F256" s="6">
        <f>IF(Data!F256 = 'Point Intercept 2'!F256, Data!F256, "ERROR")</f>
        <v>3</v>
      </c>
      <c r="G256" s="6" t="str">
        <f>IF(Data!G256 = 'Point Intercept 2'!G256, Data!G256, "ERROR")</f>
        <v>LU</v>
      </c>
      <c r="H256" s="6">
        <f>IF(Data!I256 = 'Point Intercept 2'!I256, Data!I256, "ERROR")</f>
        <v>1</v>
      </c>
      <c r="I256" s="6">
        <f>IF(Data!H256 = 'Point Intercept 2'!H256, Data!H256, "ERROR")</f>
        <v>2</v>
      </c>
      <c r="J256" s="6">
        <f>IF(Data!J256 = 'Point Intercept 2'!J256, Data!J256, "ERROR")</f>
        <v>0</v>
      </c>
      <c r="K256" s="6" t="str">
        <f>IF(Data!K256 = 'Point Intercept 2'!K256, Data!K256, "ERROR")</f>
        <v>MEDPOL</v>
      </c>
      <c r="L256" s="6" t="str">
        <f>IF(Data!L256 = 'Point Intercept 2'!L256, Data!L256, "ERROR")</f>
        <v>Medicago polymorpha</v>
      </c>
      <c r="M256" s="6">
        <f>IF(Data!N256 = 'Point Intercept 2'!M256, Data!N256, "ERROR")</f>
        <v>0</v>
      </c>
      <c r="N256" s="6">
        <f>IF(Data!O256 = 'Point Intercept 2'!N256, Data!O256, "ERROR")</f>
        <v>0</v>
      </c>
      <c r="O256" s="6">
        <f>IF(Data!P256 = 'Point Intercept 2'!O256, Data!P256, "ERROR")</f>
        <v>0</v>
      </c>
    </row>
    <row r="257" spans="1:15" x14ac:dyDescent="0.25">
      <c r="A257" s="6">
        <f>IF(Data!A257 = 'Point Intercept 2'!A257, Data!A257, "ERROR")</f>
        <v>3</v>
      </c>
      <c r="B257" s="6">
        <f>IF(Data!B257 = 'Point Intercept 2'!B257, Data!B257, "ERROR")</f>
        <v>2025</v>
      </c>
      <c r="C257" s="8">
        <f>IF(Data!C257 = 'Point Intercept 2'!C257, Data!C257, "ERROR")</f>
        <v>45755</v>
      </c>
      <c r="D257" s="6" t="str">
        <f>IF(Data!D257 = 'Point Intercept 2'!D257, Data!D257, "ERROR")</f>
        <v>JC, TL</v>
      </c>
      <c r="E257" s="6" t="str">
        <f>IF(Data!E257 = 'Point Intercept 2'!E257, Data!E257, "ERROR")</f>
        <v>VB</v>
      </c>
      <c r="F257" s="6">
        <f>IF(Data!F257 = 'Point Intercept 2'!F257, Data!F257, "ERROR")</f>
        <v>3</v>
      </c>
      <c r="G257" s="6" t="str">
        <f>IF(Data!G257 = 'Point Intercept 2'!G257, Data!G257, "ERROR")</f>
        <v>LU</v>
      </c>
      <c r="H257" s="6">
        <f>IF(Data!I257 = 'Point Intercept 2'!I257, Data!I257, "ERROR")</f>
        <v>1</v>
      </c>
      <c r="I257" s="6">
        <f>IF(Data!H257 = 'Point Intercept 2'!H257, Data!H257, "ERROR")</f>
        <v>2</v>
      </c>
      <c r="J257" s="6">
        <f>IF(Data!J257 = 'Point Intercept 2'!J257, Data!J257, "ERROR")</f>
        <v>0</v>
      </c>
      <c r="K257" s="6" t="str">
        <f>IF(Data!K257 = 'Point Intercept 2'!K257, Data!K257, "ERROR")</f>
        <v>FESMYU</v>
      </c>
      <c r="L257" s="6" t="str">
        <f>IF(Data!L257 = 'Point Intercept 2'!L257, Data!L257, "ERROR")</f>
        <v>Festuca myuros</v>
      </c>
      <c r="M257" s="6">
        <f>IF(Data!N257 = 'Point Intercept 2'!M257, Data!N257, "ERROR")</f>
        <v>0</v>
      </c>
      <c r="N257" s="6">
        <f>IF(Data!O257 = 'Point Intercept 2'!N257, Data!O257, "ERROR")</f>
        <v>0</v>
      </c>
      <c r="O257" s="6">
        <f>IF(Data!P257 = 'Point Intercept 2'!O257, Data!P257, "ERROR")</f>
        <v>0</v>
      </c>
    </row>
    <row r="258" spans="1:15" x14ac:dyDescent="0.25">
      <c r="A258" s="6">
        <f>IF(Data!A258 = 'Point Intercept 2'!A258, Data!A258, "ERROR")</f>
        <v>3</v>
      </c>
      <c r="B258" s="6">
        <f>IF(Data!B258 = 'Point Intercept 2'!B258, Data!B258, "ERROR")</f>
        <v>2025</v>
      </c>
      <c r="C258" s="8">
        <f>IF(Data!C258 = 'Point Intercept 2'!C258, Data!C258, "ERROR")</f>
        <v>45755</v>
      </c>
      <c r="D258" s="6" t="str">
        <f>IF(Data!D258 = 'Point Intercept 2'!D258, Data!D258, "ERROR")</f>
        <v>JC, TL</v>
      </c>
      <c r="E258" s="6" t="str">
        <f>IF(Data!E258 = 'Point Intercept 2'!E258, Data!E258, "ERROR")</f>
        <v>VB</v>
      </c>
      <c r="F258" s="6">
        <f>IF(Data!F258 = 'Point Intercept 2'!F258, Data!F258, "ERROR")</f>
        <v>3</v>
      </c>
      <c r="G258" s="6" t="str">
        <f>IF(Data!G258 = 'Point Intercept 2'!G258, Data!G258, "ERROR")</f>
        <v>LU</v>
      </c>
      <c r="H258" s="6">
        <f>IF(Data!I258 = 'Point Intercept 2'!I258, Data!I258, "ERROR")</f>
        <v>2</v>
      </c>
      <c r="I258" s="6">
        <f>IF(Data!H258 = 'Point Intercept 2'!H258, Data!H258, "ERROR")</f>
        <v>2</v>
      </c>
      <c r="J258" s="6">
        <f>IF(Data!J258 = 'Point Intercept 2'!J258, Data!J258, "ERROR")</f>
        <v>0.5</v>
      </c>
      <c r="K258" s="6" t="str">
        <f>IF(Data!K258 = 'Point Intercept 2'!K258, Data!K258, "ERROR")</f>
        <v>L</v>
      </c>
      <c r="L258" s="6" t="str">
        <f>IF(Data!L258 = 'Point Intercept 2'!L258, Data!L258, "ERROR")</f>
        <v>Litter</v>
      </c>
      <c r="M258" s="6">
        <f>IF(Data!N258 = 'Point Intercept 2'!M258, Data!N258, "ERROR")</f>
        <v>0</v>
      </c>
      <c r="N258" s="6">
        <f>IF(Data!O258 = 'Point Intercept 2'!N258, Data!O258, "ERROR")</f>
        <v>0</v>
      </c>
      <c r="O258" s="6">
        <f>IF(Data!P258 = 'Point Intercept 2'!O258, Data!P258, "ERROR")</f>
        <v>0</v>
      </c>
    </row>
    <row r="259" spans="1:15" x14ac:dyDescent="0.25">
      <c r="A259" s="6">
        <f>IF(Data!A259 = 'Point Intercept 2'!A259, Data!A259, "ERROR")</f>
        <v>3</v>
      </c>
      <c r="B259" s="6">
        <f>IF(Data!B259 = 'Point Intercept 2'!B259, Data!B259, "ERROR")</f>
        <v>2025</v>
      </c>
      <c r="C259" s="8">
        <f>IF(Data!C259 = 'Point Intercept 2'!C259, Data!C259, "ERROR")</f>
        <v>45755</v>
      </c>
      <c r="D259" s="6" t="str">
        <f>IF(Data!D259 = 'Point Intercept 2'!D259, Data!D259, "ERROR")</f>
        <v>JC, TL</v>
      </c>
      <c r="E259" s="6" t="str">
        <f>IF(Data!E259 = 'Point Intercept 2'!E259, Data!E259, "ERROR")</f>
        <v>VB</v>
      </c>
      <c r="F259" s="6">
        <f>IF(Data!F259 = 'Point Intercept 2'!F259, Data!F259, "ERROR")</f>
        <v>3</v>
      </c>
      <c r="G259" s="6" t="str">
        <f>IF(Data!G259 = 'Point Intercept 2'!G259, Data!G259, "ERROR")</f>
        <v>LU</v>
      </c>
      <c r="H259" s="6">
        <f>IF(Data!I259 = 'Point Intercept 2'!I259, Data!I259, "ERROR")</f>
        <v>2</v>
      </c>
      <c r="I259" s="6">
        <f>IF(Data!H259 = 'Point Intercept 2'!H259, Data!H259, "ERROR")</f>
        <v>2</v>
      </c>
      <c r="J259" s="6">
        <f>IF(Data!J259 = 'Point Intercept 2'!J259, Data!J259, "ERROR")</f>
        <v>0.5</v>
      </c>
      <c r="K259" s="6" t="str">
        <f>IF(Data!K259 = 'Point Intercept 2'!K259, Data!K259, "ERROR")</f>
        <v>ANAARV</v>
      </c>
      <c r="L259" s="6" t="str">
        <f>IF(Data!L259 = 'Point Intercept 2'!L259, Data!L259, "ERROR")</f>
        <v>Anagallis arvensis</v>
      </c>
      <c r="M259" s="6">
        <f>IF(Data!N259 = 'Point Intercept 2'!M259, Data!N259, "ERROR")</f>
        <v>0</v>
      </c>
      <c r="N259" s="6">
        <f>IF(Data!O259 = 'Point Intercept 2'!N259, Data!O259, "ERROR")</f>
        <v>0</v>
      </c>
      <c r="O259" s="6">
        <f>IF(Data!P259 = 'Point Intercept 2'!O259, Data!P259, "ERROR")</f>
        <v>0</v>
      </c>
    </row>
    <row r="260" spans="1:15" x14ac:dyDescent="0.25">
      <c r="A260" s="6">
        <f>IF(Data!A260 = 'Point Intercept 2'!A260, Data!A260, "ERROR")</f>
        <v>3</v>
      </c>
      <c r="B260" s="6">
        <f>IF(Data!B260 = 'Point Intercept 2'!B260, Data!B260, "ERROR")</f>
        <v>2025</v>
      </c>
      <c r="C260" s="8">
        <f>IF(Data!C260 = 'Point Intercept 2'!C260, Data!C260, "ERROR")</f>
        <v>45755</v>
      </c>
      <c r="D260" s="6" t="str">
        <f>IF(Data!D260 = 'Point Intercept 2'!D260, Data!D260, "ERROR")</f>
        <v>JC, TL</v>
      </c>
      <c r="E260" s="6" t="str">
        <f>IF(Data!E260 = 'Point Intercept 2'!E260, Data!E260, "ERROR")</f>
        <v>VB</v>
      </c>
      <c r="F260" s="6">
        <f>IF(Data!F260 = 'Point Intercept 2'!F260, Data!F260, "ERROR")</f>
        <v>3</v>
      </c>
      <c r="G260" s="6" t="str">
        <f>IF(Data!G260 = 'Point Intercept 2'!G260, Data!G260, "ERROR")</f>
        <v>LU</v>
      </c>
      <c r="H260" s="6">
        <f>IF(Data!I260 = 'Point Intercept 2'!I260, Data!I260, "ERROR")</f>
        <v>2</v>
      </c>
      <c r="I260" s="6">
        <f>IF(Data!H260 = 'Point Intercept 2'!H260, Data!H260, "ERROR")</f>
        <v>2</v>
      </c>
      <c r="J260" s="6">
        <f>IF(Data!J260 = 'Point Intercept 2'!J260, Data!J260, "ERROR")</f>
        <v>0.5</v>
      </c>
      <c r="K260" s="6" t="str">
        <f>IF(Data!K260 = 'Point Intercept 2'!K260, Data!K260, "ERROR")</f>
        <v>STIPUL</v>
      </c>
      <c r="L260" s="6" t="str">
        <f>IF(Data!L260 = 'Point Intercept 2'!L260, Data!L260, "ERROR")</f>
        <v>Stipa pulchra</v>
      </c>
      <c r="M260" s="6">
        <f>IF(Data!N260 = 'Point Intercept 2'!M260, Data!N260, "ERROR")</f>
        <v>0</v>
      </c>
      <c r="N260" s="6">
        <f>IF(Data!O260 = 'Point Intercept 2'!N260, Data!O260, "ERROR")</f>
        <v>0</v>
      </c>
      <c r="O260" s="6">
        <f>IF(Data!P260 = 'Point Intercept 2'!O260, Data!P260, "ERROR")</f>
        <v>0</v>
      </c>
    </row>
    <row r="261" spans="1:15" x14ac:dyDescent="0.25">
      <c r="A261" s="6">
        <f>IF(Data!A261 = 'Point Intercept 2'!A261, Data!A261, "ERROR")</f>
        <v>3</v>
      </c>
      <c r="B261" s="6">
        <f>IF(Data!B261 = 'Point Intercept 2'!B261, Data!B261, "ERROR")</f>
        <v>2025</v>
      </c>
      <c r="C261" s="8">
        <f>IF(Data!C261 = 'Point Intercept 2'!C261, Data!C261, "ERROR")</f>
        <v>45755</v>
      </c>
      <c r="D261" s="6" t="str">
        <f>IF(Data!D261 = 'Point Intercept 2'!D261, Data!D261, "ERROR")</f>
        <v>JC, TL</v>
      </c>
      <c r="E261" s="6" t="str">
        <f>IF(Data!E261 = 'Point Intercept 2'!E261, Data!E261, "ERROR")</f>
        <v>VB</v>
      </c>
      <c r="F261" s="6">
        <f>IF(Data!F261 = 'Point Intercept 2'!F261, Data!F261, "ERROR")</f>
        <v>3</v>
      </c>
      <c r="G261" s="6" t="str">
        <f>IF(Data!G261 = 'Point Intercept 2'!G261, Data!G261, "ERROR")</f>
        <v>LU</v>
      </c>
      <c r="H261" s="6">
        <f>IF(Data!I261 = 'Point Intercept 2'!I261, Data!I261, "ERROR")</f>
        <v>2</v>
      </c>
      <c r="I261" s="6">
        <f>IF(Data!H261 = 'Point Intercept 2'!H261, Data!H261, "ERROR")</f>
        <v>2</v>
      </c>
      <c r="J261" s="6">
        <f>IF(Data!J261 = 'Point Intercept 2'!J261, Data!J261, "ERROR")</f>
        <v>0.5</v>
      </c>
      <c r="K261" s="6" t="str">
        <f>IF(Data!K261 = 'Point Intercept 2'!K261, Data!K261, "ERROR")</f>
        <v>DAUPUS</v>
      </c>
      <c r="L261" s="6" t="str">
        <f>IF(Data!L261 = 'Point Intercept 2'!L261, Data!L261, "ERROR")</f>
        <v>Daucus pusillus</v>
      </c>
      <c r="M261" s="6">
        <f>IF(Data!N261 = 'Point Intercept 2'!M261, Data!N261, "ERROR")</f>
        <v>0</v>
      </c>
      <c r="N261" s="6">
        <f>IF(Data!O261 = 'Point Intercept 2'!N261, Data!O261, "ERROR")</f>
        <v>0</v>
      </c>
      <c r="O261" s="6">
        <f>IF(Data!P261 = 'Point Intercept 2'!O261, Data!P261, "ERROR")</f>
        <v>0</v>
      </c>
    </row>
    <row r="262" spans="1:15" x14ac:dyDescent="0.25">
      <c r="A262" s="6">
        <f>IF(Data!A262 = 'Point Intercept 2'!A262, Data!A262, "ERROR")</f>
        <v>3</v>
      </c>
      <c r="B262" s="6">
        <f>IF(Data!B262 = 'Point Intercept 2'!B262, Data!B262, "ERROR")</f>
        <v>2025</v>
      </c>
      <c r="C262" s="8">
        <f>IF(Data!C262 = 'Point Intercept 2'!C262, Data!C262, "ERROR")</f>
        <v>45755</v>
      </c>
      <c r="D262" s="6" t="str">
        <f>IF(Data!D262 = 'Point Intercept 2'!D262, Data!D262, "ERROR")</f>
        <v>JC, TL</v>
      </c>
      <c r="E262" s="6" t="str">
        <f>IF(Data!E262 = 'Point Intercept 2'!E262, Data!E262, "ERROR")</f>
        <v>VB</v>
      </c>
      <c r="F262" s="6">
        <f>IF(Data!F262 = 'Point Intercept 2'!F262, Data!F262, "ERROR")</f>
        <v>3</v>
      </c>
      <c r="G262" s="6" t="str">
        <f>IF(Data!G262 = 'Point Intercept 2'!G262, Data!G262, "ERROR")</f>
        <v>LU</v>
      </c>
      <c r="H262" s="6">
        <f>IF(Data!I262 = 'Point Intercept 2'!I262, Data!I262, "ERROR")</f>
        <v>2</v>
      </c>
      <c r="I262" s="6">
        <f>IF(Data!H262 = 'Point Intercept 2'!H262, Data!H262, "ERROR")</f>
        <v>2</v>
      </c>
      <c r="J262" s="6">
        <f>IF(Data!J262 = 'Point Intercept 2'!J262, Data!J262, "ERROR")</f>
        <v>0.5</v>
      </c>
      <c r="K262" s="6" t="str">
        <f>IF(Data!K262 = 'Point Intercept 2'!K262, Data!K262, "ERROR")</f>
        <v>MEDPOL</v>
      </c>
      <c r="L262" s="6" t="str">
        <f>IF(Data!L262 = 'Point Intercept 2'!L262, Data!L262, "ERROR")</f>
        <v>Medicago polymorpha</v>
      </c>
      <c r="M262" s="6">
        <f>IF(Data!N262 = 'Point Intercept 2'!M262, Data!N262, "ERROR")</f>
        <v>0</v>
      </c>
      <c r="N262" s="6">
        <f>IF(Data!O262 = 'Point Intercept 2'!N262, Data!O262, "ERROR")</f>
        <v>0</v>
      </c>
      <c r="O262" s="6">
        <f>IF(Data!P262 = 'Point Intercept 2'!O262, Data!P262, "ERROR")</f>
        <v>0</v>
      </c>
    </row>
    <row r="263" spans="1:15" x14ac:dyDescent="0.25">
      <c r="A263" s="6">
        <f>IF(Data!A263 = 'Point Intercept 2'!A263, Data!A263, "ERROR")</f>
        <v>3</v>
      </c>
      <c r="B263" s="6">
        <f>IF(Data!B263 = 'Point Intercept 2'!B263, Data!B263, "ERROR")</f>
        <v>2025</v>
      </c>
      <c r="C263" s="8">
        <f>IF(Data!C263 = 'Point Intercept 2'!C263, Data!C263, "ERROR")</f>
        <v>45755</v>
      </c>
      <c r="D263" s="6" t="str">
        <f>IF(Data!D263 = 'Point Intercept 2'!D263, Data!D263, "ERROR")</f>
        <v>JC, TL</v>
      </c>
      <c r="E263" s="6" t="str">
        <f>IF(Data!E263 = 'Point Intercept 2'!E263, Data!E263, "ERROR")</f>
        <v>VB</v>
      </c>
      <c r="F263" s="6">
        <f>IF(Data!F263 = 'Point Intercept 2'!F263, Data!F263, "ERROR")</f>
        <v>3</v>
      </c>
      <c r="G263" s="6" t="str">
        <f>IF(Data!G263 = 'Point Intercept 2'!G263, Data!G263, "ERROR")</f>
        <v>LU</v>
      </c>
      <c r="H263" s="6">
        <f>IF(Data!I263 = 'Point Intercept 2'!I263, Data!I263, "ERROR")</f>
        <v>3</v>
      </c>
      <c r="I263" s="6">
        <f>IF(Data!H263 = 'Point Intercept 2'!H263, Data!H263, "ERROR")</f>
        <v>2</v>
      </c>
      <c r="J263" s="6">
        <f>IF(Data!J263 = 'Point Intercept 2'!J263, Data!J263, "ERROR")</f>
        <v>1</v>
      </c>
      <c r="K263" s="6" t="str">
        <f>IF(Data!K263 = 'Point Intercept 2'!K263, Data!K263, "ERROR")</f>
        <v>S</v>
      </c>
      <c r="L263" s="6" t="str">
        <f>IF(Data!L263 = 'Point Intercept 2'!L263, Data!L263, "ERROR")</f>
        <v>Stem</v>
      </c>
      <c r="M263" s="6">
        <f>IF(Data!N263 = 'Point Intercept 2'!M263, Data!N263, "ERROR")</f>
        <v>0</v>
      </c>
      <c r="N263" s="6">
        <f>IF(Data!O263 = 'Point Intercept 2'!N263, Data!O263, "ERROR")</f>
        <v>0</v>
      </c>
      <c r="O263" s="6">
        <f>IF(Data!P263 = 'Point Intercept 2'!O263, Data!P263, "ERROR")</f>
        <v>0</v>
      </c>
    </row>
    <row r="264" spans="1:15" x14ac:dyDescent="0.25">
      <c r="A264" s="6">
        <f>IF(Data!A264 = 'Point Intercept 2'!A264, Data!A264, "ERROR")</f>
        <v>3</v>
      </c>
      <c r="B264" s="6">
        <f>IF(Data!B264 = 'Point Intercept 2'!B264, Data!B264, "ERROR")</f>
        <v>2025</v>
      </c>
      <c r="C264" s="8">
        <f>IF(Data!C264 = 'Point Intercept 2'!C264, Data!C264, "ERROR")</f>
        <v>45755</v>
      </c>
      <c r="D264" s="6" t="str">
        <f>IF(Data!D264 = 'Point Intercept 2'!D264, Data!D264, "ERROR")</f>
        <v>JC, TL</v>
      </c>
      <c r="E264" s="6" t="str">
        <f>IF(Data!E264 = 'Point Intercept 2'!E264, Data!E264, "ERROR")</f>
        <v>VB</v>
      </c>
      <c r="F264" s="6">
        <f>IF(Data!F264 = 'Point Intercept 2'!F264, Data!F264, "ERROR")</f>
        <v>3</v>
      </c>
      <c r="G264" s="6" t="str">
        <f>IF(Data!G264 = 'Point Intercept 2'!G264, Data!G264, "ERROR")</f>
        <v>LU</v>
      </c>
      <c r="H264" s="6">
        <f>IF(Data!I264 = 'Point Intercept 2'!I264, Data!I264, "ERROR")</f>
        <v>3</v>
      </c>
      <c r="I264" s="6">
        <f>IF(Data!H264 = 'Point Intercept 2'!H264, Data!H264, "ERROR")</f>
        <v>2</v>
      </c>
      <c r="J264" s="6">
        <f>IF(Data!J264 = 'Point Intercept 2'!J264, Data!J264, "ERROR")</f>
        <v>1</v>
      </c>
      <c r="K264" s="6" t="str">
        <f>IF(Data!K264 = 'Point Intercept 2'!K264, Data!K264, "ERROR")</f>
        <v>CYLPRO</v>
      </c>
      <c r="L264" s="6" t="str">
        <f>IF(Data!L264 = 'Point Intercept 2'!L264, Data!L264, "ERROR")</f>
        <v>Cylindropuntia prolifera</v>
      </c>
      <c r="M264" s="6">
        <f>IF(Data!N264 = 'Point Intercept 2'!M264, Data!N264, "ERROR")</f>
        <v>0</v>
      </c>
      <c r="N264" s="6">
        <f>IF(Data!O264 = 'Point Intercept 2'!N264, Data!O264, "ERROR")</f>
        <v>0</v>
      </c>
      <c r="O264" s="6">
        <f>IF(Data!P264 = 'Point Intercept 2'!O264, Data!P264, "ERROR")</f>
        <v>0</v>
      </c>
    </row>
    <row r="265" spans="1:15" x14ac:dyDescent="0.25">
      <c r="A265" s="6">
        <f>IF(Data!A265 = 'Point Intercept 2'!A265, Data!A265, "ERROR")</f>
        <v>3</v>
      </c>
      <c r="B265" s="6">
        <f>IF(Data!B265 = 'Point Intercept 2'!B265, Data!B265, "ERROR")</f>
        <v>2025</v>
      </c>
      <c r="C265" s="8">
        <f>IF(Data!C265 = 'Point Intercept 2'!C265, Data!C265, "ERROR")</f>
        <v>45755</v>
      </c>
      <c r="D265" s="6" t="str">
        <f>IF(Data!D265 = 'Point Intercept 2'!D265, Data!D265, "ERROR")</f>
        <v>JC, TL</v>
      </c>
      <c r="E265" s="6" t="str">
        <f>IF(Data!E265 = 'Point Intercept 2'!E265, Data!E265, "ERROR")</f>
        <v>VB</v>
      </c>
      <c r="F265" s="6">
        <f>IF(Data!F265 = 'Point Intercept 2'!F265, Data!F265, "ERROR")</f>
        <v>3</v>
      </c>
      <c r="G265" s="6" t="str">
        <f>IF(Data!G265 = 'Point Intercept 2'!G265, Data!G265, "ERROR")</f>
        <v>LU</v>
      </c>
      <c r="H265" s="6">
        <f>IF(Data!I265 = 'Point Intercept 2'!I265, Data!I265, "ERROR")</f>
        <v>4</v>
      </c>
      <c r="I265" s="6">
        <f>IF(Data!H265 = 'Point Intercept 2'!H265, Data!H265, "ERROR")</f>
        <v>2</v>
      </c>
      <c r="J265" s="6">
        <f>IF(Data!J265 = 'Point Intercept 2'!J265, Data!J265, "ERROR")</f>
        <v>1.5</v>
      </c>
      <c r="K265" s="6" t="str">
        <f>IF(Data!K265 = 'Point Intercept 2'!K265, Data!K265, "ERROR")</f>
        <v>B</v>
      </c>
      <c r="L265" s="6" t="str">
        <f>IF(Data!L265 = 'Point Intercept 2'!L265, Data!L265, "ERROR")</f>
        <v>Bareground</v>
      </c>
      <c r="M265" s="6">
        <f>IF(Data!N265 = 'Point Intercept 2'!M265, Data!N265, "ERROR")</f>
        <v>0</v>
      </c>
      <c r="N265" s="6">
        <f>IF(Data!O265 = 'Point Intercept 2'!N265, Data!O265, "ERROR")</f>
        <v>0</v>
      </c>
      <c r="O265" s="6">
        <f>IF(Data!P265 = 'Point Intercept 2'!O265, Data!P265, "ERROR")</f>
        <v>0</v>
      </c>
    </row>
    <row r="266" spans="1:15" x14ac:dyDescent="0.25">
      <c r="A266" s="6">
        <f>IF(Data!A266 = 'Point Intercept 2'!A266, Data!A266, "ERROR")</f>
        <v>3</v>
      </c>
      <c r="B266" s="6">
        <f>IF(Data!B266 = 'Point Intercept 2'!B266, Data!B266, "ERROR")</f>
        <v>2025</v>
      </c>
      <c r="C266" s="8">
        <f>IF(Data!C266 = 'Point Intercept 2'!C266, Data!C266, "ERROR")</f>
        <v>45755</v>
      </c>
      <c r="D266" s="6" t="str">
        <f>IF(Data!D266 = 'Point Intercept 2'!D266, Data!D266, "ERROR")</f>
        <v>JC, TL</v>
      </c>
      <c r="E266" s="6" t="str">
        <f>IF(Data!E266 = 'Point Intercept 2'!E266, Data!E266, "ERROR")</f>
        <v>VB</v>
      </c>
      <c r="F266" s="6">
        <f>IF(Data!F266 = 'Point Intercept 2'!F266, Data!F266, "ERROR")</f>
        <v>3</v>
      </c>
      <c r="G266" s="6" t="str">
        <f>IF(Data!G266 = 'Point Intercept 2'!G266, Data!G266, "ERROR")</f>
        <v>LU</v>
      </c>
      <c r="H266" s="6">
        <f>IF(Data!I266 = 'Point Intercept 2'!I266, Data!I266, "ERROR")</f>
        <v>4</v>
      </c>
      <c r="I266" s="6">
        <f>IF(Data!H266 = 'Point Intercept 2'!H266, Data!H266, "ERROR")</f>
        <v>2</v>
      </c>
      <c r="J266" s="6">
        <f>IF(Data!J266 = 'Point Intercept 2'!J266, Data!J266, "ERROR")</f>
        <v>1.5</v>
      </c>
      <c r="K266" s="6" t="str">
        <f>IF(Data!K266 = 'Point Intercept 2'!K266, Data!K266, "ERROR")</f>
        <v>STIPUL</v>
      </c>
      <c r="L266" s="6" t="str">
        <f>IF(Data!L266 = 'Point Intercept 2'!L266, Data!L266, "ERROR")</f>
        <v>Stipa pulchra</v>
      </c>
      <c r="M266" s="6">
        <f>IF(Data!N266 = 'Point Intercept 2'!M266, Data!N266, "ERROR")</f>
        <v>0</v>
      </c>
      <c r="N266" s="6">
        <f>IF(Data!O266 = 'Point Intercept 2'!N266, Data!O266, "ERROR")</f>
        <v>0</v>
      </c>
      <c r="O266" s="6">
        <f>IF(Data!P266 = 'Point Intercept 2'!O266, Data!P266, "ERROR")</f>
        <v>0</v>
      </c>
    </row>
    <row r="267" spans="1:15" x14ac:dyDescent="0.25">
      <c r="A267" s="6">
        <f>IF(Data!A267 = 'Point Intercept 2'!A267, Data!A267, "ERROR")</f>
        <v>3</v>
      </c>
      <c r="B267" s="6">
        <f>IF(Data!B267 = 'Point Intercept 2'!B267, Data!B267, "ERROR")</f>
        <v>2025</v>
      </c>
      <c r="C267" s="8">
        <f>IF(Data!C267 = 'Point Intercept 2'!C267, Data!C267, "ERROR")</f>
        <v>45755</v>
      </c>
      <c r="D267" s="6" t="str">
        <f>IF(Data!D267 = 'Point Intercept 2'!D267, Data!D267, "ERROR")</f>
        <v>JC, TL</v>
      </c>
      <c r="E267" s="6" t="str">
        <f>IF(Data!E267 = 'Point Intercept 2'!E267, Data!E267, "ERROR")</f>
        <v>VB</v>
      </c>
      <c r="F267" s="6">
        <f>IF(Data!F267 = 'Point Intercept 2'!F267, Data!F267, "ERROR")</f>
        <v>3</v>
      </c>
      <c r="G267" s="6" t="str">
        <f>IF(Data!G267 = 'Point Intercept 2'!G267, Data!G267, "ERROR")</f>
        <v>LU</v>
      </c>
      <c r="H267" s="6">
        <f>IF(Data!I267 = 'Point Intercept 2'!I267, Data!I267, "ERROR")</f>
        <v>4</v>
      </c>
      <c r="I267" s="6">
        <f>IF(Data!H267 = 'Point Intercept 2'!H267, Data!H267, "ERROR")</f>
        <v>2</v>
      </c>
      <c r="J267" s="6">
        <f>IF(Data!J267 = 'Point Intercept 2'!J267, Data!J267, "ERROR")</f>
        <v>1.5</v>
      </c>
      <c r="K267" s="6" t="str">
        <f>IF(Data!K267 = 'Point Intercept 2'!K267, Data!K267, "ERROR")</f>
        <v>CRACON</v>
      </c>
      <c r="L267" s="6" t="str">
        <f>IF(Data!L267 = 'Point Intercept 2'!L267, Data!L267, "ERROR")</f>
        <v>Crassula connata</v>
      </c>
      <c r="M267" s="6">
        <f>IF(Data!N267 = 'Point Intercept 2'!M267, Data!N267, "ERROR")</f>
        <v>0</v>
      </c>
      <c r="N267" s="6">
        <f>IF(Data!O267 = 'Point Intercept 2'!N267, Data!O267, "ERROR")</f>
        <v>0</v>
      </c>
      <c r="O267" s="6">
        <f>IF(Data!P267 = 'Point Intercept 2'!O267, Data!P267, "ERROR")</f>
        <v>0</v>
      </c>
    </row>
    <row r="268" spans="1:15" x14ac:dyDescent="0.25">
      <c r="A268" s="6">
        <f>IF(Data!A268 = 'Point Intercept 2'!A268, Data!A268, "ERROR")</f>
        <v>3</v>
      </c>
      <c r="B268" s="6">
        <f>IF(Data!B268 = 'Point Intercept 2'!B268, Data!B268, "ERROR")</f>
        <v>2025</v>
      </c>
      <c r="C268" s="8">
        <f>IF(Data!C268 = 'Point Intercept 2'!C268, Data!C268, "ERROR")</f>
        <v>45755</v>
      </c>
      <c r="D268" s="6" t="str">
        <f>IF(Data!D268 = 'Point Intercept 2'!D268, Data!D268, "ERROR")</f>
        <v>JC, TL</v>
      </c>
      <c r="E268" s="6" t="str">
        <f>IF(Data!E268 = 'Point Intercept 2'!E268, Data!E268, "ERROR")</f>
        <v>VB</v>
      </c>
      <c r="F268" s="6">
        <f>IF(Data!F268 = 'Point Intercept 2'!F268, Data!F268, "ERROR")</f>
        <v>3</v>
      </c>
      <c r="G268" s="6" t="str">
        <f>IF(Data!G268 = 'Point Intercept 2'!G268, Data!G268, "ERROR")</f>
        <v>LU</v>
      </c>
      <c r="H268" s="6">
        <f>IF(Data!I268 = 'Point Intercept 2'!I268, Data!I268, "ERROR")</f>
        <v>4</v>
      </c>
      <c r="I268" s="6">
        <f>IF(Data!H268 = 'Point Intercept 2'!H268, Data!H268, "ERROR")</f>
        <v>2</v>
      </c>
      <c r="J268" s="6">
        <f>IF(Data!J268 = 'Point Intercept 2'!J268, Data!J268, "ERROR")</f>
        <v>1.5</v>
      </c>
      <c r="K268" s="6" t="str">
        <f>IF(Data!K268 = 'Point Intercept 2'!K268, Data!K268, "ERROR")</f>
        <v>DAUPUS</v>
      </c>
      <c r="L268" s="6" t="str">
        <f>IF(Data!L268 = 'Point Intercept 2'!L268, Data!L268, "ERROR")</f>
        <v>Daucus pusillus</v>
      </c>
      <c r="M268" s="6">
        <f>IF(Data!N268 = 'Point Intercept 2'!M268, Data!N268, "ERROR")</f>
        <v>0</v>
      </c>
      <c r="N268" s="6">
        <f>IF(Data!O268 = 'Point Intercept 2'!N268, Data!O268, "ERROR")</f>
        <v>0</v>
      </c>
      <c r="O268" s="6">
        <f>IF(Data!P268 = 'Point Intercept 2'!O268, Data!P268, "ERROR")</f>
        <v>0</v>
      </c>
    </row>
    <row r="269" spans="1:15" x14ac:dyDescent="0.25">
      <c r="A269" s="6">
        <f>IF(Data!A269 = 'Point Intercept 2'!A269, Data!A269, "ERROR")</f>
        <v>3</v>
      </c>
      <c r="B269" s="6">
        <f>IF(Data!B269 = 'Point Intercept 2'!B269, Data!B269, "ERROR")</f>
        <v>2025</v>
      </c>
      <c r="C269" s="8">
        <f>IF(Data!C269 = 'Point Intercept 2'!C269, Data!C269, "ERROR")</f>
        <v>45755</v>
      </c>
      <c r="D269" s="6" t="str">
        <f>IF(Data!D269 = 'Point Intercept 2'!D269, Data!D269, "ERROR")</f>
        <v>JC, TL</v>
      </c>
      <c r="E269" s="6" t="str">
        <f>IF(Data!E269 = 'Point Intercept 2'!E269, Data!E269, "ERROR")</f>
        <v>VB</v>
      </c>
      <c r="F269" s="6">
        <f>IF(Data!F269 = 'Point Intercept 2'!F269, Data!F269, "ERROR")</f>
        <v>3</v>
      </c>
      <c r="G269" s="6" t="str">
        <f>IF(Data!G269 = 'Point Intercept 2'!G269, Data!G269, "ERROR")</f>
        <v>LU</v>
      </c>
      <c r="H269" s="6">
        <f>IF(Data!I269 = 'Point Intercept 2'!I269, Data!I269, "ERROR")</f>
        <v>4</v>
      </c>
      <c r="I269" s="6">
        <f>IF(Data!H269 = 'Point Intercept 2'!H269, Data!H269, "ERROR")</f>
        <v>2</v>
      </c>
      <c r="J269" s="6">
        <f>IF(Data!J269 = 'Point Intercept 2'!J269, Data!J269, "ERROR")</f>
        <v>1.5</v>
      </c>
      <c r="K269" s="6" t="str">
        <f>IF(Data!K269 = 'Point Intercept 2'!K269, Data!K269, "ERROR")</f>
        <v>FESMYU</v>
      </c>
      <c r="L269" s="6" t="str">
        <f>IF(Data!L269 = 'Point Intercept 2'!L269, Data!L269, "ERROR")</f>
        <v>Festuca myuros</v>
      </c>
      <c r="M269" s="6">
        <f>IF(Data!N269 = 'Point Intercept 2'!M269, Data!N269, "ERROR")</f>
        <v>0</v>
      </c>
      <c r="N269" s="6">
        <f>IF(Data!O269 = 'Point Intercept 2'!N269, Data!O269, "ERROR")</f>
        <v>0</v>
      </c>
      <c r="O269" s="6">
        <f>IF(Data!P269 = 'Point Intercept 2'!O269, Data!P269, "ERROR")</f>
        <v>0</v>
      </c>
    </row>
    <row r="270" spans="1:15" x14ac:dyDescent="0.25">
      <c r="A270" s="6">
        <f>IF(Data!A270 = 'Point Intercept 2'!A270, Data!A270, "ERROR")</f>
        <v>3</v>
      </c>
      <c r="B270" s="6">
        <f>IF(Data!B270 = 'Point Intercept 2'!B270, Data!B270, "ERROR")</f>
        <v>2025</v>
      </c>
      <c r="C270" s="8">
        <f>IF(Data!C270 = 'Point Intercept 2'!C270, Data!C270, "ERROR")</f>
        <v>45755</v>
      </c>
      <c r="D270" s="6" t="str">
        <f>IF(Data!D270 = 'Point Intercept 2'!D270, Data!D270, "ERROR")</f>
        <v>JC, TL</v>
      </c>
      <c r="E270" s="6" t="str">
        <f>IF(Data!E270 = 'Point Intercept 2'!E270, Data!E270, "ERROR")</f>
        <v>VB</v>
      </c>
      <c r="F270" s="6">
        <f>IF(Data!F270 = 'Point Intercept 2'!F270, Data!F270, "ERROR")</f>
        <v>3</v>
      </c>
      <c r="G270" s="6" t="str">
        <f>IF(Data!G270 = 'Point Intercept 2'!G270, Data!G270, "ERROR")</f>
        <v>LU</v>
      </c>
      <c r="H270" s="6">
        <f>IF(Data!I270 = 'Point Intercept 2'!I270, Data!I270, "ERROR")</f>
        <v>5</v>
      </c>
      <c r="I270" s="6">
        <f>IF(Data!H270 = 'Point Intercept 2'!H270, Data!H270, "ERROR")</f>
        <v>2</v>
      </c>
      <c r="J270" s="6">
        <f>IF(Data!J270 = 'Point Intercept 2'!J270, Data!J270, "ERROR")</f>
        <v>2.5</v>
      </c>
      <c r="K270" s="6" t="str">
        <f>IF(Data!K270 = 'Point Intercept 2'!K270, Data!K270, "ERROR")</f>
        <v>B</v>
      </c>
      <c r="L270" s="6" t="str">
        <f>IF(Data!L270 = 'Point Intercept 2'!L270, Data!L270, "ERROR")</f>
        <v>Bareground</v>
      </c>
      <c r="M270" s="6">
        <f>IF(Data!N270 = 'Point Intercept 2'!M270, Data!N270, "ERROR")</f>
        <v>0</v>
      </c>
      <c r="N270" s="6">
        <f>IF(Data!O270 = 'Point Intercept 2'!N270, Data!O270, "ERROR")</f>
        <v>0</v>
      </c>
      <c r="O270" s="6">
        <f>IF(Data!P270 = 'Point Intercept 2'!O270, Data!P270, "ERROR")</f>
        <v>0</v>
      </c>
    </row>
    <row r="271" spans="1:15" x14ac:dyDescent="0.25">
      <c r="A271" s="6">
        <f>IF(Data!A271 = 'Point Intercept 2'!A271, Data!A271, "ERROR")</f>
        <v>3</v>
      </c>
      <c r="B271" s="6">
        <f>IF(Data!B271 = 'Point Intercept 2'!B271, Data!B271, "ERROR")</f>
        <v>2025</v>
      </c>
      <c r="C271" s="8">
        <f>IF(Data!C271 = 'Point Intercept 2'!C271, Data!C271, "ERROR")</f>
        <v>45755</v>
      </c>
      <c r="D271" s="6" t="str">
        <f>IF(Data!D271 = 'Point Intercept 2'!D271, Data!D271, "ERROR")</f>
        <v>JC, TL</v>
      </c>
      <c r="E271" s="6" t="str">
        <f>IF(Data!E271 = 'Point Intercept 2'!E271, Data!E271, "ERROR")</f>
        <v>VB</v>
      </c>
      <c r="F271" s="6">
        <f>IF(Data!F271 = 'Point Intercept 2'!F271, Data!F271, "ERROR")</f>
        <v>3</v>
      </c>
      <c r="G271" s="6" t="str">
        <f>IF(Data!G271 = 'Point Intercept 2'!G271, Data!G271, "ERROR")</f>
        <v>LU</v>
      </c>
      <c r="H271" s="6">
        <f>IF(Data!I271 = 'Point Intercept 2'!I271, Data!I271, "ERROR")</f>
        <v>5</v>
      </c>
      <c r="I271" s="6">
        <f>IF(Data!H271 = 'Point Intercept 2'!H271, Data!H271, "ERROR")</f>
        <v>2</v>
      </c>
      <c r="J271" s="6">
        <f>IF(Data!J271 = 'Point Intercept 2'!J271, Data!J271, "ERROR")</f>
        <v>2.5</v>
      </c>
      <c r="K271" s="6" t="str">
        <f>IF(Data!K271 = 'Point Intercept 2'!K271, Data!K271, "ERROR")</f>
        <v>FESMYU</v>
      </c>
      <c r="L271" s="6" t="str">
        <f>IF(Data!L271 = 'Point Intercept 2'!L271, Data!L271, "ERROR")</f>
        <v>Festuca myuros</v>
      </c>
      <c r="M271" s="6">
        <f>IF(Data!N271 = 'Point Intercept 2'!M271, Data!N271, "ERROR")</f>
        <v>0</v>
      </c>
      <c r="N271" s="6">
        <f>IF(Data!O271 = 'Point Intercept 2'!N271, Data!O271, "ERROR")</f>
        <v>0</v>
      </c>
      <c r="O271" s="6">
        <f>IF(Data!P271 = 'Point Intercept 2'!O271, Data!P271, "ERROR")</f>
        <v>0</v>
      </c>
    </row>
    <row r="272" spans="1:15" x14ac:dyDescent="0.25">
      <c r="A272" s="6">
        <f>IF(Data!A272 = 'Point Intercept 2'!A272, Data!A272, "ERROR")</f>
        <v>3</v>
      </c>
      <c r="B272" s="6">
        <f>IF(Data!B272 = 'Point Intercept 2'!B272, Data!B272, "ERROR")</f>
        <v>2025</v>
      </c>
      <c r="C272" s="8">
        <f>IF(Data!C272 = 'Point Intercept 2'!C272, Data!C272, "ERROR")</f>
        <v>45755</v>
      </c>
      <c r="D272" s="6" t="str">
        <f>IF(Data!D272 = 'Point Intercept 2'!D272, Data!D272, "ERROR")</f>
        <v>JC, TL</v>
      </c>
      <c r="E272" s="6" t="str">
        <f>IF(Data!E272 = 'Point Intercept 2'!E272, Data!E272, "ERROR")</f>
        <v>VB</v>
      </c>
      <c r="F272" s="6">
        <f>IF(Data!F272 = 'Point Intercept 2'!F272, Data!F272, "ERROR")</f>
        <v>3</v>
      </c>
      <c r="G272" s="6" t="str">
        <f>IF(Data!G272 = 'Point Intercept 2'!G272, Data!G272, "ERROR")</f>
        <v>LU</v>
      </c>
      <c r="H272" s="6">
        <f>IF(Data!I272 = 'Point Intercept 2'!I272, Data!I272, "ERROR")</f>
        <v>6</v>
      </c>
      <c r="I272" s="6">
        <f>IF(Data!H272 = 'Point Intercept 2'!H272, Data!H272, "ERROR")</f>
        <v>2</v>
      </c>
      <c r="J272" s="6">
        <f>IF(Data!J272 = 'Point Intercept 2'!J272, Data!J272, "ERROR")</f>
        <v>3</v>
      </c>
      <c r="K272" s="6" t="str">
        <f>IF(Data!K272 = 'Point Intercept 2'!K272, Data!K272, "ERROR")</f>
        <v>L</v>
      </c>
      <c r="L272" s="6" t="str">
        <f>IF(Data!L272 = 'Point Intercept 2'!L272, Data!L272, "ERROR")</f>
        <v>Litter</v>
      </c>
      <c r="M272" s="6">
        <f>IF(Data!N272 = 'Point Intercept 2'!M272, Data!N272, "ERROR")</f>
        <v>0</v>
      </c>
      <c r="N272" s="6">
        <f>IF(Data!O272 = 'Point Intercept 2'!N272, Data!O272, "ERROR")</f>
        <v>0</v>
      </c>
      <c r="O272" s="6">
        <f>IF(Data!P272 = 'Point Intercept 2'!O272, Data!P272, "ERROR")</f>
        <v>0</v>
      </c>
    </row>
    <row r="273" spans="1:15" x14ac:dyDescent="0.25">
      <c r="A273" s="6">
        <f>IF(Data!A273 = 'Point Intercept 2'!A273, Data!A273, "ERROR")</f>
        <v>3</v>
      </c>
      <c r="B273" s="6">
        <f>IF(Data!B273 = 'Point Intercept 2'!B273, Data!B273, "ERROR")</f>
        <v>2025</v>
      </c>
      <c r="C273" s="8">
        <f>IF(Data!C273 = 'Point Intercept 2'!C273, Data!C273, "ERROR")</f>
        <v>45755</v>
      </c>
      <c r="D273" s="6" t="str">
        <f>IF(Data!D273 = 'Point Intercept 2'!D273, Data!D273, "ERROR")</f>
        <v>JC, TL</v>
      </c>
      <c r="E273" s="6" t="str">
        <f>IF(Data!E273 = 'Point Intercept 2'!E273, Data!E273, "ERROR")</f>
        <v>VB</v>
      </c>
      <c r="F273" s="6">
        <f>IF(Data!F273 = 'Point Intercept 2'!F273, Data!F273, "ERROR")</f>
        <v>3</v>
      </c>
      <c r="G273" s="6" t="str">
        <f>IF(Data!G273 = 'Point Intercept 2'!G273, Data!G273, "ERROR")</f>
        <v>LU</v>
      </c>
      <c r="H273" s="6">
        <f>IF(Data!I273 = 'Point Intercept 2'!I273, Data!I273, "ERROR")</f>
        <v>6</v>
      </c>
      <c r="I273" s="6">
        <f>IF(Data!H273 = 'Point Intercept 2'!H273, Data!H273, "ERROR")</f>
        <v>2</v>
      </c>
      <c r="J273" s="6">
        <f>IF(Data!J273 = 'Point Intercept 2'!J273, Data!J273, "ERROR")</f>
        <v>3</v>
      </c>
      <c r="K273" s="6" t="str">
        <f>IF(Data!K273 = 'Point Intercept 2'!K273, Data!K273, "ERROR")</f>
        <v>CRACON</v>
      </c>
      <c r="L273" s="6" t="str">
        <f>IF(Data!L273 = 'Point Intercept 2'!L273, Data!L273, "ERROR")</f>
        <v>Crassula connata</v>
      </c>
      <c r="M273" s="6">
        <f>IF(Data!N273 = 'Point Intercept 2'!M273, Data!N273, "ERROR")</f>
        <v>0</v>
      </c>
      <c r="N273" s="6">
        <f>IF(Data!O273 = 'Point Intercept 2'!N273, Data!O273, "ERROR")</f>
        <v>0</v>
      </c>
      <c r="O273" s="6">
        <f>IF(Data!P273 = 'Point Intercept 2'!O273, Data!P273, "ERROR")</f>
        <v>0</v>
      </c>
    </row>
    <row r="274" spans="1:15" x14ac:dyDescent="0.25">
      <c r="A274" s="6">
        <f>IF(Data!A274 = 'Point Intercept 2'!A274, Data!A274, "ERROR")</f>
        <v>3</v>
      </c>
      <c r="B274" s="6">
        <f>IF(Data!B274 = 'Point Intercept 2'!B274, Data!B274, "ERROR")</f>
        <v>2025</v>
      </c>
      <c r="C274" s="8">
        <f>IF(Data!C274 = 'Point Intercept 2'!C274, Data!C274, "ERROR")</f>
        <v>45755</v>
      </c>
      <c r="D274" s="6" t="str">
        <f>IF(Data!D274 = 'Point Intercept 2'!D274, Data!D274, "ERROR")</f>
        <v>JC, TL</v>
      </c>
      <c r="E274" s="6" t="str">
        <f>IF(Data!E274 = 'Point Intercept 2'!E274, Data!E274, "ERROR")</f>
        <v>VB</v>
      </c>
      <c r="F274" s="6">
        <f>IF(Data!F274 = 'Point Intercept 2'!F274, Data!F274, "ERROR")</f>
        <v>3</v>
      </c>
      <c r="G274" s="6" t="str">
        <f>IF(Data!G274 = 'Point Intercept 2'!G274, Data!G274, "ERROR")</f>
        <v>LU</v>
      </c>
      <c r="H274" s="6">
        <f>IF(Data!I274 = 'Point Intercept 2'!I274, Data!I274, "ERROR")</f>
        <v>6</v>
      </c>
      <c r="I274" s="6">
        <f>IF(Data!H274 = 'Point Intercept 2'!H274, Data!H274, "ERROR")</f>
        <v>2</v>
      </c>
      <c r="J274" s="6">
        <f>IF(Data!J274 = 'Point Intercept 2'!J274, Data!J274, "ERROR")</f>
        <v>3</v>
      </c>
      <c r="K274" s="6" t="str">
        <f>IF(Data!K274 = 'Point Intercept 2'!K274, Data!K274, "ERROR")</f>
        <v>FESMYU</v>
      </c>
      <c r="L274" s="6" t="str">
        <f>IF(Data!L274 = 'Point Intercept 2'!L274, Data!L274, "ERROR")</f>
        <v>Festuca myuros</v>
      </c>
      <c r="M274" s="6">
        <f>IF(Data!N274 = 'Point Intercept 2'!M274, Data!N274, "ERROR")</f>
        <v>0</v>
      </c>
      <c r="N274" s="6">
        <f>IF(Data!O274 = 'Point Intercept 2'!N274, Data!O274, "ERROR")</f>
        <v>0</v>
      </c>
      <c r="O274" s="6">
        <f>IF(Data!P274 = 'Point Intercept 2'!O274, Data!P274, "ERROR")</f>
        <v>0</v>
      </c>
    </row>
    <row r="275" spans="1:15" x14ac:dyDescent="0.25">
      <c r="A275" s="6">
        <f>IF(Data!A275 = 'Point Intercept 2'!A275, Data!A275, "ERROR")</f>
        <v>3</v>
      </c>
      <c r="B275" s="6">
        <f>IF(Data!B275 = 'Point Intercept 2'!B275, Data!B275, "ERROR")</f>
        <v>2025</v>
      </c>
      <c r="C275" s="8">
        <f>IF(Data!C275 = 'Point Intercept 2'!C275, Data!C275, "ERROR")</f>
        <v>45755</v>
      </c>
      <c r="D275" s="6" t="str">
        <f>IF(Data!D275 = 'Point Intercept 2'!D275, Data!D275, "ERROR")</f>
        <v>JC, TL</v>
      </c>
      <c r="E275" s="6" t="str">
        <f>IF(Data!E275 = 'Point Intercept 2'!E275, Data!E275, "ERROR")</f>
        <v>VB</v>
      </c>
      <c r="F275" s="6">
        <f>IF(Data!F275 = 'Point Intercept 2'!F275, Data!F275, "ERROR")</f>
        <v>3</v>
      </c>
      <c r="G275" s="6" t="str">
        <f>IF(Data!G275 = 'Point Intercept 2'!G275, Data!G275, "ERROR")</f>
        <v>LU</v>
      </c>
      <c r="H275" s="6">
        <f>IF(Data!I275 = 'Point Intercept 2'!I275, Data!I275, "ERROR")</f>
        <v>6</v>
      </c>
      <c r="I275" s="6">
        <f>IF(Data!H275 = 'Point Intercept 2'!H275, Data!H275, "ERROR")</f>
        <v>2</v>
      </c>
      <c r="J275" s="6">
        <f>IF(Data!J275 = 'Point Intercept 2'!J275, Data!J275, "ERROR")</f>
        <v>3</v>
      </c>
      <c r="K275" s="6" t="str">
        <f>IF(Data!K275 = 'Point Intercept 2'!K275, Data!K275, "ERROR")</f>
        <v>MEDPOL</v>
      </c>
      <c r="L275" s="6" t="str">
        <f>IF(Data!L275 = 'Point Intercept 2'!L275, Data!L275, "ERROR")</f>
        <v>Medicago polymorpha</v>
      </c>
      <c r="M275" s="6">
        <f>IF(Data!N275 = 'Point Intercept 2'!M275, Data!N275, "ERROR")</f>
        <v>0</v>
      </c>
      <c r="N275" s="6">
        <f>IF(Data!O275 = 'Point Intercept 2'!N275, Data!O275, "ERROR")</f>
        <v>0</v>
      </c>
      <c r="O275" s="6">
        <f>IF(Data!P275 = 'Point Intercept 2'!O275, Data!P275, "ERROR")</f>
        <v>0</v>
      </c>
    </row>
    <row r="276" spans="1:15" x14ac:dyDescent="0.25">
      <c r="A276" s="6">
        <f>IF(Data!A276 = 'Point Intercept 2'!A276, Data!A276, "ERROR")</f>
        <v>3</v>
      </c>
      <c r="B276" s="6">
        <f>IF(Data!B276 = 'Point Intercept 2'!B276, Data!B276, "ERROR")</f>
        <v>2025</v>
      </c>
      <c r="C276" s="8">
        <f>IF(Data!C276 = 'Point Intercept 2'!C276, Data!C276, "ERROR")</f>
        <v>45755</v>
      </c>
      <c r="D276" s="6" t="str">
        <f>IF(Data!D276 = 'Point Intercept 2'!D276, Data!D276, "ERROR")</f>
        <v>JC, TL</v>
      </c>
      <c r="E276" s="6" t="str">
        <f>IF(Data!E276 = 'Point Intercept 2'!E276, Data!E276, "ERROR")</f>
        <v>VB</v>
      </c>
      <c r="F276" s="6">
        <f>IF(Data!F276 = 'Point Intercept 2'!F276, Data!F276, "ERROR")</f>
        <v>3</v>
      </c>
      <c r="G276" s="6" t="str">
        <f>IF(Data!G276 = 'Point Intercept 2'!G276, Data!G276, "ERROR")</f>
        <v>LU</v>
      </c>
      <c r="H276" s="6">
        <f>IF(Data!I276 = 'Point Intercept 2'!I276, Data!I276, "ERROR")</f>
        <v>6</v>
      </c>
      <c r="I276" s="6">
        <f>IF(Data!H276 = 'Point Intercept 2'!H276, Data!H276, "ERROR")</f>
        <v>2</v>
      </c>
      <c r="J276" s="6">
        <f>IF(Data!J276 = 'Point Intercept 2'!J276, Data!J276, "ERROR")</f>
        <v>3</v>
      </c>
      <c r="K276" s="6" t="str">
        <f>IF(Data!K276 = 'Point Intercept 2'!K276, Data!K276, "ERROR")</f>
        <v>OPULIT</v>
      </c>
      <c r="L276" s="6" t="str">
        <f>IF(Data!L276 = 'Point Intercept 2'!L276, Data!L276, "ERROR")</f>
        <v>Opuntia littoralis</v>
      </c>
      <c r="M276" s="6">
        <f>IF(Data!N276 = 'Point Intercept 2'!M276, Data!N276, "ERROR")</f>
        <v>0</v>
      </c>
      <c r="N276" s="6">
        <f>IF(Data!O276 = 'Point Intercept 2'!N276, Data!O276, "ERROR")</f>
        <v>0</v>
      </c>
      <c r="O276" s="6">
        <f>IF(Data!P276 = 'Point Intercept 2'!O276, Data!P276, "ERROR")</f>
        <v>0</v>
      </c>
    </row>
    <row r="277" spans="1:15" x14ac:dyDescent="0.25">
      <c r="A277" s="6">
        <f>IF(Data!A277 = 'Point Intercept 2'!A277, Data!A277, "ERROR")</f>
        <v>3</v>
      </c>
      <c r="B277" s="6">
        <f>IF(Data!B277 = 'Point Intercept 2'!B277, Data!B277, "ERROR")</f>
        <v>2025</v>
      </c>
      <c r="C277" s="8">
        <f>IF(Data!C277 = 'Point Intercept 2'!C277, Data!C277, "ERROR")</f>
        <v>45755</v>
      </c>
      <c r="D277" s="6" t="str">
        <f>IF(Data!D277 = 'Point Intercept 2'!D277, Data!D277, "ERROR")</f>
        <v>JC, TL</v>
      </c>
      <c r="E277" s="6" t="str">
        <f>IF(Data!E277 = 'Point Intercept 2'!E277, Data!E277, "ERROR")</f>
        <v>VB</v>
      </c>
      <c r="F277" s="6">
        <f>IF(Data!F277 = 'Point Intercept 2'!F277, Data!F277, "ERROR")</f>
        <v>3</v>
      </c>
      <c r="G277" s="6" t="str">
        <f>IF(Data!G277 = 'Point Intercept 2'!G277, Data!G277, "ERROR")</f>
        <v>LU</v>
      </c>
      <c r="H277" s="6">
        <f>IF(Data!I277 = 'Point Intercept 2'!I277, Data!I277, "ERROR")</f>
        <v>7</v>
      </c>
      <c r="I277" s="6">
        <f>IF(Data!H277 = 'Point Intercept 2'!H277, Data!H277, "ERROR")</f>
        <v>2</v>
      </c>
      <c r="J277" s="6">
        <f>IF(Data!J277 = 'Point Intercept 2'!J277, Data!J277, "ERROR")</f>
        <v>3.5</v>
      </c>
      <c r="K277" s="6" t="str">
        <f>IF(Data!K277 = 'Point Intercept 2'!K277, Data!K277, "ERROR")</f>
        <v>L</v>
      </c>
      <c r="L277" s="6" t="str">
        <f>IF(Data!L277 = 'Point Intercept 2'!L277, Data!L277, "ERROR")</f>
        <v>Litter</v>
      </c>
      <c r="M277" s="6">
        <f>IF(Data!N277 = 'Point Intercept 2'!M277, Data!N277, "ERROR")</f>
        <v>0</v>
      </c>
      <c r="N277" s="6">
        <f>IF(Data!O277 = 'Point Intercept 2'!N277, Data!O277, "ERROR")</f>
        <v>0</v>
      </c>
      <c r="O277" s="6">
        <f>IF(Data!P277 = 'Point Intercept 2'!O277, Data!P277, "ERROR")</f>
        <v>0</v>
      </c>
    </row>
    <row r="278" spans="1:15" x14ac:dyDescent="0.25">
      <c r="A278" s="6">
        <f>IF(Data!A278 = 'Point Intercept 2'!A278, Data!A278, "ERROR")</f>
        <v>3</v>
      </c>
      <c r="B278" s="6">
        <f>IF(Data!B278 = 'Point Intercept 2'!B278, Data!B278, "ERROR")</f>
        <v>2025</v>
      </c>
      <c r="C278" s="8">
        <f>IF(Data!C278 = 'Point Intercept 2'!C278, Data!C278, "ERROR")</f>
        <v>45755</v>
      </c>
      <c r="D278" s="6" t="str">
        <f>IF(Data!D278 = 'Point Intercept 2'!D278, Data!D278, "ERROR")</f>
        <v>JC, TL</v>
      </c>
      <c r="E278" s="6" t="str">
        <f>IF(Data!E278 = 'Point Intercept 2'!E278, Data!E278, "ERROR")</f>
        <v>VB</v>
      </c>
      <c r="F278" s="6">
        <f>IF(Data!F278 = 'Point Intercept 2'!F278, Data!F278, "ERROR")</f>
        <v>3</v>
      </c>
      <c r="G278" s="6" t="str">
        <f>IF(Data!G278 = 'Point Intercept 2'!G278, Data!G278, "ERROR")</f>
        <v>LU</v>
      </c>
      <c r="H278" s="6">
        <f>IF(Data!I278 = 'Point Intercept 2'!I278, Data!I278, "ERROR")</f>
        <v>7</v>
      </c>
      <c r="I278" s="6">
        <f>IF(Data!H278 = 'Point Intercept 2'!H278, Data!H278, "ERROR")</f>
        <v>2</v>
      </c>
      <c r="J278" s="6">
        <f>IF(Data!J278 = 'Point Intercept 2'!J278, Data!J278, "ERROR")</f>
        <v>3.5</v>
      </c>
      <c r="K278" s="6" t="str">
        <f>IF(Data!K278 = 'Point Intercept 2'!K278, Data!K278, "ERROR")</f>
        <v>FESMYU</v>
      </c>
      <c r="L278" s="6" t="str">
        <f>IF(Data!L278 = 'Point Intercept 2'!L278, Data!L278, "ERROR")</f>
        <v>Festuca myuros</v>
      </c>
      <c r="M278" s="6">
        <f>IF(Data!N278 = 'Point Intercept 2'!M278, Data!N278, "ERROR")</f>
        <v>0</v>
      </c>
      <c r="N278" s="6">
        <f>IF(Data!O278 = 'Point Intercept 2'!N278, Data!O278, "ERROR")</f>
        <v>0</v>
      </c>
      <c r="O278" s="6">
        <f>IF(Data!P278 = 'Point Intercept 2'!O278, Data!P278, "ERROR")</f>
        <v>0</v>
      </c>
    </row>
    <row r="279" spans="1:15" x14ac:dyDescent="0.25">
      <c r="A279" s="6">
        <f>IF(Data!A279 = 'Point Intercept 2'!A279, Data!A279, "ERROR")</f>
        <v>3</v>
      </c>
      <c r="B279" s="6">
        <f>IF(Data!B279 = 'Point Intercept 2'!B279, Data!B279, "ERROR")</f>
        <v>2025</v>
      </c>
      <c r="C279" s="8">
        <f>IF(Data!C279 = 'Point Intercept 2'!C279, Data!C279, "ERROR")</f>
        <v>45755</v>
      </c>
      <c r="D279" s="6" t="str">
        <f>IF(Data!D279 = 'Point Intercept 2'!D279, Data!D279, "ERROR")</f>
        <v>JC, TL</v>
      </c>
      <c r="E279" s="6" t="str">
        <f>IF(Data!E279 = 'Point Intercept 2'!E279, Data!E279, "ERROR")</f>
        <v>VB</v>
      </c>
      <c r="F279" s="6">
        <f>IF(Data!F279 = 'Point Intercept 2'!F279, Data!F279, "ERROR")</f>
        <v>3</v>
      </c>
      <c r="G279" s="6" t="str">
        <f>IF(Data!G279 = 'Point Intercept 2'!G279, Data!G279, "ERROR")</f>
        <v>LU</v>
      </c>
      <c r="H279" s="6">
        <f>IF(Data!I279 = 'Point Intercept 2'!I279, Data!I279, "ERROR")</f>
        <v>8</v>
      </c>
      <c r="I279" s="6">
        <f>IF(Data!H279 = 'Point Intercept 2'!H279, Data!H279, "ERROR")</f>
        <v>2</v>
      </c>
      <c r="J279" s="6">
        <f>IF(Data!J279 = 'Point Intercept 2'!J279, Data!J279, "ERROR")</f>
        <v>4</v>
      </c>
      <c r="K279" s="6" t="str">
        <f>IF(Data!K279 = 'Point Intercept 2'!K279, Data!K279, "ERROR")</f>
        <v>B</v>
      </c>
      <c r="L279" s="6" t="str">
        <f>IF(Data!L279 = 'Point Intercept 2'!L279, Data!L279, "ERROR")</f>
        <v>Bareground</v>
      </c>
      <c r="M279" s="6">
        <f>IF(Data!N279 = 'Point Intercept 2'!M279, Data!N279, "ERROR")</f>
        <v>0</v>
      </c>
      <c r="N279" s="6">
        <f>IF(Data!O279 = 'Point Intercept 2'!N279, Data!O279, "ERROR")</f>
        <v>0</v>
      </c>
      <c r="O279" s="6">
        <f>IF(Data!P279 = 'Point Intercept 2'!O279, Data!P279, "ERROR")</f>
        <v>0</v>
      </c>
    </row>
    <row r="280" spans="1:15" x14ac:dyDescent="0.25">
      <c r="A280" s="6">
        <f>IF(Data!A280 = 'Point Intercept 2'!A280, Data!A280, "ERROR")</f>
        <v>3</v>
      </c>
      <c r="B280" s="6">
        <f>IF(Data!B280 = 'Point Intercept 2'!B280, Data!B280, "ERROR")</f>
        <v>2025</v>
      </c>
      <c r="C280" s="8">
        <f>IF(Data!C280 = 'Point Intercept 2'!C280, Data!C280, "ERROR")</f>
        <v>45755</v>
      </c>
      <c r="D280" s="6" t="str">
        <f>IF(Data!D280 = 'Point Intercept 2'!D280, Data!D280, "ERROR")</f>
        <v>JC, TL</v>
      </c>
      <c r="E280" s="6" t="str">
        <f>IF(Data!E280 = 'Point Intercept 2'!E280, Data!E280, "ERROR")</f>
        <v>VB</v>
      </c>
      <c r="F280" s="6">
        <f>IF(Data!F280 = 'Point Intercept 2'!F280, Data!F280, "ERROR")</f>
        <v>3</v>
      </c>
      <c r="G280" s="6" t="str">
        <f>IF(Data!G280 = 'Point Intercept 2'!G280, Data!G280, "ERROR")</f>
        <v>LU</v>
      </c>
      <c r="H280" s="6">
        <f>IF(Data!I280 = 'Point Intercept 2'!I280, Data!I280, "ERROR")</f>
        <v>8</v>
      </c>
      <c r="I280" s="6">
        <f>IF(Data!H280 = 'Point Intercept 2'!H280, Data!H280, "ERROR")</f>
        <v>2</v>
      </c>
      <c r="J280" s="6">
        <f>IF(Data!J280 = 'Point Intercept 2'!J280, Data!J280, "ERROR")</f>
        <v>4</v>
      </c>
      <c r="K280" s="6" t="str">
        <f>IF(Data!K280 = 'Point Intercept 2'!K280, Data!K280, "ERROR")</f>
        <v>DAUPUS</v>
      </c>
      <c r="L280" s="6" t="str">
        <f>IF(Data!L280 = 'Point Intercept 2'!L280, Data!L280, "ERROR")</f>
        <v>Daucus pusillus</v>
      </c>
      <c r="M280" s="6">
        <f>IF(Data!N280 = 'Point Intercept 2'!M280, Data!N280, "ERROR")</f>
        <v>0</v>
      </c>
      <c r="N280" s="6">
        <f>IF(Data!O280 = 'Point Intercept 2'!N280, Data!O280, "ERROR")</f>
        <v>0</v>
      </c>
      <c r="O280" s="6">
        <f>IF(Data!P280 = 'Point Intercept 2'!O280, Data!P280, "ERROR")</f>
        <v>0</v>
      </c>
    </row>
    <row r="281" spans="1:15" x14ac:dyDescent="0.25">
      <c r="A281" s="6">
        <f>IF(Data!A281 = 'Point Intercept 2'!A281, Data!A281, "ERROR")</f>
        <v>3</v>
      </c>
      <c r="B281" s="6">
        <f>IF(Data!B281 = 'Point Intercept 2'!B281, Data!B281, "ERROR")</f>
        <v>2025</v>
      </c>
      <c r="C281" s="8">
        <f>IF(Data!C281 = 'Point Intercept 2'!C281, Data!C281, "ERROR")</f>
        <v>45755</v>
      </c>
      <c r="D281" s="6" t="str">
        <f>IF(Data!D281 = 'Point Intercept 2'!D281, Data!D281, "ERROR")</f>
        <v>JC, TL</v>
      </c>
      <c r="E281" s="6" t="str">
        <f>IF(Data!E281 = 'Point Intercept 2'!E281, Data!E281, "ERROR")</f>
        <v>VB</v>
      </c>
      <c r="F281" s="6">
        <f>IF(Data!F281 = 'Point Intercept 2'!F281, Data!F281, "ERROR")</f>
        <v>3</v>
      </c>
      <c r="G281" s="6" t="str">
        <f>IF(Data!G281 = 'Point Intercept 2'!G281, Data!G281, "ERROR")</f>
        <v>LU</v>
      </c>
      <c r="H281" s="6">
        <f>IF(Data!I281 = 'Point Intercept 2'!I281, Data!I281, "ERROR")</f>
        <v>8</v>
      </c>
      <c r="I281" s="6">
        <f>IF(Data!H281 = 'Point Intercept 2'!H281, Data!H281, "ERROR")</f>
        <v>2</v>
      </c>
      <c r="J281" s="6">
        <f>IF(Data!J281 = 'Point Intercept 2'!J281, Data!J281, "ERROR")</f>
        <v>4</v>
      </c>
      <c r="K281" s="6" t="str">
        <f>IF(Data!K281 = 'Point Intercept 2'!K281, Data!K281, "ERROR")</f>
        <v>GRICAM</v>
      </c>
      <c r="L281" s="6" t="str">
        <f>IF(Data!L281 = 'Point Intercept 2'!L281, Data!L281, "ERROR")</f>
        <v>Grindelia camporum</v>
      </c>
      <c r="M281" s="6">
        <f>IF(Data!N281 = 'Point Intercept 2'!M281, Data!N281, "ERROR")</f>
        <v>0</v>
      </c>
      <c r="N281" s="6">
        <f>IF(Data!O281 = 'Point Intercept 2'!N281, Data!O281, "ERROR")</f>
        <v>0</v>
      </c>
      <c r="O281" s="6">
        <f>IF(Data!P281 = 'Point Intercept 2'!O281, Data!P281, "ERROR")</f>
        <v>0</v>
      </c>
    </row>
    <row r="282" spans="1:15" x14ac:dyDescent="0.25">
      <c r="A282" s="6">
        <f>IF(Data!A282 = 'Point Intercept 2'!A282, Data!A282, "ERROR")</f>
        <v>3</v>
      </c>
      <c r="B282" s="6">
        <f>IF(Data!B282 = 'Point Intercept 2'!B282, Data!B282, "ERROR")</f>
        <v>2025</v>
      </c>
      <c r="C282" s="8">
        <f>IF(Data!C282 = 'Point Intercept 2'!C282, Data!C282, "ERROR")</f>
        <v>45755</v>
      </c>
      <c r="D282" s="6" t="str">
        <f>IF(Data!D282 = 'Point Intercept 2'!D282, Data!D282, "ERROR")</f>
        <v>JC, TL</v>
      </c>
      <c r="E282" s="6" t="str">
        <f>IF(Data!E282 = 'Point Intercept 2'!E282, Data!E282, "ERROR")</f>
        <v>VB</v>
      </c>
      <c r="F282" s="6">
        <f>IF(Data!F282 = 'Point Intercept 2'!F282, Data!F282, "ERROR")</f>
        <v>3</v>
      </c>
      <c r="G282" s="6" t="str">
        <f>IF(Data!G282 = 'Point Intercept 2'!G282, Data!G282, "ERROR")</f>
        <v>LU</v>
      </c>
      <c r="H282" s="6">
        <f>IF(Data!I282 = 'Point Intercept 2'!I282, Data!I282, "ERROR")</f>
        <v>9</v>
      </c>
      <c r="I282" s="6">
        <f>IF(Data!H282 = 'Point Intercept 2'!H282, Data!H282, "ERROR")</f>
        <v>2</v>
      </c>
      <c r="J282" s="6">
        <f>IF(Data!J282 = 'Point Intercept 2'!J282, Data!J282, "ERROR")</f>
        <v>4.5</v>
      </c>
      <c r="K282" s="6" t="str">
        <f>IF(Data!K282 = 'Point Intercept 2'!K282, Data!K282, "ERROR")</f>
        <v>L</v>
      </c>
      <c r="L282" s="6" t="str">
        <f>IF(Data!L282 = 'Point Intercept 2'!L282, Data!L282, "ERROR")</f>
        <v>Litter</v>
      </c>
      <c r="M282" s="6">
        <f>IF(Data!N282 = 'Point Intercept 2'!M282, Data!N282, "ERROR")</f>
        <v>0</v>
      </c>
      <c r="N282" s="6">
        <f>IF(Data!O282 = 'Point Intercept 2'!N282, Data!O282, "ERROR")</f>
        <v>0</v>
      </c>
      <c r="O282" s="6">
        <f>IF(Data!P282 = 'Point Intercept 2'!O282, Data!P282, "ERROR")</f>
        <v>0</v>
      </c>
    </row>
    <row r="283" spans="1:15" x14ac:dyDescent="0.25">
      <c r="A283" s="6">
        <f>IF(Data!A283 = 'Point Intercept 2'!A283, Data!A283, "ERROR")</f>
        <v>3</v>
      </c>
      <c r="B283" s="6">
        <f>IF(Data!B283 = 'Point Intercept 2'!B283, Data!B283, "ERROR")</f>
        <v>2025</v>
      </c>
      <c r="C283" s="8">
        <f>IF(Data!C283 = 'Point Intercept 2'!C283, Data!C283, "ERROR")</f>
        <v>45755</v>
      </c>
      <c r="D283" s="6" t="str">
        <f>IF(Data!D283 = 'Point Intercept 2'!D283, Data!D283, "ERROR")</f>
        <v>JC, TL</v>
      </c>
      <c r="E283" s="6" t="str">
        <f>IF(Data!E283 = 'Point Intercept 2'!E283, Data!E283, "ERROR")</f>
        <v>VB</v>
      </c>
      <c r="F283" s="6">
        <f>IF(Data!F283 = 'Point Intercept 2'!F283, Data!F283, "ERROR")</f>
        <v>3</v>
      </c>
      <c r="G283" s="6" t="str">
        <f>IF(Data!G283 = 'Point Intercept 2'!G283, Data!G283, "ERROR")</f>
        <v>LU</v>
      </c>
      <c r="H283" s="6">
        <f>IF(Data!I283 = 'Point Intercept 2'!I283, Data!I283, "ERROR")</f>
        <v>9</v>
      </c>
      <c r="I283" s="6">
        <f>IF(Data!H283 = 'Point Intercept 2'!H283, Data!H283, "ERROR")</f>
        <v>2</v>
      </c>
      <c r="J283" s="6">
        <f>IF(Data!J283 = 'Point Intercept 2'!J283, Data!J283, "ERROR")</f>
        <v>4.5</v>
      </c>
      <c r="K283" s="6" t="str">
        <f>IF(Data!K283 = 'Point Intercept 2'!K283, Data!K283, "ERROR")</f>
        <v>CRYMIC</v>
      </c>
      <c r="L283" s="6" t="str">
        <f>IF(Data!L283 = 'Point Intercept 2'!L283, Data!L283, "ERROR")</f>
        <v>Cryptantha micromeres</v>
      </c>
      <c r="M283" s="6">
        <f>IF(Data!N283 = 'Point Intercept 2'!M283, Data!N283, "ERROR")</f>
        <v>0</v>
      </c>
      <c r="N283" s="6">
        <f>IF(Data!O283 = 'Point Intercept 2'!N283, Data!O283, "ERROR")</f>
        <v>0</v>
      </c>
      <c r="O283" s="6">
        <f>IF(Data!P283 = 'Point Intercept 2'!O283, Data!P283, "ERROR")</f>
        <v>0</v>
      </c>
    </row>
    <row r="284" spans="1:15" x14ac:dyDescent="0.25">
      <c r="A284" s="6">
        <f>IF(Data!A284 = 'Point Intercept 2'!A284, Data!A284, "ERROR")</f>
        <v>3</v>
      </c>
      <c r="B284" s="6">
        <f>IF(Data!B284 = 'Point Intercept 2'!B284, Data!B284, "ERROR")</f>
        <v>2025</v>
      </c>
      <c r="C284" s="8">
        <f>IF(Data!C284 = 'Point Intercept 2'!C284, Data!C284, "ERROR")</f>
        <v>45755</v>
      </c>
      <c r="D284" s="6" t="str">
        <f>IF(Data!D284 = 'Point Intercept 2'!D284, Data!D284, "ERROR")</f>
        <v>JC, TL</v>
      </c>
      <c r="E284" s="6" t="str">
        <f>IF(Data!E284 = 'Point Intercept 2'!E284, Data!E284, "ERROR")</f>
        <v>VB</v>
      </c>
      <c r="F284" s="6">
        <f>IF(Data!F284 = 'Point Intercept 2'!F284, Data!F284, "ERROR")</f>
        <v>3</v>
      </c>
      <c r="G284" s="6" t="str">
        <f>IF(Data!G284 = 'Point Intercept 2'!G284, Data!G284, "ERROR")</f>
        <v>LU</v>
      </c>
      <c r="H284" s="6">
        <f>IF(Data!I284 = 'Point Intercept 2'!I284, Data!I284, "ERROR")</f>
        <v>9</v>
      </c>
      <c r="I284" s="6">
        <f>IF(Data!H284 = 'Point Intercept 2'!H284, Data!H284, "ERROR")</f>
        <v>2</v>
      </c>
      <c r="J284" s="6">
        <f>IF(Data!J284 = 'Point Intercept 2'!J284, Data!J284, "ERROR")</f>
        <v>4.5</v>
      </c>
      <c r="K284" s="6" t="str">
        <f>IF(Data!K284 = 'Point Intercept 2'!K284, Data!K284, "ERROR")</f>
        <v>DEIFAS</v>
      </c>
      <c r="L284" s="6" t="str">
        <f>IF(Data!L284 = 'Point Intercept 2'!L284, Data!L284, "ERROR")</f>
        <v>Deinandra fasciculata</v>
      </c>
      <c r="M284" s="6">
        <f>IF(Data!N284 = 'Point Intercept 2'!M284, Data!N284, "ERROR")</f>
        <v>0</v>
      </c>
      <c r="N284" s="6">
        <f>IF(Data!O284 = 'Point Intercept 2'!N284, Data!O284, "ERROR")</f>
        <v>0</v>
      </c>
      <c r="O284" s="6">
        <f>IF(Data!P284 = 'Point Intercept 2'!O284, Data!P284, "ERROR")</f>
        <v>0</v>
      </c>
    </row>
    <row r="285" spans="1:15" x14ac:dyDescent="0.25">
      <c r="A285" s="6">
        <f>IF(Data!A285 = 'Point Intercept 2'!A285, Data!A285, "ERROR")</f>
        <v>3</v>
      </c>
      <c r="B285" s="6">
        <f>IF(Data!B285 = 'Point Intercept 2'!B285, Data!B285, "ERROR")</f>
        <v>2025</v>
      </c>
      <c r="C285" s="8">
        <f>IF(Data!C285 = 'Point Intercept 2'!C285, Data!C285, "ERROR")</f>
        <v>45755</v>
      </c>
      <c r="D285" s="6" t="str">
        <f>IF(Data!D285 = 'Point Intercept 2'!D285, Data!D285, "ERROR")</f>
        <v>JC, TL</v>
      </c>
      <c r="E285" s="6" t="str">
        <f>IF(Data!E285 = 'Point Intercept 2'!E285, Data!E285, "ERROR")</f>
        <v>VB</v>
      </c>
      <c r="F285" s="6">
        <f>IF(Data!F285 = 'Point Intercept 2'!F285, Data!F285, "ERROR")</f>
        <v>3</v>
      </c>
      <c r="G285" s="6" t="str">
        <f>IF(Data!G285 = 'Point Intercept 2'!G285, Data!G285, "ERROR")</f>
        <v>LU</v>
      </c>
      <c r="H285" s="6">
        <f>IF(Data!I285 = 'Point Intercept 2'!I285, Data!I285, "ERROR")</f>
        <v>9</v>
      </c>
      <c r="I285" s="6">
        <f>IF(Data!H285 = 'Point Intercept 2'!H285, Data!H285, "ERROR")</f>
        <v>2</v>
      </c>
      <c r="J285" s="6">
        <f>IF(Data!J285 = 'Point Intercept 2'!J285, Data!J285, "ERROR")</f>
        <v>4.5</v>
      </c>
      <c r="K285" s="6" t="str">
        <f>IF(Data!K285 = 'Point Intercept 2'!K285, Data!K285, "ERROR")</f>
        <v>FESMYU</v>
      </c>
      <c r="L285" s="6" t="str">
        <f>IF(Data!L285 = 'Point Intercept 2'!L285, Data!L285, "ERROR")</f>
        <v>Festuca myuros</v>
      </c>
      <c r="M285" s="6">
        <f>IF(Data!N285 = 'Point Intercept 2'!M285, Data!N285, "ERROR")</f>
        <v>0</v>
      </c>
      <c r="N285" s="6">
        <f>IF(Data!O285 = 'Point Intercept 2'!N285, Data!O285, "ERROR")</f>
        <v>0</v>
      </c>
      <c r="O285" s="6">
        <f>IF(Data!P285 = 'Point Intercept 2'!O285, Data!P285, "ERROR")</f>
        <v>0</v>
      </c>
    </row>
    <row r="286" spans="1:15" x14ac:dyDescent="0.25">
      <c r="A286" s="6">
        <f>IF(Data!A286 = 'Point Intercept 2'!A286, Data!A286, "ERROR")</f>
        <v>3</v>
      </c>
      <c r="B286" s="6">
        <f>IF(Data!B286 = 'Point Intercept 2'!B286, Data!B286, "ERROR")</f>
        <v>2025</v>
      </c>
      <c r="C286" s="8">
        <f>IF(Data!C286 = 'Point Intercept 2'!C286, Data!C286, "ERROR")</f>
        <v>45755</v>
      </c>
      <c r="D286" s="6" t="str">
        <f>IF(Data!D286 = 'Point Intercept 2'!D286, Data!D286, "ERROR")</f>
        <v>JC, TL</v>
      </c>
      <c r="E286" s="6" t="str">
        <f>IF(Data!E286 = 'Point Intercept 2'!E286, Data!E286, "ERROR")</f>
        <v>VB</v>
      </c>
      <c r="F286" s="6">
        <f>IF(Data!F286 = 'Point Intercept 2'!F286, Data!F286, "ERROR")</f>
        <v>3</v>
      </c>
      <c r="G286" s="6" t="str">
        <f>IF(Data!G286 = 'Point Intercept 2'!G286, Data!G286, "ERROR")</f>
        <v>LU</v>
      </c>
      <c r="H286" s="6">
        <f>IF(Data!I286 = 'Point Intercept 2'!I286, Data!I286, "ERROR")</f>
        <v>9</v>
      </c>
      <c r="I286" s="6">
        <f>IF(Data!H286 = 'Point Intercept 2'!H286, Data!H286, "ERROR")</f>
        <v>2</v>
      </c>
      <c r="J286" s="6">
        <f>IF(Data!J286 = 'Point Intercept 2'!J286, Data!J286, "ERROR")</f>
        <v>4.5</v>
      </c>
      <c r="K286" s="6" t="str">
        <f>IF(Data!K286 = 'Point Intercept 2'!K286, Data!K286, "ERROR")</f>
        <v>CRACON</v>
      </c>
      <c r="L286" s="6" t="str">
        <f>IF(Data!L286 = 'Point Intercept 2'!L286, Data!L286, "ERROR")</f>
        <v>Crassula connata</v>
      </c>
      <c r="M286" s="6">
        <f>IF(Data!N286 = 'Point Intercept 2'!M286, Data!N286, "ERROR")</f>
        <v>0</v>
      </c>
      <c r="N286" s="6">
        <f>IF(Data!O286 = 'Point Intercept 2'!N286, Data!O286, "ERROR")</f>
        <v>0</v>
      </c>
      <c r="O286" s="6">
        <f>IF(Data!P286 = 'Point Intercept 2'!O286, Data!P286, "ERROR")</f>
        <v>0</v>
      </c>
    </row>
    <row r="287" spans="1:15" x14ac:dyDescent="0.25">
      <c r="A287" s="6">
        <f>IF(Data!A287 = 'Point Intercept 2'!A287, Data!A287, "ERROR")</f>
        <v>3</v>
      </c>
      <c r="B287" s="6">
        <f>IF(Data!B287 = 'Point Intercept 2'!B287, Data!B287, "ERROR")</f>
        <v>2025</v>
      </c>
      <c r="C287" s="8">
        <f>IF(Data!C287 = 'Point Intercept 2'!C287, Data!C287, "ERROR")</f>
        <v>45755</v>
      </c>
      <c r="D287" s="6" t="str">
        <f>IF(Data!D287 = 'Point Intercept 2'!D287, Data!D287, "ERROR")</f>
        <v>JC, TL</v>
      </c>
      <c r="E287" s="6" t="str">
        <f>IF(Data!E287 = 'Point Intercept 2'!E287, Data!E287, "ERROR")</f>
        <v>VB</v>
      </c>
      <c r="F287" s="6">
        <f>IF(Data!F287 = 'Point Intercept 2'!F287, Data!F287, "ERROR")</f>
        <v>3</v>
      </c>
      <c r="G287" s="6" t="str">
        <f>IF(Data!G287 = 'Point Intercept 2'!G287, Data!G287, "ERROR")</f>
        <v>LU</v>
      </c>
      <c r="H287" s="6">
        <f>IF(Data!I287 = 'Point Intercept 2'!I287, Data!I287, "ERROR")</f>
        <v>10</v>
      </c>
      <c r="I287" s="6">
        <f>IF(Data!H287 = 'Point Intercept 2'!H287, Data!H287, "ERROR")</f>
        <v>2</v>
      </c>
      <c r="J287" s="6">
        <f>IF(Data!J287 = 'Point Intercept 2'!J287, Data!J287, "ERROR")</f>
        <v>5</v>
      </c>
      <c r="K287" s="6" t="str">
        <f>IF(Data!K287 = 'Point Intercept 2'!K287, Data!K287, "ERROR")</f>
        <v>L</v>
      </c>
      <c r="L287" s="6" t="str">
        <f>IF(Data!L287 = 'Point Intercept 2'!L287, Data!L287, "ERROR")</f>
        <v>Litter</v>
      </c>
      <c r="M287" s="6">
        <f>IF(Data!N287 = 'Point Intercept 2'!M287, Data!N287, "ERROR")</f>
        <v>0</v>
      </c>
      <c r="N287" s="6">
        <f>IF(Data!O287 = 'Point Intercept 2'!N287, Data!O287, "ERROR")</f>
        <v>0</v>
      </c>
      <c r="O287" s="6">
        <f>IF(Data!P287 = 'Point Intercept 2'!O287, Data!P287, "ERROR")</f>
        <v>0</v>
      </c>
    </row>
    <row r="288" spans="1:15" x14ac:dyDescent="0.25">
      <c r="A288" s="6">
        <f>IF(Data!A288 = 'Point Intercept 2'!A288, Data!A288, "ERROR")</f>
        <v>3</v>
      </c>
      <c r="B288" s="6">
        <f>IF(Data!B288 = 'Point Intercept 2'!B288, Data!B288, "ERROR")</f>
        <v>2025</v>
      </c>
      <c r="C288" s="8">
        <f>IF(Data!C288 = 'Point Intercept 2'!C288, Data!C288, "ERROR")</f>
        <v>45755</v>
      </c>
      <c r="D288" s="6" t="str">
        <f>IF(Data!D288 = 'Point Intercept 2'!D288, Data!D288, "ERROR")</f>
        <v>JC, TL</v>
      </c>
      <c r="E288" s="6" t="str">
        <f>IF(Data!E288 = 'Point Intercept 2'!E288, Data!E288, "ERROR")</f>
        <v>VB</v>
      </c>
      <c r="F288" s="6">
        <f>IF(Data!F288 = 'Point Intercept 2'!F288, Data!F288, "ERROR")</f>
        <v>3</v>
      </c>
      <c r="G288" s="6" t="str">
        <f>IF(Data!G288 = 'Point Intercept 2'!G288, Data!G288, "ERROR")</f>
        <v>LU</v>
      </c>
      <c r="H288" s="6">
        <f>IF(Data!I288 = 'Point Intercept 2'!I288, Data!I288, "ERROR")</f>
        <v>10</v>
      </c>
      <c r="I288" s="6">
        <f>IF(Data!H288 = 'Point Intercept 2'!H288, Data!H288, "ERROR")</f>
        <v>2</v>
      </c>
      <c r="J288" s="6">
        <f>IF(Data!J288 = 'Point Intercept 2'!J288, Data!J288, "ERROR")</f>
        <v>5</v>
      </c>
      <c r="K288" s="6" t="str">
        <f>IF(Data!K288 = 'Point Intercept 2'!K288, Data!K288, "ERROR")</f>
        <v>CRACON</v>
      </c>
      <c r="L288" s="6" t="str">
        <f>IF(Data!L288 = 'Point Intercept 2'!L288, Data!L288, "ERROR")</f>
        <v>Crassula connata</v>
      </c>
      <c r="M288" s="6">
        <f>IF(Data!N288 = 'Point Intercept 2'!M288, Data!N288, "ERROR")</f>
        <v>0</v>
      </c>
      <c r="N288" s="6">
        <f>IF(Data!O288 = 'Point Intercept 2'!N288, Data!O288, "ERROR")</f>
        <v>0</v>
      </c>
      <c r="O288" s="6">
        <f>IF(Data!P288 = 'Point Intercept 2'!O288, Data!P288, "ERROR")</f>
        <v>0</v>
      </c>
    </row>
    <row r="289" spans="1:15" x14ac:dyDescent="0.25">
      <c r="A289" s="6">
        <f>IF(Data!A289 = 'Point Intercept 2'!A289, Data!A289, "ERROR")</f>
        <v>3</v>
      </c>
      <c r="B289" s="6">
        <f>IF(Data!B289 = 'Point Intercept 2'!B289, Data!B289, "ERROR")</f>
        <v>2025</v>
      </c>
      <c r="C289" s="8">
        <f>IF(Data!C289 = 'Point Intercept 2'!C289, Data!C289, "ERROR")</f>
        <v>45755</v>
      </c>
      <c r="D289" s="6" t="str">
        <f>IF(Data!D289 = 'Point Intercept 2'!D289, Data!D289, "ERROR")</f>
        <v>JC, TL</v>
      </c>
      <c r="E289" s="6" t="str">
        <f>IF(Data!E289 = 'Point Intercept 2'!E289, Data!E289, "ERROR")</f>
        <v>VB</v>
      </c>
      <c r="F289" s="6">
        <f>IF(Data!F289 = 'Point Intercept 2'!F289, Data!F289, "ERROR")</f>
        <v>3</v>
      </c>
      <c r="G289" s="6" t="str">
        <f>IF(Data!G289 = 'Point Intercept 2'!G289, Data!G289, "ERROR")</f>
        <v>LU</v>
      </c>
      <c r="H289" s="6">
        <f>IF(Data!I289 = 'Point Intercept 2'!I289, Data!I289, "ERROR")</f>
        <v>10</v>
      </c>
      <c r="I289" s="6">
        <f>IF(Data!H289 = 'Point Intercept 2'!H289, Data!H289, "ERROR")</f>
        <v>2</v>
      </c>
      <c r="J289" s="6">
        <f>IF(Data!J289 = 'Point Intercept 2'!J289, Data!J289, "ERROR")</f>
        <v>5</v>
      </c>
      <c r="K289" s="6" t="str">
        <f>IF(Data!K289 = 'Point Intercept 2'!K289, Data!K289, "ERROR")</f>
        <v>EROCIC</v>
      </c>
      <c r="L289" s="6" t="str">
        <f>IF(Data!L289 = 'Point Intercept 2'!L289, Data!L289, "ERROR")</f>
        <v>Erodium cicutarium</v>
      </c>
      <c r="M289" s="6">
        <f>IF(Data!N289 = 'Point Intercept 2'!M289, Data!N289, "ERROR")</f>
        <v>0</v>
      </c>
      <c r="N289" s="6">
        <f>IF(Data!O289 = 'Point Intercept 2'!N289, Data!O289, "ERROR")</f>
        <v>0</v>
      </c>
      <c r="O289" s="6">
        <f>IF(Data!P289 = 'Point Intercept 2'!O289, Data!P289, "ERROR")</f>
        <v>0</v>
      </c>
    </row>
    <row r="290" spans="1:15" x14ac:dyDescent="0.25">
      <c r="A290" s="6">
        <f>IF(Data!A290 = 'Point Intercept 2'!A290, Data!A290, "ERROR")</f>
        <v>3</v>
      </c>
      <c r="B290" s="6">
        <f>IF(Data!B290 = 'Point Intercept 2'!B290, Data!B290, "ERROR")</f>
        <v>2025</v>
      </c>
      <c r="C290" s="8">
        <f>IF(Data!C290 = 'Point Intercept 2'!C290, Data!C290, "ERROR")</f>
        <v>45755</v>
      </c>
      <c r="D290" s="6" t="str">
        <f>IF(Data!D290 = 'Point Intercept 2'!D290, Data!D290, "ERROR")</f>
        <v>JC, TL</v>
      </c>
      <c r="E290" s="6" t="str">
        <f>IF(Data!E290 = 'Point Intercept 2'!E290, Data!E290, "ERROR")</f>
        <v>VB</v>
      </c>
      <c r="F290" s="6">
        <f>IF(Data!F290 = 'Point Intercept 2'!F290, Data!F290, "ERROR")</f>
        <v>3</v>
      </c>
      <c r="G290" s="6" t="str">
        <f>IF(Data!G290 = 'Point Intercept 2'!G290, Data!G290, "ERROR")</f>
        <v>LU</v>
      </c>
      <c r="H290" s="6">
        <f>IF(Data!I290 = 'Point Intercept 2'!I290, Data!I290, "ERROR")</f>
        <v>10</v>
      </c>
      <c r="I290" s="6">
        <f>IF(Data!H290 = 'Point Intercept 2'!H290, Data!H290, "ERROR")</f>
        <v>2</v>
      </c>
      <c r="J290" s="6">
        <f>IF(Data!J290 = 'Point Intercept 2'!J290, Data!J290, "ERROR")</f>
        <v>5</v>
      </c>
      <c r="K290" s="6" t="str">
        <f>IF(Data!K290 = 'Point Intercept 2'!K290, Data!K290, "ERROR")</f>
        <v>DAUPUS</v>
      </c>
      <c r="L290" s="6" t="str">
        <f>IF(Data!L290 = 'Point Intercept 2'!L290, Data!L290, "ERROR")</f>
        <v>Daucus pusillus</v>
      </c>
      <c r="M290" s="6">
        <f>IF(Data!N290 = 'Point Intercept 2'!M290, Data!N290, "ERROR")</f>
        <v>0</v>
      </c>
      <c r="N290" s="6">
        <f>IF(Data!O290 = 'Point Intercept 2'!N290, Data!O290, "ERROR")</f>
        <v>0</v>
      </c>
      <c r="O290" s="6">
        <f>IF(Data!P290 = 'Point Intercept 2'!O290, Data!P290, "ERROR")</f>
        <v>0</v>
      </c>
    </row>
    <row r="291" spans="1:15" x14ac:dyDescent="0.25">
      <c r="A291" s="6">
        <f>IF(Data!A291 = 'Point Intercept 2'!A291, Data!A291, "ERROR")</f>
        <v>3</v>
      </c>
      <c r="B291" s="6">
        <f>IF(Data!B291 = 'Point Intercept 2'!B291, Data!B291, "ERROR")</f>
        <v>2025</v>
      </c>
      <c r="C291" s="8">
        <f>IF(Data!C291 = 'Point Intercept 2'!C291, Data!C291, "ERROR")</f>
        <v>45755</v>
      </c>
      <c r="D291" s="6" t="str">
        <f>IF(Data!D291 = 'Point Intercept 2'!D291, Data!D291, "ERROR")</f>
        <v>JC, TL</v>
      </c>
      <c r="E291" s="6" t="str">
        <f>IF(Data!E291 = 'Point Intercept 2'!E291, Data!E291, "ERROR")</f>
        <v>VB</v>
      </c>
      <c r="F291" s="6">
        <f>IF(Data!F291 = 'Point Intercept 2'!F291, Data!F291, "ERROR")</f>
        <v>3</v>
      </c>
      <c r="G291" s="6" t="str">
        <f>IF(Data!G291 = 'Point Intercept 2'!G291, Data!G291, "ERROR")</f>
        <v>LU</v>
      </c>
      <c r="H291" s="6">
        <f>IF(Data!I291 = 'Point Intercept 2'!I291, Data!I291, "ERROR")</f>
        <v>10</v>
      </c>
      <c r="I291" s="6">
        <f>IF(Data!H291 = 'Point Intercept 2'!H291, Data!H291, "ERROR")</f>
        <v>2</v>
      </c>
      <c r="J291" s="6">
        <f>IF(Data!J291 = 'Point Intercept 2'!J291, Data!J291, "ERROR")</f>
        <v>5</v>
      </c>
      <c r="K291" s="6" t="str">
        <f>IF(Data!K291 = 'Point Intercept 2'!K291, Data!K291, "ERROR")</f>
        <v>DEIFAS</v>
      </c>
      <c r="L291" s="6" t="str">
        <f>IF(Data!L291 = 'Point Intercept 2'!L291, Data!L291, "ERROR")</f>
        <v>Deinandra fasciculata</v>
      </c>
      <c r="M291" s="6">
        <f>IF(Data!N291 = 'Point Intercept 2'!M291, Data!N291, "ERROR")</f>
        <v>0</v>
      </c>
      <c r="N291" s="6">
        <f>IF(Data!O291 = 'Point Intercept 2'!N291, Data!O291, "ERROR")</f>
        <v>0</v>
      </c>
      <c r="O291" s="6">
        <f>IF(Data!P291 = 'Point Intercept 2'!O291, Data!P291, "ERROR")</f>
        <v>0</v>
      </c>
    </row>
    <row r="292" spans="1:15" x14ac:dyDescent="0.25">
      <c r="A292" s="6">
        <f>IF(Data!A292 = 'Point Intercept 2'!A292, Data!A292, "ERROR")</f>
        <v>3</v>
      </c>
      <c r="B292" s="6">
        <f>IF(Data!B292 = 'Point Intercept 2'!B292, Data!B292, "ERROR")</f>
        <v>2025</v>
      </c>
      <c r="C292" s="8">
        <f>IF(Data!C292 = 'Point Intercept 2'!C292, Data!C292, "ERROR")</f>
        <v>45755</v>
      </c>
      <c r="D292" s="6" t="str">
        <f>IF(Data!D292 = 'Point Intercept 2'!D292, Data!D292, "ERROR")</f>
        <v>JC, TL</v>
      </c>
      <c r="E292" s="6" t="str">
        <f>IF(Data!E292 = 'Point Intercept 2'!E292, Data!E292, "ERROR")</f>
        <v>VB</v>
      </c>
      <c r="F292" s="6">
        <f>IF(Data!F292 = 'Point Intercept 2'!F292, Data!F292, "ERROR")</f>
        <v>3</v>
      </c>
      <c r="G292" s="6" t="str">
        <f>IF(Data!G292 = 'Point Intercept 2'!G292, Data!G292, "ERROR")</f>
        <v>LU</v>
      </c>
      <c r="H292" s="6">
        <f>IF(Data!I292 = 'Point Intercept 2'!I292, Data!I292, "ERROR")</f>
        <v>11</v>
      </c>
      <c r="I292" s="6">
        <f>IF(Data!H292 = 'Point Intercept 2'!H292, Data!H292, "ERROR")</f>
        <v>2</v>
      </c>
      <c r="J292" s="6">
        <f>IF(Data!J292 = 'Point Intercept 2'!J292, Data!J292, "ERROR")</f>
        <v>5.5</v>
      </c>
      <c r="K292" s="6" t="str">
        <f>IF(Data!K292 = 'Point Intercept 2'!K292, Data!K292, "ERROR")</f>
        <v>S</v>
      </c>
      <c r="L292" s="6" t="str">
        <f>IF(Data!L292 = 'Point Intercept 2'!L292, Data!L292, "ERROR")</f>
        <v>Stem</v>
      </c>
      <c r="M292" s="6">
        <f>IF(Data!N292 = 'Point Intercept 2'!M292, Data!N292, "ERROR")</f>
        <v>0</v>
      </c>
      <c r="N292" s="6">
        <f>IF(Data!O292 = 'Point Intercept 2'!N292, Data!O292, "ERROR")</f>
        <v>0</v>
      </c>
      <c r="O292" s="6">
        <f>IF(Data!P292 = 'Point Intercept 2'!O292, Data!P292, "ERROR")</f>
        <v>0</v>
      </c>
    </row>
    <row r="293" spans="1:15" x14ac:dyDescent="0.25">
      <c r="A293" s="6">
        <f>IF(Data!A293 = 'Point Intercept 2'!A293, Data!A293, "ERROR")</f>
        <v>3</v>
      </c>
      <c r="B293" s="6">
        <f>IF(Data!B293 = 'Point Intercept 2'!B293, Data!B293, "ERROR")</f>
        <v>2025</v>
      </c>
      <c r="C293" s="8">
        <f>IF(Data!C293 = 'Point Intercept 2'!C293, Data!C293, "ERROR")</f>
        <v>45755</v>
      </c>
      <c r="D293" s="6" t="str">
        <f>IF(Data!D293 = 'Point Intercept 2'!D293, Data!D293, "ERROR")</f>
        <v>JC, TL</v>
      </c>
      <c r="E293" s="6" t="str">
        <f>IF(Data!E293 = 'Point Intercept 2'!E293, Data!E293, "ERROR")</f>
        <v>VB</v>
      </c>
      <c r="F293" s="6">
        <f>IF(Data!F293 = 'Point Intercept 2'!F293, Data!F293, "ERROR")</f>
        <v>3</v>
      </c>
      <c r="G293" s="6" t="str">
        <f>IF(Data!G293 = 'Point Intercept 2'!G293, Data!G293, "ERROR")</f>
        <v>LU</v>
      </c>
      <c r="H293" s="6">
        <f>IF(Data!I293 = 'Point Intercept 2'!I293, Data!I293, "ERROR")</f>
        <v>11</v>
      </c>
      <c r="I293" s="6">
        <f>IF(Data!H293 = 'Point Intercept 2'!H293, Data!H293, "ERROR")</f>
        <v>2</v>
      </c>
      <c r="J293" s="6">
        <f>IF(Data!J293 = 'Point Intercept 2'!J293, Data!J293, "ERROR")</f>
        <v>5.5</v>
      </c>
      <c r="K293" s="6" t="str">
        <f>IF(Data!K293 = 'Point Intercept 2'!K293, Data!K293, "ERROR")</f>
        <v>EROCIC</v>
      </c>
      <c r="L293" s="6" t="str">
        <f>IF(Data!L293 = 'Point Intercept 2'!L293, Data!L293, "ERROR")</f>
        <v>Erodium cicutarium</v>
      </c>
      <c r="M293" s="6">
        <f>IF(Data!N293 = 'Point Intercept 2'!M293, Data!N293, "ERROR")</f>
        <v>0</v>
      </c>
      <c r="N293" s="6">
        <f>IF(Data!O293 = 'Point Intercept 2'!N293, Data!O293, "ERROR")</f>
        <v>0</v>
      </c>
      <c r="O293" s="6">
        <f>IF(Data!P293 = 'Point Intercept 2'!O293, Data!P293, "ERROR")</f>
        <v>0</v>
      </c>
    </row>
    <row r="294" spans="1:15" x14ac:dyDescent="0.25">
      <c r="A294" s="6">
        <f>IF(Data!A294 = 'Point Intercept 2'!A294, Data!A294, "ERROR")</f>
        <v>3</v>
      </c>
      <c r="B294" s="6">
        <f>IF(Data!B294 = 'Point Intercept 2'!B294, Data!B294, "ERROR")</f>
        <v>2025</v>
      </c>
      <c r="C294" s="8">
        <f>IF(Data!C294 = 'Point Intercept 2'!C294, Data!C294, "ERROR")</f>
        <v>45755</v>
      </c>
      <c r="D294" s="6" t="str">
        <f>IF(Data!D294 = 'Point Intercept 2'!D294, Data!D294, "ERROR")</f>
        <v>JC, TL</v>
      </c>
      <c r="E294" s="6" t="str">
        <f>IF(Data!E294 = 'Point Intercept 2'!E294, Data!E294, "ERROR")</f>
        <v>VB</v>
      </c>
      <c r="F294" s="6">
        <f>IF(Data!F294 = 'Point Intercept 2'!F294, Data!F294, "ERROR")</f>
        <v>3</v>
      </c>
      <c r="G294" s="6" t="str">
        <f>IF(Data!G294 = 'Point Intercept 2'!G294, Data!G294, "ERROR")</f>
        <v>LU</v>
      </c>
      <c r="H294" s="6">
        <f>IF(Data!I294 = 'Point Intercept 2'!I294, Data!I294, "ERROR")</f>
        <v>11</v>
      </c>
      <c r="I294" s="6">
        <f>IF(Data!H294 = 'Point Intercept 2'!H294, Data!H294, "ERROR")</f>
        <v>2</v>
      </c>
      <c r="J294" s="6">
        <f>IF(Data!J294 = 'Point Intercept 2'!J294, Data!J294, "ERROR")</f>
        <v>5.5</v>
      </c>
      <c r="K294" s="6" t="str">
        <f>IF(Data!K294 = 'Point Intercept 2'!K294, Data!K294, "ERROR")</f>
        <v>DAUPUS</v>
      </c>
      <c r="L294" s="6" t="str">
        <f>IF(Data!L294 = 'Point Intercept 2'!L294, Data!L294, "ERROR")</f>
        <v>Daucus pusillus</v>
      </c>
      <c r="M294" s="6">
        <f>IF(Data!N294 = 'Point Intercept 2'!M294, Data!N294, "ERROR")</f>
        <v>0</v>
      </c>
      <c r="N294" s="6">
        <f>IF(Data!O294 = 'Point Intercept 2'!N294, Data!O294, "ERROR")</f>
        <v>0</v>
      </c>
      <c r="O294" s="6">
        <f>IF(Data!P294 = 'Point Intercept 2'!O294, Data!P294, "ERROR")</f>
        <v>0</v>
      </c>
    </row>
    <row r="295" spans="1:15" x14ac:dyDescent="0.25">
      <c r="A295" s="6">
        <f>IF(Data!A295 = 'Point Intercept 2'!A295, Data!A295, "ERROR")</f>
        <v>3</v>
      </c>
      <c r="B295" s="6">
        <f>IF(Data!B295 = 'Point Intercept 2'!B295, Data!B295, "ERROR")</f>
        <v>2025</v>
      </c>
      <c r="C295" s="8">
        <f>IF(Data!C295 = 'Point Intercept 2'!C295, Data!C295, "ERROR")</f>
        <v>45755</v>
      </c>
      <c r="D295" s="6" t="str">
        <f>IF(Data!D295 = 'Point Intercept 2'!D295, Data!D295, "ERROR")</f>
        <v>JC, TL</v>
      </c>
      <c r="E295" s="6" t="str">
        <f>IF(Data!E295 = 'Point Intercept 2'!E295, Data!E295, "ERROR")</f>
        <v>VB</v>
      </c>
      <c r="F295" s="6">
        <f>IF(Data!F295 = 'Point Intercept 2'!F295, Data!F295, "ERROR")</f>
        <v>3</v>
      </c>
      <c r="G295" s="6" t="str">
        <f>IF(Data!G295 = 'Point Intercept 2'!G295, Data!G295, "ERROR")</f>
        <v>LU</v>
      </c>
      <c r="H295" s="6">
        <f>IF(Data!I295 = 'Point Intercept 2'!I295, Data!I295, "ERROR")</f>
        <v>11</v>
      </c>
      <c r="I295" s="6">
        <f>IF(Data!H295 = 'Point Intercept 2'!H295, Data!H295, "ERROR")</f>
        <v>2</v>
      </c>
      <c r="J295" s="6">
        <f>IF(Data!J295 = 'Point Intercept 2'!J295, Data!J295, "ERROR")</f>
        <v>5.5</v>
      </c>
      <c r="K295" s="6" t="str">
        <f>IF(Data!K295 = 'Point Intercept 2'!K295, Data!K295, "ERROR")</f>
        <v>DEIFAS</v>
      </c>
      <c r="L295" s="6" t="str">
        <f>IF(Data!L295 = 'Point Intercept 2'!L295, Data!L295, "ERROR")</f>
        <v>Deinandra fasciculata</v>
      </c>
      <c r="M295" s="6">
        <f>IF(Data!N295 = 'Point Intercept 2'!M295, Data!N295, "ERROR")</f>
        <v>0</v>
      </c>
      <c r="N295" s="6">
        <f>IF(Data!O295 = 'Point Intercept 2'!N295, Data!O295, "ERROR")</f>
        <v>0</v>
      </c>
      <c r="O295" s="6">
        <f>IF(Data!P295 = 'Point Intercept 2'!O295, Data!P295, "ERROR")</f>
        <v>0</v>
      </c>
    </row>
    <row r="296" spans="1:15" x14ac:dyDescent="0.25">
      <c r="A296" s="6">
        <f>IF(Data!A296 = 'Point Intercept 2'!A296, Data!A296, "ERROR")</f>
        <v>3</v>
      </c>
      <c r="B296" s="6">
        <f>IF(Data!B296 = 'Point Intercept 2'!B296, Data!B296, "ERROR")</f>
        <v>2025</v>
      </c>
      <c r="C296" s="8">
        <f>IF(Data!C296 = 'Point Intercept 2'!C296, Data!C296, "ERROR")</f>
        <v>45755</v>
      </c>
      <c r="D296" s="6" t="str">
        <f>IF(Data!D296 = 'Point Intercept 2'!D296, Data!D296, "ERROR")</f>
        <v>JC, TL</v>
      </c>
      <c r="E296" s="6" t="str">
        <f>IF(Data!E296 = 'Point Intercept 2'!E296, Data!E296, "ERROR")</f>
        <v>VB</v>
      </c>
      <c r="F296" s="6">
        <f>IF(Data!F296 = 'Point Intercept 2'!F296, Data!F296, "ERROR")</f>
        <v>3</v>
      </c>
      <c r="G296" s="6" t="str">
        <f>IF(Data!G296 = 'Point Intercept 2'!G296, Data!G296, "ERROR")</f>
        <v>LU</v>
      </c>
      <c r="H296" s="6">
        <f>IF(Data!I296 = 'Point Intercept 2'!I296, Data!I296, "ERROR")</f>
        <v>11</v>
      </c>
      <c r="I296" s="6">
        <f>IF(Data!H296 = 'Point Intercept 2'!H296, Data!H296, "ERROR")</f>
        <v>2</v>
      </c>
      <c r="J296" s="6">
        <f>IF(Data!J296 = 'Point Intercept 2'!J296, Data!J296, "ERROR")</f>
        <v>5.5</v>
      </c>
      <c r="K296" s="6" t="str">
        <f>IF(Data!K296 = 'Point Intercept 2'!K296, Data!K296, "ERROR")</f>
        <v>MEDPOL</v>
      </c>
      <c r="L296" s="6" t="str">
        <f>IF(Data!L296 = 'Point Intercept 2'!L296, Data!L296, "ERROR")</f>
        <v>Medicago polymorpha</v>
      </c>
      <c r="M296" s="6">
        <f>IF(Data!N296 = 'Point Intercept 2'!M296, Data!N296, "ERROR")</f>
        <v>0</v>
      </c>
      <c r="N296" s="6">
        <f>IF(Data!O296 = 'Point Intercept 2'!N296, Data!O296, "ERROR")</f>
        <v>0</v>
      </c>
      <c r="O296" s="6">
        <f>IF(Data!P296 = 'Point Intercept 2'!O296, Data!P296, "ERROR")</f>
        <v>0</v>
      </c>
    </row>
    <row r="297" spans="1:15" x14ac:dyDescent="0.25">
      <c r="A297" s="6">
        <f>IF(Data!A297 = 'Point Intercept 2'!A297, Data!A297, "ERROR")</f>
        <v>3</v>
      </c>
      <c r="B297" s="6">
        <f>IF(Data!B297 = 'Point Intercept 2'!B297, Data!B297, "ERROR")</f>
        <v>2025</v>
      </c>
      <c r="C297" s="8">
        <f>IF(Data!C297 = 'Point Intercept 2'!C297, Data!C297, "ERROR")</f>
        <v>45755</v>
      </c>
      <c r="D297" s="6" t="str">
        <f>IF(Data!D297 = 'Point Intercept 2'!D297, Data!D297, "ERROR")</f>
        <v>JC, TL</v>
      </c>
      <c r="E297" s="6" t="str">
        <f>IF(Data!E297 = 'Point Intercept 2'!E297, Data!E297, "ERROR")</f>
        <v>VB</v>
      </c>
      <c r="F297" s="6">
        <f>IF(Data!F297 = 'Point Intercept 2'!F297, Data!F297, "ERROR")</f>
        <v>3</v>
      </c>
      <c r="G297" s="6" t="str">
        <f>IF(Data!G297 = 'Point Intercept 2'!G297, Data!G297, "ERROR")</f>
        <v>LU</v>
      </c>
      <c r="H297" s="6">
        <f>IF(Data!I297 = 'Point Intercept 2'!I297, Data!I297, "ERROR")</f>
        <v>12</v>
      </c>
      <c r="I297" s="6">
        <f>IF(Data!H297 = 'Point Intercept 2'!H297, Data!H297, "ERROR")</f>
        <v>2</v>
      </c>
      <c r="J297" s="6">
        <f>IF(Data!J297 = 'Point Intercept 2'!J297, Data!J297, "ERROR")</f>
        <v>6</v>
      </c>
      <c r="K297" s="6" t="str">
        <f>IF(Data!K297 = 'Point Intercept 2'!K297, Data!K297, "ERROR")</f>
        <v>L</v>
      </c>
      <c r="L297" s="6" t="str">
        <f>IF(Data!L297 = 'Point Intercept 2'!L297, Data!L297, "ERROR")</f>
        <v>Litter</v>
      </c>
      <c r="M297" s="6">
        <f>IF(Data!N297 = 'Point Intercept 2'!M297, Data!N297, "ERROR")</f>
        <v>0</v>
      </c>
      <c r="N297" s="6">
        <f>IF(Data!O297 = 'Point Intercept 2'!N297, Data!O297, "ERROR")</f>
        <v>0</v>
      </c>
      <c r="O297" s="6">
        <f>IF(Data!P297 = 'Point Intercept 2'!O297, Data!P297, "ERROR")</f>
        <v>0</v>
      </c>
    </row>
    <row r="298" spans="1:15" x14ac:dyDescent="0.25">
      <c r="A298" s="6">
        <f>IF(Data!A298 = 'Point Intercept 2'!A298, Data!A298, "ERROR")</f>
        <v>3</v>
      </c>
      <c r="B298" s="6">
        <f>IF(Data!B298 = 'Point Intercept 2'!B298, Data!B298, "ERROR")</f>
        <v>2025</v>
      </c>
      <c r="C298" s="8">
        <f>IF(Data!C298 = 'Point Intercept 2'!C298, Data!C298, "ERROR")</f>
        <v>45755</v>
      </c>
      <c r="D298" s="6" t="str">
        <f>IF(Data!D298 = 'Point Intercept 2'!D298, Data!D298, "ERROR")</f>
        <v>JC, TL</v>
      </c>
      <c r="E298" s="6" t="str">
        <f>IF(Data!E298 = 'Point Intercept 2'!E298, Data!E298, "ERROR")</f>
        <v>VB</v>
      </c>
      <c r="F298" s="6">
        <f>IF(Data!F298 = 'Point Intercept 2'!F298, Data!F298, "ERROR")</f>
        <v>3</v>
      </c>
      <c r="G298" s="6" t="str">
        <f>IF(Data!G298 = 'Point Intercept 2'!G298, Data!G298, "ERROR")</f>
        <v>LU</v>
      </c>
      <c r="H298" s="6">
        <f>IF(Data!I298 = 'Point Intercept 2'!I298, Data!I298, "ERROR")</f>
        <v>12</v>
      </c>
      <c r="I298" s="6">
        <f>IF(Data!H298 = 'Point Intercept 2'!H298, Data!H298, "ERROR")</f>
        <v>2</v>
      </c>
      <c r="J298" s="6">
        <f>IF(Data!J298 = 'Point Intercept 2'!J298, Data!J298, "ERROR")</f>
        <v>6</v>
      </c>
      <c r="K298" s="6" t="str">
        <f>IF(Data!K298 = 'Point Intercept 2'!K298, Data!K298, "ERROR")</f>
        <v>CRACON</v>
      </c>
      <c r="L298" s="6" t="str">
        <f>IF(Data!L298 = 'Point Intercept 2'!L298, Data!L298, "ERROR")</f>
        <v>Crassula connata</v>
      </c>
      <c r="M298" s="6">
        <f>IF(Data!N298 = 'Point Intercept 2'!M298, Data!N298, "ERROR")</f>
        <v>0</v>
      </c>
      <c r="N298" s="6">
        <f>IF(Data!O298 = 'Point Intercept 2'!N298, Data!O298, "ERROR")</f>
        <v>0</v>
      </c>
      <c r="O298" s="6">
        <f>IF(Data!P298 = 'Point Intercept 2'!O298, Data!P298, "ERROR")</f>
        <v>0</v>
      </c>
    </row>
    <row r="299" spans="1:15" x14ac:dyDescent="0.25">
      <c r="A299" s="6">
        <f>IF(Data!A299 = 'Point Intercept 2'!A299, Data!A299, "ERROR")</f>
        <v>3</v>
      </c>
      <c r="B299" s="6">
        <f>IF(Data!B299 = 'Point Intercept 2'!B299, Data!B299, "ERROR")</f>
        <v>2025</v>
      </c>
      <c r="C299" s="8">
        <f>IF(Data!C299 = 'Point Intercept 2'!C299, Data!C299, "ERROR")</f>
        <v>45755</v>
      </c>
      <c r="D299" s="6" t="str">
        <f>IF(Data!D299 = 'Point Intercept 2'!D299, Data!D299, "ERROR")</f>
        <v>JC, TL</v>
      </c>
      <c r="E299" s="6" t="str">
        <f>IF(Data!E299 = 'Point Intercept 2'!E299, Data!E299, "ERROR")</f>
        <v>VB</v>
      </c>
      <c r="F299" s="6">
        <f>IF(Data!F299 = 'Point Intercept 2'!F299, Data!F299, "ERROR")</f>
        <v>3</v>
      </c>
      <c r="G299" s="6" t="str">
        <f>IF(Data!G299 = 'Point Intercept 2'!G299, Data!G299, "ERROR")</f>
        <v>LU</v>
      </c>
      <c r="H299" s="6">
        <f>IF(Data!I299 = 'Point Intercept 2'!I299, Data!I299, "ERROR")</f>
        <v>12</v>
      </c>
      <c r="I299" s="6">
        <f>IF(Data!H299 = 'Point Intercept 2'!H299, Data!H299, "ERROR")</f>
        <v>2</v>
      </c>
      <c r="J299" s="6">
        <f>IF(Data!J299 = 'Point Intercept 2'!J299, Data!J299, "ERROR")</f>
        <v>6</v>
      </c>
      <c r="K299" s="6" t="str">
        <f>IF(Data!K299 = 'Point Intercept 2'!K299, Data!K299, "ERROR")</f>
        <v>DEIFAS</v>
      </c>
      <c r="L299" s="6" t="str">
        <f>IF(Data!L299 = 'Point Intercept 2'!L299, Data!L299, "ERROR")</f>
        <v>Deinandra fasciculata</v>
      </c>
      <c r="M299" s="6">
        <f>IF(Data!N299 = 'Point Intercept 2'!M299, Data!N299, "ERROR")</f>
        <v>0</v>
      </c>
      <c r="N299" s="6">
        <f>IF(Data!O299 = 'Point Intercept 2'!N299, Data!O299, "ERROR")</f>
        <v>0</v>
      </c>
      <c r="O299" s="6">
        <f>IF(Data!P299 = 'Point Intercept 2'!O299, Data!P299, "ERROR")</f>
        <v>0</v>
      </c>
    </row>
    <row r="300" spans="1:15" x14ac:dyDescent="0.25">
      <c r="A300" s="6">
        <f>IF(Data!A300 = 'Point Intercept 2'!A300, Data!A300, "ERROR")</f>
        <v>3</v>
      </c>
      <c r="B300" s="6">
        <f>IF(Data!B300 = 'Point Intercept 2'!B300, Data!B300, "ERROR")</f>
        <v>2025</v>
      </c>
      <c r="C300" s="8">
        <f>IF(Data!C300 = 'Point Intercept 2'!C300, Data!C300, "ERROR")</f>
        <v>45755</v>
      </c>
      <c r="D300" s="6" t="str">
        <f>IF(Data!D300 = 'Point Intercept 2'!D300, Data!D300, "ERROR")</f>
        <v>JC, TL</v>
      </c>
      <c r="E300" s="6" t="str">
        <f>IF(Data!E300 = 'Point Intercept 2'!E300, Data!E300, "ERROR")</f>
        <v>VB</v>
      </c>
      <c r="F300" s="6">
        <f>IF(Data!F300 = 'Point Intercept 2'!F300, Data!F300, "ERROR")</f>
        <v>3</v>
      </c>
      <c r="G300" s="6" t="str">
        <f>IF(Data!G300 = 'Point Intercept 2'!G300, Data!G300, "ERROR")</f>
        <v>LU</v>
      </c>
      <c r="H300" s="6">
        <f>IF(Data!I300 = 'Point Intercept 2'!I300, Data!I300, "ERROR")</f>
        <v>12</v>
      </c>
      <c r="I300" s="6">
        <f>IF(Data!H300 = 'Point Intercept 2'!H300, Data!H300, "ERROR")</f>
        <v>2</v>
      </c>
      <c r="J300" s="6">
        <f>IF(Data!J300 = 'Point Intercept 2'!J300, Data!J300, "ERROR")</f>
        <v>6</v>
      </c>
      <c r="K300" s="6" t="str">
        <f>IF(Data!K300 = 'Point Intercept 2'!K300, Data!K300, "ERROR")</f>
        <v>FESMYU</v>
      </c>
      <c r="L300" s="6" t="str">
        <f>IF(Data!L300 = 'Point Intercept 2'!L300, Data!L300, "ERROR")</f>
        <v>Festuca myuros</v>
      </c>
      <c r="M300" s="6">
        <f>IF(Data!N300 = 'Point Intercept 2'!M300, Data!N300, "ERROR")</f>
        <v>0</v>
      </c>
      <c r="N300" s="6">
        <f>IF(Data!O300 = 'Point Intercept 2'!N300, Data!O300, "ERROR")</f>
        <v>0</v>
      </c>
      <c r="O300" s="6">
        <f>IF(Data!P300 = 'Point Intercept 2'!O300, Data!P300, "ERROR")</f>
        <v>0</v>
      </c>
    </row>
    <row r="301" spans="1:15" x14ac:dyDescent="0.25">
      <c r="A301" s="6">
        <f>IF(Data!A301 = 'Point Intercept 2'!A301, Data!A301, "ERROR")</f>
        <v>3</v>
      </c>
      <c r="B301" s="6">
        <f>IF(Data!B301 = 'Point Intercept 2'!B301, Data!B301, "ERROR")</f>
        <v>2025</v>
      </c>
      <c r="C301" s="8">
        <f>IF(Data!C301 = 'Point Intercept 2'!C301, Data!C301, "ERROR")</f>
        <v>45755</v>
      </c>
      <c r="D301" s="6" t="str">
        <f>IF(Data!D301 = 'Point Intercept 2'!D301, Data!D301, "ERROR")</f>
        <v>JC, TL</v>
      </c>
      <c r="E301" s="6" t="str">
        <f>IF(Data!E301 = 'Point Intercept 2'!E301, Data!E301, "ERROR")</f>
        <v>VB</v>
      </c>
      <c r="F301" s="6">
        <f>IF(Data!F301 = 'Point Intercept 2'!F301, Data!F301, "ERROR")</f>
        <v>3</v>
      </c>
      <c r="G301" s="6" t="str">
        <f>IF(Data!G301 = 'Point Intercept 2'!G301, Data!G301, "ERROR")</f>
        <v>LU</v>
      </c>
      <c r="H301" s="6">
        <f>IF(Data!I301 = 'Point Intercept 2'!I301, Data!I301, "ERROR")</f>
        <v>13</v>
      </c>
      <c r="I301" s="6">
        <f>IF(Data!H301 = 'Point Intercept 2'!H301, Data!H301, "ERROR")</f>
        <v>2</v>
      </c>
      <c r="J301" s="6">
        <f>IF(Data!J301 = 'Point Intercept 2'!J301, Data!J301, "ERROR")</f>
        <v>6.5</v>
      </c>
      <c r="K301" s="6" t="str">
        <f>IF(Data!K301 = 'Point Intercept 2'!K301, Data!K301, "ERROR")</f>
        <v>B</v>
      </c>
      <c r="L301" s="6" t="str">
        <f>IF(Data!L301 = 'Point Intercept 2'!L301, Data!L301, "ERROR")</f>
        <v>Bareground</v>
      </c>
      <c r="M301" s="6">
        <f>IF(Data!N301 = 'Point Intercept 2'!M301, Data!N301, "ERROR")</f>
        <v>0</v>
      </c>
      <c r="N301" s="6">
        <f>IF(Data!O301 = 'Point Intercept 2'!N301, Data!O301, "ERROR")</f>
        <v>0</v>
      </c>
      <c r="O301" s="6">
        <f>IF(Data!P301 = 'Point Intercept 2'!O301, Data!P301, "ERROR")</f>
        <v>0</v>
      </c>
    </row>
    <row r="302" spans="1:15" x14ac:dyDescent="0.25">
      <c r="A302" s="6">
        <f>IF(Data!A302 = 'Point Intercept 2'!A302, Data!A302, "ERROR")</f>
        <v>3</v>
      </c>
      <c r="B302" s="6">
        <f>IF(Data!B302 = 'Point Intercept 2'!B302, Data!B302, "ERROR")</f>
        <v>2025</v>
      </c>
      <c r="C302" s="8">
        <f>IF(Data!C302 = 'Point Intercept 2'!C302, Data!C302, "ERROR")</f>
        <v>45755</v>
      </c>
      <c r="D302" s="6" t="str">
        <f>IF(Data!D302 = 'Point Intercept 2'!D302, Data!D302, "ERROR")</f>
        <v>JC, TL</v>
      </c>
      <c r="E302" s="6" t="str">
        <f>IF(Data!E302 = 'Point Intercept 2'!E302, Data!E302, "ERROR")</f>
        <v>VB</v>
      </c>
      <c r="F302" s="6">
        <f>IF(Data!F302 = 'Point Intercept 2'!F302, Data!F302, "ERROR")</f>
        <v>3</v>
      </c>
      <c r="G302" s="6" t="str">
        <f>IF(Data!G302 = 'Point Intercept 2'!G302, Data!G302, "ERROR")</f>
        <v>LU</v>
      </c>
      <c r="H302" s="6">
        <f>IF(Data!I302 = 'Point Intercept 2'!I302, Data!I302, "ERROR")</f>
        <v>13</v>
      </c>
      <c r="I302" s="6">
        <f>IF(Data!H302 = 'Point Intercept 2'!H302, Data!H302, "ERROR")</f>
        <v>2</v>
      </c>
      <c r="J302" s="6">
        <f>IF(Data!J302 = 'Point Intercept 2'!J302, Data!J302, "ERROR")</f>
        <v>6.5</v>
      </c>
      <c r="K302" s="6" t="str">
        <f>IF(Data!K302 = 'Point Intercept 2'!K302, Data!K302, "ERROR")</f>
        <v>FESMYU</v>
      </c>
      <c r="L302" s="6" t="str">
        <f>IF(Data!L302 = 'Point Intercept 2'!L302, Data!L302, "ERROR")</f>
        <v>Festuca myuros</v>
      </c>
      <c r="M302" s="6">
        <f>IF(Data!N302 = 'Point Intercept 2'!M302, Data!N302, "ERROR")</f>
        <v>0</v>
      </c>
      <c r="N302" s="6">
        <f>IF(Data!O302 = 'Point Intercept 2'!N302, Data!O302, "ERROR")</f>
        <v>0</v>
      </c>
      <c r="O302" s="6">
        <f>IF(Data!P302 = 'Point Intercept 2'!O302, Data!P302, "ERROR")</f>
        <v>0</v>
      </c>
    </row>
    <row r="303" spans="1:15" x14ac:dyDescent="0.25">
      <c r="A303" s="6">
        <f>IF(Data!A303 = 'Point Intercept 2'!A303, Data!A303, "ERROR")</f>
        <v>3</v>
      </c>
      <c r="B303" s="6">
        <f>IF(Data!B303 = 'Point Intercept 2'!B303, Data!B303, "ERROR")</f>
        <v>2025</v>
      </c>
      <c r="C303" s="8">
        <f>IF(Data!C303 = 'Point Intercept 2'!C303, Data!C303, "ERROR")</f>
        <v>45755</v>
      </c>
      <c r="D303" s="6" t="str">
        <f>IF(Data!D303 = 'Point Intercept 2'!D303, Data!D303, "ERROR")</f>
        <v>JC, TL</v>
      </c>
      <c r="E303" s="6" t="str">
        <f>IF(Data!E303 = 'Point Intercept 2'!E303, Data!E303, "ERROR")</f>
        <v>VB</v>
      </c>
      <c r="F303" s="6">
        <f>IF(Data!F303 = 'Point Intercept 2'!F303, Data!F303, "ERROR")</f>
        <v>3</v>
      </c>
      <c r="G303" s="6" t="str">
        <f>IF(Data!G303 = 'Point Intercept 2'!G303, Data!G303, "ERROR")</f>
        <v>LU</v>
      </c>
      <c r="H303" s="6">
        <f>IF(Data!I303 = 'Point Intercept 2'!I303, Data!I303, "ERROR")</f>
        <v>14</v>
      </c>
      <c r="I303" s="6">
        <f>IF(Data!H303 = 'Point Intercept 2'!H303, Data!H303, "ERROR")</f>
        <v>2</v>
      </c>
      <c r="J303" s="6">
        <f>IF(Data!J303 = 'Point Intercept 2'!J303, Data!J303, "ERROR")</f>
        <v>7</v>
      </c>
      <c r="K303" s="6" t="str">
        <f>IF(Data!K303 = 'Point Intercept 2'!K303, Data!K303, "ERROR")</f>
        <v>S</v>
      </c>
      <c r="L303" s="6" t="str">
        <f>IF(Data!L303 = 'Point Intercept 2'!L303, Data!L303, "ERROR")</f>
        <v>Stem</v>
      </c>
      <c r="M303" s="6">
        <f>IF(Data!N303 = 'Point Intercept 2'!M303, Data!N303, "ERROR")</f>
        <v>0</v>
      </c>
      <c r="N303" s="6">
        <f>IF(Data!O303 = 'Point Intercept 2'!N303, Data!O303, "ERROR")</f>
        <v>0</v>
      </c>
      <c r="O303" s="6">
        <f>IF(Data!P303 = 'Point Intercept 2'!O303, Data!P303, "ERROR")</f>
        <v>0</v>
      </c>
    </row>
    <row r="304" spans="1:15" x14ac:dyDescent="0.25">
      <c r="A304" s="6">
        <f>IF(Data!A304 = 'Point Intercept 2'!A304, Data!A304, "ERROR")</f>
        <v>3</v>
      </c>
      <c r="B304" s="6">
        <f>IF(Data!B304 = 'Point Intercept 2'!B304, Data!B304, "ERROR")</f>
        <v>2025</v>
      </c>
      <c r="C304" s="8">
        <f>IF(Data!C304 = 'Point Intercept 2'!C304, Data!C304, "ERROR")</f>
        <v>45755</v>
      </c>
      <c r="D304" s="6" t="str">
        <f>IF(Data!D304 = 'Point Intercept 2'!D304, Data!D304, "ERROR")</f>
        <v>JC, TL</v>
      </c>
      <c r="E304" s="6" t="str">
        <f>IF(Data!E304 = 'Point Intercept 2'!E304, Data!E304, "ERROR")</f>
        <v>VB</v>
      </c>
      <c r="F304" s="6">
        <f>IF(Data!F304 = 'Point Intercept 2'!F304, Data!F304, "ERROR")</f>
        <v>3</v>
      </c>
      <c r="G304" s="6" t="str">
        <f>IF(Data!G304 = 'Point Intercept 2'!G304, Data!G304, "ERROR")</f>
        <v>LU</v>
      </c>
      <c r="H304" s="6">
        <f>IF(Data!I304 = 'Point Intercept 2'!I304, Data!I304, "ERROR")</f>
        <v>14</v>
      </c>
      <c r="I304" s="6">
        <f>IF(Data!H304 = 'Point Intercept 2'!H304, Data!H304, "ERROR")</f>
        <v>2</v>
      </c>
      <c r="J304" s="6">
        <f>IF(Data!J304 = 'Point Intercept 2'!J304, Data!J304, "ERROR")</f>
        <v>7</v>
      </c>
      <c r="K304" s="6" t="str">
        <f>IF(Data!K304 = 'Point Intercept 2'!K304, Data!K304, "ERROR")</f>
        <v>OPULIT</v>
      </c>
      <c r="L304" s="6" t="str">
        <f>IF(Data!L304 = 'Point Intercept 2'!L304, Data!L304, "ERROR")</f>
        <v>Opuntia littoralis</v>
      </c>
      <c r="M304" s="6">
        <f>IF(Data!N304 = 'Point Intercept 2'!M304, Data!N304, "ERROR")</f>
        <v>0</v>
      </c>
      <c r="N304" s="6">
        <f>IF(Data!O304 = 'Point Intercept 2'!N304, Data!O304, "ERROR")</f>
        <v>0</v>
      </c>
      <c r="O304" s="6">
        <f>IF(Data!P304 = 'Point Intercept 2'!O304, Data!P304, "ERROR")</f>
        <v>0</v>
      </c>
    </row>
    <row r="305" spans="1:15" x14ac:dyDescent="0.25">
      <c r="A305" s="6">
        <f>IF(Data!A305 = 'Point Intercept 2'!A305, Data!A305, "ERROR")</f>
        <v>3</v>
      </c>
      <c r="B305" s="6">
        <f>IF(Data!B305 = 'Point Intercept 2'!B305, Data!B305, "ERROR")</f>
        <v>2025</v>
      </c>
      <c r="C305" s="8">
        <f>IF(Data!C305 = 'Point Intercept 2'!C305, Data!C305, "ERROR")</f>
        <v>45755</v>
      </c>
      <c r="D305" s="6" t="str">
        <f>IF(Data!D305 = 'Point Intercept 2'!D305, Data!D305, "ERROR")</f>
        <v>JC, TL</v>
      </c>
      <c r="E305" s="6" t="str">
        <f>IF(Data!E305 = 'Point Intercept 2'!E305, Data!E305, "ERROR")</f>
        <v>VB</v>
      </c>
      <c r="F305" s="6">
        <f>IF(Data!F305 = 'Point Intercept 2'!F305, Data!F305, "ERROR")</f>
        <v>3</v>
      </c>
      <c r="G305" s="6" t="str">
        <f>IF(Data!G305 = 'Point Intercept 2'!G305, Data!G305, "ERROR")</f>
        <v>LU</v>
      </c>
      <c r="H305" s="6">
        <f>IF(Data!I305 = 'Point Intercept 2'!I305, Data!I305, "ERROR")</f>
        <v>15</v>
      </c>
      <c r="I305" s="6">
        <f>IF(Data!H305 = 'Point Intercept 2'!H305, Data!H305, "ERROR")</f>
        <v>2</v>
      </c>
      <c r="J305" s="6">
        <f>IF(Data!J305 = 'Point Intercept 2'!J305, Data!J305, "ERROR")</f>
        <v>7.5</v>
      </c>
      <c r="K305" s="6" t="str">
        <f>IF(Data!K305 = 'Point Intercept 2'!K305, Data!K305, "ERROR")</f>
        <v>M</v>
      </c>
      <c r="L305" s="6" t="str">
        <f>IF(Data!L305 = 'Point Intercept 2'!L305, Data!L305, "ERROR")</f>
        <v>Moss</v>
      </c>
      <c r="M305" s="6">
        <f>IF(Data!N305 = 'Point Intercept 2'!M305, Data!N305, "ERROR")</f>
        <v>0</v>
      </c>
      <c r="N305" s="6">
        <f>IF(Data!O305 = 'Point Intercept 2'!N305, Data!O305, "ERROR")</f>
        <v>0</v>
      </c>
      <c r="O305" s="6">
        <f>IF(Data!P305 = 'Point Intercept 2'!O305, Data!P305, "ERROR")</f>
        <v>0</v>
      </c>
    </row>
    <row r="306" spans="1:15" x14ac:dyDescent="0.25">
      <c r="A306" s="6">
        <f>IF(Data!A306 = 'Point Intercept 2'!A306, Data!A306, "ERROR")</f>
        <v>3</v>
      </c>
      <c r="B306" s="6">
        <f>IF(Data!B306 = 'Point Intercept 2'!B306, Data!B306, "ERROR")</f>
        <v>2025</v>
      </c>
      <c r="C306" s="8">
        <f>IF(Data!C306 = 'Point Intercept 2'!C306, Data!C306, "ERROR")</f>
        <v>45755</v>
      </c>
      <c r="D306" s="6" t="str">
        <f>IF(Data!D306 = 'Point Intercept 2'!D306, Data!D306, "ERROR")</f>
        <v>JC, TL</v>
      </c>
      <c r="E306" s="6" t="str">
        <f>IF(Data!E306 = 'Point Intercept 2'!E306, Data!E306, "ERROR")</f>
        <v>VB</v>
      </c>
      <c r="F306" s="6">
        <f>IF(Data!F306 = 'Point Intercept 2'!F306, Data!F306, "ERROR")</f>
        <v>3</v>
      </c>
      <c r="G306" s="6" t="str">
        <f>IF(Data!G306 = 'Point Intercept 2'!G306, Data!G306, "ERROR")</f>
        <v>LU</v>
      </c>
      <c r="H306" s="6">
        <f>IF(Data!I306 = 'Point Intercept 2'!I306, Data!I306, "ERROR")</f>
        <v>15</v>
      </c>
      <c r="I306" s="6">
        <f>IF(Data!H306 = 'Point Intercept 2'!H306, Data!H306, "ERROR")</f>
        <v>2</v>
      </c>
      <c r="J306" s="6">
        <f>IF(Data!J306 = 'Point Intercept 2'!J306, Data!J306, "ERROR")</f>
        <v>7.5</v>
      </c>
      <c r="K306" s="6" t="str">
        <f>IF(Data!K306 = 'Point Intercept 2'!K306, Data!K306, "ERROR")</f>
        <v>CRYMAR</v>
      </c>
      <c r="L306" s="6" t="str">
        <f>IF(Data!L306 = 'Point Intercept 2'!L306, Data!L306, "ERROR")</f>
        <v>Crypantha maritima</v>
      </c>
      <c r="M306" s="6">
        <f>IF(Data!N306 = 'Point Intercept 2'!M306, Data!N306, "ERROR")</f>
        <v>0</v>
      </c>
      <c r="N306" s="6">
        <f>IF(Data!O306 = 'Point Intercept 2'!N306, Data!O306, "ERROR")</f>
        <v>0</v>
      </c>
      <c r="O306" s="6">
        <f>IF(Data!P306 = 'Point Intercept 2'!O306, Data!P306, "ERROR")</f>
        <v>0</v>
      </c>
    </row>
    <row r="307" spans="1:15" x14ac:dyDescent="0.25">
      <c r="A307" s="6">
        <f>IF(Data!A307 = 'Point Intercept 2'!A307, Data!A307, "ERROR")</f>
        <v>3</v>
      </c>
      <c r="B307" s="6">
        <f>IF(Data!B307 = 'Point Intercept 2'!B307, Data!B307, "ERROR")</f>
        <v>2025</v>
      </c>
      <c r="C307" s="8">
        <f>IF(Data!C307 = 'Point Intercept 2'!C307, Data!C307, "ERROR")</f>
        <v>45755</v>
      </c>
      <c r="D307" s="6" t="str">
        <f>IF(Data!D307 = 'Point Intercept 2'!D307, Data!D307, "ERROR")</f>
        <v>JC, TL</v>
      </c>
      <c r="E307" s="6" t="str">
        <f>IF(Data!E307 = 'Point Intercept 2'!E307, Data!E307, "ERROR")</f>
        <v>VB</v>
      </c>
      <c r="F307" s="6">
        <f>IF(Data!F307 = 'Point Intercept 2'!F307, Data!F307, "ERROR")</f>
        <v>3</v>
      </c>
      <c r="G307" s="6" t="str">
        <f>IF(Data!G307 = 'Point Intercept 2'!G307, Data!G307, "ERROR")</f>
        <v>LU</v>
      </c>
      <c r="H307" s="6">
        <f>IF(Data!I307 = 'Point Intercept 2'!I307, Data!I307, "ERROR")</f>
        <v>15</v>
      </c>
      <c r="I307" s="6">
        <f>IF(Data!H307 = 'Point Intercept 2'!H307, Data!H307, "ERROR")</f>
        <v>2</v>
      </c>
      <c r="J307" s="6">
        <f>IF(Data!J307 = 'Point Intercept 2'!J307, Data!J307, "ERROR")</f>
        <v>7.5</v>
      </c>
      <c r="K307" s="6" t="str">
        <f>IF(Data!K307 = 'Point Intercept 2'!K307, Data!K307, "ERROR")</f>
        <v>DAUPUS</v>
      </c>
      <c r="L307" s="6" t="str">
        <f>IF(Data!L307 = 'Point Intercept 2'!L307, Data!L307, "ERROR")</f>
        <v>Daucus pusillus</v>
      </c>
      <c r="M307" s="6">
        <f>IF(Data!N307 = 'Point Intercept 2'!M307, Data!N307, "ERROR")</f>
        <v>0</v>
      </c>
      <c r="N307" s="6">
        <f>IF(Data!O307 = 'Point Intercept 2'!N307, Data!O307, "ERROR")</f>
        <v>0</v>
      </c>
      <c r="O307" s="6">
        <f>IF(Data!P307 = 'Point Intercept 2'!O307, Data!P307, "ERROR")</f>
        <v>0</v>
      </c>
    </row>
    <row r="308" spans="1:15" x14ac:dyDescent="0.25">
      <c r="A308" s="6">
        <f>IF(Data!A308 = 'Point Intercept 2'!A308, Data!A308, "ERROR")</f>
        <v>4</v>
      </c>
      <c r="B308" s="6">
        <f>IF(Data!B308 = 'Point Intercept 2'!B308, Data!B308, "ERROR")</f>
        <v>2025</v>
      </c>
      <c r="C308" s="8">
        <f>IF(Data!C308 = 'Point Intercept 2'!C308, Data!C308, "ERROR")</f>
        <v>45755</v>
      </c>
      <c r="D308" s="6" t="str">
        <f>IF(Data!D308 = 'Point Intercept 2'!D308, Data!D308, "ERROR")</f>
        <v>JC, TL</v>
      </c>
      <c r="E308" s="6" t="str">
        <f>IF(Data!E308 = 'Point Intercept 2'!E308, Data!E308, "ERROR")</f>
        <v>VB</v>
      </c>
      <c r="F308" s="6">
        <f>IF(Data!F308 = 'Point Intercept 2'!F308, Data!F308, "ERROR")</f>
        <v>3</v>
      </c>
      <c r="G308" s="6" t="str">
        <f>IF(Data!G308 = 'Point Intercept 2'!G308, Data!G308, "ERROR")</f>
        <v>LS</v>
      </c>
      <c r="H308" s="6">
        <f>IF(Data!I308 = 'Point Intercept 2'!I308, Data!I308, "ERROR")</f>
        <v>1</v>
      </c>
      <c r="I308" s="6">
        <f>IF(Data!H308 = 'Point Intercept 2'!H308, Data!H308, "ERROR")</f>
        <v>1</v>
      </c>
      <c r="J308" s="6">
        <f>IF(Data!J308 = 'Point Intercept 2'!J308, Data!J308, "ERROR")</f>
        <v>0</v>
      </c>
      <c r="K308" s="6" t="str">
        <f>IF(Data!K308 = 'Point Intercept 2'!K308, Data!K308, "ERROR")</f>
        <v>B</v>
      </c>
      <c r="L308" s="6" t="str">
        <f>IF(Data!L308 = 'Point Intercept 2'!L308, Data!L308, "ERROR")</f>
        <v>Bareground</v>
      </c>
      <c r="M308" s="6">
        <f>IF(Data!N308 = 'Point Intercept 2'!M308, Data!N308, "ERROR")</f>
        <v>0</v>
      </c>
      <c r="N308" s="6">
        <f>IF(Data!O308 = 'Point Intercept 2'!N308, Data!O308, "ERROR")</f>
        <v>0</v>
      </c>
      <c r="O308" s="6">
        <f>IF(Data!P308 = 'Point Intercept 2'!O308, Data!P308, "ERROR")</f>
        <v>0</v>
      </c>
    </row>
    <row r="309" spans="1:15" x14ac:dyDescent="0.25">
      <c r="A309" s="6">
        <f>IF(Data!A309 = 'Point Intercept 2'!A309, Data!A309, "ERROR")</f>
        <v>4</v>
      </c>
      <c r="B309" s="6">
        <f>IF(Data!B309 = 'Point Intercept 2'!B309, Data!B309, "ERROR")</f>
        <v>2025</v>
      </c>
      <c r="C309" s="8">
        <f>IF(Data!C309 = 'Point Intercept 2'!C309, Data!C309, "ERROR")</f>
        <v>45755</v>
      </c>
      <c r="D309" s="6" t="str">
        <f>IF(Data!D309 = 'Point Intercept 2'!D309, Data!D309, "ERROR")</f>
        <v>JC, TL</v>
      </c>
      <c r="E309" s="6" t="str">
        <f>IF(Data!E309 = 'Point Intercept 2'!E309, Data!E309, "ERROR")</f>
        <v>VB</v>
      </c>
      <c r="F309" s="6">
        <f>IF(Data!F309 = 'Point Intercept 2'!F309, Data!F309, "ERROR")</f>
        <v>3</v>
      </c>
      <c r="G309" s="6" t="str">
        <f>IF(Data!G309 = 'Point Intercept 2'!G309, Data!G309, "ERROR")</f>
        <v>LS</v>
      </c>
      <c r="H309" s="6">
        <f>IF(Data!I309 = 'Point Intercept 2'!I309, Data!I309, "ERROR")</f>
        <v>1</v>
      </c>
      <c r="I309" s="6">
        <f>IF(Data!H309 = 'Point Intercept 2'!H309, Data!H309, "ERROR")</f>
        <v>1</v>
      </c>
      <c r="J309" s="6">
        <f>IF(Data!J309 = 'Point Intercept 2'!J309, Data!J309, "ERROR")</f>
        <v>0</v>
      </c>
      <c r="K309" s="6" t="str">
        <f>IF(Data!K309 = 'Point Intercept 2'!K309, Data!K309, "ERROR")</f>
        <v>ANAARV</v>
      </c>
      <c r="L309" s="6" t="str">
        <f>IF(Data!L309 = 'Point Intercept 2'!L309, Data!L309, "ERROR")</f>
        <v>Anagallis arvensis</v>
      </c>
      <c r="M309" s="6">
        <f>IF(Data!N309 = 'Point Intercept 2'!M309, Data!N309, "ERROR")</f>
        <v>0</v>
      </c>
      <c r="N309" s="6">
        <f>IF(Data!O309 = 'Point Intercept 2'!N309, Data!O309, "ERROR")</f>
        <v>0</v>
      </c>
      <c r="O309" s="6">
        <f>IF(Data!P309 = 'Point Intercept 2'!O309, Data!P309, "ERROR")</f>
        <v>0</v>
      </c>
    </row>
    <row r="310" spans="1:15" x14ac:dyDescent="0.25">
      <c r="A310" s="6">
        <f>IF(Data!A310 = 'Point Intercept 2'!A310, Data!A310, "ERROR")</f>
        <v>4</v>
      </c>
      <c r="B310" s="6">
        <f>IF(Data!B310 = 'Point Intercept 2'!B310, Data!B310, "ERROR")</f>
        <v>2025</v>
      </c>
      <c r="C310" s="8">
        <f>IF(Data!C310 = 'Point Intercept 2'!C310, Data!C310, "ERROR")</f>
        <v>45755</v>
      </c>
      <c r="D310" s="6" t="str">
        <f>IF(Data!D310 = 'Point Intercept 2'!D310, Data!D310, "ERROR")</f>
        <v>JC, TL</v>
      </c>
      <c r="E310" s="6" t="str">
        <f>IF(Data!E310 = 'Point Intercept 2'!E310, Data!E310, "ERROR")</f>
        <v>VB</v>
      </c>
      <c r="F310" s="6">
        <f>IF(Data!F310 = 'Point Intercept 2'!F310, Data!F310, "ERROR")</f>
        <v>3</v>
      </c>
      <c r="G310" s="6" t="str">
        <f>IF(Data!G310 = 'Point Intercept 2'!G310, Data!G310, "ERROR")</f>
        <v>LS</v>
      </c>
      <c r="H310" s="6">
        <f>IF(Data!I310 = 'Point Intercept 2'!I310, Data!I310, "ERROR")</f>
        <v>1</v>
      </c>
      <c r="I310" s="6">
        <f>IF(Data!H310 = 'Point Intercept 2'!H310, Data!H310, "ERROR")</f>
        <v>1</v>
      </c>
      <c r="J310" s="6">
        <f>IF(Data!J310 = 'Point Intercept 2'!J310, Data!J310, "ERROR")</f>
        <v>0</v>
      </c>
      <c r="K310" s="6" t="str">
        <f>IF(Data!K310 = 'Point Intercept 2'!K310, Data!K310, "ERROR")</f>
        <v>OPULIT</v>
      </c>
      <c r="L310" s="6" t="str">
        <f>IF(Data!L310 = 'Point Intercept 2'!L310, Data!L310, "ERROR")</f>
        <v>Opuntia littoralis</v>
      </c>
      <c r="M310" s="6">
        <f>IF(Data!N310 = 'Point Intercept 2'!M310, Data!N310, "ERROR")</f>
        <v>0</v>
      </c>
      <c r="N310" s="6">
        <f>IF(Data!O310 = 'Point Intercept 2'!N310, Data!O310, "ERROR")</f>
        <v>0</v>
      </c>
      <c r="O310" s="6">
        <f>IF(Data!P310 = 'Point Intercept 2'!O310, Data!P310, "ERROR")</f>
        <v>0</v>
      </c>
    </row>
    <row r="311" spans="1:15" x14ac:dyDescent="0.25">
      <c r="A311" s="6">
        <f>IF(Data!A311 = 'Point Intercept 2'!A311, Data!A311, "ERROR")</f>
        <v>4</v>
      </c>
      <c r="B311" s="6">
        <f>IF(Data!B311 = 'Point Intercept 2'!B311, Data!B311, "ERROR")</f>
        <v>2025</v>
      </c>
      <c r="C311" s="8">
        <f>IF(Data!C311 = 'Point Intercept 2'!C311, Data!C311, "ERROR")</f>
        <v>45755</v>
      </c>
      <c r="D311" s="6" t="str">
        <f>IF(Data!D311 = 'Point Intercept 2'!D311, Data!D311, "ERROR")</f>
        <v>JC, TL</v>
      </c>
      <c r="E311" s="6" t="str">
        <f>IF(Data!E311 = 'Point Intercept 2'!E311, Data!E311, "ERROR")</f>
        <v>VB</v>
      </c>
      <c r="F311" s="6">
        <f>IF(Data!F311 = 'Point Intercept 2'!F311, Data!F311, "ERROR")</f>
        <v>3</v>
      </c>
      <c r="G311" s="6" t="str">
        <f>IF(Data!G311 = 'Point Intercept 2'!G311, Data!G311, "ERROR")</f>
        <v>LS</v>
      </c>
      <c r="H311" s="6">
        <f>IF(Data!I311 = 'Point Intercept 2'!I311, Data!I311, "ERROR")</f>
        <v>1</v>
      </c>
      <c r="I311" s="6">
        <f>IF(Data!H311 = 'Point Intercept 2'!H311, Data!H311, "ERROR")</f>
        <v>1</v>
      </c>
      <c r="J311" s="6">
        <f>IF(Data!J311 = 'Point Intercept 2'!J311, Data!J311, "ERROR")</f>
        <v>0</v>
      </c>
      <c r="K311" s="6" t="str">
        <f>IF(Data!K311 = 'Point Intercept 2'!K311, Data!K311, "ERROR")</f>
        <v>SONOLE</v>
      </c>
      <c r="L311" s="6" t="str">
        <f>IF(Data!L311 = 'Point Intercept 2'!L311, Data!L311, "ERROR")</f>
        <v>Sonchus oleraceus</v>
      </c>
      <c r="M311" s="6">
        <f>IF(Data!N311 = 'Point Intercept 2'!M311, Data!N311, "ERROR")</f>
        <v>0</v>
      </c>
      <c r="N311" s="6">
        <f>IF(Data!O311 = 'Point Intercept 2'!N311, Data!O311, "ERROR")</f>
        <v>0</v>
      </c>
      <c r="O311" s="6">
        <f>IF(Data!P311 = 'Point Intercept 2'!O311, Data!P311, "ERROR")</f>
        <v>0</v>
      </c>
    </row>
    <row r="312" spans="1:15" x14ac:dyDescent="0.25">
      <c r="A312" s="6">
        <f>IF(Data!A312 = 'Point Intercept 2'!A312, Data!A312, "ERROR")</f>
        <v>4</v>
      </c>
      <c r="B312" s="6">
        <f>IF(Data!B312 = 'Point Intercept 2'!B312, Data!B312, "ERROR")</f>
        <v>2025</v>
      </c>
      <c r="C312" s="8">
        <f>IF(Data!C312 = 'Point Intercept 2'!C312, Data!C312, "ERROR")</f>
        <v>45755</v>
      </c>
      <c r="D312" s="6" t="str">
        <f>IF(Data!D312 = 'Point Intercept 2'!D312, Data!D312, "ERROR")</f>
        <v>JC, TL</v>
      </c>
      <c r="E312" s="6" t="str">
        <f>IF(Data!E312 = 'Point Intercept 2'!E312, Data!E312, "ERROR")</f>
        <v>VB</v>
      </c>
      <c r="F312" s="6">
        <f>IF(Data!F312 = 'Point Intercept 2'!F312, Data!F312, "ERROR")</f>
        <v>3</v>
      </c>
      <c r="G312" s="6" t="str">
        <f>IF(Data!G312 = 'Point Intercept 2'!G312, Data!G312, "ERROR")</f>
        <v>LS</v>
      </c>
      <c r="H312" s="6">
        <f>IF(Data!I312 = 'Point Intercept 2'!I312, Data!I312, "ERROR")</f>
        <v>1</v>
      </c>
      <c r="I312" s="6">
        <f>IF(Data!H312 = 'Point Intercept 2'!H312, Data!H312, "ERROR")</f>
        <v>1</v>
      </c>
      <c r="J312" s="6">
        <f>IF(Data!J312 = 'Point Intercept 2'!J312, Data!J312, "ERROR")</f>
        <v>0</v>
      </c>
      <c r="K312" s="6" t="str">
        <f>IF(Data!K312 = 'Point Intercept 2'!K312, Data!K312, "ERROR")</f>
        <v>DEIFAS</v>
      </c>
      <c r="L312" s="6" t="str">
        <f>IF(Data!L312 = 'Point Intercept 2'!L312, Data!L312, "ERROR")</f>
        <v>Deinandra fasciculata</v>
      </c>
      <c r="M312" s="6">
        <f>IF(Data!N312 = 'Point Intercept 2'!M312, Data!N312, "ERROR")</f>
        <v>0</v>
      </c>
      <c r="N312" s="6">
        <f>IF(Data!O312 = 'Point Intercept 2'!N312, Data!O312, "ERROR")</f>
        <v>0</v>
      </c>
      <c r="O312" s="6">
        <f>IF(Data!P312 = 'Point Intercept 2'!O312, Data!P312, "ERROR")</f>
        <v>0</v>
      </c>
    </row>
    <row r="313" spans="1:15" x14ac:dyDescent="0.25">
      <c r="A313" s="6">
        <f>IF(Data!A313 = 'Point Intercept 2'!A313, Data!A313, "ERROR")</f>
        <v>4</v>
      </c>
      <c r="B313" s="6">
        <f>IF(Data!B313 = 'Point Intercept 2'!B313, Data!B313, "ERROR")</f>
        <v>2025</v>
      </c>
      <c r="C313" s="8">
        <f>IF(Data!C313 = 'Point Intercept 2'!C313, Data!C313, "ERROR")</f>
        <v>45755</v>
      </c>
      <c r="D313" s="6" t="str">
        <f>IF(Data!D313 = 'Point Intercept 2'!D313, Data!D313, "ERROR")</f>
        <v>JC, TL</v>
      </c>
      <c r="E313" s="6" t="str">
        <f>IF(Data!E313 = 'Point Intercept 2'!E313, Data!E313, "ERROR")</f>
        <v>VB</v>
      </c>
      <c r="F313" s="6">
        <f>IF(Data!F313 = 'Point Intercept 2'!F313, Data!F313, "ERROR")</f>
        <v>3</v>
      </c>
      <c r="G313" s="6" t="str">
        <f>IF(Data!G313 = 'Point Intercept 2'!G313, Data!G313, "ERROR")</f>
        <v>LS</v>
      </c>
      <c r="H313" s="6">
        <f>IF(Data!I313 = 'Point Intercept 2'!I313, Data!I313, "ERROR")</f>
        <v>2</v>
      </c>
      <c r="I313" s="6">
        <f>IF(Data!H313 = 'Point Intercept 2'!H313, Data!H313, "ERROR")</f>
        <v>1</v>
      </c>
      <c r="J313" s="6">
        <f>IF(Data!J313 = 'Point Intercept 2'!J313, Data!J313, "ERROR")</f>
        <v>0.5</v>
      </c>
      <c r="K313" s="6" t="str">
        <f>IF(Data!K313 = 'Point Intercept 2'!K313, Data!K313, "ERROR")</f>
        <v>L</v>
      </c>
      <c r="L313" s="6" t="str">
        <f>IF(Data!L313 = 'Point Intercept 2'!L313, Data!L313, "ERROR")</f>
        <v>Litter</v>
      </c>
      <c r="M313" s="6">
        <f>IF(Data!N313 = 'Point Intercept 2'!M313, Data!N313, "ERROR")</f>
        <v>0</v>
      </c>
      <c r="N313" s="6">
        <f>IF(Data!O313 = 'Point Intercept 2'!N313, Data!O313, "ERROR")</f>
        <v>0</v>
      </c>
      <c r="O313" s="6">
        <f>IF(Data!P313 = 'Point Intercept 2'!O313, Data!P313, "ERROR")</f>
        <v>0</v>
      </c>
    </row>
    <row r="314" spans="1:15" x14ac:dyDescent="0.25">
      <c r="A314" s="6">
        <f>IF(Data!A314 = 'Point Intercept 2'!A314, Data!A314, "ERROR")</f>
        <v>4</v>
      </c>
      <c r="B314" s="6">
        <f>IF(Data!B314 = 'Point Intercept 2'!B314, Data!B314, "ERROR")</f>
        <v>2025</v>
      </c>
      <c r="C314" s="8">
        <f>IF(Data!C314 = 'Point Intercept 2'!C314, Data!C314, "ERROR")</f>
        <v>45755</v>
      </c>
      <c r="D314" s="6" t="str">
        <f>IF(Data!D314 = 'Point Intercept 2'!D314, Data!D314, "ERROR")</f>
        <v>JC, TL</v>
      </c>
      <c r="E314" s="6" t="str">
        <f>IF(Data!E314 = 'Point Intercept 2'!E314, Data!E314, "ERROR")</f>
        <v>VB</v>
      </c>
      <c r="F314" s="6">
        <f>IF(Data!F314 = 'Point Intercept 2'!F314, Data!F314, "ERROR")</f>
        <v>3</v>
      </c>
      <c r="G314" s="6" t="str">
        <f>IF(Data!G314 = 'Point Intercept 2'!G314, Data!G314, "ERROR")</f>
        <v>LS</v>
      </c>
      <c r="H314" s="6">
        <f>IF(Data!I314 = 'Point Intercept 2'!I314, Data!I314, "ERROR")</f>
        <v>2</v>
      </c>
      <c r="I314" s="6">
        <f>IF(Data!H314 = 'Point Intercept 2'!H314, Data!H314, "ERROR")</f>
        <v>1</v>
      </c>
      <c r="J314" s="6">
        <f>IF(Data!J314 = 'Point Intercept 2'!J314, Data!J314, "ERROR")</f>
        <v>0.5</v>
      </c>
      <c r="K314" s="6" t="str">
        <f>IF(Data!K314 = 'Point Intercept 2'!K314, Data!K314, "ERROR")</f>
        <v>FESMYU</v>
      </c>
      <c r="L314" s="6" t="str">
        <f>IF(Data!L314 = 'Point Intercept 2'!L314, Data!L314, "ERROR")</f>
        <v>Festuca myuros</v>
      </c>
      <c r="M314" s="6">
        <f>IF(Data!N314 = 'Point Intercept 2'!M314, Data!N314, "ERROR")</f>
        <v>0</v>
      </c>
      <c r="N314" s="6">
        <f>IF(Data!O314 = 'Point Intercept 2'!N314, Data!O314, "ERROR")</f>
        <v>0</v>
      </c>
      <c r="O314" s="6">
        <f>IF(Data!P314 = 'Point Intercept 2'!O314, Data!P314, "ERROR")</f>
        <v>0</v>
      </c>
    </row>
    <row r="315" spans="1:15" x14ac:dyDescent="0.25">
      <c r="A315" s="6">
        <f>IF(Data!A315 = 'Point Intercept 2'!A315, Data!A315, "ERROR")</f>
        <v>4</v>
      </c>
      <c r="B315" s="6">
        <f>IF(Data!B315 = 'Point Intercept 2'!B315, Data!B315, "ERROR")</f>
        <v>2025</v>
      </c>
      <c r="C315" s="8">
        <f>IF(Data!C315 = 'Point Intercept 2'!C315, Data!C315, "ERROR")</f>
        <v>45755</v>
      </c>
      <c r="D315" s="6" t="str">
        <f>IF(Data!D315 = 'Point Intercept 2'!D315, Data!D315, "ERROR")</f>
        <v>JC, TL</v>
      </c>
      <c r="E315" s="6" t="str">
        <f>IF(Data!E315 = 'Point Intercept 2'!E315, Data!E315, "ERROR")</f>
        <v>VB</v>
      </c>
      <c r="F315" s="6">
        <f>IF(Data!F315 = 'Point Intercept 2'!F315, Data!F315, "ERROR")</f>
        <v>3</v>
      </c>
      <c r="G315" s="6" t="str">
        <f>IF(Data!G315 = 'Point Intercept 2'!G315, Data!G315, "ERROR")</f>
        <v>LS</v>
      </c>
      <c r="H315" s="6">
        <f>IF(Data!I315 = 'Point Intercept 2'!I315, Data!I315, "ERROR")</f>
        <v>3</v>
      </c>
      <c r="I315" s="6">
        <f>IF(Data!H315 = 'Point Intercept 2'!H315, Data!H315, "ERROR")</f>
        <v>1</v>
      </c>
      <c r="J315" s="6">
        <f>IF(Data!J315 = 'Point Intercept 2'!J315, Data!J315, "ERROR")</f>
        <v>1</v>
      </c>
      <c r="K315" s="6" t="str">
        <f>IF(Data!K315 = 'Point Intercept 2'!K315, Data!K315, "ERROR")</f>
        <v>L</v>
      </c>
      <c r="L315" s="6" t="str">
        <f>IF(Data!L315 = 'Point Intercept 2'!L315, Data!L315, "ERROR")</f>
        <v>Litter</v>
      </c>
      <c r="M315" s="6">
        <f>IF(Data!N315 = 'Point Intercept 2'!M315, Data!N315, "ERROR")</f>
        <v>0</v>
      </c>
      <c r="N315" s="6">
        <f>IF(Data!O315 = 'Point Intercept 2'!N315, Data!O315, "ERROR")</f>
        <v>0</v>
      </c>
      <c r="O315" s="6">
        <f>IF(Data!P315 = 'Point Intercept 2'!O315, Data!P315, "ERROR")</f>
        <v>0</v>
      </c>
    </row>
    <row r="316" spans="1:15" x14ac:dyDescent="0.25">
      <c r="A316" s="6">
        <f>IF(Data!A316 = 'Point Intercept 2'!A316, Data!A316, "ERROR")</f>
        <v>4</v>
      </c>
      <c r="B316" s="6">
        <f>IF(Data!B316 = 'Point Intercept 2'!B316, Data!B316, "ERROR")</f>
        <v>2025</v>
      </c>
      <c r="C316" s="8">
        <f>IF(Data!C316 = 'Point Intercept 2'!C316, Data!C316, "ERROR")</f>
        <v>45755</v>
      </c>
      <c r="D316" s="6" t="str">
        <f>IF(Data!D316 = 'Point Intercept 2'!D316, Data!D316, "ERROR")</f>
        <v>JC, TL</v>
      </c>
      <c r="E316" s="6" t="str">
        <f>IF(Data!E316 = 'Point Intercept 2'!E316, Data!E316, "ERROR")</f>
        <v>VB</v>
      </c>
      <c r="F316" s="6">
        <f>IF(Data!F316 = 'Point Intercept 2'!F316, Data!F316, "ERROR")</f>
        <v>3</v>
      </c>
      <c r="G316" s="6" t="str">
        <f>IF(Data!G316 = 'Point Intercept 2'!G316, Data!G316, "ERROR")</f>
        <v>LS</v>
      </c>
      <c r="H316" s="6">
        <f>IF(Data!I316 = 'Point Intercept 2'!I316, Data!I316, "ERROR")</f>
        <v>3</v>
      </c>
      <c r="I316" s="6">
        <f>IF(Data!H316 = 'Point Intercept 2'!H316, Data!H316, "ERROR")</f>
        <v>1</v>
      </c>
      <c r="J316" s="6">
        <f>IF(Data!J316 = 'Point Intercept 2'!J316, Data!J316, "ERROR")</f>
        <v>1</v>
      </c>
      <c r="K316" s="6" t="str">
        <f>IF(Data!K316 = 'Point Intercept 2'!K316, Data!K316, "ERROR")</f>
        <v>FESMYU</v>
      </c>
      <c r="L316" s="6" t="str">
        <f>IF(Data!L316 = 'Point Intercept 2'!L316, Data!L316, "ERROR")</f>
        <v>Festuca myuros</v>
      </c>
      <c r="M316" s="6">
        <f>IF(Data!N316 = 'Point Intercept 2'!M316, Data!N316, "ERROR")</f>
        <v>0</v>
      </c>
      <c r="N316" s="6">
        <f>IF(Data!O316 = 'Point Intercept 2'!N316, Data!O316, "ERROR")</f>
        <v>0</v>
      </c>
      <c r="O316" s="6">
        <f>IF(Data!P316 = 'Point Intercept 2'!O316, Data!P316, "ERROR")</f>
        <v>0</v>
      </c>
    </row>
    <row r="317" spans="1:15" x14ac:dyDescent="0.25">
      <c r="A317" s="6">
        <f>IF(Data!A317 = 'Point Intercept 2'!A317, Data!A317, "ERROR")</f>
        <v>4</v>
      </c>
      <c r="B317" s="6">
        <f>IF(Data!B317 = 'Point Intercept 2'!B317, Data!B317, "ERROR")</f>
        <v>2025</v>
      </c>
      <c r="C317" s="8">
        <f>IF(Data!C317 = 'Point Intercept 2'!C317, Data!C317, "ERROR")</f>
        <v>45755</v>
      </c>
      <c r="D317" s="6" t="str">
        <f>IF(Data!D317 = 'Point Intercept 2'!D317, Data!D317, "ERROR")</f>
        <v>JC, TL</v>
      </c>
      <c r="E317" s="6" t="str">
        <f>IF(Data!E317 = 'Point Intercept 2'!E317, Data!E317, "ERROR")</f>
        <v>VB</v>
      </c>
      <c r="F317" s="6">
        <f>IF(Data!F317 = 'Point Intercept 2'!F317, Data!F317, "ERROR")</f>
        <v>3</v>
      </c>
      <c r="G317" s="6" t="str">
        <f>IF(Data!G317 = 'Point Intercept 2'!G317, Data!G317, "ERROR")</f>
        <v>LS</v>
      </c>
      <c r="H317" s="6">
        <f>IF(Data!I317 = 'Point Intercept 2'!I317, Data!I317, "ERROR")</f>
        <v>3</v>
      </c>
      <c r="I317" s="6">
        <f>IF(Data!H317 = 'Point Intercept 2'!H317, Data!H317, "ERROR")</f>
        <v>1</v>
      </c>
      <c r="J317" s="6">
        <f>IF(Data!J317 = 'Point Intercept 2'!J317, Data!J317, "ERROR")</f>
        <v>1</v>
      </c>
      <c r="K317" s="6" t="str">
        <f>IF(Data!K317 = 'Point Intercept 2'!K317, Data!K317, "ERROR")</f>
        <v>BROMAD</v>
      </c>
      <c r="L317" s="6" t="str">
        <f>IF(Data!L317 = 'Point Intercept 2'!L317, Data!L317, "ERROR")</f>
        <v>Bromus madritensis</v>
      </c>
      <c r="M317" s="6">
        <f>IF(Data!N317 = 'Point Intercept 2'!M317, Data!N317, "ERROR")</f>
        <v>0</v>
      </c>
      <c r="N317" s="6">
        <f>IF(Data!O317 = 'Point Intercept 2'!N317, Data!O317, "ERROR")</f>
        <v>0</v>
      </c>
      <c r="O317" s="6">
        <f>IF(Data!P317 = 'Point Intercept 2'!O317, Data!P317, "ERROR")</f>
        <v>0</v>
      </c>
    </row>
    <row r="318" spans="1:15" x14ac:dyDescent="0.25">
      <c r="A318" s="6">
        <f>IF(Data!A318 = 'Point Intercept 2'!A318, Data!A318, "ERROR")</f>
        <v>4</v>
      </c>
      <c r="B318" s="6">
        <f>IF(Data!B318 = 'Point Intercept 2'!B318, Data!B318, "ERROR")</f>
        <v>2025</v>
      </c>
      <c r="C318" s="8">
        <f>IF(Data!C318 = 'Point Intercept 2'!C318, Data!C318, "ERROR")</f>
        <v>45755</v>
      </c>
      <c r="D318" s="6" t="str">
        <f>IF(Data!D318 = 'Point Intercept 2'!D318, Data!D318, "ERROR")</f>
        <v>JC, TL</v>
      </c>
      <c r="E318" s="6" t="str">
        <f>IF(Data!E318 = 'Point Intercept 2'!E318, Data!E318, "ERROR")</f>
        <v>VB</v>
      </c>
      <c r="F318" s="6">
        <f>IF(Data!F318 = 'Point Intercept 2'!F318, Data!F318, "ERROR")</f>
        <v>3</v>
      </c>
      <c r="G318" s="6" t="str">
        <f>IF(Data!G318 = 'Point Intercept 2'!G318, Data!G318, "ERROR")</f>
        <v>LS</v>
      </c>
      <c r="H318" s="6">
        <f>IF(Data!I318 = 'Point Intercept 2'!I318, Data!I318, "ERROR")</f>
        <v>3</v>
      </c>
      <c r="I318" s="6">
        <f>IF(Data!H318 = 'Point Intercept 2'!H318, Data!H318, "ERROR")</f>
        <v>1</v>
      </c>
      <c r="J318" s="6">
        <f>IF(Data!J318 = 'Point Intercept 2'!J318, Data!J318, "ERROR")</f>
        <v>1</v>
      </c>
      <c r="K318" s="6" t="str">
        <f>IF(Data!K318 = 'Point Intercept 2'!K318, Data!K318, "ERROR")</f>
        <v>EROCIC</v>
      </c>
      <c r="L318" s="6" t="str">
        <f>IF(Data!L318 = 'Point Intercept 2'!L318, Data!L318, "ERROR")</f>
        <v>Erodium cicutarium</v>
      </c>
      <c r="M318" s="6">
        <f>IF(Data!N318 = 'Point Intercept 2'!M318, Data!N318, "ERROR")</f>
        <v>0</v>
      </c>
      <c r="N318" s="6">
        <f>IF(Data!O318 = 'Point Intercept 2'!N318, Data!O318, "ERROR")</f>
        <v>0</v>
      </c>
      <c r="O318" s="6">
        <f>IF(Data!P318 = 'Point Intercept 2'!O318, Data!P318, "ERROR")</f>
        <v>0</v>
      </c>
    </row>
    <row r="319" spans="1:15" x14ac:dyDescent="0.25">
      <c r="A319" s="6">
        <f>IF(Data!A319 = 'Point Intercept 2'!A319, Data!A319, "ERROR")</f>
        <v>4</v>
      </c>
      <c r="B319" s="6">
        <f>IF(Data!B319 = 'Point Intercept 2'!B319, Data!B319, "ERROR")</f>
        <v>2025</v>
      </c>
      <c r="C319" s="8">
        <f>IF(Data!C319 = 'Point Intercept 2'!C319, Data!C319, "ERROR")</f>
        <v>45755</v>
      </c>
      <c r="D319" s="6" t="str">
        <f>IF(Data!D319 = 'Point Intercept 2'!D319, Data!D319, "ERROR")</f>
        <v>JC, TL</v>
      </c>
      <c r="E319" s="6" t="str">
        <f>IF(Data!E319 = 'Point Intercept 2'!E319, Data!E319, "ERROR")</f>
        <v>VB</v>
      </c>
      <c r="F319" s="6">
        <f>IF(Data!F319 = 'Point Intercept 2'!F319, Data!F319, "ERROR")</f>
        <v>3</v>
      </c>
      <c r="G319" s="6" t="str">
        <f>IF(Data!G319 = 'Point Intercept 2'!G319, Data!G319, "ERROR")</f>
        <v>LS</v>
      </c>
      <c r="H319" s="6">
        <f>IF(Data!I319 = 'Point Intercept 2'!I319, Data!I319, "ERROR")</f>
        <v>4</v>
      </c>
      <c r="I319" s="6">
        <f>IF(Data!H319 = 'Point Intercept 2'!H319, Data!H319, "ERROR")</f>
        <v>1</v>
      </c>
      <c r="J319" s="6">
        <f>IF(Data!J319 = 'Point Intercept 2'!J319, Data!J319, "ERROR")</f>
        <v>1.5</v>
      </c>
      <c r="K319" s="6" t="str">
        <f>IF(Data!K319 = 'Point Intercept 2'!K319, Data!K319, "ERROR")</f>
        <v>B</v>
      </c>
      <c r="L319" s="6" t="str">
        <f>IF(Data!L319 = 'Point Intercept 2'!L319, Data!L319, "ERROR")</f>
        <v>Bareground</v>
      </c>
      <c r="M319" s="6">
        <f>IF(Data!N319 = 'Point Intercept 2'!M319, Data!N319, "ERROR")</f>
        <v>0</v>
      </c>
      <c r="N319" s="6">
        <f>IF(Data!O319 = 'Point Intercept 2'!N319, Data!O319, "ERROR")</f>
        <v>0</v>
      </c>
      <c r="O319" s="6">
        <f>IF(Data!P319 = 'Point Intercept 2'!O319, Data!P319, "ERROR")</f>
        <v>0</v>
      </c>
    </row>
    <row r="320" spans="1:15" x14ac:dyDescent="0.25">
      <c r="A320" s="6">
        <f>IF(Data!A320 = 'Point Intercept 2'!A320, Data!A320, "ERROR")</f>
        <v>4</v>
      </c>
      <c r="B320" s="6">
        <f>IF(Data!B320 = 'Point Intercept 2'!B320, Data!B320, "ERROR")</f>
        <v>2025</v>
      </c>
      <c r="C320" s="8">
        <f>IF(Data!C320 = 'Point Intercept 2'!C320, Data!C320, "ERROR")</f>
        <v>45755</v>
      </c>
      <c r="D320" s="6" t="str">
        <f>IF(Data!D320 = 'Point Intercept 2'!D320, Data!D320, "ERROR")</f>
        <v>JC, TL</v>
      </c>
      <c r="E320" s="6" t="str">
        <f>IF(Data!E320 = 'Point Intercept 2'!E320, Data!E320, "ERROR")</f>
        <v>VB</v>
      </c>
      <c r="F320" s="6">
        <f>IF(Data!F320 = 'Point Intercept 2'!F320, Data!F320, "ERROR")</f>
        <v>3</v>
      </c>
      <c r="G320" s="6" t="str">
        <f>IF(Data!G320 = 'Point Intercept 2'!G320, Data!G320, "ERROR")</f>
        <v>LS</v>
      </c>
      <c r="H320" s="6">
        <f>IF(Data!I320 = 'Point Intercept 2'!I320, Data!I320, "ERROR")</f>
        <v>4</v>
      </c>
      <c r="I320" s="6">
        <f>IF(Data!H320 = 'Point Intercept 2'!H320, Data!H320, "ERROR")</f>
        <v>1</v>
      </c>
      <c r="J320" s="6">
        <f>IF(Data!J320 = 'Point Intercept 2'!J320, Data!J320, "ERROR")</f>
        <v>1.5</v>
      </c>
      <c r="K320" s="6" t="str">
        <f>IF(Data!K320 = 'Point Intercept 2'!K320, Data!K320, "ERROR")</f>
        <v>SONOLE</v>
      </c>
      <c r="L320" s="6" t="str">
        <f>IF(Data!L320 = 'Point Intercept 2'!L320, Data!L320, "ERROR")</f>
        <v>Sonchus oleraceus</v>
      </c>
      <c r="M320" s="6">
        <f>IF(Data!N320 = 'Point Intercept 2'!M320, Data!N320, "ERROR")</f>
        <v>0</v>
      </c>
      <c r="N320" s="6">
        <f>IF(Data!O320 = 'Point Intercept 2'!N320, Data!O320, "ERROR")</f>
        <v>0</v>
      </c>
      <c r="O320" s="6">
        <f>IF(Data!P320 = 'Point Intercept 2'!O320, Data!P320, "ERROR")</f>
        <v>0</v>
      </c>
    </row>
    <row r="321" spans="1:15" x14ac:dyDescent="0.25">
      <c r="A321" s="6">
        <f>IF(Data!A321 = 'Point Intercept 2'!A321, Data!A321, "ERROR")</f>
        <v>4</v>
      </c>
      <c r="B321" s="6">
        <f>IF(Data!B321 = 'Point Intercept 2'!B321, Data!B321, "ERROR")</f>
        <v>2025</v>
      </c>
      <c r="C321" s="8">
        <f>IF(Data!C321 = 'Point Intercept 2'!C321, Data!C321, "ERROR")</f>
        <v>45755</v>
      </c>
      <c r="D321" s="6" t="str">
        <f>IF(Data!D321 = 'Point Intercept 2'!D321, Data!D321, "ERROR")</f>
        <v>JC, TL</v>
      </c>
      <c r="E321" s="6" t="str">
        <f>IF(Data!E321 = 'Point Intercept 2'!E321, Data!E321, "ERROR")</f>
        <v>VB</v>
      </c>
      <c r="F321" s="6">
        <f>IF(Data!F321 = 'Point Intercept 2'!F321, Data!F321, "ERROR")</f>
        <v>3</v>
      </c>
      <c r="G321" s="6" t="str">
        <f>IF(Data!G321 = 'Point Intercept 2'!G321, Data!G321, "ERROR")</f>
        <v>LS</v>
      </c>
      <c r="H321" s="6">
        <f>IF(Data!I321 = 'Point Intercept 2'!I321, Data!I321, "ERROR")</f>
        <v>4</v>
      </c>
      <c r="I321" s="6">
        <f>IF(Data!H321 = 'Point Intercept 2'!H321, Data!H321, "ERROR")</f>
        <v>1</v>
      </c>
      <c r="J321" s="6">
        <f>IF(Data!J321 = 'Point Intercept 2'!J321, Data!J321, "ERROR")</f>
        <v>1.5</v>
      </c>
      <c r="K321" s="6" t="str">
        <f>IF(Data!K321 = 'Point Intercept 2'!K321, Data!K321, "ERROR")</f>
        <v>MEDPOL</v>
      </c>
      <c r="L321" s="6" t="str">
        <f>IF(Data!L321 = 'Point Intercept 2'!L321, Data!L321, "ERROR")</f>
        <v>Medicago polymorpha</v>
      </c>
      <c r="M321" s="6">
        <f>IF(Data!N321 = 'Point Intercept 2'!M321, Data!N321, "ERROR")</f>
        <v>0</v>
      </c>
      <c r="N321" s="6">
        <f>IF(Data!O321 = 'Point Intercept 2'!N321, Data!O321, "ERROR")</f>
        <v>0</v>
      </c>
      <c r="O321" s="6">
        <f>IF(Data!P321 = 'Point Intercept 2'!O321, Data!P321, "ERROR")</f>
        <v>0</v>
      </c>
    </row>
    <row r="322" spans="1:15" x14ac:dyDescent="0.25">
      <c r="A322" s="6">
        <f>IF(Data!A322 = 'Point Intercept 2'!A322, Data!A322, "ERROR")</f>
        <v>4</v>
      </c>
      <c r="B322" s="6">
        <f>IF(Data!B322 = 'Point Intercept 2'!B322, Data!B322, "ERROR")</f>
        <v>2025</v>
      </c>
      <c r="C322" s="8">
        <f>IF(Data!C322 = 'Point Intercept 2'!C322, Data!C322, "ERROR")</f>
        <v>45755</v>
      </c>
      <c r="D322" s="6" t="str">
        <f>IF(Data!D322 = 'Point Intercept 2'!D322, Data!D322, "ERROR")</f>
        <v>JC, TL</v>
      </c>
      <c r="E322" s="6" t="str">
        <f>IF(Data!E322 = 'Point Intercept 2'!E322, Data!E322, "ERROR")</f>
        <v>VB</v>
      </c>
      <c r="F322" s="6">
        <f>IF(Data!F322 = 'Point Intercept 2'!F322, Data!F322, "ERROR")</f>
        <v>3</v>
      </c>
      <c r="G322" s="6" t="str">
        <f>IF(Data!G322 = 'Point Intercept 2'!G322, Data!G322, "ERROR")</f>
        <v>LS</v>
      </c>
      <c r="H322" s="6">
        <f>IF(Data!I322 = 'Point Intercept 2'!I322, Data!I322, "ERROR")</f>
        <v>4</v>
      </c>
      <c r="I322" s="6">
        <f>IF(Data!H322 = 'Point Intercept 2'!H322, Data!H322, "ERROR")</f>
        <v>1</v>
      </c>
      <c r="J322" s="6">
        <f>IF(Data!J322 = 'Point Intercept 2'!J322, Data!J322, "ERROR")</f>
        <v>1.5</v>
      </c>
      <c r="K322" s="6" t="str">
        <f>IF(Data!K322 = 'Point Intercept 2'!K322, Data!K322, "ERROR")</f>
        <v>FESMYU</v>
      </c>
      <c r="L322" s="6" t="str">
        <f>IF(Data!L322 = 'Point Intercept 2'!L322, Data!L322, "ERROR")</f>
        <v>Festuca myuros</v>
      </c>
      <c r="M322" s="6">
        <f>IF(Data!N322 = 'Point Intercept 2'!M322, Data!N322, "ERROR")</f>
        <v>0</v>
      </c>
      <c r="N322" s="6">
        <f>IF(Data!O322 = 'Point Intercept 2'!N322, Data!O322, "ERROR")</f>
        <v>0</v>
      </c>
      <c r="O322" s="6">
        <f>IF(Data!P322 = 'Point Intercept 2'!O322, Data!P322, "ERROR")</f>
        <v>0</v>
      </c>
    </row>
    <row r="323" spans="1:15" x14ac:dyDescent="0.25">
      <c r="A323" s="6">
        <f>IF(Data!A323 = 'Point Intercept 2'!A323, Data!A323, "ERROR")</f>
        <v>4</v>
      </c>
      <c r="B323" s="6">
        <f>IF(Data!B323 = 'Point Intercept 2'!B323, Data!B323, "ERROR")</f>
        <v>2025</v>
      </c>
      <c r="C323" s="8">
        <f>IF(Data!C323 = 'Point Intercept 2'!C323, Data!C323, "ERROR")</f>
        <v>45755</v>
      </c>
      <c r="D323" s="6" t="str">
        <f>IF(Data!D323 = 'Point Intercept 2'!D323, Data!D323, "ERROR")</f>
        <v>JC, TL</v>
      </c>
      <c r="E323" s="6" t="str">
        <f>IF(Data!E323 = 'Point Intercept 2'!E323, Data!E323, "ERROR")</f>
        <v>VB</v>
      </c>
      <c r="F323" s="6">
        <f>IF(Data!F323 = 'Point Intercept 2'!F323, Data!F323, "ERROR")</f>
        <v>3</v>
      </c>
      <c r="G323" s="6" t="str">
        <f>IF(Data!G323 = 'Point Intercept 2'!G323, Data!G323, "ERROR")</f>
        <v>LS</v>
      </c>
      <c r="H323" s="6">
        <f>IF(Data!I323 = 'Point Intercept 2'!I323, Data!I323, "ERROR")</f>
        <v>5</v>
      </c>
      <c r="I323" s="6">
        <f>IF(Data!H323 = 'Point Intercept 2'!H323, Data!H323, "ERROR")</f>
        <v>1</v>
      </c>
      <c r="J323" s="6">
        <f>IF(Data!J323 = 'Point Intercept 2'!J323, Data!J323, "ERROR")</f>
        <v>2</v>
      </c>
      <c r="K323" s="6" t="str">
        <f>IF(Data!K323 = 'Point Intercept 2'!K323, Data!K323, "ERROR")</f>
        <v>B</v>
      </c>
      <c r="L323" s="6" t="str">
        <f>IF(Data!L323 = 'Point Intercept 2'!L323, Data!L323, "ERROR")</f>
        <v>Bareground</v>
      </c>
      <c r="M323" s="6">
        <f>IF(Data!N323 = 'Point Intercept 2'!M323, Data!N323, "ERROR")</f>
        <v>0</v>
      </c>
      <c r="N323" s="6">
        <f>IF(Data!O323 = 'Point Intercept 2'!N323, Data!O323, "ERROR")</f>
        <v>0</v>
      </c>
      <c r="O323" s="6">
        <f>IF(Data!P323 = 'Point Intercept 2'!O323, Data!P323, "ERROR")</f>
        <v>0</v>
      </c>
    </row>
    <row r="324" spans="1:15" x14ac:dyDescent="0.25">
      <c r="A324" s="6">
        <f>IF(Data!A324 = 'Point Intercept 2'!A324, Data!A324, "ERROR")</f>
        <v>4</v>
      </c>
      <c r="B324" s="6">
        <f>IF(Data!B324 = 'Point Intercept 2'!B324, Data!B324, "ERROR")</f>
        <v>2025</v>
      </c>
      <c r="C324" s="8">
        <f>IF(Data!C324 = 'Point Intercept 2'!C324, Data!C324, "ERROR")</f>
        <v>45755</v>
      </c>
      <c r="D324" s="6" t="str">
        <f>IF(Data!D324 = 'Point Intercept 2'!D324, Data!D324, "ERROR")</f>
        <v>JC, TL</v>
      </c>
      <c r="E324" s="6" t="str">
        <f>IF(Data!E324 = 'Point Intercept 2'!E324, Data!E324, "ERROR")</f>
        <v>VB</v>
      </c>
      <c r="F324" s="6">
        <f>IF(Data!F324 = 'Point Intercept 2'!F324, Data!F324, "ERROR")</f>
        <v>3</v>
      </c>
      <c r="G324" s="6" t="str">
        <f>IF(Data!G324 = 'Point Intercept 2'!G324, Data!G324, "ERROR")</f>
        <v>LS</v>
      </c>
      <c r="H324" s="6">
        <f>IF(Data!I324 = 'Point Intercept 2'!I324, Data!I324, "ERROR")</f>
        <v>5</v>
      </c>
      <c r="I324" s="6">
        <f>IF(Data!H324 = 'Point Intercept 2'!H324, Data!H324, "ERROR")</f>
        <v>1</v>
      </c>
      <c r="J324" s="6">
        <f>IF(Data!J324 = 'Point Intercept 2'!J324, Data!J324, "ERROR")</f>
        <v>2</v>
      </c>
      <c r="K324" s="6" t="str">
        <f>IF(Data!K324 = 'Point Intercept 2'!K324, Data!K324, "ERROR")</f>
        <v>FESMYU</v>
      </c>
      <c r="L324" s="6" t="str">
        <f>IF(Data!L324 = 'Point Intercept 2'!L324, Data!L324, "ERROR")</f>
        <v>Festuca myuros</v>
      </c>
      <c r="M324" s="6">
        <f>IF(Data!N324 = 'Point Intercept 2'!M324, Data!N324, "ERROR")</f>
        <v>0</v>
      </c>
      <c r="N324" s="6">
        <f>IF(Data!O324 = 'Point Intercept 2'!N324, Data!O324, "ERROR")</f>
        <v>0</v>
      </c>
      <c r="O324" s="6">
        <f>IF(Data!P324 = 'Point Intercept 2'!O324, Data!P324, "ERROR")</f>
        <v>0</v>
      </c>
    </row>
    <row r="325" spans="1:15" x14ac:dyDescent="0.25">
      <c r="A325" s="6">
        <f>IF(Data!A325 = 'Point Intercept 2'!A325, Data!A325, "ERROR")</f>
        <v>4</v>
      </c>
      <c r="B325" s="6">
        <f>IF(Data!B325 = 'Point Intercept 2'!B325, Data!B325, "ERROR")</f>
        <v>2025</v>
      </c>
      <c r="C325" s="8">
        <f>IF(Data!C325 = 'Point Intercept 2'!C325, Data!C325, "ERROR")</f>
        <v>45755</v>
      </c>
      <c r="D325" s="6" t="str">
        <f>IF(Data!D325 = 'Point Intercept 2'!D325, Data!D325, "ERROR")</f>
        <v>JC, TL</v>
      </c>
      <c r="E325" s="6" t="str">
        <f>IF(Data!E325 = 'Point Intercept 2'!E325, Data!E325, "ERROR")</f>
        <v>VB</v>
      </c>
      <c r="F325" s="6">
        <f>IF(Data!F325 = 'Point Intercept 2'!F325, Data!F325, "ERROR")</f>
        <v>3</v>
      </c>
      <c r="G325" s="6" t="str">
        <f>IF(Data!G325 = 'Point Intercept 2'!G325, Data!G325, "ERROR")</f>
        <v>LS</v>
      </c>
      <c r="H325" s="6">
        <f>IF(Data!I325 = 'Point Intercept 2'!I325, Data!I325, "ERROR")</f>
        <v>5</v>
      </c>
      <c r="I325" s="6">
        <f>IF(Data!H325 = 'Point Intercept 2'!H325, Data!H325, "ERROR")</f>
        <v>1</v>
      </c>
      <c r="J325" s="6">
        <f>IF(Data!J325 = 'Point Intercept 2'!J325, Data!J325, "ERROR")</f>
        <v>2</v>
      </c>
      <c r="K325" s="6" t="str">
        <f>IF(Data!K325 = 'Point Intercept 2'!K325, Data!K325, "ERROR")</f>
        <v>SONOLE</v>
      </c>
      <c r="L325" s="6" t="str">
        <f>IF(Data!L325 = 'Point Intercept 2'!L325, Data!L325, "ERROR")</f>
        <v>Sonchus oleraceus</v>
      </c>
      <c r="M325" s="6">
        <f>IF(Data!N325 = 'Point Intercept 2'!M325, Data!N325, "ERROR")</f>
        <v>0</v>
      </c>
      <c r="N325" s="6">
        <f>IF(Data!O325 = 'Point Intercept 2'!N325, Data!O325, "ERROR")</f>
        <v>0</v>
      </c>
      <c r="O325" s="6">
        <f>IF(Data!P325 = 'Point Intercept 2'!O325, Data!P325, "ERROR")</f>
        <v>0</v>
      </c>
    </row>
    <row r="326" spans="1:15" x14ac:dyDescent="0.25">
      <c r="A326" s="6">
        <f>IF(Data!A326 = 'Point Intercept 2'!A326, Data!A326, "ERROR")</f>
        <v>4</v>
      </c>
      <c r="B326" s="6">
        <f>IF(Data!B326 = 'Point Intercept 2'!B326, Data!B326, "ERROR")</f>
        <v>2025</v>
      </c>
      <c r="C326" s="8">
        <f>IF(Data!C326 = 'Point Intercept 2'!C326, Data!C326, "ERROR")</f>
        <v>45755</v>
      </c>
      <c r="D326" s="6" t="str">
        <f>IF(Data!D326 = 'Point Intercept 2'!D326, Data!D326, "ERROR")</f>
        <v>JC, TL</v>
      </c>
      <c r="E326" s="6" t="str">
        <f>IF(Data!E326 = 'Point Intercept 2'!E326, Data!E326, "ERROR")</f>
        <v>VB</v>
      </c>
      <c r="F326" s="6">
        <f>IF(Data!F326 = 'Point Intercept 2'!F326, Data!F326, "ERROR")</f>
        <v>3</v>
      </c>
      <c r="G326" s="6" t="str">
        <f>IF(Data!G326 = 'Point Intercept 2'!G326, Data!G326, "ERROR")</f>
        <v>LS</v>
      </c>
      <c r="H326" s="6">
        <f>IF(Data!I326 = 'Point Intercept 2'!I326, Data!I326, "ERROR")</f>
        <v>6</v>
      </c>
      <c r="I326" s="6">
        <f>IF(Data!H326 = 'Point Intercept 2'!H326, Data!H326, "ERROR")</f>
        <v>1</v>
      </c>
      <c r="J326" s="6">
        <f>IF(Data!J326 = 'Point Intercept 2'!J326, Data!J326, "ERROR")</f>
        <v>2.5</v>
      </c>
      <c r="K326" s="6" t="str">
        <f>IF(Data!K326 = 'Point Intercept 2'!K326, Data!K326, "ERROR")</f>
        <v>S</v>
      </c>
      <c r="L326" s="6" t="str">
        <f>IF(Data!L326 = 'Point Intercept 2'!L326, Data!L326, "ERROR")</f>
        <v>Stem</v>
      </c>
      <c r="M326" s="6">
        <f>IF(Data!N326 = 'Point Intercept 2'!M326, Data!N326, "ERROR")</f>
        <v>0</v>
      </c>
      <c r="N326" s="6">
        <f>IF(Data!O326 = 'Point Intercept 2'!N326, Data!O326, "ERROR")</f>
        <v>0</v>
      </c>
      <c r="O326" s="6">
        <f>IF(Data!P326 = 'Point Intercept 2'!O326, Data!P326, "ERROR")</f>
        <v>0</v>
      </c>
    </row>
    <row r="327" spans="1:15" x14ac:dyDescent="0.25">
      <c r="A327" s="6">
        <f>IF(Data!A327 = 'Point Intercept 2'!A327, Data!A327, "ERROR")</f>
        <v>4</v>
      </c>
      <c r="B327" s="6">
        <f>IF(Data!B327 = 'Point Intercept 2'!B327, Data!B327, "ERROR")</f>
        <v>2025</v>
      </c>
      <c r="C327" s="8">
        <f>IF(Data!C327 = 'Point Intercept 2'!C327, Data!C327, "ERROR")</f>
        <v>45755</v>
      </c>
      <c r="D327" s="6" t="str">
        <f>IF(Data!D327 = 'Point Intercept 2'!D327, Data!D327, "ERROR")</f>
        <v>JC, TL</v>
      </c>
      <c r="E327" s="6" t="str">
        <f>IF(Data!E327 = 'Point Intercept 2'!E327, Data!E327, "ERROR")</f>
        <v>VB</v>
      </c>
      <c r="F327" s="6">
        <f>IF(Data!F327 = 'Point Intercept 2'!F327, Data!F327, "ERROR")</f>
        <v>3</v>
      </c>
      <c r="G327" s="6" t="str">
        <f>IF(Data!G327 = 'Point Intercept 2'!G327, Data!G327, "ERROR")</f>
        <v>LS</v>
      </c>
      <c r="H327" s="6">
        <f>IF(Data!I327 = 'Point Intercept 2'!I327, Data!I327, "ERROR")</f>
        <v>6</v>
      </c>
      <c r="I327" s="6">
        <f>IF(Data!H327 = 'Point Intercept 2'!H327, Data!H327, "ERROR")</f>
        <v>1</v>
      </c>
      <c r="J327" s="6">
        <f>IF(Data!J327 = 'Point Intercept 2'!J327, Data!J327, "ERROR")</f>
        <v>2.5</v>
      </c>
      <c r="K327" s="6" t="str">
        <f>IF(Data!K327 = 'Point Intercept 2'!K327, Data!K327, "ERROR")</f>
        <v>OPULIT</v>
      </c>
      <c r="L327" s="6" t="str">
        <f>IF(Data!L327 = 'Point Intercept 2'!L327, Data!L327, "ERROR")</f>
        <v>Opuntia littoralis</v>
      </c>
      <c r="M327" s="6">
        <f>IF(Data!N327 = 'Point Intercept 2'!M327, Data!N327, "ERROR")</f>
        <v>0</v>
      </c>
      <c r="N327" s="6">
        <f>IF(Data!O327 = 'Point Intercept 2'!N327, Data!O327, "ERROR")</f>
        <v>0</v>
      </c>
      <c r="O327" s="6">
        <f>IF(Data!P327 = 'Point Intercept 2'!O327, Data!P327, "ERROR")</f>
        <v>0</v>
      </c>
    </row>
    <row r="328" spans="1:15" x14ac:dyDescent="0.25">
      <c r="A328" s="6">
        <f>IF(Data!A328 = 'Point Intercept 2'!A328, Data!A328, "ERROR")</f>
        <v>4</v>
      </c>
      <c r="B328" s="6">
        <f>IF(Data!B328 = 'Point Intercept 2'!B328, Data!B328, "ERROR")</f>
        <v>2025</v>
      </c>
      <c r="C328" s="8">
        <f>IF(Data!C328 = 'Point Intercept 2'!C328, Data!C328, "ERROR")</f>
        <v>45755</v>
      </c>
      <c r="D328" s="6" t="str">
        <f>IF(Data!D328 = 'Point Intercept 2'!D328, Data!D328, "ERROR")</f>
        <v>JC, TL</v>
      </c>
      <c r="E328" s="6" t="str">
        <f>IF(Data!E328 = 'Point Intercept 2'!E328, Data!E328, "ERROR")</f>
        <v>VB</v>
      </c>
      <c r="F328" s="6">
        <f>IF(Data!F328 = 'Point Intercept 2'!F328, Data!F328, "ERROR")</f>
        <v>3</v>
      </c>
      <c r="G328" s="6" t="str">
        <f>IF(Data!G328 = 'Point Intercept 2'!G328, Data!G328, "ERROR")</f>
        <v>LS</v>
      </c>
      <c r="H328" s="6">
        <f>IF(Data!I328 = 'Point Intercept 2'!I328, Data!I328, "ERROR")</f>
        <v>7</v>
      </c>
      <c r="I328" s="6">
        <f>IF(Data!H328 = 'Point Intercept 2'!H328, Data!H328, "ERROR")</f>
        <v>1</v>
      </c>
      <c r="J328" s="6">
        <f>IF(Data!J328 = 'Point Intercept 2'!J328, Data!J328, "ERROR")</f>
        <v>3</v>
      </c>
      <c r="K328" s="6" t="str">
        <f>IF(Data!K328 = 'Point Intercept 2'!K328, Data!K328, "ERROR")</f>
        <v>B</v>
      </c>
      <c r="L328" s="6" t="str">
        <f>IF(Data!L328 = 'Point Intercept 2'!L328, Data!L328, "ERROR")</f>
        <v>Bareground</v>
      </c>
      <c r="M328" s="6">
        <f>IF(Data!N328 = 'Point Intercept 2'!M328, Data!N328, "ERROR")</f>
        <v>0</v>
      </c>
      <c r="N328" s="6">
        <f>IF(Data!O328 = 'Point Intercept 2'!N328, Data!O328, "ERROR")</f>
        <v>0</v>
      </c>
      <c r="O328" s="6">
        <f>IF(Data!P328 = 'Point Intercept 2'!O328, Data!P328, "ERROR")</f>
        <v>0</v>
      </c>
    </row>
    <row r="329" spans="1:15" x14ac:dyDescent="0.25">
      <c r="A329" s="6">
        <f>IF(Data!A329 = 'Point Intercept 2'!A329, Data!A329, "ERROR")</f>
        <v>4</v>
      </c>
      <c r="B329" s="6">
        <f>IF(Data!B329 = 'Point Intercept 2'!B329, Data!B329, "ERROR")</f>
        <v>2025</v>
      </c>
      <c r="C329" s="8">
        <f>IF(Data!C329 = 'Point Intercept 2'!C329, Data!C329, "ERROR")</f>
        <v>45755</v>
      </c>
      <c r="D329" s="6" t="str">
        <f>IF(Data!D329 = 'Point Intercept 2'!D329, Data!D329, "ERROR")</f>
        <v>JC, TL</v>
      </c>
      <c r="E329" s="6" t="str">
        <f>IF(Data!E329 = 'Point Intercept 2'!E329, Data!E329, "ERROR")</f>
        <v>VB</v>
      </c>
      <c r="F329" s="6">
        <f>IF(Data!F329 = 'Point Intercept 2'!F329, Data!F329, "ERROR")</f>
        <v>3</v>
      </c>
      <c r="G329" s="6" t="str">
        <f>IF(Data!G329 = 'Point Intercept 2'!G329, Data!G329, "ERROR")</f>
        <v>LS</v>
      </c>
      <c r="H329" s="6">
        <f>IF(Data!I329 = 'Point Intercept 2'!I329, Data!I329, "ERROR")</f>
        <v>7</v>
      </c>
      <c r="I329" s="6">
        <f>IF(Data!H329 = 'Point Intercept 2'!H329, Data!H329, "ERROR")</f>
        <v>1</v>
      </c>
      <c r="J329" s="6">
        <f>IF(Data!J329 = 'Point Intercept 2'!J329, Data!J329, "ERROR")</f>
        <v>3</v>
      </c>
      <c r="K329" s="6" t="str">
        <f>IF(Data!K329 = 'Point Intercept 2'!K329, Data!K329, "ERROR")</f>
        <v>FESMYU</v>
      </c>
      <c r="L329" s="6" t="str">
        <f>IF(Data!L329 = 'Point Intercept 2'!L329, Data!L329, "ERROR")</f>
        <v>Festuca myuros</v>
      </c>
      <c r="M329" s="6">
        <f>IF(Data!N329 = 'Point Intercept 2'!M329, Data!N329, "ERROR")</f>
        <v>0</v>
      </c>
      <c r="N329" s="6">
        <f>IF(Data!O329 = 'Point Intercept 2'!N329, Data!O329, "ERROR")</f>
        <v>0</v>
      </c>
      <c r="O329" s="6">
        <f>IF(Data!P329 = 'Point Intercept 2'!O329, Data!P329, "ERROR")</f>
        <v>0</v>
      </c>
    </row>
    <row r="330" spans="1:15" x14ac:dyDescent="0.25">
      <c r="A330" s="6">
        <f>IF(Data!A330 = 'Point Intercept 2'!A330, Data!A330, "ERROR")</f>
        <v>4</v>
      </c>
      <c r="B330" s="6">
        <f>IF(Data!B330 = 'Point Intercept 2'!B330, Data!B330, "ERROR")</f>
        <v>2025</v>
      </c>
      <c r="C330" s="8">
        <f>IF(Data!C330 = 'Point Intercept 2'!C330, Data!C330, "ERROR")</f>
        <v>45755</v>
      </c>
      <c r="D330" s="6" t="str">
        <f>IF(Data!D330 = 'Point Intercept 2'!D330, Data!D330, "ERROR")</f>
        <v>JC, TL</v>
      </c>
      <c r="E330" s="6" t="str">
        <f>IF(Data!E330 = 'Point Intercept 2'!E330, Data!E330, "ERROR")</f>
        <v>VB</v>
      </c>
      <c r="F330" s="6">
        <f>IF(Data!F330 = 'Point Intercept 2'!F330, Data!F330, "ERROR")</f>
        <v>3</v>
      </c>
      <c r="G330" s="6" t="str">
        <f>IF(Data!G330 = 'Point Intercept 2'!G330, Data!G330, "ERROR")</f>
        <v>LS</v>
      </c>
      <c r="H330" s="6">
        <f>IF(Data!I330 = 'Point Intercept 2'!I330, Data!I330, "ERROR")</f>
        <v>7</v>
      </c>
      <c r="I330" s="6">
        <f>IF(Data!H330 = 'Point Intercept 2'!H330, Data!H330, "ERROR")</f>
        <v>1</v>
      </c>
      <c r="J330" s="6">
        <f>IF(Data!J330 = 'Point Intercept 2'!J330, Data!J330, "ERROR")</f>
        <v>3</v>
      </c>
      <c r="K330" s="6" t="str">
        <f>IF(Data!K330 = 'Point Intercept 2'!K330, Data!K330, "ERROR")</f>
        <v>SONOLE</v>
      </c>
      <c r="L330" s="6" t="str">
        <f>IF(Data!L330 = 'Point Intercept 2'!L330, Data!L330, "ERROR")</f>
        <v>Sonchus oleraceus</v>
      </c>
      <c r="M330" s="6">
        <f>IF(Data!N330 = 'Point Intercept 2'!M330, Data!N330, "ERROR")</f>
        <v>0</v>
      </c>
      <c r="N330" s="6">
        <f>IF(Data!O330 = 'Point Intercept 2'!N330, Data!O330, "ERROR")</f>
        <v>0</v>
      </c>
      <c r="O330" s="6">
        <f>IF(Data!P330 = 'Point Intercept 2'!O330, Data!P330, "ERROR")</f>
        <v>0</v>
      </c>
    </row>
    <row r="331" spans="1:15" x14ac:dyDescent="0.25">
      <c r="A331" s="6">
        <f>IF(Data!A331 = 'Point Intercept 2'!A331, Data!A331, "ERROR")</f>
        <v>4</v>
      </c>
      <c r="B331" s="6">
        <f>IF(Data!B331 = 'Point Intercept 2'!B331, Data!B331, "ERROR")</f>
        <v>2025</v>
      </c>
      <c r="C331" s="8">
        <f>IF(Data!C331 = 'Point Intercept 2'!C331, Data!C331, "ERROR")</f>
        <v>45755</v>
      </c>
      <c r="D331" s="6" t="str">
        <f>IF(Data!D331 = 'Point Intercept 2'!D331, Data!D331, "ERROR")</f>
        <v>JC, TL</v>
      </c>
      <c r="E331" s="6" t="str">
        <f>IF(Data!E331 = 'Point Intercept 2'!E331, Data!E331, "ERROR")</f>
        <v>VB</v>
      </c>
      <c r="F331" s="6">
        <f>IF(Data!F331 = 'Point Intercept 2'!F331, Data!F331, "ERROR")</f>
        <v>3</v>
      </c>
      <c r="G331" s="6" t="str">
        <f>IF(Data!G331 = 'Point Intercept 2'!G331, Data!G331, "ERROR")</f>
        <v>LS</v>
      </c>
      <c r="H331" s="6">
        <f>IF(Data!I331 = 'Point Intercept 2'!I331, Data!I331, "ERROR")</f>
        <v>8</v>
      </c>
      <c r="I331" s="6">
        <f>IF(Data!H331 = 'Point Intercept 2'!H331, Data!H331, "ERROR")</f>
        <v>1</v>
      </c>
      <c r="J331" s="6">
        <f>IF(Data!J331 = 'Point Intercept 2'!J331, Data!J331, "ERROR")</f>
        <v>3.5</v>
      </c>
      <c r="K331" s="6" t="str">
        <f>IF(Data!K331 = 'Point Intercept 2'!K331, Data!K331, "ERROR")</f>
        <v>L</v>
      </c>
      <c r="L331" s="6" t="str">
        <f>IF(Data!L331 = 'Point Intercept 2'!L331, Data!L331, "ERROR")</f>
        <v>Litter</v>
      </c>
      <c r="M331" s="6">
        <f>IF(Data!N331 = 'Point Intercept 2'!M332, Data!N331, "ERROR")</f>
        <v>0</v>
      </c>
      <c r="N331" s="6">
        <f>IF(Data!O331 = 'Point Intercept 2'!N332, Data!O331, "ERROR")</f>
        <v>0</v>
      </c>
      <c r="O331" s="6">
        <f>IF(Data!P331 = 'Point Intercept 2'!O332, Data!P331, "ERROR")</f>
        <v>0</v>
      </c>
    </row>
    <row r="332" spans="1:15" x14ac:dyDescent="0.25">
      <c r="A332" s="6">
        <f>IF(Data!A332 = 'Point Intercept 2'!A332, Data!A332, "ERROR")</f>
        <v>4</v>
      </c>
      <c r="B332" s="6">
        <f>IF(Data!B332 = 'Point Intercept 2'!B332, Data!B332, "ERROR")</f>
        <v>2025</v>
      </c>
      <c r="C332" s="8">
        <f>IF(Data!C332 = 'Point Intercept 2'!C332, Data!C332, "ERROR")</f>
        <v>45755</v>
      </c>
      <c r="D332" s="6" t="str">
        <f>IF(Data!D332 = 'Point Intercept 2'!D332, Data!D332, "ERROR")</f>
        <v>JC, TL</v>
      </c>
      <c r="E332" s="6" t="str">
        <f>IF(Data!E332 = 'Point Intercept 2'!E332, Data!E332, "ERROR")</f>
        <v>VB</v>
      </c>
      <c r="F332" s="6">
        <f>IF(Data!F332 = 'Point Intercept 2'!F332, Data!F332, "ERROR")</f>
        <v>3</v>
      </c>
      <c r="G332" s="6" t="str">
        <f>IF(Data!G332 = 'Point Intercept 2'!G332, Data!G332, "ERROR")</f>
        <v>LS</v>
      </c>
      <c r="H332" s="6">
        <f>IF(Data!I332 = 'Point Intercept 2'!I332, Data!I332, "ERROR")</f>
        <v>8</v>
      </c>
      <c r="I332" s="6">
        <f>IF(Data!H332 = 'Point Intercept 2'!H332, Data!H332, "ERROR")</f>
        <v>1</v>
      </c>
      <c r="J332" s="6">
        <f>IF(Data!J332 = 'Point Intercept 2'!J332, Data!J332, "ERROR")</f>
        <v>3.5</v>
      </c>
      <c r="K332" s="6" t="str">
        <f>IF(Data!K332 = 'Point Intercept 2'!K332, Data!K332, "ERROR")</f>
        <v>FESMYU</v>
      </c>
      <c r="L332" s="6" t="str">
        <f>IF(Data!L332 = 'Point Intercept 2'!L332, Data!L332, "ERROR")</f>
        <v>Festuca myuros</v>
      </c>
      <c r="M332" s="6">
        <f>IF(Data!N332 = 'Point Intercept 2'!M333, Data!N332, "ERROR")</f>
        <v>0</v>
      </c>
      <c r="N332" s="6">
        <f>IF(Data!O332 = 'Point Intercept 2'!N333, Data!O332, "ERROR")</f>
        <v>0</v>
      </c>
      <c r="O332" s="6">
        <f>IF(Data!P332 = 'Point Intercept 2'!O333, Data!P332, "ERROR")</f>
        <v>0</v>
      </c>
    </row>
    <row r="333" spans="1:15" x14ac:dyDescent="0.25">
      <c r="A333" s="6">
        <f>IF(Data!A333 = 'Point Intercept 2'!A333, Data!A333, "ERROR")</f>
        <v>4</v>
      </c>
      <c r="B333" s="6">
        <f>IF(Data!B333 = 'Point Intercept 2'!B333, Data!B333, "ERROR")</f>
        <v>2025</v>
      </c>
      <c r="C333" s="8">
        <f>IF(Data!C333 = 'Point Intercept 2'!C333, Data!C333, "ERROR")</f>
        <v>45755</v>
      </c>
      <c r="D333" s="6" t="str">
        <f>IF(Data!D333 = 'Point Intercept 2'!D333, Data!D333, "ERROR")</f>
        <v>JC, TL</v>
      </c>
      <c r="E333" s="6" t="str">
        <f>IF(Data!E333 = 'Point Intercept 2'!E333, Data!E333, "ERROR")</f>
        <v>VB</v>
      </c>
      <c r="F333" s="6">
        <f>IF(Data!F333 = 'Point Intercept 2'!F333, Data!F333, "ERROR")</f>
        <v>3</v>
      </c>
      <c r="G333" s="6" t="str">
        <f>IF(Data!G333 = 'Point Intercept 2'!G333, Data!G333, "ERROR")</f>
        <v>LS</v>
      </c>
      <c r="H333" s="6">
        <f>IF(Data!I333 = 'Point Intercept 2'!I333, Data!I333, "ERROR")</f>
        <v>8</v>
      </c>
      <c r="I333" s="6">
        <f>IF(Data!H333 = 'Point Intercept 2'!H333, Data!H333, "ERROR")</f>
        <v>1</v>
      </c>
      <c r="J333" s="6">
        <f>IF(Data!J333 = 'Point Intercept 2'!J333, Data!J333, "ERROR")</f>
        <v>3.5</v>
      </c>
      <c r="K333" s="6" t="str">
        <f>IF(Data!K333 = 'Point Intercept 2'!K333, Data!K333, "ERROR")</f>
        <v>DEIFAS</v>
      </c>
      <c r="L333" s="6" t="str">
        <f>IF(Data!L333 = 'Point Intercept 2'!L333, Data!L333, "ERROR")</f>
        <v>Deinandra fasciculata</v>
      </c>
      <c r="M333" s="6">
        <f>IF(Data!N333 = 'Point Intercept 2'!M334, Data!N333, "ERROR")</f>
        <v>0</v>
      </c>
      <c r="N333" s="6">
        <f>IF(Data!O333 = 'Point Intercept 2'!N334, Data!O333, "ERROR")</f>
        <v>0</v>
      </c>
      <c r="O333" s="6">
        <f>IF(Data!P333 = 'Point Intercept 2'!O334, Data!P333, "ERROR")</f>
        <v>0</v>
      </c>
    </row>
    <row r="334" spans="1:15" x14ac:dyDescent="0.25">
      <c r="A334" s="6">
        <f>IF(Data!A334 = 'Point Intercept 2'!A334, Data!A334, "ERROR")</f>
        <v>4</v>
      </c>
      <c r="B334" s="6">
        <f>IF(Data!B334 = 'Point Intercept 2'!B334, Data!B334, "ERROR")</f>
        <v>2025</v>
      </c>
      <c r="C334" s="8">
        <f>IF(Data!C334 = 'Point Intercept 2'!C334, Data!C334, "ERROR")</f>
        <v>45755</v>
      </c>
      <c r="D334" s="6" t="str">
        <f>IF(Data!D334 = 'Point Intercept 2'!D334, Data!D334, "ERROR")</f>
        <v>JC, TL</v>
      </c>
      <c r="E334" s="6" t="str">
        <f>IF(Data!E334 = 'Point Intercept 2'!E334, Data!E334, "ERROR")</f>
        <v>VB</v>
      </c>
      <c r="F334" s="6">
        <f>IF(Data!F334 = 'Point Intercept 2'!F334, Data!F334, "ERROR")</f>
        <v>3</v>
      </c>
      <c r="G334" s="6" t="str">
        <f>IF(Data!G334 = 'Point Intercept 2'!G334, Data!G334, "ERROR")</f>
        <v>LS</v>
      </c>
      <c r="H334" s="6">
        <f>IF(Data!I334 = 'Point Intercept 2'!I334, Data!I334, "ERROR")</f>
        <v>8</v>
      </c>
      <c r="I334" s="6">
        <f>IF(Data!H334 = 'Point Intercept 2'!H334, Data!H334, "ERROR")</f>
        <v>1</v>
      </c>
      <c r="J334" s="6">
        <f>IF(Data!J334 = 'Point Intercept 2'!J334, Data!J334, "ERROR")</f>
        <v>3.5</v>
      </c>
      <c r="K334" s="6" t="str">
        <f>IF(Data!K334 = 'Point Intercept 2'!K334, Data!K334, "ERROR")</f>
        <v>MEDPOL</v>
      </c>
      <c r="L334" s="6" t="str">
        <f>IF(Data!L334 = 'Point Intercept 2'!L334, Data!L334, "ERROR")</f>
        <v>Medicago polymorpha</v>
      </c>
      <c r="M334" s="6">
        <f>IF(Data!N334 = 'Point Intercept 2'!M335, Data!N334, "ERROR")</f>
        <v>0</v>
      </c>
      <c r="N334" s="6">
        <f>IF(Data!O334 = 'Point Intercept 2'!N335, Data!O334, "ERROR")</f>
        <v>0</v>
      </c>
      <c r="O334" s="6">
        <f>IF(Data!P334 = 'Point Intercept 2'!O335, Data!P334, "ERROR")</f>
        <v>0</v>
      </c>
    </row>
    <row r="335" spans="1:15" x14ac:dyDescent="0.25">
      <c r="A335" s="6">
        <f>IF(Data!A335 = 'Point Intercept 2'!A335, Data!A335, "ERROR")</f>
        <v>4</v>
      </c>
      <c r="B335" s="6">
        <f>IF(Data!B335 = 'Point Intercept 2'!B335, Data!B335, "ERROR")</f>
        <v>2025</v>
      </c>
      <c r="C335" s="8">
        <f>IF(Data!C335 = 'Point Intercept 2'!C335, Data!C335, "ERROR")</f>
        <v>45755</v>
      </c>
      <c r="D335" s="6" t="str">
        <f>IF(Data!D335 = 'Point Intercept 2'!D335, Data!D335, "ERROR")</f>
        <v>JC, TL</v>
      </c>
      <c r="E335" s="6" t="str">
        <f>IF(Data!E335 = 'Point Intercept 2'!E335, Data!E335, "ERROR")</f>
        <v>VB</v>
      </c>
      <c r="F335" s="6">
        <f>IF(Data!F335 = 'Point Intercept 2'!F335, Data!F335, "ERROR")</f>
        <v>3</v>
      </c>
      <c r="G335" s="6" t="str">
        <f>IF(Data!G335 = 'Point Intercept 2'!G335, Data!G335, "ERROR")</f>
        <v>LS</v>
      </c>
      <c r="H335" s="6">
        <f>IF(Data!I335 = 'Point Intercept 2'!I335, Data!I335, "ERROR")</f>
        <v>9</v>
      </c>
      <c r="I335" s="6">
        <f>IF(Data!H335 = 'Point Intercept 2'!H335, Data!H335, "ERROR")</f>
        <v>1</v>
      </c>
      <c r="J335" s="6">
        <f>IF(Data!J335 = 'Point Intercept 2'!J335, Data!J335, "ERROR")</f>
        <v>4</v>
      </c>
      <c r="K335" s="6" t="str">
        <f>IF(Data!K335 = 'Point Intercept 2'!K335, Data!K335, "ERROR")</f>
        <v>L</v>
      </c>
      <c r="L335" s="6" t="str">
        <f>IF(Data!L335 = 'Point Intercept 2'!L335, Data!L335, "ERROR")</f>
        <v>Litter</v>
      </c>
      <c r="M335" s="6">
        <f>IF(Data!N335 = 'Point Intercept 2'!M336, Data!N335, "ERROR")</f>
        <v>0</v>
      </c>
      <c r="N335" s="6">
        <f>IF(Data!O335 = 'Point Intercept 2'!N336, Data!O335, "ERROR")</f>
        <v>0</v>
      </c>
      <c r="O335" s="6">
        <f>IF(Data!P335 = 'Point Intercept 2'!O336, Data!P335, "ERROR")</f>
        <v>0</v>
      </c>
    </row>
    <row r="336" spans="1:15" x14ac:dyDescent="0.25">
      <c r="A336" s="6">
        <f>IF(Data!A336 = 'Point Intercept 2'!A336, Data!A336, "ERROR")</f>
        <v>4</v>
      </c>
      <c r="B336" s="6">
        <f>IF(Data!B336 = 'Point Intercept 2'!B336, Data!B336, "ERROR")</f>
        <v>2025</v>
      </c>
      <c r="C336" s="8">
        <f>IF(Data!C336 = 'Point Intercept 2'!C336, Data!C336, "ERROR")</f>
        <v>45755</v>
      </c>
      <c r="D336" s="6" t="str">
        <f>IF(Data!D336 = 'Point Intercept 2'!D336, Data!D336, "ERROR")</f>
        <v>JC, TL</v>
      </c>
      <c r="E336" s="6" t="str">
        <f>IF(Data!E336 = 'Point Intercept 2'!E336, Data!E336, "ERROR")</f>
        <v>VB</v>
      </c>
      <c r="F336" s="6">
        <f>IF(Data!F336 = 'Point Intercept 2'!F336, Data!F336, "ERROR")</f>
        <v>3</v>
      </c>
      <c r="G336" s="6" t="str">
        <f>IF(Data!G336 = 'Point Intercept 2'!G336, Data!G336, "ERROR")</f>
        <v>LS</v>
      </c>
      <c r="H336" s="6">
        <f>IF(Data!I336 = 'Point Intercept 2'!I336, Data!I336, "ERROR")</f>
        <v>9</v>
      </c>
      <c r="I336" s="6">
        <f>IF(Data!H336 = 'Point Intercept 2'!H336, Data!H336, "ERROR")</f>
        <v>1</v>
      </c>
      <c r="J336" s="6">
        <f>IF(Data!J336 = 'Point Intercept 2'!J336, Data!J336, "ERROR")</f>
        <v>4</v>
      </c>
      <c r="K336" s="6" t="str">
        <f>IF(Data!K336 = 'Point Intercept 2'!K336, Data!K336, "ERROR")</f>
        <v>MEDPOL</v>
      </c>
      <c r="L336" s="6" t="str">
        <f>IF(Data!L336 = 'Point Intercept 2'!L336, Data!L336, "ERROR")</f>
        <v>Medicago polymorpha</v>
      </c>
      <c r="M336" s="6">
        <f>IF(Data!N336 = 'Point Intercept 2'!M337, Data!N336, "ERROR")</f>
        <v>0</v>
      </c>
      <c r="N336" s="6">
        <f>IF(Data!O336 = 'Point Intercept 2'!N337, Data!O336, "ERROR")</f>
        <v>0</v>
      </c>
      <c r="O336" s="6">
        <f>IF(Data!P336 = 'Point Intercept 2'!O337, Data!P336, "ERROR")</f>
        <v>0</v>
      </c>
    </row>
    <row r="337" spans="1:15" x14ac:dyDescent="0.25">
      <c r="A337" s="6">
        <f>IF(Data!A337 = 'Point Intercept 2'!A337, Data!A337, "ERROR")</f>
        <v>4</v>
      </c>
      <c r="B337" s="6">
        <f>IF(Data!B337 = 'Point Intercept 2'!B337, Data!B337, "ERROR")</f>
        <v>2025</v>
      </c>
      <c r="C337" s="8">
        <f>IF(Data!C337 = 'Point Intercept 2'!C337, Data!C337, "ERROR")</f>
        <v>45755</v>
      </c>
      <c r="D337" s="6" t="str">
        <f>IF(Data!D337 = 'Point Intercept 2'!D337, Data!D337, "ERROR")</f>
        <v>JC, TL</v>
      </c>
      <c r="E337" s="6" t="str">
        <f>IF(Data!E337 = 'Point Intercept 2'!E337, Data!E337, "ERROR")</f>
        <v>VB</v>
      </c>
      <c r="F337" s="6">
        <f>IF(Data!F337 = 'Point Intercept 2'!F337, Data!F337, "ERROR")</f>
        <v>3</v>
      </c>
      <c r="G337" s="6" t="str">
        <f>IF(Data!G337 = 'Point Intercept 2'!G337, Data!G337, "ERROR")</f>
        <v>LS</v>
      </c>
      <c r="H337" s="6">
        <f>IF(Data!I337 = 'Point Intercept 2'!I337, Data!I337, "ERROR")</f>
        <v>10</v>
      </c>
      <c r="I337" s="6">
        <f>IF(Data!H337 = 'Point Intercept 2'!H337, Data!H337, "ERROR")</f>
        <v>1</v>
      </c>
      <c r="J337" s="6">
        <f>IF(Data!J337 = 'Point Intercept 2'!J337, Data!J337, "ERROR")</f>
        <v>4.5</v>
      </c>
      <c r="K337" s="6" t="str">
        <f>IF(Data!K337 = 'Point Intercept 2'!K337, Data!K337, "ERROR")</f>
        <v>L</v>
      </c>
      <c r="L337" s="6" t="str">
        <f>IF(Data!L337 = 'Point Intercept 2'!L337, Data!L337, "ERROR")</f>
        <v>Litter</v>
      </c>
      <c r="M337" s="6">
        <f>IF(Data!N337 = 'Point Intercept 2'!M338, Data!N337, "ERROR")</f>
        <v>0</v>
      </c>
      <c r="N337" s="6">
        <f>IF(Data!O337 = 'Point Intercept 2'!N338, Data!O337, "ERROR")</f>
        <v>0</v>
      </c>
      <c r="O337" s="6">
        <f>IF(Data!P337 = 'Point Intercept 2'!O338, Data!P337, "ERROR")</f>
        <v>0</v>
      </c>
    </row>
    <row r="338" spans="1:15" x14ac:dyDescent="0.25">
      <c r="A338" s="6">
        <f>IF(Data!A338 = 'Point Intercept 2'!A338, Data!A338, "ERROR")</f>
        <v>4</v>
      </c>
      <c r="B338" s="6">
        <f>IF(Data!B338 = 'Point Intercept 2'!B338, Data!B338, "ERROR")</f>
        <v>2025</v>
      </c>
      <c r="C338" s="8">
        <f>IF(Data!C338 = 'Point Intercept 2'!C338, Data!C338, "ERROR")</f>
        <v>45755</v>
      </c>
      <c r="D338" s="6" t="str">
        <f>IF(Data!D338 = 'Point Intercept 2'!D338, Data!D338, "ERROR")</f>
        <v>JC, TL</v>
      </c>
      <c r="E338" s="6" t="str">
        <f>IF(Data!E338 = 'Point Intercept 2'!E338, Data!E338, "ERROR")</f>
        <v>VB</v>
      </c>
      <c r="F338" s="6">
        <f>IF(Data!F338 = 'Point Intercept 2'!F338, Data!F338, "ERROR")</f>
        <v>3</v>
      </c>
      <c r="G338" s="6" t="str">
        <f>IF(Data!G338 = 'Point Intercept 2'!G338, Data!G338, "ERROR")</f>
        <v>LS</v>
      </c>
      <c r="H338" s="6">
        <f>IF(Data!I338 = 'Point Intercept 2'!I338, Data!I338, "ERROR")</f>
        <v>10</v>
      </c>
      <c r="I338" s="6">
        <f>IF(Data!H338 = 'Point Intercept 2'!H338, Data!H338, "ERROR")</f>
        <v>1</v>
      </c>
      <c r="J338" s="6">
        <f>IF(Data!J338 = 'Point Intercept 2'!J338, Data!J338, "ERROR")</f>
        <v>4.5</v>
      </c>
      <c r="K338" s="6" t="str">
        <f>IF(Data!K338 = 'Point Intercept 2'!K338, Data!K338, "ERROR")</f>
        <v>DAUPUS</v>
      </c>
      <c r="L338" s="6" t="str">
        <f>IF(Data!L338 = 'Point Intercept 2'!L338, Data!L338, "ERROR")</f>
        <v>Daucus pusillus</v>
      </c>
      <c r="M338" s="6">
        <f>IF(Data!N338 = 'Point Intercept 2'!M339, Data!N338, "ERROR")</f>
        <v>0</v>
      </c>
      <c r="N338" s="6">
        <f>IF(Data!O338 = 'Point Intercept 2'!N339, Data!O338, "ERROR")</f>
        <v>0</v>
      </c>
      <c r="O338" s="6">
        <f>IF(Data!P338 = 'Point Intercept 2'!O339, Data!P338, "ERROR")</f>
        <v>0</v>
      </c>
    </row>
    <row r="339" spans="1:15" x14ac:dyDescent="0.25">
      <c r="A339" s="6">
        <f>IF(Data!A339 = 'Point Intercept 2'!A339, Data!A339, "ERROR")</f>
        <v>4</v>
      </c>
      <c r="B339" s="6">
        <f>IF(Data!B339 = 'Point Intercept 2'!B339, Data!B339, "ERROR")</f>
        <v>2025</v>
      </c>
      <c r="C339" s="8">
        <f>IF(Data!C339 = 'Point Intercept 2'!C339, Data!C339, "ERROR")</f>
        <v>45755</v>
      </c>
      <c r="D339" s="6" t="str">
        <f>IF(Data!D339 = 'Point Intercept 2'!D339, Data!D339, "ERROR")</f>
        <v>JC, TL</v>
      </c>
      <c r="E339" s="6" t="str">
        <f>IF(Data!E339 = 'Point Intercept 2'!E339, Data!E339, "ERROR")</f>
        <v>VB</v>
      </c>
      <c r="F339" s="6">
        <f>IF(Data!F339 = 'Point Intercept 2'!F339, Data!F339, "ERROR")</f>
        <v>3</v>
      </c>
      <c r="G339" s="6" t="str">
        <f>IF(Data!G339 = 'Point Intercept 2'!G339, Data!G339, "ERROR")</f>
        <v>LS</v>
      </c>
      <c r="H339" s="6">
        <f>IF(Data!I339 = 'Point Intercept 2'!I339, Data!I339, "ERROR")</f>
        <v>10</v>
      </c>
      <c r="I339" s="6">
        <f>IF(Data!H339 = 'Point Intercept 2'!H339, Data!H339, "ERROR")</f>
        <v>1</v>
      </c>
      <c r="J339" s="6">
        <f>IF(Data!J339 = 'Point Intercept 2'!J339, Data!J339, "ERROR")</f>
        <v>4.5</v>
      </c>
      <c r="K339" s="6" t="str">
        <f>IF(Data!K339 = 'Point Intercept 2'!K339, Data!K339, "ERROR")</f>
        <v>DEIFAS</v>
      </c>
      <c r="L339" s="6" t="str">
        <f>IF(Data!L339 = 'Point Intercept 2'!L339, Data!L339, "ERROR")</f>
        <v>Deinandra fasciculata</v>
      </c>
      <c r="M339" s="6">
        <f>IF(Data!N339 = 'Point Intercept 2'!M340, Data!N339, "ERROR")</f>
        <v>0</v>
      </c>
      <c r="N339" s="6">
        <f>IF(Data!O339 = 'Point Intercept 2'!N340, Data!O339, "ERROR")</f>
        <v>0</v>
      </c>
      <c r="O339" s="6">
        <f>IF(Data!P339 = 'Point Intercept 2'!O340, Data!P339, "ERROR")</f>
        <v>0</v>
      </c>
    </row>
    <row r="340" spans="1:15" x14ac:dyDescent="0.25">
      <c r="A340" s="6">
        <f>IF(Data!A340 = 'Point Intercept 2'!A340, Data!A340, "ERROR")</f>
        <v>4</v>
      </c>
      <c r="B340" s="6">
        <f>IF(Data!B340 = 'Point Intercept 2'!B340, Data!B340, "ERROR")</f>
        <v>2025</v>
      </c>
      <c r="C340" s="8">
        <f>IF(Data!C340 = 'Point Intercept 2'!C340, Data!C340, "ERROR")</f>
        <v>45755</v>
      </c>
      <c r="D340" s="6" t="str">
        <f>IF(Data!D340 = 'Point Intercept 2'!D340, Data!D340, "ERROR")</f>
        <v>JC, TL</v>
      </c>
      <c r="E340" s="6" t="str">
        <f>IF(Data!E340 = 'Point Intercept 2'!E340, Data!E340, "ERROR")</f>
        <v>VB</v>
      </c>
      <c r="F340" s="6">
        <f>IF(Data!F340 = 'Point Intercept 2'!F340, Data!F340, "ERROR")</f>
        <v>3</v>
      </c>
      <c r="G340" s="6" t="str">
        <f>IF(Data!G340 = 'Point Intercept 2'!G340, Data!G340, "ERROR")</f>
        <v>LS</v>
      </c>
      <c r="H340" s="6">
        <f>IF(Data!I340 = 'Point Intercept 2'!I340, Data!I340, "ERROR")</f>
        <v>10</v>
      </c>
      <c r="I340" s="6">
        <f>IF(Data!H340 = 'Point Intercept 2'!H340, Data!H340, "ERROR")</f>
        <v>1</v>
      </c>
      <c r="J340" s="6">
        <f>IF(Data!J340 = 'Point Intercept 2'!J340, Data!J340, "ERROR")</f>
        <v>4.5</v>
      </c>
      <c r="K340" s="6" t="str">
        <f>IF(Data!K340 = 'Point Intercept 2'!K340, Data!K340, "ERROR")</f>
        <v>FESMYU</v>
      </c>
      <c r="L340" s="6" t="str">
        <f>IF(Data!L340 = 'Point Intercept 2'!L340, Data!L340, "ERROR")</f>
        <v>Festuca myuros</v>
      </c>
      <c r="M340" s="6">
        <f>IF(Data!N340 = 'Point Intercept 2'!M341, Data!N340, "ERROR")</f>
        <v>0</v>
      </c>
      <c r="N340" s="6">
        <f>IF(Data!O340 = 'Point Intercept 2'!N341, Data!O340, "ERROR")</f>
        <v>0</v>
      </c>
      <c r="O340" s="6">
        <f>IF(Data!P340 = 'Point Intercept 2'!O341, Data!P340, "ERROR")</f>
        <v>0</v>
      </c>
    </row>
    <row r="341" spans="1:15" x14ac:dyDescent="0.25">
      <c r="A341" s="6">
        <f>IF(Data!A341 = 'Point Intercept 2'!A341, Data!A341, "ERROR")</f>
        <v>4</v>
      </c>
      <c r="B341" s="6">
        <f>IF(Data!B341 = 'Point Intercept 2'!B341, Data!B341, "ERROR")</f>
        <v>2025</v>
      </c>
      <c r="C341" s="8">
        <f>IF(Data!C341 = 'Point Intercept 2'!C341, Data!C341, "ERROR")</f>
        <v>45755</v>
      </c>
      <c r="D341" s="6" t="str">
        <f>IF(Data!D341 = 'Point Intercept 2'!D341, Data!D341, "ERROR")</f>
        <v>JC, TL</v>
      </c>
      <c r="E341" s="6" t="str">
        <f>IF(Data!E341 = 'Point Intercept 2'!E341, Data!E341, "ERROR")</f>
        <v>VB</v>
      </c>
      <c r="F341" s="6">
        <f>IF(Data!F341 = 'Point Intercept 2'!F341, Data!F341, "ERROR")</f>
        <v>3</v>
      </c>
      <c r="G341" s="6" t="str">
        <f>IF(Data!G341 = 'Point Intercept 2'!G341, Data!G341, "ERROR")</f>
        <v>LS</v>
      </c>
      <c r="H341" s="6">
        <f>IF(Data!I341 = 'Point Intercept 2'!I341, Data!I341, "ERROR")</f>
        <v>11</v>
      </c>
      <c r="I341" s="6">
        <f>IF(Data!H341 = 'Point Intercept 2'!H341, Data!H341, "ERROR")</f>
        <v>1</v>
      </c>
      <c r="J341" s="6">
        <f>IF(Data!J341 = 'Point Intercept 2'!J341, Data!J341, "ERROR")</f>
        <v>5</v>
      </c>
      <c r="K341" s="6" t="str">
        <f>IF(Data!K341 = 'Point Intercept 2'!K341, Data!K341, "ERROR")</f>
        <v>L</v>
      </c>
      <c r="L341" s="6" t="str">
        <f>IF(Data!L341 = 'Point Intercept 2'!L341, Data!L341, "ERROR")</f>
        <v>Litter</v>
      </c>
      <c r="M341" s="6">
        <f>IF(Data!N341 = 'Point Intercept 2'!M342, Data!N341, "ERROR")</f>
        <v>0</v>
      </c>
      <c r="N341" s="6">
        <f>IF(Data!O341 = 'Point Intercept 2'!N342, Data!O341, "ERROR")</f>
        <v>0</v>
      </c>
      <c r="O341" s="6">
        <f>IF(Data!P341 = 'Point Intercept 2'!O342, Data!P341, "ERROR")</f>
        <v>0</v>
      </c>
    </row>
    <row r="342" spans="1:15" x14ac:dyDescent="0.25">
      <c r="A342" s="6">
        <f>IF(Data!A342 = 'Point Intercept 2'!A342, Data!A342, "ERROR")</f>
        <v>4</v>
      </c>
      <c r="B342" s="6">
        <f>IF(Data!B342 = 'Point Intercept 2'!B342, Data!B342, "ERROR")</f>
        <v>2025</v>
      </c>
      <c r="C342" s="8">
        <f>IF(Data!C342 = 'Point Intercept 2'!C342, Data!C342, "ERROR")</f>
        <v>45755</v>
      </c>
      <c r="D342" s="6" t="str">
        <f>IF(Data!D342 = 'Point Intercept 2'!D342, Data!D342, "ERROR")</f>
        <v>JC, TL</v>
      </c>
      <c r="E342" s="6" t="str">
        <f>IF(Data!E342 = 'Point Intercept 2'!E342, Data!E342, "ERROR")</f>
        <v>VB</v>
      </c>
      <c r="F342" s="6">
        <f>IF(Data!F342 = 'Point Intercept 2'!F342, Data!F342, "ERROR")</f>
        <v>3</v>
      </c>
      <c r="G342" s="6" t="str">
        <f>IF(Data!G342 = 'Point Intercept 2'!G342, Data!G342, "ERROR")</f>
        <v>LS</v>
      </c>
      <c r="H342" s="6">
        <f>IF(Data!I342 = 'Point Intercept 2'!I342, Data!I342, "ERROR")</f>
        <v>11</v>
      </c>
      <c r="I342" s="6">
        <f>IF(Data!H342 = 'Point Intercept 2'!H342, Data!H342, "ERROR")</f>
        <v>1</v>
      </c>
      <c r="J342" s="6">
        <f>IF(Data!J342 = 'Point Intercept 2'!J342, Data!J342, "ERROR")</f>
        <v>5</v>
      </c>
      <c r="K342" s="6" t="str">
        <f>IF(Data!K342 = 'Point Intercept 2'!K342, Data!K342, "ERROR")</f>
        <v>FESMYU</v>
      </c>
      <c r="L342" s="6" t="str">
        <f>IF(Data!L342 = 'Point Intercept 2'!L342, Data!L342, "ERROR")</f>
        <v>Festuca myuros</v>
      </c>
      <c r="M342" s="6">
        <f>IF(Data!N342 = 'Point Intercept 2'!M343, Data!N342, "ERROR")</f>
        <v>0</v>
      </c>
      <c r="N342" s="6">
        <f>IF(Data!O342 = 'Point Intercept 2'!N343, Data!O342, "ERROR")</f>
        <v>0</v>
      </c>
      <c r="O342" s="6">
        <f>IF(Data!P342 = 'Point Intercept 2'!O343, Data!P342, "ERROR")</f>
        <v>0</v>
      </c>
    </row>
    <row r="343" spans="1:15" x14ac:dyDescent="0.25">
      <c r="A343" s="6">
        <f>IF(Data!A343 = 'Point Intercept 2'!A343, Data!A343, "ERROR")</f>
        <v>4</v>
      </c>
      <c r="B343" s="6">
        <f>IF(Data!B343 = 'Point Intercept 2'!B343, Data!B343, "ERROR")</f>
        <v>2025</v>
      </c>
      <c r="C343" s="8">
        <f>IF(Data!C343 = 'Point Intercept 2'!C343, Data!C343, "ERROR")</f>
        <v>45755</v>
      </c>
      <c r="D343" s="6" t="str">
        <f>IF(Data!D343 = 'Point Intercept 2'!D343, Data!D343, "ERROR")</f>
        <v>JC, TL</v>
      </c>
      <c r="E343" s="6" t="str">
        <f>IF(Data!E343 = 'Point Intercept 2'!E343, Data!E343, "ERROR")</f>
        <v>VB</v>
      </c>
      <c r="F343" s="6">
        <f>IF(Data!F343 = 'Point Intercept 2'!F343, Data!F343, "ERROR")</f>
        <v>3</v>
      </c>
      <c r="G343" s="6" t="str">
        <f>IF(Data!G343 = 'Point Intercept 2'!G343, Data!G343, "ERROR")</f>
        <v>LS</v>
      </c>
      <c r="H343" s="6">
        <f>IF(Data!I343 = 'Point Intercept 2'!I343, Data!I343, "ERROR")</f>
        <v>11</v>
      </c>
      <c r="I343" s="6">
        <f>IF(Data!H343 = 'Point Intercept 2'!H343, Data!H343, "ERROR")</f>
        <v>1</v>
      </c>
      <c r="J343" s="6">
        <f>IF(Data!J343 = 'Point Intercept 2'!J343, Data!J343, "ERROR")</f>
        <v>5</v>
      </c>
      <c r="K343" s="6" t="str">
        <f>IF(Data!K343 = 'Point Intercept 2'!K343, Data!K343, "ERROR")</f>
        <v>SONOLE</v>
      </c>
      <c r="L343" s="6" t="str">
        <f>IF(Data!L343 = 'Point Intercept 2'!L343, Data!L343, "ERROR")</f>
        <v>Sonchus oleraceus</v>
      </c>
      <c r="M343" s="6">
        <f>IF(Data!N343 = 'Point Intercept 2'!M344, Data!N343, "ERROR")</f>
        <v>0</v>
      </c>
      <c r="N343" s="6">
        <f>IF(Data!O343 = 'Point Intercept 2'!N344, Data!O343, "ERROR")</f>
        <v>0</v>
      </c>
      <c r="O343" s="6">
        <f>IF(Data!P343 = 'Point Intercept 2'!O344, Data!P343, "ERROR")</f>
        <v>0</v>
      </c>
    </row>
    <row r="344" spans="1:15" x14ac:dyDescent="0.25">
      <c r="A344" s="6">
        <f>IF(Data!A344 = 'Point Intercept 2'!A344, Data!A344, "ERROR")</f>
        <v>4</v>
      </c>
      <c r="B344" s="6">
        <f>IF(Data!B344 = 'Point Intercept 2'!B344, Data!B344, "ERROR")</f>
        <v>2025</v>
      </c>
      <c r="C344" s="8">
        <f>IF(Data!C344 = 'Point Intercept 2'!C344, Data!C344, "ERROR")</f>
        <v>45755</v>
      </c>
      <c r="D344" s="6" t="str">
        <f>IF(Data!D344 = 'Point Intercept 2'!D344, Data!D344, "ERROR")</f>
        <v>JC, TL</v>
      </c>
      <c r="E344" s="6" t="str">
        <f>IF(Data!E344 = 'Point Intercept 2'!E344, Data!E344, "ERROR")</f>
        <v>VB</v>
      </c>
      <c r="F344" s="6">
        <f>IF(Data!F344 = 'Point Intercept 2'!F344, Data!F344, "ERROR")</f>
        <v>3</v>
      </c>
      <c r="G344" s="6" t="str">
        <f>IF(Data!G344 = 'Point Intercept 2'!G344, Data!G344, "ERROR")</f>
        <v>LS</v>
      </c>
      <c r="H344" s="6">
        <f>IF(Data!I344 = 'Point Intercept 2'!I344, Data!I344, "ERROR")</f>
        <v>11</v>
      </c>
      <c r="I344" s="6">
        <f>IF(Data!H344 = 'Point Intercept 2'!H344, Data!H344, "ERROR")</f>
        <v>1</v>
      </c>
      <c r="J344" s="6">
        <f>IF(Data!J344 = 'Point Intercept 2'!J344, Data!J344, "ERROR")</f>
        <v>5</v>
      </c>
      <c r="K344" s="6" t="str">
        <f>IF(Data!K344 = 'Point Intercept 2'!K344, Data!K344, "ERROR")</f>
        <v>STEDIE</v>
      </c>
      <c r="L344" s="6" t="str">
        <f>IF(Data!L344 = 'Point Intercept 2'!L344, Data!L344, "ERROR")</f>
        <v>Stephanomeria diegensis</v>
      </c>
      <c r="M344" s="6">
        <f>IF(Data!N344 = 'Point Intercept 2'!M345, Data!N344, "ERROR")</f>
        <v>0</v>
      </c>
      <c r="N344" s="6">
        <f>IF(Data!O344 = 'Point Intercept 2'!N345, Data!O344, "ERROR")</f>
        <v>0</v>
      </c>
      <c r="O344" s="6">
        <f>IF(Data!P344 = 'Point Intercept 2'!O345, Data!P344, "ERROR")</f>
        <v>0</v>
      </c>
    </row>
    <row r="345" spans="1:15" x14ac:dyDescent="0.25">
      <c r="A345" s="6">
        <f>IF(Data!A345 = 'Point Intercept 2'!A345, Data!A345, "ERROR")</f>
        <v>4</v>
      </c>
      <c r="B345" s="6">
        <f>IF(Data!B345 = 'Point Intercept 2'!B345, Data!B345, "ERROR")</f>
        <v>2025</v>
      </c>
      <c r="C345" s="8">
        <f>IF(Data!C345 = 'Point Intercept 2'!C345, Data!C345, "ERROR")</f>
        <v>45755</v>
      </c>
      <c r="D345" s="6" t="str">
        <f>IF(Data!D345 = 'Point Intercept 2'!D345, Data!D345, "ERROR")</f>
        <v>JC, TL</v>
      </c>
      <c r="E345" s="6" t="str">
        <f>IF(Data!E345 = 'Point Intercept 2'!E345, Data!E345, "ERROR")</f>
        <v>VB</v>
      </c>
      <c r="F345" s="6">
        <f>IF(Data!F345 = 'Point Intercept 2'!F345, Data!F345, "ERROR")</f>
        <v>3</v>
      </c>
      <c r="G345" s="6" t="str">
        <f>IF(Data!G345 = 'Point Intercept 2'!G345, Data!G345, "ERROR")</f>
        <v>LS</v>
      </c>
      <c r="H345" s="6">
        <f>IF(Data!I345 = 'Point Intercept 2'!I345, Data!I345, "ERROR")</f>
        <v>12</v>
      </c>
      <c r="I345" s="6">
        <f>IF(Data!H345 = 'Point Intercept 2'!H345, Data!H345, "ERROR")</f>
        <v>1</v>
      </c>
      <c r="J345" s="6">
        <f>IF(Data!J345 = 'Point Intercept 2'!J345, Data!J345, "ERROR")</f>
        <v>5.5</v>
      </c>
      <c r="K345" s="6" t="str">
        <f>IF(Data!K345 = 'Point Intercept 2'!K345, Data!K345, "ERROR")</f>
        <v>TH</v>
      </c>
      <c r="L345" s="6" t="str">
        <f>IF(Data!L345 = 'Point Intercept 2'!L345, Data!L345, "ERROR")</f>
        <v>Thatch</v>
      </c>
      <c r="M345" s="6">
        <f>IF(Data!N345 = 'Point Intercept 2'!M346, Data!N345, "ERROR")</f>
        <v>0</v>
      </c>
      <c r="N345" s="6">
        <f>IF(Data!O345 = 'Point Intercept 2'!N346, Data!O345, "ERROR")</f>
        <v>0</v>
      </c>
      <c r="O345" s="6">
        <f>IF(Data!P345 = 'Point Intercept 2'!O346, Data!P345, "ERROR")</f>
        <v>0</v>
      </c>
    </row>
    <row r="346" spans="1:15" x14ac:dyDescent="0.25">
      <c r="A346" s="6">
        <f>IF(Data!A346 = 'Point Intercept 2'!A346, Data!A346, "ERROR")</f>
        <v>4</v>
      </c>
      <c r="B346" s="6">
        <f>IF(Data!B346 = 'Point Intercept 2'!B346, Data!B346, "ERROR")</f>
        <v>2025</v>
      </c>
      <c r="C346" s="8">
        <f>IF(Data!C346 = 'Point Intercept 2'!C346, Data!C346, "ERROR")</f>
        <v>45755</v>
      </c>
      <c r="D346" s="6" t="str">
        <f>IF(Data!D346 = 'Point Intercept 2'!D346, Data!D346, "ERROR")</f>
        <v>JC, TL</v>
      </c>
      <c r="E346" s="6" t="str">
        <f>IF(Data!E346 = 'Point Intercept 2'!E346, Data!E346, "ERROR")</f>
        <v>VB</v>
      </c>
      <c r="F346" s="6">
        <f>IF(Data!F346 = 'Point Intercept 2'!F346, Data!F346, "ERROR")</f>
        <v>3</v>
      </c>
      <c r="G346" s="6" t="str">
        <f>IF(Data!G346 = 'Point Intercept 2'!G346, Data!G346, "ERROR")</f>
        <v>LS</v>
      </c>
      <c r="H346" s="6">
        <f>IF(Data!I346 = 'Point Intercept 2'!I346, Data!I346, "ERROR")</f>
        <v>13</v>
      </c>
      <c r="I346" s="6">
        <f>IF(Data!H346 = 'Point Intercept 2'!H346, Data!H346, "ERROR")</f>
        <v>1</v>
      </c>
      <c r="J346" s="6">
        <f>IF(Data!J346 = 'Point Intercept 2'!J346, Data!J346, "ERROR")</f>
        <v>6.5</v>
      </c>
      <c r="K346" s="6" t="str">
        <f>IF(Data!K346 = 'Point Intercept 2'!K346, Data!K346, "ERROR")</f>
        <v>TH</v>
      </c>
      <c r="L346" s="6" t="str">
        <f>IF(Data!L346 = 'Point Intercept 2'!L346, Data!L346, "ERROR")</f>
        <v>Thatch</v>
      </c>
      <c r="M346" s="6">
        <f>IF(Data!N346 = 'Point Intercept 2'!M347, Data!N346, "ERROR")</f>
        <v>0</v>
      </c>
      <c r="N346" s="6">
        <f>IF(Data!O346 = 'Point Intercept 2'!N347, Data!O346, "ERROR")</f>
        <v>0</v>
      </c>
      <c r="O346" s="6">
        <f>IF(Data!P346 = 'Point Intercept 2'!O347, Data!P346, "ERROR")</f>
        <v>0</v>
      </c>
    </row>
    <row r="347" spans="1:15" x14ac:dyDescent="0.25">
      <c r="A347" s="6">
        <f>IF(Data!A347 = 'Point Intercept 2'!A347, Data!A347, "ERROR")</f>
        <v>4</v>
      </c>
      <c r="B347" s="6">
        <f>IF(Data!B347 = 'Point Intercept 2'!B347, Data!B347, "ERROR")</f>
        <v>2025</v>
      </c>
      <c r="C347" s="8">
        <f>IF(Data!C347 = 'Point Intercept 2'!C347, Data!C347, "ERROR")</f>
        <v>45755</v>
      </c>
      <c r="D347" s="6" t="str">
        <f>IF(Data!D347 = 'Point Intercept 2'!D347, Data!D347, "ERROR")</f>
        <v>JC, TL</v>
      </c>
      <c r="E347" s="6" t="str">
        <f>IF(Data!E347 = 'Point Intercept 2'!E347, Data!E347, "ERROR")</f>
        <v>VB</v>
      </c>
      <c r="F347" s="6">
        <f>IF(Data!F347 = 'Point Intercept 2'!F347, Data!F347, "ERROR")</f>
        <v>3</v>
      </c>
      <c r="G347" s="6" t="str">
        <f>IF(Data!G347 = 'Point Intercept 2'!G347, Data!G347, "ERROR")</f>
        <v>LS</v>
      </c>
      <c r="H347" s="6">
        <f>IF(Data!I347 = 'Point Intercept 2'!I347, Data!I347, "ERROR")</f>
        <v>13</v>
      </c>
      <c r="I347" s="6">
        <f>IF(Data!H347 = 'Point Intercept 2'!H347, Data!H347, "ERROR")</f>
        <v>1</v>
      </c>
      <c r="J347" s="6">
        <f>IF(Data!J347 = 'Point Intercept 2'!J347, Data!J347, "ERROR")</f>
        <v>6.5</v>
      </c>
      <c r="K347" s="6" t="str">
        <f>IF(Data!K347 = 'Point Intercept 2'!K347, Data!K347, "ERROR")</f>
        <v>UROLIN</v>
      </c>
      <c r="L347" s="6" t="str">
        <f>IF(Data!L347 = 'Point Intercept 2'!L347, Data!L347, "ERROR")</f>
        <v>Uropappus lindleyi</v>
      </c>
      <c r="M347" s="6">
        <f>IF(Data!N347 = 'Point Intercept 2'!M348, Data!N347, "ERROR")</f>
        <v>0</v>
      </c>
      <c r="N347" s="6">
        <f>IF(Data!O347 = 'Point Intercept 2'!N348, Data!O347, "ERROR")</f>
        <v>0</v>
      </c>
      <c r="O347" s="6">
        <f>IF(Data!P347 = 'Point Intercept 2'!O348, Data!P347, "ERROR")</f>
        <v>0</v>
      </c>
    </row>
    <row r="348" spans="1:15" x14ac:dyDescent="0.25">
      <c r="A348" s="6">
        <f>IF(Data!A348 = 'Point Intercept 2'!A348, Data!A348, "ERROR")</f>
        <v>4</v>
      </c>
      <c r="B348" s="6">
        <f>IF(Data!B348 = 'Point Intercept 2'!B348, Data!B348, "ERROR")</f>
        <v>2025</v>
      </c>
      <c r="C348" s="8">
        <f>IF(Data!C348 = 'Point Intercept 2'!C348, Data!C348, "ERROR")</f>
        <v>45755</v>
      </c>
      <c r="D348" s="6" t="str">
        <f>IF(Data!D348 = 'Point Intercept 2'!D348, Data!D348, "ERROR")</f>
        <v>JC, TL</v>
      </c>
      <c r="E348" s="6" t="str">
        <f>IF(Data!E348 = 'Point Intercept 2'!E348, Data!E348, "ERROR")</f>
        <v>VB</v>
      </c>
      <c r="F348" s="6">
        <f>IF(Data!F348 = 'Point Intercept 2'!F348, Data!F348, "ERROR")</f>
        <v>3</v>
      </c>
      <c r="G348" s="6" t="str">
        <f>IF(Data!G348 = 'Point Intercept 2'!G348, Data!G348, "ERROR")</f>
        <v>LS</v>
      </c>
      <c r="H348" s="6">
        <f>IF(Data!I348 = 'Point Intercept 2'!I348, Data!I348, "ERROR")</f>
        <v>14</v>
      </c>
      <c r="I348" s="6">
        <f>IF(Data!H348 = 'Point Intercept 2'!H348, Data!H348, "ERROR")</f>
        <v>1</v>
      </c>
      <c r="J348" s="6">
        <f>IF(Data!J348 = 'Point Intercept 2'!J348, Data!J348, "ERROR")</f>
        <v>7</v>
      </c>
      <c r="K348" s="6" t="str">
        <f>IF(Data!K348 = 'Point Intercept 2'!K348, Data!K348, "ERROR")</f>
        <v>L</v>
      </c>
      <c r="L348" s="6" t="str">
        <f>IF(Data!L348 = 'Point Intercept 2'!L348, Data!L348, "ERROR")</f>
        <v>Litter</v>
      </c>
      <c r="M348" s="6">
        <f>IF(Data!N348 = 'Point Intercept 2'!M349, Data!N348, "ERROR")</f>
        <v>0</v>
      </c>
      <c r="N348" s="6">
        <f>IF(Data!O348 = 'Point Intercept 2'!N349, Data!O348, "ERROR")</f>
        <v>0</v>
      </c>
      <c r="O348" s="6">
        <f>IF(Data!P348 = 'Point Intercept 2'!O349, Data!P348, "ERROR")</f>
        <v>0</v>
      </c>
    </row>
    <row r="349" spans="1:15" x14ac:dyDescent="0.25">
      <c r="A349" s="6">
        <f>IF(Data!A349 = 'Point Intercept 2'!A349, Data!A349, "ERROR")</f>
        <v>4</v>
      </c>
      <c r="B349" s="6">
        <f>IF(Data!B349 = 'Point Intercept 2'!B349, Data!B349, "ERROR")</f>
        <v>2025</v>
      </c>
      <c r="C349" s="8">
        <f>IF(Data!C349 = 'Point Intercept 2'!C349, Data!C349, "ERROR")</f>
        <v>45755</v>
      </c>
      <c r="D349" s="6" t="str">
        <f>IF(Data!D349 = 'Point Intercept 2'!D349, Data!D349, "ERROR")</f>
        <v>JC, TL</v>
      </c>
      <c r="E349" s="6" t="str">
        <f>IF(Data!E349 = 'Point Intercept 2'!E349, Data!E349, "ERROR")</f>
        <v>VB</v>
      </c>
      <c r="F349" s="6">
        <f>IF(Data!F349 = 'Point Intercept 2'!F349, Data!F349, "ERROR")</f>
        <v>3</v>
      </c>
      <c r="G349" s="6" t="str">
        <f>IF(Data!G349 = 'Point Intercept 2'!G349, Data!G349, "ERROR")</f>
        <v>LS</v>
      </c>
      <c r="H349" s="6">
        <f>IF(Data!I349 = 'Point Intercept 2'!I349, Data!I349, "ERROR")</f>
        <v>14</v>
      </c>
      <c r="I349" s="6">
        <f>IF(Data!H349 = 'Point Intercept 2'!H349, Data!H349, "ERROR")</f>
        <v>1</v>
      </c>
      <c r="J349" s="6">
        <f>IF(Data!J349 = 'Point Intercept 2'!J349, Data!J349, "ERROR")</f>
        <v>7</v>
      </c>
      <c r="K349" s="6" t="str">
        <f>IF(Data!K349 = 'Point Intercept 2'!K349, Data!K349, "ERROR")</f>
        <v>MEDPOL</v>
      </c>
      <c r="L349" s="6" t="str">
        <f>IF(Data!L349 = 'Point Intercept 2'!L349, Data!L349, "ERROR")</f>
        <v>Medicago polymorpha</v>
      </c>
      <c r="M349" s="6">
        <f>IF(Data!N349 = 'Point Intercept 2'!M350, Data!N349, "ERROR")</f>
        <v>0</v>
      </c>
      <c r="N349" s="6">
        <f>IF(Data!O349 = 'Point Intercept 2'!N350, Data!O349, "ERROR")</f>
        <v>0</v>
      </c>
      <c r="O349" s="6">
        <f>IF(Data!P349 = 'Point Intercept 2'!O350, Data!P349, "ERROR")</f>
        <v>0</v>
      </c>
    </row>
    <row r="350" spans="1:15" x14ac:dyDescent="0.25">
      <c r="A350" s="6">
        <f>IF(Data!A350 = 'Point Intercept 2'!A350, Data!A350, "ERROR")</f>
        <v>4</v>
      </c>
      <c r="B350" s="6">
        <f>IF(Data!B350 = 'Point Intercept 2'!B350, Data!B350, "ERROR")</f>
        <v>2025</v>
      </c>
      <c r="C350" s="8">
        <f>IF(Data!C350 = 'Point Intercept 2'!C350, Data!C350, "ERROR")</f>
        <v>45755</v>
      </c>
      <c r="D350" s="6" t="str">
        <f>IF(Data!D350 = 'Point Intercept 2'!D350, Data!D350, "ERROR")</f>
        <v>JC, TL</v>
      </c>
      <c r="E350" s="6" t="str">
        <f>IF(Data!E350 = 'Point Intercept 2'!E350, Data!E350, "ERROR")</f>
        <v>VB</v>
      </c>
      <c r="F350" s="6">
        <f>IF(Data!F350 = 'Point Intercept 2'!F350, Data!F350, "ERROR")</f>
        <v>3</v>
      </c>
      <c r="G350" s="6" t="str">
        <f>IF(Data!G350 = 'Point Intercept 2'!G350, Data!G350, "ERROR")</f>
        <v>LS</v>
      </c>
      <c r="H350" s="6">
        <f>IF(Data!I350 = 'Point Intercept 2'!I350, Data!I350, "ERROR")</f>
        <v>14</v>
      </c>
      <c r="I350" s="6">
        <f>IF(Data!H350 = 'Point Intercept 2'!H350, Data!H350, "ERROR")</f>
        <v>1</v>
      </c>
      <c r="J350" s="6">
        <f>IF(Data!J350 = 'Point Intercept 2'!J350, Data!J350, "ERROR")</f>
        <v>7</v>
      </c>
      <c r="K350" s="6" t="str">
        <f>IF(Data!K350 = 'Point Intercept 2'!K350, Data!K350, "ERROR")</f>
        <v>CENMEL</v>
      </c>
      <c r="L350" s="6" t="str">
        <f>IF(Data!L350 = 'Point Intercept 2'!L350, Data!L350, "ERROR")</f>
        <v>Centaurea melitensis</v>
      </c>
      <c r="M350" s="6">
        <f>IF(Data!N350 = 'Point Intercept 2'!M351, Data!N350, "ERROR")</f>
        <v>0</v>
      </c>
      <c r="N350" s="6">
        <f>IF(Data!O350 = 'Point Intercept 2'!N351, Data!O350, "ERROR")</f>
        <v>0</v>
      </c>
      <c r="O350" s="6">
        <f>IF(Data!P350 = 'Point Intercept 2'!O351, Data!P350, "ERROR")</f>
        <v>0</v>
      </c>
    </row>
    <row r="351" spans="1:15" x14ac:dyDescent="0.25">
      <c r="A351" s="6">
        <f>IF(Data!A351 = 'Point Intercept 2'!A351, Data!A351, "ERROR")</f>
        <v>4</v>
      </c>
      <c r="B351" s="6">
        <f>IF(Data!B351 = 'Point Intercept 2'!B351, Data!B351, "ERROR")</f>
        <v>2025</v>
      </c>
      <c r="C351" s="8">
        <f>IF(Data!C351 = 'Point Intercept 2'!C351, Data!C351, "ERROR")</f>
        <v>45755</v>
      </c>
      <c r="D351" s="6" t="str">
        <f>IF(Data!D351 = 'Point Intercept 2'!D351, Data!D351, "ERROR")</f>
        <v>JC, TL</v>
      </c>
      <c r="E351" s="6" t="str">
        <f>IF(Data!E351 = 'Point Intercept 2'!E351, Data!E351, "ERROR")</f>
        <v>VB</v>
      </c>
      <c r="F351" s="6">
        <f>IF(Data!F351 = 'Point Intercept 2'!F351, Data!F351, "ERROR")</f>
        <v>3</v>
      </c>
      <c r="G351" s="6" t="str">
        <f>IF(Data!G351 = 'Point Intercept 2'!G351, Data!G351, "ERROR")</f>
        <v>LS</v>
      </c>
      <c r="H351" s="6">
        <f>IF(Data!I351 = 'Point Intercept 2'!I351, Data!I351, "ERROR")</f>
        <v>14</v>
      </c>
      <c r="I351" s="6">
        <f>IF(Data!H351 = 'Point Intercept 2'!H351, Data!H351, "ERROR")</f>
        <v>1</v>
      </c>
      <c r="J351" s="6">
        <f>IF(Data!J351 = 'Point Intercept 2'!J351, Data!J351, "ERROR")</f>
        <v>7</v>
      </c>
      <c r="K351" s="6" t="str">
        <f>IF(Data!K351 = 'Point Intercept 2'!K351, Data!K351, "ERROR")</f>
        <v>FESMYU</v>
      </c>
      <c r="L351" s="6" t="str">
        <f>IF(Data!L351 = 'Point Intercept 2'!L351, Data!L351, "ERROR")</f>
        <v>Festuca myuros</v>
      </c>
      <c r="M351" s="6">
        <f>IF(Data!N351 = 'Point Intercept 2'!M352, Data!N351, "ERROR")</f>
        <v>0</v>
      </c>
      <c r="N351" s="6">
        <f>IF(Data!O351 = 'Point Intercept 2'!N352, Data!O351, "ERROR")</f>
        <v>0</v>
      </c>
      <c r="O351" s="6">
        <f>IF(Data!P351 = 'Point Intercept 2'!O352, Data!P351, "ERROR")</f>
        <v>0</v>
      </c>
    </row>
    <row r="352" spans="1:15" x14ac:dyDescent="0.25">
      <c r="A352" s="6">
        <f>IF(Data!A352 = 'Point Intercept 2'!A352, Data!A352, "ERROR")</f>
        <v>4</v>
      </c>
      <c r="B352" s="6">
        <f>IF(Data!B352 = 'Point Intercept 2'!B352, Data!B352, "ERROR")</f>
        <v>2025</v>
      </c>
      <c r="C352" s="8">
        <f>IF(Data!C352 = 'Point Intercept 2'!C352, Data!C352, "ERROR")</f>
        <v>45755</v>
      </c>
      <c r="D352" s="6" t="str">
        <f>IF(Data!D352 = 'Point Intercept 2'!D352, Data!D352, "ERROR")</f>
        <v>JC, TL</v>
      </c>
      <c r="E352" s="6" t="str">
        <f>IF(Data!E352 = 'Point Intercept 2'!E352, Data!E352, "ERROR")</f>
        <v>VB</v>
      </c>
      <c r="F352" s="6">
        <f>IF(Data!F352 = 'Point Intercept 2'!F352, Data!F352, "ERROR")</f>
        <v>3</v>
      </c>
      <c r="G352" s="6" t="str">
        <f>IF(Data!G352 = 'Point Intercept 2'!G352, Data!G352, "ERROR")</f>
        <v>LS</v>
      </c>
      <c r="H352" s="6">
        <f>IF(Data!I352 = 'Point Intercept 2'!I352, Data!I352, "ERROR")</f>
        <v>15</v>
      </c>
      <c r="I352" s="6">
        <f>IF(Data!H352 = 'Point Intercept 2'!H352, Data!H352, "ERROR")</f>
        <v>1</v>
      </c>
      <c r="J352" s="6">
        <f>IF(Data!J352 = 'Point Intercept 2'!J352, Data!J352, "ERROR")</f>
        <v>7.5</v>
      </c>
      <c r="K352" s="6" t="str">
        <f>IF(Data!K352 = 'Point Intercept 2'!K352, Data!K352, "ERROR")</f>
        <v>S</v>
      </c>
      <c r="L352" s="6" t="str">
        <f>IF(Data!L352 = 'Point Intercept 2'!L352, Data!L352, "ERROR")</f>
        <v>Stem</v>
      </c>
      <c r="M352" s="6">
        <f>IF(Data!N352 = 'Point Intercept 2'!M353, Data!N352, "ERROR")</f>
        <v>0</v>
      </c>
      <c r="N352" s="6">
        <f>IF(Data!O352 = 'Point Intercept 2'!N353, Data!O352, "ERROR")</f>
        <v>0</v>
      </c>
      <c r="O352" s="6">
        <f>IF(Data!P352 = 'Point Intercept 2'!O353, Data!P352, "ERROR")</f>
        <v>0</v>
      </c>
    </row>
    <row r="353" spans="1:15" x14ac:dyDescent="0.25">
      <c r="A353" s="6">
        <f>IF(Data!A353 = 'Point Intercept 2'!A353, Data!A353, "ERROR")</f>
        <v>4</v>
      </c>
      <c r="B353" s="6">
        <f>IF(Data!B353 = 'Point Intercept 2'!B353, Data!B353, "ERROR")</f>
        <v>2025</v>
      </c>
      <c r="C353" s="8">
        <f>IF(Data!C353 = 'Point Intercept 2'!C353, Data!C353, "ERROR")</f>
        <v>45755</v>
      </c>
      <c r="D353" s="6" t="str">
        <f>IF(Data!D353 = 'Point Intercept 2'!D353, Data!D353, "ERROR")</f>
        <v>JC, TL</v>
      </c>
      <c r="E353" s="6" t="str">
        <f>IF(Data!E353 = 'Point Intercept 2'!E353, Data!E353, "ERROR")</f>
        <v>VB</v>
      </c>
      <c r="F353" s="6">
        <f>IF(Data!F353 = 'Point Intercept 2'!F353, Data!F353, "ERROR")</f>
        <v>3</v>
      </c>
      <c r="G353" s="6" t="str">
        <f>IF(Data!G353 = 'Point Intercept 2'!G353, Data!G353, "ERROR")</f>
        <v>LS</v>
      </c>
      <c r="H353" s="6">
        <f>IF(Data!I353 = 'Point Intercept 2'!I353, Data!I353, "ERROR")</f>
        <v>15</v>
      </c>
      <c r="I353" s="6">
        <f>IF(Data!H353 = 'Point Intercept 2'!H353, Data!H353, "ERROR")</f>
        <v>1</v>
      </c>
      <c r="J353" s="6">
        <f>IF(Data!J353 = 'Point Intercept 2'!J353, Data!J353, "ERROR")</f>
        <v>7.5</v>
      </c>
      <c r="K353" s="6" t="str">
        <f>IF(Data!K353 = 'Point Intercept 2'!K353, Data!K353, "ERROR")</f>
        <v>OPULIT</v>
      </c>
      <c r="L353" s="6" t="str">
        <f>IF(Data!L353 = 'Point Intercept 2'!L353, Data!L353, "ERROR")</f>
        <v>Opuntia littoralis</v>
      </c>
      <c r="M353" s="6">
        <f>IF(Data!N353 = 'Point Intercept 2'!M354, Data!N353, "ERROR")</f>
        <v>0</v>
      </c>
      <c r="N353" s="6">
        <f>IF(Data!O353 = 'Point Intercept 2'!N354, Data!O353, "ERROR")</f>
        <v>0</v>
      </c>
      <c r="O353" s="6">
        <f>IF(Data!P353 = 'Point Intercept 2'!O354, Data!P353, "ERROR")</f>
        <v>0</v>
      </c>
    </row>
    <row r="354" spans="1:15" x14ac:dyDescent="0.25">
      <c r="A354" s="6">
        <f>IF(Data!A354 = 'Point Intercept 2'!A354, Data!A354, "ERROR")</f>
        <v>4</v>
      </c>
      <c r="B354" s="6">
        <f>IF(Data!B354 = 'Point Intercept 2'!B354, Data!B354, "ERROR")</f>
        <v>2025</v>
      </c>
      <c r="C354" s="8">
        <f>IF(Data!C354 = 'Point Intercept 2'!C354, Data!C354, "ERROR")</f>
        <v>45755</v>
      </c>
      <c r="D354" s="6" t="str">
        <f>IF(Data!D354 = 'Point Intercept 2'!D354, Data!D354, "ERROR")</f>
        <v>JC, TL</v>
      </c>
      <c r="E354" s="6" t="str">
        <f>IF(Data!E354 = 'Point Intercept 2'!E354, Data!E354, "ERROR")</f>
        <v>VB</v>
      </c>
      <c r="F354" s="6">
        <f>IF(Data!F354 = 'Point Intercept 2'!F354, Data!F354, "ERROR")</f>
        <v>3</v>
      </c>
      <c r="G354" s="6" t="str">
        <f>IF(Data!G354 = 'Point Intercept 2'!G354, Data!G354, "ERROR")</f>
        <v>LS</v>
      </c>
      <c r="H354" s="6">
        <f>IF(Data!I354 = 'Point Intercept 2'!I354, Data!I354, "ERROR")</f>
        <v>1</v>
      </c>
      <c r="I354" s="6">
        <f>IF(Data!H354 = 'Point Intercept 2'!H354, Data!H354, "ERROR")</f>
        <v>2</v>
      </c>
      <c r="J354" s="6">
        <f>IF(Data!J354 = 'Point Intercept 2'!J354, Data!J354, "ERROR")</f>
        <v>0</v>
      </c>
      <c r="K354" s="6" t="str">
        <f>IF(Data!K354 = 'Point Intercept 2'!K354, Data!K354, "ERROR")</f>
        <v>L</v>
      </c>
      <c r="L354" s="6" t="str">
        <f>IF(Data!L354 = 'Point Intercept 2'!L354, Data!L354, "ERROR")</f>
        <v>Litter</v>
      </c>
      <c r="M354" s="6">
        <f>IF(Data!N354 = 'Point Intercept 2'!M355, Data!N354, "ERROR")</f>
        <v>0</v>
      </c>
      <c r="N354" s="6">
        <f>IF(Data!O354 = 'Point Intercept 2'!N355, Data!O354, "ERROR")</f>
        <v>0</v>
      </c>
      <c r="O354" s="6">
        <f>IF(Data!P354 = 'Point Intercept 2'!O355, Data!P354, "ERROR")</f>
        <v>0</v>
      </c>
    </row>
    <row r="355" spans="1:15" x14ac:dyDescent="0.25">
      <c r="A355" s="6">
        <f>IF(Data!A355 = 'Point Intercept 2'!A355, Data!A355, "ERROR")</f>
        <v>4</v>
      </c>
      <c r="B355" s="6">
        <f>IF(Data!B355 = 'Point Intercept 2'!B355, Data!B355, "ERROR")</f>
        <v>2025</v>
      </c>
      <c r="C355" s="8">
        <f>IF(Data!C355 = 'Point Intercept 2'!C355, Data!C355, "ERROR")</f>
        <v>45755</v>
      </c>
      <c r="D355" s="6" t="str">
        <f>IF(Data!D355 = 'Point Intercept 2'!D355, Data!D355, "ERROR")</f>
        <v>JC, TL</v>
      </c>
      <c r="E355" s="6" t="str">
        <f>IF(Data!E355 = 'Point Intercept 2'!E355, Data!E355, "ERROR")</f>
        <v>VB</v>
      </c>
      <c r="F355" s="6">
        <f>IF(Data!F355 = 'Point Intercept 2'!F355, Data!F355, "ERROR")</f>
        <v>3</v>
      </c>
      <c r="G355" s="6" t="str">
        <f>IF(Data!G355 = 'Point Intercept 2'!G355, Data!G355, "ERROR")</f>
        <v>LS</v>
      </c>
      <c r="H355" s="6">
        <f>IF(Data!I355 = 'Point Intercept 2'!I355, Data!I355, "ERROR")</f>
        <v>1</v>
      </c>
      <c r="I355" s="6">
        <f>IF(Data!H355 = 'Point Intercept 2'!H355, Data!H355, "ERROR")</f>
        <v>2</v>
      </c>
      <c r="J355" s="6">
        <f>IF(Data!J355 = 'Point Intercept 2'!J355, Data!J355, "ERROR")</f>
        <v>0</v>
      </c>
      <c r="K355" s="6" t="str">
        <f>IF(Data!K355 = 'Point Intercept 2'!K355, Data!K355, "ERROR")</f>
        <v>SONASP</v>
      </c>
      <c r="L355" s="6" t="str">
        <f>IF(Data!L355 = 'Point Intercept 2'!L355, Data!L355, "ERROR")</f>
        <v>Sonchus asper</v>
      </c>
      <c r="M355" s="6">
        <f>IF(Data!N355 = 'Point Intercept 2'!M356, Data!N355, "ERROR")</f>
        <v>0</v>
      </c>
      <c r="N355" s="6">
        <f>IF(Data!O355 = 'Point Intercept 2'!N356, Data!O355, "ERROR")</f>
        <v>0</v>
      </c>
      <c r="O355" s="6">
        <f>IF(Data!P355 = 'Point Intercept 2'!O356, Data!P355, "ERROR")</f>
        <v>0</v>
      </c>
    </row>
    <row r="356" spans="1:15" x14ac:dyDescent="0.25">
      <c r="A356" s="6">
        <f>IF(Data!A356 = 'Point Intercept 2'!A356, Data!A356, "ERROR")</f>
        <v>4</v>
      </c>
      <c r="B356" s="6">
        <f>IF(Data!B356 = 'Point Intercept 2'!B356, Data!B356, "ERROR")</f>
        <v>2025</v>
      </c>
      <c r="C356" s="8">
        <f>IF(Data!C356 = 'Point Intercept 2'!C356, Data!C356, "ERROR")</f>
        <v>45755</v>
      </c>
      <c r="D356" s="6" t="str">
        <f>IF(Data!D356 = 'Point Intercept 2'!D356, Data!D356, "ERROR")</f>
        <v>JC, TL</v>
      </c>
      <c r="E356" s="6" t="str">
        <f>IF(Data!E356 = 'Point Intercept 2'!E356, Data!E356, "ERROR")</f>
        <v>VB</v>
      </c>
      <c r="F356" s="6">
        <f>IF(Data!F356 = 'Point Intercept 2'!F356, Data!F356, "ERROR")</f>
        <v>3</v>
      </c>
      <c r="G356" s="6" t="str">
        <f>IF(Data!G356 = 'Point Intercept 2'!G356, Data!G356, "ERROR")</f>
        <v>LS</v>
      </c>
      <c r="H356" s="6">
        <f>IF(Data!I356 = 'Point Intercept 2'!I356, Data!I356, "ERROR")</f>
        <v>1</v>
      </c>
      <c r="I356" s="6">
        <f>IF(Data!H356 = 'Point Intercept 2'!H356, Data!H356, "ERROR")</f>
        <v>2</v>
      </c>
      <c r="J356" s="6">
        <f>IF(Data!J356 = 'Point Intercept 2'!J356, Data!J356, "ERROR")</f>
        <v>0</v>
      </c>
      <c r="K356" s="6" t="str">
        <f>IF(Data!K356 = 'Point Intercept 2'!K356, Data!K356, "ERROR")</f>
        <v>FESMYU</v>
      </c>
      <c r="L356" s="6" t="str">
        <f>IF(Data!L356 = 'Point Intercept 2'!L356, Data!L356, "ERROR")</f>
        <v>Festuca myuros</v>
      </c>
      <c r="M356" s="6">
        <f>IF(Data!N356 = 'Point Intercept 2'!M357, Data!N356, "ERROR")</f>
        <v>0</v>
      </c>
      <c r="N356" s="6">
        <f>IF(Data!O356 = 'Point Intercept 2'!N357, Data!O356, "ERROR")</f>
        <v>0</v>
      </c>
      <c r="O356" s="6">
        <f>IF(Data!P356 = 'Point Intercept 2'!O357, Data!P356, "ERROR")</f>
        <v>0</v>
      </c>
    </row>
    <row r="357" spans="1:15" x14ac:dyDescent="0.25">
      <c r="A357" s="6">
        <f>IF(Data!A357 = 'Point Intercept 2'!A357, Data!A357, "ERROR")</f>
        <v>4</v>
      </c>
      <c r="B357" s="6">
        <f>IF(Data!B357 = 'Point Intercept 2'!B357, Data!B357, "ERROR")</f>
        <v>2025</v>
      </c>
      <c r="C357" s="8">
        <f>IF(Data!C357 = 'Point Intercept 2'!C357, Data!C357, "ERROR")</f>
        <v>45755</v>
      </c>
      <c r="D357" s="6" t="str">
        <f>IF(Data!D357 = 'Point Intercept 2'!D357, Data!D357, "ERROR")</f>
        <v>JC, TL</v>
      </c>
      <c r="E357" s="6" t="str">
        <f>IF(Data!E357 = 'Point Intercept 2'!E357, Data!E357, "ERROR")</f>
        <v>VB</v>
      </c>
      <c r="F357" s="6">
        <f>IF(Data!F357 = 'Point Intercept 2'!F357, Data!F357, "ERROR")</f>
        <v>3</v>
      </c>
      <c r="G357" s="6" t="str">
        <f>IF(Data!G357 = 'Point Intercept 2'!G357, Data!G357, "ERROR")</f>
        <v>LS</v>
      </c>
      <c r="H357" s="6">
        <f>IF(Data!I357 = 'Point Intercept 2'!I357, Data!I357, "ERROR")</f>
        <v>1</v>
      </c>
      <c r="I357" s="6">
        <f>IF(Data!H357 = 'Point Intercept 2'!H357, Data!H357, "ERROR")</f>
        <v>2</v>
      </c>
      <c r="J357" s="6">
        <f>IF(Data!J357 = 'Point Intercept 2'!J357, Data!J357, "ERROR")</f>
        <v>0</v>
      </c>
      <c r="K357" s="6" t="str">
        <f>IF(Data!K357 = 'Point Intercept 2'!K357, Data!K357, "ERROR")</f>
        <v>ANAARV</v>
      </c>
      <c r="L357" s="6" t="str">
        <f>IF(Data!L357 = 'Point Intercept 2'!L357, Data!L357, "ERROR")</f>
        <v>Anagallis arvensis</v>
      </c>
      <c r="M357" s="6">
        <f>IF(Data!N357 = 'Point Intercept 2'!M358, Data!N357, "ERROR")</f>
        <v>0</v>
      </c>
      <c r="N357" s="6">
        <f>IF(Data!O357 = 'Point Intercept 2'!N358, Data!O357, "ERROR")</f>
        <v>0</v>
      </c>
      <c r="O357" s="6">
        <f>IF(Data!P357 = 'Point Intercept 2'!O358, Data!P357, "ERROR")</f>
        <v>0</v>
      </c>
    </row>
    <row r="358" spans="1:15" x14ac:dyDescent="0.25">
      <c r="A358" s="6">
        <f>IF(Data!A358 = 'Point Intercept 2'!A358, Data!A358, "ERROR")</f>
        <v>4</v>
      </c>
      <c r="B358" s="6">
        <f>IF(Data!B358 = 'Point Intercept 2'!B358, Data!B358, "ERROR")</f>
        <v>2025</v>
      </c>
      <c r="C358" s="8">
        <f>IF(Data!C358 = 'Point Intercept 2'!C358, Data!C358, "ERROR")</f>
        <v>45755</v>
      </c>
      <c r="D358" s="6" t="str">
        <f>IF(Data!D358 = 'Point Intercept 2'!D358, Data!D358, "ERROR")</f>
        <v>JC, TL</v>
      </c>
      <c r="E358" s="6" t="str">
        <f>IF(Data!E358 = 'Point Intercept 2'!E358, Data!E358, "ERROR")</f>
        <v>VB</v>
      </c>
      <c r="F358" s="6">
        <f>IF(Data!F358 = 'Point Intercept 2'!F358, Data!F358, "ERROR")</f>
        <v>3</v>
      </c>
      <c r="G358" s="6" t="str">
        <f>IF(Data!G358 = 'Point Intercept 2'!G358, Data!G358, "ERROR")</f>
        <v>LS</v>
      </c>
      <c r="H358" s="6">
        <f>IF(Data!I358 = 'Point Intercept 2'!I358, Data!I358, "ERROR")</f>
        <v>1</v>
      </c>
      <c r="I358" s="6">
        <f>IF(Data!H358 = 'Point Intercept 2'!H358, Data!H358, "ERROR")</f>
        <v>2</v>
      </c>
      <c r="J358" s="6">
        <f>IF(Data!J358 = 'Point Intercept 2'!J358, Data!J358, "ERROR")</f>
        <v>0</v>
      </c>
      <c r="K358" s="6" t="str">
        <f>IF(Data!K358 = 'Point Intercept 2'!K358, Data!K358, "ERROR")</f>
        <v>DAUPUS</v>
      </c>
      <c r="L358" s="6" t="str">
        <f>IF(Data!L358 = 'Point Intercept 2'!L358, Data!L358, "ERROR")</f>
        <v>Daucus pusillus</v>
      </c>
      <c r="M358" s="6">
        <f>IF(Data!N358 = 'Point Intercept 2'!M359, Data!N358, "ERROR")</f>
        <v>0</v>
      </c>
      <c r="N358" s="6">
        <f>IF(Data!O358 = 'Point Intercept 2'!N359, Data!O358, "ERROR")</f>
        <v>0</v>
      </c>
      <c r="O358" s="6">
        <f>IF(Data!P358 = 'Point Intercept 2'!O359, Data!P358, "ERROR")</f>
        <v>0</v>
      </c>
    </row>
    <row r="359" spans="1:15" x14ac:dyDescent="0.25">
      <c r="A359" s="6">
        <f>IF(Data!A359 = 'Point Intercept 2'!A359, Data!A359, "ERROR")</f>
        <v>4</v>
      </c>
      <c r="B359" s="6">
        <f>IF(Data!B359 = 'Point Intercept 2'!B359, Data!B359, "ERROR")</f>
        <v>2025</v>
      </c>
      <c r="C359" s="8">
        <f>IF(Data!C359 = 'Point Intercept 2'!C359, Data!C359, "ERROR")</f>
        <v>45755</v>
      </c>
      <c r="D359" s="6" t="str">
        <f>IF(Data!D359 = 'Point Intercept 2'!D359, Data!D359, "ERROR")</f>
        <v>JC, TL</v>
      </c>
      <c r="E359" s="6" t="str">
        <f>IF(Data!E359 = 'Point Intercept 2'!E359, Data!E359, "ERROR")</f>
        <v>VB</v>
      </c>
      <c r="F359" s="6">
        <f>IF(Data!F359 = 'Point Intercept 2'!F359, Data!F359, "ERROR")</f>
        <v>3</v>
      </c>
      <c r="G359" s="6" t="str">
        <f>IF(Data!G359 = 'Point Intercept 2'!G359, Data!G359, "ERROR")</f>
        <v>LS</v>
      </c>
      <c r="H359" s="6">
        <f>IF(Data!I359 = 'Point Intercept 2'!I359, Data!I359, "ERROR")</f>
        <v>2</v>
      </c>
      <c r="I359" s="6">
        <f>IF(Data!H359 = 'Point Intercept 2'!H359, Data!H359, "ERROR")</f>
        <v>2</v>
      </c>
      <c r="J359" s="6">
        <f>IF(Data!J359 = 'Point Intercept 2'!J359, Data!J359, "ERROR")</f>
        <v>0.5</v>
      </c>
      <c r="K359" s="6" t="str">
        <f>IF(Data!K359 = 'Point Intercept 2'!K359, Data!K359, "ERROR")</f>
        <v>B</v>
      </c>
      <c r="L359" s="6" t="str">
        <f>IF(Data!L359 = 'Point Intercept 2'!L359, Data!L359, "ERROR")</f>
        <v>Bareground</v>
      </c>
      <c r="M359" s="6">
        <f>IF(Data!N359 = 'Point Intercept 2'!M360, Data!N359, "ERROR")</f>
        <v>0</v>
      </c>
      <c r="N359" s="6">
        <f>IF(Data!O359 = 'Point Intercept 2'!N360, Data!O359, "ERROR")</f>
        <v>0</v>
      </c>
      <c r="O359" s="6">
        <f>IF(Data!P359 = 'Point Intercept 2'!O360, Data!P359, "ERROR")</f>
        <v>0</v>
      </c>
    </row>
    <row r="360" spans="1:15" x14ac:dyDescent="0.25">
      <c r="A360" s="6">
        <f>IF(Data!A360 = 'Point Intercept 2'!A360, Data!A360, "ERROR")</f>
        <v>4</v>
      </c>
      <c r="B360" s="6">
        <f>IF(Data!B360 = 'Point Intercept 2'!B360, Data!B360, "ERROR")</f>
        <v>2025</v>
      </c>
      <c r="C360" s="8">
        <f>IF(Data!C360 = 'Point Intercept 2'!C360, Data!C360, "ERROR")</f>
        <v>45755</v>
      </c>
      <c r="D360" s="6" t="str">
        <f>IF(Data!D360 = 'Point Intercept 2'!D360, Data!D360, "ERROR")</f>
        <v>JC, TL</v>
      </c>
      <c r="E360" s="6" t="str">
        <f>IF(Data!E360 = 'Point Intercept 2'!E360, Data!E360, "ERROR")</f>
        <v>VB</v>
      </c>
      <c r="F360" s="6">
        <f>IF(Data!F360 = 'Point Intercept 2'!F360, Data!F360, "ERROR")</f>
        <v>3</v>
      </c>
      <c r="G360" s="6" t="str">
        <f>IF(Data!G360 = 'Point Intercept 2'!G360, Data!G360, "ERROR")</f>
        <v>LS</v>
      </c>
      <c r="H360" s="6">
        <f>IF(Data!I360 = 'Point Intercept 2'!I360, Data!I360, "ERROR")</f>
        <v>2</v>
      </c>
      <c r="I360" s="6">
        <f>IF(Data!H360 = 'Point Intercept 2'!H360, Data!H360, "ERROR")</f>
        <v>2</v>
      </c>
      <c r="J360" s="6">
        <f>IF(Data!J360 = 'Point Intercept 2'!J360, Data!J360, "ERROR")</f>
        <v>0.5</v>
      </c>
      <c r="K360" s="6" t="str">
        <f>IF(Data!K360 = 'Point Intercept 2'!K360, Data!K360, "ERROR")</f>
        <v>FESMYU</v>
      </c>
      <c r="L360" s="6" t="str">
        <f>IF(Data!L360 = 'Point Intercept 2'!L360, Data!L360, "ERROR")</f>
        <v>Festuca myuros</v>
      </c>
      <c r="M360" s="6">
        <f>IF(Data!N360 = 'Point Intercept 2'!M361, Data!N360, "ERROR")</f>
        <v>0</v>
      </c>
      <c r="N360" s="6">
        <f>IF(Data!O360 = 'Point Intercept 2'!N361, Data!O360, "ERROR")</f>
        <v>0</v>
      </c>
      <c r="O360" s="6">
        <f>IF(Data!P360 = 'Point Intercept 2'!O361, Data!P360, "ERROR")</f>
        <v>0</v>
      </c>
    </row>
    <row r="361" spans="1:15" x14ac:dyDescent="0.25">
      <c r="A361" s="6">
        <f>IF(Data!A361 = 'Point Intercept 2'!A361, Data!A361, "ERROR")</f>
        <v>4</v>
      </c>
      <c r="B361" s="6">
        <f>IF(Data!B361 = 'Point Intercept 2'!B361, Data!B361, "ERROR")</f>
        <v>2025</v>
      </c>
      <c r="C361" s="8">
        <f>IF(Data!C361 = 'Point Intercept 2'!C361, Data!C361, "ERROR")</f>
        <v>45755</v>
      </c>
      <c r="D361" s="6" t="str">
        <f>IF(Data!D361 = 'Point Intercept 2'!D361, Data!D361, "ERROR")</f>
        <v>JC, TL</v>
      </c>
      <c r="E361" s="6" t="str">
        <f>IF(Data!E361 = 'Point Intercept 2'!E361, Data!E361, "ERROR")</f>
        <v>VB</v>
      </c>
      <c r="F361" s="6">
        <f>IF(Data!F361 = 'Point Intercept 2'!F361, Data!F361, "ERROR")</f>
        <v>3</v>
      </c>
      <c r="G361" s="6" t="str">
        <f>IF(Data!G361 = 'Point Intercept 2'!G361, Data!G361, "ERROR")</f>
        <v>LS</v>
      </c>
      <c r="H361" s="6">
        <f>IF(Data!I361 = 'Point Intercept 2'!I361, Data!I361, "ERROR")</f>
        <v>3</v>
      </c>
      <c r="I361" s="6">
        <f>IF(Data!H361 = 'Point Intercept 2'!H361, Data!H361, "ERROR")</f>
        <v>2</v>
      </c>
      <c r="J361" s="6">
        <f>IF(Data!J361 = 'Point Intercept 2'!J361, Data!J361, "ERROR")</f>
        <v>1</v>
      </c>
      <c r="K361" s="6" t="str">
        <f>IF(Data!K361 = 'Point Intercept 2'!K361, Data!K361, "ERROR")</f>
        <v>S</v>
      </c>
      <c r="L361" s="6" t="str">
        <f>IF(Data!L361 = 'Point Intercept 2'!L361, Data!L361, "ERROR")</f>
        <v>Stem</v>
      </c>
      <c r="M361" s="6">
        <f>IF(Data!N361 = 'Point Intercept 2'!M362, Data!N361, "ERROR")</f>
        <v>0</v>
      </c>
      <c r="N361" s="6">
        <f>IF(Data!O361 = 'Point Intercept 2'!N362, Data!O361, "ERROR")</f>
        <v>0</v>
      </c>
      <c r="O361" s="6">
        <f>IF(Data!P361 = 'Point Intercept 2'!O362, Data!P361, "ERROR")</f>
        <v>0</v>
      </c>
    </row>
    <row r="362" spans="1:15" x14ac:dyDescent="0.25">
      <c r="A362" s="6">
        <f>IF(Data!A362 = 'Point Intercept 2'!A362, Data!A362, "ERROR")</f>
        <v>4</v>
      </c>
      <c r="B362" s="6">
        <f>IF(Data!B362 = 'Point Intercept 2'!B362, Data!B362, "ERROR")</f>
        <v>2025</v>
      </c>
      <c r="C362" s="8">
        <f>IF(Data!C362 = 'Point Intercept 2'!C362, Data!C362, "ERROR")</f>
        <v>45755</v>
      </c>
      <c r="D362" s="6" t="str">
        <f>IF(Data!D362 = 'Point Intercept 2'!D362, Data!D362, "ERROR")</f>
        <v>JC, TL</v>
      </c>
      <c r="E362" s="6" t="str">
        <f>IF(Data!E362 = 'Point Intercept 2'!E362, Data!E362, "ERROR")</f>
        <v>VB</v>
      </c>
      <c r="F362" s="6">
        <f>IF(Data!F362 = 'Point Intercept 2'!F362, Data!F362, "ERROR")</f>
        <v>3</v>
      </c>
      <c r="G362" s="6" t="str">
        <f>IF(Data!G362 = 'Point Intercept 2'!G362, Data!G362, "ERROR")</f>
        <v>LS</v>
      </c>
      <c r="H362" s="6">
        <f>IF(Data!I362 = 'Point Intercept 2'!I362, Data!I362, "ERROR")</f>
        <v>3</v>
      </c>
      <c r="I362" s="6">
        <f>IF(Data!H362 = 'Point Intercept 2'!H362, Data!H362, "ERROR")</f>
        <v>2</v>
      </c>
      <c r="J362" s="6">
        <f>IF(Data!J362 = 'Point Intercept 2'!J362, Data!J362, "ERROR")</f>
        <v>1</v>
      </c>
      <c r="K362" s="6" t="str">
        <f>IF(Data!K362 = 'Point Intercept 2'!K362, Data!K362, "ERROR")</f>
        <v>OPULIT</v>
      </c>
      <c r="L362" s="6" t="str">
        <f>IF(Data!L362 = 'Point Intercept 2'!L362, Data!L362, "ERROR")</f>
        <v>Opuntia littoralis</v>
      </c>
      <c r="M362" s="6">
        <f>IF(Data!N362 = 'Point Intercept 2'!M363, Data!N362, "ERROR")</f>
        <v>0</v>
      </c>
      <c r="N362" s="6">
        <f>IF(Data!O362 = 'Point Intercept 2'!N363, Data!O362, "ERROR")</f>
        <v>0</v>
      </c>
      <c r="O362" s="6">
        <f>IF(Data!P362 = 'Point Intercept 2'!O363, Data!P362, "ERROR")</f>
        <v>0</v>
      </c>
    </row>
    <row r="363" spans="1:15" x14ac:dyDescent="0.25">
      <c r="A363" s="6">
        <f>IF(Data!A363 = 'Point Intercept 2'!A363, Data!A363, "ERROR")</f>
        <v>4</v>
      </c>
      <c r="B363" s="6">
        <f>IF(Data!B363 = 'Point Intercept 2'!B363, Data!B363, "ERROR")</f>
        <v>2025</v>
      </c>
      <c r="C363" s="8">
        <f>IF(Data!C363 = 'Point Intercept 2'!C363, Data!C363, "ERROR")</f>
        <v>45755</v>
      </c>
      <c r="D363" s="6" t="str">
        <f>IF(Data!D363 = 'Point Intercept 2'!D363, Data!D363, "ERROR")</f>
        <v>JC, TL</v>
      </c>
      <c r="E363" s="6" t="str">
        <f>IF(Data!E363 = 'Point Intercept 2'!E363, Data!E363, "ERROR")</f>
        <v>VB</v>
      </c>
      <c r="F363" s="6">
        <f>IF(Data!F363 = 'Point Intercept 2'!F363, Data!F363, "ERROR")</f>
        <v>3</v>
      </c>
      <c r="G363" s="6" t="str">
        <f>IF(Data!G363 = 'Point Intercept 2'!G363, Data!G363, "ERROR")</f>
        <v>LS</v>
      </c>
      <c r="H363" s="6">
        <f>IF(Data!I363 = 'Point Intercept 2'!I363, Data!I363, "ERROR")</f>
        <v>4</v>
      </c>
      <c r="I363" s="6">
        <f>IF(Data!H363 = 'Point Intercept 2'!H363, Data!H363, "ERROR")</f>
        <v>2</v>
      </c>
      <c r="J363" s="6">
        <f>IF(Data!J363 = 'Point Intercept 2'!J363, Data!J363, "ERROR")</f>
        <v>1.5</v>
      </c>
      <c r="K363" s="6" t="str">
        <f>IF(Data!K363 = 'Point Intercept 2'!K363, Data!K363, "ERROR")</f>
        <v>S</v>
      </c>
      <c r="L363" s="6" t="str">
        <f>IF(Data!L363 = 'Point Intercept 2'!L363, Data!L363, "ERROR")</f>
        <v>Stem</v>
      </c>
      <c r="M363" s="6">
        <f>IF(Data!N363 = 'Point Intercept 2'!M364, Data!N363, "ERROR")</f>
        <v>0</v>
      </c>
      <c r="N363" s="6">
        <f>IF(Data!O363 = 'Point Intercept 2'!N364, Data!O363, "ERROR")</f>
        <v>0</v>
      </c>
      <c r="O363" s="6">
        <f>IF(Data!P363 = 'Point Intercept 2'!O364, Data!P363, "ERROR")</f>
        <v>0</v>
      </c>
    </row>
    <row r="364" spans="1:15" x14ac:dyDescent="0.25">
      <c r="A364" s="6">
        <f>IF(Data!A364 = 'Point Intercept 2'!A364, Data!A364, "ERROR")</f>
        <v>4</v>
      </c>
      <c r="B364" s="6">
        <f>IF(Data!B364 = 'Point Intercept 2'!B364, Data!B364, "ERROR")</f>
        <v>2025</v>
      </c>
      <c r="C364" s="8">
        <f>IF(Data!C364 = 'Point Intercept 2'!C364, Data!C364, "ERROR")</f>
        <v>45755</v>
      </c>
      <c r="D364" s="6" t="str">
        <f>IF(Data!D364 = 'Point Intercept 2'!D364, Data!D364, "ERROR")</f>
        <v>JC, TL</v>
      </c>
      <c r="E364" s="6" t="str">
        <f>IF(Data!E364 = 'Point Intercept 2'!E364, Data!E364, "ERROR")</f>
        <v>VB</v>
      </c>
      <c r="F364" s="6">
        <f>IF(Data!F364 = 'Point Intercept 2'!F364, Data!F364, "ERROR")</f>
        <v>3</v>
      </c>
      <c r="G364" s="6" t="str">
        <f>IF(Data!G364 = 'Point Intercept 2'!G364, Data!G364, "ERROR")</f>
        <v>LS</v>
      </c>
      <c r="H364" s="6">
        <f>IF(Data!I364 = 'Point Intercept 2'!I364, Data!I364, "ERROR")</f>
        <v>4</v>
      </c>
      <c r="I364" s="6">
        <f>IF(Data!H364 = 'Point Intercept 2'!H364, Data!H364, "ERROR")</f>
        <v>2</v>
      </c>
      <c r="J364" s="6">
        <f>IF(Data!J364 = 'Point Intercept 2'!J364, Data!J364, "ERROR")</f>
        <v>1.5</v>
      </c>
      <c r="K364" s="6" t="str">
        <f>IF(Data!K364 = 'Point Intercept 2'!K364, Data!K364, "ERROR")</f>
        <v>OPULIT</v>
      </c>
      <c r="L364" s="6" t="str">
        <f>IF(Data!L364 = 'Point Intercept 2'!L364, Data!L364, "ERROR")</f>
        <v>Opuntia littoralis</v>
      </c>
      <c r="M364" s="6">
        <f>IF(Data!N364 = 'Point Intercept 2'!M365, Data!N364, "ERROR")</f>
        <v>0</v>
      </c>
      <c r="N364" s="6">
        <f>IF(Data!O364 = 'Point Intercept 2'!N365, Data!O364, "ERROR")</f>
        <v>0</v>
      </c>
      <c r="O364" s="6">
        <f>IF(Data!P364 = 'Point Intercept 2'!O365, Data!P364, "ERROR")</f>
        <v>0</v>
      </c>
    </row>
    <row r="365" spans="1:15" x14ac:dyDescent="0.25">
      <c r="A365" s="6">
        <f>IF(Data!A365 = 'Point Intercept 2'!A365, Data!A365, "ERROR")</f>
        <v>4</v>
      </c>
      <c r="B365" s="6">
        <f>IF(Data!B365 = 'Point Intercept 2'!B365, Data!B365, "ERROR")</f>
        <v>2025</v>
      </c>
      <c r="C365" s="8">
        <f>IF(Data!C365 = 'Point Intercept 2'!C365, Data!C365, "ERROR")</f>
        <v>45755</v>
      </c>
      <c r="D365" s="6" t="str">
        <f>IF(Data!D365 = 'Point Intercept 2'!D365, Data!D365, "ERROR")</f>
        <v>JC, TL</v>
      </c>
      <c r="E365" s="6" t="str">
        <f>IF(Data!E365 = 'Point Intercept 2'!E365, Data!E365, "ERROR")</f>
        <v>VB</v>
      </c>
      <c r="F365" s="6">
        <f>IF(Data!F365 = 'Point Intercept 2'!F365, Data!F365, "ERROR")</f>
        <v>3</v>
      </c>
      <c r="G365" s="6" t="str">
        <f>IF(Data!G365 = 'Point Intercept 2'!G365, Data!G365, "ERROR")</f>
        <v>LS</v>
      </c>
      <c r="H365" s="6">
        <f>IF(Data!I365 = 'Point Intercept 2'!I365, Data!I365, "ERROR")</f>
        <v>4</v>
      </c>
      <c r="I365" s="6">
        <f>IF(Data!H365 = 'Point Intercept 2'!H365, Data!H365, "ERROR")</f>
        <v>2</v>
      </c>
      <c r="J365" s="6">
        <f>IF(Data!J365 = 'Point Intercept 2'!J365, Data!J365, "ERROR")</f>
        <v>1.5</v>
      </c>
      <c r="K365" s="6" t="str">
        <f>IF(Data!K365 = 'Point Intercept 2'!K365, Data!K365, "ERROR")</f>
        <v>FESMYU</v>
      </c>
      <c r="L365" s="6" t="str">
        <f>IF(Data!L365 = 'Point Intercept 2'!L365, Data!L365, "ERROR")</f>
        <v>Festuca myuros</v>
      </c>
      <c r="M365" s="6">
        <f>IF(Data!N365 = 'Point Intercept 2'!M366, Data!N365, "ERROR")</f>
        <v>0</v>
      </c>
      <c r="N365" s="6">
        <f>IF(Data!O365 = 'Point Intercept 2'!N366, Data!O365, "ERROR")</f>
        <v>0</v>
      </c>
      <c r="O365" s="6">
        <f>IF(Data!P365 = 'Point Intercept 2'!O366, Data!P365, "ERROR")</f>
        <v>0</v>
      </c>
    </row>
    <row r="366" spans="1:15" x14ac:dyDescent="0.25">
      <c r="A366" s="6">
        <f>IF(Data!A366 = 'Point Intercept 2'!A366, Data!A366, "ERROR")</f>
        <v>4</v>
      </c>
      <c r="B366" s="6">
        <f>IF(Data!B366 = 'Point Intercept 2'!B366, Data!B366, "ERROR")</f>
        <v>2025</v>
      </c>
      <c r="C366" s="8">
        <f>IF(Data!C366 = 'Point Intercept 2'!C366, Data!C366, "ERROR")</f>
        <v>45755</v>
      </c>
      <c r="D366" s="6" t="str">
        <f>IF(Data!D366 = 'Point Intercept 2'!D366, Data!D366, "ERROR")</f>
        <v>JC, TL</v>
      </c>
      <c r="E366" s="6" t="str">
        <f>IF(Data!E366 = 'Point Intercept 2'!E366, Data!E366, "ERROR")</f>
        <v>VB</v>
      </c>
      <c r="F366" s="6">
        <f>IF(Data!F366 = 'Point Intercept 2'!F366, Data!F366, "ERROR")</f>
        <v>3</v>
      </c>
      <c r="G366" s="6" t="str">
        <f>IF(Data!G366 = 'Point Intercept 2'!G366, Data!G366, "ERROR")</f>
        <v>LS</v>
      </c>
      <c r="H366" s="6">
        <f>IF(Data!I366 = 'Point Intercept 2'!I366, Data!I366, "ERROR")</f>
        <v>5</v>
      </c>
      <c r="I366" s="6">
        <f>IF(Data!H366 = 'Point Intercept 2'!H366, Data!H366, "ERROR")</f>
        <v>2</v>
      </c>
      <c r="J366" s="6">
        <f>IF(Data!J366 = 'Point Intercept 2'!J366, Data!J366, "ERROR")</f>
        <v>2.5</v>
      </c>
      <c r="K366" s="6" t="str">
        <f>IF(Data!K366 = 'Point Intercept 2'!K366, Data!K366, "ERROR")</f>
        <v>B</v>
      </c>
      <c r="L366" s="6" t="str">
        <f>IF(Data!L366 = 'Point Intercept 2'!L366, Data!L366, "ERROR")</f>
        <v>Bareground</v>
      </c>
      <c r="M366" s="6">
        <f>IF(Data!N366 = 'Point Intercept 2'!M367, Data!N366, "ERROR")</f>
        <v>0</v>
      </c>
      <c r="N366" s="6">
        <f>IF(Data!O366 = 'Point Intercept 2'!N367, Data!O366, "ERROR")</f>
        <v>0</v>
      </c>
      <c r="O366" s="6">
        <f>IF(Data!P366 = 'Point Intercept 2'!O367, Data!P366, "ERROR")</f>
        <v>0</v>
      </c>
    </row>
    <row r="367" spans="1:15" x14ac:dyDescent="0.25">
      <c r="A367" s="6">
        <f>IF(Data!A367 = 'Point Intercept 2'!A367, Data!A367, "ERROR")</f>
        <v>4</v>
      </c>
      <c r="B367" s="6">
        <f>IF(Data!B367 = 'Point Intercept 2'!B367, Data!B367, "ERROR")</f>
        <v>2025</v>
      </c>
      <c r="C367" s="8">
        <f>IF(Data!C367 = 'Point Intercept 2'!C367, Data!C367, "ERROR")</f>
        <v>45755</v>
      </c>
      <c r="D367" s="6" t="str">
        <f>IF(Data!D367 = 'Point Intercept 2'!D367, Data!D367, "ERROR")</f>
        <v>JC, TL</v>
      </c>
      <c r="E367" s="6" t="str">
        <f>IF(Data!E367 = 'Point Intercept 2'!E367, Data!E367, "ERROR")</f>
        <v>VB</v>
      </c>
      <c r="F367" s="6">
        <f>IF(Data!F367 = 'Point Intercept 2'!F367, Data!F367, "ERROR")</f>
        <v>3</v>
      </c>
      <c r="G367" s="6" t="str">
        <f>IF(Data!G367 = 'Point Intercept 2'!G367, Data!G367, "ERROR")</f>
        <v>LS</v>
      </c>
      <c r="H367" s="6">
        <f>IF(Data!I367 = 'Point Intercept 2'!I367, Data!I367, "ERROR")</f>
        <v>5</v>
      </c>
      <c r="I367" s="6">
        <f>IF(Data!H367 = 'Point Intercept 2'!H367, Data!H367, "ERROR")</f>
        <v>2</v>
      </c>
      <c r="J367" s="6">
        <f>IF(Data!J367 = 'Point Intercept 2'!J367, Data!J367, "ERROR")</f>
        <v>2.5</v>
      </c>
      <c r="K367" s="6" t="str">
        <f>IF(Data!K367 = 'Point Intercept 2'!K367, Data!K367, "ERROR")</f>
        <v>FESMYU</v>
      </c>
      <c r="L367" s="6" t="str">
        <f>IF(Data!L367 = 'Point Intercept 2'!L367, Data!L367, "ERROR")</f>
        <v>Festuca myuros</v>
      </c>
      <c r="M367" s="6">
        <f>IF(Data!N367 = 'Point Intercept 2'!M368, Data!N367, "ERROR")</f>
        <v>0</v>
      </c>
      <c r="N367" s="6">
        <f>IF(Data!O367 = 'Point Intercept 2'!N368, Data!O367, "ERROR")</f>
        <v>0</v>
      </c>
      <c r="O367" s="6">
        <f>IF(Data!P367 = 'Point Intercept 2'!O368, Data!P367, "ERROR")</f>
        <v>0</v>
      </c>
    </row>
    <row r="368" spans="1:15" x14ac:dyDescent="0.25">
      <c r="A368" s="6">
        <f>IF(Data!A368 = 'Point Intercept 2'!A368, Data!A368, "ERROR")</f>
        <v>4</v>
      </c>
      <c r="B368" s="6">
        <f>IF(Data!B368 = 'Point Intercept 2'!B368, Data!B368, "ERROR")</f>
        <v>2025</v>
      </c>
      <c r="C368" s="8">
        <f>IF(Data!C368 = 'Point Intercept 2'!C368, Data!C368, "ERROR")</f>
        <v>45755</v>
      </c>
      <c r="D368" s="6" t="str">
        <f>IF(Data!D368 = 'Point Intercept 2'!D368, Data!D368, "ERROR")</f>
        <v>JC, TL</v>
      </c>
      <c r="E368" s="6" t="str">
        <f>IF(Data!E368 = 'Point Intercept 2'!E368, Data!E368, "ERROR")</f>
        <v>VB</v>
      </c>
      <c r="F368" s="6">
        <f>IF(Data!F368 = 'Point Intercept 2'!F368, Data!F368, "ERROR")</f>
        <v>3</v>
      </c>
      <c r="G368" s="6" t="str">
        <f>IF(Data!G368 = 'Point Intercept 2'!G368, Data!G368, "ERROR")</f>
        <v>LS</v>
      </c>
      <c r="H368" s="6">
        <f>IF(Data!I368 = 'Point Intercept 2'!I368, Data!I368, "ERROR")</f>
        <v>5</v>
      </c>
      <c r="I368" s="6">
        <f>IF(Data!H368 = 'Point Intercept 2'!H368, Data!H368, "ERROR")</f>
        <v>2</v>
      </c>
      <c r="J368" s="6">
        <f>IF(Data!J368 = 'Point Intercept 2'!J368, Data!J368, "ERROR")</f>
        <v>2.5</v>
      </c>
      <c r="K368" s="6" t="str">
        <f>IF(Data!K368 = 'Point Intercept 2'!K368, Data!K368, "ERROR")</f>
        <v>MEDPOL</v>
      </c>
      <c r="L368" s="6" t="str">
        <f>IF(Data!L368 = 'Point Intercept 2'!L368, Data!L368, "ERROR")</f>
        <v>Medicago polymorpha</v>
      </c>
      <c r="M368" s="6">
        <f>IF(Data!N368 = 'Point Intercept 2'!M369, Data!N368, "ERROR")</f>
        <v>0</v>
      </c>
      <c r="N368" s="6">
        <f>IF(Data!O368 = 'Point Intercept 2'!N369, Data!O368, "ERROR")</f>
        <v>0</v>
      </c>
      <c r="O368" s="6">
        <f>IF(Data!P368 = 'Point Intercept 2'!O369, Data!P368, "ERROR")</f>
        <v>0</v>
      </c>
    </row>
    <row r="369" spans="1:15" x14ac:dyDescent="0.25">
      <c r="A369" s="6">
        <f>IF(Data!A369 = 'Point Intercept 2'!A369, Data!A369, "ERROR")</f>
        <v>4</v>
      </c>
      <c r="B369" s="6">
        <f>IF(Data!B369 = 'Point Intercept 2'!B369, Data!B369, "ERROR")</f>
        <v>2025</v>
      </c>
      <c r="C369" s="8">
        <f>IF(Data!C369 = 'Point Intercept 2'!C369, Data!C369, "ERROR")</f>
        <v>45755</v>
      </c>
      <c r="D369" s="6" t="str">
        <f>IF(Data!D369 = 'Point Intercept 2'!D369, Data!D369, "ERROR")</f>
        <v>JC, TL</v>
      </c>
      <c r="E369" s="6" t="str">
        <f>IF(Data!E369 = 'Point Intercept 2'!E369, Data!E369, "ERROR")</f>
        <v>VB</v>
      </c>
      <c r="F369" s="6">
        <f>IF(Data!F369 = 'Point Intercept 2'!F369, Data!F369, "ERROR")</f>
        <v>3</v>
      </c>
      <c r="G369" s="6" t="str">
        <f>IF(Data!G369 = 'Point Intercept 2'!G369, Data!G369, "ERROR")</f>
        <v>LS</v>
      </c>
      <c r="H369" s="6">
        <f>IF(Data!I369 = 'Point Intercept 2'!I369, Data!I369, "ERROR")</f>
        <v>6</v>
      </c>
      <c r="I369" s="6">
        <f>IF(Data!H369 = 'Point Intercept 2'!H369, Data!H369, "ERROR")</f>
        <v>2</v>
      </c>
      <c r="J369" s="6">
        <f>IF(Data!J369 = 'Point Intercept 2'!J369, Data!J369, "ERROR")</f>
        <v>3</v>
      </c>
      <c r="K369" s="6" t="str">
        <f>IF(Data!K369 = 'Point Intercept 2'!K369, Data!K369, "ERROR")</f>
        <v>R</v>
      </c>
      <c r="L369" s="6" t="str">
        <f>IF(Data!L369 = 'Point Intercept 2'!L369, Data!L369, "ERROR")</f>
        <v>Rock</v>
      </c>
      <c r="M369" s="6">
        <f>IF(Data!N369 = 'Point Intercept 2'!M370, Data!N369, "ERROR")</f>
        <v>0</v>
      </c>
      <c r="N369" s="6">
        <f>IF(Data!O369 = 'Point Intercept 2'!N370, Data!O369, "ERROR")</f>
        <v>0</v>
      </c>
      <c r="O369" s="6">
        <f>IF(Data!P369 = 'Point Intercept 2'!O370, Data!P369, "ERROR")</f>
        <v>0</v>
      </c>
    </row>
    <row r="370" spans="1:15" x14ac:dyDescent="0.25">
      <c r="A370" s="6">
        <f>IF(Data!A370 = 'Point Intercept 2'!A370, Data!A370, "ERROR")</f>
        <v>4</v>
      </c>
      <c r="B370" s="6">
        <f>IF(Data!B370 = 'Point Intercept 2'!B370, Data!B370, "ERROR")</f>
        <v>2025</v>
      </c>
      <c r="C370" s="8">
        <f>IF(Data!C370 = 'Point Intercept 2'!C370, Data!C370, "ERROR")</f>
        <v>45755</v>
      </c>
      <c r="D370" s="6" t="str">
        <f>IF(Data!D370 = 'Point Intercept 2'!D370, Data!D370, "ERROR")</f>
        <v>JC, TL</v>
      </c>
      <c r="E370" s="6" t="str">
        <f>IF(Data!E370 = 'Point Intercept 2'!E370, Data!E370, "ERROR")</f>
        <v>VB</v>
      </c>
      <c r="F370" s="6">
        <f>IF(Data!F370 = 'Point Intercept 2'!F370, Data!F370, "ERROR")</f>
        <v>3</v>
      </c>
      <c r="G370" s="6" t="str">
        <f>IF(Data!G370 = 'Point Intercept 2'!G370, Data!G370, "ERROR")</f>
        <v>LS</v>
      </c>
      <c r="H370" s="6">
        <f>IF(Data!I370 = 'Point Intercept 2'!I370, Data!I370, "ERROR")</f>
        <v>6</v>
      </c>
      <c r="I370" s="6">
        <f>IF(Data!H370 = 'Point Intercept 2'!H370, Data!H370, "ERROR")</f>
        <v>2</v>
      </c>
      <c r="J370" s="6">
        <f>IF(Data!J370 = 'Point Intercept 2'!J370, Data!J370, "ERROR")</f>
        <v>3</v>
      </c>
      <c r="K370" s="6" t="str">
        <f>IF(Data!K370 = 'Point Intercept 2'!K370, Data!K370, "ERROR")</f>
        <v>FESMYU</v>
      </c>
      <c r="L370" s="6" t="str">
        <f>IF(Data!L370 = 'Point Intercept 2'!L370, Data!L370, "ERROR")</f>
        <v>Festuca myuros</v>
      </c>
      <c r="M370" s="6">
        <f>IF(Data!N370 = 'Point Intercept 2'!M371, Data!N370, "ERROR")</f>
        <v>0</v>
      </c>
      <c r="N370" s="6">
        <f>IF(Data!O370 = 'Point Intercept 2'!N371, Data!O370, "ERROR")</f>
        <v>0</v>
      </c>
      <c r="O370" s="6">
        <f>IF(Data!P370 = 'Point Intercept 2'!O371, Data!P370, "ERROR")</f>
        <v>0</v>
      </c>
    </row>
    <row r="371" spans="1:15" x14ac:dyDescent="0.25">
      <c r="A371" s="6">
        <f>IF(Data!A371 = 'Point Intercept 2'!A371, Data!A371, "ERROR")</f>
        <v>4</v>
      </c>
      <c r="B371" s="6">
        <f>IF(Data!B371 = 'Point Intercept 2'!B371, Data!B371, "ERROR")</f>
        <v>2025</v>
      </c>
      <c r="C371" s="8">
        <f>IF(Data!C371 = 'Point Intercept 2'!C371, Data!C371, "ERROR")</f>
        <v>45755</v>
      </c>
      <c r="D371" s="6" t="str">
        <f>IF(Data!D371 = 'Point Intercept 2'!D371, Data!D371, "ERROR")</f>
        <v>JC, TL</v>
      </c>
      <c r="E371" s="6" t="str">
        <f>IF(Data!E371 = 'Point Intercept 2'!E371, Data!E371, "ERROR")</f>
        <v>VB</v>
      </c>
      <c r="F371" s="6">
        <f>IF(Data!F371 = 'Point Intercept 2'!F371, Data!F371, "ERROR")</f>
        <v>3</v>
      </c>
      <c r="G371" s="6" t="str">
        <f>IF(Data!G371 = 'Point Intercept 2'!G371, Data!G371, "ERROR")</f>
        <v>LS</v>
      </c>
      <c r="H371" s="6">
        <f>IF(Data!I371 = 'Point Intercept 2'!I371, Data!I371, "ERROR")</f>
        <v>7</v>
      </c>
      <c r="I371" s="6">
        <f>IF(Data!H371 = 'Point Intercept 2'!H371, Data!H371, "ERROR")</f>
        <v>2</v>
      </c>
      <c r="J371" s="6">
        <f>IF(Data!J371 = 'Point Intercept 2'!J371, Data!J371, "ERROR")</f>
        <v>3.5</v>
      </c>
      <c r="K371" s="6" t="str">
        <f>IF(Data!K371 = 'Point Intercept 2'!K371, Data!K371, "ERROR")</f>
        <v>L</v>
      </c>
      <c r="L371" s="6" t="str">
        <f>IF(Data!L371 = 'Point Intercept 2'!L371, Data!L371, "ERROR")</f>
        <v>Litter</v>
      </c>
      <c r="M371" s="6">
        <f>IF(Data!N371 = 'Point Intercept 2'!M372, Data!N371, "ERROR")</f>
        <v>0</v>
      </c>
      <c r="N371" s="6">
        <f>IF(Data!O371 = 'Point Intercept 2'!N372, Data!O371, "ERROR")</f>
        <v>0</v>
      </c>
      <c r="O371" s="6">
        <f>IF(Data!P371 = 'Point Intercept 2'!O372, Data!P371, "ERROR")</f>
        <v>0</v>
      </c>
    </row>
    <row r="372" spans="1:15" x14ac:dyDescent="0.25">
      <c r="A372" s="6">
        <f>IF(Data!A372 = 'Point Intercept 2'!A372, Data!A372, "ERROR")</f>
        <v>4</v>
      </c>
      <c r="B372" s="6">
        <f>IF(Data!B372 = 'Point Intercept 2'!B372, Data!B372, "ERROR")</f>
        <v>2025</v>
      </c>
      <c r="C372" s="8">
        <f>IF(Data!C372 = 'Point Intercept 2'!C372, Data!C372, "ERROR")</f>
        <v>45755</v>
      </c>
      <c r="D372" s="6" t="str">
        <f>IF(Data!D372 = 'Point Intercept 2'!D372, Data!D372, "ERROR")</f>
        <v>JC, TL</v>
      </c>
      <c r="E372" s="6" t="str">
        <f>IF(Data!E372 = 'Point Intercept 2'!E372, Data!E372, "ERROR")</f>
        <v>VB</v>
      </c>
      <c r="F372" s="6">
        <f>IF(Data!F372 = 'Point Intercept 2'!F372, Data!F372, "ERROR")</f>
        <v>3</v>
      </c>
      <c r="G372" s="6" t="str">
        <f>IF(Data!G372 = 'Point Intercept 2'!G372, Data!G372, "ERROR")</f>
        <v>LS</v>
      </c>
      <c r="H372" s="6">
        <f>IF(Data!I372 = 'Point Intercept 2'!I372, Data!I372, "ERROR")</f>
        <v>7</v>
      </c>
      <c r="I372" s="6">
        <f>IF(Data!H372 = 'Point Intercept 2'!H372, Data!H372, "ERROR")</f>
        <v>2</v>
      </c>
      <c r="J372" s="6">
        <f>IF(Data!J372 = 'Point Intercept 2'!J372, Data!J372, "ERROR")</f>
        <v>3.5</v>
      </c>
      <c r="K372" s="6" t="str">
        <f>IF(Data!K372 = 'Point Intercept 2'!K372, Data!K372, "ERROR")</f>
        <v>MEDPOL</v>
      </c>
      <c r="L372" s="6" t="str">
        <f>IF(Data!L372 = 'Point Intercept 2'!L372, Data!L372, "ERROR")</f>
        <v>Medicago polymorpha</v>
      </c>
      <c r="M372" s="6">
        <f>IF(Data!N372 = 'Point Intercept 2'!M373, Data!N372, "ERROR")</f>
        <v>0</v>
      </c>
      <c r="N372" s="6">
        <f>IF(Data!O372 = 'Point Intercept 2'!N373, Data!O372, "ERROR")</f>
        <v>0</v>
      </c>
      <c r="O372" s="6">
        <f>IF(Data!P372 = 'Point Intercept 2'!O373, Data!P372, "ERROR")</f>
        <v>0</v>
      </c>
    </row>
    <row r="373" spans="1:15" x14ac:dyDescent="0.25">
      <c r="A373" s="6">
        <f>IF(Data!A373 = 'Point Intercept 2'!A373, Data!A373, "ERROR")</f>
        <v>4</v>
      </c>
      <c r="B373" s="6">
        <f>IF(Data!B373 = 'Point Intercept 2'!B373, Data!B373, "ERROR")</f>
        <v>2025</v>
      </c>
      <c r="C373" s="8">
        <f>IF(Data!C373 = 'Point Intercept 2'!C373, Data!C373, "ERROR")</f>
        <v>45755</v>
      </c>
      <c r="D373" s="6" t="str">
        <f>IF(Data!D373 = 'Point Intercept 2'!D373, Data!D373, "ERROR")</f>
        <v>JC, TL</v>
      </c>
      <c r="E373" s="6" t="str">
        <f>IF(Data!E373 = 'Point Intercept 2'!E373, Data!E373, "ERROR")</f>
        <v>VB</v>
      </c>
      <c r="F373" s="6">
        <f>IF(Data!F373 = 'Point Intercept 2'!F373, Data!F373, "ERROR")</f>
        <v>3</v>
      </c>
      <c r="G373" s="6" t="str">
        <f>IF(Data!G373 = 'Point Intercept 2'!G373, Data!G373, "ERROR")</f>
        <v>LS</v>
      </c>
      <c r="H373" s="6">
        <f>IF(Data!I373 = 'Point Intercept 2'!I373, Data!I373, "ERROR")</f>
        <v>7</v>
      </c>
      <c r="I373" s="6">
        <f>IF(Data!H373 = 'Point Intercept 2'!H373, Data!H373, "ERROR")</f>
        <v>2</v>
      </c>
      <c r="J373" s="6">
        <f>IF(Data!J373 = 'Point Intercept 2'!J373, Data!J373, "ERROR")</f>
        <v>3.5</v>
      </c>
      <c r="K373" s="6" t="str">
        <f>IF(Data!K373 = 'Point Intercept 2'!K373, Data!K373, "ERROR")</f>
        <v>FESMYU</v>
      </c>
      <c r="L373" s="6" t="str">
        <f>IF(Data!L373 = 'Point Intercept 2'!L373, Data!L373, "ERROR")</f>
        <v>Festuca myuros</v>
      </c>
      <c r="M373" s="6">
        <f>IF(Data!N373 = 'Point Intercept 2'!M374, Data!N373, "ERROR")</f>
        <v>0</v>
      </c>
      <c r="N373" s="6">
        <f>IF(Data!O373 = 'Point Intercept 2'!N374, Data!O373, "ERROR")</f>
        <v>0</v>
      </c>
      <c r="O373" s="6">
        <f>IF(Data!P373 = 'Point Intercept 2'!O374, Data!P373, "ERROR")</f>
        <v>0</v>
      </c>
    </row>
    <row r="374" spans="1:15" x14ac:dyDescent="0.25">
      <c r="A374" s="6">
        <f>IF(Data!A374 = 'Point Intercept 2'!A374, Data!A374, "ERROR")</f>
        <v>4</v>
      </c>
      <c r="B374" s="6">
        <f>IF(Data!B374 = 'Point Intercept 2'!B374, Data!B374, "ERROR")</f>
        <v>2025</v>
      </c>
      <c r="C374" s="8">
        <f>IF(Data!C374 = 'Point Intercept 2'!C374, Data!C374, "ERROR")</f>
        <v>45755</v>
      </c>
      <c r="D374" s="6" t="str">
        <f>IF(Data!D374 = 'Point Intercept 2'!D374, Data!D374, "ERROR")</f>
        <v>JC, TL</v>
      </c>
      <c r="E374" s="6" t="str">
        <f>IF(Data!E374 = 'Point Intercept 2'!E374, Data!E374, "ERROR")</f>
        <v>VB</v>
      </c>
      <c r="F374" s="6">
        <f>IF(Data!F374 = 'Point Intercept 2'!F374, Data!F374, "ERROR")</f>
        <v>3</v>
      </c>
      <c r="G374" s="6" t="str">
        <f>IF(Data!G374 = 'Point Intercept 2'!G374, Data!G374, "ERROR")</f>
        <v>LS</v>
      </c>
      <c r="H374" s="6">
        <f>IF(Data!I374 = 'Point Intercept 2'!I374, Data!I374, "ERROR")</f>
        <v>7</v>
      </c>
      <c r="I374" s="6">
        <f>IF(Data!H374 = 'Point Intercept 2'!H374, Data!H374, "ERROR")</f>
        <v>2</v>
      </c>
      <c r="J374" s="6">
        <f>IF(Data!J374 = 'Point Intercept 2'!J374, Data!J374, "ERROR")</f>
        <v>3.5</v>
      </c>
      <c r="K374" s="6" t="str">
        <f>IF(Data!K374 = 'Point Intercept 2'!K374, Data!K374, "ERROR")</f>
        <v>SONASP</v>
      </c>
      <c r="L374" s="6" t="str">
        <f>IF(Data!L374 = 'Point Intercept 2'!L374, Data!L374, "ERROR")</f>
        <v>Sonchus asper</v>
      </c>
      <c r="M374" s="6">
        <f>IF(Data!N374 = 'Point Intercept 2'!M375, Data!N374, "ERROR")</f>
        <v>0</v>
      </c>
      <c r="N374" s="6">
        <f>IF(Data!O374 = 'Point Intercept 2'!N375, Data!O374, "ERROR")</f>
        <v>0</v>
      </c>
      <c r="O374" s="6">
        <f>IF(Data!P374 = 'Point Intercept 2'!O375, Data!P374, "ERROR")</f>
        <v>0</v>
      </c>
    </row>
    <row r="375" spans="1:15" x14ac:dyDescent="0.25">
      <c r="A375" s="6">
        <f>IF(Data!A375 = 'Point Intercept 2'!A375, Data!A375, "ERROR")</f>
        <v>4</v>
      </c>
      <c r="B375" s="6">
        <f>IF(Data!B375 = 'Point Intercept 2'!B375, Data!B375, "ERROR")</f>
        <v>2025</v>
      </c>
      <c r="C375" s="8">
        <f>IF(Data!C375 = 'Point Intercept 2'!C375, Data!C375, "ERROR")</f>
        <v>45755</v>
      </c>
      <c r="D375" s="6" t="str">
        <f>IF(Data!D375 = 'Point Intercept 2'!D375, Data!D375, "ERROR")</f>
        <v>JC, TL</v>
      </c>
      <c r="E375" s="6" t="str">
        <f>IF(Data!E375 = 'Point Intercept 2'!E375, Data!E375, "ERROR")</f>
        <v>VB</v>
      </c>
      <c r="F375" s="6">
        <f>IF(Data!F375 = 'Point Intercept 2'!F375, Data!F375, "ERROR")</f>
        <v>3</v>
      </c>
      <c r="G375" s="6" t="str">
        <f>IF(Data!G375 = 'Point Intercept 2'!G375, Data!G375, "ERROR")</f>
        <v>LS</v>
      </c>
      <c r="H375" s="6">
        <f>IF(Data!I375 = 'Point Intercept 2'!I375, Data!I375, "ERROR")</f>
        <v>8</v>
      </c>
      <c r="I375" s="6">
        <f>IF(Data!H375 = 'Point Intercept 2'!H375, Data!H375, "ERROR")</f>
        <v>2</v>
      </c>
      <c r="J375" s="6">
        <f>IF(Data!J375 = 'Point Intercept 2'!J375, Data!J375, "ERROR")</f>
        <v>4</v>
      </c>
      <c r="K375" s="6" t="str">
        <f>IF(Data!K375 = 'Point Intercept 2'!K375, Data!K375, "ERROR")</f>
        <v>L</v>
      </c>
      <c r="L375" s="6" t="str">
        <f>IF(Data!L375 = 'Point Intercept 2'!L375, Data!L375, "ERROR")</f>
        <v>Litter</v>
      </c>
      <c r="M375" s="6">
        <f>IF(Data!N375 = 'Point Intercept 2'!M376, Data!N375, "ERROR")</f>
        <v>0</v>
      </c>
      <c r="N375" s="6">
        <f>IF(Data!O375 = 'Point Intercept 2'!N376, Data!O375, "ERROR")</f>
        <v>0</v>
      </c>
      <c r="O375" s="6">
        <f>IF(Data!P375 = 'Point Intercept 2'!O376, Data!P375, "ERROR")</f>
        <v>0</v>
      </c>
    </row>
    <row r="376" spans="1:15" x14ac:dyDescent="0.25">
      <c r="A376" s="6">
        <f>IF(Data!A376 = 'Point Intercept 2'!A376, Data!A376, "ERROR")</f>
        <v>4</v>
      </c>
      <c r="B376" s="6">
        <f>IF(Data!B376 = 'Point Intercept 2'!B376, Data!B376, "ERROR")</f>
        <v>2025</v>
      </c>
      <c r="C376" s="8">
        <f>IF(Data!C376 = 'Point Intercept 2'!C376, Data!C376, "ERROR")</f>
        <v>45755</v>
      </c>
      <c r="D376" s="6" t="str">
        <f>IF(Data!D376 = 'Point Intercept 2'!D376, Data!D376, "ERROR")</f>
        <v>JC, TL</v>
      </c>
      <c r="E376" s="6" t="str">
        <f>IF(Data!E376 = 'Point Intercept 2'!E376, Data!E376, "ERROR")</f>
        <v>VB</v>
      </c>
      <c r="F376" s="6">
        <f>IF(Data!F376 = 'Point Intercept 2'!F376, Data!F376, "ERROR")</f>
        <v>3</v>
      </c>
      <c r="G376" s="6" t="str">
        <f>IF(Data!G376 = 'Point Intercept 2'!G376, Data!G376, "ERROR")</f>
        <v>LS</v>
      </c>
      <c r="H376" s="6">
        <f>IF(Data!I376 = 'Point Intercept 2'!I376, Data!I376, "ERROR")</f>
        <v>8</v>
      </c>
      <c r="I376" s="6">
        <f>IF(Data!H376 = 'Point Intercept 2'!H376, Data!H376, "ERROR")</f>
        <v>2</v>
      </c>
      <c r="J376" s="6">
        <f>IF(Data!J376 = 'Point Intercept 2'!J376, Data!J376, "ERROR")</f>
        <v>4</v>
      </c>
      <c r="K376" s="6" t="str">
        <f>IF(Data!K376 = 'Point Intercept 2'!K376, Data!K376, "ERROR")</f>
        <v>DAUPUS</v>
      </c>
      <c r="L376" s="6" t="str">
        <f>IF(Data!L376 = 'Point Intercept 2'!L376, Data!L376, "ERROR")</f>
        <v>Daucus pusillus</v>
      </c>
      <c r="M376" s="6">
        <f>IF(Data!N376 = 'Point Intercept 2'!M377, Data!N376, "ERROR")</f>
        <v>0</v>
      </c>
      <c r="N376" s="6">
        <f>IF(Data!O376 = 'Point Intercept 2'!N377, Data!O376, "ERROR")</f>
        <v>0</v>
      </c>
      <c r="O376" s="6">
        <f>IF(Data!P376 = 'Point Intercept 2'!O377, Data!P376, "ERROR")</f>
        <v>0</v>
      </c>
    </row>
    <row r="377" spans="1:15" x14ac:dyDescent="0.25">
      <c r="A377" s="6">
        <f>IF(Data!A377 = 'Point Intercept 2'!A377, Data!A377, "ERROR")</f>
        <v>4</v>
      </c>
      <c r="B377" s="6">
        <f>IF(Data!B377 = 'Point Intercept 2'!B377, Data!B377, "ERROR")</f>
        <v>2025</v>
      </c>
      <c r="C377" s="8">
        <f>IF(Data!C377 = 'Point Intercept 2'!C377, Data!C377, "ERROR")</f>
        <v>45755</v>
      </c>
      <c r="D377" s="6" t="str">
        <f>IF(Data!D377 = 'Point Intercept 2'!D377, Data!D377, "ERROR")</f>
        <v>JC, TL</v>
      </c>
      <c r="E377" s="6" t="str">
        <f>IF(Data!E377 = 'Point Intercept 2'!E377, Data!E377, "ERROR")</f>
        <v>VB</v>
      </c>
      <c r="F377" s="6">
        <f>IF(Data!F377 = 'Point Intercept 2'!F377, Data!F377, "ERROR")</f>
        <v>3</v>
      </c>
      <c r="G377" s="6" t="str">
        <f>IF(Data!G377 = 'Point Intercept 2'!G377, Data!G377, "ERROR")</f>
        <v>LS</v>
      </c>
      <c r="H377" s="6">
        <f>IF(Data!I377 = 'Point Intercept 2'!I377, Data!I377, "ERROR")</f>
        <v>8</v>
      </c>
      <c r="I377" s="6">
        <f>IF(Data!H377 = 'Point Intercept 2'!H377, Data!H377, "ERROR")</f>
        <v>2</v>
      </c>
      <c r="J377" s="6">
        <f>IF(Data!J377 = 'Point Intercept 2'!J377, Data!J377, "ERROR")</f>
        <v>4</v>
      </c>
      <c r="K377" s="6" t="str">
        <f>IF(Data!K377 = 'Point Intercept 2'!K377, Data!K377, "ERROR")</f>
        <v>DEIFAS</v>
      </c>
      <c r="L377" s="6" t="str">
        <f>IF(Data!L377 = 'Point Intercept 2'!L377, Data!L377, "ERROR")</f>
        <v>Deinandra fasciculata</v>
      </c>
      <c r="M377" s="6">
        <f>IF(Data!N377 = 'Point Intercept 2'!M378, Data!N377, "ERROR")</f>
        <v>0</v>
      </c>
      <c r="N377" s="6">
        <f>IF(Data!O377 = 'Point Intercept 2'!N378, Data!O377, "ERROR")</f>
        <v>0</v>
      </c>
      <c r="O377" s="6">
        <f>IF(Data!P377 = 'Point Intercept 2'!O378, Data!P377, "ERROR")</f>
        <v>0</v>
      </c>
    </row>
    <row r="378" spans="1:15" x14ac:dyDescent="0.25">
      <c r="A378" s="6">
        <f>IF(Data!A378 = 'Point Intercept 2'!A378, Data!A378, "ERROR")</f>
        <v>4</v>
      </c>
      <c r="B378" s="6">
        <f>IF(Data!B378 = 'Point Intercept 2'!B378, Data!B378, "ERROR")</f>
        <v>2025</v>
      </c>
      <c r="C378" s="8">
        <f>IF(Data!C378 = 'Point Intercept 2'!C378, Data!C378, "ERROR")</f>
        <v>45755</v>
      </c>
      <c r="D378" s="6" t="str">
        <f>IF(Data!D378 = 'Point Intercept 2'!D378, Data!D378, "ERROR")</f>
        <v>JC, TL</v>
      </c>
      <c r="E378" s="6" t="str">
        <f>IF(Data!E378 = 'Point Intercept 2'!E378, Data!E378, "ERROR")</f>
        <v>VB</v>
      </c>
      <c r="F378" s="6">
        <f>IF(Data!F378 = 'Point Intercept 2'!F378, Data!F378, "ERROR")</f>
        <v>3</v>
      </c>
      <c r="G378" s="6" t="str">
        <f>IF(Data!G378 = 'Point Intercept 2'!G378, Data!G378, "ERROR")</f>
        <v>LS</v>
      </c>
      <c r="H378" s="6">
        <f>IF(Data!I378 = 'Point Intercept 2'!I378, Data!I378, "ERROR")</f>
        <v>8</v>
      </c>
      <c r="I378" s="6">
        <f>IF(Data!H378 = 'Point Intercept 2'!H378, Data!H378, "ERROR")</f>
        <v>2</v>
      </c>
      <c r="J378" s="6">
        <f>IF(Data!J378 = 'Point Intercept 2'!J378, Data!J378, "ERROR")</f>
        <v>4</v>
      </c>
      <c r="K378" s="6" t="str">
        <f>IF(Data!K378 = 'Point Intercept 2'!K378, Data!K378, "ERROR")</f>
        <v>FESMYU</v>
      </c>
      <c r="L378" s="6" t="str">
        <f>IF(Data!L378 = 'Point Intercept 2'!L378, Data!L378, "ERROR")</f>
        <v>Festuca myuros</v>
      </c>
      <c r="M378" s="6">
        <f>IF(Data!N378 = 'Point Intercept 2'!M379, Data!N378, "ERROR")</f>
        <v>0</v>
      </c>
      <c r="N378" s="6">
        <f>IF(Data!O378 = 'Point Intercept 2'!N379, Data!O378, "ERROR")</f>
        <v>0</v>
      </c>
      <c r="O378" s="6">
        <f>IF(Data!P378 = 'Point Intercept 2'!O379, Data!P378, "ERROR")</f>
        <v>0</v>
      </c>
    </row>
    <row r="379" spans="1:15" x14ac:dyDescent="0.25">
      <c r="A379" s="6">
        <f>IF(Data!A379 = 'Point Intercept 2'!A379, Data!A379, "ERROR")</f>
        <v>4</v>
      </c>
      <c r="B379" s="6">
        <f>IF(Data!B379 = 'Point Intercept 2'!B379, Data!B379, "ERROR")</f>
        <v>2025</v>
      </c>
      <c r="C379" s="8">
        <f>IF(Data!C379 = 'Point Intercept 2'!C379, Data!C379, "ERROR")</f>
        <v>45755</v>
      </c>
      <c r="D379" s="6" t="str">
        <f>IF(Data!D379 = 'Point Intercept 2'!D379, Data!D379, "ERROR")</f>
        <v>JC, TL</v>
      </c>
      <c r="E379" s="6" t="str">
        <f>IF(Data!E379 = 'Point Intercept 2'!E379, Data!E379, "ERROR")</f>
        <v>VB</v>
      </c>
      <c r="F379" s="6">
        <f>IF(Data!F379 = 'Point Intercept 2'!F379, Data!F379, "ERROR")</f>
        <v>3</v>
      </c>
      <c r="G379" s="6" t="str">
        <f>IF(Data!G379 = 'Point Intercept 2'!G379, Data!G379, "ERROR")</f>
        <v>LS</v>
      </c>
      <c r="H379" s="6">
        <f>IF(Data!I379 = 'Point Intercept 2'!I379, Data!I379, "ERROR")</f>
        <v>8</v>
      </c>
      <c r="I379" s="6">
        <f>IF(Data!H379 = 'Point Intercept 2'!H379, Data!H379, "ERROR")</f>
        <v>2</v>
      </c>
      <c r="J379" s="6">
        <f>IF(Data!J379 = 'Point Intercept 2'!J379, Data!J379, "ERROR")</f>
        <v>4</v>
      </c>
      <c r="K379" s="6" t="str">
        <f>IF(Data!K379 = 'Point Intercept 2'!K379, Data!K379, "ERROR")</f>
        <v>CENMEL</v>
      </c>
      <c r="L379" s="6" t="str">
        <f>IF(Data!L379 = 'Point Intercept 2'!L379, Data!L379, "ERROR")</f>
        <v>Centaurea melitensis</v>
      </c>
      <c r="M379" s="6">
        <f>IF(Data!N379 = 'Point Intercept 2'!M380, Data!N379, "ERROR")</f>
        <v>0</v>
      </c>
      <c r="N379" s="6">
        <f>IF(Data!O379 = 'Point Intercept 2'!N380, Data!O379, "ERROR")</f>
        <v>0</v>
      </c>
      <c r="O379" s="6">
        <f>IF(Data!P379 = 'Point Intercept 2'!O380, Data!P379, "ERROR")</f>
        <v>0</v>
      </c>
    </row>
    <row r="380" spans="1:15" x14ac:dyDescent="0.25">
      <c r="A380" s="6">
        <f>IF(Data!A380 = 'Point Intercept 2'!A380, Data!A380, "ERROR")</f>
        <v>4</v>
      </c>
      <c r="B380" s="6">
        <f>IF(Data!B380 = 'Point Intercept 2'!B380, Data!B380, "ERROR")</f>
        <v>2025</v>
      </c>
      <c r="C380" s="8">
        <f>IF(Data!C380 = 'Point Intercept 2'!C380, Data!C380, "ERROR")</f>
        <v>45755</v>
      </c>
      <c r="D380" s="6" t="str">
        <f>IF(Data!D380 = 'Point Intercept 2'!D380, Data!D380, "ERROR")</f>
        <v>JC, TL</v>
      </c>
      <c r="E380" s="6" t="str">
        <f>IF(Data!E380 = 'Point Intercept 2'!E380, Data!E380, "ERROR")</f>
        <v>VB</v>
      </c>
      <c r="F380" s="6">
        <f>IF(Data!F380 = 'Point Intercept 2'!F380, Data!F380, "ERROR")</f>
        <v>3</v>
      </c>
      <c r="G380" s="6" t="str">
        <f>IF(Data!G380 = 'Point Intercept 2'!G380, Data!G380, "ERROR")</f>
        <v>LS</v>
      </c>
      <c r="H380" s="6">
        <f>IF(Data!I380 = 'Point Intercept 2'!I380, Data!I380, "ERROR")</f>
        <v>9</v>
      </c>
      <c r="I380" s="6">
        <f>IF(Data!H380 = 'Point Intercept 2'!H380, Data!H380, "ERROR")</f>
        <v>2</v>
      </c>
      <c r="J380" s="6">
        <f>IF(Data!J380 = 'Point Intercept 2'!J380, Data!J380, "ERROR")</f>
        <v>4.5</v>
      </c>
      <c r="K380" s="6" t="str">
        <f>IF(Data!K380 = 'Point Intercept 2'!K380, Data!K380, "ERROR")</f>
        <v>B</v>
      </c>
      <c r="L380" s="6" t="str">
        <f>IF(Data!L380 = 'Point Intercept 2'!L380, Data!L380, "ERROR")</f>
        <v>Bareground</v>
      </c>
      <c r="M380" s="6">
        <f>IF(Data!N380 = 'Point Intercept 2'!M381, Data!N380, "ERROR")</f>
        <v>0</v>
      </c>
      <c r="N380" s="6">
        <f>IF(Data!O380 = 'Point Intercept 2'!N381, Data!O380, "ERROR")</f>
        <v>0</v>
      </c>
      <c r="O380" s="6">
        <f>IF(Data!P380 = 'Point Intercept 2'!O381, Data!P380, "ERROR")</f>
        <v>0</v>
      </c>
    </row>
    <row r="381" spans="1:15" x14ac:dyDescent="0.25">
      <c r="A381" s="6">
        <f>IF(Data!A381 = 'Point Intercept 2'!A381, Data!A381, "ERROR")</f>
        <v>4</v>
      </c>
      <c r="B381" s="6">
        <f>IF(Data!B381 = 'Point Intercept 2'!B381, Data!B381, "ERROR")</f>
        <v>2025</v>
      </c>
      <c r="C381" s="8">
        <f>IF(Data!C381 = 'Point Intercept 2'!C381, Data!C381, "ERROR")</f>
        <v>45755</v>
      </c>
      <c r="D381" s="6" t="str">
        <f>IF(Data!D381 = 'Point Intercept 2'!D381, Data!D381, "ERROR")</f>
        <v>JC, TL</v>
      </c>
      <c r="E381" s="6" t="str">
        <f>IF(Data!E381 = 'Point Intercept 2'!E381, Data!E381, "ERROR")</f>
        <v>VB</v>
      </c>
      <c r="F381" s="6">
        <f>IF(Data!F381 = 'Point Intercept 2'!F381, Data!F381, "ERROR")</f>
        <v>3</v>
      </c>
      <c r="G381" s="6" t="str">
        <f>IF(Data!G381 = 'Point Intercept 2'!G381, Data!G381, "ERROR")</f>
        <v>LS</v>
      </c>
      <c r="H381" s="6">
        <f>IF(Data!I381 = 'Point Intercept 2'!I381, Data!I381, "ERROR")</f>
        <v>9</v>
      </c>
      <c r="I381" s="6">
        <f>IF(Data!H381 = 'Point Intercept 2'!H381, Data!H381, "ERROR")</f>
        <v>2</v>
      </c>
      <c r="J381" s="6">
        <f>IF(Data!J381 = 'Point Intercept 2'!J381, Data!J381, "ERROR")</f>
        <v>4.5</v>
      </c>
      <c r="K381" s="6" t="str">
        <f>IF(Data!K381 = 'Point Intercept 2'!K381, Data!K381, "ERROR")</f>
        <v>MEDPOL</v>
      </c>
      <c r="L381" s="6" t="str">
        <f>IF(Data!L381 = 'Point Intercept 2'!L381, Data!L381, "ERROR")</f>
        <v>Medicago polymorpha</v>
      </c>
      <c r="M381" s="6">
        <f>IF(Data!N381 = 'Point Intercept 2'!M382, Data!N381, "ERROR")</f>
        <v>0</v>
      </c>
      <c r="N381" s="6">
        <f>IF(Data!O381 = 'Point Intercept 2'!N382, Data!O381, "ERROR")</f>
        <v>0</v>
      </c>
      <c r="O381" s="6">
        <f>IF(Data!P381 = 'Point Intercept 2'!O382, Data!P381, "ERROR")</f>
        <v>0</v>
      </c>
    </row>
    <row r="382" spans="1:15" x14ac:dyDescent="0.25">
      <c r="A382" s="6">
        <f>IF(Data!A382 = 'Point Intercept 2'!A382, Data!A382, "ERROR")</f>
        <v>4</v>
      </c>
      <c r="B382" s="6">
        <f>IF(Data!B382 = 'Point Intercept 2'!B382, Data!B382, "ERROR")</f>
        <v>2025</v>
      </c>
      <c r="C382" s="8">
        <f>IF(Data!C382 = 'Point Intercept 2'!C382, Data!C382, "ERROR")</f>
        <v>45755</v>
      </c>
      <c r="D382" s="6" t="str">
        <f>IF(Data!D382 = 'Point Intercept 2'!D382, Data!D382, "ERROR")</f>
        <v>JC, TL</v>
      </c>
      <c r="E382" s="6" t="str">
        <f>IF(Data!E382 = 'Point Intercept 2'!E382, Data!E382, "ERROR")</f>
        <v>VB</v>
      </c>
      <c r="F382" s="6">
        <f>IF(Data!F382 = 'Point Intercept 2'!F382, Data!F382, "ERROR")</f>
        <v>3</v>
      </c>
      <c r="G382" s="6" t="str">
        <f>IF(Data!G382 = 'Point Intercept 2'!G382, Data!G382, "ERROR")</f>
        <v>LS</v>
      </c>
      <c r="H382" s="6">
        <f>IF(Data!I382 = 'Point Intercept 2'!I382, Data!I382, "ERROR")</f>
        <v>9</v>
      </c>
      <c r="I382" s="6">
        <f>IF(Data!H382 = 'Point Intercept 2'!H382, Data!H382, "ERROR")</f>
        <v>2</v>
      </c>
      <c r="J382" s="6">
        <f>IF(Data!J382 = 'Point Intercept 2'!J382, Data!J382, "ERROR")</f>
        <v>4.5</v>
      </c>
      <c r="K382" s="6" t="str">
        <f>IF(Data!K382 = 'Point Intercept 2'!K382, Data!K382, "ERROR")</f>
        <v>FESMYU</v>
      </c>
      <c r="L382" s="6" t="str">
        <f>IF(Data!L382 = 'Point Intercept 2'!L382, Data!L382, "ERROR")</f>
        <v>Festuca myuros</v>
      </c>
      <c r="M382" s="6">
        <f>IF(Data!N382 = 'Point Intercept 2'!M383, Data!N382, "ERROR")</f>
        <v>0</v>
      </c>
      <c r="N382" s="6">
        <f>IF(Data!O382 = 'Point Intercept 2'!N383, Data!O382, "ERROR")</f>
        <v>0</v>
      </c>
      <c r="O382" s="6">
        <f>IF(Data!P382 = 'Point Intercept 2'!O383, Data!P382, "ERROR")</f>
        <v>0</v>
      </c>
    </row>
    <row r="383" spans="1:15" x14ac:dyDescent="0.25">
      <c r="A383" s="6">
        <f>IF(Data!A383 = 'Point Intercept 2'!A383, Data!A383, "ERROR")</f>
        <v>4</v>
      </c>
      <c r="B383" s="6">
        <f>IF(Data!B383 = 'Point Intercept 2'!B383, Data!B383, "ERROR")</f>
        <v>2025</v>
      </c>
      <c r="C383" s="8">
        <f>IF(Data!C383 = 'Point Intercept 2'!C383, Data!C383, "ERROR")</f>
        <v>45755</v>
      </c>
      <c r="D383" s="6" t="str">
        <f>IF(Data!D383 = 'Point Intercept 2'!D383, Data!D383, "ERROR")</f>
        <v>JC, TL</v>
      </c>
      <c r="E383" s="6" t="str">
        <f>IF(Data!E383 = 'Point Intercept 2'!E383, Data!E383, "ERROR")</f>
        <v>VB</v>
      </c>
      <c r="F383" s="6">
        <f>IF(Data!F383 = 'Point Intercept 2'!F383, Data!F383, "ERROR")</f>
        <v>3</v>
      </c>
      <c r="G383" s="6" t="str">
        <f>IF(Data!G383 = 'Point Intercept 2'!G383, Data!G383, "ERROR")</f>
        <v>LS</v>
      </c>
      <c r="H383" s="6">
        <f>IF(Data!I383 = 'Point Intercept 2'!I383, Data!I383, "ERROR")</f>
        <v>9</v>
      </c>
      <c r="I383" s="6">
        <f>IF(Data!H383 = 'Point Intercept 2'!H383, Data!H383, "ERROR")</f>
        <v>2</v>
      </c>
      <c r="J383" s="6">
        <f>IF(Data!J383 = 'Point Intercept 2'!J383, Data!J383, "ERROR")</f>
        <v>4.5</v>
      </c>
      <c r="K383" s="6" t="str">
        <f>IF(Data!K383 = 'Point Intercept 2'!K383, Data!K383, "ERROR")</f>
        <v>STIPUL</v>
      </c>
      <c r="L383" s="6" t="str">
        <f>IF(Data!L383 = 'Point Intercept 2'!L383, Data!L383, "ERROR")</f>
        <v>Stipa pulchra</v>
      </c>
      <c r="M383" s="6">
        <f>IF(Data!N383 = 'Point Intercept 2'!M384, Data!N383, "ERROR")</f>
        <v>0</v>
      </c>
      <c r="N383" s="6">
        <f>IF(Data!O383 = 'Point Intercept 2'!N384, Data!O383, "ERROR")</f>
        <v>0</v>
      </c>
      <c r="O383" s="6">
        <f>IF(Data!P383 = 'Point Intercept 2'!O384, Data!P383, "ERROR")</f>
        <v>0</v>
      </c>
    </row>
    <row r="384" spans="1:15" x14ac:dyDescent="0.25">
      <c r="A384" s="6">
        <f>IF(Data!A384 = 'Point Intercept 2'!A384, Data!A384, "ERROR")</f>
        <v>4</v>
      </c>
      <c r="B384" s="6">
        <f>IF(Data!B384 = 'Point Intercept 2'!B384, Data!B384, "ERROR")</f>
        <v>2025</v>
      </c>
      <c r="C384" s="8">
        <f>IF(Data!C384 = 'Point Intercept 2'!C384, Data!C384, "ERROR")</f>
        <v>45755</v>
      </c>
      <c r="D384" s="6" t="str">
        <f>IF(Data!D384 = 'Point Intercept 2'!D384, Data!D384, "ERROR")</f>
        <v>JC, TL</v>
      </c>
      <c r="E384" s="6" t="str">
        <f>IF(Data!E384 = 'Point Intercept 2'!E384, Data!E384, "ERROR")</f>
        <v>VB</v>
      </c>
      <c r="F384" s="6">
        <f>IF(Data!F384 = 'Point Intercept 2'!F384, Data!F384, "ERROR")</f>
        <v>3</v>
      </c>
      <c r="G384" s="6" t="str">
        <f>IF(Data!G384 = 'Point Intercept 2'!G384, Data!G384, "ERROR")</f>
        <v>LS</v>
      </c>
      <c r="H384" s="6">
        <f>IF(Data!I384 = 'Point Intercept 2'!I384, Data!I384, "ERROR")</f>
        <v>10</v>
      </c>
      <c r="I384" s="6">
        <f>IF(Data!H384 = 'Point Intercept 2'!H384, Data!H384, "ERROR")</f>
        <v>2</v>
      </c>
      <c r="J384" s="6">
        <f>IF(Data!J384 = 'Point Intercept 2'!J384, Data!J384, "ERROR")</f>
        <v>5</v>
      </c>
      <c r="K384" s="6" t="str">
        <f>IF(Data!K384 = 'Point Intercept 2'!K384, Data!K384, "ERROR")</f>
        <v>L</v>
      </c>
      <c r="L384" s="6" t="str">
        <f>IF(Data!L384 = 'Point Intercept 2'!L384, Data!L384, "ERROR")</f>
        <v>Litter</v>
      </c>
      <c r="M384" s="6">
        <f>IF(Data!N384 = 'Point Intercept 2'!M385, Data!N384, "ERROR")</f>
        <v>0</v>
      </c>
      <c r="N384" s="6">
        <f>IF(Data!O384 = 'Point Intercept 2'!N385, Data!O384, "ERROR")</f>
        <v>0</v>
      </c>
      <c r="O384" s="6">
        <f>IF(Data!P384 = 'Point Intercept 2'!O385, Data!P384, "ERROR")</f>
        <v>0</v>
      </c>
    </row>
    <row r="385" spans="1:15" x14ac:dyDescent="0.25">
      <c r="A385" s="6">
        <f>IF(Data!A385 = 'Point Intercept 2'!A385, Data!A385, "ERROR")</f>
        <v>4</v>
      </c>
      <c r="B385" s="6">
        <f>IF(Data!B385 = 'Point Intercept 2'!B385, Data!B385, "ERROR")</f>
        <v>2025</v>
      </c>
      <c r="C385" s="8">
        <f>IF(Data!C385 = 'Point Intercept 2'!C385, Data!C385, "ERROR")</f>
        <v>45755</v>
      </c>
      <c r="D385" s="6" t="str">
        <f>IF(Data!D385 = 'Point Intercept 2'!D385, Data!D385, "ERROR")</f>
        <v>JC, TL</v>
      </c>
      <c r="E385" s="6" t="str">
        <f>IF(Data!E385 = 'Point Intercept 2'!E385, Data!E385, "ERROR")</f>
        <v>VB</v>
      </c>
      <c r="F385" s="6">
        <f>IF(Data!F385 = 'Point Intercept 2'!F385, Data!F385, "ERROR")</f>
        <v>3</v>
      </c>
      <c r="G385" s="6" t="str">
        <f>IF(Data!G385 = 'Point Intercept 2'!G385, Data!G385, "ERROR")</f>
        <v>LS</v>
      </c>
      <c r="H385" s="6">
        <f>IF(Data!I385 = 'Point Intercept 2'!I385, Data!I385, "ERROR")</f>
        <v>10</v>
      </c>
      <c r="I385" s="6">
        <f>IF(Data!H385 = 'Point Intercept 2'!H385, Data!H385, "ERROR")</f>
        <v>2</v>
      </c>
      <c r="J385" s="6">
        <f>IF(Data!J385 = 'Point Intercept 2'!J385, Data!J385, "ERROR")</f>
        <v>5</v>
      </c>
      <c r="K385" s="6" t="str">
        <f>IF(Data!K385 = 'Point Intercept 2'!K385, Data!K385, "ERROR")</f>
        <v>ANAARV</v>
      </c>
      <c r="L385" s="6" t="str">
        <f>IF(Data!L385 = 'Point Intercept 2'!L385, Data!L385, "ERROR")</f>
        <v>Anagallis arvensis</v>
      </c>
      <c r="M385" s="6">
        <f>IF(Data!N385 = 'Point Intercept 2'!M386, Data!N385, "ERROR")</f>
        <v>0</v>
      </c>
      <c r="N385" s="6">
        <f>IF(Data!O385 = 'Point Intercept 2'!N386, Data!O385, "ERROR")</f>
        <v>0</v>
      </c>
      <c r="O385" s="6">
        <f>IF(Data!P385 = 'Point Intercept 2'!O386, Data!P385, "ERROR")</f>
        <v>0</v>
      </c>
    </row>
    <row r="386" spans="1:15" x14ac:dyDescent="0.25">
      <c r="A386" s="6">
        <f>IF(Data!A386 = 'Point Intercept 2'!A386, Data!A386, "ERROR")</f>
        <v>4</v>
      </c>
      <c r="B386" s="6">
        <f>IF(Data!B386 = 'Point Intercept 2'!B386, Data!B386, "ERROR")</f>
        <v>2025</v>
      </c>
      <c r="C386" s="8">
        <f>IF(Data!C386 = 'Point Intercept 2'!C386, Data!C386, "ERROR")</f>
        <v>45755</v>
      </c>
      <c r="D386" s="6" t="str">
        <f>IF(Data!D386 = 'Point Intercept 2'!D386, Data!D386, "ERROR")</f>
        <v>JC, TL</v>
      </c>
      <c r="E386" s="6" t="str">
        <f>IF(Data!E386 = 'Point Intercept 2'!E386, Data!E386, "ERROR")</f>
        <v>VB</v>
      </c>
      <c r="F386" s="6">
        <f>IF(Data!F386 = 'Point Intercept 2'!F386, Data!F386, "ERROR")</f>
        <v>3</v>
      </c>
      <c r="G386" s="6" t="str">
        <f>IF(Data!G386 = 'Point Intercept 2'!G386, Data!G386, "ERROR")</f>
        <v>LS</v>
      </c>
      <c r="H386" s="6">
        <f>IF(Data!I386 = 'Point Intercept 2'!I386, Data!I386, "ERROR")</f>
        <v>10</v>
      </c>
      <c r="I386" s="6">
        <f>IF(Data!H386 = 'Point Intercept 2'!H386, Data!H386, "ERROR")</f>
        <v>2</v>
      </c>
      <c r="J386" s="6">
        <f>IF(Data!J386 = 'Point Intercept 2'!J386, Data!J386, "ERROR")</f>
        <v>5</v>
      </c>
      <c r="K386" s="6" t="str">
        <f>IF(Data!K386 = 'Point Intercept 2'!K386, Data!K386, "ERROR")</f>
        <v>FESMYU</v>
      </c>
      <c r="L386" s="6" t="str">
        <f>IF(Data!L386 = 'Point Intercept 2'!L386, Data!L386, "ERROR")</f>
        <v>Festuca myuros</v>
      </c>
      <c r="M386" s="6">
        <f>IF(Data!N386 = 'Point Intercept 2'!M387, Data!N386, "ERROR")</f>
        <v>0</v>
      </c>
      <c r="N386" s="6">
        <f>IF(Data!O386 = 'Point Intercept 2'!N387, Data!O386, "ERROR")</f>
        <v>0</v>
      </c>
      <c r="O386" s="6">
        <f>IF(Data!P386 = 'Point Intercept 2'!O387, Data!P386, "ERROR")</f>
        <v>0</v>
      </c>
    </row>
    <row r="387" spans="1:15" x14ac:dyDescent="0.25">
      <c r="A387" s="6">
        <f>IF(Data!A387 = 'Point Intercept 2'!A387, Data!A387, "ERROR")</f>
        <v>4</v>
      </c>
      <c r="B387" s="6">
        <f>IF(Data!B387 = 'Point Intercept 2'!B387, Data!B387, "ERROR")</f>
        <v>2025</v>
      </c>
      <c r="C387" s="8">
        <f>IF(Data!C387 = 'Point Intercept 2'!C387, Data!C387, "ERROR")</f>
        <v>45755</v>
      </c>
      <c r="D387" s="6" t="str">
        <f>IF(Data!D387 = 'Point Intercept 2'!D387, Data!D387, "ERROR")</f>
        <v>JC, TL</v>
      </c>
      <c r="E387" s="6" t="str">
        <f>IF(Data!E387 = 'Point Intercept 2'!E387, Data!E387, "ERROR")</f>
        <v>VB</v>
      </c>
      <c r="F387" s="6">
        <f>IF(Data!F387 = 'Point Intercept 2'!F387, Data!F387, "ERROR")</f>
        <v>3</v>
      </c>
      <c r="G387" s="6" t="str">
        <f>IF(Data!G387 = 'Point Intercept 2'!G387, Data!G387, "ERROR")</f>
        <v>LS</v>
      </c>
      <c r="H387" s="6">
        <f>IF(Data!I387 = 'Point Intercept 2'!I387, Data!I387, "ERROR")</f>
        <v>11</v>
      </c>
      <c r="I387" s="6">
        <f>IF(Data!H387 = 'Point Intercept 2'!H387, Data!H387, "ERROR")</f>
        <v>2</v>
      </c>
      <c r="J387" s="6">
        <f>IF(Data!J387 = 'Point Intercept 2'!J387, Data!J387, "ERROR")</f>
        <v>5.5</v>
      </c>
      <c r="K387" s="6" t="str">
        <f>IF(Data!K387 = 'Point Intercept 2'!K387, Data!K387, "ERROR")</f>
        <v>TH</v>
      </c>
      <c r="L387" s="6" t="str">
        <f>IF(Data!L387 = 'Point Intercept 2'!L387, Data!L387, "ERROR")</f>
        <v>Thatch</v>
      </c>
      <c r="M387" s="6">
        <f>IF(Data!N387 = 'Point Intercept 2'!M388, Data!N387, "ERROR")</f>
        <v>0</v>
      </c>
      <c r="N387" s="6">
        <f>IF(Data!O387 = 'Point Intercept 2'!N388, Data!O387, "ERROR")</f>
        <v>0</v>
      </c>
      <c r="O387" s="6">
        <f>IF(Data!P387 = 'Point Intercept 2'!O388, Data!P387, "ERROR")</f>
        <v>0</v>
      </c>
    </row>
    <row r="388" spans="1:15" x14ac:dyDescent="0.25">
      <c r="A388" s="6">
        <f>IF(Data!A388 = 'Point Intercept 2'!A388, Data!A388, "ERROR")</f>
        <v>4</v>
      </c>
      <c r="B388" s="6">
        <f>IF(Data!B388 = 'Point Intercept 2'!B388, Data!B388, "ERROR")</f>
        <v>2025</v>
      </c>
      <c r="C388" s="8">
        <f>IF(Data!C388 = 'Point Intercept 2'!C388, Data!C388, "ERROR")</f>
        <v>45755</v>
      </c>
      <c r="D388" s="6" t="str">
        <f>IF(Data!D388 = 'Point Intercept 2'!D388, Data!D388, "ERROR")</f>
        <v>JC, TL</v>
      </c>
      <c r="E388" s="6" t="str">
        <f>IF(Data!E388 = 'Point Intercept 2'!E388, Data!E388, "ERROR")</f>
        <v>VB</v>
      </c>
      <c r="F388" s="6">
        <f>IF(Data!F388 = 'Point Intercept 2'!F388, Data!F388, "ERROR")</f>
        <v>3</v>
      </c>
      <c r="G388" s="6" t="str">
        <f>IF(Data!G388 = 'Point Intercept 2'!G388, Data!G388, "ERROR")</f>
        <v>LS</v>
      </c>
      <c r="H388" s="6">
        <f>IF(Data!I388 = 'Point Intercept 2'!I388, Data!I388, "ERROR")</f>
        <v>11</v>
      </c>
      <c r="I388" s="6">
        <f>IF(Data!H388 = 'Point Intercept 2'!H388, Data!H388, "ERROR")</f>
        <v>2</v>
      </c>
      <c r="J388" s="6">
        <f>IF(Data!J388 = 'Point Intercept 2'!J388, Data!J388, "ERROR")</f>
        <v>5.5</v>
      </c>
      <c r="K388" s="6" t="str">
        <f>IF(Data!K388 = 'Point Intercept 2'!K388, Data!K388, "ERROR")</f>
        <v>DEIFAS</v>
      </c>
      <c r="L388" s="6" t="str">
        <f>IF(Data!L388 = 'Point Intercept 2'!L388, Data!L388, "ERROR")</f>
        <v>Deinandra fasciculata</v>
      </c>
      <c r="M388" s="6">
        <f>IF(Data!N388 = 'Point Intercept 2'!M389, Data!N388, "ERROR")</f>
        <v>0</v>
      </c>
      <c r="N388" s="6">
        <f>IF(Data!O388 = 'Point Intercept 2'!N389, Data!O388, "ERROR")</f>
        <v>0</v>
      </c>
      <c r="O388" s="6">
        <f>IF(Data!P388 = 'Point Intercept 2'!O389, Data!P388, "ERROR")</f>
        <v>0</v>
      </c>
    </row>
    <row r="389" spans="1:15" x14ac:dyDescent="0.25">
      <c r="A389" s="6">
        <f>IF(Data!A389 = 'Point Intercept 2'!A389, Data!A389, "ERROR")</f>
        <v>4</v>
      </c>
      <c r="B389" s="6">
        <f>IF(Data!B389 = 'Point Intercept 2'!B389, Data!B389, "ERROR")</f>
        <v>2025</v>
      </c>
      <c r="C389" s="8">
        <f>IF(Data!C389 = 'Point Intercept 2'!C389, Data!C389, "ERROR")</f>
        <v>45755</v>
      </c>
      <c r="D389" s="6" t="str">
        <f>IF(Data!D389 = 'Point Intercept 2'!D389, Data!D389, "ERROR")</f>
        <v>JC, TL</v>
      </c>
      <c r="E389" s="6" t="str">
        <f>IF(Data!E389 = 'Point Intercept 2'!E389, Data!E389, "ERROR")</f>
        <v>VB</v>
      </c>
      <c r="F389" s="6">
        <f>IF(Data!F389 = 'Point Intercept 2'!F389, Data!F389, "ERROR")</f>
        <v>3</v>
      </c>
      <c r="G389" s="6" t="str">
        <f>IF(Data!G389 = 'Point Intercept 2'!G389, Data!G389, "ERROR")</f>
        <v>LS</v>
      </c>
      <c r="H389" s="6">
        <f>IF(Data!I389 = 'Point Intercept 2'!I389, Data!I389, "ERROR")</f>
        <v>11</v>
      </c>
      <c r="I389" s="6">
        <f>IF(Data!H389 = 'Point Intercept 2'!H389, Data!H389, "ERROR")</f>
        <v>2</v>
      </c>
      <c r="J389" s="6">
        <f>IF(Data!J389 = 'Point Intercept 2'!J389, Data!J389, "ERROR")</f>
        <v>5.5</v>
      </c>
      <c r="K389" s="6" t="str">
        <f>IF(Data!K389 = 'Point Intercept 2'!K389, Data!K389, "ERROR")</f>
        <v>CENMEL</v>
      </c>
      <c r="L389" s="6" t="str">
        <f>IF(Data!L389 = 'Point Intercept 2'!L389, Data!L389, "ERROR")</f>
        <v>Centaurea melitensis</v>
      </c>
      <c r="M389" s="6">
        <f>IF(Data!N389 = 'Point Intercept 2'!M390, Data!N389, "ERROR")</f>
        <v>0</v>
      </c>
      <c r="N389" s="6">
        <f>IF(Data!O389 = 'Point Intercept 2'!N390, Data!O389, "ERROR")</f>
        <v>0</v>
      </c>
      <c r="O389" s="6">
        <f>IF(Data!P389 = 'Point Intercept 2'!O390, Data!P389, "ERROR")</f>
        <v>0</v>
      </c>
    </row>
    <row r="390" spans="1:15" x14ac:dyDescent="0.25">
      <c r="A390" s="6">
        <f>IF(Data!A390 = 'Point Intercept 2'!A390, Data!A390, "ERROR")</f>
        <v>4</v>
      </c>
      <c r="B390" s="6">
        <f>IF(Data!B390 = 'Point Intercept 2'!B390, Data!B390, "ERROR")</f>
        <v>2025</v>
      </c>
      <c r="C390" s="8">
        <f>IF(Data!C390 = 'Point Intercept 2'!C390, Data!C390, "ERROR")</f>
        <v>45755</v>
      </c>
      <c r="D390" s="6" t="str">
        <f>IF(Data!D390 = 'Point Intercept 2'!D390, Data!D390, "ERROR")</f>
        <v>JC, TL</v>
      </c>
      <c r="E390" s="6" t="str">
        <f>IF(Data!E390 = 'Point Intercept 2'!E390, Data!E390, "ERROR")</f>
        <v>VB</v>
      </c>
      <c r="F390" s="6">
        <f>IF(Data!F390 = 'Point Intercept 2'!F390, Data!F390, "ERROR")</f>
        <v>3</v>
      </c>
      <c r="G390" s="6" t="str">
        <f>IF(Data!G390 = 'Point Intercept 2'!G390, Data!G390, "ERROR")</f>
        <v>LS</v>
      </c>
      <c r="H390" s="6">
        <f>IF(Data!I390 = 'Point Intercept 2'!I390, Data!I390, "ERROR")</f>
        <v>11</v>
      </c>
      <c r="I390" s="6">
        <f>IF(Data!H390 = 'Point Intercept 2'!H390, Data!H390, "ERROR")</f>
        <v>2</v>
      </c>
      <c r="J390" s="6">
        <f>IF(Data!J390 = 'Point Intercept 2'!J390, Data!J390, "ERROR")</f>
        <v>5.5</v>
      </c>
      <c r="K390" s="6" t="str">
        <f>IF(Data!K390 = 'Point Intercept 2'!K390, Data!K390, "ERROR")</f>
        <v>FESMYU</v>
      </c>
      <c r="L390" s="6" t="str">
        <f>IF(Data!L390 = 'Point Intercept 2'!L390, Data!L390, "ERROR")</f>
        <v>Festuca myuros</v>
      </c>
      <c r="M390" s="6">
        <f>IF(Data!N390 = 'Point Intercept 2'!M391, Data!N390, "ERROR")</f>
        <v>0</v>
      </c>
      <c r="N390" s="6">
        <f>IF(Data!O390 = 'Point Intercept 2'!N391, Data!O390, "ERROR")</f>
        <v>0</v>
      </c>
      <c r="O390" s="6">
        <f>IF(Data!P390 = 'Point Intercept 2'!O391, Data!P390, "ERROR")</f>
        <v>0</v>
      </c>
    </row>
    <row r="391" spans="1:15" x14ac:dyDescent="0.25">
      <c r="A391" s="6">
        <f>IF(Data!A391 = 'Point Intercept 2'!A391, Data!A391, "ERROR")</f>
        <v>4</v>
      </c>
      <c r="B391" s="6">
        <f>IF(Data!B391 = 'Point Intercept 2'!B391, Data!B391, "ERROR")</f>
        <v>2025</v>
      </c>
      <c r="C391" s="8">
        <f>IF(Data!C391 = 'Point Intercept 2'!C391, Data!C391, "ERROR")</f>
        <v>45755</v>
      </c>
      <c r="D391" s="6" t="str">
        <f>IF(Data!D391 = 'Point Intercept 2'!D391, Data!D391, "ERROR")</f>
        <v>JC, TL</v>
      </c>
      <c r="E391" s="6" t="str">
        <f>IF(Data!E391 = 'Point Intercept 2'!E391, Data!E391, "ERROR")</f>
        <v>VB</v>
      </c>
      <c r="F391" s="6">
        <f>IF(Data!F391 = 'Point Intercept 2'!F391, Data!F391, "ERROR")</f>
        <v>3</v>
      </c>
      <c r="G391" s="6" t="str">
        <f>IF(Data!G391 = 'Point Intercept 2'!G391, Data!G391, "ERROR")</f>
        <v>LS</v>
      </c>
      <c r="H391" s="6">
        <f>IF(Data!I391 = 'Point Intercept 2'!I391, Data!I391, "ERROR")</f>
        <v>12</v>
      </c>
      <c r="I391" s="6">
        <f>IF(Data!H391 = 'Point Intercept 2'!H391, Data!H391, "ERROR")</f>
        <v>2</v>
      </c>
      <c r="J391" s="6">
        <f>IF(Data!J391 = 'Point Intercept 2'!J391, Data!J391, "ERROR")</f>
        <v>6</v>
      </c>
      <c r="K391" s="6" t="str">
        <f>IF(Data!K391 = 'Point Intercept 2'!K391, Data!K391, "ERROR")</f>
        <v>L</v>
      </c>
      <c r="L391" s="6" t="str">
        <f>IF(Data!L391 = 'Point Intercept 2'!L391, Data!L391, "ERROR")</f>
        <v>Litter</v>
      </c>
      <c r="M391" s="6">
        <f>IF(Data!N391 = 'Point Intercept 2'!M392, Data!N391, "ERROR")</f>
        <v>0</v>
      </c>
      <c r="N391" s="6">
        <f>IF(Data!O391 = 'Point Intercept 2'!N392, Data!O391, "ERROR")</f>
        <v>0</v>
      </c>
      <c r="O391" s="6">
        <f>IF(Data!P391 = 'Point Intercept 2'!O392, Data!P391, "ERROR")</f>
        <v>0</v>
      </c>
    </row>
    <row r="392" spans="1:15" x14ac:dyDescent="0.25">
      <c r="A392" s="6">
        <f>IF(Data!A392 = 'Point Intercept 2'!A392, Data!A392, "ERROR")</f>
        <v>4</v>
      </c>
      <c r="B392" s="6">
        <f>IF(Data!B392 = 'Point Intercept 2'!B392, Data!B392, "ERROR")</f>
        <v>2025</v>
      </c>
      <c r="C392" s="8">
        <f>IF(Data!C392 = 'Point Intercept 2'!C392, Data!C392, "ERROR")</f>
        <v>45755</v>
      </c>
      <c r="D392" s="6" t="str">
        <f>IF(Data!D392 = 'Point Intercept 2'!D392, Data!D392, "ERROR")</f>
        <v>JC, TL</v>
      </c>
      <c r="E392" s="6" t="str">
        <f>IF(Data!E392 = 'Point Intercept 2'!E392, Data!E392, "ERROR")</f>
        <v>VB</v>
      </c>
      <c r="F392" s="6">
        <f>IF(Data!F392 = 'Point Intercept 2'!F392, Data!F392, "ERROR")</f>
        <v>3</v>
      </c>
      <c r="G392" s="6" t="str">
        <f>IF(Data!G392 = 'Point Intercept 2'!G392, Data!G392, "ERROR")</f>
        <v>LS</v>
      </c>
      <c r="H392" s="6">
        <f>IF(Data!I392 = 'Point Intercept 2'!I392, Data!I392, "ERROR")</f>
        <v>12</v>
      </c>
      <c r="I392" s="6">
        <f>IF(Data!H392 = 'Point Intercept 2'!H392, Data!H392, "ERROR")</f>
        <v>2</v>
      </c>
      <c r="J392" s="6">
        <f>IF(Data!J392 = 'Point Intercept 2'!J392, Data!J392, "ERROR")</f>
        <v>6</v>
      </c>
      <c r="K392" s="6" t="str">
        <f>IF(Data!K392 = 'Point Intercept 2'!K392, Data!K392, "ERROR")</f>
        <v>UROLIN</v>
      </c>
      <c r="L392" s="6" t="str">
        <f>IF(Data!L392 = 'Point Intercept 2'!L392, Data!L392, "ERROR")</f>
        <v>Uropappus lindleyi</v>
      </c>
      <c r="M392" s="6">
        <f>IF(Data!N392 = 'Point Intercept 2'!M393, Data!N392, "ERROR")</f>
        <v>0</v>
      </c>
      <c r="N392" s="6">
        <f>IF(Data!O392 = 'Point Intercept 2'!N393, Data!O392, "ERROR")</f>
        <v>0</v>
      </c>
      <c r="O392" s="6">
        <f>IF(Data!P392 = 'Point Intercept 2'!O393, Data!P392, "ERROR")</f>
        <v>0</v>
      </c>
    </row>
    <row r="393" spans="1:15" x14ac:dyDescent="0.25">
      <c r="A393" s="6">
        <f>IF(Data!A393 = 'Point Intercept 2'!A393, Data!A393, "ERROR")</f>
        <v>4</v>
      </c>
      <c r="B393" s="6">
        <f>IF(Data!B393 = 'Point Intercept 2'!B393, Data!B393, "ERROR")</f>
        <v>2025</v>
      </c>
      <c r="C393" s="8">
        <f>IF(Data!C393 = 'Point Intercept 2'!C393, Data!C393, "ERROR")</f>
        <v>45755</v>
      </c>
      <c r="D393" s="6" t="str">
        <f>IF(Data!D393 = 'Point Intercept 2'!D393, Data!D393, "ERROR")</f>
        <v>JC, TL</v>
      </c>
      <c r="E393" s="6" t="str">
        <f>IF(Data!E393 = 'Point Intercept 2'!E393, Data!E393, "ERROR")</f>
        <v>VB</v>
      </c>
      <c r="F393" s="6">
        <f>IF(Data!F393 = 'Point Intercept 2'!F393, Data!F393, "ERROR")</f>
        <v>3</v>
      </c>
      <c r="G393" s="6" t="str">
        <f>IF(Data!G393 = 'Point Intercept 2'!G393, Data!G393, "ERROR")</f>
        <v>LS</v>
      </c>
      <c r="H393" s="6">
        <f>IF(Data!I393 = 'Point Intercept 2'!I393, Data!I393, "ERROR")</f>
        <v>12</v>
      </c>
      <c r="I393" s="6">
        <f>IF(Data!H393 = 'Point Intercept 2'!H393, Data!H393, "ERROR")</f>
        <v>2</v>
      </c>
      <c r="J393" s="6">
        <f>IF(Data!J393 = 'Point Intercept 2'!J393, Data!J393, "ERROR")</f>
        <v>6</v>
      </c>
      <c r="K393" s="6" t="str">
        <f>IF(Data!K393 = 'Point Intercept 2'!K393, Data!K393, "ERROR")</f>
        <v>FESMYU</v>
      </c>
      <c r="L393" s="6" t="str">
        <f>IF(Data!L393 = 'Point Intercept 2'!L393, Data!L393, "ERROR")</f>
        <v>Festuca myuros</v>
      </c>
      <c r="M393" s="6">
        <f>IF(Data!N393 = 'Point Intercept 2'!M394, Data!N393, "ERROR")</f>
        <v>0</v>
      </c>
      <c r="N393" s="6">
        <f>IF(Data!O393 = 'Point Intercept 2'!N394, Data!O393, "ERROR")</f>
        <v>0</v>
      </c>
      <c r="O393" s="6">
        <f>IF(Data!P393 = 'Point Intercept 2'!O394, Data!P393, "ERROR")</f>
        <v>0</v>
      </c>
    </row>
    <row r="394" spans="1:15" x14ac:dyDescent="0.25">
      <c r="A394" s="6">
        <f>IF(Data!A394 = 'Point Intercept 2'!A394, Data!A394, "ERROR")</f>
        <v>4</v>
      </c>
      <c r="B394" s="6">
        <f>IF(Data!B394 = 'Point Intercept 2'!B394, Data!B394, "ERROR")</f>
        <v>2025</v>
      </c>
      <c r="C394" s="8">
        <f>IF(Data!C394 = 'Point Intercept 2'!C394, Data!C394, "ERROR")</f>
        <v>45755</v>
      </c>
      <c r="D394" s="6" t="str">
        <f>IF(Data!D394 = 'Point Intercept 2'!D394, Data!D394, "ERROR")</f>
        <v>JC, TL</v>
      </c>
      <c r="E394" s="6" t="str">
        <f>IF(Data!E394 = 'Point Intercept 2'!E394, Data!E394, "ERROR")</f>
        <v>VB</v>
      </c>
      <c r="F394" s="6">
        <f>IF(Data!F394 = 'Point Intercept 2'!F394, Data!F394, "ERROR")</f>
        <v>3</v>
      </c>
      <c r="G394" s="6" t="str">
        <f>IF(Data!G394 = 'Point Intercept 2'!G394, Data!G394, "ERROR")</f>
        <v>LS</v>
      </c>
      <c r="H394" s="6">
        <f>IF(Data!I394 = 'Point Intercept 2'!I394, Data!I394, "ERROR")</f>
        <v>13</v>
      </c>
      <c r="I394" s="6">
        <f>IF(Data!H394 = 'Point Intercept 2'!H394, Data!H394, "ERROR")</f>
        <v>2</v>
      </c>
      <c r="J394" s="6">
        <f>IF(Data!J394 = 'Point Intercept 2'!J394, Data!J394, "ERROR")</f>
        <v>6.5</v>
      </c>
      <c r="K394" s="6" t="str">
        <f>IF(Data!K394 = 'Point Intercept 2'!K394, Data!K394, "ERROR")</f>
        <v>L</v>
      </c>
      <c r="L394" s="6" t="str">
        <f>IF(Data!L394 = 'Point Intercept 2'!L394, Data!L394, "ERROR")</f>
        <v>Litter</v>
      </c>
      <c r="M394" s="6">
        <f>IF(Data!N394 = 'Point Intercept 2'!M395, Data!N394, "ERROR")</f>
        <v>0</v>
      </c>
      <c r="N394" s="6">
        <f>IF(Data!O394 = 'Point Intercept 2'!N395, Data!O394, "ERROR")</f>
        <v>0</v>
      </c>
      <c r="O394" s="6">
        <f>IF(Data!P394 = 'Point Intercept 2'!O395, Data!P394, "ERROR")</f>
        <v>0</v>
      </c>
    </row>
    <row r="395" spans="1:15" x14ac:dyDescent="0.25">
      <c r="A395" s="6">
        <f>IF(Data!A395 = 'Point Intercept 2'!A395, Data!A395, "ERROR")</f>
        <v>4</v>
      </c>
      <c r="B395" s="6">
        <f>IF(Data!B395 = 'Point Intercept 2'!B395, Data!B395, "ERROR")</f>
        <v>2025</v>
      </c>
      <c r="C395" s="8">
        <f>IF(Data!C395 = 'Point Intercept 2'!C395, Data!C395, "ERROR")</f>
        <v>45755</v>
      </c>
      <c r="D395" s="6" t="str">
        <f>IF(Data!D395 = 'Point Intercept 2'!D395, Data!D395, "ERROR")</f>
        <v>JC, TL</v>
      </c>
      <c r="E395" s="6" t="str">
        <f>IF(Data!E395 = 'Point Intercept 2'!E395, Data!E395, "ERROR")</f>
        <v>VB</v>
      </c>
      <c r="F395" s="6">
        <f>IF(Data!F395 = 'Point Intercept 2'!F395, Data!F395, "ERROR")</f>
        <v>3</v>
      </c>
      <c r="G395" s="6" t="str">
        <f>IF(Data!G395 = 'Point Intercept 2'!G395, Data!G395, "ERROR")</f>
        <v>LS</v>
      </c>
      <c r="H395" s="6">
        <f>IF(Data!I395 = 'Point Intercept 2'!I395, Data!I395, "ERROR")</f>
        <v>13</v>
      </c>
      <c r="I395" s="6">
        <f>IF(Data!H395 = 'Point Intercept 2'!H395, Data!H395, "ERROR")</f>
        <v>2</v>
      </c>
      <c r="J395" s="6">
        <f>IF(Data!J395 = 'Point Intercept 2'!J395, Data!J395, "ERROR")</f>
        <v>6.5</v>
      </c>
      <c r="K395" s="6" t="str">
        <f>IF(Data!K395 = 'Point Intercept 2'!K395, Data!K395, "ERROR")</f>
        <v>DEIFAS</v>
      </c>
      <c r="L395" s="6" t="str">
        <f>IF(Data!L395 = 'Point Intercept 2'!L395, Data!L395, "ERROR")</f>
        <v>Deinandra fasciculata</v>
      </c>
      <c r="M395" s="6">
        <f>IF(Data!N395 = 'Point Intercept 2'!M396, Data!N395, "ERROR")</f>
        <v>0</v>
      </c>
      <c r="N395" s="6">
        <f>IF(Data!O395 = 'Point Intercept 2'!N396, Data!O395, "ERROR")</f>
        <v>0</v>
      </c>
      <c r="O395" s="6">
        <f>IF(Data!P395 = 'Point Intercept 2'!O396, Data!P395, "ERROR")</f>
        <v>0</v>
      </c>
    </row>
    <row r="396" spans="1:15" x14ac:dyDescent="0.25">
      <c r="A396" s="6">
        <f>IF(Data!A396 = 'Point Intercept 2'!A396, Data!A396, "ERROR")</f>
        <v>4</v>
      </c>
      <c r="B396" s="6">
        <f>IF(Data!B396 = 'Point Intercept 2'!B396, Data!B396, "ERROR")</f>
        <v>2025</v>
      </c>
      <c r="C396" s="8">
        <f>IF(Data!C396 = 'Point Intercept 2'!C396, Data!C396, "ERROR")</f>
        <v>45755</v>
      </c>
      <c r="D396" s="6" t="str">
        <f>IF(Data!D396 = 'Point Intercept 2'!D396, Data!D396, "ERROR")</f>
        <v>JC, TL</v>
      </c>
      <c r="E396" s="6" t="str">
        <f>IF(Data!E396 = 'Point Intercept 2'!E396, Data!E396, "ERROR")</f>
        <v>VB</v>
      </c>
      <c r="F396" s="6">
        <f>IF(Data!F396 = 'Point Intercept 2'!F396, Data!F396, "ERROR")</f>
        <v>3</v>
      </c>
      <c r="G396" s="6" t="str">
        <f>IF(Data!G396 = 'Point Intercept 2'!G396, Data!G396, "ERROR")</f>
        <v>LS</v>
      </c>
      <c r="H396" s="6">
        <f>IF(Data!I396 = 'Point Intercept 2'!I396, Data!I396, "ERROR")</f>
        <v>14</v>
      </c>
      <c r="I396" s="6">
        <f>IF(Data!H396 = 'Point Intercept 2'!H396, Data!H396, "ERROR")</f>
        <v>2</v>
      </c>
      <c r="J396" s="6">
        <f>IF(Data!J396 = 'Point Intercept 2'!J396, Data!J396, "ERROR")</f>
        <v>7</v>
      </c>
      <c r="K396" s="6" t="str">
        <f>IF(Data!K396 = 'Point Intercept 2'!K396, Data!K396, "ERROR")</f>
        <v>L</v>
      </c>
      <c r="L396" s="6" t="str">
        <f>IF(Data!L396 = 'Point Intercept 2'!L396, Data!L396, "ERROR")</f>
        <v>Litter</v>
      </c>
      <c r="M396" s="6">
        <f>IF(Data!N396 = 'Point Intercept 2'!M397, Data!N396, "ERROR")</f>
        <v>0</v>
      </c>
      <c r="N396" s="6">
        <f>IF(Data!O396 = 'Point Intercept 2'!N397, Data!O396, "ERROR")</f>
        <v>0</v>
      </c>
      <c r="O396" s="6">
        <f>IF(Data!P396 = 'Point Intercept 2'!O397, Data!P396, "ERROR")</f>
        <v>0</v>
      </c>
    </row>
    <row r="397" spans="1:15" x14ac:dyDescent="0.25">
      <c r="A397" s="6">
        <f>IF(Data!A397 = 'Point Intercept 2'!A397, Data!A397, "ERROR")</f>
        <v>4</v>
      </c>
      <c r="B397" s="6">
        <f>IF(Data!B397 = 'Point Intercept 2'!B397, Data!B397, "ERROR")</f>
        <v>2025</v>
      </c>
      <c r="C397" s="8">
        <f>IF(Data!C397 = 'Point Intercept 2'!C397, Data!C397, "ERROR")</f>
        <v>45755</v>
      </c>
      <c r="D397" s="6" t="str">
        <f>IF(Data!D397 = 'Point Intercept 2'!D397, Data!D397, "ERROR")</f>
        <v>JC, TL</v>
      </c>
      <c r="E397" s="6" t="str">
        <f>IF(Data!E397 = 'Point Intercept 2'!E397, Data!E397, "ERROR")</f>
        <v>VB</v>
      </c>
      <c r="F397" s="6">
        <f>IF(Data!F397 = 'Point Intercept 2'!F397, Data!F397, "ERROR")</f>
        <v>3</v>
      </c>
      <c r="G397" s="6" t="str">
        <f>IF(Data!G397 = 'Point Intercept 2'!G397, Data!G397, "ERROR")</f>
        <v>LS</v>
      </c>
      <c r="H397" s="6">
        <f>IF(Data!I397 = 'Point Intercept 2'!I397, Data!I397, "ERROR")</f>
        <v>14</v>
      </c>
      <c r="I397" s="6">
        <f>IF(Data!H397 = 'Point Intercept 2'!H397, Data!H397, "ERROR")</f>
        <v>2</v>
      </c>
      <c r="J397" s="6">
        <f>IF(Data!J397 = 'Point Intercept 2'!J397, Data!J397, "ERROR")</f>
        <v>7</v>
      </c>
      <c r="K397" s="6" t="str">
        <f>IF(Data!K397 = 'Point Intercept 2'!K397, Data!K397, "ERROR")</f>
        <v>CENMEL</v>
      </c>
      <c r="L397" s="6" t="str">
        <f>IF(Data!L397 = 'Point Intercept 2'!L397, Data!L397, "ERROR")</f>
        <v>Centaurea melitensis</v>
      </c>
      <c r="M397" s="6">
        <f>IF(Data!N397 = 'Point Intercept 2'!M398, Data!N397, "ERROR")</f>
        <v>0</v>
      </c>
      <c r="N397" s="6">
        <f>IF(Data!O397 = 'Point Intercept 2'!N398, Data!O397, "ERROR")</f>
        <v>0</v>
      </c>
      <c r="O397" s="6">
        <f>IF(Data!P397 = 'Point Intercept 2'!O398, Data!P397, "ERROR")</f>
        <v>0</v>
      </c>
    </row>
    <row r="398" spans="1:15" x14ac:dyDescent="0.25">
      <c r="A398" s="6">
        <f>IF(Data!A398 = 'Point Intercept 2'!A398, Data!A398, "ERROR")</f>
        <v>4</v>
      </c>
      <c r="B398" s="6">
        <f>IF(Data!B398 = 'Point Intercept 2'!B398, Data!B398, "ERROR")</f>
        <v>2025</v>
      </c>
      <c r="C398" s="8">
        <f>IF(Data!C398 = 'Point Intercept 2'!C398, Data!C398, "ERROR")</f>
        <v>45755</v>
      </c>
      <c r="D398" s="6" t="str">
        <f>IF(Data!D398 = 'Point Intercept 2'!D398, Data!D398, "ERROR")</f>
        <v>JC, TL</v>
      </c>
      <c r="E398" s="6" t="str">
        <f>IF(Data!E398 = 'Point Intercept 2'!E398, Data!E398, "ERROR")</f>
        <v>VB</v>
      </c>
      <c r="F398" s="6">
        <f>IF(Data!F398 = 'Point Intercept 2'!F398, Data!F398, "ERROR")</f>
        <v>3</v>
      </c>
      <c r="G398" s="6" t="str">
        <f>IF(Data!G398 = 'Point Intercept 2'!G398, Data!G398, "ERROR")</f>
        <v>LS</v>
      </c>
      <c r="H398" s="6">
        <f>IF(Data!I398 = 'Point Intercept 2'!I398, Data!I398, "ERROR")</f>
        <v>14</v>
      </c>
      <c r="I398" s="6">
        <f>IF(Data!H398 = 'Point Intercept 2'!H398, Data!H398, "ERROR")</f>
        <v>2</v>
      </c>
      <c r="J398" s="6">
        <f>IF(Data!J398 = 'Point Intercept 2'!J398, Data!J398, "ERROR")</f>
        <v>7</v>
      </c>
      <c r="K398" s="6" t="str">
        <f>IF(Data!K398 = 'Point Intercept 2'!K398, Data!K398, "ERROR")</f>
        <v>OPULIT</v>
      </c>
      <c r="L398" s="6" t="str">
        <f>IF(Data!L398 = 'Point Intercept 2'!L398, Data!L398, "ERROR")</f>
        <v>Opuntia littoralis</v>
      </c>
      <c r="M398" s="6">
        <f>IF(Data!N398 = 'Point Intercept 2'!M399, Data!N398, "ERROR")</f>
        <v>0</v>
      </c>
      <c r="N398" s="6">
        <f>IF(Data!O398 = 'Point Intercept 2'!N399, Data!O398, "ERROR")</f>
        <v>0</v>
      </c>
      <c r="O398" s="6">
        <f>IF(Data!P398 = 'Point Intercept 2'!O399, Data!P398, "ERROR")</f>
        <v>0</v>
      </c>
    </row>
    <row r="399" spans="1:15" x14ac:dyDescent="0.25">
      <c r="A399" s="6">
        <f>IF(Data!A399 = 'Point Intercept 2'!A399, Data!A399, "ERROR")</f>
        <v>4</v>
      </c>
      <c r="B399" s="6">
        <f>IF(Data!B399 = 'Point Intercept 2'!B399, Data!B399, "ERROR")</f>
        <v>2025</v>
      </c>
      <c r="C399" s="8">
        <f>IF(Data!C399 = 'Point Intercept 2'!C399, Data!C399, "ERROR")</f>
        <v>45755</v>
      </c>
      <c r="D399" s="6" t="str">
        <f>IF(Data!D399 = 'Point Intercept 2'!D399, Data!D399, "ERROR")</f>
        <v>JC, TL</v>
      </c>
      <c r="E399" s="6" t="str">
        <f>IF(Data!E399 = 'Point Intercept 2'!E399, Data!E399, "ERROR")</f>
        <v>VB</v>
      </c>
      <c r="F399" s="6">
        <f>IF(Data!F399 = 'Point Intercept 2'!F399, Data!F399, "ERROR")</f>
        <v>3</v>
      </c>
      <c r="G399" s="6" t="str">
        <f>IF(Data!G399 = 'Point Intercept 2'!G399, Data!G399, "ERROR")</f>
        <v>LS</v>
      </c>
      <c r="H399" s="6">
        <f>IF(Data!I399 = 'Point Intercept 2'!I399, Data!I399, "ERROR")</f>
        <v>14</v>
      </c>
      <c r="I399" s="6">
        <f>IF(Data!H399 = 'Point Intercept 2'!H399, Data!H399, "ERROR")</f>
        <v>2</v>
      </c>
      <c r="J399" s="6">
        <f>IF(Data!J399 = 'Point Intercept 2'!J399, Data!J399, "ERROR")</f>
        <v>7</v>
      </c>
      <c r="K399" s="6" t="str">
        <f>IF(Data!K399 = 'Point Intercept 2'!K399, Data!K399, "ERROR")</f>
        <v>PHACIC</v>
      </c>
      <c r="L399" s="6" t="str">
        <f>IF(Data!L399 = 'Point Intercept 2'!L399, Data!L399, "ERROR")</f>
        <v>Phacelia cicutaria</v>
      </c>
      <c r="M399" s="6">
        <f>IF(Data!N399 = 'Point Intercept 2'!M400, Data!N399, "ERROR")</f>
        <v>0</v>
      </c>
      <c r="N399" s="6">
        <f>IF(Data!O399 = 'Point Intercept 2'!N400, Data!O399, "ERROR")</f>
        <v>0</v>
      </c>
      <c r="O399" s="6">
        <f>IF(Data!P399 = 'Point Intercept 2'!O400, Data!P399, "ERROR")</f>
        <v>0</v>
      </c>
    </row>
    <row r="400" spans="1:15" x14ac:dyDescent="0.25">
      <c r="A400" s="6">
        <f>IF(Data!A400 = 'Point Intercept 2'!A400, Data!A400, "ERROR")</f>
        <v>4</v>
      </c>
      <c r="B400" s="6">
        <f>IF(Data!B400 = 'Point Intercept 2'!B400, Data!B400, "ERROR")</f>
        <v>2025</v>
      </c>
      <c r="C400" s="8">
        <f>IF(Data!C400 = 'Point Intercept 2'!C400, Data!C400, "ERROR")</f>
        <v>45755</v>
      </c>
      <c r="D400" s="6" t="str">
        <f>IF(Data!D400 = 'Point Intercept 2'!D400, Data!D400, "ERROR")</f>
        <v>JC, TL</v>
      </c>
      <c r="E400" s="6" t="str">
        <f>IF(Data!E400 = 'Point Intercept 2'!E400, Data!E400, "ERROR")</f>
        <v>VB</v>
      </c>
      <c r="F400" s="6">
        <f>IF(Data!F400 = 'Point Intercept 2'!F400, Data!F400, "ERROR")</f>
        <v>3</v>
      </c>
      <c r="G400" s="6" t="str">
        <f>IF(Data!G400 = 'Point Intercept 2'!G400, Data!G400, "ERROR")</f>
        <v>LS</v>
      </c>
      <c r="H400" s="6">
        <f>IF(Data!I400 = 'Point Intercept 2'!I400, Data!I400, "ERROR")</f>
        <v>15</v>
      </c>
      <c r="I400" s="6">
        <f>IF(Data!H400 = 'Point Intercept 2'!H400, Data!H400, "ERROR")</f>
        <v>2</v>
      </c>
      <c r="J400" s="6">
        <f>IF(Data!J400 = 'Point Intercept 2'!J400, Data!J400, "ERROR")</f>
        <v>7.5</v>
      </c>
      <c r="K400" s="6" t="str">
        <f>IF(Data!K400 = 'Point Intercept 2'!K400, Data!K400, "ERROR")</f>
        <v>L</v>
      </c>
      <c r="L400" s="6" t="str">
        <f>IF(Data!L400 = 'Point Intercept 2'!L400, Data!L400, "ERROR")</f>
        <v>Litter</v>
      </c>
      <c r="M400" s="6">
        <f>IF(Data!N400 = 'Point Intercept 2'!M401, Data!N400, "ERROR")</f>
        <v>0</v>
      </c>
      <c r="N400" s="6">
        <f>IF(Data!O400 = 'Point Intercept 2'!N401, Data!O400, "ERROR")</f>
        <v>0</v>
      </c>
      <c r="O400" s="6">
        <f>IF(Data!P400 = 'Point Intercept 2'!O401, Data!P400, "ERROR")</f>
        <v>0</v>
      </c>
    </row>
    <row r="401" spans="1:15" x14ac:dyDescent="0.25">
      <c r="A401" s="6">
        <f>IF(Data!A401 = 'Point Intercept 2'!A401, Data!A401, "ERROR")</f>
        <v>4</v>
      </c>
      <c r="B401" s="6">
        <f>IF(Data!B401 = 'Point Intercept 2'!B401, Data!B401, "ERROR")</f>
        <v>2025</v>
      </c>
      <c r="C401" s="8">
        <f>IF(Data!C401 = 'Point Intercept 2'!C401, Data!C401, "ERROR")</f>
        <v>45755</v>
      </c>
      <c r="D401" s="6" t="str">
        <f>IF(Data!D401 = 'Point Intercept 2'!D401, Data!D401, "ERROR")</f>
        <v>JC, TL</v>
      </c>
      <c r="E401" s="6" t="str">
        <f>IF(Data!E401 = 'Point Intercept 2'!E401, Data!E401, "ERROR")</f>
        <v>VB</v>
      </c>
      <c r="F401" s="6">
        <f>IF(Data!F401 = 'Point Intercept 2'!F401, Data!F401, "ERROR")</f>
        <v>3</v>
      </c>
      <c r="G401" s="6" t="str">
        <f>IF(Data!G401 = 'Point Intercept 2'!G401, Data!G401, "ERROR")</f>
        <v>LS</v>
      </c>
      <c r="H401" s="6">
        <f>IF(Data!I401 = 'Point Intercept 2'!I401, Data!I401, "ERROR")</f>
        <v>15</v>
      </c>
      <c r="I401" s="6">
        <f>IF(Data!H401 = 'Point Intercept 2'!H401, Data!H401, "ERROR")</f>
        <v>2</v>
      </c>
      <c r="J401" s="6">
        <f>IF(Data!J401 = 'Point Intercept 2'!J401, Data!J401, "ERROR")</f>
        <v>7.5</v>
      </c>
      <c r="K401" s="6" t="str">
        <f>IF(Data!K401 = 'Point Intercept 2'!K401, Data!K401, "ERROR")</f>
        <v>DEIFAS</v>
      </c>
      <c r="L401" s="6" t="str">
        <f>IF(Data!L401 = 'Point Intercept 2'!L401, Data!L401, "ERROR")</f>
        <v>Deinandra fasciculata</v>
      </c>
      <c r="M401" s="6">
        <f>IF(Data!N401 = 'Point Intercept 2'!M402, Data!N401, "ERROR")</f>
        <v>0</v>
      </c>
      <c r="N401" s="6">
        <f>IF(Data!O401 = 'Point Intercept 2'!N402, Data!O401, "ERROR")</f>
        <v>0</v>
      </c>
      <c r="O401" s="6">
        <f>IF(Data!P401 = 'Point Intercept 2'!O402, Data!P401, "ERROR")</f>
        <v>0</v>
      </c>
    </row>
    <row r="402" spans="1:15" x14ac:dyDescent="0.25">
      <c r="A402" s="6">
        <f>IF(Data!A402 = 'Point Intercept 2'!A402, Data!A402, "ERROR")</f>
        <v>4</v>
      </c>
      <c r="B402" s="6">
        <f>IF(Data!B402 = 'Point Intercept 2'!B402, Data!B402, "ERROR")</f>
        <v>2025</v>
      </c>
      <c r="C402" s="8">
        <f>IF(Data!C402 = 'Point Intercept 2'!C402, Data!C402, "ERROR")</f>
        <v>45755</v>
      </c>
      <c r="D402" s="6" t="str">
        <f>IF(Data!D402 = 'Point Intercept 2'!D402, Data!D402, "ERROR")</f>
        <v>JC, TL</v>
      </c>
      <c r="E402" s="6" t="str">
        <f>IF(Data!E402 = 'Point Intercept 2'!E402, Data!E402, "ERROR")</f>
        <v>VB</v>
      </c>
      <c r="F402" s="6">
        <f>IF(Data!F402 = 'Point Intercept 2'!F402, Data!F402, "ERROR")</f>
        <v>3</v>
      </c>
      <c r="G402" s="6" t="str">
        <f>IF(Data!G402 = 'Point Intercept 2'!G402, Data!G402, "ERROR")</f>
        <v>LS</v>
      </c>
      <c r="H402" s="6">
        <f>IF(Data!I402 = 'Point Intercept 2'!I402, Data!I402, "ERROR")</f>
        <v>15</v>
      </c>
      <c r="I402" s="6">
        <f>IF(Data!H402 = 'Point Intercept 2'!H402, Data!H402, "ERROR")</f>
        <v>2</v>
      </c>
      <c r="J402" s="6">
        <f>IF(Data!J402 = 'Point Intercept 2'!J402, Data!J402, "ERROR")</f>
        <v>7.5</v>
      </c>
      <c r="K402" s="6" t="str">
        <f>IF(Data!K402 = 'Point Intercept 2'!K402, Data!K402, "ERROR")</f>
        <v>CENMEL</v>
      </c>
      <c r="L402" s="6" t="str">
        <f>IF(Data!L402 = 'Point Intercept 2'!L402, Data!L402, "ERROR")</f>
        <v>Centaurea melitensis</v>
      </c>
      <c r="M402" s="6">
        <f>IF(Data!N402 = 'Point Intercept 2'!M403, Data!N402, "ERROR")</f>
        <v>0</v>
      </c>
      <c r="N402" s="6">
        <f>IF(Data!O402 = 'Point Intercept 2'!N403, Data!O402, "ERROR")</f>
        <v>0</v>
      </c>
      <c r="O402" s="6">
        <f>IF(Data!P402 = 'Point Intercept 2'!O403, Data!P402, "ERROR")</f>
        <v>0</v>
      </c>
    </row>
    <row r="403" spans="1:15" x14ac:dyDescent="0.25">
      <c r="A403" s="6">
        <f>IF(Data!A403 = 'Point Intercept 2'!A403, Data!A403, "ERROR")</f>
        <v>5</v>
      </c>
      <c r="B403" s="6">
        <f>IF(Data!B403 = 'Point Intercept 2'!B403, Data!B403, "ERROR")</f>
        <v>2025</v>
      </c>
      <c r="C403" s="8">
        <f>IF(Data!C403 = 'Point Intercept 2'!C403, Data!C403, "ERROR")</f>
        <v>45755</v>
      </c>
      <c r="D403" s="6" t="str">
        <f>IF(Data!D403 = 'Point Intercept 2'!D403, Data!D403, "ERROR")</f>
        <v>TL, JC</v>
      </c>
      <c r="E403" s="6" t="str">
        <f>IF(Data!E403 = 'Point Intercept 2'!E403, Data!E403, "ERROR")</f>
        <v>VB</v>
      </c>
      <c r="F403" s="6">
        <f>IF(Data!F403 = 'Point Intercept 2'!F403, Data!F403, "ERROR")</f>
        <v>3</v>
      </c>
      <c r="G403" s="6" t="str">
        <f>IF(Data!G403 = 'Point Intercept 2'!G403, Data!G403, "ERROR")</f>
        <v>SS</v>
      </c>
      <c r="H403" s="6">
        <f>IF(Data!I403 = 'Point Intercept 2'!I403, Data!I403, "ERROR")</f>
        <v>1</v>
      </c>
      <c r="I403" s="6">
        <f>IF(Data!H403 = 'Point Intercept 2'!H403, Data!H403, "ERROR")</f>
        <v>1</v>
      </c>
      <c r="J403" s="6">
        <f>IF(Data!J403 = 'Point Intercept 2'!J403, Data!J403, "ERROR")</f>
        <v>0</v>
      </c>
      <c r="K403" s="6" t="str">
        <f>IF(Data!K403 = 'Point Intercept 2'!K403, Data!K403, "ERROR")</f>
        <v>L</v>
      </c>
      <c r="L403" s="6" t="str">
        <f>IF(Data!L403 = 'Point Intercept 2'!L403, Data!L403, "ERROR")</f>
        <v>Litter</v>
      </c>
      <c r="M403" s="6">
        <f>IF(Data!N403 = 'Point Intercept 2'!M404, Data!N403, "ERROR")</f>
        <v>0</v>
      </c>
      <c r="N403" s="6">
        <f>IF(Data!O403 = 'Point Intercept 2'!N404, Data!O403, "ERROR")</f>
        <v>0</v>
      </c>
      <c r="O403" s="6">
        <f>IF(Data!P403 = 'Point Intercept 2'!O404, Data!P403, "ERROR")</f>
        <v>0</v>
      </c>
    </row>
    <row r="404" spans="1:15" x14ac:dyDescent="0.25">
      <c r="A404" s="6">
        <f>IF(Data!A404 = 'Point Intercept 2'!A404, Data!A404, "ERROR")</f>
        <v>5</v>
      </c>
      <c r="B404" s="6">
        <f>IF(Data!B404 = 'Point Intercept 2'!B404, Data!B404, "ERROR")</f>
        <v>2025</v>
      </c>
      <c r="C404" s="8">
        <f>IF(Data!C404 = 'Point Intercept 2'!C404, Data!C404, "ERROR")</f>
        <v>45755</v>
      </c>
      <c r="D404" s="6" t="str">
        <f>IF(Data!D404 = 'Point Intercept 2'!D404, Data!D404, "ERROR")</f>
        <v>TL, JC</v>
      </c>
      <c r="E404" s="6" t="str">
        <f>IF(Data!E404 = 'Point Intercept 2'!E404, Data!E404, "ERROR")</f>
        <v>VB</v>
      </c>
      <c r="F404" s="6">
        <f>IF(Data!F404 = 'Point Intercept 2'!F404, Data!F404, "ERROR")</f>
        <v>3</v>
      </c>
      <c r="G404" s="6" t="str">
        <f>IF(Data!G404 = 'Point Intercept 2'!G404, Data!G404, "ERROR")</f>
        <v>SS</v>
      </c>
      <c r="H404" s="6">
        <f>IF(Data!I404 = 'Point Intercept 2'!I404, Data!I404, "ERROR")</f>
        <v>1</v>
      </c>
      <c r="I404" s="6">
        <f>IF(Data!H404 = 'Point Intercept 2'!H404, Data!H404, "ERROR")</f>
        <v>1</v>
      </c>
      <c r="J404" s="6">
        <f>IF(Data!J404 = 'Point Intercept 2'!J404, Data!J404, "ERROR")</f>
        <v>0</v>
      </c>
      <c r="K404" s="6" t="str">
        <f>IF(Data!K404 = 'Point Intercept 2'!K404, Data!K404, "ERROR")</f>
        <v>FESMYU</v>
      </c>
      <c r="L404" s="6" t="str">
        <f>IF(Data!L404 = 'Point Intercept 2'!L404, Data!L404, "ERROR")</f>
        <v>Festuca myuros</v>
      </c>
      <c r="M404" s="6">
        <f>IF(Data!N404 = 'Point Intercept 2'!M405, Data!N404, "ERROR")</f>
        <v>0</v>
      </c>
      <c r="N404" s="6">
        <f>IF(Data!O404 = 'Point Intercept 2'!N405, Data!O404, "ERROR")</f>
        <v>0</v>
      </c>
      <c r="O404" s="6">
        <f>IF(Data!P404 = 'Point Intercept 2'!O405, Data!P404, "ERROR")</f>
        <v>0</v>
      </c>
    </row>
    <row r="405" spans="1:15" x14ac:dyDescent="0.25">
      <c r="A405" s="6">
        <f>IF(Data!A405 = 'Point Intercept 2'!A405, Data!A405, "ERROR")</f>
        <v>5</v>
      </c>
      <c r="B405" s="6">
        <f>IF(Data!B405 = 'Point Intercept 2'!B405, Data!B405, "ERROR")</f>
        <v>2025</v>
      </c>
      <c r="C405" s="8">
        <f>IF(Data!C405 = 'Point Intercept 2'!C405, Data!C405, "ERROR")</f>
        <v>45755</v>
      </c>
      <c r="D405" s="6" t="str">
        <f>IF(Data!D405 = 'Point Intercept 2'!D405, Data!D405, "ERROR")</f>
        <v>TL, JC</v>
      </c>
      <c r="E405" s="6" t="str">
        <f>IF(Data!E405 = 'Point Intercept 2'!E405, Data!E405, "ERROR")</f>
        <v>VB</v>
      </c>
      <c r="F405" s="6">
        <f>IF(Data!F405 = 'Point Intercept 2'!F405, Data!F405, "ERROR")</f>
        <v>3</v>
      </c>
      <c r="G405" s="6" t="str">
        <f>IF(Data!G405 = 'Point Intercept 2'!G405, Data!G405, "ERROR")</f>
        <v>SS</v>
      </c>
      <c r="H405" s="6">
        <f>IF(Data!I405 = 'Point Intercept 2'!I405, Data!I405, "ERROR")</f>
        <v>1</v>
      </c>
      <c r="I405" s="6">
        <f>IF(Data!H405 = 'Point Intercept 2'!H405, Data!H405, "ERROR")</f>
        <v>1</v>
      </c>
      <c r="J405" s="6">
        <f>IF(Data!J405 = 'Point Intercept 2'!J405, Data!J405, "ERROR")</f>
        <v>0</v>
      </c>
      <c r="K405" s="6" t="str">
        <f>IF(Data!K405 = 'Point Intercept 2'!K405, Data!K405, "ERROR")</f>
        <v>MEDPOL</v>
      </c>
      <c r="L405" s="6" t="str">
        <f>IF(Data!L405 = 'Point Intercept 2'!L405, Data!L405, "ERROR")</f>
        <v>Medicago polymorpha</v>
      </c>
      <c r="M405" s="6">
        <f>IF(Data!N405 = 'Point Intercept 2'!M406, Data!N405, "ERROR")</f>
        <v>0</v>
      </c>
      <c r="N405" s="6">
        <f>IF(Data!O405 = 'Point Intercept 2'!N406, Data!O405, "ERROR")</f>
        <v>0</v>
      </c>
      <c r="O405" s="6">
        <f>IF(Data!P405 = 'Point Intercept 2'!O406, Data!P405, "ERROR")</f>
        <v>0</v>
      </c>
    </row>
    <row r="406" spans="1:15" x14ac:dyDescent="0.25">
      <c r="A406" s="6">
        <f>IF(Data!A406 = 'Point Intercept 2'!A406, Data!A406, "ERROR")</f>
        <v>5</v>
      </c>
      <c r="B406" s="6">
        <f>IF(Data!B406 = 'Point Intercept 2'!B406, Data!B406, "ERROR")</f>
        <v>2025</v>
      </c>
      <c r="C406" s="8">
        <f>IF(Data!C406 = 'Point Intercept 2'!C406, Data!C406, "ERROR")</f>
        <v>45755</v>
      </c>
      <c r="D406" s="6" t="str">
        <f>IF(Data!D406 = 'Point Intercept 2'!D406, Data!D406, "ERROR")</f>
        <v>TL, JC</v>
      </c>
      <c r="E406" s="6" t="str">
        <f>IF(Data!E406 = 'Point Intercept 2'!E406, Data!E406, "ERROR")</f>
        <v>VB</v>
      </c>
      <c r="F406" s="6">
        <f>IF(Data!F406 = 'Point Intercept 2'!F406, Data!F406, "ERROR")</f>
        <v>3</v>
      </c>
      <c r="G406" s="6" t="str">
        <f>IF(Data!G406 = 'Point Intercept 2'!G406, Data!G406, "ERROR")</f>
        <v>SS</v>
      </c>
      <c r="H406" s="6">
        <f>IF(Data!I406 = 'Point Intercept 2'!I406, Data!I406, "ERROR")</f>
        <v>1</v>
      </c>
      <c r="I406" s="6">
        <f>IF(Data!H406 = 'Point Intercept 2'!H406, Data!H406, "ERROR")</f>
        <v>1</v>
      </c>
      <c r="J406" s="6">
        <f>IF(Data!J406 = 'Point Intercept 2'!J406, Data!J406, "ERROR")</f>
        <v>0</v>
      </c>
      <c r="K406" s="6" t="str">
        <f>IF(Data!K406 = 'Point Intercept 2'!K406, Data!K406, "ERROR")</f>
        <v>CENMEL</v>
      </c>
      <c r="L406" s="6" t="str">
        <f>IF(Data!L406 = 'Point Intercept 2'!L406, Data!L406, "ERROR")</f>
        <v>Centaurea melitensis</v>
      </c>
      <c r="M406" s="6">
        <f>IF(Data!N406 = 'Point Intercept 2'!M407, Data!N406, "ERROR")</f>
        <v>0</v>
      </c>
      <c r="N406" s="6">
        <f>IF(Data!O406 = 'Point Intercept 2'!N407, Data!O406, "ERROR")</f>
        <v>0</v>
      </c>
      <c r="O406" s="6">
        <f>IF(Data!P406 = 'Point Intercept 2'!O407, Data!P406, "ERROR")</f>
        <v>0</v>
      </c>
    </row>
    <row r="407" spans="1:15" x14ac:dyDescent="0.25">
      <c r="A407" s="6">
        <f>IF(Data!A407 = 'Point Intercept 2'!A407, Data!A407, "ERROR")</f>
        <v>5</v>
      </c>
      <c r="B407" s="6">
        <f>IF(Data!B407 = 'Point Intercept 2'!B407, Data!B407, "ERROR")</f>
        <v>2025</v>
      </c>
      <c r="C407" s="8">
        <f>IF(Data!C407 = 'Point Intercept 2'!C407, Data!C407, "ERROR")</f>
        <v>45755</v>
      </c>
      <c r="D407" s="6" t="str">
        <f>IF(Data!D407 = 'Point Intercept 2'!D407, Data!D407, "ERROR")</f>
        <v>TL, JC</v>
      </c>
      <c r="E407" s="6" t="str">
        <f>IF(Data!E407 = 'Point Intercept 2'!E407, Data!E407, "ERROR")</f>
        <v>VB</v>
      </c>
      <c r="F407" s="6">
        <f>IF(Data!F407 = 'Point Intercept 2'!F407, Data!F407, "ERROR")</f>
        <v>3</v>
      </c>
      <c r="G407" s="6" t="str">
        <f>IF(Data!G407 = 'Point Intercept 2'!G407, Data!G407, "ERROR")</f>
        <v>SS</v>
      </c>
      <c r="H407" s="6">
        <f>IF(Data!I407 = 'Point Intercept 2'!I407, Data!I407, "ERROR")</f>
        <v>2</v>
      </c>
      <c r="I407" s="6">
        <f>IF(Data!H407 = 'Point Intercept 2'!H407, Data!H407, "ERROR")</f>
        <v>1</v>
      </c>
      <c r="J407" s="6">
        <f>IF(Data!J407 = 'Point Intercept 2'!J407, Data!J407, "ERROR")</f>
        <v>1</v>
      </c>
      <c r="K407" s="6" t="str">
        <f>IF(Data!K407 = 'Point Intercept 2'!K407, Data!K407, "ERROR")</f>
        <v>L</v>
      </c>
      <c r="L407" s="6" t="str">
        <f>IF(Data!L407 = 'Point Intercept 2'!L407, Data!L407, "ERROR")</f>
        <v>Litter</v>
      </c>
      <c r="M407" s="6">
        <f>IF(Data!N407 = 'Point Intercept 2'!M408, Data!N407, "ERROR")</f>
        <v>0</v>
      </c>
      <c r="N407" s="6">
        <f>IF(Data!O407 = 'Point Intercept 2'!N408, Data!O407, "ERROR")</f>
        <v>0</v>
      </c>
      <c r="O407" s="6">
        <f>IF(Data!P407 = 'Point Intercept 2'!O408, Data!P407, "ERROR")</f>
        <v>0</v>
      </c>
    </row>
    <row r="408" spans="1:15" x14ac:dyDescent="0.25">
      <c r="A408" s="6">
        <f>IF(Data!A408 = 'Point Intercept 2'!A408, Data!A408, "ERROR")</f>
        <v>5</v>
      </c>
      <c r="B408" s="6">
        <f>IF(Data!B408 = 'Point Intercept 2'!B408, Data!B408, "ERROR")</f>
        <v>2025</v>
      </c>
      <c r="C408" s="8">
        <f>IF(Data!C408 = 'Point Intercept 2'!C408, Data!C408, "ERROR")</f>
        <v>45755</v>
      </c>
      <c r="D408" s="6" t="str">
        <f>IF(Data!D408 = 'Point Intercept 2'!D408, Data!D408, "ERROR")</f>
        <v>TL, JC</v>
      </c>
      <c r="E408" s="6" t="str">
        <f>IF(Data!E408 = 'Point Intercept 2'!E408, Data!E408, "ERROR")</f>
        <v>VB</v>
      </c>
      <c r="F408" s="6">
        <f>IF(Data!F408 = 'Point Intercept 2'!F408, Data!F408, "ERROR")</f>
        <v>3</v>
      </c>
      <c r="G408" s="6" t="str">
        <f>IF(Data!G408 = 'Point Intercept 2'!G408, Data!G408, "ERROR")</f>
        <v>SS</v>
      </c>
      <c r="H408" s="6">
        <f>IF(Data!I408 = 'Point Intercept 2'!I408, Data!I408, "ERROR")</f>
        <v>2</v>
      </c>
      <c r="I408" s="6">
        <f>IF(Data!H408 = 'Point Intercept 2'!H408, Data!H408, "ERROR")</f>
        <v>1</v>
      </c>
      <c r="J408" s="6">
        <f>IF(Data!J408 = 'Point Intercept 2'!J408, Data!J408, "ERROR")</f>
        <v>1</v>
      </c>
      <c r="K408" s="6" t="str">
        <f>IF(Data!K408 = 'Point Intercept 2'!K408, Data!K408, "ERROR")</f>
        <v>FESMYU</v>
      </c>
      <c r="L408" s="6" t="str">
        <f>IF(Data!L408 = 'Point Intercept 2'!L408, Data!L408, "ERROR")</f>
        <v>Festuca myuros</v>
      </c>
      <c r="M408" s="6">
        <f>IF(Data!N408 = 'Point Intercept 2'!M409, Data!N408, "ERROR")</f>
        <v>0</v>
      </c>
      <c r="N408" s="6">
        <f>IF(Data!O408 = 'Point Intercept 2'!N409, Data!O408, "ERROR")</f>
        <v>0</v>
      </c>
      <c r="O408" s="6">
        <f>IF(Data!P408 = 'Point Intercept 2'!O409, Data!P408, "ERROR")</f>
        <v>0</v>
      </c>
    </row>
    <row r="409" spans="1:15" x14ac:dyDescent="0.25">
      <c r="A409" s="6">
        <f>IF(Data!A409 = 'Point Intercept 2'!A409, Data!A409, "ERROR")</f>
        <v>5</v>
      </c>
      <c r="B409" s="6">
        <f>IF(Data!B409 = 'Point Intercept 2'!B409, Data!B409, "ERROR")</f>
        <v>2025</v>
      </c>
      <c r="C409" s="8">
        <f>IF(Data!C409 = 'Point Intercept 2'!C409, Data!C409, "ERROR")</f>
        <v>45755</v>
      </c>
      <c r="D409" s="6" t="str">
        <f>IF(Data!D409 = 'Point Intercept 2'!D409, Data!D409, "ERROR")</f>
        <v>TL, JC</v>
      </c>
      <c r="E409" s="6" t="str">
        <f>IF(Data!E409 = 'Point Intercept 2'!E409, Data!E409, "ERROR")</f>
        <v>VB</v>
      </c>
      <c r="F409" s="6">
        <f>IF(Data!F409 = 'Point Intercept 2'!F409, Data!F409, "ERROR")</f>
        <v>3</v>
      </c>
      <c r="G409" s="6" t="str">
        <f>IF(Data!G409 = 'Point Intercept 2'!G409, Data!G409, "ERROR")</f>
        <v>SS</v>
      </c>
      <c r="H409" s="6">
        <f>IF(Data!I409 = 'Point Intercept 2'!I409, Data!I409, "ERROR")</f>
        <v>2</v>
      </c>
      <c r="I409" s="6">
        <f>IF(Data!H409 = 'Point Intercept 2'!H409, Data!H409, "ERROR")</f>
        <v>1</v>
      </c>
      <c r="J409" s="6">
        <f>IF(Data!J409 = 'Point Intercept 2'!J409, Data!J409, "ERROR")</f>
        <v>1</v>
      </c>
      <c r="K409" s="6" t="str">
        <f>IF(Data!K409 = 'Point Intercept 2'!K409, Data!K409, "ERROR")</f>
        <v>STEDIE</v>
      </c>
      <c r="L409" s="6" t="str">
        <f>IF(Data!L409 = 'Point Intercept 2'!L409, Data!L409, "ERROR")</f>
        <v>Stephanomeria diegensis</v>
      </c>
      <c r="M409" s="6">
        <f>IF(Data!N409 = 'Point Intercept 2'!M410, Data!N409, "ERROR")</f>
        <v>0</v>
      </c>
      <c r="N409" s="6">
        <f>IF(Data!O409 = 'Point Intercept 2'!N410, Data!O409, "ERROR")</f>
        <v>0</v>
      </c>
      <c r="O409" s="6">
        <f>IF(Data!P409 = 'Point Intercept 2'!O410, Data!P409, "ERROR")</f>
        <v>0</v>
      </c>
    </row>
    <row r="410" spans="1:15" x14ac:dyDescent="0.25">
      <c r="A410" s="6">
        <f>IF(Data!A410 = 'Point Intercept 2'!A410, Data!A410, "ERROR")</f>
        <v>5</v>
      </c>
      <c r="B410" s="6">
        <f>IF(Data!B410 = 'Point Intercept 2'!B410, Data!B410, "ERROR")</f>
        <v>2025</v>
      </c>
      <c r="C410" s="8">
        <f>IF(Data!C410 = 'Point Intercept 2'!C410, Data!C410, "ERROR")</f>
        <v>45755</v>
      </c>
      <c r="D410" s="6" t="str">
        <f>IF(Data!D410 = 'Point Intercept 2'!D410, Data!D410, "ERROR")</f>
        <v>TL, JC</v>
      </c>
      <c r="E410" s="6" t="str">
        <f>IF(Data!E410 = 'Point Intercept 2'!E410, Data!E410, "ERROR")</f>
        <v>VB</v>
      </c>
      <c r="F410" s="6">
        <f>IF(Data!F410 = 'Point Intercept 2'!F410, Data!F410, "ERROR")</f>
        <v>3</v>
      </c>
      <c r="G410" s="6" t="str">
        <f>IF(Data!G410 = 'Point Intercept 2'!G410, Data!G410, "ERROR")</f>
        <v>SS</v>
      </c>
      <c r="H410" s="6">
        <f>IF(Data!I410 = 'Point Intercept 2'!I410, Data!I410, "ERROR")</f>
        <v>3</v>
      </c>
      <c r="I410" s="6">
        <f>IF(Data!H410 = 'Point Intercept 2'!H410, Data!H410, "ERROR")</f>
        <v>1</v>
      </c>
      <c r="J410" s="6">
        <f>IF(Data!J410 = 'Point Intercept 2'!J410, Data!J410, "ERROR")</f>
        <v>1.5</v>
      </c>
      <c r="K410" s="6" t="str">
        <f>IF(Data!K410 = 'Point Intercept 2'!K410, Data!K410, "ERROR")</f>
        <v>L</v>
      </c>
      <c r="L410" s="6" t="str">
        <f>IF(Data!L410 = 'Point Intercept 2'!L410, Data!L410, "ERROR")</f>
        <v>Litter</v>
      </c>
      <c r="M410" s="6">
        <f>IF(Data!N410 = 'Point Intercept 2'!M411, Data!N410, "ERROR")</f>
        <v>0</v>
      </c>
      <c r="N410" s="6">
        <f>IF(Data!O410 = 'Point Intercept 2'!N411, Data!O410, "ERROR")</f>
        <v>0</v>
      </c>
      <c r="O410" s="6">
        <f>IF(Data!P410 = 'Point Intercept 2'!O411, Data!P410, "ERROR")</f>
        <v>0</v>
      </c>
    </row>
    <row r="411" spans="1:15" x14ac:dyDescent="0.25">
      <c r="A411" s="6">
        <f>IF(Data!A411 = 'Point Intercept 2'!A411, Data!A411, "ERROR")</f>
        <v>5</v>
      </c>
      <c r="B411" s="6">
        <f>IF(Data!B411 = 'Point Intercept 2'!B411, Data!B411, "ERROR")</f>
        <v>2025</v>
      </c>
      <c r="C411" s="8">
        <f>IF(Data!C411 = 'Point Intercept 2'!C411, Data!C411, "ERROR")</f>
        <v>45755</v>
      </c>
      <c r="D411" s="6" t="str">
        <f>IF(Data!D411 = 'Point Intercept 2'!D411, Data!D411, "ERROR")</f>
        <v>TL, JC</v>
      </c>
      <c r="E411" s="6" t="str">
        <f>IF(Data!E411 = 'Point Intercept 2'!E411, Data!E411, "ERROR")</f>
        <v>VB</v>
      </c>
      <c r="F411" s="6">
        <f>IF(Data!F411 = 'Point Intercept 2'!F411, Data!F411, "ERROR")</f>
        <v>3</v>
      </c>
      <c r="G411" s="6" t="str">
        <f>IF(Data!G411 = 'Point Intercept 2'!G411, Data!G411, "ERROR")</f>
        <v>SS</v>
      </c>
      <c r="H411" s="6">
        <f>IF(Data!I411 = 'Point Intercept 2'!I411, Data!I411, "ERROR")</f>
        <v>3</v>
      </c>
      <c r="I411" s="6">
        <f>IF(Data!H411 = 'Point Intercept 2'!H411, Data!H411, "ERROR")</f>
        <v>1</v>
      </c>
      <c r="J411" s="6">
        <f>IF(Data!J411 = 'Point Intercept 2'!J411, Data!J411, "ERROR")</f>
        <v>1.5</v>
      </c>
      <c r="K411" s="6" t="str">
        <f>IF(Data!K411 = 'Point Intercept 2'!K411, Data!K411, "ERROR")</f>
        <v>DAUPUS</v>
      </c>
      <c r="L411" s="6" t="str">
        <f>IF(Data!L411 = 'Point Intercept 2'!L411, Data!L411, "ERROR")</f>
        <v>Daucus pusillus</v>
      </c>
      <c r="M411" s="6">
        <f>IF(Data!N411 = 'Point Intercept 2'!M412, Data!N411, "ERROR")</f>
        <v>0</v>
      </c>
      <c r="N411" s="6">
        <f>IF(Data!O411 = 'Point Intercept 2'!N412, Data!O411, "ERROR")</f>
        <v>0</v>
      </c>
      <c r="O411" s="6">
        <f>IF(Data!P411 = 'Point Intercept 2'!O412, Data!P411, "ERROR")</f>
        <v>0</v>
      </c>
    </row>
    <row r="412" spans="1:15" x14ac:dyDescent="0.25">
      <c r="A412" s="6">
        <f>IF(Data!A412 = 'Point Intercept 2'!A412, Data!A412, "ERROR")</f>
        <v>5</v>
      </c>
      <c r="B412" s="6">
        <f>IF(Data!B412 = 'Point Intercept 2'!B412, Data!B412, "ERROR")</f>
        <v>2025</v>
      </c>
      <c r="C412" s="8">
        <f>IF(Data!C412 = 'Point Intercept 2'!C412, Data!C412, "ERROR")</f>
        <v>45755</v>
      </c>
      <c r="D412" s="6" t="str">
        <f>IF(Data!D412 = 'Point Intercept 2'!D412, Data!D412, "ERROR")</f>
        <v>TL, JC</v>
      </c>
      <c r="E412" s="6" t="str">
        <f>IF(Data!E412 = 'Point Intercept 2'!E412, Data!E412, "ERROR")</f>
        <v>VB</v>
      </c>
      <c r="F412" s="6">
        <f>IF(Data!F412 = 'Point Intercept 2'!F412, Data!F412, "ERROR")</f>
        <v>3</v>
      </c>
      <c r="G412" s="6" t="str">
        <f>IF(Data!G412 = 'Point Intercept 2'!G412, Data!G412, "ERROR")</f>
        <v>SS</v>
      </c>
      <c r="H412" s="6">
        <f>IF(Data!I412 = 'Point Intercept 2'!I412, Data!I412, "ERROR")</f>
        <v>3</v>
      </c>
      <c r="I412" s="6">
        <f>IF(Data!H412 = 'Point Intercept 2'!H412, Data!H412, "ERROR")</f>
        <v>1</v>
      </c>
      <c r="J412" s="6">
        <f>IF(Data!J412 = 'Point Intercept 2'!J412, Data!J412, "ERROR")</f>
        <v>1.5</v>
      </c>
      <c r="K412" s="6" t="str">
        <f>IF(Data!K412 = 'Point Intercept 2'!K412, Data!K412, "ERROR")</f>
        <v>ANAARV</v>
      </c>
      <c r="L412" s="6" t="str">
        <f>IF(Data!L412 = 'Point Intercept 2'!L412, Data!L412, "ERROR")</f>
        <v>Anagallis arvensis</v>
      </c>
      <c r="M412" s="6">
        <f>IF(Data!N412 = 'Point Intercept 2'!M413, Data!N412, "ERROR")</f>
        <v>0</v>
      </c>
      <c r="N412" s="6">
        <f>IF(Data!O412 = 'Point Intercept 2'!N413, Data!O412, "ERROR")</f>
        <v>0</v>
      </c>
      <c r="O412" s="6">
        <f>IF(Data!P412 = 'Point Intercept 2'!O413, Data!P412, "ERROR")</f>
        <v>0</v>
      </c>
    </row>
    <row r="413" spans="1:15" x14ac:dyDescent="0.25">
      <c r="A413" s="6">
        <f>IF(Data!A413 = 'Point Intercept 2'!A413, Data!A413, "ERROR")</f>
        <v>5</v>
      </c>
      <c r="B413" s="6">
        <f>IF(Data!B413 = 'Point Intercept 2'!B413, Data!B413, "ERROR")</f>
        <v>2025</v>
      </c>
      <c r="C413" s="8">
        <f>IF(Data!C413 = 'Point Intercept 2'!C413, Data!C413, "ERROR")</f>
        <v>45755</v>
      </c>
      <c r="D413" s="6" t="str">
        <f>IF(Data!D413 = 'Point Intercept 2'!D413, Data!D413, "ERROR")</f>
        <v>TL, JC</v>
      </c>
      <c r="E413" s="6" t="str">
        <f>IF(Data!E413 = 'Point Intercept 2'!E413, Data!E413, "ERROR")</f>
        <v>VB</v>
      </c>
      <c r="F413" s="6">
        <f>IF(Data!F413 = 'Point Intercept 2'!F413, Data!F413, "ERROR")</f>
        <v>3</v>
      </c>
      <c r="G413" s="6" t="str">
        <f>IF(Data!G413 = 'Point Intercept 2'!G413, Data!G413, "ERROR")</f>
        <v>SS</v>
      </c>
      <c r="H413" s="6">
        <f>IF(Data!I413 = 'Point Intercept 2'!I413, Data!I413, "ERROR")</f>
        <v>3</v>
      </c>
      <c r="I413" s="6">
        <f>IF(Data!H413 = 'Point Intercept 2'!H413, Data!H413, "ERROR")</f>
        <v>1</v>
      </c>
      <c r="J413" s="6">
        <f>IF(Data!J413 = 'Point Intercept 2'!J413, Data!J413, "ERROR")</f>
        <v>1.5</v>
      </c>
      <c r="K413" s="6" t="str">
        <f>IF(Data!K413 = 'Point Intercept 2'!K413, Data!K413, "ERROR")</f>
        <v>FESMYU</v>
      </c>
      <c r="L413" s="6" t="str">
        <f>IF(Data!L413 = 'Point Intercept 2'!L413, Data!L413, "ERROR")</f>
        <v>Festuca myuros</v>
      </c>
      <c r="M413" s="6">
        <f>IF(Data!N413 = 'Point Intercept 2'!M414, Data!N413, "ERROR")</f>
        <v>0</v>
      </c>
      <c r="N413" s="6">
        <f>IF(Data!O413 = 'Point Intercept 2'!N414, Data!O413, "ERROR")</f>
        <v>0</v>
      </c>
      <c r="O413" s="6">
        <f>IF(Data!P413 = 'Point Intercept 2'!O414, Data!P413, "ERROR")</f>
        <v>0</v>
      </c>
    </row>
    <row r="414" spans="1:15" x14ac:dyDescent="0.25">
      <c r="A414" s="6">
        <f>IF(Data!A414 = 'Point Intercept 2'!A414, Data!A414, "ERROR")</f>
        <v>5</v>
      </c>
      <c r="B414" s="6">
        <f>IF(Data!B414 = 'Point Intercept 2'!B414, Data!B414, "ERROR")</f>
        <v>2025</v>
      </c>
      <c r="C414" s="8">
        <f>IF(Data!C414 = 'Point Intercept 2'!C414, Data!C414, "ERROR")</f>
        <v>45755</v>
      </c>
      <c r="D414" s="6" t="str">
        <f>IF(Data!D414 = 'Point Intercept 2'!D414, Data!D414, "ERROR")</f>
        <v>TL, JC</v>
      </c>
      <c r="E414" s="6" t="str">
        <f>IF(Data!E414 = 'Point Intercept 2'!E414, Data!E414, "ERROR")</f>
        <v>VB</v>
      </c>
      <c r="F414" s="6">
        <f>IF(Data!F414 = 'Point Intercept 2'!F414, Data!F414, "ERROR")</f>
        <v>3</v>
      </c>
      <c r="G414" s="6" t="str">
        <f>IF(Data!G414 = 'Point Intercept 2'!G414, Data!G414, "ERROR")</f>
        <v>SS</v>
      </c>
      <c r="H414" s="6">
        <f>IF(Data!I414 = 'Point Intercept 2'!I414, Data!I414, "ERROR")</f>
        <v>4</v>
      </c>
      <c r="I414" s="6">
        <f>IF(Data!H414 = 'Point Intercept 2'!H414, Data!H414, "ERROR")</f>
        <v>1</v>
      </c>
      <c r="J414" s="6">
        <f>IF(Data!J414 = 'Point Intercept 2'!J414, Data!J414, "ERROR")</f>
        <v>2</v>
      </c>
      <c r="K414" s="6" t="str">
        <f>IF(Data!K414 = 'Point Intercept 2'!K414, Data!K414, "ERROR")</f>
        <v>L</v>
      </c>
      <c r="L414" s="6" t="str">
        <f>IF(Data!L414 = 'Point Intercept 2'!L414, Data!L414, "ERROR")</f>
        <v>Litter</v>
      </c>
      <c r="M414" s="6">
        <f>IF(Data!N414 = 'Point Intercept 2'!M415, Data!N414, "ERROR")</f>
        <v>0</v>
      </c>
      <c r="N414" s="6">
        <f>IF(Data!O414 = 'Point Intercept 2'!N415, Data!O414, "ERROR")</f>
        <v>0</v>
      </c>
      <c r="O414" s="6">
        <f>IF(Data!P414 = 'Point Intercept 2'!O415, Data!P414, "ERROR")</f>
        <v>0</v>
      </c>
    </row>
    <row r="415" spans="1:15" x14ac:dyDescent="0.25">
      <c r="A415" s="6">
        <f>IF(Data!A415 = 'Point Intercept 2'!A415, Data!A415, "ERROR")</f>
        <v>5</v>
      </c>
      <c r="B415" s="6">
        <f>IF(Data!B415 = 'Point Intercept 2'!B415, Data!B415, "ERROR")</f>
        <v>2025</v>
      </c>
      <c r="C415" s="8">
        <f>IF(Data!C415 = 'Point Intercept 2'!C415, Data!C415, "ERROR")</f>
        <v>45755</v>
      </c>
      <c r="D415" s="6" t="str">
        <f>IF(Data!D415 = 'Point Intercept 2'!D415, Data!D415, "ERROR")</f>
        <v>TL, JC</v>
      </c>
      <c r="E415" s="6" t="str">
        <f>IF(Data!E415 = 'Point Intercept 2'!E415, Data!E415, "ERROR")</f>
        <v>VB</v>
      </c>
      <c r="F415" s="6">
        <f>IF(Data!F415 = 'Point Intercept 2'!F415, Data!F415, "ERROR")</f>
        <v>3</v>
      </c>
      <c r="G415" s="6" t="str">
        <f>IF(Data!G415 = 'Point Intercept 2'!G415, Data!G415, "ERROR")</f>
        <v>SS</v>
      </c>
      <c r="H415" s="6">
        <f>IF(Data!I415 = 'Point Intercept 2'!I415, Data!I415, "ERROR")</f>
        <v>4</v>
      </c>
      <c r="I415" s="6">
        <f>IF(Data!H415 = 'Point Intercept 2'!H415, Data!H415, "ERROR")</f>
        <v>1</v>
      </c>
      <c r="J415" s="6">
        <f>IF(Data!J415 = 'Point Intercept 2'!J415, Data!J415, "ERROR")</f>
        <v>2</v>
      </c>
      <c r="K415" s="6" t="str">
        <f>IF(Data!K415 = 'Point Intercept 2'!K415, Data!K415, "ERROR")</f>
        <v>MEDPOL</v>
      </c>
      <c r="L415" s="6" t="str">
        <f>IF(Data!L415 = 'Point Intercept 2'!L415, Data!L415, "ERROR")</f>
        <v>Medicago polymorpha</v>
      </c>
      <c r="M415" s="6">
        <f>IF(Data!N415 = 'Point Intercept 2'!M416, Data!N415, "ERROR")</f>
        <v>0</v>
      </c>
      <c r="N415" s="6">
        <f>IF(Data!O415 = 'Point Intercept 2'!N416, Data!O415, "ERROR")</f>
        <v>0</v>
      </c>
      <c r="O415" s="6">
        <f>IF(Data!P415 = 'Point Intercept 2'!O416, Data!P415, "ERROR")</f>
        <v>0</v>
      </c>
    </row>
    <row r="416" spans="1:15" x14ac:dyDescent="0.25">
      <c r="A416" s="6">
        <f>IF(Data!A416 = 'Point Intercept 2'!A416, Data!A416, "ERROR")</f>
        <v>5</v>
      </c>
      <c r="B416" s="6">
        <f>IF(Data!B416 = 'Point Intercept 2'!B416, Data!B416, "ERROR")</f>
        <v>2025</v>
      </c>
      <c r="C416" s="8">
        <f>IF(Data!C416 = 'Point Intercept 2'!C416, Data!C416, "ERROR")</f>
        <v>45755</v>
      </c>
      <c r="D416" s="6" t="str">
        <f>IF(Data!D416 = 'Point Intercept 2'!D416, Data!D416, "ERROR")</f>
        <v>TL, JC</v>
      </c>
      <c r="E416" s="6" t="str">
        <f>IF(Data!E416 = 'Point Intercept 2'!E416, Data!E416, "ERROR")</f>
        <v>VB</v>
      </c>
      <c r="F416" s="6">
        <f>IF(Data!F416 = 'Point Intercept 2'!F416, Data!F416, "ERROR")</f>
        <v>3</v>
      </c>
      <c r="G416" s="6" t="str">
        <f>IF(Data!G416 = 'Point Intercept 2'!G416, Data!G416, "ERROR")</f>
        <v>SS</v>
      </c>
      <c r="H416" s="6">
        <f>IF(Data!I416 = 'Point Intercept 2'!I416, Data!I416, "ERROR")</f>
        <v>4</v>
      </c>
      <c r="I416" s="6">
        <f>IF(Data!H416 = 'Point Intercept 2'!H416, Data!H416, "ERROR")</f>
        <v>1</v>
      </c>
      <c r="J416" s="6">
        <f>IF(Data!J416 = 'Point Intercept 2'!J416, Data!J416, "ERROR")</f>
        <v>2</v>
      </c>
      <c r="K416" s="6" t="str">
        <f>IF(Data!K416 = 'Point Intercept 2'!K416, Data!K416, "ERROR")</f>
        <v>FESMYU</v>
      </c>
      <c r="L416" s="6" t="str">
        <f>IF(Data!L416 = 'Point Intercept 2'!L416, Data!L416, "ERROR")</f>
        <v>Festuca myuros</v>
      </c>
      <c r="M416" s="6">
        <f>IF(Data!N416 = 'Point Intercept 2'!M417, Data!N416, "ERROR")</f>
        <v>0</v>
      </c>
      <c r="N416" s="6">
        <f>IF(Data!O416 = 'Point Intercept 2'!N417, Data!O416, "ERROR")</f>
        <v>0</v>
      </c>
      <c r="O416" s="6">
        <f>IF(Data!P416 = 'Point Intercept 2'!O417, Data!P416, "ERROR")</f>
        <v>0</v>
      </c>
    </row>
    <row r="417" spans="1:15" x14ac:dyDescent="0.25">
      <c r="A417" s="6">
        <f>IF(Data!A417 = 'Point Intercept 2'!A417, Data!A417, "ERROR")</f>
        <v>5</v>
      </c>
      <c r="B417" s="6">
        <f>IF(Data!B417 = 'Point Intercept 2'!B417, Data!B417, "ERROR")</f>
        <v>2025</v>
      </c>
      <c r="C417" s="8">
        <f>IF(Data!C417 = 'Point Intercept 2'!C417, Data!C417, "ERROR")</f>
        <v>45755</v>
      </c>
      <c r="D417" s="6" t="str">
        <f>IF(Data!D417 = 'Point Intercept 2'!D417, Data!D417, "ERROR")</f>
        <v>TL, JC</v>
      </c>
      <c r="E417" s="6" t="str">
        <f>IF(Data!E417 = 'Point Intercept 2'!E417, Data!E417, "ERROR")</f>
        <v>VB</v>
      </c>
      <c r="F417" s="6">
        <f>IF(Data!F417 = 'Point Intercept 2'!F417, Data!F417, "ERROR")</f>
        <v>3</v>
      </c>
      <c r="G417" s="6" t="str">
        <f>IF(Data!G417 = 'Point Intercept 2'!G417, Data!G417, "ERROR")</f>
        <v>SS</v>
      </c>
      <c r="H417" s="6">
        <f>IF(Data!I417 = 'Point Intercept 2'!I417, Data!I417, "ERROR")</f>
        <v>4</v>
      </c>
      <c r="I417" s="6">
        <f>IF(Data!H417 = 'Point Intercept 2'!H417, Data!H417, "ERROR")</f>
        <v>1</v>
      </c>
      <c r="J417" s="6">
        <f>IF(Data!J417 = 'Point Intercept 2'!J417, Data!J417, "ERROR")</f>
        <v>2</v>
      </c>
      <c r="K417" s="6" t="str">
        <f>IF(Data!K417 = 'Point Intercept 2'!K417, Data!K417, "ERROR")</f>
        <v>BRANIG</v>
      </c>
      <c r="L417" s="6" t="str">
        <f>IF(Data!L417 = 'Point Intercept 2'!L417, Data!L417, "ERROR")</f>
        <v>Brassica nigra</v>
      </c>
      <c r="M417" s="6">
        <f>IF(Data!N417 = 'Point Intercept 2'!M418, Data!N417, "ERROR")</f>
        <v>0</v>
      </c>
      <c r="N417" s="6">
        <f>IF(Data!O417 = 'Point Intercept 2'!N418, Data!O417, "ERROR")</f>
        <v>0</v>
      </c>
      <c r="O417" s="6">
        <f>IF(Data!P417 = 'Point Intercept 2'!O418, Data!P417, "ERROR")</f>
        <v>0</v>
      </c>
    </row>
    <row r="418" spans="1:15" x14ac:dyDescent="0.25">
      <c r="A418" s="6">
        <f>IF(Data!A418 = 'Point Intercept 2'!A418, Data!A418, "ERROR")</f>
        <v>5</v>
      </c>
      <c r="B418" s="6">
        <f>IF(Data!B418 = 'Point Intercept 2'!B418, Data!B418, "ERROR")</f>
        <v>2025</v>
      </c>
      <c r="C418" s="8">
        <f>IF(Data!C418 = 'Point Intercept 2'!C418, Data!C418, "ERROR")</f>
        <v>45755</v>
      </c>
      <c r="D418" s="6" t="str">
        <f>IF(Data!D418 = 'Point Intercept 2'!D418, Data!D418, "ERROR")</f>
        <v>TL, JC</v>
      </c>
      <c r="E418" s="6" t="str">
        <f>IF(Data!E418 = 'Point Intercept 2'!E418, Data!E418, "ERROR")</f>
        <v>VB</v>
      </c>
      <c r="F418" s="6">
        <f>IF(Data!F418 = 'Point Intercept 2'!F418, Data!F418, "ERROR")</f>
        <v>3</v>
      </c>
      <c r="G418" s="6" t="str">
        <f>IF(Data!G418 = 'Point Intercept 2'!G418, Data!G418, "ERROR")</f>
        <v>SS</v>
      </c>
      <c r="H418" s="6">
        <f>IF(Data!I418 = 'Point Intercept 2'!I418, Data!I418, "ERROR")</f>
        <v>5</v>
      </c>
      <c r="I418" s="6">
        <f>IF(Data!H418 = 'Point Intercept 2'!H418, Data!H418, "ERROR")</f>
        <v>1</v>
      </c>
      <c r="J418" s="6">
        <f>IF(Data!J418 = 'Point Intercept 2'!J418, Data!J418, "ERROR")</f>
        <v>3</v>
      </c>
      <c r="K418" s="6" t="str">
        <f>IF(Data!K418 = 'Point Intercept 2'!K418, Data!K418, "ERROR")</f>
        <v>L</v>
      </c>
      <c r="L418" s="6" t="str">
        <f>IF(Data!L418 = 'Point Intercept 2'!L418, Data!L418, "ERROR")</f>
        <v>Litter</v>
      </c>
      <c r="M418" s="6">
        <f>IF(Data!N418 = 'Point Intercept 2'!M419, Data!N418, "ERROR")</f>
        <v>0</v>
      </c>
      <c r="N418" s="6">
        <f>IF(Data!O418 = 'Point Intercept 2'!N419, Data!O418, "ERROR")</f>
        <v>0</v>
      </c>
      <c r="O418" s="6">
        <f>IF(Data!P418 = 'Point Intercept 2'!O419, Data!P418, "ERROR")</f>
        <v>0</v>
      </c>
    </row>
    <row r="419" spans="1:15" x14ac:dyDescent="0.25">
      <c r="A419" s="6">
        <f>IF(Data!A419 = 'Point Intercept 2'!A419, Data!A419, "ERROR")</f>
        <v>5</v>
      </c>
      <c r="B419" s="6">
        <f>IF(Data!B419 = 'Point Intercept 2'!B419, Data!B419, "ERROR")</f>
        <v>2025</v>
      </c>
      <c r="C419" s="8">
        <f>IF(Data!C419 = 'Point Intercept 2'!C419, Data!C419, "ERROR")</f>
        <v>45755</v>
      </c>
      <c r="D419" s="6" t="str">
        <f>IF(Data!D419 = 'Point Intercept 2'!D419, Data!D419, "ERROR")</f>
        <v>TL, JC</v>
      </c>
      <c r="E419" s="6" t="str">
        <f>IF(Data!E419 = 'Point Intercept 2'!E419, Data!E419, "ERROR")</f>
        <v>VB</v>
      </c>
      <c r="F419" s="6">
        <f>IF(Data!F419 = 'Point Intercept 2'!F419, Data!F419, "ERROR")</f>
        <v>3</v>
      </c>
      <c r="G419" s="6" t="str">
        <f>IF(Data!G419 = 'Point Intercept 2'!G419, Data!G419, "ERROR")</f>
        <v>SS</v>
      </c>
      <c r="H419" s="6">
        <f>IF(Data!I419 = 'Point Intercept 2'!I419, Data!I419, "ERROR")</f>
        <v>5</v>
      </c>
      <c r="I419" s="6">
        <f>IF(Data!H419 = 'Point Intercept 2'!H419, Data!H419, "ERROR")</f>
        <v>1</v>
      </c>
      <c r="J419" s="6">
        <f>IF(Data!J419 = 'Point Intercept 2'!J419, Data!J419, "ERROR")</f>
        <v>3</v>
      </c>
      <c r="K419" s="6" t="str">
        <f>IF(Data!K419 = 'Point Intercept 2'!K419, Data!K419, "ERROR")</f>
        <v>ANAARV</v>
      </c>
      <c r="L419" s="6" t="str">
        <f>IF(Data!L419 = 'Point Intercept 2'!L419, Data!L419, "ERROR")</f>
        <v>Anagallis arvensis</v>
      </c>
      <c r="M419" s="6">
        <f>IF(Data!N419 = 'Point Intercept 2'!M420, Data!N419, "ERROR")</f>
        <v>0</v>
      </c>
      <c r="N419" s="6">
        <f>IF(Data!O419 = 'Point Intercept 2'!N420, Data!O419, "ERROR")</f>
        <v>0</v>
      </c>
      <c r="O419" s="6">
        <f>IF(Data!P419 = 'Point Intercept 2'!O420, Data!P419, "ERROR")</f>
        <v>0</v>
      </c>
    </row>
    <row r="420" spans="1:15" x14ac:dyDescent="0.25">
      <c r="A420" s="6">
        <f>IF(Data!A420 = 'Point Intercept 2'!A420, Data!A420, "ERROR")</f>
        <v>5</v>
      </c>
      <c r="B420" s="6">
        <f>IF(Data!B420 = 'Point Intercept 2'!B420, Data!B420, "ERROR")</f>
        <v>2025</v>
      </c>
      <c r="C420" s="8">
        <f>IF(Data!C420 = 'Point Intercept 2'!C420, Data!C420, "ERROR")</f>
        <v>45755</v>
      </c>
      <c r="D420" s="6" t="str">
        <f>IF(Data!D420 = 'Point Intercept 2'!D420, Data!D420, "ERROR")</f>
        <v>TL, JC</v>
      </c>
      <c r="E420" s="6" t="str">
        <f>IF(Data!E420 = 'Point Intercept 2'!E420, Data!E420, "ERROR")</f>
        <v>VB</v>
      </c>
      <c r="F420" s="6">
        <f>IF(Data!F420 = 'Point Intercept 2'!F420, Data!F420, "ERROR")</f>
        <v>3</v>
      </c>
      <c r="G420" s="6" t="str">
        <f>IF(Data!G420 = 'Point Intercept 2'!G420, Data!G420, "ERROR")</f>
        <v>SS</v>
      </c>
      <c r="H420" s="6">
        <f>IF(Data!I420 = 'Point Intercept 2'!I420, Data!I420, "ERROR")</f>
        <v>5</v>
      </c>
      <c r="I420" s="6">
        <f>IF(Data!H420 = 'Point Intercept 2'!H420, Data!H420, "ERROR")</f>
        <v>1</v>
      </c>
      <c r="J420" s="6">
        <f>IF(Data!J420 = 'Point Intercept 2'!J420, Data!J420, "ERROR")</f>
        <v>3</v>
      </c>
      <c r="K420" s="6" t="str">
        <f>IF(Data!K420 = 'Point Intercept 2'!K420, Data!K420, "ERROR")</f>
        <v>MEDPOL</v>
      </c>
      <c r="L420" s="6" t="str">
        <f>IF(Data!L420 = 'Point Intercept 2'!L420, Data!L420, "ERROR")</f>
        <v>Medicago polymorpha</v>
      </c>
      <c r="M420" s="6">
        <f>IF(Data!N420 = 'Point Intercept 2'!M421, Data!N420, "ERROR")</f>
        <v>0</v>
      </c>
      <c r="N420" s="6">
        <f>IF(Data!O420 = 'Point Intercept 2'!N421, Data!O420, "ERROR")</f>
        <v>0</v>
      </c>
      <c r="O420" s="6">
        <f>IF(Data!P420 = 'Point Intercept 2'!O421, Data!P420, "ERROR")</f>
        <v>0</v>
      </c>
    </row>
    <row r="421" spans="1:15" x14ac:dyDescent="0.25">
      <c r="A421" s="6">
        <f>IF(Data!A421 = 'Point Intercept 2'!A421, Data!A421, "ERROR")</f>
        <v>5</v>
      </c>
      <c r="B421" s="6">
        <f>IF(Data!B421 = 'Point Intercept 2'!B421, Data!B421, "ERROR")</f>
        <v>2025</v>
      </c>
      <c r="C421" s="8">
        <f>IF(Data!C421 = 'Point Intercept 2'!C421, Data!C421, "ERROR")</f>
        <v>45755</v>
      </c>
      <c r="D421" s="6" t="str">
        <f>IF(Data!D421 = 'Point Intercept 2'!D421, Data!D421, "ERROR")</f>
        <v>TL, JC</v>
      </c>
      <c r="E421" s="6" t="str">
        <f>IF(Data!E421 = 'Point Intercept 2'!E421, Data!E421, "ERROR")</f>
        <v>VB</v>
      </c>
      <c r="F421" s="6">
        <f>IF(Data!F421 = 'Point Intercept 2'!F421, Data!F421, "ERROR")</f>
        <v>3</v>
      </c>
      <c r="G421" s="6" t="str">
        <f>IF(Data!G421 = 'Point Intercept 2'!G421, Data!G421, "ERROR")</f>
        <v>SS</v>
      </c>
      <c r="H421" s="6">
        <f>IF(Data!I421 = 'Point Intercept 2'!I421, Data!I421, "ERROR")</f>
        <v>5</v>
      </c>
      <c r="I421" s="6">
        <f>IF(Data!H421 = 'Point Intercept 2'!H421, Data!H421, "ERROR")</f>
        <v>1</v>
      </c>
      <c r="J421" s="6">
        <f>IF(Data!J421 = 'Point Intercept 2'!J421, Data!J421, "ERROR")</f>
        <v>3</v>
      </c>
      <c r="K421" s="6" t="str">
        <f>IF(Data!K421 = 'Point Intercept 2'!K421, Data!K421, "ERROR")</f>
        <v>CENMEL</v>
      </c>
      <c r="L421" s="6" t="str">
        <f>IF(Data!L421 = 'Point Intercept 2'!L421, Data!L421, "ERROR")</f>
        <v>Centaurea melitensis</v>
      </c>
      <c r="M421" s="6">
        <f>IF(Data!N421 = 'Point Intercept 2'!M422, Data!N421, "ERROR")</f>
        <v>0</v>
      </c>
      <c r="N421" s="6">
        <f>IF(Data!O421 = 'Point Intercept 2'!N422, Data!O421, "ERROR")</f>
        <v>0</v>
      </c>
      <c r="O421" s="6">
        <f>IF(Data!P421 = 'Point Intercept 2'!O422, Data!P421, "ERROR")</f>
        <v>0</v>
      </c>
    </row>
    <row r="422" spans="1:15" x14ac:dyDescent="0.25">
      <c r="A422" s="6">
        <f>IF(Data!A422 = 'Point Intercept 2'!A422, Data!A422, "ERROR")</f>
        <v>5</v>
      </c>
      <c r="B422" s="6">
        <f>IF(Data!B422 = 'Point Intercept 2'!B422, Data!B422, "ERROR")</f>
        <v>2025</v>
      </c>
      <c r="C422" s="8">
        <f>IF(Data!C422 = 'Point Intercept 2'!C422, Data!C422, "ERROR")</f>
        <v>45755</v>
      </c>
      <c r="D422" s="6" t="str">
        <f>IF(Data!D422 = 'Point Intercept 2'!D422, Data!D422, "ERROR")</f>
        <v>TL, JC</v>
      </c>
      <c r="E422" s="6" t="str">
        <f>IF(Data!E422 = 'Point Intercept 2'!E422, Data!E422, "ERROR")</f>
        <v>VB</v>
      </c>
      <c r="F422" s="6">
        <f>IF(Data!F422 = 'Point Intercept 2'!F422, Data!F422, "ERROR")</f>
        <v>3</v>
      </c>
      <c r="G422" s="6" t="str">
        <f>IF(Data!G422 = 'Point Intercept 2'!G422, Data!G422, "ERROR")</f>
        <v>SS</v>
      </c>
      <c r="H422" s="6">
        <f>IF(Data!I422 = 'Point Intercept 2'!I422, Data!I422, "ERROR")</f>
        <v>6</v>
      </c>
      <c r="I422" s="6">
        <f>IF(Data!H422 = 'Point Intercept 2'!H422, Data!H422, "ERROR")</f>
        <v>1</v>
      </c>
      <c r="J422" s="6">
        <f>IF(Data!J422 = 'Point Intercept 2'!J422, Data!J422, "ERROR")</f>
        <v>3.5</v>
      </c>
      <c r="K422" s="6" t="str">
        <f>IF(Data!K422 = 'Point Intercept 2'!K422, Data!K422, "ERROR")</f>
        <v>L</v>
      </c>
      <c r="L422" s="6" t="str">
        <f>IF(Data!L422 = 'Point Intercept 2'!L422, Data!L422, "ERROR")</f>
        <v>Litter</v>
      </c>
      <c r="M422" s="6">
        <f>IF(Data!N422 = 'Point Intercept 2'!M423, Data!N422, "ERROR")</f>
        <v>0</v>
      </c>
      <c r="N422" s="6">
        <f>IF(Data!O422 = 'Point Intercept 2'!N423, Data!O422, "ERROR")</f>
        <v>0</v>
      </c>
      <c r="O422" s="6">
        <f>IF(Data!P422 = 'Point Intercept 2'!O423, Data!P422, "ERROR")</f>
        <v>0</v>
      </c>
    </row>
    <row r="423" spans="1:15" x14ac:dyDescent="0.25">
      <c r="A423" s="6">
        <f>IF(Data!A423 = 'Point Intercept 2'!A423, Data!A423, "ERROR")</f>
        <v>5</v>
      </c>
      <c r="B423" s="6">
        <f>IF(Data!B423 = 'Point Intercept 2'!B423, Data!B423, "ERROR")</f>
        <v>2025</v>
      </c>
      <c r="C423" s="8">
        <f>IF(Data!C423 = 'Point Intercept 2'!C423, Data!C423, "ERROR")</f>
        <v>45755</v>
      </c>
      <c r="D423" s="6" t="str">
        <f>IF(Data!D423 = 'Point Intercept 2'!D423, Data!D423, "ERROR")</f>
        <v>TL, JC</v>
      </c>
      <c r="E423" s="6" t="str">
        <f>IF(Data!E423 = 'Point Intercept 2'!E423, Data!E423, "ERROR")</f>
        <v>VB</v>
      </c>
      <c r="F423" s="6">
        <f>IF(Data!F423 = 'Point Intercept 2'!F423, Data!F423, "ERROR")</f>
        <v>3</v>
      </c>
      <c r="G423" s="6" t="str">
        <f>IF(Data!G423 = 'Point Intercept 2'!G423, Data!G423, "ERROR")</f>
        <v>SS</v>
      </c>
      <c r="H423" s="6">
        <f>IF(Data!I423 = 'Point Intercept 2'!I423, Data!I423, "ERROR")</f>
        <v>6</v>
      </c>
      <c r="I423" s="6">
        <f>IF(Data!H423 = 'Point Intercept 2'!H423, Data!H423, "ERROR")</f>
        <v>1</v>
      </c>
      <c r="J423" s="6">
        <f>IF(Data!J423 = 'Point Intercept 2'!J423, Data!J423, "ERROR")</f>
        <v>3.5</v>
      </c>
      <c r="K423" s="6" t="str">
        <f>IF(Data!K423 = 'Point Intercept 2'!K423, Data!K423, "ERROR")</f>
        <v>MEDPOL</v>
      </c>
      <c r="L423" s="6" t="str">
        <f>IF(Data!L423 = 'Point Intercept 2'!L423, Data!L423, "ERROR")</f>
        <v>Medicago polymorpha</v>
      </c>
      <c r="M423" s="6">
        <f>IF(Data!N423 = 'Point Intercept 2'!M424, Data!N423, "ERROR")</f>
        <v>0</v>
      </c>
      <c r="N423" s="6">
        <f>IF(Data!O423 = 'Point Intercept 2'!N424, Data!O423, "ERROR")</f>
        <v>0</v>
      </c>
      <c r="O423" s="6">
        <f>IF(Data!P423 = 'Point Intercept 2'!O424, Data!P423, "ERROR")</f>
        <v>0</v>
      </c>
    </row>
    <row r="424" spans="1:15" x14ac:dyDescent="0.25">
      <c r="A424" s="6">
        <f>IF(Data!A424 = 'Point Intercept 2'!A424, Data!A424, "ERROR")</f>
        <v>5</v>
      </c>
      <c r="B424" s="6">
        <f>IF(Data!B424 = 'Point Intercept 2'!B424, Data!B424, "ERROR")</f>
        <v>2025</v>
      </c>
      <c r="C424" s="8">
        <f>IF(Data!C424 = 'Point Intercept 2'!C424, Data!C424, "ERROR")</f>
        <v>45755</v>
      </c>
      <c r="D424" s="6" t="str">
        <f>IF(Data!D424 = 'Point Intercept 2'!D424, Data!D424, "ERROR")</f>
        <v>TL, JC</v>
      </c>
      <c r="E424" s="6" t="str">
        <f>IF(Data!E424 = 'Point Intercept 2'!E424, Data!E424, "ERROR")</f>
        <v>VB</v>
      </c>
      <c r="F424" s="6">
        <f>IF(Data!F424 = 'Point Intercept 2'!F424, Data!F424, "ERROR")</f>
        <v>3</v>
      </c>
      <c r="G424" s="6" t="str">
        <f>IF(Data!G424 = 'Point Intercept 2'!G424, Data!G424, "ERROR")</f>
        <v>SS</v>
      </c>
      <c r="H424" s="6">
        <f>IF(Data!I424 = 'Point Intercept 2'!I424, Data!I424, "ERROR")</f>
        <v>6</v>
      </c>
      <c r="I424" s="6">
        <f>IF(Data!H424 = 'Point Intercept 2'!H424, Data!H424, "ERROR")</f>
        <v>1</v>
      </c>
      <c r="J424" s="6">
        <f>IF(Data!J424 = 'Point Intercept 2'!J424, Data!J424, "ERROR")</f>
        <v>3.5</v>
      </c>
      <c r="K424" s="6" t="str">
        <f>IF(Data!K424 = 'Point Intercept 2'!K424, Data!K424, "ERROR")</f>
        <v>FESMYU</v>
      </c>
      <c r="L424" s="6" t="str">
        <f>IF(Data!L424 = 'Point Intercept 2'!L424, Data!L424, "ERROR")</f>
        <v>Festuca myuros</v>
      </c>
      <c r="M424" s="6">
        <f>IF(Data!N424 = 'Point Intercept 2'!M425, Data!N424, "ERROR")</f>
        <v>0</v>
      </c>
      <c r="N424" s="6">
        <f>IF(Data!O424 = 'Point Intercept 2'!N425, Data!O424, "ERROR")</f>
        <v>0</v>
      </c>
      <c r="O424" s="6">
        <f>IF(Data!P424 = 'Point Intercept 2'!O425, Data!P424, "ERROR")</f>
        <v>0</v>
      </c>
    </row>
    <row r="425" spans="1:15" x14ac:dyDescent="0.25">
      <c r="A425" s="6">
        <f>IF(Data!A425 = 'Point Intercept 2'!A425, Data!A425, "ERROR")</f>
        <v>5</v>
      </c>
      <c r="B425" s="6">
        <f>IF(Data!B425 = 'Point Intercept 2'!B425, Data!B425, "ERROR")</f>
        <v>2025</v>
      </c>
      <c r="C425" s="8">
        <f>IF(Data!C425 = 'Point Intercept 2'!C425, Data!C425, "ERROR")</f>
        <v>45755</v>
      </c>
      <c r="D425" s="6" t="str">
        <f>IF(Data!D425 = 'Point Intercept 2'!D425, Data!D425, "ERROR")</f>
        <v>TL, JC</v>
      </c>
      <c r="E425" s="6" t="str">
        <f>IF(Data!E425 = 'Point Intercept 2'!E425, Data!E425, "ERROR")</f>
        <v>VB</v>
      </c>
      <c r="F425" s="6">
        <f>IF(Data!F425 = 'Point Intercept 2'!F425, Data!F425, "ERROR")</f>
        <v>3</v>
      </c>
      <c r="G425" s="6" t="str">
        <f>IF(Data!G425 = 'Point Intercept 2'!G425, Data!G425, "ERROR")</f>
        <v>SS</v>
      </c>
      <c r="H425" s="6">
        <f>IF(Data!I425 = 'Point Intercept 2'!I425, Data!I425, "ERROR")</f>
        <v>6</v>
      </c>
      <c r="I425" s="6">
        <f>IF(Data!H425 = 'Point Intercept 2'!H425, Data!H425, "ERROR")</f>
        <v>1</v>
      </c>
      <c r="J425" s="6">
        <f>IF(Data!J425 = 'Point Intercept 2'!J425, Data!J425, "ERROR")</f>
        <v>3.5</v>
      </c>
      <c r="K425" s="6" t="str">
        <f>IF(Data!K425 = 'Point Intercept 2'!K425, Data!K425, "ERROR")</f>
        <v>CENMEL</v>
      </c>
      <c r="L425" s="6" t="str">
        <f>IF(Data!L425 = 'Point Intercept 2'!L425, Data!L425, "ERROR")</f>
        <v>Centaurea melitensis</v>
      </c>
      <c r="M425" s="6">
        <f>IF(Data!N425 = 'Point Intercept 2'!M426, Data!N425, "ERROR")</f>
        <v>0</v>
      </c>
      <c r="N425" s="6">
        <f>IF(Data!O425 = 'Point Intercept 2'!N426, Data!O425, "ERROR")</f>
        <v>0</v>
      </c>
      <c r="O425" s="6">
        <f>IF(Data!P425 = 'Point Intercept 2'!O426, Data!P425, "ERROR")</f>
        <v>0</v>
      </c>
    </row>
    <row r="426" spans="1:15" x14ac:dyDescent="0.25">
      <c r="A426" s="6">
        <f>IF(Data!A426 = 'Point Intercept 2'!A426, Data!A426, "ERROR")</f>
        <v>5</v>
      </c>
      <c r="B426" s="6">
        <f>IF(Data!B426 = 'Point Intercept 2'!B426, Data!B426, "ERROR")</f>
        <v>2025</v>
      </c>
      <c r="C426" s="8">
        <f>IF(Data!C426 = 'Point Intercept 2'!C426, Data!C426, "ERROR")</f>
        <v>45755</v>
      </c>
      <c r="D426" s="6" t="str">
        <f>IF(Data!D426 = 'Point Intercept 2'!D426, Data!D426, "ERROR")</f>
        <v>TL, JC</v>
      </c>
      <c r="E426" s="6" t="str">
        <f>IF(Data!E426 = 'Point Intercept 2'!E426, Data!E426, "ERROR")</f>
        <v>VB</v>
      </c>
      <c r="F426" s="6">
        <f>IF(Data!F426 = 'Point Intercept 2'!F426, Data!F426, "ERROR")</f>
        <v>3</v>
      </c>
      <c r="G426" s="6" t="str">
        <f>IF(Data!G426 = 'Point Intercept 2'!G426, Data!G426, "ERROR")</f>
        <v>SS</v>
      </c>
      <c r="H426" s="6">
        <f>IF(Data!I426 = 'Point Intercept 2'!I426, Data!I426, "ERROR")</f>
        <v>6</v>
      </c>
      <c r="I426" s="6">
        <f>IF(Data!H426 = 'Point Intercept 2'!H426, Data!H426, "ERROR")</f>
        <v>1</v>
      </c>
      <c r="J426" s="6">
        <f>IF(Data!J426 = 'Point Intercept 2'!J426, Data!J426, "ERROR")</f>
        <v>3.5</v>
      </c>
      <c r="K426" s="6" t="str">
        <f>IF(Data!K426 = 'Point Intercept 2'!K426, Data!K426, "ERROR")</f>
        <v>SONASP</v>
      </c>
      <c r="L426" s="6" t="str">
        <f>IF(Data!L426 = 'Point Intercept 2'!L426, Data!L426, "ERROR")</f>
        <v>Sonchus asper</v>
      </c>
      <c r="M426" s="6">
        <f>IF(Data!N426 = 'Point Intercept 2'!M427, Data!N426, "ERROR")</f>
        <v>0</v>
      </c>
      <c r="N426" s="6">
        <f>IF(Data!O426 = 'Point Intercept 2'!N427, Data!O426, "ERROR")</f>
        <v>0</v>
      </c>
      <c r="O426" s="6">
        <f>IF(Data!P426 = 'Point Intercept 2'!O427, Data!P426, "ERROR")</f>
        <v>0</v>
      </c>
    </row>
    <row r="427" spans="1:15" x14ac:dyDescent="0.25">
      <c r="A427" s="6">
        <f>IF(Data!A427 = 'Point Intercept 2'!A427, Data!A427, "ERROR")</f>
        <v>5</v>
      </c>
      <c r="B427" s="6">
        <f>IF(Data!B427 = 'Point Intercept 2'!B427, Data!B427, "ERROR")</f>
        <v>2025</v>
      </c>
      <c r="C427" s="8">
        <f>IF(Data!C427 = 'Point Intercept 2'!C427, Data!C427, "ERROR")</f>
        <v>45755</v>
      </c>
      <c r="D427" s="6" t="str">
        <f>IF(Data!D427 = 'Point Intercept 2'!D427, Data!D427, "ERROR")</f>
        <v>TL, JC</v>
      </c>
      <c r="E427" s="6" t="str">
        <f>IF(Data!E427 = 'Point Intercept 2'!E427, Data!E427, "ERROR")</f>
        <v>VB</v>
      </c>
      <c r="F427" s="6">
        <f>IF(Data!F427 = 'Point Intercept 2'!F427, Data!F427, "ERROR")</f>
        <v>3</v>
      </c>
      <c r="G427" s="6" t="str">
        <f>IF(Data!G427 = 'Point Intercept 2'!G427, Data!G427, "ERROR")</f>
        <v>SS</v>
      </c>
      <c r="H427" s="6">
        <f>IF(Data!I427 = 'Point Intercept 2'!I427, Data!I427, "ERROR")</f>
        <v>7</v>
      </c>
      <c r="I427" s="6">
        <f>IF(Data!H427 = 'Point Intercept 2'!H427, Data!H427, "ERROR")</f>
        <v>1</v>
      </c>
      <c r="J427" s="6">
        <f>IF(Data!J427 = 'Point Intercept 2'!J427, Data!J427, "ERROR")</f>
        <v>4</v>
      </c>
      <c r="K427" s="6" t="str">
        <f>IF(Data!K427 = 'Point Intercept 2'!K427, Data!K427, "ERROR")</f>
        <v>L</v>
      </c>
      <c r="L427" s="6" t="str">
        <f>IF(Data!L427 = 'Point Intercept 2'!L427, Data!L427, "ERROR")</f>
        <v>Litter</v>
      </c>
      <c r="M427" s="6">
        <f>IF(Data!N427 = 'Point Intercept 2'!M428, Data!N427, "ERROR")</f>
        <v>0</v>
      </c>
      <c r="N427" s="6">
        <f>IF(Data!O427 = 'Point Intercept 2'!N428, Data!O427, "ERROR")</f>
        <v>0</v>
      </c>
      <c r="O427" s="6">
        <f>IF(Data!P427 = 'Point Intercept 2'!O428, Data!P427, "ERROR")</f>
        <v>0</v>
      </c>
    </row>
    <row r="428" spans="1:15" x14ac:dyDescent="0.25">
      <c r="A428" s="6">
        <f>IF(Data!A428 = 'Point Intercept 2'!A428, Data!A428, "ERROR")</f>
        <v>5</v>
      </c>
      <c r="B428" s="6">
        <f>IF(Data!B428 = 'Point Intercept 2'!B428, Data!B428, "ERROR")</f>
        <v>2025</v>
      </c>
      <c r="C428" s="8">
        <f>IF(Data!C428 = 'Point Intercept 2'!C428, Data!C428, "ERROR")</f>
        <v>45755</v>
      </c>
      <c r="D428" s="6" t="str">
        <f>IF(Data!D428 = 'Point Intercept 2'!D428, Data!D428, "ERROR")</f>
        <v>TL, JC</v>
      </c>
      <c r="E428" s="6" t="str">
        <f>IF(Data!E428 = 'Point Intercept 2'!E428, Data!E428, "ERROR")</f>
        <v>VB</v>
      </c>
      <c r="F428" s="6">
        <f>IF(Data!F428 = 'Point Intercept 2'!F428, Data!F428, "ERROR")</f>
        <v>3</v>
      </c>
      <c r="G428" s="6" t="str">
        <f>IF(Data!G428 = 'Point Intercept 2'!G428, Data!G428, "ERROR")</f>
        <v>SS</v>
      </c>
      <c r="H428" s="6">
        <f>IF(Data!I428 = 'Point Intercept 2'!I428, Data!I428, "ERROR")</f>
        <v>7</v>
      </c>
      <c r="I428" s="6">
        <f>IF(Data!H428 = 'Point Intercept 2'!H428, Data!H428, "ERROR")</f>
        <v>1</v>
      </c>
      <c r="J428" s="6">
        <f>IF(Data!J428 = 'Point Intercept 2'!J428, Data!J428, "ERROR")</f>
        <v>4</v>
      </c>
      <c r="K428" s="6" t="str">
        <f>IF(Data!K428 = 'Point Intercept 2'!K428, Data!K428, "ERROR")</f>
        <v>MEDPOL</v>
      </c>
      <c r="L428" s="6" t="str">
        <f>IF(Data!L428 = 'Point Intercept 2'!L428, Data!L428, "ERROR")</f>
        <v>Medicago polymorpha</v>
      </c>
      <c r="M428" s="6">
        <f>IF(Data!N428 = 'Point Intercept 2'!M429, Data!N428, "ERROR")</f>
        <v>0</v>
      </c>
      <c r="N428" s="6">
        <f>IF(Data!O428 = 'Point Intercept 2'!N429, Data!O428, "ERROR")</f>
        <v>0</v>
      </c>
      <c r="O428" s="6">
        <f>IF(Data!P428 = 'Point Intercept 2'!O429, Data!P428, "ERROR")</f>
        <v>0</v>
      </c>
    </row>
    <row r="429" spans="1:15" x14ac:dyDescent="0.25">
      <c r="A429" s="6">
        <f>IF(Data!A429 = 'Point Intercept 2'!A429, Data!A429, "ERROR")</f>
        <v>5</v>
      </c>
      <c r="B429" s="6">
        <f>IF(Data!B429 = 'Point Intercept 2'!B429, Data!B429, "ERROR")</f>
        <v>2025</v>
      </c>
      <c r="C429" s="8">
        <f>IF(Data!C429 = 'Point Intercept 2'!C429, Data!C429, "ERROR")</f>
        <v>45755</v>
      </c>
      <c r="D429" s="6" t="str">
        <f>IF(Data!D429 = 'Point Intercept 2'!D429, Data!D429, "ERROR")</f>
        <v>TL, JC</v>
      </c>
      <c r="E429" s="6" t="str">
        <f>IF(Data!E429 = 'Point Intercept 2'!E429, Data!E429, "ERROR")</f>
        <v>VB</v>
      </c>
      <c r="F429" s="6">
        <f>IF(Data!F429 = 'Point Intercept 2'!F429, Data!F429, "ERROR")</f>
        <v>3</v>
      </c>
      <c r="G429" s="6" t="str">
        <f>IF(Data!G429 = 'Point Intercept 2'!G429, Data!G429, "ERROR")</f>
        <v>SS</v>
      </c>
      <c r="H429" s="6">
        <f>IF(Data!I429 = 'Point Intercept 2'!I429, Data!I429, "ERROR")</f>
        <v>7</v>
      </c>
      <c r="I429" s="6">
        <f>IF(Data!H429 = 'Point Intercept 2'!H429, Data!H429, "ERROR")</f>
        <v>1</v>
      </c>
      <c r="J429" s="6">
        <f>IF(Data!J429 = 'Point Intercept 2'!J429, Data!J429, "ERROR")</f>
        <v>4</v>
      </c>
      <c r="K429" s="6" t="str">
        <f>IF(Data!K429 = 'Point Intercept 2'!K429, Data!K429, "ERROR")</f>
        <v>CENMEL</v>
      </c>
      <c r="L429" s="6" t="str">
        <f>IF(Data!L429 = 'Point Intercept 2'!L429, Data!L429, "ERROR")</f>
        <v>Centaurea melitensis</v>
      </c>
      <c r="M429" s="6">
        <f>IF(Data!N429 = 'Point Intercept 2'!M430, Data!N429, "ERROR")</f>
        <v>0</v>
      </c>
      <c r="N429" s="6">
        <f>IF(Data!O429 = 'Point Intercept 2'!N430, Data!O429, "ERROR")</f>
        <v>0</v>
      </c>
      <c r="O429" s="6">
        <f>IF(Data!P429 = 'Point Intercept 2'!O430, Data!P429, "ERROR")</f>
        <v>0</v>
      </c>
    </row>
    <row r="430" spans="1:15" x14ac:dyDescent="0.25">
      <c r="A430" s="6">
        <f>IF(Data!A430 = 'Point Intercept 2'!A430, Data!A430, "ERROR")</f>
        <v>5</v>
      </c>
      <c r="B430" s="6">
        <f>IF(Data!B430 = 'Point Intercept 2'!B430, Data!B430, "ERROR")</f>
        <v>2025</v>
      </c>
      <c r="C430" s="8">
        <f>IF(Data!C430 = 'Point Intercept 2'!C430, Data!C430, "ERROR")</f>
        <v>45755</v>
      </c>
      <c r="D430" s="6" t="str">
        <f>IF(Data!D430 = 'Point Intercept 2'!D430, Data!D430, "ERROR")</f>
        <v>TL, JC</v>
      </c>
      <c r="E430" s="6" t="str">
        <f>IF(Data!E430 = 'Point Intercept 2'!E430, Data!E430, "ERROR")</f>
        <v>VB</v>
      </c>
      <c r="F430" s="6">
        <f>IF(Data!F430 = 'Point Intercept 2'!F430, Data!F430, "ERROR")</f>
        <v>3</v>
      </c>
      <c r="G430" s="6" t="str">
        <f>IF(Data!G430 = 'Point Intercept 2'!G430, Data!G430, "ERROR")</f>
        <v>SS</v>
      </c>
      <c r="H430" s="6">
        <f>IF(Data!I430 = 'Point Intercept 2'!I430, Data!I430, "ERROR")</f>
        <v>7</v>
      </c>
      <c r="I430" s="6">
        <f>IF(Data!H430 = 'Point Intercept 2'!H430, Data!H430, "ERROR")</f>
        <v>1</v>
      </c>
      <c r="J430" s="6">
        <f>IF(Data!J430 = 'Point Intercept 2'!J430, Data!J430, "ERROR")</f>
        <v>4</v>
      </c>
      <c r="K430" s="6" t="str">
        <f>IF(Data!K430 = 'Point Intercept 2'!K430, Data!K430, "ERROR")</f>
        <v>FESMYU</v>
      </c>
      <c r="L430" s="6" t="str">
        <f>IF(Data!L430 = 'Point Intercept 2'!L430, Data!L430, "ERROR")</f>
        <v>Festuca myuros</v>
      </c>
      <c r="M430" s="6">
        <f>IF(Data!N430 = 'Point Intercept 2'!M431, Data!N430, "ERROR")</f>
        <v>0</v>
      </c>
      <c r="N430" s="6">
        <f>IF(Data!O430 = 'Point Intercept 2'!N431, Data!O430, "ERROR")</f>
        <v>0</v>
      </c>
      <c r="O430" s="6">
        <f>IF(Data!P430 = 'Point Intercept 2'!O431, Data!P430, "ERROR")</f>
        <v>0</v>
      </c>
    </row>
    <row r="431" spans="1:15" x14ac:dyDescent="0.25">
      <c r="A431" s="6">
        <f>IF(Data!A431 = 'Point Intercept 2'!A431, Data!A431, "ERROR")</f>
        <v>5</v>
      </c>
      <c r="B431" s="6">
        <f>IF(Data!B431 = 'Point Intercept 2'!B431, Data!B431, "ERROR")</f>
        <v>2025</v>
      </c>
      <c r="C431" s="8">
        <f>IF(Data!C431 = 'Point Intercept 2'!C431, Data!C431, "ERROR")</f>
        <v>45755</v>
      </c>
      <c r="D431" s="6" t="str">
        <f>IF(Data!D431 = 'Point Intercept 2'!D431, Data!D431, "ERROR")</f>
        <v>TL, JC</v>
      </c>
      <c r="E431" s="6" t="str">
        <f>IF(Data!E431 = 'Point Intercept 2'!E431, Data!E431, "ERROR")</f>
        <v>VB</v>
      </c>
      <c r="F431" s="6">
        <f>IF(Data!F431 = 'Point Intercept 2'!F431, Data!F431, "ERROR")</f>
        <v>3</v>
      </c>
      <c r="G431" s="6" t="str">
        <f>IF(Data!G431 = 'Point Intercept 2'!G431, Data!G431, "ERROR")</f>
        <v>SS</v>
      </c>
      <c r="H431" s="6">
        <f>IF(Data!I431 = 'Point Intercept 2'!I431, Data!I431, "ERROR")</f>
        <v>8</v>
      </c>
      <c r="I431" s="6">
        <f>IF(Data!H431 = 'Point Intercept 2'!H431, Data!H431, "ERROR")</f>
        <v>1</v>
      </c>
      <c r="J431" s="6">
        <f>IF(Data!J431 = 'Point Intercept 2'!J431, Data!J431, "ERROR")</f>
        <v>5</v>
      </c>
      <c r="K431" s="6" t="str">
        <f>IF(Data!K431 = 'Point Intercept 2'!K431, Data!K431, "ERROR")</f>
        <v>L</v>
      </c>
      <c r="L431" s="6" t="str">
        <f>IF(Data!L431 = 'Point Intercept 2'!L431, Data!L431, "ERROR")</f>
        <v>Litter</v>
      </c>
      <c r="M431" s="6">
        <f>IF(Data!N431 = 'Point Intercept 2'!M432, Data!N431, "ERROR")</f>
        <v>0</v>
      </c>
      <c r="N431" s="6">
        <f>IF(Data!O431 = 'Point Intercept 2'!N432, Data!O431, "ERROR")</f>
        <v>0</v>
      </c>
      <c r="O431" s="6">
        <f>IF(Data!P431 = 'Point Intercept 2'!O432, Data!P431, "ERROR")</f>
        <v>0</v>
      </c>
    </row>
    <row r="432" spans="1:15" x14ac:dyDescent="0.25">
      <c r="A432" s="6">
        <f>IF(Data!A432 = 'Point Intercept 2'!A432, Data!A432, "ERROR")</f>
        <v>5</v>
      </c>
      <c r="B432" s="6">
        <f>IF(Data!B432 = 'Point Intercept 2'!B432, Data!B432, "ERROR")</f>
        <v>2025</v>
      </c>
      <c r="C432" s="8">
        <f>IF(Data!C432 = 'Point Intercept 2'!C432, Data!C432, "ERROR")</f>
        <v>45755</v>
      </c>
      <c r="D432" s="6" t="str">
        <f>IF(Data!D432 = 'Point Intercept 2'!D432, Data!D432, "ERROR")</f>
        <v>TL, JC</v>
      </c>
      <c r="E432" s="6" t="str">
        <f>IF(Data!E432 = 'Point Intercept 2'!E432, Data!E432, "ERROR")</f>
        <v>VB</v>
      </c>
      <c r="F432" s="6">
        <f>IF(Data!F432 = 'Point Intercept 2'!F432, Data!F432, "ERROR")</f>
        <v>3</v>
      </c>
      <c r="G432" s="6" t="str">
        <f>IF(Data!G432 = 'Point Intercept 2'!G432, Data!G432, "ERROR")</f>
        <v>SS</v>
      </c>
      <c r="H432" s="6">
        <f>IF(Data!I432 = 'Point Intercept 2'!I432, Data!I432, "ERROR")</f>
        <v>8</v>
      </c>
      <c r="I432" s="6">
        <f>IF(Data!H432 = 'Point Intercept 2'!H432, Data!H432, "ERROR")</f>
        <v>1</v>
      </c>
      <c r="J432" s="6">
        <f>IF(Data!J432 = 'Point Intercept 2'!J432, Data!J432, "ERROR")</f>
        <v>5</v>
      </c>
      <c r="K432" s="6" t="str">
        <f>IF(Data!K432 = 'Point Intercept 2'!K432, Data!K432, "ERROR")</f>
        <v>DEIFAS</v>
      </c>
      <c r="L432" s="6" t="str">
        <f>IF(Data!L432 = 'Point Intercept 2'!L432, Data!L432, "ERROR")</f>
        <v>Deinandra fasciculata</v>
      </c>
      <c r="M432" s="6">
        <f>IF(Data!N432 = 'Point Intercept 2'!M433, Data!N432, "ERROR")</f>
        <v>0</v>
      </c>
      <c r="N432" s="6">
        <f>IF(Data!O432 = 'Point Intercept 2'!N433, Data!O432, "ERROR")</f>
        <v>0</v>
      </c>
      <c r="O432" s="6">
        <f>IF(Data!P432 = 'Point Intercept 2'!O433, Data!P432, "ERROR")</f>
        <v>0</v>
      </c>
    </row>
    <row r="433" spans="1:15" x14ac:dyDescent="0.25">
      <c r="A433" s="6">
        <f>IF(Data!A433 = 'Point Intercept 2'!A433, Data!A433, "ERROR")</f>
        <v>5</v>
      </c>
      <c r="B433" s="6">
        <f>IF(Data!B433 = 'Point Intercept 2'!B433, Data!B433, "ERROR")</f>
        <v>2025</v>
      </c>
      <c r="C433" s="8">
        <f>IF(Data!C433 = 'Point Intercept 2'!C433, Data!C433, "ERROR")</f>
        <v>45755</v>
      </c>
      <c r="D433" s="6" t="str">
        <f>IF(Data!D433 = 'Point Intercept 2'!D433, Data!D433, "ERROR")</f>
        <v>TL, JC</v>
      </c>
      <c r="E433" s="6" t="str">
        <f>IF(Data!E433 = 'Point Intercept 2'!E433, Data!E433, "ERROR")</f>
        <v>VB</v>
      </c>
      <c r="F433" s="6">
        <f>IF(Data!F433 = 'Point Intercept 2'!F433, Data!F433, "ERROR")</f>
        <v>3</v>
      </c>
      <c r="G433" s="6" t="str">
        <f>IF(Data!G433 = 'Point Intercept 2'!G433, Data!G433, "ERROR")</f>
        <v>SS</v>
      </c>
      <c r="H433" s="6">
        <f>IF(Data!I433 = 'Point Intercept 2'!I433, Data!I433, "ERROR")</f>
        <v>8</v>
      </c>
      <c r="I433" s="6">
        <f>IF(Data!H433 = 'Point Intercept 2'!H433, Data!H433, "ERROR")</f>
        <v>1</v>
      </c>
      <c r="J433" s="6">
        <f>IF(Data!J433 = 'Point Intercept 2'!J433, Data!J433, "ERROR")</f>
        <v>5</v>
      </c>
      <c r="K433" s="6" t="str">
        <f>IF(Data!K433 = 'Point Intercept 2'!K433, Data!K433, "ERROR")</f>
        <v>FESMYU</v>
      </c>
      <c r="L433" s="6" t="str">
        <f>IF(Data!L433 = 'Point Intercept 2'!L433, Data!L433, "ERROR")</f>
        <v>Festuca myuros</v>
      </c>
      <c r="M433" s="6">
        <f>IF(Data!N433 = 'Point Intercept 2'!M434, Data!N433, "ERROR")</f>
        <v>0</v>
      </c>
      <c r="N433" s="6">
        <f>IF(Data!O433 = 'Point Intercept 2'!N434, Data!O433, "ERROR")</f>
        <v>0</v>
      </c>
      <c r="O433" s="6">
        <f>IF(Data!P433 = 'Point Intercept 2'!O434, Data!P433, "ERROR")</f>
        <v>0</v>
      </c>
    </row>
    <row r="434" spans="1:15" x14ac:dyDescent="0.25">
      <c r="A434" s="6">
        <f>IF(Data!A434 = 'Point Intercept 2'!A434, Data!A434, "ERROR")</f>
        <v>5</v>
      </c>
      <c r="B434" s="6">
        <f>IF(Data!B434 = 'Point Intercept 2'!B434, Data!B434, "ERROR")</f>
        <v>2025</v>
      </c>
      <c r="C434" s="8">
        <f>IF(Data!C434 = 'Point Intercept 2'!C434, Data!C434, "ERROR")</f>
        <v>45755</v>
      </c>
      <c r="D434" s="6" t="str">
        <f>IF(Data!D434 = 'Point Intercept 2'!D434, Data!D434, "ERROR")</f>
        <v>TL, JC</v>
      </c>
      <c r="E434" s="6" t="str">
        <f>IF(Data!E434 = 'Point Intercept 2'!E434, Data!E434, "ERROR")</f>
        <v>VB</v>
      </c>
      <c r="F434" s="6">
        <f>IF(Data!F434 = 'Point Intercept 2'!F434, Data!F434, "ERROR")</f>
        <v>3</v>
      </c>
      <c r="G434" s="6" t="str">
        <f>IF(Data!G434 = 'Point Intercept 2'!G434, Data!G434, "ERROR")</f>
        <v>SS</v>
      </c>
      <c r="H434" s="6">
        <f>IF(Data!I434 = 'Point Intercept 2'!I434, Data!I434, "ERROR")</f>
        <v>8</v>
      </c>
      <c r="I434" s="6">
        <f>IF(Data!H434 = 'Point Intercept 2'!H434, Data!H434, "ERROR")</f>
        <v>1</v>
      </c>
      <c r="J434" s="6">
        <f>IF(Data!J434 = 'Point Intercept 2'!J434, Data!J434, "ERROR")</f>
        <v>5</v>
      </c>
      <c r="K434" s="6" t="str">
        <f>IF(Data!K434 = 'Point Intercept 2'!K434, Data!K434, "ERROR")</f>
        <v>SONASP</v>
      </c>
      <c r="L434" s="6" t="str">
        <f>IF(Data!L434 = 'Point Intercept 2'!L434, Data!L434, "ERROR")</f>
        <v>Sonchus asper</v>
      </c>
      <c r="M434" s="6">
        <f>IF(Data!N434 = 'Point Intercept 2'!M435, Data!N434, "ERROR")</f>
        <v>0</v>
      </c>
      <c r="N434" s="6">
        <f>IF(Data!O434 = 'Point Intercept 2'!N435, Data!O434, "ERROR")</f>
        <v>0</v>
      </c>
      <c r="O434" s="6">
        <f>IF(Data!P434 = 'Point Intercept 2'!O435, Data!P434, "ERROR")</f>
        <v>0</v>
      </c>
    </row>
    <row r="435" spans="1:15" x14ac:dyDescent="0.25">
      <c r="A435" s="6">
        <f>IF(Data!A435 = 'Point Intercept 2'!A435, Data!A435, "ERROR")</f>
        <v>5</v>
      </c>
      <c r="B435" s="6">
        <f>IF(Data!B435 = 'Point Intercept 2'!B435, Data!B435, "ERROR")</f>
        <v>2025</v>
      </c>
      <c r="C435" s="8">
        <f>IF(Data!C435 = 'Point Intercept 2'!C435, Data!C435, "ERROR")</f>
        <v>45755</v>
      </c>
      <c r="D435" s="6" t="str">
        <f>IF(Data!D435 = 'Point Intercept 2'!D435, Data!D435, "ERROR")</f>
        <v>TL, JC</v>
      </c>
      <c r="E435" s="6" t="str">
        <f>IF(Data!E435 = 'Point Intercept 2'!E435, Data!E435, "ERROR")</f>
        <v>VB</v>
      </c>
      <c r="F435" s="6">
        <f>IF(Data!F435 = 'Point Intercept 2'!F435, Data!F435, "ERROR")</f>
        <v>3</v>
      </c>
      <c r="G435" s="6" t="str">
        <f>IF(Data!G435 = 'Point Intercept 2'!G435, Data!G435, "ERROR")</f>
        <v>SS</v>
      </c>
      <c r="H435" s="6">
        <f>IF(Data!I435 = 'Point Intercept 2'!I435, Data!I435, "ERROR")</f>
        <v>8</v>
      </c>
      <c r="I435" s="6">
        <f>IF(Data!H435 = 'Point Intercept 2'!H435, Data!H435, "ERROR")</f>
        <v>1</v>
      </c>
      <c r="J435" s="6">
        <f>IF(Data!J435 = 'Point Intercept 2'!J435, Data!J435, "ERROR")</f>
        <v>5</v>
      </c>
      <c r="K435" s="6" t="str">
        <f>IF(Data!K435 = 'Point Intercept 2'!K435, Data!K435, "ERROR")</f>
        <v>STEDIE</v>
      </c>
      <c r="L435" s="6" t="str">
        <f>IF(Data!L435 = 'Point Intercept 2'!L435, Data!L435, "ERROR")</f>
        <v>Stephanomeria diegensis</v>
      </c>
      <c r="M435" s="6">
        <f>IF(Data!N435 = 'Point Intercept 2'!M436, Data!N435, "ERROR")</f>
        <v>0</v>
      </c>
      <c r="N435" s="6">
        <f>IF(Data!O435 = 'Point Intercept 2'!N436, Data!O435, "ERROR")</f>
        <v>0</v>
      </c>
      <c r="O435" s="6">
        <f>IF(Data!P435 = 'Point Intercept 2'!O436, Data!P435, "ERROR")</f>
        <v>0</v>
      </c>
    </row>
    <row r="436" spans="1:15" x14ac:dyDescent="0.25">
      <c r="A436" s="6">
        <f>IF(Data!A436 = 'Point Intercept 2'!A436, Data!A436, "ERROR")</f>
        <v>5</v>
      </c>
      <c r="B436" s="6">
        <f>IF(Data!B436 = 'Point Intercept 2'!B436, Data!B436, "ERROR")</f>
        <v>2025</v>
      </c>
      <c r="C436" s="8">
        <f>IF(Data!C436 = 'Point Intercept 2'!C436, Data!C436, "ERROR")</f>
        <v>45755</v>
      </c>
      <c r="D436" s="6" t="str">
        <f>IF(Data!D436 = 'Point Intercept 2'!D436, Data!D436, "ERROR")</f>
        <v>TL, JC</v>
      </c>
      <c r="E436" s="6" t="str">
        <f>IF(Data!E436 = 'Point Intercept 2'!E436, Data!E436, "ERROR")</f>
        <v>VB</v>
      </c>
      <c r="F436" s="6">
        <f>IF(Data!F436 = 'Point Intercept 2'!F436, Data!F436, "ERROR")</f>
        <v>3</v>
      </c>
      <c r="G436" s="6" t="str">
        <f>IF(Data!G436 = 'Point Intercept 2'!G436, Data!G436, "ERROR")</f>
        <v>SS</v>
      </c>
      <c r="H436" s="6">
        <f>IF(Data!I436 = 'Point Intercept 2'!I436, Data!I436, "ERROR")</f>
        <v>9</v>
      </c>
      <c r="I436" s="6">
        <f>IF(Data!H436 = 'Point Intercept 2'!H436, Data!H436, "ERROR")</f>
        <v>1</v>
      </c>
      <c r="J436" s="6">
        <f>IF(Data!J436 = 'Point Intercept 2'!J436, Data!J436, "ERROR")</f>
        <v>7</v>
      </c>
      <c r="K436" s="6" t="str">
        <f>IF(Data!K436 = 'Point Intercept 2'!K436, Data!K436, "ERROR")</f>
        <v>L</v>
      </c>
      <c r="L436" s="6" t="str">
        <f>IF(Data!L436 = 'Point Intercept 2'!L436, Data!L436, "ERROR")</f>
        <v>Litter</v>
      </c>
      <c r="M436" s="6">
        <f>IF(Data!N436 = 'Point Intercept 2'!M437, Data!N436, "ERROR")</f>
        <v>0</v>
      </c>
      <c r="N436" s="6">
        <f>IF(Data!O436 = 'Point Intercept 2'!N437, Data!O436, "ERROR")</f>
        <v>0</v>
      </c>
      <c r="O436" s="6">
        <f>IF(Data!P436 = 'Point Intercept 2'!O437, Data!P436, "ERROR")</f>
        <v>0</v>
      </c>
    </row>
    <row r="437" spans="1:15" x14ac:dyDescent="0.25">
      <c r="A437" s="6">
        <f>IF(Data!A437 = 'Point Intercept 2'!A437, Data!A437, "ERROR")</f>
        <v>5</v>
      </c>
      <c r="B437" s="6">
        <f>IF(Data!B437 = 'Point Intercept 2'!B437, Data!B437, "ERROR")</f>
        <v>2025</v>
      </c>
      <c r="C437" s="8">
        <f>IF(Data!C437 = 'Point Intercept 2'!C437, Data!C437, "ERROR")</f>
        <v>45755</v>
      </c>
      <c r="D437" s="6" t="str">
        <f>IF(Data!D437 = 'Point Intercept 2'!D437, Data!D437, "ERROR")</f>
        <v>TL, JC</v>
      </c>
      <c r="E437" s="6" t="str">
        <f>IF(Data!E437 = 'Point Intercept 2'!E437, Data!E437, "ERROR")</f>
        <v>VB</v>
      </c>
      <c r="F437" s="6">
        <f>IF(Data!F437 = 'Point Intercept 2'!F437, Data!F437, "ERROR")</f>
        <v>3</v>
      </c>
      <c r="G437" s="6" t="str">
        <f>IF(Data!G437 = 'Point Intercept 2'!G437, Data!G437, "ERROR")</f>
        <v>SS</v>
      </c>
      <c r="H437" s="6">
        <f>IF(Data!I437 = 'Point Intercept 2'!I437, Data!I437, "ERROR")</f>
        <v>9</v>
      </c>
      <c r="I437" s="6">
        <f>IF(Data!H437 = 'Point Intercept 2'!H437, Data!H437, "ERROR")</f>
        <v>1</v>
      </c>
      <c r="J437" s="6">
        <f>IF(Data!J437 = 'Point Intercept 2'!J437, Data!J437, "ERROR")</f>
        <v>7</v>
      </c>
      <c r="K437" s="6" t="str">
        <f>IF(Data!K437 = 'Point Intercept 2'!K437, Data!K437, "ERROR")</f>
        <v>ANAARV</v>
      </c>
      <c r="L437" s="6" t="str">
        <f>IF(Data!L437 = 'Point Intercept 2'!L437, Data!L437, "ERROR")</f>
        <v>Anagallis arvensis</v>
      </c>
      <c r="M437" s="6">
        <f>IF(Data!N437 = 'Point Intercept 2'!M438, Data!N437, "ERROR")</f>
        <v>0</v>
      </c>
      <c r="N437" s="6">
        <f>IF(Data!O437 = 'Point Intercept 2'!N438, Data!O437, "ERROR")</f>
        <v>0</v>
      </c>
      <c r="O437" s="6">
        <f>IF(Data!P437 = 'Point Intercept 2'!O438, Data!P437, "ERROR")</f>
        <v>0</v>
      </c>
    </row>
    <row r="438" spans="1:15" x14ac:dyDescent="0.25">
      <c r="A438" s="6">
        <f>IF(Data!A438 = 'Point Intercept 2'!A438, Data!A438, "ERROR")</f>
        <v>5</v>
      </c>
      <c r="B438" s="6">
        <f>IF(Data!B438 = 'Point Intercept 2'!B438, Data!B438, "ERROR")</f>
        <v>2025</v>
      </c>
      <c r="C438" s="8">
        <f>IF(Data!C438 = 'Point Intercept 2'!C438, Data!C438, "ERROR")</f>
        <v>45755</v>
      </c>
      <c r="D438" s="6" t="str">
        <f>IF(Data!D438 = 'Point Intercept 2'!D438, Data!D438, "ERROR")</f>
        <v>TL, JC</v>
      </c>
      <c r="E438" s="6" t="str">
        <f>IF(Data!E438 = 'Point Intercept 2'!E438, Data!E438, "ERROR")</f>
        <v>VB</v>
      </c>
      <c r="F438" s="6">
        <f>IF(Data!F438 = 'Point Intercept 2'!F438, Data!F438, "ERROR")</f>
        <v>3</v>
      </c>
      <c r="G438" s="6" t="str">
        <f>IF(Data!G438 = 'Point Intercept 2'!G438, Data!G438, "ERROR")</f>
        <v>SS</v>
      </c>
      <c r="H438" s="6">
        <f>IF(Data!I438 = 'Point Intercept 2'!I438, Data!I438, "ERROR")</f>
        <v>9</v>
      </c>
      <c r="I438" s="6">
        <f>IF(Data!H438 = 'Point Intercept 2'!H438, Data!H438, "ERROR")</f>
        <v>1</v>
      </c>
      <c r="J438" s="6">
        <f>IF(Data!J438 = 'Point Intercept 2'!J438, Data!J438, "ERROR")</f>
        <v>7</v>
      </c>
      <c r="K438" s="6" t="str">
        <f>IF(Data!K438 = 'Point Intercept 2'!K438, Data!K438, "ERROR")</f>
        <v>EROCIC</v>
      </c>
      <c r="L438" s="6" t="str">
        <f>IF(Data!L438 = 'Point Intercept 2'!L438, Data!L438, "ERROR")</f>
        <v>Erodium cicutarium</v>
      </c>
      <c r="M438" s="6">
        <f>IF(Data!N438 = 'Point Intercept 2'!M439, Data!N438, "ERROR")</f>
        <v>0</v>
      </c>
      <c r="N438" s="6">
        <f>IF(Data!O438 = 'Point Intercept 2'!N439, Data!O438, "ERROR")</f>
        <v>0</v>
      </c>
      <c r="O438" s="6">
        <f>IF(Data!P438 = 'Point Intercept 2'!O439, Data!P438, "ERROR")</f>
        <v>0</v>
      </c>
    </row>
    <row r="439" spans="1:15" x14ac:dyDescent="0.25">
      <c r="A439" s="6">
        <f>IF(Data!A439 = 'Point Intercept 2'!A439, Data!A439, "ERROR")</f>
        <v>5</v>
      </c>
      <c r="B439" s="6">
        <f>IF(Data!B439 = 'Point Intercept 2'!B439, Data!B439, "ERROR")</f>
        <v>2025</v>
      </c>
      <c r="C439" s="8">
        <f>IF(Data!C439 = 'Point Intercept 2'!C439, Data!C439, "ERROR")</f>
        <v>45755</v>
      </c>
      <c r="D439" s="6" t="str">
        <f>IF(Data!D439 = 'Point Intercept 2'!D439, Data!D439, "ERROR")</f>
        <v>TL, JC</v>
      </c>
      <c r="E439" s="6" t="str">
        <f>IF(Data!E439 = 'Point Intercept 2'!E439, Data!E439, "ERROR")</f>
        <v>VB</v>
      </c>
      <c r="F439" s="6">
        <f>IF(Data!F439 = 'Point Intercept 2'!F439, Data!F439, "ERROR")</f>
        <v>3</v>
      </c>
      <c r="G439" s="6" t="str">
        <f>IF(Data!G439 = 'Point Intercept 2'!G439, Data!G439, "ERROR")</f>
        <v>SS</v>
      </c>
      <c r="H439" s="6">
        <f>IF(Data!I439 = 'Point Intercept 2'!I439, Data!I439, "ERROR")</f>
        <v>10</v>
      </c>
      <c r="I439" s="6">
        <f>IF(Data!H439 = 'Point Intercept 2'!H439, Data!H439, "ERROR")</f>
        <v>1</v>
      </c>
      <c r="J439" s="6">
        <f>IF(Data!J439 = 'Point Intercept 2'!J439, Data!J439, "ERROR")</f>
        <v>8</v>
      </c>
      <c r="K439" s="6" t="str">
        <f>IF(Data!K439 = 'Point Intercept 2'!K439, Data!K439, "ERROR")</f>
        <v>L</v>
      </c>
      <c r="L439" s="6" t="str">
        <f>IF(Data!L439 = 'Point Intercept 2'!L439, Data!L439, "ERROR")</f>
        <v>Litter</v>
      </c>
      <c r="M439" s="6">
        <f>IF(Data!N439 = 'Point Intercept 2'!M440, Data!N439, "ERROR")</f>
        <v>0</v>
      </c>
      <c r="N439" s="6">
        <f>IF(Data!O439 = 'Point Intercept 2'!N440, Data!O439, "ERROR")</f>
        <v>0</v>
      </c>
      <c r="O439" s="6">
        <f>IF(Data!P439 = 'Point Intercept 2'!O440, Data!P439, "ERROR")</f>
        <v>0</v>
      </c>
    </row>
    <row r="440" spans="1:15" x14ac:dyDescent="0.25">
      <c r="A440" s="6">
        <f>IF(Data!A440 = 'Point Intercept 2'!A440, Data!A440, "ERROR")</f>
        <v>5</v>
      </c>
      <c r="B440" s="6">
        <f>IF(Data!B440 = 'Point Intercept 2'!B440, Data!B440, "ERROR")</f>
        <v>2025</v>
      </c>
      <c r="C440" s="8">
        <f>IF(Data!C440 = 'Point Intercept 2'!C440, Data!C440, "ERROR")</f>
        <v>45755</v>
      </c>
      <c r="D440" s="6" t="str">
        <f>IF(Data!D440 = 'Point Intercept 2'!D440, Data!D440, "ERROR")</f>
        <v>TL, JC</v>
      </c>
      <c r="E440" s="6" t="str">
        <f>IF(Data!E440 = 'Point Intercept 2'!E440, Data!E440, "ERROR")</f>
        <v>VB</v>
      </c>
      <c r="F440" s="6">
        <f>IF(Data!F440 = 'Point Intercept 2'!F440, Data!F440, "ERROR")</f>
        <v>3</v>
      </c>
      <c r="G440" s="6" t="str">
        <f>IF(Data!G440 = 'Point Intercept 2'!G440, Data!G440, "ERROR")</f>
        <v>SS</v>
      </c>
      <c r="H440" s="6">
        <f>IF(Data!I440 = 'Point Intercept 2'!I440, Data!I440, "ERROR")</f>
        <v>10</v>
      </c>
      <c r="I440" s="6">
        <f>IF(Data!H440 = 'Point Intercept 2'!H440, Data!H440, "ERROR")</f>
        <v>1</v>
      </c>
      <c r="J440" s="6">
        <f>IF(Data!J440 = 'Point Intercept 2'!J440, Data!J440, "ERROR")</f>
        <v>8</v>
      </c>
      <c r="K440" s="6" t="str">
        <f>IF(Data!K440 = 'Point Intercept 2'!K440, Data!K440, "ERROR")</f>
        <v>FESMYU</v>
      </c>
      <c r="L440" s="6" t="str">
        <f>IF(Data!L440 = 'Point Intercept 2'!L440, Data!L440, "ERROR")</f>
        <v>Festuca myuros</v>
      </c>
      <c r="M440" s="6">
        <f>IF(Data!N440 = 'Point Intercept 2'!M441, Data!N440, "ERROR")</f>
        <v>0</v>
      </c>
      <c r="N440" s="6">
        <f>IF(Data!O440 = 'Point Intercept 2'!N441, Data!O440, "ERROR")</f>
        <v>0</v>
      </c>
      <c r="O440" s="6">
        <f>IF(Data!P440 = 'Point Intercept 2'!O441, Data!P440, "ERROR")</f>
        <v>0</v>
      </c>
    </row>
    <row r="441" spans="1:15" x14ac:dyDescent="0.25">
      <c r="A441" s="6">
        <f>IF(Data!A441 = 'Point Intercept 2'!A441, Data!A441, "ERROR")</f>
        <v>5</v>
      </c>
      <c r="B441" s="6">
        <f>IF(Data!B441 = 'Point Intercept 2'!B441, Data!B441, "ERROR")</f>
        <v>2025</v>
      </c>
      <c r="C441" s="8">
        <f>IF(Data!C441 = 'Point Intercept 2'!C441, Data!C441, "ERROR")</f>
        <v>45755</v>
      </c>
      <c r="D441" s="6" t="str">
        <f>IF(Data!D441 = 'Point Intercept 2'!D441, Data!D441, "ERROR")</f>
        <v>TL, JC</v>
      </c>
      <c r="E441" s="6" t="str">
        <f>IF(Data!E441 = 'Point Intercept 2'!E441, Data!E441, "ERROR")</f>
        <v>VB</v>
      </c>
      <c r="F441" s="6">
        <f>IF(Data!F441 = 'Point Intercept 2'!F441, Data!F441, "ERROR")</f>
        <v>3</v>
      </c>
      <c r="G441" s="6" t="str">
        <f>IF(Data!G441 = 'Point Intercept 2'!G441, Data!G441, "ERROR")</f>
        <v>SS</v>
      </c>
      <c r="H441" s="6">
        <f>IF(Data!I441 = 'Point Intercept 2'!I441, Data!I441, "ERROR")</f>
        <v>10</v>
      </c>
      <c r="I441" s="6">
        <f>IF(Data!H441 = 'Point Intercept 2'!H441, Data!H441, "ERROR")</f>
        <v>1</v>
      </c>
      <c r="J441" s="6">
        <f>IF(Data!J441 = 'Point Intercept 2'!J441, Data!J441, "ERROR")</f>
        <v>8</v>
      </c>
      <c r="K441" s="6" t="str">
        <f>IF(Data!K441 = 'Point Intercept 2'!K441, Data!K441, "ERROR")</f>
        <v>DEIFAS</v>
      </c>
      <c r="L441" s="6" t="str">
        <f>IF(Data!L441 = 'Point Intercept 2'!L441, Data!L441, "ERROR")</f>
        <v>Deinandra fasciculata</v>
      </c>
      <c r="M441" s="6">
        <f>IF(Data!N441 = 'Point Intercept 2'!M442, Data!N441, "ERROR")</f>
        <v>0</v>
      </c>
      <c r="N441" s="6">
        <f>IF(Data!O441 = 'Point Intercept 2'!N442, Data!O441, "ERROR")</f>
        <v>0</v>
      </c>
      <c r="O441" s="6">
        <f>IF(Data!P441 = 'Point Intercept 2'!O442, Data!P441, "ERROR")</f>
        <v>0</v>
      </c>
    </row>
    <row r="442" spans="1:15" x14ac:dyDescent="0.25">
      <c r="A442" s="6">
        <f>IF(Data!A442 = 'Point Intercept 2'!A442, Data!A442, "ERROR")</f>
        <v>5</v>
      </c>
      <c r="B442" s="6">
        <f>IF(Data!B442 = 'Point Intercept 2'!B442, Data!B442, "ERROR")</f>
        <v>2025</v>
      </c>
      <c r="C442" s="8">
        <f>IF(Data!C442 = 'Point Intercept 2'!C442, Data!C442, "ERROR")</f>
        <v>45755</v>
      </c>
      <c r="D442" s="6" t="str">
        <f>IF(Data!D442 = 'Point Intercept 2'!D442, Data!D442, "ERROR")</f>
        <v>TL, JC</v>
      </c>
      <c r="E442" s="6" t="str">
        <f>IF(Data!E442 = 'Point Intercept 2'!E442, Data!E442, "ERROR")</f>
        <v>VB</v>
      </c>
      <c r="F442" s="6">
        <f>IF(Data!F442 = 'Point Intercept 2'!F442, Data!F442, "ERROR")</f>
        <v>3</v>
      </c>
      <c r="G442" s="6" t="str">
        <f>IF(Data!G442 = 'Point Intercept 2'!G442, Data!G442, "ERROR")</f>
        <v>SS</v>
      </c>
      <c r="H442" s="6">
        <f>IF(Data!I442 = 'Point Intercept 2'!I442, Data!I442, "ERROR")</f>
        <v>10</v>
      </c>
      <c r="I442" s="6">
        <f>IF(Data!H442 = 'Point Intercept 2'!H442, Data!H442, "ERROR")</f>
        <v>1</v>
      </c>
      <c r="J442" s="6">
        <f>IF(Data!J442 = 'Point Intercept 2'!J442, Data!J442, "ERROR")</f>
        <v>8</v>
      </c>
      <c r="K442" s="6" t="str">
        <f>IF(Data!K442 = 'Point Intercept 2'!K442, Data!K442, "ERROR")</f>
        <v>EROCIC</v>
      </c>
      <c r="L442" s="6" t="str">
        <f>IF(Data!L442 = 'Point Intercept 2'!L442, Data!L442, "ERROR")</f>
        <v>Erodium cicutarium</v>
      </c>
      <c r="M442" s="6">
        <f>IF(Data!N442 = 'Point Intercept 2'!M443, Data!N442, "ERROR")</f>
        <v>0</v>
      </c>
      <c r="N442" s="6">
        <f>IF(Data!O442 = 'Point Intercept 2'!N443, Data!O442, "ERROR")</f>
        <v>0</v>
      </c>
      <c r="O442" s="6">
        <f>IF(Data!P442 = 'Point Intercept 2'!O443, Data!P442, "ERROR")</f>
        <v>0</v>
      </c>
    </row>
    <row r="443" spans="1:15" x14ac:dyDescent="0.25">
      <c r="A443" s="6">
        <f>IF(Data!A443 = 'Point Intercept 2'!A443, Data!A443, "ERROR")</f>
        <v>5</v>
      </c>
      <c r="B443" s="6">
        <f>IF(Data!B443 = 'Point Intercept 2'!B443, Data!B443, "ERROR")</f>
        <v>2025</v>
      </c>
      <c r="C443" s="8">
        <f>IF(Data!C443 = 'Point Intercept 2'!C443, Data!C443, "ERROR")</f>
        <v>45755</v>
      </c>
      <c r="D443" s="6" t="str">
        <f>IF(Data!D443 = 'Point Intercept 2'!D443, Data!D443, "ERROR")</f>
        <v>TL, JC</v>
      </c>
      <c r="E443" s="6" t="str">
        <f>IF(Data!E443 = 'Point Intercept 2'!E443, Data!E443, "ERROR")</f>
        <v>VB</v>
      </c>
      <c r="F443" s="6">
        <f>IF(Data!F443 = 'Point Intercept 2'!F443, Data!F443, "ERROR")</f>
        <v>3</v>
      </c>
      <c r="G443" s="6" t="str">
        <f>IF(Data!G443 = 'Point Intercept 2'!G443, Data!G443, "ERROR")</f>
        <v>SS</v>
      </c>
      <c r="H443" s="6">
        <f>IF(Data!I443 = 'Point Intercept 2'!I443, Data!I443, "ERROR")</f>
        <v>11</v>
      </c>
      <c r="I443" s="6">
        <f>IF(Data!H443 = 'Point Intercept 2'!H443, Data!H443, "ERROR")</f>
        <v>1</v>
      </c>
      <c r="J443" s="6">
        <f>IF(Data!J443 = 'Point Intercept 2'!J443, Data!J443, "ERROR")</f>
        <v>8.5</v>
      </c>
      <c r="K443" s="6" t="str">
        <f>IF(Data!K443 = 'Point Intercept 2'!K443, Data!K443, "ERROR")</f>
        <v>B</v>
      </c>
      <c r="L443" s="6" t="str">
        <f>IF(Data!L443 = 'Point Intercept 2'!L443, Data!L443, "ERROR")</f>
        <v>Bareground</v>
      </c>
      <c r="M443" s="6">
        <f>IF(Data!N443 = 'Point Intercept 2'!M444, Data!N443, "ERROR")</f>
        <v>0</v>
      </c>
      <c r="N443" s="6">
        <f>IF(Data!O443 = 'Point Intercept 2'!N444, Data!O443, "ERROR")</f>
        <v>0</v>
      </c>
      <c r="O443" s="6">
        <f>IF(Data!P443 = 'Point Intercept 2'!O444, Data!P443, "ERROR")</f>
        <v>0</v>
      </c>
    </row>
    <row r="444" spans="1:15" x14ac:dyDescent="0.25">
      <c r="A444" s="6">
        <f>IF(Data!A444 = 'Point Intercept 2'!A444, Data!A444, "ERROR")</f>
        <v>5</v>
      </c>
      <c r="B444" s="6">
        <f>IF(Data!B444 = 'Point Intercept 2'!B444, Data!B444, "ERROR")</f>
        <v>2025</v>
      </c>
      <c r="C444" s="8">
        <f>IF(Data!C444 = 'Point Intercept 2'!C444, Data!C444, "ERROR")</f>
        <v>45755</v>
      </c>
      <c r="D444" s="6" t="str">
        <f>IF(Data!D444 = 'Point Intercept 2'!D444, Data!D444, "ERROR")</f>
        <v>TL, JC</v>
      </c>
      <c r="E444" s="6" t="str">
        <f>IF(Data!E444 = 'Point Intercept 2'!E444, Data!E444, "ERROR")</f>
        <v>VB</v>
      </c>
      <c r="F444" s="6">
        <f>IF(Data!F444 = 'Point Intercept 2'!F444, Data!F444, "ERROR")</f>
        <v>3</v>
      </c>
      <c r="G444" s="6" t="str">
        <f>IF(Data!G444 = 'Point Intercept 2'!G444, Data!G444, "ERROR")</f>
        <v>SS</v>
      </c>
      <c r="H444" s="6">
        <f>IF(Data!I444 = 'Point Intercept 2'!I444, Data!I444, "ERROR")</f>
        <v>11</v>
      </c>
      <c r="I444" s="6">
        <f>IF(Data!H444 = 'Point Intercept 2'!H444, Data!H444, "ERROR")</f>
        <v>1</v>
      </c>
      <c r="J444" s="6">
        <f>IF(Data!J444 = 'Point Intercept 2'!J444, Data!J444, "ERROR")</f>
        <v>8.5</v>
      </c>
      <c r="K444" s="6" t="str">
        <f>IF(Data!K444 = 'Point Intercept 2'!K444, Data!K444, "ERROR")</f>
        <v>BRANIG</v>
      </c>
      <c r="L444" s="6" t="str">
        <f>IF(Data!L444 = 'Point Intercept 2'!L444, Data!L444, "ERROR")</f>
        <v>Brassica nigra</v>
      </c>
      <c r="M444" s="6">
        <f>IF(Data!N444 = 'Point Intercept 2'!M445, Data!N444, "ERROR")</f>
        <v>0</v>
      </c>
      <c r="N444" s="6">
        <f>IF(Data!O444 = 'Point Intercept 2'!N445, Data!O444, "ERROR")</f>
        <v>0</v>
      </c>
      <c r="O444" s="6">
        <f>IF(Data!P444 = 'Point Intercept 2'!O445, Data!P444, "ERROR")</f>
        <v>0</v>
      </c>
    </row>
    <row r="445" spans="1:15" x14ac:dyDescent="0.25">
      <c r="A445" s="6">
        <f>IF(Data!A445 = 'Point Intercept 2'!A445, Data!A445, "ERROR")</f>
        <v>5</v>
      </c>
      <c r="B445" s="6">
        <f>IF(Data!B445 = 'Point Intercept 2'!B445, Data!B445, "ERROR")</f>
        <v>2025</v>
      </c>
      <c r="C445" s="8">
        <f>IF(Data!C445 = 'Point Intercept 2'!C445, Data!C445, "ERROR")</f>
        <v>45755</v>
      </c>
      <c r="D445" s="6" t="str">
        <f>IF(Data!D445 = 'Point Intercept 2'!D445, Data!D445, "ERROR")</f>
        <v>TL, JC</v>
      </c>
      <c r="E445" s="6" t="str">
        <f>IF(Data!E445 = 'Point Intercept 2'!E445, Data!E445, "ERROR")</f>
        <v>VB</v>
      </c>
      <c r="F445" s="6">
        <f>IF(Data!F445 = 'Point Intercept 2'!F445, Data!F445, "ERROR")</f>
        <v>3</v>
      </c>
      <c r="G445" s="6" t="str">
        <f>IF(Data!G445 = 'Point Intercept 2'!G445, Data!G445, "ERROR")</f>
        <v>SS</v>
      </c>
      <c r="H445" s="6">
        <f>IF(Data!I445 = 'Point Intercept 2'!I445, Data!I445, "ERROR")</f>
        <v>12</v>
      </c>
      <c r="I445" s="6">
        <f>IF(Data!H445 = 'Point Intercept 2'!H445, Data!H445, "ERROR")</f>
        <v>1</v>
      </c>
      <c r="J445" s="6">
        <f>IF(Data!J445 = 'Point Intercept 2'!J445, Data!J445, "ERROR")</f>
        <v>9</v>
      </c>
      <c r="K445" s="6" t="str">
        <f>IF(Data!K445 = 'Point Intercept 2'!K445, Data!K445, "ERROR")</f>
        <v>L</v>
      </c>
      <c r="L445" s="6" t="str">
        <f>IF(Data!L445 = 'Point Intercept 2'!L445, Data!L445, "ERROR")</f>
        <v>Litter</v>
      </c>
      <c r="M445" s="6">
        <f>IF(Data!N445 = 'Point Intercept 2'!M446, Data!N445, "ERROR")</f>
        <v>0</v>
      </c>
      <c r="N445" s="6">
        <f>IF(Data!O445 = 'Point Intercept 2'!N446, Data!O445, "ERROR")</f>
        <v>0</v>
      </c>
      <c r="O445" s="6">
        <f>IF(Data!P445 = 'Point Intercept 2'!O446, Data!P445, "ERROR")</f>
        <v>0</v>
      </c>
    </row>
    <row r="446" spans="1:15" x14ac:dyDescent="0.25">
      <c r="A446" s="6">
        <f>IF(Data!A446 = 'Point Intercept 2'!A446, Data!A446, "ERROR")</f>
        <v>5</v>
      </c>
      <c r="B446" s="6">
        <f>IF(Data!B446 = 'Point Intercept 2'!B446, Data!B446, "ERROR")</f>
        <v>2025</v>
      </c>
      <c r="C446" s="8">
        <f>IF(Data!C446 = 'Point Intercept 2'!C446, Data!C446, "ERROR")</f>
        <v>45755</v>
      </c>
      <c r="D446" s="6" t="str">
        <f>IF(Data!D446 = 'Point Intercept 2'!D446, Data!D446, "ERROR")</f>
        <v>TL, JC</v>
      </c>
      <c r="E446" s="6" t="str">
        <f>IF(Data!E446 = 'Point Intercept 2'!E446, Data!E446, "ERROR")</f>
        <v>VB</v>
      </c>
      <c r="F446" s="6">
        <f>IF(Data!F446 = 'Point Intercept 2'!F446, Data!F446, "ERROR")</f>
        <v>3</v>
      </c>
      <c r="G446" s="6" t="str">
        <f>IF(Data!G446 = 'Point Intercept 2'!G446, Data!G446, "ERROR")</f>
        <v>SS</v>
      </c>
      <c r="H446" s="6">
        <f>IF(Data!I446 = 'Point Intercept 2'!I446, Data!I446, "ERROR")</f>
        <v>12</v>
      </c>
      <c r="I446" s="6">
        <f>IF(Data!H446 = 'Point Intercept 2'!H446, Data!H446, "ERROR")</f>
        <v>1</v>
      </c>
      <c r="J446" s="6">
        <f>IF(Data!J446 = 'Point Intercept 2'!J446, Data!J446, "ERROR")</f>
        <v>9</v>
      </c>
      <c r="K446" s="6" t="str">
        <f>IF(Data!K446 = 'Point Intercept 2'!K446, Data!K446, "ERROR")</f>
        <v>SONASP</v>
      </c>
      <c r="L446" s="6" t="str">
        <f>IF(Data!L446 = 'Point Intercept 2'!L446, Data!L446, "ERROR")</f>
        <v>Sonchus asper</v>
      </c>
    </row>
    <row r="447" spans="1:15" x14ac:dyDescent="0.25">
      <c r="A447" s="6">
        <f>IF(Data!A447 = 'Point Intercept 2'!A447, Data!A447, "ERROR")</f>
        <v>5</v>
      </c>
      <c r="B447" s="6">
        <f>IF(Data!B447 = 'Point Intercept 2'!B447, Data!B447, "ERROR")</f>
        <v>2025</v>
      </c>
      <c r="C447" s="8">
        <f>IF(Data!C447 = 'Point Intercept 2'!C447, Data!C447, "ERROR")</f>
        <v>45755</v>
      </c>
      <c r="D447" s="6" t="str">
        <f>IF(Data!D447 = 'Point Intercept 2'!D447, Data!D447, "ERROR")</f>
        <v>TL, JC</v>
      </c>
      <c r="E447" s="6" t="str">
        <f>IF(Data!E447 = 'Point Intercept 2'!E447, Data!E447, "ERROR")</f>
        <v>VB</v>
      </c>
      <c r="F447" s="6">
        <f>IF(Data!F447 = 'Point Intercept 2'!F447, Data!F447, "ERROR")</f>
        <v>3</v>
      </c>
      <c r="G447" s="6" t="str">
        <f>IF(Data!G447 = 'Point Intercept 2'!G447, Data!G447, "ERROR")</f>
        <v>SS</v>
      </c>
      <c r="H447" s="6">
        <f>IF(Data!I447 = 'Point Intercept 2'!I447, Data!I447, "ERROR")</f>
        <v>13</v>
      </c>
      <c r="I447" s="6">
        <f>IF(Data!H447 = 'Point Intercept 2'!H447, Data!H447, "ERROR")</f>
        <v>1</v>
      </c>
      <c r="J447" s="6">
        <f>IF(Data!J447 = 'Point Intercept 2'!J447, Data!J447, "ERROR")</f>
        <v>10</v>
      </c>
      <c r="K447" s="6" t="str">
        <f>IF(Data!K447 = 'Point Intercept 2'!K447, Data!K447, "ERROR")</f>
        <v>L</v>
      </c>
      <c r="L447" s="6" t="str">
        <f>IF(Data!L447 = 'Point Intercept 2'!L447, Data!L447, "ERROR")</f>
        <v>Litter</v>
      </c>
    </row>
    <row r="448" spans="1:15" x14ac:dyDescent="0.25">
      <c r="A448" s="6">
        <f>IF(Data!A448 = 'Point Intercept 2'!A448, Data!A448, "ERROR")</f>
        <v>5</v>
      </c>
      <c r="B448" s="6">
        <f>IF(Data!B448 = 'Point Intercept 2'!B448, Data!B448, "ERROR")</f>
        <v>2025</v>
      </c>
      <c r="C448" s="8">
        <f>IF(Data!C448 = 'Point Intercept 2'!C448, Data!C448, "ERROR")</f>
        <v>45755</v>
      </c>
      <c r="D448" s="6" t="str">
        <f>IF(Data!D448 = 'Point Intercept 2'!D448, Data!D448, "ERROR")</f>
        <v>TL, JC</v>
      </c>
      <c r="E448" s="6" t="str">
        <f>IF(Data!E448 = 'Point Intercept 2'!E448, Data!E448, "ERROR")</f>
        <v>VB</v>
      </c>
      <c r="F448" s="6">
        <f>IF(Data!F448 = 'Point Intercept 2'!F448, Data!F448, "ERROR")</f>
        <v>3</v>
      </c>
      <c r="G448" s="6" t="str">
        <f>IF(Data!G448 = 'Point Intercept 2'!G448, Data!G448, "ERROR")</f>
        <v>SS</v>
      </c>
      <c r="H448" s="6">
        <f>IF(Data!I448 = 'Point Intercept 2'!I448, Data!I448, "ERROR")</f>
        <v>13</v>
      </c>
      <c r="I448" s="6">
        <f>IF(Data!H448 = 'Point Intercept 2'!H448, Data!H448, "ERROR")</f>
        <v>1</v>
      </c>
      <c r="J448" s="6">
        <f>IF(Data!J448 = 'Point Intercept 2'!J448, Data!J448, "ERROR")</f>
        <v>10</v>
      </c>
      <c r="K448" s="6" t="str">
        <f>IF(Data!K448 = 'Point Intercept 2'!K448, Data!K448, "ERROR")</f>
        <v>SONASP</v>
      </c>
      <c r="L448" s="6" t="str">
        <f>IF(Data!L448 = 'Point Intercept 2'!L448, Data!L448, "ERROR")</f>
        <v>Sonchus asper</v>
      </c>
    </row>
    <row r="449" spans="1:12" x14ac:dyDescent="0.25">
      <c r="A449" s="6">
        <f>IF(Data!A449 = 'Point Intercept 2'!A449, Data!A449, "ERROR")</f>
        <v>5</v>
      </c>
      <c r="B449" s="6">
        <f>IF(Data!B449 = 'Point Intercept 2'!B449, Data!B449, "ERROR")</f>
        <v>2025</v>
      </c>
      <c r="C449" s="8">
        <f>IF(Data!C449 = 'Point Intercept 2'!C449, Data!C449, "ERROR")</f>
        <v>45755</v>
      </c>
      <c r="D449" s="6" t="str">
        <f>IF(Data!D449 = 'Point Intercept 2'!D449, Data!D449, "ERROR")</f>
        <v>TL, JC</v>
      </c>
      <c r="E449" s="6" t="str">
        <f>IF(Data!E449 = 'Point Intercept 2'!E449, Data!E449, "ERROR")</f>
        <v>VB</v>
      </c>
      <c r="F449" s="6">
        <f>IF(Data!F449 = 'Point Intercept 2'!F449, Data!F449, "ERROR")</f>
        <v>3</v>
      </c>
      <c r="G449" s="6" t="str">
        <f>IF(Data!G449 = 'Point Intercept 2'!G449, Data!G449, "ERROR")</f>
        <v>SS</v>
      </c>
      <c r="H449" s="6">
        <f>IF(Data!I449 = 'Point Intercept 2'!I449, Data!I449, "ERROR")</f>
        <v>14</v>
      </c>
      <c r="I449" s="6">
        <f>IF(Data!H449 = 'Point Intercept 2'!H449, Data!H449, "ERROR")</f>
        <v>1</v>
      </c>
      <c r="J449" s="6">
        <f>IF(Data!J449 = 'Point Intercept 2'!J449, Data!J449, "ERROR")</f>
        <v>11</v>
      </c>
      <c r="K449" s="6" t="str">
        <f>IF(Data!K449 = 'Point Intercept 2'!K449, Data!K449, "ERROR")</f>
        <v>B</v>
      </c>
      <c r="L449" s="6" t="str">
        <f>IF(Data!L449 = 'Point Intercept 2'!L449, Data!L449, "ERROR")</f>
        <v>Bareground</v>
      </c>
    </row>
    <row r="450" spans="1:12" x14ac:dyDescent="0.25">
      <c r="A450" s="6">
        <f>IF(Data!A450 = 'Point Intercept 2'!A450, Data!A450, "ERROR")</f>
        <v>5</v>
      </c>
      <c r="B450" s="6">
        <f>IF(Data!B450 = 'Point Intercept 2'!B450, Data!B450, "ERROR")</f>
        <v>2025</v>
      </c>
      <c r="C450" s="8">
        <f>IF(Data!C450 = 'Point Intercept 2'!C450, Data!C450, "ERROR")</f>
        <v>45755</v>
      </c>
      <c r="D450" s="6" t="str">
        <f>IF(Data!D450 = 'Point Intercept 2'!D450, Data!D450, "ERROR")</f>
        <v>TL, JC</v>
      </c>
      <c r="E450" s="6" t="str">
        <f>IF(Data!E450 = 'Point Intercept 2'!E450, Data!E450, "ERROR")</f>
        <v>VB</v>
      </c>
      <c r="F450" s="6">
        <f>IF(Data!F450 = 'Point Intercept 2'!F450, Data!F450, "ERROR")</f>
        <v>3</v>
      </c>
      <c r="G450" s="6" t="str">
        <f>IF(Data!G450 = 'Point Intercept 2'!G450, Data!G450, "ERROR")</f>
        <v>SS</v>
      </c>
      <c r="H450" s="6">
        <f>IF(Data!I450 = 'Point Intercept 2'!I450, Data!I450, "ERROR")</f>
        <v>15</v>
      </c>
      <c r="I450" s="6">
        <f>IF(Data!H450 = 'Point Intercept 2'!H450, Data!H450, "ERROR")</f>
        <v>1</v>
      </c>
      <c r="J450" s="6">
        <f>IF(Data!J450 = 'Point Intercept 2'!J450, Data!J450, "ERROR")</f>
        <v>12</v>
      </c>
      <c r="K450" s="6" t="str">
        <f>IF(Data!K450 = 'Point Intercept 2'!K450, Data!K450, "ERROR")</f>
        <v>B</v>
      </c>
      <c r="L450" s="6" t="str">
        <f>IF(Data!L450 = 'Point Intercept 2'!L450, Data!L450, "ERROR")</f>
        <v>Bareground</v>
      </c>
    </row>
    <row r="451" spans="1:12" x14ac:dyDescent="0.25">
      <c r="A451" s="6">
        <f>IF(Data!A451 = 'Point Intercept 2'!A451, Data!A451, "ERROR")</f>
        <v>5</v>
      </c>
      <c r="B451" s="6">
        <f>IF(Data!B451 = 'Point Intercept 2'!B451, Data!B451, "ERROR")</f>
        <v>2025</v>
      </c>
      <c r="C451" s="8">
        <f>IF(Data!C451 = 'Point Intercept 2'!C451, Data!C451, "ERROR")</f>
        <v>45755</v>
      </c>
      <c r="D451" s="6" t="str">
        <f>IF(Data!D451 = 'Point Intercept 2'!D451, Data!D451, "ERROR")</f>
        <v>TL, JC</v>
      </c>
      <c r="E451" s="6" t="str">
        <f>IF(Data!E451 = 'Point Intercept 2'!E451, Data!E451, "ERROR")</f>
        <v>VB</v>
      </c>
      <c r="F451" s="6">
        <f>IF(Data!F451 = 'Point Intercept 2'!F451, Data!F451, "ERROR")</f>
        <v>3</v>
      </c>
      <c r="G451" s="6" t="str">
        <f>IF(Data!G451 = 'Point Intercept 2'!G451, Data!G451, "ERROR")</f>
        <v>SS</v>
      </c>
      <c r="H451" s="6">
        <f>IF(Data!I451 = 'Point Intercept 2'!I451, Data!I451, "ERROR")</f>
        <v>1</v>
      </c>
      <c r="I451" s="6">
        <f>IF(Data!H451 = 'Point Intercept 2'!H451, Data!H451, "ERROR")</f>
        <v>2</v>
      </c>
      <c r="J451" s="6">
        <f>IF(Data!J451 = 'Point Intercept 2'!J451, Data!J451, "ERROR")</f>
        <v>0</v>
      </c>
      <c r="K451" s="6" t="str">
        <f>IF(Data!K451 = 'Point Intercept 2'!K451, Data!K451, "ERROR")</f>
        <v>L</v>
      </c>
      <c r="L451" s="6" t="str">
        <f>IF(Data!L451 = 'Point Intercept 2'!L451, Data!L451, "ERROR")</f>
        <v>Litter</v>
      </c>
    </row>
    <row r="452" spans="1:12" x14ac:dyDescent="0.25">
      <c r="A452" s="6">
        <f>IF(Data!A452 = 'Point Intercept 2'!A452, Data!A452, "ERROR")</f>
        <v>5</v>
      </c>
      <c r="B452" s="6">
        <f>IF(Data!B452 = 'Point Intercept 2'!B452, Data!B452, "ERROR")</f>
        <v>2025</v>
      </c>
      <c r="C452" s="8">
        <f>IF(Data!C452 = 'Point Intercept 2'!C452, Data!C452, "ERROR")</f>
        <v>45755</v>
      </c>
      <c r="D452" s="6" t="str">
        <f>IF(Data!D452 = 'Point Intercept 2'!D452, Data!D452, "ERROR")</f>
        <v>TL, JC</v>
      </c>
      <c r="E452" s="6" t="str">
        <f>IF(Data!E452 = 'Point Intercept 2'!E452, Data!E452, "ERROR")</f>
        <v>VB</v>
      </c>
      <c r="F452" s="6">
        <f>IF(Data!F452 = 'Point Intercept 2'!F452, Data!F452, "ERROR")</f>
        <v>3</v>
      </c>
      <c r="G452" s="6" t="str">
        <f>IF(Data!G452 = 'Point Intercept 2'!G452, Data!G452, "ERROR")</f>
        <v>SS</v>
      </c>
      <c r="H452" s="6">
        <f>IF(Data!I452 = 'Point Intercept 2'!I452, Data!I452, "ERROR")</f>
        <v>1</v>
      </c>
      <c r="I452" s="6">
        <f>IF(Data!H452 = 'Point Intercept 2'!H452, Data!H452, "ERROR")</f>
        <v>2</v>
      </c>
      <c r="J452" s="6">
        <f>IF(Data!J452 = 'Point Intercept 2'!J452, Data!J452, "ERROR")</f>
        <v>0</v>
      </c>
      <c r="K452" s="6" t="str">
        <f>IF(Data!K452 = 'Point Intercept 2'!K452, Data!K452, "ERROR")</f>
        <v>CYLPRO</v>
      </c>
      <c r="L452" s="6" t="str">
        <f>IF(Data!L452 = 'Point Intercept 2'!L452, Data!L452, "ERROR")</f>
        <v>Cylindropuntia prolifera</v>
      </c>
    </row>
    <row r="453" spans="1:12" x14ac:dyDescent="0.25">
      <c r="A453" s="6">
        <f>IF(Data!A453 = 'Point Intercept 2'!A453, Data!A453, "ERROR")</f>
        <v>5</v>
      </c>
      <c r="B453" s="6">
        <f>IF(Data!B453 = 'Point Intercept 2'!B453, Data!B453, "ERROR")</f>
        <v>2025</v>
      </c>
      <c r="C453" s="8">
        <f>IF(Data!C453 = 'Point Intercept 2'!C453, Data!C453, "ERROR")</f>
        <v>45755</v>
      </c>
      <c r="D453" s="6" t="str">
        <f>IF(Data!D453 = 'Point Intercept 2'!D453, Data!D453, "ERROR")</f>
        <v>TL, JC</v>
      </c>
      <c r="E453" s="6" t="str">
        <f>IF(Data!E453 = 'Point Intercept 2'!E453, Data!E453, "ERROR")</f>
        <v>VB</v>
      </c>
      <c r="F453" s="6">
        <f>IF(Data!F453 = 'Point Intercept 2'!F453, Data!F453, "ERROR")</f>
        <v>3</v>
      </c>
      <c r="G453" s="6" t="str">
        <f>IF(Data!G453 = 'Point Intercept 2'!G453, Data!G453, "ERROR")</f>
        <v>SS</v>
      </c>
      <c r="H453" s="6">
        <f>IF(Data!I453 = 'Point Intercept 2'!I453, Data!I453, "ERROR")</f>
        <v>1</v>
      </c>
      <c r="I453" s="6">
        <f>IF(Data!H453 = 'Point Intercept 2'!H453, Data!H453, "ERROR")</f>
        <v>2</v>
      </c>
      <c r="J453" s="6">
        <f>IF(Data!J453 = 'Point Intercept 2'!J453, Data!J453, "ERROR")</f>
        <v>0</v>
      </c>
      <c r="K453" s="6" t="str">
        <f>IF(Data!K453 = 'Point Intercept 2'!K453, Data!K453, "ERROR")</f>
        <v>MEDPOL</v>
      </c>
      <c r="L453" s="6" t="str">
        <f>IF(Data!L453 = 'Point Intercept 2'!L453, Data!L453, "ERROR")</f>
        <v>Medicago polymorpha</v>
      </c>
    </row>
    <row r="454" spans="1:12" x14ac:dyDescent="0.25">
      <c r="A454" s="6">
        <f>IF(Data!A454 = 'Point Intercept 2'!A454, Data!A454, "ERROR")</f>
        <v>5</v>
      </c>
      <c r="B454" s="6">
        <f>IF(Data!B454 = 'Point Intercept 2'!B454, Data!B454, "ERROR")</f>
        <v>2025</v>
      </c>
      <c r="C454" s="8">
        <f>IF(Data!C454 = 'Point Intercept 2'!C454, Data!C454, "ERROR")</f>
        <v>45755</v>
      </c>
      <c r="D454" s="6" t="str">
        <f>IF(Data!D454 = 'Point Intercept 2'!D454, Data!D454, "ERROR")</f>
        <v>TL, JC</v>
      </c>
      <c r="E454" s="6" t="str">
        <f>IF(Data!E454 = 'Point Intercept 2'!E454, Data!E454, "ERROR")</f>
        <v>VB</v>
      </c>
      <c r="F454" s="6">
        <f>IF(Data!F454 = 'Point Intercept 2'!F454, Data!F454, "ERROR")</f>
        <v>3</v>
      </c>
      <c r="G454" s="6" t="str">
        <f>IF(Data!G454 = 'Point Intercept 2'!G454, Data!G454, "ERROR")</f>
        <v>SS</v>
      </c>
      <c r="H454" s="6">
        <f>IF(Data!I454 = 'Point Intercept 2'!I454, Data!I454, "ERROR")</f>
        <v>1</v>
      </c>
      <c r="I454" s="6">
        <f>IF(Data!H454 = 'Point Intercept 2'!H454, Data!H454, "ERROR")</f>
        <v>2</v>
      </c>
      <c r="J454" s="6">
        <f>IF(Data!J454 = 'Point Intercept 2'!J454, Data!J454, "ERROR")</f>
        <v>0</v>
      </c>
      <c r="K454" s="6" t="str">
        <f>IF(Data!K454 = 'Point Intercept 2'!K454, Data!K454, "ERROR")</f>
        <v>FESMYU</v>
      </c>
      <c r="L454" s="6" t="str">
        <f>IF(Data!L454 = 'Point Intercept 2'!L454, Data!L454, "ERROR")</f>
        <v>Festuca myuros</v>
      </c>
    </row>
    <row r="455" spans="1:12" x14ac:dyDescent="0.25">
      <c r="A455" s="6">
        <f>IF(Data!A455 = 'Point Intercept 2'!A455, Data!A455, "ERROR")</f>
        <v>5</v>
      </c>
      <c r="B455" s="6">
        <f>IF(Data!B455 = 'Point Intercept 2'!B455, Data!B455, "ERROR")</f>
        <v>2025</v>
      </c>
      <c r="C455" s="8">
        <f>IF(Data!C455 = 'Point Intercept 2'!C455, Data!C455, "ERROR")</f>
        <v>45755</v>
      </c>
      <c r="D455" s="6" t="str">
        <f>IF(Data!D455 = 'Point Intercept 2'!D455, Data!D455, "ERROR")</f>
        <v>TL, JC</v>
      </c>
      <c r="E455" s="6" t="str">
        <f>IF(Data!E455 = 'Point Intercept 2'!E455, Data!E455, "ERROR")</f>
        <v>VB</v>
      </c>
      <c r="F455" s="6">
        <f>IF(Data!F455 = 'Point Intercept 2'!F455, Data!F455, "ERROR")</f>
        <v>3</v>
      </c>
      <c r="G455" s="6" t="str">
        <f>IF(Data!G455 = 'Point Intercept 2'!G455, Data!G455, "ERROR")</f>
        <v>SS</v>
      </c>
      <c r="H455" s="6">
        <f>IF(Data!I455 = 'Point Intercept 2'!I455, Data!I455, "ERROR")</f>
        <v>1</v>
      </c>
      <c r="I455" s="6">
        <f>IF(Data!H455 = 'Point Intercept 2'!H455, Data!H455, "ERROR")</f>
        <v>2</v>
      </c>
      <c r="J455" s="6">
        <f>IF(Data!J455 = 'Point Intercept 2'!J455, Data!J455, "ERROR")</f>
        <v>0</v>
      </c>
      <c r="K455" s="6" t="str">
        <f>IF(Data!K455 = 'Point Intercept 2'!K455, Data!K455, "ERROR")</f>
        <v>SONOLE</v>
      </c>
      <c r="L455" s="6" t="str">
        <f>IF(Data!L455 = 'Point Intercept 2'!L455, Data!L455, "ERROR")</f>
        <v>Sonchus oleraceus</v>
      </c>
    </row>
    <row r="456" spans="1:12" x14ac:dyDescent="0.25">
      <c r="A456" s="6">
        <f>IF(Data!A456 = 'Point Intercept 2'!A456, Data!A456, "ERROR")</f>
        <v>5</v>
      </c>
      <c r="B456" s="6">
        <f>IF(Data!B456 = 'Point Intercept 2'!B456, Data!B456, "ERROR")</f>
        <v>2025</v>
      </c>
      <c r="C456" s="8">
        <f>IF(Data!C456 = 'Point Intercept 2'!C456, Data!C456, "ERROR")</f>
        <v>45755</v>
      </c>
      <c r="D456" s="6" t="str">
        <f>IF(Data!D456 = 'Point Intercept 2'!D456, Data!D456, "ERROR")</f>
        <v>TL, JC</v>
      </c>
      <c r="E456" s="6" t="str">
        <f>IF(Data!E456 = 'Point Intercept 2'!E456, Data!E456, "ERROR")</f>
        <v>VB</v>
      </c>
      <c r="F456" s="6">
        <f>IF(Data!F456 = 'Point Intercept 2'!F456, Data!F456, "ERROR")</f>
        <v>3</v>
      </c>
      <c r="G456" s="6" t="str">
        <f>IF(Data!G456 = 'Point Intercept 2'!G456, Data!G456, "ERROR")</f>
        <v>SS</v>
      </c>
      <c r="H456" s="6">
        <f>IF(Data!I456 = 'Point Intercept 2'!I456, Data!I456, "ERROR")</f>
        <v>2</v>
      </c>
      <c r="I456" s="6">
        <f>IF(Data!H456 = 'Point Intercept 2'!H456, Data!H456, "ERROR")</f>
        <v>2</v>
      </c>
      <c r="J456" s="6">
        <f>IF(Data!J456 = 'Point Intercept 2'!J456, Data!J456, "ERROR")</f>
        <v>1</v>
      </c>
      <c r="K456" s="6" t="str">
        <f>IF(Data!K456 = 'Point Intercept 2'!K456, Data!K456, "ERROR")</f>
        <v>L</v>
      </c>
      <c r="L456" s="6" t="str">
        <f>IF(Data!L456 = 'Point Intercept 2'!L456, Data!L456, "ERROR")</f>
        <v>Litter</v>
      </c>
    </row>
    <row r="457" spans="1:12" x14ac:dyDescent="0.25">
      <c r="A457" s="6">
        <f>IF(Data!A457 = 'Point Intercept 2'!A457, Data!A457, "ERROR")</f>
        <v>5</v>
      </c>
      <c r="B457" s="6">
        <f>IF(Data!B457 = 'Point Intercept 2'!B457, Data!B457, "ERROR")</f>
        <v>2025</v>
      </c>
      <c r="C457" s="8">
        <f>IF(Data!C457 = 'Point Intercept 2'!C457, Data!C457, "ERROR")</f>
        <v>45755</v>
      </c>
      <c r="D457" s="6" t="str">
        <f>IF(Data!D457 = 'Point Intercept 2'!D457, Data!D457, "ERROR")</f>
        <v>TL, JC</v>
      </c>
      <c r="E457" s="6" t="str">
        <f>IF(Data!E457 = 'Point Intercept 2'!E457, Data!E457, "ERROR")</f>
        <v>VB</v>
      </c>
      <c r="F457" s="6">
        <f>IF(Data!F457 = 'Point Intercept 2'!F457, Data!F457, "ERROR")</f>
        <v>3</v>
      </c>
      <c r="G457" s="6" t="str">
        <f>IF(Data!G457 = 'Point Intercept 2'!G457, Data!G457, "ERROR")</f>
        <v>SS</v>
      </c>
      <c r="H457" s="6">
        <f>IF(Data!I457 = 'Point Intercept 2'!I457, Data!I457, "ERROR")</f>
        <v>2</v>
      </c>
      <c r="I457" s="6">
        <f>IF(Data!H457 = 'Point Intercept 2'!H457, Data!H457, "ERROR")</f>
        <v>2</v>
      </c>
      <c r="J457" s="6">
        <f>IF(Data!J457 = 'Point Intercept 2'!J457, Data!J457, "ERROR")</f>
        <v>1</v>
      </c>
      <c r="K457" s="6" t="str">
        <f>IF(Data!K457 = 'Point Intercept 2'!K457, Data!K457, "ERROR")</f>
        <v>SONOLE</v>
      </c>
      <c r="L457" s="6" t="str">
        <f>IF(Data!L457 = 'Point Intercept 2'!L457, Data!L457, "ERROR")</f>
        <v>Sonchus oleraceus</v>
      </c>
    </row>
    <row r="458" spans="1:12" x14ac:dyDescent="0.25">
      <c r="A458" s="6">
        <f>IF(Data!A458 = 'Point Intercept 2'!A458, Data!A458, "ERROR")</f>
        <v>5</v>
      </c>
      <c r="B458" s="6">
        <f>IF(Data!B458 = 'Point Intercept 2'!B458, Data!B458, "ERROR")</f>
        <v>2025</v>
      </c>
      <c r="C458" s="8">
        <f>IF(Data!C458 = 'Point Intercept 2'!C458, Data!C458, "ERROR")</f>
        <v>45755</v>
      </c>
      <c r="D458" s="6" t="str">
        <f>IF(Data!D458 = 'Point Intercept 2'!D458, Data!D458, "ERROR")</f>
        <v>TL, JC</v>
      </c>
      <c r="E458" s="6" t="str">
        <f>IF(Data!E458 = 'Point Intercept 2'!E458, Data!E458, "ERROR")</f>
        <v>VB</v>
      </c>
      <c r="F458" s="6">
        <f>IF(Data!F458 = 'Point Intercept 2'!F458, Data!F458, "ERROR")</f>
        <v>3</v>
      </c>
      <c r="G458" s="6" t="str">
        <f>IF(Data!G458 = 'Point Intercept 2'!G458, Data!G458, "ERROR")</f>
        <v>SS</v>
      </c>
      <c r="H458" s="6">
        <f>IF(Data!I458 = 'Point Intercept 2'!I458, Data!I458, "ERROR")</f>
        <v>2</v>
      </c>
      <c r="I458" s="6">
        <f>IF(Data!H458 = 'Point Intercept 2'!H458, Data!H458, "ERROR")</f>
        <v>2</v>
      </c>
      <c r="J458" s="6">
        <f>IF(Data!J458 = 'Point Intercept 2'!J458, Data!J458, "ERROR")</f>
        <v>1</v>
      </c>
      <c r="K458" s="6" t="str">
        <f>IF(Data!K458 = 'Point Intercept 2'!K458, Data!K458, "ERROR")</f>
        <v>MEDPOL</v>
      </c>
      <c r="L458" s="6" t="str">
        <f>IF(Data!L458 = 'Point Intercept 2'!L458, Data!L458, "ERROR")</f>
        <v>Medicago polymorpha</v>
      </c>
    </row>
    <row r="459" spans="1:12" x14ac:dyDescent="0.25">
      <c r="A459" s="6">
        <f>IF(Data!A459 = 'Point Intercept 2'!A459, Data!A459, "ERROR")</f>
        <v>5</v>
      </c>
      <c r="B459" s="6">
        <f>IF(Data!B459 = 'Point Intercept 2'!B459, Data!B459, "ERROR")</f>
        <v>2025</v>
      </c>
      <c r="C459" s="8">
        <f>IF(Data!C459 = 'Point Intercept 2'!C459, Data!C459, "ERROR")</f>
        <v>45755</v>
      </c>
      <c r="D459" s="6" t="str">
        <f>IF(Data!D459 = 'Point Intercept 2'!D459, Data!D459, "ERROR")</f>
        <v>TL, JC</v>
      </c>
      <c r="E459" s="6" t="str">
        <f>IF(Data!E459 = 'Point Intercept 2'!E459, Data!E459, "ERROR")</f>
        <v>VB</v>
      </c>
      <c r="F459" s="6">
        <f>IF(Data!F459 = 'Point Intercept 2'!F459, Data!F459, "ERROR")</f>
        <v>3</v>
      </c>
      <c r="G459" s="6" t="str">
        <f>IF(Data!G459 = 'Point Intercept 2'!G459, Data!G459, "ERROR")</f>
        <v>SS</v>
      </c>
      <c r="H459" s="6">
        <f>IF(Data!I459 = 'Point Intercept 2'!I459, Data!I459, "ERROR")</f>
        <v>3</v>
      </c>
      <c r="I459" s="6">
        <f>IF(Data!H459 = 'Point Intercept 2'!H459, Data!H459, "ERROR")</f>
        <v>2</v>
      </c>
      <c r="J459" s="6">
        <f>IF(Data!J459 = 'Point Intercept 2'!J459, Data!J459, "ERROR")</f>
        <v>1.5</v>
      </c>
      <c r="K459" s="6" t="str">
        <f>IF(Data!K459 = 'Point Intercept 2'!K459, Data!K459, "ERROR")</f>
        <v>L</v>
      </c>
      <c r="L459" s="6" t="str">
        <f>IF(Data!L459 = 'Point Intercept 2'!L459, Data!L459, "ERROR")</f>
        <v>Litter</v>
      </c>
    </row>
    <row r="460" spans="1:12" x14ac:dyDescent="0.25">
      <c r="A460" s="6">
        <f>IF(Data!A460 = 'Point Intercept 2'!A460, Data!A460, "ERROR")</f>
        <v>5</v>
      </c>
      <c r="B460" s="6">
        <f>IF(Data!B460 = 'Point Intercept 2'!B460, Data!B460, "ERROR")</f>
        <v>2025</v>
      </c>
      <c r="C460" s="8">
        <f>IF(Data!C460 = 'Point Intercept 2'!C460, Data!C460, "ERROR")</f>
        <v>45755</v>
      </c>
      <c r="D460" s="6" t="str">
        <f>IF(Data!D460 = 'Point Intercept 2'!D460, Data!D460, "ERROR")</f>
        <v>TL, JC</v>
      </c>
      <c r="E460" s="6" t="str">
        <f>IF(Data!E460 = 'Point Intercept 2'!E460, Data!E460, "ERROR")</f>
        <v>VB</v>
      </c>
      <c r="F460" s="6">
        <f>IF(Data!F460 = 'Point Intercept 2'!F460, Data!F460, "ERROR")</f>
        <v>3</v>
      </c>
      <c r="G460" s="6" t="str">
        <f>IF(Data!G460 = 'Point Intercept 2'!G460, Data!G460, "ERROR")</f>
        <v>SS</v>
      </c>
      <c r="H460" s="6">
        <f>IF(Data!I460 = 'Point Intercept 2'!I460, Data!I460, "ERROR")</f>
        <v>3</v>
      </c>
      <c r="I460" s="6">
        <f>IF(Data!H460 = 'Point Intercept 2'!H460, Data!H460, "ERROR")</f>
        <v>2</v>
      </c>
      <c r="J460" s="6">
        <f>IF(Data!J460 = 'Point Intercept 2'!J460, Data!J460, "ERROR")</f>
        <v>1.5</v>
      </c>
      <c r="K460" s="6" t="str">
        <f>IF(Data!K460 = 'Point Intercept 2'!K460, Data!K460, "ERROR")</f>
        <v>ANAARV</v>
      </c>
      <c r="L460" s="6" t="str">
        <f>IF(Data!L460 = 'Point Intercept 2'!L460, Data!L460, "ERROR")</f>
        <v>Anagallis arvensis</v>
      </c>
    </row>
    <row r="461" spans="1:12" x14ac:dyDescent="0.25">
      <c r="A461" s="6">
        <f>IF(Data!A461 = 'Point Intercept 2'!A461, Data!A461, "ERROR")</f>
        <v>5</v>
      </c>
      <c r="B461" s="6">
        <f>IF(Data!B461 = 'Point Intercept 2'!B461, Data!B461, "ERROR")</f>
        <v>2025</v>
      </c>
      <c r="C461" s="8">
        <f>IF(Data!C461 = 'Point Intercept 2'!C461, Data!C461, "ERROR")</f>
        <v>45755</v>
      </c>
      <c r="D461" s="6" t="str">
        <f>IF(Data!D461 = 'Point Intercept 2'!D461, Data!D461, "ERROR")</f>
        <v>TL, JC</v>
      </c>
      <c r="E461" s="6" t="str">
        <f>IF(Data!E461 = 'Point Intercept 2'!E461, Data!E461, "ERROR")</f>
        <v>VB</v>
      </c>
      <c r="F461" s="6">
        <f>IF(Data!F461 = 'Point Intercept 2'!F461, Data!F461, "ERROR")</f>
        <v>3</v>
      </c>
      <c r="G461" s="6" t="str">
        <f>IF(Data!G461 = 'Point Intercept 2'!G461, Data!G461, "ERROR")</f>
        <v>SS</v>
      </c>
      <c r="H461" s="6">
        <f>IF(Data!I461 = 'Point Intercept 2'!I461, Data!I461, "ERROR")</f>
        <v>3</v>
      </c>
      <c r="I461" s="6">
        <f>IF(Data!H461 = 'Point Intercept 2'!H461, Data!H461, "ERROR")</f>
        <v>2</v>
      </c>
      <c r="J461" s="6">
        <f>IF(Data!J461 = 'Point Intercept 2'!J461, Data!J461, "ERROR")</f>
        <v>1.5</v>
      </c>
      <c r="K461" s="6" t="str">
        <f>IF(Data!K461 = 'Point Intercept 2'!K461, Data!K461, "ERROR")</f>
        <v>CYLPRO</v>
      </c>
      <c r="L461" s="6" t="str">
        <f>IF(Data!L461 = 'Point Intercept 2'!L461, Data!L461, "ERROR")</f>
        <v>Cylindropuntia prolifera</v>
      </c>
    </row>
    <row r="462" spans="1:12" x14ac:dyDescent="0.25">
      <c r="A462" s="6">
        <f>IF(Data!A462 = 'Point Intercept 2'!A462, Data!A462, "ERROR")</f>
        <v>5</v>
      </c>
      <c r="B462" s="6">
        <f>IF(Data!B462 = 'Point Intercept 2'!B462, Data!B462, "ERROR")</f>
        <v>2025</v>
      </c>
      <c r="C462" s="8">
        <f>IF(Data!C462 = 'Point Intercept 2'!C462, Data!C462, "ERROR")</f>
        <v>45755</v>
      </c>
      <c r="D462" s="6" t="str">
        <f>IF(Data!D462 = 'Point Intercept 2'!D462, Data!D462, "ERROR")</f>
        <v>TL, JC</v>
      </c>
      <c r="E462" s="6" t="str">
        <f>IF(Data!E462 = 'Point Intercept 2'!E462, Data!E462, "ERROR")</f>
        <v>VB</v>
      </c>
      <c r="F462" s="6">
        <f>IF(Data!F462 = 'Point Intercept 2'!F462, Data!F462, "ERROR")</f>
        <v>3</v>
      </c>
      <c r="G462" s="6" t="str">
        <f>IF(Data!G462 = 'Point Intercept 2'!G462, Data!G462, "ERROR")</f>
        <v>SS</v>
      </c>
      <c r="H462" s="6">
        <f>IF(Data!I462 = 'Point Intercept 2'!I462, Data!I462, "ERROR")</f>
        <v>3</v>
      </c>
      <c r="I462" s="6">
        <f>IF(Data!H462 = 'Point Intercept 2'!H462, Data!H462, "ERROR")</f>
        <v>2</v>
      </c>
      <c r="J462" s="6">
        <f>IF(Data!J462 = 'Point Intercept 2'!J462, Data!J462, "ERROR")</f>
        <v>1.5</v>
      </c>
      <c r="K462" s="6" t="str">
        <f>IF(Data!K462 = 'Point Intercept 2'!K462, Data!K462, "ERROR")</f>
        <v>SONASP</v>
      </c>
      <c r="L462" s="6" t="str">
        <f>IF(Data!L462 = 'Point Intercept 2'!L462, Data!L462, "ERROR")</f>
        <v>Sonchus asper</v>
      </c>
    </row>
    <row r="463" spans="1:12" x14ac:dyDescent="0.25">
      <c r="A463" s="6">
        <f>IF(Data!A463 = 'Point Intercept 2'!A463, Data!A463, "ERROR")</f>
        <v>5</v>
      </c>
      <c r="B463" s="6">
        <f>IF(Data!B463 = 'Point Intercept 2'!B463, Data!B463, "ERROR")</f>
        <v>2025</v>
      </c>
      <c r="C463" s="8">
        <f>IF(Data!C463 = 'Point Intercept 2'!C463, Data!C463, "ERROR")</f>
        <v>45755</v>
      </c>
      <c r="D463" s="6" t="str">
        <f>IF(Data!D463 = 'Point Intercept 2'!D463, Data!D463, "ERROR")</f>
        <v>TL, JC</v>
      </c>
      <c r="E463" s="6" t="str">
        <f>IF(Data!E463 = 'Point Intercept 2'!E463, Data!E463, "ERROR")</f>
        <v>VB</v>
      </c>
      <c r="F463" s="6">
        <f>IF(Data!F463 = 'Point Intercept 2'!F463, Data!F463, "ERROR")</f>
        <v>3</v>
      </c>
      <c r="G463" s="6" t="str">
        <f>IF(Data!G463 = 'Point Intercept 2'!G463, Data!G463, "ERROR")</f>
        <v>SS</v>
      </c>
      <c r="H463" s="6">
        <f>IF(Data!I463 = 'Point Intercept 2'!I463, Data!I463, "ERROR")</f>
        <v>3</v>
      </c>
      <c r="I463" s="6">
        <f>IF(Data!H463 = 'Point Intercept 2'!H463, Data!H463, "ERROR")</f>
        <v>2</v>
      </c>
      <c r="J463" s="6">
        <f>IF(Data!J463 = 'Point Intercept 2'!J463, Data!J463, "ERROR")</f>
        <v>1.5</v>
      </c>
      <c r="K463" s="6" t="str">
        <f>IF(Data!K463 = 'Point Intercept 2'!K463, Data!K463, "ERROR")</f>
        <v>FESMYU</v>
      </c>
      <c r="L463" s="6" t="str">
        <f>IF(Data!L463 = 'Point Intercept 2'!L463, Data!L463, "ERROR")</f>
        <v>Festuca myuros</v>
      </c>
    </row>
    <row r="464" spans="1:12" x14ac:dyDescent="0.25">
      <c r="A464" s="6">
        <f>IF(Data!A464 = 'Point Intercept 2'!A464, Data!A464, "ERROR")</f>
        <v>5</v>
      </c>
      <c r="B464" s="6">
        <f>IF(Data!B464 = 'Point Intercept 2'!B464, Data!B464, "ERROR")</f>
        <v>2025</v>
      </c>
      <c r="C464" s="8">
        <f>IF(Data!C464 = 'Point Intercept 2'!C464, Data!C464, "ERROR")</f>
        <v>45755</v>
      </c>
      <c r="D464" s="6" t="str">
        <f>IF(Data!D464 = 'Point Intercept 2'!D464, Data!D464, "ERROR")</f>
        <v>TL, JC</v>
      </c>
      <c r="E464" s="6" t="str">
        <f>IF(Data!E464 = 'Point Intercept 2'!E464, Data!E464, "ERROR")</f>
        <v>VB</v>
      </c>
      <c r="F464" s="6">
        <f>IF(Data!F464 = 'Point Intercept 2'!F464, Data!F464, "ERROR")</f>
        <v>3</v>
      </c>
      <c r="G464" s="6" t="str">
        <f>IF(Data!G464 = 'Point Intercept 2'!G464, Data!G464, "ERROR")</f>
        <v>SS</v>
      </c>
      <c r="H464" s="6">
        <f>IF(Data!I464 = 'Point Intercept 2'!I464, Data!I464, "ERROR")</f>
        <v>4</v>
      </c>
      <c r="I464" s="6">
        <f>IF(Data!H464 = 'Point Intercept 2'!H464, Data!H464, "ERROR")</f>
        <v>2</v>
      </c>
      <c r="J464" s="6">
        <f>IF(Data!J464 = 'Point Intercept 2'!J464, Data!J464, "ERROR")</f>
        <v>2</v>
      </c>
      <c r="K464" s="6" t="str">
        <f>IF(Data!K464 = 'Point Intercept 2'!K464, Data!K464, "ERROR")</f>
        <v>L</v>
      </c>
      <c r="L464" s="6" t="str">
        <f>IF(Data!L464 = 'Point Intercept 2'!L464, Data!L464, "ERROR")</f>
        <v>Litter</v>
      </c>
    </row>
    <row r="465" spans="1:12" x14ac:dyDescent="0.25">
      <c r="A465" s="6">
        <f>IF(Data!A465 = 'Point Intercept 2'!A465, Data!A465, "ERROR")</f>
        <v>5</v>
      </c>
      <c r="B465" s="6">
        <f>IF(Data!B465 = 'Point Intercept 2'!B465, Data!B465, "ERROR")</f>
        <v>2025</v>
      </c>
      <c r="C465" s="8">
        <f>IF(Data!C465 = 'Point Intercept 2'!C465, Data!C465, "ERROR")</f>
        <v>45755</v>
      </c>
      <c r="D465" s="6" t="str">
        <f>IF(Data!D465 = 'Point Intercept 2'!D465, Data!D465, "ERROR")</f>
        <v>TL, JC</v>
      </c>
      <c r="E465" s="6" t="str">
        <f>IF(Data!E465 = 'Point Intercept 2'!E465, Data!E465, "ERROR")</f>
        <v>VB</v>
      </c>
      <c r="F465" s="6">
        <f>IF(Data!F465 = 'Point Intercept 2'!F465, Data!F465, "ERROR")</f>
        <v>3</v>
      </c>
      <c r="G465" s="6" t="str">
        <f>IF(Data!G465 = 'Point Intercept 2'!G465, Data!G465, "ERROR")</f>
        <v>SS</v>
      </c>
      <c r="H465" s="6">
        <f>IF(Data!I465 = 'Point Intercept 2'!I465, Data!I465, "ERROR")</f>
        <v>4</v>
      </c>
      <c r="I465" s="6">
        <f>IF(Data!H465 = 'Point Intercept 2'!H465, Data!H465, "ERROR")</f>
        <v>2</v>
      </c>
      <c r="J465" s="6">
        <f>IF(Data!J465 = 'Point Intercept 2'!J465, Data!J465, "ERROR")</f>
        <v>2</v>
      </c>
      <c r="K465" s="6" t="str">
        <f>IF(Data!K465 = 'Point Intercept 2'!K465, Data!K465, "ERROR")</f>
        <v>MEDPOL</v>
      </c>
      <c r="L465" s="6" t="str">
        <f>IF(Data!L465 = 'Point Intercept 2'!L465, Data!L465, "ERROR")</f>
        <v>Medicago polymorpha</v>
      </c>
    </row>
    <row r="466" spans="1:12" x14ac:dyDescent="0.25">
      <c r="A466" s="6">
        <f>IF(Data!A466 = 'Point Intercept 2'!A466, Data!A466, "ERROR")</f>
        <v>5</v>
      </c>
      <c r="B466" s="6">
        <f>IF(Data!B466 = 'Point Intercept 2'!B466, Data!B466, "ERROR")</f>
        <v>2025</v>
      </c>
      <c r="C466" s="8">
        <f>IF(Data!C466 = 'Point Intercept 2'!C466, Data!C466, "ERROR")</f>
        <v>45755</v>
      </c>
      <c r="D466" s="6" t="str">
        <f>IF(Data!D466 = 'Point Intercept 2'!D466, Data!D466, "ERROR")</f>
        <v>TL, JC</v>
      </c>
      <c r="E466" s="6" t="str">
        <f>IF(Data!E466 = 'Point Intercept 2'!E466, Data!E466, "ERROR")</f>
        <v>VB</v>
      </c>
      <c r="F466" s="6">
        <f>IF(Data!F466 = 'Point Intercept 2'!F466, Data!F466, "ERROR")</f>
        <v>3</v>
      </c>
      <c r="G466" s="6" t="str">
        <f>IF(Data!G466 = 'Point Intercept 2'!G466, Data!G466, "ERROR")</f>
        <v>SS</v>
      </c>
      <c r="H466" s="6">
        <f>IF(Data!I466 = 'Point Intercept 2'!I466, Data!I466, "ERROR")</f>
        <v>4</v>
      </c>
      <c r="I466" s="6">
        <f>IF(Data!H466 = 'Point Intercept 2'!H466, Data!H466, "ERROR")</f>
        <v>2</v>
      </c>
      <c r="J466" s="6">
        <f>IF(Data!J466 = 'Point Intercept 2'!J466, Data!J466, "ERROR")</f>
        <v>2</v>
      </c>
      <c r="K466" s="6" t="str">
        <f>IF(Data!K466 = 'Point Intercept 2'!K466, Data!K466, "ERROR")</f>
        <v>DEIFAS</v>
      </c>
      <c r="L466" s="6" t="str">
        <f>IF(Data!L466 = 'Point Intercept 2'!L466, Data!L466, "ERROR")</f>
        <v>Deinandra fasciculata</v>
      </c>
    </row>
    <row r="467" spans="1:12" x14ac:dyDescent="0.25">
      <c r="A467" s="6">
        <f>IF(Data!A467 = 'Point Intercept 2'!A467, Data!A467, "ERROR")</f>
        <v>5</v>
      </c>
      <c r="B467" s="6">
        <f>IF(Data!B467 = 'Point Intercept 2'!B467, Data!B467, "ERROR")</f>
        <v>2025</v>
      </c>
      <c r="C467" s="8">
        <f>IF(Data!C467 = 'Point Intercept 2'!C467, Data!C467, "ERROR")</f>
        <v>45755</v>
      </c>
      <c r="D467" s="6" t="str">
        <f>IF(Data!D467 = 'Point Intercept 2'!D467, Data!D467, "ERROR")</f>
        <v>TL, JC</v>
      </c>
      <c r="E467" s="6" t="str">
        <f>IF(Data!E467 = 'Point Intercept 2'!E467, Data!E467, "ERROR")</f>
        <v>VB</v>
      </c>
      <c r="F467" s="6">
        <f>IF(Data!F467 = 'Point Intercept 2'!F467, Data!F467, "ERROR")</f>
        <v>3</v>
      </c>
      <c r="G467" s="6" t="str">
        <f>IF(Data!G467 = 'Point Intercept 2'!G467, Data!G467, "ERROR")</f>
        <v>SS</v>
      </c>
      <c r="H467" s="6">
        <f>IF(Data!I467 = 'Point Intercept 2'!I467, Data!I467, "ERROR")</f>
        <v>4</v>
      </c>
      <c r="I467" s="6">
        <f>IF(Data!H467 = 'Point Intercept 2'!H467, Data!H467, "ERROR")</f>
        <v>2</v>
      </c>
      <c r="J467" s="6">
        <f>IF(Data!J467 = 'Point Intercept 2'!J467, Data!J467, "ERROR")</f>
        <v>2</v>
      </c>
      <c r="K467" s="6" t="str">
        <f>IF(Data!K467 = 'Point Intercept 2'!K467, Data!K467, "ERROR")</f>
        <v>FESMYU</v>
      </c>
      <c r="L467" s="6" t="str">
        <f>IF(Data!L467 = 'Point Intercept 2'!L467, Data!L467, "ERROR")</f>
        <v>Festuca myuros</v>
      </c>
    </row>
    <row r="468" spans="1:12" x14ac:dyDescent="0.25">
      <c r="A468" s="6">
        <f>IF(Data!A468 = 'Point Intercept 2'!A468, Data!A468, "ERROR")</f>
        <v>5</v>
      </c>
      <c r="B468" s="6">
        <f>IF(Data!B468 = 'Point Intercept 2'!B468, Data!B468, "ERROR")</f>
        <v>2025</v>
      </c>
      <c r="C468" s="8">
        <f>IF(Data!C468 = 'Point Intercept 2'!C468, Data!C468, "ERROR")</f>
        <v>45755</v>
      </c>
      <c r="D468" s="6" t="str">
        <f>IF(Data!D468 = 'Point Intercept 2'!D468, Data!D468, "ERROR")</f>
        <v>TL, JC</v>
      </c>
      <c r="E468" s="6" t="str">
        <f>IF(Data!E468 = 'Point Intercept 2'!E468, Data!E468, "ERROR")</f>
        <v>VB</v>
      </c>
      <c r="F468" s="6">
        <f>IF(Data!F468 = 'Point Intercept 2'!F468, Data!F468, "ERROR")</f>
        <v>3</v>
      </c>
      <c r="G468" s="6" t="str">
        <f>IF(Data!G468 = 'Point Intercept 2'!G468, Data!G468, "ERROR")</f>
        <v>SS</v>
      </c>
      <c r="H468" s="6">
        <f>IF(Data!I468 = 'Point Intercept 2'!I468, Data!I468, "ERROR")</f>
        <v>5</v>
      </c>
      <c r="I468" s="6">
        <f>IF(Data!H468 = 'Point Intercept 2'!H468, Data!H468, "ERROR")</f>
        <v>2</v>
      </c>
      <c r="J468" s="6">
        <f>IF(Data!J468 = 'Point Intercept 2'!J468, Data!J468, "ERROR")</f>
        <v>3</v>
      </c>
      <c r="K468" s="6" t="str">
        <f>IF(Data!K468 = 'Point Intercept 2'!K468, Data!K468, "ERROR")</f>
        <v>L</v>
      </c>
      <c r="L468" s="6" t="str">
        <f>IF(Data!L468 = 'Point Intercept 2'!L468, Data!L468, "ERROR")</f>
        <v>Litter</v>
      </c>
    </row>
    <row r="469" spans="1:12" x14ac:dyDescent="0.25">
      <c r="A469" s="6">
        <f>IF(Data!A469 = 'Point Intercept 2'!A469, Data!A469, "ERROR")</f>
        <v>5</v>
      </c>
      <c r="B469" s="6">
        <f>IF(Data!B469 = 'Point Intercept 2'!B469, Data!B469, "ERROR")</f>
        <v>2025</v>
      </c>
      <c r="C469" s="8">
        <f>IF(Data!C469 = 'Point Intercept 2'!C469, Data!C469, "ERROR")</f>
        <v>45755</v>
      </c>
      <c r="D469" s="6" t="str">
        <f>IF(Data!D469 = 'Point Intercept 2'!D469, Data!D469, "ERROR")</f>
        <v>TL, JC</v>
      </c>
      <c r="E469" s="6" t="str">
        <f>IF(Data!E469 = 'Point Intercept 2'!E469, Data!E469, "ERROR")</f>
        <v>VB</v>
      </c>
      <c r="F469" s="6">
        <f>IF(Data!F469 = 'Point Intercept 2'!F469, Data!F469, "ERROR")</f>
        <v>3</v>
      </c>
      <c r="G469" s="6" t="str">
        <f>IF(Data!G469 = 'Point Intercept 2'!G469, Data!G469, "ERROR")</f>
        <v>SS</v>
      </c>
      <c r="H469" s="6">
        <f>IF(Data!I469 = 'Point Intercept 2'!I469, Data!I469, "ERROR")</f>
        <v>5</v>
      </c>
      <c r="I469" s="6">
        <f>IF(Data!H469 = 'Point Intercept 2'!H469, Data!H469, "ERROR")</f>
        <v>2</v>
      </c>
      <c r="J469" s="6">
        <f>IF(Data!J469 = 'Point Intercept 2'!J469, Data!J469, "ERROR")</f>
        <v>3</v>
      </c>
      <c r="K469" s="6" t="str">
        <f>IF(Data!K469 = 'Point Intercept 2'!K469, Data!K469, "ERROR")</f>
        <v>DAUPUS</v>
      </c>
      <c r="L469" s="6" t="str">
        <f>IF(Data!L469 = 'Point Intercept 2'!L469, Data!L469, "ERROR")</f>
        <v>Daucus pusillus</v>
      </c>
    </row>
    <row r="470" spans="1:12" x14ac:dyDescent="0.25">
      <c r="A470" s="6">
        <f>IF(Data!A470 = 'Point Intercept 2'!A470, Data!A470, "ERROR")</f>
        <v>5</v>
      </c>
      <c r="B470" s="6">
        <f>IF(Data!B470 = 'Point Intercept 2'!B470, Data!B470, "ERROR")</f>
        <v>2025</v>
      </c>
      <c r="C470" s="8">
        <f>IF(Data!C470 = 'Point Intercept 2'!C470, Data!C470, "ERROR")</f>
        <v>45755</v>
      </c>
      <c r="D470" s="6" t="str">
        <f>IF(Data!D470 = 'Point Intercept 2'!D470, Data!D470, "ERROR")</f>
        <v>TL, JC</v>
      </c>
      <c r="E470" s="6" t="str">
        <f>IF(Data!E470 = 'Point Intercept 2'!E470, Data!E470, "ERROR")</f>
        <v>VB</v>
      </c>
      <c r="F470" s="6">
        <f>IF(Data!F470 = 'Point Intercept 2'!F470, Data!F470, "ERROR")</f>
        <v>3</v>
      </c>
      <c r="G470" s="6" t="str">
        <f>IF(Data!G470 = 'Point Intercept 2'!G470, Data!G470, "ERROR")</f>
        <v>SS</v>
      </c>
      <c r="H470" s="6">
        <f>IF(Data!I470 = 'Point Intercept 2'!I470, Data!I470, "ERROR")</f>
        <v>5</v>
      </c>
      <c r="I470" s="6">
        <f>IF(Data!H470 = 'Point Intercept 2'!H470, Data!H470, "ERROR")</f>
        <v>2</v>
      </c>
      <c r="J470" s="6">
        <f>IF(Data!J470 = 'Point Intercept 2'!J470, Data!J470, "ERROR")</f>
        <v>3</v>
      </c>
      <c r="K470" s="6" t="str">
        <f>IF(Data!K470 = 'Point Intercept 2'!K470, Data!K470, "ERROR")</f>
        <v>CENMEL</v>
      </c>
      <c r="L470" s="6" t="str">
        <f>IF(Data!L470 = 'Point Intercept 2'!L470, Data!L470, "ERROR")</f>
        <v>Centaurea melitensis</v>
      </c>
    </row>
    <row r="471" spans="1:12" x14ac:dyDescent="0.25">
      <c r="A471" s="6">
        <f>IF(Data!A471 = 'Point Intercept 2'!A471, Data!A471, "ERROR")</f>
        <v>5</v>
      </c>
      <c r="B471" s="6">
        <f>IF(Data!B471 = 'Point Intercept 2'!B471, Data!B471, "ERROR")</f>
        <v>2025</v>
      </c>
      <c r="C471" s="8">
        <f>IF(Data!C471 = 'Point Intercept 2'!C471, Data!C471, "ERROR")</f>
        <v>45755</v>
      </c>
      <c r="D471" s="6" t="str">
        <f>IF(Data!D471 = 'Point Intercept 2'!D471, Data!D471, "ERROR")</f>
        <v>TL, JC</v>
      </c>
      <c r="E471" s="6" t="str">
        <f>IF(Data!E471 = 'Point Intercept 2'!E471, Data!E471, "ERROR")</f>
        <v>VB</v>
      </c>
      <c r="F471" s="6">
        <f>IF(Data!F471 = 'Point Intercept 2'!F471, Data!F471, "ERROR")</f>
        <v>3</v>
      </c>
      <c r="G471" s="6" t="str">
        <f>IF(Data!G471 = 'Point Intercept 2'!G471, Data!G471, "ERROR")</f>
        <v>SS</v>
      </c>
      <c r="H471" s="6">
        <f>IF(Data!I471 = 'Point Intercept 2'!I471, Data!I471, "ERROR")</f>
        <v>5</v>
      </c>
      <c r="I471" s="6">
        <f>IF(Data!H471 = 'Point Intercept 2'!H471, Data!H471, "ERROR")</f>
        <v>2</v>
      </c>
      <c r="J471" s="6">
        <f>IF(Data!J471 = 'Point Intercept 2'!J471, Data!J471, "ERROR")</f>
        <v>3</v>
      </c>
      <c r="K471" s="6" t="str">
        <f>IF(Data!K471 = 'Point Intercept 2'!K471, Data!K471, "ERROR")</f>
        <v>CRYMIC</v>
      </c>
      <c r="L471" s="6" t="str">
        <f>IF(Data!L471 = 'Point Intercept 2'!L471, Data!L471, "ERROR")</f>
        <v>Cryptantha micromeres</v>
      </c>
    </row>
    <row r="472" spans="1:12" x14ac:dyDescent="0.25">
      <c r="A472" s="6">
        <f>IF(Data!A472 = 'Point Intercept 2'!A472, Data!A472, "ERROR")</f>
        <v>5</v>
      </c>
      <c r="B472" s="6">
        <f>IF(Data!B472 = 'Point Intercept 2'!B472, Data!B472, "ERROR")</f>
        <v>2025</v>
      </c>
      <c r="C472" s="8">
        <f>IF(Data!C472 = 'Point Intercept 2'!C472, Data!C472, "ERROR")</f>
        <v>45755</v>
      </c>
      <c r="D472" s="6" t="str">
        <f>IF(Data!D472 = 'Point Intercept 2'!D472, Data!D472, "ERROR")</f>
        <v>TL, JC</v>
      </c>
      <c r="E472" s="6" t="str">
        <f>IF(Data!E472 = 'Point Intercept 2'!E472, Data!E472, "ERROR")</f>
        <v>VB</v>
      </c>
      <c r="F472" s="6">
        <f>IF(Data!F472 = 'Point Intercept 2'!F472, Data!F472, "ERROR")</f>
        <v>3</v>
      </c>
      <c r="G472" s="6" t="str">
        <f>IF(Data!G472 = 'Point Intercept 2'!G472, Data!G472, "ERROR")</f>
        <v>SS</v>
      </c>
      <c r="H472" s="6">
        <f>IF(Data!I472 = 'Point Intercept 2'!I472, Data!I472, "ERROR")</f>
        <v>6</v>
      </c>
      <c r="I472" s="6">
        <f>IF(Data!H472 = 'Point Intercept 2'!H472, Data!H472, "ERROR")</f>
        <v>2</v>
      </c>
      <c r="J472" s="6">
        <f>IF(Data!J472 = 'Point Intercept 2'!J472, Data!J472, "ERROR")</f>
        <v>3.5</v>
      </c>
      <c r="K472" s="6" t="str">
        <f>IF(Data!K472 = 'Point Intercept 2'!K472, Data!K472, "ERROR")</f>
        <v>L</v>
      </c>
      <c r="L472" s="6" t="str">
        <f>IF(Data!L472 = 'Point Intercept 2'!L472, Data!L472, "ERROR")</f>
        <v>Litter</v>
      </c>
    </row>
    <row r="473" spans="1:12" x14ac:dyDescent="0.25">
      <c r="A473" s="6">
        <f>IF(Data!A473 = 'Point Intercept 2'!A473, Data!A473, "ERROR")</f>
        <v>5</v>
      </c>
      <c r="B473" s="6">
        <f>IF(Data!B473 = 'Point Intercept 2'!B473, Data!B473, "ERROR")</f>
        <v>2025</v>
      </c>
      <c r="C473" s="8">
        <f>IF(Data!C473 = 'Point Intercept 2'!C473, Data!C473, "ERROR")</f>
        <v>45755</v>
      </c>
      <c r="D473" s="6" t="str">
        <f>IF(Data!D473 = 'Point Intercept 2'!D473, Data!D473, "ERROR")</f>
        <v>TL, JC</v>
      </c>
      <c r="E473" s="6" t="str">
        <f>IF(Data!E473 = 'Point Intercept 2'!E473, Data!E473, "ERROR")</f>
        <v>VB</v>
      </c>
      <c r="F473" s="6">
        <f>IF(Data!F473 = 'Point Intercept 2'!F473, Data!F473, "ERROR")</f>
        <v>3</v>
      </c>
      <c r="G473" s="6" t="str">
        <f>IF(Data!G473 = 'Point Intercept 2'!G473, Data!G473, "ERROR")</f>
        <v>SS</v>
      </c>
      <c r="H473" s="6">
        <f>IF(Data!I473 = 'Point Intercept 2'!I473, Data!I473, "ERROR")</f>
        <v>6</v>
      </c>
      <c r="I473" s="6">
        <f>IF(Data!H473 = 'Point Intercept 2'!H473, Data!H473, "ERROR")</f>
        <v>2</v>
      </c>
      <c r="J473" s="6">
        <f>IF(Data!J473 = 'Point Intercept 2'!J473, Data!J473, "ERROR")</f>
        <v>3.5</v>
      </c>
      <c r="K473" s="6" t="str">
        <f>IF(Data!K473 = 'Point Intercept 2'!K473, Data!K473, "ERROR")</f>
        <v>ANAARV</v>
      </c>
      <c r="L473" s="6" t="str">
        <f>IF(Data!L473 = 'Point Intercept 2'!L473, Data!L473, "ERROR")</f>
        <v>Anagallis arvensis</v>
      </c>
    </row>
    <row r="474" spans="1:12" x14ac:dyDescent="0.25">
      <c r="A474" s="6">
        <f>IF(Data!A474 = 'Point Intercept 2'!A474, Data!A474, "ERROR")</f>
        <v>5</v>
      </c>
      <c r="B474" s="6">
        <f>IF(Data!B474 = 'Point Intercept 2'!B474, Data!B474, "ERROR")</f>
        <v>2025</v>
      </c>
      <c r="C474" s="8">
        <f>IF(Data!C474 = 'Point Intercept 2'!C474, Data!C474, "ERROR")</f>
        <v>45755</v>
      </c>
      <c r="D474" s="6" t="str">
        <f>IF(Data!D474 = 'Point Intercept 2'!D474, Data!D474, "ERROR")</f>
        <v>TL, JC</v>
      </c>
      <c r="E474" s="6" t="str">
        <f>IF(Data!E474 = 'Point Intercept 2'!E474, Data!E474, "ERROR")</f>
        <v>VB</v>
      </c>
      <c r="F474" s="6">
        <f>IF(Data!F474 = 'Point Intercept 2'!F474, Data!F474, "ERROR")</f>
        <v>3</v>
      </c>
      <c r="G474" s="6" t="str">
        <f>IF(Data!G474 = 'Point Intercept 2'!G474, Data!G474, "ERROR")</f>
        <v>SS</v>
      </c>
      <c r="H474" s="6">
        <f>IF(Data!I474 = 'Point Intercept 2'!I474, Data!I474, "ERROR")</f>
        <v>6</v>
      </c>
      <c r="I474" s="6">
        <f>IF(Data!H474 = 'Point Intercept 2'!H474, Data!H474, "ERROR")</f>
        <v>2</v>
      </c>
      <c r="J474" s="6">
        <f>IF(Data!J474 = 'Point Intercept 2'!J474, Data!J474, "ERROR")</f>
        <v>3.5</v>
      </c>
      <c r="K474" s="6" t="str">
        <f>IF(Data!K474 = 'Point Intercept 2'!K474, Data!K474, "ERROR")</f>
        <v>CENMEL</v>
      </c>
      <c r="L474" s="6" t="str">
        <f>IF(Data!L474 = 'Point Intercept 2'!L474, Data!L474, "ERROR")</f>
        <v>Centaurea melitensis</v>
      </c>
    </row>
    <row r="475" spans="1:12" x14ac:dyDescent="0.25">
      <c r="A475" s="6">
        <f>IF(Data!A475 = 'Point Intercept 2'!A475, Data!A475, "ERROR")</f>
        <v>5</v>
      </c>
      <c r="B475" s="6">
        <f>IF(Data!B475 = 'Point Intercept 2'!B475, Data!B475, "ERROR")</f>
        <v>2025</v>
      </c>
      <c r="C475" s="8">
        <f>IF(Data!C475 = 'Point Intercept 2'!C475, Data!C475, "ERROR")</f>
        <v>45755</v>
      </c>
      <c r="D475" s="6" t="str">
        <f>IF(Data!D475 = 'Point Intercept 2'!D475, Data!D475, "ERROR")</f>
        <v>TL, JC</v>
      </c>
      <c r="E475" s="6" t="str">
        <f>IF(Data!E475 = 'Point Intercept 2'!E475, Data!E475, "ERROR")</f>
        <v>VB</v>
      </c>
      <c r="F475" s="6">
        <f>IF(Data!F475 = 'Point Intercept 2'!F475, Data!F475, "ERROR")</f>
        <v>3</v>
      </c>
      <c r="G475" s="6" t="str">
        <f>IF(Data!G475 = 'Point Intercept 2'!G475, Data!G475, "ERROR")</f>
        <v>SS</v>
      </c>
      <c r="H475" s="6">
        <f>IF(Data!I475 = 'Point Intercept 2'!I475, Data!I475, "ERROR")</f>
        <v>6</v>
      </c>
      <c r="I475" s="6">
        <f>IF(Data!H475 = 'Point Intercept 2'!H475, Data!H475, "ERROR")</f>
        <v>2</v>
      </c>
      <c r="J475" s="6">
        <f>IF(Data!J475 = 'Point Intercept 2'!J475, Data!J475, "ERROR")</f>
        <v>3.5</v>
      </c>
      <c r="K475" s="6" t="str">
        <f>IF(Data!K475 = 'Point Intercept 2'!K475, Data!K475, "ERROR")</f>
        <v>CRYINT</v>
      </c>
      <c r="L475" s="6" t="str">
        <f>IF(Data!L475 = 'Point Intercept 2'!L475, Data!L475, "ERROR")</f>
        <v>Cryptantha intermedia</v>
      </c>
    </row>
    <row r="476" spans="1:12" x14ac:dyDescent="0.25">
      <c r="A476" s="6">
        <f>IF(Data!A476 = 'Point Intercept 2'!A476, Data!A476, "ERROR")</f>
        <v>5</v>
      </c>
      <c r="B476" s="6">
        <f>IF(Data!B476 = 'Point Intercept 2'!B476, Data!B476, "ERROR")</f>
        <v>2025</v>
      </c>
      <c r="C476" s="8">
        <f>IF(Data!C476 = 'Point Intercept 2'!C476, Data!C476, "ERROR")</f>
        <v>45755</v>
      </c>
      <c r="D476" s="6" t="str">
        <f>IF(Data!D476 = 'Point Intercept 2'!D476, Data!D476, "ERROR")</f>
        <v>TL, JC</v>
      </c>
      <c r="E476" s="6" t="str">
        <f>IF(Data!E476 = 'Point Intercept 2'!E476, Data!E476, "ERROR")</f>
        <v>VB</v>
      </c>
      <c r="F476" s="6">
        <f>IF(Data!F476 = 'Point Intercept 2'!F476, Data!F476, "ERROR")</f>
        <v>3</v>
      </c>
      <c r="G476" s="6" t="str">
        <f>IF(Data!G476 = 'Point Intercept 2'!G476, Data!G476, "ERROR")</f>
        <v>SS</v>
      </c>
      <c r="H476" s="6">
        <f>IF(Data!I476 = 'Point Intercept 2'!I476, Data!I476, "ERROR")</f>
        <v>6</v>
      </c>
      <c r="I476" s="6">
        <f>IF(Data!H476 = 'Point Intercept 2'!H476, Data!H476, "ERROR")</f>
        <v>2</v>
      </c>
      <c r="J476" s="6">
        <f>IF(Data!J476 = 'Point Intercept 2'!J476, Data!J476, "ERROR")</f>
        <v>3.5</v>
      </c>
      <c r="K476" s="6" t="str">
        <f>IF(Data!K476 = 'Point Intercept 2'!K476, Data!K476, "ERROR")</f>
        <v>DAUPUS</v>
      </c>
      <c r="L476" s="6" t="str">
        <f>IF(Data!L476 = 'Point Intercept 2'!L476, Data!L476, "ERROR")</f>
        <v>Daucus pusillus</v>
      </c>
    </row>
    <row r="477" spans="1:12" x14ac:dyDescent="0.25">
      <c r="A477" s="6">
        <f>IF(Data!A477 = 'Point Intercept 2'!A477, Data!A477, "ERROR")</f>
        <v>5</v>
      </c>
      <c r="B477" s="6">
        <f>IF(Data!B477 = 'Point Intercept 2'!B477, Data!B477, "ERROR")</f>
        <v>2025</v>
      </c>
      <c r="C477" s="8">
        <f>IF(Data!C477 = 'Point Intercept 2'!C477, Data!C477, "ERROR")</f>
        <v>45755</v>
      </c>
      <c r="D477" s="6" t="str">
        <f>IF(Data!D477 = 'Point Intercept 2'!D477, Data!D477, "ERROR")</f>
        <v>TL, JC</v>
      </c>
      <c r="E477" s="6" t="str">
        <f>IF(Data!E477 = 'Point Intercept 2'!E477, Data!E477, "ERROR")</f>
        <v>VB</v>
      </c>
      <c r="F477" s="6">
        <f>IF(Data!F477 = 'Point Intercept 2'!F477, Data!F477, "ERROR")</f>
        <v>3</v>
      </c>
      <c r="G477" s="6" t="str">
        <f>IF(Data!G477 = 'Point Intercept 2'!G477, Data!G477, "ERROR")</f>
        <v>SS</v>
      </c>
      <c r="H477" s="6">
        <f>IF(Data!I477 = 'Point Intercept 2'!I477, Data!I477, "ERROR")</f>
        <v>7</v>
      </c>
      <c r="I477" s="6">
        <f>IF(Data!H477 = 'Point Intercept 2'!H477, Data!H477, "ERROR")</f>
        <v>2</v>
      </c>
      <c r="J477" s="6">
        <f>IF(Data!J477 = 'Point Intercept 2'!J477, Data!J477, "ERROR")</f>
        <v>4</v>
      </c>
      <c r="K477" s="6" t="str">
        <f>IF(Data!K477 = 'Point Intercept 2'!K477, Data!K477, "ERROR")</f>
        <v>L</v>
      </c>
      <c r="L477" s="6" t="str">
        <f>IF(Data!L477 = 'Point Intercept 2'!L477, Data!L477, "ERROR")</f>
        <v>Litter</v>
      </c>
    </row>
    <row r="478" spans="1:12" x14ac:dyDescent="0.25">
      <c r="A478" s="6">
        <f>IF(Data!A478 = 'Point Intercept 2'!A478, Data!A478, "ERROR")</f>
        <v>5</v>
      </c>
      <c r="B478" s="6">
        <f>IF(Data!B478 = 'Point Intercept 2'!B478, Data!B478, "ERROR")</f>
        <v>2025</v>
      </c>
      <c r="C478" s="8">
        <f>IF(Data!C478 = 'Point Intercept 2'!C478, Data!C478, "ERROR")</f>
        <v>45755</v>
      </c>
      <c r="D478" s="6" t="str">
        <f>IF(Data!D478 = 'Point Intercept 2'!D478, Data!D478, "ERROR")</f>
        <v>TL, JC</v>
      </c>
      <c r="E478" s="6" t="str">
        <f>IF(Data!E478 = 'Point Intercept 2'!E478, Data!E478, "ERROR")</f>
        <v>VB</v>
      </c>
      <c r="F478" s="6">
        <f>IF(Data!F478 = 'Point Intercept 2'!F478, Data!F478, "ERROR")</f>
        <v>3</v>
      </c>
      <c r="G478" s="6" t="str">
        <f>IF(Data!G478 = 'Point Intercept 2'!G478, Data!G478, "ERROR")</f>
        <v>SS</v>
      </c>
      <c r="H478" s="6">
        <f>IF(Data!I478 = 'Point Intercept 2'!I478, Data!I478, "ERROR")</f>
        <v>7</v>
      </c>
      <c r="I478" s="6">
        <f>IF(Data!H478 = 'Point Intercept 2'!H478, Data!H478, "ERROR")</f>
        <v>2</v>
      </c>
      <c r="J478" s="6">
        <f>IF(Data!J478 = 'Point Intercept 2'!J478, Data!J478, "ERROR")</f>
        <v>4</v>
      </c>
      <c r="K478" s="6" t="str">
        <f>IF(Data!K478 = 'Point Intercept 2'!K478, Data!K478, "ERROR")</f>
        <v>ANAARV</v>
      </c>
      <c r="L478" s="6" t="str">
        <f>IF(Data!L478 = 'Point Intercept 2'!L478, Data!L478, "ERROR")</f>
        <v>Anagallis arvensis</v>
      </c>
    </row>
    <row r="479" spans="1:12" x14ac:dyDescent="0.25">
      <c r="A479" s="6">
        <f>IF(Data!A479 = 'Point Intercept 2'!A479, Data!A479, "ERROR")</f>
        <v>5</v>
      </c>
      <c r="B479" s="6">
        <f>IF(Data!B479 = 'Point Intercept 2'!B479, Data!B479, "ERROR")</f>
        <v>2025</v>
      </c>
      <c r="C479" s="8">
        <f>IF(Data!C479 = 'Point Intercept 2'!C479, Data!C479, "ERROR")</f>
        <v>45755</v>
      </c>
      <c r="D479" s="6" t="str">
        <f>IF(Data!D479 = 'Point Intercept 2'!D479, Data!D479, "ERROR")</f>
        <v>TL, JC</v>
      </c>
      <c r="E479" s="6" t="str">
        <f>IF(Data!E479 = 'Point Intercept 2'!E479, Data!E479, "ERROR")</f>
        <v>VB</v>
      </c>
      <c r="F479" s="6">
        <f>IF(Data!F479 = 'Point Intercept 2'!F479, Data!F479, "ERROR")</f>
        <v>3</v>
      </c>
      <c r="G479" s="6" t="str">
        <f>IF(Data!G479 = 'Point Intercept 2'!G479, Data!G479, "ERROR")</f>
        <v>SS</v>
      </c>
      <c r="H479" s="6">
        <f>IF(Data!I479 = 'Point Intercept 2'!I479, Data!I479, "ERROR")</f>
        <v>7</v>
      </c>
      <c r="I479" s="6">
        <f>IF(Data!H479 = 'Point Intercept 2'!H479, Data!H479, "ERROR")</f>
        <v>2</v>
      </c>
      <c r="J479" s="6">
        <f>IF(Data!J479 = 'Point Intercept 2'!J479, Data!J479, "ERROR")</f>
        <v>4</v>
      </c>
      <c r="K479" s="6" t="str">
        <f>IF(Data!K479 = 'Point Intercept 2'!K479, Data!K479, "ERROR")</f>
        <v>MEDPOL</v>
      </c>
      <c r="L479" s="6" t="str">
        <f>IF(Data!L479 = 'Point Intercept 2'!L479, Data!L479, "ERROR")</f>
        <v>Medicago polymorpha</v>
      </c>
    </row>
    <row r="480" spans="1:12" x14ac:dyDescent="0.25">
      <c r="A480" s="6">
        <f>IF(Data!A480 = 'Point Intercept 2'!A480, Data!A480, "ERROR")</f>
        <v>5</v>
      </c>
      <c r="B480" s="6">
        <f>IF(Data!B480 = 'Point Intercept 2'!B480, Data!B480, "ERROR")</f>
        <v>2025</v>
      </c>
      <c r="C480" s="8">
        <f>IF(Data!C480 = 'Point Intercept 2'!C480, Data!C480, "ERROR")</f>
        <v>45755</v>
      </c>
      <c r="D480" s="6" t="str">
        <f>IF(Data!D480 = 'Point Intercept 2'!D480, Data!D480, "ERROR")</f>
        <v>TL, JC</v>
      </c>
      <c r="E480" s="6" t="str">
        <f>IF(Data!E480 = 'Point Intercept 2'!E480, Data!E480, "ERROR")</f>
        <v>VB</v>
      </c>
      <c r="F480" s="6">
        <f>IF(Data!F480 = 'Point Intercept 2'!F480, Data!F480, "ERROR")</f>
        <v>3</v>
      </c>
      <c r="G480" s="6" t="str">
        <f>IF(Data!G480 = 'Point Intercept 2'!G480, Data!G480, "ERROR")</f>
        <v>SS</v>
      </c>
      <c r="H480" s="6">
        <f>IF(Data!I480 = 'Point Intercept 2'!I480, Data!I480, "ERROR")</f>
        <v>8</v>
      </c>
      <c r="I480" s="6">
        <f>IF(Data!H480 = 'Point Intercept 2'!H480, Data!H480, "ERROR")</f>
        <v>2</v>
      </c>
      <c r="J480" s="6">
        <f>IF(Data!J480 = 'Point Intercept 2'!J480, Data!J480, "ERROR")</f>
        <v>5</v>
      </c>
      <c r="K480" s="6" t="str">
        <f>IF(Data!K480 = 'Point Intercept 2'!K480, Data!K480, "ERROR")</f>
        <v>L</v>
      </c>
      <c r="L480" s="6" t="str">
        <f>IF(Data!L480 = 'Point Intercept 2'!L480, Data!L480, "ERROR")</f>
        <v>Litter</v>
      </c>
    </row>
    <row r="481" spans="1:12" x14ac:dyDescent="0.25">
      <c r="A481" s="6">
        <f>IF(Data!A481 = 'Point Intercept 2'!A481, Data!A481, "ERROR")</f>
        <v>5</v>
      </c>
      <c r="B481" s="6">
        <f>IF(Data!B481 = 'Point Intercept 2'!B481, Data!B481, "ERROR")</f>
        <v>2025</v>
      </c>
      <c r="C481" s="8">
        <f>IF(Data!C481 = 'Point Intercept 2'!C481, Data!C481, "ERROR")</f>
        <v>45755</v>
      </c>
      <c r="D481" s="6" t="str">
        <f>IF(Data!D481 = 'Point Intercept 2'!D481, Data!D481, "ERROR")</f>
        <v>TL, JC</v>
      </c>
      <c r="E481" s="6" t="str">
        <f>IF(Data!E481 = 'Point Intercept 2'!E481, Data!E481, "ERROR")</f>
        <v>VB</v>
      </c>
      <c r="F481" s="6">
        <f>IF(Data!F481 = 'Point Intercept 2'!F481, Data!F481, "ERROR")</f>
        <v>3</v>
      </c>
      <c r="G481" s="6" t="str">
        <f>IF(Data!G481 = 'Point Intercept 2'!G481, Data!G481, "ERROR")</f>
        <v>SS</v>
      </c>
      <c r="H481" s="6">
        <f>IF(Data!I481 = 'Point Intercept 2'!I481, Data!I481, "ERROR")</f>
        <v>8</v>
      </c>
      <c r="I481" s="6">
        <f>IF(Data!H481 = 'Point Intercept 2'!H481, Data!H481, "ERROR")</f>
        <v>2</v>
      </c>
      <c r="J481" s="6">
        <f>IF(Data!J481 = 'Point Intercept 2'!J481, Data!J481, "ERROR")</f>
        <v>5</v>
      </c>
      <c r="K481" s="6" t="str">
        <f>IF(Data!K481 = 'Point Intercept 2'!K481, Data!K481, "ERROR")</f>
        <v>SONASP</v>
      </c>
      <c r="L481" s="6" t="str">
        <f>IF(Data!L481 = 'Point Intercept 2'!L481, Data!L481, "ERROR")</f>
        <v>Sonchus asper</v>
      </c>
    </row>
    <row r="482" spans="1:12" x14ac:dyDescent="0.25">
      <c r="A482" s="6">
        <f>IF(Data!A482 = 'Point Intercept 2'!A482, Data!A482, "ERROR")</f>
        <v>5</v>
      </c>
      <c r="B482" s="6">
        <f>IF(Data!B482 = 'Point Intercept 2'!B482, Data!B482, "ERROR")</f>
        <v>2025</v>
      </c>
      <c r="C482" s="8">
        <f>IF(Data!C482 = 'Point Intercept 2'!C482, Data!C482, "ERROR")</f>
        <v>45755</v>
      </c>
      <c r="D482" s="6" t="str">
        <f>IF(Data!D482 = 'Point Intercept 2'!D482, Data!D482, "ERROR")</f>
        <v>TL, JC</v>
      </c>
      <c r="E482" s="6" t="str">
        <f>IF(Data!E482 = 'Point Intercept 2'!E482, Data!E482, "ERROR")</f>
        <v>VB</v>
      </c>
      <c r="F482" s="6">
        <f>IF(Data!F482 = 'Point Intercept 2'!F482, Data!F482, "ERROR")</f>
        <v>3</v>
      </c>
      <c r="G482" s="6" t="str">
        <f>IF(Data!G482 = 'Point Intercept 2'!G482, Data!G482, "ERROR")</f>
        <v>SS</v>
      </c>
      <c r="H482" s="6">
        <f>IF(Data!I482 = 'Point Intercept 2'!I482, Data!I482, "ERROR")</f>
        <v>9</v>
      </c>
      <c r="I482" s="6">
        <f>IF(Data!H482 = 'Point Intercept 2'!H482, Data!H482, "ERROR")</f>
        <v>2</v>
      </c>
      <c r="J482" s="6">
        <f>IF(Data!J482 = 'Point Intercept 2'!J482, Data!J482, "ERROR")</f>
        <v>7</v>
      </c>
      <c r="K482" s="6" t="str">
        <f>IF(Data!K482 = 'Point Intercept 2'!K482, Data!K482, "ERROR")</f>
        <v>L</v>
      </c>
      <c r="L482" s="6" t="str">
        <f>IF(Data!L482 = 'Point Intercept 2'!L482, Data!L482, "ERROR")</f>
        <v>Litter</v>
      </c>
    </row>
    <row r="483" spans="1:12" x14ac:dyDescent="0.25">
      <c r="A483" s="6">
        <f>IF(Data!A483 = 'Point Intercept 2'!A483, Data!A483, "ERROR")</f>
        <v>5</v>
      </c>
      <c r="B483" s="6">
        <f>IF(Data!B483 = 'Point Intercept 2'!B483, Data!B483, "ERROR")</f>
        <v>2025</v>
      </c>
      <c r="C483" s="8">
        <f>IF(Data!C483 = 'Point Intercept 2'!C483, Data!C483, "ERROR")</f>
        <v>45755</v>
      </c>
      <c r="D483" s="6" t="str">
        <f>IF(Data!D483 = 'Point Intercept 2'!D483, Data!D483, "ERROR")</f>
        <v>TL, JC</v>
      </c>
      <c r="E483" s="6" t="str">
        <f>IF(Data!E483 = 'Point Intercept 2'!E483, Data!E483, "ERROR")</f>
        <v>VB</v>
      </c>
      <c r="F483" s="6">
        <f>IF(Data!F483 = 'Point Intercept 2'!F483, Data!F483, "ERROR")</f>
        <v>3</v>
      </c>
      <c r="G483" s="6" t="str">
        <f>IF(Data!G483 = 'Point Intercept 2'!G483, Data!G483, "ERROR")</f>
        <v>SS</v>
      </c>
      <c r="H483" s="6">
        <f>IF(Data!I483 = 'Point Intercept 2'!I483, Data!I483, "ERROR")</f>
        <v>9</v>
      </c>
      <c r="I483" s="6">
        <f>IF(Data!H483 = 'Point Intercept 2'!H483, Data!H483, "ERROR")</f>
        <v>2</v>
      </c>
      <c r="J483" s="6">
        <f>IF(Data!J483 = 'Point Intercept 2'!J483, Data!J483, "ERROR")</f>
        <v>7</v>
      </c>
      <c r="K483" s="6" t="str">
        <f>IF(Data!K483 = 'Point Intercept 2'!K483, Data!K483, "ERROR")</f>
        <v>FESMYU</v>
      </c>
      <c r="L483" s="6" t="str">
        <f>IF(Data!L483 = 'Point Intercept 2'!L483, Data!L483, "ERROR")</f>
        <v>Festuca myuros</v>
      </c>
    </row>
    <row r="484" spans="1:12" x14ac:dyDescent="0.25">
      <c r="A484" s="6">
        <f>IF(Data!A484 = 'Point Intercept 2'!A484, Data!A484, "ERROR")</f>
        <v>5</v>
      </c>
      <c r="B484" s="6">
        <f>IF(Data!B484 = 'Point Intercept 2'!B484, Data!B484, "ERROR")</f>
        <v>2025</v>
      </c>
      <c r="C484" s="8">
        <f>IF(Data!C484 = 'Point Intercept 2'!C484, Data!C484, "ERROR")</f>
        <v>45755</v>
      </c>
      <c r="D484" s="6" t="str">
        <f>IF(Data!D484 = 'Point Intercept 2'!D484, Data!D484, "ERROR")</f>
        <v>TL, JC</v>
      </c>
      <c r="E484" s="6" t="str">
        <f>IF(Data!E484 = 'Point Intercept 2'!E484, Data!E484, "ERROR")</f>
        <v>VB</v>
      </c>
      <c r="F484" s="6">
        <f>IF(Data!F484 = 'Point Intercept 2'!F484, Data!F484, "ERROR")</f>
        <v>3</v>
      </c>
      <c r="G484" s="6" t="str">
        <f>IF(Data!G484 = 'Point Intercept 2'!G484, Data!G484, "ERROR")</f>
        <v>SS</v>
      </c>
      <c r="H484" s="6">
        <f>IF(Data!I484 = 'Point Intercept 2'!I484, Data!I484, "ERROR")</f>
        <v>9</v>
      </c>
      <c r="I484" s="6">
        <f>IF(Data!H484 = 'Point Intercept 2'!H484, Data!H484, "ERROR")</f>
        <v>2</v>
      </c>
      <c r="J484" s="6">
        <f>IF(Data!J484 = 'Point Intercept 2'!J484, Data!J484, "ERROR")</f>
        <v>7</v>
      </c>
      <c r="K484" s="6" t="str">
        <f>IF(Data!K484 = 'Point Intercept 2'!K484, Data!K484, "ERROR")</f>
        <v>CENMEL</v>
      </c>
      <c r="L484" s="6" t="str">
        <f>IF(Data!L484 = 'Point Intercept 2'!L484, Data!L484, "ERROR")</f>
        <v>Centaurea melitensis</v>
      </c>
    </row>
    <row r="485" spans="1:12" x14ac:dyDescent="0.25">
      <c r="A485" s="6">
        <f>IF(Data!A485 = 'Point Intercept 2'!A485, Data!A485, "ERROR")</f>
        <v>5</v>
      </c>
      <c r="B485" s="6">
        <f>IF(Data!B485 = 'Point Intercept 2'!B485, Data!B485, "ERROR")</f>
        <v>2025</v>
      </c>
      <c r="C485" s="8">
        <f>IF(Data!C485 = 'Point Intercept 2'!C485, Data!C485, "ERROR")</f>
        <v>45755</v>
      </c>
      <c r="D485" s="6" t="str">
        <f>IF(Data!D485 = 'Point Intercept 2'!D485, Data!D485, "ERROR")</f>
        <v>TL, JC</v>
      </c>
      <c r="E485" s="6" t="str">
        <f>IF(Data!E485 = 'Point Intercept 2'!E485, Data!E485, "ERROR")</f>
        <v>VB</v>
      </c>
      <c r="F485" s="6">
        <f>IF(Data!F485 = 'Point Intercept 2'!F485, Data!F485, "ERROR")</f>
        <v>3</v>
      </c>
      <c r="G485" s="6" t="str">
        <f>IF(Data!G485 = 'Point Intercept 2'!G485, Data!G485, "ERROR")</f>
        <v>SS</v>
      </c>
      <c r="H485" s="6">
        <f>IF(Data!I485 = 'Point Intercept 2'!I485, Data!I485, "ERROR")</f>
        <v>10</v>
      </c>
      <c r="I485" s="6">
        <f>IF(Data!H485 = 'Point Intercept 2'!H485, Data!H485, "ERROR")</f>
        <v>2</v>
      </c>
      <c r="J485" s="6">
        <f>IF(Data!J485 = 'Point Intercept 2'!J485, Data!J485, "ERROR")</f>
        <v>8</v>
      </c>
      <c r="K485" s="6" t="str">
        <f>IF(Data!K485 = 'Point Intercept 2'!K485, Data!K485, "ERROR")</f>
        <v>B</v>
      </c>
      <c r="L485" s="6" t="str">
        <f>IF(Data!L485 = 'Point Intercept 2'!L485, Data!L485, "ERROR")</f>
        <v>Bareground</v>
      </c>
    </row>
    <row r="486" spans="1:12" x14ac:dyDescent="0.25">
      <c r="A486" s="6">
        <f>IF(Data!A486 = 'Point Intercept 2'!A486, Data!A486, "ERROR")</f>
        <v>5</v>
      </c>
      <c r="B486" s="6">
        <f>IF(Data!B486 = 'Point Intercept 2'!B486, Data!B486, "ERROR")</f>
        <v>2025</v>
      </c>
      <c r="C486" s="8">
        <f>IF(Data!C486 = 'Point Intercept 2'!C486, Data!C486, "ERROR")</f>
        <v>45755</v>
      </c>
      <c r="D486" s="6" t="str">
        <f>IF(Data!D486 = 'Point Intercept 2'!D486, Data!D486, "ERROR")</f>
        <v>TL, JC</v>
      </c>
      <c r="E486" s="6" t="str">
        <f>IF(Data!E486 = 'Point Intercept 2'!E486, Data!E486, "ERROR")</f>
        <v>VB</v>
      </c>
      <c r="F486" s="6">
        <f>IF(Data!F486 = 'Point Intercept 2'!F486, Data!F486, "ERROR")</f>
        <v>3</v>
      </c>
      <c r="G486" s="6" t="str">
        <f>IF(Data!G486 = 'Point Intercept 2'!G486, Data!G486, "ERROR")</f>
        <v>SS</v>
      </c>
      <c r="H486" s="6">
        <f>IF(Data!I486 = 'Point Intercept 2'!I486, Data!I486, "ERROR")</f>
        <v>10</v>
      </c>
      <c r="I486" s="6">
        <f>IF(Data!H486 = 'Point Intercept 2'!H486, Data!H486, "ERROR")</f>
        <v>2</v>
      </c>
      <c r="J486" s="6">
        <f>IF(Data!J486 = 'Point Intercept 2'!J486, Data!J486, "ERROR")</f>
        <v>8</v>
      </c>
      <c r="K486" s="6" t="str">
        <f>IF(Data!K486 = 'Point Intercept 2'!K486, Data!K486, "ERROR")</f>
        <v>AMSMEN</v>
      </c>
      <c r="L486" s="6" t="str">
        <f>IF(Data!L486 = 'Point Intercept 2'!L486, Data!L486, "ERROR")</f>
        <v>Amsinckia menziesii</v>
      </c>
    </row>
    <row r="487" spans="1:12" x14ac:dyDescent="0.25">
      <c r="A487" s="6">
        <f>IF(Data!A487 = 'Point Intercept 2'!A487, Data!A487, "ERROR")</f>
        <v>5</v>
      </c>
      <c r="B487" s="6">
        <f>IF(Data!B487 = 'Point Intercept 2'!B487, Data!B487, "ERROR")</f>
        <v>2025</v>
      </c>
      <c r="C487" s="8">
        <f>IF(Data!C487 = 'Point Intercept 2'!C487, Data!C487, "ERROR")</f>
        <v>45755</v>
      </c>
      <c r="D487" s="6" t="str">
        <f>IF(Data!D487 = 'Point Intercept 2'!D487, Data!D487, "ERROR")</f>
        <v>TL, JC</v>
      </c>
      <c r="E487" s="6" t="str">
        <f>IF(Data!E487 = 'Point Intercept 2'!E487, Data!E487, "ERROR")</f>
        <v>VB</v>
      </c>
      <c r="F487" s="6">
        <f>IF(Data!F487 = 'Point Intercept 2'!F487, Data!F487, "ERROR")</f>
        <v>3</v>
      </c>
      <c r="G487" s="6" t="str">
        <f>IF(Data!G487 = 'Point Intercept 2'!G487, Data!G487, "ERROR")</f>
        <v>SS</v>
      </c>
      <c r="H487" s="6">
        <f>IF(Data!I487 = 'Point Intercept 2'!I487, Data!I487, "ERROR")</f>
        <v>10</v>
      </c>
      <c r="I487" s="6">
        <f>IF(Data!H487 = 'Point Intercept 2'!H487, Data!H487, "ERROR")</f>
        <v>2</v>
      </c>
      <c r="J487" s="6">
        <f>IF(Data!J487 = 'Point Intercept 2'!J487, Data!J487, "ERROR")</f>
        <v>8</v>
      </c>
      <c r="K487" s="6" t="str">
        <f>IF(Data!K487 = 'Point Intercept 2'!K487, Data!K487, "ERROR")</f>
        <v>FESMYU</v>
      </c>
      <c r="L487" s="6" t="str">
        <f>IF(Data!L487 = 'Point Intercept 2'!L487, Data!L487, "ERROR")</f>
        <v>Festuca myuros</v>
      </c>
    </row>
    <row r="488" spans="1:12" x14ac:dyDescent="0.25">
      <c r="A488" s="6">
        <f>IF(Data!A488 = 'Point Intercept 2'!A488, Data!A488, "ERROR")</f>
        <v>5</v>
      </c>
      <c r="B488" s="6">
        <f>IF(Data!B488 = 'Point Intercept 2'!B488, Data!B488, "ERROR")</f>
        <v>2025</v>
      </c>
      <c r="C488" s="8">
        <f>IF(Data!C488 = 'Point Intercept 2'!C488, Data!C488, "ERROR")</f>
        <v>45755</v>
      </c>
      <c r="D488" s="6" t="str">
        <f>IF(Data!D488 = 'Point Intercept 2'!D488, Data!D488, "ERROR")</f>
        <v>TL, JC</v>
      </c>
      <c r="E488" s="6" t="str">
        <f>IF(Data!E488 = 'Point Intercept 2'!E488, Data!E488, "ERROR")</f>
        <v>VB</v>
      </c>
      <c r="F488" s="6">
        <f>IF(Data!F488 = 'Point Intercept 2'!F488, Data!F488, "ERROR")</f>
        <v>3</v>
      </c>
      <c r="G488" s="6" t="str">
        <f>IF(Data!G488 = 'Point Intercept 2'!G488, Data!G488, "ERROR")</f>
        <v>SS</v>
      </c>
      <c r="H488" s="6">
        <f>IF(Data!I488 = 'Point Intercept 2'!I488, Data!I488, "ERROR")</f>
        <v>11</v>
      </c>
      <c r="I488" s="6">
        <f>IF(Data!H488 = 'Point Intercept 2'!H488, Data!H488, "ERROR")</f>
        <v>2</v>
      </c>
      <c r="J488" s="6">
        <f>IF(Data!J488 = 'Point Intercept 2'!J488, Data!J488, "ERROR")</f>
        <v>8.5</v>
      </c>
      <c r="K488" s="6" t="str">
        <f>IF(Data!K488 = 'Point Intercept 2'!K488, Data!K488, "ERROR")</f>
        <v>L</v>
      </c>
      <c r="L488" s="6" t="str">
        <f>IF(Data!L488 = 'Point Intercept 2'!L488, Data!L488, "ERROR")</f>
        <v>Litter</v>
      </c>
    </row>
    <row r="489" spans="1:12" x14ac:dyDescent="0.25">
      <c r="A489" s="6">
        <f>IF(Data!A489 = 'Point Intercept 2'!A489, Data!A489, "ERROR")</f>
        <v>5</v>
      </c>
      <c r="B489" s="6">
        <f>IF(Data!B489 = 'Point Intercept 2'!B489, Data!B489, "ERROR")</f>
        <v>2025</v>
      </c>
      <c r="C489" s="8">
        <f>IF(Data!C489 = 'Point Intercept 2'!C489, Data!C489, "ERROR")</f>
        <v>45755</v>
      </c>
      <c r="D489" s="6" t="str">
        <f>IF(Data!D489 = 'Point Intercept 2'!D489, Data!D489, "ERROR")</f>
        <v>TL, JC</v>
      </c>
      <c r="E489" s="6" t="str">
        <f>IF(Data!E489 = 'Point Intercept 2'!E489, Data!E489, "ERROR")</f>
        <v>VB</v>
      </c>
      <c r="F489" s="6">
        <f>IF(Data!F489 = 'Point Intercept 2'!F489, Data!F489, "ERROR")</f>
        <v>3</v>
      </c>
      <c r="G489" s="6" t="str">
        <f>IF(Data!G489 = 'Point Intercept 2'!G489, Data!G489, "ERROR")</f>
        <v>SS</v>
      </c>
      <c r="H489" s="6">
        <f>IF(Data!I489 = 'Point Intercept 2'!I489, Data!I489, "ERROR")</f>
        <v>11</v>
      </c>
      <c r="I489" s="6">
        <f>IF(Data!H489 = 'Point Intercept 2'!H489, Data!H489, "ERROR")</f>
        <v>2</v>
      </c>
      <c r="J489" s="6">
        <f>IF(Data!J489 = 'Point Intercept 2'!J489, Data!J489, "ERROR")</f>
        <v>8.5</v>
      </c>
      <c r="K489" s="6" t="str">
        <f>IF(Data!K489 = 'Point Intercept 2'!K489, Data!K489, "ERROR")</f>
        <v>CENMEL</v>
      </c>
      <c r="L489" s="6" t="str">
        <f>IF(Data!L489 = 'Point Intercept 2'!L489, Data!L489, "ERROR")</f>
        <v>Centaurea melitensis</v>
      </c>
    </row>
    <row r="490" spans="1:12" x14ac:dyDescent="0.25">
      <c r="A490" s="6">
        <f>IF(Data!A490 = 'Point Intercept 2'!A490, Data!A490, "ERROR")</f>
        <v>5</v>
      </c>
      <c r="B490" s="6">
        <f>IF(Data!B490 = 'Point Intercept 2'!B490, Data!B490, "ERROR")</f>
        <v>2025</v>
      </c>
      <c r="C490" s="8">
        <f>IF(Data!C490 = 'Point Intercept 2'!C490, Data!C490, "ERROR")</f>
        <v>45755</v>
      </c>
      <c r="D490" s="6" t="str">
        <f>IF(Data!D490 = 'Point Intercept 2'!D490, Data!D490, "ERROR")</f>
        <v>TL, JC</v>
      </c>
      <c r="E490" s="6" t="str">
        <f>IF(Data!E490 = 'Point Intercept 2'!E490, Data!E490, "ERROR")</f>
        <v>VB</v>
      </c>
      <c r="F490" s="6">
        <f>IF(Data!F490 = 'Point Intercept 2'!F490, Data!F490, "ERROR")</f>
        <v>3</v>
      </c>
      <c r="G490" s="6" t="str">
        <f>IF(Data!G490 = 'Point Intercept 2'!G490, Data!G490, "ERROR")</f>
        <v>SS</v>
      </c>
      <c r="H490" s="6">
        <f>IF(Data!I490 = 'Point Intercept 2'!I490, Data!I490, "ERROR")</f>
        <v>12</v>
      </c>
      <c r="I490" s="6">
        <f>IF(Data!H490 = 'Point Intercept 2'!H490, Data!H490, "ERROR")</f>
        <v>2</v>
      </c>
      <c r="J490" s="6">
        <f>IF(Data!J490 = 'Point Intercept 2'!J490, Data!J490, "ERROR")</f>
        <v>9</v>
      </c>
      <c r="K490" s="6" t="str">
        <f>IF(Data!K490 = 'Point Intercept 2'!K490, Data!K490, "ERROR")</f>
        <v>L</v>
      </c>
      <c r="L490" s="6" t="str">
        <f>IF(Data!L490 = 'Point Intercept 2'!L490, Data!L490, "ERROR")</f>
        <v>Litter</v>
      </c>
    </row>
    <row r="491" spans="1:12" x14ac:dyDescent="0.25">
      <c r="A491" s="6">
        <f>IF(Data!A491 = 'Point Intercept 2'!A491, Data!A491, "ERROR")</f>
        <v>5</v>
      </c>
      <c r="B491" s="6">
        <f>IF(Data!B491 = 'Point Intercept 2'!B491, Data!B491, "ERROR")</f>
        <v>2025</v>
      </c>
      <c r="C491" s="8">
        <f>IF(Data!C491 = 'Point Intercept 2'!C491, Data!C491, "ERROR")</f>
        <v>45755</v>
      </c>
      <c r="D491" s="6" t="str">
        <f>IF(Data!D491 = 'Point Intercept 2'!D491, Data!D491, "ERROR")</f>
        <v>TL, JC</v>
      </c>
      <c r="E491" s="6" t="str">
        <f>IF(Data!E491 = 'Point Intercept 2'!E491, Data!E491, "ERROR")</f>
        <v>VB</v>
      </c>
      <c r="F491" s="6">
        <f>IF(Data!F491 = 'Point Intercept 2'!F491, Data!F491, "ERROR")</f>
        <v>3</v>
      </c>
      <c r="G491" s="6" t="str">
        <f>IF(Data!G491 = 'Point Intercept 2'!G491, Data!G491, "ERROR")</f>
        <v>SS</v>
      </c>
      <c r="H491" s="6">
        <f>IF(Data!I491 = 'Point Intercept 2'!I491, Data!I491, "ERROR")</f>
        <v>12</v>
      </c>
      <c r="I491" s="6">
        <f>IF(Data!H491 = 'Point Intercept 2'!H491, Data!H491, "ERROR")</f>
        <v>2</v>
      </c>
      <c r="J491" s="6">
        <f>IF(Data!J491 = 'Point Intercept 2'!J491, Data!J491, "ERROR")</f>
        <v>9</v>
      </c>
      <c r="K491" s="6" t="str">
        <f>IF(Data!K491 = 'Point Intercept 2'!K491, Data!K491, "ERROR")</f>
        <v>FESMYU</v>
      </c>
      <c r="L491" s="6" t="str">
        <f>IF(Data!L491 = 'Point Intercept 2'!L491, Data!L491, "ERROR")</f>
        <v>Festuca myuros</v>
      </c>
    </row>
    <row r="492" spans="1:12" x14ac:dyDescent="0.25">
      <c r="A492" s="6">
        <f>IF(Data!A492 = 'Point Intercept 2'!A492, Data!A492, "ERROR")</f>
        <v>5</v>
      </c>
      <c r="B492" s="6">
        <f>IF(Data!B492 = 'Point Intercept 2'!B492, Data!B492, "ERROR")</f>
        <v>2025</v>
      </c>
      <c r="C492" s="8">
        <f>IF(Data!C492 = 'Point Intercept 2'!C492, Data!C492, "ERROR")</f>
        <v>45755</v>
      </c>
      <c r="D492" s="6" t="str">
        <f>IF(Data!D492 = 'Point Intercept 2'!D492, Data!D492, "ERROR")</f>
        <v>TL, JC</v>
      </c>
      <c r="E492" s="6" t="str">
        <f>IF(Data!E492 = 'Point Intercept 2'!E492, Data!E492, "ERROR")</f>
        <v>VB</v>
      </c>
      <c r="F492" s="6">
        <f>IF(Data!F492 = 'Point Intercept 2'!F492, Data!F492, "ERROR")</f>
        <v>3</v>
      </c>
      <c r="G492" s="6" t="str">
        <f>IF(Data!G492 = 'Point Intercept 2'!G492, Data!G492, "ERROR")</f>
        <v>SS</v>
      </c>
      <c r="H492" s="6">
        <f>IF(Data!I492 = 'Point Intercept 2'!I492, Data!I492, "ERROR")</f>
        <v>12</v>
      </c>
      <c r="I492" s="6">
        <f>IF(Data!H492 = 'Point Intercept 2'!H492, Data!H492, "ERROR")</f>
        <v>2</v>
      </c>
      <c r="J492" s="6">
        <f>IF(Data!J492 = 'Point Intercept 2'!J492, Data!J492, "ERROR")</f>
        <v>9</v>
      </c>
      <c r="K492" s="6" t="str">
        <f>IF(Data!K492 = 'Point Intercept 2'!K492, Data!K492, "ERROR")</f>
        <v>BRANIG</v>
      </c>
      <c r="L492" s="6" t="str">
        <f>IF(Data!L492 = 'Point Intercept 2'!L492, Data!L492, "ERROR")</f>
        <v>Brassica nigra</v>
      </c>
    </row>
    <row r="493" spans="1:12" x14ac:dyDescent="0.25">
      <c r="A493" s="6">
        <f>IF(Data!A493 = 'Point Intercept 2'!A493, Data!A493, "ERROR")</f>
        <v>5</v>
      </c>
      <c r="B493" s="6">
        <f>IF(Data!B493 = 'Point Intercept 2'!B493, Data!B493, "ERROR")</f>
        <v>2025</v>
      </c>
      <c r="C493" s="8">
        <f>IF(Data!C493 = 'Point Intercept 2'!C493, Data!C493, "ERROR")</f>
        <v>45755</v>
      </c>
      <c r="D493" s="6" t="str">
        <f>IF(Data!D493 = 'Point Intercept 2'!D493, Data!D493, "ERROR")</f>
        <v>TL, JC</v>
      </c>
      <c r="E493" s="6" t="str">
        <f>IF(Data!E493 = 'Point Intercept 2'!E493, Data!E493, "ERROR")</f>
        <v>VB</v>
      </c>
      <c r="F493" s="6">
        <f>IF(Data!F493 = 'Point Intercept 2'!F493, Data!F493, "ERROR")</f>
        <v>3</v>
      </c>
      <c r="G493" s="6" t="str">
        <f>IF(Data!G493 = 'Point Intercept 2'!G493, Data!G493, "ERROR")</f>
        <v>SS</v>
      </c>
      <c r="H493" s="6">
        <f>IF(Data!I493 = 'Point Intercept 2'!I493, Data!I493, "ERROR")</f>
        <v>13</v>
      </c>
      <c r="I493" s="6">
        <f>IF(Data!H493 = 'Point Intercept 2'!H493, Data!H493, "ERROR")</f>
        <v>2</v>
      </c>
      <c r="J493" s="6">
        <f>IF(Data!J493 = 'Point Intercept 2'!J493, Data!J493, "ERROR")</f>
        <v>10</v>
      </c>
      <c r="K493" s="6" t="str">
        <f>IF(Data!K493 = 'Point Intercept 2'!K493, Data!K493, "ERROR")</f>
        <v>L</v>
      </c>
      <c r="L493" s="6" t="str">
        <f>IF(Data!L493 = 'Point Intercept 2'!L493, Data!L493, "ERROR")</f>
        <v>Litter</v>
      </c>
    </row>
    <row r="494" spans="1:12" x14ac:dyDescent="0.25">
      <c r="A494" s="6">
        <f>IF(Data!A494 = 'Point Intercept 2'!A494, Data!A494, "ERROR")</f>
        <v>5</v>
      </c>
      <c r="B494" s="6">
        <f>IF(Data!B494 = 'Point Intercept 2'!B494, Data!B494, "ERROR")</f>
        <v>2025</v>
      </c>
      <c r="C494" s="8">
        <f>IF(Data!C494 = 'Point Intercept 2'!C494, Data!C494, "ERROR")</f>
        <v>45755</v>
      </c>
      <c r="D494" s="6" t="str">
        <f>IF(Data!D494 = 'Point Intercept 2'!D494, Data!D494, "ERROR")</f>
        <v>TL, JC</v>
      </c>
      <c r="E494" s="6" t="str">
        <f>IF(Data!E494 = 'Point Intercept 2'!E494, Data!E494, "ERROR")</f>
        <v>VB</v>
      </c>
      <c r="F494" s="6">
        <f>IF(Data!F494 = 'Point Intercept 2'!F494, Data!F494, "ERROR")</f>
        <v>3</v>
      </c>
      <c r="G494" s="6" t="str">
        <f>IF(Data!G494 = 'Point Intercept 2'!G494, Data!G494, "ERROR")</f>
        <v>SS</v>
      </c>
      <c r="H494" s="6">
        <f>IF(Data!I494 = 'Point Intercept 2'!I494, Data!I494, "ERROR")</f>
        <v>13</v>
      </c>
      <c r="I494" s="6">
        <f>IF(Data!H494 = 'Point Intercept 2'!H494, Data!H494, "ERROR")</f>
        <v>2</v>
      </c>
      <c r="J494" s="6">
        <f>IF(Data!J494 = 'Point Intercept 2'!J494, Data!J494, "ERROR")</f>
        <v>10</v>
      </c>
      <c r="K494" s="6" t="str">
        <f>IF(Data!K494 = 'Point Intercept 2'!K494, Data!K494, "ERROR")</f>
        <v>FESMYU</v>
      </c>
      <c r="L494" s="6" t="str">
        <f>IF(Data!L494 = 'Point Intercept 2'!L494, Data!L494, "ERROR")</f>
        <v>Festuca myuros</v>
      </c>
    </row>
    <row r="495" spans="1:12" x14ac:dyDescent="0.25">
      <c r="A495" s="6">
        <f>IF(Data!A495 = 'Point Intercept 2'!A495, Data!A495, "ERROR")</f>
        <v>5</v>
      </c>
      <c r="B495" s="6">
        <f>IF(Data!B495 = 'Point Intercept 2'!B495, Data!B495, "ERROR")</f>
        <v>2025</v>
      </c>
      <c r="C495" s="8">
        <f>IF(Data!C495 = 'Point Intercept 2'!C495, Data!C495, "ERROR")</f>
        <v>45755</v>
      </c>
      <c r="D495" s="6" t="str">
        <f>IF(Data!D495 = 'Point Intercept 2'!D495, Data!D495, "ERROR")</f>
        <v>TL, JC</v>
      </c>
      <c r="E495" s="6" t="str">
        <f>IF(Data!E495 = 'Point Intercept 2'!E495, Data!E495, "ERROR")</f>
        <v>VB</v>
      </c>
      <c r="F495" s="6">
        <f>IF(Data!F495 = 'Point Intercept 2'!F495, Data!F495, "ERROR")</f>
        <v>3</v>
      </c>
      <c r="G495" s="6" t="str">
        <f>IF(Data!G495 = 'Point Intercept 2'!G495, Data!G495, "ERROR")</f>
        <v>SS</v>
      </c>
      <c r="H495" s="6">
        <f>IF(Data!I495 = 'Point Intercept 2'!I495, Data!I495, "ERROR")</f>
        <v>13</v>
      </c>
      <c r="I495" s="6">
        <f>IF(Data!H495 = 'Point Intercept 2'!H495, Data!H495, "ERROR")</f>
        <v>2</v>
      </c>
      <c r="J495" s="6">
        <f>IF(Data!J495 = 'Point Intercept 2'!J495, Data!J495, "ERROR")</f>
        <v>10</v>
      </c>
      <c r="K495" s="6" t="str">
        <f>IF(Data!K495 = 'Point Intercept 2'!K495, Data!K495, "ERROR")</f>
        <v>CENMEL</v>
      </c>
      <c r="L495" s="6" t="str">
        <f>IF(Data!L495 = 'Point Intercept 2'!L495, Data!L495, "ERROR")</f>
        <v>Centaurea melitensis</v>
      </c>
    </row>
    <row r="496" spans="1:12" x14ac:dyDescent="0.25">
      <c r="A496" s="6">
        <f>IF(Data!A496 = 'Point Intercept 2'!A496, Data!A496, "ERROR")</f>
        <v>5</v>
      </c>
      <c r="B496" s="6">
        <f>IF(Data!B496 = 'Point Intercept 2'!B496, Data!B496, "ERROR")</f>
        <v>2025</v>
      </c>
      <c r="C496" s="8">
        <f>IF(Data!C496 = 'Point Intercept 2'!C496, Data!C496, "ERROR")</f>
        <v>45755</v>
      </c>
      <c r="D496" s="6" t="str">
        <f>IF(Data!D496 = 'Point Intercept 2'!D496, Data!D496, "ERROR")</f>
        <v>TL, JC</v>
      </c>
      <c r="E496" s="6" t="str">
        <f>IF(Data!E496 = 'Point Intercept 2'!E496, Data!E496, "ERROR")</f>
        <v>VB</v>
      </c>
      <c r="F496" s="6">
        <f>IF(Data!F496 = 'Point Intercept 2'!F496, Data!F496, "ERROR")</f>
        <v>3</v>
      </c>
      <c r="G496" s="6" t="str">
        <f>IF(Data!G496 = 'Point Intercept 2'!G496, Data!G496, "ERROR")</f>
        <v>SS</v>
      </c>
      <c r="H496" s="6">
        <f>IF(Data!I496 = 'Point Intercept 2'!I496, Data!I496, "ERROR")</f>
        <v>14</v>
      </c>
      <c r="I496" s="6">
        <f>IF(Data!H496 = 'Point Intercept 2'!H496, Data!H496, "ERROR")</f>
        <v>2</v>
      </c>
      <c r="J496" s="6">
        <f>IF(Data!J496 = 'Point Intercept 2'!J496, Data!J496, "ERROR")</f>
        <v>11</v>
      </c>
      <c r="K496" s="6" t="str">
        <f>IF(Data!K496 = 'Point Intercept 2'!K496, Data!K496, "ERROR")</f>
        <v>L</v>
      </c>
      <c r="L496" s="6" t="str">
        <f>IF(Data!L496 = 'Point Intercept 2'!L496, Data!L496, "ERROR")</f>
        <v>Litter</v>
      </c>
    </row>
    <row r="497" spans="1:12" x14ac:dyDescent="0.25">
      <c r="A497" s="6">
        <f>IF(Data!A497 = 'Point Intercept 2'!A497, Data!A497, "ERROR")</f>
        <v>5</v>
      </c>
      <c r="B497" s="6">
        <f>IF(Data!B497 = 'Point Intercept 2'!B497, Data!B497, "ERROR")</f>
        <v>2025</v>
      </c>
      <c r="C497" s="8">
        <f>IF(Data!C497 = 'Point Intercept 2'!C497, Data!C497, "ERROR")</f>
        <v>45755</v>
      </c>
      <c r="D497" s="6" t="str">
        <f>IF(Data!D497 = 'Point Intercept 2'!D497, Data!D497, "ERROR")</f>
        <v>TL, JC</v>
      </c>
      <c r="E497" s="6" t="str">
        <f>IF(Data!E497 = 'Point Intercept 2'!E497, Data!E497, "ERROR")</f>
        <v>VB</v>
      </c>
      <c r="F497" s="6">
        <f>IF(Data!F497 = 'Point Intercept 2'!F497, Data!F497, "ERROR")</f>
        <v>3</v>
      </c>
      <c r="G497" s="6" t="str">
        <f>IF(Data!G497 = 'Point Intercept 2'!G497, Data!G497, "ERROR")</f>
        <v>SS</v>
      </c>
      <c r="H497" s="6">
        <f>IF(Data!I497 = 'Point Intercept 2'!I497, Data!I497, "ERROR")</f>
        <v>14</v>
      </c>
      <c r="I497" s="6">
        <f>IF(Data!H497 = 'Point Intercept 2'!H497, Data!H497, "ERROR")</f>
        <v>2</v>
      </c>
      <c r="J497" s="6">
        <f>IF(Data!J497 = 'Point Intercept 2'!J497, Data!J497, "ERROR")</f>
        <v>11</v>
      </c>
      <c r="K497" s="6" t="str">
        <f>IF(Data!K497 = 'Point Intercept 2'!K497, Data!K497, "ERROR")</f>
        <v>BRANIG</v>
      </c>
      <c r="L497" s="6" t="str">
        <f>IF(Data!L497 = 'Point Intercept 2'!L497, Data!L497, "ERROR")</f>
        <v>Brassica nigra</v>
      </c>
    </row>
    <row r="498" spans="1:12" x14ac:dyDescent="0.25">
      <c r="A498" s="6">
        <f>IF(Data!A498 = 'Point Intercept 2'!A498, Data!A498, "ERROR")</f>
        <v>5</v>
      </c>
      <c r="B498" s="6">
        <f>IF(Data!B498 = 'Point Intercept 2'!B498, Data!B498, "ERROR")</f>
        <v>2025</v>
      </c>
      <c r="C498" s="8">
        <f>IF(Data!C498 = 'Point Intercept 2'!C498, Data!C498, "ERROR")</f>
        <v>45755</v>
      </c>
      <c r="D498" s="6" t="str">
        <f>IF(Data!D498 = 'Point Intercept 2'!D498, Data!D498, "ERROR")</f>
        <v>TL, JC</v>
      </c>
      <c r="E498" s="6" t="str">
        <f>IF(Data!E498 = 'Point Intercept 2'!E498, Data!E498, "ERROR")</f>
        <v>VB</v>
      </c>
      <c r="F498" s="6">
        <f>IF(Data!F498 = 'Point Intercept 2'!F498, Data!F498, "ERROR")</f>
        <v>3</v>
      </c>
      <c r="G498" s="6" t="str">
        <f>IF(Data!G498 = 'Point Intercept 2'!G498, Data!G498, "ERROR")</f>
        <v>SS</v>
      </c>
      <c r="H498" s="6">
        <f>IF(Data!I498 = 'Point Intercept 2'!I498, Data!I498, "ERROR")</f>
        <v>15</v>
      </c>
      <c r="I498" s="6">
        <f>IF(Data!H498 = 'Point Intercept 2'!H498, Data!H498, "ERROR")</f>
        <v>2</v>
      </c>
      <c r="J498" s="6">
        <f>IF(Data!J498 = 'Point Intercept 2'!J498, Data!J498, "ERROR")</f>
        <v>12</v>
      </c>
      <c r="K498" s="6" t="str">
        <f>IF(Data!K498 = 'Point Intercept 2'!K498, Data!K498, "ERROR")</f>
        <v>L</v>
      </c>
      <c r="L498" s="6" t="str">
        <f>IF(Data!L498 = 'Point Intercept 2'!L498, Data!L498, "ERROR")</f>
        <v>Litter</v>
      </c>
    </row>
    <row r="499" spans="1:12" x14ac:dyDescent="0.25">
      <c r="A499" s="6">
        <f>IF(Data!A499 = 'Point Intercept 2'!A499, Data!A499, "ERROR")</f>
        <v>5</v>
      </c>
      <c r="B499" s="6">
        <f>IF(Data!B499 = 'Point Intercept 2'!B499, Data!B499, "ERROR")</f>
        <v>2025</v>
      </c>
      <c r="C499" s="8">
        <f>IF(Data!C499 = 'Point Intercept 2'!C499, Data!C499, "ERROR")</f>
        <v>45755</v>
      </c>
      <c r="D499" s="6" t="str">
        <f>IF(Data!D499 = 'Point Intercept 2'!D499, Data!D499, "ERROR")</f>
        <v>TL, JC</v>
      </c>
      <c r="E499" s="6" t="str">
        <f>IF(Data!E499 = 'Point Intercept 2'!E499, Data!E499, "ERROR")</f>
        <v>VB</v>
      </c>
      <c r="F499" s="6">
        <f>IF(Data!F499 = 'Point Intercept 2'!F499, Data!F499, "ERROR")</f>
        <v>3</v>
      </c>
      <c r="G499" s="6" t="str">
        <f>IF(Data!G499 = 'Point Intercept 2'!G499, Data!G499, "ERROR")</f>
        <v>SS</v>
      </c>
      <c r="H499" s="6">
        <f>IF(Data!I499 = 'Point Intercept 2'!I499, Data!I499, "ERROR")</f>
        <v>15</v>
      </c>
      <c r="I499" s="6">
        <f>IF(Data!H499 = 'Point Intercept 2'!H499, Data!H499, "ERROR")</f>
        <v>2</v>
      </c>
      <c r="J499" s="6">
        <f>IF(Data!J499 = 'Point Intercept 2'!J499, Data!J499, "ERROR")</f>
        <v>12</v>
      </c>
      <c r="K499" s="6" t="str">
        <f>IF(Data!K499 = 'Point Intercept 2'!K499, Data!K499, "ERROR")</f>
        <v>SONASP</v>
      </c>
      <c r="L499" s="6" t="str">
        <f>IF(Data!L499 = 'Point Intercept 2'!L499, Data!L499, "ERROR")</f>
        <v>Sonchus asper</v>
      </c>
    </row>
    <row r="500" spans="1:12" x14ac:dyDescent="0.25">
      <c r="A500" s="6">
        <f>IF(Data!A500 = 'Point Intercept 2'!A500, Data!A500, "ERROR")</f>
        <v>5</v>
      </c>
      <c r="B500" s="6">
        <f>IF(Data!B500 = 'Point Intercept 2'!B500, Data!B500, "ERROR")</f>
        <v>2025</v>
      </c>
      <c r="C500" s="8">
        <f>IF(Data!C500 = 'Point Intercept 2'!C500, Data!C500, "ERROR")</f>
        <v>45755</v>
      </c>
      <c r="D500" s="6" t="str">
        <f>IF(Data!D500 = 'Point Intercept 2'!D500, Data!D500, "ERROR")</f>
        <v>TL, JC</v>
      </c>
      <c r="E500" s="6" t="str">
        <f>IF(Data!E500 = 'Point Intercept 2'!E500, Data!E500, "ERROR")</f>
        <v>VB</v>
      </c>
      <c r="F500" s="6">
        <f>IF(Data!F500 = 'Point Intercept 2'!F500, Data!F500, "ERROR")</f>
        <v>3</v>
      </c>
      <c r="G500" s="6" t="str">
        <f>IF(Data!G500 = 'Point Intercept 2'!G500, Data!G500, "ERROR")</f>
        <v>SS</v>
      </c>
      <c r="H500" s="6">
        <f>IF(Data!I500 = 'Point Intercept 2'!I500, Data!I500, "ERROR")</f>
        <v>15</v>
      </c>
      <c r="I500" s="6">
        <f>IF(Data!H500 = 'Point Intercept 2'!H500, Data!H500, "ERROR")</f>
        <v>2</v>
      </c>
      <c r="J500" s="6">
        <f>IF(Data!J500 = 'Point Intercept 2'!J500, Data!J500, "ERROR")</f>
        <v>12</v>
      </c>
      <c r="K500" s="6" t="str">
        <f>IF(Data!K500 = 'Point Intercept 2'!K500, Data!K500, "ERROR")</f>
        <v>FESMYU</v>
      </c>
      <c r="L500" s="6" t="str">
        <f>IF(Data!L500 = 'Point Intercept 2'!L500, Data!L500, "ERROR")</f>
        <v>Festuca myuros</v>
      </c>
    </row>
    <row r="501" spans="1:12" x14ac:dyDescent="0.25">
      <c r="A501" s="6">
        <f>IF(Data!A501 = 'Point Intercept 2'!A501, Data!A501, "ERROR")</f>
        <v>6</v>
      </c>
      <c r="B501" s="6">
        <f>IF(Data!B501 = 'Point Intercept 2'!B501, Data!B501, "ERROR")</f>
        <v>2025</v>
      </c>
      <c r="C501" s="8">
        <f>IF(Data!C501 = 'Point Intercept 2'!C501, Data!C501, "ERROR")</f>
        <v>45755</v>
      </c>
      <c r="D501" s="6" t="str">
        <f>IF(Data!D501 = 'Point Intercept 2'!D501, Data!D501, "ERROR")</f>
        <v>JC, TL</v>
      </c>
      <c r="E501" s="6" t="str">
        <f>IF(Data!E501 = 'Point Intercept 2'!E501, Data!E501, "ERROR")</f>
        <v>VB</v>
      </c>
      <c r="F501" s="6">
        <f>IF(Data!F501 = 'Point Intercept 2'!F501, Data!F501, "ERROR")</f>
        <v>3</v>
      </c>
      <c r="G501" s="6" t="str">
        <f>IF(Data!G501 = 'Point Intercept 2'!G501, Data!G501, "ERROR")</f>
        <v>SU</v>
      </c>
      <c r="H501" s="6">
        <f>IF(Data!I501 = 'Point Intercept 2'!I501, Data!I501, "ERROR")</f>
        <v>1</v>
      </c>
      <c r="I501" s="6">
        <f>IF(Data!H501 = 'Point Intercept 2'!H501, Data!H501, "ERROR")</f>
        <v>1</v>
      </c>
      <c r="J501" s="6">
        <f>IF(Data!J501 = 'Point Intercept 2'!J501, Data!J501, "ERROR")</f>
        <v>0</v>
      </c>
      <c r="K501" s="6" t="str">
        <f>IF(Data!K501 = 'Point Intercept 2'!K501, Data!K501, "ERROR")</f>
        <v>L</v>
      </c>
      <c r="L501" s="6" t="str">
        <f>IF(Data!L501 = 'Point Intercept 2'!L501, Data!L501, "ERROR")</f>
        <v>Litter</v>
      </c>
    </row>
    <row r="502" spans="1:12" x14ac:dyDescent="0.25">
      <c r="A502" s="6">
        <f>IF(Data!A502 = 'Point Intercept 2'!A502, Data!A502, "ERROR")</f>
        <v>6</v>
      </c>
      <c r="B502" s="6">
        <f>IF(Data!B502 = 'Point Intercept 2'!B502, Data!B502, "ERROR")</f>
        <v>2025</v>
      </c>
      <c r="C502" s="8">
        <f>IF(Data!C502 = 'Point Intercept 2'!C502, Data!C502, "ERROR")</f>
        <v>45755</v>
      </c>
      <c r="D502" s="6" t="str">
        <f>IF(Data!D502 = 'Point Intercept 2'!D502, Data!D502, "ERROR")</f>
        <v>JC, TL</v>
      </c>
      <c r="E502" s="6" t="str">
        <f>IF(Data!E502 = 'Point Intercept 2'!E502, Data!E502, "ERROR")</f>
        <v>VB</v>
      </c>
      <c r="F502" s="6">
        <f>IF(Data!F502 = 'Point Intercept 2'!F502, Data!F502, "ERROR")</f>
        <v>3</v>
      </c>
      <c r="G502" s="6" t="str">
        <f>IF(Data!G502 = 'Point Intercept 2'!G502, Data!G502, "ERROR")</f>
        <v>SU</v>
      </c>
      <c r="H502" s="6">
        <f>IF(Data!I502 = 'Point Intercept 2'!I502, Data!I502, "ERROR")</f>
        <v>1</v>
      </c>
      <c r="I502" s="6">
        <f>IF(Data!H502 = 'Point Intercept 2'!H502, Data!H502, "ERROR")</f>
        <v>1</v>
      </c>
      <c r="J502" s="6">
        <f>IF(Data!J502 = 'Point Intercept 2'!J502, Data!J502, "ERROR")</f>
        <v>0</v>
      </c>
      <c r="K502" s="6" t="str">
        <f>IF(Data!K502 = 'Point Intercept 2'!K502, Data!K502, "ERROR")</f>
        <v>DEIFAS</v>
      </c>
      <c r="L502" s="6" t="str">
        <f>IF(Data!L502 = 'Point Intercept 2'!L502, Data!L502, "ERROR")</f>
        <v>Deinandra fasciculata</v>
      </c>
    </row>
    <row r="503" spans="1:12" x14ac:dyDescent="0.25">
      <c r="A503" s="6">
        <f>IF(Data!A503 = 'Point Intercept 2'!A503, Data!A503, "ERROR")</f>
        <v>6</v>
      </c>
      <c r="B503" s="6">
        <f>IF(Data!B503 = 'Point Intercept 2'!B503, Data!B503, "ERROR")</f>
        <v>2025</v>
      </c>
      <c r="C503" s="8">
        <f>IF(Data!C503 = 'Point Intercept 2'!C503, Data!C503, "ERROR")</f>
        <v>45755</v>
      </c>
      <c r="D503" s="6" t="str">
        <f>IF(Data!D503 = 'Point Intercept 2'!D503, Data!D503, "ERROR")</f>
        <v>JC, TL</v>
      </c>
      <c r="E503" s="6" t="str">
        <f>IF(Data!E503 = 'Point Intercept 2'!E503, Data!E503, "ERROR")</f>
        <v>VB</v>
      </c>
      <c r="F503" s="6">
        <f>IF(Data!F503 = 'Point Intercept 2'!F503, Data!F503, "ERROR")</f>
        <v>3</v>
      </c>
      <c r="G503" s="6" t="str">
        <f>IF(Data!G503 = 'Point Intercept 2'!G503, Data!G503, "ERROR")</f>
        <v>SU</v>
      </c>
      <c r="H503" s="6">
        <f>IF(Data!I503 = 'Point Intercept 2'!I503, Data!I503, "ERROR")</f>
        <v>1</v>
      </c>
      <c r="I503" s="6">
        <f>IF(Data!H503 = 'Point Intercept 2'!H503, Data!H503, "ERROR")</f>
        <v>1</v>
      </c>
      <c r="J503" s="6">
        <f>IF(Data!J503 = 'Point Intercept 2'!J503, Data!J503, "ERROR")</f>
        <v>0</v>
      </c>
      <c r="K503" s="6" t="str">
        <f>IF(Data!K503 = 'Point Intercept 2'!K503, Data!K503, "ERROR")</f>
        <v>ANAARV</v>
      </c>
      <c r="L503" s="6" t="str">
        <f>IF(Data!L503 = 'Point Intercept 2'!L503, Data!L503, "ERROR")</f>
        <v>Anagallis arvensis</v>
      </c>
    </row>
    <row r="504" spans="1:12" x14ac:dyDescent="0.25">
      <c r="A504" s="6">
        <f>IF(Data!A504 = 'Point Intercept 2'!A504, Data!A504, "ERROR")</f>
        <v>6</v>
      </c>
      <c r="B504" s="6">
        <f>IF(Data!B504 = 'Point Intercept 2'!B504, Data!B504, "ERROR")</f>
        <v>2025</v>
      </c>
      <c r="C504" s="8">
        <f>IF(Data!C504 = 'Point Intercept 2'!C504, Data!C504, "ERROR")</f>
        <v>45755</v>
      </c>
      <c r="D504" s="6" t="str">
        <f>IF(Data!D504 = 'Point Intercept 2'!D504, Data!D504, "ERROR")</f>
        <v>JC, TL</v>
      </c>
      <c r="E504" s="6" t="str">
        <f>IF(Data!E504 = 'Point Intercept 2'!E504, Data!E504, "ERROR")</f>
        <v>VB</v>
      </c>
      <c r="F504" s="6">
        <f>IF(Data!F504 = 'Point Intercept 2'!F504, Data!F504, "ERROR")</f>
        <v>3</v>
      </c>
      <c r="G504" s="6" t="str">
        <f>IF(Data!G504 = 'Point Intercept 2'!G504, Data!G504, "ERROR")</f>
        <v>SU</v>
      </c>
      <c r="H504" s="6">
        <f>IF(Data!I504 = 'Point Intercept 2'!I504, Data!I504, "ERROR")</f>
        <v>1</v>
      </c>
      <c r="I504" s="6">
        <f>IF(Data!H504 = 'Point Intercept 2'!H504, Data!H504, "ERROR")</f>
        <v>1</v>
      </c>
      <c r="J504" s="6">
        <f>IF(Data!J504 = 'Point Intercept 2'!J504, Data!J504, "ERROR")</f>
        <v>0</v>
      </c>
      <c r="K504" s="6" t="str">
        <f>IF(Data!K504 = 'Point Intercept 2'!K504, Data!K504, "ERROR")</f>
        <v>EROCIC</v>
      </c>
      <c r="L504" s="6" t="str">
        <f>IF(Data!L504 = 'Point Intercept 2'!L504, Data!L504, "ERROR")</f>
        <v>Erodium cicutarium</v>
      </c>
    </row>
    <row r="505" spans="1:12" x14ac:dyDescent="0.25">
      <c r="A505" s="6">
        <f>IF(Data!A505 = 'Point Intercept 2'!A505, Data!A505, "ERROR")</f>
        <v>6</v>
      </c>
      <c r="B505" s="6">
        <f>IF(Data!B505 = 'Point Intercept 2'!B505, Data!B505, "ERROR")</f>
        <v>2025</v>
      </c>
      <c r="C505" s="8">
        <f>IF(Data!C505 = 'Point Intercept 2'!C505, Data!C505, "ERROR")</f>
        <v>45755</v>
      </c>
      <c r="D505" s="6" t="str">
        <f>IF(Data!D505 = 'Point Intercept 2'!D505, Data!D505, "ERROR")</f>
        <v>JC, TL</v>
      </c>
      <c r="E505" s="6" t="str">
        <f>IF(Data!E505 = 'Point Intercept 2'!E505, Data!E505, "ERROR")</f>
        <v>VB</v>
      </c>
      <c r="F505" s="6">
        <f>IF(Data!F505 = 'Point Intercept 2'!F505, Data!F505, "ERROR")</f>
        <v>3</v>
      </c>
      <c r="G505" s="6" t="str">
        <f>IF(Data!G505 = 'Point Intercept 2'!G505, Data!G505, "ERROR")</f>
        <v>SU</v>
      </c>
      <c r="H505" s="6">
        <f>IF(Data!I505 = 'Point Intercept 2'!I505, Data!I505, "ERROR")</f>
        <v>2</v>
      </c>
      <c r="I505" s="6">
        <f>IF(Data!H505 = 'Point Intercept 2'!H505, Data!H505, "ERROR")</f>
        <v>1</v>
      </c>
      <c r="J505" s="6">
        <f>IF(Data!J505 = 'Point Intercept 2'!J505, Data!J505, "ERROR")</f>
        <v>1</v>
      </c>
      <c r="K505" s="6" t="str">
        <f>IF(Data!K505 = 'Point Intercept 2'!K505, Data!K505, "ERROR")</f>
        <v>L</v>
      </c>
      <c r="L505" s="6" t="str">
        <f>IF(Data!L505 = 'Point Intercept 2'!L505, Data!L505, "ERROR")</f>
        <v>Litter</v>
      </c>
    </row>
    <row r="506" spans="1:12" x14ac:dyDescent="0.25">
      <c r="A506" s="6">
        <f>IF(Data!A506 = 'Point Intercept 2'!A506, Data!A506, "ERROR")</f>
        <v>6</v>
      </c>
      <c r="B506" s="6">
        <f>IF(Data!B506 = 'Point Intercept 2'!B506, Data!B506, "ERROR")</f>
        <v>2025</v>
      </c>
      <c r="C506" s="8">
        <f>IF(Data!C506 = 'Point Intercept 2'!C506, Data!C506, "ERROR")</f>
        <v>45755</v>
      </c>
      <c r="D506" s="6" t="str">
        <f>IF(Data!D506 = 'Point Intercept 2'!D506, Data!D506, "ERROR")</f>
        <v>JC, TL</v>
      </c>
      <c r="E506" s="6" t="str">
        <f>IF(Data!E506 = 'Point Intercept 2'!E506, Data!E506, "ERROR")</f>
        <v>VB</v>
      </c>
      <c r="F506" s="6">
        <f>IF(Data!F506 = 'Point Intercept 2'!F506, Data!F506, "ERROR")</f>
        <v>3</v>
      </c>
      <c r="G506" s="6" t="str">
        <f>IF(Data!G506 = 'Point Intercept 2'!G506, Data!G506, "ERROR")</f>
        <v>SU</v>
      </c>
      <c r="H506" s="6">
        <f>IF(Data!I506 = 'Point Intercept 2'!I506, Data!I506, "ERROR")</f>
        <v>2</v>
      </c>
      <c r="I506" s="6">
        <f>IF(Data!H506 = 'Point Intercept 2'!H506, Data!H506, "ERROR")</f>
        <v>1</v>
      </c>
      <c r="J506" s="6">
        <f>IF(Data!J506 = 'Point Intercept 2'!J506, Data!J506, "ERROR")</f>
        <v>1</v>
      </c>
      <c r="K506" s="6" t="str">
        <f>IF(Data!K506 = 'Point Intercept 2'!K506, Data!K506, "ERROR")</f>
        <v>CYLPRO</v>
      </c>
      <c r="L506" s="6" t="str">
        <f>IF(Data!L506 = 'Point Intercept 2'!L506, Data!L506, "ERROR")</f>
        <v>Cylindropuntia prolifera</v>
      </c>
    </row>
    <row r="507" spans="1:12" x14ac:dyDescent="0.25">
      <c r="A507" s="6">
        <f>IF(Data!A507 = 'Point Intercept 2'!A507, Data!A507, "ERROR")</f>
        <v>6</v>
      </c>
      <c r="B507" s="6">
        <f>IF(Data!B507 = 'Point Intercept 2'!B507, Data!B507, "ERROR")</f>
        <v>2025</v>
      </c>
      <c r="C507" s="8">
        <f>IF(Data!C507 = 'Point Intercept 2'!C507, Data!C507, "ERROR")</f>
        <v>45755</v>
      </c>
      <c r="D507" s="6" t="str">
        <f>IF(Data!D507 = 'Point Intercept 2'!D507, Data!D507, "ERROR")</f>
        <v>JC, TL</v>
      </c>
      <c r="E507" s="6" t="str">
        <f>IF(Data!E507 = 'Point Intercept 2'!E507, Data!E507, "ERROR")</f>
        <v>VB</v>
      </c>
      <c r="F507" s="6">
        <f>IF(Data!F507 = 'Point Intercept 2'!F507, Data!F507, "ERROR")</f>
        <v>3</v>
      </c>
      <c r="G507" s="6" t="str">
        <f>IF(Data!G507 = 'Point Intercept 2'!G507, Data!G507, "ERROR")</f>
        <v>SU</v>
      </c>
      <c r="H507" s="6">
        <f>IF(Data!I507 = 'Point Intercept 2'!I507, Data!I507, "ERROR")</f>
        <v>2</v>
      </c>
      <c r="I507" s="6">
        <f>IF(Data!H507 = 'Point Intercept 2'!H507, Data!H507, "ERROR")</f>
        <v>1</v>
      </c>
      <c r="J507" s="6">
        <f>IF(Data!J507 = 'Point Intercept 2'!J507, Data!J507, "ERROR")</f>
        <v>1</v>
      </c>
      <c r="K507" s="6" t="str">
        <f>IF(Data!K507 = 'Point Intercept 2'!K507, Data!K507, "ERROR")</f>
        <v>STEDIE</v>
      </c>
      <c r="L507" s="6" t="str">
        <f>IF(Data!L507 = 'Point Intercept 2'!L507, Data!L507, "ERROR")</f>
        <v>Stephanomeria diegensis</v>
      </c>
    </row>
    <row r="508" spans="1:12" x14ac:dyDescent="0.25">
      <c r="A508" s="6">
        <f>IF(Data!A508 = 'Point Intercept 2'!A508, Data!A508, "ERROR")</f>
        <v>6</v>
      </c>
      <c r="B508" s="6">
        <f>IF(Data!B508 = 'Point Intercept 2'!B508, Data!B508, "ERROR")</f>
        <v>2025</v>
      </c>
      <c r="C508" s="8">
        <f>IF(Data!C508 = 'Point Intercept 2'!C508, Data!C508, "ERROR")</f>
        <v>45755</v>
      </c>
      <c r="D508" s="6" t="str">
        <f>IF(Data!D508 = 'Point Intercept 2'!D508, Data!D508, "ERROR")</f>
        <v>JC, TL</v>
      </c>
      <c r="E508" s="6" t="str">
        <f>IF(Data!E508 = 'Point Intercept 2'!E508, Data!E508, "ERROR")</f>
        <v>VB</v>
      </c>
      <c r="F508" s="6">
        <f>IF(Data!F508 = 'Point Intercept 2'!F508, Data!F508, "ERROR")</f>
        <v>3</v>
      </c>
      <c r="G508" s="6" t="str">
        <f>IF(Data!G508 = 'Point Intercept 2'!G508, Data!G508, "ERROR")</f>
        <v>SU</v>
      </c>
      <c r="H508" s="6">
        <f>IF(Data!I508 = 'Point Intercept 2'!I508, Data!I508, "ERROR")</f>
        <v>2</v>
      </c>
      <c r="I508" s="6">
        <f>IF(Data!H508 = 'Point Intercept 2'!H508, Data!H508, "ERROR")</f>
        <v>1</v>
      </c>
      <c r="J508" s="6">
        <f>IF(Data!J508 = 'Point Intercept 2'!J508, Data!J508, "ERROR")</f>
        <v>1</v>
      </c>
      <c r="K508" s="6" t="str">
        <f>IF(Data!K508 = 'Point Intercept 2'!K508, Data!K508, "ERROR")</f>
        <v>FESMYU</v>
      </c>
      <c r="L508" s="6" t="str">
        <f>IF(Data!L508 = 'Point Intercept 2'!L508, Data!L508, "ERROR")</f>
        <v>Festuca myuros</v>
      </c>
    </row>
    <row r="509" spans="1:12" x14ac:dyDescent="0.25">
      <c r="A509" s="6">
        <f>IF(Data!A509 = 'Point Intercept 2'!A509, Data!A509, "ERROR")</f>
        <v>6</v>
      </c>
      <c r="B509" s="6">
        <f>IF(Data!B509 = 'Point Intercept 2'!B509, Data!B509, "ERROR")</f>
        <v>2025</v>
      </c>
      <c r="C509" s="8">
        <f>IF(Data!C509 = 'Point Intercept 2'!C509, Data!C509, "ERROR")</f>
        <v>45755</v>
      </c>
      <c r="D509" s="6" t="str">
        <f>IF(Data!D509 = 'Point Intercept 2'!D509, Data!D509, "ERROR")</f>
        <v>JC, TL</v>
      </c>
      <c r="E509" s="6" t="str">
        <f>IF(Data!E509 = 'Point Intercept 2'!E509, Data!E509, "ERROR")</f>
        <v>VB</v>
      </c>
      <c r="F509" s="6">
        <f>IF(Data!F509 = 'Point Intercept 2'!F509, Data!F509, "ERROR")</f>
        <v>3</v>
      </c>
      <c r="G509" s="6" t="str">
        <f>IF(Data!G509 = 'Point Intercept 2'!G509, Data!G509, "ERROR")</f>
        <v>SU</v>
      </c>
      <c r="H509" s="6">
        <f>IF(Data!I509 = 'Point Intercept 2'!I509, Data!I509, "ERROR")</f>
        <v>3</v>
      </c>
      <c r="I509" s="6">
        <f>IF(Data!H509 = 'Point Intercept 2'!H509, Data!H509, "ERROR")</f>
        <v>1</v>
      </c>
      <c r="J509" s="6">
        <f>IF(Data!J509 = 'Point Intercept 2'!J509, Data!J509, "ERROR")</f>
        <v>2</v>
      </c>
      <c r="K509" s="6" t="str">
        <f>IF(Data!K509 = 'Point Intercept 2'!K509, Data!K509, "ERROR")</f>
        <v>L</v>
      </c>
      <c r="L509" s="6" t="str">
        <f>IF(Data!L509 = 'Point Intercept 2'!L509, Data!L509, "ERROR")</f>
        <v>Litter</v>
      </c>
    </row>
    <row r="510" spans="1:12" x14ac:dyDescent="0.25">
      <c r="A510" s="6">
        <f>IF(Data!A510 = 'Point Intercept 2'!A510, Data!A510, "ERROR")</f>
        <v>6</v>
      </c>
      <c r="B510" s="6">
        <f>IF(Data!B510 = 'Point Intercept 2'!B510, Data!B510, "ERROR")</f>
        <v>2025</v>
      </c>
      <c r="C510" s="8">
        <f>IF(Data!C510 = 'Point Intercept 2'!C510, Data!C510, "ERROR")</f>
        <v>45755</v>
      </c>
      <c r="D510" s="6" t="str">
        <f>IF(Data!D510 = 'Point Intercept 2'!D510, Data!D510, "ERROR")</f>
        <v>JC, TL</v>
      </c>
      <c r="E510" s="6" t="str">
        <f>IF(Data!E510 = 'Point Intercept 2'!E510, Data!E510, "ERROR")</f>
        <v>VB</v>
      </c>
      <c r="F510" s="6">
        <f>IF(Data!F510 = 'Point Intercept 2'!F510, Data!F510, "ERROR")</f>
        <v>3</v>
      </c>
      <c r="G510" s="6" t="str">
        <f>IF(Data!G510 = 'Point Intercept 2'!G510, Data!G510, "ERROR")</f>
        <v>SU</v>
      </c>
      <c r="H510" s="6">
        <f>IF(Data!I510 = 'Point Intercept 2'!I510, Data!I510, "ERROR")</f>
        <v>3</v>
      </c>
      <c r="I510" s="6">
        <f>IF(Data!H510 = 'Point Intercept 2'!H510, Data!H510, "ERROR")</f>
        <v>1</v>
      </c>
      <c r="J510" s="6">
        <f>IF(Data!J510 = 'Point Intercept 2'!J510, Data!J510, "ERROR")</f>
        <v>2</v>
      </c>
      <c r="K510" s="6" t="str">
        <f>IF(Data!K510 = 'Point Intercept 2'!K510, Data!K510, "ERROR")</f>
        <v>FESMYU</v>
      </c>
      <c r="L510" s="6" t="str">
        <f>IF(Data!L510 = 'Point Intercept 2'!L510, Data!L510, "ERROR")</f>
        <v>Festuca myuros</v>
      </c>
    </row>
    <row r="511" spans="1:12" x14ac:dyDescent="0.25">
      <c r="A511" s="6">
        <f>IF(Data!A511 = 'Point Intercept 2'!A511, Data!A511, "ERROR")</f>
        <v>6</v>
      </c>
      <c r="B511" s="6">
        <f>IF(Data!B511 = 'Point Intercept 2'!B511, Data!B511, "ERROR")</f>
        <v>2025</v>
      </c>
      <c r="C511" s="8">
        <f>IF(Data!C511 = 'Point Intercept 2'!C511, Data!C511, "ERROR")</f>
        <v>45755</v>
      </c>
      <c r="D511" s="6" t="str">
        <f>IF(Data!D511 = 'Point Intercept 2'!D511, Data!D511, "ERROR")</f>
        <v>JC, TL</v>
      </c>
      <c r="E511" s="6" t="str">
        <f>IF(Data!E511 = 'Point Intercept 2'!E511, Data!E511, "ERROR")</f>
        <v>VB</v>
      </c>
      <c r="F511" s="6">
        <f>IF(Data!F511 = 'Point Intercept 2'!F511, Data!F511, "ERROR")</f>
        <v>3</v>
      </c>
      <c r="G511" s="6" t="str">
        <f>IF(Data!G511 = 'Point Intercept 2'!G511, Data!G511, "ERROR")</f>
        <v>SU</v>
      </c>
      <c r="H511" s="6">
        <f>IF(Data!I511 = 'Point Intercept 2'!I511, Data!I511, "ERROR")</f>
        <v>3</v>
      </c>
      <c r="I511" s="6">
        <f>IF(Data!H511 = 'Point Intercept 2'!H511, Data!H511, "ERROR")</f>
        <v>1</v>
      </c>
      <c r="J511" s="6">
        <f>IF(Data!J511 = 'Point Intercept 2'!J511, Data!J511, "ERROR")</f>
        <v>2</v>
      </c>
      <c r="K511" s="6" t="str">
        <f>IF(Data!K511 = 'Point Intercept 2'!K511, Data!K511, "ERROR")</f>
        <v>ANAARV</v>
      </c>
      <c r="L511" s="6" t="str">
        <f>IF(Data!L511 = 'Point Intercept 2'!L511, Data!L511, "ERROR")</f>
        <v>Anagallis arvensis</v>
      </c>
    </row>
    <row r="512" spans="1:12" x14ac:dyDescent="0.25">
      <c r="A512" s="6">
        <f>IF(Data!A512 = 'Point Intercept 2'!A512, Data!A512, "ERROR")</f>
        <v>6</v>
      </c>
      <c r="B512" s="6">
        <f>IF(Data!B512 = 'Point Intercept 2'!B512, Data!B512, "ERROR")</f>
        <v>2025</v>
      </c>
      <c r="C512" s="8">
        <f>IF(Data!C512 = 'Point Intercept 2'!C512, Data!C512, "ERROR")</f>
        <v>45755</v>
      </c>
      <c r="D512" s="6" t="str">
        <f>IF(Data!D512 = 'Point Intercept 2'!D512, Data!D512, "ERROR")</f>
        <v>JC, TL</v>
      </c>
      <c r="E512" s="6" t="str">
        <f>IF(Data!E512 = 'Point Intercept 2'!E512, Data!E512, "ERROR")</f>
        <v>VB</v>
      </c>
      <c r="F512" s="6">
        <f>IF(Data!F512 = 'Point Intercept 2'!F512, Data!F512, "ERROR")</f>
        <v>3</v>
      </c>
      <c r="G512" s="6" t="str">
        <f>IF(Data!G512 = 'Point Intercept 2'!G512, Data!G512, "ERROR")</f>
        <v>SU</v>
      </c>
      <c r="H512" s="6">
        <f>IF(Data!I512 = 'Point Intercept 2'!I512, Data!I512, "ERROR")</f>
        <v>4</v>
      </c>
      <c r="I512" s="6">
        <f>IF(Data!H512 = 'Point Intercept 2'!H512, Data!H512, "ERROR")</f>
        <v>1</v>
      </c>
      <c r="J512" s="6">
        <f>IF(Data!J512 = 'Point Intercept 2'!J512, Data!J512, "ERROR")</f>
        <v>3</v>
      </c>
      <c r="K512" s="6" t="str">
        <f>IF(Data!K512 = 'Point Intercept 2'!K512, Data!K512, "ERROR")</f>
        <v>L</v>
      </c>
      <c r="L512" s="6" t="str">
        <f>IF(Data!L512 = 'Point Intercept 2'!L512, Data!L512, "ERROR")</f>
        <v>Litter</v>
      </c>
    </row>
    <row r="513" spans="1:12" x14ac:dyDescent="0.25">
      <c r="A513" s="6">
        <f>IF(Data!A513 = 'Point Intercept 2'!A513, Data!A513, "ERROR")</f>
        <v>6</v>
      </c>
      <c r="B513" s="6">
        <f>IF(Data!B513 = 'Point Intercept 2'!B513, Data!B513, "ERROR")</f>
        <v>2025</v>
      </c>
      <c r="C513" s="8">
        <f>IF(Data!C513 = 'Point Intercept 2'!C513, Data!C513, "ERROR")</f>
        <v>45755</v>
      </c>
      <c r="D513" s="6" t="str">
        <f>IF(Data!D513 = 'Point Intercept 2'!D513, Data!D513, "ERROR")</f>
        <v>JC, TL</v>
      </c>
      <c r="E513" s="6" t="str">
        <f>IF(Data!E513 = 'Point Intercept 2'!E513, Data!E513, "ERROR")</f>
        <v>VB</v>
      </c>
      <c r="F513" s="6">
        <f>IF(Data!F513 = 'Point Intercept 2'!F513, Data!F513, "ERROR")</f>
        <v>3</v>
      </c>
      <c r="G513" s="6" t="str">
        <f>IF(Data!G513 = 'Point Intercept 2'!G513, Data!G513, "ERROR")</f>
        <v>SU</v>
      </c>
      <c r="H513" s="6">
        <f>IF(Data!I513 = 'Point Intercept 2'!I513, Data!I513, "ERROR")</f>
        <v>4</v>
      </c>
      <c r="I513" s="6">
        <f>IF(Data!H513 = 'Point Intercept 2'!H513, Data!H513, "ERROR")</f>
        <v>1</v>
      </c>
      <c r="J513" s="6">
        <f>IF(Data!J513 = 'Point Intercept 2'!J513, Data!J513, "ERROR")</f>
        <v>3</v>
      </c>
      <c r="K513" s="6" t="str">
        <f>IF(Data!K513 = 'Point Intercept 2'!K513, Data!K513, "ERROR")</f>
        <v>MEDPOL</v>
      </c>
      <c r="L513" s="6" t="str">
        <f>IF(Data!L513 = 'Point Intercept 2'!L513, Data!L513, "ERROR")</f>
        <v>Medicago polymorpha</v>
      </c>
    </row>
    <row r="514" spans="1:12" x14ac:dyDescent="0.25">
      <c r="A514" s="6">
        <f>IF(Data!A514 = 'Point Intercept 2'!A514, Data!A514, "ERROR")</f>
        <v>6</v>
      </c>
      <c r="B514" s="6">
        <f>IF(Data!B514 = 'Point Intercept 2'!B514, Data!B514, "ERROR")</f>
        <v>2025</v>
      </c>
      <c r="C514" s="8">
        <f>IF(Data!C514 = 'Point Intercept 2'!C514, Data!C514, "ERROR")</f>
        <v>45755</v>
      </c>
      <c r="D514" s="6" t="str">
        <f>IF(Data!D514 = 'Point Intercept 2'!D514, Data!D514, "ERROR")</f>
        <v>JC, TL</v>
      </c>
      <c r="E514" s="6" t="str">
        <f>IF(Data!E514 = 'Point Intercept 2'!E514, Data!E514, "ERROR")</f>
        <v>VB</v>
      </c>
      <c r="F514" s="6">
        <f>IF(Data!F514 = 'Point Intercept 2'!F514, Data!F514, "ERROR")</f>
        <v>3</v>
      </c>
      <c r="G514" s="6" t="str">
        <f>IF(Data!G514 = 'Point Intercept 2'!G514, Data!G514, "ERROR")</f>
        <v>SU</v>
      </c>
      <c r="H514" s="6">
        <f>IF(Data!I514 = 'Point Intercept 2'!I514, Data!I514, "ERROR")</f>
        <v>4</v>
      </c>
      <c r="I514" s="6">
        <f>IF(Data!H514 = 'Point Intercept 2'!H514, Data!H514, "ERROR")</f>
        <v>1</v>
      </c>
      <c r="J514" s="6">
        <f>IF(Data!J514 = 'Point Intercept 2'!J514, Data!J514, "ERROR")</f>
        <v>3</v>
      </c>
      <c r="K514" s="6" t="str">
        <f>IF(Data!K514 = 'Point Intercept 2'!K514, Data!K514, "ERROR")</f>
        <v>FESMYU</v>
      </c>
      <c r="L514" s="6" t="str">
        <f>IF(Data!L514 = 'Point Intercept 2'!L514, Data!L514, "ERROR")</f>
        <v>Festuca myuros</v>
      </c>
    </row>
    <row r="515" spans="1:12" x14ac:dyDescent="0.25">
      <c r="A515" s="6">
        <f>IF(Data!A515 = 'Point Intercept 2'!A515, Data!A515, "ERROR")</f>
        <v>6</v>
      </c>
      <c r="B515" s="6">
        <f>IF(Data!B515 = 'Point Intercept 2'!B515, Data!B515, "ERROR")</f>
        <v>2025</v>
      </c>
      <c r="C515" s="8">
        <f>IF(Data!C515 = 'Point Intercept 2'!C515, Data!C515, "ERROR")</f>
        <v>45755</v>
      </c>
      <c r="D515" s="6" t="str">
        <f>IF(Data!D515 = 'Point Intercept 2'!D515, Data!D515, "ERROR")</f>
        <v>JC, TL</v>
      </c>
      <c r="E515" s="6" t="str">
        <f>IF(Data!E515 = 'Point Intercept 2'!E515, Data!E515, "ERROR")</f>
        <v>VB</v>
      </c>
      <c r="F515" s="6">
        <f>IF(Data!F515 = 'Point Intercept 2'!F515, Data!F515, "ERROR")</f>
        <v>3</v>
      </c>
      <c r="G515" s="6" t="str">
        <f>IF(Data!G515 = 'Point Intercept 2'!G515, Data!G515, "ERROR")</f>
        <v>SU</v>
      </c>
      <c r="H515" s="6">
        <f>IF(Data!I515 = 'Point Intercept 2'!I515, Data!I515, "ERROR")</f>
        <v>4</v>
      </c>
      <c r="I515" s="6">
        <f>IF(Data!H515 = 'Point Intercept 2'!H515, Data!H515, "ERROR")</f>
        <v>1</v>
      </c>
      <c r="J515" s="6">
        <f>IF(Data!J515 = 'Point Intercept 2'!J515, Data!J515, "ERROR")</f>
        <v>3</v>
      </c>
      <c r="K515" s="6" t="str">
        <f>IF(Data!K515 = 'Point Intercept 2'!K515, Data!K515, "ERROR")</f>
        <v>SONOLE</v>
      </c>
      <c r="L515" s="6" t="str">
        <f>IF(Data!L515 = 'Point Intercept 2'!L515, Data!L515, "ERROR")</f>
        <v>Sonchus oleraceus</v>
      </c>
    </row>
    <row r="516" spans="1:12" x14ac:dyDescent="0.25">
      <c r="A516" s="6">
        <f>IF(Data!A516 = 'Point Intercept 2'!A516, Data!A516, "ERROR")</f>
        <v>6</v>
      </c>
      <c r="B516" s="6">
        <f>IF(Data!B516 = 'Point Intercept 2'!B516, Data!B516, "ERROR")</f>
        <v>2025</v>
      </c>
      <c r="C516" s="8">
        <f>IF(Data!C516 = 'Point Intercept 2'!C516, Data!C516, "ERROR")</f>
        <v>45755</v>
      </c>
      <c r="D516" s="6" t="str">
        <f>IF(Data!D516 = 'Point Intercept 2'!D516, Data!D516, "ERROR")</f>
        <v>JC, TL</v>
      </c>
      <c r="E516" s="6" t="str">
        <f>IF(Data!E516 = 'Point Intercept 2'!E516, Data!E516, "ERROR")</f>
        <v>VB</v>
      </c>
      <c r="F516" s="6">
        <f>IF(Data!F516 = 'Point Intercept 2'!F516, Data!F516, "ERROR")</f>
        <v>3</v>
      </c>
      <c r="G516" s="6" t="str">
        <f>IF(Data!G516 = 'Point Intercept 2'!G516, Data!G516, "ERROR")</f>
        <v>SU</v>
      </c>
      <c r="H516" s="6">
        <f>IF(Data!I516 = 'Point Intercept 2'!I516, Data!I516, "ERROR")</f>
        <v>5</v>
      </c>
      <c r="I516" s="6">
        <f>IF(Data!H516 = 'Point Intercept 2'!H516, Data!H516, "ERROR")</f>
        <v>1</v>
      </c>
      <c r="J516" s="6">
        <f>IF(Data!J516 = 'Point Intercept 2'!J516, Data!J516, "ERROR")</f>
        <v>3.5</v>
      </c>
      <c r="K516" s="6" t="str">
        <f>IF(Data!K516 = 'Point Intercept 2'!K516, Data!K516, "ERROR")</f>
        <v>L</v>
      </c>
      <c r="L516" s="6" t="str">
        <f>IF(Data!L516 = 'Point Intercept 2'!L516, Data!L516, "ERROR")</f>
        <v>Litter</v>
      </c>
    </row>
    <row r="517" spans="1:12" x14ac:dyDescent="0.25">
      <c r="A517" s="6">
        <f>IF(Data!A517 = 'Point Intercept 2'!A517, Data!A517, "ERROR")</f>
        <v>6</v>
      </c>
      <c r="B517" s="6">
        <f>IF(Data!B517 = 'Point Intercept 2'!B517, Data!B517, "ERROR")</f>
        <v>2025</v>
      </c>
      <c r="C517" s="8">
        <f>IF(Data!C517 = 'Point Intercept 2'!C517, Data!C517, "ERROR")</f>
        <v>45755</v>
      </c>
      <c r="D517" s="6" t="str">
        <f>IF(Data!D517 = 'Point Intercept 2'!D517, Data!D517, "ERROR")</f>
        <v>JC, TL</v>
      </c>
      <c r="E517" s="6" t="str">
        <f>IF(Data!E517 = 'Point Intercept 2'!E517, Data!E517, "ERROR")</f>
        <v>VB</v>
      </c>
      <c r="F517" s="6">
        <f>IF(Data!F517 = 'Point Intercept 2'!F517, Data!F517, "ERROR")</f>
        <v>3</v>
      </c>
      <c r="G517" s="6" t="str">
        <f>IF(Data!G517 = 'Point Intercept 2'!G517, Data!G517, "ERROR")</f>
        <v>SU</v>
      </c>
      <c r="H517" s="6">
        <f>IF(Data!I517 = 'Point Intercept 2'!I517, Data!I517, "ERROR")</f>
        <v>5</v>
      </c>
      <c r="I517" s="6">
        <f>IF(Data!H517 = 'Point Intercept 2'!H517, Data!H517, "ERROR")</f>
        <v>1</v>
      </c>
      <c r="J517" s="6">
        <f>IF(Data!J517 = 'Point Intercept 2'!J517, Data!J517, "ERROR")</f>
        <v>3.5</v>
      </c>
      <c r="K517" s="6" t="str">
        <f>IF(Data!K517 = 'Point Intercept 2'!K517, Data!K517, "ERROR")</f>
        <v>CRACON</v>
      </c>
      <c r="L517" s="6" t="str">
        <f>IF(Data!L517 = 'Point Intercept 2'!L517, Data!L517, "ERROR")</f>
        <v>Crassula connata</v>
      </c>
    </row>
    <row r="518" spans="1:12" x14ac:dyDescent="0.25">
      <c r="A518" s="6">
        <f>IF(Data!A518 = 'Point Intercept 2'!A518, Data!A518, "ERROR")</f>
        <v>6</v>
      </c>
      <c r="B518" s="6">
        <f>IF(Data!B518 = 'Point Intercept 2'!B518, Data!B518, "ERROR")</f>
        <v>2025</v>
      </c>
      <c r="C518" s="8">
        <f>IF(Data!C518 = 'Point Intercept 2'!C518, Data!C518, "ERROR")</f>
        <v>45755</v>
      </c>
      <c r="D518" s="6" t="str">
        <f>IF(Data!D518 = 'Point Intercept 2'!D518, Data!D518, "ERROR")</f>
        <v>JC, TL</v>
      </c>
      <c r="E518" s="6" t="str">
        <f>IF(Data!E518 = 'Point Intercept 2'!E518, Data!E518, "ERROR")</f>
        <v>VB</v>
      </c>
      <c r="F518" s="6">
        <f>IF(Data!F518 = 'Point Intercept 2'!F518, Data!F518, "ERROR")</f>
        <v>3</v>
      </c>
      <c r="G518" s="6" t="str">
        <f>IF(Data!G518 = 'Point Intercept 2'!G518, Data!G518, "ERROR")</f>
        <v>SU</v>
      </c>
      <c r="H518" s="6">
        <f>IF(Data!I518 = 'Point Intercept 2'!I518, Data!I518, "ERROR")</f>
        <v>5</v>
      </c>
      <c r="I518" s="6">
        <f>IF(Data!H518 = 'Point Intercept 2'!H518, Data!H518, "ERROR")</f>
        <v>1</v>
      </c>
      <c r="J518" s="6">
        <f>IF(Data!J518 = 'Point Intercept 2'!J518, Data!J518, "ERROR")</f>
        <v>3.5</v>
      </c>
      <c r="K518" s="6" t="str">
        <f>IF(Data!K518 = 'Point Intercept 2'!K518, Data!K518, "ERROR")</f>
        <v>FESMYU</v>
      </c>
      <c r="L518" s="6" t="str">
        <f>IF(Data!L518 = 'Point Intercept 2'!L518, Data!L518, "ERROR")</f>
        <v>Festuca myuros</v>
      </c>
    </row>
    <row r="519" spans="1:12" x14ac:dyDescent="0.25">
      <c r="A519" s="6">
        <f>IF(Data!A519 = 'Point Intercept 2'!A519, Data!A519, "ERROR")</f>
        <v>6</v>
      </c>
      <c r="B519" s="6">
        <f>IF(Data!B519 = 'Point Intercept 2'!B519, Data!B519, "ERROR")</f>
        <v>2025</v>
      </c>
      <c r="C519" s="8">
        <f>IF(Data!C519 = 'Point Intercept 2'!C519, Data!C519, "ERROR")</f>
        <v>45755</v>
      </c>
      <c r="D519" s="6" t="str">
        <f>IF(Data!D519 = 'Point Intercept 2'!D519, Data!D519, "ERROR")</f>
        <v>JC, TL</v>
      </c>
      <c r="E519" s="6" t="str">
        <f>IF(Data!E519 = 'Point Intercept 2'!E519, Data!E519, "ERROR")</f>
        <v>VB</v>
      </c>
      <c r="F519" s="6">
        <f>IF(Data!F519 = 'Point Intercept 2'!F519, Data!F519, "ERROR")</f>
        <v>3</v>
      </c>
      <c r="G519" s="6" t="str">
        <f>IF(Data!G519 = 'Point Intercept 2'!G519, Data!G519, "ERROR")</f>
        <v>SU</v>
      </c>
      <c r="H519" s="6">
        <f>IF(Data!I519 = 'Point Intercept 2'!I519, Data!I519, "ERROR")</f>
        <v>5</v>
      </c>
      <c r="I519" s="6">
        <f>IF(Data!H519 = 'Point Intercept 2'!H519, Data!H519, "ERROR")</f>
        <v>1</v>
      </c>
      <c r="J519" s="6">
        <f>IF(Data!J519 = 'Point Intercept 2'!J519, Data!J519, "ERROR")</f>
        <v>3.5</v>
      </c>
      <c r="K519" s="6" t="str">
        <f>IF(Data!K519 = 'Point Intercept 2'!K519, Data!K519, "ERROR")</f>
        <v>MEDPOL</v>
      </c>
      <c r="L519" s="6" t="str">
        <f>IF(Data!L519 = 'Point Intercept 2'!L519, Data!L519, "ERROR")</f>
        <v>Medicago polymorpha</v>
      </c>
    </row>
    <row r="520" spans="1:12" x14ac:dyDescent="0.25">
      <c r="A520" s="6">
        <f>IF(Data!A520 = 'Point Intercept 2'!A520, Data!A520, "ERROR")</f>
        <v>6</v>
      </c>
      <c r="B520" s="6">
        <f>IF(Data!B520 = 'Point Intercept 2'!B520, Data!B520, "ERROR")</f>
        <v>2025</v>
      </c>
      <c r="C520" s="8">
        <f>IF(Data!C520 = 'Point Intercept 2'!C520, Data!C520, "ERROR")</f>
        <v>45755</v>
      </c>
      <c r="D520" s="6" t="str">
        <f>IF(Data!D520 = 'Point Intercept 2'!D520, Data!D520, "ERROR")</f>
        <v>JC, TL</v>
      </c>
      <c r="E520" s="6" t="str">
        <f>IF(Data!E520 = 'Point Intercept 2'!E520, Data!E520, "ERROR")</f>
        <v>VB</v>
      </c>
      <c r="F520" s="6">
        <f>IF(Data!F520 = 'Point Intercept 2'!F520, Data!F520, "ERROR")</f>
        <v>3</v>
      </c>
      <c r="G520" s="6" t="str">
        <f>IF(Data!G520 = 'Point Intercept 2'!G520, Data!G520, "ERROR")</f>
        <v>SU</v>
      </c>
      <c r="H520" s="6">
        <f>IF(Data!I520 = 'Point Intercept 2'!I520, Data!I520, "ERROR")</f>
        <v>6</v>
      </c>
      <c r="I520" s="6">
        <f>IF(Data!H520 = 'Point Intercept 2'!H520, Data!H520, "ERROR")</f>
        <v>1</v>
      </c>
      <c r="J520" s="6">
        <f>IF(Data!J520 = 'Point Intercept 2'!J520, Data!J520, "ERROR")</f>
        <v>4</v>
      </c>
      <c r="K520" s="6" t="str">
        <f>IF(Data!K520 = 'Point Intercept 2'!K520, Data!K520, "ERROR")</f>
        <v>L</v>
      </c>
      <c r="L520" s="6" t="str">
        <f>IF(Data!L520 = 'Point Intercept 2'!L520, Data!L520, "ERROR")</f>
        <v>Litter</v>
      </c>
    </row>
    <row r="521" spans="1:12" x14ac:dyDescent="0.25">
      <c r="A521" s="6">
        <f>IF(Data!A521 = 'Point Intercept 2'!A521, Data!A521, "ERROR")</f>
        <v>6</v>
      </c>
      <c r="B521" s="6">
        <f>IF(Data!B521 = 'Point Intercept 2'!B521, Data!B521, "ERROR")</f>
        <v>2025</v>
      </c>
      <c r="C521" s="8">
        <f>IF(Data!C521 = 'Point Intercept 2'!C521, Data!C521, "ERROR")</f>
        <v>45755</v>
      </c>
      <c r="D521" s="6" t="str">
        <f>IF(Data!D521 = 'Point Intercept 2'!D521, Data!D521, "ERROR")</f>
        <v>JC, TL</v>
      </c>
      <c r="E521" s="6" t="str">
        <f>IF(Data!E521 = 'Point Intercept 2'!E521, Data!E521, "ERROR")</f>
        <v>VB</v>
      </c>
      <c r="F521" s="6">
        <f>IF(Data!F521 = 'Point Intercept 2'!F521, Data!F521, "ERROR")</f>
        <v>3</v>
      </c>
      <c r="G521" s="6" t="str">
        <f>IF(Data!G521 = 'Point Intercept 2'!G521, Data!G521, "ERROR")</f>
        <v>SU</v>
      </c>
      <c r="H521" s="6">
        <f>IF(Data!I521 = 'Point Intercept 2'!I521, Data!I521, "ERROR")</f>
        <v>6</v>
      </c>
      <c r="I521" s="6">
        <f>IF(Data!H521 = 'Point Intercept 2'!H521, Data!H521, "ERROR")</f>
        <v>1</v>
      </c>
      <c r="J521" s="6">
        <f>IF(Data!J521 = 'Point Intercept 2'!J521, Data!J521, "ERROR")</f>
        <v>4</v>
      </c>
      <c r="K521" s="6" t="str">
        <f>IF(Data!K521 = 'Point Intercept 2'!K521, Data!K521, "ERROR")</f>
        <v>MEDPOL</v>
      </c>
      <c r="L521" s="6" t="str">
        <f>IF(Data!L521 = 'Point Intercept 2'!L521, Data!L521, "ERROR")</f>
        <v>Medicago polymorpha</v>
      </c>
    </row>
    <row r="522" spans="1:12" x14ac:dyDescent="0.25">
      <c r="A522" s="6">
        <f>IF(Data!A522 = 'Point Intercept 2'!A522, Data!A522, "ERROR")</f>
        <v>6</v>
      </c>
      <c r="B522" s="6">
        <f>IF(Data!B522 = 'Point Intercept 2'!B522, Data!B522, "ERROR")</f>
        <v>2025</v>
      </c>
      <c r="C522" s="8">
        <f>IF(Data!C522 = 'Point Intercept 2'!C522, Data!C522, "ERROR")</f>
        <v>45755</v>
      </c>
      <c r="D522" s="6" t="str">
        <f>IF(Data!D522 = 'Point Intercept 2'!D522, Data!D522, "ERROR")</f>
        <v>JC, TL</v>
      </c>
      <c r="E522" s="6" t="str">
        <f>IF(Data!E522 = 'Point Intercept 2'!E522, Data!E522, "ERROR")</f>
        <v>VB</v>
      </c>
      <c r="F522" s="6">
        <f>IF(Data!F522 = 'Point Intercept 2'!F522, Data!F522, "ERROR")</f>
        <v>3</v>
      </c>
      <c r="G522" s="6" t="str">
        <f>IF(Data!G522 = 'Point Intercept 2'!G522, Data!G522, "ERROR")</f>
        <v>SU</v>
      </c>
      <c r="H522" s="6">
        <f>IF(Data!I522 = 'Point Intercept 2'!I522, Data!I522, "ERROR")</f>
        <v>6</v>
      </c>
      <c r="I522" s="6">
        <f>IF(Data!H522 = 'Point Intercept 2'!H522, Data!H522, "ERROR")</f>
        <v>1</v>
      </c>
      <c r="J522" s="6">
        <f>IF(Data!J522 = 'Point Intercept 2'!J522, Data!J522, "ERROR")</f>
        <v>4</v>
      </c>
      <c r="K522" s="6" t="str">
        <f>IF(Data!K522 = 'Point Intercept 2'!K522, Data!K522, "ERROR")</f>
        <v>DEIFAS</v>
      </c>
      <c r="L522" s="6" t="str">
        <f>IF(Data!L522 = 'Point Intercept 2'!L522, Data!L522, "ERROR")</f>
        <v>Deinandra fasciculata</v>
      </c>
    </row>
    <row r="523" spans="1:12" x14ac:dyDescent="0.25">
      <c r="A523" s="6">
        <f>IF(Data!A523 = 'Point Intercept 2'!A523, Data!A523, "ERROR")</f>
        <v>6</v>
      </c>
      <c r="B523" s="6">
        <f>IF(Data!B523 = 'Point Intercept 2'!B523, Data!B523, "ERROR")</f>
        <v>2025</v>
      </c>
      <c r="C523" s="8">
        <f>IF(Data!C523 = 'Point Intercept 2'!C523, Data!C523, "ERROR")</f>
        <v>45755</v>
      </c>
      <c r="D523" s="6" t="str">
        <f>IF(Data!D523 = 'Point Intercept 2'!D523, Data!D523, "ERROR")</f>
        <v>JC, TL</v>
      </c>
      <c r="E523" s="6" t="str">
        <f>IF(Data!E523 = 'Point Intercept 2'!E523, Data!E523, "ERROR")</f>
        <v>VB</v>
      </c>
      <c r="F523" s="6">
        <f>IF(Data!F523 = 'Point Intercept 2'!F523, Data!F523, "ERROR")</f>
        <v>3</v>
      </c>
      <c r="G523" s="6" t="str">
        <f>IF(Data!G523 = 'Point Intercept 2'!G523, Data!G523, "ERROR")</f>
        <v>SU</v>
      </c>
      <c r="H523" s="6">
        <f>IF(Data!I523 = 'Point Intercept 2'!I523, Data!I523, "ERROR")</f>
        <v>6</v>
      </c>
      <c r="I523" s="6">
        <f>IF(Data!H523 = 'Point Intercept 2'!H523, Data!H523, "ERROR")</f>
        <v>1</v>
      </c>
      <c r="J523" s="6">
        <f>IF(Data!J523 = 'Point Intercept 2'!J523, Data!J523, "ERROR")</f>
        <v>4</v>
      </c>
      <c r="K523" s="6" t="str">
        <f>IF(Data!K523 = 'Point Intercept 2'!K523, Data!K523, "ERROR")</f>
        <v>FESMYU</v>
      </c>
      <c r="L523" s="6" t="str">
        <f>IF(Data!L523 = 'Point Intercept 2'!L523, Data!L523, "ERROR")</f>
        <v>Festuca myuros</v>
      </c>
    </row>
    <row r="524" spans="1:12" x14ac:dyDescent="0.25">
      <c r="A524" s="6">
        <f>IF(Data!A524 = 'Point Intercept 2'!A524, Data!A524, "ERROR")</f>
        <v>6</v>
      </c>
      <c r="B524" s="6">
        <f>IF(Data!B524 = 'Point Intercept 2'!B524, Data!B524, "ERROR")</f>
        <v>2025</v>
      </c>
      <c r="C524" s="8">
        <f>IF(Data!C524 = 'Point Intercept 2'!C524, Data!C524, "ERROR")</f>
        <v>45755</v>
      </c>
      <c r="D524" s="6" t="str">
        <f>IF(Data!D524 = 'Point Intercept 2'!D524, Data!D524, "ERROR")</f>
        <v>JC, TL</v>
      </c>
      <c r="E524" s="6" t="str">
        <f>IF(Data!E524 = 'Point Intercept 2'!E524, Data!E524, "ERROR")</f>
        <v>VB</v>
      </c>
      <c r="F524" s="6">
        <f>IF(Data!F524 = 'Point Intercept 2'!F524, Data!F524, "ERROR")</f>
        <v>3</v>
      </c>
      <c r="G524" s="6" t="str">
        <f>IF(Data!G524 = 'Point Intercept 2'!G524, Data!G524, "ERROR")</f>
        <v>SU</v>
      </c>
      <c r="H524" s="6">
        <f>IF(Data!I524 = 'Point Intercept 2'!I524, Data!I524, "ERROR")</f>
        <v>7</v>
      </c>
      <c r="I524" s="6">
        <f>IF(Data!H524 = 'Point Intercept 2'!H524, Data!H524, "ERROR")</f>
        <v>1</v>
      </c>
      <c r="J524" s="6">
        <f>IF(Data!J524 = 'Point Intercept 2'!J524, Data!J524, "ERROR")</f>
        <v>5</v>
      </c>
      <c r="K524" s="6" t="str">
        <f>IF(Data!K524 = 'Point Intercept 2'!K524, Data!K524, "ERROR")</f>
        <v>L</v>
      </c>
      <c r="L524" s="6" t="str">
        <f>IF(Data!L524 = 'Point Intercept 2'!L524, Data!L524, "ERROR")</f>
        <v>Litter</v>
      </c>
    </row>
    <row r="525" spans="1:12" x14ac:dyDescent="0.25">
      <c r="A525" s="6">
        <f>IF(Data!A525 = 'Point Intercept 2'!A525, Data!A525, "ERROR")</f>
        <v>6</v>
      </c>
      <c r="B525" s="6">
        <f>IF(Data!B525 = 'Point Intercept 2'!B525, Data!B525, "ERROR")</f>
        <v>2025</v>
      </c>
      <c r="C525" s="8">
        <f>IF(Data!C525 = 'Point Intercept 2'!C525, Data!C525, "ERROR")</f>
        <v>45755</v>
      </c>
      <c r="D525" s="6" t="str">
        <f>IF(Data!D525 = 'Point Intercept 2'!D525, Data!D525, "ERROR")</f>
        <v>JC, TL</v>
      </c>
      <c r="E525" s="6" t="str">
        <f>IF(Data!E525 = 'Point Intercept 2'!E525, Data!E525, "ERROR")</f>
        <v>VB</v>
      </c>
      <c r="F525" s="6">
        <f>IF(Data!F525 = 'Point Intercept 2'!F525, Data!F525, "ERROR")</f>
        <v>3</v>
      </c>
      <c r="G525" s="6" t="str">
        <f>IF(Data!G525 = 'Point Intercept 2'!G525, Data!G525, "ERROR")</f>
        <v>SU</v>
      </c>
      <c r="H525" s="6">
        <f>IF(Data!I525 = 'Point Intercept 2'!I525, Data!I525, "ERROR")</f>
        <v>7</v>
      </c>
      <c r="I525" s="6">
        <f>IF(Data!H525 = 'Point Intercept 2'!H525, Data!H525, "ERROR")</f>
        <v>1</v>
      </c>
      <c r="J525" s="6">
        <f>IF(Data!J525 = 'Point Intercept 2'!J525, Data!J525, "ERROR")</f>
        <v>5</v>
      </c>
      <c r="K525" s="6" t="str">
        <f>IF(Data!K525 = 'Point Intercept 2'!K525, Data!K525, "ERROR")</f>
        <v>GALAPA</v>
      </c>
      <c r="L525" s="6" t="str">
        <f>IF(Data!L525 = 'Point Intercept 2'!L525, Data!L525, "ERROR")</f>
        <v>Galium aparine</v>
      </c>
    </row>
    <row r="526" spans="1:12" x14ac:dyDescent="0.25">
      <c r="A526" s="6">
        <f>IF(Data!A526 = 'Point Intercept 2'!A526, Data!A526, "ERROR")</f>
        <v>6</v>
      </c>
      <c r="B526" s="6">
        <f>IF(Data!B526 = 'Point Intercept 2'!B526, Data!B526, "ERROR")</f>
        <v>2025</v>
      </c>
      <c r="C526" s="8">
        <f>IF(Data!C526 = 'Point Intercept 2'!C526, Data!C526, "ERROR")</f>
        <v>45755</v>
      </c>
      <c r="D526" s="6" t="str">
        <f>IF(Data!D526 = 'Point Intercept 2'!D526, Data!D526, "ERROR")</f>
        <v>JC, TL</v>
      </c>
      <c r="E526" s="6" t="str">
        <f>IF(Data!E526 = 'Point Intercept 2'!E526, Data!E526, "ERROR")</f>
        <v>VB</v>
      </c>
      <c r="F526" s="6">
        <f>IF(Data!F526 = 'Point Intercept 2'!F526, Data!F526, "ERROR")</f>
        <v>3</v>
      </c>
      <c r="G526" s="6" t="str">
        <f>IF(Data!G526 = 'Point Intercept 2'!G526, Data!G526, "ERROR")</f>
        <v>SU</v>
      </c>
      <c r="H526" s="6">
        <f>IF(Data!I526 = 'Point Intercept 2'!I526, Data!I526, "ERROR")</f>
        <v>7</v>
      </c>
      <c r="I526" s="6">
        <f>IF(Data!H526 = 'Point Intercept 2'!H526, Data!H526, "ERROR")</f>
        <v>1</v>
      </c>
      <c r="J526" s="6">
        <f>IF(Data!J526 = 'Point Intercept 2'!J526, Data!J526, "ERROR")</f>
        <v>5</v>
      </c>
      <c r="K526" s="6" t="str">
        <f>IF(Data!K526 = 'Point Intercept 2'!K526, Data!K526, "ERROR")</f>
        <v>FESMYU</v>
      </c>
      <c r="L526" s="6" t="str">
        <f>IF(Data!L526 = 'Point Intercept 2'!L526, Data!L526, "ERROR")</f>
        <v>Festuca myuros</v>
      </c>
    </row>
    <row r="527" spans="1:12" x14ac:dyDescent="0.25">
      <c r="A527" s="6">
        <f>IF(Data!A527 = 'Point Intercept 2'!A527, Data!A527, "ERROR")</f>
        <v>6</v>
      </c>
      <c r="B527" s="6">
        <f>IF(Data!B527 = 'Point Intercept 2'!B527, Data!B527, "ERROR")</f>
        <v>2025</v>
      </c>
      <c r="C527" s="8">
        <f>IF(Data!C527 = 'Point Intercept 2'!C527, Data!C527, "ERROR")</f>
        <v>45755</v>
      </c>
      <c r="D527" s="6" t="str">
        <f>IF(Data!D527 = 'Point Intercept 2'!D527, Data!D527, "ERROR")</f>
        <v>JC, TL</v>
      </c>
      <c r="E527" s="6" t="str">
        <f>IF(Data!E527 = 'Point Intercept 2'!E527, Data!E527, "ERROR")</f>
        <v>VB</v>
      </c>
      <c r="F527" s="6">
        <f>IF(Data!F527 = 'Point Intercept 2'!F527, Data!F527, "ERROR")</f>
        <v>3</v>
      </c>
      <c r="G527" s="6" t="str">
        <f>IF(Data!G527 = 'Point Intercept 2'!G527, Data!G527, "ERROR")</f>
        <v>SU</v>
      </c>
      <c r="H527" s="6">
        <f>IF(Data!I527 = 'Point Intercept 2'!I527, Data!I527, "ERROR")</f>
        <v>7</v>
      </c>
      <c r="I527" s="6">
        <f>IF(Data!H527 = 'Point Intercept 2'!H527, Data!H527, "ERROR")</f>
        <v>1</v>
      </c>
      <c r="J527" s="6">
        <f>IF(Data!J527 = 'Point Intercept 2'!J527, Data!J527, "ERROR")</f>
        <v>5</v>
      </c>
      <c r="K527" s="6" t="str">
        <f>IF(Data!K527 = 'Point Intercept 2'!K527, Data!K527, "ERROR")</f>
        <v>OPULIT</v>
      </c>
      <c r="L527" s="6" t="str">
        <f>IF(Data!L527 = 'Point Intercept 2'!L527, Data!L527, "ERROR")</f>
        <v>Opuntia littoralis</v>
      </c>
    </row>
    <row r="528" spans="1:12" x14ac:dyDescent="0.25">
      <c r="A528" s="6">
        <f>IF(Data!A528 = 'Point Intercept 2'!A528, Data!A528, "ERROR")</f>
        <v>6</v>
      </c>
      <c r="B528" s="6">
        <f>IF(Data!B528 = 'Point Intercept 2'!B528, Data!B528, "ERROR")</f>
        <v>2025</v>
      </c>
      <c r="C528" s="8">
        <f>IF(Data!C528 = 'Point Intercept 2'!C528, Data!C528, "ERROR")</f>
        <v>45755</v>
      </c>
      <c r="D528" s="6" t="str">
        <f>IF(Data!D528 = 'Point Intercept 2'!D528, Data!D528, "ERROR")</f>
        <v>JC, TL</v>
      </c>
      <c r="E528" s="6" t="str">
        <f>IF(Data!E528 = 'Point Intercept 2'!E528, Data!E528, "ERROR")</f>
        <v>VB</v>
      </c>
      <c r="F528" s="6">
        <f>IF(Data!F528 = 'Point Intercept 2'!F528, Data!F528, "ERROR")</f>
        <v>3</v>
      </c>
      <c r="G528" s="6" t="str">
        <f>IF(Data!G528 = 'Point Intercept 2'!G528, Data!G528, "ERROR")</f>
        <v>SU</v>
      </c>
      <c r="H528" s="6">
        <f>IF(Data!I528 = 'Point Intercept 2'!I528, Data!I528, "ERROR")</f>
        <v>8</v>
      </c>
      <c r="I528" s="6">
        <f>IF(Data!H528 = 'Point Intercept 2'!H528, Data!H528, "ERROR")</f>
        <v>1</v>
      </c>
      <c r="J528" s="6">
        <f>IF(Data!J528 = 'Point Intercept 2'!J528, Data!J528, "ERROR")</f>
        <v>7</v>
      </c>
      <c r="K528" s="6" t="str">
        <f>IF(Data!K528 = 'Point Intercept 2'!K528, Data!K528, "ERROR")</f>
        <v>L</v>
      </c>
      <c r="L528" s="6" t="str">
        <f>IF(Data!L528 = 'Point Intercept 2'!L528, Data!L528, "ERROR")</f>
        <v>Litter</v>
      </c>
    </row>
    <row r="529" spans="1:12" x14ac:dyDescent="0.25">
      <c r="A529" s="6">
        <f>IF(Data!A529 = 'Point Intercept 2'!A529, Data!A529, "ERROR")</f>
        <v>6</v>
      </c>
      <c r="B529" s="6">
        <f>IF(Data!B529 = 'Point Intercept 2'!B529, Data!B529, "ERROR")</f>
        <v>2025</v>
      </c>
      <c r="C529" s="8">
        <f>IF(Data!C529 = 'Point Intercept 2'!C529, Data!C529, "ERROR")</f>
        <v>45755</v>
      </c>
      <c r="D529" s="6" t="str">
        <f>IF(Data!D529 = 'Point Intercept 2'!D529, Data!D529, "ERROR")</f>
        <v>JC, TL</v>
      </c>
      <c r="E529" s="6" t="str">
        <f>IF(Data!E529 = 'Point Intercept 2'!E529, Data!E529, "ERROR")</f>
        <v>VB</v>
      </c>
      <c r="F529" s="6">
        <f>IF(Data!F529 = 'Point Intercept 2'!F529, Data!F529, "ERROR")</f>
        <v>3</v>
      </c>
      <c r="G529" s="6" t="str">
        <f>IF(Data!G529 = 'Point Intercept 2'!G529, Data!G529, "ERROR")</f>
        <v>SU</v>
      </c>
      <c r="H529" s="6">
        <f>IF(Data!I529 = 'Point Intercept 2'!I529, Data!I529, "ERROR")</f>
        <v>8</v>
      </c>
      <c r="I529" s="6">
        <f>IF(Data!H529 = 'Point Intercept 2'!H529, Data!H529, "ERROR")</f>
        <v>1</v>
      </c>
      <c r="J529" s="6">
        <f>IF(Data!J529 = 'Point Intercept 2'!J529, Data!J529, "ERROR")</f>
        <v>7</v>
      </c>
      <c r="K529" s="6" t="str">
        <f>IF(Data!K529 = 'Point Intercept 2'!K529, Data!K529, "ERROR")</f>
        <v>DEIFAS</v>
      </c>
      <c r="L529" s="6" t="str">
        <f>IF(Data!L529 = 'Point Intercept 2'!L529, Data!L529, "ERROR")</f>
        <v>Deinandra fasciculata</v>
      </c>
    </row>
    <row r="530" spans="1:12" x14ac:dyDescent="0.25">
      <c r="A530" s="6">
        <f>IF(Data!A530 = 'Point Intercept 2'!A530, Data!A530, "ERROR")</f>
        <v>6</v>
      </c>
      <c r="B530" s="6">
        <f>IF(Data!B530 = 'Point Intercept 2'!B530, Data!B530, "ERROR")</f>
        <v>2025</v>
      </c>
      <c r="C530" s="8">
        <f>IF(Data!C530 = 'Point Intercept 2'!C530, Data!C530, "ERROR")</f>
        <v>45755</v>
      </c>
      <c r="D530" s="6" t="str">
        <f>IF(Data!D530 = 'Point Intercept 2'!D530, Data!D530, "ERROR")</f>
        <v>JC, TL</v>
      </c>
      <c r="E530" s="6" t="str">
        <f>IF(Data!E530 = 'Point Intercept 2'!E530, Data!E530, "ERROR")</f>
        <v>VB</v>
      </c>
      <c r="F530" s="6">
        <f>IF(Data!F530 = 'Point Intercept 2'!F530, Data!F530, "ERROR")</f>
        <v>3</v>
      </c>
      <c r="G530" s="6" t="str">
        <f>IF(Data!G530 = 'Point Intercept 2'!G530, Data!G530, "ERROR")</f>
        <v>SU</v>
      </c>
      <c r="H530" s="6">
        <f>IF(Data!I530 = 'Point Intercept 2'!I530, Data!I530, "ERROR")</f>
        <v>8</v>
      </c>
      <c r="I530" s="6">
        <f>IF(Data!H530 = 'Point Intercept 2'!H530, Data!H530, "ERROR")</f>
        <v>1</v>
      </c>
      <c r="J530" s="6">
        <f>IF(Data!J530 = 'Point Intercept 2'!J530, Data!J530, "ERROR")</f>
        <v>7</v>
      </c>
      <c r="K530" s="6" t="str">
        <f>IF(Data!K530 = 'Point Intercept 2'!K530, Data!K530, "ERROR")</f>
        <v>FESMYU</v>
      </c>
      <c r="L530" s="6" t="str">
        <f>IF(Data!L530 = 'Point Intercept 2'!L530, Data!L530, "ERROR")</f>
        <v>Festuca myuros</v>
      </c>
    </row>
    <row r="531" spans="1:12" x14ac:dyDescent="0.25">
      <c r="A531" s="6">
        <f>IF(Data!A531 = 'Point Intercept 2'!A531, Data!A531, "ERROR")</f>
        <v>6</v>
      </c>
      <c r="B531" s="6">
        <f>IF(Data!B531 = 'Point Intercept 2'!B531, Data!B531, "ERROR")</f>
        <v>2025</v>
      </c>
      <c r="C531" s="8">
        <f>IF(Data!C531 = 'Point Intercept 2'!C531, Data!C531, "ERROR")</f>
        <v>45755</v>
      </c>
      <c r="D531" s="6" t="str">
        <f>IF(Data!D531 = 'Point Intercept 2'!D531, Data!D531, "ERROR")</f>
        <v>JC, TL</v>
      </c>
      <c r="E531" s="6" t="str">
        <f>IF(Data!E531 = 'Point Intercept 2'!E531, Data!E531, "ERROR")</f>
        <v>VB</v>
      </c>
      <c r="F531" s="6">
        <f>IF(Data!F531 = 'Point Intercept 2'!F531, Data!F531, "ERROR")</f>
        <v>3</v>
      </c>
      <c r="G531" s="6" t="str">
        <f>IF(Data!G531 = 'Point Intercept 2'!G531, Data!G531, "ERROR")</f>
        <v>SU</v>
      </c>
      <c r="H531" s="6">
        <f>IF(Data!I531 = 'Point Intercept 2'!I531, Data!I531, "ERROR")</f>
        <v>9</v>
      </c>
      <c r="I531" s="6">
        <f>IF(Data!H531 = 'Point Intercept 2'!H531, Data!H531, "ERROR")</f>
        <v>1</v>
      </c>
      <c r="J531" s="6">
        <f>IF(Data!J531 = 'Point Intercept 2'!J531, Data!J531, "ERROR")</f>
        <v>8</v>
      </c>
      <c r="K531" s="6" t="str">
        <f>IF(Data!K531 = 'Point Intercept 2'!K531, Data!K531, "ERROR")</f>
        <v>L</v>
      </c>
      <c r="L531" s="6" t="str">
        <f>IF(Data!L531 = 'Point Intercept 2'!L531, Data!L531, "ERROR")</f>
        <v>Litter</v>
      </c>
    </row>
    <row r="532" spans="1:12" x14ac:dyDescent="0.25">
      <c r="A532" s="6">
        <f>IF(Data!A532 = 'Point Intercept 2'!A532, Data!A532, "ERROR")</f>
        <v>6</v>
      </c>
      <c r="B532" s="6">
        <f>IF(Data!B532 = 'Point Intercept 2'!B532, Data!B532, "ERROR")</f>
        <v>2025</v>
      </c>
      <c r="C532" s="8">
        <f>IF(Data!C532 = 'Point Intercept 2'!C532, Data!C532, "ERROR")</f>
        <v>45755</v>
      </c>
      <c r="D532" s="6" t="str">
        <f>IF(Data!D532 = 'Point Intercept 2'!D532, Data!D532, "ERROR")</f>
        <v>JC, TL</v>
      </c>
      <c r="E532" s="6" t="str">
        <f>IF(Data!E532 = 'Point Intercept 2'!E532, Data!E532, "ERROR")</f>
        <v>VB</v>
      </c>
      <c r="F532" s="6">
        <f>IF(Data!F532 = 'Point Intercept 2'!F532, Data!F532, "ERROR")</f>
        <v>3</v>
      </c>
      <c r="G532" s="6" t="str">
        <f>IF(Data!G532 = 'Point Intercept 2'!G532, Data!G532, "ERROR")</f>
        <v>SU</v>
      </c>
      <c r="H532" s="6">
        <f>IF(Data!I532 = 'Point Intercept 2'!I532, Data!I532, "ERROR")</f>
        <v>9</v>
      </c>
      <c r="I532" s="6">
        <f>IF(Data!H532 = 'Point Intercept 2'!H532, Data!H532, "ERROR")</f>
        <v>1</v>
      </c>
      <c r="J532" s="6">
        <f>IF(Data!J532 = 'Point Intercept 2'!J532, Data!J532, "ERROR")</f>
        <v>8</v>
      </c>
      <c r="K532" s="6" t="str">
        <f>IF(Data!K532 = 'Point Intercept 2'!K532, Data!K532, "ERROR")</f>
        <v>DEIFAS</v>
      </c>
      <c r="L532" s="6" t="str">
        <f>IF(Data!L532 = 'Point Intercept 2'!L532, Data!L532, "ERROR")</f>
        <v>Deinandra fasciculata</v>
      </c>
    </row>
    <row r="533" spans="1:12" x14ac:dyDescent="0.25">
      <c r="A533" s="6">
        <f>IF(Data!A533 = 'Point Intercept 2'!A533, Data!A533, "ERROR")</f>
        <v>6</v>
      </c>
      <c r="B533" s="6">
        <f>IF(Data!B533 = 'Point Intercept 2'!B533, Data!B533, "ERROR")</f>
        <v>2025</v>
      </c>
      <c r="C533" s="8">
        <f>IF(Data!C533 = 'Point Intercept 2'!C533, Data!C533, "ERROR")</f>
        <v>45755</v>
      </c>
      <c r="D533" s="6" t="str">
        <f>IF(Data!D533 = 'Point Intercept 2'!D533, Data!D533, "ERROR")</f>
        <v>JC, TL</v>
      </c>
      <c r="E533" s="6" t="str">
        <f>IF(Data!E533 = 'Point Intercept 2'!E533, Data!E533, "ERROR")</f>
        <v>VB</v>
      </c>
      <c r="F533" s="6">
        <f>IF(Data!F533 = 'Point Intercept 2'!F533, Data!F533, "ERROR")</f>
        <v>3</v>
      </c>
      <c r="G533" s="6" t="str">
        <f>IF(Data!G533 = 'Point Intercept 2'!G533, Data!G533, "ERROR")</f>
        <v>SU</v>
      </c>
      <c r="H533" s="6">
        <f>IF(Data!I533 = 'Point Intercept 2'!I533, Data!I533, "ERROR")</f>
        <v>10</v>
      </c>
      <c r="I533" s="6">
        <f>IF(Data!H533 = 'Point Intercept 2'!H533, Data!H533, "ERROR")</f>
        <v>1</v>
      </c>
      <c r="J533" s="6">
        <f>IF(Data!J533 = 'Point Intercept 2'!J533, Data!J533, "ERROR")</f>
        <v>8.5</v>
      </c>
      <c r="K533" s="6" t="str">
        <f>IF(Data!K533 = 'Point Intercept 2'!K533, Data!K533, "ERROR")</f>
        <v>L</v>
      </c>
      <c r="L533" s="6" t="str">
        <f>IF(Data!L533 = 'Point Intercept 2'!L533, Data!L533, "ERROR")</f>
        <v>Litter</v>
      </c>
    </row>
    <row r="534" spans="1:12" x14ac:dyDescent="0.25">
      <c r="A534" s="6">
        <f>IF(Data!A534 = 'Point Intercept 2'!A534, Data!A534, "ERROR")</f>
        <v>6</v>
      </c>
      <c r="B534" s="6">
        <f>IF(Data!B534 = 'Point Intercept 2'!B534, Data!B534, "ERROR")</f>
        <v>2025</v>
      </c>
      <c r="C534" s="8">
        <f>IF(Data!C534 = 'Point Intercept 2'!C534, Data!C534, "ERROR")</f>
        <v>45755</v>
      </c>
      <c r="D534" s="6" t="str">
        <f>IF(Data!D534 = 'Point Intercept 2'!D534, Data!D534, "ERROR")</f>
        <v>JC, TL</v>
      </c>
      <c r="E534" s="6" t="str">
        <f>IF(Data!E534 = 'Point Intercept 2'!E534, Data!E534, "ERROR")</f>
        <v>VB</v>
      </c>
      <c r="F534" s="6">
        <f>IF(Data!F534 = 'Point Intercept 2'!F534, Data!F534, "ERROR")</f>
        <v>3</v>
      </c>
      <c r="G534" s="6" t="str">
        <f>IF(Data!G534 = 'Point Intercept 2'!G534, Data!G534, "ERROR")</f>
        <v>SU</v>
      </c>
      <c r="H534" s="6">
        <f>IF(Data!I534 = 'Point Intercept 2'!I534, Data!I534, "ERROR")</f>
        <v>10</v>
      </c>
      <c r="I534" s="6">
        <f>IF(Data!H534 = 'Point Intercept 2'!H534, Data!H534, "ERROR")</f>
        <v>1</v>
      </c>
      <c r="J534" s="6">
        <f>IF(Data!J534 = 'Point Intercept 2'!J534, Data!J534, "ERROR")</f>
        <v>8.5</v>
      </c>
      <c r="K534" s="6" t="str">
        <f>IF(Data!K534 = 'Point Intercept 2'!K534, Data!K534, "ERROR")</f>
        <v>DEIFAS</v>
      </c>
      <c r="L534" s="6" t="str">
        <f>IF(Data!L534 = 'Point Intercept 2'!L534, Data!L534, "ERROR")</f>
        <v>Deinandra fasciculata</v>
      </c>
    </row>
    <row r="535" spans="1:12" x14ac:dyDescent="0.25">
      <c r="A535" s="6">
        <f>IF(Data!A535 = 'Point Intercept 2'!A535, Data!A535, "ERROR")</f>
        <v>6</v>
      </c>
      <c r="B535" s="6">
        <f>IF(Data!B535 = 'Point Intercept 2'!B535, Data!B535, "ERROR")</f>
        <v>2025</v>
      </c>
      <c r="C535" s="8">
        <f>IF(Data!C535 = 'Point Intercept 2'!C535, Data!C535, "ERROR")</f>
        <v>45755</v>
      </c>
      <c r="D535" s="6" t="str">
        <f>IF(Data!D535 = 'Point Intercept 2'!D535, Data!D535, "ERROR")</f>
        <v>JC, TL</v>
      </c>
      <c r="E535" s="6" t="str">
        <f>IF(Data!E535 = 'Point Intercept 2'!E535, Data!E535, "ERROR")</f>
        <v>VB</v>
      </c>
      <c r="F535" s="6">
        <f>IF(Data!F535 = 'Point Intercept 2'!F535, Data!F535, "ERROR")</f>
        <v>3</v>
      </c>
      <c r="G535" s="6" t="str">
        <f>IF(Data!G535 = 'Point Intercept 2'!G535, Data!G535, "ERROR")</f>
        <v>SU</v>
      </c>
      <c r="H535" s="6">
        <f>IF(Data!I535 = 'Point Intercept 2'!I535, Data!I535, "ERROR")</f>
        <v>10</v>
      </c>
      <c r="I535" s="6">
        <f>IF(Data!H535 = 'Point Intercept 2'!H535, Data!H535, "ERROR")</f>
        <v>1</v>
      </c>
      <c r="J535" s="6">
        <f>IF(Data!J535 = 'Point Intercept 2'!J535, Data!J535, "ERROR")</f>
        <v>8.5</v>
      </c>
      <c r="K535" s="6" t="str">
        <f>IF(Data!K535 = 'Point Intercept 2'!K535, Data!K535, "ERROR")</f>
        <v>FESMYU</v>
      </c>
      <c r="L535" s="6" t="str">
        <f>IF(Data!L535 = 'Point Intercept 2'!L535, Data!L535, "ERROR")</f>
        <v>Festuca myuros</v>
      </c>
    </row>
    <row r="536" spans="1:12" x14ac:dyDescent="0.25">
      <c r="A536" s="6">
        <f>IF(Data!A536 = 'Point Intercept 2'!A536, Data!A536, "ERROR")</f>
        <v>6</v>
      </c>
      <c r="B536" s="6">
        <f>IF(Data!B536 = 'Point Intercept 2'!B536, Data!B536, "ERROR")</f>
        <v>2025</v>
      </c>
      <c r="C536" s="8">
        <f>IF(Data!C536 = 'Point Intercept 2'!C536, Data!C536, "ERROR")</f>
        <v>45755</v>
      </c>
      <c r="D536" s="6" t="str">
        <f>IF(Data!D536 = 'Point Intercept 2'!D536, Data!D536, "ERROR")</f>
        <v>JC, TL</v>
      </c>
      <c r="E536" s="6" t="str">
        <f>IF(Data!E536 = 'Point Intercept 2'!E536, Data!E536, "ERROR")</f>
        <v>VB</v>
      </c>
      <c r="F536" s="6">
        <f>IF(Data!F536 = 'Point Intercept 2'!F536, Data!F536, "ERROR")</f>
        <v>3</v>
      </c>
      <c r="G536" s="6" t="str">
        <f>IF(Data!G536 = 'Point Intercept 2'!G536, Data!G536, "ERROR")</f>
        <v>SU</v>
      </c>
      <c r="H536" s="6">
        <f>IF(Data!I536 = 'Point Intercept 2'!I536, Data!I536, "ERROR")</f>
        <v>11</v>
      </c>
      <c r="I536" s="6">
        <f>IF(Data!H536 = 'Point Intercept 2'!H536, Data!H536, "ERROR")</f>
        <v>1</v>
      </c>
      <c r="J536" s="6">
        <f>IF(Data!J536 = 'Point Intercept 2'!J536, Data!J536, "ERROR")</f>
        <v>9</v>
      </c>
      <c r="K536" s="6" t="str">
        <f>IF(Data!K536 = 'Point Intercept 2'!K536, Data!K536, "ERROR")</f>
        <v>L</v>
      </c>
      <c r="L536" s="6" t="str">
        <f>IF(Data!L536 = 'Point Intercept 2'!L536, Data!L536, "ERROR")</f>
        <v>Litter</v>
      </c>
    </row>
    <row r="537" spans="1:12" x14ac:dyDescent="0.25">
      <c r="A537" s="6">
        <f>IF(Data!A537 = 'Point Intercept 2'!A537, Data!A537, "ERROR")</f>
        <v>6</v>
      </c>
      <c r="B537" s="6">
        <f>IF(Data!B537 = 'Point Intercept 2'!B537, Data!B537, "ERROR")</f>
        <v>2025</v>
      </c>
      <c r="C537" s="8">
        <f>IF(Data!C537 = 'Point Intercept 2'!C537, Data!C537, "ERROR")</f>
        <v>45755</v>
      </c>
      <c r="D537" s="6" t="str">
        <f>IF(Data!D537 = 'Point Intercept 2'!D537, Data!D537, "ERROR")</f>
        <v>JC, TL</v>
      </c>
      <c r="E537" s="6" t="str">
        <f>IF(Data!E537 = 'Point Intercept 2'!E537, Data!E537, "ERROR")</f>
        <v>VB</v>
      </c>
      <c r="F537" s="6">
        <f>IF(Data!F537 = 'Point Intercept 2'!F537, Data!F537, "ERROR")</f>
        <v>3</v>
      </c>
      <c r="G537" s="6" t="str">
        <f>IF(Data!G537 = 'Point Intercept 2'!G537, Data!G537, "ERROR")</f>
        <v>SU</v>
      </c>
      <c r="H537" s="6">
        <f>IF(Data!I537 = 'Point Intercept 2'!I537, Data!I537, "ERROR")</f>
        <v>11</v>
      </c>
      <c r="I537" s="6">
        <f>IF(Data!H537 = 'Point Intercept 2'!H537, Data!H537, "ERROR")</f>
        <v>1</v>
      </c>
      <c r="J537" s="6">
        <f>IF(Data!J537 = 'Point Intercept 2'!J537, Data!J537, "ERROR")</f>
        <v>9</v>
      </c>
      <c r="K537" s="6" t="str">
        <f>IF(Data!K537 = 'Point Intercept 2'!K537, Data!K537, "ERROR")</f>
        <v>FESMYU</v>
      </c>
      <c r="L537" s="6" t="str">
        <f>IF(Data!L537 = 'Point Intercept 2'!L537, Data!L537, "ERROR")</f>
        <v>Festuca myuros</v>
      </c>
    </row>
    <row r="538" spans="1:12" x14ac:dyDescent="0.25">
      <c r="A538" s="6">
        <f>IF(Data!A538 = 'Point Intercept 2'!A538, Data!A538, "ERROR")</f>
        <v>6</v>
      </c>
      <c r="B538" s="6">
        <f>IF(Data!B538 = 'Point Intercept 2'!B538, Data!B538, "ERROR")</f>
        <v>2025</v>
      </c>
      <c r="C538" s="8">
        <f>IF(Data!C538 = 'Point Intercept 2'!C538, Data!C538, "ERROR")</f>
        <v>45755</v>
      </c>
      <c r="D538" s="6" t="str">
        <f>IF(Data!D538 = 'Point Intercept 2'!D538, Data!D538, "ERROR")</f>
        <v>JC, TL</v>
      </c>
      <c r="E538" s="6" t="str">
        <f>IF(Data!E538 = 'Point Intercept 2'!E538, Data!E538, "ERROR")</f>
        <v>VB</v>
      </c>
      <c r="F538" s="6">
        <f>IF(Data!F538 = 'Point Intercept 2'!F538, Data!F538, "ERROR")</f>
        <v>3</v>
      </c>
      <c r="G538" s="6" t="str">
        <f>IF(Data!G538 = 'Point Intercept 2'!G538, Data!G538, "ERROR")</f>
        <v>SU</v>
      </c>
      <c r="H538" s="6">
        <f>IF(Data!I538 = 'Point Intercept 2'!I538, Data!I538, "ERROR")</f>
        <v>11</v>
      </c>
      <c r="I538" s="6">
        <f>IF(Data!H538 = 'Point Intercept 2'!H538, Data!H538, "ERROR")</f>
        <v>1</v>
      </c>
      <c r="J538" s="6">
        <f>IF(Data!J538 = 'Point Intercept 2'!J538, Data!J538, "ERROR")</f>
        <v>9</v>
      </c>
      <c r="K538" s="6" t="str">
        <f>IF(Data!K538 = 'Point Intercept 2'!K538, Data!K538, "ERROR")</f>
        <v>DEIFAS</v>
      </c>
      <c r="L538" s="6" t="str">
        <f>IF(Data!L538 = 'Point Intercept 2'!L538, Data!L538, "ERROR")</f>
        <v>Deinandra fasciculata</v>
      </c>
    </row>
    <row r="539" spans="1:12" x14ac:dyDescent="0.25">
      <c r="A539" s="6">
        <f>IF(Data!A539 = 'Point Intercept 2'!A539, Data!A539, "ERROR")</f>
        <v>6</v>
      </c>
      <c r="B539" s="6">
        <f>IF(Data!B539 = 'Point Intercept 2'!B539, Data!B539, "ERROR")</f>
        <v>2025</v>
      </c>
      <c r="C539" s="8">
        <f>IF(Data!C539 = 'Point Intercept 2'!C539, Data!C539, "ERROR")</f>
        <v>45755</v>
      </c>
      <c r="D539" s="6" t="str">
        <f>IF(Data!D539 = 'Point Intercept 2'!D539, Data!D539, "ERROR")</f>
        <v>JC, TL</v>
      </c>
      <c r="E539" s="6" t="str">
        <f>IF(Data!E539 = 'Point Intercept 2'!E539, Data!E539, "ERROR")</f>
        <v>VB</v>
      </c>
      <c r="F539" s="6">
        <f>IF(Data!F539 = 'Point Intercept 2'!F539, Data!F539, "ERROR")</f>
        <v>3</v>
      </c>
      <c r="G539" s="6" t="str">
        <f>IF(Data!G539 = 'Point Intercept 2'!G539, Data!G539, "ERROR")</f>
        <v>SU</v>
      </c>
      <c r="H539" s="6">
        <f>IF(Data!I539 = 'Point Intercept 2'!I539, Data!I539, "ERROR")</f>
        <v>12</v>
      </c>
      <c r="I539" s="6">
        <f>IF(Data!H539 = 'Point Intercept 2'!H539, Data!H539, "ERROR")</f>
        <v>1</v>
      </c>
      <c r="J539" s="6">
        <f>IF(Data!J539 = 'Point Intercept 2'!J539, Data!J539, "ERROR")</f>
        <v>10</v>
      </c>
      <c r="K539" s="6" t="str">
        <f>IF(Data!K539 = 'Point Intercept 2'!K539, Data!K539, "ERROR")</f>
        <v>B</v>
      </c>
      <c r="L539" s="6" t="str">
        <f>IF(Data!L539 = 'Point Intercept 2'!L539, Data!L539, "ERROR")</f>
        <v>Bareground</v>
      </c>
    </row>
    <row r="540" spans="1:12" x14ac:dyDescent="0.25">
      <c r="A540" s="6">
        <f>IF(Data!A540 = 'Point Intercept 2'!A540, Data!A540, "ERROR")</f>
        <v>6</v>
      </c>
      <c r="B540" s="6">
        <f>IF(Data!B540 = 'Point Intercept 2'!B540, Data!B540, "ERROR")</f>
        <v>2025</v>
      </c>
      <c r="C540" s="8">
        <f>IF(Data!C540 = 'Point Intercept 2'!C540, Data!C540, "ERROR")</f>
        <v>45755</v>
      </c>
      <c r="D540" s="6" t="str">
        <f>IF(Data!D540 = 'Point Intercept 2'!D540, Data!D540, "ERROR")</f>
        <v>JC, TL</v>
      </c>
      <c r="E540" s="6" t="str">
        <f>IF(Data!E540 = 'Point Intercept 2'!E540, Data!E540, "ERROR")</f>
        <v>VB</v>
      </c>
      <c r="F540" s="6">
        <f>IF(Data!F540 = 'Point Intercept 2'!F540, Data!F540, "ERROR")</f>
        <v>3</v>
      </c>
      <c r="G540" s="6" t="str">
        <f>IF(Data!G540 = 'Point Intercept 2'!G540, Data!G540, "ERROR")</f>
        <v>SU</v>
      </c>
      <c r="H540" s="6">
        <f>IF(Data!I540 = 'Point Intercept 2'!I540, Data!I540, "ERROR")</f>
        <v>13</v>
      </c>
      <c r="I540" s="6">
        <f>IF(Data!H540 = 'Point Intercept 2'!H540, Data!H540, "ERROR")</f>
        <v>1</v>
      </c>
      <c r="J540" s="6">
        <f>IF(Data!J540 = 'Point Intercept 2'!J540, Data!J540, "ERROR")</f>
        <v>10.5</v>
      </c>
      <c r="K540" s="6" t="str">
        <f>IF(Data!K540 = 'Point Intercept 2'!K540, Data!K540, "ERROR")</f>
        <v>B</v>
      </c>
      <c r="L540" s="6" t="str">
        <f>IF(Data!L540 = 'Point Intercept 2'!L540, Data!L540, "ERROR")</f>
        <v>Bareground</v>
      </c>
    </row>
    <row r="541" spans="1:12" x14ac:dyDescent="0.25">
      <c r="A541" s="6">
        <f>IF(Data!A541 = 'Point Intercept 2'!A541, Data!A541, "ERROR")</f>
        <v>6</v>
      </c>
      <c r="B541" s="6">
        <f>IF(Data!B541 = 'Point Intercept 2'!B541, Data!B541, "ERROR")</f>
        <v>2025</v>
      </c>
      <c r="C541" s="8">
        <f>IF(Data!C541 = 'Point Intercept 2'!C541, Data!C541, "ERROR")</f>
        <v>45755</v>
      </c>
      <c r="D541" s="6" t="str">
        <f>IF(Data!D541 = 'Point Intercept 2'!D541, Data!D541, "ERROR")</f>
        <v>JC, TL</v>
      </c>
      <c r="E541" s="6" t="str">
        <f>IF(Data!E541 = 'Point Intercept 2'!E541, Data!E541, "ERROR")</f>
        <v>VB</v>
      </c>
      <c r="F541" s="6">
        <f>IF(Data!F541 = 'Point Intercept 2'!F541, Data!F541, "ERROR")</f>
        <v>3</v>
      </c>
      <c r="G541" s="6" t="str">
        <f>IF(Data!G541 = 'Point Intercept 2'!G541, Data!G541, "ERROR")</f>
        <v>SU</v>
      </c>
      <c r="H541" s="6">
        <f>IF(Data!I541 = 'Point Intercept 2'!I541, Data!I541, "ERROR")</f>
        <v>13</v>
      </c>
      <c r="I541" s="6">
        <f>IF(Data!H541 = 'Point Intercept 2'!H541, Data!H541, "ERROR")</f>
        <v>1</v>
      </c>
      <c r="J541" s="6">
        <f>IF(Data!J541 = 'Point Intercept 2'!J541, Data!J541, "ERROR")</f>
        <v>10.5</v>
      </c>
      <c r="K541" s="6" t="str">
        <f>IF(Data!K541 = 'Point Intercept 2'!K541, Data!K541, "ERROR")</f>
        <v>FESMYU</v>
      </c>
      <c r="L541" s="6" t="str">
        <f>IF(Data!L541 = 'Point Intercept 2'!L541, Data!L541, "ERROR")</f>
        <v>Festuca myuros</v>
      </c>
    </row>
    <row r="542" spans="1:12" x14ac:dyDescent="0.25">
      <c r="A542" s="6">
        <f>IF(Data!A542 = 'Point Intercept 2'!A542, Data!A542, "ERROR")</f>
        <v>6</v>
      </c>
      <c r="B542" s="6">
        <f>IF(Data!B542 = 'Point Intercept 2'!B542, Data!B542, "ERROR")</f>
        <v>2025</v>
      </c>
      <c r="C542" s="8">
        <f>IF(Data!C542 = 'Point Intercept 2'!C542, Data!C542, "ERROR")</f>
        <v>45755</v>
      </c>
      <c r="D542" s="6" t="str">
        <f>IF(Data!D542 = 'Point Intercept 2'!D542, Data!D542, "ERROR")</f>
        <v>JC, TL</v>
      </c>
      <c r="E542" s="6" t="str">
        <f>IF(Data!E542 = 'Point Intercept 2'!E542, Data!E542, "ERROR")</f>
        <v>VB</v>
      </c>
      <c r="F542" s="6">
        <f>IF(Data!F542 = 'Point Intercept 2'!F542, Data!F542, "ERROR")</f>
        <v>3</v>
      </c>
      <c r="G542" s="6" t="str">
        <f>IF(Data!G542 = 'Point Intercept 2'!G542, Data!G542, "ERROR")</f>
        <v>SU</v>
      </c>
      <c r="H542" s="6">
        <f>IF(Data!I542 = 'Point Intercept 2'!I542, Data!I542, "ERROR")</f>
        <v>14</v>
      </c>
      <c r="I542" s="6">
        <f>IF(Data!H542 = 'Point Intercept 2'!H542, Data!H542, "ERROR")</f>
        <v>1</v>
      </c>
      <c r="J542" s="6">
        <f>IF(Data!J542 = 'Point Intercept 2'!J542, Data!J542, "ERROR")</f>
        <v>11</v>
      </c>
      <c r="K542" s="6" t="str">
        <f>IF(Data!K542 = 'Point Intercept 2'!K542, Data!K542, "ERROR")</f>
        <v>L</v>
      </c>
      <c r="L542" s="6" t="str">
        <f>IF(Data!L542 = 'Point Intercept 2'!L542, Data!L542, "ERROR")</f>
        <v>Litter</v>
      </c>
    </row>
    <row r="543" spans="1:12" x14ac:dyDescent="0.25">
      <c r="A543" s="6">
        <f>IF(Data!A543 = 'Point Intercept 2'!A543, Data!A543, "ERROR")</f>
        <v>6</v>
      </c>
      <c r="B543" s="6">
        <f>IF(Data!B543 = 'Point Intercept 2'!B543, Data!B543, "ERROR")</f>
        <v>2025</v>
      </c>
      <c r="C543" s="8">
        <f>IF(Data!C543 = 'Point Intercept 2'!C543, Data!C543, "ERROR")</f>
        <v>45755</v>
      </c>
      <c r="D543" s="6" t="str">
        <f>IF(Data!D543 = 'Point Intercept 2'!D543, Data!D543, "ERROR")</f>
        <v>JC, TL</v>
      </c>
      <c r="E543" s="6" t="str">
        <f>IF(Data!E543 = 'Point Intercept 2'!E543, Data!E543, "ERROR")</f>
        <v>VB</v>
      </c>
      <c r="F543" s="6">
        <f>IF(Data!F543 = 'Point Intercept 2'!F543, Data!F543, "ERROR")</f>
        <v>3</v>
      </c>
      <c r="G543" s="6" t="str">
        <f>IF(Data!G543 = 'Point Intercept 2'!G543, Data!G543, "ERROR")</f>
        <v>SU</v>
      </c>
      <c r="H543" s="6">
        <f>IF(Data!I543 = 'Point Intercept 2'!I543, Data!I543, "ERROR")</f>
        <v>14</v>
      </c>
      <c r="I543" s="6">
        <f>IF(Data!H543 = 'Point Intercept 2'!H543, Data!H543, "ERROR")</f>
        <v>1</v>
      </c>
      <c r="J543" s="6">
        <f>IF(Data!J543 = 'Point Intercept 2'!J543, Data!J543, "ERROR")</f>
        <v>11</v>
      </c>
      <c r="K543" s="6" t="str">
        <f>IF(Data!K543 = 'Point Intercept 2'!K543, Data!K543, "ERROR")</f>
        <v>FESMYU</v>
      </c>
      <c r="L543" s="6" t="str">
        <f>IF(Data!L543 = 'Point Intercept 2'!L543, Data!L543, "ERROR")</f>
        <v>Festuca myuros</v>
      </c>
    </row>
    <row r="544" spans="1:12" x14ac:dyDescent="0.25">
      <c r="A544" s="6">
        <f>IF(Data!A544 = 'Point Intercept 2'!A544, Data!A544, "ERROR")</f>
        <v>6</v>
      </c>
      <c r="B544" s="6">
        <f>IF(Data!B544 = 'Point Intercept 2'!B544, Data!B544, "ERROR")</f>
        <v>2025</v>
      </c>
      <c r="C544" s="8">
        <f>IF(Data!C544 = 'Point Intercept 2'!C544, Data!C544, "ERROR")</f>
        <v>45755</v>
      </c>
      <c r="D544" s="6" t="str">
        <f>IF(Data!D544 = 'Point Intercept 2'!D544, Data!D544, "ERROR")</f>
        <v>JC, TL</v>
      </c>
      <c r="E544" s="6" t="str">
        <f>IF(Data!E544 = 'Point Intercept 2'!E544, Data!E544, "ERROR")</f>
        <v>VB</v>
      </c>
      <c r="F544" s="6">
        <f>IF(Data!F544 = 'Point Intercept 2'!F544, Data!F544, "ERROR")</f>
        <v>3</v>
      </c>
      <c r="G544" s="6" t="str">
        <f>IF(Data!G544 = 'Point Intercept 2'!G544, Data!G544, "ERROR")</f>
        <v>SU</v>
      </c>
      <c r="H544" s="6">
        <f>IF(Data!I544 = 'Point Intercept 2'!I544, Data!I544, "ERROR")</f>
        <v>14</v>
      </c>
      <c r="I544" s="6">
        <f>IF(Data!H544 = 'Point Intercept 2'!H544, Data!H544, "ERROR")</f>
        <v>1</v>
      </c>
      <c r="J544" s="6">
        <f>IF(Data!J544 = 'Point Intercept 2'!J544, Data!J544, "ERROR")</f>
        <v>11</v>
      </c>
      <c r="K544" s="6" t="str">
        <f>IF(Data!K544 = 'Point Intercept 2'!K544, Data!K544, "ERROR")</f>
        <v>DEIFAS</v>
      </c>
      <c r="L544" s="6" t="str">
        <f>IF(Data!L544 = 'Point Intercept 2'!L544, Data!L544, "ERROR")</f>
        <v>Deinandra fasciculata</v>
      </c>
    </row>
    <row r="545" spans="1:12" x14ac:dyDescent="0.25">
      <c r="A545" s="6">
        <f>IF(Data!A545 = 'Point Intercept 2'!A545, Data!A545, "ERROR")</f>
        <v>6</v>
      </c>
      <c r="B545" s="6">
        <f>IF(Data!B545 = 'Point Intercept 2'!B545, Data!B545, "ERROR")</f>
        <v>2025</v>
      </c>
      <c r="C545" s="8">
        <f>IF(Data!C545 = 'Point Intercept 2'!C545, Data!C545, "ERROR")</f>
        <v>45755</v>
      </c>
      <c r="D545" s="6" t="str">
        <f>IF(Data!D545 = 'Point Intercept 2'!D545, Data!D545, "ERROR")</f>
        <v>JC, TL</v>
      </c>
      <c r="E545" s="6" t="str">
        <f>IF(Data!E545 = 'Point Intercept 2'!E545, Data!E545, "ERROR")</f>
        <v>VB</v>
      </c>
      <c r="F545" s="6">
        <f>IF(Data!F545 = 'Point Intercept 2'!F545, Data!F545, "ERROR")</f>
        <v>3</v>
      </c>
      <c r="G545" s="6" t="str">
        <f>IF(Data!G545 = 'Point Intercept 2'!G545, Data!G545, "ERROR")</f>
        <v>SU</v>
      </c>
      <c r="H545" s="6">
        <f>IF(Data!I545 = 'Point Intercept 2'!I545, Data!I545, "ERROR")</f>
        <v>14</v>
      </c>
      <c r="I545" s="6">
        <f>IF(Data!H545 = 'Point Intercept 2'!H545, Data!H545, "ERROR")</f>
        <v>1</v>
      </c>
      <c r="J545" s="6">
        <f>IF(Data!J545 = 'Point Intercept 2'!J545, Data!J545, "ERROR")</f>
        <v>11</v>
      </c>
      <c r="K545" s="6" t="str">
        <f>IF(Data!K545 = 'Point Intercept 2'!K545, Data!K545, "ERROR")</f>
        <v>UNKNOWN</v>
      </c>
      <c r="L545" s="6" t="str">
        <f>IF(Data!L545 = 'Point Intercept 2'!L545, Data!L545, "ERROR")</f>
        <v>Unknown Species</v>
      </c>
    </row>
    <row r="546" spans="1:12" x14ac:dyDescent="0.25">
      <c r="A546" s="6">
        <f>IF(Data!A546 = 'Point Intercept 2'!A546, Data!A546, "ERROR")</f>
        <v>6</v>
      </c>
      <c r="B546" s="6">
        <f>IF(Data!B546 = 'Point Intercept 2'!B546, Data!B546, "ERROR")</f>
        <v>2025</v>
      </c>
      <c r="C546" s="8">
        <f>IF(Data!C546 = 'Point Intercept 2'!C546, Data!C546, "ERROR")</f>
        <v>45755</v>
      </c>
      <c r="D546" s="6" t="str">
        <f>IF(Data!D546 = 'Point Intercept 2'!D546, Data!D546, "ERROR")</f>
        <v>JC, TL</v>
      </c>
      <c r="E546" s="6" t="str">
        <f>IF(Data!E546 = 'Point Intercept 2'!E546, Data!E546, "ERROR")</f>
        <v>VB</v>
      </c>
      <c r="F546" s="6">
        <f>IF(Data!F546 = 'Point Intercept 2'!F546, Data!F546, "ERROR")</f>
        <v>3</v>
      </c>
      <c r="G546" s="6" t="str">
        <f>IF(Data!G546 = 'Point Intercept 2'!G546, Data!G546, "ERROR")</f>
        <v>SU</v>
      </c>
      <c r="H546" s="6">
        <f>IF(Data!I546 = 'Point Intercept 2'!I546, Data!I546, "ERROR")</f>
        <v>15</v>
      </c>
      <c r="I546" s="6">
        <f>IF(Data!H546 = 'Point Intercept 2'!H546, Data!H546, "ERROR")</f>
        <v>1</v>
      </c>
      <c r="J546" s="6">
        <f>IF(Data!J546 = 'Point Intercept 2'!J546, Data!J546, "ERROR")</f>
        <v>12</v>
      </c>
      <c r="K546" s="6" t="str">
        <f>IF(Data!K546 = 'Point Intercept 2'!K546, Data!K546, "ERROR")</f>
        <v>L</v>
      </c>
      <c r="L546" s="6" t="str">
        <f>IF(Data!L546 = 'Point Intercept 2'!L546, Data!L546, "ERROR")</f>
        <v>Litter</v>
      </c>
    </row>
    <row r="547" spans="1:12" x14ac:dyDescent="0.25">
      <c r="A547" s="6">
        <f>IF(Data!A547 = 'Point Intercept 2'!A547, Data!A547, "ERROR")</f>
        <v>6</v>
      </c>
      <c r="B547" s="6">
        <f>IF(Data!B547 = 'Point Intercept 2'!B547, Data!B547, "ERROR")</f>
        <v>2025</v>
      </c>
      <c r="C547" s="8">
        <f>IF(Data!C547 = 'Point Intercept 2'!C547, Data!C547, "ERROR")</f>
        <v>45755</v>
      </c>
      <c r="D547" s="6" t="str">
        <f>IF(Data!D547 = 'Point Intercept 2'!D547, Data!D547, "ERROR")</f>
        <v>JC, TL</v>
      </c>
      <c r="E547" s="6" t="str">
        <f>IF(Data!E547 = 'Point Intercept 2'!E547, Data!E547, "ERROR")</f>
        <v>VB</v>
      </c>
      <c r="F547" s="6">
        <f>IF(Data!F547 = 'Point Intercept 2'!F547, Data!F547, "ERROR")</f>
        <v>3</v>
      </c>
      <c r="G547" s="6" t="str">
        <f>IF(Data!G547 = 'Point Intercept 2'!G547, Data!G547, "ERROR")</f>
        <v>SU</v>
      </c>
      <c r="H547" s="6">
        <f>IF(Data!I547 = 'Point Intercept 2'!I547, Data!I547, "ERROR")</f>
        <v>15</v>
      </c>
      <c r="I547" s="6">
        <f>IF(Data!H547 = 'Point Intercept 2'!H547, Data!H547, "ERROR")</f>
        <v>1</v>
      </c>
      <c r="J547" s="6">
        <f>IF(Data!J547 = 'Point Intercept 2'!J547, Data!J547, "ERROR")</f>
        <v>12</v>
      </c>
      <c r="K547" s="6" t="str">
        <f>IF(Data!K547 = 'Point Intercept 2'!K547, Data!K547, "ERROR")</f>
        <v>FESMYU</v>
      </c>
      <c r="L547" s="6" t="str">
        <f>IF(Data!L547 = 'Point Intercept 2'!L547, Data!L547, "ERROR")</f>
        <v>Festuca myuros</v>
      </c>
    </row>
    <row r="548" spans="1:12" x14ac:dyDescent="0.25">
      <c r="A548" s="6">
        <f>IF(Data!A548 = 'Point Intercept 2'!A548, Data!A548, "ERROR")</f>
        <v>6</v>
      </c>
      <c r="B548" s="6">
        <f>IF(Data!B548 = 'Point Intercept 2'!B548, Data!B548, "ERROR")</f>
        <v>2025</v>
      </c>
      <c r="C548" s="8">
        <f>IF(Data!C548 = 'Point Intercept 2'!C548, Data!C548, "ERROR")</f>
        <v>45755</v>
      </c>
      <c r="D548" s="6" t="str">
        <f>IF(Data!D548 = 'Point Intercept 2'!D548, Data!D548, "ERROR")</f>
        <v>JC, TL</v>
      </c>
      <c r="E548" s="6" t="str">
        <f>IF(Data!E548 = 'Point Intercept 2'!E548, Data!E548, "ERROR")</f>
        <v>VB</v>
      </c>
      <c r="F548" s="6">
        <f>IF(Data!F548 = 'Point Intercept 2'!F548, Data!F548, "ERROR")</f>
        <v>3</v>
      </c>
      <c r="G548" s="6" t="str">
        <f>IF(Data!G548 = 'Point Intercept 2'!G548, Data!G548, "ERROR")</f>
        <v>SU</v>
      </c>
      <c r="H548" s="6">
        <f>IF(Data!I548 = 'Point Intercept 2'!I548, Data!I548, "ERROR")</f>
        <v>15</v>
      </c>
      <c r="I548" s="6">
        <f>IF(Data!H548 = 'Point Intercept 2'!H548, Data!H548, "ERROR")</f>
        <v>1</v>
      </c>
      <c r="J548" s="6">
        <f>IF(Data!J548 = 'Point Intercept 2'!J548, Data!J548, "ERROR")</f>
        <v>12</v>
      </c>
      <c r="K548" s="6" t="str">
        <f>IF(Data!K548 = 'Point Intercept 2'!K548, Data!K548, "ERROR")</f>
        <v>CYLPRO</v>
      </c>
      <c r="L548" s="6" t="str">
        <f>IF(Data!L548 = 'Point Intercept 2'!L548, Data!L548, "ERROR")</f>
        <v>Cylindropuntia prolifera</v>
      </c>
    </row>
    <row r="549" spans="1:12" x14ac:dyDescent="0.25">
      <c r="A549" s="6">
        <f>IF(Data!A549 = 'Point Intercept 2'!A549, Data!A549, "ERROR")</f>
        <v>6</v>
      </c>
      <c r="B549" s="6">
        <f>IF(Data!B549 = 'Point Intercept 2'!B549, Data!B549, "ERROR")</f>
        <v>2025</v>
      </c>
      <c r="C549" s="8">
        <f>IF(Data!C549 = 'Point Intercept 2'!C549, Data!C549, "ERROR")</f>
        <v>45755</v>
      </c>
      <c r="D549" s="6" t="str">
        <f>IF(Data!D549 = 'Point Intercept 2'!D549, Data!D549, "ERROR")</f>
        <v>JC, TL</v>
      </c>
      <c r="E549" s="6" t="str">
        <f>IF(Data!E549 = 'Point Intercept 2'!E549, Data!E549, "ERROR")</f>
        <v>VB</v>
      </c>
      <c r="F549" s="6">
        <f>IF(Data!F549 = 'Point Intercept 2'!F549, Data!F549, "ERROR")</f>
        <v>3</v>
      </c>
      <c r="G549" s="6" t="str">
        <f>IF(Data!G549 = 'Point Intercept 2'!G549, Data!G549, "ERROR")</f>
        <v>SU</v>
      </c>
      <c r="H549" s="6">
        <f>IF(Data!I549 = 'Point Intercept 2'!I549, Data!I549, "ERROR")</f>
        <v>1</v>
      </c>
      <c r="I549" s="6">
        <f>IF(Data!H549 = 'Point Intercept 2'!H549, Data!H549, "ERROR")</f>
        <v>2</v>
      </c>
      <c r="J549" s="6">
        <f>IF(Data!J549 = 'Point Intercept 2'!J549, Data!J549, "ERROR")</f>
        <v>0</v>
      </c>
      <c r="K549" s="6" t="str">
        <f>IF(Data!K549 = 'Point Intercept 2'!K549, Data!K549, "ERROR")</f>
        <v>L</v>
      </c>
      <c r="L549" s="6" t="str">
        <f>IF(Data!L549 = 'Point Intercept 2'!L549, Data!L549, "ERROR")</f>
        <v>Litter</v>
      </c>
    </row>
    <row r="550" spans="1:12" x14ac:dyDescent="0.25">
      <c r="A550" s="6">
        <f>IF(Data!A550 = 'Point Intercept 2'!A550, Data!A550, "ERROR")</f>
        <v>6</v>
      </c>
      <c r="B550" s="6">
        <f>IF(Data!B550 = 'Point Intercept 2'!B550, Data!B550, "ERROR")</f>
        <v>2025</v>
      </c>
      <c r="C550" s="8">
        <f>IF(Data!C550 = 'Point Intercept 2'!C550, Data!C550, "ERROR")</f>
        <v>45755</v>
      </c>
      <c r="D550" s="6" t="str">
        <f>IF(Data!D550 = 'Point Intercept 2'!D550, Data!D550, "ERROR")</f>
        <v>JC, TL</v>
      </c>
      <c r="E550" s="6" t="str">
        <f>IF(Data!E550 = 'Point Intercept 2'!E550, Data!E550, "ERROR")</f>
        <v>VB</v>
      </c>
      <c r="F550" s="6">
        <f>IF(Data!F550 = 'Point Intercept 2'!F550, Data!F550, "ERROR")</f>
        <v>3</v>
      </c>
      <c r="G550" s="6" t="str">
        <f>IF(Data!G550 = 'Point Intercept 2'!G550, Data!G550, "ERROR")</f>
        <v>SU</v>
      </c>
      <c r="H550" s="6">
        <f>IF(Data!I550 = 'Point Intercept 2'!I550, Data!I550, "ERROR")</f>
        <v>1</v>
      </c>
      <c r="I550" s="6">
        <f>IF(Data!H550 = 'Point Intercept 2'!H550, Data!H550, "ERROR")</f>
        <v>2</v>
      </c>
      <c r="J550" s="6">
        <f>IF(Data!J550 = 'Point Intercept 2'!J550, Data!J550, "ERROR")</f>
        <v>0</v>
      </c>
      <c r="K550" s="6" t="str">
        <f>IF(Data!K550 = 'Point Intercept 2'!K550, Data!K550, "ERROR")</f>
        <v>DEIFAS</v>
      </c>
      <c r="L550" s="6" t="str">
        <f>IF(Data!L550 = 'Point Intercept 2'!L550, Data!L550, "ERROR")</f>
        <v>Deinandra fasciculata</v>
      </c>
    </row>
    <row r="551" spans="1:12" x14ac:dyDescent="0.25">
      <c r="A551" s="6">
        <f>IF(Data!A551 = 'Point Intercept 2'!A551, Data!A551, "ERROR")</f>
        <v>6</v>
      </c>
      <c r="B551" s="6">
        <f>IF(Data!B551 = 'Point Intercept 2'!B551, Data!B551, "ERROR")</f>
        <v>2025</v>
      </c>
      <c r="C551" s="8">
        <f>IF(Data!C551 = 'Point Intercept 2'!C551, Data!C551, "ERROR")</f>
        <v>45755</v>
      </c>
      <c r="D551" s="6" t="str">
        <f>IF(Data!D551 = 'Point Intercept 2'!D551, Data!D551, "ERROR")</f>
        <v>JC, TL</v>
      </c>
      <c r="E551" s="6" t="str">
        <f>IF(Data!E551 = 'Point Intercept 2'!E551, Data!E551, "ERROR")</f>
        <v>VB</v>
      </c>
      <c r="F551" s="6">
        <f>IF(Data!F551 = 'Point Intercept 2'!F551, Data!F551, "ERROR")</f>
        <v>3</v>
      </c>
      <c r="G551" s="6" t="str">
        <f>IF(Data!G551 = 'Point Intercept 2'!G551, Data!G551, "ERROR")</f>
        <v>SU</v>
      </c>
      <c r="H551" s="6">
        <f>IF(Data!I551 = 'Point Intercept 2'!I551, Data!I551, "ERROR")</f>
        <v>1</v>
      </c>
      <c r="I551" s="6">
        <f>IF(Data!H551 = 'Point Intercept 2'!H551, Data!H551, "ERROR")</f>
        <v>2</v>
      </c>
      <c r="J551" s="6">
        <f>IF(Data!J551 = 'Point Intercept 2'!J551, Data!J551, "ERROR")</f>
        <v>0</v>
      </c>
      <c r="K551" s="6" t="str">
        <f>IF(Data!K551 = 'Point Intercept 2'!K551, Data!K551, "ERROR")</f>
        <v>FESMYU</v>
      </c>
      <c r="L551" s="6" t="str">
        <f>IF(Data!L551 = 'Point Intercept 2'!L551, Data!L551, "ERROR")</f>
        <v>Festuca myuros</v>
      </c>
    </row>
    <row r="552" spans="1:12" x14ac:dyDescent="0.25">
      <c r="A552" s="6">
        <f>IF(Data!A552 = 'Point Intercept 2'!A552, Data!A552, "ERROR")</f>
        <v>6</v>
      </c>
      <c r="B552" s="6">
        <f>IF(Data!B552 = 'Point Intercept 2'!B552, Data!B552, "ERROR")</f>
        <v>2025</v>
      </c>
      <c r="C552" s="8">
        <f>IF(Data!C552 = 'Point Intercept 2'!C552, Data!C552, "ERROR")</f>
        <v>45755</v>
      </c>
      <c r="D552" s="6" t="str">
        <f>IF(Data!D552 = 'Point Intercept 2'!D552, Data!D552, "ERROR")</f>
        <v>JC, TL</v>
      </c>
      <c r="E552" s="6" t="str">
        <f>IF(Data!E552 = 'Point Intercept 2'!E552, Data!E552, "ERROR")</f>
        <v>VB</v>
      </c>
      <c r="F552" s="6">
        <f>IF(Data!F552 = 'Point Intercept 2'!F552, Data!F552, "ERROR")</f>
        <v>3</v>
      </c>
      <c r="G552" s="6" t="str">
        <f>IF(Data!G552 = 'Point Intercept 2'!G552, Data!G552, "ERROR")</f>
        <v>SU</v>
      </c>
      <c r="H552" s="6">
        <f>IF(Data!I552 = 'Point Intercept 2'!I552, Data!I552, "ERROR")</f>
        <v>2</v>
      </c>
      <c r="I552" s="6">
        <f>IF(Data!H552 = 'Point Intercept 2'!H552, Data!H552, "ERROR")</f>
        <v>2</v>
      </c>
      <c r="J552" s="6">
        <f>IF(Data!J552 = 'Point Intercept 2'!J552, Data!J552, "ERROR")</f>
        <v>1</v>
      </c>
      <c r="K552" s="6" t="str">
        <f>IF(Data!K552 = 'Point Intercept 2'!K552, Data!K552, "ERROR")</f>
        <v>L</v>
      </c>
      <c r="L552" s="6" t="str">
        <f>IF(Data!L552 = 'Point Intercept 2'!L552, Data!L552, "ERROR")</f>
        <v>Litter</v>
      </c>
    </row>
    <row r="553" spans="1:12" x14ac:dyDescent="0.25">
      <c r="A553" s="6">
        <f>IF(Data!A553 = 'Point Intercept 2'!A553, Data!A553, "ERROR")</f>
        <v>6</v>
      </c>
      <c r="B553" s="6">
        <f>IF(Data!B553 = 'Point Intercept 2'!B553, Data!B553, "ERROR")</f>
        <v>2025</v>
      </c>
      <c r="C553" s="8">
        <f>IF(Data!C553 = 'Point Intercept 2'!C553, Data!C553, "ERROR")</f>
        <v>45755</v>
      </c>
      <c r="D553" s="6" t="str">
        <f>IF(Data!D553 = 'Point Intercept 2'!D553, Data!D553, "ERROR")</f>
        <v>JC, TL</v>
      </c>
      <c r="E553" s="6" t="str">
        <f>IF(Data!E553 = 'Point Intercept 2'!E553, Data!E553, "ERROR")</f>
        <v>VB</v>
      </c>
      <c r="F553" s="6">
        <f>IF(Data!F553 = 'Point Intercept 2'!F553, Data!F553, "ERROR")</f>
        <v>3</v>
      </c>
      <c r="G553" s="6" t="str">
        <f>IF(Data!G553 = 'Point Intercept 2'!G553, Data!G553, "ERROR")</f>
        <v>SU</v>
      </c>
      <c r="H553" s="6">
        <f>IF(Data!I553 = 'Point Intercept 2'!I553, Data!I553, "ERROR")</f>
        <v>2</v>
      </c>
      <c r="I553" s="6">
        <f>IF(Data!H553 = 'Point Intercept 2'!H553, Data!H553, "ERROR")</f>
        <v>2</v>
      </c>
      <c r="J553" s="6">
        <f>IF(Data!J553 = 'Point Intercept 2'!J553, Data!J553, "ERROR")</f>
        <v>1</v>
      </c>
      <c r="K553" s="6" t="str">
        <f>IF(Data!K553 = 'Point Intercept 2'!K553, Data!K553, "ERROR")</f>
        <v>OPULIT</v>
      </c>
      <c r="L553" s="6" t="str">
        <f>IF(Data!L553 = 'Point Intercept 2'!L553, Data!L553, "ERROR")</f>
        <v>Opuntia littoralis</v>
      </c>
    </row>
    <row r="554" spans="1:12" x14ac:dyDescent="0.25">
      <c r="A554" s="6">
        <f>IF(Data!A554 = 'Point Intercept 2'!A554, Data!A554, "ERROR")</f>
        <v>6</v>
      </c>
      <c r="B554" s="6">
        <f>IF(Data!B554 = 'Point Intercept 2'!B554, Data!B554, "ERROR")</f>
        <v>2025</v>
      </c>
      <c r="C554" s="8">
        <f>IF(Data!C554 = 'Point Intercept 2'!C554, Data!C554, "ERROR")</f>
        <v>45755</v>
      </c>
      <c r="D554" s="6" t="str">
        <f>IF(Data!D554 = 'Point Intercept 2'!D554, Data!D554, "ERROR")</f>
        <v>JC, TL</v>
      </c>
      <c r="E554" s="6" t="str">
        <f>IF(Data!E554 = 'Point Intercept 2'!E554, Data!E554, "ERROR")</f>
        <v>VB</v>
      </c>
      <c r="F554" s="6">
        <f>IF(Data!F554 = 'Point Intercept 2'!F554, Data!F554, "ERROR")</f>
        <v>3</v>
      </c>
      <c r="G554" s="6" t="str">
        <f>IF(Data!G554 = 'Point Intercept 2'!G554, Data!G554, "ERROR")</f>
        <v>SU</v>
      </c>
      <c r="H554" s="6">
        <f>IF(Data!I554 = 'Point Intercept 2'!I554, Data!I554, "ERROR")</f>
        <v>2</v>
      </c>
      <c r="I554" s="6">
        <f>IF(Data!H554 = 'Point Intercept 2'!H554, Data!H554, "ERROR")</f>
        <v>2</v>
      </c>
      <c r="J554" s="6">
        <f>IF(Data!J554 = 'Point Intercept 2'!J554, Data!J554, "ERROR")</f>
        <v>1</v>
      </c>
      <c r="K554" s="6" t="str">
        <f>IF(Data!K554 = 'Point Intercept 2'!K554, Data!K554, "ERROR")</f>
        <v>SONOLE</v>
      </c>
      <c r="L554" s="6" t="str">
        <f>IF(Data!L554 = 'Point Intercept 2'!L554, Data!L554, "ERROR")</f>
        <v>Sonchus oleraceus</v>
      </c>
    </row>
    <row r="555" spans="1:12" x14ac:dyDescent="0.25">
      <c r="A555" s="6">
        <f>IF(Data!A555 = 'Point Intercept 2'!A555, Data!A555, "ERROR")</f>
        <v>6</v>
      </c>
      <c r="B555" s="6">
        <f>IF(Data!B555 = 'Point Intercept 2'!B555, Data!B555, "ERROR")</f>
        <v>2025</v>
      </c>
      <c r="C555" s="8">
        <f>IF(Data!C555 = 'Point Intercept 2'!C555, Data!C555, "ERROR")</f>
        <v>45755</v>
      </c>
      <c r="D555" s="6" t="str">
        <f>IF(Data!D555 = 'Point Intercept 2'!D555, Data!D555, "ERROR")</f>
        <v>JC, TL</v>
      </c>
      <c r="E555" s="6" t="str">
        <f>IF(Data!E555 = 'Point Intercept 2'!E555, Data!E555, "ERROR")</f>
        <v>VB</v>
      </c>
      <c r="F555" s="6">
        <f>IF(Data!F555 = 'Point Intercept 2'!F555, Data!F555, "ERROR")</f>
        <v>3</v>
      </c>
      <c r="G555" s="6" t="str">
        <f>IF(Data!G555 = 'Point Intercept 2'!G555, Data!G555, "ERROR")</f>
        <v>SU</v>
      </c>
      <c r="H555" s="6">
        <f>IF(Data!I555 = 'Point Intercept 2'!I555, Data!I555, "ERROR")</f>
        <v>2</v>
      </c>
      <c r="I555" s="6">
        <f>IF(Data!H555 = 'Point Intercept 2'!H555, Data!H555, "ERROR")</f>
        <v>2</v>
      </c>
      <c r="J555" s="6">
        <f>IF(Data!J555 = 'Point Intercept 2'!J555, Data!J555, "ERROR")</f>
        <v>1</v>
      </c>
      <c r="K555" s="6" t="str">
        <f>IF(Data!K555 = 'Point Intercept 2'!K555, Data!K555, "ERROR")</f>
        <v>FESMYU</v>
      </c>
      <c r="L555" s="6" t="str">
        <f>IF(Data!L555 = 'Point Intercept 2'!L555, Data!L555, "ERROR")</f>
        <v>Festuca myuros</v>
      </c>
    </row>
    <row r="556" spans="1:12" x14ac:dyDescent="0.25">
      <c r="A556" s="6">
        <f>IF(Data!A556 = 'Point Intercept 2'!A556, Data!A556, "ERROR")</f>
        <v>6</v>
      </c>
      <c r="B556" s="6">
        <f>IF(Data!B556 = 'Point Intercept 2'!B556, Data!B556, "ERROR")</f>
        <v>2025</v>
      </c>
      <c r="C556" s="8">
        <f>IF(Data!C556 = 'Point Intercept 2'!C556, Data!C556, "ERROR")</f>
        <v>45755</v>
      </c>
      <c r="D556" s="6" t="str">
        <f>IF(Data!D556 = 'Point Intercept 2'!D556, Data!D556, "ERROR")</f>
        <v>JC, TL</v>
      </c>
      <c r="E556" s="6" t="str">
        <f>IF(Data!E556 = 'Point Intercept 2'!E556, Data!E556, "ERROR")</f>
        <v>VB</v>
      </c>
      <c r="F556" s="6">
        <f>IF(Data!F556 = 'Point Intercept 2'!F556, Data!F556, "ERROR")</f>
        <v>3</v>
      </c>
      <c r="G556" s="6" t="str">
        <f>IF(Data!G556 = 'Point Intercept 2'!G556, Data!G556, "ERROR")</f>
        <v>SU</v>
      </c>
      <c r="H556" s="6">
        <f>IF(Data!I556 = 'Point Intercept 2'!I556, Data!I556, "ERROR")</f>
        <v>3</v>
      </c>
      <c r="I556" s="6">
        <f>IF(Data!H556 = 'Point Intercept 2'!H556, Data!H556, "ERROR")</f>
        <v>2</v>
      </c>
      <c r="J556" s="6">
        <f>IF(Data!J556 = 'Point Intercept 2'!J556, Data!J556, "ERROR")</f>
        <v>1.5</v>
      </c>
      <c r="K556" s="6" t="str">
        <f>IF(Data!K556 = 'Point Intercept 2'!K556, Data!K556, "ERROR")</f>
        <v>L</v>
      </c>
      <c r="L556" s="6" t="str">
        <f>IF(Data!L556 = 'Point Intercept 2'!L556, Data!L556, "ERROR")</f>
        <v>Litter</v>
      </c>
    </row>
    <row r="557" spans="1:12" x14ac:dyDescent="0.25">
      <c r="A557" s="6">
        <f>IF(Data!A557 = 'Point Intercept 2'!A557, Data!A557, "ERROR")</f>
        <v>6</v>
      </c>
      <c r="B557" s="6">
        <f>IF(Data!B557 = 'Point Intercept 2'!B557, Data!B557, "ERROR")</f>
        <v>2025</v>
      </c>
      <c r="C557" s="8">
        <f>IF(Data!C557 = 'Point Intercept 2'!C557, Data!C557, "ERROR")</f>
        <v>45755</v>
      </c>
      <c r="D557" s="6" t="str">
        <f>IF(Data!D557 = 'Point Intercept 2'!D557, Data!D557, "ERROR")</f>
        <v>JC, TL</v>
      </c>
      <c r="E557" s="6" t="str">
        <f>IF(Data!E557 = 'Point Intercept 2'!E557, Data!E557, "ERROR")</f>
        <v>VB</v>
      </c>
      <c r="F557" s="6">
        <f>IF(Data!F557 = 'Point Intercept 2'!F557, Data!F557, "ERROR")</f>
        <v>3</v>
      </c>
      <c r="G557" s="6" t="str">
        <f>IF(Data!G557 = 'Point Intercept 2'!G557, Data!G557, "ERROR")</f>
        <v>SU</v>
      </c>
      <c r="H557" s="6">
        <f>IF(Data!I557 = 'Point Intercept 2'!I557, Data!I557, "ERROR")</f>
        <v>3</v>
      </c>
      <c r="I557" s="6">
        <f>IF(Data!H557 = 'Point Intercept 2'!H557, Data!H557, "ERROR")</f>
        <v>2</v>
      </c>
      <c r="J557" s="6">
        <f>IF(Data!J557 = 'Point Intercept 2'!J557, Data!J557, "ERROR")</f>
        <v>1.5</v>
      </c>
      <c r="K557" s="6" t="str">
        <f>IF(Data!K557 = 'Point Intercept 2'!K557, Data!K557, "ERROR")</f>
        <v>SONOLE</v>
      </c>
      <c r="L557" s="6" t="str">
        <f>IF(Data!L557 = 'Point Intercept 2'!L557, Data!L557, "ERROR")</f>
        <v>Sonchus oleraceus</v>
      </c>
    </row>
    <row r="558" spans="1:12" x14ac:dyDescent="0.25">
      <c r="A558" s="6">
        <f>IF(Data!A558 = 'Point Intercept 2'!A558, Data!A558, "ERROR")</f>
        <v>6</v>
      </c>
      <c r="B558" s="6">
        <f>IF(Data!B558 = 'Point Intercept 2'!B558, Data!B558, "ERROR")</f>
        <v>2025</v>
      </c>
      <c r="C558" s="8">
        <f>IF(Data!C558 = 'Point Intercept 2'!C558, Data!C558, "ERROR")</f>
        <v>45755</v>
      </c>
      <c r="D558" s="6" t="str">
        <f>IF(Data!D558 = 'Point Intercept 2'!D558, Data!D558, "ERROR")</f>
        <v>JC, TL</v>
      </c>
      <c r="E558" s="6" t="str">
        <f>IF(Data!E558 = 'Point Intercept 2'!E558, Data!E558, "ERROR")</f>
        <v>VB</v>
      </c>
      <c r="F558" s="6">
        <f>IF(Data!F558 = 'Point Intercept 2'!F558, Data!F558, "ERROR")</f>
        <v>3</v>
      </c>
      <c r="G558" s="6" t="str">
        <f>IF(Data!G558 = 'Point Intercept 2'!G558, Data!G558, "ERROR")</f>
        <v>SU</v>
      </c>
      <c r="H558" s="6">
        <f>IF(Data!I558 = 'Point Intercept 2'!I558, Data!I558, "ERROR")</f>
        <v>3</v>
      </c>
      <c r="I558" s="6">
        <f>IF(Data!H558 = 'Point Intercept 2'!H558, Data!H558, "ERROR")</f>
        <v>2</v>
      </c>
      <c r="J558" s="6">
        <f>IF(Data!J558 = 'Point Intercept 2'!J558, Data!J558, "ERROR")</f>
        <v>1.5</v>
      </c>
      <c r="K558" s="6" t="str">
        <f>IF(Data!K558 = 'Point Intercept 2'!K558, Data!K558, "ERROR")</f>
        <v>FESMYU</v>
      </c>
      <c r="L558" s="6" t="str">
        <f>IF(Data!L558 = 'Point Intercept 2'!L558, Data!L558, "ERROR")</f>
        <v>Festuca myuros</v>
      </c>
    </row>
    <row r="559" spans="1:12" x14ac:dyDescent="0.25">
      <c r="A559" s="6">
        <f>IF(Data!A559 = 'Point Intercept 2'!A559, Data!A559, "ERROR")</f>
        <v>6</v>
      </c>
      <c r="B559" s="6">
        <f>IF(Data!B559 = 'Point Intercept 2'!B559, Data!B559, "ERROR")</f>
        <v>2025</v>
      </c>
      <c r="C559" s="8">
        <f>IF(Data!C559 = 'Point Intercept 2'!C559, Data!C559, "ERROR")</f>
        <v>45755</v>
      </c>
      <c r="D559" s="6" t="str">
        <f>IF(Data!D559 = 'Point Intercept 2'!D559, Data!D559, "ERROR")</f>
        <v>JC, TL</v>
      </c>
      <c r="E559" s="6" t="str">
        <f>IF(Data!E559 = 'Point Intercept 2'!E559, Data!E559, "ERROR")</f>
        <v>VB</v>
      </c>
      <c r="F559" s="6">
        <f>IF(Data!F559 = 'Point Intercept 2'!F559, Data!F559, "ERROR")</f>
        <v>3</v>
      </c>
      <c r="G559" s="6" t="str">
        <f>IF(Data!G559 = 'Point Intercept 2'!G559, Data!G559, "ERROR")</f>
        <v>SU</v>
      </c>
      <c r="H559" s="6">
        <f>IF(Data!I559 = 'Point Intercept 2'!I559, Data!I559, "ERROR")</f>
        <v>3</v>
      </c>
      <c r="I559" s="6">
        <f>IF(Data!H559 = 'Point Intercept 2'!H559, Data!H559, "ERROR")</f>
        <v>2</v>
      </c>
      <c r="J559" s="6">
        <f>IF(Data!J559 = 'Point Intercept 2'!J559, Data!J559, "ERROR")</f>
        <v>1.5</v>
      </c>
      <c r="K559" s="6" t="str">
        <f>IF(Data!K559 = 'Point Intercept 2'!K559, Data!K559, "ERROR")</f>
        <v>DAUPUS</v>
      </c>
      <c r="L559" s="6" t="str">
        <f>IF(Data!L559 = 'Point Intercept 2'!L559, Data!L559, "ERROR")</f>
        <v>Daucus pusillus</v>
      </c>
    </row>
    <row r="560" spans="1:12" x14ac:dyDescent="0.25">
      <c r="A560" s="6">
        <f>IF(Data!A560 = 'Point Intercept 2'!A560, Data!A560, "ERROR")</f>
        <v>6</v>
      </c>
      <c r="B560" s="6">
        <f>IF(Data!B560 = 'Point Intercept 2'!B560, Data!B560, "ERROR")</f>
        <v>2025</v>
      </c>
      <c r="C560" s="8">
        <f>IF(Data!C560 = 'Point Intercept 2'!C560, Data!C560, "ERROR")</f>
        <v>45755</v>
      </c>
      <c r="D560" s="6" t="str">
        <f>IF(Data!D560 = 'Point Intercept 2'!D560, Data!D560, "ERROR")</f>
        <v>JC, TL</v>
      </c>
      <c r="E560" s="6" t="str">
        <f>IF(Data!E560 = 'Point Intercept 2'!E560, Data!E560, "ERROR")</f>
        <v>VB</v>
      </c>
      <c r="F560" s="6">
        <f>IF(Data!F560 = 'Point Intercept 2'!F560, Data!F560, "ERROR")</f>
        <v>3</v>
      </c>
      <c r="G560" s="6" t="str">
        <f>IF(Data!G560 = 'Point Intercept 2'!G560, Data!G560, "ERROR")</f>
        <v>SU</v>
      </c>
      <c r="H560" s="6">
        <f>IF(Data!I560 = 'Point Intercept 2'!I560, Data!I560, "ERROR")</f>
        <v>4</v>
      </c>
      <c r="I560" s="6">
        <f>IF(Data!H560 = 'Point Intercept 2'!H560, Data!H560, "ERROR")</f>
        <v>2</v>
      </c>
      <c r="J560" s="6">
        <f>IF(Data!J560 = 'Point Intercept 2'!J560, Data!J560, "ERROR")</f>
        <v>2</v>
      </c>
      <c r="K560" s="6" t="str">
        <f>IF(Data!K560 = 'Point Intercept 2'!K560, Data!K560, "ERROR")</f>
        <v>L</v>
      </c>
      <c r="L560" s="6" t="str">
        <f>IF(Data!L560 = 'Point Intercept 2'!L560, Data!L560, "ERROR")</f>
        <v>Litter</v>
      </c>
    </row>
    <row r="561" spans="1:12" x14ac:dyDescent="0.25">
      <c r="A561" s="6">
        <f>IF(Data!A561 = 'Point Intercept 2'!A561, Data!A561, "ERROR")</f>
        <v>6</v>
      </c>
      <c r="B561" s="6">
        <f>IF(Data!B561 = 'Point Intercept 2'!B561, Data!B561, "ERROR")</f>
        <v>2025</v>
      </c>
      <c r="C561" s="8">
        <f>IF(Data!C561 = 'Point Intercept 2'!C561, Data!C561, "ERROR")</f>
        <v>45755</v>
      </c>
      <c r="D561" s="6" t="str">
        <f>IF(Data!D561 = 'Point Intercept 2'!D561, Data!D561, "ERROR")</f>
        <v>JC, TL</v>
      </c>
      <c r="E561" s="6" t="str">
        <f>IF(Data!E561 = 'Point Intercept 2'!E561, Data!E561, "ERROR")</f>
        <v>VB</v>
      </c>
      <c r="F561" s="6">
        <f>IF(Data!F561 = 'Point Intercept 2'!F561, Data!F561, "ERROR")</f>
        <v>3</v>
      </c>
      <c r="G561" s="6" t="str">
        <f>IF(Data!G561 = 'Point Intercept 2'!G561, Data!G561, "ERROR")</f>
        <v>SU</v>
      </c>
      <c r="H561" s="6">
        <f>IF(Data!I561 = 'Point Intercept 2'!I561, Data!I561, "ERROR")</f>
        <v>4</v>
      </c>
      <c r="I561" s="6">
        <f>IF(Data!H561 = 'Point Intercept 2'!H561, Data!H561, "ERROR")</f>
        <v>2</v>
      </c>
      <c r="J561" s="6">
        <f>IF(Data!J561 = 'Point Intercept 2'!J561, Data!J561, "ERROR")</f>
        <v>2</v>
      </c>
      <c r="K561" s="6" t="str">
        <f>IF(Data!K561 = 'Point Intercept 2'!K561, Data!K561, "ERROR")</f>
        <v>SONOLE</v>
      </c>
      <c r="L561" s="6" t="str">
        <f>IF(Data!L561 = 'Point Intercept 2'!L561, Data!L561, "ERROR")</f>
        <v>Sonchus oleraceus</v>
      </c>
    </row>
    <row r="562" spans="1:12" x14ac:dyDescent="0.25">
      <c r="A562" s="6">
        <f>IF(Data!A562 = 'Point Intercept 2'!A562, Data!A562, "ERROR")</f>
        <v>6</v>
      </c>
      <c r="B562" s="6">
        <f>IF(Data!B562 = 'Point Intercept 2'!B562, Data!B562, "ERROR")</f>
        <v>2025</v>
      </c>
      <c r="C562" s="8">
        <f>IF(Data!C562 = 'Point Intercept 2'!C562, Data!C562, "ERROR")</f>
        <v>45755</v>
      </c>
      <c r="D562" s="6" t="str">
        <f>IF(Data!D562 = 'Point Intercept 2'!D562, Data!D562, "ERROR")</f>
        <v>JC, TL</v>
      </c>
      <c r="E562" s="6" t="str">
        <f>IF(Data!E562 = 'Point Intercept 2'!E562, Data!E562, "ERROR")</f>
        <v>VB</v>
      </c>
      <c r="F562" s="6">
        <f>IF(Data!F562 = 'Point Intercept 2'!F562, Data!F562, "ERROR")</f>
        <v>3</v>
      </c>
      <c r="G562" s="6" t="str">
        <f>IF(Data!G562 = 'Point Intercept 2'!G562, Data!G562, "ERROR")</f>
        <v>SU</v>
      </c>
      <c r="H562" s="6">
        <f>IF(Data!I562 = 'Point Intercept 2'!I562, Data!I562, "ERROR")</f>
        <v>5</v>
      </c>
      <c r="I562" s="6">
        <f>IF(Data!H562 = 'Point Intercept 2'!H562, Data!H562, "ERROR")</f>
        <v>2</v>
      </c>
      <c r="J562" s="6">
        <f>IF(Data!J562 = 'Point Intercept 2'!J562, Data!J562, "ERROR")</f>
        <v>3</v>
      </c>
      <c r="K562" s="6" t="str">
        <f>IF(Data!K562 = 'Point Intercept 2'!K562, Data!K562, "ERROR")</f>
        <v>L</v>
      </c>
      <c r="L562" s="6" t="str">
        <f>IF(Data!L562 = 'Point Intercept 2'!L562, Data!L562, "ERROR")</f>
        <v>Litter</v>
      </c>
    </row>
    <row r="563" spans="1:12" x14ac:dyDescent="0.25">
      <c r="A563" s="6">
        <f>IF(Data!A563 = 'Point Intercept 2'!A563, Data!A563, "ERROR")</f>
        <v>6</v>
      </c>
      <c r="B563" s="6">
        <f>IF(Data!B563 = 'Point Intercept 2'!B563, Data!B563, "ERROR")</f>
        <v>2025</v>
      </c>
      <c r="C563" s="8">
        <f>IF(Data!C563 = 'Point Intercept 2'!C563, Data!C563, "ERROR")</f>
        <v>45755</v>
      </c>
      <c r="D563" s="6" t="str">
        <f>IF(Data!D563 = 'Point Intercept 2'!D563, Data!D563, "ERROR")</f>
        <v>JC, TL</v>
      </c>
      <c r="E563" s="6" t="str">
        <f>IF(Data!E563 = 'Point Intercept 2'!E563, Data!E563, "ERROR")</f>
        <v>VB</v>
      </c>
      <c r="F563" s="6">
        <f>IF(Data!F563 = 'Point Intercept 2'!F563, Data!F563, "ERROR")</f>
        <v>3</v>
      </c>
      <c r="G563" s="6" t="str">
        <f>IF(Data!G563 = 'Point Intercept 2'!G563, Data!G563, "ERROR")</f>
        <v>SU</v>
      </c>
      <c r="H563" s="6">
        <f>IF(Data!I563 = 'Point Intercept 2'!I563, Data!I563, "ERROR")</f>
        <v>5</v>
      </c>
      <c r="I563" s="6">
        <f>IF(Data!H563 = 'Point Intercept 2'!H563, Data!H563, "ERROR")</f>
        <v>2</v>
      </c>
      <c r="J563" s="6">
        <f>IF(Data!J563 = 'Point Intercept 2'!J563, Data!J563, "ERROR")</f>
        <v>3</v>
      </c>
      <c r="K563" s="6" t="str">
        <f>IF(Data!K563 = 'Point Intercept 2'!K563, Data!K563, "ERROR")</f>
        <v>MEDPOL</v>
      </c>
      <c r="L563" s="6" t="str">
        <f>IF(Data!L563 = 'Point Intercept 2'!L563, Data!L563, "ERROR")</f>
        <v>Medicago polymorpha</v>
      </c>
    </row>
    <row r="564" spans="1:12" x14ac:dyDescent="0.25">
      <c r="A564" s="6">
        <f>IF(Data!A564 = 'Point Intercept 2'!A564, Data!A564, "ERROR")</f>
        <v>6</v>
      </c>
      <c r="B564" s="6">
        <f>IF(Data!B564 = 'Point Intercept 2'!B564, Data!B564, "ERROR")</f>
        <v>2025</v>
      </c>
      <c r="C564" s="8">
        <f>IF(Data!C564 = 'Point Intercept 2'!C564, Data!C564, "ERROR")</f>
        <v>45755</v>
      </c>
      <c r="D564" s="6" t="str">
        <f>IF(Data!D564 = 'Point Intercept 2'!D564, Data!D564, "ERROR")</f>
        <v>JC, TL</v>
      </c>
      <c r="E564" s="6" t="str">
        <f>IF(Data!E564 = 'Point Intercept 2'!E564, Data!E564, "ERROR")</f>
        <v>VB</v>
      </c>
      <c r="F564" s="6">
        <f>IF(Data!F564 = 'Point Intercept 2'!F564, Data!F564, "ERROR")</f>
        <v>3</v>
      </c>
      <c r="G564" s="6" t="str">
        <f>IF(Data!G564 = 'Point Intercept 2'!G564, Data!G564, "ERROR")</f>
        <v>SU</v>
      </c>
      <c r="H564" s="6">
        <f>IF(Data!I564 = 'Point Intercept 2'!I564, Data!I564, "ERROR")</f>
        <v>5</v>
      </c>
      <c r="I564" s="6">
        <f>IF(Data!H564 = 'Point Intercept 2'!H564, Data!H564, "ERROR")</f>
        <v>2</v>
      </c>
      <c r="J564" s="6">
        <f>IF(Data!J564 = 'Point Intercept 2'!J564, Data!J564, "ERROR")</f>
        <v>3</v>
      </c>
      <c r="K564" s="6" t="str">
        <f>IF(Data!K564 = 'Point Intercept 2'!K564, Data!K564, "ERROR")</f>
        <v>FESMYU</v>
      </c>
      <c r="L564" s="6" t="str">
        <f>IF(Data!L564 = 'Point Intercept 2'!L564, Data!L564, "ERROR")</f>
        <v>Festuca myuros</v>
      </c>
    </row>
    <row r="565" spans="1:12" x14ac:dyDescent="0.25">
      <c r="A565" s="6">
        <f>IF(Data!A565 = 'Point Intercept 2'!A565, Data!A565, "ERROR")</f>
        <v>6</v>
      </c>
      <c r="B565" s="6">
        <f>IF(Data!B565 = 'Point Intercept 2'!B565, Data!B565, "ERROR")</f>
        <v>2025</v>
      </c>
      <c r="C565" s="8">
        <f>IF(Data!C565 = 'Point Intercept 2'!C565, Data!C565, "ERROR")</f>
        <v>45755</v>
      </c>
      <c r="D565" s="6" t="str">
        <f>IF(Data!D565 = 'Point Intercept 2'!D565, Data!D565, "ERROR")</f>
        <v>JC, TL</v>
      </c>
      <c r="E565" s="6" t="str">
        <f>IF(Data!E565 = 'Point Intercept 2'!E565, Data!E565, "ERROR")</f>
        <v>VB</v>
      </c>
      <c r="F565" s="6">
        <f>IF(Data!F565 = 'Point Intercept 2'!F565, Data!F565, "ERROR")</f>
        <v>3</v>
      </c>
      <c r="G565" s="6" t="str">
        <f>IF(Data!G565 = 'Point Intercept 2'!G565, Data!G565, "ERROR")</f>
        <v>SU</v>
      </c>
      <c r="H565" s="6">
        <f>IF(Data!I565 = 'Point Intercept 2'!I565, Data!I565, "ERROR")</f>
        <v>6</v>
      </c>
      <c r="I565" s="6">
        <f>IF(Data!H565 = 'Point Intercept 2'!H565, Data!H565, "ERROR")</f>
        <v>2</v>
      </c>
      <c r="J565" s="6">
        <f>IF(Data!J565 = 'Point Intercept 2'!J565, Data!J565, "ERROR")</f>
        <v>3.5</v>
      </c>
      <c r="K565" s="6" t="str">
        <f>IF(Data!K565 = 'Point Intercept 2'!K565, Data!K565, "ERROR")</f>
        <v>L</v>
      </c>
      <c r="L565" s="6" t="str">
        <f>IF(Data!L565 = 'Point Intercept 2'!L565, Data!L565, "ERROR")</f>
        <v>Litter</v>
      </c>
    </row>
    <row r="566" spans="1:12" x14ac:dyDescent="0.25">
      <c r="A566" s="6">
        <f>IF(Data!A566 = 'Point Intercept 2'!A566, Data!A566, "ERROR")</f>
        <v>6</v>
      </c>
      <c r="B566" s="6">
        <f>IF(Data!B566 = 'Point Intercept 2'!B566, Data!B566, "ERROR")</f>
        <v>2025</v>
      </c>
      <c r="C566" s="8">
        <f>IF(Data!C566 = 'Point Intercept 2'!C566, Data!C566, "ERROR")</f>
        <v>45755</v>
      </c>
      <c r="D566" s="6" t="str">
        <f>IF(Data!D566 = 'Point Intercept 2'!D566, Data!D566, "ERROR")</f>
        <v>JC, TL</v>
      </c>
      <c r="E566" s="6" t="str">
        <f>IF(Data!E566 = 'Point Intercept 2'!E566, Data!E566, "ERROR")</f>
        <v>VB</v>
      </c>
      <c r="F566" s="6">
        <f>IF(Data!F566 = 'Point Intercept 2'!F566, Data!F566, "ERROR")</f>
        <v>3</v>
      </c>
      <c r="G566" s="6" t="str">
        <f>IF(Data!G566 = 'Point Intercept 2'!G566, Data!G566, "ERROR")</f>
        <v>SU</v>
      </c>
      <c r="H566" s="6">
        <f>IF(Data!I566 = 'Point Intercept 2'!I566, Data!I566, "ERROR")</f>
        <v>6</v>
      </c>
      <c r="I566" s="6">
        <f>IF(Data!H566 = 'Point Intercept 2'!H566, Data!H566, "ERROR")</f>
        <v>2</v>
      </c>
      <c r="J566" s="6">
        <f>IF(Data!J566 = 'Point Intercept 2'!J566, Data!J566, "ERROR")</f>
        <v>3.5</v>
      </c>
      <c r="K566" s="6" t="str">
        <f>IF(Data!K566 = 'Point Intercept 2'!K566, Data!K566, "ERROR")</f>
        <v>CRACON</v>
      </c>
      <c r="L566" s="6" t="str">
        <f>IF(Data!L566 = 'Point Intercept 2'!L566, Data!L566, "ERROR")</f>
        <v>Crassula connata</v>
      </c>
    </row>
    <row r="567" spans="1:12" x14ac:dyDescent="0.25">
      <c r="A567" s="6">
        <f>IF(Data!A567 = 'Point Intercept 2'!A567, Data!A567, "ERROR")</f>
        <v>6</v>
      </c>
      <c r="B567" s="6">
        <f>IF(Data!B567 = 'Point Intercept 2'!B567, Data!B567, "ERROR")</f>
        <v>2025</v>
      </c>
      <c r="C567" s="8">
        <f>IF(Data!C567 = 'Point Intercept 2'!C567, Data!C567, "ERROR")</f>
        <v>45755</v>
      </c>
      <c r="D567" s="6" t="str">
        <f>IF(Data!D567 = 'Point Intercept 2'!D567, Data!D567, "ERROR")</f>
        <v>JC, TL</v>
      </c>
      <c r="E567" s="6" t="str">
        <f>IF(Data!E567 = 'Point Intercept 2'!E567, Data!E567, "ERROR")</f>
        <v>VB</v>
      </c>
      <c r="F567" s="6">
        <f>IF(Data!F567 = 'Point Intercept 2'!F567, Data!F567, "ERROR")</f>
        <v>3</v>
      </c>
      <c r="G567" s="6" t="str">
        <f>IF(Data!G567 = 'Point Intercept 2'!G567, Data!G567, "ERROR")</f>
        <v>SU</v>
      </c>
      <c r="H567" s="6">
        <f>IF(Data!I567 = 'Point Intercept 2'!I567, Data!I567, "ERROR")</f>
        <v>6</v>
      </c>
      <c r="I567" s="6">
        <f>IF(Data!H567 = 'Point Intercept 2'!H567, Data!H567, "ERROR")</f>
        <v>2</v>
      </c>
      <c r="J567" s="6">
        <f>IF(Data!J567 = 'Point Intercept 2'!J567, Data!J567, "ERROR")</f>
        <v>3.5</v>
      </c>
      <c r="K567" s="6" t="str">
        <f>IF(Data!K567 = 'Point Intercept 2'!K567, Data!K567, "ERROR")</f>
        <v>SONOLE</v>
      </c>
      <c r="L567" s="6" t="str">
        <f>IF(Data!L567 = 'Point Intercept 2'!L567, Data!L567, "ERROR")</f>
        <v>Sonchus oleraceus</v>
      </c>
    </row>
    <row r="568" spans="1:12" x14ac:dyDescent="0.25">
      <c r="A568" s="6">
        <f>IF(Data!A568 = 'Point Intercept 2'!A568, Data!A568, "ERROR")</f>
        <v>6</v>
      </c>
      <c r="B568" s="6">
        <f>IF(Data!B568 = 'Point Intercept 2'!B568, Data!B568, "ERROR")</f>
        <v>2025</v>
      </c>
      <c r="C568" s="8">
        <f>IF(Data!C568 = 'Point Intercept 2'!C568, Data!C568, "ERROR")</f>
        <v>45755</v>
      </c>
      <c r="D568" s="6" t="str">
        <f>IF(Data!D568 = 'Point Intercept 2'!D568, Data!D568, "ERROR")</f>
        <v>JC, TL</v>
      </c>
      <c r="E568" s="6" t="str">
        <f>IF(Data!E568 = 'Point Intercept 2'!E568, Data!E568, "ERROR")</f>
        <v>VB</v>
      </c>
      <c r="F568" s="6">
        <f>IF(Data!F568 = 'Point Intercept 2'!F568, Data!F568, "ERROR")</f>
        <v>3</v>
      </c>
      <c r="G568" s="6" t="str">
        <f>IF(Data!G568 = 'Point Intercept 2'!G568, Data!G568, "ERROR")</f>
        <v>SU</v>
      </c>
      <c r="H568" s="6">
        <f>IF(Data!I568 = 'Point Intercept 2'!I568, Data!I568, "ERROR")</f>
        <v>6</v>
      </c>
      <c r="I568" s="6">
        <f>IF(Data!H568 = 'Point Intercept 2'!H568, Data!H568, "ERROR")</f>
        <v>2</v>
      </c>
      <c r="J568" s="6">
        <f>IF(Data!J568 = 'Point Intercept 2'!J568, Data!J568, "ERROR")</f>
        <v>3.5</v>
      </c>
      <c r="K568" s="6" t="str">
        <f>IF(Data!K568 = 'Point Intercept 2'!K568, Data!K568, "ERROR")</f>
        <v>FESMYU</v>
      </c>
      <c r="L568" s="6" t="str">
        <f>IF(Data!L568 = 'Point Intercept 2'!L568, Data!L568, "ERROR")</f>
        <v>Festuca myuros</v>
      </c>
    </row>
    <row r="569" spans="1:12" x14ac:dyDescent="0.25">
      <c r="A569" s="6">
        <f>IF(Data!A569 = 'Point Intercept 2'!A569, Data!A569, "ERROR")</f>
        <v>6</v>
      </c>
      <c r="B569" s="6">
        <f>IF(Data!B569 = 'Point Intercept 2'!B569, Data!B569, "ERROR")</f>
        <v>2025</v>
      </c>
      <c r="C569" s="8">
        <f>IF(Data!C569 = 'Point Intercept 2'!C569, Data!C569, "ERROR")</f>
        <v>45755</v>
      </c>
      <c r="D569" s="6" t="str">
        <f>IF(Data!D569 = 'Point Intercept 2'!D569, Data!D569, "ERROR")</f>
        <v>JC, TL</v>
      </c>
      <c r="E569" s="6" t="str">
        <f>IF(Data!E569 = 'Point Intercept 2'!E569, Data!E569, "ERROR")</f>
        <v>VB</v>
      </c>
      <c r="F569" s="6">
        <f>IF(Data!F569 = 'Point Intercept 2'!F569, Data!F569, "ERROR")</f>
        <v>3</v>
      </c>
      <c r="G569" s="6" t="str">
        <f>IF(Data!G569 = 'Point Intercept 2'!G569, Data!G569, "ERROR")</f>
        <v>SU</v>
      </c>
      <c r="H569" s="6">
        <f>IF(Data!I569 = 'Point Intercept 2'!I569, Data!I569, "ERROR")</f>
        <v>7</v>
      </c>
      <c r="I569" s="6">
        <f>IF(Data!H569 = 'Point Intercept 2'!H569, Data!H569, "ERROR")</f>
        <v>2</v>
      </c>
      <c r="J569" s="6">
        <f>IF(Data!J569 = 'Point Intercept 2'!J569, Data!J569, "ERROR")</f>
        <v>4</v>
      </c>
      <c r="K569" s="6" t="str">
        <f>IF(Data!K569 = 'Point Intercept 2'!K569, Data!K569, "ERROR")</f>
        <v>B</v>
      </c>
      <c r="L569" s="6" t="str">
        <f>IF(Data!L569 = 'Point Intercept 2'!L569, Data!L569, "ERROR")</f>
        <v>Bareground</v>
      </c>
    </row>
    <row r="570" spans="1:12" x14ac:dyDescent="0.25">
      <c r="A570" s="6">
        <f>IF(Data!A570 = 'Point Intercept 2'!A570, Data!A570, "ERROR")</f>
        <v>6</v>
      </c>
      <c r="B570" s="6">
        <f>IF(Data!B570 = 'Point Intercept 2'!B570, Data!B570, "ERROR")</f>
        <v>2025</v>
      </c>
      <c r="C570" s="8">
        <f>IF(Data!C570 = 'Point Intercept 2'!C570, Data!C570, "ERROR")</f>
        <v>45755</v>
      </c>
      <c r="D570" s="6" t="str">
        <f>IF(Data!D570 = 'Point Intercept 2'!D570, Data!D570, "ERROR")</f>
        <v>JC, TL</v>
      </c>
      <c r="E570" s="6" t="str">
        <f>IF(Data!E570 = 'Point Intercept 2'!E570, Data!E570, "ERROR")</f>
        <v>VB</v>
      </c>
      <c r="F570" s="6">
        <f>IF(Data!F570 = 'Point Intercept 2'!F570, Data!F570, "ERROR")</f>
        <v>3</v>
      </c>
      <c r="G570" s="6" t="str">
        <f>IF(Data!G570 = 'Point Intercept 2'!G570, Data!G570, "ERROR")</f>
        <v>SU</v>
      </c>
      <c r="H570" s="6">
        <f>IF(Data!I570 = 'Point Intercept 2'!I570, Data!I570, "ERROR")</f>
        <v>7</v>
      </c>
      <c r="I570" s="6">
        <f>IF(Data!H570 = 'Point Intercept 2'!H570, Data!H570, "ERROR")</f>
        <v>2</v>
      </c>
      <c r="J570" s="6">
        <f>IF(Data!J570 = 'Point Intercept 2'!J570, Data!J570, "ERROR")</f>
        <v>4</v>
      </c>
      <c r="K570" s="6" t="str">
        <f>IF(Data!K570 = 'Point Intercept 2'!K570, Data!K570, "ERROR")</f>
        <v>SONOLE</v>
      </c>
      <c r="L570" s="6" t="str">
        <f>IF(Data!L570 = 'Point Intercept 2'!L570, Data!L570, "ERROR")</f>
        <v>Sonchus oleraceus</v>
      </c>
    </row>
    <row r="571" spans="1:12" x14ac:dyDescent="0.25">
      <c r="A571" s="6">
        <f>IF(Data!A571 = 'Point Intercept 2'!A571, Data!A571, "ERROR")</f>
        <v>6</v>
      </c>
      <c r="B571" s="6">
        <f>IF(Data!B571 = 'Point Intercept 2'!B571, Data!B571, "ERROR")</f>
        <v>2025</v>
      </c>
      <c r="C571" s="8">
        <f>IF(Data!C571 = 'Point Intercept 2'!C571, Data!C571, "ERROR")</f>
        <v>45755</v>
      </c>
      <c r="D571" s="6" t="str">
        <f>IF(Data!D571 = 'Point Intercept 2'!D571, Data!D571, "ERROR")</f>
        <v>JC, TL</v>
      </c>
      <c r="E571" s="6" t="str">
        <f>IF(Data!E571 = 'Point Intercept 2'!E571, Data!E571, "ERROR")</f>
        <v>VB</v>
      </c>
      <c r="F571" s="6">
        <f>IF(Data!F571 = 'Point Intercept 2'!F571, Data!F571, "ERROR")</f>
        <v>3</v>
      </c>
      <c r="G571" s="6" t="str">
        <f>IF(Data!G571 = 'Point Intercept 2'!G571, Data!G571, "ERROR")</f>
        <v>SU</v>
      </c>
      <c r="H571" s="6">
        <f>IF(Data!I571 = 'Point Intercept 2'!I571, Data!I571, "ERROR")</f>
        <v>7</v>
      </c>
      <c r="I571" s="6">
        <f>IF(Data!H571 = 'Point Intercept 2'!H571, Data!H571, "ERROR")</f>
        <v>2</v>
      </c>
      <c r="J571" s="6">
        <f>IF(Data!J571 = 'Point Intercept 2'!J571, Data!J571, "ERROR")</f>
        <v>4</v>
      </c>
      <c r="K571" s="6" t="str">
        <f>IF(Data!K571 = 'Point Intercept 2'!K571, Data!K571, "ERROR")</f>
        <v>FESMYU</v>
      </c>
      <c r="L571" s="6" t="str">
        <f>IF(Data!L571 = 'Point Intercept 2'!L571, Data!L571, "ERROR")</f>
        <v>Festuca myuros</v>
      </c>
    </row>
    <row r="572" spans="1:12" x14ac:dyDescent="0.25">
      <c r="A572" s="6">
        <f>IF(Data!A572 = 'Point Intercept 2'!A572, Data!A572, "ERROR")</f>
        <v>6</v>
      </c>
      <c r="B572" s="6">
        <f>IF(Data!B572 = 'Point Intercept 2'!B572, Data!B572, "ERROR")</f>
        <v>2025</v>
      </c>
      <c r="C572" s="8">
        <f>IF(Data!C572 = 'Point Intercept 2'!C572, Data!C572, "ERROR")</f>
        <v>45755</v>
      </c>
      <c r="D572" s="6" t="str">
        <f>IF(Data!D572 = 'Point Intercept 2'!D572, Data!D572, "ERROR")</f>
        <v>JC, TL</v>
      </c>
      <c r="E572" s="6" t="str">
        <f>IF(Data!E572 = 'Point Intercept 2'!E572, Data!E572, "ERROR")</f>
        <v>VB</v>
      </c>
      <c r="F572" s="6">
        <f>IF(Data!F572 = 'Point Intercept 2'!F572, Data!F572, "ERROR")</f>
        <v>3</v>
      </c>
      <c r="G572" s="6" t="str">
        <f>IF(Data!G572 = 'Point Intercept 2'!G572, Data!G572, "ERROR")</f>
        <v>SU</v>
      </c>
      <c r="H572" s="6">
        <f>IF(Data!I572 = 'Point Intercept 2'!I572, Data!I572, "ERROR")</f>
        <v>8</v>
      </c>
      <c r="I572" s="6">
        <f>IF(Data!H572 = 'Point Intercept 2'!H572, Data!H572, "ERROR")</f>
        <v>2</v>
      </c>
      <c r="J572" s="6">
        <f>IF(Data!J572 = 'Point Intercept 2'!J572, Data!J572, "ERROR")</f>
        <v>5</v>
      </c>
      <c r="K572" s="6" t="str">
        <f>IF(Data!K572 = 'Point Intercept 2'!K572, Data!K572, "ERROR")</f>
        <v>L</v>
      </c>
      <c r="L572" s="6" t="str">
        <f>IF(Data!L572 = 'Point Intercept 2'!L572, Data!L572, "ERROR")</f>
        <v>Litter</v>
      </c>
    </row>
    <row r="573" spans="1:12" x14ac:dyDescent="0.25">
      <c r="A573" s="6">
        <f>IF(Data!A573 = 'Point Intercept 2'!A573, Data!A573, "ERROR")</f>
        <v>6</v>
      </c>
      <c r="B573" s="6">
        <f>IF(Data!B573 = 'Point Intercept 2'!B573, Data!B573, "ERROR")</f>
        <v>2025</v>
      </c>
      <c r="C573" s="8">
        <f>IF(Data!C573 = 'Point Intercept 2'!C573, Data!C573, "ERROR")</f>
        <v>45755</v>
      </c>
      <c r="D573" s="6" t="str">
        <f>IF(Data!D573 = 'Point Intercept 2'!D573, Data!D573, "ERROR")</f>
        <v>JC, TL</v>
      </c>
      <c r="E573" s="6" t="str">
        <f>IF(Data!E573 = 'Point Intercept 2'!E573, Data!E573, "ERROR")</f>
        <v>VB</v>
      </c>
      <c r="F573" s="6">
        <f>IF(Data!F573 = 'Point Intercept 2'!F573, Data!F573, "ERROR")</f>
        <v>3</v>
      </c>
      <c r="G573" s="6" t="str">
        <f>IF(Data!G573 = 'Point Intercept 2'!G573, Data!G573, "ERROR")</f>
        <v>SU</v>
      </c>
      <c r="H573" s="6">
        <f>IF(Data!I573 = 'Point Intercept 2'!I573, Data!I573, "ERROR")</f>
        <v>8</v>
      </c>
      <c r="I573" s="6">
        <f>IF(Data!H573 = 'Point Intercept 2'!H573, Data!H573, "ERROR")</f>
        <v>2</v>
      </c>
      <c r="J573" s="6">
        <f>IF(Data!J573 = 'Point Intercept 2'!J573, Data!J573, "ERROR")</f>
        <v>5</v>
      </c>
      <c r="K573" s="6" t="str">
        <f>IF(Data!K573 = 'Point Intercept 2'!K573, Data!K573, "ERROR")</f>
        <v>FESMYU</v>
      </c>
      <c r="L573" s="6" t="str">
        <f>IF(Data!L573 = 'Point Intercept 2'!L573, Data!L573, "ERROR")</f>
        <v>Festuca myuros</v>
      </c>
    </row>
    <row r="574" spans="1:12" x14ac:dyDescent="0.25">
      <c r="A574" s="6">
        <f>IF(Data!A574 = 'Point Intercept 2'!A574, Data!A574, "ERROR")</f>
        <v>6</v>
      </c>
      <c r="B574" s="6">
        <f>IF(Data!B574 = 'Point Intercept 2'!B574, Data!B574, "ERROR")</f>
        <v>2025</v>
      </c>
      <c r="C574" s="8">
        <f>IF(Data!C574 = 'Point Intercept 2'!C574, Data!C574, "ERROR")</f>
        <v>45755</v>
      </c>
      <c r="D574" s="6" t="str">
        <f>IF(Data!D574 = 'Point Intercept 2'!D574, Data!D574, "ERROR")</f>
        <v>JC, TL</v>
      </c>
      <c r="E574" s="6" t="str">
        <f>IF(Data!E574 = 'Point Intercept 2'!E574, Data!E574, "ERROR")</f>
        <v>VB</v>
      </c>
      <c r="F574" s="6">
        <f>IF(Data!F574 = 'Point Intercept 2'!F574, Data!F574, "ERROR")</f>
        <v>3</v>
      </c>
      <c r="G574" s="6" t="str">
        <f>IF(Data!G574 = 'Point Intercept 2'!G574, Data!G574, "ERROR")</f>
        <v>SU</v>
      </c>
      <c r="H574" s="6">
        <f>IF(Data!I574 = 'Point Intercept 2'!I574, Data!I574, "ERROR")</f>
        <v>9</v>
      </c>
      <c r="I574" s="6">
        <f>IF(Data!H574 = 'Point Intercept 2'!H574, Data!H574, "ERROR")</f>
        <v>2</v>
      </c>
      <c r="J574" s="6">
        <f>IF(Data!J574 = 'Point Intercept 2'!J574, Data!J574, "ERROR")</f>
        <v>7</v>
      </c>
      <c r="K574" s="6" t="str">
        <f>IF(Data!K574 = 'Point Intercept 2'!K574, Data!K574, "ERROR")</f>
        <v>L</v>
      </c>
      <c r="L574" s="6" t="str">
        <f>IF(Data!L574 = 'Point Intercept 2'!L574, Data!L574, "ERROR")</f>
        <v>Litter</v>
      </c>
    </row>
    <row r="575" spans="1:12" x14ac:dyDescent="0.25">
      <c r="A575" s="6">
        <f>IF(Data!A575 = 'Point Intercept 2'!A575, Data!A575, "ERROR")</f>
        <v>6</v>
      </c>
      <c r="B575" s="6">
        <f>IF(Data!B575 = 'Point Intercept 2'!B575, Data!B575, "ERROR")</f>
        <v>2025</v>
      </c>
      <c r="C575" s="8">
        <f>IF(Data!C575 = 'Point Intercept 2'!C575, Data!C575, "ERROR")</f>
        <v>45755</v>
      </c>
      <c r="D575" s="6" t="str">
        <f>IF(Data!D575 = 'Point Intercept 2'!D575, Data!D575, "ERROR")</f>
        <v>JC, TL</v>
      </c>
      <c r="E575" s="6" t="str">
        <f>IF(Data!E575 = 'Point Intercept 2'!E575, Data!E575, "ERROR")</f>
        <v>VB</v>
      </c>
      <c r="F575" s="6">
        <f>IF(Data!F575 = 'Point Intercept 2'!F575, Data!F575, "ERROR")</f>
        <v>3</v>
      </c>
      <c r="G575" s="6" t="str">
        <f>IF(Data!G575 = 'Point Intercept 2'!G575, Data!G575, "ERROR")</f>
        <v>SU</v>
      </c>
      <c r="H575" s="6">
        <f>IF(Data!I575 = 'Point Intercept 2'!I575, Data!I575, "ERROR")</f>
        <v>9</v>
      </c>
      <c r="I575" s="6">
        <f>IF(Data!H575 = 'Point Intercept 2'!H575, Data!H575, "ERROR")</f>
        <v>2</v>
      </c>
      <c r="J575" s="6">
        <f>IF(Data!J575 = 'Point Intercept 2'!J575, Data!J575, "ERROR")</f>
        <v>7</v>
      </c>
      <c r="K575" s="6" t="str">
        <f>IF(Data!K575 = 'Point Intercept 2'!K575, Data!K575, "ERROR")</f>
        <v>EROCIC</v>
      </c>
      <c r="L575" s="6" t="str">
        <f>IF(Data!L575 = 'Point Intercept 2'!L575, Data!L575, "ERROR")</f>
        <v>Erodium cicutarium</v>
      </c>
    </row>
    <row r="576" spans="1:12" x14ac:dyDescent="0.25">
      <c r="A576" s="6">
        <f>IF(Data!A576 = 'Point Intercept 2'!A576, Data!A576, "ERROR")</f>
        <v>6</v>
      </c>
      <c r="B576" s="6">
        <f>IF(Data!B576 = 'Point Intercept 2'!B576, Data!B576, "ERROR")</f>
        <v>2025</v>
      </c>
      <c r="C576" s="8">
        <f>IF(Data!C576 = 'Point Intercept 2'!C576, Data!C576, "ERROR")</f>
        <v>45755</v>
      </c>
      <c r="D576" s="6" t="str">
        <f>IF(Data!D576 = 'Point Intercept 2'!D576, Data!D576, "ERROR")</f>
        <v>JC, TL</v>
      </c>
      <c r="E576" s="6" t="str">
        <f>IF(Data!E576 = 'Point Intercept 2'!E576, Data!E576, "ERROR")</f>
        <v>VB</v>
      </c>
      <c r="F576" s="6">
        <f>IF(Data!F576 = 'Point Intercept 2'!F576, Data!F576, "ERROR")</f>
        <v>3</v>
      </c>
      <c r="G576" s="6" t="str">
        <f>IF(Data!G576 = 'Point Intercept 2'!G576, Data!G576, "ERROR")</f>
        <v>SU</v>
      </c>
      <c r="H576" s="6">
        <f>IF(Data!I576 = 'Point Intercept 2'!I576, Data!I576, "ERROR")</f>
        <v>9</v>
      </c>
      <c r="I576" s="6">
        <f>IF(Data!H576 = 'Point Intercept 2'!H576, Data!H576, "ERROR")</f>
        <v>2</v>
      </c>
      <c r="J576" s="6">
        <f>IF(Data!J576 = 'Point Intercept 2'!J576, Data!J576, "ERROR")</f>
        <v>7</v>
      </c>
      <c r="K576" s="6" t="str">
        <f>IF(Data!K576 = 'Point Intercept 2'!K576, Data!K576, "ERROR")</f>
        <v>DEIFAS</v>
      </c>
      <c r="L576" s="6" t="str">
        <f>IF(Data!L576 = 'Point Intercept 2'!L576, Data!L576, "ERROR")</f>
        <v>Deinandra fasciculata</v>
      </c>
    </row>
    <row r="577" spans="1:12" x14ac:dyDescent="0.25">
      <c r="A577" s="6">
        <f>IF(Data!A577 = 'Point Intercept 2'!A577, Data!A577, "ERROR")</f>
        <v>6</v>
      </c>
      <c r="B577" s="6">
        <f>IF(Data!B577 = 'Point Intercept 2'!B577, Data!B577, "ERROR")</f>
        <v>2025</v>
      </c>
      <c r="C577" s="8">
        <f>IF(Data!C577 = 'Point Intercept 2'!C577, Data!C577, "ERROR")</f>
        <v>45755</v>
      </c>
      <c r="D577" s="6" t="str">
        <f>IF(Data!D577 = 'Point Intercept 2'!D577, Data!D577, "ERROR")</f>
        <v>JC, TL</v>
      </c>
      <c r="E577" s="6" t="str">
        <f>IF(Data!E577 = 'Point Intercept 2'!E577, Data!E577, "ERROR")</f>
        <v>VB</v>
      </c>
      <c r="F577" s="6">
        <f>IF(Data!F577 = 'Point Intercept 2'!F577, Data!F577, "ERROR")</f>
        <v>3</v>
      </c>
      <c r="G577" s="6" t="str">
        <f>IF(Data!G577 = 'Point Intercept 2'!G577, Data!G577, "ERROR")</f>
        <v>SU</v>
      </c>
      <c r="H577" s="6">
        <f>IF(Data!I577 = 'Point Intercept 2'!I577, Data!I577, "ERROR")</f>
        <v>9</v>
      </c>
      <c r="I577" s="6">
        <f>IF(Data!H577 = 'Point Intercept 2'!H577, Data!H577, "ERROR")</f>
        <v>2</v>
      </c>
      <c r="J577" s="6">
        <f>IF(Data!J577 = 'Point Intercept 2'!J577, Data!J577, "ERROR")</f>
        <v>7</v>
      </c>
      <c r="K577" s="6" t="str">
        <f>IF(Data!K577 = 'Point Intercept 2'!K577, Data!K577, "ERROR")</f>
        <v>FESMYU</v>
      </c>
      <c r="L577" s="6" t="str">
        <f>IF(Data!L577 = 'Point Intercept 2'!L577, Data!L577, "ERROR")</f>
        <v>Festuca myuros</v>
      </c>
    </row>
    <row r="578" spans="1:12" x14ac:dyDescent="0.25">
      <c r="A578" s="6">
        <f>IF(Data!A578 = 'Point Intercept 2'!A578, Data!A578, "ERROR")</f>
        <v>6</v>
      </c>
      <c r="B578" s="6">
        <f>IF(Data!B578 = 'Point Intercept 2'!B578, Data!B578, "ERROR")</f>
        <v>2025</v>
      </c>
      <c r="C578" s="8">
        <f>IF(Data!C578 = 'Point Intercept 2'!C578, Data!C578, "ERROR")</f>
        <v>45755</v>
      </c>
      <c r="D578" s="6" t="str">
        <f>IF(Data!D578 = 'Point Intercept 2'!D578, Data!D578, "ERROR")</f>
        <v>JC, TL</v>
      </c>
      <c r="E578" s="6" t="str">
        <f>IF(Data!E578 = 'Point Intercept 2'!E578, Data!E578, "ERROR")</f>
        <v>VB</v>
      </c>
      <c r="F578" s="6">
        <f>IF(Data!F578 = 'Point Intercept 2'!F578, Data!F578, "ERROR")</f>
        <v>3</v>
      </c>
      <c r="G578" s="6" t="str">
        <f>IF(Data!G578 = 'Point Intercept 2'!G578, Data!G578, "ERROR")</f>
        <v>SU</v>
      </c>
      <c r="H578" s="6">
        <f>IF(Data!I578 = 'Point Intercept 2'!I578, Data!I578, "ERROR")</f>
        <v>10</v>
      </c>
      <c r="I578" s="6">
        <f>IF(Data!H578 = 'Point Intercept 2'!H578, Data!H578, "ERROR")</f>
        <v>2</v>
      </c>
      <c r="J578" s="6">
        <f>IF(Data!J578 = 'Point Intercept 2'!J578, Data!J578, "ERROR")</f>
        <v>8</v>
      </c>
      <c r="K578" s="6" t="str">
        <f>IF(Data!K578 = 'Point Intercept 2'!K578, Data!K578, "ERROR")</f>
        <v>L</v>
      </c>
      <c r="L578" s="6" t="str">
        <f>IF(Data!L578 = 'Point Intercept 2'!L578, Data!L578, "ERROR")</f>
        <v>Litter</v>
      </c>
    </row>
    <row r="579" spans="1:12" x14ac:dyDescent="0.25">
      <c r="A579" s="6">
        <f>IF(Data!A579 = 'Point Intercept 2'!A579, Data!A579, "ERROR")</f>
        <v>6</v>
      </c>
      <c r="B579" s="6">
        <f>IF(Data!B579 = 'Point Intercept 2'!B579, Data!B579, "ERROR")</f>
        <v>2025</v>
      </c>
      <c r="C579" s="8">
        <f>IF(Data!C579 = 'Point Intercept 2'!C579, Data!C579, "ERROR")</f>
        <v>45755</v>
      </c>
      <c r="D579" s="6" t="str">
        <f>IF(Data!D579 = 'Point Intercept 2'!D579, Data!D579, "ERROR")</f>
        <v>JC, TL</v>
      </c>
      <c r="E579" s="6" t="str">
        <f>IF(Data!E579 = 'Point Intercept 2'!E579, Data!E579, "ERROR")</f>
        <v>VB</v>
      </c>
      <c r="F579" s="6">
        <f>IF(Data!F579 = 'Point Intercept 2'!F579, Data!F579, "ERROR")</f>
        <v>3</v>
      </c>
      <c r="G579" s="6" t="str">
        <f>IF(Data!G579 = 'Point Intercept 2'!G579, Data!G579, "ERROR")</f>
        <v>SU</v>
      </c>
      <c r="H579" s="6">
        <f>IF(Data!I579 = 'Point Intercept 2'!I579, Data!I579, "ERROR")</f>
        <v>10</v>
      </c>
      <c r="I579" s="6">
        <f>IF(Data!H579 = 'Point Intercept 2'!H579, Data!H579, "ERROR")</f>
        <v>2</v>
      </c>
      <c r="J579" s="6">
        <f>IF(Data!J579 = 'Point Intercept 2'!J579, Data!J579, "ERROR")</f>
        <v>8</v>
      </c>
      <c r="K579" s="6" t="str">
        <f>IF(Data!K579 = 'Point Intercept 2'!K579, Data!K579, "ERROR")</f>
        <v>FESMYU</v>
      </c>
      <c r="L579" s="6" t="str">
        <f>IF(Data!L579 = 'Point Intercept 2'!L579, Data!L579, "ERROR")</f>
        <v>Festuca myuros</v>
      </c>
    </row>
    <row r="580" spans="1:12" x14ac:dyDescent="0.25">
      <c r="A580" s="6">
        <f>IF(Data!A580 = 'Point Intercept 2'!A580, Data!A580, "ERROR")</f>
        <v>6</v>
      </c>
      <c r="B580" s="6">
        <f>IF(Data!B580 = 'Point Intercept 2'!B580, Data!B580, "ERROR")</f>
        <v>2025</v>
      </c>
      <c r="C580" s="8">
        <f>IF(Data!C580 = 'Point Intercept 2'!C580, Data!C580, "ERROR")</f>
        <v>45755</v>
      </c>
      <c r="D580" s="6" t="str">
        <f>IF(Data!D580 = 'Point Intercept 2'!D580, Data!D580, "ERROR")</f>
        <v>JC, TL</v>
      </c>
      <c r="E580" s="6" t="str">
        <f>IF(Data!E580 = 'Point Intercept 2'!E580, Data!E580, "ERROR")</f>
        <v>VB</v>
      </c>
      <c r="F580" s="6">
        <f>IF(Data!F580 = 'Point Intercept 2'!F580, Data!F580, "ERROR")</f>
        <v>3</v>
      </c>
      <c r="G580" s="6" t="str">
        <f>IF(Data!G580 = 'Point Intercept 2'!G580, Data!G580, "ERROR")</f>
        <v>SU</v>
      </c>
      <c r="H580" s="6">
        <f>IF(Data!I580 = 'Point Intercept 2'!I580, Data!I580, "ERROR")</f>
        <v>11</v>
      </c>
      <c r="I580" s="6">
        <f>IF(Data!H580 = 'Point Intercept 2'!H580, Data!H580, "ERROR")</f>
        <v>2</v>
      </c>
      <c r="J580" s="6">
        <f>IF(Data!J580 = 'Point Intercept 2'!J580, Data!J580, "ERROR")</f>
        <v>8.5</v>
      </c>
      <c r="K580" s="6" t="str">
        <f>IF(Data!K580 = 'Point Intercept 2'!K580, Data!K580, "ERROR")</f>
        <v>B</v>
      </c>
      <c r="L580" s="6" t="str">
        <f>IF(Data!L580 = 'Point Intercept 2'!L580, Data!L580, "ERROR")</f>
        <v>Bareground</v>
      </c>
    </row>
    <row r="581" spans="1:12" x14ac:dyDescent="0.25">
      <c r="A581" s="6">
        <f>IF(Data!A581 = 'Point Intercept 2'!A581, Data!A581, "ERROR")</f>
        <v>6</v>
      </c>
      <c r="B581" s="6">
        <f>IF(Data!B581 = 'Point Intercept 2'!B581, Data!B581, "ERROR")</f>
        <v>2025</v>
      </c>
      <c r="C581" s="8">
        <f>IF(Data!C581 = 'Point Intercept 2'!C581, Data!C581, "ERROR")</f>
        <v>45755</v>
      </c>
      <c r="D581" s="6" t="str">
        <f>IF(Data!D581 = 'Point Intercept 2'!D581, Data!D581, "ERROR")</f>
        <v>JC, TL</v>
      </c>
      <c r="E581" s="6" t="str">
        <f>IF(Data!E581 = 'Point Intercept 2'!E581, Data!E581, "ERROR")</f>
        <v>VB</v>
      </c>
      <c r="F581" s="6">
        <f>IF(Data!F581 = 'Point Intercept 2'!F581, Data!F581, "ERROR")</f>
        <v>3</v>
      </c>
      <c r="G581" s="6" t="str">
        <f>IF(Data!G581 = 'Point Intercept 2'!G581, Data!G581, "ERROR")</f>
        <v>SU</v>
      </c>
      <c r="H581" s="6">
        <f>IF(Data!I581 = 'Point Intercept 2'!I581, Data!I581, "ERROR")</f>
        <v>11</v>
      </c>
      <c r="I581" s="6">
        <f>IF(Data!H581 = 'Point Intercept 2'!H581, Data!H581, "ERROR")</f>
        <v>2</v>
      </c>
      <c r="J581" s="6">
        <f>IF(Data!J581 = 'Point Intercept 2'!J581, Data!J581, "ERROR")</f>
        <v>8.5</v>
      </c>
      <c r="K581" s="6" t="str">
        <f>IF(Data!K581 = 'Point Intercept 2'!K581, Data!K581, "ERROR")</f>
        <v>FESMYU</v>
      </c>
      <c r="L581" s="6" t="str">
        <f>IF(Data!L581 = 'Point Intercept 2'!L581, Data!L581, "ERROR")</f>
        <v>Festuca myuros</v>
      </c>
    </row>
    <row r="582" spans="1:12" x14ac:dyDescent="0.25">
      <c r="A582" s="6">
        <f>IF(Data!A582 = 'Point Intercept 2'!A582, Data!A582, "ERROR")</f>
        <v>6</v>
      </c>
      <c r="B582" s="6">
        <f>IF(Data!B582 = 'Point Intercept 2'!B582, Data!B582, "ERROR")</f>
        <v>2025</v>
      </c>
      <c r="C582" s="8">
        <f>IF(Data!C582 = 'Point Intercept 2'!C582, Data!C582, "ERROR")</f>
        <v>45755</v>
      </c>
      <c r="D582" s="6" t="str">
        <f>IF(Data!D582 = 'Point Intercept 2'!D582, Data!D582, "ERROR")</f>
        <v>JC, TL</v>
      </c>
      <c r="E582" s="6" t="str">
        <f>IF(Data!E582 = 'Point Intercept 2'!E582, Data!E582, "ERROR")</f>
        <v>VB</v>
      </c>
      <c r="F582" s="6">
        <f>IF(Data!F582 = 'Point Intercept 2'!F582, Data!F582, "ERROR")</f>
        <v>3</v>
      </c>
      <c r="G582" s="6" t="str">
        <f>IF(Data!G582 = 'Point Intercept 2'!G582, Data!G582, "ERROR")</f>
        <v>SU</v>
      </c>
      <c r="H582" s="6">
        <f>IF(Data!I582 = 'Point Intercept 2'!I582, Data!I582, "ERROR")</f>
        <v>12</v>
      </c>
      <c r="I582" s="6">
        <f>IF(Data!H582 = 'Point Intercept 2'!H582, Data!H582, "ERROR")</f>
        <v>2</v>
      </c>
      <c r="J582" s="6">
        <f>IF(Data!J582 = 'Point Intercept 2'!J582, Data!J582, "ERROR")</f>
        <v>9</v>
      </c>
      <c r="K582" s="6" t="str">
        <f>IF(Data!K582 = 'Point Intercept 2'!K582, Data!K582, "ERROR")</f>
        <v>L</v>
      </c>
      <c r="L582" s="6" t="str">
        <f>IF(Data!L582 = 'Point Intercept 2'!L582, Data!L582, "ERROR")</f>
        <v>Litter</v>
      </c>
    </row>
    <row r="583" spans="1:12" x14ac:dyDescent="0.25">
      <c r="A583" s="6">
        <f>IF(Data!A583 = 'Point Intercept 2'!A583, Data!A583, "ERROR")</f>
        <v>6</v>
      </c>
      <c r="B583" s="6">
        <f>IF(Data!B583 = 'Point Intercept 2'!B583, Data!B583, "ERROR")</f>
        <v>2025</v>
      </c>
      <c r="C583" s="8">
        <f>IF(Data!C583 = 'Point Intercept 2'!C583, Data!C583, "ERROR")</f>
        <v>45755</v>
      </c>
      <c r="D583" s="6" t="str">
        <f>IF(Data!D583 = 'Point Intercept 2'!D583, Data!D583, "ERROR")</f>
        <v>JC, TL</v>
      </c>
      <c r="E583" s="6" t="str">
        <f>IF(Data!E583 = 'Point Intercept 2'!E583, Data!E583, "ERROR")</f>
        <v>VB</v>
      </c>
      <c r="F583" s="6">
        <f>IF(Data!F583 = 'Point Intercept 2'!F583, Data!F583, "ERROR")</f>
        <v>3</v>
      </c>
      <c r="G583" s="6" t="str">
        <f>IF(Data!G583 = 'Point Intercept 2'!G583, Data!G583, "ERROR")</f>
        <v>SU</v>
      </c>
      <c r="H583" s="6">
        <f>IF(Data!I583 = 'Point Intercept 2'!I583, Data!I583, "ERROR")</f>
        <v>12</v>
      </c>
      <c r="I583" s="6">
        <f>IF(Data!H583 = 'Point Intercept 2'!H583, Data!H583, "ERROR")</f>
        <v>2</v>
      </c>
      <c r="J583" s="6">
        <f>IF(Data!J583 = 'Point Intercept 2'!J583, Data!J583, "ERROR")</f>
        <v>9</v>
      </c>
      <c r="K583" s="6" t="str">
        <f>IF(Data!K583 = 'Point Intercept 2'!K583, Data!K583, "ERROR")</f>
        <v>DEIFAS</v>
      </c>
      <c r="L583" s="6" t="str">
        <f>IF(Data!L583 = 'Point Intercept 2'!L583, Data!L583, "ERROR")</f>
        <v>Deinandra fasciculata</v>
      </c>
    </row>
    <row r="584" spans="1:12" x14ac:dyDescent="0.25">
      <c r="A584" s="6">
        <f>IF(Data!A584 = 'Point Intercept 2'!A584, Data!A584, "ERROR")</f>
        <v>6</v>
      </c>
      <c r="B584" s="6">
        <f>IF(Data!B584 = 'Point Intercept 2'!B584, Data!B584, "ERROR")</f>
        <v>2025</v>
      </c>
      <c r="C584" s="8">
        <f>IF(Data!C584 = 'Point Intercept 2'!C584, Data!C584, "ERROR")</f>
        <v>45755</v>
      </c>
      <c r="D584" s="6" t="str">
        <f>IF(Data!D584 = 'Point Intercept 2'!D584, Data!D584, "ERROR")</f>
        <v>JC, TL</v>
      </c>
      <c r="E584" s="6" t="str">
        <f>IF(Data!E584 = 'Point Intercept 2'!E584, Data!E584, "ERROR")</f>
        <v>VB</v>
      </c>
      <c r="F584" s="6">
        <f>IF(Data!F584 = 'Point Intercept 2'!F584, Data!F584, "ERROR")</f>
        <v>3</v>
      </c>
      <c r="G584" s="6" t="str">
        <f>IF(Data!G584 = 'Point Intercept 2'!G584, Data!G584, "ERROR")</f>
        <v>SU</v>
      </c>
      <c r="H584" s="6">
        <f>IF(Data!I584 = 'Point Intercept 2'!I584, Data!I584, "ERROR")</f>
        <v>13</v>
      </c>
      <c r="I584" s="6">
        <f>IF(Data!H584 = 'Point Intercept 2'!H584, Data!H584, "ERROR")</f>
        <v>2</v>
      </c>
      <c r="J584" s="6">
        <f>IF(Data!J584 = 'Point Intercept 2'!J584, Data!J584, "ERROR")</f>
        <v>10</v>
      </c>
      <c r="K584" s="6" t="str">
        <f>IF(Data!K584 = 'Point Intercept 2'!K584, Data!K584, "ERROR")</f>
        <v>L</v>
      </c>
      <c r="L584" s="6" t="str">
        <f>IF(Data!L584 = 'Point Intercept 2'!L584, Data!L584, "ERROR")</f>
        <v>Litter</v>
      </c>
    </row>
    <row r="585" spans="1:12" x14ac:dyDescent="0.25">
      <c r="A585" s="6">
        <f>IF(Data!A585 = 'Point Intercept 2'!A585, Data!A585, "ERROR")</f>
        <v>6</v>
      </c>
      <c r="B585" s="6">
        <f>IF(Data!B585 = 'Point Intercept 2'!B585, Data!B585, "ERROR")</f>
        <v>2025</v>
      </c>
      <c r="C585" s="8">
        <f>IF(Data!C585 = 'Point Intercept 2'!C585, Data!C585, "ERROR")</f>
        <v>45755</v>
      </c>
      <c r="D585" s="6" t="str">
        <f>IF(Data!D585 = 'Point Intercept 2'!D585, Data!D585, "ERROR")</f>
        <v>JC, TL</v>
      </c>
      <c r="E585" s="6" t="str">
        <f>IF(Data!E585 = 'Point Intercept 2'!E585, Data!E585, "ERROR")</f>
        <v>VB</v>
      </c>
      <c r="F585" s="6">
        <f>IF(Data!F585 = 'Point Intercept 2'!F585, Data!F585, "ERROR")</f>
        <v>3</v>
      </c>
      <c r="G585" s="6" t="str">
        <f>IF(Data!G585 = 'Point Intercept 2'!G585, Data!G585, "ERROR")</f>
        <v>SU</v>
      </c>
      <c r="H585" s="6">
        <f>IF(Data!I585 = 'Point Intercept 2'!I585, Data!I585, "ERROR")</f>
        <v>13</v>
      </c>
      <c r="I585" s="6">
        <f>IF(Data!H585 = 'Point Intercept 2'!H585, Data!H585, "ERROR")</f>
        <v>2</v>
      </c>
      <c r="J585" s="6">
        <f>IF(Data!J585 = 'Point Intercept 2'!J585, Data!J585, "ERROR")</f>
        <v>10</v>
      </c>
      <c r="K585" s="6" t="str">
        <f>IF(Data!K585 = 'Point Intercept 2'!K585, Data!K585, "ERROR")</f>
        <v>FESMYU</v>
      </c>
      <c r="L585" s="6" t="str">
        <f>IF(Data!L585 = 'Point Intercept 2'!L585, Data!L585, "ERROR")</f>
        <v>Festuca myuros</v>
      </c>
    </row>
    <row r="586" spans="1:12" x14ac:dyDescent="0.25">
      <c r="A586" s="6">
        <f>IF(Data!A586 = 'Point Intercept 2'!A586, Data!A586, "ERROR")</f>
        <v>6</v>
      </c>
      <c r="B586" s="6">
        <f>IF(Data!B586 = 'Point Intercept 2'!B586, Data!B586, "ERROR")</f>
        <v>2025</v>
      </c>
      <c r="C586" s="8">
        <f>IF(Data!C586 = 'Point Intercept 2'!C586, Data!C586, "ERROR")</f>
        <v>45755</v>
      </c>
      <c r="D586" s="6" t="str">
        <f>IF(Data!D586 = 'Point Intercept 2'!D586, Data!D586, "ERROR")</f>
        <v>JC, TL</v>
      </c>
      <c r="E586" s="6" t="str">
        <f>IF(Data!E586 = 'Point Intercept 2'!E586, Data!E586, "ERROR")</f>
        <v>VB</v>
      </c>
      <c r="F586" s="6">
        <f>IF(Data!F586 = 'Point Intercept 2'!F586, Data!F586, "ERROR")</f>
        <v>3</v>
      </c>
      <c r="G586" s="6" t="str">
        <f>IF(Data!G586 = 'Point Intercept 2'!G586, Data!G586, "ERROR")</f>
        <v>SU</v>
      </c>
      <c r="H586" s="6">
        <f>IF(Data!I586 = 'Point Intercept 2'!I586, Data!I586, "ERROR")</f>
        <v>13</v>
      </c>
      <c r="I586" s="6">
        <f>IF(Data!H586 = 'Point Intercept 2'!H586, Data!H586, "ERROR")</f>
        <v>2</v>
      </c>
      <c r="J586" s="6">
        <f>IF(Data!J586 = 'Point Intercept 2'!J586, Data!J586, "ERROR")</f>
        <v>10</v>
      </c>
      <c r="K586" s="6" t="str">
        <f>IF(Data!K586 = 'Point Intercept 2'!K586, Data!K586, "ERROR")</f>
        <v>SONASP</v>
      </c>
      <c r="L586" s="6" t="str">
        <f>IF(Data!L586 = 'Point Intercept 2'!L586, Data!L586, "ERROR")</f>
        <v>Sonchus asper</v>
      </c>
    </row>
    <row r="587" spans="1:12" x14ac:dyDescent="0.25">
      <c r="A587" s="6">
        <f>IF(Data!A587 = 'Point Intercept 2'!A587, Data!A587, "ERROR")</f>
        <v>6</v>
      </c>
      <c r="B587" s="6">
        <f>IF(Data!B587 = 'Point Intercept 2'!B587, Data!B587, "ERROR")</f>
        <v>2025</v>
      </c>
      <c r="C587" s="8">
        <f>IF(Data!C587 = 'Point Intercept 2'!C587, Data!C587, "ERROR")</f>
        <v>45755</v>
      </c>
      <c r="D587" s="6" t="str">
        <f>IF(Data!D587 = 'Point Intercept 2'!D587, Data!D587, "ERROR")</f>
        <v>JC, TL</v>
      </c>
      <c r="E587" s="6" t="str">
        <f>IF(Data!E587 = 'Point Intercept 2'!E587, Data!E587, "ERROR")</f>
        <v>VB</v>
      </c>
      <c r="F587" s="6">
        <f>IF(Data!F587 = 'Point Intercept 2'!F587, Data!F587, "ERROR")</f>
        <v>3</v>
      </c>
      <c r="G587" s="6" t="str">
        <f>IF(Data!G587 = 'Point Intercept 2'!G587, Data!G587, "ERROR")</f>
        <v>SU</v>
      </c>
      <c r="H587" s="6">
        <f>IF(Data!I587 = 'Point Intercept 2'!I587, Data!I587, "ERROR")</f>
        <v>14</v>
      </c>
      <c r="I587" s="6">
        <f>IF(Data!H587 = 'Point Intercept 2'!H587, Data!H587, "ERROR")</f>
        <v>2</v>
      </c>
      <c r="J587" s="6">
        <f>IF(Data!J587 = 'Point Intercept 2'!J587, Data!J587, "ERROR")</f>
        <v>11</v>
      </c>
      <c r="K587" s="6" t="str">
        <f>IF(Data!K587 = 'Point Intercept 2'!K587, Data!K587, "ERROR")</f>
        <v>L</v>
      </c>
      <c r="L587" s="6" t="str">
        <f>IF(Data!L587 = 'Point Intercept 2'!L587, Data!L587, "ERROR")</f>
        <v>Litter</v>
      </c>
    </row>
    <row r="588" spans="1:12" x14ac:dyDescent="0.25">
      <c r="A588" s="6">
        <f>IF(Data!A588 = 'Point Intercept 2'!A588, Data!A588, "ERROR")</f>
        <v>6</v>
      </c>
      <c r="B588" s="6">
        <f>IF(Data!B588 = 'Point Intercept 2'!B588, Data!B588, "ERROR")</f>
        <v>2025</v>
      </c>
      <c r="C588" s="8">
        <f>IF(Data!C588 = 'Point Intercept 2'!C588, Data!C588, "ERROR")</f>
        <v>45755</v>
      </c>
      <c r="D588" s="6" t="str">
        <f>IF(Data!D588 = 'Point Intercept 2'!D588, Data!D588, "ERROR")</f>
        <v>JC, TL</v>
      </c>
      <c r="E588" s="6" t="str">
        <f>IF(Data!E588 = 'Point Intercept 2'!E588, Data!E588, "ERROR")</f>
        <v>VB</v>
      </c>
      <c r="F588" s="6">
        <f>IF(Data!F588 = 'Point Intercept 2'!F588, Data!F588, "ERROR")</f>
        <v>3</v>
      </c>
      <c r="G588" s="6" t="str">
        <f>IF(Data!G588 = 'Point Intercept 2'!G588, Data!G588, "ERROR")</f>
        <v>SU</v>
      </c>
      <c r="H588" s="6">
        <f>IF(Data!I588 = 'Point Intercept 2'!I588, Data!I588, "ERROR")</f>
        <v>14</v>
      </c>
      <c r="I588" s="6">
        <f>IF(Data!H588 = 'Point Intercept 2'!H588, Data!H588, "ERROR")</f>
        <v>2</v>
      </c>
      <c r="J588" s="6">
        <f>IF(Data!J588 = 'Point Intercept 2'!J588, Data!J588, "ERROR")</f>
        <v>11</v>
      </c>
      <c r="K588" s="6" t="str">
        <f>IF(Data!K588 = 'Point Intercept 2'!K588, Data!K588, "ERROR")</f>
        <v>OPULIT</v>
      </c>
      <c r="L588" s="6" t="str">
        <f>IF(Data!L588 = 'Point Intercept 2'!L588, Data!L588, "ERROR")</f>
        <v>Opuntia littoralis</v>
      </c>
    </row>
    <row r="589" spans="1:12" x14ac:dyDescent="0.25">
      <c r="A589" s="6">
        <f>IF(Data!A589 = 'Point Intercept 2'!A589, Data!A589, "ERROR")</f>
        <v>6</v>
      </c>
      <c r="B589" s="6">
        <f>IF(Data!B589 = 'Point Intercept 2'!B589, Data!B589, "ERROR")</f>
        <v>2025</v>
      </c>
      <c r="C589" s="8">
        <f>IF(Data!C589 = 'Point Intercept 2'!C589, Data!C589, "ERROR")</f>
        <v>45755</v>
      </c>
      <c r="D589" s="6" t="str">
        <f>IF(Data!D589 = 'Point Intercept 2'!D589, Data!D589, "ERROR")</f>
        <v>JC, TL</v>
      </c>
      <c r="E589" s="6" t="str">
        <f>IF(Data!E589 = 'Point Intercept 2'!E589, Data!E589, "ERROR")</f>
        <v>VB</v>
      </c>
      <c r="F589" s="6">
        <f>IF(Data!F589 = 'Point Intercept 2'!F589, Data!F589, "ERROR")</f>
        <v>3</v>
      </c>
      <c r="G589" s="6" t="str">
        <f>IF(Data!G589 = 'Point Intercept 2'!G589, Data!G589, "ERROR")</f>
        <v>SU</v>
      </c>
      <c r="H589" s="6">
        <f>IF(Data!I589 = 'Point Intercept 2'!I589, Data!I589, "ERROR")</f>
        <v>14</v>
      </c>
      <c r="I589" s="6">
        <f>IF(Data!H589 = 'Point Intercept 2'!H589, Data!H589, "ERROR")</f>
        <v>2</v>
      </c>
      <c r="J589" s="6">
        <f>IF(Data!J589 = 'Point Intercept 2'!J589, Data!J589, "ERROR")</f>
        <v>11</v>
      </c>
      <c r="K589" s="6" t="str">
        <f>IF(Data!K589 = 'Point Intercept 2'!K589, Data!K589, "ERROR")</f>
        <v>BROMAD</v>
      </c>
      <c r="L589" s="6" t="str">
        <f>IF(Data!L589 = 'Point Intercept 2'!L589, Data!L589, "ERROR")</f>
        <v>Bromus madritensis</v>
      </c>
    </row>
    <row r="590" spans="1:12" x14ac:dyDescent="0.25">
      <c r="A590" s="6">
        <f>IF(Data!A590 = 'Point Intercept 2'!A590, Data!A590, "ERROR")</f>
        <v>6</v>
      </c>
      <c r="B590" s="6">
        <f>IF(Data!B590 = 'Point Intercept 2'!B590, Data!B590, "ERROR")</f>
        <v>2025</v>
      </c>
      <c r="C590" s="8">
        <f>IF(Data!C590 = 'Point Intercept 2'!C590, Data!C590, "ERROR")</f>
        <v>45755</v>
      </c>
      <c r="D590" s="6" t="str">
        <f>IF(Data!D590 = 'Point Intercept 2'!D590, Data!D590, "ERROR")</f>
        <v>JC, TL</v>
      </c>
      <c r="E590" s="6" t="str">
        <f>IF(Data!E590 = 'Point Intercept 2'!E590, Data!E590, "ERROR")</f>
        <v>VB</v>
      </c>
      <c r="F590" s="6">
        <f>IF(Data!F590 = 'Point Intercept 2'!F590, Data!F590, "ERROR")</f>
        <v>3</v>
      </c>
      <c r="G590" s="6" t="str">
        <f>IF(Data!G590 = 'Point Intercept 2'!G590, Data!G590, "ERROR")</f>
        <v>SU</v>
      </c>
      <c r="H590" s="6">
        <f>IF(Data!I590 = 'Point Intercept 2'!I590, Data!I590, "ERROR")</f>
        <v>14</v>
      </c>
      <c r="I590" s="6">
        <f>IF(Data!H590 = 'Point Intercept 2'!H590, Data!H590, "ERROR")</f>
        <v>2</v>
      </c>
      <c r="J590" s="6">
        <f>IF(Data!J590 = 'Point Intercept 2'!J590, Data!J590, "ERROR")</f>
        <v>11</v>
      </c>
      <c r="K590" s="6" t="str">
        <f>IF(Data!K590 = 'Point Intercept 2'!K590, Data!K590, "ERROR")</f>
        <v>EROCIC</v>
      </c>
      <c r="L590" s="6" t="str">
        <f>IF(Data!L590 = 'Point Intercept 2'!L590, Data!L590, "ERROR")</f>
        <v>Erodium cicutarium</v>
      </c>
    </row>
    <row r="591" spans="1:12" x14ac:dyDescent="0.25">
      <c r="A591" s="6">
        <f>IF(Data!A591 = 'Point Intercept 2'!A591, Data!A591, "ERROR")</f>
        <v>6</v>
      </c>
      <c r="B591" s="6">
        <f>IF(Data!B591 = 'Point Intercept 2'!B591, Data!B591, "ERROR")</f>
        <v>2025</v>
      </c>
      <c r="C591" s="8">
        <f>IF(Data!C591 = 'Point Intercept 2'!C591, Data!C591, "ERROR")</f>
        <v>45755</v>
      </c>
      <c r="D591" s="6" t="str">
        <f>IF(Data!D591 = 'Point Intercept 2'!D591, Data!D591, "ERROR")</f>
        <v>JC, TL</v>
      </c>
      <c r="E591" s="6" t="str">
        <f>IF(Data!E591 = 'Point Intercept 2'!E591, Data!E591, "ERROR")</f>
        <v>VB</v>
      </c>
      <c r="F591" s="6">
        <f>IF(Data!F591 = 'Point Intercept 2'!F591, Data!F591, "ERROR")</f>
        <v>3</v>
      </c>
      <c r="G591" s="6" t="str">
        <f>IF(Data!G591 = 'Point Intercept 2'!G591, Data!G591, "ERROR")</f>
        <v>SU</v>
      </c>
      <c r="H591" s="6">
        <f>IF(Data!I591 = 'Point Intercept 2'!I591, Data!I591, "ERROR")</f>
        <v>15</v>
      </c>
      <c r="I591" s="6">
        <f>IF(Data!H591 = 'Point Intercept 2'!H591, Data!H591, "ERROR")</f>
        <v>2</v>
      </c>
      <c r="J591" s="6">
        <f>IF(Data!J591 = 'Point Intercept 2'!J591, Data!J591, "ERROR")</f>
        <v>12</v>
      </c>
      <c r="K591" s="6" t="str">
        <f>IF(Data!K591 = 'Point Intercept 2'!K591, Data!K591, "ERROR")</f>
        <v>L</v>
      </c>
      <c r="L591" s="6" t="str">
        <f>IF(Data!L591 = 'Point Intercept 2'!L591, Data!L591, "ERROR")</f>
        <v>Litter</v>
      </c>
    </row>
    <row r="592" spans="1:12" x14ac:dyDescent="0.25">
      <c r="A592" s="6">
        <f>IF(Data!A592 = 'Point Intercept 2'!A592, Data!A592, "ERROR")</f>
        <v>6</v>
      </c>
      <c r="B592" s="6">
        <f>IF(Data!B592 = 'Point Intercept 2'!B592, Data!B592, "ERROR")</f>
        <v>2025</v>
      </c>
      <c r="C592" s="8">
        <f>IF(Data!C592 = 'Point Intercept 2'!C592, Data!C592, "ERROR")</f>
        <v>45755</v>
      </c>
      <c r="D592" s="6" t="str">
        <f>IF(Data!D592 = 'Point Intercept 2'!D592, Data!D592, "ERROR")</f>
        <v>JC, TL</v>
      </c>
      <c r="E592" s="6" t="str">
        <f>IF(Data!E592 = 'Point Intercept 2'!E592, Data!E592, "ERROR")</f>
        <v>VB</v>
      </c>
      <c r="F592" s="6">
        <f>IF(Data!F592 = 'Point Intercept 2'!F592, Data!F592, "ERROR")</f>
        <v>3</v>
      </c>
      <c r="G592" s="6" t="str">
        <f>IF(Data!G592 = 'Point Intercept 2'!G592, Data!G592, "ERROR")</f>
        <v>SU</v>
      </c>
      <c r="H592" s="6">
        <f>IF(Data!I592 = 'Point Intercept 2'!I592, Data!I592, "ERROR")</f>
        <v>15</v>
      </c>
      <c r="I592" s="6">
        <f>IF(Data!H592 = 'Point Intercept 2'!H592, Data!H592, "ERROR")</f>
        <v>2</v>
      </c>
      <c r="J592" s="6">
        <f>IF(Data!J592 = 'Point Intercept 2'!J592, Data!J592, "ERROR")</f>
        <v>12</v>
      </c>
      <c r="K592" s="6" t="str">
        <f>IF(Data!K592 = 'Point Intercept 2'!K592, Data!K592, "ERROR")</f>
        <v>DEIFAS</v>
      </c>
      <c r="L592" s="6" t="str">
        <f>IF(Data!L592 = 'Point Intercept 2'!L592, Data!L592, "ERROR")</f>
        <v>Deinandra fasciculata</v>
      </c>
    </row>
    <row r="593" spans="1:12" x14ac:dyDescent="0.25">
      <c r="A593" s="6">
        <f>IF(Data!A593 = 'Point Intercept 2'!A593, Data!A593, "ERROR")</f>
        <v>6</v>
      </c>
      <c r="B593" s="6">
        <f>IF(Data!B593 = 'Point Intercept 2'!B593, Data!B593, "ERROR")</f>
        <v>2025</v>
      </c>
      <c r="C593" s="8">
        <f>IF(Data!C593 = 'Point Intercept 2'!C593, Data!C593, "ERROR")</f>
        <v>45755</v>
      </c>
      <c r="D593" s="6" t="str">
        <f>IF(Data!D593 = 'Point Intercept 2'!D593, Data!D593, "ERROR")</f>
        <v>JC, TL</v>
      </c>
      <c r="E593" s="6" t="str">
        <f>IF(Data!E593 = 'Point Intercept 2'!E593, Data!E593, "ERROR")</f>
        <v>VB</v>
      </c>
      <c r="F593" s="6">
        <f>IF(Data!F593 = 'Point Intercept 2'!F593, Data!F593, "ERROR")</f>
        <v>3</v>
      </c>
      <c r="G593" s="6" t="str">
        <f>IF(Data!G593 = 'Point Intercept 2'!G593, Data!G593, "ERROR")</f>
        <v>SU</v>
      </c>
      <c r="H593" s="6">
        <f>IF(Data!I593 = 'Point Intercept 2'!I593, Data!I593, "ERROR")</f>
        <v>15</v>
      </c>
      <c r="I593" s="6">
        <f>IF(Data!H593 = 'Point Intercept 2'!H593, Data!H593, "ERROR")</f>
        <v>2</v>
      </c>
      <c r="J593" s="6">
        <f>IF(Data!J593 = 'Point Intercept 2'!J593, Data!J593, "ERROR")</f>
        <v>12</v>
      </c>
      <c r="K593" s="6" t="str">
        <f>IF(Data!K593 = 'Point Intercept 2'!K593, Data!K593, "ERROR")</f>
        <v>FESMYU</v>
      </c>
      <c r="L593" s="6" t="str">
        <f>IF(Data!L593 = 'Point Intercept 2'!L593, Data!L593, "ERROR")</f>
        <v>Festuca myuros</v>
      </c>
    </row>
    <row r="594" spans="1:12" x14ac:dyDescent="0.25">
      <c r="A594" s="6">
        <f>IF(Data!A594 = 'Point Intercept 2'!A594, Data!A594, "ERROR")</f>
        <v>7</v>
      </c>
      <c r="B594" s="6">
        <f>IF(Data!B594 = 'Point Intercept 2'!B594, Data!B594, "ERROR")</f>
        <v>2025</v>
      </c>
      <c r="C594" s="8">
        <f>IF(Data!C594 = 'Point Intercept 2'!C594, Data!C594, "ERROR")</f>
        <v>45764</v>
      </c>
      <c r="D594" s="6" t="str">
        <f>IF(Data!D594 = 'Point Intercept 2'!D594, Data!D594, "ERROR")</f>
        <v>ERROR</v>
      </c>
      <c r="E594" s="6" t="str">
        <f>IF(Data!E594 = 'Point Intercept 2'!E594, Data!E594, "ERROR")</f>
        <v>VB</v>
      </c>
      <c r="F594" s="6">
        <f>IF(Data!F594 = 'Point Intercept 2'!F594, Data!F594, "ERROR")</f>
        <v>1</v>
      </c>
      <c r="G594" s="6" t="str">
        <f>IF(Data!G594 = 'Point Intercept 2'!G594, Data!G594, "ERROR")</f>
        <v>SU</v>
      </c>
      <c r="H594" s="6">
        <f>IF(Data!I594 = 'Point Intercept 2'!I594, Data!I594, "ERROR")</f>
        <v>1</v>
      </c>
      <c r="I594" s="6">
        <f>IF(Data!H594 = 'Point Intercept 2'!H594, Data!H594, "ERROR")</f>
        <v>1</v>
      </c>
      <c r="J594" s="6">
        <f>IF(Data!J594 = 'Point Intercept 2'!J594, Data!J594, "ERROR")</f>
        <v>0</v>
      </c>
      <c r="K594" s="6" t="str">
        <f>IF(Data!K594 = 'Point Intercept 2'!K594, Data!K594, "ERROR")</f>
        <v>L</v>
      </c>
      <c r="L594" s="6" t="str">
        <f>IF(Data!L594 = 'Point Intercept 2'!L594, Data!L594, "ERROR")</f>
        <v>Litter</v>
      </c>
    </row>
    <row r="595" spans="1:12" x14ac:dyDescent="0.25">
      <c r="A595" s="6">
        <f>IF(Data!A595 = 'Point Intercept 2'!A595, Data!A595, "ERROR")</f>
        <v>7</v>
      </c>
      <c r="B595" s="6">
        <f>IF(Data!B595 = 'Point Intercept 2'!B595, Data!B595, "ERROR")</f>
        <v>2025</v>
      </c>
      <c r="C595" s="8">
        <f>IF(Data!C595 = 'Point Intercept 2'!C595, Data!C595, "ERROR")</f>
        <v>45764</v>
      </c>
      <c r="D595" s="6" t="str">
        <f>IF(Data!D595 = 'Point Intercept 2'!D595, Data!D595, "ERROR")</f>
        <v>ERROR</v>
      </c>
      <c r="E595" s="6" t="str">
        <f>IF(Data!E595 = 'Point Intercept 2'!E595, Data!E595, "ERROR")</f>
        <v>VB</v>
      </c>
      <c r="F595" s="6">
        <f>IF(Data!F595 = 'Point Intercept 2'!F595, Data!F595, "ERROR")</f>
        <v>1</v>
      </c>
      <c r="G595" s="6" t="str">
        <f>IF(Data!G595 = 'Point Intercept 2'!G595, Data!G595, "ERROR")</f>
        <v>SU</v>
      </c>
      <c r="H595" s="6">
        <f>IF(Data!I595 = 'Point Intercept 2'!I595, Data!I595, "ERROR")</f>
        <v>1</v>
      </c>
      <c r="I595" s="6">
        <f>IF(Data!H595 = 'Point Intercept 2'!H595, Data!H595, "ERROR")</f>
        <v>1</v>
      </c>
      <c r="J595" s="6">
        <f>IF(Data!J595 = 'Point Intercept 2'!J595, Data!J595, "ERROR")</f>
        <v>0</v>
      </c>
      <c r="K595" s="6" t="str">
        <f>IF(Data!K595 = 'Point Intercept 2'!K595, Data!K595, "ERROR")</f>
        <v>EROCIC</v>
      </c>
      <c r="L595" s="6" t="str">
        <f>IF(Data!L595 = 'Point Intercept 2'!L595, Data!L595, "ERROR")</f>
        <v>Erodium cicutarium</v>
      </c>
    </row>
    <row r="596" spans="1:12" x14ac:dyDescent="0.25">
      <c r="A596" s="6">
        <f>IF(Data!A596 = 'Point Intercept 2'!A596, Data!A596, "ERROR")</f>
        <v>7</v>
      </c>
      <c r="B596" s="6">
        <f>IF(Data!B596 = 'Point Intercept 2'!B596, Data!B596, "ERROR")</f>
        <v>2025</v>
      </c>
      <c r="C596" s="8">
        <f>IF(Data!C596 = 'Point Intercept 2'!C596, Data!C596, "ERROR")</f>
        <v>45764</v>
      </c>
      <c r="D596" s="6" t="str">
        <f>IF(Data!D596 = 'Point Intercept 2'!D596, Data!D596, "ERROR")</f>
        <v>ERROR</v>
      </c>
      <c r="E596" s="6" t="str">
        <f>IF(Data!E596 = 'Point Intercept 2'!E596, Data!E596, "ERROR")</f>
        <v>VB</v>
      </c>
      <c r="F596" s="6">
        <f>IF(Data!F596 = 'Point Intercept 2'!F596, Data!F596, "ERROR")</f>
        <v>1</v>
      </c>
      <c r="G596" s="6" t="str">
        <f>IF(Data!G596 = 'Point Intercept 2'!G596, Data!G596, "ERROR")</f>
        <v>SU</v>
      </c>
      <c r="H596" s="6">
        <f>IF(Data!I596 = 'Point Intercept 2'!I596, Data!I596, "ERROR")</f>
        <v>1</v>
      </c>
      <c r="I596" s="6">
        <f>IF(Data!H596 = 'Point Intercept 2'!H596, Data!H596, "ERROR")</f>
        <v>1</v>
      </c>
      <c r="J596" s="6">
        <f>IF(Data!J596 = 'Point Intercept 2'!J596, Data!J596, "ERROR")</f>
        <v>0</v>
      </c>
      <c r="K596" s="6" t="str">
        <f>IF(Data!K596 = 'Point Intercept 2'!K596, Data!K596, "ERROR")</f>
        <v>DEIFAS</v>
      </c>
      <c r="L596" s="6" t="str">
        <f>IF(Data!L596 = 'Point Intercept 2'!L596, Data!L596, "ERROR")</f>
        <v>Deinandra fasciculata</v>
      </c>
    </row>
    <row r="597" spans="1:12" x14ac:dyDescent="0.25">
      <c r="A597" s="6">
        <f>IF(Data!A597 = 'Point Intercept 2'!A597, Data!A597, "ERROR")</f>
        <v>7</v>
      </c>
      <c r="B597" s="6">
        <f>IF(Data!B597 = 'Point Intercept 2'!B597, Data!B597, "ERROR")</f>
        <v>2025</v>
      </c>
      <c r="C597" s="8">
        <f>IF(Data!C597 = 'Point Intercept 2'!C597, Data!C597, "ERROR")</f>
        <v>45764</v>
      </c>
      <c r="D597" s="6" t="str">
        <f>IF(Data!D597 = 'Point Intercept 2'!D597, Data!D597, "ERROR")</f>
        <v>ERROR</v>
      </c>
      <c r="E597" s="6" t="str">
        <f>IF(Data!E597 = 'Point Intercept 2'!E597, Data!E597, "ERROR")</f>
        <v>VB</v>
      </c>
      <c r="F597" s="6">
        <f>IF(Data!F597 = 'Point Intercept 2'!F597, Data!F597, "ERROR")</f>
        <v>1</v>
      </c>
      <c r="G597" s="6" t="str">
        <f>IF(Data!G597 = 'Point Intercept 2'!G597, Data!G597, "ERROR")</f>
        <v>SU</v>
      </c>
      <c r="H597" s="6">
        <f>IF(Data!I597 = 'Point Intercept 2'!I597, Data!I597, "ERROR")</f>
        <v>2</v>
      </c>
      <c r="I597" s="6">
        <f>IF(Data!H597 = 'Point Intercept 2'!H597, Data!H597, "ERROR")</f>
        <v>1</v>
      </c>
      <c r="J597" s="6">
        <f>IF(Data!J597 = 'Point Intercept 2'!J597, Data!J597, "ERROR")</f>
        <v>1</v>
      </c>
      <c r="K597" s="6" t="str">
        <f>IF(Data!K597 = 'Point Intercept 2'!K597, Data!K597, "ERROR")</f>
        <v>L</v>
      </c>
      <c r="L597" s="6" t="str">
        <f>IF(Data!L597 = 'Point Intercept 2'!L597, Data!L597, "ERROR")</f>
        <v>Litter</v>
      </c>
    </row>
    <row r="598" spans="1:12" x14ac:dyDescent="0.25">
      <c r="A598" s="6">
        <f>IF(Data!A598 = 'Point Intercept 2'!A598, Data!A598, "ERROR")</f>
        <v>7</v>
      </c>
      <c r="B598" s="6">
        <f>IF(Data!B598 = 'Point Intercept 2'!B598, Data!B598, "ERROR")</f>
        <v>2025</v>
      </c>
      <c r="C598" s="8">
        <f>IF(Data!C598 = 'Point Intercept 2'!C598, Data!C598, "ERROR")</f>
        <v>45764</v>
      </c>
      <c r="D598" s="6" t="str">
        <f>IF(Data!D598 = 'Point Intercept 2'!D598, Data!D598, "ERROR")</f>
        <v>ERROR</v>
      </c>
      <c r="E598" s="6" t="str">
        <f>IF(Data!E598 = 'Point Intercept 2'!E598, Data!E598, "ERROR")</f>
        <v>VB</v>
      </c>
      <c r="F598" s="6">
        <f>IF(Data!F598 = 'Point Intercept 2'!F598, Data!F598, "ERROR")</f>
        <v>1</v>
      </c>
      <c r="G598" s="6" t="str">
        <f>IF(Data!G598 = 'Point Intercept 2'!G598, Data!G598, "ERROR")</f>
        <v>SU</v>
      </c>
      <c r="H598" s="6">
        <f>IF(Data!I598 = 'Point Intercept 2'!I598, Data!I598, "ERROR")</f>
        <v>2</v>
      </c>
      <c r="I598" s="6">
        <f>IF(Data!H598 = 'Point Intercept 2'!H598, Data!H598, "ERROR")</f>
        <v>1</v>
      </c>
      <c r="J598" s="6">
        <f>IF(Data!J598 = 'Point Intercept 2'!J598, Data!J598, "ERROR")</f>
        <v>1</v>
      </c>
      <c r="K598" s="6" t="str">
        <f>IF(Data!K598 = 'Point Intercept 2'!K598, Data!K598, "ERROR")</f>
        <v>BROMAD</v>
      </c>
      <c r="L598" s="6" t="str">
        <f>IF(Data!L598 = 'Point Intercept 2'!L598, Data!L598, "ERROR")</f>
        <v>Bromus madritensis</v>
      </c>
    </row>
    <row r="599" spans="1:12" x14ac:dyDescent="0.25">
      <c r="A599" s="6">
        <f>IF(Data!A599 = 'Point Intercept 2'!A599, Data!A599, "ERROR")</f>
        <v>7</v>
      </c>
      <c r="B599" s="6">
        <f>IF(Data!B599 = 'Point Intercept 2'!B599, Data!B599, "ERROR")</f>
        <v>2025</v>
      </c>
      <c r="C599" s="8">
        <f>IF(Data!C599 = 'Point Intercept 2'!C599, Data!C599, "ERROR")</f>
        <v>45764</v>
      </c>
      <c r="D599" s="6" t="str">
        <f>IF(Data!D599 = 'Point Intercept 2'!D599, Data!D599, "ERROR")</f>
        <v>ERROR</v>
      </c>
      <c r="E599" s="6" t="str">
        <f>IF(Data!E599 = 'Point Intercept 2'!E599, Data!E599, "ERROR")</f>
        <v>VB</v>
      </c>
      <c r="F599" s="6">
        <f>IF(Data!F599 = 'Point Intercept 2'!F599, Data!F599, "ERROR")</f>
        <v>1</v>
      </c>
      <c r="G599" s="6" t="str">
        <f>IF(Data!G599 = 'Point Intercept 2'!G599, Data!G599, "ERROR")</f>
        <v>SU</v>
      </c>
      <c r="H599" s="6">
        <f>IF(Data!I599 = 'Point Intercept 2'!I599, Data!I599, "ERROR")</f>
        <v>2</v>
      </c>
      <c r="I599" s="6">
        <f>IF(Data!H599 = 'Point Intercept 2'!H599, Data!H599, "ERROR")</f>
        <v>1</v>
      </c>
      <c r="J599" s="6">
        <f>IF(Data!J599 = 'Point Intercept 2'!J599, Data!J599, "ERROR")</f>
        <v>1</v>
      </c>
      <c r="K599" s="6" t="str">
        <f>IF(Data!K599 = 'Point Intercept 2'!K599, Data!K599, "ERROR")</f>
        <v>CENMEL</v>
      </c>
      <c r="L599" s="6" t="str">
        <f>IF(Data!L599 = 'Point Intercept 2'!L599, Data!L599, "ERROR")</f>
        <v>Centaurea melitensis</v>
      </c>
    </row>
    <row r="600" spans="1:12" x14ac:dyDescent="0.25">
      <c r="A600" s="6">
        <f>IF(Data!A600 = 'Point Intercept 2'!A600, Data!A600, "ERROR")</f>
        <v>7</v>
      </c>
      <c r="B600" s="6">
        <f>IF(Data!B600 = 'Point Intercept 2'!B600, Data!B600, "ERROR")</f>
        <v>2025</v>
      </c>
      <c r="C600" s="8">
        <f>IF(Data!C600 = 'Point Intercept 2'!C600, Data!C600, "ERROR")</f>
        <v>45764</v>
      </c>
      <c r="D600" s="6" t="str">
        <f>IF(Data!D600 = 'Point Intercept 2'!D600, Data!D600, "ERROR")</f>
        <v>ERROR</v>
      </c>
      <c r="E600" s="6" t="str">
        <f>IF(Data!E600 = 'Point Intercept 2'!E600, Data!E600, "ERROR")</f>
        <v>VB</v>
      </c>
      <c r="F600" s="6">
        <f>IF(Data!F600 = 'Point Intercept 2'!F600, Data!F600, "ERROR")</f>
        <v>1</v>
      </c>
      <c r="G600" s="6" t="str">
        <f>IF(Data!G600 = 'Point Intercept 2'!G600, Data!G600, "ERROR")</f>
        <v>SU</v>
      </c>
      <c r="H600" s="6">
        <f>IF(Data!I600 = 'Point Intercept 2'!I600, Data!I600, "ERROR")</f>
        <v>3</v>
      </c>
      <c r="I600" s="6">
        <f>IF(Data!H600 = 'Point Intercept 2'!H600, Data!H600, "ERROR")</f>
        <v>1</v>
      </c>
      <c r="J600" s="6">
        <f>IF(Data!J600 = 'Point Intercept 2'!J600, Data!J600, "ERROR")</f>
        <v>1.5</v>
      </c>
      <c r="K600" s="6" t="str">
        <f>IF(Data!K600 = 'Point Intercept 2'!K600, Data!K600, "ERROR")</f>
        <v>L</v>
      </c>
      <c r="L600" s="6" t="str">
        <f>IF(Data!L600 = 'Point Intercept 2'!L600, Data!L600, "ERROR")</f>
        <v>Litter</v>
      </c>
    </row>
    <row r="601" spans="1:12" x14ac:dyDescent="0.25">
      <c r="A601" s="6">
        <f>IF(Data!A601 = 'Point Intercept 2'!A601, Data!A601, "ERROR")</f>
        <v>7</v>
      </c>
      <c r="B601" s="6">
        <f>IF(Data!B601 = 'Point Intercept 2'!B601, Data!B601, "ERROR")</f>
        <v>2025</v>
      </c>
      <c r="C601" s="8">
        <f>IF(Data!C601 = 'Point Intercept 2'!C601, Data!C601, "ERROR")</f>
        <v>45764</v>
      </c>
      <c r="D601" s="6" t="str">
        <f>IF(Data!D601 = 'Point Intercept 2'!D601, Data!D601, "ERROR")</f>
        <v>ERROR</v>
      </c>
      <c r="E601" s="6" t="str">
        <f>IF(Data!E601 = 'Point Intercept 2'!E601, Data!E601, "ERROR")</f>
        <v>VB</v>
      </c>
      <c r="F601" s="6">
        <f>IF(Data!F601 = 'Point Intercept 2'!F601, Data!F601, "ERROR")</f>
        <v>1</v>
      </c>
      <c r="G601" s="6" t="str">
        <f>IF(Data!G601 = 'Point Intercept 2'!G601, Data!G601, "ERROR")</f>
        <v>SU</v>
      </c>
      <c r="H601" s="6">
        <f>IF(Data!I601 = 'Point Intercept 2'!I601, Data!I601, "ERROR")</f>
        <v>3</v>
      </c>
      <c r="I601" s="6">
        <f>IF(Data!H601 = 'Point Intercept 2'!H601, Data!H601, "ERROR")</f>
        <v>1</v>
      </c>
      <c r="J601" s="6">
        <f>IF(Data!J601 = 'Point Intercept 2'!J601, Data!J601, "ERROR")</f>
        <v>1.5</v>
      </c>
      <c r="K601" s="6" t="str">
        <f>IF(Data!K601 = 'Point Intercept 2'!K601, Data!K601, "ERROR")</f>
        <v>DEIFAS</v>
      </c>
      <c r="L601" s="6" t="str">
        <f>IF(Data!L601 = 'Point Intercept 2'!L601, Data!L601, "ERROR")</f>
        <v>Deinandra fasciculata</v>
      </c>
    </row>
    <row r="602" spans="1:12" x14ac:dyDescent="0.25">
      <c r="A602" s="6">
        <f>IF(Data!A602 = 'Point Intercept 2'!A602, Data!A602, "ERROR")</f>
        <v>7</v>
      </c>
      <c r="B602" s="6">
        <f>IF(Data!B602 = 'Point Intercept 2'!B602, Data!B602, "ERROR")</f>
        <v>2025</v>
      </c>
      <c r="C602" s="8">
        <f>IF(Data!C602 = 'Point Intercept 2'!C602, Data!C602, "ERROR")</f>
        <v>45764</v>
      </c>
      <c r="D602" s="6" t="str">
        <f>IF(Data!D602 = 'Point Intercept 2'!D602, Data!D602, "ERROR")</f>
        <v>ERROR</v>
      </c>
      <c r="E602" s="6" t="str">
        <f>IF(Data!E602 = 'Point Intercept 2'!E602, Data!E602, "ERROR")</f>
        <v>VB</v>
      </c>
      <c r="F602" s="6">
        <f>IF(Data!F602 = 'Point Intercept 2'!F602, Data!F602, "ERROR")</f>
        <v>1</v>
      </c>
      <c r="G602" s="6" t="str">
        <f>IF(Data!G602 = 'Point Intercept 2'!G602, Data!G602, "ERROR")</f>
        <v>SU</v>
      </c>
      <c r="H602" s="6">
        <f>IF(Data!I602 = 'Point Intercept 2'!I602, Data!I602, "ERROR")</f>
        <v>3</v>
      </c>
      <c r="I602" s="6">
        <f>IF(Data!H602 = 'Point Intercept 2'!H602, Data!H602, "ERROR")</f>
        <v>1</v>
      </c>
      <c r="J602" s="6">
        <f>IF(Data!J602 = 'Point Intercept 2'!J602, Data!J602, "ERROR")</f>
        <v>1.5</v>
      </c>
      <c r="K602" s="6" t="str">
        <f>IF(Data!K602 = 'Point Intercept 2'!K602, Data!K602, "ERROR")</f>
        <v>CENMEL</v>
      </c>
      <c r="L602" s="6" t="str">
        <f>IF(Data!L602 = 'Point Intercept 2'!L602, Data!L602, "ERROR")</f>
        <v>Centaurea melitensis</v>
      </c>
    </row>
    <row r="603" spans="1:12" x14ac:dyDescent="0.25">
      <c r="A603" s="6">
        <f>IF(Data!A603 = 'Point Intercept 2'!A603, Data!A603, "ERROR")</f>
        <v>7</v>
      </c>
      <c r="B603" s="6">
        <f>IF(Data!B603 = 'Point Intercept 2'!B603, Data!B603, "ERROR")</f>
        <v>2025</v>
      </c>
      <c r="C603" s="8">
        <f>IF(Data!C603 = 'Point Intercept 2'!C603, Data!C603, "ERROR")</f>
        <v>45764</v>
      </c>
      <c r="D603" s="6" t="str">
        <f>IF(Data!D603 = 'Point Intercept 2'!D603, Data!D603, "ERROR")</f>
        <v>ERROR</v>
      </c>
      <c r="E603" s="6" t="str">
        <f>IF(Data!E603 = 'Point Intercept 2'!E603, Data!E603, "ERROR")</f>
        <v>VB</v>
      </c>
      <c r="F603" s="6">
        <f>IF(Data!F603 = 'Point Intercept 2'!F603, Data!F603, "ERROR")</f>
        <v>1</v>
      </c>
      <c r="G603" s="6" t="str">
        <f>IF(Data!G603 = 'Point Intercept 2'!G603, Data!G603, "ERROR")</f>
        <v>SU</v>
      </c>
      <c r="H603" s="6">
        <f>IF(Data!I603 = 'Point Intercept 2'!I603, Data!I603, "ERROR")</f>
        <v>3</v>
      </c>
      <c r="I603" s="6">
        <f>IF(Data!H603 = 'Point Intercept 2'!H603, Data!H603, "ERROR")</f>
        <v>1</v>
      </c>
      <c r="J603" s="6">
        <f>IF(Data!J603 = 'Point Intercept 2'!J603, Data!J603, "ERROR")</f>
        <v>1.5</v>
      </c>
      <c r="K603" s="6" t="str">
        <f>IF(Data!K603 = 'Point Intercept 2'!K603, Data!K603, "ERROR")</f>
        <v>ANAARV</v>
      </c>
      <c r="L603" s="6" t="str">
        <f>IF(Data!L603 = 'Point Intercept 2'!L603, Data!L603, "ERROR")</f>
        <v>Anagallis arvensis</v>
      </c>
    </row>
    <row r="604" spans="1:12" x14ac:dyDescent="0.25">
      <c r="A604" s="6">
        <f>IF(Data!A604 = 'Point Intercept 2'!A604, Data!A604, "ERROR")</f>
        <v>7</v>
      </c>
      <c r="B604" s="6">
        <f>IF(Data!B604 = 'Point Intercept 2'!B604, Data!B604, "ERROR")</f>
        <v>2025</v>
      </c>
      <c r="C604" s="8">
        <f>IF(Data!C604 = 'Point Intercept 2'!C604, Data!C604, "ERROR")</f>
        <v>45764</v>
      </c>
      <c r="D604" s="6" t="str">
        <f>IF(Data!D604 = 'Point Intercept 2'!D604, Data!D604, "ERROR")</f>
        <v>ERROR</v>
      </c>
      <c r="E604" s="6" t="str">
        <f>IF(Data!E604 = 'Point Intercept 2'!E604, Data!E604, "ERROR")</f>
        <v>VB</v>
      </c>
      <c r="F604" s="6">
        <f>IF(Data!F604 = 'Point Intercept 2'!F604, Data!F604, "ERROR")</f>
        <v>1</v>
      </c>
      <c r="G604" s="6" t="str">
        <f>IF(Data!G604 = 'Point Intercept 2'!G604, Data!G604, "ERROR")</f>
        <v>SU</v>
      </c>
      <c r="H604" s="6">
        <f>IF(Data!I604 = 'Point Intercept 2'!I604, Data!I604, "ERROR")</f>
        <v>4</v>
      </c>
      <c r="I604" s="6">
        <f>IF(Data!H604 = 'Point Intercept 2'!H604, Data!H604, "ERROR")</f>
        <v>1</v>
      </c>
      <c r="J604" s="6">
        <f>IF(Data!J604 = 'Point Intercept 2'!J604, Data!J604, "ERROR")</f>
        <v>2</v>
      </c>
      <c r="K604" s="6" t="str">
        <f>IF(Data!K604 = 'Point Intercept 2'!K604, Data!K604, "ERROR")</f>
        <v>S</v>
      </c>
      <c r="L604" s="6" t="str">
        <f>IF(Data!L604 = 'Point Intercept 2'!L604, Data!L604, "ERROR")</f>
        <v>Stem</v>
      </c>
    </row>
    <row r="605" spans="1:12" x14ac:dyDescent="0.25">
      <c r="A605" s="6">
        <f>IF(Data!A605 = 'Point Intercept 2'!A605, Data!A605, "ERROR")</f>
        <v>7</v>
      </c>
      <c r="B605" s="6">
        <f>IF(Data!B605 = 'Point Intercept 2'!B605, Data!B605, "ERROR")</f>
        <v>2025</v>
      </c>
      <c r="C605" s="8">
        <f>IF(Data!C605 = 'Point Intercept 2'!C605, Data!C605, "ERROR")</f>
        <v>45764</v>
      </c>
      <c r="D605" s="6" t="str">
        <f>IF(Data!D605 = 'Point Intercept 2'!D605, Data!D605, "ERROR")</f>
        <v>ERROR</v>
      </c>
      <c r="E605" s="6" t="str">
        <f>IF(Data!E605 = 'Point Intercept 2'!E605, Data!E605, "ERROR")</f>
        <v>VB</v>
      </c>
      <c r="F605" s="6">
        <f>IF(Data!F605 = 'Point Intercept 2'!F605, Data!F605, "ERROR")</f>
        <v>1</v>
      </c>
      <c r="G605" s="6" t="str">
        <f>IF(Data!G605 = 'Point Intercept 2'!G605, Data!G605, "ERROR")</f>
        <v>SU</v>
      </c>
      <c r="H605" s="6">
        <f>IF(Data!I605 = 'Point Intercept 2'!I605, Data!I605, "ERROR")</f>
        <v>4</v>
      </c>
      <c r="I605" s="6">
        <f>IF(Data!H605 = 'Point Intercept 2'!H605, Data!H605, "ERROR")</f>
        <v>1</v>
      </c>
      <c r="J605" s="6">
        <f>IF(Data!J605 = 'Point Intercept 2'!J605, Data!J605, "ERROR")</f>
        <v>2</v>
      </c>
      <c r="K605" s="6" t="str">
        <f>IF(Data!K605 = 'Point Intercept 2'!K605, Data!K605, "ERROR")</f>
        <v>EROMOS</v>
      </c>
      <c r="L605" s="6" t="str">
        <f>IF(Data!L605 = 'Point Intercept 2'!L605, Data!L605, "ERROR")</f>
        <v>Erodium moschatum</v>
      </c>
    </row>
    <row r="606" spans="1:12" x14ac:dyDescent="0.25">
      <c r="A606" s="6">
        <f>IF(Data!A606 = 'Point Intercept 2'!A606, Data!A606, "ERROR")</f>
        <v>7</v>
      </c>
      <c r="B606" s="6">
        <f>IF(Data!B606 = 'Point Intercept 2'!B606, Data!B606, "ERROR")</f>
        <v>2025</v>
      </c>
      <c r="C606" s="8">
        <f>IF(Data!C606 = 'Point Intercept 2'!C606, Data!C606, "ERROR")</f>
        <v>45764</v>
      </c>
      <c r="D606" s="6" t="str">
        <f>IF(Data!D606 = 'Point Intercept 2'!D606, Data!D606, "ERROR")</f>
        <v>ERROR</v>
      </c>
      <c r="E606" s="6" t="str">
        <f>IF(Data!E606 = 'Point Intercept 2'!E606, Data!E606, "ERROR")</f>
        <v>VB</v>
      </c>
      <c r="F606" s="6">
        <f>IF(Data!F606 = 'Point Intercept 2'!F606, Data!F606, "ERROR")</f>
        <v>1</v>
      </c>
      <c r="G606" s="6" t="str">
        <f>IF(Data!G606 = 'Point Intercept 2'!G606, Data!G606, "ERROR")</f>
        <v>SU</v>
      </c>
      <c r="H606" s="6">
        <f>IF(Data!I606 = 'Point Intercept 2'!I606, Data!I606, "ERROR")</f>
        <v>5</v>
      </c>
      <c r="I606" s="6">
        <f>IF(Data!H606 = 'Point Intercept 2'!H606, Data!H606, "ERROR")</f>
        <v>1</v>
      </c>
      <c r="J606" s="6">
        <f>IF(Data!J606 = 'Point Intercept 2'!J606, Data!J606, "ERROR")</f>
        <v>3</v>
      </c>
      <c r="K606" s="6" t="str">
        <f>IF(Data!K606 = 'Point Intercept 2'!K606, Data!K606, "ERROR")</f>
        <v>B</v>
      </c>
      <c r="L606" s="6" t="str">
        <f>IF(Data!L606 = 'Point Intercept 2'!L606, Data!L606, "ERROR")</f>
        <v>Bareground</v>
      </c>
    </row>
    <row r="607" spans="1:12" x14ac:dyDescent="0.25">
      <c r="A607" s="6">
        <f>IF(Data!A607 = 'Point Intercept 2'!A607, Data!A607, "ERROR")</f>
        <v>7</v>
      </c>
      <c r="B607" s="6">
        <f>IF(Data!B607 = 'Point Intercept 2'!B607, Data!B607, "ERROR")</f>
        <v>2025</v>
      </c>
      <c r="C607" s="8">
        <f>IF(Data!C607 = 'Point Intercept 2'!C607, Data!C607, "ERROR")</f>
        <v>45764</v>
      </c>
      <c r="D607" s="6" t="str">
        <f>IF(Data!D607 = 'Point Intercept 2'!D607, Data!D607, "ERROR")</f>
        <v>ERROR</v>
      </c>
      <c r="E607" s="6" t="str">
        <f>IF(Data!E607 = 'Point Intercept 2'!E607, Data!E607, "ERROR")</f>
        <v>VB</v>
      </c>
      <c r="F607" s="6">
        <f>IF(Data!F607 = 'Point Intercept 2'!F607, Data!F607, "ERROR")</f>
        <v>1</v>
      </c>
      <c r="G607" s="6" t="str">
        <f>IF(Data!G607 = 'Point Intercept 2'!G607, Data!G607, "ERROR")</f>
        <v>SU</v>
      </c>
      <c r="H607" s="6">
        <f>IF(Data!I607 = 'Point Intercept 2'!I607, Data!I607, "ERROR")</f>
        <v>5</v>
      </c>
      <c r="I607" s="6">
        <f>IF(Data!H607 = 'Point Intercept 2'!H607, Data!H607, "ERROR")</f>
        <v>1</v>
      </c>
      <c r="J607" s="6">
        <f>IF(Data!J607 = 'Point Intercept 2'!J607, Data!J607, "ERROR")</f>
        <v>3</v>
      </c>
      <c r="K607" s="6" t="str">
        <f>IF(Data!K607 = 'Point Intercept 2'!K607, Data!K607, "ERROR")</f>
        <v>SONOLE</v>
      </c>
      <c r="L607" s="6" t="str">
        <f>IF(Data!L607 = 'Point Intercept 2'!L607, Data!L607, "ERROR")</f>
        <v>Sonchus oleraceus</v>
      </c>
    </row>
    <row r="608" spans="1:12" x14ac:dyDescent="0.25">
      <c r="A608" s="6">
        <f>IF(Data!A608 = 'Point Intercept 2'!A608, Data!A608, "ERROR")</f>
        <v>7</v>
      </c>
      <c r="B608" s="6">
        <f>IF(Data!B608 = 'Point Intercept 2'!B608, Data!B608, "ERROR")</f>
        <v>2025</v>
      </c>
      <c r="C608" s="8">
        <f>IF(Data!C608 = 'Point Intercept 2'!C608, Data!C608, "ERROR")</f>
        <v>45764</v>
      </c>
      <c r="D608" s="6" t="str">
        <f>IF(Data!D608 = 'Point Intercept 2'!D608, Data!D608, "ERROR")</f>
        <v>ERROR</v>
      </c>
      <c r="E608" s="6" t="str">
        <f>IF(Data!E608 = 'Point Intercept 2'!E608, Data!E608, "ERROR")</f>
        <v>VB</v>
      </c>
      <c r="F608" s="6">
        <f>IF(Data!F608 = 'Point Intercept 2'!F608, Data!F608, "ERROR")</f>
        <v>1</v>
      </c>
      <c r="G608" s="6" t="str">
        <f>IF(Data!G608 = 'Point Intercept 2'!G608, Data!G608, "ERROR")</f>
        <v>SU</v>
      </c>
      <c r="H608" s="6">
        <f>IF(Data!I608 = 'Point Intercept 2'!I608, Data!I608, "ERROR")</f>
        <v>6</v>
      </c>
      <c r="I608" s="6">
        <f>IF(Data!H608 = 'Point Intercept 2'!H608, Data!H608, "ERROR")</f>
        <v>1</v>
      </c>
      <c r="J608" s="6">
        <f>IF(Data!J608 = 'Point Intercept 2'!J608, Data!J608, "ERROR")</f>
        <v>3.5</v>
      </c>
      <c r="K608" s="6" t="str">
        <f>IF(Data!K608 = 'Point Intercept 2'!K608, Data!K608, "ERROR")</f>
        <v>L</v>
      </c>
      <c r="L608" s="6" t="str">
        <f>IF(Data!L608 = 'Point Intercept 2'!L608, Data!L608, "ERROR")</f>
        <v>Litter</v>
      </c>
    </row>
    <row r="609" spans="1:12" x14ac:dyDescent="0.25">
      <c r="A609" s="6">
        <f>IF(Data!A609 = 'Point Intercept 2'!A609, Data!A609, "ERROR")</f>
        <v>7</v>
      </c>
      <c r="B609" s="6">
        <f>IF(Data!B609 = 'Point Intercept 2'!B609, Data!B609, "ERROR")</f>
        <v>2025</v>
      </c>
      <c r="C609" s="8">
        <f>IF(Data!C609 = 'Point Intercept 2'!C609, Data!C609, "ERROR")</f>
        <v>45764</v>
      </c>
      <c r="D609" s="6" t="str">
        <f>IF(Data!D609 = 'Point Intercept 2'!D609, Data!D609, "ERROR")</f>
        <v>ERROR</v>
      </c>
      <c r="E609" s="6" t="str">
        <f>IF(Data!E609 = 'Point Intercept 2'!E609, Data!E609, "ERROR")</f>
        <v>VB</v>
      </c>
      <c r="F609" s="6">
        <f>IF(Data!F609 = 'Point Intercept 2'!F609, Data!F609, "ERROR")</f>
        <v>1</v>
      </c>
      <c r="G609" s="6" t="str">
        <f>IF(Data!G609 = 'Point Intercept 2'!G609, Data!G609, "ERROR")</f>
        <v>SU</v>
      </c>
      <c r="H609" s="6">
        <f>IF(Data!I609 = 'Point Intercept 2'!I609, Data!I609, "ERROR")</f>
        <v>6</v>
      </c>
      <c r="I609" s="6">
        <f>IF(Data!H609 = 'Point Intercept 2'!H609, Data!H609, "ERROR")</f>
        <v>1</v>
      </c>
      <c r="J609" s="6">
        <f>IF(Data!J609 = 'Point Intercept 2'!J609, Data!J609, "ERROR")</f>
        <v>3.5</v>
      </c>
      <c r="K609" s="6" t="str">
        <f>IF(Data!K609 = 'Point Intercept 2'!K609, Data!K609, "ERROR")</f>
        <v>FESMYU</v>
      </c>
      <c r="L609" s="6" t="str">
        <f>IF(Data!L609 = 'Point Intercept 2'!L609, Data!L609, "ERROR")</f>
        <v>Festuca myuros</v>
      </c>
    </row>
    <row r="610" spans="1:12" x14ac:dyDescent="0.25">
      <c r="A610" s="6">
        <f>IF(Data!A610 = 'Point Intercept 2'!A610, Data!A610, "ERROR")</f>
        <v>7</v>
      </c>
      <c r="B610" s="6">
        <f>IF(Data!B610 = 'Point Intercept 2'!B610, Data!B610, "ERROR")</f>
        <v>2025</v>
      </c>
      <c r="C610" s="8">
        <f>IF(Data!C610 = 'Point Intercept 2'!C610, Data!C610, "ERROR")</f>
        <v>45764</v>
      </c>
      <c r="D610" s="6" t="str">
        <f>IF(Data!D610 = 'Point Intercept 2'!D610, Data!D610, "ERROR")</f>
        <v>ERROR</v>
      </c>
      <c r="E610" s="6" t="str">
        <f>IF(Data!E610 = 'Point Intercept 2'!E610, Data!E610, "ERROR")</f>
        <v>VB</v>
      </c>
      <c r="F610" s="6">
        <f>IF(Data!F610 = 'Point Intercept 2'!F610, Data!F610, "ERROR")</f>
        <v>1</v>
      </c>
      <c r="G610" s="6" t="str">
        <f>IF(Data!G610 = 'Point Intercept 2'!G610, Data!G610, "ERROR")</f>
        <v>SU</v>
      </c>
      <c r="H610" s="6">
        <f>IF(Data!I610 = 'Point Intercept 2'!I610, Data!I610, "ERROR")</f>
        <v>6</v>
      </c>
      <c r="I610" s="6">
        <f>IF(Data!H610 = 'Point Intercept 2'!H610, Data!H610, "ERROR")</f>
        <v>1</v>
      </c>
      <c r="J610" s="6">
        <f>IF(Data!J610 = 'Point Intercept 2'!J610, Data!J610, "ERROR")</f>
        <v>3.5</v>
      </c>
      <c r="K610" s="6" t="str">
        <f>IF(Data!K610 = 'Point Intercept 2'!K610, Data!K610, "ERROR")</f>
        <v>DEIFAS</v>
      </c>
      <c r="L610" s="6" t="str">
        <f>IF(Data!L610 = 'Point Intercept 2'!L610, Data!L610, "ERROR")</f>
        <v>Deinandra fasciculata</v>
      </c>
    </row>
    <row r="611" spans="1:12" x14ac:dyDescent="0.25">
      <c r="A611" s="6">
        <f>IF(Data!A611 = 'Point Intercept 2'!A611, Data!A611, "ERROR")</f>
        <v>7</v>
      </c>
      <c r="B611" s="6">
        <f>IF(Data!B611 = 'Point Intercept 2'!B611, Data!B611, "ERROR")</f>
        <v>2025</v>
      </c>
      <c r="C611" s="8">
        <f>IF(Data!C611 = 'Point Intercept 2'!C611, Data!C611, "ERROR")</f>
        <v>45764</v>
      </c>
      <c r="D611" s="6" t="str">
        <f>IF(Data!D611 = 'Point Intercept 2'!D611, Data!D611, "ERROR")</f>
        <v>ERROR</v>
      </c>
      <c r="E611" s="6" t="str">
        <f>IF(Data!E611 = 'Point Intercept 2'!E611, Data!E611, "ERROR")</f>
        <v>VB</v>
      </c>
      <c r="F611" s="6">
        <f>IF(Data!F611 = 'Point Intercept 2'!F611, Data!F611, "ERROR")</f>
        <v>1</v>
      </c>
      <c r="G611" s="6" t="str">
        <f>IF(Data!G611 = 'Point Intercept 2'!G611, Data!G611, "ERROR")</f>
        <v>SU</v>
      </c>
      <c r="H611" s="6">
        <f>IF(Data!I611 = 'Point Intercept 2'!I611, Data!I611, "ERROR")</f>
        <v>7</v>
      </c>
      <c r="I611" s="6">
        <f>IF(Data!H611 = 'Point Intercept 2'!H611, Data!H611, "ERROR")</f>
        <v>1</v>
      </c>
      <c r="J611" s="6">
        <f>IF(Data!J611 = 'Point Intercept 2'!J611, Data!J611, "ERROR")</f>
        <v>4</v>
      </c>
      <c r="K611" s="6" t="str">
        <f>IF(Data!K611 = 'Point Intercept 2'!K611, Data!K611, "ERROR")</f>
        <v>B</v>
      </c>
      <c r="L611" s="6" t="str">
        <f>IF(Data!L611 = 'Point Intercept 2'!L611, Data!L611, "ERROR")</f>
        <v>Bareground</v>
      </c>
    </row>
    <row r="612" spans="1:12" x14ac:dyDescent="0.25">
      <c r="A612" s="6">
        <f>IF(Data!A612 = 'Point Intercept 2'!A612, Data!A612, "ERROR")</f>
        <v>7</v>
      </c>
      <c r="B612" s="6">
        <f>IF(Data!B612 = 'Point Intercept 2'!B612, Data!B612, "ERROR")</f>
        <v>2025</v>
      </c>
      <c r="C612" s="8">
        <f>IF(Data!C612 = 'Point Intercept 2'!C612, Data!C612, "ERROR")</f>
        <v>45764</v>
      </c>
      <c r="D612" s="6" t="str">
        <f>IF(Data!D612 = 'Point Intercept 2'!D612, Data!D612, "ERROR")</f>
        <v>ERROR</v>
      </c>
      <c r="E612" s="6" t="str">
        <f>IF(Data!E612 = 'Point Intercept 2'!E612, Data!E612, "ERROR")</f>
        <v>VB</v>
      </c>
      <c r="F612" s="6">
        <f>IF(Data!F612 = 'Point Intercept 2'!F612, Data!F612, "ERROR")</f>
        <v>1</v>
      </c>
      <c r="G612" s="6" t="str">
        <f>IF(Data!G612 = 'Point Intercept 2'!G612, Data!G612, "ERROR")</f>
        <v>SU</v>
      </c>
      <c r="H612" s="6">
        <f>IF(Data!I612 = 'Point Intercept 2'!I612, Data!I612, "ERROR")</f>
        <v>7</v>
      </c>
      <c r="I612" s="6">
        <f>IF(Data!H612 = 'Point Intercept 2'!H612, Data!H612, "ERROR")</f>
        <v>1</v>
      </c>
      <c r="J612" s="6">
        <f>IF(Data!J612 = 'Point Intercept 2'!J612, Data!J612, "ERROR")</f>
        <v>4</v>
      </c>
      <c r="K612" s="6" t="str">
        <f>IF(Data!K612 = 'Point Intercept 2'!K612, Data!K612, "ERROR")</f>
        <v>DEIFAS</v>
      </c>
      <c r="L612" s="6" t="str">
        <f>IF(Data!L612 = 'Point Intercept 2'!L612, Data!L612, "ERROR")</f>
        <v>Deinandra fasciculata</v>
      </c>
    </row>
    <row r="613" spans="1:12" x14ac:dyDescent="0.25">
      <c r="A613" s="6">
        <f>IF(Data!A613 = 'Point Intercept 2'!A613, Data!A613, "ERROR")</f>
        <v>7</v>
      </c>
      <c r="B613" s="6">
        <f>IF(Data!B613 = 'Point Intercept 2'!B613, Data!B613, "ERROR")</f>
        <v>2025</v>
      </c>
      <c r="C613" s="8">
        <f>IF(Data!C613 = 'Point Intercept 2'!C613, Data!C613, "ERROR")</f>
        <v>45764</v>
      </c>
      <c r="D613" s="6" t="str">
        <f>IF(Data!D613 = 'Point Intercept 2'!D613, Data!D613, "ERROR")</f>
        <v>ERROR</v>
      </c>
      <c r="E613" s="6" t="str">
        <f>IF(Data!E613 = 'Point Intercept 2'!E613, Data!E613, "ERROR")</f>
        <v>VB</v>
      </c>
      <c r="F613" s="6">
        <f>IF(Data!F613 = 'Point Intercept 2'!F613, Data!F613, "ERROR")</f>
        <v>1</v>
      </c>
      <c r="G613" s="6" t="str">
        <f>IF(Data!G613 = 'Point Intercept 2'!G613, Data!G613, "ERROR")</f>
        <v>SU</v>
      </c>
      <c r="H613" s="6">
        <f>IF(Data!I613 = 'Point Intercept 2'!I613, Data!I613, "ERROR")</f>
        <v>7</v>
      </c>
      <c r="I613" s="6">
        <f>IF(Data!H613 = 'Point Intercept 2'!H613, Data!H613, "ERROR")</f>
        <v>1</v>
      </c>
      <c r="J613" s="6">
        <f>IF(Data!J613 = 'Point Intercept 2'!J613, Data!J613, "ERROR")</f>
        <v>4</v>
      </c>
      <c r="K613" s="6" t="str">
        <f>IF(Data!K613 = 'Point Intercept 2'!K613, Data!K613, "ERROR")</f>
        <v>EROCIC</v>
      </c>
      <c r="L613" s="6" t="str">
        <f>IF(Data!L613 = 'Point Intercept 2'!L613, Data!L613, "ERROR")</f>
        <v>Erodium cicutarium</v>
      </c>
    </row>
    <row r="614" spans="1:12" x14ac:dyDescent="0.25">
      <c r="A614" s="6">
        <f>IF(Data!A614 = 'Point Intercept 2'!A614, Data!A614, "ERROR")</f>
        <v>7</v>
      </c>
      <c r="B614" s="6">
        <f>IF(Data!B614 = 'Point Intercept 2'!B614, Data!B614, "ERROR")</f>
        <v>2025</v>
      </c>
      <c r="C614" s="8">
        <f>IF(Data!C614 = 'Point Intercept 2'!C614, Data!C614, "ERROR")</f>
        <v>45764</v>
      </c>
      <c r="D614" s="6" t="str">
        <f>IF(Data!D614 = 'Point Intercept 2'!D614, Data!D614, "ERROR")</f>
        <v>ERROR</v>
      </c>
      <c r="E614" s="6" t="str">
        <f>IF(Data!E614 = 'Point Intercept 2'!E614, Data!E614, "ERROR")</f>
        <v>VB</v>
      </c>
      <c r="F614" s="6">
        <f>IF(Data!F614 = 'Point Intercept 2'!F614, Data!F614, "ERROR")</f>
        <v>1</v>
      </c>
      <c r="G614" s="6" t="str">
        <f>IF(Data!G614 = 'Point Intercept 2'!G614, Data!G614, "ERROR")</f>
        <v>SU</v>
      </c>
      <c r="H614" s="6">
        <f>IF(Data!I614 = 'Point Intercept 2'!I614, Data!I614, "ERROR")</f>
        <v>8</v>
      </c>
      <c r="I614" s="6">
        <f>IF(Data!H614 = 'Point Intercept 2'!H614, Data!H614, "ERROR")</f>
        <v>1</v>
      </c>
      <c r="J614" s="6">
        <f>IF(Data!J614 = 'Point Intercept 2'!J614, Data!J614, "ERROR")</f>
        <v>5</v>
      </c>
      <c r="K614" s="6" t="str">
        <f>IF(Data!K614 = 'Point Intercept 2'!K614, Data!K614, "ERROR")</f>
        <v>L</v>
      </c>
      <c r="L614" s="6" t="str">
        <f>IF(Data!L614 = 'Point Intercept 2'!L614, Data!L614, "ERROR")</f>
        <v>Litter</v>
      </c>
    </row>
    <row r="615" spans="1:12" x14ac:dyDescent="0.25">
      <c r="A615" s="6">
        <f>IF(Data!A615 = 'Point Intercept 2'!A615, Data!A615, "ERROR")</f>
        <v>7</v>
      </c>
      <c r="B615" s="6">
        <f>IF(Data!B615 = 'Point Intercept 2'!B615, Data!B615, "ERROR")</f>
        <v>2025</v>
      </c>
      <c r="C615" s="8">
        <f>IF(Data!C615 = 'Point Intercept 2'!C615, Data!C615, "ERROR")</f>
        <v>45764</v>
      </c>
      <c r="D615" s="6" t="str">
        <f>IF(Data!D615 = 'Point Intercept 2'!D615, Data!D615, "ERROR")</f>
        <v>ERROR</v>
      </c>
      <c r="E615" s="6" t="str">
        <f>IF(Data!E615 = 'Point Intercept 2'!E615, Data!E615, "ERROR")</f>
        <v>VB</v>
      </c>
      <c r="F615" s="6">
        <f>IF(Data!F615 = 'Point Intercept 2'!F615, Data!F615, "ERROR")</f>
        <v>1</v>
      </c>
      <c r="G615" s="6" t="str">
        <f>IF(Data!G615 = 'Point Intercept 2'!G615, Data!G615, "ERROR")</f>
        <v>SU</v>
      </c>
      <c r="H615" s="6">
        <f>IF(Data!I615 = 'Point Intercept 2'!I615, Data!I615, "ERROR")</f>
        <v>8</v>
      </c>
      <c r="I615" s="6">
        <f>IF(Data!H615 = 'Point Intercept 2'!H615, Data!H615, "ERROR")</f>
        <v>1</v>
      </c>
      <c r="J615" s="6">
        <f>IF(Data!J615 = 'Point Intercept 2'!J615, Data!J615, "ERROR")</f>
        <v>5</v>
      </c>
      <c r="K615" s="6" t="str">
        <f>IF(Data!K615 = 'Point Intercept 2'!K615, Data!K615, "ERROR")</f>
        <v>ANAARV</v>
      </c>
      <c r="L615" s="6" t="str">
        <f>IF(Data!L615 = 'Point Intercept 2'!L615, Data!L615, "ERROR")</f>
        <v>Anagallis arvensis</v>
      </c>
    </row>
    <row r="616" spans="1:12" x14ac:dyDescent="0.25">
      <c r="A616" s="6">
        <f>IF(Data!A616 = 'Point Intercept 2'!A616, Data!A616, "ERROR")</f>
        <v>7</v>
      </c>
      <c r="B616" s="6">
        <f>IF(Data!B616 = 'Point Intercept 2'!B616, Data!B616, "ERROR")</f>
        <v>2025</v>
      </c>
      <c r="C616" s="8">
        <f>IF(Data!C616 = 'Point Intercept 2'!C616, Data!C616, "ERROR")</f>
        <v>45764</v>
      </c>
      <c r="D616" s="6" t="str">
        <f>IF(Data!D616 = 'Point Intercept 2'!D616, Data!D616, "ERROR")</f>
        <v>ERROR</v>
      </c>
      <c r="E616" s="6" t="str">
        <f>IF(Data!E616 = 'Point Intercept 2'!E616, Data!E616, "ERROR")</f>
        <v>VB</v>
      </c>
      <c r="F616" s="6">
        <f>IF(Data!F616 = 'Point Intercept 2'!F616, Data!F616, "ERROR")</f>
        <v>1</v>
      </c>
      <c r="G616" s="6" t="str">
        <f>IF(Data!G616 = 'Point Intercept 2'!G616, Data!G616, "ERROR")</f>
        <v>SU</v>
      </c>
      <c r="H616" s="6">
        <f>IF(Data!I616 = 'Point Intercept 2'!I616, Data!I616, "ERROR")</f>
        <v>8</v>
      </c>
      <c r="I616" s="6">
        <f>IF(Data!H616 = 'Point Intercept 2'!H616, Data!H616, "ERROR")</f>
        <v>1</v>
      </c>
      <c r="J616" s="6">
        <f>IF(Data!J616 = 'Point Intercept 2'!J616, Data!J616, "ERROR")</f>
        <v>5</v>
      </c>
      <c r="K616" s="6" t="str">
        <f>IF(Data!K616 = 'Point Intercept 2'!K616, Data!K616, "ERROR")</f>
        <v>SONASP</v>
      </c>
      <c r="L616" s="6" t="str">
        <f>IF(Data!L616 = 'Point Intercept 2'!L616, Data!L616, "ERROR")</f>
        <v>Sonchus asper</v>
      </c>
    </row>
    <row r="617" spans="1:12" x14ac:dyDescent="0.25">
      <c r="A617" s="6">
        <f>IF(Data!A617 = 'Point Intercept 2'!A617, Data!A617, "ERROR")</f>
        <v>7</v>
      </c>
      <c r="B617" s="6">
        <f>IF(Data!B617 = 'Point Intercept 2'!B617, Data!B617, "ERROR")</f>
        <v>2025</v>
      </c>
      <c r="C617" s="8">
        <f>IF(Data!C617 = 'Point Intercept 2'!C617, Data!C617, "ERROR")</f>
        <v>45764</v>
      </c>
      <c r="D617" s="6" t="str">
        <f>IF(Data!D617 = 'Point Intercept 2'!D617, Data!D617, "ERROR")</f>
        <v>ERROR</v>
      </c>
      <c r="E617" s="6" t="str">
        <f>IF(Data!E617 = 'Point Intercept 2'!E617, Data!E617, "ERROR")</f>
        <v>VB</v>
      </c>
      <c r="F617" s="6">
        <f>IF(Data!F617 = 'Point Intercept 2'!F617, Data!F617, "ERROR")</f>
        <v>1</v>
      </c>
      <c r="G617" s="6" t="str">
        <f>IF(Data!G617 = 'Point Intercept 2'!G617, Data!G617, "ERROR")</f>
        <v>SU</v>
      </c>
      <c r="H617" s="6">
        <f>IF(Data!I617 = 'Point Intercept 2'!I617, Data!I617, "ERROR")</f>
        <v>9</v>
      </c>
      <c r="I617" s="6">
        <f>IF(Data!H617 = 'Point Intercept 2'!H617, Data!H617, "ERROR")</f>
        <v>1</v>
      </c>
      <c r="J617" s="6">
        <f>IF(Data!J617 = 'Point Intercept 2'!J617, Data!J617, "ERROR")</f>
        <v>7</v>
      </c>
      <c r="K617" s="6" t="str">
        <f>IF(Data!K617 = 'Point Intercept 2'!K617, Data!K617, "ERROR")</f>
        <v>S</v>
      </c>
      <c r="L617" s="6" t="str">
        <f>IF(Data!L617 = 'Point Intercept 2'!L617, Data!L617, "ERROR")</f>
        <v>Stem</v>
      </c>
    </row>
    <row r="618" spans="1:12" x14ac:dyDescent="0.25">
      <c r="A618" s="6">
        <f>IF(Data!A618 = 'Point Intercept 2'!A618, Data!A618, "ERROR")</f>
        <v>7</v>
      </c>
      <c r="B618" s="6">
        <f>IF(Data!B618 = 'Point Intercept 2'!B618, Data!B618, "ERROR")</f>
        <v>2025</v>
      </c>
      <c r="C618" s="8">
        <f>IF(Data!C618 = 'Point Intercept 2'!C618, Data!C618, "ERROR")</f>
        <v>45764</v>
      </c>
      <c r="D618" s="6" t="str">
        <f>IF(Data!D618 = 'Point Intercept 2'!D618, Data!D618, "ERROR")</f>
        <v>ERROR</v>
      </c>
      <c r="E618" s="6" t="str">
        <f>IF(Data!E618 = 'Point Intercept 2'!E618, Data!E618, "ERROR")</f>
        <v>VB</v>
      </c>
      <c r="F618" s="6">
        <f>IF(Data!F618 = 'Point Intercept 2'!F618, Data!F618, "ERROR")</f>
        <v>1</v>
      </c>
      <c r="G618" s="6" t="str">
        <f>IF(Data!G618 = 'Point Intercept 2'!G618, Data!G618, "ERROR")</f>
        <v>SU</v>
      </c>
      <c r="H618" s="6">
        <f>IF(Data!I618 = 'Point Intercept 2'!I618, Data!I618, "ERROR")</f>
        <v>9</v>
      </c>
      <c r="I618" s="6">
        <f>IF(Data!H618 = 'Point Intercept 2'!H618, Data!H618, "ERROR")</f>
        <v>1</v>
      </c>
      <c r="J618" s="6">
        <f>IF(Data!J618 = 'Point Intercept 2'!J618, Data!J618, "ERROR")</f>
        <v>7</v>
      </c>
      <c r="K618" s="6" t="str">
        <f>IF(Data!K618 = 'Point Intercept 2'!K618, Data!K618, "ERROR")</f>
        <v>FESMYU</v>
      </c>
      <c r="L618" s="6" t="str">
        <f>IF(Data!L618 = 'Point Intercept 2'!L618, Data!L618, "ERROR")</f>
        <v>Festuca myuros</v>
      </c>
    </row>
    <row r="619" spans="1:12" x14ac:dyDescent="0.25">
      <c r="A619" s="6">
        <f>IF(Data!A619 = 'Point Intercept 2'!A619, Data!A619, "ERROR")</f>
        <v>7</v>
      </c>
      <c r="B619" s="6">
        <f>IF(Data!B619 = 'Point Intercept 2'!B619, Data!B619, "ERROR")</f>
        <v>2025</v>
      </c>
      <c r="C619" s="8">
        <f>IF(Data!C619 = 'Point Intercept 2'!C619, Data!C619, "ERROR")</f>
        <v>45764</v>
      </c>
      <c r="D619" s="6" t="str">
        <f>IF(Data!D619 = 'Point Intercept 2'!D619, Data!D619, "ERROR")</f>
        <v>ERROR</v>
      </c>
      <c r="E619" s="6" t="str">
        <f>IF(Data!E619 = 'Point Intercept 2'!E619, Data!E619, "ERROR")</f>
        <v>VB</v>
      </c>
      <c r="F619" s="6">
        <f>IF(Data!F619 = 'Point Intercept 2'!F619, Data!F619, "ERROR")</f>
        <v>1</v>
      </c>
      <c r="G619" s="6" t="str">
        <f>IF(Data!G619 = 'Point Intercept 2'!G619, Data!G619, "ERROR")</f>
        <v>SU</v>
      </c>
      <c r="H619" s="6">
        <f>IF(Data!I619 = 'Point Intercept 2'!I619, Data!I619, "ERROR")</f>
        <v>9</v>
      </c>
      <c r="I619" s="6">
        <f>IF(Data!H619 = 'Point Intercept 2'!H619, Data!H619, "ERROR")</f>
        <v>1</v>
      </c>
      <c r="J619" s="6">
        <f>IF(Data!J619 = 'Point Intercept 2'!J619, Data!J619, "ERROR")</f>
        <v>7</v>
      </c>
      <c r="K619" s="6" t="str">
        <f>IF(Data!K619 = 'Point Intercept 2'!K619, Data!K619, "ERROR")</f>
        <v>EROCIC</v>
      </c>
      <c r="L619" s="6" t="str">
        <f>IF(Data!L619 = 'Point Intercept 2'!L619, Data!L619, "ERROR")</f>
        <v>Erodium cicutarium</v>
      </c>
    </row>
    <row r="620" spans="1:12" x14ac:dyDescent="0.25">
      <c r="A620" s="6">
        <f>IF(Data!A620 = 'Point Intercept 2'!A620, Data!A620, "ERROR")</f>
        <v>7</v>
      </c>
      <c r="B620" s="6">
        <f>IF(Data!B620 = 'Point Intercept 2'!B620, Data!B620, "ERROR")</f>
        <v>2025</v>
      </c>
      <c r="C620" s="8">
        <f>IF(Data!C620 = 'Point Intercept 2'!C620, Data!C620, "ERROR")</f>
        <v>45764</v>
      </c>
      <c r="D620" s="6" t="str">
        <f>IF(Data!D620 = 'Point Intercept 2'!D620, Data!D620, "ERROR")</f>
        <v>ERROR</v>
      </c>
      <c r="E620" s="6" t="str">
        <f>IF(Data!E620 = 'Point Intercept 2'!E620, Data!E620, "ERROR")</f>
        <v>VB</v>
      </c>
      <c r="F620" s="6">
        <f>IF(Data!F620 = 'Point Intercept 2'!F620, Data!F620, "ERROR")</f>
        <v>1</v>
      </c>
      <c r="G620" s="6" t="str">
        <f>IF(Data!G620 = 'Point Intercept 2'!G620, Data!G620, "ERROR")</f>
        <v>SU</v>
      </c>
      <c r="H620" s="6">
        <f>IF(Data!I620 = 'Point Intercept 2'!I620, Data!I620, "ERROR")</f>
        <v>10</v>
      </c>
      <c r="I620" s="6">
        <f>IF(Data!H620 = 'Point Intercept 2'!H620, Data!H620, "ERROR")</f>
        <v>1</v>
      </c>
      <c r="J620" s="6">
        <f>IF(Data!J620 = 'Point Intercept 2'!J620, Data!J620, "ERROR")</f>
        <v>8</v>
      </c>
      <c r="K620" s="6" t="str">
        <f>IF(Data!K620 = 'Point Intercept 2'!K620, Data!K620, "ERROR")</f>
        <v>L</v>
      </c>
      <c r="L620" s="6" t="str">
        <f>IF(Data!L620 = 'Point Intercept 2'!L620, Data!L620, "ERROR")</f>
        <v>Litter</v>
      </c>
    </row>
    <row r="621" spans="1:12" x14ac:dyDescent="0.25">
      <c r="A621" s="6">
        <f>IF(Data!A621 = 'Point Intercept 2'!A621, Data!A621, "ERROR")</f>
        <v>7</v>
      </c>
      <c r="B621" s="6">
        <f>IF(Data!B621 = 'Point Intercept 2'!B621, Data!B621, "ERROR")</f>
        <v>2025</v>
      </c>
      <c r="C621" s="8">
        <f>IF(Data!C621 = 'Point Intercept 2'!C621, Data!C621, "ERROR")</f>
        <v>45764</v>
      </c>
      <c r="D621" s="6" t="str">
        <f>IF(Data!D621 = 'Point Intercept 2'!D621, Data!D621, "ERROR")</f>
        <v>ERROR</v>
      </c>
      <c r="E621" s="6" t="str">
        <f>IF(Data!E621 = 'Point Intercept 2'!E621, Data!E621, "ERROR")</f>
        <v>VB</v>
      </c>
      <c r="F621" s="6">
        <f>IF(Data!F621 = 'Point Intercept 2'!F621, Data!F621, "ERROR")</f>
        <v>1</v>
      </c>
      <c r="G621" s="6" t="str">
        <f>IF(Data!G621 = 'Point Intercept 2'!G621, Data!G621, "ERROR")</f>
        <v>SU</v>
      </c>
      <c r="H621" s="6">
        <f>IF(Data!I621 = 'Point Intercept 2'!I621, Data!I621, "ERROR")</f>
        <v>10</v>
      </c>
      <c r="I621" s="6">
        <f>IF(Data!H621 = 'Point Intercept 2'!H621, Data!H621, "ERROR")</f>
        <v>1</v>
      </c>
      <c r="J621" s="6">
        <f>IF(Data!J621 = 'Point Intercept 2'!J621, Data!J621, "ERROR")</f>
        <v>8</v>
      </c>
      <c r="K621" s="6" t="str">
        <f>IF(Data!K621 = 'Point Intercept 2'!K621, Data!K621, "ERROR")</f>
        <v>EROMOS</v>
      </c>
      <c r="L621" s="6" t="str">
        <f>IF(Data!L621 = 'Point Intercept 2'!L621, Data!L621, "ERROR")</f>
        <v>Erodium moschatum</v>
      </c>
    </row>
    <row r="622" spans="1:12" x14ac:dyDescent="0.25">
      <c r="A622" s="6">
        <f>IF(Data!A622 = 'Point Intercept 2'!A622, Data!A622, "ERROR")</f>
        <v>7</v>
      </c>
      <c r="B622" s="6">
        <f>IF(Data!B622 = 'Point Intercept 2'!B622, Data!B622, "ERROR")</f>
        <v>2025</v>
      </c>
      <c r="C622" s="8">
        <f>IF(Data!C622 = 'Point Intercept 2'!C622, Data!C622, "ERROR")</f>
        <v>45764</v>
      </c>
      <c r="D622" s="6" t="str">
        <f>IF(Data!D622 = 'Point Intercept 2'!D622, Data!D622, "ERROR")</f>
        <v>ERROR</v>
      </c>
      <c r="E622" s="6" t="str">
        <f>IF(Data!E622 = 'Point Intercept 2'!E622, Data!E622, "ERROR")</f>
        <v>VB</v>
      </c>
      <c r="F622" s="6">
        <f>IF(Data!F622 = 'Point Intercept 2'!F622, Data!F622, "ERROR")</f>
        <v>1</v>
      </c>
      <c r="G622" s="6" t="str">
        <f>IF(Data!G622 = 'Point Intercept 2'!G622, Data!G622, "ERROR")</f>
        <v>SU</v>
      </c>
      <c r="H622" s="6">
        <f>IF(Data!I622 = 'Point Intercept 2'!I622, Data!I622, "ERROR")</f>
        <v>11</v>
      </c>
      <c r="I622" s="6">
        <f>IF(Data!H622 = 'Point Intercept 2'!H622, Data!H622, "ERROR")</f>
        <v>1</v>
      </c>
      <c r="J622" s="6">
        <f>IF(Data!J622 = 'Point Intercept 2'!J622, Data!J622, "ERROR")</f>
        <v>8.5</v>
      </c>
      <c r="K622" s="6" t="str">
        <f>IF(Data!K622 = 'Point Intercept 2'!K622, Data!K622, "ERROR")</f>
        <v>L</v>
      </c>
      <c r="L622" s="6" t="str">
        <f>IF(Data!L622 = 'Point Intercept 2'!L622, Data!L622, "ERROR")</f>
        <v>Litter</v>
      </c>
    </row>
    <row r="623" spans="1:12" x14ac:dyDescent="0.25">
      <c r="A623" s="6">
        <f>IF(Data!A623 = 'Point Intercept 2'!A623, Data!A623, "ERROR")</f>
        <v>7</v>
      </c>
      <c r="B623" s="6">
        <f>IF(Data!B623 = 'Point Intercept 2'!B623, Data!B623, "ERROR")</f>
        <v>2025</v>
      </c>
      <c r="C623" s="8">
        <f>IF(Data!C623 = 'Point Intercept 2'!C623, Data!C623, "ERROR")</f>
        <v>45764</v>
      </c>
      <c r="D623" s="6" t="str">
        <f>IF(Data!D623 = 'Point Intercept 2'!D623, Data!D623, "ERROR")</f>
        <v>ERROR</v>
      </c>
      <c r="E623" s="6" t="str">
        <f>IF(Data!E623 = 'Point Intercept 2'!E623, Data!E623, "ERROR")</f>
        <v>VB</v>
      </c>
      <c r="F623" s="6">
        <f>IF(Data!F623 = 'Point Intercept 2'!F623, Data!F623, "ERROR")</f>
        <v>1</v>
      </c>
      <c r="G623" s="6" t="str">
        <f>IF(Data!G623 = 'Point Intercept 2'!G623, Data!G623, "ERROR")</f>
        <v>SU</v>
      </c>
      <c r="H623" s="6">
        <f>IF(Data!I623 = 'Point Intercept 2'!I623, Data!I623, "ERROR")</f>
        <v>11</v>
      </c>
      <c r="I623" s="6">
        <f>IF(Data!H623 = 'Point Intercept 2'!H623, Data!H623, "ERROR")</f>
        <v>1</v>
      </c>
      <c r="J623" s="6">
        <f>IF(Data!J623 = 'Point Intercept 2'!J623, Data!J623, "ERROR")</f>
        <v>8.5</v>
      </c>
      <c r="K623" s="6" t="str">
        <f>IF(Data!K623 = 'Point Intercept 2'!K623, Data!K623, "ERROR")</f>
        <v>EROCIC</v>
      </c>
      <c r="L623" s="6" t="str">
        <f>IF(Data!L623 = 'Point Intercept 2'!L623, Data!L623, "ERROR")</f>
        <v>Erodium cicutarium</v>
      </c>
    </row>
    <row r="624" spans="1:12" x14ac:dyDescent="0.25">
      <c r="A624" s="6">
        <f>IF(Data!A624 = 'Point Intercept 2'!A624, Data!A624, "ERROR")</f>
        <v>7</v>
      </c>
      <c r="B624" s="6">
        <f>IF(Data!B624 = 'Point Intercept 2'!B624, Data!B624, "ERROR")</f>
        <v>2025</v>
      </c>
      <c r="C624" s="8">
        <f>IF(Data!C624 = 'Point Intercept 2'!C624, Data!C624, "ERROR")</f>
        <v>45764</v>
      </c>
      <c r="D624" s="6" t="str">
        <f>IF(Data!D624 = 'Point Intercept 2'!D624, Data!D624, "ERROR")</f>
        <v>ERROR</v>
      </c>
      <c r="E624" s="6" t="str">
        <f>IF(Data!E624 = 'Point Intercept 2'!E624, Data!E624, "ERROR")</f>
        <v>VB</v>
      </c>
      <c r="F624" s="6">
        <f>IF(Data!F624 = 'Point Intercept 2'!F624, Data!F624, "ERROR")</f>
        <v>1</v>
      </c>
      <c r="G624" s="6" t="str">
        <f>IF(Data!G624 = 'Point Intercept 2'!G624, Data!G624, "ERROR")</f>
        <v>SU</v>
      </c>
      <c r="H624" s="6">
        <f>IF(Data!I624 = 'Point Intercept 2'!I624, Data!I624, "ERROR")</f>
        <v>11</v>
      </c>
      <c r="I624" s="6">
        <f>IF(Data!H624 = 'Point Intercept 2'!H624, Data!H624, "ERROR")</f>
        <v>1</v>
      </c>
      <c r="J624" s="6">
        <f>IF(Data!J624 = 'Point Intercept 2'!J624, Data!J624, "ERROR")</f>
        <v>8.5</v>
      </c>
      <c r="K624" s="6" t="str">
        <f>IF(Data!K624 = 'Point Intercept 2'!K624, Data!K624, "ERROR")</f>
        <v>DEIFAS</v>
      </c>
      <c r="L624" s="6" t="str">
        <f>IF(Data!L624 = 'Point Intercept 2'!L624, Data!L624, "ERROR")</f>
        <v>Deinandra fasciculata</v>
      </c>
    </row>
    <row r="625" spans="1:12" x14ac:dyDescent="0.25">
      <c r="A625" s="6">
        <f>IF(Data!A625 = 'Point Intercept 2'!A625, Data!A625, "ERROR")</f>
        <v>7</v>
      </c>
      <c r="B625" s="6">
        <f>IF(Data!B625 = 'Point Intercept 2'!B625, Data!B625, "ERROR")</f>
        <v>2025</v>
      </c>
      <c r="C625" s="8">
        <f>IF(Data!C625 = 'Point Intercept 2'!C625, Data!C625, "ERROR")</f>
        <v>45764</v>
      </c>
      <c r="D625" s="6" t="str">
        <f>IF(Data!D625 = 'Point Intercept 2'!D625, Data!D625, "ERROR")</f>
        <v>ERROR</v>
      </c>
      <c r="E625" s="6" t="str">
        <f>IF(Data!E625 = 'Point Intercept 2'!E625, Data!E625, "ERROR")</f>
        <v>VB</v>
      </c>
      <c r="F625" s="6">
        <f>IF(Data!F625 = 'Point Intercept 2'!F625, Data!F625, "ERROR")</f>
        <v>1</v>
      </c>
      <c r="G625" s="6" t="str">
        <f>IF(Data!G625 = 'Point Intercept 2'!G625, Data!G625, "ERROR")</f>
        <v>SU</v>
      </c>
      <c r="H625" s="6">
        <f>IF(Data!I625 = 'Point Intercept 2'!I625, Data!I625, "ERROR")</f>
        <v>11</v>
      </c>
      <c r="I625" s="6">
        <f>IF(Data!H625 = 'Point Intercept 2'!H625, Data!H625, "ERROR")</f>
        <v>1</v>
      </c>
      <c r="J625" s="6">
        <f>IF(Data!J625 = 'Point Intercept 2'!J625, Data!J625, "ERROR")</f>
        <v>8.5</v>
      </c>
      <c r="K625" s="6" t="str">
        <f>IF(Data!K625 = 'Point Intercept 2'!K625, Data!K625, "ERROR")</f>
        <v>SONASP</v>
      </c>
      <c r="L625" s="6" t="str">
        <f>IF(Data!L625 = 'Point Intercept 2'!L625, Data!L625, "ERROR")</f>
        <v>Sonchus asper</v>
      </c>
    </row>
    <row r="626" spans="1:12" x14ac:dyDescent="0.25">
      <c r="A626" s="6">
        <f>IF(Data!A626 = 'Point Intercept 2'!A626, Data!A626, "ERROR")</f>
        <v>7</v>
      </c>
      <c r="B626" s="6">
        <f>IF(Data!B626 = 'Point Intercept 2'!B626, Data!B626, "ERROR")</f>
        <v>2025</v>
      </c>
      <c r="C626" s="8">
        <f>IF(Data!C626 = 'Point Intercept 2'!C626, Data!C626, "ERROR")</f>
        <v>45764</v>
      </c>
      <c r="D626" s="6" t="str">
        <f>IF(Data!D626 = 'Point Intercept 2'!D626, Data!D626, "ERROR")</f>
        <v>ERROR</v>
      </c>
      <c r="E626" s="6" t="str">
        <f>IF(Data!E626 = 'Point Intercept 2'!E626, Data!E626, "ERROR")</f>
        <v>VB</v>
      </c>
      <c r="F626" s="6">
        <f>IF(Data!F626 = 'Point Intercept 2'!F626, Data!F626, "ERROR")</f>
        <v>1</v>
      </c>
      <c r="G626" s="6" t="str">
        <f>IF(Data!G626 = 'Point Intercept 2'!G626, Data!G626, "ERROR")</f>
        <v>SU</v>
      </c>
      <c r="H626" s="6">
        <f>IF(Data!I626 = 'Point Intercept 2'!I626, Data!I626, "ERROR")</f>
        <v>12</v>
      </c>
      <c r="I626" s="6">
        <f>IF(Data!H626 = 'Point Intercept 2'!H626, Data!H626, "ERROR")</f>
        <v>1</v>
      </c>
      <c r="J626" s="6">
        <f>IF(Data!J626 = 'Point Intercept 2'!J626, Data!J626, "ERROR")</f>
        <v>9</v>
      </c>
      <c r="K626" s="6" t="str">
        <f>IF(Data!K626 = 'Point Intercept 2'!K626, Data!K626, "ERROR")</f>
        <v>L</v>
      </c>
      <c r="L626" s="6" t="str">
        <f>IF(Data!L626 = 'Point Intercept 2'!L626, Data!L626, "ERROR")</f>
        <v>Litter</v>
      </c>
    </row>
    <row r="627" spans="1:12" x14ac:dyDescent="0.25">
      <c r="A627" s="6">
        <f>IF(Data!A627 = 'Point Intercept 2'!A627, Data!A627, "ERROR")</f>
        <v>7</v>
      </c>
      <c r="B627" s="6">
        <f>IF(Data!B627 = 'Point Intercept 2'!B627, Data!B627, "ERROR")</f>
        <v>2025</v>
      </c>
      <c r="C627" s="8">
        <f>IF(Data!C627 = 'Point Intercept 2'!C627, Data!C627, "ERROR")</f>
        <v>45764</v>
      </c>
      <c r="D627" s="6" t="str">
        <f>IF(Data!D627 = 'Point Intercept 2'!D627, Data!D627, "ERROR")</f>
        <v>ERROR</v>
      </c>
      <c r="E627" s="6" t="str">
        <f>IF(Data!E627 = 'Point Intercept 2'!E627, Data!E627, "ERROR")</f>
        <v>VB</v>
      </c>
      <c r="F627" s="6">
        <f>IF(Data!F627 = 'Point Intercept 2'!F627, Data!F627, "ERROR")</f>
        <v>1</v>
      </c>
      <c r="G627" s="6" t="str">
        <f>IF(Data!G627 = 'Point Intercept 2'!G627, Data!G627, "ERROR")</f>
        <v>SU</v>
      </c>
      <c r="H627" s="6">
        <f>IF(Data!I627 = 'Point Intercept 2'!I627, Data!I627, "ERROR")</f>
        <v>12</v>
      </c>
      <c r="I627" s="6">
        <f>IF(Data!H627 = 'Point Intercept 2'!H627, Data!H627, "ERROR")</f>
        <v>1</v>
      </c>
      <c r="J627" s="6">
        <f>IF(Data!J627 = 'Point Intercept 2'!J627, Data!J627, "ERROR")</f>
        <v>9</v>
      </c>
      <c r="K627" s="6" t="str">
        <f>IF(Data!K627 = 'Point Intercept 2'!K627, Data!K627, "ERROR")</f>
        <v>DEIFAS</v>
      </c>
      <c r="L627" s="6" t="str">
        <f>IF(Data!L627 = 'Point Intercept 2'!L627, Data!L627, "ERROR")</f>
        <v>Deinandra fasciculata</v>
      </c>
    </row>
    <row r="628" spans="1:12" x14ac:dyDescent="0.25">
      <c r="A628" s="6">
        <f>IF(Data!A628 = 'Point Intercept 2'!A628, Data!A628, "ERROR")</f>
        <v>7</v>
      </c>
      <c r="B628" s="6">
        <f>IF(Data!B628 = 'Point Intercept 2'!B628, Data!B628, "ERROR")</f>
        <v>2025</v>
      </c>
      <c r="C628" s="8">
        <f>IF(Data!C628 = 'Point Intercept 2'!C628, Data!C628, "ERROR")</f>
        <v>45764</v>
      </c>
      <c r="D628" s="6" t="str">
        <f>IF(Data!D628 = 'Point Intercept 2'!D628, Data!D628, "ERROR")</f>
        <v>ERROR</v>
      </c>
      <c r="E628" s="6" t="str">
        <f>IF(Data!E628 = 'Point Intercept 2'!E628, Data!E628, "ERROR")</f>
        <v>VB</v>
      </c>
      <c r="F628" s="6">
        <f>IF(Data!F628 = 'Point Intercept 2'!F628, Data!F628, "ERROR")</f>
        <v>1</v>
      </c>
      <c r="G628" s="6" t="str">
        <f>IF(Data!G628 = 'Point Intercept 2'!G628, Data!G628, "ERROR")</f>
        <v>SU</v>
      </c>
      <c r="H628" s="6">
        <f>IF(Data!I628 = 'Point Intercept 2'!I628, Data!I628, "ERROR")</f>
        <v>12</v>
      </c>
      <c r="I628" s="6">
        <f>IF(Data!H628 = 'Point Intercept 2'!H628, Data!H628, "ERROR")</f>
        <v>1</v>
      </c>
      <c r="J628" s="6">
        <f>IF(Data!J628 = 'Point Intercept 2'!J628, Data!J628, "ERROR")</f>
        <v>9</v>
      </c>
      <c r="K628" s="6" t="str">
        <f>IF(Data!K628 = 'Point Intercept 2'!K628, Data!K628, "ERROR")</f>
        <v>UROLIN</v>
      </c>
      <c r="L628" s="6" t="str">
        <f>IF(Data!L628 = 'Point Intercept 2'!L628, Data!L628, "ERROR")</f>
        <v>Uropappus lindleyi</v>
      </c>
    </row>
    <row r="629" spans="1:12" x14ac:dyDescent="0.25">
      <c r="A629" s="6">
        <f>IF(Data!A629 = 'Point Intercept 2'!A629, Data!A629, "ERROR")</f>
        <v>7</v>
      </c>
      <c r="B629" s="6">
        <f>IF(Data!B629 = 'Point Intercept 2'!B629, Data!B629, "ERROR")</f>
        <v>2025</v>
      </c>
      <c r="C629" s="8">
        <f>IF(Data!C629 = 'Point Intercept 2'!C629, Data!C629, "ERROR")</f>
        <v>45764</v>
      </c>
      <c r="D629" s="6" t="str">
        <f>IF(Data!D629 = 'Point Intercept 2'!D629, Data!D629, "ERROR")</f>
        <v>ERROR</v>
      </c>
      <c r="E629" s="6" t="str">
        <f>IF(Data!E629 = 'Point Intercept 2'!E629, Data!E629, "ERROR")</f>
        <v>VB</v>
      </c>
      <c r="F629" s="6">
        <f>IF(Data!F629 = 'Point Intercept 2'!F629, Data!F629, "ERROR")</f>
        <v>1</v>
      </c>
      <c r="G629" s="6" t="str">
        <f>IF(Data!G629 = 'Point Intercept 2'!G629, Data!G629, "ERROR")</f>
        <v>SU</v>
      </c>
      <c r="H629" s="6">
        <f>IF(Data!I629 = 'Point Intercept 2'!I629, Data!I629, "ERROR")</f>
        <v>13</v>
      </c>
      <c r="I629" s="6">
        <f>IF(Data!H629 = 'Point Intercept 2'!H629, Data!H629, "ERROR")</f>
        <v>1</v>
      </c>
      <c r="J629" s="6">
        <f>IF(Data!J629 = 'Point Intercept 2'!J629, Data!J629, "ERROR")</f>
        <v>10</v>
      </c>
      <c r="K629" s="6" t="str">
        <f>IF(Data!K629 = 'Point Intercept 2'!K629, Data!K629, "ERROR")</f>
        <v>TH</v>
      </c>
      <c r="L629" s="6" t="str">
        <f>IF(Data!L629 = 'Point Intercept 2'!L629, Data!L629, "ERROR")</f>
        <v>Thatch</v>
      </c>
    </row>
    <row r="630" spans="1:12" x14ac:dyDescent="0.25">
      <c r="A630" s="6">
        <f>IF(Data!A630 = 'Point Intercept 2'!A630, Data!A630, "ERROR")</f>
        <v>7</v>
      </c>
      <c r="B630" s="6">
        <f>IF(Data!B630 = 'Point Intercept 2'!B630, Data!B630, "ERROR")</f>
        <v>2025</v>
      </c>
      <c r="C630" s="8">
        <f>IF(Data!C630 = 'Point Intercept 2'!C630, Data!C630, "ERROR")</f>
        <v>45764</v>
      </c>
      <c r="D630" s="6" t="str">
        <f>IF(Data!D630 = 'Point Intercept 2'!D630, Data!D630, "ERROR")</f>
        <v>ERROR</v>
      </c>
      <c r="E630" s="6" t="str">
        <f>IF(Data!E630 = 'Point Intercept 2'!E630, Data!E630, "ERROR")</f>
        <v>VB</v>
      </c>
      <c r="F630" s="6">
        <f>IF(Data!F630 = 'Point Intercept 2'!F630, Data!F630, "ERROR")</f>
        <v>1</v>
      </c>
      <c r="G630" s="6" t="str">
        <f>IF(Data!G630 = 'Point Intercept 2'!G630, Data!G630, "ERROR")</f>
        <v>SU</v>
      </c>
      <c r="H630" s="6">
        <f>IF(Data!I630 = 'Point Intercept 2'!I630, Data!I630, "ERROR")</f>
        <v>13</v>
      </c>
      <c r="I630" s="6">
        <f>IF(Data!H630 = 'Point Intercept 2'!H630, Data!H630, "ERROR")</f>
        <v>1</v>
      </c>
      <c r="J630" s="6">
        <f>IF(Data!J630 = 'Point Intercept 2'!J630, Data!J630, "ERROR")</f>
        <v>10</v>
      </c>
      <c r="K630" s="6" t="str">
        <f>IF(Data!K630 = 'Point Intercept 2'!K630, Data!K630, "ERROR")</f>
        <v>LUPSUC</v>
      </c>
      <c r="L630" s="6" t="str">
        <f>IF(Data!L630 = 'Point Intercept 2'!L630, Data!L630, "ERROR")</f>
        <v>Lupinus succulentus</v>
      </c>
    </row>
    <row r="631" spans="1:12" x14ac:dyDescent="0.25">
      <c r="A631" s="6">
        <f>IF(Data!A631 = 'Point Intercept 2'!A631, Data!A631, "ERROR")</f>
        <v>7</v>
      </c>
      <c r="B631" s="6">
        <f>IF(Data!B631 = 'Point Intercept 2'!B631, Data!B631, "ERROR")</f>
        <v>2025</v>
      </c>
      <c r="C631" s="8">
        <f>IF(Data!C631 = 'Point Intercept 2'!C631, Data!C631, "ERROR")</f>
        <v>45764</v>
      </c>
      <c r="D631" s="6" t="str">
        <f>IF(Data!D631 = 'Point Intercept 2'!D631, Data!D631, "ERROR")</f>
        <v>ERROR</v>
      </c>
      <c r="E631" s="6" t="str">
        <f>IF(Data!E631 = 'Point Intercept 2'!E631, Data!E631, "ERROR")</f>
        <v>VB</v>
      </c>
      <c r="F631" s="6">
        <f>IF(Data!F631 = 'Point Intercept 2'!F631, Data!F631, "ERROR")</f>
        <v>1</v>
      </c>
      <c r="G631" s="6" t="str">
        <f>IF(Data!G631 = 'Point Intercept 2'!G631, Data!G631, "ERROR")</f>
        <v>SU</v>
      </c>
      <c r="H631" s="6">
        <f>IF(Data!I631 = 'Point Intercept 2'!I631, Data!I631, "ERROR")</f>
        <v>13</v>
      </c>
      <c r="I631" s="6">
        <f>IF(Data!H631 = 'Point Intercept 2'!H631, Data!H631, "ERROR")</f>
        <v>1</v>
      </c>
      <c r="J631" s="6">
        <f>IF(Data!J631 = 'Point Intercept 2'!J631, Data!J631, "ERROR")</f>
        <v>10</v>
      </c>
      <c r="K631" s="6" t="str">
        <f>IF(Data!K631 = 'Point Intercept 2'!K631, Data!K631, "ERROR")</f>
        <v>DEIFAS</v>
      </c>
      <c r="L631" s="6" t="str">
        <f>IF(Data!L631 = 'Point Intercept 2'!L631, Data!L631, "ERROR")</f>
        <v>Deinandra fasciculata</v>
      </c>
    </row>
    <row r="632" spans="1:12" x14ac:dyDescent="0.25">
      <c r="A632" s="6">
        <f>IF(Data!A632 = 'Point Intercept 2'!A632, Data!A632, "ERROR")</f>
        <v>7</v>
      </c>
      <c r="B632" s="6">
        <f>IF(Data!B632 = 'Point Intercept 2'!B632, Data!B632, "ERROR")</f>
        <v>2025</v>
      </c>
      <c r="C632" s="8">
        <f>IF(Data!C632 = 'Point Intercept 2'!C632, Data!C632, "ERROR")</f>
        <v>45764</v>
      </c>
      <c r="D632" s="6" t="str">
        <f>IF(Data!D632 = 'Point Intercept 2'!D632, Data!D632, "ERROR")</f>
        <v>ERROR</v>
      </c>
      <c r="E632" s="6" t="str">
        <f>IF(Data!E632 = 'Point Intercept 2'!E632, Data!E632, "ERROR")</f>
        <v>VB</v>
      </c>
      <c r="F632" s="6">
        <f>IF(Data!F632 = 'Point Intercept 2'!F632, Data!F632, "ERROR")</f>
        <v>1</v>
      </c>
      <c r="G632" s="6" t="str">
        <f>IF(Data!G632 = 'Point Intercept 2'!G632, Data!G632, "ERROR")</f>
        <v>SU</v>
      </c>
      <c r="H632" s="6">
        <f>IF(Data!I632 = 'Point Intercept 2'!I632, Data!I632, "ERROR")</f>
        <v>14</v>
      </c>
      <c r="I632" s="6">
        <f>IF(Data!H632 = 'Point Intercept 2'!H632, Data!H632, "ERROR")</f>
        <v>1</v>
      </c>
      <c r="J632" s="6">
        <f>IF(Data!J632 = 'Point Intercept 2'!J632, Data!J632, "ERROR")</f>
        <v>11</v>
      </c>
      <c r="K632" s="6" t="str">
        <f>IF(Data!K632 = 'Point Intercept 2'!K632, Data!K632, "ERROR")</f>
        <v>L</v>
      </c>
      <c r="L632" s="6" t="str">
        <f>IF(Data!L632 = 'Point Intercept 2'!L632, Data!L632, "ERROR")</f>
        <v>Litter</v>
      </c>
    </row>
    <row r="633" spans="1:12" x14ac:dyDescent="0.25">
      <c r="A633" s="6">
        <f>IF(Data!A633 = 'Point Intercept 2'!A633, Data!A633, "ERROR")</f>
        <v>7</v>
      </c>
      <c r="B633" s="6">
        <f>IF(Data!B633 = 'Point Intercept 2'!B633, Data!B633, "ERROR")</f>
        <v>2025</v>
      </c>
      <c r="C633" s="8">
        <f>IF(Data!C633 = 'Point Intercept 2'!C633, Data!C633, "ERROR")</f>
        <v>45764</v>
      </c>
      <c r="D633" s="6" t="str">
        <f>IF(Data!D633 = 'Point Intercept 2'!D633, Data!D633, "ERROR")</f>
        <v>ERROR</v>
      </c>
      <c r="E633" s="6" t="str">
        <f>IF(Data!E633 = 'Point Intercept 2'!E633, Data!E633, "ERROR")</f>
        <v>VB</v>
      </c>
      <c r="F633" s="6">
        <f>IF(Data!F633 = 'Point Intercept 2'!F633, Data!F633, "ERROR")</f>
        <v>1</v>
      </c>
      <c r="G633" s="6" t="str">
        <f>IF(Data!G633 = 'Point Intercept 2'!G633, Data!G633, "ERROR")</f>
        <v>SU</v>
      </c>
      <c r="H633" s="6">
        <f>IF(Data!I633 = 'Point Intercept 2'!I633, Data!I633, "ERROR")</f>
        <v>14</v>
      </c>
      <c r="I633" s="6">
        <f>IF(Data!H633 = 'Point Intercept 2'!H633, Data!H633, "ERROR")</f>
        <v>1</v>
      </c>
      <c r="J633" s="6">
        <f>IF(Data!J633 = 'Point Intercept 2'!J633, Data!J633, "ERROR")</f>
        <v>11</v>
      </c>
      <c r="K633" s="6" t="str">
        <f>IF(Data!K633 = 'Point Intercept 2'!K633, Data!K633, "ERROR")</f>
        <v>EROMOS</v>
      </c>
      <c r="L633" s="6" t="str">
        <f>IF(Data!L633 = 'Point Intercept 2'!L633, Data!L633, "ERROR")</f>
        <v>Erodium moschatum</v>
      </c>
    </row>
    <row r="634" spans="1:12" x14ac:dyDescent="0.25">
      <c r="A634" s="6">
        <f>IF(Data!A634 = 'Point Intercept 2'!A634, Data!A634, "ERROR")</f>
        <v>7</v>
      </c>
      <c r="B634" s="6">
        <f>IF(Data!B634 = 'Point Intercept 2'!B634, Data!B634, "ERROR")</f>
        <v>2025</v>
      </c>
      <c r="C634" s="8">
        <f>IF(Data!C634 = 'Point Intercept 2'!C634, Data!C634, "ERROR")</f>
        <v>45764</v>
      </c>
      <c r="D634" s="6" t="str">
        <f>IF(Data!D634 = 'Point Intercept 2'!D634, Data!D634, "ERROR")</f>
        <v>ERROR</v>
      </c>
      <c r="E634" s="6" t="str">
        <f>IF(Data!E634 = 'Point Intercept 2'!E634, Data!E634, "ERROR")</f>
        <v>VB</v>
      </c>
      <c r="F634" s="6">
        <f>IF(Data!F634 = 'Point Intercept 2'!F634, Data!F634, "ERROR")</f>
        <v>1</v>
      </c>
      <c r="G634" s="6" t="str">
        <f>IF(Data!G634 = 'Point Intercept 2'!G634, Data!G634, "ERROR")</f>
        <v>SU</v>
      </c>
      <c r="H634" s="6">
        <f>IF(Data!I634 = 'Point Intercept 2'!I634, Data!I634, "ERROR")</f>
        <v>15</v>
      </c>
      <c r="I634" s="6">
        <f>IF(Data!H634 = 'Point Intercept 2'!H634, Data!H634, "ERROR")</f>
        <v>1</v>
      </c>
      <c r="J634" s="6">
        <f>IF(Data!J634 = 'Point Intercept 2'!J634, Data!J634, "ERROR")</f>
        <v>12</v>
      </c>
      <c r="K634" s="6" t="str">
        <f>IF(Data!K634 = 'Point Intercept 2'!K634, Data!K634, "ERROR")</f>
        <v>L</v>
      </c>
      <c r="L634" s="6" t="str">
        <f>IF(Data!L634 = 'Point Intercept 2'!L634, Data!L634, "ERROR")</f>
        <v>Litter</v>
      </c>
    </row>
    <row r="635" spans="1:12" x14ac:dyDescent="0.25">
      <c r="A635" s="6">
        <f>IF(Data!A635 = 'Point Intercept 2'!A635, Data!A635, "ERROR")</f>
        <v>7</v>
      </c>
      <c r="B635" s="6">
        <f>IF(Data!B635 = 'Point Intercept 2'!B635, Data!B635, "ERROR")</f>
        <v>2025</v>
      </c>
      <c r="C635" s="8">
        <f>IF(Data!C635 = 'Point Intercept 2'!C635, Data!C635, "ERROR")</f>
        <v>45764</v>
      </c>
      <c r="D635" s="6" t="str">
        <f>IF(Data!D635 = 'Point Intercept 2'!D635, Data!D635, "ERROR")</f>
        <v>ERROR</v>
      </c>
      <c r="E635" s="6" t="str">
        <f>IF(Data!E635 = 'Point Intercept 2'!E635, Data!E635, "ERROR")</f>
        <v>VB</v>
      </c>
      <c r="F635" s="6">
        <f>IF(Data!F635 = 'Point Intercept 2'!F635, Data!F635, "ERROR")</f>
        <v>1</v>
      </c>
      <c r="G635" s="6" t="str">
        <f>IF(Data!G635 = 'Point Intercept 2'!G635, Data!G635, "ERROR")</f>
        <v>SU</v>
      </c>
      <c r="H635" s="6">
        <f>IF(Data!I635 = 'Point Intercept 2'!I635, Data!I635, "ERROR")</f>
        <v>15</v>
      </c>
      <c r="I635" s="6">
        <f>IF(Data!H635 = 'Point Intercept 2'!H635, Data!H635, "ERROR")</f>
        <v>1</v>
      </c>
      <c r="J635" s="6">
        <f>IF(Data!J635 = 'Point Intercept 2'!J635, Data!J635, "ERROR")</f>
        <v>12</v>
      </c>
      <c r="K635" s="6" t="str">
        <f>IF(Data!K635 = 'Point Intercept 2'!K635, Data!K635, "ERROR")</f>
        <v>CYLPRO</v>
      </c>
      <c r="L635" s="6" t="str">
        <f>IF(Data!L635 = 'Point Intercept 2'!L635, Data!L635, "ERROR")</f>
        <v>Cylindropuntia prolifera</v>
      </c>
    </row>
    <row r="636" spans="1:12" x14ac:dyDescent="0.25">
      <c r="A636" s="6">
        <f>IF(Data!A636 = 'Point Intercept 2'!A636, Data!A636, "ERROR")</f>
        <v>7</v>
      </c>
      <c r="B636" s="6">
        <f>IF(Data!B636 = 'Point Intercept 2'!B636, Data!B636, "ERROR")</f>
        <v>2025</v>
      </c>
      <c r="C636" s="8">
        <f>IF(Data!C636 = 'Point Intercept 2'!C636, Data!C636, "ERROR")</f>
        <v>45764</v>
      </c>
      <c r="D636" s="6" t="str">
        <f>IF(Data!D636 = 'Point Intercept 2'!D636, Data!D636, "ERROR")</f>
        <v>ERROR</v>
      </c>
      <c r="E636" s="6" t="str">
        <f>IF(Data!E636 = 'Point Intercept 2'!E636, Data!E636, "ERROR")</f>
        <v>VB</v>
      </c>
      <c r="F636" s="6">
        <f>IF(Data!F636 = 'Point Intercept 2'!F636, Data!F636, "ERROR")</f>
        <v>1</v>
      </c>
      <c r="G636" s="6" t="str">
        <f>IF(Data!G636 = 'Point Intercept 2'!G636, Data!G636, "ERROR")</f>
        <v>SU</v>
      </c>
      <c r="H636" s="6">
        <f>IF(Data!I636 = 'Point Intercept 2'!I636, Data!I636, "ERROR")</f>
        <v>1</v>
      </c>
      <c r="I636" s="6">
        <f>IF(Data!H636 = 'Point Intercept 2'!H636, Data!H636, "ERROR")</f>
        <v>2</v>
      </c>
      <c r="J636" s="6">
        <f>IF(Data!J636 = 'Point Intercept 2'!J636, Data!J636, "ERROR")</f>
        <v>0</v>
      </c>
      <c r="K636" s="6" t="str">
        <f>IF(Data!K636 = 'Point Intercept 2'!K636, Data!K636, "ERROR")</f>
        <v>B</v>
      </c>
      <c r="L636" s="6" t="str">
        <f>IF(Data!L636 = 'Point Intercept 2'!L636, Data!L636, "ERROR")</f>
        <v>Bareground</v>
      </c>
    </row>
    <row r="637" spans="1:12" x14ac:dyDescent="0.25">
      <c r="A637" s="6">
        <f>IF(Data!A637 = 'Point Intercept 2'!A637, Data!A637, "ERROR")</f>
        <v>7</v>
      </c>
      <c r="B637" s="6">
        <f>IF(Data!B637 = 'Point Intercept 2'!B637, Data!B637, "ERROR")</f>
        <v>2025</v>
      </c>
      <c r="C637" s="8">
        <f>IF(Data!C637 = 'Point Intercept 2'!C637, Data!C637, "ERROR")</f>
        <v>45764</v>
      </c>
      <c r="D637" s="6" t="str">
        <f>IF(Data!D637 = 'Point Intercept 2'!D637, Data!D637, "ERROR")</f>
        <v>ERROR</v>
      </c>
      <c r="E637" s="6" t="str">
        <f>IF(Data!E637 = 'Point Intercept 2'!E637, Data!E637, "ERROR")</f>
        <v>VB</v>
      </c>
      <c r="F637" s="6">
        <f>IF(Data!F637 = 'Point Intercept 2'!F637, Data!F637, "ERROR")</f>
        <v>1</v>
      </c>
      <c r="G637" s="6" t="str">
        <f>IF(Data!G637 = 'Point Intercept 2'!G637, Data!G637, "ERROR")</f>
        <v>SU</v>
      </c>
      <c r="H637" s="6">
        <f>IF(Data!I637 = 'Point Intercept 2'!I637, Data!I637, "ERROR")</f>
        <v>1</v>
      </c>
      <c r="I637" s="6">
        <f>IF(Data!H637 = 'Point Intercept 2'!H637, Data!H637, "ERROR")</f>
        <v>2</v>
      </c>
      <c r="J637" s="6">
        <f>IF(Data!J637 = 'Point Intercept 2'!J637, Data!J637, "ERROR")</f>
        <v>0</v>
      </c>
      <c r="K637" s="6" t="str">
        <f>IF(Data!K637 = 'Point Intercept 2'!K637, Data!K637, "ERROR")</f>
        <v>EROCIC</v>
      </c>
      <c r="L637" s="6" t="str">
        <f>IF(Data!L637 = 'Point Intercept 2'!L637, Data!L637, "ERROR")</f>
        <v>Erodium cicutarium</v>
      </c>
    </row>
    <row r="638" spans="1:12" x14ac:dyDescent="0.25">
      <c r="A638" s="6">
        <f>IF(Data!A638 = 'Point Intercept 2'!A638, Data!A638, "ERROR")</f>
        <v>7</v>
      </c>
      <c r="B638" s="6">
        <f>IF(Data!B638 = 'Point Intercept 2'!B638, Data!B638, "ERROR")</f>
        <v>2025</v>
      </c>
      <c r="C638" s="8">
        <f>IF(Data!C638 = 'Point Intercept 2'!C638, Data!C638, "ERROR")</f>
        <v>45764</v>
      </c>
      <c r="D638" s="6" t="str">
        <f>IF(Data!D638 = 'Point Intercept 2'!D638, Data!D638, "ERROR")</f>
        <v>ERROR</v>
      </c>
      <c r="E638" s="6" t="str">
        <f>IF(Data!E638 = 'Point Intercept 2'!E638, Data!E638, "ERROR")</f>
        <v>VB</v>
      </c>
      <c r="F638" s="6">
        <f>IF(Data!F638 = 'Point Intercept 2'!F638, Data!F638, "ERROR")</f>
        <v>1</v>
      </c>
      <c r="G638" s="6" t="str">
        <f>IF(Data!G638 = 'Point Intercept 2'!G638, Data!G638, "ERROR")</f>
        <v>SU</v>
      </c>
      <c r="H638" s="6">
        <f>IF(Data!I638 = 'Point Intercept 2'!I638, Data!I638, "ERROR")</f>
        <v>2</v>
      </c>
      <c r="I638" s="6">
        <f>IF(Data!H638 = 'Point Intercept 2'!H638, Data!H638, "ERROR")</f>
        <v>2</v>
      </c>
      <c r="J638" s="6">
        <f>IF(Data!J638 = 'Point Intercept 2'!J638, Data!J638, "ERROR")</f>
        <v>1</v>
      </c>
      <c r="K638" s="6" t="str">
        <f>IF(Data!K638 = 'Point Intercept 2'!K638, Data!K638, "ERROR")</f>
        <v>L</v>
      </c>
      <c r="L638" s="6" t="str">
        <f>IF(Data!L638 = 'Point Intercept 2'!L638, Data!L638, "ERROR")</f>
        <v>Litter</v>
      </c>
    </row>
    <row r="639" spans="1:12" x14ac:dyDescent="0.25">
      <c r="A639" s="6">
        <f>IF(Data!A639 = 'Point Intercept 2'!A639, Data!A639, "ERROR")</f>
        <v>7</v>
      </c>
      <c r="B639" s="6">
        <f>IF(Data!B639 = 'Point Intercept 2'!B639, Data!B639, "ERROR")</f>
        <v>2025</v>
      </c>
      <c r="C639" s="8">
        <f>IF(Data!C639 = 'Point Intercept 2'!C639, Data!C639, "ERROR")</f>
        <v>45764</v>
      </c>
      <c r="D639" s="6" t="str">
        <f>IF(Data!D639 = 'Point Intercept 2'!D639, Data!D639, "ERROR")</f>
        <v>ERROR</v>
      </c>
      <c r="E639" s="6" t="str">
        <f>IF(Data!E639 = 'Point Intercept 2'!E639, Data!E639, "ERROR")</f>
        <v>VB</v>
      </c>
      <c r="F639" s="6">
        <f>IF(Data!F639 = 'Point Intercept 2'!F639, Data!F639, "ERROR")</f>
        <v>1</v>
      </c>
      <c r="G639" s="6" t="str">
        <f>IF(Data!G639 = 'Point Intercept 2'!G639, Data!G639, "ERROR")</f>
        <v>SU</v>
      </c>
      <c r="H639" s="6">
        <f>IF(Data!I639 = 'Point Intercept 2'!I639, Data!I639, "ERROR")</f>
        <v>2</v>
      </c>
      <c r="I639" s="6">
        <f>IF(Data!H639 = 'Point Intercept 2'!H639, Data!H639, "ERROR")</f>
        <v>2</v>
      </c>
      <c r="J639" s="6">
        <f>IF(Data!J639 = 'Point Intercept 2'!J639, Data!J639, "ERROR")</f>
        <v>1</v>
      </c>
      <c r="K639" s="6" t="str">
        <f>IF(Data!K639 = 'Point Intercept 2'!K639, Data!K639, "ERROR")</f>
        <v>EROMOS</v>
      </c>
      <c r="L639" s="6" t="str">
        <f>IF(Data!L639 = 'Point Intercept 2'!L639, Data!L639, "ERROR")</f>
        <v>Erodium moschatum</v>
      </c>
    </row>
    <row r="640" spans="1:12" x14ac:dyDescent="0.25">
      <c r="A640" s="6">
        <f>IF(Data!A640 = 'Point Intercept 2'!A640, Data!A640, "ERROR")</f>
        <v>7</v>
      </c>
      <c r="B640" s="6">
        <f>IF(Data!B640 = 'Point Intercept 2'!B640, Data!B640, "ERROR")</f>
        <v>2025</v>
      </c>
      <c r="C640" s="8">
        <f>IF(Data!C640 = 'Point Intercept 2'!C640, Data!C640, "ERROR")</f>
        <v>45764</v>
      </c>
      <c r="D640" s="6" t="str">
        <f>IF(Data!D640 = 'Point Intercept 2'!D640, Data!D640, "ERROR")</f>
        <v>ERROR</v>
      </c>
      <c r="E640" s="6" t="str">
        <f>IF(Data!E640 = 'Point Intercept 2'!E640, Data!E640, "ERROR")</f>
        <v>VB</v>
      </c>
      <c r="F640" s="6">
        <f>IF(Data!F640 = 'Point Intercept 2'!F640, Data!F640, "ERROR")</f>
        <v>1</v>
      </c>
      <c r="G640" s="6" t="str">
        <f>IF(Data!G640 = 'Point Intercept 2'!G640, Data!G640, "ERROR")</f>
        <v>SU</v>
      </c>
      <c r="H640" s="6">
        <f>IF(Data!I640 = 'Point Intercept 2'!I640, Data!I640, "ERROR")</f>
        <v>2</v>
      </c>
      <c r="I640" s="6">
        <f>IF(Data!H640 = 'Point Intercept 2'!H640, Data!H640, "ERROR")</f>
        <v>2</v>
      </c>
      <c r="J640" s="6">
        <f>IF(Data!J640 = 'Point Intercept 2'!J640, Data!J640, "ERROR")</f>
        <v>1</v>
      </c>
      <c r="K640" s="6" t="str">
        <f>IF(Data!K640 = 'Point Intercept 2'!K640, Data!K640, "ERROR")</f>
        <v>UNKNNGRASS</v>
      </c>
      <c r="L640" s="6" t="str">
        <f>IF(Data!L640 = 'Point Intercept 2'!L640, Data!L640, "ERROR")</f>
        <v>Unknown non-native grass</v>
      </c>
    </row>
    <row r="641" spans="1:12" x14ac:dyDescent="0.25">
      <c r="A641" s="6">
        <f>IF(Data!A641 = 'Point Intercept 2'!A641, Data!A641, "ERROR")</f>
        <v>7</v>
      </c>
      <c r="B641" s="6">
        <f>IF(Data!B641 = 'Point Intercept 2'!B641, Data!B641, "ERROR")</f>
        <v>2025</v>
      </c>
      <c r="C641" s="8">
        <f>IF(Data!C641 = 'Point Intercept 2'!C641, Data!C641, "ERROR")</f>
        <v>45764</v>
      </c>
      <c r="D641" s="6" t="str">
        <f>IF(Data!D641 = 'Point Intercept 2'!D641, Data!D641, "ERROR")</f>
        <v>ERROR</v>
      </c>
      <c r="E641" s="6" t="str">
        <f>IF(Data!E641 = 'Point Intercept 2'!E641, Data!E641, "ERROR")</f>
        <v>VB</v>
      </c>
      <c r="F641" s="6">
        <f>IF(Data!F641 = 'Point Intercept 2'!F641, Data!F641, "ERROR")</f>
        <v>1</v>
      </c>
      <c r="G641" s="6" t="str">
        <f>IF(Data!G641 = 'Point Intercept 2'!G641, Data!G641, "ERROR")</f>
        <v>SU</v>
      </c>
      <c r="H641" s="6">
        <f>IF(Data!I641 = 'Point Intercept 2'!I641, Data!I641, "ERROR")</f>
        <v>3</v>
      </c>
      <c r="I641" s="6">
        <f>IF(Data!H641 = 'Point Intercept 2'!H641, Data!H641, "ERROR")</f>
        <v>2</v>
      </c>
      <c r="J641" s="6">
        <f>IF(Data!J641 = 'Point Intercept 2'!J641, Data!J641, "ERROR")</f>
        <v>1.5</v>
      </c>
      <c r="K641" s="6" t="str">
        <f>IF(Data!K641 = 'Point Intercept 2'!K641, Data!K641, "ERROR")</f>
        <v>B</v>
      </c>
      <c r="L641" s="6" t="str">
        <f>IF(Data!L641 = 'Point Intercept 2'!L641, Data!L641, "ERROR")</f>
        <v>Bareground</v>
      </c>
    </row>
    <row r="642" spans="1:12" x14ac:dyDescent="0.25">
      <c r="A642" s="6">
        <f>IF(Data!A642 = 'Point Intercept 2'!A642, Data!A642, "ERROR")</f>
        <v>7</v>
      </c>
      <c r="B642" s="6">
        <f>IF(Data!B642 = 'Point Intercept 2'!B642, Data!B642, "ERROR")</f>
        <v>2025</v>
      </c>
      <c r="C642" s="8">
        <f>IF(Data!C642 = 'Point Intercept 2'!C642, Data!C642, "ERROR")</f>
        <v>45764</v>
      </c>
      <c r="D642" s="6" t="str">
        <f>IF(Data!D642 = 'Point Intercept 2'!D642, Data!D642, "ERROR")</f>
        <v>ERROR</v>
      </c>
      <c r="E642" s="6" t="str">
        <f>IF(Data!E642 = 'Point Intercept 2'!E642, Data!E642, "ERROR")</f>
        <v>VB</v>
      </c>
      <c r="F642" s="6">
        <f>IF(Data!F642 = 'Point Intercept 2'!F642, Data!F642, "ERROR")</f>
        <v>1</v>
      </c>
      <c r="G642" s="6" t="str">
        <f>IF(Data!G642 = 'Point Intercept 2'!G642, Data!G642, "ERROR")</f>
        <v>SU</v>
      </c>
      <c r="H642" s="6">
        <f>IF(Data!I642 = 'Point Intercept 2'!I642, Data!I642, "ERROR")</f>
        <v>3</v>
      </c>
      <c r="I642" s="6">
        <f>IF(Data!H642 = 'Point Intercept 2'!H642, Data!H642, "ERROR")</f>
        <v>2</v>
      </c>
      <c r="J642" s="6">
        <f>IF(Data!J642 = 'Point Intercept 2'!J642, Data!J642, "ERROR")</f>
        <v>1.5</v>
      </c>
      <c r="K642" s="6" t="str">
        <f>IF(Data!K642 = 'Point Intercept 2'!K642, Data!K642, "ERROR")</f>
        <v>DEIFAS</v>
      </c>
      <c r="L642" s="6" t="str">
        <f>IF(Data!L642 = 'Point Intercept 2'!L642, Data!L642, "ERROR")</f>
        <v>Deinandra fasciculata</v>
      </c>
    </row>
    <row r="643" spans="1:12" x14ac:dyDescent="0.25">
      <c r="A643" s="6">
        <f>IF(Data!A643 = 'Point Intercept 2'!A643, Data!A643, "ERROR")</f>
        <v>7</v>
      </c>
      <c r="B643" s="6">
        <f>IF(Data!B643 = 'Point Intercept 2'!B643, Data!B643, "ERROR")</f>
        <v>2025</v>
      </c>
      <c r="C643" s="8">
        <f>IF(Data!C643 = 'Point Intercept 2'!C643, Data!C643, "ERROR")</f>
        <v>45764</v>
      </c>
      <c r="D643" s="6" t="str">
        <f>IF(Data!D643 = 'Point Intercept 2'!D643, Data!D643, "ERROR")</f>
        <v>ERROR</v>
      </c>
      <c r="E643" s="6" t="str">
        <f>IF(Data!E643 = 'Point Intercept 2'!E643, Data!E643, "ERROR")</f>
        <v>VB</v>
      </c>
      <c r="F643" s="6">
        <f>IF(Data!F643 = 'Point Intercept 2'!F643, Data!F643, "ERROR")</f>
        <v>1</v>
      </c>
      <c r="G643" s="6" t="str">
        <f>IF(Data!G643 = 'Point Intercept 2'!G643, Data!G643, "ERROR")</f>
        <v>SU</v>
      </c>
      <c r="H643" s="6">
        <f>IF(Data!I643 = 'Point Intercept 2'!I643, Data!I643, "ERROR")</f>
        <v>4</v>
      </c>
      <c r="I643" s="6">
        <f>IF(Data!H643 = 'Point Intercept 2'!H643, Data!H643, "ERROR")</f>
        <v>2</v>
      </c>
      <c r="J643" s="6">
        <f>IF(Data!J643 = 'Point Intercept 2'!J643, Data!J643, "ERROR")</f>
        <v>2</v>
      </c>
      <c r="K643" s="6" t="str">
        <f>IF(Data!K643 = 'Point Intercept 2'!K643, Data!K643, "ERROR")</f>
        <v>L</v>
      </c>
      <c r="L643" s="6" t="str">
        <f>IF(Data!L643 = 'Point Intercept 2'!L643, Data!L643, "ERROR")</f>
        <v>Litter</v>
      </c>
    </row>
    <row r="644" spans="1:12" x14ac:dyDescent="0.25">
      <c r="A644" s="6">
        <f>IF(Data!A644 = 'Point Intercept 2'!A644, Data!A644, "ERROR")</f>
        <v>7</v>
      </c>
      <c r="B644" s="6">
        <f>IF(Data!B644 = 'Point Intercept 2'!B644, Data!B644, "ERROR")</f>
        <v>2025</v>
      </c>
      <c r="C644" s="8">
        <f>IF(Data!C644 = 'Point Intercept 2'!C644, Data!C644, "ERROR")</f>
        <v>45764</v>
      </c>
      <c r="D644" s="6" t="str">
        <f>IF(Data!D644 = 'Point Intercept 2'!D644, Data!D644, "ERROR")</f>
        <v>ERROR</v>
      </c>
      <c r="E644" s="6" t="str">
        <f>IF(Data!E644 = 'Point Intercept 2'!E644, Data!E644, "ERROR")</f>
        <v>VB</v>
      </c>
      <c r="F644" s="6">
        <f>IF(Data!F644 = 'Point Intercept 2'!F644, Data!F644, "ERROR")</f>
        <v>1</v>
      </c>
      <c r="G644" s="6" t="str">
        <f>IF(Data!G644 = 'Point Intercept 2'!G644, Data!G644, "ERROR")</f>
        <v>SU</v>
      </c>
      <c r="H644" s="6">
        <f>IF(Data!I644 = 'Point Intercept 2'!I644, Data!I644, "ERROR")</f>
        <v>4</v>
      </c>
      <c r="I644" s="6">
        <f>IF(Data!H644 = 'Point Intercept 2'!H644, Data!H644, "ERROR")</f>
        <v>2</v>
      </c>
      <c r="J644" s="6">
        <f>IF(Data!J644 = 'Point Intercept 2'!J644, Data!J644, "ERROR")</f>
        <v>2</v>
      </c>
      <c r="K644" s="6" t="str">
        <f>IF(Data!K644 = 'Point Intercept 2'!K644, Data!K644, "ERROR")</f>
        <v>FESMYU</v>
      </c>
      <c r="L644" s="6" t="str">
        <f>IF(Data!L644 = 'Point Intercept 2'!L644, Data!L644, "ERROR")</f>
        <v>Festuca myuros</v>
      </c>
    </row>
    <row r="645" spans="1:12" x14ac:dyDescent="0.25">
      <c r="A645" s="6">
        <f>IF(Data!A645 = 'Point Intercept 2'!A645, Data!A645, "ERROR")</f>
        <v>7</v>
      </c>
      <c r="B645" s="6">
        <f>IF(Data!B645 = 'Point Intercept 2'!B645, Data!B645, "ERROR")</f>
        <v>2025</v>
      </c>
      <c r="C645" s="8">
        <f>IF(Data!C645 = 'Point Intercept 2'!C645, Data!C645, "ERROR")</f>
        <v>45764</v>
      </c>
      <c r="D645" s="6" t="str">
        <f>IF(Data!D645 = 'Point Intercept 2'!D645, Data!D645, "ERROR")</f>
        <v>ERROR</v>
      </c>
      <c r="E645" s="6" t="str">
        <f>IF(Data!E645 = 'Point Intercept 2'!E645, Data!E645, "ERROR")</f>
        <v>VB</v>
      </c>
      <c r="F645" s="6">
        <f>IF(Data!F645 = 'Point Intercept 2'!F645, Data!F645, "ERROR")</f>
        <v>1</v>
      </c>
      <c r="G645" s="6" t="str">
        <f>IF(Data!G645 = 'Point Intercept 2'!G645, Data!G645, "ERROR")</f>
        <v>SU</v>
      </c>
      <c r="H645" s="6">
        <f>IF(Data!I645 = 'Point Intercept 2'!I645, Data!I645, "ERROR")</f>
        <v>5</v>
      </c>
      <c r="I645" s="6">
        <f>IF(Data!H645 = 'Point Intercept 2'!H645, Data!H645, "ERROR")</f>
        <v>2</v>
      </c>
      <c r="J645" s="6">
        <f>IF(Data!J645 = 'Point Intercept 2'!J645, Data!J645, "ERROR")</f>
        <v>3</v>
      </c>
      <c r="K645" s="6" t="str">
        <f>IF(Data!K645 = 'Point Intercept 2'!K645, Data!K645, "ERROR")</f>
        <v>L</v>
      </c>
      <c r="L645" s="6" t="str">
        <f>IF(Data!L645 = 'Point Intercept 2'!L645, Data!L645, "ERROR")</f>
        <v>Litter</v>
      </c>
    </row>
    <row r="646" spans="1:12" x14ac:dyDescent="0.25">
      <c r="A646" s="6">
        <f>IF(Data!A646 = 'Point Intercept 2'!A646, Data!A646, "ERROR")</f>
        <v>7</v>
      </c>
      <c r="B646" s="6">
        <f>IF(Data!B646 = 'Point Intercept 2'!B646, Data!B646, "ERROR")</f>
        <v>2025</v>
      </c>
      <c r="C646" s="8">
        <f>IF(Data!C646 = 'Point Intercept 2'!C646, Data!C646, "ERROR")</f>
        <v>45764</v>
      </c>
      <c r="D646" s="6" t="str">
        <f>IF(Data!D646 = 'Point Intercept 2'!D646, Data!D646, "ERROR")</f>
        <v>ERROR</v>
      </c>
      <c r="E646" s="6" t="str">
        <f>IF(Data!E646 = 'Point Intercept 2'!E646, Data!E646, "ERROR")</f>
        <v>VB</v>
      </c>
      <c r="F646" s="6">
        <f>IF(Data!F646 = 'Point Intercept 2'!F646, Data!F646, "ERROR")</f>
        <v>1</v>
      </c>
      <c r="G646" s="6" t="str">
        <f>IF(Data!G646 = 'Point Intercept 2'!G646, Data!G646, "ERROR")</f>
        <v>SU</v>
      </c>
      <c r="H646" s="6">
        <f>IF(Data!I646 = 'Point Intercept 2'!I646, Data!I646, "ERROR")</f>
        <v>5</v>
      </c>
      <c r="I646" s="6">
        <f>IF(Data!H646 = 'Point Intercept 2'!H646, Data!H646, "ERROR")</f>
        <v>2</v>
      </c>
      <c r="J646" s="6">
        <f>IF(Data!J646 = 'Point Intercept 2'!J646, Data!J646, "ERROR")</f>
        <v>3</v>
      </c>
      <c r="K646" s="6" t="str">
        <f>IF(Data!K646 = 'Point Intercept 2'!K646, Data!K646, "ERROR")</f>
        <v>EROMOS</v>
      </c>
      <c r="L646" s="6" t="str">
        <f>IF(Data!L646 = 'Point Intercept 2'!L646, Data!L646, "ERROR")</f>
        <v>Erodium moschatum</v>
      </c>
    </row>
    <row r="647" spans="1:12" x14ac:dyDescent="0.25">
      <c r="A647" s="6">
        <f>IF(Data!A647 = 'Point Intercept 2'!A647, Data!A647, "ERROR")</f>
        <v>7</v>
      </c>
      <c r="B647" s="6">
        <f>IF(Data!B647 = 'Point Intercept 2'!B647, Data!B647, "ERROR")</f>
        <v>2025</v>
      </c>
      <c r="C647" s="8">
        <f>IF(Data!C647 = 'Point Intercept 2'!C647, Data!C647, "ERROR")</f>
        <v>45764</v>
      </c>
      <c r="D647" s="6" t="str">
        <f>IF(Data!D647 = 'Point Intercept 2'!D647, Data!D647, "ERROR")</f>
        <v>ERROR</v>
      </c>
      <c r="E647" s="6" t="str">
        <f>IF(Data!E647 = 'Point Intercept 2'!E647, Data!E647, "ERROR")</f>
        <v>VB</v>
      </c>
      <c r="F647" s="6">
        <f>IF(Data!F647 = 'Point Intercept 2'!F647, Data!F647, "ERROR")</f>
        <v>1</v>
      </c>
      <c r="G647" s="6" t="str">
        <f>IF(Data!G647 = 'Point Intercept 2'!G647, Data!G647, "ERROR")</f>
        <v>SU</v>
      </c>
      <c r="H647" s="6">
        <f>IF(Data!I647 = 'Point Intercept 2'!I647, Data!I647, "ERROR")</f>
        <v>6</v>
      </c>
      <c r="I647" s="6">
        <f>IF(Data!H647 = 'Point Intercept 2'!H647, Data!H647, "ERROR")</f>
        <v>2</v>
      </c>
      <c r="J647" s="6">
        <f>IF(Data!J647 = 'Point Intercept 2'!J647, Data!J647, "ERROR")</f>
        <v>3.5</v>
      </c>
      <c r="K647" s="6" t="str">
        <f>IF(Data!K647 = 'Point Intercept 2'!K647, Data!K647, "ERROR")</f>
        <v>L</v>
      </c>
      <c r="L647" s="6" t="str">
        <f>IF(Data!L647 = 'Point Intercept 2'!L647, Data!L647, "ERROR")</f>
        <v>Litter</v>
      </c>
    </row>
    <row r="648" spans="1:12" x14ac:dyDescent="0.25">
      <c r="A648" s="6">
        <f>IF(Data!A648 = 'Point Intercept 2'!A648, Data!A648, "ERROR")</f>
        <v>7</v>
      </c>
      <c r="B648" s="6">
        <f>IF(Data!B648 = 'Point Intercept 2'!B648, Data!B648, "ERROR")</f>
        <v>2025</v>
      </c>
      <c r="C648" s="8">
        <f>IF(Data!C648 = 'Point Intercept 2'!C648, Data!C648, "ERROR")</f>
        <v>45764</v>
      </c>
      <c r="D648" s="6" t="str">
        <f>IF(Data!D648 = 'Point Intercept 2'!D648, Data!D648, "ERROR")</f>
        <v>ERROR</v>
      </c>
      <c r="E648" s="6" t="str">
        <f>IF(Data!E648 = 'Point Intercept 2'!E648, Data!E648, "ERROR")</f>
        <v>VB</v>
      </c>
      <c r="F648" s="6">
        <f>IF(Data!F648 = 'Point Intercept 2'!F648, Data!F648, "ERROR")</f>
        <v>1</v>
      </c>
      <c r="G648" s="6" t="str">
        <f>IF(Data!G648 = 'Point Intercept 2'!G648, Data!G648, "ERROR")</f>
        <v>SU</v>
      </c>
      <c r="H648" s="6">
        <f>IF(Data!I648 = 'Point Intercept 2'!I648, Data!I648, "ERROR")</f>
        <v>6</v>
      </c>
      <c r="I648" s="6">
        <f>IF(Data!H648 = 'Point Intercept 2'!H648, Data!H648, "ERROR")</f>
        <v>2</v>
      </c>
      <c r="J648" s="6">
        <f>IF(Data!J648 = 'Point Intercept 2'!J648, Data!J648, "ERROR")</f>
        <v>3.5</v>
      </c>
      <c r="K648" s="6" t="str">
        <f>IF(Data!K648 = 'Point Intercept 2'!K648, Data!K648, "ERROR")</f>
        <v>DEIFAS</v>
      </c>
      <c r="L648" s="6" t="str">
        <f>IF(Data!L648 = 'Point Intercept 2'!L648, Data!L648, "ERROR")</f>
        <v>Deinandra fasciculata</v>
      </c>
    </row>
    <row r="649" spans="1:12" x14ac:dyDescent="0.25">
      <c r="A649" s="6">
        <f>IF(Data!A649 = 'Point Intercept 2'!A649, Data!A649, "ERROR")</f>
        <v>7</v>
      </c>
      <c r="B649" s="6">
        <f>IF(Data!B649 = 'Point Intercept 2'!B649, Data!B649, "ERROR")</f>
        <v>2025</v>
      </c>
      <c r="C649" s="8">
        <f>IF(Data!C649 = 'Point Intercept 2'!C649, Data!C649, "ERROR")</f>
        <v>45764</v>
      </c>
      <c r="D649" s="6" t="str">
        <f>IF(Data!D649 = 'Point Intercept 2'!D649, Data!D649, "ERROR")</f>
        <v>ERROR</v>
      </c>
      <c r="E649" s="6" t="str">
        <f>IF(Data!E649 = 'Point Intercept 2'!E649, Data!E649, "ERROR")</f>
        <v>VB</v>
      </c>
      <c r="F649" s="6">
        <f>IF(Data!F649 = 'Point Intercept 2'!F649, Data!F649, "ERROR")</f>
        <v>1</v>
      </c>
      <c r="G649" s="6" t="str">
        <f>IF(Data!G649 = 'Point Intercept 2'!G649, Data!G649, "ERROR")</f>
        <v>SU</v>
      </c>
      <c r="H649" s="6">
        <f>IF(Data!I649 = 'Point Intercept 2'!I649, Data!I649, "ERROR")</f>
        <v>7</v>
      </c>
      <c r="I649" s="6">
        <f>IF(Data!H649 = 'Point Intercept 2'!H649, Data!H649, "ERROR")</f>
        <v>2</v>
      </c>
      <c r="J649" s="6">
        <f>IF(Data!J649 = 'Point Intercept 2'!J649, Data!J649, "ERROR")</f>
        <v>4</v>
      </c>
      <c r="K649" s="6" t="str">
        <f>IF(Data!K649 = 'Point Intercept 2'!K649, Data!K649, "ERROR")</f>
        <v>L</v>
      </c>
      <c r="L649" s="6" t="str">
        <f>IF(Data!L649 = 'Point Intercept 2'!L649, Data!L649, "ERROR")</f>
        <v>Litter</v>
      </c>
    </row>
    <row r="650" spans="1:12" x14ac:dyDescent="0.25">
      <c r="A650" s="6">
        <f>IF(Data!A650 = 'Point Intercept 2'!A650, Data!A650, "ERROR")</f>
        <v>7</v>
      </c>
      <c r="B650" s="6">
        <f>IF(Data!B650 = 'Point Intercept 2'!B650, Data!B650, "ERROR")</f>
        <v>2025</v>
      </c>
      <c r="C650" s="8">
        <f>IF(Data!C650 = 'Point Intercept 2'!C650, Data!C650, "ERROR")</f>
        <v>45764</v>
      </c>
      <c r="D650" s="6" t="str">
        <f>IF(Data!D650 = 'Point Intercept 2'!D650, Data!D650, "ERROR")</f>
        <v>ERROR</v>
      </c>
      <c r="E650" s="6" t="str">
        <f>IF(Data!E650 = 'Point Intercept 2'!E650, Data!E650, "ERROR")</f>
        <v>VB</v>
      </c>
      <c r="F650" s="6">
        <f>IF(Data!F650 = 'Point Intercept 2'!F650, Data!F650, "ERROR")</f>
        <v>1</v>
      </c>
      <c r="G650" s="6" t="str">
        <f>IF(Data!G650 = 'Point Intercept 2'!G650, Data!G650, "ERROR")</f>
        <v>SU</v>
      </c>
      <c r="H650" s="6">
        <f>IF(Data!I650 = 'Point Intercept 2'!I650, Data!I650, "ERROR")</f>
        <v>7</v>
      </c>
      <c r="I650" s="6">
        <f>IF(Data!H650 = 'Point Intercept 2'!H650, Data!H650, "ERROR")</f>
        <v>2</v>
      </c>
      <c r="J650" s="6">
        <f>IF(Data!J650 = 'Point Intercept 2'!J650, Data!J650, "ERROR")</f>
        <v>4</v>
      </c>
      <c r="K650" s="6" t="str">
        <f>IF(Data!K650 = 'Point Intercept 2'!K650, Data!K650, "ERROR")</f>
        <v>EROMOS</v>
      </c>
      <c r="L650" s="6" t="str">
        <f>IF(Data!L650 = 'Point Intercept 2'!L650, Data!L650, "ERROR")</f>
        <v>Erodium moschatum</v>
      </c>
    </row>
    <row r="651" spans="1:12" x14ac:dyDescent="0.25">
      <c r="A651" s="6">
        <f>IF(Data!A651 = 'Point Intercept 2'!A651, Data!A651, "ERROR")</f>
        <v>7</v>
      </c>
      <c r="B651" s="6">
        <f>IF(Data!B651 = 'Point Intercept 2'!B651, Data!B651, "ERROR")</f>
        <v>2025</v>
      </c>
      <c r="C651" s="8">
        <f>IF(Data!C651 = 'Point Intercept 2'!C651, Data!C651, "ERROR")</f>
        <v>45764</v>
      </c>
      <c r="D651" s="6" t="str">
        <f>IF(Data!D651 = 'Point Intercept 2'!D651, Data!D651, "ERROR")</f>
        <v>ERROR</v>
      </c>
      <c r="E651" s="6" t="str">
        <f>IF(Data!E651 = 'Point Intercept 2'!E651, Data!E651, "ERROR")</f>
        <v>VB</v>
      </c>
      <c r="F651" s="6">
        <f>IF(Data!F651 = 'Point Intercept 2'!F651, Data!F651, "ERROR")</f>
        <v>1</v>
      </c>
      <c r="G651" s="6" t="str">
        <f>IF(Data!G651 = 'Point Intercept 2'!G651, Data!G651, "ERROR")</f>
        <v>SU</v>
      </c>
      <c r="H651" s="6">
        <f>IF(Data!I651 = 'Point Intercept 2'!I651, Data!I651, "ERROR")</f>
        <v>8</v>
      </c>
      <c r="I651" s="6">
        <f>IF(Data!H651 = 'Point Intercept 2'!H651, Data!H651, "ERROR")</f>
        <v>2</v>
      </c>
      <c r="J651" s="6">
        <f>IF(Data!J651 = 'Point Intercept 2'!J651, Data!J651, "ERROR")</f>
        <v>5</v>
      </c>
      <c r="K651" s="6" t="str">
        <f>IF(Data!K651 = 'Point Intercept 2'!K651, Data!K651, "ERROR")</f>
        <v>L</v>
      </c>
      <c r="L651" s="6" t="str">
        <f>IF(Data!L651 = 'Point Intercept 2'!L651, Data!L651, "ERROR")</f>
        <v>Litter</v>
      </c>
    </row>
    <row r="652" spans="1:12" x14ac:dyDescent="0.25">
      <c r="A652" s="6">
        <f>IF(Data!A652 = 'Point Intercept 2'!A652, Data!A652, "ERROR")</f>
        <v>7</v>
      </c>
      <c r="B652" s="6">
        <f>IF(Data!B652 = 'Point Intercept 2'!B652, Data!B652, "ERROR")</f>
        <v>2025</v>
      </c>
      <c r="C652" s="8">
        <f>IF(Data!C652 = 'Point Intercept 2'!C652, Data!C652, "ERROR")</f>
        <v>45764</v>
      </c>
      <c r="D652" s="6" t="str">
        <f>IF(Data!D652 = 'Point Intercept 2'!D652, Data!D652, "ERROR")</f>
        <v>ERROR</v>
      </c>
      <c r="E652" s="6" t="str">
        <f>IF(Data!E652 = 'Point Intercept 2'!E652, Data!E652, "ERROR")</f>
        <v>VB</v>
      </c>
      <c r="F652" s="6">
        <f>IF(Data!F652 = 'Point Intercept 2'!F652, Data!F652, "ERROR")</f>
        <v>1</v>
      </c>
      <c r="G652" s="6" t="str">
        <f>IF(Data!G652 = 'Point Intercept 2'!G652, Data!G652, "ERROR")</f>
        <v>SU</v>
      </c>
      <c r="H652" s="6">
        <f>IF(Data!I652 = 'Point Intercept 2'!I652, Data!I652, "ERROR")</f>
        <v>8</v>
      </c>
      <c r="I652" s="6">
        <f>IF(Data!H652 = 'Point Intercept 2'!H652, Data!H652, "ERROR")</f>
        <v>2</v>
      </c>
      <c r="J652" s="6">
        <f>IF(Data!J652 = 'Point Intercept 2'!J652, Data!J652, "ERROR")</f>
        <v>5</v>
      </c>
      <c r="K652" s="6" t="str">
        <f>IF(Data!K652 = 'Point Intercept 2'!K652, Data!K652, "ERROR")</f>
        <v>EROMOS</v>
      </c>
      <c r="L652" s="6" t="str">
        <f>IF(Data!L652 = 'Point Intercept 2'!L652, Data!L652, "ERROR")</f>
        <v>Erodium moschatum</v>
      </c>
    </row>
    <row r="653" spans="1:12" x14ac:dyDescent="0.25">
      <c r="A653" s="6">
        <f>IF(Data!A653 = 'Point Intercept 2'!A653, Data!A653, "ERROR")</f>
        <v>7</v>
      </c>
      <c r="B653" s="6">
        <f>IF(Data!B653 = 'Point Intercept 2'!B653, Data!B653, "ERROR")</f>
        <v>2025</v>
      </c>
      <c r="C653" s="8">
        <f>IF(Data!C653 = 'Point Intercept 2'!C653, Data!C653, "ERROR")</f>
        <v>45764</v>
      </c>
      <c r="D653" s="6" t="str">
        <f>IF(Data!D653 = 'Point Intercept 2'!D653, Data!D653, "ERROR")</f>
        <v>ERROR</v>
      </c>
      <c r="E653" s="6" t="str">
        <f>IF(Data!E653 = 'Point Intercept 2'!E653, Data!E653, "ERROR")</f>
        <v>VB</v>
      </c>
      <c r="F653" s="6">
        <f>IF(Data!F653 = 'Point Intercept 2'!F653, Data!F653, "ERROR")</f>
        <v>1</v>
      </c>
      <c r="G653" s="6" t="str">
        <f>IF(Data!G653 = 'Point Intercept 2'!G653, Data!G653, "ERROR")</f>
        <v>SU</v>
      </c>
      <c r="H653" s="6">
        <f>IF(Data!I653 = 'Point Intercept 2'!I653, Data!I653, "ERROR")</f>
        <v>8</v>
      </c>
      <c r="I653" s="6">
        <f>IF(Data!H653 = 'Point Intercept 2'!H653, Data!H653, "ERROR")</f>
        <v>2</v>
      </c>
      <c r="J653" s="6">
        <f>IF(Data!J653 = 'Point Intercept 2'!J653, Data!J653, "ERROR")</f>
        <v>5</v>
      </c>
      <c r="K653" s="6" t="str">
        <f>IF(Data!K653 = 'Point Intercept 2'!K653, Data!K653, "ERROR")</f>
        <v>SONOLE</v>
      </c>
      <c r="L653" s="6" t="str">
        <f>IF(Data!L653 = 'Point Intercept 2'!L653, Data!L653, "ERROR")</f>
        <v>Sonchus oleraceus</v>
      </c>
    </row>
    <row r="654" spans="1:12" x14ac:dyDescent="0.25">
      <c r="A654" s="6">
        <f>IF(Data!A654 = 'Point Intercept 2'!A654, Data!A654, "ERROR")</f>
        <v>7</v>
      </c>
      <c r="B654" s="6">
        <f>IF(Data!B654 = 'Point Intercept 2'!B654, Data!B654, "ERROR")</f>
        <v>2025</v>
      </c>
      <c r="C654" s="8">
        <f>IF(Data!C654 = 'Point Intercept 2'!C654, Data!C654, "ERROR")</f>
        <v>45764</v>
      </c>
      <c r="D654" s="6" t="str">
        <f>IF(Data!D654 = 'Point Intercept 2'!D654, Data!D654, "ERROR")</f>
        <v>ERROR</v>
      </c>
      <c r="E654" s="6" t="str">
        <f>IF(Data!E654 = 'Point Intercept 2'!E654, Data!E654, "ERROR")</f>
        <v>VB</v>
      </c>
      <c r="F654" s="6">
        <f>IF(Data!F654 = 'Point Intercept 2'!F654, Data!F654, "ERROR")</f>
        <v>1</v>
      </c>
      <c r="G654" s="6" t="str">
        <f>IF(Data!G654 = 'Point Intercept 2'!G654, Data!G654, "ERROR")</f>
        <v>SU</v>
      </c>
      <c r="H654" s="6">
        <f>IF(Data!I654 = 'Point Intercept 2'!I654, Data!I654, "ERROR")</f>
        <v>9</v>
      </c>
      <c r="I654" s="6">
        <f>IF(Data!H654 = 'Point Intercept 2'!H654, Data!H654, "ERROR")</f>
        <v>2</v>
      </c>
      <c r="J654" s="6">
        <f>IF(Data!J654 = 'Point Intercept 2'!J654, Data!J654, "ERROR")</f>
        <v>7</v>
      </c>
      <c r="K654" s="6" t="str">
        <f>IF(Data!K654 = 'Point Intercept 2'!K654, Data!K654, "ERROR")</f>
        <v>L</v>
      </c>
      <c r="L654" s="6" t="str">
        <f>IF(Data!L654 = 'Point Intercept 2'!L654, Data!L654, "ERROR")</f>
        <v>Litter</v>
      </c>
    </row>
    <row r="655" spans="1:12" x14ac:dyDescent="0.25">
      <c r="A655" s="6">
        <f>IF(Data!A655 = 'Point Intercept 2'!A655, Data!A655, "ERROR")</f>
        <v>7</v>
      </c>
      <c r="B655" s="6">
        <f>IF(Data!B655 = 'Point Intercept 2'!B655, Data!B655, "ERROR")</f>
        <v>2025</v>
      </c>
      <c r="C655" s="8">
        <f>IF(Data!C655 = 'Point Intercept 2'!C655, Data!C655, "ERROR")</f>
        <v>45764</v>
      </c>
      <c r="D655" s="6" t="str">
        <f>IF(Data!D655 = 'Point Intercept 2'!D655, Data!D655, "ERROR")</f>
        <v>ERROR</v>
      </c>
      <c r="E655" s="6" t="str">
        <f>IF(Data!E655 = 'Point Intercept 2'!E655, Data!E655, "ERROR")</f>
        <v>VB</v>
      </c>
      <c r="F655" s="6">
        <f>IF(Data!F655 = 'Point Intercept 2'!F655, Data!F655, "ERROR")</f>
        <v>1</v>
      </c>
      <c r="G655" s="6" t="str">
        <f>IF(Data!G655 = 'Point Intercept 2'!G655, Data!G655, "ERROR")</f>
        <v>SU</v>
      </c>
      <c r="H655" s="6">
        <f>IF(Data!I655 = 'Point Intercept 2'!I655, Data!I655, "ERROR")</f>
        <v>9</v>
      </c>
      <c r="I655" s="6">
        <f>IF(Data!H655 = 'Point Intercept 2'!H655, Data!H655, "ERROR")</f>
        <v>2</v>
      </c>
      <c r="J655" s="6">
        <f>IF(Data!J655 = 'Point Intercept 2'!J655, Data!J655, "ERROR")</f>
        <v>7</v>
      </c>
      <c r="K655" s="6" t="str">
        <f>IF(Data!K655 = 'Point Intercept 2'!K655, Data!K655, "ERROR")</f>
        <v>CENMEL</v>
      </c>
      <c r="L655" s="6" t="str">
        <f>IF(Data!L655 = 'Point Intercept 2'!L655, Data!L655, "ERROR")</f>
        <v>Centaurea melitensis</v>
      </c>
    </row>
    <row r="656" spans="1:12" x14ac:dyDescent="0.25">
      <c r="A656" s="6">
        <f>IF(Data!A656 = 'Point Intercept 2'!A656, Data!A656, "ERROR")</f>
        <v>7</v>
      </c>
      <c r="B656" s="6">
        <f>IF(Data!B656 = 'Point Intercept 2'!B656, Data!B656, "ERROR")</f>
        <v>2025</v>
      </c>
      <c r="C656" s="8">
        <f>IF(Data!C656 = 'Point Intercept 2'!C656, Data!C656, "ERROR")</f>
        <v>45764</v>
      </c>
      <c r="D656" s="6" t="str">
        <f>IF(Data!D656 = 'Point Intercept 2'!D656, Data!D656, "ERROR")</f>
        <v>ERROR</v>
      </c>
      <c r="E656" s="6" t="str">
        <f>IF(Data!E656 = 'Point Intercept 2'!E656, Data!E656, "ERROR")</f>
        <v>VB</v>
      </c>
      <c r="F656" s="6">
        <f>IF(Data!F656 = 'Point Intercept 2'!F656, Data!F656, "ERROR")</f>
        <v>1</v>
      </c>
      <c r="G656" s="6" t="str">
        <f>IF(Data!G656 = 'Point Intercept 2'!G656, Data!G656, "ERROR")</f>
        <v>SU</v>
      </c>
      <c r="H656" s="6">
        <f>IF(Data!I656 = 'Point Intercept 2'!I656, Data!I656, "ERROR")</f>
        <v>9</v>
      </c>
      <c r="I656" s="6">
        <f>IF(Data!H656 = 'Point Intercept 2'!H656, Data!H656, "ERROR")</f>
        <v>2</v>
      </c>
      <c r="J656" s="6">
        <f>IF(Data!J656 = 'Point Intercept 2'!J656, Data!J656, "ERROR")</f>
        <v>7</v>
      </c>
      <c r="K656" s="6" t="str">
        <f>IF(Data!K656 = 'Point Intercept 2'!K656, Data!K656, "ERROR")</f>
        <v>UROLIN</v>
      </c>
      <c r="L656" s="6" t="str">
        <f>IF(Data!L656 = 'Point Intercept 2'!L656, Data!L656, "ERROR")</f>
        <v>Uropappus lindleyi</v>
      </c>
    </row>
    <row r="657" spans="1:12" x14ac:dyDescent="0.25">
      <c r="A657" s="6">
        <f>IF(Data!A657 = 'Point Intercept 2'!A657, Data!A657, "ERROR")</f>
        <v>7</v>
      </c>
      <c r="B657" s="6">
        <f>IF(Data!B657 = 'Point Intercept 2'!B657, Data!B657, "ERROR")</f>
        <v>2025</v>
      </c>
      <c r="C657" s="8">
        <f>IF(Data!C657 = 'Point Intercept 2'!C657, Data!C657, "ERROR")</f>
        <v>45764</v>
      </c>
      <c r="D657" s="6" t="str">
        <f>IF(Data!D657 = 'Point Intercept 2'!D657, Data!D657, "ERROR")</f>
        <v>ERROR</v>
      </c>
      <c r="E657" s="6" t="str">
        <f>IF(Data!E657 = 'Point Intercept 2'!E657, Data!E657, "ERROR")</f>
        <v>VB</v>
      </c>
      <c r="F657" s="6">
        <f>IF(Data!F657 = 'Point Intercept 2'!F657, Data!F657, "ERROR")</f>
        <v>1</v>
      </c>
      <c r="G657" s="6" t="str">
        <f>IF(Data!G657 = 'Point Intercept 2'!G657, Data!G657, "ERROR")</f>
        <v>SU</v>
      </c>
      <c r="H657" s="6">
        <f>IF(Data!I657 = 'Point Intercept 2'!I657, Data!I657, "ERROR")</f>
        <v>9</v>
      </c>
      <c r="I657" s="6">
        <f>IF(Data!H657 = 'Point Intercept 2'!H657, Data!H657, "ERROR")</f>
        <v>2</v>
      </c>
      <c r="J657" s="6">
        <f>IF(Data!J657 = 'Point Intercept 2'!J657, Data!J657, "ERROR")</f>
        <v>7</v>
      </c>
      <c r="K657" s="6" t="str">
        <f>IF(Data!K657 = 'Point Intercept 2'!K657, Data!K657, "ERROR")</f>
        <v>EROMOS</v>
      </c>
      <c r="L657" s="6" t="str">
        <f>IF(Data!L657 = 'Point Intercept 2'!L657, Data!L657, "ERROR")</f>
        <v>Erodium moschatum</v>
      </c>
    </row>
    <row r="658" spans="1:12" x14ac:dyDescent="0.25">
      <c r="A658" s="6">
        <f>IF(Data!A658 = 'Point Intercept 2'!A658, Data!A658, "ERROR")</f>
        <v>7</v>
      </c>
      <c r="B658" s="6">
        <f>IF(Data!B658 = 'Point Intercept 2'!B658, Data!B658, "ERROR")</f>
        <v>2025</v>
      </c>
      <c r="C658" s="8">
        <f>IF(Data!C658 = 'Point Intercept 2'!C658, Data!C658, "ERROR")</f>
        <v>45764</v>
      </c>
      <c r="D658" s="6" t="str">
        <f>IF(Data!D658 = 'Point Intercept 2'!D658, Data!D658, "ERROR")</f>
        <v>ERROR</v>
      </c>
      <c r="E658" s="6" t="str">
        <f>IF(Data!E658 = 'Point Intercept 2'!E658, Data!E658, "ERROR")</f>
        <v>VB</v>
      </c>
      <c r="F658" s="6">
        <f>IF(Data!F658 = 'Point Intercept 2'!F658, Data!F658, "ERROR")</f>
        <v>1</v>
      </c>
      <c r="G658" s="6" t="str">
        <f>IF(Data!G658 = 'Point Intercept 2'!G658, Data!G658, "ERROR")</f>
        <v>SU</v>
      </c>
      <c r="H658" s="6">
        <f>IF(Data!I658 = 'Point Intercept 2'!I658, Data!I658, "ERROR")</f>
        <v>10</v>
      </c>
      <c r="I658" s="6">
        <f>IF(Data!H658 = 'Point Intercept 2'!H658, Data!H658, "ERROR")</f>
        <v>2</v>
      </c>
      <c r="J658" s="6">
        <f>IF(Data!J658 = 'Point Intercept 2'!J658, Data!J658, "ERROR")</f>
        <v>8</v>
      </c>
      <c r="K658" s="6" t="str">
        <f>IF(Data!K658 = 'Point Intercept 2'!K658, Data!K658, "ERROR")</f>
        <v>L</v>
      </c>
      <c r="L658" s="6" t="str">
        <f>IF(Data!L658 = 'Point Intercept 2'!L658, Data!L658, "ERROR")</f>
        <v>Litter</v>
      </c>
    </row>
    <row r="659" spans="1:12" x14ac:dyDescent="0.25">
      <c r="A659" s="6">
        <f>IF(Data!A659 = 'Point Intercept 2'!A659, Data!A659, "ERROR")</f>
        <v>7</v>
      </c>
      <c r="B659" s="6">
        <f>IF(Data!B659 = 'Point Intercept 2'!B659, Data!B659, "ERROR")</f>
        <v>2025</v>
      </c>
      <c r="C659" s="8">
        <f>IF(Data!C659 = 'Point Intercept 2'!C659, Data!C659, "ERROR")</f>
        <v>45764</v>
      </c>
      <c r="D659" s="6" t="str">
        <f>IF(Data!D659 = 'Point Intercept 2'!D659, Data!D659, "ERROR")</f>
        <v>ERROR</v>
      </c>
      <c r="E659" s="6" t="str">
        <f>IF(Data!E659 = 'Point Intercept 2'!E659, Data!E659, "ERROR")</f>
        <v>VB</v>
      </c>
      <c r="F659" s="6">
        <f>IF(Data!F659 = 'Point Intercept 2'!F659, Data!F659, "ERROR")</f>
        <v>1</v>
      </c>
      <c r="G659" s="6" t="str">
        <f>IF(Data!G659 = 'Point Intercept 2'!G659, Data!G659, "ERROR")</f>
        <v>SU</v>
      </c>
      <c r="H659" s="6">
        <f>IF(Data!I659 = 'Point Intercept 2'!I659, Data!I659, "ERROR")</f>
        <v>10</v>
      </c>
      <c r="I659" s="6">
        <f>IF(Data!H659 = 'Point Intercept 2'!H659, Data!H659, "ERROR")</f>
        <v>2</v>
      </c>
      <c r="J659" s="6">
        <f>IF(Data!J659 = 'Point Intercept 2'!J659, Data!J659, "ERROR")</f>
        <v>8</v>
      </c>
      <c r="K659" s="6" t="str">
        <f>IF(Data!K659 = 'Point Intercept 2'!K659, Data!K659, "ERROR")</f>
        <v>EROMOS</v>
      </c>
      <c r="L659" s="6" t="str">
        <f>IF(Data!L659 = 'Point Intercept 2'!L659, Data!L659, "ERROR")</f>
        <v>Erodium moschatum</v>
      </c>
    </row>
    <row r="660" spans="1:12" x14ac:dyDescent="0.25">
      <c r="A660" s="6">
        <f>IF(Data!A660 = 'Point Intercept 2'!A660, Data!A660, "ERROR")</f>
        <v>7</v>
      </c>
      <c r="B660" s="6">
        <f>IF(Data!B660 = 'Point Intercept 2'!B660, Data!B660, "ERROR")</f>
        <v>2025</v>
      </c>
      <c r="C660" s="8">
        <f>IF(Data!C660 = 'Point Intercept 2'!C660, Data!C660, "ERROR")</f>
        <v>45764</v>
      </c>
      <c r="D660" s="6" t="str">
        <f>IF(Data!D660 = 'Point Intercept 2'!D660, Data!D660, "ERROR")</f>
        <v>ERROR</v>
      </c>
      <c r="E660" s="6" t="str">
        <f>IF(Data!E660 = 'Point Intercept 2'!E660, Data!E660, "ERROR")</f>
        <v>VB</v>
      </c>
      <c r="F660" s="6">
        <f>IF(Data!F660 = 'Point Intercept 2'!F660, Data!F660, "ERROR")</f>
        <v>1</v>
      </c>
      <c r="G660" s="6" t="str">
        <f>IF(Data!G660 = 'Point Intercept 2'!G660, Data!G660, "ERROR")</f>
        <v>SU</v>
      </c>
      <c r="H660" s="6">
        <f>IF(Data!I660 = 'Point Intercept 2'!I660, Data!I660, "ERROR")</f>
        <v>10</v>
      </c>
      <c r="I660" s="6">
        <f>IF(Data!H660 = 'Point Intercept 2'!H660, Data!H660, "ERROR")</f>
        <v>2</v>
      </c>
      <c r="J660" s="6">
        <f>IF(Data!J660 = 'Point Intercept 2'!J660, Data!J660, "ERROR")</f>
        <v>8</v>
      </c>
      <c r="K660" s="6" t="str">
        <f>IF(Data!K660 = 'Point Intercept 2'!K660, Data!K660, "ERROR")</f>
        <v>STEDIE</v>
      </c>
      <c r="L660" s="6" t="str">
        <f>IF(Data!L660 = 'Point Intercept 2'!L660, Data!L660, "ERROR")</f>
        <v>Stephanomeria diegensis</v>
      </c>
    </row>
    <row r="661" spans="1:12" x14ac:dyDescent="0.25">
      <c r="A661" s="6">
        <f>IF(Data!A661 = 'Point Intercept 2'!A661, Data!A661, "ERROR")</f>
        <v>7</v>
      </c>
      <c r="B661" s="6">
        <f>IF(Data!B661 = 'Point Intercept 2'!B661, Data!B661, "ERROR")</f>
        <v>2025</v>
      </c>
      <c r="C661" s="8">
        <f>IF(Data!C661 = 'Point Intercept 2'!C661, Data!C661, "ERROR")</f>
        <v>45764</v>
      </c>
      <c r="D661" s="6" t="str">
        <f>IF(Data!D661 = 'Point Intercept 2'!D661, Data!D661, "ERROR")</f>
        <v>ERROR</v>
      </c>
      <c r="E661" s="6" t="str">
        <f>IF(Data!E661 = 'Point Intercept 2'!E661, Data!E661, "ERROR")</f>
        <v>VB</v>
      </c>
      <c r="F661" s="6">
        <f>IF(Data!F661 = 'Point Intercept 2'!F661, Data!F661, "ERROR")</f>
        <v>1</v>
      </c>
      <c r="G661" s="6" t="str">
        <f>IF(Data!G661 = 'Point Intercept 2'!G661, Data!G661, "ERROR")</f>
        <v>SU</v>
      </c>
      <c r="H661" s="6">
        <f>IF(Data!I661 = 'Point Intercept 2'!I661, Data!I661, "ERROR")</f>
        <v>11</v>
      </c>
      <c r="I661" s="6">
        <f>IF(Data!H661 = 'Point Intercept 2'!H661, Data!H661, "ERROR")</f>
        <v>2</v>
      </c>
      <c r="J661" s="6">
        <f>IF(Data!J661 = 'Point Intercept 2'!J661, Data!J661, "ERROR")</f>
        <v>8.5</v>
      </c>
      <c r="K661" s="6" t="str">
        <f>IF(Data!K661 = 'Point Intercept 2'!K661, Data!K661, "ERROR")</f>
        <v>L</v>
      </c>
      <c r="L661" s="6" t="str">
        <f>IF(Data!L661 = 'Point Intercept 2'!L661, Data!L661, "ERROR")</f>
        <v>Litter</v>
      </c>
    </row>
    <row r="662" spans="1:12" x14ac:dyDescent="0.25">
      <c r="A662" s="6">
        <f>IF(Data!A662 = 'Point Intercept 2'!A662, Data!A662, "ERROR")</f>
        <v>7</v>
      </c>
      <c r="B662" s="6">
        <f>IF(Data!B662 = 'Point Intercept 2'!B662, Data!B662, "ERROR")</f>
        <v>2025</v>
      </c>
      <c r="C662" s="8">
        <f>IF(Data!C662 = 'Point Intercept 2'!C662, Data!C662, "ERROR")</f>
        <v>45764</v>
      </c>
      <c r="D662" s="6" t="str">
        <f>IF(Data!D662 = 'Point Intercept 2'!D662, Data!D662, "ERROR")</f>
        <v>ERROR</v>
      </c>
      <c r="E662" s="6" t="str">
        <f>IF(Data!E662 = 'Point Intercept 2'!E662, Data!E662, "ERROR")</f>
        <v>VB</v>
      </c>
      <c r="F662" s="6">
        <f>IF(Data!F662 = 'Point Intercept 2'!F662, Data!F662, "ERROR")</f>
        <v>1</v>
      </c>
      <c r="G662" s="6" t="str">
        <f>IF(Data!G662 = 'Point Intercept 2'!G662, Data!G662, "ERROR")</f>
        <v>SU</v>
      </c>
      <c r="H662" s="6">
        <f>IF(Data!I662 = 'Point Intercept 2'!I662, Data!I662, "ERROR")</f>
        <v>11</v>
      </c>
      <c r="I662" s="6">
        <f>IF(Data!H662 = 'Point Intercept 2'!H662, Data!H662, "ERROR")</f>
        <v>2</v>
      </c>
      <c r="J662" s="6">
        <f>IF(Data!J662 = 'Point Intercept 2'!J662, Data!J662, "ERROR")</f>
        <v>8.5</v>
      </c>
      <c r="K662" s="6" t="str">
        <f>IF(Data!K662 = 'Point Intercept 2'!K662, Data!K662, "ERROR")</f>
        <v>CENMEL</v>
      </c>
      <c r="L662" s="6" t="str">
        <f>IF(Data!L662 = 'Point Intercept 2'!L662, Data!L662, "ERROR")</f>
        <v>Centaurea melitensis</v>
      </c>
    </row>
    <row r="663" spans="1:12" x14ac:dyDescent="0.25">
      <c r="A663" s="6">
        <f>IF(Data!A663 = 'Point Intercept 2'!A663, Data!A663, "ERROR")</f>
        <v>7</v>
      </c>
      <c r="B663" s="6">
        <f>IF(Data!B663 = 'Point Intercept 2'!B663, Data!B663, "ERROR")</f>
        <v>2025</v>
      </c>
      <c r="C663" s="8">
        <f>IF(Data!C663 = 'Point Intercept 2'!C663, Data!C663, "ERROR")</f>
        <v>45764</v>
      </c>
      <c r="D663" s="6" t="str">
        <f>IF(Data!D663 = 'Point Intercept 2'!D663, Data!D663, "ERROR")</f>
        <v>ERROR</v>
      </c>
      <c r="E663" s="6" t="str">
        <f>IF(Data!E663 = 'Point Intercept 2'!E663, Data!E663, "ERROR")</f>
        <v>VB</v>
      </c>
      <c r="F663" s="6">
        <f>IF(Data!F663 = 'Point Intercept 2'!F663, Data!F663, "ERROR")</f>
        <v>1</v>
      </c>
      <c r="G663" s="6" t="str">
        <f>IF(Data!G663 = 'Point Intercept 2'!G663, Data!G663, "ERROR")</f>
        <v>SU</v>
      </c>
      <c r="H663" s="6">
        <f>IF(Data!I663 = 'Point Intercept 2'!I663, Data!I663, "ERROR")</f>
        <v>11</v>
      </c>
      <c r="I663" s="6">
        <f>IF(Data!H663 = 'Point Intercept 2'!H663, Data!H663, "ERROR")</f>
        <v>2</v>
      </c>
      <c r="J663" s="6">
        <f>IF(Data!J663 = 'Point Intercept 2'!J663, Data!J663, "ERROR")</f>
        <v>8.5</v>
      </c>
      <c r="K663" s="6" t="str">
        <f>IF(Data!K663 = 'Point Intercept 2'!K663, Data!K663, "ERROR")</f>
        <v>BROMAD</v>
      </c>
      <c r="L663" s="6" t="str">
        <f>IF(Data!L663 = 'Point Intercept 2'!L663, Data!L663, "ERROR")</f>
        <v>Bromus madritensis</v>
      </c>
    </row>
    <row r="664" spans="1:12" x14ac:dyDescent="0.25">
      <c r="A664" s="6">
        <f>IF(Data!A664 = 'Point Intercept 2'!A664, Data!A664, "ERROR")</f>
        <v>7</v>
      </c>
      <c r="B664" s="6">
        <f>IF(Data!B664 = 'Point Intercept 2'!B664, Data!B664, "ERROR")</f>
        <v>2025</v>
      </c>
      <c r="C664" s="8">
        <f>IF(Data!C664 = 'Point Intercept 2'!C664, Data!C664, "ERROR")</f>
        <v>45764</v>
      </c>
      <c r="D664" s="6" t="str">
        <f>IF(Data!D664 = 'Point Intercept 2'!D664, Data!D664, "ERROR")</f>
        <v>ERROR</v>
      </c>
      <c r="E664" s="6" t="str">
        <f>IF(Data!E664 = 'Point Intercept 2'!E664, Data!E664, "ERROR")</f>
        <v>VB</v>
      </c>
      <c r="F664" s="6">
        <f>IF(Data!F664 = 'Point Intercept 2'!F664, Data!F664, "ERROR")</f>
        <v>1</v>
      </c>
      <c r="G664" s="6" t="str">
        <f>IF(Data!G664 = 'Point Intercept 2'!G664, Data!G664, "ERROR")</f>
        <v>SU</v>
      </c>
      <c r="H664" s="6">
        <f>IF(Data!I664 = 'Point Intercept 2'!I664, Data!I664, "ERROR")</f>
        <v>12</v>
      </c>
      <c r="I664" s="6">
        <f>IF(Data!H664 = 'Point Intercept 2'!H664, Data!H664, "ERROR")</f>
        <v>2</v>
      </c>
      <c r="J664" s="6">
        <f>IF(Data!J664 = 'Point Intercept 2'!J664, Data!J664, "ERROR")</f>
        <v>9</v>
      </c>
      <c r="K664" s="6" t="str">
        <f>IF(Data!K664 = 'Point Intercept 2'!K664, Data!K664, "ERROR")</f>
        <v>L</v>
      </c>
      <c r="L664" s="6" t="str">
        <f>IF(Data!L664 = 'Point Intercept 2'!L664, Data!L664, "ERROR")</f>
        <v>Litter</v>
      </c>
    </row>
    <row r="665" spans="1:12" x14ac:dyDescent="0.25">
      <c r="A665" s="6">
        <f>IF(Data!A665 = 'Point Intercept 2'!A665, Data!A665, "ERROR")</f>
        <v>7</v>
      </c>
      <c r="B665" s="6">
        <f>IF(Data!B665 = 'Point Intercept 2'!B665, Data!B665, "ERROR")</f>
        <v>2025</v>
      </c>
      <c r="C665" s="8">
        <f>IF(Data!C665 = 'Point Intercept 2'!C665, Data!C665, "ERROR")</f>
        <v>45764</v>
      </c>
      <c r="D665" s="6" t="str">
        <f>IF(Data!D665 = 'Point Intercept 2'!D665, Data!D665, "ERROR")</f>
        <v>ERROR</v>
      </c>
      <c r="E665" s="6" t="str">
        <f>IF(Data!E665 = 'Point Intercept 2'!E665, Data!E665, "ERROR")</f>
        <v>VB</v>
      </c>
      <c r="F665" s="6">
        <f>IF(Data!F665 = 'Point Intercept 2'!F665, Data!F665, "ERROR")</f>
        <v>1</v>
      </c>
      <c r="G665" s="6" t="str">
        <f>IF(Data!G665 = 'Point Intercept 2'!G665, Data!G665, "ERROR")</f>
        <v>SU</v>
      </c>
      <c r="H665" s="6">
        <f>IF(Data!I665 = 'Point Intercept 2'!I665, Data!I665, "ERROR")</f>
        <v>12</v>
      </c>
      <c r="I665" s="6">
        <f>IF(Data!H665 = 'Point Intercept 2'!H665, Data!H665, "ERROR")</f>
        <v>2</v>
      </c>
      <c r="J665" s="6">
        <f>IF(Data!J665 = 'Point Intercept 2'!J665, Data!J665, "ERROR")</f>
        <v>9</v>
      </c>
      <c r="K665" s="6" t="str">
        <f>IF(Data!K665 = 'Point Intercept 2'!K665, Data!K665, "ERROR")</f>
        <v>DEIFAS</v>
      </c>
      <c r="L665" s="6" t="str">
        <f>IF(Data!L665 = 'Point Intercept 2'!L665, Data!L665, "ERROR")</f>
        <v>Deinandra fasciculata</v>
      </c>
    </row>
    <row r="666" spans="1:12" x14ac:dyDescent="0.25">
      <c r="A666" s="6">
        <f>IF(Data!A666 = 'Point Intercept 2'!A666, Data!A666, "ERROR")</f>
        <v>7</v>
      </c>
      <c r="B666" s="6">
        <f>IF(Data!B666 = 'Point Intercept 2'!B666, Data!B666, "ERROR")</f>
        <v>2025</v>
      </c>
      <c r="C666" s="8">
        <f>IF(Data!C666 = 'Point Intercept 2'!C666, Data!C666, "ERROR")</f>
        <v>45764</v>
      </c>
      <c r="D666" s="6" t="str">
        <f>IF(Data!D666 = 'Point Intercept 2'!D666, Data!D666, "ERROR")</f>
        <v>ERROR</v>
      </c>
      <c r="E666" s="6" t="str">
        <f>IF(Data!E666 = 'Point Intercept 2'!E666, Data!E666, "ERROR")</f>
        <v>VB</v>
      </c>
      <c r="F666" s="6">
        <f>IF(Data!F666 = 'Point Intercept 2'!F666, Data!F666, "ERROR")</f>
        <v>1</v>
      </c>
      <c r="G666" s="6" t="str">
        <f>IF(Data!G666 = 'Point Intercept 2'!G666, Data!G666, "ERROR")</f>
        <v>SU</v>
      </c>
      <c r="H666" s="6">
        <f>IF(Data!I666 = 'Point Intercept 2'!I666, Data!I666, "ERROR")</f>
        <v>12</v>
      </c>
      <c r="I666" s="6">
        <f>IF(Data!H666 = 'Point Intercept 2'!H666, Data!H666, "ERROR")</f>
        <v>2</v>
      </c>
      <c r="J666" s="6">
        <f>IF(Data!J666 = 'Point Intercept 2'!J666, Data!J666, "ERROR")</f>
        <v>9</v>
      </c>
      <c r="K666" s="6" t="str">
        <f>IF(Data!K666 = 'Point Intercept 2'!K666, Data!K666, "ERROR")</f>
        <v>MEDPOL</v>
      </c>
      <c r="L666" s="6" t="str">
        <f>IF(Data!L666 = 'Point Intercept 2'!L666, Data!L666, "ERROR")</f>
        <v>Medicago polymorpha</v>
      </c>
    </row>
    <row r="667" spans="1:12" x14ac:dyDescent="0.25">
      <c r="A667" s="6">
        <f>IF(Data!A667 = 'Point Intercept 2'!A667, Data!A667, "ERROR")</f>
        <v>7</v>
      </c>
      <c r="B667" s="6">
        <f>IF(Data!B667 = 'Point Intercept 2'!B667, Data!B667, "ERROR")</f>
        <v>2025</v>
      </c>
      <c r="C667" s="8">
        <f>IF(Data!C667 = 'Point Intercept 2'!C667, Data!C667, "ERROR")</f>
        <v>45764</v>
      </c>
      <c r="D667" s="6" t="str">
        <f>IF(Data!D667 = 'Point Intercept 2'!D667, Data!D667, "ERROR")</f>
        <v>ERROR</v>
      </c>
      <c r="E667" s="6" t="str">
        <f>IF(Data!E667 = 'Point Intercept 2'!E667, Data!E667, "ERROR")</f>
        <v>VB</v>
      </c>
      <c r="F667" s="6">
        <f>IF(Data!F667 = 'Point Intercept 2'!F667, Data!F667, "ERROR")</f>
        <v>1</v>
      </c>
      <c r="G667" s="6" t="str">
        <f>IF(Data!G667 = 'Point Intercept 2'!G667, Data!G667, "ERROR")</f>
        <v>SU</v>
      </c>
      <c r="H667" s="6">
        <f>IF(Data!I667 = 'Point Intercept 2'!I667, Data!I667, "ERROR")</f>
        <v>13</v>
      </c>
      <c r="I667" s="6">
        <f>IF(Data!H667 = 'Point Intercept 2'!H667, Data!H667, "ERROR")</f>
        <v>2</v>
      </c>
      <c r="J667" s="6">
        <f>IF(Data!J667 = 'Point Intercept 2'!J667, Data!J667, "ERROR")</f>
        <v>10</v>
      </c>
      <c r="K667" s="6" t="str">
        <f>IF(Data!K667 = 'Point Intercept 2'!K667, Data!K667, "ERROR")</f>
        <v>L</v>
      </c>
      <c r="L667" s="6" t="str">
        <f>IF(Data!L667 = 'Point Intercept 2'!L667, Data!L667, "ERROR")</f>
        <v>Litter</v>
      </c>
    </row>
    <row r="668" spans="1:12" x14ac:dyDescent="0.25">
      <c r="A668" s="6">
        <f>IF(Data!A668 = 'Point Intercept 2'!A668, Data!A668, "ERROR")</f>
        <v>7</v>
      </c>
      <c r="B668" s="6">
        <f>IF(Data!B668 = 'Point Intercept 2'!B668, Data!B668, "ERROR")</f>
        <v>2025</v>
      </c>
      <c r="C668" s="8">
        <f>IF(Data!C668 = 'Point Intercept 2'!C668, Data!C668, "ERROR")</f>
        <v>45764</v>
      </c>
      <c r="D668" s="6" t="str">
        <f>IF(Data!D668 = 'Point Intercept 2'!D668, Data!D668, "ERROR")</f>
        <v>ERROR</v>
      </c>
      <c r="E668" s="6" t="str">
        <f>IF(Data!E668 = 'Point Intercept 2'!E668, Data!E668, "ERROR")</f>
        <v>VB</v>
      </c>
      <c r="F668" s="6">
        <f>IF(Data!F668 = 'Point Intercept 2'!F668, Data!F668, "ERROR")</f>
        <v>1</v>
      </c>
      <c r="G668" s="6" t="str">
        <f>IF(Data!G668 = 'Point Intercept 2'!G668, Data!G668, "ERROR")</f>
        <v>SU</v>
      </c>
      <c r="H668" s="6">
        <f>IF(Data!I668 = 'Point Intercept 2'!I668, Data!I668, "ERROR")</f>
        <v>14</v>
      </c>
      <c r="I668" s="6">
        <f>IF(Data!H668 = 'Point Intercept 2'!H668, Data!H668, "ERROR")</f>
        <v>2</v>
      </c>
      <c r="J668" s="6">
        <f>IF(Data!J668 = 'Point Intercept 2'!J668, Data!J668, "ERROR")</f>
        <v>11</v>
      </c>
      <c r="K668" s="6" t="str">
        <f>IF(Data!K668 = 'Point Intercept 2'!K668, Data!K668, "ERROR")</f>
        <v>L</v>
      </c>
      <c r="L668" s="6" t="str">
        <f>IF(Data!L668 = 'Point Intercept 2'!L668, Data!L668, "ERROR")</f>
        <v>Litter</v>
      </c>
    </row>
    <row r="669" spans="1:12" x14ac:dyDescent="0.25">
      <c r="A669" s="6">
        <f>IF(Data!A669 = 'Point Intercept 2'!A669, Data!A669, "ERROR")</f>
        <v>7</v>
      </c>
      <c r="B669" s="6">
        <f>IF(Data!B669 = 'Point Intercept 2'!B669, Data!B669, "ERROR")</f>
        <v>2025</v>
      </c>
      <c r="C669" s="8">
        <f>IF(Data!C669 = 'Point Intercept 2'!C669, Data!C669, "ERROR")</f>
        <v>45764</v>
      </c>
      <c r="D669" s="6" t="str">
        <f>IF(Data!D669 = 'Point Intercept 2'!D669, Data!D669, "ERROR")</f>
        <v>ERROR</v>
      </c>
      <c r="E669" s="6" t="str">
        <f>IF(Data!E669 = 'Point Intercept 2'!E669, Data!E669, "ERROR")</f>
        <v>VB</v>
      </c>
      <c r="F669" s="6">
        <f>IF(Data!F669 = 'Point Intercept 2'!F669, Data!F669, "ERROR")</f>
        <v>1</v>
      </c>
      <c r="G669" s="6" t="str">
        <f>IF(Data!G669 = 'Point Intercept 2'!G669, Data!G669, "ERROR")</f>
        <v>SU</v>
      </c>
      <c r="H669" s="6">
        <f>IF(Data!I669 = 'Point Intercept 2'!I669, Data!I669, "ERROR")</f>
        <v>14</v>
      </c>
      <c r="I669" s="6">
        <f>IF(Data!H669 = 'Point Intercept 2'!H669, Data!H669, "ERROR")</f>
        <v>2</v>
      </c>
      <c r="J669" s="6">
        <f>IF(Data!J669 = 'Point Intercept 2'!J669, Data!J669, "ERROR")</f>
        <v>11</v>
      </c>
      <c r="K669" s="6" t="str">
        <f>IF(Data!K669 = 'Point Intercept 2'!K669, Data!K669, "ERROR")</f>
        <v>DEIFAS</v>
      </c>
      <c r="L669" s="6" t="str">
        <f>IF(Data!L669 = 'Point Intercept 2'!L669, Data!L669, "ERROR")</f>
        <v>Deinandra fasciculata</v>
      </c>
    </row>
    <row r="670" spans="1:12" x14ac:dyDescent="0.25">
      <c r="A670" s="6">
        <f>IF(Data!A670 = 'Point Intercept 2'!A670, Data!A670, "ERROR")</f>
        <v>7</v>
      </c>
      <c r="B670" s="6">
        <f>IF(Data!B670 = 'Point Intercept 2'!B670, Data!B670, "ERROR")</f>
        <v>2025</v>
      </c>
      <c r="C670" s="8">
        <f>IF(Data!C670 = 'Point Intercept 2'!C670, Data!C670, "ERROR")</f>
        <v>45764</v>
      </c>
      <c r="D670" s="6" t="str">
        <f>IF(Data!D670 = 'Point Intercept 2'!D670, Data!D670, "ERROR")</f>
        <v>ERROR</v>
      </c>
      <c r="E670" s="6" t="str">
        <f>IF(Data!E670 = 'Point Intercept 2'!E670, Data!E670, "ERROR")</f>
        <v>VB</v>
      </c>
      <c r="F670" s="6">
        <f>IF(Data!F670 = 'Point Intercept 2'!F670, Data!F670, "ERROR")</f>
        <v>1</v>
      </c>
      <c r="G670" s="6" t="str">
        <f>IF(Data!G670 = 'Point Intercept 2'!G670, Data!G670, "ERROR")</f>
        <v>SU</v>
      </c>
      <c r="H670" s="6">
        <f>IF(Data!I670 = 'Point Intercept 2'!I670, Data!I670, "ERROR")</f>
        <v>14</v>
      </c>
      <c r="I670" s="6">
        <f>IF(Data!H670 = 'Point Intercept 2'!H670, Data!H670, "ERROR")</f>
        <v>2</v>
      </c>
      <c r="J670" s="6">
        <f>IF(Data!J670 = 'Point Intercept 2'!J670, Data!J670, "ERROR")</f>
        <v>11</v>
      </c>
      <c r="K670" s="6" t="str">
        <f>IF(Data!K670 = 'Point Intercept 2'!K670, Data!K670, "ERROR")</f>
        <v>MEDPOL</v>
      </c>
      <c r="L670" s="6" t="str">
        <f>IF(Data!L670 = 'Point Intercept 2'!L670, Data!L670, "ERROR")</f>
        <v>Medicago polymorpha</v>
      </c>
    </row>
    <row r="671" spans="1:12" x14ac:dyDescent="0.25">
      <c r="A671" s="6">
        <f>IF(Data!A671 = 'Point Intercept 2'!A671, Data!A671, "ERROR")</f>
        <v>7</v>
      </c>
      <c r="B671" s="6">
        <f>IF(Data!B671 = 'Point Intercept 2'!B671, Data!B671, "ERROR")</f>
        <v>2025</v>
      </c>
      <c r="C671" s="8">
        <f>IF(Data!C671 = 'Point Intercept 2'!C671, Data!C671, "ERROR")</f>
        <v>45764</v>
      </c>
      <c r="D671" s="6" t="str">
        <f>IF(Data!D671 = 'Point Intercept 2'!D671, Data!D671, "ERROR")</f>
        <v>ERROR</v>
      </c>
      <c r="E671" s="6" t="str">
        <f>IF(Data!E671 = 'Point Intercept 2'!E671, Data!E671, "ERROR")</f>
        <v>VB</v>
      </c>
      <c r="F671" s="6">
        <f>IF(Data!F671 = 'Point Intercept 2'!F671, Data!F671, "ERROR")</f>
        <v>1</v>
      </c>
      <c r="G671" s="6" t="str">
        <f>IF(Data!G671 = 'Point Intercept 2'!G671, Data!G671, "ERROR")</f>
        <v>SU</v>
      </c>
      <c r="H671" s="6">
        <f>IF(Data!I671 = 'Point Intercept 2'!I671, Data!I671, "ERROR")</f>
        <v>14</v>
      </c>
      <c r="I671" s="6">
        <f>IF(Data!H671 = 'Point Intercept 2'!H671, Data!H671, "ERROR")</f>
        <v>2</v>
      </c>
      <c r="J671" s="6">
        <f>IF(Data!J671 = 'Point Intercept 2'!J671, Data!J671, "ERROR")</f>
        <v>11</v>
      </c>
      <c r="K671" s="6" t="str">
        <f>IF(Data!K671 = 'Point Intercept 2'!K671, Data!K671, "ERROR")</f>
        <v>UROLIN</v>
      </c>
      <c r="L671" s="6" t="str">
        <f>IF(Data!L671 = 'Point Intercept 2'!L671, Data!L671, "ERROR")</f>
        <v>Uropappus lindleyi</v>
      </c>
    </row>
    <row r="672" spans="1:12" x14ac:dyDescent="0.25">
      <c r="A672" s="6">
        <f>IF(Data!A672 = 'Point Intercept 2'!A672, Data!A672, "ERROR")</f>
        <v>7</v>
      </c>
      <c r="B672" s="6">
        <f>IF(Data!B672 = 'Point Intercept 2'!B672, Data!B672, "ERROR")</f>
        <v>2025</v>
      </c>
      <c r="C672" s="8">
        <f>IF(Data!C672 = 'Point Intercept 2'!C672, Data!C672, "ERROR")</f>
        <v>45764</v>
      </c>
      <c r="D672" s="6" t="str">
        <f>IF(Data!D672 = 'Point Intercept 2'!D672, Data!D672, "ERROR")</f>
        <v>ERROR</v>
      </c>
      <c r="E672" s="6" t="str">
        <f>IF(Data!E672 = 'Point Intercept 2'!E672, Data!E672, "ERROR")</f>
        <v>VB</v>
      </c>
      <c r="F672" s="6">
        <f>IF(Data!F672 = 'Point Intercept 2'!F672, Data!F672, "ERROR")</f>
        <v>1</v>
      </c>
      <c r="G672" s="6" t="str">
        <f>IF(Data!G672 = 'Point Intercept 2'!G672, Data!G672, "ERROR")</f>
        <v>SU</v>
      </c>
      <c r="H672" s="6">
        <f>IF(Data!I672 = 'Point Intercept 2'!I672, Data!I672, "ERROR")</f>
        <v>15</v>
      </c>
      <c r="I672" s="6">
        <f>IF(Data!H672 = 'Point Intercept 2'!H672, Data!H672, "ERROR")</f>
        <v>2</v>
      </c>
      <c r="J672" s="6">
        <f>IF(Data!J672 = 'Point Intercept 2'!J672, Data!J672, "ERROR")</f>
        <v>12</v>
      </c>
      <c r="K672" s="6" t="str">
        <f>IF(Data!K672 = 'Point Intercept 2'!K672, Data!K672, "ERROR")</f>
        <v>L</v>
      </c>
      <c r="L672" s="6" t="str">
        <f>IF(Data!L672 = 'Point Intercept 2'!L672, Data!L672, "ERROR")</f>
        <v>Litter</v>
      </c>
    </row>
    <row r="673" spans="1:12" x14ac:dyDescent="0.25">
      <c r="A673" s="6">
        <f>IF(Data!A673 = 'Point Intercept 2'!A673, Data!A673, "ERROR")</f>
        <v>7</v>
      </c>
      <c r="B673" s="6">
        <f>IF(Data!B673 = 'Point Intercept 2'!B673, Data!B673, "ERROR")</f>
        <v>2025</v>
      </c>
      <c r="C673" s="8">
        <f>IF(Data!C673 = 'Point Intercept 2'!C673, Data!C673, "ERROR")</f>
        <v>45764</v>
      </c>
      <c r="D673" s="6" t="str">
        <f>IF(Data!D673 = 'Point Intercept 2'!D673, Data!D673, "ERROR")</f>
        <v>ERROR</v>
      </c>
      <c r="E673" s="6" t="str">
        <f>IF(Data!E673 = 'Point Intercept 2'!E673, Data!E673, "ERROR")</f>
        <v>VB</v>
      </c>
      <c r="F673" s="6">
        <f>IF(Data!F673 = 'Point Intercept 2'!F673, Data!F673, "ERROR")</f>
        <v>1</v>
      </c>
      <c r="G673" s="6" t="str">
        <f>IF(Data!G673 = 'Point Intercept 2'!G673, Data!G673, "ERROR")</f>
        <v>SU</v>
      </c>
      <c r="H673" s="6">
        <f>IF(Data!I673 = 'Point Intercept 2'!I673, Data!I673, "ERROR")</f>
        <v>15</v>
      </c>
      <c r="I673" s="6">
        <f>IF(Data!H673 = 'Point Intercept 2'!H673, Data!H673, "ERROR")</f>
        <v>2</v>
      </c>
      <c r="J673" s="6">
        <f>IF(Data!J673 = 'Point Intercept 2'!J673, Data!J673, "ERROR")</f>
        <v>12</v>
      </c>
      <c r="K673" s="6" t="str">
        <f>IF(Data!K673 = 'Point Intercept 2'!K673, Data!K673, "ERROR")</f>
        <v>CENMEL</v>
      </c>
      <c r="L673" s="6" t="str">
        <f>IF(Data!L673 = 'Point Intercept 2'!L673, Data!L673, "ERROR")</f>
        <v>Centaurea melitensis</v>
      </c>
    </row>
    <row r="674" spans="1:12" x14ac:dyDescent="0.25">
      <c r="A674" s="6">
        <f>IF(Data!A674 = 'Point Intercept 2'!A674, Data!A674, "ERROR")</f>
        <v>7</v>
      </c>
      <c r="B674" s="6">
        <f>IF(Data!B674 = 'Point Intercept 2'!B674, Data!B674, "ERROR")</f>
        <v>2025</v>
      </c>
      <c r="C674" s="8">
        <f>IF(Data!C674 = 'Point Intercept 2'!C674, Data!C674, "ERROR")</f>
        <v>45764</v>
      </c>
      <c r="D674" s="6" t="str">
        <f>IF(Data!D674 = 'Point Intercept 2'!D674, Data!D674, "ERROR")</f>
        <v>ERROR</v>
      </c>
      <c r="E674" s="6" t="str">
        <f>IF(Data!E674 = 'Point Intercept 2'!E674, Data!E674, "ERROR")</f>
        <v>VB</v>
      </c>
      <c r="F674" s="6">
        <f>IF(Data!F674 = 'Point Intercept 2'!F674, Data!F674, "ERROR")</f>
        <v>1</v>
      </c>
      <c r="G674" s="6" t="str">
        <f>IF(Data!G674 = 'Point Intercept 2'!G674, Data!G674, "ERROR")</f>
        <v>SU</v>
      </c>
      <c r="H674" s="6">
        <f>IF(Data!I674 = 'Point Intercept 2'!I674, Data!I674, "ERROR")</f>
        <v>15</v>
      </c>
      <c r="I674" s="6">
        <f>IF(Data!H674 = 'Point Intercept 2'!H674, Data!H674, "ERROR")</f>
        <v>2</v>
      </c>
      <c r="J674" s="6">
        <f>IF(Data!J674 = 'Point Intercept 2'!J674, Data!J674, "ERROR")</f>
        <v>12</v>
      </c>
      <c r="K674" s="6" t="str">
        <f>IF(Data!K674 = 'Point Intercept 2'!K674, Data!K674, "ERROR")</f>
        <v>FESMYU</v>
      </c>
      <c r="L674" s="6" t="str">
        <f>IF(Data!L674 = 'Point Intercept 2'!L674, Data!L674, "ERROR")</f>
        <v>Festuca myuros</v>
      </c>
    </row>
    <row r="675" spans="1:12" x14ac:dyDescent="0.25">
      <c r="A675" s="6">
        <f>IF(Data!A675 = 'Point Intercept 2'!A675, Data!A675, "ERROR")</f>
        <v>7</v>
      </c>
      <c r="B675" s="6">
        <f>IF(Data!B675 = 'Point Intercept 2'!B675, Data!B675, "ERROR")</f>
        <v>2025</v>
      </c>
      <c r="C675" s="8">
        <f>IF(Data!C675 = 'Point Intercept 2'!C675, Data!C675, "ERROR")</f>
        <v>45764</v>
      </c>
      <c r="D675" s="6" t="str">
        <f>IF(Data!D675 = 'Point Intercept 2'!D675, Data!D675, "ERROR")</f>
        <v>ERROR</v>
      </c>
      <c r="E675" s="6" t="str">
        <f>IF(Data!E675 = 'Point Intercept 2'!E675, Data!E675, "ERROR")</f>
        <v>VB</v>
      </c>
      <c r="F675" s="6">
        <f>IF(Data!F675 = 'Point Intercept 2'!F675, Data!F675, "ERROR")</f>
        <v>1</v>
      </c>
      <c r="G675" s="6" t="str">
        <f>IF(Data!G675 = 'Point Intercept 2'!G675, Data!G675, "ERROR")</f>
        <v>SU</v>
      </c>
      <c r="H675" s="6">
        <f>IF(Data!I675 = 'Point Intercept 2'!I675, Data!I675, "ERROR")</f>
        <v>15</v>
      </c>
      <c r="I675" s="6">
        <f>IF(Data!H675 = 'Point Intercept 2'!H675, Data!H675, "ERROR")</f>
        <v>2</v>
      </c>
      <c r="J675" s="6">
        <f>IF(Data!J675 = 'Point Intercept 2'!J675, Data!J675, "ERROR")</f>
        <v>12</v>
      </c>
      <c r="K675" s="6" t="str">
        <f>IF(Data!K675 = 'Point Intercept 2'!K675, Data!K675, "ERROR")</f>
        <v>LASCAL</v>
      </c>
      <c r="L675" s="6" t="str">
        <f>IF(Data!L675 = 'Point Intercept 2'!L675, Data!L675, "ERROR")</f>
        <v>Lasthenia californica</v>
      </c>
    </row>
    <row r="676" spans="1:12" x14ac:dyDescent="0.25">
      <c r="A676" s="6">
        <f>IF(Data!A676 = 'Point Intercept 2'!A676, Data!A676, "ERROR")</f>
        <v>7</v>
      </c>
      <c r="B676" s="6">
        <f>IF(Data!B676 = 'Point Intercept 2'!B676, Data!B676, "ERROR")</f>
        <v>2025</v>
      </c>
      <c r="C676" s="8">
        <f>IF(Data!C676 = 'Point Intercept 2'!C676, Data!C676, "ERROR")</f>
        <v>45764</v>
      </c>
      <c r="D676" s="6" t="str">
        <f>IF(Data!D676 = 'Point Intercept 2'!D676, Data!D676, "ERROR")</f>
        <v>ERROR</v>
      </c>
      <c r="E676" s="6" t="str">
        <f>IF(Data!E676 = 'Point Intercept 2'!E676, Data!E676, "ERROR")</f>
        <v>VB</v>
      </c>
      <c r="F676" s="6">
        <f>IF(Data!F676 = 'Point Intercept 2'!F676, Data!F676, "ERROR")</f>
        <v>1</v>
      </c>
      <c r="G676" s="6" t="str">
        <f>IF(Data!G676 = 'Point Intercept 2'!G676, Data!G676, "ERROR")</f>
        <v>SU</v>
      </c>
      <c r="H676" s="6">
        <f>IF(Data!I676 = 'Point Intercept 2'!I676, Data!I676, "ERROR")</f>
        <v>15</v>
      </c>
      <c r="I676" s="6">
        <f>IF(Data!H676 = 'Point Intercept 2'!H676, Data!H676, "ERROR")</f>
        <v>2</v>
      </c>
      <c r="J676" s="6">
        <f>IF(Data!J676 = 'Point Intercept 2'!J676, Data!J676, "ERROR")</f>
        <v>12</v>
      </c>
      <c r="K676" s="6" t="str">
        <f>IF(Data!K676 = 'Point Intercept 2'!K676, Data!K676, "ERROR")</f>
        <v>EROMOS</v>
      </c>
      <c r="L676" s="6" t="str">
        <f>IF(Data!L676 = 'Point Intercept 2'!L676, Data!L676, "ERROR")</f>
        <v>Erodium moschatum</v>
      </c>
    </row>
    <row r="677" spans="1:12" x14ac:dyDescent="0.25">
      <c r="A677" s="6">
        <f>IF(Data!A677 = 'Point Intercept 2'!A677, Data!A677, "ERROR")</f>
        <v>8</v>
      </c>
      <c r="B677" s="6">
        <f>IF(Data!B677 = 'Point Intercept 2'!B677, Data!B677, "ERROR")</f>
        <v>2025</v>
      </c>
      <c r="C677" s="8">
        <f>IF(Data!C677 = 'Point Intercept 2'!C677, Data!C677, "ERROR")</f>
        <v>45764</v>
      </c>
      <c r="D677" s="6" t="str">
        <f>IF(Data!D677 = 'Point Intercept 2'!D677, Data!D677, "ERROR")</f>
        <v>TL, BN, JR, AA</v>
      </c>
      <c r="E677" s="6" t="str">
        <f>IF(Data!E677 = 'Point Intercept 2'!E677, Data!E677, "ERROR")</f>
        <v>VB</v>
      </c>
      <c r="F677" s="6">
        <f>IF(Data!F677 = 'Point Intercept 2'!F677, Data!F677, "ERROR")</f>
        <v>1</v>
      </c>
      <c r="G677" s="6" t="str">
        <f>IF(Data!G677 = 'Point Intercept 2'!G677, Data!G677, "ERROR")</f>
        <v>SS</v>
      </c>
      <c r="H677" s="6">
        <f>IF(Data!I677 = 'Point Intercept 2'!I677, Data!I677, "ERROR")</f>
        <v>1</v>
      </c>
      <c r="I677" s="6">
        <f>IF(Data!H677 = 'Point Intercept 2'!H677, Data!H677, "ERROR")</f>
        <v>1</v>
      </c>
      <c r="J677" s="6">
        <f>IF(Data!J677 = 'Point Intercept 2'!J677, Data!J677, "ERROR")</f>
        <v>0</v>
      </c>
      <c r="K677" s="6" t="str">
        <f>IF(Data!K677 = 'Point Intercept 2'!K677, Data!K677, "ERROR")</f>
        <v>L</v>
      </c>
      <c r="L677" s="6" t="str">
        <f>IF(Data!L677 = 'Point Intercept 2'!L677, Data!L677, "ERROR")</f>
        <v>Litter</v>
      </c>
    </row>
    <row r="678" spans="1:12" x14ac:dyDescent="0.25">
      <c r="A678" s="6">
        <f>IF(Data!A678 = 'Point Intercept 2'!A678, Data!A678, "ERROR")</f>
        <v>8</v>
      </c>
      <c r="B678" s="6">
        <f>IF(Data!B678 = 'Point Intercept 2'!B678, Data!B678, "ERROR")</f>
        <v>2025</v>
      </c>
      <c r="C678" s="8">
        <f>IF(Data!C678 = 'Point Intercept 2'!C678, Data!C678, "ERROR")</f>
        <v>45764</v>
      </c>
      <c r="D678" s="6" t="str">
        <f>IF(Data!D678 = 'Point Intercept 2'!D678, Data!D678, "ERROR")</f>
        <v>TL, BN, JR, AA</v>
      </c>
      <c r="E678" s="6" t="str">
        <f>IF(Data!E678 = 'Point Intercept 2'!E678, Data!E678, "ERROR")</f>
        <v>VB</v>
      </c>
      <c r="F678" s="6">
        <f>IF(Data!F678 = 'Point Intercept 2'!F678, Data!F678, "ERROR")</f>
        <v>1</v>
      </c>
      <c r="G678" s="6" t="str">
        <f>IF(Data!G678 = 'Point Intercept 2'!G678, Data!G678, "ERROR")</f>
        <v>SS</v>
      </c>
      <c r="H678" s="6">
        <f>IF(Data!I678 = 'Point Intercept 2'!I678, Data!I678, "ERROR")</f>
        <v>1</v>
      </c>
      <c r="I678" s="6">
        <f>IF(Data!H678 = 'Point Intercept 2'!H678, Data!H678, "ERROR")</f>
        <v>1</v>
      </c>
      <c r="J678" s="6">
        <f>IF(Data!J678 = 'Point Intercept 2'!J678, Data!J678, "ERROR")</f>
        <v>0</v>
      </c>
      <c r="K678" s="6" t="str">
        <f>IF(Data!K678 = 'Point Intercept 2'!K678, Data!K678, "ERROR")</f>
        <v>CENMEL</v>
      </c>
      <c r="L678" s="6" t="str">
        <f>IF(Data!L678 = 'Point Intercept 2'!L678, Data!L678, "ERROR")</f>
        <v>Centaurea melitensis</v>
      </c>
    </row>
    <row r="679" spans="1:12" x14ac:dyDescent="0.25">
      <c r="A679" s="6">
        <f>IF(Data!A679 = 'Point Intercept 2'!A679, Data!A679, "ERROR")</f>
        <v>8</v>
      </c>
      <c r="B679" s="6">
        <f>IF(Data!B679 = 'Point Intercept 2'!B679, Data!B679, "ERROR")</f>
        <v>2025</v>
      </c>
      <c r="C679" s="8">
        <f>IF(Data!C679 = 'Point Intercept 2'!C679, Data!C679, "ERROR")</f>
        <v>45764</v>
      </c>
      <c r="D679" s="6" t="str">
        <f>IF(Data!D679 = 'Point Intercept 2'!D679, Data!D679, "ERROR")</f>
        <v>TL, BN, JR, AA</v>
      </c>
      <c r="E679" s="6" t="str">
        <f>IF(Data!E679 = 'Point Intercept 2'!E679, Data!E679, "ERROR")</f>
        <v>VB</v>
      </c>
      <c r="F679" s="6">
        <f>IF(Data!F679 = 'Point Intercept 2'!F679, Data!F679, "ERROR")</f>
        <v>1</v>
      </c>
      <c r="G679" s="6" t="str">
        <f>IF(Data!G679 = 'Point Intercept 2'!G679, Data!G679, "ERROR")</f>
        <v>SS</v>
      </c>
      <c r="H679" s="6">
        <f>IF(Data!I679 = 'Point Intercept 2'!I679, Data!I679, "ERROR")</f>
        <v>1</v>
      </c>
      <c r="I679" s="6">
        <f>IF(Data!H679 = 'Point Intercept 2'!H679, Data!H679, "ERROR")</f>
        <v>1</v>
      </c>
      <c r="J679" s="6">
        <f>IF(Data!J679 = 'Point Intercept 2'!J679, Data!J679, "ERROR")</f>
        <v>0</v>
      </c>
      <c r="K679" s="6" t="str">
        <f>IF(Data!K679 = 'Point Intercept 2'!K679, Data!K679, "ERROR")</f>
        <v>FESMYU</v>
      </c>
      <c r="L679" s="6" t="str">
        <f>IF(Data!L679 = 'Point Intercept 2'!L679, Data!L679, "ERROR")</f>
        <v>Festuca myuros</v>
      </c>
    </row>
    <row r="680" spans="1:12" x14ac:dyDescent="0.25">
      <c r="A680" s="6">
        <f>IF(Data!A680 = 'Point Intercept 2'!A680, Data!A680, "ERROR")</f>
        <v>8</v>
      </c>
      <c r="B680" s="6">
        <f>IF(Data!B680 = 'Point Intercept 2'!B680, Data!B680, "ERROR")</f>
        <v>2025</v>
      </c>
      <c r="C680" s="8">
        <f>IF(Data!C680 = 'Point Intercept 2'!C680, Data!C680, "ERROR")</f>
        <v>45764</v>
      </c>
      <c r="D680" s="6" t="str">
        <f>IF(Data!D680 = 'Point Intercept 2'!D680, Data!D680, "ERROR")</f>
        <v>TL, BN, JR, AA</v>
      </c>
      <c r="E680" s="6" t="str">
        <f>IF(Data!E680 = 'Point Intercept 2'!E680, Data!E680, "ERROR")</f>
        <v>VB</v>
      </c>
      <c r="F680" s="6">
        <f>IF(Data!F680 = 'Point Intercept 2'!F680, Data!F680, "ERROR")</f>
        <v>1</v>
      </c>
      <c r="G680" s="6" t="str">
        <f>IF(Data!G680 = 'Point Intercept 2'!G680, Data!G680, "ERROR")</f>
        <v>SS</v>
      </c>
      <c r="H680" s="6">
        <f>IF(Data!I680 = 'Point Intercept 2'!I680, Data!I680, "ERROR")</f>
        <v>1</v>
      </c>
      <c r="I680" s="6">
        <f>IF(Data!H680 = 'Point Intercept 2'!H680, Data!H680, "ERROR")</f>
        <v>1</v>
      </c>
      <c r="J680" s="6">
        <f>IF(Data!J680 = 'Point Intercept 2'!J680, Data!J680, "ERROR")</f>
        <v>0</v>
      </c>
      <c r="K680" s="6" t="str">
        <f>IF(Data!K680 = 'Point Intercept 2'!K680, Data!K680, "ERROR")</f>
        <v>DEIFAS</v>
      </c>
      <c r="L680" s="6" t="str">
        <f>IF(Data!L680 = 'Point Intercept 2'!L680, Data!L680, "ERROR")</f>
        <v>Deinandra fasciculata</v>
      </c>
    </row>
    <row r="681" spans="1:12" x14ac:dyDescent="0.25">
      <c r="A681" s="6">
        <f>IF(Data!A681 = 'Point Intercept 2'!A681, Data!A681, "ERROR")</f>
        <v>8</v>
      </c>
      <c r="B681" s="6">
        <f>IF(Data!B681 = 'Point Intercept 2'!B681, Data!B681, "ERROR")</f>
        <v>2025</v>
      </c>
      <c r="C681" s="8">
        <f>IF(Data!C681 = 'Point Intercept 2'!C681, Data!C681, "ERROR")</f>
        <v>45764</v>
      </c>
      <c r="D681" s="6" t="str">
        <f>IF(Data!D681 = 'Point Intercept 2'!D681, Data!D681, "ERROR")</f>
        <v>TL, BN, JR, AA</v>
      </c>
      <c r="E681" s="6" t="str">
        <f>IF(Data!E681 = 'Point Intercept 2'!E681, Data!E681, "ERROR")</f>
        <v>VB</v>
      </c>
      <c r="F681" s="6">
        <f>IF(Data!F681 = 'Point Intercept 2'!F681, Data!F681, "ERROR")</f>
        <v>1</v>
      </c>
      <c r="G681" s="6" t="str">
        <f>IF(Data!G681 = 'Point Intercept 2'!G681, Data!G681, "ERROR")</f>
        <v>SS</v>
      </c>
      <c r="H681" s="6">
        <f>IF(Data!I681 = 'Point Intercept 2'!I681, Data!I681, "ERROR")</f>
        <v>1</v>
      </c>
      <c r="I681" s="6">
        <f>IF(Data!H681 = 'Point Intercept 2'!H681, Data!H681, "ERROR")</f>
        <v>1</v>
      </c>
      <c r="J681" s="6">
        <f>IF(Data!J681 = 'Point Intercept 2'!J681, Data!J681, "ERROR")</f>
        <v>0</v>
      </c>
      <c r="K681" s="6" t="str">
        <f>IF(Data!K681 = 'Point Intercept 2'!K681, Data!K681, "ERROR")</f>
        <v>SONASP</v>
      </c>
      <c r="L681" s="6" t="str">
        <f>IF(Data!L681 = 'Point Intercept 2'!L681, Data!L681, "ERROR")</f>
        <v>Sonchus asper</v>
      </c>
    </row>
    <row r="682" spans="1:12" x14ac:dyDescent="0.25">
      <c r="A682" s="6">
        <f>IF(Data!A682 = 'Point Intercept 2'!A682, Data!A682, "ERROR")</f>
        <v>8</v>
      </c>
      <c r="B682" s="6">
        <f>IF(Data!B682 = 'Point Intercept 2'!B682, Data!B682, "ERROR")</f>
        <v>2025</v>
      </c>
      <c r="C682" s="8">
        <f>IF(Data!C682 = 'Point Intercept 2'!C682, Data!C682, "ERROR")</f>
        <v>45764</v>
      </c>
      <c r="D682" s="6" t="str">
        <f>IF(Data!D682 = 'Point Intercept 2'!D682, Data!D682, "ERROR")</f>
        <v>TL, BN, JR, AA</v>
      </c>
      <c r="E682" s="6" t="str">
        <f>IF(Data!E682 = 'Point Intercept 2'!E682, Data!E682, "ERROR")</f>
        <v>VB</v>
      </c>
      <c r="F682" s="6">
        <f>IF(Data!F682 = 'Point Intercept 2'!F682, Data!F682, "ERROR")</f>
        <v>1</v>
      </c>
      <c r="G682" s="6" t="str">
        <f>IF(Data!G682 = 'Point Intercept 2'!G682, Data!G682, "ERROR")</f>
        <v>SS</v>
      </c>
      <c r="H682" s="6">
        <f>IF(Data!I682 = 'Point Intercept 2'!I682, Data!I682, "ERROR")</f>
        <v>2</v>
      </c>
      <c r="I682" s="6">
        <f>IF(Data!H682 = 'Point Intercept 2'!H682, Data!H682, "ERROR")</f>
        <v>1</v>
      </c>
      <c r="J682" s="6">
        <f>IF(Data!J682 = 'Point Intercept 2'!J682, Data!J682, "ERROR")</f>
        <v>1</v>
      </c>
      <c r="K682" s="6" t="str">
        <f>IF(Data!K682 = 'Point Intercept 2'!K682, Data!K682, "ERROR")</f>
        <v>L</v>
      </c>
      <c r="L682" s="6" t="str">
        <f>IF(Data!L682 = 'Point Intercept 2'!L682, Data!L682, "ERROR")</f>
        <v>Litter</v>
      </c>
    </row>
    <row r="683" spans="1:12" x14ac:dyDescent="0.25">
      <c r="A683" s="6">
        <f>IF(Data!A683 = 'Point Intercept 2'!A683, Data!A683, "ERROR")</f>
        <v>8</v>
      </c>
      <c r="B683" s="6">
        <f>IF(Data!B683 = 'Point Intercept 2'!B683, Data!B683, "ERROR")</f>
        <v>2025</v>
      </c>
      <c r="C683" s="8">
        <f>IF(Data!C683 = 'Point Intercept 2'!C683, Data!C683, "ERROR")</f>
        <v>45764</v>
      </c>
      <c r="D683" s="6" t="str">
        <f>IF(Data!D683 = 'Point Intercept 2'!D683, Data!D683, "ERROR")</f>
        <v>TL, BN, JR, AA</v>
      </c>
      <c r="E683" s="6" t="str">
        <f>IF(Data!E683 = 'Point Intercept 2'!E683, Data!E683, "ERROR")</f>
        <v>VB</v>
      </c>
      <c r="F683" s="6">
        <f>IF(Data!F683 = 'Point Intercept 2'!F683, Data!F683, "ERROR")</f>
        <v>1</v>
      </c>
      <c r="G683" s="6" t="str">
        <f>IF(Data!G683 = 'Point Intercept 2'!G683, Data!G683, "ERROR")</f>
        <v>SS</v>
      </c>
      <c r="H683" s="6">
        <f>IF(Data!I683 = 'Point Intercept 2'!I683, Data!I683, "ERROR")</f>
        <v>2</v>
      </c>
      <c r="I683" s="6">
        <f>IF(Data!H683 = 'Point Intercept 2'!H683, Data!H683, "ERROR")</f>
        <v>1</v>
      </c>
      <c r="J683" s="6">
        <f>IF(Data!J683 = 'Point Intercept 2'!J683, Data!J683, "ERROR")</f>
        <v>1</v>
      </c>
      <c r="K683" s="6" t="str">
        <f>IF(Data!K683 = 'Point Intercept 2'!K683, Data!K683, "ERROR")</f>
        <v>MEDPOL</v>
      </c>
      <c r="L683" s="6" t="str">
        <f>IF(Data!L683 = 'Point Intercept 2'!L683, Data!L683, "ERROR")</f>
        <v>Medicago polymorpha</v>
      </c>
    </row>
    <row r="684" spans="1:12" x14ac:dyDescent="0.25">
      <c r="A684" s="6">
        <f>IF(Data!A684 = 'Point Intercept 2'!A684, Data!A684, "ERROR")</f>
        <v>8</v>
      </c>
      <c r="B684" s="6">
        <f>IF(Data!B684 = 'Point Intercept 2'!B684, Data!B684, "ERROR")</f>
        <v>2025</v>
      </c>
      <c r="C684" s="8">
        <f>IF(Data!C684 = 'Point Intercept 2'!C684, Data!C684, "ERROR")</f>
        <v>45764</v>
      </c>
      <c r="D684" s="6" t="str">
        <f>IF(Data!D684 = 'Point Intercept 2'!D684, Data!D684, "ERROR")</f>
        <v>TL, BN, JR, AA</v>
      </c>
      <c r="E684" s="6" t="str">
        <f>IF(Data!E684 = 'Point Intercept 2'!E684, Data!E684, "ERROR")</f>
        <v>VB</v>
      </c>
      <c r="F684" s="6">
        <f>IF(Data!F684 = 'Point Intercept 2'!F684, Data!F684, "ERROR")</f>
        <v>1</v>
      </c>
      <c r="G684" s="6" t="str">
        <f>IF(Data!G684 = 'Point Intercept 2'!G684, Data!G684, "ERROR")</f>
        <v>SS</v>
      </c>
      <c r="H684" s="6">
        <f>IF(Data!I684 = 'Point Intercept 2'!I684, Data!I684, "ERROR")</f>
        <v>2</v>
      </c>
      <c r="I684" s="6">
        <f>IF(Data!H684 = 'Point Intercept 2'!H684, Data!H684, "ERROR")</f>
        <v>1</v>
      </c>
      <c r="J684" s="6">
        <f>IF(Data!J684 = 'Point Intercept 2'!J684, Data!J684, "ERROR")</f>
        <v>1</v>
      </c>
      <c r="K684" s="6" t="str">
        <f>IF(Data!K684 = 'Point Intercept 2'!K684, Data!K684, "ERROR")</f>
        <v>CENMEL</v>
      </c>
      <c r="L684" s="6" t="str">
        <f>IF(Data!L684 = 'Point Intercept 2'!L684, Data!L684, "ERROR")</f>
        <v>Centaurea melitensis</v>
      </c>
    </row>
    <row r="685" spans="1:12" x14ac:dyDescent="0.25">
      <c r="A685" s="6">
        <f>IF(Data!A685 = 'Point Intercept 2'!A685, Data!A685, "ERROR")</f>
        <v>8</v>
      </c>
      <c r="B685" s="6">
        <f>IF(Data!B685 = 'Point Intercept 2'!B685, Data!B685, "ERROR")</f>
        <v>2025</v>
      </c>
      <c r="C685" s="8">
        <f>IF(Data!C685 = 'Point Intercept 2'!C685, Data!C685, "ERROR")</f>
        <v>45764</v>
      </c>
      <c r="D685" s="6" t="str">
        <f>IF(Data!D685 = 'Point Intercept 2'!D685, Data!D685, "ERROR")</f>
        <v>TL, BN, JR, AA</v>
      </c>
      <c r="E685" s="6" t="str">
        <f>IF(Data!E685 = 'Point Intercept 2'!E685, Data!E685, "ERROR")</f>
        <v>VB</v>
      </c>
      <c r="F685" s="6">
        <f>IF(Data!F685 = 'Point Intercept 2'!F685, Data!F685, "ERROR")</f>
        <v>1</v>
      </c>
      <c r="G685" s="6" t="str">
        <f>IF(Data!G685 = 'Point Intercept 2'!G685, Data!G685, "ERROR")</f>
        <v>SS</v>
      </c>
      <c r="H685" s="6">
        <f>IF(Data!I685 = 'Point Intercept 2'!I685, Data!I685, "ERROR")</f>
        <v>3</v>
      </c>
      <c r="I685" s="6">
        <f>IF(Data!H685 = 'Point Intercept 2'!H685, Data!H685, "ERROR")</f>
        <v>1</v>
      </c>
      <c r="J685" s="6">
        <f>IF(Data!J685 = 'Point Intercept 2'!J685, Data!J685, "ERROR")</f>
        <v>1.5</v>
      </c>
      <c r="K685" s="6" t="str">
        <f>IF(Data!K685 = 'Point Intercept 2'!K685, Data!K685, "ERROR")</f>
        <v>L</v>
      </c>
      <c r="L685" s="6" t="str">
        <f>IF(Data!L685 = 'Point Intercept 2'!L685, Data!L685, "ERROR")</f>
        <v>Litter</v>
      </c>
    </row>
    <row r="686" spans="1:12" x14ac:dyDescent="0.25">
      <c r="A686" s="6">
        <f>IF(Data!A686 = 'Point Intercept 2'!A686, Data!A686, "ERROR")</f>
        <v>8</v>
      </c>
      <c r="B686" s="6">
        <f>IF(Data!B686 = 'Point Intercept 2'!B686, Data!B686, "ERROR")</f>
        <v>2025</v>
      </c>
      <c r="C686" s="8">
        <f>IF(Data!C686 = 'Point Intercept 2'!C686, Data!C686, "ERROR")</f>
        <v>45764</v>
      </c>
      <c r="D686" s="6" t="str">
        <f>IF(Data!D686 = 'Point Intercept 2'!D686, Data!D686, "ERROR")</f>
        <v>TL, BN, JR, AA</v>
      </c>
      <c r="E686" s="6" t="str">
        <f>IF(Data!E686 = 'Point Intercept 2'!E686, Data!E686, "ERROR")</f>
        <v>VB</v>
      </c>
      <c r="F686" s="6">
        <f>IF(Data!F686 = 'Point Intercept 2'!F686, Data!F686, "ERROR")</f>
        <v>1</v>
      </c>
      <c r="G686" s="6" t="str">
        <f>IF(Data!G686 = 'Point Intercept 2'!G686, Data!G686, "ERROR")</f>
        <v>SS</v>
      </c>
      <c r="H686" s="6">
        <f>IF(Data!I686 = 'Point Intercept 2'!I686, Data!I686, "ERROR")</f>
        <v>3</v>
      </c>
      <c r="I686" s="6">
        <f>IF(Data!H686 = 'Point Intercept 2'!H686, Data!H686, "ERROR")</f>
        <v>1</v>
      </c>
      <c r="J686" s="6">
        <f>IF(Data!J686 = 'Point Intercept 2'!J686, Data!J686, "ERROR")</f>
        <v>1.5</v>
      </c>
      <c r="K686" s="6" t="str">
        <f>IF(Data!K686 = 'Point Intercept 2'!K686, Data!K686, "ERROR")</f>
        <v>EROMOS</v>
      </c>
      <c r="L686" s="6" t="str">
        <f>IF(Data!L686 = 'Point Intercept 2'!L686, Data!L686, "ERROR")</f>
        <v>Erodium moschatum</v>
      </c>
    </row>
    <row r="687" spans="1:12" x14ac:dyDescent="0.25">
      <c r="A687" s="6">
        <f>IF(Data!A687 = 'Point Intercept 2'!A687, Data!A687, "ERROR")</f>
        <v>8</v>
      </c>
      <c r="B687" s="6">
        <f>IF(Data!B687 = 'Point Intercept 2'!B687, Data!B687, "ERROR")</f>
        <v>2025</v>
      </c>
      <c r="C687" s="8">
        <f>IF(Data!C687 = 'Point Intercept 2'!C687, Data!C687, "ERROR")</f>
        <v>45764</v>
      </c>
      <c r="D687" s="6" t="str">
        <f>IF(Data!D687 = 'Point Intercept 2'!D687, Data!D687, "ERROR")</f>
        <v>TL, BN, JR, AA</v>
      </c>
      <c r="E687" s="6" t="str">
        <f>IF(Data!E687 = 'Point Intercept 2'!E687, Data!E687, "ERROR")</f>
        <v>VB</v>
      </c>
      <c r="F687" s="6">
        <f>IF(Data!F687 = 'Point Intercept 2'!F687, Data!F687, "ERROR")</f>
        <v>1</v>
      </c>
      <c r="G687" s="6" t="str">
        <f>IF(Data!G687 = 'Point Intercept 2'!G687, Data!G687, "ERROR")</f>
        <v>SS</v>
      </c>
      <c r="H687" s="6">
        <f>IF(Data!I687 = 'Point Intercept 2'!I687, Data!I687, "ERROR")</f>
        <v>4</v>
      </c>
      <c r="I687" s="6">
        <f>IF(Data!H687 = 'Point Intercept 2'!H687, Data!H687, "ERROR")</f>
        <v>1</v>
      </c>
      <c r="J687" s="6">
        <f>IF(Data!J687 = 'Point Intercept 2'!J687, Data!J687, "ERROR")</f>
        <v>2</v>
      </c>
      <c r="K687" s="6" t="str">
        <f>IF(Data!K687 = 'Point Intercept 2'!K687, Data!K687, "ERROR")</f>
        <v>L</v>
      </c>
      <c r="L687" s="6" t="str">
        <f>IF(Data!L687 = 'Point Intercept 2'!L687, Data!L687, "ERROR")</f>
        <v>Litter</v>
      </c>
    </row>
    <row r="688" spans="1:12" x14ac:dyDescent="0.25">
      <c r="A688" s="6">
        <f>IF(Data!A688 = 'Point Intercept 2'!A688, Data!A688, "ERROR")</f>
        <v>8</v>
      </c>
      <c r="B688" s="6">
        <f>IF(Data!B688 = 'Point Intercept 2'!B688, Data!B688, "ERROR")</f>
        <v>2025</v>
      </c>
      <c r="C688" s="8">
        <f>IF(Data!C688 = 'Point Intercept 2'!C688, Data!C688, "ERROR")</f>
        <v>45764</v>
      </c>
      <c r="D688" s="6" t="str">
        <f>IF(Data!D688 = 'Point Intercept 2'!D688, Data!D688, "ERROR")</f>
        <v>TL, BN, JR, AA</v>
      </c>
      <c r="E688" s="6" t="str">
        <f>IF(Data!E688 = 'Point Intercept 2'!E688, Data!E688, "ERROR")</f>
        <v>VB</v>
      </c>
      <c r="F688" s="6">
        <f>IF(Data!F688 = 'Point Intercept 2'!F688, Data!F688, "ERROR")</f>
        <v>1</v>
      </c>
      <c r="G688" s="6" t="str">
        <f>IF(Data!G688 = 'Point Intercept 2'!G688, Data!G688, "ERROR")</f>
        <v>SS</v>
      </c>
      <c r="H688" s="6">
        <f>IF(Data!I688 = 'Point Intercept 2'!I688, Data!I688, "ERROR")</f>
        <v>4</v>
      </c>
      <c r="I688" s="6">
        <f>IF(Data!H688 = 'Point Intercept 2'!H688, Data!H688, "ERROR")</f>
        <v>1</v>
      </c>
      <c r="J688" s="6">
        <f>IF(Data!J688 = 'Point Intercept 2'!J688, Data!J688, "ERROR")</f>
        <v>2</v>
      </c>
      <c r="K688" s="6" t="str">
        <f>IF(Data!K688 = 'Point Intercept 2'!K688, Data!K688, "ERROR")</f>
        <v>DEIFAS</v>
      </c>
      <c r="L688" s="6" t="str">
        <f>IF(Data!L688 = 'Point Intercept 2'!L688, Data!L688, "ERROR")</f>
        <v>Deinandra fasciculata</v>
      </c>
    </row>
    <row r="689" spans="1:12" x14ac:dyDescent="0.25">
      <c r="A689" s="6">
        <f>IF(Data!A689 = 'Point Intercept 2'!A689, Data!A689, "ERROR")</f>
        <v>8</v>
      </c>
      <c r="B689" s="6">
        <f>IF(Data!B689 = 'Point Intercept 2'!B689, Data!B689, "ERROR")</f>
        <v>2025</v>
      </c>
      <c r="C689" s="8">
        <f>IF(Data!C689 = 'Point Intercept 2'!C689, Data!C689, "ERROR")</f>
        <v>45764</v>
      </c>
      <c r="D689" s="6" t="str">
        <f>IF(Data!D689 = 'Point Intercept 2'!D689, Data!D689, "ERROR")</f>
        <v>TL, BN, JR, AA</v>
      </c>
      <c r="E689" s="6" t="str">
        <f>IF(Data!E689 = 'Point Intercept 2'!E689, Data!E689, "ERROR")</f>
        <v>VB</v>
      </c>
      <c r="F689" s="6">
        <f>IF(Data!F689 = 'Point Intercept 2'!F689, Data!F689, "ERROR")</f>
        <v>1</v>
      </c>
      <c r="G689" s="6" t="str">
        <f>IF(Data!G689 = 'Point Intercept 2'!G689, Data!G689, "ERROR")</f>
        <v>SS</v>
      </c>
      <c r="H689" s="6">
        <f>IF(Data!I689 = 'Point Intercept 2'!I689, Data!I689, "ERROR")</f>
        <v>5</v>
      </c>
      <c r="I689" s="6">
        <f>IF(Data!H689 = 'Point Intercept 2'!H689, Data!H689, "ERROR")</f>
        <v>1</v>
      </c>
      <c r="J689" s="6">
        <f>IF(Data!J689 = 'Point Intercept 2'!J689, Data!J689, "ERROR")</f>
        <v>3</v>
      </c>
      <c r="K689" s="6" t="str">
        <f>IF(Data!K689 = 'Point Intercept 2'!K689, Data!K689, "ERROR")</f>
        <v>L</v>
      </c>
      <c r="L689" s="6" t="str">
        <f>IF(Data!L689 = 'Point Intercept 2'!L689, Data!L689, "ERROR")</f>
        <v>Litter</v>
      </c>
    </row>
    <row r="690" spans="1:12" x14ac:dyDescent="0.25">
      <c r="A690" s="6">
        <f>IF(Data!A690 = 'Point Intercept 2'!A690, Data!A690, "ERROR")</f>
        <v>8</v>
      </c>
      <c r="B690" s="6">
        <f>IF(Data!B690 = 'Point Intercept 2'!B690, Data!B690, "ERROR")</f>
        <v>2025</v>
      </c>
      <c r="C690" s="8">
        <f>IF(Data!C690 = 'Point Intercept 2'!C690, Data!C690, "ERROR")</f>
        <v>45764</v>
      </c>
      <c r="D690" s="6" t="str">
        <f>IF(Data!D690 = 'Point Intercept 2'!D690, Data!D690, "ERROR")</f>
        <v>TL, BN, JR, AA</v>
      </c>
      <c r="E690" s="6" t="str">
        <f>IF(Data!E690 = 'Point Intercept 2'!E690, Data!E690, "ERROR")</f>
        <v>VB</v>
      </c>
      <c r="F690" s="6">
        <f>IF(Data!F690 = 'Point Intercept 2'!F690, Data!F690, "ERROR")</f>
        <v>1</v>
      </c>
      <c r="G690" s="6" t="str">
        <f>IF(Data!G690 = 'Point Intercept 2'!G690, Data!G690, "ERROR")</f>
        <v>SS</v>
      </c>
      <c r="H690" s="6">
        <f>IF(Data!I690 = 'Point Intercept 2'!I690, Data!I690, "ERROR")</f>
        <v>6</v>
      </c>
      <c r="I690" s="6">
        <f>IF(Data!H690 = 'Point Intercept 2'!H690, Data!H690, "ERROR")</f>
        <v>1</v>
      </c>
      <c r="J690" s="6">
        <f>IF(Data!J690 = 'Point Intercept 2'!J690, Data!J690, "ERROR")</f>
        <v>3.5</v>
      </c>
      <c r="K690" s="6" t="str">
        <f>IF(Data!K690 = 'Point Intercept 2'!K690, Data!K690, "ERROR")</f>
        <v>L</v>
      </c>
      <c r="L690" s="6" t="str">
        <f>IF(Data!L690 = 'Point Intercept 2'!L690, Data!L690, "ERROR")</f>
        <v>Litter</v>
      </c>
    </row>
    <row r="691" spans="1:12" x14ac:dyDescent="0.25">
      <c r="A691" s="6">
        <f>IF(Data!A691 = 'Point Intercept 2'!A691, Data!A691, "ERROR")</f>
        <v>8</v>
      </c>
      <c r="B691" s="6">
        <f>IF(Data!B691 = 'Point Intercept 2'!B691, Data!B691, "ERROR")</f>
        <v>2025</v>
      </c>
      <c r="C691" s="8">
        <f>IF(Data!C691 = 'Point Intercept 2'!C691, Data!C691, "ERROR")</f>
        <v>45764</v>
      </c>
      <c r="D691" s="6" t="str">
        <f>IF(Data!D691 = 'Point Intercept 2'!D691, Data!D691, "ERROR")</f>
        <v>TL, BN, JR, AA</v>
      </c>
      <c r="E691" s="6" t="str">
        <f>IF(Data!E691 = 'Point Intercept 2'!E691, Data!E691, "ERROR")</f>
        <v>VB</v>
      </c>
      <c r="F691" s="6">
        <f>IF(Data!F691 = 'Point Intercept 2'!F691, Data!F691, "ERROR")</f>
        <v>1</v>
      </c>
      <c r="G691" s="6" t="str">
        <f>IF(Data!G691 = 'Point Intercept 2'!G691, Data!G691, "ERROR")</f>
        <v>SS</v>
      </c>
      <c r="H691" s="6">
        <f>IF(Data!I691 = 'Point Intercept 2'!I691, Data!I691, "ERROR")</f>
        <v>6</v>
      </c>
      <c r="I691" s="6">
        <f>IF(Data!H691 = 'Point Intercept 2'!H691, Data!H691, "ERROR")</f>
        <v>1</v>
      </c>
      <c r="J691" s="6">
        <f>IF(Data!J691 = 'Point Intercept 2'!J691, Data!J691, "ERROR")</f>
        <v>3.5</v>
      </c>
      <c r="K691" s="6" t="str">
        <f>IF(Data!K691 = 'Point Intercept 2'!K691, Data!K691, "ERROR")</f>
        <v>MEDPOL</v>
      </c>
      <c r="L691" s="6" t="str">
        <f>IF(Data!L691 = 'Point Intercept 2'!L691, Data!L691, "ERROR")</f>
        <v>Medicago polymorpha</v>
      </c>
    </row>
    <row r="692" spans="1:12" x14ac:dyDescent="0.25">
      <c r="A692" s="6">
        <f>IF(Data!A692 = 'Point Intercept 2'!A692, Data!A692, "ERROR")</f>
        <v>8</v>
      </c>
      <c r="B692" s="6">
        <f>IF(Data!B692 = 'Point Intercept 2'!B692, Data!B692, "ERROR")</f>
        <v>2025</v>
      </c>
      <c r="C692" s="8">
        <f>IF(Data!C692 = 'Point Intercept 2'!C692, Data!C692, "ERROR")</f>
        <v>45764</v>
      </c>
      <c r="D692" s="6" t="str">
        <f>IF(Data!D692 = 'Point Intercept 2'!D692, Data!D692, "ERROR")</f>
        <v>TL, BN, JR, AA</v>
      </c>
      <c r="E692" s="6" t="str">
        <f>IF(Data!E692 = 'Point Intercept 2'!E692, Data!E692, "ERROR")</f>
        <v>VB</v>
      </c>
      <c r="F692" s="6">
        <f>IF(Data!F692 = 'Point Intercept 2'!F692, Data!F692, "ERROR")</f>
        <v>1</v>
      </c>
      <c r="G692" s="6" t="str">
        <f>IF(Data!G692 = 'Point Intercept 2'!G692, Data!G692, "ERROR")</f>
        <v>SS</v>
      </c>
      <c r="H692" s="6">
        <f>IF(Data!I692 = 'Point Intercept 2'!I692, Data!I692, "ERROR")</f>
        <v>6</v>
      </c>
      <c r="I692" s="6">
        <f>IF(Data!H692 = 'Point Intercept 2'!H692, Data!H692, "ERROR")</f>
        <v>1</v>
      </c>
      <c r="J692" s="6">
        <f>IF(Data!J692 = 'Point Intercept 2'!J692, Data!J692, "ERROR")</f>
        <v>3.5</v>
      </c>
      <c r="K692" s="6" t="str">
        <f>IF(Data!K692 = 'Point Intercept 2'!K692, Data!K692, "ERROR")</f>
        <v>EROMOS</v>
      </c>
      <c r="L692" s="6" t="str">
        <f>IF(Data!L692 = 'Point Intercept 2'!L692, Data!L692, "ERROR")</f>
        <v>Erodium moschatum</v>
      </c>
    </row>
    <row r="693" spans="1:12" x14ac:dyDescent="0.25">
      <c r="A693" s="6">
        <f>IF(Data!A693 = 'Point Intercept 2'!A693, Data!A693, "ERROR")</f>
        <v>8</v>
      </c>
      <c r="B693" s="6">
        <f>IF(Data!B693 = 'Point Intercept 2'!B693, Data!B693, "ERROR")</f>
        <v>2025</v>
      </c>
      <c r="C693" s="8">
        <f>IF(Data!C693 = 'Point Intercept 2'!C693, Data!C693, "ERROR")</f>
        <v>45764</v>
      </c>
      <c r="D693" s="6" t="str">
        <f>IF(Data!D693 = 'Point Intercept 2'!D693, Data!D693, "ERROR")</f>
        <v>TL, BN, JR, AA</v>
      </c>
      <c r="E693" s="6" t="str">
        <f>IF(Data!E693 = 'Point Intercept 2'!E693, Data!E693, "ERROR")</f>
        <v>VB</v>
      </c>
      <c r="F693" s="6">
        <f>IF(Data!F693 = 'Point Intercept 2'!F693, Data!F693, "ERROR")</f>
        <v>1</v>
      </c>
      <c r="G693" s="6" t="str">
        <f>IF(Data!G693 = 'Point Intercept 2'!G693, Data!G693, "ERROR")</f>
        <v>SS</v>
      </c>
      <c r="H693" s="6">
        <f>IF(Data!I693 = 'Point Intercept 2'!I693, Data!I693, "ERROR")</f>
        <v>6</v>
      </c>
      <c r="I693" s="6">
        <f>IF(Data!H693 = 'Point Intercept 2'!H693, Data!H693, "ERROR")</f>
        <v>1</v>
      </c>
      <c r="J693" s="6">
        <f>IF(Data!J693 = 'Point Intercept 2'!J693, Data!J693, "ERROR")</f>
        <v>3.5</v>
      </c>
      <c r="K693" s="6" t="str">
        <f>IF(Data!K693 = 'Point Intercept 2'!K693, Data!K693, "ERROR")</f>
        <v>DEIFAS</v>
      </c>
      <c r="L693" s="6" t="str">
        <f>IF(Data!L693 = 'Point Intercept 2'!L693, Data!L693, "ERROR")</f>
        <v>Deinandra fasciculata</v>
      </c>
    </row>
    <row r="694" spans="1:12" x14ac:dyDescent="0.25">
      <c r="A694" s="6">
        <f>IF(Data!A694 = 'Point Intercept 2'!A694, Data!A694, "ERROR")</f>
        <v>8</v>
      </c>
      <c r="B694" s="6">
        <f>IF(Data!B694 = 'Point Intercept 2'!B694, Data!B694, "ERROR")</f>
        <v>2025</v>
      </c>
      <c r="C694" s="8">
        <f>IF(Data!C694 = 'Point Intercept 2'!C694, Data!C694, "ERROR")</f>
        <v>45764</v>
      </c>
      <c r="D694" s="6" t="str">
        <f>IF(Data!D694 = 'Point Intercept 2'!D694, Data!D694, "ERROR")</f>
        <v>TL, BN, JR, AA</v>
      </c>
      <c r="E694" s="6" t="str">
        <f>IF(Data!E694 = 'Point Intercept 2'!E694, Data!E694, "ERROR")</f>
        <v>VB</v>
      </c>
      <c r="F694" s="6">
        <f>IF(Data!F694 = 'Point Intercept 2'!F694, Data!F694, "ERROR")</f>
        <v>1</v>
      </c>
      <c r="G694" s="6" t="str">
        <f>IF(Data!G694 = 'Point Intercept 2'!G694, Data!G694, "ERROR")</f>
        <v>SS</v>
      </c>
      <c r="H694" s="6">
        <f>IF(Data!I694 = 'Point Intercept 2'!I694, Data!I694, "ERROR")</f>
        <v>7</v>
      </c>
      <c r="I694" s="6">
        <f>IF(Data!H694 = 'Point Intercept 2'!H694, Data!H694, "ERROR")</f>
        <v>1</v>
      </c>
      <c r="J694" s="6">
        <f>IF(Data!J694 = 'Point Intercept 2'!J694, Data!J694, "ERROR")</f>
        <v>4</v>
      </c>
      <c r="K694" s="6" t="str">
        <f>IF(Data!K694 = 'Point Intercept 2'!K694, Data!K694, "ERROR")</f>
        <v>L</v>
      </c>
      <c r="L694" s="6" t="str">
        <f>IF(Data!L694 = 'Point Intercept 2'!L694, Data!L694, "ERROR")</f>
        <v>Litter</v>
      </c>
    </row>
    <row r="695" spans="1:12" x14ac:dyDescent="0.25">
      <c r="A695" s="6">
        <f>IF(Data!A695 = 'Point Intercept 2'!A695, Data!A695, "ERROR")</f>
        <v>8</v>
      </c>
      <c r="B695" s="6">
        <f>IF(Data!B695 = 'Point Intercept 2'!B695, Data!B695, "ERROR")</f>
        <v>2025</v>
      </c>
      <c r="C695" s="8">
        <f>IF(Data!C695 = 'Point Intercept 2'!C695, Data!C695, "ERROR")</f>
        <v>45764</v>
      </c>
      <c r="D695" s="6" t="str">
        <f>IF(Data!D695 = 'Point Intercept 2'!D695, Data!D695, "ERROR")</f>
        <v>TL, BN, JR, AA</v>
      </c>
      <c r="E695" s="6" t="str">
        <f>IF(Data!E695 = 'Point Intercept 2'!E695, Data!E695, "ERROR")</f>
        <v>VB</v>
      </c>
      <c r="F695" s="6">
        <f>IF(Data!F695 = 'Point Intercept 2'!F695, Data!F695, "ERROR")</f>
        <v>1</v>
      </c>
      <c r="G695" s="6" t="str">
        <f>IF(Data!G695 = 'Point Intercept 2'!G695, Data!G695, "ERROR")</f>
        <v>SS</v>
      </c>
      <c r="H695" s="6">
        <f>IF(Data!I695 = 'Point Intercept 2'!I695, Data!I695, "ERROR")</f>
        <v>7</v>
      </c>
      <c r="I695" s="6">
        <f>IF(Data!H695 = 'Point Intercept 2'!H695, Data!H695, "ERROR")</f>
        <v>1</v>
      </c>
      <c r="J695" s="6">
        <f>IF(Data!J695 = 'Point Intercept 2'!J695, Data!J695, "ERROR")</f>
        <v>4</v>
      </c>
      <c r="K695" s="6" t="str">
        <f>IF(Data!K695 = 'Point Intercept 2'!K695, Data!K695, "ERROR")</f>
        <v>EROMOS</v>
      </c>
      <c r="L695" s="6" t="str">
        <f>IF(Data!L695 = 'Point Intercept 2'!L695, Data!L695, "ERROR")</f>
        <v>Erodium moschatum</v>
      </c>
    </row>
    <row r="696" spans="1:12" x14ac:dyDescent="0.25">
      <c r="A696" s="6">
        <f>IF(Data!A696 = 'Point Intercept 2'!A696, Data!A696, "ERROR")</f>
        <v>8</v>
      </c>
      <c r="B696" s="6">
        <f>IF(Data!B696 = 'Point Intercept 2'!B696, Data!B696, "ERROR")</f>
        <v>2025</v>
      </c>
      <c r="C696" s="8">
        <f>IF(Data!C696 = 'Point Intercept 2'!C696, Data!C696, "ERROR")</f>
        <v>45764</v>
      </c>
      <c r="D696" s="6" t="str">
        <f>IF(Data!D696 = 'Point Intercept 2'!D696, Data!D696, "ERROR")</f>
        <v>TL, BN, JR, AA</v>
      </c>
      <c r="E696" s="6" t="str">
        <f>IF(Data!E696 = 'Point Intercept 2'!E696, Data!E696, "ERROR")</f>
        <v>VB</v>
      </c>
      <c r="F696" s="6">
        <f>IF(Data!F696 = 'Point Intercept 2'!F696, Data!F696, "ERROR")</f>
        <v>1</v>
      </c>
      <c r="G696" s="6" t="str">
        <f>IF(Data!G696 = 'Point Intercept 2'!G696, Data!G696, "ERROR")</f>
        <v>SS</v>
      </c>
      <c r="H696" s="6">
        <f>IF(Data!I696 = 'Point Intercept 2'!I696, Data!I696, "ERROR")</f>
        <v>7</v>
      </c>
      <c r="I696" s="6">
        <f>IF(Data!H696 = 'Point Intercept 2'!H696, Data!H696, "ERROR")</f>
        <v>1</v>
      </c>
      <c r="J696" s="6">
        <f>IF(Data!J696 = 'Point Intercept 2'!J696, Data!J696, "ERROR")</f>
        <v>4</v>
      </c>
      <c r="K696" s="6" t="str">
        <f>IF(Data!K696 = 'Point Intercept 2'!K696, Data!K696, "ERROR")</f>
        <v>SONOLE</v>
      </c>
      <c r="L696" s="6" t="str">
        <f>IF(Data!L696 = 'Point Intercept 2'!L696, Data!L696, "ERROR")</f>
        <v>Sonchus oleraceus</v>
      </c>
    </row>
    <row r="697" spans="1:12" x14ac:dyDescent="0.25">
      <c r="A697" s="6">
        <f>IF(Data!A697 = 'Point Intercept 2'!A697, Data!A697, "ERROR")</f>
        <v>8</v>
      </c>
      <c r="B697" s="6">
        <f>IF(Data!B697 = 'Point Intercept 2'!B697, Data!B697, "ERROR")</f>
        <v>2025</v>
      </c>
      <c r="C697" s="8">
        <f>IF(Data!C697 = 'Point Intercept 2'!C697, Data!C697, "ERROR")</f>
        <v>45764</v>
      </c>
      <c r="D697" s="6" t="str">
        <f>IF(Data!D697 = 'Point Intercept 2'!D697, Data!D697, "ERROR")</f>
        <v>TL, BN, JR, AA</v>
      </c>
      <c r="E697" s="6" t="str">
        <f>IF(Data!E697 = 'Point Intercept 2'!E697, Data!E697, "ERROR")</f>
        <v>VB</v>
      </c>
      <c r="F697" s="6">
        <f>IF(Data!F697 = 'Point Intercept 2'!F697, Data!F697, "ERROR")</f>
        <v>1</v>
      </c>
      <c r="G697" s="6" t="str">
        <f>IF(Data!G697 = 'Point Intercept 2'!G697, Data!G697, "ERROR")</f>
        <v>SS</v>
      </c>
      <c r="H697" s="6">
        <f>IF(Data!I697 = 'Point Intercept 2'!I697, Data!I697, "ERROR")</f>
        <v>7</v>
      </c>
      <c r="I697" s="6">
        <f>IF(Data!H697 = 'Point Intercept 2'!H697, Data!H697, "ERROR")</f>
        <v>1</v>
      </c>
      <c r="J697" s="6">
        <f>IF(Data!J697 = 'Point Intercept 2'!J697, Data!J697, "ERROR")</f>
        <v>4</v>
      </c>
      <c r="K697" s="6" t="str">
        <f>IF(Data!K697 = 'Point Intercept 2'!K697, Data!K697, "ERROR")</f>
        <v>DEIFAS</v>
      </c>
      <c r="L697" s="6" t="str">
        <f>IF(Data!L697 = 'Point Intercept 2'!L697, Data!L697, "ERROR")</f>
        <v>Deinandra fasciculata</v>
      </c>
    </row>
    <row r="698" spans="1:12" x14ac:dyDescent="0.25">
      <c r="A698" s="6">
        <f>IF(Data!A698 = 'Point Intercept 2'!A698, Data!A698, "ERROR")</f>
        <v>8</v>
      </c>
      <c r="B698" s="6">
        <f>IF(Data!B698 = 'Point Intercept 2'!B698, Data!B698, "ERROR")</f>
        <v>2025</v>
      </c>
      <c r="C698" s="8">
        <f>IF(Data!C698 = 'Point Intercept 2'!C698, Data!C698, "ERROR")</f>
        <v>45764</v>
      </c>
      <c r="D698" s="6" t="str">
        <f>IF(Data!D698 = 'Point Intercept 2'!D698, Data!D698, "ERROR")</f>
        <v>TL, BN, JR, AA</v>
      </c>
      <c r="E698" s="6" t="str">
        <f>IF(Data!E698 = 'Point Intercept 2'!E698, Data!E698, "ERROR")</f>
        <v>VB</v>
      </c>
      <c r="F698" s="6">
        <f>IF(Data!F698 = 'Point Intercept 2'!F698, Data!F698, "ERROR")</f>
        <v>1</v>
      </c>
      <c r="G698" s="6" t="str">
        <f>IF(Data!G698 = 'Point Intercept 2'!G698, Data!G698, "ERROR")</f>
        <v>SS</v>
      </c>
      <c r="H698" s="6">
        <f>IF(Data!I698 = 'Point Intercept 2'!I698, Data!I698, "ERROR")</f>
        <v>8</v>
      </c>
      <c r="I698" s="6">
        <f>IF(Data!H698 = 'Point Intercept 2'!H698, Data!H698, "ERROR")</f>
        <v>1</v>
      </c>
      <c r="J698" s="6">
        <f>IF(Data!J698 = 'Point Intercept 2'!J698, Data!J698, "ERROR")</f>
        <v>5</v>
      </c>
      <c r="K698" s="6" t="str">
        <f>IF(Data!K698 = 'Point Intercept 2'!K698, Data!K698, "ERROR")</f>
        <v>L</v>
      </c>
      <c r="L698" s="6" t="str">
        <f>IF(Data!L698 = 'Point Intercept 2'!L698, Data!L698, "ERROR")</f>
        <v>Litter</v>
      </c>
    </row>
    <row r="699" spans="1:12" x14ac:dyDescent="0.25">
      <c r="A699" s="6">
        <f>IF(Data!A699 = 'Point Intercept 2'!A699, Data!A699, "ERROR")</f>
        <v>8</v>
      </c>
      <c r="B699" s="6">
        <f>IF(Data!B699 = 'Point Intercept 2'!B699, Data!B699, "ERROR")</f>
        <v>2025</v>
      </c>
      <c r="C699" s="8">
        <f>IF(Data!C699 = 'Point Intercept 2'!C699, Data!C699, "ERROR")</f>
        <v>45764</v>
      </c>
      <c r="D699" s="6" t="str">
        <f>IF(Data!D699 = 'Point Intercept 2'!D699, Data!D699, "ERROR")</f>
        <v>TL, BN, JR, AA</v>
      </c>
      <c r="E699" s="6" t="str">
        <f>IF(Data!E699 = 'Point Intercept 2'!E699, Data!E699, "ERROR")</f>
        <v>VB</v>
      </c>
      <c r="F699" s="6">
        <f>IF(Data!F699 = 'Point Intercept 2'!F699, Data!F699, "ERROR")</f>
        <v>1</v>
      </c>
      <c r="G699" s="6" t="str">
        <f>IF(Data!G699 = 'Point Intercept 2'!G699, Data!G699, "ERROR")</f>
        <v>SS</v>
      </c>
      <c r="H699" s="6">
        <f>IF(Data!I699 = 'Point Intercept 2'!I699, Data!I699, "ERROR")</f>
        <v>8</v>
      </c>
      <c r="I699" s="6">
        <f>IF(Data!H699 = 'Point Intercept 2'!H699, Data!H699, "ERROR")</f>
        <v>1</v>
      </c>
      <c r="J699" s="6">
        <f>IF(Data!J699 = 'Point Intercept 2'!J699, Data!J699, "ERROR")</f>
        <v>5</v>
      </c>
      <c r="K699" s="6" t="str">
        <f>IF(Data!K699 = 'Point Intercept 2'!K699, Data!K699, "ERROR")</f>
        <v>EROMOS</v>
      </c>
      <c r="L699" s="6" t="str">
        <f>IF(Data!L699 = 'Point Intercept 2'!L699, Data!L699, "ERROR")</f>
        <v>Erodium moschatum</v>
      </c>
    </row>
    <row r="700" spans="1:12" x14ac:dyDescent="0.25">
      <c r="A700" s="6">
        <f>IF(Data!A700 = 'Point Intercept 2'!A700, Data!A700, "ERROR")</f>
        <v>8</v>
      </c>
      <c r="B700" s="6">
        <f>IF(Data!B700 = 'Point Intercept 2'!B700, Data!B700, "ERROR")</f>
        <v>2025</v>
      </c>
      <c r="C700" s="8">
        <f>IF(Data!C700 = 'Point Intercept 2'!C700, Data!C700, "ERROR")</f>
        <v>45764</v>
      </c>
      <c r="D700" s="6" t="str">
        <f>IF(Data!D700 = 'Point Intercept 2'!D700, Data!D700, "ERROR")</f>
        <v>TL, BN, JR, AA</v>
      </c>
      <c r="E700" s="6" t="str">
        <f>IF(Data!E700 = 'Point Intercept 2'!E700, Data!E700, "ERROR")</f>
        <v>VB</v>
      </c>
      <c r="F700" s="6">
        <f>IF(Data!F700 = 'Point Intercept 2'!F700, Data!F700, "ERROR")</f>
        <v>1</v>
      </c>
      <c r="G700" s="6" t="str">
        <f>IF(Data!G700 = 'Point Intercept 2'!G700, Data!G700, "ERROR")</f>
        <v>SS</v>
      </c>
      <c r="H700" s="6">
        <f>IF(Data!I700 = 'Point Intercept 2'!I700, Data!I700, "ERROR")</f>
        <v>9</v>
      </c>
      <c r="I700" s="6">
        <f>IF(Data!H700 = 'Point Intercept 2'!H700, Data!H700, "ERROR")</f>
        <v>1</v>
      </c>
      <c r="J700" s="6">
        <f>IF(Data!J700 = 'Point Intercept 2'!J700, Data!J700, "ERROR")</f>
        <v>7</v>
      </c>
      <c r="K700" s="6" t="str">
        <f>IF(Data!K700 = 'Point Intercept 2'!K700, Data!K700, "ERROR")</f>
        <v>L</v>
      </c>
      <c r="L700" s="6" t="str">
        <f>IF(Data!L700 = 'Point Intercept 2'!L700, Data!L700, "ERROR")</f>
        <v>Litter</v>
      </c>
    </row>
    <row r="701" spans="1:12" x14ac:dyDescent="0.25">
      <c r="A701" s="6">
        <f>IF(Data!A701 = 'Point Intercept 2'!A701, Data!A701, "ERROR")</f>
        <v>8</v>
      </c>
      <c r="B701" s="6">
        <f>IF(Data!B701 = 'Point Intercept 2'!B701, Data!B701, "ERROR")</f>
        <v>2025</v>
      </c>
      <c r="C701" s="8">
        <f>IF(Data!C701 = 'Point Intercept 2'!C701, Data!C701, "ERROR")</f>
        <v>45764</v>
      </c>
      <c r="D701" s="6" t="str">
        <f>IF(Data!D701 = 'Point Intercept 2'!D701, Data!D701, "ERROR")</f>
        <v>TL, BN, JR, AA</v>
      </c>
      <c r="E701" s="6" t="str">
        <f>IF(Data!E701 = 'Point Intercept 2'!E701, Data!E701, "ERROR")</f>
        <v>VB</v>
      </c>
      <c r="F701" s="6">
        <f>IF(Data!F701 = 'Point Intercept 2'!F701, Data!F701, "ERROR")</f>
        <v>1</v>
      </c>
      <c r="G701" s="6" t="str">
        <f>IF(Data!G701 = 'Point Intercept 2'!G701, Data!G701, "ERROR")</f>
        <v>SS</v>
      </c>
      <c r="H701" s="6">
        <f>IF(Data!I701 = 'Point Intercept 2'!I701, Data!I701, "ERROR")</f>
        <v>9</v>
      </c>
      <c r="I701" s="6">
        <f>IF(Data!H701 = 'Point Intercept 2'!H701, Data!H701, "ERROR")</f>
        <v>1</v>
      </c>
      <c r="J701" s="6">
        <f>IF(Data!J701 = 'Point Intercept 2'!J701, Data!J701, "ERROR")</f>
        <v>7</v>
      </c>
      <c r="K701" s="6" t="str">
        <f>IF(Data!K701 = 'Point Intercept 2'!K701, Data!K701, "ERROR")</f>
        <v>BROMAD</v>
      </c>
      <c r="L701" s="6" t="str">
        <f>IF(Data!L701 = 'Point Intercept 2'!L701, Data!L701, "ERROR")</f>
        <v>Bromus madritensis</v>
      </c>
    </row>
    <row r="702" spans="1:12" x14ac:dyDescent="0.25">
      <c r="A702" s="6">
        <f>IF(Data!A702 = 'Point Intercept 2'!A702, Data!A702, "ERROR")</f>
        <v>8</v>
      </c>
      <c r="B702" s="6">
        <f>IF(Data!B702 = 'Point Intercept 2'!B702, Data!B702, "ERROR")</f>
        <v>2025</v>
      </c>
      <c r="C702" s="8">
        <f>IF(Data!C702 = 'Point Intercept 2'!C702, Data!C702, "ERROR")</f>
        <v>45764</v>
      </c>
      <c r="D702" s="6" t="str">
        <f>IF(Data!D702 = 'Point Intercept 2'!D702, Data!D702, "ERROR")</f>
        <v>TL, BN, JR, AA</v>
      </c>
      <c r="E702" s="6" t="str">
        <f>IF(Data!E702 = 'Point Intercept 2'!E702, Data!E702, "ERROR")</f>
        <v>VB</v>
      </c>
      <c r="F702" s="6">
        <f>IF(Data!F702 = 'Point Intercept 2'!F702, Data!F702, "ERROR")</f>
        <v>1</v>
      </c>
      <c r="G702" s="6" t="str">
        <f>IF(Data!G702 = 'Point Intercept 2'!G702, Data!G702, "ERROR")</f>
        <v>SS</v>
      </c>
      <c r="H702" s="6">
        <f>IF(Data!I702 = 'Point Intercept 2'!I702, Data!I702, "ERROR")</f>
        <v>9</v>
      </c>
      <c r="I702" s="6">
        <f>IF(Data!H702 = 'Point Intercept 2'!H702, Data!H702, "ERROR")</f>
        <v>1</v>
      </c>
      <c r="J702" s="6">
        <f>IF(Data!J702 = 'Point Intercept 2'!J702, Data!J702, "ERROR")</f>
        <v>7</v>
      </c>
      <c r="K702" s="6" t="str">
        <f>IF(Data!K702 = 'Point Intercept 2'!K702, Data!K702, "ERROR")</f>
        <v>DEIFAS</v>
      </c>
      <c r="L702" s="6" t="str">
        <f>IF(Data!L702 = 'Point Intercept 2'!L702, Data!L702, "ERROR")</f>
        <v>Deinandra fasciculata</v>
      </c>
    </row>
    <row r="703" spans="1:12" x14ac:dyDescent="0.25">
      <c r="A703" s="6">
        <f>IF(Data!A703 = 'Point Intercept 2'!A703, Data!A703, "ERROR")</f>
        <v>8</v>
      </c>
      <c r="B703" s="6">
        <f>IF(Data!B703 = 'Point Intercept 2'!B703, Data!B703, "ERROR")</f>
        <v>2025</v>
      </c>
      <c r="C703" s="8">
        <f>IF(Data!C703 = 'Point Intercept 2'!C703, Data!C703, "ERROR")</f>
        <v>45764</v>
      </c>
      <c r="D703" s="6" t="str">
        <f>IF(Data!D703 = 'Point Intercept 2'!D703, Data!D703, "ERROR")</f>
        <v>TL, BN, JR, AA</v>
      </c>
      <c r="E703" s="6" t="str">
        <f>IF(Data!E703 = 'Point Intercept 2'!E703, Data!E703, "ERROR")</f>
        <v>VB</v>
      </c>
      <c r="F703" s="6">
        <f>IF(Data!F703 = 'Point Intercept 2'!F703, Data!F703, "ERROR")</f>
        <v>1</v>
      </c>
      <c r="G703" s="6" t="str">
        <f>IF(Data!G703 = 'Point Intercept 2'!G703, Data!G703, "ERROR")</f>
        <v>SS</v>
      </c>
      <c r="H703" s="6">
        <f>IF(Data!I703 = 'Point Intercept 2'!I703, Data!I703, "ERROR")</f>
        <v>9</v>
      </c>
      <c r="I703" s="6">
        <f>IF(Data!H703 = 'Point Intercept 2'!H703, Data!H703, "ERROR")</f>
        <v>1</v>
      </c>
      <c r="J703" s="6">
        <f>IF(Data!J703 = 'Point Intercept 2'!J703, Data!J703, "ERROR")</f>
        <v>7</v>
      </c>
      <c r="K703" s="6" t="str">
        <f>IF(Data!K703 = 'Point Intercept 2'!K703, Data!K703, "ERROR")</f>
        <v>SONASP</v>
      </c>
      <c r="L703" s="6" t="str">
        <f>IF(Data!L703 = 'Point Intercept 2'!L703, Data!L703, "ERROR")</f>
        <v>Sonchus asper</v>
      </c>
    </row>
    <row r="704" spans="1:12" x14ac:dyDescent="0.25">
      <c r="A704" s="6">
        <f>IF(Data!A704 = 'Point Intercept 2'!A704, Data!A704, "ERROR")</f>
        <v>8</v>
      </c>
      <c r="B704" s="6">
        <f>IF(Data!B704 = 'Point Intercept 2'!B704, Data!B704, "ERROR")</f>
        <v>2025</v>
      </c>
      <c r="C704" s="8">
        <f>IF(Data!C704 = 'Point Intercept 2'!C704, Data!C704, "ERROR")</f>
        <v>45764</v>
      </c>
      <c r="D704" s="6" t="str">
        <f>IF(Data!D704 = 'Point Intercept 2'!D704, Data!D704, "ERROR")</f>
        <v>TL, BN, JR, AA</v>
      </c>
      <c r="E704" s="6" t="str">
        <f>IF(Data!E704 = 'Point Intercept 2'!E704, Data!E704, "ERROR")</f>
        <v>VB</v>
      </c>
      <c r="F704" s="6">
        <f>IF(Data!F704 = 'Point Intercept 2'!F704, Data!F704, "ERROR")</f>
        <v>1</v>
      </c>
      <c r="G704" s="6" t="str">
        <f>IF(Data!G704 = 'Point Intercept 2'!G704, Data!G704, "ERROR")</f>
        <v>SS</v>
      </c>
      <c r="H704" s="6">
        <f>IF(Data!I704 = 'Point Intercept 2'!I704, Data!I704, "ERROR")</f>
        <v>10</v>
      </c>
      <c r="I704" s="6">
        <f>IF(Data!H704 = 'Point Intercept 2'!H704, Data!H704, "ERROR")</f>
        <v>1</v>
      </c>
      <c r="J704" s="6">
        <f>IF(Data!J704 = 'Point Intercept 2'!J704, Data!J704, "ERROR")</f>
        <v>8</v>
      </c>
      <c r="K704" s="6" t="str">
        <f>IF(Data!K704 = 'Point Intercept 2'!K704, Data!K704, "ERROR")</f>
        <v>L</v>
      </c>
      <c r="L704" s="6" t="str">
        <f>IF(Data!L704 = 'Point Intercept 2'!L704, Data!L704, "ERROR")</f>
        <v>Litter</v>
      </c>
    </row>
    <row r="705" spans="1:12" x14ac:dyDescent="0.25">
      <c r="A705" s="6">
        <f>IF(Data!A705 = 'Point Intercept 2'!A705, Data!A705, "ERROR")</f>
        <v>8</v>
      </c>
      <c r="B705" s="6">
        <f>IF(Data!B705 = 'Point Intercept 2'!B705, Data!B705, "ERROR")</f>
        <v>2025</v>
      </c>
      <c r="C705" s="8">
        <f>IF(Data!C705 = 'Point Intercept 2'!C705, Data!C705, "ERROR")</f>
        <v>45764</v>
      </c>
      <c r="D705" s="6" t="str">
        <f>IF(Data!D705 = 'Point Intercept 2'!D705, Data!D705, "ERROR")</f>
        <v>TL, BN, JR, AA</v>
      </c>
      <c r="E705" s="6" t="str">
        <f>IF(Data!E705 = 'Point Intercept 2'!E705, Data!E705, "ERROR")</f>
        <v>VB</v>
      </c>
      <c r="F705" s="6">
        <f>IF(Data!F705 = 'Point Intercept 2'!F705, Data!F705, "ERROR")</f>
        <v>1</v>
      </c>
      <c r="G705" s="6" t="str">
        <f>IF(Data!G705 = 'Point Intercept 2'!G705, Data!G705, "ERROR")</f>
        <v>SS</v>
      </c>
      <c r="H705" s="6">
        <f>IF(Data!I705 = 'Point Intercept 2'!I705, Data!I705, "ERROR")</f>
        <v>10</v>
      </c>
      <c r="I705" s="6">
        <f>IF(Data!H705 = 'Point Intercept 2'!H705, Data!H705, "ERROR")</f>
        <v>1</v>
      </c>
      <c r="J705" s="6">
        <f>IF(Data!J705 = 'Point Intercept 2'!J705, Data!J705, "ERROR")</f>
        <v>8</v>
      </c>
      <c r="K705" s="6" t="str">
        <f>IF(Data!K705 = 'Point Intercept 2'!K705, Data!K705, "ERROR")</f>
        <v>SONOLE</v>
      </c>
      <c r="L705" s="6" t="str">
        <f>IF(Data!L705 = 'Point Intercept 2'!L705, Data!L705, "ERROR")</f>
        <v>Sonchus oleraceus</v>
      </c>
    </row>
    <row r="706" spans="1:12" x14ac:dyDescent="0.25">
      <c r="A706" s="6">
        <f>IF(Data!A706 = 'Point Intercept 2'!A706, Data!A706, "ERROR")</f>
        <v>8</v>
      </c>
      <c r="B706" s="6">
        <f>IF(Data!B706 = 'Point Intercept 2'!B706, Data!B706, "ERROR")</f>
        <v>2025</v>
      </c>
      <c r="C706" s="8">
        <f>IF(Data!C706 = 'Point Intercept 2'!C706, Data!C706, "ERROR")</f>
        <v>45764</v>
      </c>
      <c r="D706" s="6" t="str">
        <f>IF(Data!D706 = 'Point Intercept 2'!D706, Data!D706, "ERROR")</f>
        <v>TL, BN, JR, AA</v>
      </c>
      <c r="E706" s="6" t="str">
        <f>IF(Data!E706 = 'Point Intercept 2'!E706, Data!E706, "ERROR")</f>
        <v>VB</v>
      </c>
      <c r="F706" s="6">
        <f>IF(Data!F706 = 'Point Intercept 2'!F706, Data!F706, "ERROR")</f>
        <v>1</v>
      </c>
      <c r="G706" s="6" t="str">
        <f>IF(Data!G706 = 'Point Intercept 2'!G706, Data!G706, "ERROR")</f>
        <v>SS</v>
      </c>
      <c r="H706" s="6">
        <f>IF(Data!I706 = 'Point Intercept 2'!I706, Data!I706, "ERROR")</f>
        <v>10</v>
      </c>
      <c r="I706" s="6">
        <f>IF(Data!H706 = 'Point Intercept 2'!H706, Data!H706, "ERROR")</f>
        <v>1</v>
      </c>
      <c r="J706" s="6">
        <f>IF(Data!J706 = 'Point Intercept 2'!J706, Data!J706, "ERROR")</f>
        <v>8</v>
      </c>
      <c r="K706" s="6" t="str">
        <f>IF(Data!K706 = 'Point Intercept 2'!K706, Data!K706, "ERROR")</f>
        <v>BROMAD</v>
      </c>
      <c r="L706" s="6" t="str">
        <f>IF(Data!L706 = 'Point Intercept 2'!L706, Data!L706, "ERROR")</f>
        <v>Bromus madritensis</v>
      </c>
    </row>
    <row r="707" spans="1:12" x14ac:dyDescent="0.25">
      <c r="A707" s="6">
        <f>IF(Data!A707 = 'Point Intercept 2'!A707, Data!A707, "ERROR")</f>
        <v>8</v>
      </c>
      <c r="B707" s="6">
        <f>IF(Data!B707 = 'Point Intercept 2'!B707, Data!B707, "ERROR")</f>
        <v>2025</v>
      </c>
      <c r="C707" s="8">
        <f>IF(Data!C707 = 'Point Intercept 2'!C707, Data!C707, "ERROR")</f>
        <v>45764</v>
      </c>
      <c r="D707" s="6" t="str">
        <f>IF(Data!D707 = 'Point Intercept 2'!D707, Data!D707, "ERROR")</f>
        <v>TL, BN, JR, AA</v>
      </c>
      <c r="E707" s="6" t="str">
        <f>IF(Data!E707 = 'Point Intercept 2'!E707, Data!E707, "ERROR")</f>
        <v>VB</v>
      </c>
      <c r="F707" s="6">
        <f>IF(Data!F707 = 'Point Intercept 2'!F707, Data!F707, "ERROR")</f>
        <v>1</v>
      </c>
      <c r="G707" s="6" t="str">
        <f>IF(Data!G707 = 'Point Intercept 2'!G707, Data!G707, "ERROR")</f>
        <v>SS</v>
      </c>
      <c r="H707" s="6">
        <f>IF(Data!I707 = 'Point Intercept 2'!I707, Data!I707, "ERROR")</f>
        <v>11</v>
      </c>
      <c r="I707" s="6">
        <f>IF(Data!H707 = 'Point Intercept 2'!H707, Data!H707, "ERROR")</f>
        <v>1</v>
      </c>
      <c r="J707" s="6">
        <f>IF(Data!J707 = 'Point Intercept 2'!J707, Data!J707, "ERROR")</f>
        <v>8.5</v>
      </c>
      <c r="K707" s="6" t="str">
        <f>IF(Data!K707 = 'Point Intercept 2'!K707, Data!K707, "ERROR")</f>
        <v>L</v>
      </c>
      <c r="L707" s="6" t="str">
        <f>IF(Data!L707 = 'Point Intercept 2'!L707, Data!L707, "ERROR")</f>
        <v>Litter</v>
      </c>
    </row>
    <row r="708" spans="1:12" x14ac:dyDescent="0.25">
      <c r="A708" s="6">
        <f>IF(Data!A708 = 'Point Intercept 2'!A708, Data!A708, "ERROR")</f>
        <v>8</v>
      </c>
      <c r="B708" s="6">
        <f>IF(Data!B708 = 'Point Intercept 2'!B708, Data!B708, "ERROR")</f>
        <v>2025</v>
      </c>
      <c r="C708" s="8">
        <f>IF(Data!C708 = 'Point Intercept 2'!C708, Data!C708, "ERROR")</f>
        <v>45764</v>
      </c>
      <c r="D708" s="6" t="str">
        <f>IF(Data!D708 = 'Point Intercept 2'!D708, Data!D708, "ERROR")</f>
        <v>TL, BN, JR, AA</v>
      </c>
      <c r="E708" s="6" t="str">
        <f>IF(Data!E708 = 'Point Intercept 2'!E708, Data!E708, "ERROR")</f>
        <v>VB</v>
      </c>
      <c r="F708" s="6">
        <f>IF(Data!F708 = 'Point Intercept 2'!F708, Data!F708, "ERROR")</f>
        <v>1</v>
      </c>
      <c r="G708" s="6" t="str">
        <f>IF(Data!G708 = 'Point Intercept 2'!G708, Data!G708, "ERROR")</f>
        <v>SS</v>
      </c>
      <c r="H708" s="6">
        <f>IF(Data!I708 = 'Point Intercept 2'!I708, Data!I708, "ERROR")</f>
        <v>11</v>
      </c>
      <c r="I708" s="6">
        <f>IF(Data!H708 = 'Point Intercept 2'!H708, Data!H708, "ERROR")</f>
        <v>1</v>
      </c>
      <c r="J708" s="6">
        <f>IF(Data!J708 = 'Point Intercept 2'!J708, Data!J708, "ERROR")</f>
        <v>8.5</v>
      </c>
      <c r="K708" s="6" t="str">
        <f>IF(Data!K708 = 'Point Intercept 2'!K708, Data!K708, "ERROR")</f>
        <v>FESMYU</v>
      </c>
      <c r="L708" s="6" t="str">
        <f>IF(Data!L708 = 'Point Intercept 2'!L708, Data!L708, "ERROR")</f>
        <v>Festuca myuros</v>
      </c>
    </row>
    <row r="709" spans="1:12" x14ac:dyDescent="0.25">
      <c r="A709" s="6">
        <f>IF(Data!A709 = 'Point Intercept 2'!A709, Data!A709, "ERROR")</f>
        <v>8</v>
      </c>
      <c r="B709" s="6">
        <f>IF(Data!B709 = 'Point Intercept 2'!B709, Data!B709, "ERROR")</f>
        <v>2025</v>
      </c>
      <c r="C709" s="8">
        <f>IF(Data!C709 = 'Point Intercept 2'!C709, Data!C709, "ERROR")</f>
        <v>45764</v>
      </c>
      <c r="D709" s="6" t="str">
        <f>IF(Data!D709 = 'Point Intercept 2'!D709, Data!D709, "ERROR")</f>
        <v>TL, BN, JR, AA</v>
      </c>
      <c r="E709" s="6" t="str">
        <f>IF(Data!E709 = 'Point Intercept 2'!E709, Data!E709, "ERROR")</f>
        <v>VB</v>
      </c>
      <c r="F709" s="6">
        <f>IF(Data!F709 = 'Point Intercept 2'!F709, Data!F709, "ERROR")</f>
        <v>1</v>
      </c>
      <c r="G709" s="6" t="str">
        <f>IF(Data!G709 = 'Point Intercept 2'!G709, Data!G709, "ERROR")</f>
        <v>SS</v>
      </c>
      <c r="H709" s="6">
        <f>IF(Data!I709 = 'Point Intercept 2'!I709, Data!I709, "ERROR")</f>
        <v>11</v>
      </c>
      <c r="I709" s="6">
        <f>IF(Data!H709 = 'Point Intercept 2'!H709, Data!H709, "ERROR")</f>
        <v>1</v>
      </c>
      <c r="J709" s="6">
        <f>IF(Data!J709 = 'Point Intercept 2'!J709, Data!J709, "ERROR")</f>
        <v>8.5</v>
      </c>
      <c r="K709" s="6" t="str">
        <f>IF(Data!K709 = 'Point Intercept 2'!K709, Data!K709, "ERROR")</f>
        <v>DEIFAS</v>
      </c>
      <c r="L709" s="6" t="str">
        <f>IF(Data!L709 = 'Point Intercept 2'!L709, Data!L709, "ERROR")</f>
        <v>Deinandra fasciculata</v>
      </c>
    </row>
    <row r="710" spans="1:12" x14ac:dyDescent="0.25">
      <c r="A710" s="6">
        <f>IF(Data!A710 = 'Point Intercept 2'!A710, Data!A710, "ERROR")</f>
        <v>8</v>
      </c>
      <c r="B710" s="6">
        <f>IF(Data!B710 = 'Point Intercept 2'!B710, Data!B710, "ERROR")</f>
        <v>2025</v>
      </c>
      <c r="C710" s="8">
        <f>IF(Data!C710 = 'Point Intercept 2'!C710, Data!C710, "ERROR")</f>
        <v>45764</v>
      </c>
      <c r="D710" s="6" t="str">
        <f>IF(Data!D710 = 'Point Intercept 2'!D710, Data!D710, "ERROR")</f>
        <v>TL, BN, JR, AA</v>
      </c>
      <c r="E710" s="6" t="str">
        <f>IF(Data!E710 = 'Point Intercept 2'!E710, Data!E710, "ERROR")</f>
        <v>VB</v>
      </c>
      <c r="F710" s="6">
        <f>IF(Data!F710 = 'Point Intercept 2'!F710, Data!F710, "ERROR")</f>
        <v>1</v>
      </c>
      <c r="G710" s="6" t="str">
        <f>IF(Data!G710 = 'Point Intercept 2'!G710, Data!G710, "ERROR")</f>
        <v>SS</v>
      </c>
      <c r="H710" s="6">
        <f>IF(Data!I710 = 'Point Intercept 2'!I710, Data!I710, "ERROR")</f>
        <v>12</v>
      </c>
      <c r="I710" s="6">
        <f>IF(Data!H710 = 'Point Intercept 2'!H710, Data!H710, "ERROR")</f>
        <v>1</v>
      </c>
      <c r="J710" s="6">
        <f>IF(Data!J710 = 'Point Intercept 2'!J710, Data!J710, "ERROR")</f>
        <v>9</v>
      </c>
      <c r="K710" s="6" t="str">
        <f>IF(Data!K710 = 'Point Intercept 2'!K710, Data!K710, "ERROR")</f>
        <v>L</v>
      </c>
      <c r="L710" s="6" t="str">
        <f>IF(Data!L710 = 'Point Intercept 2'!L710, Data!L710, "ERROR")</f>
        <v>Litter</v>
      </c>
    </row>
    <row r="711" spans="1:12" x14ac:dyDescent="0.25">
      <c r="A711" s="6">
        <f>IF(Data!A711 = 'Point Intercept 2'!A711, Data!A711, "ERROR")</f>
        <v>8</v>
      </c>
      <c r="B711" s="6">
        <f>IF(Data!B711 = 'Point Intercept 2'!B711, Data!B711, "ERROR")</f>
        <v>2025</v>
      </c>
      <c r="C711" s="8">
        <f>IF(Data!C711 = 'Point Intercept 2'!C711, Data!C711, "ERROR")</f>
        <v>45764</v>
      </c>
      <c r="D711" s="6" t="str">
        <f>IF(Data!D711 = 'Point Intercept 2'!D711, Data!D711, "ERROR")</f>
        <v>TL, BN, JR, AA</v>
      </c>
      <c r="E711" s="6" t="str">
        <f>IF(Data!E711 = 'Point Intercept 2'!E711, Data!E711, "ERROR")</f>
        <v>VB</v>
      </c>
      <c r="F711" s="6">
        <f>IF(Data!F711 = 'Point Intercept 2'!F711, Data!F711, "ERROR")</f>
        <v>1</v>
      </c>
      <c r="G711" s="6" t="str">
        <f>IF(Data!G711 = 'Point Intercept 2'!G711, Data!G711, "ERROR")</f>
        <v>SS</v>
      </c>
      <c r="H711" s="6">
        <f>IF(Data!I711 = 'Point Intercept 2'!I711, Data!I711, "ERROR")</f>
        <v>12</v>
      </c>
      <c r="I711" s="6">
        <f>IF(Data!H711 = 'Point Intercept 2'!H711, Data!H711, "ERROR")</f>
        <v>1</v>
      </c>
      <c r="J711" s="6">
        <f>IF(Data!J711 = 'Point Intercept 2'!J711, Data!J711, "ERROR")</f>
        <v>9</v>
      </c>
      <c r="K711" s="6" t="str">
        <f>IF(Data!K711 = 'Point Intercept 2'!K711, Data!K711, "ERROR")</f>
        <v>SONASP</v>
      </c>
      <c r="L711" s="6" t="str">
        <f>IF(Data!L711 = 'Point Intercept 2'!L711, Data!L711, "ERROR")</f>
        <v>Sonchus asper</v>
      </c>
    </row>
    <row r="712" spans="1:12" x14ac:dyDescent="0.25">
      <c r="A712" s="6">
        <f>IF(Data!A712 = 'Point Intercept 2'!A712, Data!A712, "ERROR")</f>
        <v>8</v>
      </c>
      <c r="B712" s="6">
        <f>IF(Data!B712 = 'Point Intercept 2'!B712, Data!B712, "ERROR")</f>
        <v>2025</v>
      </c>
      <c r="C712" s="8">
        <f>IF(Data!C712 = 'Point Intercept 2'!C712, Data!C712, "ERROR")</f>
        <v>45764</v>
      </c>
      <c r="D712" s="6" t="str">
        <f>IF(Data!D712 = 'Point Intercept 2'!D712, Data!D712, "ERROR")</f>
        <v>TL, BN, JR, AA</v>
      </c>
      <c r="E712" s="6" t="str">
        <f>IF(Data!E712 = 'Point Intercept 2'!E712, Data!E712, "ERROR")</f>
        <v>VB</v>
      </c>
      <c r="F712" s="6">
        <f>IF(Data!F712 = 'Point Intercept 2'!F712, Data!F712, "ERROR")</f>
        <v>1</v>
      </c>
      <c r="G712" s="6" t="str">
        <f>IF(Data!G712 = 'Point Intercept 2'!G712, Data!G712, "ERROR")</f>
        <v>SS</v>
      </c>
      <c r="H712" s="6">
        <f>IF(Data!I712 = 'Point Intercept 2'!I712, Data!I712, "ERROR")</f>
        <v>13</v>
      </c>
      <c r="I712" s="6">
        <f>IF(Data!H712 = 'Point Intercept 2'!H712, Data!H712, "ERROR")</f>
        <v>1</v>
      </c>
      <c r="J712" s="6">
        <f>IF(Data!J712 = 'Point Intercept 2'!J712, Data!J712, "ERROR")</f>
        <v>10</v>
      </c>
      <c r="K712" s="6" t="str">
        <f>IF(Data!K712 = 'Point Intercept 2'!K712, Data!K712, "ERROR")</f>
        <v>L</v>
      </c>
      <c r="L712" s="6" t="str">
        <f>IF(Data!L712 = 'Point Intercept 2'!L712, Data!L712, "ERROR")</f>
        <v>Litter</v>
      </c>
    </row>
    <row r="713" spans="1:12" x14ac:dyDescent="0.25">
      <c r="A713" s="6">
        <f>IF(Data!A713 = 'Point Intercept 2'!A713, Data!A713, "ERROR")</f>
        <v>8</v>
      </c>
      <c r="B713" s="6">
        <f>IF(Data!B713 = 'Point Intercept 2'!B713, Data!B713, "ERROR")</f>
        <v>2025</v>
      </c>
      <c r="C713" s="8">
        <f>IF(Data!C713 = 'Point Intercept 2'!C713, Data!C713, "ERROR")</f>
        <v>45764</v>
      </c>
      <c r="D713" s="6" t="str">
        <f>IF(Data!D713 = 'Point Intercept 2'!D713, Data!D713, "ERROR")</f>
        <v>TL, BN, JR, AA</v>
      </c>
      <c r="E713" s="6" t="str">
        <f>IF(Data!E713 = 'Point Intercept 2'!E713, Data!E713, "ERROR")</f>
        <v>VB</v>
      </c>
      <c r="F713" s="6">
        <f>IF(Data!F713 = 'Point Intercept 2'!F713, Data!F713, "ERROR")</f>
        <v>1</v>
      </c>
      <c r="G713" s="6" t="str">
        <f>IF(Data!G713 = 'Point Intercept 2'!G713, Data!G713, "ERROR")</f>
        <v>SS</v>
      </c>
      <c r="H713" s="6">
        <f>IF(Data!I713 = 'Point Intercept 2'!I713, Data!I713, "ERROR")</f>
        <v>13</v>
      </c>
      <c r="I713" s="6">
        <f>IF(Data!H713 = 'Point Intercept 2'!H713, Data!H713, "ERROR")</f>
        <v>1</v>
      </c>
      <c r="J713" s="6">
        <f>IF(Data!J713 = 'Point Intercept 2'!J713, Data!J713, "ERROR")</f>
        <v>10</v>
      </c>
      <c r="K713" s="6" t="str">
        <f>IF(Data!K713 = 'Point Intercept 2'!K713, Data!K713, "ERROR")</f>
        <v>DEIFAS</v>
      </c>
      <c r="L713" s="6" t="str">
        <f>IF(Data!L713 = 'Point Intercept 2'!L713, Data!L713, "ERROR")</f>
        <v>Deinandra fasciculata</v>
      </c>
    </row>
    <row r="714" spans="1:12" x14ac:dyDescent="0.25">
      <c r="A714" s="6">
        <f>IF(Data!A714 = 'Point Intercept 2'!A714, Data!A714, "ERROR")</f>
        <v>8</v>
      </c>
      <c r="B714" s="6">
        <f>IF(Data!B714 = 'Point Intercept 2'!B714, Data!B714, "ERROR")</f>
        <v>2025</v>
      </c>
      <c r="C714" s="8">
        <f>IF(Data!C714 = 'Point Intercept 2'!C714, Data!C714, "ERROR")</f>
        <v>45764</v>
      </c>
      <c r="D714" s="6" t="str">
        <f>IF(Data!D714 = 'Point Intercept 2'!D714, Data!D714, "ERROR")</f>
        <v>TL, BN, JR, AA</v>
      </c>
      <c r="E714" s="6" t="str">
        <f>IF(Data!E714 = 'Point Intercept 2'!E714, Data!E714, "ERROR")</f>
        <v>VB</v>
      </c>
      <c r="F714" s="6">
        <f>IF(Data!F714 = 'Point Intercept 2'!F714, Data!F714, "ERROR")</f>
        <v>1</v>
      </c>
      <c r="G714" s="6" t="str">
        <f>IF(Data!G714 = 'Point Intercept 2'!G714, Data!G714, "ERROR")</f>
        <v>SS</v>
      </c>
      <c r="H714" s="6">
        <f>IF(Data!I714 = 'Point Intercept 2'!I714, Data!I714, "ERROR")</f>
        <v>14</v>
      </c>
      <c r="I714" s="6">
        <f>IF(Data!H714 = 'Point Intercept 2'!H714, Data!H714, "ERROR")</f>
        <v>1</v>
      </c>
      <c r="J714" s="6">
        <f>IF(Data!J714 = 'Point Intercept 2'!J714, Data!J714, "ERROR")</f>
        <v>11</v>
      </c>
      <c r="K714" s="6" t="str">
        <f>IF(Data!K714 = 'Point Intercept 2'!K714, Data!K714, "ERROR")</f>
        <v>L</v>
      </c>
      <c r="L714" s="6" t="str">
        <f>IF(Data!L714 = 'Point Intercept 2'!L714, Data!L714, "ERROR")</f>
        <v>Litter</v>
      </c>
    </row>
    <row r="715" spans="1:12" x14ac:dyDescent="0.25">
      <c r="A715" s="6">
        <f>IF(Data!A715 = 'Point Intercept 2'!A715, Data!A715, "ERROR")</f>
        <v>8</v>
      </c>
      <c r="B715" s="6">
        <f>IF(Data!B715 = 'Point Intercept 2'!B715, Data!B715, "ERROR")</f>
        <v>2025</v>
      </c>
      <c r="C715" s="8">
        <f>IF(Data!C715 = 'Point Intercept 2'!C715, Data!C715, "ERROR")</f>
        <v>45764</v>
      </c>
      <c r="D715" s="6" t="str">
        <f>IF(Data!D715 = 'Point Intercept 2'!D715, Data!D715, "ERROR")</f>
        <v>TL, BN, JR, AA</v>
      </c>
      <c r="E715" s="6" t="str">
        <f>IF(Data!E715 = 'Point Intercept 2'!E715, Data!E715, "ERROR")</f>
        <v>VB</v>
      </c>
      <c r="F715" s="6">
        <f>IF(Data!F715 = 'Point Intercept 2'!F715, Data!F715, "ERROR")</f>
        <v>1</v>
      </c>
      <c r="G715" s="6" t="str">
        <f>IF(Data!G715 = 'Point Intercept 2'!G715, Data!G715, "ERROR")</f>
        <v>SS</v>
      </c>
      <c r="H715" s="6">
        <f>IF(Data!I715 = 'Point Intercept 2'!I715, Data!I715, "ERROR")</f>
        <v>14</v>
      </c>
      <c r="I715" s="6">
        <f>IF(Data!H715 = 'Point Intercept 2'!H715, Data!H715, "ERROR")</f>
        <v>1</v>
      </c>
      <c r="J715" s="6">
        <f>IF(Data!J715 = 'Point Intercept 2'!J715, Data!J715, "ERROR")</f>
        <v>11</v>
      </c>
      <c r="K715" s="6" t="str">
        <f>IF(Data!K715 = 'Point Intercept 2'!K715, Data!K715, "ERROR")</f>
        <v>BROMAD</v>
      </c>
      <c r="L715" s="6" t="str">
        <f>IF(Data!L715 = 'Point Intercept 2'!L715, Data!L715, "ERROR")</f>
        <v>Bromus madritensis</v>
      </c>
    </row>
    <row r="716" spans="1:12" x14ac:dyDescent="0.25">
      <c r="A716" s="6">
        <f>IF(Data!A716 = 'Point Intercept 2'!A716, Data!A716, "ERROR")</f>
        <v>8</v>
      </c>
      <c r="B716" s="6">
        <f>IF(Data!B716 = 'Point Intercept 2'!B716, Data!B716, "ERROR")</f>
        <v>2025</v>
      </c>
      <c r="C716" s="8">
        <f>IF(Data!C716 = 'Point Intercept 2'!C716, Data!C716, "ERROR")</f>
        <v>45764</v>
      </c>
      <c r="D716" s="6" t="str">
        <f>IF(Data!D716 = 'Point Intercept 2'!D716, Data!D716, "ERROR")</f>
        <v>TL, BN, JR, AA</v>
      </c>
      <c r="E716" s="6" t="str">
        <f>IF(Data!E716 = 'Point Intercept 2'!E716, Data!E716, "ERROR")</f>
        <v>VB</v>
      </c>
      <c r="F716" s="6">
        <f>IF(Data!F716 = 'Point Intercept 2'!F716, Data!F716, "ERROR")</f>
        <v>1</v>
      </c>
      <c r="G716" s="6" t="str">
        <f>IF(Data!G716 = 'Point Intercept 2'!G716, Data!G716, "ERROR")</f>
        <v>SS</v>
      </c>
      <c r="H716" s="6">
        <f>IF(Data!I716 = 'Point Intercept 2'!I716, Data!I716, "ERROR")</f>
        <v>15</v>
      </c>
      <c r="I716" s="6">
        <f>IF(Data!H716 = 'Point Intercept 2'!H716, Data!H716, "ERROR")</f>
        <v>1</v>
      </c>
      <c r="J716" s="6">
        <f>IF(Data!J716 = 'Point Intercept 2'!J716, Data!J716, "ERROR")</f>
        <v>12</v>
      </c>
      <c r="K716" s="6" t="str">
        <f>IF(Data!K716 = 'Point Intercept 2'!K716, Data!K716, "ERROR")</f>
        <v>B</v>
      </c>
      <c r="L716" s="6" t="str">
        <f>IF(Data!L716 = 'Point Intercept 2'!L716, Data!L716, "ERROR")</f>
        <v>Bareground</v>
      </c>
    </row>
    <row r="717" spans="1:12" x14ac:dyDescent="0.25">
      <c r="A717" s="6">
        <f>IF(Data!A717 = 'Point Intercept 2'!A717, Data!A717, "ERROR")</f>
        <v>8</v>
      </c>
      <c r="B717" s="6">
        <f>IF(Data!B717 = 'Point Intercept 2'!B717, Data!B717, "ERROR")</f>
        <v>2025</v>
      </c>
      <c r="C717" s="8">
        <f>IF(Data!C717 = 'Point Intercept 2'!C717, Data!C717, "ERROR")</f>
        <v>45764</v>
      </c>
      <c r="D717" s="6" t="str">
        <f>IF(Data!D717 = 'Point Intercept 2'!D717, Data!D717, "ERROR")</f>
        <v>TL, BN, JR, AA</v>
      </c>
      <c r="E717" s="6" t="str">
        <f>IF(Data!E717 = 'Point Intercept 2'!E717, Data!E717, "ERROR")</f>
        <v>VB</v>
      </c>
      <c r="F717" s="6">
        <f>IF(Data!F717 = 'Point Intercept 2'!F717, Data!F717, "ERROR")</f>
        <v>1</v>
      </c>
      <c r="G717" s="6" t="str">
        <f>IF(Data!G717 = 'Point Intercept 2'!G717, Data!G717, "ERROR")</f>
        <v>SS</v>
      </c>
      <c r="H717" s="6">
        <f>IF(Data!I717 = 'Point Intercept 2'!I717, Data!I717, "ERROR")</f>
        <v>1</v>
      </c>
      <c r="I717" s="6">
        <f>IF(Data!H717 = 'Point Intercept 2'!H717, Data!H717, "ERROR")</f>
        <v>2</v>
      </c>
      <c r="J717" s="6">
        <f>IF(Data!J717 = 'Point Intercept 2'!J717, Data!J717, "ERROR")</f>
        <v>0</v>
      </c>
      <c r="K717" s="6" t="str">
        <f>IF(Data!K717 = 'Point Intercept 2'!K717, Data!K717, "ERROR")</f>
        <v>M</v>
      </c>
      <c r="L717" s="6" t="str">
        <f>IF(Data!L717 = 'Point Intercept 2'!L717, Data!L717, "ERROR")</f>
        <v>Moss</v>
      </c>
    </row>
    <row r="718" spans="1:12" x14ac:dyDescent="0.25">
      <c r="A718" s="6">
        <f>IF(Data!A718 = 'Point Intercept 2'!A718, Data!A718, "ERROR")</f>
        <v>8</v>
      </c>
      <c r="B718" s="6">
        <f>IF(Data!B718 = 'Point Intercept 2'!B718, Data!B718, "ERROR")</f>
        <v>2025</v>
      </c>
      <c r="C718" s="8">
        <f>IF(Data!C718 = 'Point Intercept 2'!C718, Data!C718, "ERROR")</f>
        <v>45764</v>
      </c>
      <c r="D718" s="6" t="str">
        <f>IF(Data!D718 = 'Point Intercept 2'!D718, Data!D718, "ERROR")</f>
        <v>TL, BN, JR, AA</v>
      </c>
      <c r="E718" s="6" t="str">
        <f>IF(Data!E718 = 'Point Intercept 2'!E718, Data!E718, "ERROR")</f>
        <v>VB</v>
      </c>
      <c r="F718" s="6">
        <f>IF(Data!F718 = 'Point Intercept 2'!F718, Data!F718, "ERROR")</f>
        <v>1</v>
      </c>
      <c r="G718" s="6" t="str">
        <f>IF(Data!G718 = 'Point Intercept 2'!G718, Data!G718, "ERROR")</f>
        <v>SS</v>
      </c>
      <c r="H718" s="6">
        <f>IF(Data!I718 = 'Point Intercept 2'!I718, Data!I718, "ERROR")</f>
        <v>1</v>
      </c>
      <c r="I718" s="6">
        <f>IF(Data!H718 = 'Point Intercept 2'!H718, Data!H718, "ERROR")</f>
        <v>2</v>
      </c>
      <c r="J718" s="6">
        <f>IF(Data!J718 = 'Point Intercept 2'!J718, Data!J718, "ERROR")</f>
        <v>0</v>
      </c>
      <c r="K718" s="6" t="str">
        <f>IF(Data!K718 = 'Point Intercept 2'!K718, Data!K718, "ERROR")</f>
        <v>CYLPRO</v>
      </c>
      <c r="L718" s="6" t="str">
        <f>IF(Data!L718 = 'Point Intercept 2'!L718, Data!L718, "ERROR")</f>
        <v>Cylindropuntia prolifera</v>
      </c>
    </row>
    <row r="719" spans="1:12" x14ac:dyDescent="0.25">
      <c r="A719" s="6">
        <f>IF(Data!A719 = 'Point Intercept 2'!A719, Data!A719, "ERROR")</f>
        <v>8</v>
      </c>
      <c r="B719" s="6">
        <f>IF(Data!B719 = 'Point Intercept 2'!B719, Data!B719, "ERROR")</f>
        <v>2025</v>
      </c>
      <c r="C719" s="8">
        <f>IF(Data!C719 = 'Point Intercept 2'!C719, Data!C719, "ERROR")</f>
        <v>45764</v>
      </c>
      <c r="D719" s="6" t="str">
        <f>IF(Data!D719 = 'Point Intercept 2'!D719, Data!D719, "ERROR")</f>
        <v>TL, BN, JR, AA</v>
      </c>
      <c r="E719" s="6" t="str">
        <f>IF(Data!E719 = 'Point Intercept 2'!E719, Data!E719, "ERROR")</f>
        <v>VB</v>
      </c>
      <c r="F719" s="6">
        <f>IF(Data!F719 = 'Point Intercept 2'!F719, Data!F719, "ERROR")</f>
        <v>1</v>
      </c>
      <c r="G719" s="6" t="str">
        <f>IF(Data!G719 = 'Point Intercept 2'!G719, Data!G719, "ERROR")</f>
        <v>SS</v>
      </c>
      <c r="H719" s="6">
        <f>IF(Data!I719 = 'Point Intercept 2'!I719, Data!I719, "ERROR")</f>
        <v>1</v>
      </c>
      <c r="I719" s="6">
        <f>IF(Data!H719 = 'Point Intercept 2'!H719, Data!H719, "ERROR")</f>
        <v>2</v>
      </c>
      <c r="J719" s="6">
        <f>IF(Data!J719 = 'Point Intercept 2'!J719, Data!J719, "ERROR")</f>
        <v>0</v>
      </c>
      <c r="K719" s="6" t="str">
        <f>IF(Data!K719 = 'Point Intercept 2'!K719, Data!K719, "ERROR")</f>
        <v>SONOLE</v>
      </c>
      <c r="L719" s="6" t="str">
        <f>IF(Data!L719 = 'Point Intercept 2'!L719, Data!L719, "ERROR")</f>
        <v>Sonchus oleraceus</v>
      </c>
    </row>
    <row r="720" spans="1:12" x14ac:dyDescent="0.25">
      <c r="A720" s="6">
        <f>IF(Data!A720 = 'Point Intercept 2'!A720, Data!A720, "ERROR")</f>
        <v>8</v>
      </c>
      <c r="B720" s="6">
        <f>IF(Data!B720 = 'Point Intercept 2'!B720, Data!B720, "ERROR")</f>
        <v>2025</v>
      </c>
      <c r="C720" s="8">
        <f>IF(Data!C720 = 'Point Intercept 2'!C720, Data!C720, "ERROR")</f>
        <v>45764</v>
      </c>
      <c r="D720" s="6" t="str">
        <f>IF(Data!D720 = 'Point Intercept 2'!D720, Data!D720, "ERROR")</f>
        <v>TL, BN, JR, AA</v>
      </c>
      <c r="E720" s="6" t="str">
        <f>IF(Data!E720 = 'Point Intercept 2'!E720, Data!E720, "ERROR")</f>
        <v>VB</v>
      </c>
      <c r="F720" s="6">
        <f>IF(Data!F720 = 'Point Intercept 2'!F720, Data!F720, "ERROR")</f>
        <v>1</v>
      </c>
      <c r="G720" s="6" t="str">
        <f>IF(Data!G720 = 'Point Intercept 2'!G720, Data!G720, "ERROR")</f>
        <v>SS</v>
      </c>
      <c r="H720" s="6">
        <f>IF(Data!I720 = 'Point Intercept 2'!I720, Data!I720, "ERROR")</f>
        <v>1</v>
      </c>
      <c r="I720" s="6">
        <f>IF(Data!H720 = 'Point Intercept 2'!H720, Data!H720, "ERROR")</f>
        <v>2</v>
      </c>
      <c r="J720" s="6">
        <f>IF(Data!J720 = 'Point Intercept 2'!J720, Data!J720, "ERROR")</f>
        <v>0</v>
      </c>
      <c r="K720" s="6" t="str">
        <f>IF(Data!K720 = 'Point Intercept 2'!K720, Data!K720, "ERROR")</f>
        <v>ERIFAS</v>
      </c>
      <c r="L720" s="6" t="str">
        <f>IF(Data!L720 = 'Point Intercept 2'!L720, Data!L720, "ERROR")</f>
        <v>Eriogonum fasciculatum</v>
      </c>
    </row>
    <row r="721" spans="1:12" x14ac:dyDescent="0.25">
      <c r="A721" s="6">
        <f>IF(Data!A721 = 'Point Intercept 2'!A721, Data!A721, "ERROR")</f>
        <v>8</v>
      </c>
      <c r="B721" s="6">
        <f>IF(Data!B721 = 'Point Intercept 2'!B721, Data!B721, "ERROR")</f>
        <v>2025</v>
      </c>
      <c r="C721" s="8">
        <f>IF(Data!C721 = 'Point Intercept 2'!C721, Data!C721, "ERROR")</f>
        <v>45764</v>
      </c>
      <c r="D721" s="6" t="str">
        <f>IF(Data!D721 = 'Point Intercept 2'!D721, Data!D721, "ERROR")</f>
        <v>TL, BN, JR, AA</v>
      </c>
      <c r="E721" s="6" t="str">
        <f>IF(Data!E721 = 'Point Intercept 2'!E721, Data!E721, "ERROR")</f>
        <v>VB</v>
      </c>
      <c r="F721" s="6">
        <f>IF(Data!F721 = 'Point Intercept 2'!F721, Data!F721, "ERROR")</f>
        <v>1</v>
      </c>
      <c r="G721" s="6" t="str">
        <f>IF(Data!G721 = 'Point Intercept 2'!G721, Data!G721, "ERROR")</f>
        <v>SS</v>
      </c>
      <c r="H721" s="6">
        <f>IF(Data!I721 = 'Point Intercept 2'!I721, Data!I721, "ERROR")</f>
        <v>2</v>
      </c>
      <c r="I721" s="6">
        <f>IF(Data!H721 = 'Point Intercept 2'!H721, Data!H721, "ERROR")</f>
        <v>2</v>
      </c>
      <c r="J721" s="6">
        <f>IF(Data!J721 = 'Point Intercept 2'!J721, Data!J721, "ERROR")</f>
        <v>1</v>
      </c>
      <c r="K721" s="6" t="str">
        <f>IF(Data!K721 = 'Point Intercept 2'!K721, Data!K721, "ERROR")</f>
        <v>L</v>
      </c>
      <c r="L721" s="6" t="str">
        <f>IF(Data!L721 = 'Point Intercept 2'!L721, Data!L721, "ERROR")</f>
        <v>Litter</v>
      </c>
    </row>
    <row r="722" spans="1:12" x14ac:dyDescent="0.25">
      <c r="A722" s="6">
        <f>IF(Data!A722 = 'Point Intercept 2'!A722, Data!A722, "ERROR")</f>
        <v>8</v>
      </c>
      <c r="B722" s="6">
        <f>IF(Data!B722 = 'Point Intercept 2'!B722, Data!B722, "ERROR")</f>
        <v>2025</v>
      </c>
      <c r="C722" s="8">
        <f>IF(Data!C722 = 'Point Intercept 2'!C722, Data!C722, "ERROR")</f>
        <v>45764</v>
      </c>
      <c r="D722" s="6" t="str">
        <f>IF(Data!D722 = 'Point Intercept 2'!D722, Data!D722, "ERROR")</f>
        <v>TL, BN, JR, AA</v>
      </c>
      <c r="E722" s="6" t="str">
        <f>IF(Data!E722 = 'Point Intercept 2'!E722, Data!E722, "ERROR")</f>
        <v>VB</v>
      </c>
      <c r="F722" s="6">
        <f>IF(Data!F722 = 'Point Intercept 2'!F722, Data!F722, "ERROR")</f>
        <v>1</v>
      </c>
      <c r="G722" s="6" t="str">
        <f>IF(Data!G722 = 'Point Intercept 2'!G722, Data!G722, "ERROR")</f>
        <v>SS</v>
      </c>
      <c r="H722" s="6">
        <f>IF(Data!I722 = 'Point Intercept 2'!I722, Data!I722, "ERROR")</f>
        <v>2</v>
      </c>
      <c r="I722" s="6">
        <f>IF(Data!H722 = 'Point Intercept 2'!H722, Data!H722, "ERROR")</f>
        <v>2</v>
      </c>
      <c r="J722" s="6">
        <f>IF(Data!J722 = 'Point Intercept 2'!J722, Data!J722, "ERROR")</f>
        <v>1</v>
      </c>
      <c r="K722" s="6" t="str">
        <f>IF(Data!K722 = 'Point Intercept 2'!K722, Data!K722, "ERROR")</f>
        <v>MEDPOL</v>
      </c>
      <c r="L722" s="6" t="str">
        <f>IF(Data!L722 = 'Point Intercept 2'!L722, Data!L722, "ERROR")</f>
        <v>Medicago polymorpha</v>
      </c>
    </row>
    <row r="723" spans="1:12" x14ac:dyDescent="0.25">
      <c r="A723" s="6">
        <f>IF(Data!A723 = 'Point Intercept 2'!A723, Data!A723, "ERROR")</f>
        <v>8</v>
      </c>
      <c r="B723" s="6">
        <f>IF(Data!B723 = 'Point Intercept 2'!B723, Data!B723, "ERROR")</f>
        <v>2025</v>
      </c>
      <c r="C723" s="8">
        <f>IF(Data!C723 = 'Point Intercept 2'!C723, Data!C723, "ERROR")</f>
        <v>45764</v>
      </c>
      <c r="D723" s="6" t="str">
        <f>IF(Data!D723 = 'Point Intercept 2'!D723, Data!D723, "ERROR")</f>
        <v>TL, BN, JR, AA</v>
      </c>
      <c r="E723" s="6" t="str">
        <f>IF(Data!E723 = 'Point Intercept 2'!E723, Data!E723, "ERROR")</f>
        <v>VB</v>
      </c>
      <c r="F723" s="6">
        <f>IF(Data!F723 = 'Point Intercept 2'!F723, Data!F723, "ERROR")</f>
        <v>1</v>
      </c>
      <c r="G723" s="6" t="str">
        <f>IF(Data!G723 = 'Point Intercept 2'!G723, Data!G723, "ERROR")</f>
        <v>SS</v>
      </c>
      <c r="H723" s="6">
        <f>IF(Data!I723 = 'Point Intercept 2'!I723, Data!I723, "ERROR")</f>
        <v>2</v>
      </c>
      <c r="I723" s="6">
        <f>IF(Data!H723 = 'Point Intercept 2'!H723, Data!H723, "ERROR")</f>
        <v>2</v>
      </c>
      <c r="J723" s="6">
        <f>IF(Data!J723 = 'Point Intercept 2'!J723, Data!J723, "ERROR")</f>
        <v>1</v>
      </c>
      <c r="K723" s="6" t="str">
        <f>IF(Data!K723 = 'Point Intercept 2'!K723, Data!K723, "ERROR")</f>
        <v>EROCIC</v>
      </c>
      <c r="L723" s="6" t="str">
        <f>IF(Data!L723 = 'Point Intercept 2'!L723, Data!L723, "ERROR")</f>
        <v>Erodium cicutarium</v>
      </c>
    </row>
    <row r="724" spans="1:12" x14ac:dyDescent="0.25">
      <c r="A724" s="6">
        <f>IF(Data!A724 = 'Point Intercept 2'!A724, Data!A724, "ERROR")</f>
        <v>8</v>
      </c>
      <c r="B724" s="6">
        <f>IF(Data!B724 = 'Point Intercept 2'!B724, Data!B724, "ERROR")</f>
        <v>2025</v>
      </c>
      <c r="C724" s="8">
        <f>IF(Data!C724 = 'Point Intercept 2'!C724, Data!C724, "ERROR")</f>
        <v>45764</v>
      </c>
      <c r="D724" s="6" t="str">
        <f>IF(Data!D724 = 'Point Intercept 2'!D724, Data!D724, "ERROR")</f>
        <v>TL, BN, JR, AA</v>
      </c>
      <c r="E724" s="6" t="str">
        <f>IF(Data!E724 = 'Point Intercept 2'!E724, Data!E724, "ERROR")</f>
        <v>VB</v>
      </c>
      <c r="F724" s="6">
        <f>IF(Data!F724 = 'Point Intercept 2'!F724, Data!F724, "ERROR")</f>
        <v>1</v>
      </c>
      <c r="G724" s="6" t="str">
        <f>IF(Data!G724 = 'Point Intercept 2'!G724, Data!G724, "ERROR")</f>
        <v>SS</v>
      </c>
      <c r="H724" s="6">
        <f>IF(Data!I724 = 'Point Intercept 2'!I724, Data!I724, "ERROR")</f>
        <v>3</v>
      </c>
      <c r="I724" s="6">
        <f>IF(Data!H724 = 'Point Intercept 2'!H724, Data!H724, "ERROR")</f>
        <v>2</v>
      </c>
      <c r="J724" s="6">
        <f>IF(Data!J724 = 'Point Intercept 2'!J724, Data!J724, "ERROR")</f>
        <v>1.5</v>
      </c>
      <c r="K724" s="6" t="str">
        <f>IF(Data!K724 = 'Point Intercept 2'!K724, Data!K724, "ERROR")</f>
        <v>L</v>
      </c>
      <c r="L724" s="6" t="str">
        <f>IF(Data!L724 = 'Point Intercept 2'!L724, Data!L724, "ERROR")</f>
        <v>Litter</v>
      </c>
    </row>
    <row r="725" spans="1:12" x14ac:dyDescent="0.25">
      <c r="A725" s="6">
        <f>IF(Data!A725 = 'Point Intercept 2'!A725, Data!A725, "ERROR")</f>
        <v>8</v>
      </c>
      <c r="B725" s="6">
        <f>IF(Data!B725 = 'Point Intercept 2'!B725, Data!B725, "ERROR")</f>
        <v>2025</v>
      </c>
      <c r="C725" s="8">
        <f>IF(Data!C725 = 'Point Intercept 2'!C725, Data!C725, "ERROR")</f>
        <v>45764</v>
      </c>
      <c r="D725" s="6" t="str">
        <f>IF(Data!D725 = 'Point Intercept 2'!D725, Data!D725, "ERROR")</f>
        <v>TL, BN, JR, AA</v>
      </c>
      <c r="E725" s="6" t="str">
        <f>IF(Data!E725 = 'Point Intercept 2'!E725, Data!E725, "ERROR")</f>
        <v>VB</v>
      </c>
      <c r="F725" s="6">
        <f>IF(Data!F725 = 'Point Intercept 2'!F725, Data!F725, "ERROR")</f>
        <v>1</v>
      </c>
      <c r="G725" s="6" t="str">
        <f>IF(Data!G725 = 'Point Intercept 2'!G725, Data!G725, "ERROR")</f>
        <v>SS</v>
      </c>
      <c r="H725" s="6">
        <f>IF(Data!I725 = 'Point Intercept 2'!I725, Data!I725, "ERROR")</f>
        <v>3</v>
      </c>
      <c r="I725" s="6">
        <f>IF(Data!H725 = 'Point Intercept 2'!H725, Data!H725, "ERROR")</f>
        <v>2</v>
      </c>
      <c r="J725" s="6">
        <f>IF(Data!J725 = 'Point Intercept 2'!J725, Data!J725, "ERROR")</f>
        <v>1.5</v>
      </c>
      <c r="K725" s="6" t="str">
        <f>IF(Data!K725 = 'Point Intercept 2'!K725, Data!K725, "ERROR")</f>
        <v>DEIFAS</v>
      </c>
      <c r="L725" s="6" t="str">
        <f>IF(Data!L725 = 'Point Intercept 2'!L725, Data!L725, "ERROR")</f>
        <v>Deinandra fasciculata</v>
      </c>
    </row>
    <row r="726" spans="1:12" x14ac:dyDescent="0.25">
      <c r="A726" s="6">
        <f>IF(Data!A726 = 'Point Intercept 2'!A726, Data!A726, "ERROR")</f>
        <v>8</v>
      </c>
      <c r="B726" s="6">
        <f>IF(Data!B726 = 'Point Intercept 2'!B726, Data!B726, "ERROR")</f>
        <v>2025</v>
      </c>
      <c r="C726" s="8">
        <f>IF(Data!C726 = 'Point Intercept 2'!C726, Data!C726, "ERROR")</f>
        <v>45764</v>
      </c>
      <c r="D726" s="6" t="str">
        <f>IF(Data!D726 = 'Point Intercept 2'!D726, Data!D726, "ERROR")</f>
        <v>TL, BN, JR, AA</v>
      </c>
      <c r="E726" s="6" t="str">
        <f>IF(Data!E726 = 'Point Intercept 2'!E726, Data!E726, "ERROR")</f>
        <v>VB</v>
      </c>
      <c r="F726" s="6">
        <f>IF(Data!F726 = 'Point Intercept 2'!F726, Data!F726, "ERROR")</f>
        <v>1</v>
      </c>
      <c r="G726" s="6" t="str">
        <f>IF(Data!G726 = 'Point Intercept 2'!G726, Data!G726, "ERROR")</f>
        <v>SS</v>
      </c>
      <c r="H726" s="6">
        <f>IF(Data!I726 = 'Point Intercept 2'!I726, Data!I726, "ERROR")</f>
        <v>3</v>
      </c>
      <c r="I726" s="6">
        <f>IF(Data!H726 = 'Point Intercept 2'!H726, Data!H726, "ERROR")</f>
        <v>2</v>
      </c>
      <c r="J726" s="6">
        <f>IF(Data!J726 = 'Point Intercept 2'!J726, Data!J726, "ERROR")</f>
        <v>1.5</v>
      </c>
      <c r="K726" s="6" t="str">
        <f>IF(Data!K726 = 'Point Intercept 2'!K726, Data!K726, "ERROR")</f>
        <v>EROMOS</v>
      </c>
      <c r="L726" s="6" t="str">
        <f>IF(Data!L726 = 'Point Intercept 2'!L726, Data!L726, "ERROR")</f>
        <v>Erodium moschatum</v>
      </c>
    </row>
    <row r="727" spans="1:12" x14ac:dyDescent="0.25">
      <c r="A727" s="6">
        <f>IF(Data!A727 = 'Point Intercept 2'!A727, Data!A727, "ERROR")</f>
        <v>8</v>
      </c>
      <c r="B727" s="6">
        <f>IF(Data!B727 = 'Point Intercept 2'!B727, Data!B727, "ERROR")</f>
        <v>2025</v>
      </c>
      <c r="C727" s="8">
        <f>IF(Data!C727 = 'Point Intercept 2'!C727, Data!C727, "ERROR")</f>
        <v>45764</v>
      </c>
      <c r="D727" s="6" t="str">
        <f>IF(Data!D727 = 'Point Intercept 2'!D727, Data!D727, "ERROR")</f>
        <v>TL, BN, JR, AA</v>
      </c>
      <c r="E727" s="6" t="str">
        <f>IF(Data!E727 = 'Point Intercept 2'!E727, Data!E727, "ERROR")</f>
        <v>VB</v>
      </c>
      <c r="F727" s="6">
        <f>IF(Data!F727 = 'Point Intercept 2'!F727, Data!F727, "ERROR")</f>
        <v>1</v>
      </c>
      <c r="G727" s="6" t="str">
        <f>IF(Data!G727 = 'Point Intercept 2'!G727, Data!G727, "ERROR")</f>
        <v>SS</v>
      </c>
      <c r="H727" s="6">
        <f>IF(Data!I727 = 'Point Intercept 2'!I727, Data!I727, "ERROR")</f>
        <v>4</v>
      </c>
      <c r="I727" s="6">
        <f>IF(Data!H727 = 'Point Intercept 2'!H727, Data!H727, "ERROR")</f>
        <v>2</v>
      </c>
      <c r="J727" s="6">
        <f>IF(Data!J727 = 'Point Intercept 2'!J727, Data!J727, "ERROR")</f>
        <v>2</v>
      </c>
      <c r="K727" s="6" t="str">
        <f>IF(Data!K727 = 'Point Intercept 2'!K727, Data!K727, "ERROR")</f>
        <v>L</v>
      </c>
      <c r="L727" s="6" t="str">
        <f>IF(Data!L727 = 'Point Intercept 2'!L727, Data!L727, "ERROR")</f>
        <v>Litter</v>
      </c>
    </row>
    <row r="728" spans="1:12" x14ac:dyDescent="0.25">
      <c r="A728" s="6">
        <f>IF(Data!A728 = 'Point Intercept 2'!A728, Data!A728, "ERROR")</f>
        <v>8</v>
      </c>
      <c r="B728" s="6">
        <f>IF(Data!B728 = 'Point Intercept 2'!B728, Data!B728, "ERROR")</f>
        <v>2025</v>
      </c>
      <c r="C728" s="8">
        <f>IF(Data!C728 = 'Point Intercept 2'!C728, Data!C728, "ERROR")</f>
        <v>45764</v>
      </c>
      <c r="D728" s="6" t="str">
        <f>IF(Data!D728 = 'Point Intercept 2'!D728, Data!D728, "ERROR")</f>
        <v>TL, BN, JR, AA</v>
      </c>
      <c r="E728" s="6" t="str">
        <f>IF(Data!E728 = 'Point Intercept 2'!E728, Data!E728, "ERROR")</f>
        <v>VB</v>
      </c>
      <c r="F728" s="6">
        <f>IF(Data!F728 = 'Point Intercept 2'!F728, Data!F728, "ERROR")</f>
        <v>1</v>
      </c>
      <c r="G728" s="6" t="str">
        <f>IF(Data!G728 = 'Point Intercept 2'!G728, Data!G728, "ERROR")</f>
        <v>SS</v>
      </c>
      <c r="H728" s="6">
        <f>IF(Data!I728 = 'Point Intercept 2'!I728, Data!I728, "ERROR")</f>
        <v>4</v>
      </c>
      <c r="I728" s="6">
        <f>IF(Data!H728 = 'Point Intercept 2'!H728, Data!H728, "ERROR")</f>
        <v>2</v>
      </c>
      <c r="J728" s="6">
        <f>IF(Data!J728 = 'Point Intercept 2'!J728, Data!J728, "ERROR")</f>
        <v>2</v>
      </c>
      <c r="K728" s="6" t="str">
        <f>IF(Data!K728 = 'Point Intercept 2'!K728, Data!K728, "ERROR")</f>
        <v>BROMAD</v>
      </c>
      <c r="L728" s="6" t="str">
        <f>IF(Data!L728 = 'Point Intercept 2'!L728, Data!L728, "ERROR")</f>
        <v>Bromus madritensis</v>
      </c>
    </row>
    <row r="729" spans="1:12" x14ac:dyDescent="0.25">
      <c r="A729" s="6">
        <f>IF(Data!A729 = 'Point Intercept 2'!A729, Data!A729, "ERROR")</f>
        <v>8</v>
      </c>
      <c r="B729" s="6">
        <f>IF(Data!B729 = 'Point Intercept 2'!B729, Data!B729, "ERROR")</f>
        <v>2025</v>
      </c>
      <c r="C729" s="8">
        <f>IF(Data!C729 = 'Point Intercept 2'!C729, Data!C729, "ERROR")</f>
        <v>45764</v>
      </c>
      <c r="D729" s="6" t="str">
        <f>IF(Data!D729 = 'Point Intercept 2'!D729, Data!D729, "ERROR")</f>
        <v>TL, BN, JR, AA</v>
      </c>
      <c r="E729" s="6" t="str">
        <f>IF(Data!E729 = 'Point Intercept 2'!E729, Data!E729, "ERROR")</f>
        <v>VB</v>
      </c>
      <c r="F729" s="6">
        <f>IF(Data!F729 = 'Point Intercept 2'!F729, Data!F729, "ERROR")</f>
        <v>1</v>
      </c>
      <c r="G729" s="6" t="str">
        <f>IF(Data!G729 = 'Point Intercept 2'!G729, Data!G729, "ERROR")</f>
        <v>SS</v>
      </c>
      <c r="H729" s="6">
        <f>IF(Data!I729 = 'Point Intercept 2'!I729, Data!I729, "ERROR")</f>
        <v>5</v>
      </c>
      <c r="I729" s="6">
        <f>IF(Data!H729 = 'Point Intercept 2'!H729, Data!H729, "ERROR")</f>
        <v>2</v>
      </c>
      <c r="J729" s="6">
        <f>IF(Data!J729 = 'Point Intercept 2'!J729, Data!J729, "ERROR")</f>
        <v>3</v>
      </c>
      <c r="K729" s="6" t="str">
        <f>IF(Data!K729 = 'Point Intercept 2'!K729, Data!K729, "ERROR")</f>
        <v>B</v>
      </c>
      <c r="L729" s="6" t="str">
        <f>IF(Data!L729 = 'Point Intercept 2'!L729, Data!L729, "ERROR")</f>
        <v>Bareground</v>
      </c>
    </row>
    <row r="730" spans="1:12" x14ac:dyDescent="0.25">
      <c r="A730" s="6">
        <f>IF(Data!A730 = 'Point Intercept 2'!A730, Data!A730, "ERROR")</f>
        <v>8</v>
      </c>
      <c r="B730" s="6">
        <f>IF(Data!B730 = 'Point Intercept 2'!B730, Data!B730, "ERROR")</f>
        <v>2025</v>
      </c>
      <c r="C730" s="8">
        <f>IF(Data!C730 = 'Point Intercept 2'!C730, Data!C730, "ERROR")</f>
        <v>45764</v>
      </c>
      <c r="D730" s="6" t="str">
        <f>IF(Data!D730 = 'Point Intercept 2'!D730, Data!D730, "ERROR")</f>
        <v>TL, BN, JR, AA</v>
      </c>
      <c r="E730" s="6" t="str">
        <f>IF(Data!E730 = 'Point Intercept 2'!E730, Data!E730, "ERROR")</f>
        <v>VB</v>
      </c>
      <c r="F730" s="6">
        <f>IF(Data!F730 = 'Point Intercept 2'!F730, Data!F730, "ERROR")</f>
        <v>1</v>
      </c>
      <c r="G730" s="6" t="str">
        <f>IF(Data!G730 = 'Point Intercept 2'!G730, Data!G730, "ERROR")</f>
        <v>SS</v>
      </c>
      <c r="H730" s="6">
        <f>IF(Data!I730 = 'Point Intercept 2'!I730, Data!I730, "ERROR")</f>
        <v>5</v>
      </c>
      <c r="I730" s="6">
        <f>IF(Data!H730 = 'Point Intercept 2'!H730, Data!H730, "ERROR")</f>
        <v>2</v>
      </c>
      <c r="J730" s="6">
        <f>IF(Data!J730 = 'Point Intercept 2'!J730, Data!J730, "ERROR")</f>
        <v>3</v>
      </c>
      <c r="K730" s="6" t="str">
        <f>IF(Data!K730 = 'Point Intercept 2'!K730, Data!K730, "ERROR")</f>
        <v>BROMAD</v>
      </c>
      <c r="L730" s="6" t="str">
        <f>IF(Data!L730 = 'Point Intercept 2'!L730, Data!L730, "ERROR")</f>
        <v>Bromus madritensis</v>
      </c>
    </row>
    <row r="731" spans="1:12" x14ac:dyDescent="0.25">
      <c r="A731" s="6">
        <f>IF(Data!A731 = 'Point Intercept 2'!A731, Data!A731, "ERROR")</f>
        <v>8</v>
      </c>
      <c r="B731" s="6">
        <f>IF(Data!B731 = 'Point Intercept 2'!B731, Data!B731, "ERROR")</f>
        <v>2025</v>
      </c>
      <c r="C731" s="8">
        <f>IF(Data!C731 = 'Point Intercept 2'!C731, Data!C731, "ERROR")</f>
        <v>45764</v>
      </c>
      <c r="D731" s="6" t="str">
        <f>IF(Data!D731 = 'Point Intercept 2'!D731, Data!D731, "ERROR")</f>
        <v>TL, BN, JR, AA</v>
      </c>
      <c r="E731" s="6" t="str">
        <f>IF(Data!E731 = 'Point Intercept 2'!E731, Data!E731, "ERROR")</f>
        <v>VB</v>
      </c>
      <c r="F731" s="6">
        <f>IF(Data!F731 = 'Point Intercept 2'!F731, Data!F731, "ERROR")</f>
        <v>1</v>
      </c>
      <c r="G731" s="6" t="str">
        <f>IF(Data!G731 = 'Point Intercept 2'!G731, Data!G731, "ERROR")</f>
        <v>SS</v>
      </c>
      <c r="H731" s="6">
        <f>IF(Data!I731 = 'Point Intercept 2'!I731, Data!I731, "ERROR")</f>
        <v>6</v>
      </c>
      <c r="I731" s="6">
        <f>IF(Data!H731 = 'Point Intercept 2'!H731, Data!H731, "ERROR")</f>
        <v>2</v>
      </c>
      <c r="J731" s="6">
        <f>IF(Data!J731 = 'Point Intercept 2'!J731, Data!J731, "ERROR")</f>
        <v>3.5</v>
      </c>
      <c r="K731" s="6" t="str">
        <f>IF(Data!K731 = 'Point Intercept 2'!K731, Data!K731, "ERROR")</f>
        <v>L</v>
      </c>
      <c r="L731" s="6" t="str">
        <f>IF(Data!L731 = 'Point Intercept 2'!L731, Data!L731, "ERROR")</f>
        <v>Litter</v>
      </c>
    </row>
    <row r="732" spans="1:12" x14ac:dyDescent="0.25">
      <c r="A732" s="6">
        <f>IF(Data!A732 = 'Point Intercept 2'!A732, Data!A732, "ERROR")</f>
        <v>8</v>
      </c>
      <c r="B732" s="6">
        <f>IF(Data!B732 = 'Point Intercept 2'!B732, Data!B732, "ERROR")</f>
        <v>2025</v>
      </c>
      <c r="C732" s="8">
        <f>IF(Data!C732 = 'Point Intercept 2'!C732, Data!C732, "ERROR")</f>
        <v>45764</v>
      </c>
      <c r="D732" s="6" t="str">
        <f>IF(Data!D732 = 'Point Intercept 2'!D732, Data!D732, "ERROR")</f>
        <v>TL, BN, JR, AA</v>
      </c>
      <c r="E732" s="6" t="str">
        <f>IF(Data!E732 = 'Point Intercept 2'!E732, Data!E732, "ERROR")</f>
        <v>VB</v>
      </c>
      <c r="F732" s="6">
        <f>IF(Data!F732 = 'Point Intercept 2'!F732, Data!F732, "ERROR")</f>
        <v>1</v>
      </c>
      <c r="G732" s="6" t="str">
        <f>IF(Data!G732 = 'Point Intercept 2'!G732, Data!G732, "ERROR")</f>
        <v>SS</v>
      </c>
      <c r="H732" s="6">
        <f>IF(Data!I732 = 'Point Intercept 2'!I732, Data!I732, "ERROR")</f>
        <v>6</v>
      </c>
      <c r="I732" s="6">
        <f>IF(Data!H732 = 'Point Intercept 2'!H732, Data!H732, "ERROR")</f>
        <v>2</v>
      </c>
      <c r="J732" s="6">
        <f>IF(Data!J732 = 'Point Intercept 2'!J732, Data!J732, "ERROR")</f>
        <v>3.5</v>
      </c>
      <c r="K732" s="6" t="str">
        <f>IF(Data!K732 = 'Point Intercept 2'!K732, Data!K732, "ERROR")</f>
        <v>BROMAD</v>
      </c>
      <c r="L732" s="6" t="str">
        <f>IF(Data!L732 = 'Point Intercept 2'!L732, Data!L732, "ERROR")</f>
        <v>Bromus madritensis</v>
      </c>
    </row>
    <row r="733" spans="1:12" x14ac:dyDescent="0.25">
      <c r="A733" s="6">
        <f>IF(Data!A733 = 'Point Intercept 2'!A733, Data!A733, "ERROR")</f>
        <v>8</v>
      </c>
      <c r="B733" s="6">
        <f>IF(Data!B733 = 'Point Intercept 2'!B733, Data!B733, "ERROR")</f>
        <v>2025</v>
      </c>
      <c r="C733" s="8">
        <f>IF(Data!C733 = 'Point Intercept 2'!C733, Data!C733, "ERROR")</f>
        <v>45764</v>
      </c>
      <c r="D733" s="6" t="str">
        <f>IF(Data!D733 = 'Point Intercept 2'!D733, Data!D733, "ERROR")</f>
        <v>TL, BN, JR, AA</v>
      </c>
      <c r="E733" s="6" t="str">
        <f>IF(Data!E733 = 'Point Intercept 2'!E733, Data!E733, "ERROR")</f>
        <v>VB</v>
      </c>
      <c r="F733" s="6">
        <f>IF(Data!F733 = 'Point Intercept 2'!F733, Data!F733, "ERROR")</f>
        <v>1</v>
      </c>
      <c r="G733" s="6" t="str">
        <f>IF(Data!G733 = 'Point Intercept 2'!G733, Data!G733, "ERROR")</f>
        <v>SS</v>
      </c>
      <c r="H733" s="6">
        <f>IF(Data!I733 = 'Point Intercept 2'!I733, Data!I733, "ERROR")</f>
        <v>7</v>
      </c>
      <c r="I733" s="6">
        <f>IF(Data!H733 = 'Point Intercept 2'!H733, Data!H733, "ERROR")</f>
        <v>2</v>
      </c>
      <c r="J733" s="6">
        <f>IF(Data!J733 = 'Point Intercept 2'!J733, Data!J733, "ERROR")</f>
        <v>4</v>
      </c>
      <c r="K733" s="6" t="str">
        <f>IF(Data!K733 = 'Point Intercept 2'!K733, Data!K733, "ERROR")</f>
        <v>L</v>
      </c>
      <c r="L733" s="6" t="str">
        <f>IF(Data!L733 = 'Point Intercept 2'!L733, Data!L733, "ERROR")</f>
        <v>Litter</v>
      </c>
    </row>
    <row r="734" spans="1:12" x14ac:dyDescent="0.25">
      <c r="A734" s="6">
        <f>IF(Data!A734 = 'Point Intercept 2'!A734, Data!A734, "ERROR")</f>
        <v>8</v>
      </c>
      <c r="B734" s="6">
        <f>IF(Data!B734 = 'Point Intercept 2'!B734, Data!B734, "ERROR")</f>
        <v>2025</v>
      </c>
      <c r="C734" s="8">
        <f>IF(Data!C734 = 'Point Intercept 2'!C734, Data!C734, "ERROR")</f>
        <v>45764</v>
      </c>
      <c r="D734" s="6" t="str">
        <f>IF(Data!D734 = 'Point Intercept 2'!D734, Data!D734, "ERROR")</f>
        <v>TL, BN, JR, AA</v>
      </c>
      <c r="E734" s="6" t="str">
        <f>IF(Data!E734 = 'Point Intercept 2'!E734, Data!E734, "ERROR")</f>
        <v>VB</v>
      </c>
      <c r="F734" s="6">
        <f>IF(Data!F734 = 'Point Intercept 2'!F734, Data!F734, "ERROR")</f>
        <v>1</v>
      </c>
      <c r="G734" s="6" t="str">
        <f>IF(Data!G734 = 'Point Intercept 2'!G734, Data!G734, "ERROR")</f>
        <v>SS</v>
      </c>
      <c r="H734" s="6">
        <f>IF(Data!I734 = 'Point Intercept 2'!I734, Data!I734, "ERROR")</f>
        <v>7</v>
      </c>
      <c r="I734" s="6">
        <f>IF(Data!H734 = 'Point Intercept 2'!H734, Data!H734, "ERROR")</f>
        <v>2</v>
      </c>
      <c r="J734" s="6">
        <f>IF(Data!J734 = 'Point Intercept 2'!J734, Data!J734, "ERROR")</f>
        <v>4</v>
      </c>
      <c r="K734" s="6" t="str">
        <f>IF(Data!K734 = 'Point Intercept 2'!K734, Data!K734, "ERROR")</f>
        <v>BROMAD</v>
      </c>
      <c r="L734" s="6" t="str">
        <f>IF(Data!L734 = 'Point Intercept 2'!L734, Data!L734, "ERROR")</f>
        <v>Bromus madritensis</v>
      </c>
    </row>
    <row r="735" spans="1:12" x14ac:dyDescent="0.25">
      <c r="A735" s="6">
        <f>IF(Data!A735 = 'Point Intercept 2'!A735, Data!A735, "ERROR")</f>
        <v>8</v>
      </c>
      <c r="B735" s="6">
        <f>IF(Data!B735 = 'Point Intercept 2'!B735, Data!B735, "ERROR")</f>
        <v>2025</v>
      </c>
      <c r="C735" s="8">
        <f>IF(Data!C735 = 'Point Intercept 2'!C735, Data!C735, "ERROR")</f>
        <v>45764</v>
      </c>
      <c r="D735" s="6" t="str">
        <f>IF(Data!D735 = 'Point Intercept 2'!D735, Data!D735, "ERROR")</f>
        <v>TL, BN, JR, AA</v>
      </c>
      <c r="E735" s="6" t="str">
        <f>IF(Data!E735 = 'Point Intercept 2'!E735, Data!E735, "ERROR")</f>
        <v>VB</v>
      </c>
      <c r="F735" s="6">
        <f>IF(Data!F735 = 'Point Intercept 2'!F735, Data!F735, "ERROR")</f>
        <v>1</v>
      </c>
      <c r="G735" s="6" t="str">
        <f>IF(Data!G735 = 'Point Intercept 2'!G735, Data!G735, "ERROR")</f>
        <v>SS</v>
      </c>
      <c r="H735" s="6">
        <f>IF(Data!I735 = 'Point Intercept 2'!I735, Data!I735, "ERROR")</f>
        <v>8</v>
      </c>
      <c r="I735" s="6">
        <f>IF(Data!H735 = 'Point Intercept 2'!H735, Data!H735, "ERROR")</f>
        <v>2</v>
      </c>
      <c r="J735" s="6">
        <f>IF(Data!J735 = 'Point Intercept 2'!J735, Data!J735, "ERROR")</f>
        <v>5</v>
      </c>
      <c r="K735" s="6" t="str">
        <f>IF(Data!K735 = 'Point Intercept 2'!K735, Data!K735, "ERROR")</f>
        <v>L</v>
      </c>
      <c r="L735" s="6" t="str">
        <f>IF(Data!L735 = 'Point Intercept 2'!L735, Data!L735, "ERROR")</f>
        <v>Litter</v>
      </c>
    </row>
    <row r="736" spans="1:12" x14ac:dyDescent="0.25">
      <c r="A736" s="6">
        <f>IF(Data!A736 = 'Point Intercept 2'!A736, Data!A736, "ERROR")</f>
        <v>8</v>
      </c>
      <c r="B736" s="6">
        <f>IF(Data!B736 = 'Point Intercept 2'!B736, Data!B736, "ERROR")</f>
        <v>2025</v>
      </c>
      <c r="C736" s="8">
        <f>IF(Data!C736 = 'Point Intercept 2'!C736, Data!C736, "ERROR")</f>
        <v>45764</v>
      </c>
      <c r="D736" s="6" t="str">
        <f>IF(Data!D736 = 'Point Intercept 2'!D736, Data!D736, "ERROR")</f>
        <v>TL, BN, JR, AA</v>
      </c>
      <c r="E736" s="6" t="str">
        <f>IF(Data!E736 = 'Point Intercept 2'!E736, Data!E736, "ERROR")</f>
        <v>VB</v>
      </c>
      <c r="F736" s="6">
        <f>IF(Data!F736 = 'Point Intercept 2'!F736, Data!F736, "ERROR")</f>
        <v>1</v>
      </c>
      <c r="G736" s="6" t="str">
        <f>IF(Data!G736 = 'Point Intercept 2'!G736, Data!G736, "ERROR")</f>
        <v>SS</v>
      </c>
      <c r="H736" s="6">
        <f>IF(Data!I736 = 'Point Intercept 2'!I736, Data!I736, "ERROR")</f>
        <v>8</v>
      </c>
      <c r="I736" s="6">
        <f>IF(Data!H736 = 'Point Intercept 2'!H736, Data!H736, "ERROR")</f>
        <v>2</v>
      </c>
      <c r="J736" s="6">
        <f>IF(Data!J736 = 'Point Intercept 2'!J736, Data!J736, "ERROR")</f>
        <v>5</v>
      </c>
      <c r="K736" s="6" t="str">
        <f>IF(Data!K736 = 'Point Intercept 2'!K736, Data!K736, "ERROR")</f>
        <v>DEIFAS</v>
      </c>
      <c r="L736" s="6" t="str">
        <f>IF(Data!L736 = 'Point Intercept 2'!L736, Data!L736, "ERROR")</f>
        <v>Deinandra fasciculata</v>
      </c>
    </row>
    <row r="737" spans="1:12" x14ac:dyDescent="0.25">
      <c r="A737" s="6">
        <f>IF(Data!A737 = 'Point Intercept 2'!A737, Data!A737, "ERROR")</f>
        <v>8</v>
      </c>
      <c r="B737" s="6">
        <f>IF(Data!B737 = 'Point Intercept 2'!B737, Data!B737, "ERROR")</f>
        <v>2025</v>
      </c>
      <c r="C737" s="8">
        <f>IF(Data!C737 = 'Point Intercept 2'!C737, Data!C737, "ERROR")</f>
        <v>45764</v>
      </c>
      <c r="D737" s="6" t="str">
        <f>IF(Data!D737 = 'Point Intercept 2'!D737, Data!D737, "ERROR")</f>
        <v>TL, BN, JR, AA</v>
      </c>
      <c r="E737" s="6" t="str">
        <f>IF(Data!E737 = 'Point Intercept 2'!E737, Data!E737, "ERROR")</f>
        <v>VB</v>
      </c>
      <c r="F737" s="6">
        <f>IF(Data!F737 = 'Point Intercept 2'!F737, Data!F737, "ERROR")</f>
        <v>1</v>
      </c>
      <c r="G737" s="6" t="str">
        <f>IF(Data!G737 = 'Point Intercept 2'!G737, Data!G737, "ERROR")</f>
        <v>SS</v>
      </c>
      <c r="H737" s="6">
        <f>IF(Data!I737 = 'Point Intercept 2'!I737, Data!I737, "ERROR")</f>
        <v>8</v>
      </c>
      <c r="I737" s="6">
        <f>IF(Data!H737 = 'Point Intercept 2'!H737, Data!H737, "ERROR")</f>
        <v>2</v>
      </c>
      <c r="J737" s="6">
        <f>IF(Data!J737 = 'Point Intercept 2'!J737, Data!J737, "ERROR")</f>
        <v>5</v>
      </c>
      <c r="K737" s="6" t="str">
        <f>IF(Data!K737 = 'Point Intercept 2'!K737, Data!K737, "ERROR")</f>
        <v>BROMAD</v>
      </c>
      <c r="L737" s="6" t="str">
        <f>IF(Data!L737 = 'Point Intercept 2'!L737, Data!L737, "ERROR")</f>
        <v>Bromus madritensis</v>
      </c>
    </row>
    <row r="738" spans="1:12" x14ac:dyDescent="0.25">
      <c r="A738" s="6">
        <f>IF(Data!A738 = 'Point Intercept 2'!A738, Data!A738, "ERROR")</f>
        <v>8</v>
      </c>
      <c r="B738" s="6">
        <f>IF(Data!B738 = 'Point Intercept 2'!B738, Data!B738, "ERROR")</f>
        <v>2025</v>
      </c>
      <c r="C738" s="8">
        <f>IF(Data!C738 = 'Point Intercept 2'!C738, Data!C738, "ERROR")</f>
        <v>45764</v>
      </c>
      <c r="D738" s="6" t="str">
        <f>IF(Data!D738 = 'Point Intercept 2'!D738, Data!D738, "ERROR")</f>
        <v>TL, BN, JR, AA</v>
      </c>
      <c r="E738" s="6" t="str">
        <f>IF(Data!E738 = 'Point Intercept 2'!E738, Data!E738, "ERROR")</f>
        <v>VB</v>
      </c>
      <c r="F738" s="6">
        <f>IF(Data!F738 = 'Point Intercept 2'!F738, Data!F738, "ERROR")</f>
        <v>1</v>
      </c>
      <c r="G738" s="6" t="str">
        <f>IF(Data!G738 = 'Point Intercept 2'!G738, Data!G738, "ERROR")</f>
        <v>SS</v>
      </c>
      <c r="H738" s="6">
        <f>IF(Data!I738 = 'Point Intercept 2'!I738, Data!I738, "ERROR")</f>
        <v>9</v>
      </c>
      <c r="I738" s="6">
        <f>IF(Data!H738 = 'Point Intercept 2'!H738, Data!H738, "ERROR")</f>
        <v>2</v>
      </c>
      <c r="J738" s="6">
        <f>IF(Data!J738 = 'Point Intercept 2'!J738, Data!J738, "ERROR")</f>
        <v>7</v>
      </c>
      <c r="K738" s="6" t="str">
        <f>IF(Data!K738 = 'Point Intercept 2'!K738, Data!K738, "ERROR")</f>
        <v>L</v>
      </c>
      <c r="L738" s="6" t="str">
        <f>IF(Data!L738 = 'Point Intercept 2'!L738, Data!L738, "ERROR")</f>
        <v>Litter</v>
      </c>
    </row>
    <row r="739" spans="1:12" x14ac:dyDescent="0.25">
      <c r="A739" s="6">
        <f>IF(Data!A739 = 'Point Intercept 2'!A739, Data!A739, "ERROR")</f>
        <v>8</v>
      </c>
      <c r="B739" s="6">
        <f>IF(Data!B739 = 'Point Intercept 2'!B739, Data!B739, "ERROR")</f>
        <v>2025</v>
      </c>
      <c r="C739" s="8">
        <f>IF(Data!C739 = 'Point Intercept 2'!C739, Data!C739, "ERROR")</f>
        <v>45764</v>
      </c>
      <c r="D739" s="6" t="str">
        <f>IF(Data!D739 = 'Point Intercept 2'!D739, Data!D739, "ERROR")</f>
        <v>TL, BN, JR, AA</v>
      </c>
      <c r="E739" s="6" t="str">
        <f>IF(Data!E739 = 'Point Intercept 2'!E739, Data!E739, "ERROR")</f>
        <v>VB</v>
      </c>
      <c r="F739" s="6">
        <f>IF(Data!F739 = 'Point Intercept 2'!F739, Data!F739, "ERROR")</f>
        <v>1</v>
      </c>
      <c r="G739" s="6" t="str">
        <f>IF(Data!G739 = 'Point Intercept 2'!G739, Data!G739, "ERROR")</f>
        <v>SS</v>
      </c>
      <c r="H739" s="6">
        <f>IF(Data!I739 = 'Point Intercept 2'!I739, Data!I739, "ERROR")</f>
        <v>9</v>
      </c>
      <c r="I739" s="6">
        <f>IF(Data!H739 = 'Point Intercept 2'!H739, Data!H739, "ERROR")</f>
        <v>2</v>
      </c>
      <c r="J739" s="6">
        <f>IF(Data!J739 = 'Point Intercept 2'!J739, Data!J739, "ERROR")</f>
        <v>7</v>
      </c>
      <c r="K739" s="6" t="str">
        <f>IF(Data!K739 = 'Point Intercept 2'!K739, Data!K739, "ERROR")</f>
        <v>DEIFAS</v>
      </c>
      <c r="L739" s="6" t="str">
        <f>IF(Data!L739 = 'Point Intercept 2'!L739, Data!L739, "ERROR")</f>
        <v>Deinandra fasciculata</v>
      </c>
    </row>
    <row r="740" spans="1:12" x14ac:dyDescent="0.25">
      <c r="A740" s="6">
        <f>IF(Data!A740 = 'Point Intercept 2'!A740, Data!A740, "ERROR")</f>
        <v>8</v>
      </c>
      <c r="B740" s="6">
        <f>IF(Data!B740 = 'Point Intercept 2'!B740, Data!B740, "ERROR")</f>
        <v>2025</v>
      </c>
      <c r="C740" s="8">
        <f>IF(Data!C740 = 'Point Intercept 2'!C740, Data!C740, "ERROR")</f>
        <v>45764</v>
      </c>
      <c r="D740" s="6" t="str">
        <f>IF(Data!D740 = 'Point Intercept 2'!D740, Data!D740, "ERROR")</f>
        <v>TL, BN, JR, AA</v>
      </c>
      <c r="E740" s="6" t="str">
        <f>IF(Data!E740 = 'Point Intercept 2'!E740, Data!E740, "ERROR")</f>
        <v>VB</v>
      </c>
      <c r="F740" s="6">
        <f>IF(Data!F740 = 'Point Intercept 2'!F740, Data!F740, "ERROR")</f>
        <v>1</v>
      </c>
      <c r="G740" s="6" t="str">
        <f>IF(Data!G740 = 'Point Intercept 2'!G740, Data!G740, "ERROR")</f>
        <v>SS</v>
      </c>
      <c r="H740" s="6">
        <f>IF(Data!I740 = 'Point Intercept 2'!I740, Data!I740, "ERROR")</f>
        <v>9</v>
      </c>
      <c r="I740" s="6">
        <f>IF(Data!H740 = 'Point Intercept 2'!H740, Data!H740, "ERROR")</f>
        <v>2</v>
      </c>
      <c r="J740" s="6">
        <f>IF(Data!J740 = 'Point Intercept 2'!J740, Data!J740, "ERROR")</f>
        <v>7</v>
      </c>
      <c r="K740" s="6" t="str">
        <f>IF(Data!K740 = 'Point Intercept 2'!K740, Data!K740, "ERROR")</f>
        <v>UROLIN</v>
      </c>
      <c r="L740" s="6" t="str">
        <f>IF(Data!L740 = 'Point Intercept 2'!L740, Data!L740, "ERROR")</f>
        <v>Uropappus lindleyi</v>
      </c>
    </row>
    <row r="741" spans="1:12" x14ac:dyDescent="0.25">
      <c r="A741" s="6">
        <f>IF(Data!A741 = 'Point Intercept 2'!A741, Data!A741, "ERROR")</f>
        <v>8</v>
      </c>
      <c r="B741" s="6">
        <f>IF(Data!B741 = 'Point Intercept 2'!B741, Data!B741, "ERROR")</f>
        <v>2025</v>
      </c>
      <c r="C741" s="8">
        <f>IF(Data!C741 = 'Point Intercept 2'!C741, Data!C741, "ERROR")</f>
        <v>45764</v>
      </c>
      <c r="D741" s="6" t="str">
        <f>IF(Data!D741 = 'Point Intercept 2'!D741, Data!D741, "ERROR")</f>
        <v>TL, BN, JR, AA</v>
      </c>
      <c r="E741" s="6" t="str">
        <f>IF(Data!E741 = 'Point Intercept 2'!E741, Data!E741, "ERROR")</f>
        <v>VB</v>
      </c>
      <c r="F741" s="6">
        <f>IF(Data!F741 = 'Point Intercept 2'!F741, Data!F741, "ERROR")</f>
        <v>1</v>
      </c>
      <c r="G741" s="6" t="str">
        <f>IF(Data!G741 = 'Point Intercept 2'!G741, Data!G741, "ERROR")</f>
        <v>SS</v>
      </c>
      <c r="H741" s="6">
        <f>IF(Data!I741 = 'Point Intercept 2'!I741, Data!I741, "ERROR")</f>
        <v>9</v>
      </c>
      <c r="I741" s="6">
        <f>IF(Data!H741 = 'Point Intercept 2'!H741, Data!H741, "ERROR")</f>
        <v>2</v>
      </c>
      <c r="J741" s="6">
        <f>IF(Data!J741 = 'Point Intercept 2'!J741, Data!J741, "ERROR")</f>
        <v>7</v>
      </c>
      <c r="K741" s="6" t="str">
        <f>IF(Data!K741 = 'Point Intercept 2'!K741, Data!K741, "ERROR")</f>
        <v>SONOLE</v>
      </c>
      <c r="L741" s="6" t="str">
        <f>IF(Data!L741 = 'Point Intercept 2'!L741, Data!L741, "ERROR")</f>
        <v>Sonchus oleraceus</v>
      </c>
    </row>
    <row r="742" spans="1:12" x14ac:dyDescent="0.25">
      <c r="A742" s="6">
        <f>IF(Data!A742 = 'Point Intercept 2'!A742, Data!A742, "ERROR")</f>
        <v>8</v>
      </c>
      <c r="B742" s="6">
        <f>IF(Data!B742 = 'Point Intercept 2'!B742, Data!B742, "ERROR")</f>
        <v>2025</v>
      </c>
      <c r="C742" s="8">
        <f>IF(Data!C742 = 'Point Intercept 2'!C742, Data!C742, "ERROR")</f>
        <v>45764</v>
      </c>
      <c r="D742" s="6" t="str">
        <f>IF(Data!D742 = 'Point Intercept 2'!D742, Data!D742, "ERROR")</f>
        <v>TL, BN, JR, AA</v>
      </c>
      <c r="E742" s="6" t="str">
        <f>IF(Data!E742 = 'Point Intercept 2'!E742, Data!E742, "ERROR")</f>
        <v>VB</v>
      </c>
      <c r="F742" s="6">
        <f>IF(Data!F742 = 'Point Intercept 2'!F742, Data!F742, "ERROR")</f>
        <v>1</v>
      </c>
      <c r="G742" s="6" t="str">
        <f>IF(Data!G742 = 'Point Intercept 2'!G742, Data!G742, "ERROR")</f>
        <v>SS</v>
      </c>
      <c r="H742" s="6">
        <f>IF(Data!I742 = 'Point Intercept 2'!I742, Data!I742, "ERROR")</f>
        <v>10</v>
      </c>
      <c r="I742" s="6">
        <f>IF(Data!H742 = 'Point Intercept 2'!H742, Data!H742, "ERROR")</f>
        <v>2</v>
      </c>
      <c r="J742" s="6">
        <f>IF(Data!J742 = 'Point Intercept 2'!J742, Data!J742, "ERROR")</f>
        <v>8</v>
      </c>
      <c r="K742" s="6" t="str">
        <f>IF(Data!K742 = 'Point Intercept 2'!K742, Data!K742, "ERROR")</f>
        <v>L</v>
      </c>
      <c r="L742" s="6" t="str">
        <f>IF(Data!L742 = 'Point Intercept 2'!L742, Data!L742, "ERROR")</f>
        <v>Litter</v>
      </c>
    </row>
    <row r="743" spans="1:12" x14ac:dyDescent="0.25">
      <c r="A743" s="6">
        <f>IF(Data!A743 = 'Point Intercept 2'!A743, Data!A743, "ERROR")</f>
        <v>8</v>
      </c>
      <c r="B743" s="6">
        <f>IF(Data!B743 = 'Point Intercept 2'!B743, Data!B743, "ERROR")</f>
        <v>2025</v>
      </c>
      <c r="C743" s="8">
        <f>IF(Data!C743 = 'Point Intercept 2'!C743, Data!C743, "ERROR")</f>
        <v>45764</v>
      </c>
      <c r="D743" s="6" t="str">
        <f>IF(Data!D743 = 'Point Intercept 2'!D743, Data!D743, "ERROR")</f>
        <v>TL, BN, JR, AA</v>
      </c>
      <c r="E743" s="6" t="str">
        <f>IF(Data!E743 = 'Point Intercept 2'!E743, Data!E743, "ERROR")</f>
        <v>VB</v>
      </c>
      <c r="F743" s="6">
        <f>IF(Data!F743 = 'Point Intercept 2'!F743, Data!F743, "ERROR")</f>
        <v>1</v>
      </c>
      <c r="G743" s="6" t="str">
        <f>IF(Data!G743 = 'Point Intercept 2'!G743, Data!G743, "ERROR")</f>
        <v>SS</v>
      </c>
      <c r="H743" s="6">
        <f>IF(Data!I743 = 'Point Intercept 2'!I743, Data!I743, "ERROR")</f>
        <v>10</v>
      </c>
      <c r="I743" s="6">
        <f>IF(Data!H743 = 'Point Intercept 2'!H743, Data!H743, "ERROR")</f>
        <v>2</v>
      </c>
      <c r="J743" s="6">
        <f>IF(Data!J743 = 'Point Intercept 2'!J743, Data!J743, "ERROR")</f>
        <v>8</v>
      </c>
      <c r="K743" s="6" t="str">
        <f>IF(Data!K743 = 'Point Intercept 2'!K743, Data!K743, "ERROR")</f>
        <v>DEIFAS</v>
      </c>
      <c r="L743" s="6" t="str">
        <f>IF(Data!L743 = 'Point Intercept 2'!L743, Data!L743, "ERROR")</f>
        <v>Deinandra fasciculata</v>
      </c>
    </row>
    <row r="744" spans="1:12" x14ac:dyDescent="0.25">
      <c r="A744" s="6">
        <f>IF(Data!A744 = 'Point Intercept 2'!A744, Data!A744, "ERROR")</f>
        <v>8</v>
      </c>
      <c r="B744" s="6">
        <f>IF(Data!B744 = 'Point Intercept 2'!B744, Data!B744, "ERROR")</f>
        <v>2025</v>
      </c>
      <c r="C744" s="8">
        <f>IF(Data!C744 = 'Point Intercept 2'!C744, Data!C744, "ERROR")</f>
        <v>45764</v>
      </c>
      <c r="D744" s="6" t="str">
        <f>IF(Data!D744 = 'Point Intercept 2'!D744, Data!D744, "ERROR")</f>
        <v>TL, BN, JR, AA</v>
      </c>
      <c r="E744" s="6" t="str">
        <f>IF(Data!E744 = 'Point Intercept 2'!E744, Data!E744, "ERROR")</f>
        <v>VB</v>
      </c>
      <c r="F744" s="6">
        <f>IF(Data!F744 = 'Point Intercept 2'!F744, Data!F744, "ERROR")</f>
        <v>1</v>
      </c>
      <c r="G744" s="6" t="str">
        <f>IF(Data!G744 = 'Point Intercept 2'!G744, Data!G744, "ERROR")</f>
        <v>SS</v>
      </c>
      <c r="H744" s="6">
        <f>IF(Data!I744 = 'Point Intercept 2'!I744, Data!I744, "ERROR")</f>
        <v>10</v>
      </c>
      <c r="I744" s="6">
        <f>IF(Data!H744 = 'Point Intercept 2'!H744, Data!H744, "ERROR")</f>
        <v>2</v>
      </c>
      <c r="J744" s="6">
        <f>IF(Data!J744 = 'Point Intercept 2'!J744, Data!J744, "ERROR")</f>
        <v>8</v>
      </c>
      <c r="K744" s="6" t="str">
        <f>IF(Data!K744 = 'Point Intercept 2'!K744, Data!K744, "ERROR")</f>
        <v>CRYINT</v>
      </c>
      <c r="L744" s="6" t="str">
        <f>IF(Data!L744 = 'Point Intercept 2'!L744, Data!L744, "ERROR")</f>
        <v>Cryptantha intermedia</v>
      </c>
    </row>
    <row r="745" spans="1:12" x14ac:dyDescent="0.25">
      <c r="A745" s="6">
        <f>IF(Data!A745 = 'Point Intercept 2'!A745, Data!A745, "ERROR")</f>
        <v>8</v>
      </c>
      <c r="B745" s="6">
        <f>IF(Data!B745 = 'Point Intercept 2'!B745, Data!B745, "ERROR")</f>
        <v>2025</v>
      </c>
      <c r="C745" s="8">
        <f>IF(Data!C745 = 'Point Intercept 2'!C745, Data!C745, "ERROR")</f>
        <v>45764</v>
      </c>
      <c r="D745" s="6" t="str">
        <f>IF(Data!D745 = 'Point Intercept 2'!D745, Data!D745, "ERROR")</f>
        <v>TL, BN, JR, AA</v>
      </c>
      <c r="E745" s="6" t="str">
        <f>IF(Data!E745 = 'Point Intercept 2'!E745, Data!E745, "ERROR")</f>
        <v>VB</v>
      </c>
      <c r="F745" s="6">
        <f>IF(Data!F745 = 'Point Intercept 2'!F745, Data!F745, "ERROR")</f>
        <v>1</v>
      </c>
      <c r="G745" s="6" t="str">
        <f>IF(Data!G745 = 'Point Intercept 2'!G745, Data!G745, "ERROR")</f>
        <v>SS</v>
      </c>
      <c r="H745" s="6">
        <f>IF(Data!I745 = 'Point Intercept 2'!I745, Data!I745, "ERROR")</f>
        <v>11</v>
      </c>
      <c r="I745" s="6">
        <f>IF(Data!H745 = 'Point Intercept 2'!H745, Data!H745, "ERROR")</f>
        <v>2</v>
      </c>
      <c r="J745" s="6">
        <f>IF(Data!J745 = 'Point Intercept 2'!J745, Data!J745, "ERROR")</f>
        <v>8.5</v>
      </c>
      <c r="K745" s="6" t="str">
        <f>IF(Data!K745 = 'Point Intercept 2'!K745, Data!K745, "ERROR")</f>
        <v>L</v>
      </c>
      <c r="L745" s="6" t="str">
        <f>IF(Data!L745 = 'Point Intercept 2'!L745, Data!L745, "ERROR")</f>
        <v>Litter</v>
      </c>
    </row>
    <row r="746" spans="1:12" x14ac:dyDescent="0.25">
      <c r="A746" s="6">
        <f>IF(Data!A746 = 'Point Intercept 2'!A746, Data!A746, "ERROR")</f>
        <v>8</v>
      </c>
      <c r="B746" s="6">
        <f>IF(Data!B746 = 'Point Intercept 2'!B746, Data!B746, "ERROR")</f>
        <v>2025</v>
      </c>
      <c r="C746" s="8">
        <f>IF(Data!C746 = 'Point Intercept 2'!C746, Data!C746, "ERROR")</f>
        <v>45764</v>
      </c>
      <c r="D746" s="6" t="str">
        <f>IF(Data!D746 = 'Point Intercept 2'!D746, Data!D746, "ERROR")</f>
        <v>TL, BN, JR, AA</v>
      </c>
      <c r="E746" s="6" t="str">
        <f>IF(Data!E746 = 'Point Intercept 2'!E746, Data!E746, "ERROR")</f>
        <v>VB</v>
      </c>
      <c r="F746" s="6">
        <f>IF(Data!F746 = 'Point Intercept 2'!F746, Data!F746, "ERROR")</f>
        <v>1</v>
      </c>
      <c r="G746" s="6" t="str">
        <f>IF(Data!G746 = 'Point Intercept 2'!G746, Data!G746, "ERROR")</f>
        <v>SS</v>
      </c>
      <c r="H746" s="6">
        <f>IF(Data!I746 = 'Point Intercept 2'!I746, Data!I746, "ERROR")</f>
        <v>11</v>
      </c>
      <c r="I746" s="6">
        <f>IF(Data!H746 = 'Point Intercept 2'!H746, Data!H746, "ERROR")</f>
        <v>2</v>
      </c>
      <c r="J746" s="6">
        <f>IF(Data!J746 = 'Point Intercept 2'!J746, Data!J746, "ERROR")</f>
        <v>8.5</v>
      </c>
      <c r="K746" s="6" t="str">
        <f>IF(Data!K746 = 'Point Intercept 2'!K746, Data!K746, "ERROR")</f>
        <v>DEIFAS</v>
      </c>
      <c r="L746" s="6" t="str">
        <f>IF(Data!L746 = 'Point Intercept 2'!L746, Data!L746, "ERROR")</f>
        <v>Deinandra fasciculata</v>
      </c>
    </row>
    <row r="747" spans="1:12" x14ac:dyDescent="0.25">
      <c r="A747" s="6">
        <f>IF(Data!A747 = 'Point Intercept 2'!A747, Data!A747, "ERROR")</f>
        <v>8</v>
      </c>
      <c r="B747" s="6">
        <f>IF(Data!B747 = 'Point Intercept 2'!B747, Data!B747, "ERROR")</f>
        <v>2025</v>
      </c>
      <c r="C747" s="8">
        <f>IF(Data!C747 = 'Point Intercept 2'!C747, Data!C747, "ERROR")</f>
        <v>45764</v>
      </c>
      <c r="D747" s="6" t="str">
        <f>IF(Data!D747 = 'Point Intercept 2'!D747, Data!D747, "ERROR")</f>
        <v>TL, BN, JR, AA</v>
      </c>
      <c r="E747" s="6" t="str">
        <f>IF(Data!E747 = 'Point Intercept 2'!E747, Data!E747, "ERROR")</f>
        <v>VB</v>
      </c>
      <c r="F747" s="6">
        <f>IF(Data!F747 = 'Point Intercept 2'!F747, Data!F747, "ERROR")</f>
        <v>1</v>
      </c>
      <c r="G747" s="6" t="str">
        <f>IF(Data!G747 = 'Point Intercept 2'!G747, Data!G747, "ERROR")</f>
        <v>SS</v>
      </c>
      <c r="H747" s="6">
        <f>IF(Data!I747 = 'Point Intercept 2'!I747, Data!I747, "ERROR")</f>
        <v>12</v>
      </c>
      <c r="I747" s="6">
        <f>IF(Data!H747 = 'Point Intercept 2'!H747, Data!H747, "ERROR")</f>
        <v>2</v>
      </c>
      <c r="J747" s="6">
        <f>IF(Data!J747 = 'Point Intercept 2'!J747, Data!J747, "ERROR")</f>
        <v>9</v>
      </c>
      <c r="K747" s="6" t="str">
        <f>IF(Data!K747 = 'Point Intercept 2'!K747, Data!K747, "ERROR")</f>
        <v>L</v>
      </c>
      <c r="L747" s="6" t="str">
        <f>IF(Data!L747 = 'Point Intercept 2'!L747, Data!L747, "ERROR")</f>
        <v>Litter</v>
      </c>
    </row>
    <row r="748" spans="1:12" x14ac:dyDescent="0.25">
      <c r="A748" s="6">
        <f>IF(Data!A748 = 'Point Intercept 2'!A748, Data!A748, "ERROR")</f>
        <v>8</v>
      </c>
      <c r="B748" s="6">
        <f>IF(Data!B748 = 'Point Intercept 2'!B748, Data!B748, "ERROR")</f>
        <v>2025</v>
      </c>
      <c r="C748" s="8">
        <f>IF(Data!C748 = 'Point Intercept 2'!C748, Data!C748, "ERROR")</f>
        <v>45764</v>
      </c>
      <c r="D748" s="6" t="str">
        <f>IF(Data!D748 = 'Point Intercept 2'!D748, Data!D748, "ERROR")</f>
        <v>TL, BN, JR, AA</v>
      </c>
      <c r="E748" s="6" t="str">
        <f>IF(Data!E748 = 'Point Intercept 2'!E748, Data!E748, "ERROR")</f>
        <v>VB</v>
      </c>
      <c r="F748" s="6">
        <f>IF(Data!F748 = 'Point Intercept 2'!F748, Data!F748, "ERROR")</f>
        <v>1</v>
      </c>
      <c r="G748" s="6" t="str">
        <f>IF(Data!G748 = 'Point Intercept 2'!G748, Data!G748, "ERROR")</f>
        <v>SS</v>
      </c>
      <c r="H748" s="6">
        <f>IF(Data!I748 = 'Point Intercept 2'!I748, Data!I748, "ERROR")</f>
        <v>12</v>
      </c>
      <c r="I748" s="6">
        <f>IF(Data!H748 = 'Point Intercept 2'!H748, Data!H748, "ERROR")</f>
        <v>2</v>
      </c>
      <c r="J748" s="6">
        <f>IF(Data!J748 = 'Point Intercept 2'!J748, Data!J748, "ERROR")</f>
        <v>9</v>
      </c>
      <c r="K748" s="6" t="str">
        <f>IF(Data!K748 = 'Point Intercept 2'!K748, Data!K748, "ERROR")</f>
        <v>SONASP</v>
      </c>
      <c r="L748" s="6" t="str">
        <f>IF(Data!L748 = 'Point Intercept 2'!L748, Data!L748, "ERROR")</f>
        <v>Sonchus asper</v>
      </c>
    </row>
    <row r="749" spans="1:12" x14ac:dyDescent="0.25">
      <c r="A749" s="6">
        <f>IF(Data!A749 = 'Point Intercept 2'!A749, Data!A749, "ERROR")</f>
        <v>8</v>
      </c>
      <c r="B749" s="6">
        <f>IF(Data!B749 = 'Point Intercept 2'!B749, Data!B749, "ERROR")</f>
        <v>2025</v>
      </c>
      <c r="C749" s="8">
        <f>IF(Data!C749 = 'Point Intercept 2'!C749, Data!C749, "ERROR")</f>
        <v>45764</v>
      </c>
      <c r="D749" s="6" t="str">
        <f>IF(Data!D749 = 'Point Intercept 2'!D749, Data!D749, "ERROR")</f>
        <v>TL, BN, JR, AA</v>
      </c>
      <c r="E749" s="6" t="str">
        <f>IF(Data!E749 = 'Point Intercept 2'!E749, Data!E749, "ERROR")</f>
        <v>VB</v>
      </c>
      <c r="F749" s="6">
        <f>IF(Data!F749 = 'Point Intercept 2'!F749, Data!F749, "ERROR")</f>
        <v>1</v>
      </c>
      <c r="G749" s="6" t="str">
        <f>IF(Data!G749 = 'Point Intercept 2'!G749, Data!G749, "ERROR")</f>
        <v>SS</v>
      </c>
      <c r="H749" s="6">
        <f>IF(Data!I749 = 'Point Intercept 2'!I749, Data!I749, "ERROR")</f>
        <v>12</v>
      </c>
      <c r="I749" s="6">
        <f>IF(Data!H749 = 'Point Intercept 2'!H749, Data!H749, "ERROR")</f>
        <v>2</v>
      </c>
      <c r="J749" s="6">
        <f>IF(Data!J749 = 'Point Intercept 2'!J749, Data!J749, "ERROR")</f>
        <v>9</v>
      </c>
      <c r="K749" s="6" t="str">
        <f>IF(Data!K749 = 'Point Intercept 2'!K749, Data!K749, "ERROR")</f>
        <v>DEIFAS</v>
      </c>
      <c r="L749" s="6" t="str">
        <f>IF(Data!L749 = 'Point Intercept 2'!L749, Data!L749, "ERROR")</f>
        <v>Deinandra fasciculata</v>
      </c>
    </row>
    <row r="750" spans="1:12" x14ac:dyDescent="0.25">
      <c r="A750" s="6">
        <f>IF(Data!A750 = 'Point Intercept 2'!A750, Data!A750, "ERROR")</f>
        <v>8</v>
      </c>
      <c r="B750" s="6">
        <f>IF(Data!B750 = 'Point Intercept 2'!B750, Data!B750, "ERROR")</f>
        <v>2025</v>
      </c>
      <c r="C750" s="8">
        <f>IF(Data!C750 = 'Point Intercept 2'!C750, Data!C750, "ERROR")</f>
        <v>45764</v>
      </c>
      <c r="D750" s="6" t="str">
        <f>IF(Data!D750 = 'Point Intercept 2'!D750, Data!D750, "ERROR")</f>
        <v>TL, BN, JR, AA</v>
      </c>
      <c r="E750" s="6" t="str">
        <f>IF(Data!E750 = 'Point Intercept 2'!E750, Data!E750, "ERROR")</f>
        <v>VB</v>
      </c>
      <c r="F750" s="6">
        <f>IF(Data!F750 = 'Point Intercept 2'!F750, Data!F750, "ERROR")</f>
        <v>1</v>
      </c>
      <c r="G750" s="6" t="str">
        <f>IF(Data!G750 = 'Point Intercept 2'!G750, Data!G750, "ERROR")</f>
        <v>SS</v>
      </c>
      <c r="H750" s="6">
        <f>IF(Data!I750 = 'Point Intercept 2'!I750, Data!I750, "ERROR")</f>
        <v>12</v>
      </c>
      <c r="I750" s="6">
        <f>IF(Data!H750 = 'Point Intercept 2'!H750, Data!H750, "ERROR")</f>
        <v>2</v>
      </c>
      <c r="J750" s="6">
        <f>IF(Data!J750 = 'Point Intercept 2'!J750, Data!J750, "ERROR")</f>
        <v>9</v>
      </c>
      <c r="K750" s="6" t="str">
        <f>IF(Data!K750 = 'Point Intercept 2'!K750, Data!K750, "ERROR")</f>
        <v>FESMYU</v>
      </c>
      <c r="L750" s="6" t="str">
        <f>IF(Data!L750 = 'Point Intercept 2'!L750, Data!L750, "ERROR")</f>
        <v>Festuca myuros</v>
      </c>
    </row>
    <row r="751" spans="1:12" x14ac:dyDescent="0.25">
      <c r="A751" s="6">
        <f>IF(Data!A751 = 'Point Intercept 2'!A751, Data!A751, "ERROR")</f>
        <v>8</v>
      </c>
      <c r="B751" s="6">
        <f>IF(Data!B751 = 'Point Intercept 2'!B751, Data!B751, "ERROR")</f>
        <v>2025</v>
      </c>
      <c r="C751" s="8">
        <f>IF(Data!C751 = 'Point Intercept 2'!C751, Data!C751, "ERROR")</f>
        <v>45764</v>
      </c>
      <c r="D751" s="6" t="str">
        <f>IF(Data!D751 = 'Point Intercept 2'!D751, Data!D751, "ERROR")</f>
        <v>TL, BN, JR, AA</v>
      </c>
      <c r="E751" s="6" t="str">
        <f>IF(Data!E751 = 'Point Intercept 2'!E751, Data!E751, "ERROR")</f>
        <v>VB</v>
      </c>
      <c r="F751" s="6">
        <f>IF(Data!F751 = 'Point Intercept 2'!F751, Data!F751, "ERROR")</f>
        <v>1</v>
      </c>
      <c r="G751" s="6" t="str">
        <f>IF(Data!G751 = 'Point Intercept 2'!G751, Data!G751, "ERROR")</f>
        <v>SS</v>
      </c>
      <c r="H751" s="6">
        <f>IF(Data!I751 = 'Point Intercept 2'!I751, Data!I751, "ERROR")</f>
        <v>13</v>
      </c>
      <c r="I751" s="6">
        <f>IF(Data!H751 = 'Point Intercept 2'!H751, Data!H751, "ERROR")</f>
        <v>2</v>
      </c>
      <c r="J751" s="6">
        <f>IF(Data!J751 = 'Point Intercept 2'!J751, Data!J751, "ERROR")</f>
        <v>10</v>
      </c>
      <c r="K751" s="6" t="str">
        <f>IF(Data!K751 = 'Point Intercept 2'!K751, Data!K751, "ERROR")</f>
        <v>L</v>
      </c>
      <c r="L751" s="6" t="str">
        <f>IF(Data!L751 = 'Point Intercept 2'!L751, Data!L751, "ERROR")</f>
        <v>Litter</v>
      </c>
    </row>
    <row r="752" spans="1:12" x14ac:dyDescent="0.25">
      <c r="A752" s="6">
        <f>IF(Data!A752 = 'Point Intercept 2'!A752, Data!A752, "ERROR")</f>
        <v>8</v>
      </c>
      <c r="B752" s="6">
        <f>IF(Data!B752 = 'Point Intercept 2'!B752, Data!B752, "ERROR")</f>
        <v>2025</v>
      </c>
      <c r="C752" s="8">
        <f>IF(Data!C752 = 'Point Intercept 2'!C752, Data!C752, "ERROR")</f>
        <v>45764</v>
      </c>
      <c r="D752" s="6" t="str">
        <f>IF(Data!D752 = 'Point Intercept 2'!D752, Data!D752, "ERROR")</f>
        <v>TL, BN, JR, AA</v>
      </c>
      <c r="E752" s="6" t="str">
        <f>IF(Data!E752 = 'Point Intercept 2'!E752, Data!E752, "ERROR")</f>
        <v>VB</v>
      </c>
      <c r="F752" s="6">
        <f>IF(Data!F752 = 'Point Intercept 2'!F752, Data!F752, "ERROR")</f>
        <v>1</v>
      </c>
      <c r="G752" s="6" t="str">
        <f>IF(Data!G752 = 'Point Intercept 2'!G752, Data!G752, "ERROR")</f>
        <v>SS</v>
      </c>
      <c r="H752" s="6">
        <f>IF(Data!I752 = 'Point Intercept 2'!I752, Data!I752, "ERROR")</f>
        <v>13</v>
      </c>
      <c r="I752" s="6">
        <f>IF(Data!H752 = 'Point Intercept 2'!H752, Data!H752, "ERROR")</f>
        <v>2</v>
      </c>
      <c r="J752" s="6">
        <f>IF(Data!J752 = 'Point Intercept 2'!J752, Data!J752, "ERROR")</f>
        <v>10</v>
      </c>
      <c r="K752" s="6" t="str">
        <f>IF(Data!K752 = 'Point Intercept 2'!K752, Data!K752, "ERROR")</f>
        <v>DEIFAS</v>
      </c>
      <c r="L752" s="6" t="str">
        <f>IF(Data!L752 = 'Point Intercept 2'!L752, Data!L752, "ERROR")</f>
        <v>Deinandra fasciculata</v>
      </c>
    </row>
    <row r="753" spans="1:12" x14ac:dyDescent="0.25">
      <c r="A753" s="6">
        <f>IF(Data!A753 = 'Point Intercept 2'!A753, Data!A753, "ERROR")</f>
        <v>8</v>
      </c>
      <c r="B753" s="6">
        <f>IF(Data!B753 = 'Point Intercept 2'!B753, Data!B753, "ERROR")</f>
        <v>2025</v>
      </c>
      <c r="C753" s="8">
        <f>IF(Data!C753 = 'Point Intercept 2'!C753, Data!C753, "ERROR")</f>
        <v>45764</v>
      </c>
      <c r="D753" s="6" t="str">
        <f>IF(Data!D753 = 'Point Intercept 2'!D753, Data!D753, "ERROR")</f>
        <v>TL, BN, JR, AA</v>
      </c>
      <c r="E753" s="6" t="str">
        <f>IF(Data!E753 = 'Point Intercept 2'!E753, Data!E753, "ERROR")</f>
        <v>VB</v>
      </c>
      <c r="F753" s="6">
        <f>IF(Data!F753 = 'Point Intercept 2'!F753, Data!F753, "ERROR")</f>
        <v>1</v>
      </c>
      <c r="G753" s="6" t="str">
        <f>IF(Data!G753 = 'Point Intercept 2'!G753, Data!G753, "ERROR")</f>
        <v>SS</v>
      </c>
      <c r="H753" s="6">
        <f>IF(Data!I753 = 'Point Intercept 2'!I753, Data!I753, "ERROR")</f>
        <v>13</v>
      </c>
      <c r="I753" s="6">
        <f>IF(Data!H753 = 'Point Intercept 2'!H753, Data!H753, "ERROR")</f>
        <v>2</v>
      </c>
      <c r="J753" s="6">
        <f>IF(Data!J753 = 'Point Intercept 2'!J753, Data!J753, "ERROR")</f>
        <v>10</v>
      </c>
      <c r="K753" s="6" t="str">
        <f>IF(Data!K753 = 'Point Intercept 2'!K753, Data!K753, "ERROR")</f>
        <v>FESMYU</v>
      </c>
      <c r="L753" s="6" t="str">
        <f>IF(Data!L753 = 'Point Intercept 2'!L753, Data!L753, "ERROR")</f>
        <v>Festuca myuros</v>
      </c>
    </row>
    <row r="754" spans="1:12" x14ac:dyDescent="0.25">
      <c r="A754" s="6">
        <f>IF(Data!A754 = 'Point Intercept 2'!A754, Data!A754, "ERROR")</f>
        <v>8</v>
      </c>
      <c r="B754" s="6">
        <f>IF(Data!B754 = 'Point Intercept 2'!B754, Data!B754, "ERROR")</f>
        <v>2025</v>
      </c>
      <c r="C754" s="8">
        <f>IF(Data!C754 = 'Point Intercept 2'!C754, Data!C754, "ERROR")</f>
        <v>45764</v>
      </c>
      <c r="D754" s="6" t="str">
        <f>IF(Data!D754 = 'Point Intercept 2'!D754, Data!D754, "ERROR")</f>
        <v>TL, BN, JR, AA</v>
      </c>
      <c r="E754" s="6" t="str">
        <f>IF(Data!E754 = 'Point Intercept 2'!E754, Data!E754, "ERROR")</f>
        <v>VB</v>
      </c>
      <c r="F754" s="6">
        <f>IF(Data!F754 = 'Point Intercept 2'!F754, Data!F754, "ERROR")</f>
        <v>1</v>
      </c>
      <c r="G754" s="6" t="str">
        <f>IF(Data!G754 = 'Point Intercept 2'!G754, Data!G754, "ERROR")</f>
        <v>SS</v>
      </c>
      <c r="H754" s="6">
        <f>IF(Data!I754 = 'Point Intercept 2'!I754, Data!I754, "ERROR")</f>
        <v>14</v>
      </c>
      <c r="I754" s="6">
        <f>IF(Data!H754 = 'Point Intercept 2'!H754, Data!H754, "ERROR")</f>
        <v>2</v>
      </c>
      <c r="J754" s="6">
        <f>IF(Data!J754 = 'Point Intercept 2'!J754, Data!J754, "ERROR")</f>
        <v>11</v>
      </c>
      <c r="K754" s="6" t="str">
        <f>IF(Data!K754 = 'Point Intercept 2'!K754, Data!K754, "ERROR")</f>
        <v>B</v>
      </c>
      <c r="L754" s="6" t="str">
        <f>IF(Data!L754 = 'Point Intercept 2'!L754, Data!L754, "ERROR")</f>
        <v>Bareground</v>
      </c>
    </row>
    <row r="755" spans="1:12" x14ac:dyDescent="0.25">
      <c r="A755" s="6">
        <f>IF(Data!A755 = 'Point Intercept 2'!A755, Data!A755, "ERROR")</f>
        <v>8</v>
      </c>
      <c r="B755" s="6">
        <f>IF(Data!B755 = 'Point Intercept 2'!B755, Data!B755, "ERROR")</f>
        <v>2025</v>
      </c>
      <c r="C755" s="8">
        <f>IF(Data!C755 = 'Point Intercept 2'!C755, Data!C755, "ERROR")</f>
        <v>45764</v>
      </c>
      <c r="D755" s="6" t="str">
        <f>IF(Data!D755 = 'Point Intercept 2'!D755, Data!D755, "ERROR")</f>
        <v>TL, BN, JR, AA</v>
      </c>
      <c r="E755" s="6" t="str">
        <f>IF(Data!E755 = 'Point Intercept 2'!E755, Data!E755, "ERROR")</f>
        <v>VB</v>
      </c>
      <c r="F755" s="6">
        <f>IF(Data!F755 = 'Point Intercept 2'!F755, Data!F755, "ERROR")</f>
        <v>1</v>
      </c>
      <c r="G755" s="6" t="str">
        <f>IF(Data!G755 = 'Point Intercept 2'!G755, Data!G755, "ERROR")</f>
        <v>SS</v>
      </c>
      <c r="H755" s="6">
        <f>IF(Data!I755 = 'Point Intercept 2'!I755, Data!I755, "ERROR")</f>
        <v>14</v>
      </c>
      <c r="I755" s="6">
        <f>IF(Data!H755 = 'Point Intercept 2'!H755, Data!H755, "ERROR")</f>
        <v>2</v>
      </c>
      <c r="J755" s="6">
        <f>IF(Data!J755 = 'Point Intercept 2'!J755, Data!J755, "ERROR")</f>
        <v>11</v>
      </c>
      <c r="K755" s="6" t="str">
        <f>IF(Data!K755 = 'Point Intercept 2'!K755, Data!K755, "ERROR")</f>
        <v>DEIFAS</v>
      </c>
      <c r="L755" s="6" t="str">
        <f>IF(Data!L755 = 'Point Intercept 2'!L755, Data!L755, "ERROR")</f>
        <v>Deinandra fasciculata</v>
      </c>
    </row>
    <row r="756" spans="1:12" x14ac:dyDescent="0.25">
      <c r="A756" s="6">
        <f>IF(Data!A756 = 'Point Intercept 2'!A756, Data!A756, "ERROR")</f>
        <v>8</v>
      </c>
      <c r="B756" s="6">
        <f>IF(Data!B756 = 'Point Intercept 2'!B756, Data!B756, "ERROR")</f>
        <v>2025</v>
      </c>
      <c r="C756" s="8">
        <f>IF(Data!C756 = 'Point Intercept 2'!C756, Data!C756, "ERROR")</f>
        <v>45764</v>
      </c>
      <c r="D756" s="6" t="str">
        <f>IF(Data!D756 = 'Point Intercept 2'!D756, Data!D756, "ERROR")</f>
        <v>TL, BN, JR, AA</v>
      </c>
      <c r="E756" s="6" t="str">
        <f>IF(Data!E756 = 'Point Intercept 2'!E756, Data!E756, "ERROR")</f>
        <v>VB</v>
      </c>
      <c r="F756" s="6">
        <f>IF(Data!F756 = 'Point Intercept 2'!F756, Data!F756, "ERROR")</f>
        <v>1</v>
      </c>
      <c r="G756" s="6" t="str">
        <f>IF(Data!G756 = 'Point Intercept 2'!G756, Data!G756, "ERROR")</f>
        <v>SS</v>
      </c>
      <c r="H756" s="6">
        <f>IF(Data!I756 = 'Point Intercept 2'!I756, Data!I756, "ERROR")</f>
        <v>14</v>
      </c>
      <c r="I756" s="6">
        <f>IF(Data!H756 = 'Point Intercept 2'!H756, Data!H756, "ERROR")</f>
        <v>2</v>
      </c>
      <c r="J756" s="6">
        <f>IF(Data!J756 = 'Point Intercept 2'!J756, Data!J756, "ERROR")</f>
        <v>11</v>
      </c>
      <c r="K756" s="6" t="str">
        <f>IF(Data!K756 = 'Point Intercept 2'!K756, Data!K756, "ERROR")</f>
        <v>FESMYU</v>
      </c>
      <c r="L756" s="6" t="str">
        <f>IF(Data!L756 = 'Point Intercept 2'!L756, Data!L756, "ERROR")</f>
        <v>Festuca myuros</v>
      </c>
    </row>
    <row r="757" spans="1:12" x14ac:dyDescent="0.25">
      <c r="A757" s="6">
        <f>IF(Data!A757 = 'Point Intercept 2'!A757, Data!A757, "ERROR")</f>
        <v>8</v>
      </c>
      <c r="B757" s="6">
        <f>IF(Data!B757 = 'Point Intercept 2'!B757, Data!B757, "ERROR")</f>
        <v>2025</v>
      </c>
      <c r="C757" s="8">
        <f>IF(Data!C757 = 'Point Intercept 2'!C757, Data!C757, "ERROR")</f>
        <v>45764</v>
      </c>
      <c r="D757" s="6" t="str">
        <f>IF(Data!D757 = 'Point Intercept 2'!D757, Data!D757, "ERROR")</f>
        <v>TL, BN, JR, AA</v>
      </c>
      <c r="E757" s="6" t="str">
        <f>IF(Data!E757 = 'Point Intercept 2'!E757, Data!E757, "ERROR")</f>
        <v>VB</v>
      </c>
      <c r="F757" s="6">
        <f>IF(Data!F757 = 'Point Intercept 2'!F757, Data!F757, "ERROR")</f>
        <v>1</v>
      </c>
      <c r="G757" s="6" t="str">
        <f>IF(Data!G757 = 'Point Intercept 2'!G757, Data!G757, "ERROR")</f>
        <v>SS</v>
      </c>
      <c r="H757" s="6">
        <f>IF(Data!I757 = 'Point Intercept 2'!I757, Data!I757, "ERROR")</f>
        <v>15</v>
      </c>
      <c r="I757" s="6">
        <f>IF(Data!H757 = 'Point Intercept 2'!H757, Data!H757, "ERROR")</f>
        <v>2</v>
      </c>
      <c r="J757" s="6">
        <f>IF(Data!J757 = 'Point Intercept 2'!J757, Data!J757, "ERROR")</f>
        <v>12</v>
      </c>
      <c r="K757" s="6" t="str">
        <f>IF(Data!K757 = 'Point Intercept 2'!K757, Data!K757, "ERROR")</f>
        <v>L</v>
      </c>
      <c r="L757" s="6" t="str">
        <f>IF(Data!L757 = 'Point Intercept 2'!L757, Data!L757, "ERROR")</f>
        <v>Litter</v>
      </c>
    </row>
    <row r="758" spans="1:12" x14ac:dyDescent="0.25">
      <c r="A758" s="6">
        <f>IF(Data!A758 = 'Point Intercept 2'!A758, Data!A758, "ERROR")</f>
        <v>8</v>
      </c>
      <c r="B758" s="6">
        <f>IF(Data!B758 = 'Point Intercept 2'!B758, Data!B758, "ERROR")</f>
        <v>2025</v>
      </c>
      <c r="C758" s="8">
        <f>IF(Data!C758 = 'Point Intercept 2'!C758, Data!C758, "ERROR")</f>
        <v>45764</v>
      </c>
      <c r="D758" s="6" t="str">
        <f>IF(Data!D758 = 'Point Intercept 2'!D758, Data!D758, "ERROR")</f>
        <v>TL, BN, JR, AA</v>
      </c>
      <c r="E758" s="6" t="str">
        <f>IF(Data!E758 = 'Point Intercept 2'!E758, Data!E758, "ERROR")</f>
        <v>VB</v>
      </c>
      <c r="F758" s="6">
        <f>IF(Data!F758 = 'Point Intercept 2'!F758, Data!F758, "ERROR")</f>
        <v>1</v>
      </c>
      <c r="G758" s="6" t="str">
        <f>IF(Data!G758 = 'Point Intercept 2'!G758, Data!G758, "ERROR")</f>
        <v>SS</v>
      </c>
      <c r="H758" s="6">
        <f>IF(Data!I758 = 'Point Intercept 2'!I758, Data!I758, "ERROR")</f>
        <v>15</v>
      </c>
      <c r="I758" s="6">
        <f>IF(Data!H758 = 'Point Intercept 2'!H758, Data!H758, "ERROR")</f>
        <v>2</v>
      </c>
      <c r="J758" s="6">
        <f>IF(Data!J758 = 'Point Intercept 2'!J758, Data!J758, "ERROR")</f>
        <v>12</v>
      </c>
      <c r="K758" s="6" t="str">
        <f>IF(Data!K758 = 'Point Intercept 2'!K758, Data!K758, "ERROR")</f>
        <v>FESMYU</v>
      </c>
      <c r="L758" s="6" t="str">
        <f>IF(Data!L758 = 'Point Intercept 2'!L758, Data!L758, "ERROR")</f>
        <v>Festuca myuros</v>
      </c>
    </row>
    <row r="759" spans="1:12" x14ac:dyDescent="0.25">
      <c r="A759" s="6">
        <f>IF(Data!A759 = 'Point Intercept 2'!A759, Data!A759, "ERROR")</f>
        <v>8</v>
      </c>
      <c r="B759" s="6">
        <f>IF(Data!B759 = 'Point Intercept 2'!B759, Data!B759, "ERROR")</f>
        <v>2025</v>
      </c>
      <c r="C759" s="8">
        <f>IF(Data!C759 = 'Point Intercept 2'!C759, Data!C759, "ERROR")</f>
        <v>45764</v>
      </c>
      <c r="D759" s="6" t="str">
        <f>IF(Data!D759 = 'Point Intercept 2'!D759, Data!D759, "ERROR")</f>
        <v>TL, BN, JR, AA</v>
      </c>
      <c r="E759" s="6" t="str">
        <f>IF(Data!E759 = 'Point Intercept 2'!E759, Data!E759, "ERROR")</f>
        <v>VB</v>
      </c>
      <c r="F759" s="6">
        <f>IF(Data!F759 = 'Point Intercept 2'!F759, Data!F759, "ERROR")</f>
        <v>1</v>
      </c>
      <c r="G759" s="6" t="str">
        <f>IF(Data!G759 = 'Point Intercept 2'!G759, Data!G759, "ERROR")</f>
        <v>SS</v>
      </c>
      <c r="H759" s="6">
        <f>IF(Data!I759 = 'Point Intercept 2'!I759, Data!I759, "ERROR")</f>
        <v>15</v>
      </c>
      <c r="I759" s="6">
        <f>IF(Data!H759 = 'Point Intercept 2'!H759, Data!H759, "ERROR")</f>
        <v>2</v>
      </c>
      <c r="J759" s="6">
        <f>IF(Data!J759 = 'Point Intercept 2'!J759, Data!J759, "ERROR")</f>
        <v>12</v>
      </c>
      <c r="K759" s="6" t="str">
        <f>IF(Data!K759 = 'Point Intercept 2'!K759, Data!K759, "ERROR")</f>
        <v>UROLIN</v>
      </c>
      <c r="L759" s="6" t="str">
        <f>IF(Data!L759 = 'Point Intercept 2'!L759, Data!L759, "ERROR")</f>
        <v>Uropappus lindleyi</v>
      </c>
    </row>
    <row r="760" spans="1:12" x14ac:dyDescent="0.25">
      <c r="A760" s="6">
        <f>IF(Data!A760 = 'Point Intercept 2'!A760, Data!A760, "ERROR")</f>
        <v>9</v>
      </c>
      <c r="B760" s="6">
        <f>IF(Data!B760 = 'Point Intercept 2'!B760, Data!B760, "ERROR")</f>
        <v>2025</v>
      </c>
      <c r="C760" s="8">
        <f>IF(Data!C760 = 'Point Intercept 2'!C760, Data!C760, "ERROR")</f>
        <v>45764</v>
      </c>
      <c r="D760" s="6" t="str">
        <f>IF(Data!D760 = 'Point Intercept 2'!D760, Data!D760, "ERROR")</f>
        <v>TL, JR, AA</v>
      </c>
      <c r="E760" s="6" t="str">
        <f>IF(Data!E760 = 'Point Intercept 2'!E760, Data!E760, "ERROR")</f>
        <v>CU</v>
      </c>
      <c r="F760" s="6">
        <f>IF(Data!F760 = 'Point Intercept 2'!F760, Data!F760, "ERROR")</f>
        <v>1</v>
      </c>
      <c r="G760" s="6" t="str">
        <f>IF(Data!G760 = 'Point Intercept 2'!G760, Data!G760, "ERROR")</f>
        <v>LS</v>
      </c>
      <c r="H760" s="6">
        <f>IF(Data!I760 = 'Point Intercept 2'!I760, Data!I760, "ERROR")</f>
        <v>1</v>
      </c>
      <c r="I760" s="6">
        <f>IF(Data!H760 = 'Point Intercept 2'!H760, Data!H760, "ERROR")</f>
        <v>1</v>
      </c>
      <c r="J760" s="6">
        <f>IF(Data!J760 = 'Point Intercept 2'!J760, Data!J760, "ERROR")</f>
        <v>0</v>
      </c>
      <c r="K760" s="6" t="str">
        <f>IF(Data!K760 = 'Point Intercept 2'!K760, Data!K760, "ERROR")</f>
        <v>M</v>
      </c>
      <c r="L760" s="6" t="str">
        <f>IF(Data!L760 = 'Point Intercept 2'!L760, Data!L760, "ERROR")</f>
        <v>Moss</v>
      </c>
    </row>
    <row r="761" spans="1:12" x14ac:dyDescent="0.25">
      <c r="A761" s="6">
        <f>IF(Data!A761 = 'Point Intercept 2'!A761, Data!A761, "ERROR")</f>
        <v>9</v>
      </c>
      <c r="B761" s="6">
        <f>IF(Data!B761 = 'Point Intercept 2'!B761, Data!B761, "ERROR")</f>
        <v>2025</v>
      </c>
      <c r="C761" s="8">
        <f>IF(Data!C761 = 'Point Intercept 2'!C761, Data!C761, "ERROR")</f>
        <v>45764</v>
      </c>
      <c r="D761" s="6" t="str">
        <f>IF(Data!D761 = 'Point Intercept 2'!D761, Data!D761, "ERROR")</f>
        <v>TL, JR, AA</v>
      </c>
      <c r="E761" s="6" t="str">
        <f>IF(Data!E761 = 'Point Intercept 2'!E761, Data!E761, "ERROR")</f>
        <v>CU</v>
      </c>
      <c r="F761" s="6">
        <f>IF(Data!F761 = 'Point Intercept 2'!F761, Data!F761, "ERROR")</f>
        <v>1</v>
      </c>
      <c r="G761" s="6" t="str">
        <f>IF(Data!G761 = 'Point Intercept 2'!G761, Data!G761, "ERROR")</f>
        <v>LS</v>
      </c>
      <c r="H761" s="6">
        <f>IF(Data!I761 = 'Point Intercept 2'!I761, Data!I761, "ERROR")</f>
        <v>1</v>
      </c>
      <c r="I761" s="6">
        <f>IF(Data!H761 = 'Point Intercept 2'!H761, Data!H761, "ERROR")</f>
        <v>1</v>
      </c>
      <c r="J761" s="6">
        <f>IF(Data!J761 = 'Point Intercept 2'!J761, Data!J761, "ERROR")</f>
        <v>0</v>
      </c>
      <c r="K761" s="6" t="str">
        <f>IF(Data!K761 = 'Point Intercept 2'!K761, Data!K761, "ERROR")</f>
        <v>OPULIT</v>
      </c>
      <c r="L761" s="6" t="str">
        <f>IF(Data!L761 = 'Point Intercept 2'!L761, Data!L761, "ERROR")</f>
        <v>Opuntia littoralis</v>
      </c>
    </row>
    <row r="762" spans="1:12" x14ac:dyDescent="0.25">
      <c r="A762" s="6">
        <f>IF(Data!A762 = 'Point Intercept 2'!A762, Data!A762, "ERROR")</f>
        <v>9</v>
      </c>
      <c r="B762" s="6">
        <f>IF(Data!B762 = 'Point Intercept 2'!B762, Data!B762, "ERROR")</f>
        <v>2025</v>
      </c>
      <c r="C762" s="8">
        <f>IF(Data!C762 = 'Point Intercept 2'!C762, Data!C762, "ERROR")</f>
        <v>45764</v>
      </c>
      <c r="D762" s="6" t="str">
        <f>IF(Data!D762 = 'Point Intercept 2'!D762, Data!D762, "ERROR")</f>
        <v>TL, JR, AA</v>
      </c>
      <c r="E762" s="6" t="str">
        <f>IF(Data!E762 = 'Point Intercept 2'!E762, Data!E762, "ERROR")</f>
        <v>CU</v>
      </c>
      <c r="F762" s="6">
        <f>IF(Data!F762 = 'Point Intercept 2'!F762, Data!F762, "ERROR")</f>
        <v>1</v>
      </c>
      <c r="G762" s="6" t="str">
        <f>IF(Data!G762 = 'Point Intercept 2'!G762, Data!G762, "ERROR")</f>
        <v>LS</v>
      </c>
      <c r="H762" s="6">
        <f>IF(Data!I762 = 'Point Intercept 2'!I762, Data!I762, "ERROR")</f>
        <v>2</v>
      </c>
      <c r="I762" s="6">
        <f>IF(Data!H762 = 'Point Intercept 2'!H762, Data!H762, "ERROR")</f>
        <v>1</v>
      </c>
      <c r="J762" s="6">
        <f>IF(Data!J762 = 'Point Intercept 2'!J762, Data!J762, "ERROR")</f>
        <v>0.5</v>
      </c>
      <c r="K762" s="6" t="str">
        <f>IF(Data!K762 = 'Point Intercept 2'!K762, Data!K762, "ERROR")</f>
        <v>S</v>
      </c>
      <c r="L762" s="6" t="str">
        <f>IF(Data!L762 = 'Point Intercept 2'!L762, Data!L762, "ERROR")</f>
        <v>Stem</v>
      </c>
    </row>
    <row r="763" spans="1:12" x14ac:dyDescent="0.25">
      <c r="A763" s="6">
        <f>IF(Data!A763 = 'Point Intercept 2'!A763, Data!A763, "ERROR")</f>
        <v>9</v>
      </c>
      <c r="B763" s="6">
        <f>IF(Data!B763 = 'Point Intercept 2'!B763, Data!B763, "ERROR")</f>
        <v>2025</v>
      </c>
      <c r="C763" s="8">
        <f>IF(Data!C763 = 'Point Intercept 2'!C763, Data!C763, "ERROR")</f>
        <v>45764</v>
      </c>
      <c r="D763" s="6" t="str">
        <f>IF(Data!D763 = 'Point Intercept 2'!D763, Data!D763, "ERROR")</f>
        <v>TL, JR, AA</v>
      </c>
      <c r="E763" s="6" t="str">
        <f>IF(Data!E763 = 'Point Intercept 2'!E763, Data!E763, "ERROR")</f>
        <v>CU</v>
      </c>
      <c r="F763" s="6">
        <f>IF(Data!F763 = 'Point Intercept 2'!F763, Data!F763, "ERROR")</f>
        <v>1</v>
      </c>
      <c r="G763" s="6" t="str">
        <f>IF(Data!G763 = 'Point Intercept 2'!G763, Data!G763, "ERROR")</f>
        <v>LS</v>
      </c>
      <c r="H763" s="6">
        <f>IF(Data!I763 = 'Point Intercept 2'!I763, Data!I763, "ERROR")</f>
        <v>2</v>
      </c>
      <c r="I763" s="6">
        <f>IF(Data!H763 = 'Point Intercept 2'!H763, Data!H763, "ERROR")</f>
        <v>1</v>
      </c>
      <c r="J763" s="6">
        <f>IF(Data!J763 = 'Point Intercept 2'!J763, Data!J763, "ERROR")</f>
        <v>0.5</v>
      </c>
      <c r="K763" s="6" t="str">
        <f>IF(Data!K763 = 'Point Intercept 2'!K763, Data!K763, "ERROR")</f>
        <v>OPULIT</v>
      </c>
      <c r="L763" s="6" t="str">
        <f>IF(Data!L763 = 'Point Intercept 2'!L763, Data!L763, "ERROR")</f>
        <v>Opuntia littoralis</v>
      </c>
    </row>
    <row r="764" spans="1:12" x14ac:dyDescent="0.25">
      <c r="A764" s="6">
        <f>IF(Data!A764 = 'Point Intercept 2'!A764, Data!A764, "ERROR")</f>
        <v>9</v>
      </c>
      <c r="B764" s="6">
        <f>IF(Data!B764 = 'Point Intercept 2'!B764, Data!B764, "ERROR")</f>
        <v>2025</v>
      </c>
      <c r="C764" s="8">
        <f>IF(Data!C764 = 'Point Intercept 2'!C764, Data!C764, "ERROR")</f>
        <v>45764</v>
      </c>
      <c r="D764" s="6" t="str">
        <f>IF(Data!D764 = 'Point Intercept 2'!D764, Data!D764, "ERROR")</f>
        <v>TL, JR, AA</v>
      </c>
      <c r="E764" s="6" t="str">
        <f>IF(Data!E764 = 'Point Intercept 2'!E764, Data!E764, "ERROR")</f>
        <v>CU</v>
      </c>
      <c r="F764" s="6">
        <f>IF(Data!F764 = 'Point Intercept 2'!F764, Data!F764, "ERROR")</f>
        <v>1</v>
      </c>
      <c r="G764" s="6" t="str">
        <f>IF(Data!G764 = 'Point Intercept 2'!G764, Data!G764, "ERROR")</f>
        <v>LS</v>
      </c>
      <c r="H764" s="6">
        <f>IF(Data!I764 = 'Point Intercept 2'!I764, Data!I764, "ERROR")</f>
        <v>3</v>
      </c>
      <c r="I764" s="6">
        <f>IF(Data!H764 = 'Point Intercept 2'!H764, Data!H764, "ERROR")</f>
        <v>1</v>
      </c>
      <c r="J764" s="6">
        <f>IF(Data!J764 = 'Point Intercept 2'!J764, Data!J764, "ERROR")</f>
        <v>1</v>
      </c>
      <c r="K764" s="6" t="str">
        <f>IF(Data!K764 = 'Point Intercept 2'!K764, Data!K764, "ERROR")</f>
        <v>L</v>
      </c>
      <c r="L764" s="6" t="str">
        <f>IF(Data!L764 = 'Point Intercept 2'!L764, Data!L764, "ERROR")</f>
        <v>Litter</v>
      </c>
    </row>
    <row r="765" spans="1:12" x14ac:dyDescent="0.25">
      <c r="A765" s="6">
        <f>IF(Data!A765 = 'Point Intercept 2'!A765, Data!A765, "ERROR")</f>
        <v>9</v>
      </c>
      <c r="B765" s="6">
        <f>IF(Data!B765 = 'Point Intercept 2'!B765, Data!B765, "ERROR")</f>
        <v>2025</v>
      </c>
      <c r="C765" s="8">
        <f>IF(Data!C765 = 'Point Intercept 2'!C765, Data!C765, "ERROR")</f>
        <v>45764</v>
      </c>
      <c r="D765" s="6" t="str">
        <f>IF(Data!D765 = 'Point Intercept 2'!D765, Data!D765, "ERROR")</f>
        <v>TL, JR, AA</v>
      </c>
      <c r="E765" s="6" t="str">
        <f>IF(Data!E765 = 'Point Intercept 2'!E765, Data!E765, "ERROR")</f>
        <v>CU</v>
      </c>
      <c r="F765" s="6">
        <f>IF(Data!F765 = 'Point Intercept 2'!F765, Data!F765, "ERROR")</f>
        <v>1</v>
      </c>
      <c r="G765" s="6" t="str">
        <f>IF(Data!G765 = 'Point Intercept 2'!G765, Data!G765, "ERROR")</f>
        <v>LS</v>
      </c>
      <c r="H765" s="6">
        <f>IF(Data!I765 = 'Point Intercept 2'!I765, Data!I765, "ERROR")</f>
        <v>3</v>
      </c>
      <c r="I765" s="6">
        <f>IF(Data!H765 = 'Point Intercept 2'!H765, Data!H765, "ERROR")</f>
        <v>1</v>
      </c>
      <c r="J765" s="6">
        <f>IF(Data!J765 = 'Point Intercept 2'!J765, Data!J765, "ERROR")</f>
        <v>1</v>
      </c>
      <c r="K765" s="6" t="str">
        <f>IF(Data!K765 = 'Point Intercept 2'!K765, Data!K765, "ERROR")</f>
        <v>OPULIT</v>
      </c>
      <c r="L765" s="6" t="str">
        <f>IF(Data!L765 = 'Point Intercept 2'!L765, Data!L765, "ERROR")</f>
        <v>Opuntia littoralis</v>
      </c>
    </row>
    <row r="766" spans="1:12" x14ac:dyDescent="0.25">
      <c r="A766" s="6">
        <f>IF(Data!A766 = 'Point Intercept 2'!A766, Data!A766, "ERROR")</f>
        <v>9</v>
      </c>
      <c r="B766" s="6">
        <f>IF(Data!B766 = 'Point Intercept 2'!B766, Data!B766, "ERROR")</f>
        <v>2025</v>
      </c>
      <c r="C766" s="8">
        <f>IF(Data!C766 = 'Point Intercept 2'!C766, Data!C766, "ERROR")</f>
        <v>45764</v>
      </c>
      <c r="D766" s="6" t="str">
        <f>IF(Data!D766 = 'Point Intercept 2'!D766, Data!D766, "ERROR")</f>
        <v>TL, JR, AA</v>
      </c>
      <c r="E766" s="6" t="str">
        <f>IF(Data!E766 = 'Point Intercept 2'!E766, Data!E766, "ERROR")</f>
        <v>CU</v>
      </c>
      <c r="F766" s="6">
        <f>IF(Data!F766 = 'Point Intercept 2'!F766, Data!F766, "ERROR")</f>
        <v>1</v>
      </c>
      <c r="G766" s="6" t="str">
        <f>IF(Data!G766 = 'Point Intercept 2'!G766, Data!G766, "ERROR")</f>
        <v>LS</v>
      </c>
      <c r="H766" s="6">
        <f>IF(Data!I766 = 'Point Intercept 2'!I766, Data!I766, "ERROR")</f>
        <v>3</v>
      </c>
      <c r="I766" s="6">
        <f>IF(Data!H766 = 'Point Intercept 2'!H766, Data!H766, "ERROR")</f>
        <v>1</v>
      </c>
      <c r="J766" s="6">
        <f>IF(Data!J766 = 'Point Intercept 2'!J766, Data!J766, "ERROR")</f>
        <v>1</v>
      </c>
      <c r="K766" s="6" t="str">
        <f>IF(Data!K766 = 'Point Intercept 2'!K766, Data!K766, "ERROR")</f>
        <v>UNKNNGRASS</v>
      </c>
      <c r="L766" s="6" t="str">
        <f>IF(Data!L766 = 'Point Intercept 2'!L766, Data!L766, "ERROR")</f>
        <v>Unknown non-native grass</v>
      </c>
    </row>
    <row r="767" spans="1:12" x14ac:dyDescent="0.25">
      <c r="A767" s="6">
        <f>IF(Data!A767 = 'Point Intercept 2'!A767, Data!A767, "ERROR")</f>
        <v>9</v>
      </c>
      <c r="B767" s="6">
        <f>IF(Data!B767 = 'Point Intercept 2'!B767, Data!B767, "ERROR")</f>
        <v>2025</v>
      </c>
      <c r="C767" s="8">
        <f>IF(Data!C767 = 'Point Intercept 2'!C767, Data!C767, "ERROR")</f>
        <v>45764</v>
      </c>
      <c r="D767" s="6" t="str">
        <f>IF(Data!D767 = 'Point Intercept 2'!D767, Data!D767, "ERROR")</f>
        <v>TL, JR, AA</v>
      </c>
      <c r="E767" s="6" t="str">
        <f>IF(Data!E767 = 'Point Intercept 2'!E767, Data!E767, "ERROR")</f>
        <v>CU</v>
      </c>
      <c r="F767" s="6">
        <f>IF(Data!F767 = 'Point Intercept 2'!F767, Data!F767, "ERROR")</f>
        <v>1</v>
      </c>
      <c r="G767" s="6" t="str">
        <f>IF(Data!G767 = 'Point Intercept 2'!G767, Data!G767, "ERROR")</f>
        <v>LS</v>
      </c>
      <c r="H767" s="6">
        <f>IF(Data!I767 = 'Point Intercept 2'!I767, Data!I767, "ERROR")</f>
        <v>4</v>
      </c>
      <c r="I767" s="6">
        <f>IF(Data!H767 = 'Point Intercept 2'!H767, Data!H767, "ERROR")</f>
        <v>1</v>
      </c>
      <c r="J767" s="6">
        <f>IF(Data!J767 = 'Point Intercept 2'!J767, Data!J767, "ERROR")</f>
        <v>1.5</v>
      </c>
      <c r="K767" s="6" t="str">
        <f>IF(Data!K767 = 'Point Intercept 2'!K767, Data!K767, "ERROR")</f>
        <v>S</v>
      </c>
      <c r="L767" s="6" t="str">
        <f>IF(Data!L767 = 'Point Intercept 2'!L767, Data!L767, "ERROR")</f>
        <v>Stem</v>
      </c>
    </row>
    <row r="768" spans="1:12" x14ac:dyDescent="0.25">
      <c r="A768" s="6">
        <f>IF(Data!A768 = 'Point Intercept 2'!A768, Data!A768, "ERROR")</f>
        <v>9</v>
      </c>
      <c r="B768" s="6">
        <f>IF(Data!B768 = 'Point Intercept 2'!B768, Data!B768, "ERROR")</f>
        <v>2025</v>
      </c>
      <c r="C768" s="8">
        <f>IF(Data!C768 = 'Point Intercept 2'!C768, Data!C768, "ERROR")</f>
        <v>45764</v>
      </c>
      <c r="D768" s="6" t="str">
        <f>IF(Data!D768 = 'Point Intercept 2'!D768, Data!D768, "ERROR")</f>
        <v>TL, JR, AA</v>
      </c>
      <c r="E768" s="6" t="str">
        <f>IF(Data!E768 = 'Point Intercept 2'!E768, Data!E768, "ERROR")</f>
        <v>CU</v>
      </c>
      <c r="F768" s="6">
        <f>IF(Data!F768 = 'Point Intercept 2'!F768, Data!F768, "ERROR")</f>
        <v>1</v>
      </c>
      <c r="G768" s="6" t="str">
        <f>IF(Data!G768 = 'Point Intercept 2'!G768, Data!G768, "ERROR")</f>
        <v>LS</v>
      </c>
      <c r="H768" s="6">
        <f>IF(Data!I768 = 'Point Intercept 2'!I768, Data!I768, "ERROR")</f>
        <v>4</v>
      </c>
      <c r="I768" s="6">
        <f>IF(Data!H768 = 'Point Intercept 2'!H768, Data!H768, "ERROR")</f>
        <v>1</v>
      </c>
      <c r="J768" s="6">
        <f>IF(Data!J768 = 'Point Intercept 2'!J768, Data!J768, "ERROR")</f>
        <v>1.5</v>
      </c>
      <c r="K768" s="6" t="str">
        <f>IF(Data!K768 = 'Point Intercept 2'!K768, Data!K768, "ERROR")</f>
        <v>OPULIT</v>
      </c>
      <c r="L768" s="6" t="str">
        <f>IF(Data!L768 = 'Point Intercept 2'!L768, Data!L768, "ERROR")</f>
        <v>Opuntia littoralis</v>
      </c>
    </row>
    <row r="769" spans="1:12" x14ac:dyDescent="0.25">
      <c r="A769" s="6">
        <f>IF(Data!A769 = 'Point Intercept 2'!A769, Data!A769, "ERROR")</f>
        <v>9</v>
      </c>
      <c r="B769" s="6">
        <f>IF(Data!B769 = 'Point Intercept 2'!B769, Data!B769, "ERROR")</f>
        <v>2025</v>
      </c>
      <c r="C769" s="8">
        <f>IF(Data!C769 = 'Point Intercept 2'!C769, Data!C769, "ERROR")</f>
        <v>45764</v>
      </c>
      <c r="D769" s="6" t="str">
        <f>IF(Data!D769 = 'Point Intercept 2'!D769, Data!D769, "ERROR")</f>
        <v>TL, JR, AA</v>
      </c>
      <c r="E769" s="6" t="str">
        <f>IF(Data!E769 = 'Point Intercept 2'!E769, Data!E769, "ERROR")</f>
        <v>CU</v>
      </c>
      <c r="F769" s="6">
        <f>IF(Data!F769 = 'Point Intercept 2'!F769, Data!F769, "ERROR")</f>
        <v>1</v>
      </c>
      <c r="G769" s="6" t="str">
        <f>IF(Data!G769 = 'Point Intercept 2'!G769, Data!G769, "ERROR")</f>
        <v>LS</v>
      </c>
      <c r="H769" s="6">
        <f>IF(Data!I769 = 'Point Intercept 2'!I769, Data!I769, "ERROR")</f>
        <v>4</v>
      </c>
      <c r="I769" s="6">
        <f>IF(Data!H769 = 'Point Intercept 2'!H769, Data!H769, "ERROR")</f>
        <v>1</v>
      </c>
      <c r="J769" s="6">
        <f>IF(Data!J769 = 'Point Intercept 2'!J769, Data!J769, "ERROR")</f>
        <v>1.5</v>
      </c>
      <c r="K769" s="6" t="str">
        <f>IF(Data!K769 = 'Point Intercept 2'!K769, Data!K769, "ERROR")</f>
        <v>DEIFAS</v>
      </c>
      <c r="L769" s="6" t="str">
        <f>IF(Data!L769 = 'Point Intercept 2'!L769, Data!L769, "ERROR")</f>
        <v>Deinandra fasciculata</v>
      </c>
    </row>
    <row r="770" spans="1:12" x14ac:dyDescent="0.25">
      <c r="A770" s="6">
        <f>IF(Data!A770 = 'Point Intercept 2'!A770, Data!A770, "ERROR")</f>
        <v>9</v>
      </c>
      <c r="B770" s="6">
        <f>IF(Data!B770 = 'Point Intercept 2'!B770, Data!B770, "ERROR")</f>
        <v>2025</v>
      </c>
      <c r="C770" s="8">
        <f>IF(Data!C770 = 'Point Intercept 2'!C770, Data!C770, "ERROR")</f>
        <v>45764</v>
      </c>
      <c r="D770" s="6" t="str">
        <f>IF(Data!D770 = 'Point Intercept 2'!D770, Data!D770, "ERROR")</f>
        <v>TL, JR, AA</v>
      </c>
      <c r="E770" s="6" t="str">
        <f>IF(Data!E770 = 'Point Intercept 2'!E770, Data!E770, "ERROR")</f>
        <v>CU</v>
      </c>
      <c r="F770" s="6">
        <f>IF(Data!F770 = 'Point Intercept 2'!F770, Data!F770, "ERROR")</f>
        <v>1</v>
      </c>
      <c r="G770" s="6" t="str">
        <f>IF(Data!G770 = 'Point Intercept 2'!G770, Data!G770, "ERROR")</f>
        <v>LS</v>
      </c>
      <c r="H770" s="6">
        <f>IF(Data!I770 = 'Point Intercept 2'!I770, Data!I770, "ERROR")</f>
        <v>5</v>
      </c>
      <c r="I770" s="6">
        <f>IF(Data!H770 = 'Point Intercept 2'!H770, Data!H770, "ERROR")</f>
        <v>1</v>
      </c>
      <c r="J770" s="6">
        <f>IF(Data!J770 = 'Point Intercept 2'!J770, Data!J770, "ERROR")</f>
        <v>2</v>
      </c>
      <c r="K770" s="6" t="str">
        <f>IF(Data!K770 = 'Point Intercept 2'!K770, Data!K770, "ERROR")</f>
        <v>L</v>
      </c>
      <c r="L770" s="6" t="str">
        <f>IF(Data!L770 = 'Point Intercept 2'!L770, Data!L770, "ERROR")</f>
        <v>Litter</v>
      </c>
    </row>
    <row r="771" spans="1:12" x14ac:dyDescent="0.25">
      <c r="A771" s="6">
        <f>IF(Data!A771 = 'Point Intercept 2'!A771, Data!A771, "ERROR")</f>
        <v>9</v>
      </c>
      <c r="B771" s="6">
        <f>IF(Data!B771 = 'Point Intercept 2'!B771, Data!B771, "ERROR")</f>
        <v>2025</v>
      </c>
      <c r="C771" s="8">
        <f>IF(Data!C771 = 'Point Intercept 2'!C771, Data!C771, "ERROR")</f>
        <v>45764</v>
      </c>
      <c r="D771" s="6" t="str">
        <f>IF(Data!D771 = 'Point Intercept 2'!D771, Data!D771, "ERROR")</f>
        <v>TL, JR, AA</v>
      </c>
      <c r="E771" s="6" t="str">
        <f>IF(Data!E771 = 'Point Intercept 2'!E771, Data!E771, "ERROR")</f>
        <v>CU</v>
      </c>
      <c r="F771" s="6">
        <f>IF(Data!F771 = 'Point Intercept 2'!F771, Data!F771, "ERROR")</f>
        <v>1</v>
      </c>
      <c r="G771" s="6" t="str">
        <f>IF(Data!G771 = 'Point Intercept 2'!G771, Data!G771, "ERROR")</f>
        <v>LS</v>
      </c>
      <c r="H771" s="6">
        <f>IF(Data!I771 = 'Point Intercept 2'!I771, Data!I771, "ERROR")</f>
        <v>5</v>
      </c>
      <c r="I771" s="6">
        <f>IF(Data!H771 = 'Point Intercept 2'!H771, Data!H771, "ERROR")</f>
        <v>1</v>
      </c>
      <c r="J771" s="6">
        <f>IF(Data!J771 = 'Point Intercept 2'!J771, Data!J771, "ERROR")</f>
        <v>2</v>
      </c>
      <c r="K771" s="6" t="str">
        <f>IF(Data!K771 = 'Point Intercept 2'!K771, Data!K771, "ERROR")</f>
        <v>SONASP</v>
      </c>
      <c r="L771" s="6" t="str">
        <f>IF(Data!L771 = 'Point Intercept 2'!L771, Data!L771, "ERROR")</f>
        <v>Sonchus asper</v>
      </c>
    </row>
    <row r="772" spans="1:12" x14ac:dyDescent="0.25">
      <c r="A772" s="6">
        <f>IF(Data!A772 = 'Point Intercept 2'!A772, Data!A772, "ERROR")</f>
        <v>9</v>
      </c>
      <c r="B772" s="6">
        <f>IF(Data!B772 = 'Point Intercept 2'!B772, Data!B772, "ERROR")</f>
        <v>2025</v>
      </c>
      <c r="C772" s="8">
        <f>IF(Data!C772 = 'Point Intercept 2'!C772, Data!C772, "ERROR")</f>
        <v>45764</v>
      </c>
      <c r="D772" s="6" t="str">
        <f>IF(Data!D772 = 'Point Intercept 2'!D772, Data!D772, "ERROR")</f>
        <v>TL, JR, AA</v>
      </c>
      <c r="E772" s="6" t="str">
        <f>IF(Data!E772 = 'Point Intercept 2'!E772, Data!E772, "ERROR")</f>
        <v>CU</v>
      </c>
      <c r="F772" s="6">
        <f>IF(Data!F772 = 'Point Intercept 2'!F772, Data!F772, "ERROR")</f>
        <v>1</v>
      </c>
      <c r="G772" s="6" t="str">
        <f>IF(Data!G772 = 'Point Intercept 2'!G772, Data!G772, "ERROR")</f>
        <v>LS</v>
      </c>
      <c r="H772" s="6">
        <f>IF(Data!I772 = 'Point Intercept 2'!I772, Data!I772, "ERROR")</f>
        <v>5</v>
      </c>
      <c r="I772" s="6">
        <f>IF(Data!H772 = 'Point Intercept 2'!H772, Data!H772, "ERROR")</f>
        <v>1</v>
      </c>
      <c r="J772" s="6">
        <f>IF(Data!J772 = 'Point Intercept 2'!J772, Data!J772, "ERROR")</f>
        <v>2</v>
      </c>
      <c r="K772" s="6" t="str">
        <f>IF(Data!K772 = 'Point Intercept 2'!K772, Data!K772, "ERROR")</f>
        <v>CENMEL</v>
      </c>
      <c r="L772" s="6" t="str">
        <f>IF(Data!L772 = 'Point Intercept 2'!L772, Data!L772, "ERROR")</f>
        <v>Centaurea melitensis</v>
      </c>
    </row>
    <row r="773" spans="1:12" x14ac:dyDescent="0.25">
      <c r="A773" s="6">
        <f>IF(Data!A773 = 'Point Intercept 2'!A773, Data!A773, "ERROR")</f>
        <v>9</v>
      </c>
      <c r="B773" s="6">
        <f>IF(Data!B773 = 'Point Intercept 2'!B773, Data!B773, "ERROR")</f>
        <v>2025</v>
      </c>
      <c r="C773" s="8">
        <f>IF(Data!C773 = 'Point Intercept 2'!C773, Data!C773, "ERROR")</f>
        <v>45764</v>
      </c>
      <c r="D773" s="6" t="str">
        <f>IF(Data!D773 = 'Point Intercept 2'!D773, Data!D773, "ERROR")</f>
        <v>TL, JR, AA</v>
      </c>
      <c r="E773" s="6" t="str">
        <f>IF(Data!E773 = 'Point Intercept 2'!E773, Data!E773, "ERROR")</f>
        <v>CU</v>
      </c>
      <c r="F773" s="6">
        <f>IF(Data!F773 = 'Point Intercept 2'!F773, Data!F773, "ERROR")</f>
        <v>1</v>
      </c>
      <c r="G773" s="6" t="str">
        <f>IF(Data!G773 = 'Point Intercept 2'!G773, Data!G773, "ERROR")</f>
        <v>LS</v>
      </c>
      <c r="H773" s="6">
        <f>IF(Data!I773 = 'Point Intercept 2'!I773, Data!I773, "ERROR")</f>
        <v>6</v>
      </c>
      <c r="I773" s="6">
        <f>IF(Data!H773 = 'Point Intercept 2'!H773, Data!H773, "ERROR")</f>
        <v>1</v>
      </c>
      <c r="J773" s="6">
        <f>IF(Data!J773 = 'Point Intercept 2'!J773, Data!J773, "ERROR")</f>
        <v>2.5</v>
      </c>
      <c r="K773" s="6" t="str">
        <f>IF(Data!K773 = 'Point Intercept 2'!K773, Data!K773, "ERROR")</f>
        <v>L</v>
      </c>
      <c r="L773" s="6" t="str">
        <f>IF(Data!L773 = 'Point Intercept 2'!L773, Data!L773, "ERROR")</f>
        <v>Litter</v>
      </c>
    </row>
    <row r="774" spans="1:12" x14ac:dyDescent="0.25">
      <c r="A774" s="6">
        <f>IF(Data!A774 = 'Point Intercept 2'!A774, Data!A774, "ERROR")</f>
        <v>9</v>
      </c>
      <c r="B774" s="6">
        <f>IF(Data!B774 = 'Point Intercept 2'!B774, Data!B774, "ERROR")</f>
        <v>2025</v>
      </c>
      <c r="C774" s="8">
        <f>IF(Data!C774 = 'Point Intercept 2'!C774, Data!C774, "ERROR")</f>
        <v>45764</v>
      </c>
      <c r="D774" s="6" t="str">
        <f>IF(Data!D774 = 'Point Intercept 2'!D774, Data!D774, "ERROR")</f>
        <v>TL, JR, AA</v>
      </c>
      <c r="E774" s="6" t="str">
        <f>IF(Data!E774 = 'Point Intercept 2'!E774, Data!E774, "ERROR")</f>
        <v>CU</v>
      </c>
      <c r="F774" s="6">
        <f>IF(Data!F774 = 'Point Intercept 2'!F774, Data!F774, "ERROR")</f>
        <v>1</v>
      </c>
      <c r="G774" s="6" t="str">
        <f>IF(Data!G774 = 'Point Intercept 2'!G774, Data!G774, "ERROR")</f>
        <v>LS</v>
      </c>
      <c r="H774" s="6">
        <f>IF(Data!I774 = 'Point Intercept 2'!I774, Data!I774, "ERROR")</f>
        <v>6</v>
      </c>
      <c r="I774" s="6">
        <f>IF(Data!H774 = 'Point Intercept 2'!H774, Data!H774, "ERROR")</f>
        <v>1</v>
      </c>
      <c r="J774" s="6">
        <f>IF(Data!J774 = 'Point Intercept 2'!J774, Data!J774, "ERROR")</f>
        <v>2.5</v>
      </c>
      <c r="K774" s="6" t="str">
        <f>IF(Data!K774 = 'Point Intercept 2'!K774, Data!K774, "ERROR")</f>
        <v>AVEFAT</v>
      </c>
      <c r="L774" s="6" t="str">
        <f>IF(Data!L774 = 'Point Intercept 2'!L774, Data!L774, "ERROR")</f>
        <v>Avena fatua</v>
      </c>
    </row>
    <row r="775" spans="1:12" x14ac:dyDescent="0.25">
      <c r="A775" s="6">
        <f>IF(Data!A775 = 'Point Intercept 2'!A775, Data!A775, "ERROR")</f>
        <v>9</v>
      </c>
      <c r="B775" s="6">
        <f>IF(Data!B775 = 'Point Intercept 2'!B775, Data!B775, "ERROR")</f>
        <v>2025</v>
      </c>
      <c r="C775" s="8">
        <f>IF(Data!C775 = 'Point Intercept 2'!C775, Data!C775, "ERROR")</f>
        <v>45764</v>
      </c>
      <c r="D775" s="6" t="str">
        <f>IF(Data!D775 = 'Point Intercept 2'!D775, Data!D775, "ERROR")</f>
        <v>TL, JR, AA</v>
      </c>
      <c r="E775" s="6" t="str">
        <f>IF(Data!E775 = 'Point Intercept 2'!E775, Data!E775, "ERROR")</f>
        <v>CU</v>
      </c>
      <c r="F775" s="6">
        <f>IF(Data!F775 = 'Point Intercept 2'!F775, Data!F775, "ERROR")</f>
        <v>1</v>
      </c>
      <c r="G775" s="6" t="str">
        <f>IF(Data!G775 = 'Point Intercept 2'!G775, Data!G775, "ERROR")</f>
        <v>LS</v>
      </c>
      <c r="H775" s="6">
        <f>IF(Data!I775 = 'Point Intercept 2'!I775, Data!I775, "ERROR")</f>
        <v>6</v>
      </c>
      <c r="I775" s="6">
        <f>IF(Data!H775 = 'Point Intercept 2'!H775, Data!H775, "ERROR")</f>
        <v>1</v>
      </c>
      <c r="J775" s="6">
        <f>IF(Data!J775 = 'Point Intercept 2'!J775, Data!J775, "ERROR")</f>
        <v>2.5</v>
      </c>
      <c r="K775" s="6" t="str">
        <f>IF(Data!K775 = 'Point Intercept 2'!K775, Data!K775, "ERROR")</f>
        <v>BROMAD</v>
      </c>
      <c r="L775" s="6" t="str">
        <f>IF(Data!L775 = 'Point Intercept 2'!L775, Data!L775, "ERROR")</f>
        <v>Bromus madritensis</v>
      </c>
    </row>
    <row r="776" spans="1:12" x14ac:dyDescent="0.25">
      <c r="A776" s="6">
        <f>IF(Data!A776 = 'Point Intercept 2'!A776, Data!A776, "ERROR")</f>
        <v>9</v>
      </c>
      <c r="B776" s="6">
        <f>IF(Data!B776 = 'Point Intercept 2'!B776, Data!B776, "ERROR")</f>
        <v>2025</v>
      </c>
      <c r="C776" s="8">
        <f>IF(Data!C776 = 'Point Intercept 2'!C776, Data!C776, "ERROR")</f>
        <v>45764</v>
      </c>
      <c r="D776" s="6" t="str">
        <f>IF(Data!D776 = 'Point Intercept 2'!D776, Data!D776, "ERROR")</f>
        <v>TL, JR, AA</v>
      </c>
      <c r="E776" s="6" t="str">
        <f>IF(Data!E776 = 'Point Intercept 2'!E776, Data!E776, "ERROR")</f>
        <v>CU</v>
      </c>
      <c r="F776" s="6">
        <f>IF(Data!F776 = 'Point Intercept 2'!F776, Data!F776, "ERROR")</f>
        <v>1</v>
      </c>
      <c r="G776" s="6" t="str">
        <f>IF(Data!G776 = 'Point Intercept 2'!G776, Data!G776, "ERROR")</f>
        <v>LS</v>
      </c>
      <c r="H776" s="6">
        <f>IF(Data!I776 = 'Point Intercept 2'!I776, Data!I776, "ERROR")</f>
        <v>6</v>
      </c>
      <c r="I776" s="6">
        <f>IF(Data!H776 = 'Point Intercept 2'!H776, Data!H776, "ERROR")</f>
        <v>1</v>
      </c>
      <c r="J776" s="6">
        <f>IF(Data!J776 = 'Point Intercept 2'!J776, Data!J776, "ERROR")</f>
        <v>2.5</v>
      </c>
      <c r="K776" s="6" t="str">
        <f>IF(Data!K776 = 'Point Intercept 2'!K776, Data!K776, "ERROR")</f>
        <v>OPULIT</v>
      </c>
      <c r="L776" s="6" t="str">
        <f>IF(Data!L776 = 'Point Intercept 2'!L776, Data!L776, "ERROR")</f>
        <v>Opuntia littoralis</v>
      </c>
    </row>
    <row r="777" spans="1:12" x14ac:dyDescent="0.25">
      <c r="A777" s="6">
        <f>IF(Data!A777 = 'Point Intercept 2'!A777, Data!A777, "ERROR")</f>
        <v>9</v>
      </c>
      <c r="B777" s="6">
        <f>IF(Data!B777 = 'Point Intercept 2'!B777, Data!B777, "ERROR")</f>
        <v>2025</v>
      </c>
      <c r="C777" s="8">
        <f>IF(Data!C777 = 'Point Intercept 2'!C777, Data!C777, "ERROR")</f>
        <v>45764</v>
      </c>
      <c r="D777" s="6" t="str">
        <f>IF(Data!D777 = 'Point Intercept 2'!D777, Data!D777, "ERROR")</f>
        <v>TL, JR, AA</v>
      </c>
      <c r="E777" s="6" t="str">
        <f>IF(Data!E777 = 'Point Intercept 2'!E777, Data!E777, "ERROR")</f>
        <v>CU</v>
      </c>
      <c r="F777" s="6">
        <f>IF(Data!F777 = 'Point Intercept 2'!F777, Data!F777, "ERROR")</f>
        <v>1</v>
      </c>
      <c r="G777" s="6" t="str">
        <f>IF(Data!G777 = 'Point Intercept 2'!G777, Data!G777, "ERROR")</f>
        <v>LS</v>
      </c>
      <c r="H777" s="6">
        <f>IF(Data!I777 = 'Point Intercept 2'!I777, Data!I777, "ERROR")</f>
        <v>7</v>
      </c>
      <c r="I777" s="6">
        <f>IF(Data!H777 = 'Point Intercept 2'!H777, Data!H777, "ERROR")</f>
        <v>1</v>
      </c>
      <c r="J777" s="6">
        <f>IF(Data!J777 = 'Point Intercept 2'!J777, Data!J777, "ERROR")</f>
        <v>3</v>
      </c>
      <c r="K777" s="6" t="str">
        <f>IF(Data!K777 = 'Point Intercept 2'!K777, Data!K777, "ERROR")</f>
        <v>L</v>
      </c>
      <c r="L777" s="6" t="str">
        <f>IF(Data!L777 = 'Point Intercept 2'!L777, Data!L777, "ERROR")</f>
        <v>Litter</v>
      </c>
    </row>
    <row r="778" spans="1:12" x14ac:dyDescent="0.25">
      <c r="A778" s="6">
        <f>IF(Data!A778 = 'Point Intercept 2'!A778, Data!A778, "ERROR")</f>
        <v>9</v>
      </c>
      <c r="B778" s="6">
        <f>IF(Data!B778 = 'Point Intercept 2'!B778, Data!B778, "ERROR")</f>
        <v>2025</v>
      </c>
      <c r="C778" s="8">
        <f>IF(Data!C778 = 'Point Intercept 2'!C778, Data!C778, "ERROR")</f>
        <v>45764</v>
      </c>
      <c r="D778" s="6" t="str">
        <f>IF(Data!D778 = 'Point Intercept 2'!D778, Data!D778, "ERROR")</f>
        <v>TL, JR, AA</v>
      </c>
      <c r="E778" s="6" t="str">
        <f>IF(Data!E778 = 'Point Intercept 2'!E778, Data!E778, "ERROR")</f>
        <v>CU</v>
      </c>
      <c r="F778" s="6">
        <f>IF(Data!F778 = 'Point Intercept 2'!F778, Data!F778, "ERROR")</f>
        <v>1</v>
      </c>
      <c r="G778" s="6" t="str">
        <f>IF(Data!G778 = 'Point Intercept 2'!G778, Data!G778, "ERROR")</f>
        <v>LS</v>
      </c>
      <c r="H778" s="6">
        <f>IF(Data!I778 = 'Point Intercept 2'!I778, Data!I778, "ERROR")</f>
        <v>7</v>
      </c>
      <c r="I778" s="6">
        <f>IF(Data!H778 = 'Point Intercept 2'!H778, Data!H778, "ERROR")</f>
        <v>1</v>
      </c>
      <c r="J778" s="6">
        <f>IF(Data!J778 = 'Point Intercept 2'!J778, Data!J778, "ERROR")</f>
        <v>3</v>
      </c>
      <c r="K778" s="6" t="str">
        <f>IF(Data!K778 = 'Point Intercept 2'!K778, Data!K778, "ERROR")</f>
        <v>DEIFAS</v>
      </c>
      <c r="L778" s="6" t="str">
        <f>IF(Data!L778 = 'Point Intercept 2'!L778, Data!L778, "ERROR")</f>
        <v>Deinandra fasciculata</v>
      </c>
    </row>
    <row r="779" spans="1:12" x14ac:dyDescent="0.25">
      <c r="A779" s="6">
        <f>IF(Data!A779 = 'Point Intercept 2'!A779, Data!A779, "ERROR")</f>
        <v>9</v>
      </c>
      <c r="B779" s="6">
        <f>IF(Data!B779 = 'Point Intercept 2'!B779, Data!B779, "ERROR")</f>
        <v>2025</v>
      </c>
      <c r="C779" s="8">
        <f>IF(Data!C779 = 'Point Intercept 2'!C779, Data!C779, "ERROR")</f>
        <v>45764</v>
      </c>
      <c r="D779" s="6" t="str">
        <f>IF(Data!D779 = 'Point Intercept 2'!D779, Data!D779, "ERROR")</f>
        <v>TL, JR, AA</v>
      </c>
      <c r="E779" s="6" t="str">
        <f>IF(Data!E779 = 'Point Intercept 2'!E779, Data!E779, "ERROR")</f>
        <v>CU</v>
      </c>
      <c r="F779" s="6">
        <f>IF(Data!F779 = 'Point Intercept 2'!F779, Data!F779, "ERROR")</f>
        <v>1</v>
      </c>
      <c r="G779" s="6" t="str">
        <f>IF(Data!G779 = 'Point Intercept 2'!G779, Data!G779, "ERROR")</f>
        <v>LS</v>
      </c>
      <c r="H779" s="6">
        <f>IF(Data!I779 = 'Point Intercept 2'!I779, Data!I779, "ERROR")</f>
        <v>7</v>
      </c>
      <c r="I779" s="6">
        <f>IF(Data!H779 = 'Point Intercept 2'!H779, Data!H779, "ERROR")</f>
        <v>1</v>
      </c>
      <c r="J779" s="6">
        <f>IF(Data!J779 = 'Point Intercept 2'!J779, Data!J779, "ERROR")</f>
        <v>3</v>
      </c>
      <c r="K779" s="6" t="str">
        <f>IF(Data!K779 = 'Point Intercept 2'!K779, Data!K779, "ERROR")</f>
        <v>FESMYU</v>
      </c>
      <c r="L779" s="6" t="str">
        <f>IF(Data!L779 = 'Point Intercept 2'!L779, Data!L779, "ERROR")</f>
        <v>Festuca myuros</v>
      </c>
    </row>
    <row r="780" spans="1:12" x14ac:dyDescent="0.25">
      <c r="A780" s="6">
        <f>IF(Data!A780 = 'Point Intercept 2'!A780, Data!A780, "ERROR")</f>
        <v>9</v>
      </c>
      <c r="B780" s="6">
        <f>IF(Data!B780 = 'Point Intercept 2'!B780, Data!B780, "ERROR")</f>
        <v>2025</v>
      </c>
      <c r="C780" s="8">
        <f>IF(Data!C780 = 'Point Intercept 2'!C780, Data!C780, "ERROR")</f>
        <v>45764</v>
      </c>
      <c r="D780" s="6" t="str">
        <f>IF(Data!D780 = 'Point Intercept 2'!D780, Data!D780, "ERROR")</f>
        <v>TL, JR, AA</v>
      </c>
      <c r="E780" s="6" t="str">
        <f>IF(Data!E780 = 'Point Intercept 2'!E780, Data!E780, "ERROR")</f>
        <v>CU</v>
      </c>
      <c r="F780" s="6">
        <f>IF(Data!F780 = 'Point Intercept 2'!F780, Data!F780, "ERROR")</f>
        <v>1</v>
      </c>
      <c r="G780" s="6" t="str">
        <f>IF(Data!G780 = 'Point Intercept 2'!G780, Data!G780, "ERROR")</f>
        <v>LS</v>
      </c>
      <c r="H780" s="6">
        <f>IF(Data!I780 = 'Point Intercept 2'!I780, Data!I780, "ERROR")</f>
        <v>8</v>
      </c>
      <c r="I780" s="6">
        <f>IF(Data!H780 = 'Point Intercept 2'!H780, Data!H780, "ERROR")</f>
        <v>1</v>
      </c>
      <c r="J780" s="6">
        <f>IF(Data!J780 = 'Point Intercept 2'!J780, Data!J780, "ERROR")</f>
        <v>3.5</v>
      </c>
      <c r="K780" s="6" t="str">
        <f>IF(Data!K780 = 'Point Intercept 2'!K780, Data!K780, "ERROR")</f>
        <v>L</v>
      </c>
      <c r="L780" s="6" t="str">
        <f>IF(Data!L780 = 'Point Intercept 2'!L780, Data!L780, "ERROR")</f>
        <v>Litter</v>
      </c>
    </row>
    <row r="781" spans="1:12" x14ac:dyDescent="0.25">
      <c r="A781" s="6">
        <f>IF(Data!A781 = 'Point Intercept 2'!A781, Data!A781, "ERROR")</f>
        <v>9</v>
      </c>
      <c r="B781" s="6">
        <f>IF(Data!B781 = 'Point Intercept 2'!B781, Data!B781, "ERROR")</f>
        <v>2025</v>
      </c>
      <c r="C781" s="8">
        <f>IF(Data!C781 = 'Point Intercept 2'!C781, Data!C781, "ERROR")</f>
        <v>45764</v>
      </c>
      <c r="D781" s="6" t="str">
        <f>IF(Data!D781 = 'Point Intercept 2'!D781, Data!D781, "ERROR")</f>
        <v>TL, JR, AA</v>
      </c>
      <c r="E781" s="6" t="str">
        <f>IF(Data!E781 = 'Point Intercept 2'!E781, Data!E781, "ERROR")</f>
        <v>CU</v>
      </c>
      <c r="F781" s="6">
        <f>IF(Data!F781 = 'Point Intercept 2'!F781, Data!F781, "ERROR")</f>
        <v>1</v>
      </c>
      <c r="G781" s="6" t="str">
        <f>IF(Data!G781 = 'Point Intercept 2'!G781, Data!G781, "ERROR")</f>
        <v>LS</v>
      </c>
      <c r="H781" s="6">
        <f>IF(Data!I781 = 'Point Intercept 2'!I781, Data!I781, "ERROR")</f>
        <v>8</v>
      </c>
      <c r="I781" s="6">
        <f>IF(Data!H781 = 'Point Intercept 2'!H781, Data!H781, "ERROR")</f>
        <v>1</v>
      </c>
      <c r="J781" s="6">
        <f>IF(Data!J781 = 'Point Intercept 2'!J781, Data!J781, "ERROR")</f>
        <v>3.5</v>
      </c>
      <c r="K781" s="6" t="str">
        <f>IF(Data!K781 = 'Point Intercept 2'!K781, Data!K781, "ERROR")</f>
        <v>DEIFAS</v>
      </c>
      <c r="L781" s="6" t="str">
        <f>IF(Data!L781 = 'Point Intercept 2'!L781, Data!L781, "ERROR")</f>
        <v>Deinandra fasciculata</v>
      </c>
    </row>
    <row r="782" spans="1:12" x14ac:dyDescent="0.25">
      <c r="A782" s="6">
        <f>IF(Data!A782 = 'Point Intercept 2'!A782, Data!A782, "ERROR")</f>
        <v>9</v>
      </c>
      <c r="B782" s="6">
        <f>IF(Data!B782 = 'Point Intercept 2'!B782, Data!B782, "ERROR")</f>
        <v>2025</v>
      </c>
      <c r="C782" s="8">
        <f>IF(Data!C782 = 'Point Intercept 2'!C782, Data!C782, "ERROR")</f>
        <v>45764</v>
      </c>
      <c r="D782" s="6" t="str">
        <f>IF(Data!D782 = 'Point Intercept 2'!D782, Data!D782, "ERROR")</f>
        <v>TL, JR, AA</v>
      </c>
      <c r="E782" s="6" t="str">
        <f>IF(Data!E782 = 'Point Intercept 2'!E782, Data!E782, "ERROR")</f>
        <v>CU</v>
      </c>
      <c r="F782" s="6">
        <f>IF(Data!F782 = 'Point Intercept 2'!F782, Data!F782, "ERROR")</f>
        <v>1</v>
      </c>
      <c r="G782" s="6" t="str">
        <f>IF(Data!G782 = 'Point Intercept 2'!G782, Data!G782, "ERROR")</f>
        <v>LS</v>
      </c>
      <c r="H782" s="6">
        <f>IF(Data!I782 = 'Point Intercept 2'!I782, Data!I782, "ERROR")</f>
        <v>8</v>
      </c>
      <c r="I782" s="6">
        <f>IF(Data!H782 = 'Point Intercept 2'!H782, Data!H782, "ERROR")</f>
        <v>1</v>
      </c>
      <c r="J782" s="6">
        <f>IF(Data!J782 = 'Point Intercept 2'!J782, Data!J782, "ERROR")</f>
        <v>3.5</v>
      </c>
      <c r="K782" s="6" t="str">
        <f>IF(Data!K782 = 'Point Intercept 2'!K782, Data!K782, "ERROR")</f>
        <v>SONOLE</v>
      </c>
      <c r="L782" s="6" t="str">
        <f>IF(Data!L782 = 'Point Intercept 2'!L782, Data!L782, "ERROR")</f>
        <v>Sonchus oleraceus</v>
      </c>
    </row>
    <row r="783" spans="1:12" x14ac:dyDescent="0.25">
      <c r="A783" s="6">
        <f>IF(Data!A783 = 'Point Intercept 2'!A783, Data!A783, "ERROR")</f>
        <v>9</v>
      </c>
      <c r="B783" s="6">
        <f>IF(Data!B783 = 'Point Intercept 2'!B783, Data!B783, "ERROR")</f>
        <v>2025</v>
      </c>
      <c r="C783" s="8">
        <f>IF(Data!C783 = 'Point Intercept 2'!C783, Data!C783, "ERROR")</f>
        <v>45764</v>
      </c>
      <c r="D783" s="6" t="str">
        <f>IF(Data!D783 = 'Point Intercept 2'!D783, Data!D783, "ERROR")</f>
        <v>TL, JR, AA</v>
      </c>
      <c r="E783" s="6" t="str">
        <f>IF(Data!E783 = 'Point Intercept 2'!E783, Data!E783, "ERROR")</f>
        <v>CU</v>
      </c>
      <c r="F783" s="6">
        <f>IF(Data!F783 = 'Point Intercept 2'!F783, Data!F783, "ERROR")</f>
        <v>1</v>
      </c>
      <c r="G783" s="6" t="str">
        <f>IF(Data!G783 = 'Point Intercept 2'!G783, Data!G783, "ERROR")</f>
        <v>LS</v>
      </c>
      <c r="H783" s="6">
        <f>IF(Data!I783 = 'Point Intercept 2'!I783, Data!I783, "ERROR")</f>
        <v>9</v>
      </c>
      <c r="I783" s="6">
        <f>IF(Data!H783 = 'Point Intercept 2'!H783, Data!H783, "ERROR")</f>
        <v>1</v>
      </c>
      <c r="J783" s="6">
        <f>IF(Data!J783 = 'Point Intercept 2'!J783, Data!J783, "ERROR")</f>
        <v>4</v>
      </c>
      <c r="K783" s="6" t="str">
        <f>IF(Data!K783 = 'Point Intercept 2'!K783, Data!K783, "ERROR")</f>
        <v>L</v>
      </c>
      <c r="L783" s="6" t="str">
        <f>IF(Data!L783 = 'Point Intercept 2'!L783, Data!L783, "ERROR")</f>
        <v>Litter</v>
      </c>
    </row>
    <row r="784" spans="1:12" x14ac:dyDescent="0.25">
      <c r="A784" s="6">
        <f>IF(Data!A784 = 'Point Intercept 2'!A784, Data!A784, "ERROR")</f>
        <v>9</v>
      </c>
      <c r="B784" s="6">
        <f>IF(Data!B784 = 'Point Intercept 2'!B784, Data!B784, "ERROR")</f>
        <v>2025</v>
      </c>
      <c r="C784" s="8">
        <f>IF(Data!C784 = 'Point Intercept 2'!C784, Data!C784, "ERROR")</f>
        <v>45764</v>
      </c>
      <c r="D784" s="6" t="str">
        <f>IF(Data!D784 = 'Point Intercept 2'!D784, Data!D784, "ERROR")</f>
        <v>TL, JR, AA</v>
      </c>
      <c r="E784" s="6" t="str">
        <f>IF(Data!E784 = 'Point Intercept 2'!E784, Data!E784, "ERROR")</f>
        <v>CU</v>
      </c>
      <c r="F784" s="6">
        <f>IF(Data!F784 = 'Point Intercept 2'!F784, Data!F784, "ERROR")</f>
        <v>1</v>
      </c>
      <c r="G784" s="6" t="str">
        <f>IF(Data!G784 = 'Point Intercept 2'!G784, Data!G784, "ERROR")</f>
        <v>LS</v>
      </c>
      <c r="H784" s="6">
        <f>IF(Data!I784 = 'Point Intercept 2'!I784, Data!I784, "ERROR")</f>
        <v>9</v>
      </c>
      <c r="I784" s="6">
        <f>IF(Data!H784 = 'Point Intercept 2'!H784, Data!H784, "ERROR")</f>
        <v>1</v>
      </c>
      <c r="J784" s="6">
        <f>IF(Data!J784 = 'Point Intercept 2'!J784, Data!J784, "ERROR")</f>
        <v>4</v>
      </c>
      <c r="K784" s="6" t="str">
        <f>IF(Data!K784 = 'Point Intercept 2'!K784, Data!K784, "ERROR")</f>
        <v>BROMAD</v>
      </c>
      <c r="L784" s="6" t="str">
        <f>IF(Data!L784 = 'Point Intercept 2'!L784, Data!L784, "ERROR")</f>
        <v>Bromus madritensis</v>
      </c>
    </row>
    <row r="785" spans="1:12" x14ac:dyDescent="0.25">
      <c r="A785" s="6">
        <f>IF(Data!A785 = 'Point Intercept 2'!A785, Data!A785, "ERROR")</f>
        <v>9</v>
      </c>
      <c r="B785" s="6">
        <f>IF(Data!B785 = 'Point Intercept 2'!B785, Data!B785, "ERROR")</f>
        <v>2025</v>
      </c>
      <c r="C785" s="8">
        <f>IF(Data!C785 = 'Point Intercept 2'!C785, Data!C785, "ERROR")</f>
        <v>45764</v>
      </c>
      <c r="D785" s="6" t="str">
        <f>IF(Data!D785 = 'Point Intercept 2'!D785, Data!D785, "ERROR")</f>
        <v>TL, JR, AA</v>
      </c>
      <c r="E785" s="6" t="str">
        <f>IF(Data!E785 = 'Point Intercept 2'!E785, Data!E785, "ERROR")</f>
        <v>CU</v>
      </c>
      <c r="F785" s="6">
        <f>IF(Data!F785 = 'Point Intercept 2'!F785, Data!F785, "ERROR")</f>
        <v>1</v>
      </c>
      <c r="G785" s="6" t="str">
        <f>IF(Data!G785 = 'Point Intercept 2'!G785, Data!G785, "ERROR")</f>
        <v>LS</v>
      </c>
      <c r="H785" s="6">
        <f>IF(Data!I785 = 'Point Intercept 2'!I785, Data!I785, "ERROR")</f>
        <v>9</v>
      </c>
      <c r="I785" s="6">
        <f>IF(Data!H785 = 'Point Intercept 2'!H785, Data!H785, "ERROR")</f>
        <v>1</v>
      </c>
      <c r="J785" s="6">
        <f>IF(Data!J785 = 'Point Intercept 2'!J785, Data!J785, "ERROR")</f>
        <v>4</v>
      </c>
      <c r="K785" s="6" t="str">
        <f>IF(Data!K785 = 'Point Intercept 2'!K785, Data!K785, "ERROR")</f>
        <v>DEIFAS</v>
      </c>
      <c r="L785" s="6" t="str">
        <f>IF(Data!L785 = 'Point Intercept 2'!L785, Data!L785, "ERROR")</f>
        <v>Deinandra fasciculata</v>
      </c>
    </row>
    <row r="786" spans="1:12" x14ac:dyDescent="0.25">
      <c r="A786" s="6">
        <f>IF(Data!A786 = 'Point Intercept 2'!A786, Data!A786, "ERROR")</f>
        <v>9</v>
      </c>
      <c r="B786" s="6">
        <f>IF(Data!B786 = 'Point Intercept 2'!B786, Data!B786, "ERROR")</f>
        <v>2025</v>
      </c>
      <c r="C786" s="8">
        <f>IF(Data!C786 = 'Point Intercept 2'!C786, Data!C786, "ERROR")</f>
        <v>45764</v>
      </c>
      <c r="D786" s="6" t="str">
        <f>IF(Data!D786 = 'Point Intercept 2'!D786, Data!D786, "ERROR")</f>
        <v>TL, JR, AA</v>
      </c>
      <c r="E786" s="6" t="str">
        <f>IF(Data!E786 = 'Point Intercept 2'!E786, Data!E786, "ERROR")</f>
        <v>CU</v>
      </c>
      <c r="F786" s="6">
        <f>IF(Data!F786 = 'Point Intercept 2'!F786, Data!F786, "ERROR")</f>
        <v>1</v>
      </c>
      <c r="G786" s="6" t="str">
        <f>IF(Data!G786 = 'Point Intercept 2'!G786, Data!G786, "ERROR")</f>
        <v>LS</v>
      </c>
      <c r="H786" s="6">
        <f>IF(Data!I786 = 'Point Intercept 2'!I786, Data!I786, "ERROR")</f>
        <v>9</v>
      </c>
      <c r="I786" s="6">
        <f>IF(Data!H786 = 'Point Intercept 2'!H786, Data!H786, "ERROR")</f>
        <v>1</v>
      </c>
      <c r="J786" s="6">
        <f>IF(Data!J786 = 'Point Intercept 2'!J786, Data!J786, "ERROR")</f>
        <v>4</v>
      </c>
      <c r="K786" s="6" t="str">
        <f>IF(Data!K786 = 'Point Intercept 2'!K786, Data!K786, "ERROR")</f>
        <v>UROLIN</v>
      </c>
      <c r="L786" s="6" t="str">
        <f>IF(Data!L786 = 'Point Intercept 2'!L786, Data!L786, "ERROR")</f>
        <v>Uropappus lindleyi</v>
      </c>
    </row>
    <row r="787" spans="1:12" x14ac:dyDescent="0.25">
      <c r="A787" s="6">
        <f>IF(Data!A787 = 'Point Intercept 2'!A787, Data!A787, "ERROR")</f>
        <v>9</v>
      </c>
      <c r="B787" s="6">
        <f>IF(Data!B787 = 'Point Intercept 2'!B787, Data!B787, "ERROR")</f>
        <v>2025</v>
      </c>
      <c r="C787" s="8">
        <f>IF(Data!C787 = 'Point Intercept 2'!C787, Data!C787, "ERROR")</f>
        <v>45764</v>
      </c>
      <c r="D787" s="6" t="str">
        <f>IF(Data!D787 = 'Point Intercept 2'!D787, Data!D787, "ERROR")</f>
        <v>TL, JR, AA</v>
      </c>
      <c r="E787" s="6" t="str">
        <f>IF(Data!E787 = 'Point Intercept 2'!E787, Data!E787, "ERROR")</f>
        <v>CU</v>
      </c>
      <c r="F787" s="6">
        <f>IF(Data!F787 = 'Point Intercept 2'!F787, Data!F787, "ERROR")</f>
        <v>1</v>
      </c>
      <c r="G787" s="6" t="str">
        <f>IF(Data!G787 = 'Point Intercept 2'!G787, Data!G787, "ERROR")</f>
        <v>LS</v>
      </c>
      <c r="H787" s="6">
        <f>IF(Data!I787 = 'Point Intercept 2'!I787, Data!I787, "ERROR")</f>
        <v>10</v>
      </c>
      <c r="I787" s="6">
        <f>IF(Data!H787 = 'Point Intercept 2'!H787, Data!H787, "ERROR")</f>
        <v>1</v>
      </c>
      <c r="J787" s="6">
        <f>IF(Data!J787 = 'Point Intercept 2'!J787, Data!J787, "ERROR")</f>
        <v>4.5</v>
      </c>
      <c r="K787" s="6" t="str">
        <f>IF(Data!K787 = 'Point Intercept 2'!K787, Data!K787, "ERROR")</f>
        <v>L</v>
      </c>
      <c r="L787" s="6" t="str">
        <f>IF(Data!L787 = 'Point Intercept 2'!L787, Data!L787, "ERROR")</f>
        <v>Litter</v>
      </c>
    </row>
    <row r="788" spans="1:12" x14ac:dyDescent="0.25">
      <c r="A788" s="6">
        <f>IF(Data!A788 = 'Point Intercept 2'!A788, Data!A788, "ERROR")</f>
        <v>9</v>
      </c>
      <c r="B788" s="6">
        <f>IF(Data!B788 = 'Point Intercept 2'!B788, Data!B788, "ERROR")</f>
        <v>2025</v>
      </c>
      <c r="C788" s="8">
        <f>IF(Data!C788 = 'Point Intercept 2'!C788, Data!C788, "ERROR")</f>
        <v>45764</v>
      </c>
      <c r="D788" s="6" t="str">
        <f>IF(Data!D788 = 'Point Intercept 2'!D788, Data!D788, "ERROR")</f>
        <v>TL, JR, AA</v>
      </c>
      <c r="E788" s="6" t="str">
        <f>IF(Data!E788 = 'Point Intercept 2'!E788, Data!E788, "ERROR")</f>
        <v>CU</v>
      </c>
      <c r="F788" s="6">
        <f>IF(Data!F788 = 'Point Intercept 2'!F788, Data!F788, "ERROR")</f>
        <v>1</v>
      </c>
      <c r="G788" s="6" t="str">
        <f>IF(Data!G788 = 'Point Intercept 2'!G788, Data!G788, "ERROR")</f>
        <v>LS</v>
      </c>
      <c r="H788" s="6">
        <f>IF(Data!I788 = 'Point Intercept 2'!I788, Data!I788, "ERROR")</f>
        <v>10</v>
      </c>
      <c r="I788" s="6">
        <f>IF(Data!H788 = 'Point Intercept 2'!H788, Data!H788, "ERROR")</f>
        <v>1</v>
      </c>
      <c r="J788" s="6">
        <f>IF(Data!J788 = 'Point Intercept 2'!J788, Data!J788, "ERROR")</f>
        <v>4.5</v>
      </c>
      <c r="K788" s="6" t="str">
        <f>IF(Data!K788 = 'Point Intercept 2'!K788, Data!K788, "ERROR")</f>
        <v>SONASP</v>
      </c>
      <c r="L788" s="6" t="str">
        <f>IF(Data!L788 = 'Point Intercept 2'!L788, Data!L788, "ERROR")</f>
        <v>Sonchus asper</v>
      </c>
    </row>
    <row r="789" spans="1:12" x14ac:dyDescent="0.25">
      <c r="A789" s="6">
        <f>IF(Data!A789 = 'Point Intercept 2'!A789, Data!A789, "ERROR")</f>
        <v>9</v>
      </c>
      <c r="B789" s="6">
        <f>IF(Data!B789 = 'Point Intercept 2'!B789, Data!B789, "ERROR")</f>
        <v>2025</v>
      </c>
      <c r="C789" s="8">
        <f>IF(Data!C789 = 'Point Intercept 2'!C789, Data!C789, "ERROR")</f>
        <v>45764</v>
      </c>
      <c r="D789" s="6" t="str">
        <f>IF(Data!D789 = 'Point Intercept 2'!D789, Data!D789, "ERROR")</f>
        <v>TL, JR, AA</v>
      </c>
      <c r="E789" s="6" t="str">
        <f>IF(Data!E789 = 'Point Intercept 2'!E789, Data!E789, "ERROR")</f>
        <v>CU</v>
      </c>
      <c r="F789" s="6">
        <f>IF(Data!F789 = 'Point Intercept 2'!F789, Data!F789, "ERROR")</f>
        <v>1</v>
      </c>
      <c r="G789" s="6" t="str">
        <f>IF(Data!G789 = 'Point Intercept 2'!G789, Data!G789, "ERROR")</f>
        <v>LS</v>
      </c>
      <c r="H789" s="6">
        <f>IF(Data!I789 = 'Point Intercept 2'!I789, Data!I789, "ERROR")</f>
        <v>10</v>
      </c>
      <c r="I789" s="6">
        <f>IF(Data!H789 = 'Point Intercept 2'!H789, Data!H789, "ERROR")</f>
        <v>1</v>
      </c>
      <c r="J789" s="6">
        <f>IF(Data!J789 = 'Point Intercept 2'!J789, Data!J789, "ERROR")</f>
        <v>4.5</v>
      </c>
      <c r="K789" s="6" t="str">
        <f>IF(Data!K789 = 'Point Intercept 2'!K789, Data!K789, "ERROR")</f>
        <v>SONOLE</v>
      </c>
      <c r="L789" s="6" t="str">
        <f>IF(Data!L789 = 'Point Intercept 2'!L789, Data!L789, "ERROR")</f>
        <v>Sonchus oleraceus</v>
      </c>
    </row>
    <row r="790" spans="1:12" x14ac:dyDescent="0.25">
      <c r="A790" s="6">
        <f>IF(Data!A790 = 'Point Intercept 2'!A790, Data!A790, "ERROR")</f>
        <v>9</v>
      </c>
      <c r="B790" s="6">
        <f>IF(Data!B790 = 'Point Intercept 2'!B790, Data!B790, "ERROR")</f>
        <v>2025</v>
      </c>
      <c r="C790" s="8">
        <f>IF(Data!C790 = 'Point Intercept 2'!C790, Data!C790, "ERROR")</f>
        <v>45764</v>
      </c>
      <c r="D790" s="6" t="str">
        <f>IF(Data!D790 = 'Point Intercept 2'!D790, Data!D790, "ERROR")</f>
        <v>TL, JR, AA</v>
      </c>
      <c r="E790" s="6" t="str">
        <f>IF(Data!E790 = 'Point Intercept 2'!E790, Data!E790, "ERROR")</f>
        <v>CU</v>
      </c>
      <c r="F790" s="6">
        <f>IF(Data!F790 = 'Point Intercept 2'!F790, Data!F790, "ERROR")</f>
        <v>1</v>
      </c>
      <c r="G790" s="6" t="str">
        <f>IF(Data!G790 = 'Point Intercept 2'!G790, Data!G790, "ERROR")</f>
        <v>LS</v>
      </c>
      <c r="H790" s="6">
        <f>IF(Data!I790 = 'Point Intercept 2'!I790, Data!I790, "ERROR")</f>
        <v>10</v>
      </c>
      <c r="I790" s="6">
        <f>IF(Data!H790 = 'Point Intercept 2'!H790, Data!H790, "ERROR")</f>
        <v>1</v>
      </c>
      <c r="J790" s="6">
        <f>IF(Data!J790 = 'Point Intercept 2'!J790, Data!J790, "ERROR")</f>
        <v>4.5</v>
      </c>
      <c r="K790" s="6" t="str">
        <f>IF(Data!K790 = 'Point Intercept 2'!K790, Data!K790, "ERROR")</f>
        <v>BROMAD</v>
      </c>
      <c r="L790" s="6" t="str">
        <f>IF(Data!L790 = 'Point Intercept 2'!L790, Data!L790, "ERROR")</f>
        <v>Bromus madritensis</v>
      </c>
    </row>
    <row r="791" spans="1:12" x14ac:dyDescent="0.25">
      <c r="A791" s="6">
        <f>IF(Data!A791 = 'Point Intercept 2'!A791, Data!A791, "ERROR")</f>
        <v>9</v>
      </c>
      <c r="B791" s="6">
        <f>IF(Data!B791 = 'Point Intercept 2'!B791, Data!B791, "ERROR")</f>
        <v>2025</v>
      </c>
      <c r="C791" s="8">
        <f>IF(Data!C791 = 'Point Intercept 2'!C791, Data!C791, "ERROR")</f>
        <v>45764</v>
      </c>
      <c r="D791" s="6" t="str">
        <f>IF(Data!D791 = 'Point Intercept 2'!D791, Data!D791, "ERROR")</f>
        <v>TL, JR, AA</v>
      </c>
      <c r="E791" s="6" t="str">
        <f>IF(Data!E791 = 'Point Intercept 2'!E791, Data!E791, "ERROR")</f>
        <v>CU</v>
      </c>
      <c r="F791" s="6">
        <f>IF(Data!F791 = 'Point Intercept 2'!F791, Data!F791, "ERROR")</f>
        <v>1</v>
      </c>
      <c r="G791" s="6" t="str">
        <f>IF(Data!G791 = 'Point Intercept 2'!G791, Data!G791, "ERROR")</f>
        <v>LS</v>
      </c>
      <c r="H791" s="6">
        <f>IF(Data!I791 = 'Point Intercept 2'!I791, Data!I791, "ERROR")</f>
        <v>10</v>
      </c>
      <c r="I791" s="6">
        <f>IF(Data!H791 = 'Point Intercept 2'!H791, Data!H791, "ERROR")</f>
        <v>1</v>
      </c>
      <c r="J791" s="6">
        <f>IF(Data!J791 = 'Point Intercept 2'!J791, Data!J791, "ERROR")</f>
        <v>4.5</v>
      </c>
      <c r="K791" s="6" t="str">
        <f>IF(Data!K791 = 'Point Intercept 2'!K791, Data!K791, "ERROR")</f>
        <v>FESMYU</v>
      </c>
      <c r="L791" s="6" t="str">
        <f>IF(Data!L791 = 'Point Intercept 2'!L791, Data!L791, "ERROR")</f>
        <v>Festuca myuros</v>
      </c>
    </row>
    <row r="792" spans="1:12" x14ac:dyDescent="0.25">
      <c r="A792" s="6">
        <f>IF(Data!A792 = 'Point Intercept 2'!A792, Data!A792, "ERROR")</f>
        <v>9</v>
      </c>
      <c r="B792" s="6">
        <f>IF(Data!B792 = 'Point Intercept 2'!B792, Data!B792, "ERROR")</f>
        <v>2025</v>
      </c>
      <c r="C792" s="8">
        <f>IF(Data!C792 = 'Point Intercept 2'!C792, Data!C792, "ERROR")</f>
        <v>45764</v>
      </c>
      <c r="D792" s="6" t="str">
        <f>IF(Data!D792 = 'Point Intercept 2'!D792, Data!D792, "ERROR")</f>
        <v>TL, JR, AA</v>
      </c>
      <c r="E792" s="6" t="str">
        <f>IF(Data!E792 = 'Point Intercept 2'!E792, Data!E792, "ERROR")</f>
        <v>CU</v>
      </c>
      <c r="F792" s="6">
        <f>IF(Data!F792 = 'Point Intercept 2'!F792, Data!F792, "ERROR")</f>
        <v>1</v>
      </c>
      <c r="G792" s="6" t="str">
        <f>IF(Data!G792 = 'Point Intercept 2'!G792, Data!G792, "ERROR")</f>
        <v>LS</v>
      </c>
      <c r="H792" s="6">
        <f>IF(Data!I792 = 'Point Intercept 2'!I792, Data!I792, "ERROR")</f>
        <v>11</v>
      </c>
      <c r="I792" s="6">
        <f>IF(Data!H792 = 'Point Intercept 2'!H792, Data!H792, "ERROR")</f>
        <v>1</v>
      </c>
      <c r="J792" s="6">
        <f>IF(Data!J792 = 'Point Intercept 2'!J792, Data!J792, "ERROR")</f>
        <v>5</v>
      </c>
      <c r="K792" s="6" t="str">
        <f>IF(Data!K792 = 'Point Intercept 2'!K792, Data!K792, "ERROR")</f>
        <v>L</v>
      </c>
      <c r="L792" s="6" t="str">
        <f>IF(Data!L792 = 'Point Intercept 2'!L792, Data!L792, "ERROR")</f>
        <v>Litter</v>
      </c>
    </row>
    <row r="793" spans="1:12" x14ac:dyDescent="0.25">
      <c r="A793" s="6">
        <f>IF(Data!A793 = 'Point Intercept 2'!A793, Data!A793, "ERROR")</f>
        <v>9</v>
      </c>
      <c r="B793" s="6">
        <f>IF(Data!B793 = 'Point Intercept 2'!B793, Data!B793, "ERROR")</f>
        <v>2025</v>
      </c>
      <c r="C793" s="8">
        <f>IF(Data!C793 = 'Point Intercept 2'!C793, Data!C793, "ERROR")</f>
        <v>45764</v>
      </c>
      <c r="D793" s="6" t="str">
        <f>IF(Data!D793 = 'Point Intercept 2'!D793, Data!D793, "ERROR")</f>
        <v>TL, JR, AA</v>
      </c>
      <c r="E793" s="6" t="str">
        <f>IF(Data!E793 = 'Point Intercept 2'!E793, Data!E793, "ERROR")</f>
        <v>CU</v>
      </c>
      <c r="F793" s="6">
        <f>IF(Data!F793 = 'Point Intercept 2'!F793, Data!F793, "ERROR")</f>
        <v>1</v>
      </c>
      <c r="G793" s="6" t="str">
        <f>IF(Data!G793 = 'Point Intercept 2'!G793, Data!G793, "ERROR")</f>
        <v>LS</v>
      </c>
      <c r="H793" s="6">
        <f>IF(Data!I793 = 'Point Intercept 2'!I793, Data!I793, "ERROR")</f>
        <v>11</v>
      </c>
      <c r="I793" s="6">
        <f>IF(Data!H793 = 'Point Intercept 2'!H793, Data!H793, "ERROR")</f>
        <v>1</v>
      </c>
      <c r="J793" s="6">
        <f>IF(Data!J793 = 'Point Intercept 2'!J793, Data!J793, "ERROR")</f>
        <v>5</v>
      </c>
      <c r="K793" s="6" t="str">
        <f>IF(Data!K793 = 'Point Intercept 2'!K793, Data!K793, "ERROR")</f>
        <v>BROMAD</v>
      </c>
      <c r="L793" s="6" t="str">
        <f>IF(Data!L793 = 'Point Intercept 2'!L793, Data!L793, "ERROR")</f>
        <v>Bromus madritensis</v>
      </c>
    </row>
    <row r="794" spans="1:12" x14ac:dyDescent="0.25">
      <c r="A794" s="6">
        <f>IF(Data!A794 = 'Point Intercept 2'!A794, Data!A794, "ERROR")</f>
        <v>9</v>
      </c>
      <c r="B794" s="6">
        <f>IF(Data!B794 = 'Point Intercept 2'!B794, Data!B794, "ERROR")</f>
        <v>2025</v>
      </c>
      <c r="C794" s="8">
        <f>IF(Data!C794 = 'Point Intercept 2'!C794, Data!C794, "ERROR")</f>
        <v>45764</v>
      </c>
      <c r="D794" s="6" t="str">
        <f>IF(Data!D794 = 'Point Intercept 2'!D794, Data!D794, "ERROR")</f>
        <v>TL, JR, AA</v>
      </c>
      <c r="E794" s="6" t="str">
        <f>IF(Data!E794 = 'Point Intercept 2'!E794, Data!E794, "ERROR")</f>
        <v>CU</v>
      </c>
      <c r="F794" s="6">
        <f>IF(Data!F794 = 'Point Intercept 2'!F794, Data!F794, "ERROR")</f>
        <v>1</v>
      </c>
      <c r="G794" s="6" t="str">
        <f>IF(Data!G794 = 'Point Intercept 2'!G794, Data!G794, "ERROR")</f>
        <v>LS</v>
      </c>
      <c r="H794" s="6">
        <f>IF(Data!I794 = 'Point Intercept 2'!I794, Data!I794, "ERROR")</f>
        <v>11</v>
      </c>
      <c r="I794" s="6">
        <f>IF(Data!H794 = 'Point Intercept 2'!H794, Data!H794, "ERROR")</f>
        <v>1</v>
      </c>
      <c r="J794" s="6">
        <f>IF(Data!J794 = 'Point Intercept 2'!J794, Data!J794, "ERROR")</f>
        <v>5</v>
      </c>
      <c r="K794" s="6" t="str">
        <f>IF(Data!K794 = 'Point Intercept 2'!K794, Data!K794, "ERROR")</f>
        <v>SONASP</v>
      </c>
      <c r="L794" s="6" t="str">
        <f>IF(Data!L794 = 'Point Intercept 2'!L794, Data!L794, "ERROR")</f>
        <v>Sonchus asper</v>
      </c>
    </row>
    <row r="795" spans="1:12" x14ac:dyDescent="0.25">
      <c r="A795" s="6">
        <f>IF(Data!A795 = 'Point Intercept 2'!A795, Data!A795, "ERROR")</f>
        <v>9</v>
      </c>
      <c r="B795" s="6">
        <f>IF(Data!B795 = 'Point Intercept 2'!B795, Data!B795, "ERROR")</f>
        <v>2025</v>
      </c>
      <c r="C795" s="8">
        <f>IF(Data!C795 = 'Point Intercept 2'!C795, Data!C795, "ERROR")</f>
        <v>45764</v>
      </c>
      <c r="D795" s="6" t="str">
        <f>IF(Data!D795 = 'Point Intercept 2'!D795, Data!D795, "ERROR")</f>
        <v>TL, JR, AA</v>
      </c>
      <c r="E795" s="6" t="str">
        <f>IF(Data!E795 = 'Point Intercept 2'!E795, Data!E795, "ERROR")</f>
        <v>CU</v>
      </c>
      <c r="F795" s="6">
        <f>IF(Data!F795 = 'Point Intercept 2'!F795, Data!F795, "ERROR")</f>
        <v>1</v>
      </c>
      <c r="G795" s="6" t="str">
        <f>IF(Data!G795 = 'Point Intercept 2'!G795, Data!G795, "ERROR")</f>
        <v>LS</v>
      </c>
      <c r="H795" s="6">
        <f>IF(Data!I795 = 'Point Intercept 2'!I795, Data!I795, "ERROR")</f>
        <v>12</v>
      </c>
      <c r="I795" s="6">
        <f>IF(Data!H795 = 'Point Intercept 2'!H795, Data!H795, "ERROR")</f>
        <v>1</v>
      </c>
      <c r="J795" s="6">
        <f>IF(Data!J795 = 'Point Intercept 2'!J795, Data!J795, "ERROR")</f>
        <v>5.5</v>
      </c>
      <c r="K795" s="6" t="str">
        <f>IF(Data!K795 = 'Point Intercept 2'!K795, Data!K795, "ERROR")</f>
        <v>L</v>
      </c>
      <c r="L795" s="6" t="str">
        <f>IF(Data!L795 = 'Point Intercept 2'!L795, Data!L795, "ERROR")</f>
        <v>Litter</v>
      </c>
    </row>
    <row r="796" spans="1:12" x14ac:dyDescent="0.25">
      <c r="A796" s="6">
        <f>IF(Data!A796 = 'Point Intercept 2'!A796, Data!A796, "ERROR")</f>
        <v>9</v>
      </c>
      <c r="B796" s="6">
        <f>IF(Data!B796 = 'Point Intercept 2'!B796, Data!B796, "ERROR")</f>
        <v>2025</v>
      </c>
      <c r="C796" s="8">
        <f>IF(Data!C796 = 'Point Intercept 2'!C796, Data!C796, "ERROR")</f>
        <v>45764</v>
      </c>
      <c r="D796" s="6" t="str">
        <f>IF(Data!D796 = 'Point Intercept 2'!D796, Data!D796, "ERROR")</f>
        <v>TL, JR, AA</v>
      </c>
      <c r="E796" s="6" t="str">
        <f>IF(Data!E796 = 'Point Intercept 2'!E796, Data!E796, "ERROR")</f>
        <v>CU</v>
      </c>
      <c r="F796" s="6">
        <f>IF(Data!F796 = 'Point Intercept 2'!F796, Data!F796, "ERROR")</f>
        <v>1</v>
      </c>
      <c r="G796" s="6" t="str">
        <f>IF(Data!G796 = 'Point Intercept 2'!G796, Data!G796, "ERROR")</f>
        <v>LS</v>
      </c>
      <c r="H796" s="6">
        <f>IF(Data!I796 = 'Point Intercept 2'!I796, Data!I796, "ERROR")</f>
        <v>12</v>
      </c>
      <c r="I796" s="6">
        <f>IF(Data!H796 = 'Point Intercept 2'!H796, Data!H796, "ERROR")</f>
        <v>1</v>
      </c>
      <c r="J796" s="6">
        <f>IF(Data!J796 = 'Point Intercept 2'!J796, Data!J796, "ERROR")</f>
        <v>5.5</v>
      </c>
      <c r="K796" s="6" t="str">
        <f>IF(Data!K796 = 'Point Intercept 2'!K796, Data!K796, "ERROR")</f>
        <v>ANAARV</v>
      </c>
      <c r="L796" s="6" t="str">
        <f>IF(Data!L796 = 'Point Intercept 2'!L796, Data!L796, "ERROR")</f>
        <v>Anagallis arvensis</v>
      </c>
    </row>
    <row r="797" spans="1:12" x14ac:dyDescent="0.25">
      <c r="A797" s="6">
        <f>IF(Data!A797 = 'Point Intercept 2'!A797, Data!A797, "ERROR")</f>
        <v>9</v>
      </c>
      <c r="B797" s="6">
        <f>IF(Data!B797 = 'Point Intercept 2'!B797, Data!B797, "ERROR")</f>
        <v>2025</v>
      </c>
      <c r="C797" s="8">
        <f>IF(Data!C797 = 'Point Intercept 2'!C797, Data!C797, "ERROR")</f>
        <v>45764</v>
      </c>
      <c r="D797" s="6" t="str">
        <f>IF(Data!D797 = 'Point Intercept 2'!D797, Data!D797, "ERROR")</f>
        <v>TL, JR, AA</v>
      </c>
      <c r="E797" s="6" t="str">
        <f>IF(Data!E797 = 'Point Intercept 2'!E797, Data!E797, "ERROR")</f>
        <v>CU</v>
      </c>
      <c r="F797" s="6">
        <f>IF(Data!F797 = 'Point Intercept 2'!F797, Data!F797, "ERROR")</f>
        <v>1</v>
      </c>
      <c r="G797" s="6" t="str">
        <f>IF(Data!G797 = 'Point Intercept 2'!G797, Data!G797, "ERROR")</f>
        <v>LS</v>
      </c>
      <c r="H797" s="6">
        <f>IF(Data!I797 = 'Point Intercept 2'!I797, Data!I797, "ERROR")</f>
        <v>13</v>
      </c>
      <c r="I797" s="6">
        <f>IF(Data!H797 = 'Point Intercept 2'!H797, Data!H797, "ERROR")</f>
        <v>1</v>
      </c>
      <c r="J797" s="6">
        <f>IF(Data!J797 = 'Point Intercept 2'!J797, Data!J797, "ERROR")</f>
        <v>6.5</v>
      </c>
      <c r="K797" s="6" t="str">
        <f>IF(Data!K797 = 'Point Intercept 2'!K797, Data!K797, "ERROR")</f>
        <v>L</v>
      </c>
      <c r="L797" s="6" t="str">
        <f>IF(Data!L797 = 'Point Intercept 2'!L797, Data!L797, "ERROR")</f>
        <v>Litter</v>
      </c>
    </row>
    <row r="798" spans="1:12" x14ac:dyDescent="0.25">
      <c r="A798" s="6">
        <f>IF(Data!A798 = 'Point Intercept 2'!A798, Data!A798, "ERROR")</f>
        <v>9</v>
      </c>
      <c r="B798" s="6">
        <f>IF(Data!B798 = 'Point Intercept 2'!B798, Data!B798, "ERROR")</f>
        <v>2025</v>
      </c>
      <c r="C798" s="8">
        <f>IF(Data!C798 = 'Point Intercept 2'!C798, Data!C798, "ERROR")</f>
        <v>45764</v>
      </c>
      <c r="D798" s="6" t="str">
        <f>IF(Data!D798 = 'Point Intercept 2'!D798, Data!D798, "ERROR")</f>
        <v>TL, JR, AA</v>
      </c>
      <c r="E798" s="6" t="str">
        <f>IF(Data!E798 = 'Point Intercept 2'!E798, Data!E798, "ERROR")</f>
        <v>CU</v>
      </c>
      <c r="F798" s="6">
        <f>IF(Data!F798 = 'Point Intercept 2'!F798, Data!F798, "ERROR")</f>
        <v>1</v>
      </c>
      <c r="G798" s="6" t="str">
        <f>IF(Data!G798 = 'Point Intercept 2'!G798, Data!G798, "ERROR")</f>
        <v>LS</v>
      </c>
      <c r="H798" s="6">
        <f>IF(Data!I798 = 'Point Intercept 2'!I798, Data!I798, "ERROR")</f>
        <v>13</v>
      </c>
      <c r="I798" s="6">
        <f>IF(Data!H798 = 'Point Intercept 2'!H798, Data!H798, "ERROR")</f>
        <v>1</v>
      </c>
      <c r="J798" s="6">
        <f>IF(Data!J798 = 'Point Intercept 2'!J798, Data!J798, "ERROR")</f>
        <v>6.5</v>
      </c>
      <c r="K798" s="6" t="str">
        <f>IF(Data!K798 = 'Point Intercept 2'!K798, Data!K798, "ERROR")</f>
        <v>ANAARV</v>
      </c>
      <c r="L798" s="6" t="str">
        <f>IF(Data!L798 = 'Point Intercept 2'!L798, Data!L798, "ERROR")</f>
        <v>Anagallis arvensis</v>
      </c>
    </row>
    <row r="799" spans="1:12" x14ac:dyDescent="0.25">
      <c r="A799" s="6">
        <f>IF(Data!A799 = 'Point Intercept 2'!A799, Data!A799, "ERROR")</f>
        <v>9</v>
      </c>
      <c r="B799" s="6">
        <f>IF(Data!B799 = 'Point Intercept 2'!B799, Data!B799, "ERROR")</f>
        <v>2025</v>
      </c>
      <c r="C799" s="8">
        <f>IF(Data!C799 = 'Point Intercept 2'!C799, Data!C799, "ERROR")</f>
        <v>45764</v>
      </c>
      <c r="D799" s="6" t="str">
        <f>IF(Data!D799 = 'Point Intercept 2'!D799, Data!D799, "ERROR")</f>
        <v>TL, JR, AA</v>
      </c>
      <c r="E799" s="6" t="str">
        <f>IF(Data!E799 = 'Point Intercept 2'!E799, Data!E799, "ERROR")</f>
        <v>CU</v>
      </c>
      <c r="F799" s="6">
        <f>IF(Data!F799 = 'Point Intercept 2'!F799, Data!F799, "ERROR")</f>
        <v>1</v>
      </c>
      <c r="G799" s="6" t="str">
        <f>IF(Data!G799 = 'Point Intercept 2'!G799, Data!G799, "ERROR")</f>
        <v>LS</v>
      </c>
      <c r="H799" s="6">
        <f>IF(Data!I799 = 'Point Intercept 2'!I799, Data!I799, "ERROR")</f>
        <v>13</v>
      </c>
      <c r="I799" s="6">
        <f>IF(Data!H799 = 'Point Intercept 2'!H799, Data!H799, "ERROR")</f>
        <v>1</v>
      </c>
      <c r="J799" s="6">
        <f>IF(Data!J799 = 'Point Intercept 2'!J799, Data!J799, "ERROR")</f>
        <v>6.5</v>
      </c>
      <c r="K799" s="6" t="str">
        <f>IF(Data!K799 = 'Point Intercept 2'!K799, Data!K799, "ERROR")</f>
        <v>DEIFAS</v>
      </c>
      <c r="L799" s="6" t="str">
        <f>IF(Data!L799 = 'Point Intercept 2'!L799, Data!L799, "ERROR")</f>
        <v>Deinandra fasciculata</v>
      </c>
    </row>
    <row r="800" spans="1:12" x14ac:dyDescent="0.25">
      <c r="A800" s="6">
        <f>IF(Data!A800 = 'Point Intercept 2'!A800, Data!A800, "ERROR")</f>
        <v>9</v>
      </c>
      <c r="B800" s="6">
        <f>IF(Data!B800 = 'Point Intercept 2'!B800, Data!B800, "ERROR")</f>
        <v>2025</v>
      </c>
      <c r="C800" s="8">
        <f>IF(Data!C800 = 'Point Intercept 2'!C800, Data!C800, "ERROR")</f>
        <v>45764</v>
      </c>
      <c r="D800" s="6" t="str">
        <f>IF(Data!D800 = 'Point Intercept 2'!D800, Data!D800, "ERROR")</f>
        <v>TL, JR, AA</v>
      </c>
      <c r="E800" s="6" t="str">
        <f>IF(Data!E800 = 'Point Intercept 2'!E800, Data!E800, "ERROR")</f>
        <v>CU</v>
      </c>
      <c r="F800" s="6">
        <f>IF(Data!F800 = 'Point Intercept 2'!F800, Data!F800, "ERROR")</f>
        <v>1</v>
      </c>
      <c r="G800" s="6" t="str">
        <f>IF(Data!G800 = 'Point Intercept 2'!G800, Data!G800, "ERROR")</f>
        <v>LS</v>
      </c>
      <c r="H800" s="6">
        <f>IF(Data!I800 = 'Point Intercept 2'!I800, Data!I800, "ERROR")</f>
        <v>13</v>
      </c>
      <c r="I800" s="6">
        <f>IF(Data!H800 = 'Point Intercept 2'!H800, Data!H800, "ERROR")</f>
        <v>1</v>
      </c>
      <c r="J800" s="6">
        <f>IF(Data!J800 = 'Point Intercept 2'!J800, Data!J800, "ERROR")</f>
        <v>6.5</v>
      </c>
      <c r="K800" s="6" t="str">
        <f>IF(Data!K800 = 'Point Intercept 2'!K800, Data!K800, "ERROR")</f>
        <v>FESMYU</v>
      </c>
      <c r="L800" s="6" t="str">
        <f>IF(Data!L800 = 'Point Intercept 2'!L800, Data!L800, "ERROR")</f>
        <v>Festuca myuros</v>
      </c>
    </row>
    <row r="801" spans="1:12" x14ac:dyDescent="0.25">
      <c r="A801" s="6">
        <f>IF(Data!A801 = 'Point Intercept 2'!A801, Data!A801, "ERROR")</f>
        <v>9</v>
      </c>
      <c r="B801" s="6">
        <f>IF(Data!B801 = 'Point Intercept 2'!B801, Data!B801, "ERROR")</f>
        <v>2025</v>
      </c>
      <c r="C801" s="8">
        <f>IF(Data!C801 = 'Point Intercept 2'!C801, Data!C801, "ERROR")</f>
        <v>45764</v>
      </c>
      <c r="D801" s="6" t="str">
        <f>IF(Data!D801 = 'Point Intercept 2'!D801, Data!D801, "ERROR")</f>
        <v>TL, JR, AA</v>
      </c>
      <c r="E801" s="6" t="str">
        <f>IF(Data!E801 = 'Point Intercept 2'!E801, Data!E801, "ERROR")</f>
        <v>CU</v>
      </c>
      <c r="F801" s="6">
        <f>IF(Data!F801 = 'Point Intercept 2'!F801, Data!F801, "ERROR")</f>
        <v>1</v>
      </c>
      <c r="G801" s="6" t="str">
        <f>IF(Data!G801 = 'Point Intercept 2'!G801, Data!G801, "ERROR")</f>
        <v>LS</v>
      </c>
      <c r="H801" s="6">
        <f>IF(Data!I801 = 'Point Intercept 2'!I801, Data!I801, "ERROR")</f>
        <v>14</v>
      </c>
      <c r="I801" s="6">
        <f>IF(Data!H801 = 'Point Intercept 2'!H801, Data!H801, "ERROR")</f>
        <v>1</v>
      </c>
      <c r="J801" s="6">
        <f>IF(Data!J801 = 'Point Intercept 2'!J801, Data!J801, "ERROR")</f>
        <v>7</v>
      </c>
      <c r="K801" s="6" t="str">
        <f>IF(Data!K801 = 'Point Intercept 2'!K801, Data!K801, "ERROR")</f>
        <v>L</v>
      </c>
      <c r="L801" s="6" t="str">
        <f>IF(Data!L801 = 'Point Intercept 2'!L801, Data!L801, "ERROR")</f>
        <v>Litter</v>
      </c>
    </row>
    <row r="802" spans="1:12" x14ac:dyDescent="0.25">
      <c r="A802" s="6">
        <f>IF(Data!A802 = 'Point Intercept 2'!A802, Data!A802, "ERROR")</f>
        <v>9</v>
      </c>
      <c r="B802" s="6">
        <f>IF(Data!B802 = 'Point Intercept 2'!B802, Data!B802, "ERROR")</f>
        <v>2025</v>
      </c>
      <c r="C802" s="8">
        <f>IF(Data!C802 = 'Point Intercept 2'!C802, Data!C802, "ERROR")</f>
        <v>45764</v>
      </c>
      <c r="D802" s="6" t="str">
        <f>IF(Data!D802 = 'Point Intercept 2'!D802, Data!D802, "ERROR")</f>
        <v>TL, JR, AA</v>
      </c>
      <c r="E802" s="6" t="str">
        <f>IF(Data!E802 = 'Point Intercept 2'!E802, Data!E802, "ERROR")</f>
        <v>CU</v>
      </c>
      <c r="F802" s="6">
        <f>IF(Data!F802 = 'Point Intercept 2'!F802, Data!F802, "ERROR")</f>
        <v>1</v>
      </c>
      <c r="G802" s="6" t="str">
        <f>IF(Data!G802 = 'Point Intercept 2'!G802, Data!G802, "ERROR")</f>
        <v>LS</v>
      </c>
      <c r="H802" s="6">
        <f>IF(Data!I802 = 'Point Intercept 2'!I802, Data!I802, "ERROR")</f>
        <v>14</v>
      </c>
      <c r="I802" s="6">
        <f>IF(Data!H802 = 'Point Intercept 2'!H802, Data!H802, "ERROR")</f>
        <v>1</v>
      </c>
      <c r="J802" s="6">
        <f>IF(Data!J802 = 'Point Intercept 2'!J802, Data!J802, "ERROR")</f>
        <v>7</v>
      </c>
      <c r="K802" s="6" t="str">
        <f>IF(Data!K802 = 'Point Intercept 2'!K802, Data!K802, "ERROR")</f>
        <v>UROLIN</v>
      </c>
      <c r="L802" s="6" t="str">
        <f>IF(Data!L802 = 'Point Intercept 2'!L802, Data!L802, "ERROR")</f>
        <v>Uropappus lindleyi</v>
      </c>
    </row>
    <row r="803" spans="1:12" x14ac:dyDescent="0.25">
      <c r="A803" s="6">
        <f>IF(Data!A803 = 'Point Intercept 2'!A803, Data!A803, "ERROR")</f>
        <v>9</v>
      </c>
      <c r="B803" s="6">
        <f>IF(Data!B803 = 'Point Intercept 2'!B803, Data!B803, "ERROR")</f>
        <v>2025</v>
      </c>
      <c r="C803" s="8">
        <f>IF(Data!C803 = 'Point Intercept 2'!C803, Data!C803, "ERROR")</f>
        <v>45764</v>
      </c>
      <c r="D803" s="6" t="str">
        <f>IF(Data!D803 = 'Point Intercept 2'!D803, Data!D803, "ERROR")</f>
        <v>TL, JR, AA</v>
      </c>
      <c r="E803" s="6" t="str">
        <f>IF(Data!E803 = 'Point Intercept 2'!E803, Data!E803, "ERROR")</f>
        <v>CU</v>
      </c>
      <c r="F803" s="6">
        <f>IF(Data!F803 = 'Point Intercept 2'!F803, Data!F803, "ERROR")</f>
        <v>1</v>
      </c>
      <c r="G803" s="6" t="str">
        <f>IF(Data!G803 = 'Point Intercept 2'!G803, Data!G803, "ERROR")</f>
        <v>LS</v>
      </c>
      <c r="H803" s="6">
        <f>IF(Data!I803 = 'Point Intercept 2'!I803, Data!I803, "ERROR")</f>
        <v>14</v>
      </c>
      <c r="I803" s="6">
        <f>IF(Data!H803 = 'Point Intercept 2'!H803, Data!H803, "ERROR")</f>
        <v>1</v>
      </c>
      <c r="J803" s="6">
        <f>IF(Data!J803 = 'Point Intercept 2'!J803, Data!J803, "ERROR")</f>
        <v>7</v>
      </c>
      <c r="K803" s="6" t="str">
        <f>IF(Data!K803 = 'Point Intercept 2'!K803, Data!K803, "ERROR")</f>
        <v>ANAARV</v>
      </c>
      <c r="L803" s="6" t="str">
        <f>IF(Data!L803 = 'Point Intercept 2'!L803, Data!L803, "ERROR")</f>
        <v>Anagallis arvensis</v>
      </c>
    </row>
    <row r="804" spans="1:12" x14ac:dyDescent="0.25">
      <c r="A804" s="6">
        <f>IF(Data!A804 = 'Point Intercept 2'!A804, Data!A804, "ERROR")</f>
        <v>9</v>
      </c>
      <c r="B804" s="6">
        <f>IF(Data!B804 = 'Point Intercept 2'!B804, Data!B804, "ERROR")</f>
        <v>2025</v>
      </c>
      <c r="C804" s="8">
        <f>IF(Data!C804 = 'Point Intercept 2'!C804, Data!C804, "ERROR")</f>
        <v>45764</v>
      </c>
      <c r="D804" s="6" t="str">
        <f>IF(Data!D804 = 'Point Intercept 2'!D804, Data!D804, "ERROR")</f>
        <v>TL, JR, AA</v>
      </c>
      <c r="E804" s="6" t="str">
        <f>IF(Data!E804 = 'Point Intercept 2'!E804, Data!E804, "ERROR")</f>
        <v>CU</v>
      </c>
      <c r="F804" s="6">
        <f>IF(Data!F804 = 'Point Intercept 2'!F804, Data!F804, "ERROR")</f>
        <v>1</v>
      </c>
      <c r="G804" s="6" t="str">
        <f>IF(Data!G804 = 'Point Intercept 2'!G804, Data!G804, "ERROR")</f>
        <v>LS</v>
      </c>
      <c r="H804" s="6">
        <f>IF(Data!I804 = 'Point Intercept 2'!I804, Data!I804, "ERROR")</f>
        <v>14</v>
      </c>
      <c r="I804" s="6">
        <f>IF(Data!H804 = 'Point Intercept 2'!H804, Data!H804, "ERROR")</f>
        <v>1</v>
      </c>
      <c r="J804" s="6">
        <f>IF(Data!J804 = 'Point Intercept 2'!J804, Data!J804, "ERROR")</f>
        <v>7</v>
      </c>
      <c r="K804" s="6" t="str">
        <f>IF(Data!K804 = 'Point Intercept 2'!K804, Data!K804, "ERROR")</f>
        <v>SONASP</v>
      </c>
      <c r="L804" s="6" t="str">
        <f>IF(Data!L804 = 'Point Intercept 2'!L804, Data!L804, "ERROR")</f>
        <v>Sonchus asper</v>
      </c>
    </row>
    <row r="805" spans="1:12" x14ac:dyDescent="0.25">
      <c r="A805" s="6">
        <f>IF(Data!A805 = 'Point Intercept 2'!A805, Data!A805, "ERROR")</f>
        <v>9</v>
      </c>
      <c r="B805" s="6">
        <f>IF(Data!B805 = 'Point Intercept 2'!B805, Data!B805, "ERROR")</f>
        <v>2025</v>
      </c>
      <c r="C805" s="8">
        <f>IF(Data!C805 = 'Point Intercept 2'!C805, Data!C805, "ERROR")</f>
        <v>45764</v>
      </c>
      <c r="D805" s="6" t="str">
        <f>IF(Data!D805 = 'Point Intercept 2'!D805, Data!D805, "ERROR")</f>
        <v>TL, JR, AA</v>
      </c>
      <c r="E805" s="6" t="str">
        <f>IF(Data!E805 = 'Point Intercept 2'!E805, Data!E805, "ERROR")</f>
        <v>CU</v>
      </c>
      <c r="F805" s="6">
        <f>IF(Data!F805 = 'Point Intercept 2'!F805, Data!F805, "ERROR")</f>
        <v>1</v>
      </c>
      <c r="G805" s="6" t="str">
        <f>IF(Data!G805 = 'Point Intercept 2'!G805, Data!G805, "ERROR")</f>
        <v>LS</v>
      </c>
      <c r="H805" s="6">
        <f>IF(Data!I805 = 'Point Intercept 2'!I805, Data!I805, "ERROR")</f>
        <v>15</v>
      </c>
      <c r="I805" s="6">
        <f>IF(Data!H805 = 'Point Intercept 2'!H805, Data!H805, "ERROR")</f>
        <v>1</v>
      </c>
      <c r="J805" s="6">
        <f>IF(Data!J805 = 'Point Intercept 2'!J805, Data!J805, "ERROR")</f>
        <v>7.5</v>
      </c>
      <c r="K805" s="6" t="str">
        <f>IF(Data!K805 = 'Point Intercept 2'!K805, Data!K805, "ERROR")</f>
        <v>L</v>
      </c>
      <c r="L805" s="6" t="str">
        <f>IF(Data!L805 = 'Point Intercept 2'!L805, Data!L805, "ERROR")</f>
        <v>Litter</v>
      </c>
    </row>
    <row r="806" spans="1:12" x14ac:dyDescent="0.25">
      <c r="A806" s="6">
        <f>IF(Data!A806 = 'Point Intercept 2'!A806, Data!A806, "ERROR")</f>
        <v>9</v>
      </c>
      <c r="B806" s="6">
        <f>IF(Data!B806 = 'Point Intercept 2'!B806, Data!B806, "ERROR")</f>
        <v>2025</v>
      </c>
      <c r="C806" s="8">
        <f>IF(Data!C806 = 'Point Intercept 2'!C806, Data!C806, "ERROR")</f>
        <v>45764</v>
      </c>
      <c r="D806" s="6" t="str">
        <f>IF(Data!D806 = 'Point Intercept 2'!D806, Data!D806, "ERROR")</f>
        <v>TL, JR, AA</v>
      </c>
      <c r="E806" s="6" t="str">
        <f>IF(Data!E806 = 'Point Intercept 2'!E806, Data!E806, "ERROR")</f>
        <v>CU</v>
      </c>
      <c r="F806" s="6">
        <f>IF(Data!F806 = 'Point Intercept 2'!F806, Data!F806, "ERROR")</f>
        <v>1</v>
      </c>
      <c r="G806" s="6" t="str">
        <f>IF(Data!G806 = 'Point Intercept 2'!G806, Data!G806, "ERROR")</f>
        <v>LS</v>
      </c>
      <c r="H806" s="6">
        <f>IF(Data!I806 = 'Point Intercept 2'!I806, Data!I806, "ERROR")</f>
        <v>15</v>
      </c>
      <c r="I806" s="6">
        <f>IF(Data!H806 = 'Point Intercept 2'!H806, Data!H806, "ERROR")</f>
        <v>1</v>
      </c>
      <c r="J806" s="6">
        <f>IF(Data!J806 = 'Point Intercept 2'!J806, Data!J806, "ERROR")</f>
        <v>7.5</v>
      </c>
      <c r="K806" s="6" t="str">
        <f>IF(Data!K806 = 'Point Intercept 2'!K806, Data!K806, "ERROR")</f>
        <v>BROMAD</v>
      </c>
      <c r="L806" s="6" t="str">
        <f>IF(Data!L806 = 'Point Intercept 2'!L806, Data!L806, "ERROR")</f>
        <v>Bromus madritensis</v>
      </c>
    </row>
    <row r="807" spans="1:12" x14ac:dyDescent="0.25">
      <c r="A807" s="6">
        <f>IF(Data!A807 = 'Point Intercept 2'!A807, Data!A807, "ERROR")</f>
        <v>9</v>
      </c>
      <c r="B807" s="6">
        <f>IF(Data!B807 = 'Point Intercept 2'!B807, Data!B807, "ERROR")</f>
        <v>2025</v>
      </c>
      <c r="C807" s="8">
        <f>IF(Data!C807 = 'Point Intercept 2'!C807, Data!C807, "ERROR")</f>
        <v>45764</v>
      </c>
      <c r="D807" s="6" t="str">
        <f>IF(Data!D807 = 'Point Intercept 2'!D807, Data!D807, "ERROR")</f>
        <v>TL, JR, AA</v>
      </c>
      <c r="E807" s="6" t="str">
        <f>IF(Data!E807 = 'Point Intercept 2'!E807, Data!E807, "ERROR")</f>
        <v>CU</v>
      </c>
      <c r="F807" s="6">
        <f>IF(Data!F807 = 'Point Intercept 2'!F807, Data!F807, "ERROR")</f>
        <v>1</v>
      </c>
      <c r="G807" s="6" t="str">
        <f>IF(Data!G807 = 'Point Intercept 2'!G807, Data!G807, "ERROR")</f>
        <v>LS</v>
      </c>
      <c r="H807" s="6">
        <f>IF(Data!I807 = 'Point Intercept 2'!I807, Data!I807, "ERROR")</f>
        <v>15</v>
      </c>
      <c r="I807" s="6">
        <f>IF(Data!H807 = 'Point Intercept 2'!H807, Data!H807, "ERROR")</f>
        <v>1</v>
      </c>
      <c r="J807" s="6">
        <f>IF(Data!J807 = 'Point Intercept 2'!J807, Data!J807, "ERROR")</f>
        <v>7.5</v>
      </c>
      <c r="K807" s="6" t="str">
        <f>IF(Data!K807 = 'Point Intercept 2'!K807, Data!K807, "ERROR")</f>
        <v>UROLIN</v>
      </c>
      <c r="L807" s="6" t="str">
        <f>IF(Data!L807 = 'Point Intercept 2'!L807, Data!L807, "ERROR")</f>
        <v>Uropappus lindleyi</v>
      </c>
    </row>
    <row r="808" spans="1:12" x14ac:dyDescent="0.25">
      <c r="A808" s="6">
        <f>IF(Data!A808 = 'Point Intercept 2'!A808, Data!A808, "ERROR")</f>
        <v>9</v>
      </c>
      <c r="B808" s="6">
        <f>IF(Data!B808 = 'Point Intercept 2'!B808, Data!B808, "ERROR")</f>
        <v>2025</v>
      </c>
      <c r="C808" s="8">
        <f>IF(Data!C808 = 'Point Intercept 2'!C808, Data!C808, "ERROR")</f>
        <v>45764</v>
      </c>
      <c r="D808" s="6" t="str">
        <f>IF(Data!D808 = 'Point Intercept 2'!D808, Data!D808, "ERROR")</f>
        <v>TL, JR, AA</v>
      </c>
      <c r="E808" s="6" t="str">
        <f>IF(Data!E808 = 'Point Intercept 2'!E808, Data!E808, "ERROR")</f>
        <v>CU</v>
      </c>
      <c r="F808" s="6">
        <f>IF(Data!F808 = 'Point Intercept 2'!F808, Data!F808, "ERROR")</f>
        <v>1</v>
      </c>
      <c r="G808" s="6" t="str">
        <f>IF(Data!G808 = 'Point Intercept 2'!G808, Data!G808, "ERROR")</f>
        <v>LS</v>
      </c>
      <c r="H808" s="6">
        <f>IF(Data!I808 = 'Point Intercept 2'!I808, Data!I808, "ERROR")</f>
        <v>1</v>
      </c>
      <c r="I808" s="6">
        <f>IF(Data!H808 = 'Point Intercept 2'!H808, Data!H808, "ERROR")</f>
        <v>2</v>
      </c>
      <c r="J808" s="6">
        <f>IF(Data!J808 = 'Point Intercept 2'!J808, Data!J808, "ERROR")</f>
        <v>0</v>
      </c>
      <c r="K808" s="6" t="str">
        <f>IF(Data!K808 = 'Point Intercept 2'!K808, Data!K808, "ERROR")</f>
        <v>L</v>
      </c>
      <c r="L808" s="6" t="str">
        <f>IF(Data!L808 = 'Point Intercept 2'!L808, Data!L808, "ERROR")</f>
        <v>Litter</v>
      </c>
    </row>
    <row r="809" spans="1:12" x14ac:dyDescent="0.25">
      <c r="A809" s="6">
        <f>IF(Data!A809 = 'Point Intercept 2'!A809, Data!A809, "ERROR")</f>
        <v>9</v>
      </c>
      <c r="B809" s="6">
        <f>IF(Data!B809 = 'Point Intercept 2'!B809, Data!B809, "ERROR")</f>
        <v>2025</v>
      </c>
      <c r="C809" s="8">
        <f>IF(Data!C809 = 'Point Intercept 2'!C809, Data!C809, "ERROR")</f>
        <v>45764</v>
      </c>
      <c r="D809" s="6" t="str">
        <f>IF(Data!D809 = 'Point Intercept 2'!D809, Data!D809, "ERROR")</f>
        <v>TL, JR, AA</v>
      </c>
      <c r="E809" s="6" t="str">
        <f>IF(Data!E809 = 'Point Intercept 2'!E809, Data!E809, "ERROR")</f>
        <v>CU</v>
      </c>
      <c r="F809" s="6">
        <f>IF(Data!F809 = 'Point Intercept 2'!F809, Data!F809, "ERROR")</f>
        <v>1</v>
      </c>
      <c r="G809" s="6" t="str">
        <f>IF(Data!G809 = 'Point Intercept 2'!G809, Data!G809, "ERROR")</f>
        <v>LS</v>
      </c>
      <c r="H809" s="6">
        <f>IF(Data!I809 = 'Point Intercept 2'!I809, Data!I809, "ERROR")</f>
        <v>1</v>
      </c>
      <c r="I809" s="6">
        <f>IF(Data!H809 = 'Point Intercept 2'!H809, Data!H809, "ERROR")</f>
        <v>2</v>
      </c>
      <c r="J809" s="6">
        <f>IF(Data!J809 = 'Point Intercept 2'!J809, Data!J809, "ERROR")</f>
        <v>0</v>
      </c>
      <c r="K809" s="6" t="str">
        <f>IF(Data!K809 = 'Point Intercept 2'!K809, Data!K809, "ERROR")</f>
        <v>BROMAD</v>
      </c>
      <c r="L809" s="6" t="str">
        <f>IF(Data!L809 = 'Point Intercept 2'!L809, Data!L809, "ERROR")</f>
        <v>Bromus madritensis</v>
      </c>
    </row>
    <row r="810" spans="1:12" x14ac:dyDescent="0.25">
      <c r="A810" s="6">
        <f>IF(Data!A810 = 'Point Intercept 2'!A810, Data!A810, "ERROR")</f>
        <v>9</v>
      </c>
      <c r="B810" s="6">
        <f>IF(Data!B810 = 'Point Intercept 2'!B810, Data!B810, "ERROR")</f>
        <v>2025</v>
      </c>
      <c r="C810" s="8">
        <f>IF(Data!C810 = 'Point Intercept 2'!C810, Data!C810, "ERROR")</f>
        <v>45764</v>
      </c>
      <c r="D810" s="6" t="str">
        <f>IF(Data!D810 = 'Point Intercept 2'!D810, Data!D810, "ERROR")</f>
        <v>TL, JR, AA</v>
      </c>
      <c r="E810" s="6" t="str">
        <f>IF(Data!E810 = 'Point Intercept 2'!E810, Data!E810, "ERROR")</f>
        <v>CU</v>
      </c>
      <c r="F810" s="6">
        <f>IF(Data!F810 = 'Point Intercept 2'!F810, Data!F810, "ERROR")</f>
        <v>1</v>
      </c>
      <c r="G810" s="6" t="str">
        <f>IF(Data!G810 = 'Point Intercept 2'!G810, Data!G810, "ERROR")</f>
        <v>LS</v>
      </c>
      <c r="H810" s="6">
        <f>IF(Data!I810 = 'Point Intercept 2'!I810, Data!I810, "ERROR")</f>
        <v>1</v>
      </c>
      <c r="I810" s="6">
        <f>IF(Data!H810 = 'Point Intercept 2'!H810, Data!H810, "ERROR")</f>
        <v>2</v>
      </c>
      <c r="J810" s="6">
        <f>IF(Data!J810 = 'Point Intercept 2'!J810, Data!J810, "ERROR")</f>
        <v>0</v>
      </c>
      <c r="K810" s="6" t="str">
        <f>IF(Data!K810 = 'Point Intercept 2'!K810, Data!K810, "ERROR")</f>
        <v>FESMYU</v>
      </c>
      <c r="L810" s="6" t="str">
        <f>IF(Data!L810 = 'Point Intercept 2'!L810, Data!L810, "ERROR")</f>
        <v>Festuca myuros</v>
      </c>
    </row>
    <row r="811" spans="1:12" x14ac:dyDescent="0.25">
      <c r="A811" s="6">
        <f>IF(Data!A811 = 'Point Intercept 2'!A811, Data!A811, "ERROR")</f>
        <v>9</v>
      </c>
      <c r="B811" s="6">
        <f>IF(Data!B811 = 'Point Intercept 2'!B811, Data!B811, "ERROR")</f>
        <v>2025</v>
      </c>
      <c r="C811" s="8">
        <f>IF(Data!C811 = 'Point Intercept 2'!C811, Data!C811, "ERROR")</f>
        <v>45764</v>
      </c>
      <c r="D811" s="6" t="str">
        <f>IF(Data!D811 = 'Point Intercept 2'!D811, Data!D811, "ERROR")</f>
        <v>TL, JR, AA</v>
      </c>
      <c r="E811" s="6" t="str">
        <f>IF(Data!E811 = 'Point Intercept 2'!E811, Data!E811, "ERROR")</f>
        <v>CU</v>
      </c>
      <c r="F811" s="6">
        <f>IF(Data!F811 = 'Point Intercept 2'!F811, Data!F811, "ERROR")</f>
        <v>1</v>
      </c>
      <c r="G811" s="6" t="str">
        <f>IF(Data!G811 = 'Point Intercept 2'!G811, Data!G811, "ERROR")</f>
        <v>LS</v>
      </c>
      <c r="H811" s="6">
        <f>IF(Data!I811 = 'Point Intercept 2'!I811, Data!I811, "ERROR")</f>
        <v>1</v>
      </c>
      <c r="I811" s="6">
        <f>IF(Data!H811 = 'Point Intercept 2'!H811, Data!H811, "ERROR")</f>
        <v>2</v>
      </c>
      <c r="J811" s="6">
        <f>IF(Data!J811 = 'Point Intercept 2'!J811, Data!J811, "ERROR")</f>
        <v>0</v>
      </c>
      <c r="K811" s="6" t="str">
        <f>IF(Data!K811 = 'Point Intercept 2'!K811, Data!K811, "ERROR")</f>
        <v>CENMEL</v>
      </c>
      <c r="L811" s="6" t="str">
        <f>IF(Data!L811 = 'Point Intercept 2'!L811, Data!L811, "ERROR")</f>
        <v>Centaurea melitensis</v>
      </c>
    </row>
    <row r="812" spans="1:12" x14ac:dyDescent="0.25">
      <c r="A812" s="6">
        <f>IF(Data!A812 = 'Point Intercept 2'!A812, Data!A812, "ERROR")</f>
        <v>9</v>
      </c>
      <c r="B812" s="6">
        <f>IF(Data!B812 = 'Point Intercept 2'!B812, Data!B812, "ERROR")</f>
        <v>2025</v>
      </c>
      <c r="C812" s="8">
        <f>IF(Data!C812 = 'Point Intercept 2'!C812, Data!C812, "ERROR")</f>
        <v>45764</v>
      </c>
      <c r="D812" s="6" t="str">
        <f>IF(Data!D812 = 'Point Intercept 2'!D812, Data!D812, "ERROR")</f>
        <v>TL, JR, AA</v>
      </c>
      <c r="E812" s="6" t="str">
        <f>IF(Data!E812 = 'Point Intercept 2'!E812, Data!E812, "ERROR")</f>
        <v>CU</v>
      </c>
      <c r="F812" s="6">
        <f>IF(Data!F812 = 'Point Intercept 2'!F812, Data!F812, "ERROR")</f>
        <v>1</v>
      </c>
      <c r="G812" s="6" t="str">
        <f>IF(Data!G812 = 'Point Intercept 2'!G812, Data!G812, "ERROR")</f>
        <v>LS</v>
      </c>
      <c r="H812" s="6">
        <f>IF(Data!I812 = 'Point Intercept 2'!I812, Data!I812, "ERROR")</f>
        <v>1</v>
      </c>
      <c r="I812" s="6">
        <f>IF(Data!H812 = 'Point Intercept 2'!H812, Data!H812, "ERROR")</f>
        <v>2</v>
      </c>
      <c r="J812" s="6">
        <f>IF(Data!J812 = 'Point Intercept 2'!J812, Data!J812, "ERROR")</f>
        <v>0</v>
      </c>
      <c r="K812" s="6" t="str">
        <f>IF(Data!K812 = 'Point Intercept 2'!K812, Data!K812, "ERROR")</f>
        <v>OPULIT</v>
      </c>
      <c r="L812" s="6" t="str">
        <f>IF(Data!L812 = 'Point Intercept 2'!L812, Data!L812, "ERROR")</f>
        <v>Opuntia littoralis</v>
      </c>
    </row>
    <row r="813" spans="1:12" x14ac:dyDescent="0.25">
      <c r="A813" s="6">
        <f>IF(Data!A813 = 'Point Intercept 2'!A813, Data!A813, "ERROR")</f>
        <v>9</v>
      </c>
      <c r="B813" s="6">
        <f>IF(Data!B813 = 'Point Intercept 2'!B813, Data!B813, "ERROR")</f>
        <v>2025</v>
      </c>
      <c r="C813" s="8">
        <f>IF(Data!C813 = 'Point Intercept 2'!C813, Data!C813, "ERROR")</f>
        <v>45764</v>
      </c>
      <c r="D813" s="6" t="str">
        <f>IF(Data!D813 = 'Point Intercept 2'!D813, Data!D813, "ERROR")</f>
        <v>TL, JR, AA</v>
      </c>
      <c r="E813" s="6" t="str">
        <f>IF(Data!E813 = 'Point Intercept 2'!E813, Data!E813, "ERROR")</f>
        <v>CU</v>
      </c>
      <c r="F813" s="6">
        <f>IF(Data!F813 = 'Point Intercept 2'!F813, Data!F813, "ERROR")</f>
        <v>1</v>
      </c>
      <c r="G813" s="6" t="str">
        <f>IF(Data!G813 = 'Point Intercept 2'!G813, Data!G813, "ERROR")</f>
        <v>LS</v>
      </c>
      <c r="H813" s="6">
        <f>IF(Data!I813 = 'Point Intercept 2'!I813, Data!I813, "ERROR")</f>
        <v>2</v>
      </c>
      <c r="I813" s="6">
        <f>IF(Data!H813 = 'Point Intercept 2'!H813, Data!H813, "ERROR")</f>
        <v>2</v>
      </c>
      <c r="J813" s="6">
        <f>IF(Data!J813 = 'Point Intercept 2'!J813, Data!J813, "ERROR")</f>
        <v>0.5</v>
      </c>
      <c r="K813" s="6" t="str">
        <f>IF(Data!K813 = 'Point Intercept 2'!K813, Data!K813, "ERROR")</f>
        <v>S</v>
      </c>
      <c r="L813" s="6" t="str">
        <f>IF(Data!L813 = 'Point Intercept 2'!L813, Data!L813, "ERROR")</f>
        <v>Stem</v>
      </c>
    </row>
    <row r="814" spans="1:12" x14ac:dyDescent="0.25">
      <c r="A814" s="6">
        <f>IF(Data!A814 = 'Point Intercept 2'!A814, Data!A814, "ERROR")</f>
        <v>9</v>
      </c>
      <c r="B814" s="6">
        <f>IF(Data!B814 = 'Point Intercept 2'!B814, Data!B814, "ERROR")</f>
        <v>2025</v>
      </c>
      <c r="C814" s="8">
        <f>IF(Data!C814 = 'Point Intercept 2'!C814, Data!C814, "ERROR")</f>
        <v>45764</v>
      </c>
      <c r="D814" s="6" t="str">
        <f>IF(Data!D814 = 'Point Intercept 2'!D814, Data!D814, "ERROR")</f>
        <v>TL, JR, AA</v>
      </c>
      <c r="E814" s="6" t="str">
        <f>IF(Data!E814 = 'Point Intercept 2'!E814, Data!E814, "ERROR")</f>
        <v>CU</v>
      </c>
      <c r="F814" s="6">
        <f>IF(Data!F814 = 'Point Intercept 2'!F814, Data!F814, "ERROR")</f>
        <v>1</v>
      </c>
      <c r="G814" s="6" t="str">
        <f>IF(Data!G814 = 'Point Intercept 2'!G814, Data!G814, "ERROR")</f>
        <v>LS</v>
      </c>
      <c r="H814" s="6">
        <f>IF(Data!I814 = 'Point Intercept 2'!I814, Data!I814, "ERROR")</f>
        <v>2</v>
      </c>
      <c r="I814" s="6">
        <f>IF(Data!H814 = 'Point Intercept 2'!H814, Data!H814, "ERROR")</f>
        <v>2</v>
      </c>
      <c r="J814" s="6">
        <f>IF(Data!J814 = 'Point Intercept 2'!J814, Data!J814, "ERROR")</f>
        <v>0.5</v>
      </c>
      <c r="K814" s="6" t="str">
        <f>IF(Data!K814 = 'Point Intercept 2'!K814, Data!K814, "ERROR")</f>
        <v>OPULIT</v>
      </c>
      <c r="L814" s="6" t="str">
        <f>IF(Data!L814 = 'Point Intercept 2'!L814, Data!L814, "ERROR")</f>
        <v>Opuntia littoralis</v>
      </c>
    </row>
    <row r="815" spans="1:12" x14ac:dyDescent="0.25">
      <c r="A815" s="6">
        <f>IF(Data!A815 = 'Point Intercept 2'!A815, Data!A815, "ERROR")</f>
        <v>9</v>
      </c>
      <c r="B815" s="6">
        <f>IF(Data!B815 = 'Point Intercept 2'!B815, Data!B815, "ERROR")</f>
        <v>2025</v>
      </c>
      <c r="C815" s="8">
        <f>IF(Data!C815 = 'Point Intercept 2'!C815, Data!C815, "ERROR")</f>
        <v>45764</v>
      </c>
      <c r="D815" s="6" t="str">
        <f>IF(Data!D815 = 'Point Intercept 2'!D815, Data!D815, "ERROR")</f>
        <v>TL, JR, AA</v>
      </c>
      <c r="E815" s="6" t="str">
        <f>IF(Data!E815 = 'Point Intercept 2'!E815, Data!E815, "ERROR")</f>
        <v>CU</v>
      </c>
      <c r="F815" s="6">
        <f>IF(Data!F815 = 'Point Intercept 2'!F815, Data!F815, "ERROR")</f>
        <v>1</v>
      </c>
      <c r="G815" s="6" t="str">
        <f>IF(Data!G815 = 'Point Intercept 2'!G815, Data!G815, "ERROR")</f>
        <v>LS</v>
      </c>
      <c r="H815" s="6">
        <f>IF(Data!I815 = 'Point Intercept 2'!I815, Data!I815, "ERROR")</f>
        <v>2</v>
      </c>
      <c r="I815" s="6">
        <f>IF(Data!H815 = 'Point Intercept 2'!H815, Data!H815, "ERROR")</f>
        <v>2</v>
      </c>
      <c r="J815" s="6">
        <f>IF(Data!J815 = 'Point Intercept 2'!J815, Data!J815, "ERROR")</f>
        <v>0.5</v>
      </c>
      <c r="K815" s="6" t="str">
        <f>IF(Data!K815 = 'Point Intercept 2'!K815, Data!K815, "ERROR")</f>
        <v>BROMAD</v>
      </c>
      <c r="L815" s="6" t="str">
        <f>IF(Data!L815 = 'Point Intercept 2'!L815, Data!L815, "ERROR")</f>
        <v>Bromus madritensis</v>
      </c>
    </row>
    <row r="816" spans="1:12" x14ac:dyDescent="0.25">
      <c r="A816" s="6">
        <f>IF(Data!A816 = 'Point Intercept 2'!A816, Data!A816, "ERROR")</f>
        <v>9</v>
      </c>
      <c r="B816" s="6">
        <f>IF(Data!B816 = 'Point Intercept 2'!B816, Data!B816, "ERROR")</f>
        <v>2025</v>
      </c>
      <c r="C816" s="8">
        <f>IF(Data!C816 = 'Point Intercept 2'!C816, Data!C816, "ERROR")</f>
        <v>45764</v>
      </c>
      <c r="D816" s="6" t="str">
        <f>IF(Data!D816 = 'Point Intercept 2'!D816, Data!D816, "ERROR")</f>
        <v>TL, JR, AA</v>
      </c>
      <c r="E816" s="6" t="str">
        <f>IF(Data!E816 = 'Point Intercept 2'!E816, Data!E816, "ERROR")</f>
        <v>CU</v>
      </c>
      <c r="F816" s="6">
        <f>IF(Data!F816 = 'Point Intercept 2'!F816, Data!F816, "ERROR")</f>
        <v>1</v>
      </c>
      <c r="G816" s="6" t="str">
        <f>IF(Data!G816 = 'Point Intercept 2'!G816, Data!G816, "ERROR")</f>
        <v>LS</v>
      </c>
      <c r="H816" s="6">
        <f>IF(Data!I816 = 'Point Intercept 2'!I816, Data!I816, "ERROR")</f>
        <v>3</v>
      </c>
      <c r="I816" s="6">
        <f>IF(Data!H816 = 'Point Intercept 2'!H816, Data!H816, "ERROR")</f>
        <v>2</v>
      </c>
      <c r="J816" s="6">
        <f>IF(Data!J816 = 'Point Intercept 2'!J816, Data!J816, "ERROR")</f>
        <v>1</v>
      </c>
      <c r="K816" s="6" t="str">
        <f>IF(Data!K816 = 'Point Intercept 2'!K816, Data!K816, "ERROR")</f>
        <v>L</v>
      </c>
      <c r="L816" s="6" t="str">
        <f>IF(Data!L816 = 'Point Intercept 2'!L816, Data!L816, "ERROR")</f>
        <v>Litter</v>
      </c>
    </row>
    <row r="817" spans="1:12" x14ac:dyDescent="0.25">
      <c r="A817" s="6">
        <f>IF(Data!A817 = 'Point Intercept 2'!A817, Data!A817, "ERROR")</f>
        <v>9</v>
      </c>
      <c r="B817" s="6">
        <f>IF(Data!B817 = 'Point Intercept 2'!B817, Data!B817, "ERROR")</f>
        <v>2025</v>
      </c>
      <c r="C817" s="8">
        <f>IF(Data!C817 = 'Point Intercept 2'!C817, Data!C817, "ERROR")</f>
        <v>45764</v>
      </c>
      <c r="D817" s="6" t="str">
        <f>IF(Data!D817 = 'Point Intercept 2'!D817, Data!D817, "ERROR")</f>
        <v>TL, JR, AA</v>
      </c>
      <c r="E817" s="6" t="str">
        <f>IF(Data!E817 = 'Point Intercept 2'!E817, Data!E817, "ERROR")</f>
        <v>CU</v>
      </c>
      <c r="F817" s="6">
        <f>IF(Data!F817 = 'Point Intercept 2'!F817, Data!F817, "ERROR")</f>
        <v>1</v>
      </c>
      <c r="G817" s="6" t="str">
        <f>IF(Data!G817 = 'Point Intercept 2'!G817, Data!G817, "ERROR")</f>
        <v>LS</v>
      </c>
      <c r="H817" s="6">
        <f>IF(Data!I817 = 'Point Intercept 2'!I817, Data!I817, "ERROR")</f>
        <v>3</v>
      </c>
      <c r="I817" s="6">
        <f>IF(Data!H817 = 'Point Intercept 2'!H817, Data!H817, "ERROR")</f>
        <v>2</v>
      </c>
      <c r="J817" s="6">
        <f>IF(Data!J817 = 'Point Intercept 2'!J817, Data!J817, "ERROR")</f>
        <v>1</v>
      </c>
      <c r="K817" s="6" t="str">
        <f>IF(Data!K817 = 'Point Intercept 2'!K817, Data!K817, "ERROR")</f>
        <v>OPULIT</v>
      </c>
      <c r="L817" s="6" t="str">
        <f>IF(Data!L817 = 'Point Intercept 2'!L817, Data!L817, "ERROR")</f>
        <v>Opuntia littoralis</v>
      </c>
    </row>
    <row r="818" spans="1:12" x14ac:dyDescent="0.25">
      <c r="A818" s="6">
        <f>IF(Data!A818 = 'Point Intercept 2'!A818, Data!A818, "ERROR")</f>
        <v>9</v>
      </c>
      <c r="B818" s="6">
        <f>IF(Data!B818 = 'Point Intercept 2'!B818, Data!B818, "ERROR")</f>
        <v>2025</v>
      </c>
      <c r="C818" s="8">
        <f>IF(Data!C818 = 'Point Intercept 2'!C818, Data!C818, "ERROR")</f>
        <v>45764</v>
      </c>
      <c r="D818" s="6" t="str">
        <f>IF(Data!D818 = 'Point Intercept 2'!D818, Data!D818, "ERROR")</f>
        <v>TL, JR, AA</v>
      </c>
      <c r="E818" s="6" t="str">
        <f>IF(Data!E818 = 'Point Intercept 2'!E818, Data!E818, "ERROR")</f>
        <v>CU</v>
      </c>
      <c r="F818" s="6">
        <f>IF(Data!F818 = 'Point Intercept 2'!F818, Data!F818, "ERROR")</f>
        <v>1</v>
      </c>
      <c r="G818" s="6" t="str">
        <f>IF(Data!G818 = 'Point Intercept 2'!G818, Data!G818, "ERROR")</f>
        <v>LS</v>
      </c>
      <c r="H818" s="6">
        <f>IF(Data!I818 = 'Point Intercept 2'!I818, Data!I818, "ERROR")</f>
        <v>3</v>
      </c>
      <c r="I818" s="6">
        <f>IF(Data!H818 = 'Point Intercept 2'!H818, Data!H818, "ERROR")</f>
        <v>2</v>
      </c>
      <c r="J818" s="6">
        <f>IF(Data!J818 = 'Point Intercept 2'!J818, Data!J818, "ERROR")</f>
        <v>1</v>
      </c>
      <c r="K818" s="6" t="str">
        <f>IF(Data!K818 = 'Point Intercept 2'!K818, Data!K818, "ERROR")</f>
        <v>BROMAD</v>
      </c>
      <c r="L818" s="6" t="str">
        <f>IF(Data!L818 = 'Point Intercept 2'!L818, Data!L818, "ERROR")</f>
        <v>Bromus madritensis</v>
      </c>
    </row>
    <row r="819" spans="1:12" x14ac:dyDescent="0.25">
      <c r="A819" s="6">
        <f>IF(Data!A819 = 'Point Intercept 2'!A819, Data!A819, "ERROR")</f>
        <v>9</v>
      </c>
      <c r="B819" s="6">
        <f>IF(Data!B819 = 'Point Intercept 2'!B819, Data!B819, "ERROR")</f>
        <v>2025</v>
      </c>
      <c r="C819" s="8">
        <f>IF(Data!C819 = 'Point Intercept 2'!C819, Data!C819, "ERROR")</f>
        <v>45764</v>
      </c>
      <c r="D819" s="6" t="str">
        <f>IF(Data!D819 = 'Point Intercept 2'!D819, Data!D819, "ERROR")</f>
        <v>TL, JR, AA</v>
      </c>
      <c r="E819" s="6" t="str">
        <f>IF(Data!E819 = 'Point Intercept 2'!E819, Data!E819, "ERROR")</f>
        <v>CU</v>
      </c>
      <c r="F819" s="6">
        <f>IF(Data!F819 = 'Point Intercept 2'!F819, Data!F819, "ERROR")</f>
        <v>1</v>
      </c>
      <c r="G819" s="6" t="str">
        <f>IF(Data!G819 = 'Point Intercept 2'!G819, Data!G819, "ERROR")</f>
        <v>LS</v>
      </c>
      <c r="H819" s="6">
        <f>IF(Data!I819 = 'Point Intercept 2'!I819, Data!I819, "ERROR")</f>
        <v>3</v>
      </c>
      <c r="I819" s="6">
        <f>IF(Data!H819 = 'Point Intercept 2'!H819, Data!H819, "ERROR")</f>
        <v>2</v>
      </c>
      <c r="J819" s="6">
        <f>IF(Data!J819 = 'Point Intercept 2'!J819, Data!J819, "ERROR")</f>
        <v>1</v>
      </c>
      <c r="K819" s="6" t="str">
        <f>IF(Data!K819 = 'Point Intercept 2'!K819, Data!K819, "ERROR")</f>
        <v>ANAARV</v>
      </c>
      <c r="L819" s="6" t="str">
        <f>IF(Data!L819 = 'Point Intercept 2'!L819, Data!L819, "ERROR")</f>
        <v>Anagallis arvensis</v>
      </c>
    </row>
    <row r="820" spans="1:12" x14ac:dyDescent="0.25">
      <c r="A820" s="6">
        <f>IF(Data!A820 = 'Point Intercept 2'!A820, Data!A820, "ERROR")</f>
        <v>9</v>
      </c>
      <c r="B820" s="6">
        <f>IF(Data!B820 = 'Point Intercept 2'!B820, Data!B820, "ERROR")</f>
        <v>2025</v>
      </c>
      <c r="C820" s="8">
        <f>IF(Data!C820 = 'Point Intercept 2'!C820, Data!C820, "ERROR")</f>
        <v>45764</v>
      </c>
      <c r="D820" s="6" t="str">
        <f>IF(Data!D820 = 'Point Intercept 2'!D820, Data!D820, "ERROR")</f>
        <v>TL, JR, AA</v>
      </c>
      <c r="E820" s="6" t="str">
        <f>IF(Data!E820 = 'Point Intercept 2'!E820, Data!E820, "ERROR")</f>
        <v>CU</v>
      </c>
      <c r="F820" s="6">
        <f>IF(Data!F820 = 'Point Intercept 2'!F820, Data!F820, "ERROR")</f>
        <v>1</v>
      </c>
      <c r="G820" s="6" t="str">
        <f>IF(Data!G820 = 'Point Intercept 2'!G820, Data!G820, "ERROR")</f>
        <v>LS</v>
      </c>
      <c r="H820" s="6">
        <f>IF(Data!I820 = 'Point Intercept 2'!I820, Data!I820, "ERROR")</f>
        <v>3</v>
      </c>
      <c r="I820" s="6">
        <f>IF(Data!H820 = 'Point Intercept 2'!H820, Data!H820, "ERROR")</f>
        <v>2</v>
      </c>
      <c r="J820" s="6">
        <f>IF(Data!J820 = 'Point Intercept 2'!J820, Data!J820, "ERROR")</f>
        <v>1</v>
      </c>
      <c r="K820" s="6" t="str">
        <f>IF(Data!K820 = 'Point Intercept 2'!K820, Data!K820, "ERROR")</f>
        <v>DEIFAS</v>
      </c>
      <c r="L820" s="6" t="str">
        <f>IF(Data!L820 = 'Point Intercept 2'!L820, Data!L820, "ERROR")</f>
        <v>Deinandra fasciculata</v>
      </c>
    </row>
    <row r="821" spans="1:12" x14ac:dyDescent="0.25">
      <c r="A821" s="6">
        <f>IF(Data!A821 = 'Point Intercept 2'!A821, Data!A821, "ERROR")</f>
        <v>9</v>
      </c>
      <c r="B821" s="6">
        <f>IF(Data!B821 = 'Point Intercept 2'!B821, Data!B821, "ERROR")</f>
        <v>2025</v>
      </c>
      <c r="C821" s="8">
        <f>IF(Data!C821 = 'Point Intercept 2'!C821, Data!C821, "ERROR")</f>
        <v>45764</v>
      </c>
      <c r="D821" s="6" t="str">
        <f>IF(Data!D821 = 'Point Intercept 2'!D821, Data!D821, "ERROR")</f>
        <v>TL, JR, AA</v>
      </c>
      <c r="E821" s="6" t="str">
        <f>IF(Data!E821 = 'Point Intercept 2'!E821, Data!E821, "ERROR")</f>
        <v>CU</v>
      </c>
      <c r="F821" s="6">
        <f>IF(Data!F821 = 'Point Intercept 2'!F821, Data!F821, "ERROR")</f>
        <v>1</v>
      </c>
      <c r="G821" s="6" t="str">
        <f>IF(Data!G821 = 'Point Intercept 2'!G821, Data!G821, "ERROR")</f>
        <v>LS</v>
      </c>
      <c r="H821" s="6">
        <f>IF(Data!I821 = 'Point Intercept 2'!I821, Data!I821, "ERROR")</f>
        <v>4</v>
      </c>
      <c r="I821" s="6">
        <f>IF(Data!H821 = 'Point Intercept 2'!H821, Data!H821, "ERROR")</f>
        <v>2</v>
      </c>
      <c r="J821" s="6">
        <f>IF(Data!J821 = 'Point Intercept 2'!J821, Data!J821, "ERROR")</f>
        <v>1.5</v>
      </c>
      <c r="K821" s="6" t="str">
        <f>IF(Data!K821 = 'Point Intercept 2'!K821, Data!K821, "ERROR")</f>
        <v>B</v>
      </c>
      <c r="L821" s="6" t="str">
        <f>IF(Data!L821 = 'Point Intercept 2'!L821, Data!L821, "ERROR")</f>
        <v>Bareground</v>
      </c>
    </row>
    <row r="822" spans="1:12" x14ac:dyDescent="0.25">
      <c r="A822" s="6">
        <f>IF(Data!A822 = 'Point Intercept 2'!A822, Data!A822, "ERROR")</f>
        <v>9</v>
      </c>
      <c r="B822" s="6">
        <f>IF(Data!B822 = 'Point Intercept 2'!B822, Data!B822, "ERROR")</f>
        <v>2025</v>
      </c>
      <c r="C822" s="8">
        <f>IF(Data!C822 = 'Point Intercept 2'!C822, Data!C822, "ERROR")</f>
        <v>45764</v>
      </c>
      <c r="D822" s="6" t="str">
        <f>IF(Data!D822 = 'Point Intercept 2'!D822, Data!D822, "ERROR")</f>
        <v>TL, JR, AA</v>
      </c>
      <c r="E822" s="6" t="str">
        <f>IF(Data!E822 = 'Point Intercept 2'!E822, Data!E822, "ERROR")</f>
        <v>CU</v>
      </c>
      <c r="F822" s="6">
        <f>IF(Data!F822 = 'Point Intercept 2'!F822, Data!F822, "ERROR")</f>
        <v>1</v>
      </c>
      <c r="G822" s="6" t="str">
        <f>IF(Data!G822 = 'Point Intercept 2'!G822, Data!G822, "ERROR")</f>
        <v>LS</v>
      </c>
      <c r="H822" s="6">
        <f>IF(Data!I822 = 'Point Intercept 2'!I822, Data!I822, "ERROR")</f>
        <v>4</v>
      </c>
      <c r="I822" s="6">
        <f>IF(Data!H822 = 'Point Intercept 2'!H822, Data!H822, "ERROR")</f>
        <v>2</v>
      </c>
      <c r="J822" s="6">
        <f>IF(Data!J822 = 'Point Intercept 2'!J822, Data!J822, "ERROR")</f>
        <v>1.5</v>
      </c>
      <c r="K822" s="6" t="str">
        <f>IF(Data!K822 = 'Point Intercept 2'!K822, Data!K822, "ERROR")</f>
        <v>FESMYU</v>
      </c>
      <c r="L822" s="6" t="str">
        <f>IF(Data!L822 = 'Point Intercept 2'!L822, Data!L822, "ERROR")</f>
        <v>Festuca myuros</v>
      </c>
    </row>
    <row r="823" spans="1:12" x14ac:dyDescent="0.25">
      <c r="A823" s="6">
        <f>IF(Data!A823 = 'Point Intercept 2'!A823, Data!A823, "ERROR")</f>
        <v>9</v>
      </c>
      <c r="B823" s="6">
        <f>IF(Data!B823 = 'Point Intercept 2'!B823, Data!B823, "ERROR")</f>
        <v>2025</v>
      </c>
      <c r="C823" s="8">
        <f>IF(Data!C823 = 'Point Intercept 2'!C823, Data!C823, "ERROR")</f>
        <v>45764</v>
      </c>
      <c r="D823" s="6" t="str">
        <f>IF(Data!D823 = 'Point Intercept 2'!D823, Data!D823, "ERROR")</f>
        <v>TL, JR, AA</v>
      </c>
      <c r="E823" s="6" t="str">
        <f>IF(Data!E823 = 'Point Intercept 2'!E823, Data!E823, "ERROR")</f>
        <v>CU</v>
      </c>
      <c r="F823" s="6">
        <f>IF(Data!F823 = 'Point Intercept 2'!F823, Data!F823, "ERROR")</f>
        <v>1</v>
      </c>
      <c r="G823" s="6" t="str">
        <f>IF(Data!G823 = 'Point Intercept 2'!G823, Data!G823, "ERROR")</f>
        <v>LS</v>
      </c>
      <c r="H823" s="6">
        <f>IF(Data!I823 = 'Point Intercept 2'!I823, Data!I823, "ERROR")</f>
        <v>5</v>
      </c>
      <c r="I823" s="6">
        <f>IF(Data!H823 = 'Point Intercept 2'!H823, Data!H823, "ERROR")</f>
        <v>2</v>
      </c>
      <c r="J823" s="6">
        <f>IF(Data!J823 = 'Point Intercept 2'!J823, Data!J823, "ERROR")</f>
        <v>2.5</v>
      </c>
      <c r="K823" s="6" t="str">
        <f>IF(Data!K823 = 'Point Intercept 2'!K823, Data!K823, "ERROR")</f>
        <v>L</v>
      </c>
      <c r="L823" s="6" t="str">
        <f>IF(Data!L823 = 'Point Intercept 2'!L823, Data!L823, "ERROR")</f>
        <v>Litter</v>
      </c>
    </row>
    <row r="824" spans="1:12" x14ac:dyDescent="0.25">
      <c r="A824" s="6">
        <f>IF(Data!A824 = 'Point Intercept 2'!A824, Data!A824, "ERROR")</f>
        <v>9</v>
      </c>
      <c r="B824" s="6">
        <f>IF(Data!B824 = 'Point Intercept 2'!B824, Data!B824, "ERROR")</f>
        <v>2025</v>
      </c>
      <c r="C824" s="8">
        <f>IF(Data!C824 = 'Point Intercept 2'!C824, Data!C824, "ERROR")</f>
        <v>45764</v>
      </c>
      <c r="D824" s="6" t="str">
        <f>IF(Data!D824 = 'Point Intercept 2'!D824, Data!D824, "ERROR")</f>
        <v>TL, JR, AA</v>
      </c>
      <c r="E824" s="6" t="str">
        <f>IF(Data!E824 = 'Point Intercept 2'!E824, Data!E824, "ERROR")</f>
        <v>CU</v>
      </c>
      <c r="F824" s="6">
        <f>IF(Data!F824 = 'Point Intercept 2'!F824, Data!F824, "ERROR")</f>
        <v>1</v>
      </c>
      <c r="G824" s="6" t="str">
        <f>IF(Data!G824 = 'Point Intercept 2'!G824, Data!G824, "ERROR")</f>
        <v>LS</v>
      </c>
      <c r="H824" s="6">
        <f>IF(Data!I824 = 'Point Intercept 2'!I824, Data!I824, "ERROR")</f>
        <v>5</v>
      </c>
      <c r="I824" s="6">
        <f>IF(Data!H824 = 'Point Intercept 2'!H824, Data!H824, "ERROR")</f>
        <v>2</v>
      </c>
      <c r="J824" s="6">
        <f>IF(Data!J824 = 'Point Intercept 2'!J824, Data!J824, "ERROR")</f>
        <v>2.5</v>
      </c>
      <c r="K824" s="6" t="str">
        <f>IF(Data!K824 = 'Point Intercept 2'!K824, Data!K824, "ERROR")</f>
        <v>CENMEL</v>
      </c>
      <c r="L824" s="6" t="str">
        <f>IF(Data!L824 = 'Point Intercept 2'!L824, Data!L824, "ERROR")</f>
        <v>Centaurea melitensis</v>
      </c>
    </row>
    <row r="825" spans="1:12" x14ac:dyDescent="0.25">
      <c r="A825" s="6">
        <f>IF(Data!A825 = 'Point Intercept 2'!A825, Data!A825, "ERROR")</f>
        <v>9</v>
      </c>
      <c r="B825" s="6">
        <f>IF(Data!B825 = 'Point Intercept 2'!B825, Data!B825, "ERROR")</f>
        <v>2025</v>
      </c>
      <c r="C825" s="8">
        <f>IF(Data!C825 = 'Point Intercept 2'!C825, Data!C825, "ERROR")</f>
        <v>45764</v>
      </c>
      <c r="D825" s="6" t="str">
        <f>IF(Data!D825 = 'Point Intercept 2'!D825, Data!D825, "ERROR")</f>
        <v>TL, JR, AA</v>
      </c>
      <c r="E825" s="6" t="str">
        <f>IF(Data!E825 = 'Point Intercept 2'!E825, Data!E825, "ERROR")</f>
        <v>CU</v>
      </c>
      <c r="F825" s="6">
        <f>IF(Data!F825 = 'Point Intercept 2'!F825, Data!F825, "ERROR")</f>
        <v>1</v>
      </c>
      <c r="G825" s="6" t="str">
        <f>IF(Data!G825 = 'Point Intercept 2'!G825, Data!G825, "ERROR")</f>
        <v>LS</v>
      </c>
      <c r="H825" s="6">
        <f>IF(Data!I825 = 'Point Intercept 2'!I825, Data!I825, "ERROR")</f>
        <v>5</v>
      </c>
      <c r="I825" s="6">
        <f>IF(Data!H825 = 'Point Intercept 2'!H825, Data!H825, "ERROR")</f>
        <v>2</v>
      </c>
      <c r="J825" s="6">
        <f>IF(Data!J825 = 'Point Intercept 2'!J825, Data!J825, "ERROR")</f>
        <v>2.5</v>
      </c>
      <c r="K825" s="6" t="str">
        <f>IF(Data!K825 = 'Point Intercept 2'!K825, Data!K825, "ERROR")</f>
        <v>SONASP</v>
      </c>
      <c r="L825" s="6" t="str">
        <f>IF(Data!L825 = 'Point Intercept 2'!L825, Data!L825, "ERROR")</f>
        <v>Sonchus asper</v>
      </c>
    </row>
    <row r="826" spans="1:12" x14ac:dyDescent="0.25">
      <c r="A826" s="6">
        <f>IF(Data!A826 = 'Point Intercept 2'!A826, Data!A826, "ERROR")</f>
        <v>9</v>
      </c>
      <c r="B826" s="6">
        <f>IF(Data!B826 = 'Point Intercept 2'!B826, Data!B826, "ERROR")</f>
        <v>2025</v>
      </c>
      <c r="C826" s="8">
        <f>IF(Data!C826 = 'Point Intercept 2'!C826, Data!C826, "ERROR")</f>
        <v>45764</v>
      </c>
      <c r="D826" s="6" t="str">
        <f>IF(Data!D826 = 'Point Intercept 2'!D826, Data!D826, "ERROR")</f>
        <v>TL, JR, AA</v>
      </c>
      <c r="E826" s="6" t="str">
        <f>IF(Data!E826 = 'Point Intercept 2'!E826, Data!E826, "ERROR")</f>
        <v>CU</v>
      </c>
      <c r="F826" s="6">
        <f>IF(Data!F826 = 'Point Intercept 2'!F826, Data!F826, "ERROR")</f>
        <v>1</v>
      </c>
      <c r="G826" s="6" t="str">
        <f>IF(Data!G826 = 'Point Intercept 2'!G826, Data!G826, "ERROR")</f>
        <v>LS</v>
      </c>
      <c r="H826" s="6">
        <f>IF(Data!I826 = 'Point Intercept 2'!I826, Data!I826, "ERROR")</f>
        <v>6</v>
      </c>
      <c r="I826" s="6">
        <f>IF(Data!H826 = 'Point Intercept 2'!H826, Data!H826, "ERROR")</f>
        <v>2</v>
      </c>
      <c r="J826" s="6">
        <f>IF(Data!J826 = 'Point Intercept 2'!J826, Data!J826, "ERROR")</f>
        <v>3</v>
      </c>
      <c r="K826" s="6" t="str">
        <f>IF(Data!K826 = 'Point Intercept 2'!K826, Data!K826, "ERROR")</f>
        <v>L</v>
      </c>
      <c r="L826" s="6" t="str">
        <f>IF(Data!L826 = 'Point Intercept 2'!L826, Data!L826, "ERROR")</f>
        <v>Litter</v>
      </c>
    </row>
    <row r="827" spans="1:12" x14ac:dyDescent="0.25">
      <c r="A827" s="6">
        <f>IF(Data!A827 = 'Point Intercept 2'!A827, Data!A827, "ERROR")</f>
        <v>9</v>
      </c>
      <c r="B827" s="6">
        <f>IF(Data!B827 = 'Point Intercept 2'!B827, Data!B827, "ERROR")</f>
        <v>2025</v>
      </c>
      <c r="C827" s="8">
        <f>IF(Data!C827 = 'Point Intercept 2'!C827, Data!C827, "ERROR")</f>
        <v>45764</v>
      </c>
      <c r="D827" s="6" t="str">
        <f>IF(Data!D827 = 'Point Intercept 2'!D827, Data!D827, "ERROR")</f>
        <v>TL, JR, AA</v>
      </c>
      <c r="E827" s="6" t="str">
        <f>IF(Data!E827 = 'Point Intercept 2'!E827, Data!E827, "ERROR")</f>
        <v>CU</v>
      </c>
      <c r="F827" s="6">
        <f>IF(Data!F827 = 'Point Intercept 2'!F827, Data!F827, "ERROR")</f>
        <v>1</v>
      </c>
      <c r="G827" s="6" t="str">
        <f>IF(Data!G827 = 'Point Intercept 2'!G827, Data!G827, "ERROR")</f>
        <v>LS</v>
      </c>
      <c r="H827" s="6">
        <f>IF(Data!I827 = 'Point Intercept 2'!I827, Data!I827, "ERROR")</f>
        <v>6</v>
      </c>
      <c r="I827" s="6">
        <f>IF(Data!H827 = 'Point Intercept 2'!H827, Data!H827, "ERROR")</f>
        <v>2</v>
      </c>
      <c r="J827" s="6">
        <f>IF(Data!J827 = 'Point Intercept 2'!J827, Data!J827, "ERROR")</f>
        <v>3</v>
      </c>
      <c r="K827" s="6" t="str">
        <f>IF(Data!K827 = 'Point Intercept 2'!K827, Data!K827, "ERROR")</f>
        <v>CYLPRO</v>
      </c>
      <c r="L827" s="6" t="str">
        <f>IF(Data!L827 = 'Point Intercept 2'!L827, Data!L827, "ERROR")</f>
        <v>Cylindropuntia prolifera</v>
      </c>
    </row>
    <row r="828" spans="1:12" x14ac:dyDescent="0.25">
      <c r="A828" s="6">
        <f>IF(Data!A828 = 'Point Intercept 2'!A828, Data!A828, "ERROR")</f>
        <v>9</v>
      </c>
      <c r="B828" s="6">
        <f>IF(Data!B828 = 'Point Intercept 2'!B828, Data!B828, "ERROR")</f>
        <v>2025</v>
      </c>
      <c r="C828" s="8">
        <f>IF(Data!C828 = 'Point Intercept 2'!C828, Data!C828, "ERROR")</f>
        <v>45764</v>
      </c>
      <c r="D828" s="6" t="str">
        <f>IF(Data!D828 = 'Point Intercept 2'!D828, Data!D828, "ERROR")</f>
        <v>TL, JR, AA</v>
      </c>
      <c r="E828" s="6" t="str">
        <f>IF(Data!E828 = 'Point Intercept 2'!E828, Data!E828, "ERROR")</f>
        <v>CU</v>
      </c>
      <c r="F828" s="6">
        <f>IF(Data!F828 = 'Point Intercept 2'!F828, Data!F828, "ERROR")</f>
        <v>1</v>
      </c>
      <c r="G828" s="6" t="str">
        <f>IF(Data!G828 = 'Point Intercept 2'!G828, Data!G828, "ERROR")</f>
        <v>LS</v>
      </c>
      <c r="H828" s="6">
        <f>IF(Data!I828 = 'Point Intercept 2'!I828, Data!I828, "ERROR")</f>
        <v>6</v>
      </c>
      <c r="I828" s="6">
        <f>IF(Data!H828 = 'Point Intercept 2'!H828, Data!H828, "ERROR")</f>
        <v>2</v>
      </c>
      <c r="J828" s="6">
        <f>IF(Data!J828 = 'Point Intercept 2'!J828, Data!J828, "ERROR")</f>
        <v>3</v>
      </c>
      <c r="K828" s="6" t="str">
        <f>IF(Data!K828 = 'Point Intercept 2'!K828, Data!K828, "ERROR")</f>
        <v>FESMYU</v>
      </c>
      <c r="L828" s="6" t="str">
        <f>IF(Data!L828 = 'Point Intercept 2'!L828, Data!L828, "ERROR")</f>
        <v>Festuca myuros</v>
      </c>
    </row>
    <row r="829" spans="1:12" x14ac:dyDescent="0.25">
      <c r="A829" s="6">
        <f>IF(Data!A829 = 'Point Intercept 2'!A829, Data!A829, "ERROR")</f>
        <v>9</v>
      </c>
      <c r="B829" s="6">
        <f>IF(Data!B829 = 'Point Intercept 2'!B829, Data!B829, "ERROR")</f>
        <v>2025</v>
      </c>
      <c r="C829" s="8">
        <f>IF(Data!C829 = 'Point Intercept 2'!C829, Data!C829, "ERROR")</f>
        <v>45764</v>
      </c>
      <c r="D829" s="6" t="str">
        <f>IF(Data!D829 = 'Point Intercept 2'!D829, Data!D829, "ERROR")</f>
        <v>TL, JR, AA</v>
      </c>
      <c r="E829" s="6" t="str">
        <f>IF(Data!E829 = 'Point Intercept 2'!E829, Data!E829, "ERROR")</f>
        <v>CU</v>
      </c>
      <c r="F829" s="6">
        <f>IF(Data!F829 = 'Point Intercept 2'!F829, Data!F829, "ERROR")</f>
        <v>1</v>
      </c>
      <c r="G829" s="6" t="str">
        <f>IF(Data!G829 = 'Point Intercept 2'!G829, Data!G829, "ERROR")</f>
        <v>LS</v>
      </c>
      <c r="H829" s="6">
        <f>IF(Data!I829 = 'Point Intercept 2'!I829, Data!I829, "ERROR")</f>
        <v>6</v>
      </c>
      <c r="I829" s="6">
        <f>IF(Data!H829 = 'Point Intercept 2'!H829, Data!H829, "ERROR")</f>
        <v>2</v>
      </c>
      <c r="J829" s="6">
        <f>IF(Data!J829 = 'Point Intercept 2'!J829, Data!J829, "ERROR")</f>
        <v>3</v>
      </c>
      <c r="K829" s="6" t="str">
        <f>IF(Data!K829 = 'Point Intercept 2'!K829, Data!K829, "ERROR")</f>
        <v>BROMAD</v>
      </c>
      <c r="L829" s="6" t="str">
        <f>IF(Data!L829 = 'Point Intercept 2'!L829, Data!L829, "ERROR")</f>
        <v>Bromus madritensis</v>
      </c>
    </row>
    <row r="830" spans="1:12" x14ac:dyDescent="0.25">
      <c r="A830" s="6">
        <f>IF(Data!A830 = 'Point Intercept 2'!A830, Data!A830, "ERROR")</f>
        <v>9</v>
      </c>
      <c r="B830" s="6">
        <f>IF(Data!B830 = 'Point Intercept 2'!B830, Data!B830, "ERROR")</f>
        <v>2025</v>
      </c>
      <c r="C830" s="8">
        <f>IF(Data!C830 = 'Point Intercept 2'!C830, Data!C830, "ERROR")</f>
        <v>45764</v>
      </c>
      <c r="D830" s="6" t="str">
        <f>IF(Data!D830 = 'Point Intercept 2'!D830, Data!D830, "ERROR")</f>
        <v>TL, JR, AA</v>
      </c>
      <c r="E830" s="6" t="str">
        <f>IF(Data!E830 = 'Point Intercept 2'!E830, Data!E830, "ERROR")</f>
        <v>CU</v>
      </c>
      <c r="F830" s="6">
        <f>IF(Data!F830 = 'Point Intercept 2'!F830, Data!F830, "ERROR")</f>
        <v>1</v>
      </c>
      <c r="G830" s="6" t="str">
        <f>IF(Data!G830 = 'Point Intercept 2'!G830, Data!G830, "ERROR")</f>
        <v>LS</v>
      </c>
      <c r="H830" s="6">
        <f>IF(Data!I830 = 'Point Intercept 2'!I830, Data!I830, "ERROR")</f>
        <v>6</v>
      </c>
      <c r="I830" s="6">
        <f>IF(Data!H830 = 'Point Intercept 2'!H830, Data!H830, "ERROR")</f>
        <v>2</v>
      </c>
      <c r="J830" s="6">
        <f>IF(Data!J830 = 'Point Intercept 2'!J830, Data!J830, "ERROR")</f>
        <v>3</v>
      </c>
      <c r="K830" s="6" t="str">
        <f>IF(Data!K830 = 'Point Intercept 2'!K830, Data!K830, "ERROR")</f>
        <v>DEIFAS</v>
      </c>
      <c r="L830" s="6" t="str">
        <f>IF(Data!L830 = 'Point Intercept 2'!L830, Data!L830, "ERROR")</f>
        <v>Deinandra fasciculata</v>
      </c>
    </row>
    <row r="831" spans="1:12" x14ac:dyDescent="0.25">
      <c r="A831" s="6">
        <f>IF(Data!A831 = 'Point Intercept 2'!A831, Data!A831, "ERROR")</f>
        <v>9</v>
      </c>
      <c r="B831" s="6">
        <f>IF(Data!B831 = 'Point Intercept 2'!B831, Data!B831, "ERROR")</f>
        <v>2025</v>
      </c>
      <c r="C831" s="8">
        <f>IF(Data!C831 = 'Point Intercept 2'!C831, Data!C831, "ERROR")</f>
        <v>45764</v>
      </c>
      <c r="D831" s="6" t="str">
        <f>IF(Data!D831 = 'Point Intercept 2'!D831, Data!D831, "ERROR")</f>
        <v>TL, JR, AA</v>
      </c>
      <c r="E831" s="6" t="str">
        <f>IF(Data!E831 = 'Point Intercept 2'!E831, Data!E831, "ERROR")</f>
        <v>CU</v>
      </c>
      <c r="F831" s="6">
        <f>IF(Data!F831 = 'Point Intercept 2'!F831, Data!F831, "ERROR")</f>
        <v>1</v>
      </c>
      <c r="G831" s="6" t="str">
        <f>IF(Data!G831 = 'Point Intercept 2'!G831, Data!G831, "ERROR")</f>
        <v>LS</v>
      </c>
      <c r="H831" s="6">
        <f>IF(Data!I831 = 'Point Intercept 2'!I831, Data!I831, "ERROR")</f>
        <v>7</v>
      </c>
      <c r="I831" s="6">
        <f>IF(Data!H831 = 'Point Intercept 2'!H831, Data!H831, "ERROR")</f>
        <v>2</v>
      </c>
      <c r="J831" s="6">
        <f>IF(Data!J831 = 'Point Intercept 2'!J831, Data!J831, "ERROR")</f>
        <v>3.5</v>
      </c>
      <c r="K831" s="6" t="str">
        <f>IF(Data!K831 = 'Point Intercept 2'!K831, Data!K831, "ERROR")</f>
        <v>L</v>
      </c>
      <c r="L831" s="6" t="str">
        <f>IF(Data!L831 = 'Point Intercept 2'!L831, Data!L831, "ERROR")</f>
        <v>Litter</v>
      </c>
    </row>
    <row r="832" spans="1:12" x14ac:dyDescent="0.25">
      <c r="A832" s="6">
        <f>IF(Data!A832 = 'Point Intercept 2'!A832, Data!A832, "ERROR")</f>
        <v>9</v>
      </c>
      <c r="B832" s="6">
        <f>IF(Data!B832 = 'Point Intercept 2'!B832, Data!B832, "ERROR")</f>
        <v>2025</v>
      </c>
      <c r="C832" s="8">
        <f>IF(Data!C832 = 'Point Intercept 2'!C832, Data!C832, "ERROR")</f>
        <v>45764</v>
      </c>
      <c r="D832" s="6" t="str">
        <f>IF(Data!D832 = 'Point Intercept 2'!D832, Data!D832, "ERROR")</f>
        <v>TL, JR, AA</v>
      </c>
      <c r="E832" s="6" t="str">
        <f>IF(Data!E832 = 'Point Intercept 2'!E832, Data!E832, "ERROR")</f>
        <v>CU</v>
      </c>
      <c r="F832" s="6">
        <f>IF(Data!F832 = 'Point Intercept 2'!F832, Data!F832, "ERROR")</f>
        <v>1</v>
      </c>
      <c r="G832" s="6" t="str">
        <f>IF(Data!G832 = 'Point Intercept 2'!G832, Data!G832, "ERROR")</f>
        <v>LS</v>
      </c>
      <c r="H832" s="6">
        <f>IF(Data!I832 = 'Point Intercept 2'!I832, Data!I832, "ERROR")</f>
        <v>7</v>
      </c>
      <c r="I832" s="6">
        <f>IF(Data!H832 = 'Point Intercept 2'!H832, Data!H832, "ERROR")</f>
        <v>2</v>
      </c>
      <c r="J832" s="6">
        <f>IF(Data!J832 = 'Point Intercept 2'!J832, Data!J832, "ERROR")</f>
        <v>3.5</v>
      </c>
      <c r="K832" s="6" t="str">
        <f>IF(Data!K832 = 'Point Intercept 2'!K832, Data!K832, "ERROR")</f>
        <v>SONASP</v>
      </c>
      <c r="L832" s="6" t="str">
        <f>IF(Data!L832 = 'Point Intercept 2'!L832, Data!L832, "ERROR")</f>
        <v>Sonchus asper</v>
      </c>
    </row>
    <row r="833" spans="1:12" x14ac:dyDescent="0.25">
      <c r="A833" s="6">
        <f>IF(Data!A833 = 'Point Intercept 2'!A833, Data!A833, "ERROR")</f>
        <v>9</v>
      </c>
      <c r="B833" s="6">
        <f>IF(Data!B833 = 'Point Intercept 2'!B833, Data!B833, "ERROR")</f>
        <v>2025</v>
      </c>
      <c r="C833" s="8">
        <f>IF(Data!C833 = 'Point Intercept 2'!C833, Data!C833, "ERROR")</f>
        <v>45764</v>
      </c>
      <c r="D833" s="6" t="str">
        <f>IF(Data!D833 = 'Point Intercept 2'!D833, Data!D833, "ERROR")</f>
        <v>TL, JR, AA</v>
      </c>
      <c r="E833" s="6" t="str">
        <f>IF(Data!E833 = 'Point Intercept 2'!E833, Data!E833, "ERROR")</f>
        <v>CU</v>
      </c>
      <c r="F833" s="6">
        <f>IF(Data!F833 = 'Point Intercept 2'!F833, Data!F833, "ERROR")</f>
        <v>1</v>
      </c>
      <c r="G833" s="6" t="str">
        <f>IF(Data!G833 = 'Point Intercept 2'!G833, Data!G833, "ERROR")</f>
        <v>LS</v>
      </c>
      <c r="H833" s="6">
        <f>IF(Data!I833 = 'Point Intercept 2'!I833, Data!I833, "ERROR")</f>
        <v>7</v>
      </c>
      <c r="I833" s="6">
        <f>IF(Data!H833 = 'Point Intercept 2'!H833, Data!H833, "ERROR")</f>
        <v>2</v>
      </c>
      <c r="J833" s="6">
        <f>IF(Data!J833 = 'Point Intercept 2'!J833, Data!J833, "ERROR")</f>
        <v>3.5</v>
      </c>
      <c r="K833" s="6" t="str">
        <f>IF(Data!K833 = 'Point Intercept 2'!K833, Data!K833, "ERROR")</f>
        <v>FESMYU</v>
      </c>
      <c r="L833" s="6" t="str">
        <f>IF(Data!L833 = 'Point Intercept 2'!L833, Data!L833, "ERROR")</f>
        <v>Festuca myuros</v>
      </c>
    </row>
    <row r="834" spans="1:12" x14ac:dyDescent="0.25">
      <c r="A834" s="6">
        <f>IF(Data!A834 = 'Point Intercept 2'!A834, Data!A834, "ERROR")</f>
        <v>9</v>
      </c>
      <c r="B834" s="6">
        <f>IF(Data!B834 = 'Point Intercept 2'!B834, Data!B834, "ERROR")</f>
        <v>2025</v>
      </c>
      <c r="C834" s="8">
        <f>IF(Data!C834 = 'Point Intercept 2'!C834, Data!C834, "ERROR")</f>
        <v>45764</v>
      </c>
      <c r="D834" s="6" t="str">
        <f>IF(Data!D834 = 'Point Intercept 2'!D834, Data!D834, "ERROR")</f>
        <v>TL, JR, AA</v>
      </c>
      <c r="E834" s="6" t="str">
        <f>IF(Data!E834 = 'Point Intercept 2'!E834, Data!E834, "ERROR")</f>
        <v>CU</v>
      </c>
      <c r="F834" s="6">
        <f>IF(Data!F834 = 'Point Intercept 2'!F834, Data!F834, "ERROR")</f>
        <v>1</v>
      </c>
      <c r="G834" s="6" t="str">
        <f>IF(Data!G834 = 'Point Intercept 2'!G834, Data!G834, "ERROR")</f>
        <v>LS</v>
      </c>
      <c r="H834" s="6">
        <f>IF(Data!I834 = 'Point Intercept 2'!I834, Data!I834, "ERROR")</f>
        <v>7</v>
      </c>
      <c r="I834" s="6">
        <f>IF(Data!H834 = 'Point Intercept 2'!H834, Data!H834, "ERROR")</f>
        <v>2</v>
      </c>
      <c r="J834" s="6">
        <f>IF(Data!J834 = 'Point Intercept 2'!J834, Data!J834, "ERROR")</f>
        <v>3.5</v>
      </c>
      <c r="K834" s="6" t="str">
        <f>IF(Data!K834 = 'Point Intercept 2'!K834, Data!K834, "ERROR")</f>
        <v>DEIFAS</v>
      </c>
      <c r="L834" s="6" t="str">
        <f>IF(Data!L834 = 'Point Intercept 2'!L834, Data!L834, "ERROR")</f>
        <v>Deinandra fasciculata</v>
      </c>
    </row>
    <row r="835" spans="1:12" x14ac:dyDescent="0.25">
      <c r="A835" s="6">
        <f>IF(Data!A835 = 'Point Intercept 2'!A835, Data!A835, "ERROR")</f>
        <v>9</v>
      </c>
      <c r="B835" s="6">
        <f>IF(Data!B835 = 'Point Intercept 2'!B835, Data!B835, "ERROR")</f>
        <v>2025</v>
      </c>
      <c r="C835" s="8">
        <f>IF(Data!C835 = 'Point Intercept 2'!C835, Data!C835, "ERROR")</f>
        <v>45764</v>
      </c>
      <c r="D835" s="6" t="str">
        <f>IF(Data!D835 = 'Point Intercept 2'!D835, Data!D835, "ERROR")</f>
        <v>TL, JR, AA</v>
      </c>
      <c r="E835" s="6" t="str">
        <f>IF(Data!E835 = 'Point Intercept 2'!E835, Data!E835, "ERROR")</f>
        <v>CU</v>
      </c>
      <c r="F835" s="6">
        <f>IF(Data!F835 = 'Point Intercept 2'!F835, Data!F835, "ERROR")</f>
        <v>1</v>
      </c>
      <c r="G835" s="6" t="str">
        <f>IF(Data!G835 = 'Point Intercept 2'!G835, Data!G835, "ERROR")</f>
        <v>LS</v>
      </c>
      <c r="H835" s="6">
        <f>IF(Data!I835 = 'Point Intercept 2'!I835, Data!I835, "ERROR")</f>
        <v>8</v>
      </c>
      <c r="I835" s="6">
        <f>IF(Data!H835 = 'Point Intercept 2'!H835, Data!H835, "ERROR")</f>
        <v>2</v>
      </c>
      <c r="J835" s="6">
        <f>IF(Data!J835 = 'Point Intercept 2'!J835, Data!J835, "ERROR")</f>
        <v>4</v>
      </c>
      <c r="K835" s="6" t="str">
        <f>IF(Data!K835 = 'Point Intercept 2'!K835, Data!K835, "ERROR")</f>
        <v>L</v>
      </c>
      <c r="L835" s="6" t="str">
        <f>IF(Data!L835 = 'Point Intercept 2'!L835, Data!L835, "ERROR")</f>
        <v>Litter</v>
      </c>
    </row>
    <row r="836" spans="1:12" x14ac:dyDescent="0.25">
      <c r="A836" s="6">
        <f>IF(Data!A836 = 'Point Intercept 2'!A836, Data!A836, "ERROR")</f>
        <v>9</v>
      </c>
      <c r="B836" s="6">
        <f>IF(Data!B836 = 'Point Intercept 2'!B836, Data!B836, "ERROR")</f>
        <v>2025</v>
      </c>
      <c r="C836" s="8">
        <f>IF(Data!C836 = 'Point Intercept 2'!C836, Data!C836, "ERROR")</f>
        <v>45764</v>
      </c>
      <c r="D836" s="6" t="str">
        <f>IF(Data!D836 = 'Point Intercept 2'!D836, Data!D836, "ERROR")</f>
        <v>TL, JR, AA</v>
      </c>
      <c r="E836" s="6" t="str">
        <f>IF(Data!E836 = 'Point Intercept 2'!E836, Data!E836, "ERROR")</f>
        <v>CU</v>
      </c>
      <c r="F836" s="6">
        <f>IF(Data!F836 = 'Point Intercept 2'!F836, Data!F836, "ERROR")</f>
        <v>1</v>
      </c>
      <c r="G836" s="6" t="str">
        <f>IF(Data!G836 = 'Point Intercept 2'!G836, Data!G836, "ERROR")</f>
        <v>LS</v>
      </c>
      <c r="H836" s="6">
        <f>IF(Data!I836 = 'Point Intercept 2'!I836, Data!I836, "ERROR")</f>
        <v>8</v>
      </c>
      <c r="I836" s="6">
        <f>IF(Data!H836 = 'Point Intercept 2'!H836, Data!H836, "ERROR")</f>
        <v>2</v>
      </c>
      <c r="J836" s="6">
        <f>IF(Data!J836 = 'Point Intercept 2'!J836, Data!J836, "ERROR")</f>
        <v>4</v>
      </c>
      <c r="K836" s="6" t="str">
        <f>IF(Data!K836 = 'Point Intercept 2'!K836, Data!K836, "ERROR")</f>
        <v>FESMYU</v>
      </c>
      <c r="L836" s="6" t="str">
        <f>IF(Data!L836 = 'Point Intercept 2'!L836, Data!L836, "ERROR")</f>
        <v>Festuca myuros</v>
      </c>
    </row>
    <row r="837" spans="1:12" x14ac:dyDescent="0.25">
      <c r="A837" s="6">
        <f>IF(Data!A837 = 'Point Intercept 2'!A837, Data!A837, "ERROR")</f>
        <v>9</v>
      </c>
      <c r="B837" s="6">
        <f>IF(Data!B837 = 'Point Intercept 2'!B837, Data!B837, "ERROR")</f>
        <v>2025</v>
      </c>
      <c r="C837" s="8">
        <f>IF(Data!C837 = 'Point Intercept 2'!C837, Data!C837, "ERROR")</f>
        <v>45764</v>
      </c>
      <c r="D837" s="6" t="str">
        <f>IF(Data!D837 = 'Point Intercept 2'!D837, Data!D837, "ERROR")</f>
        <v>TL, JR, AA</v>
      </c>
      <c r="E837" s="6" t="str">
        <f>IF(Data!E837 = 'Point Intercept 2'!E837, Data!E837, "ERROR")</f>
        <v>CU</v>
      </c>
      <c r="F837" s="6">
        <f>IF(Data!F837 = 'Point Intercept 2'!F837, Data!F837, "ERROR")</f>
        <v>1</v>
      </c>
      <c r="G837" s="6" t="str">
        <f>IF(Data!G837 = 'Point Intercept 2'!G837, Data!G837, "ERROR")</f>
        <v>LS</v>
      </c>
      <c r="H837" s="6">
        <f>IF(Data!I837 = 'Point Intercept 2'!I837, Data!I837, "ERROR")</f>
        <v>8</v>
      </c>
      <c r="I837" s="6">
        <f>IF(Data!H837 = 'Point Intercept 2'!H837, Data!H837, "ERROR")</f>
        <v>2</v>
      </c>
      <c r="J837" s="6">
        <f>IF(Data!J837 = 'Point Intercept 2'!J837, Data!J837, "ERROR")</f>
        <v>4</v>
      </c>
      <c r="K837" s="6" t="str">
        <f>IF(Data!K837 = 'Point Intercept 2'!K837, Data!K837, "ERROR")</f>
        <v>BROMAD</v>
      </c>
      <c r="L837" s="6" t="str">
        <f>IF(Data!L837 = 'Point Intercept 2'!L837, Data!L837, "ERROR")</f>
        <v>Bromus madritensis</v>
      </c>
    </row>
    <row r="838" spans="1:12" x14ac:dyDescent="0.25">
      <c r="A838" s="6">
        <f>IF(Data!A838 = 'Point Intercept 2'!A838, Data!A838, "ERROR")</f>
        <v>9</v>
      </c>
      <c r="B838" s="6">
        <f>IF(Data!B838 = 'Point Intercept 2'!B838, Data!B838, "ERROR")</f>
        <v>2025</v>
      </c>
      <c r="C838" s="8">
        <f>IF(Data!C838 = 'Point Intercept 2'!C838, Data!C838, "ERROR")</f>
        <v>45764</v>
      </c>
      <c r="D838" s="6" t="str">
        <f>IF(Data!D838 = 'Point Intercept 2'!D838, Data!D838, "ERROR")</f>
        <v>TL, JR, AA</v>
      </c>
      <c r="E838" s="6" t="str">
        <f>IF(Data!E838 = 'Point Intercept 2'!E838, Data!E838, "ERROR")</f>
        <v>CU</v>
      </c>
      <c r="F838" s="6">
        <f>IF(Data!F838 = 'Point Intercept 2'!F838, Data!F838, "ERROR")</f>
        <v>1</v>
      </c>
      <c r="G838" s="6" t="str">
        <f>IF(Data!G838 = 'Point Intercept 2'!G838, Data!G838, "ERROR")</f>
        <v>LS</v>
      </c>
      <c r="H838" s="6">
        <f>IF(Data!I838 = 'Point Intercept 2'!I838, Data!I838, "ERROR")</f>
        <v>8</v>
      </c>
      <c r="I838" s="6">
        <f>IF(Data!H838 = 'Point Intercept 2'!H838, Data!H838, "ERROR")</f>
        <v>2</v>
      </c>
      <c r="J838" s="6">
        <f>IF(Data!J838 = 'Point Intercept 2'!J838, Data!J838, "ERROR")</f>
        <v>4</v>
      </c>
      <c r="K838" s="6" t="str">
        <f>IF(Data!K838 = 'Point Intercept 2'!K838, Data!K838, "ERROR")</f>
        <v>EROMOS</v>
      </c>
      <c r="L838" s="6" t="str">
        <f>IF(Data!L838 = 'Point Intercept 2'!L838, Data!L838, "ERROR")</f>
        <v>Erodium moschatum</v>
      </c>
    </row>
    <row r="839" spans="1:12" x14ac:dyDescent="0.25">
      <c r="A839" s="6">
        <f>IF(Data!A839 = 'Point Intercept 2'!A839, Data!A839, "ERROR")</f>
        <v>9</v>
      </c>
      <c r="B839" s="6">
        <f>IF(Data!B839 = 'Point Intercept 2'!B839, Data!B839, "ERROR")</f>
        <v>2025</v>
      </c>
      <c r="C839" s="8">
        <f>IF(Data!C839 = 'Point Intercept 2'!C839, Data!C839, "ERROR")</f>
        <v>45764</v>
      </c>
      <c r="D839" s="6" t="str">
        <f>IF(Data!D839 = 'Point Intercept 2'!D839, Data!D839, "ERROR")</f>
        <v>TL, JR, AA</v>
      </c>
      <c r="E839" s="6" t="str">
        <f>IF(Data!E839 = 'Point Intercept 2'!E839, Data!E839, "ERROR")</f>
        <v>CU</v>
      </c>
      <c r="F839" s="6">
        <f>IF(Data!F839 = 'Point Intercept 2'!F839, Data!F839, "ERROR")</f>
        <v>1</v>
      </c>
      <c r="G839" s="6" t="str">
        <f>IF(Data!G839 = 'Point Intercept 2'!G839, Data!G839, "ERROR")</f>
        <v>LS</v>
      </c>
      <c r="H839" s="6">
        <f>IF(Data!I839 = 'Point Intercept 2'!I839, Data!I839, "ERROR")</f>
        <v>9</v>
      </c>
      <c r="I839" s="6">
        <f>IF(Data!H839 = 'Point Intercept 2'!H839, Data!H839, "ERROR")</f>
        <v>2</v>
      </c>
      <c r="J839" s="6">
        <f>IF(Data!J839 = 'Point Intercept 2'!J839, Data!J839, "ERROR")</f>
        <v>4.5</v>
      </c>
      <c r="K839" s="6" t="str">
        <f>IF(Data!K839 = 'Point Intercept 2'!K839, Data!K839, "ERROR")</f>
        <v>L</v>
      </c>
      <c r="L839" s="6" t="str">
        <f>IF(Data!L839 = 'Point Intercept 2'!L839, Data!L839, "ERROR")</f>
        <v>Litter</v>
      </c>
    </row>
    <row r="840" spans="1:12" x14ac:dyDescent="0.25">
      <c r="A840" s="6">
        <f>IF(Data!A840 = 'Point Intercept 2'!A840, Data!A840, "ERROR")</f>
        <v>9</v>
      </c>
      <c r="B840" s="6">
        <f>IF(Data!B840 = 'Point Intercept 2'!B840, Data!B840, "ERROR")</f>
        <v>2025</v>
      </c>
      <c r="C840" s="8">
        <f>IF(Data!C840 = 'Point Intercept 2'!C840, Data!C840, "ERROR")</f>
        <v>45764</v>
      </c>
      <c r="D840" s="6" t="str">
        <f>IF(Data!D840 = 'Point Intercept 2'!D840, Data!D840, "ERROR")</f>
        <v>TL, JR, AA</v>
      </c>
      <c r="E840" s="6" t="str">
        <f>IF(Data!E840 = 'Point Intercept 2'!E840, Data!E840, "ERROR")</f>
        <v>CU</v>
      </c>
      <c r="F840" s="6">
        <f>IF(Data!F840 = 'Point Intercept 2'!F840, Data!F840, "ERROR")</f>
        <v>1</v>
      </c>
      <c r="G840" s="6" t="str">
        <f>IF(Data!G840 = 'Point Intercept 2'!G840, Data!G840, "ERROR")</f>
        <v>LS</v>
      </c>
      <c r="H840" s="6">
        <f>IF(Data!I840 = 'Point Intercept 2'!I840, Data!I840, "ERROR")</f>
        <v>9</v>
      </c>
      <c r="I840" s="6">
        <f>IF(Data!H840 = 'Point Intercept 2'!H840, Data!H840, "ERROR")</f>
        <v>2</v>
      </c>
      <c r="J840" s="6">
        <f>IF(Data!J840 = 'Point Intercept 2'!J840, Data!J840, "ERROR")</f>
        <v>4.5</v>
      </c>
      <c r="K840" s="6" t="str">
        <f>IF(Data!K840 = 'Point Intercept 2'!K840, Data!K840, "ERROR")</f>
        <v>CRYINT</v>
      </c>
      <c r="L840" s="6" t="str">
        <f>IF(Data!L840 = 'Point Intercept 2'!L840, Data!L840, "ERROR")</f>
        <v>Cryptantha intermedia</v>
      </c>
    </row>
    <row r="841" spans="1:12" x14ac:dyDescent="0.25">
      <c r="A841" s="6">
        <f>IF(Data!A841 = 'Point Intercept 2'!A841, Data!A841, "ERROR")</f>
        <v>9</v>
      </c>
      <c r="B841" s="6">
        <f>IF(Data!B841 = 'Point Intercept 2'!B841, Data!B841, "ERROR")</f>
        <v>2025</v>
      </c>
      <c r="C841" s="8">
        <f>IF(Data!C841 = 'Point Intercept 2'!C841, Data!C841, "ERROR")</f>
        <v>45764</v>
      </c>
      <c r="D841" s="6" t="str">
        <f>IF(Data!D841 = 'Point Intercept 2'!D841, Data!D841, "ERROR")</f>
        <v>TL, JR, AA</v>
      </c>
      <c r="E841" s="6" t="str">
        <f>IF(Data!E841 = 'Point Intercept 2'!E841, Data!E841, "ERROR")</f>
        <v>CU</v>
      </c>
      <c r="F841" s="6">
        <f>IF(Data!F841 = 'Point Intercept 2'!F841, Data!F841, "ERROR")</f>
        <v>1</v>
      </c>
      <c r="G841" s="6" t="str">
        <f>IF(Data!G841 = 'Point Intercept 2'!G841, Data!G841, "ERROR")</f>
        <v>LS</v>
      </c>
      <c r="H841" s="6">
        <f>IF(Data!I841 = 'Point Intercept 2'!I841, Data!I841, "ERROR")</f>
        <v>9</v>
      </c>
      <c r="I841" s="6">
        <f>IF(Data!H841 = 'Point Intercept 2'!H841, Data!H841, "ERROR")</f>
        <v>2</v>
      </c>
      <c r="J841" s="6">
        <f>IF(Data!J841 = 'Point Intercept 2'!J841, Data!J841, "ERROR")</f>
        <v>4.5</v>
      </c>
      <c r="K841" s="6" t="str">
        <f>IF(Data!K841 = 'Point Intercept 2'!K841, Data!K841, "ERROR")</f>
        <v>SONASP</v>
      </c>
      <c r="L841" s="6" t="str">
        <f>IF(Data!L841 = 'Point Intercept 2'!L841, Data!L841, "ERROR")</f>
        <v>Sonchus asper</v>
      </c>
    </row>
    <row r="842" spans="1:12" x14ac:dyDescent="0.25">
      <c r="A842" s="6">
        <f>IF(Data!A842 = 'Point Intercept 2'!A842, Data!A842, "ERROR")</f>
        <v>9</v>
      </c>
      <c r="B842" s="6">
        <f>IF(Data!B842 = 'Point Intercept 2'!B842, Data!B842, "ERROR")</f>
        <v>2025</v>
      </c>
      <c r="C842" s="8">
        <f>IF(Data!C842 = 'Point Intercept 2'!C842, Data!C842, "ERROR")</f>
        <v>45764</v>
      </c>
      <c r="D842" s="6" t="str">
        <f>IF(Data!D842 = 'Point Intercept 2'!D842, Data!D842, "ERROR")</f>
        <v>TL, JR, AA</v>
      </c>
      <c r="E842" s="6" t="str">
        <f>IF(Data!E842 = 'Point Intercept 2'!E842, Data!E842, "ERROR")</f>
        <v>CU</v>
      </c>
      <c r="F842" s="6">
        <f>IF(Data!F842 = 'Point Intercept 2'!F842, Data!F842, "ERROR")</f>
        <v>1</v>
      </c>
      <c r="G842" s="6" t="str">
        <f>IF(Data!G842 = 'Point Intercept 2'!G842, Data!G842, "ERROR")</f>
        <v>LS</v>
      </c>
      <c r="H842" s="6">
        <f>IF(Data!I842 = 'Point Intercept 2'!I842, Data!I842, "ERROR")</f>
        <v>9</v>
      </c>
      <c r="I842" s="6">
        <f>IF(Data!H842 = 'Point Intercept 2'!H842, Data!H842, "ERROR")</f>
        <v>2</v>
      </c>
      <c r="J842" s="6">
        <f>IF(Data!J842 = 'Point Intercept 2'!J842, Data!J842, "ERROR")</f>
        <v>4.5</v>
      </c>
      <c r="K842" s="6" t="str">
        <f>IF(Data!K842 = 'Point Intercept 2'!K842, Data!K842, "ERROR")</f>
        <v>SONOLE</v>
      </c>
      <c r="L842" s="6" t="str">
        <f>IF(Data!L842 = 'Point Intercept 2'!L842, Data!L842, "ERROR")</f>
        <v>Sonchus oleraceus</v>
      </c>
    </row>
    <row r="843" spans="1:12" x14ac:dyDescent="0.25">
      <c r="A843" s="6">
        <f>IF(Data!A843 = 'Point Intercept 2'!A843, Data!A843, "ERROR")</f>
        <v>9</v>
      </c>
      <c r="B843" s="6">
        <f>IF(Data!B843 = 'Point Intercept 2'!B843, Data!B843, "ERROR")</f>
        <v>2025</v>
      </c>
      <c r="C843" s="8">
        <f>IF(Data!C843 = 'Point Intercept 2'!C843, Data!C843, "ERROR")</f>
        <v>45764</v>
      </c>
      <c r="D843" s="6" t="str">
        <f>IF(Data!D843 = 'Point Intercept 2'!D843, Data!D843, "ERROR")</f>
        <v>TL, JR, AA</v>
      </c>
      <c r="E843" s="6" t="str">
        <f>IF(Data!E843 = 'Point Intercept 2'!E843, Data!E843, "ERROR")</f>
        <v>CU</v>
      </c>
      <c r="F843" s="6">
        <f>IF(Data!F843 = 'Point Intercept 2'!F843, Data!F843, "ERROR")</f>
        <v>1</v>
      </c>
      <c r="G843" s="6" t="str">
        <f>IF(Data!G843 = 'Point Intercept 2'!G843, Data!G843, "ERROR")</f>
        <v>LS</v>
      </c>
      <c r="H843" s="6">
        <f>IF(Data!I843 = 'Point Intercept 2'!I843, Data!I843, "ERROR")</f>
        <v>9</v>
      </c>
      <c r="I843" s="6">
        <f>IF(Data!H843 = 'Point Intercept 2'!H843, Data!H843, "ERROR")</f>
        <v>2</v>
      </c>
      <c r="J843" s="6">
        <f>IF(Data!J843 = 'Point Intercept 2'!J843, Data!J843, "ERROR")</f>
        <v>4.5</v>
      </c>
      <c r="K843" s="6" t="str">
        <f>IF(Data!K843 = 'Point Intercept 2'!K843, Data!K843, "ERROR")</f>
        <v>FESMYU</v>
      </c>
      <c r="L843" s="6" t="str">
        <f>IF(Data!L843 = 'Point Intercept 2'!L843, Data!L843, "ERROR")</f>
        <v>Festuca myuros</v>
      </c>
    </row>
    <row r="844" spans="1:12" x14ac:dyDescent="0.25">
      <c r="A844" s="6">
        <f>IF(Data!A844 = 'Point Intercept 2'!A844, Data!A844, "ERROR")</f>
        <v>9</v>
      </c>
      <c r="B844" s="6">
        <f>IF(Data!B844 = 'Point Intercept 2'!B844, Data!B844, "ERROR")</f>
        <v>2025</v>
      </c>
      <c r="C844" s="8">
        <f>IF(Data!C844 = 'Point Intercept 2'!C844, Data!C844, "ERROR")</f>
        <v>45764</v>
      </c>
      <c r="D844" s="6" t="str">
        <f>IF(Data!D844 = 'Point Intercept 2'!D844, Data!D844, "ERROR")</f>
        <v>TL, JR, AA</v>
      </c>
      <c r="E844" s="6" t="str">
        <f>IF(Data!E844 = 'Point Intercept 2'!E844, Data!E844, "ERROR")</f>
        <v>CU</v>
      </c>
      <c r="F844" s="6">
        <f>IF(Data!F844 = 'Point Intercept 2'!F844, Data!F844, "ERROR")</f>
        <v>1</v>
      </c>
      <c r="G844" s="6" t="str">
        <f>IF(Data!G844 = 'Point Intercept 2'!G844, Data!G844, "ERROR")</f>
        <v>LS</v>
      </c>
      <c r="H844" s="6">
        <f>IF(Data!I844 = 'Point Intercept 2'!I844, Data!I844, "ERROR")</f>
        <v>10</v>
      </c>
      <c r="I844" s="6">
        <f>IF(Data!H844 = 'Point Intercept 2'!H844, Data!H844, "ERROR")</f>
        <v>2</v>
      </c>
      <c r="J844" s="6">
        <f>IF(Data!J844 = 'Point Intercept 2'!J844, Data!J844, "ERROR")</f>
        <v>5</v>
      </c>
      <c r="K844" s="6" t="str">
        <f>IF(Data!K844 = 'Point Intercept 2'!K844, Data!K844, "ERROR")</f>
        <v>L</v>
      </c>
      <c r="L844" s="6" t="str">
        <f>IF(Data!L844 = 'Point Intercept 2'!L844, Data!L844, "ERROR")</f>
        <v>Litter</v>
      </c>
    </row>
    <row r="845" spans="1:12" x14ac:dyDescent="0.25">
      <c r="A845" s="6">
        <f>IF(Data!A845 = 'Point Intercept 2'!A845, Data!A845, "ERROR")</f>
        <v>9</v>
      </c>
      <c r="B845" s="6">
        <f>IF(Data!B845 = 'Point Intercept 2'!B845, Data!B845, "ERROR")</f>
        <v>2025</v>
      </c>
      <c r="C845" s="8">
        <f>IF(Data!C845 = 'Point Intercept 2'!C845, Data!C845, "ERROR")</f>
        <v>45764</v>
      </c>
      <c r="D845" s="6" t="str">
        <f>IF(Data!D845 = 'Point Intercept 2'!D845, Data!D845, "ERROR")</f>
        <v>TL, JR, AA</v>
      </c>
      <c r="E845" s="6" t="str">
        <f>IF(Data!E845 = 'Point Intercept 2'!E845, Data!E845, "ERROR")</f>
        <v>CU</v>
      </c>
      <c r="F845" s="6">
        <f>IF(Data!F845 = 'Point Intercept 2'!F845, Data!F845, "ERROR")</f>
        <v>1</v>
      </c>
      <c r="G845" s="6" t="str">
        <f>IF(Data!G845 = 'Point Intercept 2'!G845, Data!G845, "ERROR")</f>
        <v>LS</v>
      </c>
      <c r="H845" s="6">
        <f>IF(Data!I845 = 'Point Intercept 2'!I845, Data!I845, "ERROR")</f>
        <v>10</v>
      </c>
      <c r="I845" s="6">
        <f>IF(Data!H845 = 'Point Intercept 2'!H845, Data!H845, "ERROR")</f>
        <v>2</v>
      </c>
      <c r="J845" s="6">
        <f>IF(Data!J845 = 'Point Intercept 2'!J845, Data!J845, "ERROR")</f>
        <v>5</v>
      </c>
      <c r="K845" s="6" t="str">
        <f>IF(Data!K845 = 'Point Intercept 2'!K845, Data!K845, "ERROR")</f>
        <v>CENMEL</v>
      </c>
      <c r="L845" s="6" t="str">
        <f>IF(Data!L845 = 'Point Intercept 2'!L845, Data!L845, "ERROR")</f>
        <v>Centaurea melitensis</v>
      </c>
    </row>
    <row r="846" spans="1:12" x14ac:dyDescent="0.25">
      <c r="A846" s="6">
        <f>IF(Data!A846 = 'Point Intercept 2'!A846, Data!A846, "ERROR")</f>
        <v>9</v>
      </c>
      <c r="B846" s="6">
        <f>IF(Data!B846 = 'Point Intercept 2'!B846, Data!B846, "ERROR")</f>
        <v>2025</v>
      </c>
      <c r="C846" s="8">
        <f>IF(Data!C846 = 'Point Intercept 2'!C846, Data!C846, "ERROR")</f>
        <v>45764</v>
      </c>
      <c r="D846" s="6" t="str">
        <f>IF(Data!D846 = 'Point Intercept 2'!D846, Data!D846, "ERROR")</f>
        <v>TL, JR, AA</v>
      </c>
      <c r="E846" s="6" t="str">
        <f>IF(Data!E846 = 'Point Intercept 2'!E846, Data!E846, "ERROR")</f>
        <v>CU</v>
      </c>
      <c r="F846" s="6">
        <f>IF(Data!F846 = 'Point Intercept 2'!F846, Data!F846, "ERROR")</f>
        <v>1</v>
      </c>
      <c r="G846" s="6" t="str">
        <f>IF(Data!G846 = 'Point Intercept 2'!G846, Data!G846, "ERROR")</f>
        <v>LS</v>
      </c>
      <c r="H846" s="6">
        <f>IF(Data!I846 = 'Point Intercept 2'!I846, Data!I846, "ERROR")</f>
        <v>11</v>
      </c>
      <c r="I846" s="6">
        <f>IF(Data!H846 = 'Point Intercept 2'!H846, Data!H846, "ERROR")</f>
        <v>2</v>
      </c>
      <c r="J846" s="6">
        <f>IF(Data!J846 = 'Point Intercept 2'!J846, Data!J846, "ERROR")</f>
        <v>5.5</v>
      </c>
      <c r="K846" s="6" t="str">
        <f>IF(Data!K846 = 'Point Intercept 2'!K846, Data!K846, "ERROR")</f>
        <v>L</v>
      </c>
      <c r="L846" s="6" t="str">
        <f>IF(Data!L846 = 'Point Intercept 2'!L846, Data!L846, "ERROR")</f>
        <v>Litter</v>
      </c>
    </row>
    <row r="847" spans="1:12" x14ac:dyDescent="0.25">
      <c r="A847" s="6">
        <f>IF(Data!A847 = 'Point Intercept 2'!A847, Data!A847, "ERROR")</f>
        <v>9</v>
      </c>
      <c r="B847" s="6">
        <f>IF(Data!B847 = 'Point Intercept 2'!B847, Data!B847, "ERROR")</f>
        <v>2025</v>
      </c>
      <c r="C847" s="8">
        <f>IF(Data!C847 = 'Point Intercept 2'!C847, Data!C847, "ERROR")</f>
        <v>45764</v>
      </c>
      <c r="D847" s="6" t="str">
        <f>IF(Data!D847 = 'Point Intercept 2'!D847, Data!D847, "ERROR")</f>
        <v>TL, JR, AA</v>
      </c>
      <c r="E847" s="6" t="str">
        <f>IF(Data!E847 = 'Point Intercept 2'!E847, Data!E847, "ERROR")</f>
        <v>CU</v>
      </c>
      <c r="F847" s="6">
        <f>IF(Data!F847 = 'Point Intercept 2'!F847, Data!F847, "ERROR")</f>
        <v>1</v>
      </c>
      <c r="G847" s="6" t="str">
        <f>IF(Data!G847 = 'Point Intercept 2'!G847, Data!G847, "ERROR")</f>
        <v>LS</v>
      </c>
      <c r="H847" s="6">
        <f>IF(Data!I847 = 'Point Intercept 2'!I847, Data!I847, "ERROR")</f>
        <v>11</v>
      </c>
      <c r="I847" s="6">
        <f>IF(Data!H847 = 'Point Intercept 2'!H847, Data!H847, "ERROR")</f>
        <v>2</v>
      </c>
      <c r="J847" s="6">
        <f>IF(Data!J847 = 'Point Intercept 2'!J847, Data!J847, "ERROR")</f>
        <v>5.5</v>
      </c>
      <c r="K847" s="6" t="str">
        <f>IF(Data!K847 = 'Point Intercept 2'!K847, Data!K847, "ERROR")</f>
        <v>CENMEL</v>
      </c>
      <c r="L847" s="6" t="str">
        <f>IF(Data!L847 = 'Point Intercept 2'!L847, Data!L847, "ERROR")</f>
        <v>Centaurea melitensis</v>
      </c>
    </row>
    <row r="848" spans="1:12" x14ac:dyDescent="0.25">
      <c r="A848" s="6">
        <f>IF(Data!A848 = 'Point Intercept 2'!A848, Data!A848, "ERROR")</f>
        <v>9</v>
      </c>
      <c r="B848" s="6">
        <f>IF(Data!B848 = 'Point Intercept 2'!B848, Data!B848, "ERROR")</f>
        <v>2025</v>
      </c>
      <c r="C848" s="8">
        <f>IF(Data!C848 = 'Point Intercept 2'!C848, Data!C848, "ERROR")</f>
        <v>45764</v>
      </c>
      <c r="D848" s="6" t="str">
        <f>IF(Data!D848 = 'Point Intercept 2'!D848, Data!D848, "ERROR")</f>
        <v>TL, JR, AA</v>
      </c>
      <c r="E848" s="6" t="str">
        <f>IF(Data!E848 = 'Point Intercept 2'!E848, Data!E848, "ERROR")</f>
        <v>CU</v>
      </c>
      <c r="F848" s="6">
        <f>IF(Data!F848 = 'Point Intercept 2'!F848, Data!F848, "ERROR")</f>
        <v>1</v>
      </c>
      <c r="G848" s="6" t="str">
        <f>IF(Data!G848 = 'Point Intercept 2'!G848, Data!G848, "ERROR")</f>
        <v>LS</v>
      </c>
      <c r="H848" s="6">
        <f>IF(Data!I848 = 'Point Intercept 2'!I848, Data!I848, "ERROR")</f>
        <v>11</v>
      </c>
      <c r="I848" s="6">
        <f>IF(Data!H848 = 'Point Intercept 2'!H848, Data!H848, "ERROR")</f>
        <v>2</v>
      </c>
      <c r="J848" s="6">
        <f>IF(Data!J848 = 'Point Intercept 2'!J848, Data!J848, "ERROR")</f>
        <v>5.5</v>
      </c>
      <c r="K848" s="6" t="str">
        <f>IF(Data!K848 = 'Point Intercept 2'!K848, Data!K848, "ERROR")</f>
        <v>SONOLE</v>
      </c>
      <c r="L848" s="6" t="str">
        <f>IF(Data!L848 = 'Point Intercept 2'!L848, Data!L848, "ERROR")</f>
        <v>Sonchus oleraceus</v>
      </c>
    </row>
    <row r="849" spans="1:12" x14ac:dyDescent="0.25">
      <c r="A849" s="6">
        <f>IF(Data!A849 = 'Point Intercept 2'!A849, Data!A849, "ERROR")</f>
        <v>9</v>
      </c>
      <c r="B849" s="6">
        <f>IF(Data!B849 = 'Point Intercept 2'!B849, Data!B849, "ERROR")</f>
        <v>2025</v>
      </c>
      <c r="C849" s="8">
        <f>IF(Data!C849 = 'Point Intercept 2'!C849, Data!C849, "ERROR")</f>
        <v>45764</v>
      </c>
      <c r="D849" s="6" t="str">
        <f>IF(Data!D849 = 'Point Intercept 2'!D849, Data!D849, "ERROR")</f>
        <v>TL, JR, AA</v>
      </c>
      <c r="E849" s="6" t="str">
        <f>IF(Data!E849 = 'Point Intercept 2'!E849, Data!E849, "ERROR")</f>
        <v>CU</v>
      </c>
      <c r="F849" s="6">
        <f>IF(Data!F849 = 'Point Intercept 2'!F849, Data!F849, "ERROR")</f>
        <v>1</v>
      </c>
      <c r="G849" s="6" t="str">
        <f>IF(Data!G849 = 'Point Intercept 2'!G849, Data!G849, "ERROR")</f>
        <v>LS</v>
      </c>
      <c r="H849" s="6">
        <f>IF(Data!I849 = 'Point Intercept 2'!I849, Data!I849, "ERROR")</f>
        <v>12</v>
      </c>
      <c r="I849" s="6">
        <f>IF(Data!H849 = 'Point Intercept 2'!H849, Data!H849, "ERROR")</f>
        <v>2</v>
      </c>
      <c r="J849" s="6">
        <f>IF(Data!J849 = 'Point Intercept 2'!J849, Data!J849, "ERROR")</f>
        <v>6</v>
      </c>
      <c r="K849" s="6" t="str">
        <f>IF(Data!K849 = 'Point Intercept 2'!K849, Data!K849, "ERROR")</f>
        <v>L</v>
      </c>
      <c r="L849" s="6" t="str">
        <f>IF(Data!L849 = 'Point Intercept 2'!L849, Data!L849, "ERROR")</f>
        <v>Litter</v>
      </c>
    </row>
    <row r="850" spans="1:12" x14ac:dyDescent="0.25">
      <c r="A850" s="6">
        <f>IF(Data!A850 = 'Point Intercept 2'!A850, Data!A850, "ERROR")</f>
        <v>9</v>
      </c>
      <c r="B850" s="6">
        <f>IF(Data!B850 = 'Point Intercept 2'!B850, Data!B850, "ERROR")</f>
        <v>2025</v>
      </c>
      <c r="C850" s="8">
        <f>IF(Data!C850 = 'Point Intercept 2'!C850, Data!C850, "ERROR")</f>
        <v>45764</v>
      </c>
      <c r="D850" s="6" t="str">
        <f>IF(Data!D850 = 'Point Intercept 2'!D850, Data!D850, "ERROR")</f>
        <v>TL, JR, AA</v>
      </c>
      <c r="E850" s="6" t="str">
        <f>IF(Data!E850 = 'Point Intercept 2'!E850, Data!E850, "ERROR")</f>
        <v>CU</v>
      </c>
      <c r="F850" s="6">
        <f>IF(Data!F850 = 'Point Intercept 2'!F850, Data!F850, "ERROR")</f>
        <v>1</v>
      </c>
      <c r="G850" s="6" t="str">
        <f>IF(Data!G850 = 'Point Intercept 2'!G850, Data!G850, "ERROR")</f>
        <v>LS</v>
      </c>
      <c r="H850" s="6">
        <f>IF(Data!I850 = 'Point Intercept 2'!I850, Data!I850, "ERROR")</f>
        <v>12</v>
      </c>
      <c r="I850" s="6">
        <f>IF(Data!H850 = 'Point Intercept 2'!H850, Data!H850, "ERROR")</f>
        <v>2</v>
      </c>
      <c r="J850" s="6">
        <f>IF(Data!J850 = 'Point Intercept 2'!J850, Data!J850, "ERROR")</f>
        <v>6</v>
      </c>
      <c r="K850" s="6" t="str">
        <f>IF(Data!K850 = 'Point Intercept 2'!K850, Data!K850, "ERROR")</f>
        <v>FESMYU</v>
      </c>
      <c r="L850" s="6" t="str">
        <f>IF(Data!L850 = 'Point Intercept 2'!L850, Data!L850, "ERROR")</f>
        <v>Festuca myuros</v>
      </c>
    </row>
    <row r="851" spans="1:12" x14ac:dyDescent="0.25">
      <c r="A851" s="6">
        <f>IF(Data!A851 = 'Point Intercept 2'!A851, Data!A851, "ERROR")</f>
        <v>9</v>
      </c>
      <c r="B851" s="6">
        <f>IF(Data!B851 = 'Point Intercept 2'!B851, Data!B851, "ERROR")</f>
        <v>2025</v>
      </c>
      <c r="C851" s="8">
        <f>IF(Data!C851 = 'Point Intercept 2'!C851, Data!C851, "ERROR")</f>
        <v>45764</v>
      </c>
      <c r="D851" s="6" t="str">
        <f>IF(Data!D851 = 'Point Intercept 2'!D851, Data!D851, "ERROR")</f>
        <v>TL, JR, AA</v>
      </c>
      <c r="E851" s="6" t="str">
        <f>IF(Data!E851 = 'Point Intercept 2'!E851, Data!E851, "ERROR")</f>
        <v>CU</v>
      </c>
      <c r="F851" s="6">
        <f>IF(Data!F851 = 'Point Intercept 2'!F851, Data!F851, "ERROR")</f>
        <v>1</v>
      </c>
      <c r="G851" s="6" t="str">
        <f>IF(Data!G851 = 'Point Intercept 2'!G851, Data!G851, "ERROR")</f>
        <v>LS</v>
      </c>
      <c r="H851" s="6">
        <f>IF(Data!I851 = 'Point Intercept 2'!I851, Data!I851, "ERROR")</f>
        <v>12</v>
      </c>
      <c r="I851" s="6">
        <f>IF(Data!H851 = 'Point Intercept 2'!H851, Data!H851, "ERROR")</f>
        <v>2</v>
      </c>
      <c r="J851" s="6">
        <f>IF(Data!J851 = 'Point Intercept 2'!J851, Data!J851, "ERROR")</f>
        <v>6</v>
      </c>
      <c r="K851" s="6" t="str">
        <f>IF(Data!K851 = 'Point Intercept 2'!K851, Data!K851, "ERROR")</f>
        <v>SONASP</v>
      </c>
      <c r="L851" s="6" t="str">
        <f>IF(Data!L851 = 'Point Intercept 2'!L851, Data!L851, "ERROR")</f>
        <v>Sonchus asper</v>
      </c>
    </row>
    <row r="852" spans="1:12" x14ac:dyDescent="0.25">
      <c r="A852" s="6">
        <f>IF(Data!A852 = 'Point Intercept 2'!A852, Data!A852, "ERROR")</f>
        <v>9</v>
      </c>
      <c r="B852" s="6">
        <f>IF(Data!B852 = 'Point Intercept 2'!B852, Data!B852, "ERROR")</f>
        <v>2025</v>
      </c>
      <c r="C852" s="8">
        <f>IF(Data!C852 = 'Point Intercept 2'!C852, Data!C852, "ERROR")</f>
        <v>45764</v>
      </c>
      <c r="D852" s="6" t="str">
        <f>IF(Data!D852 = 'Point Intercept 2'!D852, Data!D852, "ERROR")</f>
        <v>TL, JR, AA</v>
      </c>
      <c r="E852" s="6" t="str">
        <f>IF(Data!E852 = 'Point Intercept 2'!E852, Data!E852, "ERROR")</f>
        <v>CU</v>
      </c>
      <c r="F852" s="6">
        <f>IF(Data!F852 = 'Point Intercept 2'!F852, Data!F852, "ERROR")</f>
        <v>1</v>
      </c>
      <c r="G852" s="6" t="str">
        <f>IF(Data!G852 = 'Point Intercept 2'!G852, Data!G852, "ERROR")</f>
        <v>LS</v>
      </c>
      <c r="H852" s="6">
        <f>IF(Data!I852 = 'Point Intercept 2'!I852, Data!I852, "ERROR")</f>
        <v>13</v>
      </c>
      <c r="I852" s="6">
        <f>IF(Data!H852 = 'Point Intercept 2'!H852, Data!H852, "ERROR")</f>
        <v>2</v>
      </c>
      <c r="J852" s="6">
        <f>IF(Data!J852 = 'Point Intercept 2'!J852, Data!J852, "ERROR")</f>
        <v>6.5</v>
      </c>
      <c r="K852" s="6" t="str">
        <f>IF(Data!K852 = 'Point Intercept 2'!K852, Data!K852, "ERROR")</f>
        <v>L</v>
      </c>
      <c r="L852" s="6" t="str">
        <f>IF(Data!L852 = 'Point Intercept 2'!L852, Data!L852, "ERROR")</f>
        <v>Litter</v>
      </c>
    </row>
    <row r="853" spans="1:12" x14ac:dyDescent="0.25">
      <c r="A853" s="6">
        <f>IF(Data!A853 = 'Point Intercept 2'!A853, Data!A853, "ERROR")</f>
        <v>9</v>
      </c>
      <c r="B853" s="6">
        <f>IF(Data!B853 = 'Point Intercept 2'!B853, Data!B853, "ERROR")</f>
        <v>2025</v>
      </c>
      <c r="C853" s="8">
        <f>IF(Data!C853 = 'Point Intercept 2'!C853, Data!C853, "ERROR")</f>
        <v>45764</v>
      </c>
      <c r="D853" s="6" t="str">
        <f>IF(Data!D853 = 'Point Intercept 2'!D853, Data!D853, "ERROR")</f>
        <v>TL, JR, AA</v>
      </c>
      <c r="E853" s="6" t="str">
        <f>IF(Data!E853 = 'Point Intercept 2'!E853, Data!E853, "ERROR")</f>
        <v>CU</v>
      </c>
      <c r="F853" s="6">
        <f>IF(Data!F853 = 'Point Intercept 2'!F853, Data!F853, "ERROR")</f>
        <v>1</v>
      </c>
      <c r="G853" s="6" t="str">
        <f>IF(Data!G853 = 'Point Intercept 2'!G853, Data!G853, "ERROR")</f>
        <v>LS</v>
      </c>
      <c r="H853" s="6">
        <f>IF(Data!I853 = 'Point Intercept 2'!I853, Data!I853, "ERROR")</f>
        <v>13</v>
      </c>
      <c r="I853" s="6">
        <f>IF(Data!H853 = 'Point Intercept 2'!H853, Data!H853, "ERROR")</f>
        <v>2</v>
      </c>
      <c r="J853" s="6">
        <f>IF(Data!J853 = 'Point Intercept 2'!J853, Data!J853, "ERROR")</f>
        <v>6.5</v>
      </c>
      <c r="K853" s="6" t="str">
        <f>IF(Data!K853 = 'Point Intercept 2'!K853, Data!K853, "ERROR")</f>
        <v>BROMAD</v>
      </c>
      <c r="L853" s="6" t="str">
        <f>IF(Data!L853 = 'Point Intercept 2'!L853, Data!L853, "ERROR")</f>
        <v>Bromus madritensis</v>
      </c>
    </row>
    <row r="854" spans="1:12" x14ac:dyDescent="0.25">
      <c r="A854" s="6">
        <f>IF(Data!A854 = 'Point Intercept 2'!A854, Data!A854, "ERROR")</f>
        <v>9</v>
      </c>
      <c r="B854" s="6">
        <f>IF(Data!B854 = 'Point Intercept 2'!B854, Data!B854, "ERROR")</f>
        <v>2025</v>
      </c>
      <c r="C854" s="8">
        <f>IF(Data!C854 = 'Point Intercept 2'!C854, Data!C854, "ERROR")</f>
        <v>45764</v>
      </c>
      <c r="D854" s="6" t="str">
        <f>IF(Data!D854 = 'Point Intercept 2'!D854, Data!D854, "ERROR")</f>
        <v>TL, JR, AA</v>
      </c>
      <c r="E854" s="6" t="str">
        <f>IF(Data!E854 = 'Point Intercept 2'!E854, Data!E854, "ERROR")</f>
        <v>CU</v>
      </c>
      <c r="F854" s="6">
        <f>IF(Data!F854 = 'Point Intercept 2'!F854, Data!F854, "ERROR")</f>
        <v>1</v>
      </c>
      <c r="G854" s="6" t="str">
        <f>IF(Data!G854 = 'Point Intercept 2'!G854, Data!G854, "ERROR")</f>
        <v>LS</v>
      </c>
      <c r="H854" s="6">
        <f>IF(Data!I854 = 'Point Intercept 2'!I854, Data!I854, "ERROR")</f>
        <v>13</v>
      </c>
      <c r="I854" s="6">
        <f>IF(Data!H854 = 'Point Intercept 2'!H854, Data!H854, "ERROR")</f>
        <v>2</v>
      </c>
      <c r="J854" s="6">
        <f>IF(Data!J854 = 'Point Intercept 2'!J854, Data!J854, "ERROR")</f>
        <v>6.5</v>
      </c>
      <c r="K854" s="6" t="str">
        <f>IF(Data!K854 = 'Point Intercept 2'!K854, Data!K854, "ERROR")</f>
        <v>DEIFAS</v>
      </c>
      <c r="L854" s="6" t="str">
        <f>IF(Data!L854 = 'Point Intercept 2'!L854, Data!L854, "ERROR")</f>
        <v>Deinandra fasciculata</v>
      </c>
    </row>
    <row r="855" spans="1:12" x14ac:dyDescent="0.25">
      <c r="A855" s="6">
        <f>IF(Data!A855 = 'Point Intercept 2'!A855, Data!A855, "ERROR")</f>
        <v>9</v>
      </c>
      <c r="B855" s="6">
        <f>IF(Data!B855 = 'Point Intercept 2'!B855, Data!B855, "ERROR")</f>
        <v>2025</v>
      </c>
      <c r="C855" s="8">
        <f>IF(Data!C855 = 'Point Intercept 2'!C855, Data!C855, "ERROR")</f>
        <v>45764</v>
      </c>
      <c r="D855" s="6" t="str">
        <f>IF(Data!D855 = 'Point Intercept 2'!D855, Data!D855, "ERROR")</f>
        <v>TL, JR, AA</v>
      </c>
      <c r="E855" s="6" t="str">
        <f>IF(Data!E855 = 'Point Intercept 2'!E855, Data!E855, "ERROR")</f>
        <v>CU</v>
      </c>
      <c r="F855" s="6">
        <f>IF(Data!F855 = 'Point Intercept 2'!F855, Data!F855, "ERROR")</f>
        <v>1</v>
      </c>
      <c r="G855" s="6" t="str">
        <f>IF(Data!G855 = 'Point Intercept 2'!G855, Data!G855, "ERROR")</f>
        <v>LS</v>
      </c>
      <c r="H855" s="6">
        <f>IF(Data!I855 = 'Point Intercept 2'!I855, Data!I855, "ERROR")</f>
        <v>14</v>
      </c>
      <c r="I855" s="6">
        <f>IF(Data!H855 = 'Point Intercept 2'!H855, Data!H855, "ERROR")</f>
        <v>2</v>
      </c>
      <c r="J855" s="6">
        <f>IF(Data!J855 = 'Point Intercept 2'!J855, Data!J855, "ERROR")</f>
        <v>7</v>
      </c>
      <c r="K855" s="6" t="str">
        <f>IF(Data!K855 = 'Point Intercept 2'!K855, Data!K855, "ERROR")</f>
        <v>R</v>
      </c>
      <c r="L855" s="6" t="str">
        <f>IF(Data!L855 = 'Point Intercept 2'!L855, Data!L855, "ERROR")</f>
        <v>Rock</v>
      </c>
    </row>
    <row r="856" spans="1:12" x14ac:dyDescent="0.25">
      <c r="A856" s="6">
        <f>IF(Data!A856 = 'Point Intercept 2'!A856, Data!A856, "ERROR")</f>
        <v>9</v>
      </c>
      <c r="B856" s="6">
        <f>IF(Data!B856 = 'Point Intercept 2'!B856, Data!B856, "ERROR")</f>
        <v>2025</v>
      </c>
      <c r="C856" s="8">
        <f>IF(Data!C856 = 'Point Intercept 2'!C856, Data!C856, "ERROR")</f>
        <v>45764</v>
      </c>
      <c r="D856" s="6" t="str">
        <f>IF(Data!D856 = 'Point Intercept 2'!D856, Data!D856, "ERROR")</f>
        <v>TL, JR, AA</v>
      </c>
      <c r="E856" s="6" t="str">
        <f>IF(Data!E856 = 'Point Intercept 2'!E856, Data!E856, "ERROR")</f>
        <v>CU</v>
      </c>
      <c r="F856" s="6">
        <f>IF(Data!F856 = 'Point Intercept 2'!F856, Data!F856, "ERROR")</f>
        <v>1</v>
      </c>
      <c r="G856" s="6" t="str">
        <f>IF(Data!G856 = 'Point Intercept 2'!G856, Data!G856, "ERROR")</f>
        <v>LS</v>
      </c>
      <c r="H856" s="6">
        <f>IF(Data!I856 = 'Point Intercept 2'!I856, Data!I856, "ERROR")</f>
        <v>14</v>
      </c>
      <c r="I856" s="6">
        <f>IF(Data!H856 = 'Point Intercept 2'!H856, Data!H856, "ERROR")</f>
        <v>2</v>
      </c>
      <c r="J856" s="6">
        <f>IF(Data!J856 = 'Point Intercept 2'!J856, Data!J856, "ERROR")</f>
        <v>7</v>
      </c>
      <c r="K856" s="6" t="str">
        <f>IF(Data!K856 = 'Point Intercept 2'!K856, Data!K856, "ERROR")</f>
        <v>SONASP</v>
      </c>
      <c r="L856" s="6" t="str">
        <f>IF(Data!L856 = 'Point Intercept 2'!L856, Data!L856, "ERROR")</f>
        <v>Sonchus asper</v>
      </c>
    </row>
    <row r="857" spans="1:12" x14ac:dyDescent="0.25">
      <c r="A857" s="6">
        <f>IF(Data!A857 = 'Point Intercept 2'!A857, Data!A857, "ERROR")</f>
        <v>9</v>
      </c>
      <c r="B857" s="6">
        <f>IF(Data!B857 = 'Point Intercept 2'!B857, Data!B857, "ERROR")</f>
        <v>2025</v>
      </c>
      <c r="C857" s="8">
        <f>IF(Data!C857 = 'Point Intercept 2'!C857, Data!C857, "ERROR")</f>
        <v>45764</v>
      </c>
      <c r="D857" s="6" t="str">
        <f>IF(Data!D857 = 'Point Intercept 2'!D857, Data!D857, "ERROR")</f>
        <v>TL, JR, AA</v>
      </c>
      <c r="E857" s="6" t="str">
        <f>IF(Data!E857 = 'Point Intercept 2'!E857, Data!E857, "ERROR")</f>
        <v>CU</v>
      </c>
      <c r="F857" s="6">
        <f>IF(Data!F857 = 'Point Intercept 2'!F857, Data!F857, "ERROR")</f>
        <v>1</v>
      </c>
      <c r="G857" s="6" t="str">
        <f>IF(Data!G857 = 'Point Intercept 2'!G857, Data!G857, "ERROR")</f>
        <v>LS</v>
      </c>
      <c r="H857" s="6">
        <f>IF(Data!I857 = 'Point Intercept 2'!I857, Data!I857, "ERROR")</f>
        <v>14</v>
      </c>
      <c r="I857" s="6">
        <f>IF(Data!H857 = 'Point Intercept 2'!H857, Data!H857, "ERROR")</f>
        <v>2</v>
      </c>
      <c r="J857" s="6">
        <f>IF(Data!J857 = 'Point Intercept 2'!J857, Data!J857, "ERROR")</f>
        <v>7</v>
      </c>
      <c r="K857" s="6" t="str">
        <f>IF(Data!K857 = 'Point Intercept 2'!K857, Data!K857, "ERROR")</f>
        <v>CRYINT</v>
      </c>
      <c r="L857" s="6" t="str">
        <f>IF(Data!L857 = 'Point Intercept 2'!L857, Data!L857, "ERROR")</f>
        <v>Cryptantha intermedia</v>
      </c>
    </row>
    <row r="858" spans="1:12" x14ac:dyDescent="0.25">
      <c r="A858" s="6">
        <f>IF(Data!A858 = 'Point Intercept 2'!A858, Data!A858, "ERROR")</f>
        <v>9</v>
      </c>
      <c r="B858" s="6">
        <f>IF(Data!B858 = 'Point Intercept 2'!B858, Data!B858, "ERROR")</f>
        <v>2025</v>
      </c>
      <c r="C858" s="8">
        <f>IF(Data!C858 = 'Point Intercept 2'!C858, Data!C858, "ERROR")</f>
        <v>45764</v>
      </c>
      <c r="D858" s="6" t="str">
        <f>IF(Data!D858 = 'Point Intercept 2'!D858, Data!D858, "ERROR")</f>
        <v>TL, JR, AA</v>
      </c>
      <c r="E858" s="6" t="str">
        <f>IF(Data!E858 = 'Point Intercept 2'!E858, Data!E858, "ERROR")</f>
        <v>CU</v>
      </c>
      <c r="F858" s="6">
        <f>IF(Data!F858 = 'Point Intercept 2'!F858, Data!F858, "ERROR")</f>
        <v>1</v>
      </c>
      <c r="G858" s="6" t="str">
        <f>IF(Data!G858 = 'Point Intercept 2'!G858, Data!G858, "ERROR")</f>
        <v>LS</v>
      </c>
      <c r="H858" s="6">
        <f>IF(Data!I858 = 'Point Intercept 2'!I858, Data!I858, "ERROR")</f>
        <v>15</v>
      </c>
      <c r="I858" s="6">
        <f>IF(Data!H858 = 'Point Intercept 2'!H858, Data!H858, "ERROR")</f>
        <v>2</v>
      </c>
      <c r="J858" s="6">
        <f>IF(Data!J858 = 'Point Intercept 2'!J858, Data!J858, "ERROR")</f>
        <v>7.5</v>
      </c>
      <c r="K858" s="6" t="str">
        <f>IF(Data!K858 = 'Point Intercept 2'!K858, Data!K858, "ERROR")</f>
        <v>R</v>
      </c>
      <c r="L858" s="6" t="str">
        <f>IF(Data!L858 = 'Point Intercept 2'!L858, Data!L858, "ERROR")</f>
        <v>Rock</v>
      </c>
    </row>
    <row r="859" spans="1:12" x14ac:dyDescent="0.25">
      <c r="A859" s="6">
        <f>IF(Data!A859 = 'Point Intercept 2'!A859, Data!A859, "ERROR")</f>
        <v>10</v>
      </c>
      <c r="B859" s="6">
        <f>IF(Data!B859 = 'Point Intercept 2'!B859, Data!B859, "ERROR")</f>
        <v>2025</v>
      </c>
      <c r="C859" s="7">
        <f>IF(Data!C859 = 'Point Intercept 2'!C859, Data!C859, "ERROR")</f>
        <v>45777</v>
      </c>
      <c r="D859" s="6" t="str">
        <f>IF(Data!D859 = 'Point Intercept 2'!D859, Data!D859, "ERROR")</f>
        <v>CG, JD</v>
      </c>
      <c r="E859" s="6" t="str">
        <f>IF(Data!E859 = 'Point Intercept 2'!E859, Data!E859, "ERROR")</f>
        <v>CU</v>
      </c>
      <c r="F859" s="6">
        <f>IF(Data!F859 = 'Point Intercept 2'!F859, Data!F859, "ERROR")</f>
        <v>1</v>
      </c>
      <c r="G859" s="6" t="str">
        <f>IF(Data!G859 = 'Point Intercept 2'!G859, Data!G859, "ERROR")</f>
        <v>LU</v>
      </c>
      <c r="H859" s="6">
        <f>IF(Data!I859 = 'Point Intercept 2'!I859, Data!I859, "ERROR")</f>
        <v>1</v>
      </c>
      <c r="I859" s="6">
        <f>IF(Data!H859 = 'Point Intercept 2'!H859, Data!H859, "ERROR")</f>
        <v>1</v>
      </c>
      <c r="J859" s="6">
        <f>IF(Data!J859 = 'Point Intercept 2'!J859, Data!J859, "ERROR")</f>
        <v>0</v>
      </c>
      <c r="K859" s="6" t="str">
        <f>IF(Data!K859 = 'Point Intercept 2'!K859, Data!K859, "ERROR")</f>
        <v>L</v>
      </c>
      <c r="L859" s="6" t="str">
        <f>IF(Data!L859 = 'Point Intercept 2'!L859, Data!L859, "ERROR")</f>
        <v>Litter</v>
      </c>
    </row>
    <row r="860" spans="1:12" x14ac:dyDescent="0.25">
      <c r="A860" s="6">
        <f>IF(Data!A860 = 'Point Intercept 2'!A860, Data!A860, "ERROR")</f>
        <v>10</v>
      </c>
      <c r="B860" s="6">
        <f>IF(Data!B860 = 'Point Intercept 2'!B860, Data!B860, "ERROR")</f>
        <v>2025</v>
      </c>
      <c r="C860" s="7">
        <f>IF(Data!C860 = 'Point Intercept 2'!C860, Data!C860, "ERROR")</f>
        <v>45777</v>
      </c>
      <c r="D860" s="6" t="str">
        <f>IF(Data!D860 = 'Point Intercept 2'!D860, Data!D860, "ERROR")</f>
        <v>CG, JD</v>
      </c>
      <c r="E860" s="6" t="str">
        <f>IF(Data!E860 = 'Point Intercept 2'!E860, Data!E860, "ERROR")</f>
        <v>CU</v>
      </c>
      <c r="F860" s="6">
        <f>IF(Data!F860 = 'Point Intercept 2'!F860, Data!F860, "ERROR")</f>
        <v>1</v>
      </c>
      <c r="G860" s="6" t="str">
        <f>IF(Data!G860 = 'Point Intercept 2'!G860, Data!G860, "ERROR")</f>
        <v>LU</v>
      </c>
      <c r="H860" s="6">
        <f>IF(Data!I860 = 'Point Intercept 2'!I860, Data!I860, "ERROR")</f>
        <v>1</v>
      </c>
      <c r="I860" s="6">
        <f>IF(Data!H860 = 'Point Intercept 2'!H860, Data!H860, "ERROR")</f>
        <v>1</v>
      </c>
      <c r="J860" s="6">
        <f>IF(Data!J860 = 'Point Intercept 2'!J860, Data!J860, "ERROR")</f>
        <v>0</v>
      </c>
      <c r="K860" s="6" t="str">
        <f>IF(Data!K860 = 'Point Intercept 2'!K860, Data!K860, "ERROR")</f>
        <v>DEIFAS</v>
      </c>
      <c r="L860" s="6" t="str">
        <f>IF(Data!L860 = 'Point Intercept 2'!L860, Data!L860, "ERROR")</f>
        <v>Deinandra fasciculata</v>
      </c>
    </row>
    <row r="861" spans="1:12" x14ac:dyDescent="0.25">
      <c r="A861" s="6">
        <f>IF(Data!A861 = 'Point Intercept 2'!A861, Data!A861, "ERROR")</f>
        <v>10</v>
      </c>
      <c r="B861" s="6">
        <f>IF(Data!B861 = 'Point Intercept 2'!B861, Data!B861, "ERROR")</f>
        <v>2025</v>
      </c>
      <c r="C861" s="7">
        <f>IF(Data!C861 = 'Point Intercept 2'!C861, Data!C861, "ERROR")</f>
        <v>45777</v>
      </c>
      <c r="D861" s="6" t="str">
        <f>IF(Data!D861 = 'Point Intercept 2'!D861, Data!D861, "ERROR")</f>
        <v>CG, JD</v>
      </c>
      <c r="E861" s="6" t="str">
        <f>IF(Data!E861 = 'Point Intercept 2'!E861, Data!E861, "ERROR")</f>
        <v>CU</v>
      </c>
      <c r="F861" s="6">
        <f>IF(Data!F861 = 'Point Intercept 2'!F861, Data!F861, "ERROR")</f>
        <v>1</v>
      </c>
      <c r="G861" s="6" t="str">
        <f>IF(Data!G861 = 'Point Intercept 2'!G861, Data!G861, "ERROR")</f>
        <v>LU</v>
      </c>
      <c r="H861" s="6">
        <f>IF(Data!I861 = 'Point Intercept 2'!I861, Data!I861, "ERROR")</f>
        <v>1</v>
      </c>
      <c r="I861" s="6">
        <f>IF(Data!H861 = 'Point Intercept 2'!H861, Data!H861, "ERROR")</f>
        <v>1</v>
      </c>
      <c r="J861" s="6">
        <f>IF(Data!J861 = 'Point Intercept 2'!J861, Data!J861, "ERROR")</f>
        <v>0</v>
      </c>
      <c r="K861" s="6" t="str">
        <f>IF(Data!K861 = 'Point Intercept 2'!K861, Data!K861, "ERROR")</f>
        <v>EROMOS</v>
      </c>
      <c r="L861" s="6" t="str">
        <f>IF(Data!L861 = 'Point Intercept 2'!L861, Data!L861, "ERROR")</f>
        <v>Erodium moschatum</v>
      </c>
    </row>
    <row r="862" spans="1:12" x14ac:dyDescent="0.25">
      <c r="A862" s="6">
        <f>IF(Data!A863 = 'Point Intercept 2'!A862, Data!A863, "ERROR")</f>
        <v>10</v>
      </c>
      <c r="B862" s="6">
        <f>IF(Data!B863 = 'Point Intercept 2'!B862, Data!B863, "ERROR")</f>
        <v>2025</v>
      </c>
      <c r="C862" s="7">
        <f>IF(Data!C863 = 'Point Intercept 2'!C862, Data!C863, "ERROR")</f>
        <v>45777</v>
      </c>
      <c r="D862" s="6" t="str">
        <f>IF(Data!D863 = 'Point Intercept 2'!D862, Data!D863, "ERROR")</f>
        <v>CG, JD</v>
      </c>
      <c r="E862" s="6" t="str">
        <f>IF(Data!E863 = 'Point Intercept 2'!E862, Data!E863, "ERROR")</f>
        <v>CU</v>
      </c>
      <c r="F862" s="6">
        <f>IF(Data!F863 = 'Point Intercept 2'!F862, Data!F863, "ERROR")</f>
        <v>1</v>
      </c>
      <c r="G862" s="6" t="str">
        <f>IF(Data!G862 = 'Point Intercept 2'!G862, Data!G862, "ERROR")</f>
        <v>LU</v>
      </c>
      <c r="H862" s="6">
        <f>IF(Data!I862 = 'Point Intercept 2'!I862, Data!I862, "ERROR")</f>
        <v>1</v>
      </c>
      <c r="I862" s="6">
        <f>IF(Data!H862 = 'Point Intercept 2'!H862, Data!H862, "ERROR")</f>
        <v>1</v>
      </c>
      <c r="J862" s="6">
        <f>IF(Data!J862 = 'Point Intercept 2'!J862, Data!J862, "ERROR")</f>
        <v>0</v>
      </c>
      <c r="K862" s="6" t="str">
        <f>IF(Data!K862 = 'Point Intercept 2'!K862, Data!K862, "ERROR")</f>
        <v>FESMYU</v>
      </c>
      <c r="L862" s="6" t="str">
        <f>IF(Data!L862 = 'Point Intercept 2'!L862, Data!L862, "ERROR")</f>
        <v>Festuca myuros</v>
      </c>
    </row>
    <row r="863" spans="1:12" x14ac:dyDescent="0.25">
      <c r="A863" s="6">
        <f>IF(Data!A864 = 'Point Intercept 2'!A863, Data!A864, "ERROR")</f>
        <v>10</v>
      </c>
      <c r="B863" s="6">
        <f>IF(Data!B864 = 'Point Intercept 2'!B863, Data!B864, "ERROR")</f>
        <v>2025</v>
      </c>
      <c r="C863" s="7">
        <f>IF(Data!C864 = 'Point Intercept 2'!C863, Data!C864, "ERROR")</f>
        <v>45777</v>
      </c>
      <c r="D863" s="6" t="str">
        <f>IF(Data!D864 = 'Point Intercept 2'!D863, Data!D864, "ERROR")</f>
        <v>CG, JD</v>
      </c>
      <c r="E863" s="6" t="str">
        <f>IF(Data!E864 = 'Point Intercept 2'!E863, Data!E864, "ERROR")</f>
        <v>CU</v>
      </c>
      <c r="F863" s="6">
        <f>IF(Data!F864 = 'Point Intercept 2'!F863, Data!F864, "ERROR")</f>
        <v>1</v>
      </c>
      <c r="G863" s="6" t="str">
        <f>IF(Data!G863 = 'Point Intercept 2'!G863, Data!G863, "ERROR")</f>
        <v>LU</v>
      </c>
      <c r="H863" s="6">
        <f>IF(Data!I863 = 'Point Intercept 2'!I863, Data!I863, "ERROR")</f>
        <v>2</v>
      </c>
      <c r="I863" s="6">
        <f>IF(Data!H863 = 'Point Intercept 2'!H863, Data!H863, "ERROR")</f>
        <v>1</v>
      </c>
      <c r="J863" s="6">
        <f>IF(Data!J863 = 'Point Intercept 2'!J863, Data!J863, "ERROR")</f>
        <v>0.5</v>
      </c>
      <c r="K863" s="6" t="str">
        <f>IF(Data!K863 = 'Point Intercept 2'!K863, Data!K863, "ERROR")</f>
        <v>L</v>
      </c>
      <c r="L863" s="6" t="str">
        <f>IF(Data!L863 = 'Point Intercept 2'!L863, Data!L863, "ERROR")</f>
        <v>Litter</v>
      </c>
    </row>
    <row r="864" spans="1:12" x14ac:dyDescent="0.25">
      <c r="A864" s="6">
        <f>IF(Data!A865 = 'Point Intercept 2'!A864, Data!A865, "ERROR")</f>
        <v>10</v>
      </c>
      <c r="B864" s="6">
        <f>IF(Data!B865 = 'Point Intercept 2'!B864, Data!B865, "ERROR")</f>
        <v>2025</v>
      </c>
      <c r="C864" s="7">
        <f>IF(Data!C865 = 'Point Intercept 2'!C864, Data!C865, "ERROR")</f>
        <v>45777</v>
      </c>
      <c r="D864" s="6" t="str">
        <f>IF(Data!D865 = 'Point Intercept 2'!D864, Data!D865, "ERROR")</f>
        <v>CG, JD</v>
      </c>
      <c r="E864" s="6" t="str">
        <f>IF(Data!E865 = 'Point Intercept 2'!E864, Data!E865, "ERROR")</f>
        <v>CU</v>
      </c>
      <c r="F864" s="6">
        <f>IF(Data!F865 = 'Point Intercept 2'!F864, Data!F865, "ERROR")</f>
        <v>1</v>
      </c>
      <c r="G864" s="6" t="str">
        <f>IF(Data!G864 = 'Point Intercept 2'!G864, Data!G864, "ERROR")</f>
        <v>LU</v>
      </c>
      <c r="H864" s="6">
        <f>IF(Data!I864 = 'Point Intercept 2'!I864, Data!I864, "ERROR")</f>
        <v>2</v>
      </c>
      <c r="I864" s="6">
        <f>IF(Data!H864 = 'Point Intercept 2'!H864, Data!H864, "ERROR")</f>
        <v>1</v>
      </c>
      <c r="J864" s="6">
        <f>IF(Data!J864 = 'Point Intercept 2'!J864, Data!J864, "ERROR")</f>
        <v>0.5</v>
      </c>
      <c r="K864" s="6" t="str">
        <f>IF(Data!K864 = 'Point Intercept 2'!K864, Data!K864, "ERROR")</f>
        <v>BROMAD</v>
      </c>
      <c r="L864" s="6" t="str">
        <f>IF(Data!L864 = 'Point Intercept 2'!L864, Data!L864, "ERROR")</f>
        <v>Bromus madritensis</v>
      </c>
    </row>
    <row r="865" spans="1:12" x14ac:dyDescent="0.25">
      <c r="A865" s="6">
        <f>IF(Data!A866 = 'Point Intercept 2'!A865, Data!A866, "ERROR")</f>
        <v>10</v>
      </c>
      <c r="B865" s="6">
        <f>IF(Data!B866 = 'Point Intercept 2'!B865, Data!B866, "ERROR")</f>
        <v>2025</v>
      </c>
      <c r="C865" s="7">
        <f>IF(Data!C866 = 'Point Intercept 2'!C865, Data!C866, "ERROR")</f>
        <v>45777</v>
      </c>
      <c r="D865" s="6" t="str">
        <f>IF(Data!D866 = 'Point Intercept 2'!D865, Data!D866, "ERROR")</f>
        <v>CG, JD</v>
      </c>
      <c r="E865" s="6" t="str">
        <f>IF(Data!E866 = 'Point Intercept 2'!E865, Data!E866, "ERROR")</f>
        <v>CU</v>
      </c>
      <c r="F865" s="6">
        <f>IF(Data!F866 = 'Point Intercept 2'!F865, Data!F866, "ERROR")</f>
        <v>1</v>
      </c>
      <c r="G865" s="6" t="str">
        <f>IF(Data!G865 = 'Point Intercept 2'!G865, Data!G865, "ERROR")</f>
        <v>LU</v>
      </c>
      <c r="H865" s="6">
        <f>IF(Data!I865 = 'Point Intercept 2'!I865, Data!I865, "ERROR")</f>
        <v>2</v>
      </c>
      <c r="I865" s="6">
        <f>IF(Data!H865 = 'Point Intercept 2'!H865, Data!H865, "ERROR")</f>
        <v>1</v>
      </c>
      <c r="J865" s="6">
        <f>IF(Data!J865 = 'Point Intercept 2'!J865, Data!J865, "ERROR")</f>
        <v>0.5</v>
      </c>
      <c r="K865" s="6" t="str">
        <f>IF(Data!K865 = 'Point Intercept 2'!K865, Data!K865, "ERROR")</f>
        <v>OPULIT</v>
      </c>
      <c r="L865" s="6" t="str">
        <f>IF(Data!L865 = 'Point Intercept 2'!L865, Data!L865, "ERROR")</f>
        <v>Opuntia littoralis</v>
      </c>
    </row>
    <row r="866" spans="1:12" x14ac:dyDescent="0.25">
      <c r="A866" s="6">
        <f>IF(Data!A867 = 'Point Intercept 2'!A866, Data!A867, "ERROR")</f>
        <v>10</v>
      </c>
      <c r="B866" s="6">
        <f>IF(Data!B867 = 'Point Intercept 2'!B866, Data!B867, "ERROR")</f>
        <v>2025</v>
      </c>
      <c r="C866" s="7">
        <f>IF(Data!C867 = 'Point Intercept 2'!C866, Data!C867, "ERROR")</f>
        <v>45777</v>
      </c>
      <c r="D866" s="6" t="str">
        <f>IF(Data!D867 = 'Point Intercept 2'!D866, Data!D867, "ERROR")</f>
        <v>CG, JD</v>
      </c>
      <c r="E866" s="6" t="str">
        <f>IF(Data!E867 = 'Point Intercept 2'!E866, Data!E867, "ERROR")</f>
        <v>CU</v>
      </c>
      <c r="F866" s="6">
        <f>IF(Data!F867 = 'Point Intercept 2'!F866, Data!F867, "ERROR")</f>
        <v>1</v>
      </c>
      <c r="G866" s="6" t="str">
        <f>IF(Data!G866 = 'Point Intercept 2'!G866, Data!G866, "ERROR")</f>
        <v>LU</v>
      </c>
      <c r="H866" s="6">
        <f>IF(Data!I866 = 'Point Intercept 2'!I866, Data!I866, "ERROR")</f>
        <v>2</v>
      </c>
      <c r="I866" s="6">
        <f>IF(Data!H866 = 'Point Intercept 2'!H866, Data!H866, "ERROR")</f>
        <v>1</v>
      </c>
      <c r="J866" s="6">
        <f>IF(Data!J866 = 'Point Intercept 2'!J866, Data!J866, "ERROR")</f>
        <v>0.5</v>
      </c>
      <c r="K866" s="6" t="str">
        <f>IF(Data!K866 = 'Point Intercept 2'!K866, Data!K866, "ERROR")</f>
        <v>DEIFAS</v>
      </c>
      <c r="L866" s="6" t="str">
        <f>IF(Data!L866 = 'Point Intercept 2'!L866, Data!L866, "ERROR")</f>
        <v>Deinandra fasciculata</v>
      </c>
    </row>
    <row r="867" spans="1:12" x14ac:dyDescent="0.25">
      <c r="A867" s="6">
        <f>IF(Data!A868 = 'Point Intercept 2'!A867, Data!A868, "ERROR")</f>
        <v>10</v>
      </c>
      <c r="B867" s="6">
        <f>IF(Data!B868 = 'Point Intercept 2'!B867, Data!B868, "ERROR")</f>
        <v>2025</v>
      </c>
      <c r="C867" s="7">
        <f>IF(Data!C868 = 'Point Intercept 2'!C867, Data!C868, "ERROR")</f>
        <v>45777</v>
      </c>
      <c r="D867" s="6" t="str">
        <f>IF(Data!D868 = 'Point Intercept 2'!D867, Data!D868, "ERROR")</f>
        <v>CG, JD</v>
      </c>
      <c r="E867" s="6" t="str">
        <f>IF(Data!E868 = 'Point Intercept 2'!E867, Data!E868, "ERROR")</f>
        <v>CU</v>
      </c>
      <c r="F867" s="6">
        <f>IF(Data!F868 = 'Point Intercept 2'!F867, Data!F868, "ERROR")</f>
        <v>1</v>
      </c>
      <c r="G867" s="6" t="str">
        <f>IF(Data!G867 = 'Point Intercept 2'!G867, Data!G867, "ERROR")</f>
        <v>LU</v>
      </c>
      <c r="H867" s="6">
        <f>IF(Data!I867 = 'Point Intercept 2'!I867, Data!I867, "ERROR")</f>
        <v>2</v>
      </c>
      <c r="I867" s="6">
        <f>IF(Data!H867 = 'Point Intercept 2'!H867, Data!H867, "ERROR")</f>
        <v>1</v>
      </c>
      <c r="J867" s="6">
        <f>IF(Data!J867 = 'Point Intercept 2'!J867, Data!J867, "ERROR")</f>
        <v>0.5</v>
      </c>
      <c r="K867" s="6" t="str">
        <f>IF(Data!K867 = 'Point Intercept 2'!K867, Data!K867, "ERROR")</f>
        <v>ANAARV</v>
      </c>
      <c r="L867" s="6" t="str">
        <f>IF(Data!L867 = 'Point Intercept 2'!L867, Data!L867, "ERROR")</f>
        <v>Anagallis arvensis</v>
      </c>
    </row>
    <row r="868" spans="1:12" x14ac:dyDescent="0.25">
      <c r="A868" s="6">
        <f>IF(Data!A869 = 'Point Intercept 2'!A868, Data!A869, "ERROR")</f>
        <v>10</v>
      </c>
      <c r="B868" s="6">
        <f>IF(Data!B869 = 'Point Intercept 2'!B868, Data!B869, "ERROR")</f>
        <v>2025</v>
      </c>
      <c r="C868" s="7">
        <f>IF(Data!C869 = 'Point Intercept 2'!C868, Data!C869, "ERROR")</f>
        <v>45777</v>
      </c>
      <c r="D868" s="6" t="str">
        <f>IF(Data!D869 = 'Point Intercept 2'!D868, Data!D869, "ERROR")</f>
        <v>CG, JD</v>
      </c>
      <c r="E868" s="6" t="str">
        <f>IF(Data!E869 = 'Point Intercept 2'!E868, Data!E869, "ERROR")</f>
        <v>CU</v>
      </c>
      <c r="F868" s="6">
        <f>IF(Data!F869 = 'Point Intercept 2'!F868, Data!F869, "ERROR")</f>
        <v>1</v>
      </c>
      <c r="G868" s="6" t="str">
        <f>IF(Data!G868 = 'Point Intercept 2'!G868, Data!G868, "ERROR")</f>
        <v>LU</v>
      </c>
      <c r="H868" s="6">
        <f>IF(Data!I868 = 'Point Intercept 2'!I868, Data!I868, "ERROR")</f>
        <v>3</v>
      </c>
      <c r="I868" s="6">
        <f>IF(Data!H868 = 'Point Intercept 2'!H868, Data!H868, "ERROR")</f>
        <v>1</v>
      </c>
      <c r="J868" s="6">
        <f>IF(Data!J868 = 'Point Intercept 2'!J868, Data!J868, "ERROR")</f>
        <v>1</v>
      </c>
      <c r="K868" s="6" t="str">
        <f>IF(Data!K868 = 'Point Intercept 2'!K868, Data!K868, "ERROR")</f>
        <v>L</v>
      </c>
      <c r="L868" s="6" t="str">
        <f>IF(Data!L868 = 'Point Intercept 2'!L868, Data!L868, "ERROR")</f>
        <v>Litter</v>
      </c>
    </row>
    <row r="869" spans="1:12" x14ac:dyDescent="0.25">
      <c r="A869" s="6">
        <f>IF(Data!A870 = 'Point Intercept 2'!A869, Data!A870, "ERROR")</f>
        <v>10</v>
      </c>
      <c r="B869" s="6">
        <f>IF(Data!B870 = 'Point Intercept 2'!B869, Data!B870, "ERROR")</f>
        <v>2025</v>
      </c>
      <c r="C869" s="7">
        <f>IF(Data!C870 = 'Point Intercept 2'!C869, Data!C870, "ERROR")</f>
        <v>45777</v>
      </c>
      <c r="D869" s="6" t="str">
        <f>IF(Data!D870 = 'Point Intercept 2'!D869, Data!D870, "ERROR")</f>
        <v>CG, JD</v>
      </c>
      <c r="E869" s="6" t="str">
        <f>IF(Data!E870 = 'Point Intercept 2'!E869, Data!E870, "ERROR")</f>
        <v>CU</v>
      </c>
      <c r="F869" s="6">
        <f>IF(Data!F870 = 'Point Intercept 2'!F869, Data!F870, "ERROR")</f>
        <v>1</v>
      </c>
      <c r="G869" s="6" t="str">
        <f>IF(Data!G869 = 'Point Intercept 2'!G869, Data!G869, "ERROR")</f>
        <v>LU</v>
      </c>
      <c r="H869" s="6">
        <f>IF(Data!I869 = 'Point Intercept 2'!I869, Data!I869, "ERROR")</f>
        <v>3</v>
      </c>
      <c r="I869" s="6">
        <f>IF(Data!H869 = 'Point Intercept 2'!H869, Data!H869, "ERROR")</f>
        <v>1</v>
      </c>
      <c r="J869" s="6">
        <f>IF(Data!J869 = 'Point Intercept 2'!J869, Data!J869, "ERROR")</f>
        <v>1</v>
      </c>
      <c r="K869" s="6" t="str">
        <f>IF(Data!K869 = 'Point Intercept 2'!K869, Data!K869, "ERROR")</f>
        <v>BROMAD</v>
      </c>
      <c r="L869" s="6" t="str">
        <f>IF(Data!L869 = 'Point Intercept 2'!L869, Data!L869, "ERROR")</f>
        <v>Bromus madritensis</v>
      </c>
    </row>
    <row r="870" spans="1:12" x14ac:dyDescent="0.25">
      <c r="A870" s="6">
        <f>IF(Data!A871 = 'Point Intercept 2'!A870, Data!A871, "ERROR")</f>
        <v>10</v>
      </c>
      <c r="B870" s="6">
        <f>IF(Data!B871 = 'Point Intercept 2'!B870, Data!B871, "ERROR")</f>
        <v>2025</v>
      </c>
      <c r="C870" s="7">
        <f>IF(Data!C871 = 'Point Intercept 2'!C870, Data!C871, "ERROR")</f>
        <v>45777</v>
      </c>
      <c r="D870" s="6" t="str">
        <f>IF(Data!D871 = 'Point Intercept 2'!D870, Data!D871, "ERROR")</f>
        <v>CG, JD</v>
      </c>
      <c r="E870" s="6" t="str">
        <f>IF(Data!E871 = 'Point Intercept 2'!E870, Data!E871, "ERROR")</f>
        <v>CU</v>
      </c>
      <c r="F870" s="6">
        <f>IF(Data!F871 = 'Point Intercept 2'!F870, Data!F871, "ERROR")</f>
        <v>1</v>
      </c>
      <c r="G870" s="6" t="str">
        <f>IF(Data!G870 = 'Point Intercept 2'!G870, Data!G870, "ERROR")</f>
        <v>LU</v>
      </c>
      <c r="H870" s="6">
        <f>IF(Data!I870 = 'Point Intercept 2'!I870, Data!I870, "ERROR")</f>
        <v>3</v>
      </c>
      <c r="I870" s="6">
        <f>IF(Data!H870 = 'Point Intercept 2'!H870, Data!H870, "ERROR")</f>
        <v>1</v>
      </c>
      <c r="J870" s="6">
        <f>IF(Data!J870 = 'Point Intercept 2'!J870, Data!J870, "ERROR")</f>
        <v>1</v>
      </c>
      <c r="K870" s="6" t="str">
        <f>IF(Data!K870 = 'Point Intercept 2'!K870, Data!K870, "ERROR")</f>
        <v>DEIFAS</v>
      </c>
      <c r="L870" s="6" t="str">
        <f>IF(Data!L870 = 'Point Intercept 2'!L870, Data!L870, "ERROR")</f>
        <v>Deinandra fasciculata</v>
      </c>
    </row>
    <row r="871" spans="1:12" x14ac:dyDescent="0.25">
      <c r="A871" s="6">
        <f>IF(Data!A872 = 'Point Intercept 2'!A871, Data!A872, "ERROR")</f>
        <v>10</v>
      </c>
      <c r="B871" s="6">
        <f>IF(Data!B872 = 'Point Intercept 2'!B871, Data!B872, "ERROR")</f>
        <v>2025</v>
      </c>
      <c r="C871" s="7">
        <f>IF(Data!C872 = 'Point Intercept 2'!C871, Data!C872, "ERROR")</f>
        <v>45777</v>
      </c>
      <c r="D871" s="6" t="str">
        <f>IF(Data!D872 = 'Point Intercept 2'!D871, Data!D872, "ERROR")</f>
        <v>CG, JD</v>
      </c>
      <c r="E871" s="6" t="str">
        <f>IF(Data!E872 = 'Point Intercept 2'!E871, Data!E872, "ERROR")</f>
        <v>CU</v>
      </c>
      <c r="F871" s="6">
        <f>IF(Data!F872 = 'Point Intercept 2'!F871, Data!F872, "ERROR")</f>
        <v>1</v>
      </c>
      <c r="G871" s="6" t="str">
        <f>IF(Data!G871 = 'Point Intercept 2'!G871, Data!G871, "ERROR")</f>
        <v>LU</v>
      </c>
      <c r="H871" s="6">
        <f>IF(Data!I871 = 'Point Intercept 2'!I871, Data!I871, "ERROR")</f>
        <v>4</v>
      </c>
      <c r="I871" s="6">
        <f>IF(Data!H871 = 'Point Intercept 2'!H871, Data!H871, "ERROR")</f>
        <v>1</v>
      </c>
      <c r="J871" s="6">
        <f>IF(Data!J871 = 'Point Intercept 2'!J871, Data!J871, "ERROR")</f>
        <v>1.5</v>
      </c>
      <c r="K871" s="6" t="str">
        <f>IF(Data!K871 = 'Point Intercept 2'!K871, Data!K871, "ERROR")</f>
        <v>S</v>
      </c>
      <c r="L871" s="6" t="str">
        <f>IF(Data!L871 = 'Point Intercept 2'!L871, Data!L871, "ERROR")</f>
        <v>Stem</v>
      </c>
    </row>
    <row r="872" spans="1:12" x14ac:dyDescent="0.25">
      <c r="A872" s="6">
        <f>IF(Data!A873 = 'Point Intercept 2'!A872, Data!A873, "ERROR")</f>
        <v>10</v>
      </c>
      <c r="B872" s="6">
        <f>IF(Data!B873 = 'Point Intercept 2'!B872, Data!B873, "ERROR")</f>
        <v>2025</v>
      </c>
      <c r="C872" s="7">
        <f>IF(Data!C873 = 'Point Intercept 2'!C872, Data!C873, "ERROR")</f>
        <v>45777</v>
      </c>
      <c r="D872" s="6" t="str">
        <f>IF(Data!D873 = 'Point Intercept 2'!D872, Data!D873, "ERROR")</f>
        <v>CG, JD</v>
      </c>
      <c r="E872" s="6" t="str">
        <f>IF(Data!E873 = 'Point Intercept 2'!E872, Data!E873, "ERROR")</f>
        <v>CU</v>
      </c>
      <c r="F872" s="6">
        <f>IF(Data!F873 = 'Point Intercept 2'!F872, Data!F873, "ERROR")</f>
        <v>1</v>
      </c>
      <c r="G872" s="6" t="str">
        <f>IF(Data!G872 = 'Point Intercept 2'!G872, Data!G872, "ERROR")</f>
        <v>LU</v>
      </c>
      <c r="H872" s="6">
        <f>IF(Data!I872 = 'Point Intercept 2'!I872, Data!I872, "ERROR")</f>
        <v>4</v>
      </c>
      <c r="I872" s="6">
        <f>IF(Data!H872 = 'Point Intercept 2'!H872, Data!H872, "ERROR")</f>
        <v>1</v>
      </c>
      <c r="J872" s="6">
        <f>IF(Data!J872 = 'Point Intercept 2'!J872, Data!J872, "ERROR")</f>
        <v>1.5</v>
      </c>
      <c r="K872" s="6" t="str">
        <f>IF(Data!K872 = 'Point Intercept 2'!K872, Data!K872, "ERROR")</f>
        <v>OPULIT</v>
      </c>
      <c r="L872" s="6" t="str">
        <f>IF(Data!L872 = 'Point Intercept 2'!L872, Data!L872, "ERROR")</f>
        <v>Opuntia littoralis</v>
      </c>
    </row>
    <row r="873" spans="1:12" x14ac:dyDescent="0.25">
      <c r="A873" s="6">
        <f>IF(Data!A874 = 'Point Intercept 2'!A873, Data!A874, "ERROR")</f>
        <v>10</v>
      </c>
      <c r="B873" s="6">
        <f>IF(Data!B874 = 'Point Intercept 2'!B873, Data!B874, "ERROR")</f>
        <v>2025</v>
      </c>
      <c r="C873" s="7">
        <f>IF(Data!C874 = 'Point Intercept 2'!C873, Data!C874, "ERROR")</f>
        <v>45777</v>
      </c>
      <c r="D873" s="6" t="str">
        <f>IF(Data!D874 = 'Point Intercept 2'!D873, Data!D874, "ERROR")</f>
        <v>CG, JD</v>
      </c>
      <c r="E873" s="6" t="str">
        <f>IF(Data!E874 = 'Point Intercept 2'!E873, Data!E874, "ERROR")</f>
        <v>CU</v>
      </c>
      <c r="F873" s="6">
        <f>IF(Data!F874 = 'Point Intercept 2'!F873, Data!F874, "ERROR")</f>
        <v>1</v>
      </c>
      <c r="G873" s="6" t="str">
        <f>IF(Data!G873 = 'Point Intercept 2'!G873, Data!G873, "ERROR")</f>
        <v>LU</v>
      </c>
      <c r="H873" s="6">
        <f>IF(Data!I873 = 'Point Intercept 2'!I873, Data!I873, "ERROR")</f>
        <v>4</v>
      </c>
      <c r="I873" s="6">
        <f>IF(Data!H873 = 'Point Intercept 2'!H873, Data!H873, "ERROR")</f>
        <v>1</v>
      </c>
      <c r="J873" s="6">
        <f>IF(Data!J873 = 'Point Intercept 2'!J873, Data!J873, "ERROR")</f>
        <v>1.5</v>
      </c>
      <c r="K873" s="6" t="str">
        <f>IF(Data!K873 = 'Point Intercept 2'!K873, Data!K873, "ERROR")</f>
        <v>UROLIN</v>
      </c>
      <c r="L873" s="6" t="str">
        <f>IF(Data!L873 = 'Point Intercept 2'!L873, Data!L873, "ERROR")</f>
        <v>Uropappus lindleyi</v>
      </c>
    </row>
    <row r="874" spans="1:12" x14ac:dyDescent="0.25">
      <c r="A874" s="6">
        <f>IF(Data!A875 = 'Point Intercept 2'!A874, Data!A875, "ERROR")</f>
        <v>10</v>
      </c>
      <c r="B874" s="6">
        <f>IF(Data!B875 = 'Point Intercept 2'!B874, Data!B875, "ERROR")</f>
        <v>2025</v>
      </c>
      <c r="C874" s="7">
        <f>IF(Data!C875 = 'Point Intercept 2'!C874, Data!C875, "ERROR")</f>
        <v>45777</v>
      </c>
      <c r="D874" s="6" t="str">
        <f>IF(Data!D875 = 'Point Intercept 2'!D874, Data!D875, "ERROR")</f>
        <v>CG, JD</v>
      </c>
      <c r="E874" s="6" t="str">
        <f>IF(Data!E875 = 'Point Intercept 2'!E874, Data!E875, "ERROR")</f>
        <v>CU</v>
      </c>
      <c r="F874" s="6">
        <f>IF(Data!F875 = 'Point Intercept 2'!F874, Data!F875, "ERROR")</f>
        <v>1</v>
      </c>
      <c r="G874" s="6" t="str">
        <f>IF(Data!G874 = 'Point Intercept 2'!G874, Data!G874, "ERROR")</f>
        <v>LU</v>
      </c>
      <c r="H874" s="6">
        <f>IF(Data!I874 = 'Point Intercept 2'!I874, Data!I874, "ERROR")</f>
        <v>5</v>
      </c>
      <c r="I874" s="6">
        <f>IF(Data!H874 = 'Point Intercept 2'!H874, Data!H874, "ERROR")</f>
        <v>1</v>
      </c>
      <c r="J874" s="6">
        <f>IF(Data!J874 = 'Point Intercept 2'!J874, Data!J874, "ERROR")</f>
        <v>2</v>
      </c>
      <c r="K874" s="6" t="str">
        <f>IF(Data!K874 = 'Point Intercept 2'!K874, Data!K874, "ERROR")</f>
        <v>L</v>
      </c>
      <c r="L874" s="6" t="str">
        <f>IF(Data!L874 = 'Point Intercept 2'!L874, Data!L874, "ERROR")</f>
        <v>Litter</v>
      </c>
    </row>
    <row r="875" spans="1:12" x14ac:dyDescent="0.25">
      <c r="A875" s="6">
        <f>IF(Data!A876 = 'Point Intercept 2'!A875, Data!A876, "ERROR")</f>
        <v>10</v>
      </c>
      <c r="B875" s="6">
        <f>IF(Data!B876 = 'Point Intercept 2'!B875, Data!B876, "ERROR")</f>
        <v>2025</v>
      </c>
      <c r="C875" s="7">
        <f>IF(Data!C876 = 'Point Intercept 2'!C875, Data!C876, "ERROR")</f>
        <v>45777</v>
      </c>
      <c r="D875" s="6" t="str">
        <f>IF(Data!D876 = 'Point Intercept 2'!D875, Data!D876, "ERROR")</f>
        <v>CG, JD</v>
      </c>
      <c r="E875" s="6" t="str">
        <f>IF(Data!E876 = 'Point Intercept 2'!E875, Data!E876, "ERROR")</f>
        <v>CU</v>
      </c>
      <c r="F875" s="6">
        <f>IF(Data!F876 = 'Point Intercept 2'!F875, Data!F876, "ERROR")</f>
        <v>1</v>
      </c>
      <c r="G875" s="6" t="str">
        <f>IF(Data!G875 = 'Point Intercept 2'!G875, Data!G875, "ERROR")</f>
        <v>LU</v>
      </c>
      <c r="H875" s="6">
        <f>IF(Data!I875 = 'Point Intercept 2'!I875, Data!I875, "ERROR")</f>
        <v>5</v>
      </c>
      <c r="I875" s="6">
        <f>IF(Data!H875 = 'Point Intercept 2'!H875, Data!H875, "ERROR")</f>
        <v>1</v>
      </c>
      <c r="J875" s="6">
        <f>IF(Data!J875 = 'Point Intercept 2'!J875, Data!J875, "ERROR")</f>
        <v>2</v>
      </c>
      <c r="K875" s="6" t="str">
        <f>IF(Data!K875 = 'Point Intercept 2'!K875, Data!K875, "ERROR")</f>
        <v>EROMOS</v>
      </c>
      <c r="L875" s="6" t="str">
        <f>IF(Data!L875 = 'Point Intercept 2'!L875, Data!L875, "ERROR")</f>
        <v>Erodium moschatum</v>
      </c>
    </row>
    <row r="876" spans="1:12" x14ac:dyDescent="0.25">
      <c r="A876" s="6">
        <f>IF(Data!A877 = 'Point Intercept 2'!A876, Data!A877, "ERROR")</f>
        <v>10</v>
      </c>
      <c r="B876" s="6">
        <f>IF(Data!B877 = 'Point Intercept 2'!B876, Data!B877, "ERROR")</f>
        <v>2025</v>
      </c>
      <c r="C876" s="7">
        <f>IF(Data!C877 = 'Point Intercept 2'!C876, Data!C877, "ERROR")</f>
        <v>45777</v>
      </c>
      <c r="D876" s="6" t="str">
        <f>IF(Data!D877 = 'Point Intercept 2'!D876, Data!D877, "ERROR")</f>
        <v>CG, JD</v>
      </c>
      <c r="E876" s="6" t="str">
        <f>IF(Data!E877 = 'Point Intercept 2'!E876, Data!E877, "ERROR")</f>
        <v>CU</v>
      </c>
      <c r="F876" s="6">
        <f>IF(Data!F877 = 'Point Intercept 2'!F876, Data!F877, "ERROR")</f>
        <v>1</v>
      </c>
      <c r="G876" s="6" t="str">
        <f>IF(Data!G876 = 'Point Intercept 2'!G876, Data!G876, "ERROR")</f>
        <v>LU</v>
      </c>
      <c r="H876" s="6">
        <f>IF(Data!I876 = 'Point Intercept 2'!I876, Data!I876, "ERROR")</f>
        <v>5</v>
      </c>
      <c r="I876" s="6">
        <f>IF(Data!H876 = 'Point Intercept 2'!H876, Data!H876, "ERROR")</f>
        <v>1</v>
      </c>
      <c r="J876" s="6">
        <f>IF(Data!J876 = 'Point Intercept 2'!J876, Data!J876, "ERROR")</f>
        <v>2</v>
      </c>
      <c r="K876" s="6" t="str">
        <f>IF(Data!K876 = 'Point Intercept 2'!K876, Data!K876, "ERROR")</f>
        <v>CENMEL</v>
      </c>
      <c r="L876" s="6" t="str">
        <f>IF(Data!L876 = 'Point Intercept 2'!L876, Data!L876, "ERROR")</f>
        <v>Centaurea melitensis</v>
      </c>
    </row>
    <row r="877" spans="1:12" x14ac:dyDescent="0.25">
      <c r="A877" s="6">
        <f>IF(Data!A878 = 'Point Intercept 2'!A877, Data!A878, "ERROR")</f>
        <v>10</v>
      </c>
      <c r="B877" s="6">
        <f>IF(Data!B878 = 'Point Intercept 2'!B877, Data!B878, "ERROR")</f>
        <v>2025</v>
      </c>
      <c r="C877" s="7">
        <f>IF(Data!C878 = 'Point Intercept 2'!C877, Data!C878, "ERROR")</f>
        <v>45777</v>
      </c>
      <c r="D877" s="6" t="str">
        <f>IF(Data!D878 = 'Point Intercept 2'!D877, Data!D878, "ERROR")</f>
        <v>CG, JD</v>
      </c>
      <c r="E877" s="6" t="str">
        <f>IF(Data!E878 = 'Point Intercept 2'!E877, Data!E878, "ERROR")</f>
        <v>CU</v>
      </c>
      <c r="F877" s="6">
        <f>IF(Data!F878 = 'Point Intercept 2'!F877, Data!F878, "ERROR")</f>
        <v>1</v>
      </c>
      <c r="G877" s="6" t="str">
        <f>IF(Data!G877 = 'Point Intercept 2'!G877, Data!G877, "ERROR")</f>
        <v>LU</v>
      </c>
      <c r="H877" s="6">
        <f>IF(Data!I877 = 'Point Intercept 2'!I877, Data!I877, "ERROR")</f>
        <v>6</v>
      </c>
      <c r="I877" s="6">
        <f>IF(Data!H877 = 'Point Intercept 2'!H877, Data!H877, "ERROR")</f>
        <v>1</v>
      </c>
      <c r="J877" s="6">
        <f>IF(Data!J877 = 'Point Intercept 2'!J877, Data!J877, "ERROR")</f>
        <v>2.5</v>
      </c>
      <c r="K877" s="6" t="str">
        <f>IF(Data!K877 = 'Point Intercept 2'!K877, Data!K877, "ERROR")</f>
        <v>B</v>
      </c>
      <c r="L877" s="6" t="str">
        <f>IF(Data!L877 = 'Point Intercept 2'!L877, Data!L877, "ERROR")</f>
        <v>Bareground</v>
      </c>
    </row>
    <row r="878" spans="1:12" x14ac:dyDescent="0.25">
      <c r="A878" s="6">
        <f>IF(Data!A879 = 'Point Intercept 2'!A878, Data!A879, "ERROR")</f>
        <v>10</v>
      </c>
      <c r="B878" s="6">
        <f>IF(Data!B879 = 'Point Intercept 2'!B878, Data!B879, "ERROR")</f>
        <v>2025</v>
      </c>
      <c r="C878" s="7">
        <f>IF(Data!C879 = 'Point Intercept 2'!C878, Data!C879, "ERROR")</f>
        <v>45777</v>
      </c>
      <c r="D878" s="6" t="str">
        <f>IF(Data!D879 = 'Point Intercept 2'!D878, Data!D879, "ERROR")</f>
        <v>CG, JD</v>
      </c>
      <c r="E878" s="6" t="str">
        <f>IF(Data!E879 = 'Point Intercept 2'!E878, Data!E879, "ERROR")</f>
        <v>CU</v>
      </c>
      <c r="F878" s="6">
        <f>IF(Data!F879 = 'Point Intercept 2'!F878, Data!F879, "ERROR")</f>
        <v>1</v>
      </c>
      <c r="G878" s="6" t="str">
        <f>IF(Data!G878 = 'Point Intercept 2'!G878, Data!G878, "ERROR")</f>
        <v>LU</v>
      </c>
      <c r="H878" s="6">
        <f>IF(Data!I878 = 'Point Intercept 2'!I878, Data!I878, "ERROR")</f>
        <v>6</v>
      </c>
      <c r="I878" s="6">
        <f>IF(Data!H878 = 'Point Intercept 2'!H878, Data!H878, "ERROR")</f>
        <v>1</v>
      </c>
      <c r="J878" s="6">
        <f>IF(Data!J878 = 'Point Intercept 2'!J878, Data!J878, "ERROR")</f>
        <v>2.5</v>
      </c>
      <c r="K878" s="6" t="str">
        <f>IF(Data!K878 = 'Point Intercept 2'!K878, Data!K878, "ERROR")</f>
        <v>OPULIT</v>
      </c>
      <c r="L878" s="6" t="str">
        <f>IF(Data!L878 = 'Point Intercept 2'!L878, Data!L878, "ERROR")</f>
        <v>Opuntia littoralis</v>
      </c>
    </row>
    <row r="879" spans="1:12" x14ac:dyDescent="0.25">
      <c r="A879" s="6">
        <f>IF(Data!A880 = 'Point Intercept 2'!A879, Data!A880, "ERROR")</f>
        <v>10</v>
      </c>
      <c r="B879" s="6">
        <f>IF(Data!B880 = 'Point Intercept 2'!B879, Data!B880, "ERROR")</f>
        <v>2025</v>
      </c>
      <c r="C879" s="7">
        <f>IF(Data!C880 = 'Point Intercept 2'!C879, Data!C880, "ERROR")</f>
        <v>45777</v>
      </c>
      <c r="D879" s="6" t="str">
        <f>IF(Data!D880 = 'Point Intercept 2'!D879, Data!D880, "ERROR")</f>
        <v>CG, JD</v>
      </c>
      <c r="E879" s="6" t="str">
        <f>IF(Data!E880 = 'Point Intercept 2'!E879, Data!E880, "ERROR")</f>
        <v>CU</v>
      </c>
      <c r="F879" s="6">
        <f>IF(Data!F880 = 'Point Intercept 2'!F879, Data!F880, "ERROR")</f>
        <v>1</v>
      </c>
      <c r="G879" s="6" t="str">
        <f>IF(Data!G879 = 'Point Intercept 2'!G879, Data!G879, "ERROR")</f>
        <v>LU</v>
      </c>
      <c r="H879" s="6">
        <f>IF(Data!I879 = 'Point Intercept 2'!I879, Data!I879, "ERROR")</f>
        <v>6</v>
      </c>
      <c r="I879" s="6">
        <f>IF(Data!H879 = 'Point Intercept 2'!H879, Data!H879, "ERROR")</f>
        <v>1</v>
      </c>
      <c r="J879" s="6">
        <f>IF(Data!J879 = 'Point Intercept 2'!J879, Data!J879, "ERROR")</f>
        <v>2.5</v>
      </c>
      <c r="K879" s="6" t="str">
        <f>IF(Data!K879 = 'Point Intercept 2'!K879, Data!K879, "ERROR")</f>
        <v>SONASP</v>
      </c>
      <c r="L879" s="6" t="str">
        <f>IF(Data!L879 = 'Point Intercept 2'!L879, Data!L879, "ERROR")</f>
        <v>Sonchus asper</v>
      </c>
    </row>
    <row r="880" spans="1:12" x14ac:dyDescent="0.25">
      <c r="A880" s="6">
        <f>IF(Data!A881 = 'Point Intercept 2'!A880, Data!A881, "ERROR")</f>
        <v>10</v>
      </c>
      <c r="B880" s="6">
        <f>IF(Data!B881 = 'Point Intercept 2'!B880, Data!B881, "ERROR")</f>
        <v>2025</v>
      </c>
      <c r="C880" s="7">
        <f>IF(Data!C881 = 'Point Intercept 2'!C880, Data!C881, "ERROR")</f>
        <v>45777</v>
      </c>
      <c r="D880" s="6" t="str">
        <f>IF(Data!D881 = 'Point Intercept 2'!D880, Data!D881, "ERROR")</f>
        <v>CG, JD</v>
      </c>
      <c r="E880" s="6" t="str">
        <f>IF(Data!E881 = 'Point Intercept 2'!E880, Data!E881, "ERROR")</f>
        <v>CU</v>
      </c>
      <c r="F880" s="6">
        <f>IF(Data!F881 = 'Point Intercept 2'!F880, Data!F881, "ERROR")</f>
        <v>1</v>
      </c>
      <c r="G880" s="6" t="str">
        <f>IF(Data!G880 = 'Point Intercept 2'!G880, Data!G880, "ERROR")</f>
        <v>LU</v>
      </c>
      <c r="H880" s="6">
        <f>IF(Data!I880 = 'Point Intercept 2'!I880, Data!I880, "ERROR")</f>
        <v>6</v>
      </c>
      <c r="I880" s="6">
        <f>IF(Data!H880 = 'Point Intercept 2'!H880, Data!H880, "ERROR")</f>
        <v>1</v>
      </c>
      <c r="J880" s="6">
        <f>IF(Data!J880 = 'Point Intercept 2'!J880, Data!J880, "ERROR")</f>
        <v>2.5</v>
      </c>
      <c r="K880" s="6" t="str">
        <f>IF(Data!K880 = 'Point Intercept 2'!K880, Data!K880, "ERROR")</f>
        <v>FESMYU</v>
      </c>
      <c r="L880" s="6" t="str">
        <f>IF(Data!L880 = 'Point Intercept 2'!L880, Data!L880, "ERROR")</f>
        <v>Festuca myuros</v>
      </c>
    </row>
    <row r="881" spans="1:12" x14ac:dyDescent="0.25">
      <c r="A881" s="6">
        <f>IF(Data!A882 = 'Point Intercept 2'!A881, Data!A882, "ERROR")</f>
        <v>10</v>
      </c>
      <c r="B881" s="6">
        <f>IF(Data!B882 = 'Point Intercept 2'!B881, Data!B882, "ERROR")</f>
        <v>2025</v>
      </c>
      <c r="C881" s="7">
        <f>IF(Data!C882 = 'Point Intercept 2'!C881, Data!C882, "ERROR")</f>
        <v>45777</v>
      </c>
      <c r="D881" s="6" t="str">
        <f>IF(Data!D882 = 'Point Intercept 2'!D881, Data!D882, "ERROR")</f>
        <v>CG, JD</v>
      </c>
      <c r="E881" s="6" t="str">
        <f>IF(Data!E882 = 'Point Intercept 2'!E881, Data!E882, "ERROR")</f>
        <v>CU</v>
      </c>
      <c r="F881" s="6">
        <f>IF(Data!F882 = 'Point Intercept 2'!F881, Data!F882, "ERROR")</f>
        <v>1</v>
      </c>
      <c r="G881" s="6" t="str">
        <f>IF(Data!G881 = 'Point Intercept 2'!G881, Data!G881, "ERROR")</f>
        <v>LU</v>
      </c>
      <c r="H881" s="6">
        <f>IF(Data!I881 = 'Point Intercept 2'!I881, Data!I881, "ERROR")</f>
        <v>7</v>
      </c>
      <c r="I881" s="6">
        <f>IF(Data!H881 = 'Point Intercept 2'!H881, Data!H881, "ERROR")</f>
        <v>1</v>
      </c>
      <c r="J881" s="6">
        <f>IF(Data!J881 = 'Point Intercept 2'!J881, Data!J881, "ERROR")</f>
        <v>3</v>
      </c>
      <c r="K881" s="6" t="str">
        <f>IF(Data!K881 = 'Point Intercept 2'!K881, Data!K881, "ERROR")</f>
        <v>L</v>
      </c>
      <c r="L881" s="6" t="str">
        <f>IF(Data!L881 = 'Point Intercept 2'!L881, Data!L881, "ERROR")</f>
        <v>Litter</v>
      </c>
    </row>
    <row r="882" spans="1:12" x14ac:dyDescent="0.25">
      <c r="A882" s="6">
        <f>IF(Data!A883 = 'Point Intercept 2'!A882, Data!A883, "ERROR")</f>
        <v>10</v>
      </c>
      <c r="B882" s="6">
        <f>IF(Data!B883 = 'Point Intercept 2'!B882, Data!B883, "ERROR")</f>
        <v>2025</v>
      </c>
      <c r="C882" s="7">
        <f>IF(Data!C883 = 'Point Intercept 2'!C882, Data!C883, "ERROR")</f>
        <v>45777</v>
      </c>
      <c r="D882" s="6" t="str">
        <f>IF(Data!D883 = 'Point Intercept 2'!D882, Data!D883, "ERROR")</f>
        <v>CG, JD</v>
      </c>
      <c r="E882" s="6" t="str">
        <f>IF(Data!E883 = 'Point Intercept 2'!E882, Data!E883, "ERROR")</f>
        <v>CU</v>
      </c>
      <c r="F882" s="6">
        <f>IF(Data!F883 = 'Point Intercept 2'!F882, Data!F883, "ERROR")</f>
        <v>1</v>
      </c>
      <c r="G882" s="6" t="str">
        <f>IF(Data!G882 = 'Point Intercept 2'!G882, Data!G882, "ERROR")</f>
        <v>LU</v>
      </c>
      <c r="H882" s="6">
        <f>IF(Data!I882 = 'Point Intercept 2'!I882, Data!I882, "ERROR")</f>
        <v>7</v>
      </c>
      <c r="I882" s="6">
        <f>IF(Data!H882 = 'Point Intercept 2'!H882, Data!H882, "ERROR")</f>
        <v>1</v>
      </c>
      <c r="J882" s="6">
        <f>IF(Data!J882 = 'Point Intercept 2'!J882, Data!J882, "ERROR")</f>
        <v>3</v>
      </c>
      <c r="K882" s="6" t="str">
        <f>IF(Data!K882 = 'Point Intercept 2'!K882, Data!K882, "ERROR")</f>
        <v>SONASP</v>
      </c>
      <c r="L882" s="6" t="str">
        <f>IF(Data!L882 = 'Point Intercept 2'!L882, Data!L882, "ERROR")</f>
        <v>Sonchus asper</v>
      </c>
    </row>
    <row r="883" spans="1:12" x14ac:dyDescent="0.25">
      <c r="A883" s="6">
        <f>IF(Data!A884 = 'Point Intercept 2'!A883, Data!A884, "ERROR")</f>
        <v>10</v>
      </c>
      <c r="B883" s="6">
        <f>IF(Data!B884 = 'Point Intercept 2'!B883, Data!B884, "ERROR")</f>
        <v>2025</v>
      </c>
      <c r="C883" s="7">
        <f>IF(Data!C884 = 'Point Intercept 2'!C883, Data!C884, "ERROR")</f>
        <v>45777</v>
      </c>
      <c r="D883" s="6" t="str">
        <f>IF(Data!D884 = 'Point Intercept 2'!D883, Data!D884, "ERROR")</f>
        <v>CG, JD</v>
      </c>
      <c r="E883" s="6" t="str">
        <f>IF(Data!E884 = 'Point Intercept 2'!E883, Data!E884, "ERROR")</f>
        <v>CU</v>
      </c>
      <c r="F883" s="6">
        <f>IF(Data!F884 = 'Point Intercept 2'!F883, Data!F884, "ERROR")</f>
        <v>1</v>
      </c>
      <c r="G883" s="6" t="str">
        <f>IF(Data!G883 = 'Point Intercept 2'!G883, Data!G883, "ERROR")</f>
        <v>LU</v>
      </c>
      <c r="H883" s="6">
        <f>IF(Data!I883 = 'Point Intercept 2'!I883, Data!I883, "ERROR")</f>
        <v>7</v>
      </c>
      <c r="I883" s="6">
        <f>IF(Data!H883 = 'Point Intercept 2'!H883, Data!H883, "ERROR")</f>
        <v>1</v>
      </c>
      <c r="J883" s="6">
        <f>IF(Data!J883 = 'Point Intercept 2'!J883, Data!J883, "ERROR")</f>
        <v>3</v>
      </c>
      <c r="K883" s="6" t="str">
        <f>IF(Data!K883 = 'Point Intercept 2'!K883, Data!K883, "ERROR")</f>
        <v>DEIFAS</v>
      </c>
      <c r="L883" s="6" t="str">
        <f>IF(Data!L883 = 'Point Intercept 2'!L883, Data!L883, "ERROR")</f>
        <v>Deinandra fasciculata</v>
      </c>
    </row>
    <row r="884" spans="1:12" x14ac:dyDescent="0.25">
      <c r="A884" s="6">
        <f>IF(Data!A885 = 'Point Intercept 2'!A884, Data!A885, "ERROR")</f>
        <v>10</v>
      </c>
      <c r="B884" s="6">
        <f>IF(Data!B885 = 'Point Intercept 2'!B884, Data!B885, "ERROR")</f>
        <v>2025</v>
      </c>
      <c r="C884" s="7">
        <f>IF(Data!C885 = 'Point Intercept 2'!C884, Data!C885, "ERROR")</f>
        <v>45777</v>
      </c>
      <c r="D884" s="6" t="str">
        <f>IF(Data!D885 = 'Point Intercept 2'!D884, Data!D885, "ERROR")</f>
        <v>CG, JD</v>
      </c>
      <c r="E884" s="6" t="str">
        <f>IF(Data!E885 = 'Point Intercept 2'!E884, Data!E885, "ERROR")</f>
        <v>CU</v>
      </c>
      <c r="F884" s="6">
        <f>IF(Data!F885 = 'Point Intercept 2'!F884, Data!F885, "ERROR")</f>
        <v>1</v>
      </c>
      <c r="G884" s="6" t="str">
        <f>IF(Data!G884 = 'Point Intercept 2'!G884, Data!G884, "ERROR")</f>
        <v>LU</v>
      </c>
      <c r="H884" s="6">
        <f>IF(Data!I884 = 'Point Intercept 2'!I884, Data!I884, "ERROR")</f>
        <v>7</v>
      </c>
      <c r="I884" s="6">
        <f>IF(Data!H884 = 'Point Intercept 2'!H884, Data!H884, "ERROR")</f>
        <v>1</v>
      </c>
      <c r="J884" s="6">
        <f>IF(Data!J884 = 'Point Intercept 2'!J884, Data!J884, "ERROR")</f>
        <v>3</v>
      </c>
      <c r="K884" s="6" t="str">
        <f>IF(Data!K884 = 'Point Intercept 2'!K884, Data!K884, "ERROR")</f>
        <v>OPULIT</v>
      </c>
      <c r="L884" s="6" t="str">
        <f>IF(Data!L884 = 'Point Intercept 2'!L884, Data!L884, "ERROR")</f>
        <v>Opuntia littoralis</v>
      </c>
    </row>
    <row r="885" spans="1:12" x14ac:dyDescent="0.25">
      <c r="A885" s="6">
        <f>IF(Data!A886 = 'Point Intercept 2'!A885, Data!A886, "ERROR")</f>
        <v>10</v>
      </c>
      <c r="B885" s="6">
        <f>IF(Data!B886 = 'Point Intercept 2'!B885, Data!B886, "ERROR")</f>
        <v>2025</v>
      </c>
      <c r="C885" s="7">
        <f>IF(Data!C886 = 'Point Intercept 2'!C885, Data!C886, "ERROR")</f>
        <v>45777</v>
      </c>
      <c r="D885" s="6" t="str">
        <f>IF(Data!D886 = 'Point Intercept 2'!D885, Data!D886, "ERROR")</f>
        <v>CG, JD</v>
      </c>
      <c r="E885" s="6" t="str">
        <f>IF(Data!E886 = 'Point Intercept 2'!E885, Data!E886, "ERROR")</f>
        <v>CU</v>
      </c>
      <c r="F885" s="6">
        <f>IF(Data!F886 = 'Point Intercept 2'!F885, Data!F886, "ERROR")</f>
        <v>1</v>
      </c>
      <c r="G885" s="6" t="str">
        <f>IF(Data!G885 = 'Point Intercept 2'!G885, Data!G885, "ERROR")</f>
        <v>LU</v>
      </c>
      <c r="H885" s="6">
        <f>IF(Data!I885 = 'Point Intercept 2'!I885, Data!I885, "ERROR")</f>
        <v>8</v>
      </c>
      <c r="I885" s="6">
        <f>IF(Data!H885 = 'Point Intercept 2'!H885, Data!H885, "ERROR")</f>
        <v>1</v>
      </c>
      <c r="J885" s="6">
        <f>IF(Data!J885 = 'Point Intercept 2'!J885, Data!J885, "ERROR")</f>
        <v>3.5</v>
      </c>
      <c r="K885" s="6" t="str">
        <f>IF(Data!K885 = 'Point Intercept 2'!K885, Data!K885, "ERROR")</f>
        <v>L</v>
      </c>
      <c r="L885" s="6" t="str">
        <f>IF(Data!L885 = 'Point Intercept 2'!L885, Data!L885, "ERROR")</f>
        <v>Litter</v>
      </c>
    </row>
    <row r="886" spans="1:12" x14ac:dyDescent="0.25">
      <c r="A886" s="6">
        <f>IF(Data!A887 = 'Point Intercept 2'!A886, Data!A887, "ERROR")</f>
        <v>10</v>
      </c>
      <c r="B886" s="6">
        <f>IF(Data!B887 = 'Point Intercept 2'!B886, Data!B887, "ERROR")</f>
        <v>2025</v>
      </c>
      <c r="C886" s="7">
        <f>IF(Data!C887 = 'Point Intercept 2'!C886, Data!C887, "ERROR")</f>
        <v>45777</v>
      </c>
      <c r="D886" s="6" t="str">
        <f>IF(Data!D887 = 'Point Intercept 2'!D886, Data!D887, "ERROR")</f>
        <v>CG, JD</v>
      </c>
      <c r="E886" s="6" t="str">
        <f>IF(Data!E887 = 'Point Intercept 2'!E886, Data!E887, "ERROR")</f>
        <v>CU</v>
      </c>
      <c r="F886" s="6">
        <f>IF(Data!F887 = 'Point Intercept 2'!F886, Data!F887, "ERROR")</f>
        <v>1</v>
      </c>
      <c r="G886" s="6" t="str">
        <f>IF(Data!G886 = 'Point Intercept 2'!G886, Data!G886, "ERROR")</f>
        <v>LU</v>
      </c>
      <c r="H886" s="6">
        <f>IF(Data!I886 = 'Point Intercept 2'!I886, Data!I886, "ERROR")</f>
        <v>8</v>
      </c>
      <c r="I886" s="6">
        <f>IF(Data!H886 = 'Point Intercept 2'!H886, Data!H886, "ERROR")</f>
        <v>1</v>
      </c>
      <c r="J886" s="6">
        <f>IF(Data!J886 = 'Point Intercept 2'!J886, Data!J886, "ERROR")</f>
        <v>3.5</v>
      </c>
      <c r="K886" s="6" t="str">
        <f>IF(Data!K886 = 'Point Intercept 2'!K886, Data!K886, "ERROR")</f>
        <v>DEIFAS</v>
      </c>
      <c r="L886" s="6" t="str">
        <f>IF(Data!L886 = 'Point Intercept 2'!L886, Data!L886, "ERROR")</f>
        <v>Deinandra fasciculata</v>
      </c>
    </row>
    <row r="887" spans="1:12" x14ac:dyDescent="0.25">
      <c r="A887" s="6">
        <f>IF(Data!A888 = 'Point Intercept 2'!A887, Data!A888, "ERROR")</f>
        <v>10</v>
      </c>
      <c r="B887" s="6">
        <f>IF(Data!B888 = 'Point Intercept 2'!B887, Data!B888, "ERROR")</f>
        <v>2025</v>
      </c>
      <c r="C887" s="7">
        <f>IF(Data!C888 = 'Point Intercept 2'!C887, Data!C888, "ERROR")</f>
        <v>45777</v>
      </c>
      <c r="D887" s="6" t="str">
        <f>IF(Data!D888 = 'Point Intercept 2'!D887, Data!D888, "ERROR")</f>
        <v>CG, JD</v>
      </c>
      <c r="E887" s="6" t="str">
        <f>IF(Data!E888 = 'Point Intercept 2'!E887, Data!E888, "ERROR")</f>
        <v>CU</v>
      </c>
      <c r="F887" s="6">
        <f>IF(Data!F888 = 'Point Intercept 2'!F887, Data!F888, "ERROR")</f>
        <v>1</v>
      </c>
      <c r="G887" s="6" t="str">
        <f>IF(Data!G887 = 'Point Intercept 2'!G887, Data!G887, "ERROR")</f>
        <v>LU</v>
      </c>
      <c r="H887" s="6">
        <f>IF(Data!I887 = 'Point Intercept 2'!I887, Data!I887, "ERROR")</f>
        <v>9</v>
      </c>
      <c r="I887" s="6">
        <f>IF(Data!H887 = 'Point Intercept 2'!H887, Data!H887, "ERROR")</f>
        <v>1</v>
      </c>
      <c r="J887" s="6">
        <f>IF(Data!J887 = 'Point Intercept 2'!J887, Data!J887, "ERROR")</f>
        <v>4</v>
      </c>
      <c r="K887" s="6" t="str">
        <f>IF(Data!K887 = 'Point Intercept 2'!K887, Data!K887, "ERROR")</f>
        <v>TH</v>
      </c>
      <c r="L887" s="6" t="str">
        <f>IF(Data!L887 = 'Point Intercept 2'!L887, Data!L887, "ERROR")</f>
        <v>Thatch</v>
      </c>
    </row>
    <row r="888" spans="1:12" x14ac:dyDescent="0.25">
      <c r="A888" s="6">
        <f>IF(Data!A889 = 'Point Intercept 2'!A888, Data!A889, "ERROR")</f>
        <v>10</v>
      </c>
      <c r="B888" s="6">
        <f>IF(Data!B889 = 'Point Intercept 2'!B888, Data!B889, "ERROR")</f>
        <v>2025</v>
      </c>
      <c r="C888" s="7">
        <f>IF(Data!C889 = 'Point Intercept 2'!C888, Data!C889, "ERROR")</f>
        <v>45777</v>
      </c>
      <c r="D888" s="6" t="str">
        <f>IF(Data!D889 = 'Point Intercept 2'!D888, Data!D889, "ERROR")</f>
        <v>CG, JD</v>
      </c>
      <c r="E888" s="6" t="str">
        <f>IF(Data!E889 = 'Point Intercept 2'!E888, Data!E889, "ERROR")</f>
        <v>CU</v>
      </c>
      <c r="F888" s="6">
        <f>IF(Data!F889 = 'Point Intercept 2'!F888, Data!F889, "ERROR")</f>
        <v>1</v>
      </c>
      <c r="G888" s="6" t="str">
        <f>IF(Data!G888 = 'Point Intercept 2'!G888, Data!G888, "ERROR")</f>
        <v>LU</v>
      </c>
      <c r="H888" s="6">
        <f>IF(Data!I888 = 'Point Intercept 2'!I888, Data!I888, "ERROR")</f>
        <v>9</v>
      </c>
      <c r="I888" s="6">
        <f>IF(Data!H888 = 'Point Intercept 2'!H888, Data!H888, "ERROR")</f>
        <v>1</v>
      </c>
      <c r="J888" s="6">
        <f>IF(Data!J888 = 'Point Intercept 2'!J888, Data!J888, "ERROR")</f>
        <v>4</v>
      </c>
      <c r="K888" s="6" t="str">
        <f>IF(Data!K888 = 'Point Intercept 2'!K888, Data!K888, "ERROR")</f>
        <v>FESMYU</v>
      </c>
      <c r="L888" s="6" t="str">
        <f>IF(Data!L888 = 'Point Intercept 2'!L888, Data!L888, "ERROR")</f>
        <v>Festuca myuros</v>
      </c>
    </row>
    <row r="889" spans="1:12" x14ac:dyDescent="0.25">
      <c r="A889" s="6">
        <f>IF(Data!A890 = 'Point Intercept 2'!A889, Data!A890, "ERROR")</f>
        <v>10</v>
      </c>
      <c r="B889" s="6">
        <f>IF(Data!B890 = 'Point Intercept 2'!B889, Data!B890, "ERROR")</f>
        <v>2025</v>
      </c>
      <c r="C889" s="7">
        <f>IF(Data!C890 = 'Point Intercept 2'!C889, Data!C890, "ERROR")</f>
        <v>45777</v>
      </c>
      <c r="D889" s="6" t="str">
        <f>IF(Data!D890 = 'Point Intercept 2'!D889, Data!D890, "ERROR")</f>
        <v>CG, JD</v>
      </c>
      <c r="E889" s="6" t="str">
        <f>IF(Data!E890 = 'Point Intercept 2'!E889, Data!E890, "ERROR")</f>
        <v>CU</v>
      </c>
      <c r="F889" s="6">
        <f>IF(Data!F890 = 'Point Intercept 2'!F889, Data!F890, "ERROR")</f>
        <v>1</v>
      </c>
      <c r="G889" s="6" t="str">
        <f>IF(Data!G889 = 'Point Intercept 2'!G889, Data!G889, "ERROR")</f>
        <v>LU</v>
      </c>
      <c r="H889" s="6">
        <f>IF(Data!I889 = 'Point Intercept 2'!I889, Data!I889, "ERROR")</f>
        <v>9</v>
      </c>
      <c r="I889" s="6">
        <f>IF(Data!H889 = 'Point Intercept 2'!H889, Data!H889, "ERROR")</f>
        <v>1</v>
      </c>
      <c r="J889" s="6">
        <f>IF(Data!J889 = 'Point Intercept 2'!J889, Data!J889, "ERROR")</f>
        <v>4</v>
      </c>
      <c r="K889" s="6" t="str">
        <f>IF(Data!K889 = 'Point Intercept 2'!K889, Data!K889, "ERROR")</f>
        <v>BROMAD</v>
      </c>
      <c r="L889" s="6" t="str">
        <f>IF(Data!L889 = 'Point Intercept 2'!L889, Data!L889, "ERROR")</f>
        <v>Bromus madritensis</v>
      </c>
    </row>
    <row r="890" spans="1:12" x14ac:dyDescent="0.25">
      <c r="A890" s="6">
        <f>IF(Data!A891 = 'Point Intercept 2'!A890, Data!A891, "ERROR")</f>
        <v>10</v>
      </c>
      <c r="B890" s="6">
        <f>IF(Data!B891 = 'Point Intercept 2'!B890, Data!B891, "ERROR")</f>
        <v>2025</v>
      </c>
      <c r="C890" s="7">
        <f>IF(Data!C891 = 'Point Intercept 2'!C890, Data!C891, "ERROR")</f>
        <v>45777</v>
      </c>
      <c r="D890" s="6" t="str">
        <f>IF(Data!D891 = 'Point Intercept 2'!D890, Data!D891, "ERROR")</f>
        <v>CG, JD</v>
      </c>
      <c r="E890" s="6" t="str">
        <f>IF(Data!E891 = 'Point Intercept 2'!E890, Data!E891, "ERROR")</f>
        <v>CU</v>
      </c>
      <c r="F890" s="6">
        <f>IF(Data!F891 = 'Point Intercept 2'!F890, Data!F891, "ERROR")</f>
        <v>1</v>
      </c>
      <c r="G890" s="6" t="str">
        <f>IF(Data!G890 = 'Point Intercept 2'!G890, Data!G890, "ERROR")</f>
        <v>LU</v>
      </c>
      <c r="H890" s="6">
        <f>IF(Data!I890 = 'Point Intercept 2'!I890, Data!I890, "ERROR")</f>
        <v>10</v>
      </c>
      <c r="I890" s="6">
        <f>IF(Data!H890 = 'Point Intercept 2'!H890, Data!H890, "ERROR")</f>
        <v>1</v>
      </c>
      <c r="J890" s="6">
        <f>IF(Data!J890 = 'Point Intercept 2'!J890, Data!J890, "ERROR")</f>
        <v>4.5</v>
      </c>
      <c r="K890" s="6" t="str">
        <f>IF(Data!K890 = 'Point Intercept 2'!K890, Data!K890, "ERROR")</f>
        <v>TH</v>
      </c>
      <c r="L890" s="6" t="str">
        <f>IF(Data!L890 = 'Point Intercept 2'!L890, Data!L890, "ERROR")</f>
        <v>Thatch</v>
      </c>
    </row>
    <row r="891" spans="1:12" x14ac:dyDescent="0.25">
      <c r="A891" s="6">
        <f>IF(Data!A892 = 'Point Intercept 2'!A891, Data!A892, "ERROR")</f>
        <v>10</v>
      </c>
      <c r="B891" s="6">
        <f>IF(Data!B892 = 'Point Intercept 2'!B891, Data!B892, "ERROR")</f>
        <v>2025</v>
      </c>
      <c r="C891" s="7">
        <f>IF(Data!C892 = 'Point Intercept 2'!C891, Data!C892, "ERROR")</f>
        <v>45777</v>
      </c>
      <c r="D891" s="6" t="str">
        <f>IF(Data!D892 = 'Point Intercept 2'!D891, Data!D892, "ERROR")</f>
        <v>CG, JD</v>
      </c>
      <c r="E891" s="6" t="str">
        <f>IF(Data!E892 = 'Point Intercept 2'!E891, Data!E892, "ERROR")</f>
        <v>CU</v>
      </c>
      <c r="F891" s="6">
        <f>IF(Data!F892 = 'Point Intercept 2'!F891, Data!F892, "ERROR")</f>
        <v>1</v>
      </c>
      <c r="G891" s="6" t="str">
        <f>IF(Data!G891 = 'Point Intercept 2'!G891, Data!G891, "ERROR")</f>
        <v>LU</v>
      </c>
      <c r="H891" s="6">
        <f>IF(Data!I891 = 'Point Intercept 2'!I891, Data!I891, "ERROR")</f>
        <v>10</v>
      </c>
      <c r="I891" s="6">
        <f>IF(Data!H891 = 'Point Intercept 2'!H891, Data!H891, "ERROR")</f>
        <v>1</v>
      </c>
      <c r="J891" s="6">
        <f>IF(Data!J891 = 'Point Intercept 2'!J891, Data!J891, "ERROR")</f>
        <v>4.5</v>
      </c>
      <c r="K891" s="6" t="str">
        <f>IF(Data!K891 = 'Point Intercept 2'!K891, Data!K891, "ERROR")</f>
        <v>AVEFAT</v>
      </c>
      <c r="L891" s="6" t="str">
        <f>IF(Data!L891 = 'Point Intercept 2'!L891, Data!L891, "ERROR")</f>
        <v>Avena fatua</v>
      </c>
    </row>
    <row r="892" spans="1:12" x14ac:dyDescent="0.25">
      <c r="A892" s="6">
        <f>IF(Data!A893 = 'Point Intercept 2'!A892, Data!A893, "ERROR")</f>
        <v>10</v>
      </c>
      <c r="B892" s="6">
        <f>IF(Data!B893 = 'Point Intercept 2'!B892, Data!B893, "ERROR")</f>
        <v>2025</v>
      </c>
      <c r="C892" s="7">
        <f>IF(Data!C893 = 'Point Intercept 2'!C892, Data!C893, "ERROR")</f>
        <v>45777</v>
      </c>
      <c r="D892" s="6" t="str">
        <f>IF(Data!D893 = 'Point Intercept 2'!D892, Data!D893, "ERROR")</f>
        <v>CG, JD</v>
      </c>
      <c r="E892" s="6" t="str">
        <f>IF(Data!E893 = 'Point Intercept 2'!E892, Data!E893, "ERROR")</f>
        <v>CU</v>
      </c>
      <c r="F892" s="6">
        <f>IF(Data!F893 = 'Point Intercept 2'!F892, Data!F893, "ERROR")</f>
        <v>1</v>
      </c>
      <c r="G892" s="6" t="str">
        <f>IF(Data!G892 = 'Point Intercept 2'!G892, Data!G892, "ERROR")</f>
        <v>LU</v>
      </c>
      <c r="H892" s="6">
        <f>IF(Data!I892 = 'Point Intercept 2'!I892, Data!I892, "ERROR")</f>
        <v>10</v>
      </c>
      <c r="I892" s="6">
        <f>IF(Data!H892 = 'Point Intercept 2'!H892, Data!H892, "ERROR")</f>
        <v>1</v>
      </c>
      <c r="J892" s="6">
        <f>IF(Data!J892 = 'Point Intercept 2'!J892, Data!J892, "ERROR")</f>
        <v>4.5</v>
      </c>
      <c r="K892" s="6" t="str">
        <f>IF(Data!K892 = 'Point Intercept 2'!K892, Data!K892, "ERROR")</f>
        <v>FESMYU</v>
      </c>
      <c r="L892" s="6" t="str">
        <f>IF(Data!L892 = 'Point Intercept 2'!L892, Data!L892, "ERROR")</f>
        <v>Festuca myuros</v>
      </c>
    </row>
    <row r="893" spans="1:12" x14ac:dyDescent="0.25">
      <c r="A893" s="6">
        <f>IF(Data!A894 = 'Point Intercept 2'!A893, Data!A894, "ERROR")</f>
        <v>10</v>
      </c>
      <c r="B893" s="6">
        <f>IF(Data!B894 = 'Point Intercept 2'!B893, Data!B894, "ERROR")</f>
        <v>2025</v>
      </c>
      <c r="C893" s="7">
        <f>IF(Data!C894 = 'Point Intercept 2'!C893, Data!C894, "ERROR")</f>
        <v>45777</v>
      </c>
      <c r="D893" s="6" t="str">
        <f>IF(Data!D894 = 'Point Intercept 2'!D893, Data!D894, "ERROR")</f>
        <v>CG, JD</v>
      </c>
      <c r="E893" s="6" t="str">
        <f>IF(Data!E894 = 'Point Intercept 2'!E893, Data!E894, "ERROR")</f>
        <v>CU</v>
      </c>
      <c r="F893" s="6">
        <f>IF(Data!F894 = 'Point Intercept 2'!F893, Data!F894, "ERROR")</f>
        <v>1</v>
      </c>
      <c r="G893" s="6" t="str">
        <f>IF(Data!G893 = 'Point Intercept 2'!G893, Data!G893, "ERROR")</f>
        <v>LU</v>
      </c>
      <c r="H893" s="6">
        <f>IF(Data!I893 = 'Point Intercept 2'!I893, Data!I893, "ERROR")</f>
        <v>10</v>
      </c>
      <c r="I893" s="6">
        <f>IF(Data!H893 = 'Point Intercept 2'!H893, Data!H893, "ERROR")</f>
        <v>1</v>
      </c>
      <c r="J893" s="6">
        <f>IF(Data!J893 = 'Point Intercept 2'!J893, Data!J893, "ERROR")</f>
        <v>4.5</v>
      </c>
      <c r="K893" s="6" t="str">
        <f>IF(Data!K893 = 'Point Intercept 2'!K893, Data!K893, "ERROR")</f>
        <v>OPULIT</v>
      </c>
      <c r="L893" s="6" t="str">
        <f>IF(Data!L893 = 'Point Intercept 2'!L893, Data!L893, "ERROR")</f>
        <v>Opuntia littoralis</v>
      </c>
    </row>
    <row r="894" spans="1:12" x14ac:dyDescent="0.25">
      <c r="A894" s="6">
        <f>IF(Data!A895 = 'Point Intercept 2'!A894, Data!A895, "ERROR")</f>
        <v>10</v>
      </c>
      <c r="B894" s="6">
        <f>IF(Data!B895 = 'Point Intercept 2'!B894, Data!B895, "ERROR")</f>
        <v>2025</v>
      </c>
      <c r="C894" s="7">
        <f>IF(Data!C895 = 'Point Intercept 2'!C894, Data!C895, "ERROR")</f>
        <v>45777</v>
      </c>
      <c r="D894" s="6" t="str">
        <f>IF(Data!D895 = 'Point Intercept 2'!D894, Data!D895, "ERROR")</f>
        <v>CG, JD</v>
      </c>
      <c r="E894" s="6" t="str">
        <f>IF(Data!E895 = 'Point Intercept 2'!E894, Data!E895, "ERROR")</f>
        <v>CU</v>
      </c>
      <c r="F894" s="6">
        <f>IF(Data!F895 = 'Point Intercept 2'!F894, Data!F895, "ERROR")</f>
        <v>1</v>
      </c>
      <c r="G894" s="6" t="str">
        <f>IF(Data!G894 = 'Point Intercept 2'!G894, Data!G894, "ERROR")</f>
        <v>LU</v>
      </c>
      <c r="H894" s="6">
        <f>IF(Data!I894 = 'Point Intercept 2'!I894, Data!I894, "ERROR")</f>
        <v>11</v>
      </c>
      <c r="I894" s="6">
        <f>IF(Data!H894 = 'Point Intercept 2'!H894, Data!H894, "ERROR")</f>
        <v>1</v>
      </c>
      <c r="J894" s="6">
        <f>IF(Data!J894 = 'Point Intercept 2'!J894, Data!J894, "ERROR")</f>
        <v>5</v>
      </c>
      <c r="K894" s="6" t="str">
        <f>IF(Data!K894 = 'Point Intercept 2'!K894, Data!K894, "ERROR")</f>
        <v>L</v>
      </c>
      <c r="L894" s="6" t="str">
        <f>IF(Data!L894 = 'Point Intercept 2'!L894, Data!L894, "ERROR")</f>
        <v>Litter</v>
      </c>
    </row>
    <row r="895" spans="1:12" x14ac:dyDescent="0.25">
      <c r="A895" s="6">
        <f>IF(Data!A896 = 'Point Intercept 2'!A895, Data!A896, "ERROR")</f>
        <v>10</v>
      </c>
      <c r="B895" s="6">
        <f>IF(Data!B896 = 'Point Intercept 2'!B895, Data!B896, "ERROR")</f>
        <v>2025</v>
      </c>
      <c r="C895" s="7">
        <f>IF(Data!C896 = 'Point Intercept 2'!C895, Data!C896, "ERROR")</f>
        <v>45777</v>
      </c>
      <c r="D895" s="6" t="str">
        <f>IF(Data!D896 = 'Point Intercept 2'!D895, Data!D896, "ERROR")</f>
        <v>CG, JD</v>
      </c>
      <c r="E895" s="6" t="str">
        <f>IF(Data!E896 = 'Point Intercept 2'!E895, Data!E896, "ERROR")</f>
        <v>CU</v>
      </c>
      <c r="F895" s="6">
        <f>IF(Data!F896 = 'Point Intercept 2'!F895, Data!F896, "ERROR")</f>
        <v>1</v>
      </c>
      <c r="G895" s="6" t="str">
        <f>IF(Data!G895 = 'Point Intercept 2'!G895, Data!G895, "ERROR")</f>
        <v>LU</v>
      </c>
      <c r="H895" s="6">
        <f>IF(Data!I895 = 'Point Intercept 2'!I895, Data!I895, "ERROR")</f>
        <v>11</v>
      </c>
      <c r="I895" s="6">
        <f>IF(Data!H895 = 'Point Intercept 2'!H895, Data!H895, "ERROR")</f>
        <v>1</v>
      </c>
      <c r="J895" s="6">
        <f>IF(Data!J895 = 'Point Intercept 2'!J895, Data!J895, "ERROR")</f>
        <v>5</v>
      </c>
      <c r="K895" s="6" t="str">
        <f>IF(Data!K895 = 'Point Intercept 2'!K895, Data!K895, "ERROR")</f>
        <v>SONOLE</v>
      </c>
      <c r="L895" s="6" t="str">
        <f>IF(Data!L895 = 'Point Intercept 2'!L895, Data!L895, "ERROR")</f>
        <v>Sonchus oleraceus</v>
      </c>
    </row>
    <row r="896" spans="1:12" x14ac:dyDescent="0.25">
      <c r="A896" s="6">
        <f>IF(Data!A897 = 'Point Intercept 2'!A896, Data!A897, "ERROR")</f>
        <v>10</v>
      </c>
      <c r="B896" s="6">
        <f>IF(Data!B897 = 'Point Intercept 2'!B896, Data!B897, "ERROR")</f>
        <v>2025</v>
      </c>
      <c r="C896" s="7">
        <f>IF(Data!C897 = 'Point Intercept 2'!C896, Data!C897, "ERROR")</f>
        <v>45777</v>
      </c>
      <c r="D896" s="6" t="str">
        <f>IF(Data!D897 = 'Point Intercept 2'!D896, Data!D897, "ERROR")</f>
        <v>CG, JD</v>
      </c>
      <c r="E896" s="6" t="str">
        <f>IF(Data!E897 = 'Point Intercept 2'!E896, Data!E897, "ERROR")</f>
        <v>CU</v>
      </c>
      <c r="F896" s="6">
        <f>IF(Data!F897 = 'Point Intercept 2'!F896, Data!F897, "ERROR")</f>
        <v>1</v>
      </c>
      <c r="G896" s="6" t="str">
        <f>IF(Data!G896 = 'Point Intercept 2'!G896, Data!G896, "ERROR")</f>
        <v>LU</v>
      </c>
      <c r="H896" s="6">
        <f>IF(Data!I896 = 'Point Intercept 2'!I896, Data!I896, "ERROR")</f>
        <v>12</v>
      </c>
      <c r="I896" s="6">
        <f>IF(Data!H896 = 'Point Intercept 2'!H896, Data!H896, "ERROR")</f>
        <v>1</v>
      </c>
      <c r="J896" s="6">
        <f>IF(Data!J896 = 'Point Intercept 2'!J896, Data!J896, "ERROR")</f>
        <v>5.5</v>
      </c>
      <c r="K896" s="6" t="str">
        <f>IF(Data!K896 = 'Point Intercept 2'!K896, Data!K896, "ERROR")</f>
        <v>L</v>
      </c>
      <c r="L896" s="6" t="str">
        <f>IF(Data!L896 = 'Point Intercept 2'!L896, Data!L896, "ERROR")</f>
        <v>Litter</v>
      </c>
    </row>
  </sheetData>
  <conditionalFormatting sqref="A1:Z1000">
    <cfRule type="containsText" dxfId="0" priority="1" operator="containsText" text="ERROR">
      <formula>NOT(ISERROR(SEARCH(("ERROR"),(A1))))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60"/>
  <sheetViews>
    <sheetView workbookViewId="0"/>
  </sheetViews>
  <sheetFormatPr defaultColWidth="12.6640625" defaultRowHeight="15.75" customHeight="1" x14ac:dyDescent="0.25"/>
  <sheetData>
    <row r="1" spans="1:6" ht="15.75" customHeight="1" x14ac:dyDescent="0.3">
      <c r="A1" s="11" t="s">
        <v>94</v>
      </c>
      <c r="B1" s="11" t="s">
        <v>95</v>
      </c>
      <c r="C1" s="12" t="s">
        <v>12</v>
      </c>
      <c r="D1" s="11" t="s">
        <v>96</v>
      </c>
      <c r="E1" s="13" t="s">
        <v>97</v>
      </c>
      <c r="F1" s="11" t="s">
        <v>98</v>
      </c>
    </row>
    <row r="2" spans="1:6" ht="14.4" x14ac:dyDescent="0.25">
      <c r="A2" s="14" t="s">
        <v>99</v>
      </c>
      <c r="B2" s="14" t="s">
        <v>99</v>
      </c>
      <c r="C2" s="15" t="s">
        <v>99</v>
      </c>
      <c r="D2" s="14" t="s">
        <v>99</v>
      </c>
      <c r="E2" s="16" t="s">
        <v>99</v>
      </c>
      <c r="F2" s="14" t="s">
        <v>99</v>
      </c>
    </row>
    <row r="3" spans="1:6" ht="27.6" x14ac:dyDescent="0.25">
      <c r="A3" s="17" t="s">
        <v>100</v>
      </c>
      <c r="B3" s="17" t="s">
        <v>101</v>
      </c>
      <c r="C3" s="18" t="s">
        <v>102</v>
      </c>
      <c r="D3" s="17" t="s">
        <v>103</v>
      </c>
      <c r="E3" s="18" t="s">
        <v>99</v>
      </c>
      <c r="F3" s="17" t="s">
        <v>104</v>
      </c>
    </row>
    <row r="4" spans="1:6" ht="41.4" x14ac:dyDescent="0.25">
      <c r="A4" s="17" t="s">
        <v>105</v>
      </c>
      <c r="B4" s="17" t="s">
        <v>106</v>
      </c>
      <c r="C4" s="18" t="s">
        <v>102</v>
      </c>
      <c r="D4" s="17" t="s">
        <v>107</v>
      </c>
      <c r="E4" s="18" t="s">
        <v>108</v>
      </c>
      <c r="F4" s="17" t="s">
        <v>109</v>
      </c>
    </row>
    <row r="5" spans="1:6" ht="41.4" x14ac:dyDescent="0.25">
      <c r="A5" s="17" t="s">
        <v>110</v>
      </c>
      <c r="B5" s="17" t="s">
        <v>111</v>
      </c>
      <c r="C5" s="18" t="s">
        <v>102</v>
      </c>
      <c r="D5" s="17" t="s">
        <v>112</v>
      </c>
      <c r="E5" s="18" t="s">
        <v>113</v>
      </c>
      <c r="F5" s="17" t="s">
        <v>109</v>
      </c>
    </row>
    <row r="6" spans="1:6" ht="27.6" x14ac:dyDescent="0.25">
      <c r="A6" s="17" t="s">
        <v>114</v>
      </c>
      <c r="B6" s="17" t="s">
        <v>115</v>
      </c>
      <c r="C6" s="18" t="s">
        <v>102</v>
      </c>
      <c r="D6" s="17" t="s">
        <v>116</v>
      </c>
      <c r="E6" s="18" t="s">
        <v>117</v>
      </c>
      <c r="F6" s="17" t="s">
        <v>109</v>
      </c>
    </row>
    <row r="7" spans="1:6" ht="41.4" x14ac:dyDescent="0.25">
      <c r="A7" s="17" t="s">
        <v>118</v>
      </c>
      <c r="B7" s="17" t="s">
        <v>119</v>
      </c>
      <c r="C7" s="18" t="s">
        <v>102</v>
      </c>
      <c r="D7" s="17" t="s">
        <v>120</v>
      </c>
      <c r="E7" s="18" t="s">
        <v>121</v>
      </c>
      <c r="F7" s="17" t="s">
        <v>109</v>
      </c>
    </row>
    <row r="8" spans="1:6" ht="27.6" x14ac:dyDescent="0.25">
      <c r="A8" s="17" t="s">
        <v>122</v>
      </c>
      <c r="B8" s="17" t="s">
        <v>123</v>
      </c>
      <c r="C8" s="18" t="s">
        <v>102</v>
      </c>
      <c r="D8" s="17" t="s">
        <v>124</v>
      </c>
      <c r="E8" s="19"/>
      <c r="F8" s="17" t="s">
        <v>109</v>
      </c>
    </row>
    <row r="9" spans="1:6" ht="27.6" x14ac:dyDescent="0.25">
      <c r="A9" s="17" t="s">
        <v>125</v>
      </c>
      <c r="B9" s="17" t="s">
        <v>126</v>
      </c>
      <c r="C9" s="18" t="s">
        <v>102</v>
      </c>
      <c r="D9" s="17" t="s">
        <v>127</v>
      </c>
      <c r="E9" s="18" t="s">
        <v>99</v>
      </c>
      <c r="F9" s="17" t="s">
        <v>109</v>
      </c>
    </row>
    <row r="10" spans="1:6" ht="27.6" x14ac:dyDescent="0.25">
      <c r="A10" s="17" t="s">
        <v>128</v>
      </c>
      <c r="B10" s="17" t="s">
        <v>129</v>
      </c>
      <c r="C10" s="18" t="s">
        <v>102</v>
      </c>
      <c r="D10" s="17" t="s">
        <v>130</v>
      </c>
      <c r="E10" s="18" t="s">
        <v>131</v>
      </c>
      <c r="F10" s="17" t="s">
        <v>109</v>
      </c>
    </row>
    <row r="11" spans="1:6" ht="27.6" x14ac:dyDescent="0.25">
      <c r="A11" s="17" t="s">
        <v>132</v>
      </c>
      <c r="B11" s="17" t="s">
        <v>133</v>
      </c>
      <c r="C11" s="18" t="s">
        <v>102</v>
      </c>
      <c r="D11" s="19"/>
      <c r="E11" s="19"/>
      <c r="F11" s="17" t="s">
        <v>109</v>
      </c>
    </row>
    <row r="12" spans="1:6" ht="27.6" x14ac:dyDescent="0.25">
      <c r="A12" s="17" t="s">
        <v>134</v>
      </c>
      <c r="B12" s="17" t="s">
        <v>135</v>
      </c>
      <c r="C12" s="18" t="s">
        <v>102</v>
      </c>
      <c r="D12" s="17" t="s">
        <v>136</v>
      </c>
      <c r="E12" s="18" t="s">
        <v>99</v>
      </c>
      <c r="F12" s="17" t="s">
        <v>104</v>
      </c>
    </row>
    <row r="13" spans="1:6" ht="27.6" x14ac:dyDescent="0.25">
      <c r="A13" s="17" t="s">
        <v>137</v>
      </c>
      <c r="B13" s="17" t="s">
        <v>138</v>
      </c>
      <c r="C13" s="18" t="s">
        <v>102</v>
      </c>
      <c r="D13" s="17" t="s">
        <v>139</v>
      </c>
      <c r="E13" s="18" t="s">
        <v>99</v>
      </c>
      <c r="F13" s="17" t="s">
        <v>140</v>
      </c>
    </row>
    <row r="14" spans="1:6" ht="41.4" x14ac:dyDescent="0.25">
      <c r="A14" s="17" t="s">
        <v>141</v>
      </c>
      <c r="B14" s="17" t="s">
        <v>142</v>
      </c>
      <c r="C14" s="18" t="s">
        <v>102</v>
      </c>
      <c r="D14" s="17" t="s">
        <v>143</v>
      </c>
      <c r="E14" s="19"/>
      <c r="F14" s="17" t="s">
        <v>104</v>
      </c>
    </row>
    <row r="15" spans="1:6" ht="27.6" x14ac:dyDescent="0.25">
      <c r="A15" s="17" t="s">
        <v>144</v>
      </c>
      <c r="B15" s="17" t="s">
        <v>145</v>
      </c>
      <c r="C15" s="18" t="s">
        <v>102</v>
      </c>
      <c r="D15" s="19"/>
      <c r="E15" s="19"/>
      <c r="F15" s="17" t="s">
        <v>104</v>
      </c>
    </row>
    <row r="16" spans="1:6" ht="27.6" x14ac:dyDescent="0.25">
      <c r="A16" s="17" t="s">
        <v>146</v>
      </c>
      <c r="B16" s="17" t="s">
        <v>147</v>
      </c>
      <c r="C16" s="18" t="s">
        <v>102</v>
      </c>
      <c r="D16" s="17" t="s">
        <v>148</v>
      </c>
      <c r="E16" s="18" t="s">
        <v>99</v>
      </c>
      <c r="F16" s="17" t="s">
        <v>149</v>
      </c>
    </row>
    <row r="17" spans="1:6" ht="27.6" x14ac:dyDescent="0.25">
      <c r="A17" s="17" t="s">
        <v>150</v>
      </c>
      <c r="B17" s="17" t="s">
        <v>151</v>
      </c>
      <c r="C17" s="18" t="s">
        <v>102</v>
      </c>
      <c r="D17" s="17" t="s">
        <v>152</v>
      </c>
      <c r="E17" s="19"/>
      <c r="F17" s="17" t="s">
        <v>153</v>
      </c>
    </row>
    <row r="18" spans="1:6" ht="27.6" x14ac:dyDescent="0.25">
      <c r="A18" s="17" t="s">
        <v>154</v>
      </c>
      <c r="B18" s="17" t="s">
        <v>155</v>
      </c>
      <c r="C18" s="18" t="s">
        <v>102</v>
      </c>
      <c r="D18" s="17" t="s">
        <v>156</v>
      </c>
      <c r="E18" s="19"/>
      <c r="F18" s="17" t="s">
        <v>157</v>
      </c>
    </row>
    <row r="19" spans="1:6" ht="27.6" x14ac:dyDescent="0.25">
      <c r="A19" s="17" t="s">
        <v>158</v>
      </c>
      <c r="B19" s="17" t="s">
        <v>159</v>
      </c>
      <c r="C19" s="18" t="s">
        <v>102</v>
      </c>
      <c r="D19" s="17" t="s">
        <v>152</v>
      </c>
      <c r="E19" s="19"/>
      <c r="F19" s="17" t="s">
        <v>153</v>
      </c>
    </row>
    <row r="20" spans="1:6" ht="14.4" x14ac:dyDescent="0.25">
      <c r="A20" s="17" t="s">
        <v>160</v>
      </c>
      <c r="B20" s="17" t="s">
        <v>161</v>
      </c>
      <c r="C20" s="18" t="s">
        <v>102</v>
      </c>
      <c r="D20" s="17" t="s">
        <v>152</v>
      </c>
      <c r="E20" s="19"/>
      <c r="F20" s="17" t="s">
        <v>153</v>
      </c>
    </row>
    <row r="21" spans="1:6" ht="14.4" x14ac:dyDescent="0.25">
      <c r="A21" s="17" t="s">
        <v>162</v>
      </c>
      <c r="B21" s="17" t="s">
        <v>163</v>
      </c>
      <c r="C21" s="18" t="s">
        <v>102</v>
      </c>
      <c r="D21" s="17" t="s">
        <v>152</v>
      </c>
      <c r="E21" s="19"/>
      <c r="F21" s="17" t="s">
        <v>153</v>
      </c>
    </row>
    <row r="22" spans="1:6" ht="27.6" x14ac:dyDescent="0.25">
      <c r="A22" s="14" t="s">
        <v>164</v>
      </c>
      <c r="B22" s="14" t="s">
        <v>165</v>
      </c>
      <c r="C22" s="16" t="s">
        <v>166</v>
      </c>
      <c r="D22" s="14" t="s">
        <v>167</v>
      </c>
      <c r="E22" s="16" t="s">
        <v>99</v>
      </c>
      <c r="F22" s="14" t="s">
        <v>168</v>
      </c>
    </row>
    <row r="23" spans="1:6" ht="27.6" x14ac:dyDescent="0.25">
      <c r="A23" s="17" t="s">
        <v>169</v>
      </c>
      <c r="B23" s="17" t="s">
        <v>170</v>
      </c>
      <c r="C23" s="18" t="s">
        <v>102</v>
      </c>
      <c r="D23" s="17" t="s">
        <v>171</v>
      </c>
      <c r="E23" s="18" t="s">
        <v>99</v>
      </c>
      <c r="F23" s="17" t="s">
        <v>104</v>
      </c>
    </row>
    <row r="24" spans="1:6" ht="41.4" x14ac:dyDescent="0.25">
      <c r="A24" s="17" t="s">
        <v>172</v>
      </c>
      <c r="B24" s="17" t="s">
        <v>173</v>
      </c>
      <c r="C24" s="18" t="s">
        <v>102</v>
      </c>
      <c r="D24" s="17" t="s">
        <v>174</v>
      </c>
      <c r="E24" s="19"/>
      <c r="F24" s="17" t="s">
        <v>104</v>
      </c>
    </row>
    <row r="25" spans="1:6" ht="27.6" x14ac:dyDescent="0.25">
      <c r="A25" s="17" t="s">
        <v>175</v>
      </c>
      <c r="B25" s="17" t="s">
        <v>176</v>
      </c>
      <c r="C25" s="18" t="s">
        <v>102</v>
      </c>
      <c r="D25" s="17" t="s">
        <v>171</v>
      </c>
      <c r="E25" s="18" t="s">
        <v>99</v>
      </c>
      <c r="F25" s="17" t="s">
        <v>104</v>
      </c>
    </row>
    <row r="26" spans="1:6" ht="27.6" x14ac:dyDescent="0.25">
      <c r="A26" s="17" t="s">
        <v>177</v>
      </c>
      <c r="B26" s="17" t="s">
        <v>178</v>
      </c>
      <c r="C26" s="18" t="s">
        <v>102</v>
      </c>
      <c r="D26" s="17" t="s">
        <v>179</v>
      </c>
      <c r="E26" s="18" t="s">
        <v>99</v>
      </c>
      <c r="F26" s="17" t="s">
        <v>109</v>
      </c>
    </row>
    <row r="27" spans="1:6" ht="27.6" x14ac:dyDescent="0.25">
      <c r="A27" s="17" t="s">
        <v>180</v>
      </c>
      <c r="B27" s="17" t="s">
        <v>181</v>
      </c>
      <c r="C27" s="18" t="s">
        <v>102</v>
      </c>
      <c r="D27" s="17" t="s">
        <v>182</v>
      </c>
      <c r="E27" s="18" t="s">
        <v>99</v>
      </c>
      <c r="F27" s="17" t="s">
        <v>109</v>
      </c>
    </row>
    <row r="28" spans="1:6" ht="27.6" x14ac:dyDescent="0.25">
      <c r="A28" s="17" t="s">
        <v>183</v>
      </c>
      <c r="B28" s="17" t="s">
        <v>184</v>
      </c>
      <c r="C28" s="18" t="s">
        <v>102</v>
      </c>
      <c r="D28" s="17" t="s">
        <v>185</v>
      </c>
      <c r="E28" s="18" t="s">
        <v>99</v>
      </c>
      <c r="F28" s="17" t="s">
        <v>186</v>
      </c>
    </row>
    <row r="29" spans="1:6" ht="27.6" x14ac:dyDescent="0.25">
      <c r="A29" s="17" t="s">
        <v>44</v>
      </c>
      <c r="B29" s="17" t="s">
        <v>187</v>
      </c>
      <c r="C29" s="18" t="s">
        <v>102</v>
      </c>
      <c r="D29" s="17" t="s">
        <v>188</v>
      </c>
      <c r="E29" s="18" t="s">
        <v>99</v>
      </c>
      <c r="F29" s="17" t="s">
        <v>186</v>
      </c>
    </row>
    <row r="30" spans="1:6" ht="27.6" x14ac:dyDescent="0.25">
      <c r="A30" s="17" t="s">
        <v>189</v>
      </c>
      <c r="B30" s="17" t="s">
        <v>190</v>
      </c>
      <c r="C30" s="18" t="s">
        <v>102</v>
      </c>
      <c r="D30" s="17" t="s">
        <v>191</v>
      </c>
      <c r="E30" s="19"/>
      <c r="F30" s="17" t="s">
        <v>186</v>
      </c>
    </row>
    <row r="31" spans="1:6" ht="27.6" x14ac:dyDescent="0.25">
      <c r="A31" s="14" t="s">
        <v>49</v>
      </c>
      <c r="B31" s="14" t="s">
        <v>192</v>
      </c>
      <c r="C31" s="16" t="s">
        <v>166</v>
      </c>
      <c r="D31" s="14" t="s">
        <v>193</v>
      </c>
      <c r="E31" s="16" t="s">
        <v>99</v>
      </c>
      <c r="F31" s="14" t="s">
        <v>194</v>
      </c>
    </row>
    <row r="32" spans="1:6" ht="27.6" x14ac:dyDescent="0.25">
      <c r="A32" s="17" t="s">
        <v>195</v>
      </c>
      <c r="B32" s="17" t="s">
        <v>196</v>
      </c>
      <c r="C32" s="18" t="s">
        <v>102</v>
      </c>
      <c r="D32" s="17" t="s">
        <v>197</v>
      </c>
      <c r="E32" s="18" t="s">
        <v>99</v>
      </c>
      <c r="F32" s="17" t="s">
        <v>198</v>
      </c>
    </row>
    <row r="33" spans="1:6" ht="27.6" x14ac:dyDescent="0.25">
      <c r="A33" s="14" t="s">
        <v>199</v>
      </c>
      <c r="B33" s="14" t="s">
        <v>200</v>
      </c>
      <c r="C33" s="16" t="s">
        <v>166</v>
      </c>
      <c r="D33" s="14" t="s">
        <v>201</v>
      </c>
      <c r="E33" s="16" t="s">
        <v>99</v>
      </c>
      <c r="F33" s="14" t="s">
        <v>202</v>
      </c>
    </row>
    <row r="34" spans="1:6" ht="27.6" x14ac:dyDescent="0.25">
      <c r="A34" s="17" t="s">
        <v>203</v>
      </c>
      <c r="B34" s="17" t="s">
        <v>204</v>
      </c>
      <c r="C34" s="18" t="s">
        <v>102</v>
      </c>
      <c r="D34" s="17" t="s">
        <v>205</v>
      </c>
      <c r="E34" s="18" t="s">
        <v>99</v>
      </c>
      <c r="F34" s="17" t="s">
        <v>206</v>
      </c>
    </row>
    <row r="35" spans="1:6" ht="27.6" x14ac:dyDescent="0.25">
      <c r="A35" s="17" t="s">
        <v>207</v>
      </c>
      <c r="B35" s="17" t="s">
        <v>208</v>
      </c>
      <c r="C35" s="18" t="s">
        <v>102</v>
      </c>
      <c r="D35" s="17" t="s">
        <v>209</v>
      </c>
      <c r="E35" s="18" t="s">
        <v>99</v>
      </c>
      <c r="F35" s="17" t="s">
        <v>206</v>
      </c>
    </row>
    <row r="36" spans="1:6" ht="27.6" x14ac:dyDescent="0.25">
      <c r="A36" s="17" t="s">
        <v>210</v>
      </c>
      <c r="B36" s="17" t="s">
        <v>211</v>
      </c>
      <c r="C36" s="18" t="s">
        <v>102</v>
      </c>
      <c r="D36" s="17" t="s">
        <v>212</v>
      </c>
      <c r="E36" s="18" t="s">
        <v>99</v>
      </c>
      <c r="F36" s="17" t="s">
        <v>206</v>
      </c>
    </row>
    <row r="37" spans="1:6" ht="27.6" x14ac:dyDescent="0.25">
      <c r="A37" s="17" t="s">
        <v>213</v>
      </c>
      <c r="B37" s="17" t="s">
        <v>214</v>
      </c>
      <c r="C37" s="18" t="s">
        <v>102</v>
      </c>
      <c r="D37" s="17" t="s">
        <v>215</v>
      </c>
      <c r="E37" s="18" t="s">
        <v>99</v>
      </c>
      <c r="F37" s="17" t="s">
        <v>202</v>
      </c>
    </row>
    <row r="38" spans="1:6" ht="27.6" x14ac:dyDescent="0.25">
      <c r="A38" s="14" t="s">
        <v>216</v>
      </c>
      <c r="B38" s="14" t="s">
        <v>217</v>
      </c>
      <c r="C38" s="16" t="s">
        <v>166</v>
      </c>
      <c r="D38" s="14" t="s">
        <v>218</v>
      </c>
      <c r="E38" s="16" t="s">
        <v>99</v>
      </c>
      <c r="F38" s="14" t="s">
        <v>202</v>
      </c>
    </row>
    <row r="39" spans="1:6" ht="27.6" x14ac:dyDescent="0.25">
      <c r="A39" s="17" t="s">
        <v>219</v>
      </c>
      <c r="B39" s="17" t="s">
        <v>220</v>
      </c>
      <c r="C39" s="18" t="s">
        <v>102</v>
      </c>
      <c r="D39" s="17" t="s">
        <v>221</v>
      </c>
      <c r="E39" s="18" t="s">
        <v>99</v>
      </c>
      <c r="F39" s="17" t="s">
        <v>222</v>
      </c>
    </row>
    <row r="40" spans="1:6" ht="27.6" x14ac:dyDescent="0.25">
      <c r="A40" s="14" t="s">
        <v>223</v>
      </c>
      <c r="B40" s="14" t="s">
        <v>224</v>
      </c>
      <c r="C40" s="16" t="s">
        <v>166</v>
      </c>
      <c r="D40" s="14" t="s">
        <v>225</v>
      </c>
      <c r="E40" s="16" t="s">
        <v>99</v>
      </c>
      <c r="F40" s="14" t="s">
        <v>222</v>
      </c>
    </row>
    <row r="41" spans="1:6" ht="27.6" x14ac:dyDescent="0.25">
      <c r="A41" s="17" t="s">
        <v>226</v>
      </c>
      <c r="B41" s="17" t="s">
        <v>227</v>
      </c>
      <c r="C41" s="18" t="s">
        <v>102</v>
      </c>
      <c r="D41" s="17" t="s">
        <v>228</v>
      </c>
      <c r="E41" s="19"/>
      <c r="F41" s="17" t="s">
        <v>149</v>
      </c>
    </row>
    <row r="42" spans="1:6" ht="27.6" x14ac:dyDescent="0.25">
      <c r="A42" s="17" t="s">
        <v>229</v>
      </c>
      <c r="B42" s="17" t="s">
        <v>230</v>
      </c>
      <c r="C42" s="18" t="s">
        <v>102</v>
      </c>
      <c r="D42" s="17" t="s">
        <v>228</v>
      </c>
      <c r="E42" s="19"/>
      <c r="F42" s="17" t="s">
        <v>149</v>
      </c>
    </row>
    <row r="43" spans="1:6" ht="27.6" x14ac:dyDescent="0.25">
      <c r="A43" s="17" t="s">
        <v>231</v>
      </c>
      <c r="B43" s="17" t="s">
        <v>232</v>
      </c>
      <c r="C43" s="18" t="s">
        <v>102</v>
      </c>
      <c r="D43" s="17" t="s">
        <v>228</v>
      </c>
      <c r="E43" s="19"/>
      <c r="F43" s="17" t="s">
        <v>149</v>
      </c>
    </row>
    <row r="44" spans="1:6" ht="27.6" x14ac:dyDescent="0.25">
      <c r="A44" s="17" t="s">
        <v>86</v>
      </c>
      <c r="B44" s="17" t="s">
        <v>233</v>
      </c>
      <c r="C44" s="18" t="s">
        <v>102</v>
      </c>
      <c r="D44" s="17" t="s">
        <v>234</v>
      </c>
      <c r="E44" s="18" t="s">
        <v>99</v>
      </c>
      <c r="F44" s="17" t="s">
        <v>104</v>
      </c>
    </row>
    <row r="45" spans="1:6" ht="41.4" x14ac:dyDescent="0.25">
      <c r="A45" s="17" t="s">
        <v>235</v>
      </c>
      <c r="B45" s="17" t="s">
        <v>236</v>
      </c>
      <c r="C45" s="18" t="s">
        <v>102</v>
      </c>
      <c r="D45" s="17" t="s">
        <v>234</v>
      </c>
      <c r="E45" s="18" t="s">
        <v>99</v>
      </c>
      <c r="F45" s="17" t="s">
        <v>104</v>
      </c>
    </row>
    <row r="46" spans="1:6" ht="41.4" x14ac:dyDescent="0.25">
      <c r="A46" s="17" t="s">
        <v>237</v>
      </c>
      <c r="B46" s="17" t="s">
        <v>238</v>
      </c>
      <c r="C46" s="18" t="s">
        <v>102</v>
      </c>
      <c r="D46" s="17" t="s">
        <v>234</v>
      </c>
      <c r="E46" s="18" t="s">
        <v>99</v>
      </c>
      <c r="F46" s="17" t="s">
        <v>104</v>
      </c>
    </row>
    <row r="47" spans="1:6" ht="27.6" x14ac:dyDescent="0.25">
      <c r="A47" s="17" t="s">
        <v>239</v>
      </c>
      <c r="B47" s="17" t="s">
        <v>240</v>
      </c>
      <c r="C47" s="18" t="s">
        <v>102</v>
      </c>
      <c r="D47" s="17" t="s">
        <v>241</v>
      </c>
      <c r="E47" s="18" t="s">
        <v>99</v>
      </c>
      <c r="F47" s="17" t="s">
        <v>104</v>
      </c>
    </row>
    <row r="48" spans="1:6" ht="27.6" x14ac:dyDescent="0.25">
      <c r="A48" s="17" t="s">
        <v>242</v>
      </c>
      <c r="B48" s="17" t="s">
        <v>243</v>
      </c>
      <c r="C48" s="18" t="s">
        <v>102</v>
      </c>
      <c r="D48" s="17" t="s">
        <v>244</v>
      </c>
      <c r="E48" s="18" t="s">
        <v>99</v>
      </c>
      <c r="F48" s="17" t="s">
        <v>104</v>
      </c>
    </row>
    <row r="49" spans="1:6" ht="27.6" x14ac:dyDescent="0.25">
      <c r="A49" s="17" t="s">
        <v>245</v>
      </c>
      <c r="B49" s="17" t="s">
        <v>246</v>
      </c>
      <c r="C49" s="18" t="s">
        <v>102</v>
      </c>
      <c r="D49" s="19"/>
      <c r="E49" s="19"/>
      <c r="F49" s="17" t="s">
        <v>104</v>
      </c>
    </row>
    <row r="50" spans="1:6" ht="13.8" x14ac:dyDescent="0.3">
      <c r="A50" s="20" t="s">
        <v>247</v>
      </c>
      <c r="B50" s="20" t="s">
        <v>248</v>
      </c>
      <c r="C50" s="16" t="s">
        <v>166</v>
      </c>
      <c r="D50" s="20" t="s">
        <v>249</v>
      </c>
      <c r="E50" s="21" t="s">
        <v>99</v>
      </c>
      <c r="F50" s="20" t="s">
        <v>149</v>
      </c>
    </row>
    <row r="51" spans="1:6" ht="27.6" x14ac:dyDescent="0.25">
      <c r="A51" s="17" t="s">
        <v>250</v>
      </c>
      <c r="B51" s="17" t="s">
        <v>251</v>
      </c>
      <c r="C51" s="18" t="s">
        <v>102</v>
      </c>
      <c r="D51" s="17" t="s">
        <v>252</v>
      </c>
      <c r="E51" s="18" t="s">
        <v>99</v>
      </c>
      <c r="F51" s="17" t="s">
        <v>222</v>
      </c>
    </row>
    <row r="52" spans="1:6" ht="27.6" x14ac:dyDescent="0.25">
      <c r="A52" s="17" t="s">
        <v>253</v>
      </c>
      <c r="B52" s="17" t="s">
        <v>254</v>
      </c>
      <c r="C52" s="18" t="s">
        <v>102</v>
      </c>
      <c r="D52" s="17" t="s">
        <v>255</v>
      </c>
      <c r="E52" s="18" t="s">
        <v>99</v>
      </c>
      <c r="F52" s="17" t="s">
        <v>222</v>
      </c>
    </row>
    <row r="53" spans="1:6" ht="27.6" x14ac:dyDescent="0.25">
      <c r="A53" s="17" t="s">
        <v>256</v>
      </c>
      <c r="B53" s="17" t="s">
        <v>257</v>
      </c>
      <c r="C53" s="18" t="s">
        <v>102</v>
      </c>
      <c r="D53" s="17" t="s">
        <v>258</v>
      </c>
      <c r="E53" s="18" t="s">
        <v>99</v>
      </c>
      <c r="F53" s="17" t="s">
        <v>109</v>
      </c>
    </row>
    <row r="54" spans="1:6" ht="27.6" x14ac:dyDescent="0.25">
      <c r="A54" s="17" t="s">
        <v>259</v>
      </c>
      <c r="B54" s="17" t="s">
        <v>260</v>
      </c>
      <c r="C54" s="18" t="s">
        <v>102</v>
      </c>
      <c r="D54" s="17" t="s">
        <v>261</v>
      </c>
      <c r="E54" s="18" t="s">
        <v>99</v>
      </c>
      <c r="F54" s="17" t="s">
        <v>109</v>
      </c>
    </row>
    <row r="55" spans="1:6" ht="41.4" x14ac:dyDescent="0.25">
      <c r="A55" s="17" t="s">
        <v>262</v>
      </c>
      <c r="B55" s="17" t="s">
        <v>263</v>
      </c>
      <c r="C55" s="18" t="s">
        <v>102</v>
      </c>
      <c r="D55" s="17" t="s">
        <v>264</v>
      </c>
      <c r="E55" s="18" t="s">
        <v>99</v>
      </c>
      <c r="F55" s="17" t="s">
        <v>265</v>
      </c>
    </row>
    <row r="56" spans="1:6" ht="27.6" x14ac:dyDescent="0.25">
      <c r="A56" s="17" t="s">
        <v>266</v>
      </c>
      <c r="B56" s="17" t="s">
        <v>267</v>
      </c>
      <c r="C56" s="18" t="s">
        <v>102</v>
      </c>
      <c r="D56" s="17" t="s">
        <v>268</v>
      </c>
      <c r="E56" s="18" t="s">
        <v>99</v>
      </c>
      <c r="F56" s="17" t="s">
        <v>269</v>
      </c>
    </row>
    <row r="57" spans="1:6" ht="27.6" x14ac:dyDescent="0.25">
      <c r="A57" s="17" t="s">
        <v>270</v>
      </c>
      <c r="B57" s="17" t="s">
        <v>271</v>
      </c>
      <c r="C57" s="18" t="s">
        <v>102</v>
      </c>
      <c r="D57" s="17" t="s">
        <v>272</v>
      </c>
      <c r="E57" s="18" t="s">
        <v>99</v>
      </c>
      <c r="F57" s="17" t="s">
        <v>269</v>
      </c>
    </row>
    <row r="58" spans="1:6" ht="27.6" x14ac:dyDescent="0.25">
      <c r="A58" s="14" t="s">
        <v>273</v>
      </c>
      <c r="B58" s="14" t="s">
        <v>274</v>
      </c>
      <c r="C58" s="16" t="s">
        <v>166</v>
      </c>
      <c r="D58" s="14" t="s">
        <v>275</v>
      </c>
      <c r="E58" s="16" t="s">
        <v>99</v>
      </c>
      <c r="F58" s="14" t="s">
        <v>269</v>
      </c>
    </row>
    <row r="59" spans="1:6" ht="13.8" x14ac:dyDescent="0.3">
      <c r="A59" s="14" t="s">
        <v>276</v>
      </c>
      <c r="B59" s="21" t="s">
        <v>277</v>
      </c>
      <c r="C59" s="16" t="s">
        <v>166</v>
      </c>
      <c r="D59" s="14" t="s">
        <v>278</v>
      </c>
      <c r="E59" s="16" t="s">
        <v>99</v>
      </c>
      <c r="F59" s="14" t="s">
        <v>149</v>
      </c>
    </row>
    <row r="60" spans="1:6" ht="13.8" x14ac:dyDescent="0.3">
      <c r="A60" s="14" t="s">
        <v>76</v>
      </c>
      <c r="B60" s="21" t="s">
        <v>279</v>
      </c>
      <c r="C60" s="16" t="s">
        <v>166</v>
      </c>
      <c r="D60" s="14" t="s">
        <v>278</v>
      </c>
      <c r="E60" s="16" t="s">
        <v>99</v>
      </c>
      <c r="F60" s="14" t="s">
        <v>149</v>
      </c>
    </row>
    <row r="61" spans="1:6" ht="13.8" x14ac:dyDescent="0.25">
      <c r="A61" s="14" t="s">
        <v>280</v>
      </c>
      <c r="B61" s="14" t="s">
        <v>281</v>
      </c>
      <c r="C61" s="16" t="s">
        <v>166</v>
      </c>
      <c r="D61" s="14" t="s">
        <v>278</v>
      </c>
      <c r="E61" s="16" t="s">
        <v>282</v>
      </c>
      <c r="F61" s="14" t="s">
        <v>149</v>
      </c>
    </row>
    <row r="62" spans="1:6" ht="13.8" x14ac:dyDescent="0.25">
      <c r="A62" s="14" t="s">
        <v>51</v>
      </c>
      <c r="B62" s="14" t="s">
        <v>283</v>
      </c>
      <c r="C62" s="16" t="s">
        <v>284</v>
      </c>
      <c r="D62" s="14" t="s">
        <v>99</v>
      </c>
      <c r="E62" s="16" t="s">
        <v>99</v>
      </c>
      <c r="F62" s="14" t="s">
        <v>99</v>
      </c>
    </row>
    <row r="63" spans="1:6" ht="27.6" x14ac:dyDescent="0.25">
      <c r="A63" s="17" t="s">
        <v>285</v>
      </c>
      <c r="B63" s="17" t="s">
        <v>286</v>
      </c>
      <c r="C63" s="18" t="s">
        <v>102</v>
      </c>
      <c r="D63" s="17" t="s">
        <v>287</v>
      </c>
      <c r="E63" s="18" t="s">
        <v>99</v>
      </c>
      <c r="F63" s="17" t="s">
        <v>104</v>
      </c>
    </row>
    <row r="64" spans="1:6" ht="27.6" x14ac:dyDescent="0.25">
      <c r="A64" s="17" t="s">
        <v>288</v>
      </c>
      <c r="B64" s="17" t="s">
        <v>289</v>
      </c>
      <c r="C64" s="18" t="s">
        <v>102</v>
      </c>
      <c r="D64" s="17" t="s">
        <v>290</v>
      </c>
      <c r="E64" s="18" t="s">
        <v>99</v>
      </c>
      <c r="F64" s="17" t="s">
        <v>104</v>
      </c>
    </row>
    <row r="65" spans="1:6" ht="27.6" x14ac:dyDescent="0.25">
      <c r="A65" s="17" t="s">
        <v>291</v>
      </c>
      <c r="B65" s="17" t="s">
        <v>292</v>
      </c>
      <c r="C65" s="18" t="s">
        <v>102</v>
      </c>
      <c r="D65" s="17" t="s">
        <v>293</v>
      </c>
      <c r="E65" s="18" t="s">
        <v>99</v>
      </c>
      <c r="F65" s="17" t="s">
        <v>104</v>
      </c>
    </row>
    <row r="66" spans="1:6" ht="27.6" x14ac:dyDescent="0.25">
      <c r="A66" s="17" t="s">
        <v>294</v>
      </c>
      <c r="B66" s="17" t="s">
        <v>295</v>
      </c>
      <c r="C66" s="18" t="s">
        <v>102</v>
      </c>
      <c r="D66" s="17" t="s">
        <v>296</v>
      </c>
      <c r="E66" s="18" t="s">
        <v>99</v>
      </c>
      <c r="F66" s="17" t="s">
        <v>104</v>
      </c>
    </row>
    <row r="67" spans="1:6" ht="27.6" x14ac:dyDescent="0.25">
      <c r="A67" s="17" t="s">
        <v>297</v>
      </c>
      <c r="B67" s="17" t="s">
        <v>298</v>
      </c>
      <c r="C67" s="18" t="s">
        <v>102</v>
      </c>
      <c r="D67" s="19"/>
      <c r="E67" s="19"/>
      <c r="F67" s="17" t="s">
        <v>104</v>
      </c>
    </row>
    <row r="68" spans="1:6" ht="13.8" x14ac:dyDescent="0.25">
      <c r="A68" s="17" t="s">
        <v>299</v>
      </c>
      <c r="B68" s="17" t="s">
        <v>300</v>
      </c>
      <c r="C68" s="18" t="s">
        <v>102</v>
      </c>
      <c r="D68" s="17" t="s">
        <v>301</v>
      </c>
      <c r="E68" s="18" t="s">
        <v>99</v>
      </c>
      <c r="F68" s="17" t="s">
        <v>104</v>
      </c>
    </row>
    <row r="69" spans="1:6" ht="27.6" x14ac:dyDescent="0.25">
      <c r="A69" s="17" t="s">
        <v>302</v>
      </c>
      <c r="B69" s="17" t="s">
        <v>303</v>
      </c>
      <c r="C69" s="18" t="s">
        <v>102</v>
      </c>
      <c r="D69" s="17" t="s">
        <v>304</v>
      </c>
      <c r="E69" s="18" t="s">
        <v>99</v>
      </c>
      <c r="F69" s="17" t="s">
        <v>305</v>
      </c>
    </row>
    <row r="70" spans="1:6" ht="27.6" x14ac:dyDescent="0.25">
      <c r="A70" s="17" t="s">
        <v>306</v>
      </c>
      <c r="B70" s="17" t="s">
        <v>307</v>
      </c>
      <c r="C70" s="18" t="s">
        <v>102</v>
      </c>
      <c r="D70" s="19"/>
      <c r="E70" s="19"/>
      <c r="F70" s="17" t="s">
        <v>265</v>
      </c>
    </row>
    <row r="71" spans="1:6" ht="27.6" x14ac:dyDescent="0.25">
      <c r="A71" s="17" t="s">
        <v>308</v>
      </c>
      <c r="B71" s="17" t="s">
        <v>309</v>
      </c>
      <c r="C71" s="18" t="s">
        <v>102</v>
      </c>
      <c r="D71" s="17" t="s">
        <v>310</v>
      </c>
      <c r="E71" s="19"/>
      <c r="F71" s="17" t="s">
        <v>202</v>
      </c>
    </row>
    <row r="72" spans="1:6" ht="27.6" x14ac:dyDescent="0.25">
      <c r="A72" s="14" t="s">
        <v>81</v>
      </c>
      <c r="B72" s="14" t="s">
        <v>311</v>
      </c>
      <c r="C72" s="16" t="s">
        <v>166</v>
      </c>
      <c r="D72" s="14" t="s">
        <v>312</v>
      </c>
      <c r="E72" s="16" t="s">
        <v>99</v>
      </c>
      <c r="F72" s="14" t="s">
        <v>149</v>
      </c>
    </row>
    <row r="73" spans="1:6" ht="41.4" x14ac:dyDescent="0.25">
      <c r="A73" s="14" t="s">
        <v>313</v>
      </c>
      <c r="B73" s="14" t="s">
        <v>314</v>
      </c>
      <c r="C73" s="16" t="s">
        <v>166</v>
      </c>
      <c r="D73" s="14" t="s">
        <v>315</v>
      </c>
      <c r="E73" s="16" t="s">
        <v>313</v>
      </c>
      <c r="F73" s="14" t="s">
        <v>265</v>
      </c>
    </row>
    <row r="74" spans="1:6" ht="13.8" x14ac:dyDescent="0.25">
      <c r="A74" s="14" t="s">
        <v>64</v>
      </c>
      <c r="B74" s="14" t="s">
        <v>316</v>
      </c>
      <c r="C74" s="16" t="s">
        <v>166</v>
      </c>
      <c r="D74" s="14" t="s">
        <v>317</v>
      </c>
      <c r="E74" s="16" t="s">
        <v>99</v>
      </c>
      <c r="F74" s="14" t="s">
        <v>265</v>
      </c>
    </row>
    <row r="75" spans="1:6" ht="14.4" x14ac:dyDescent="0.25">
      <c r="A75" s="14" t="s">
        <v>318</v>
      </c>
      <c r="B75" s="14" t="s">
        <v>319</v>
      </c>
      <c r="C75" s="16" t="s">
        <v>166</v>
      </c>
      <c r="D75" s="15"/>
      <c r="E75" s="15"/>
      <c r="F75" s="14" t="s">
        <v>265</v>
      </c>
    </row>
    <row r="76" spans="1:6" ht="27.6" x14ac:dyDescent="0.25">
      <c r="A76" s="14" t="s">
        <v>320</v>
      </c>
      <c r="B76" s="14" t="s">
        <v>321</v>
      </c>
      <c r="C76" s="16" t="s">
        <v>166</v>
      </c>
      <c r="D76" s="14" t="s">
        <v>322</v>
      </c>
      <c r="E76" s="16" t="s">
        <v>99</v>
      </c>
      <c r="F76" s="14" t="s">
        <v>265</v>
      </c>
    </row>
    <row r="77" spans="1:6" ht="27.6" x14ac:dyDescent="0.25">
      <c r="A77" s="17" t="s">
        <v>323</v>
      </c>
      <c r="B77" s="17" t="s">
        <v>324</v>
      </c>
      <c r="C77" s="18" t="s">
        <v>102</v>
      </c>
      <c r="D77" s="17" t="s">
        <v>325</v>
      </c>
      <c r="E77" s="18" t="s">
        <v>99</v>
      </c>
      <c r="F77" s="17" t="s">
        <v>104</v>
      </c>
    </row>
    <row r="78" spans="1:6" ht="27.6" x14ac:dyDescent="0.25">
      <c r="A78" s="17" t="s">
        <v>326</v>
      </c>
      <c r="B78" s="17" t="s">
        <v>327</v>
      </c>
      <c r="C78" s="18" t="s">
        <v>102</v>
      </c>
      <c r="D78" s="17" t="s">
        <v>328</v>
      </c>
      <c r="E78" s="18" t="s">
        <v>99</v>
      </c>
      <c r="F78" s="17" t="s">
        <v>149</v>
      </c>
    </row>
    <row r="79" spans="1:6" ht="27.6" x14ac:dyDescent="0.25">
      <c r="A79" s="14" t="s">
        <v>329</v>
      </c>
      <c r="B79" s="14" t="s">
        <v>330</v>
      </c>
      <c r="C79" s="16" t="s">
        <v>166</v>
      </c>
      <c r="D79" s="14" t="s">
        <v>331</v>
      </c>
      <c r="E79" s="16" t="s">
        <v>99</v>
      </c>
      <c r="F79" s="14" t="s">
        <v>149</v>
      </c>
    </row>
    <row r="80" spans="1:6" ht="27.6" x14ac:dyDescent="0.25">
      <c r="A80" s="14" t="s">
        <v>84</v>
      </c>
      <c r="B80" s="14" t="s">
        <v>332</v>
      </c>
      <c r="C80" s="16" t="s">
        <v>166</v>
      </c>
      <c r="D80" s="14" t="s">
        <v>333</v>
      </c>
      <c r="E80" s="16" t="s">
        <v>99</v>
      </c>
      <c r="F80" s="14" t="s">
        <v>149</v>
      </c>
    </row>
    <row r="81" spans="1:6" ht="27.6" x14ac:dyDescent="0.25">
      <c r="A81" s="14" t="s">
        <v>88</v>
      </c>
      <c r="B81" s="14" t="s">
        <v>334</v>
      </c>
      <c r="C81" s="16" t="s">
        <v>166</v>
      </c>
      <c r="D81" s="14" t="s">
        <v>335</v>
      </c>
      <c r="E81" s="16" t="s">
        <v>99</v>
      </c>
      <c r="F81" s="14" t="s">
        <v>149</v>
      </c>
    </row>
    <row r="82" spans="1:6" ht="27.6" x14ac:dyDescent="0.25">
      <c r="A82" s="14" t="s">
        <v>36</v>
      </c>
      <c r="B82" s="14" t="s">
        <v>336</v>
      </c>
      <c r="C82" s="16" t="s">
        <v>166</v>
      </c>
      <c r="D82" s="14" t="s">
        <v>337</v>
      </c>
      <c r="E82" s="16" t="s">
        <v>338</v>
      </c>
      <c r="F82" s="14" t="s">
        <v>149</v>
      </c>
    </row>
    <row r="83" spans="1:6" ht="41.4" x14ac:dyDescent="0.25">
      <c r="A83" s="14" t="s">
        <v>339</v>
      </c>
      <c r="B83" s="14" t="s">
        <v>340</v>
      </c>
      <c r="C83" s="16" t="s">
        <v>166</v>
      </c>
      <c r="D83" s="14" t="s">
        <v>341</v>
      </c>
      <c r="E83" s="15"/>
      <c r="F83" s="14" t="s">
        <v>149</v>
      </c>
    </row>
    <row r="84" spans="1:6" ht="27.6" x14ac:dyDescent="0.25">
      <c r="A84" s="14" t="s">
        <v>342</v>
      </c>
      <c r="B84" s="14" t="s">
        <v>343</v>
      </c>
      <c r="C84" s="16" t="s">
        <v>166</v>
      </c>
      <c r="D84" s="15"/>
      <c r="E84" s="15"/>
      <c r="F84" s="15"/>
    </row>
    <row r="85" spans="1:6" ht="27.6" x14ac:dyDescent="0.25">
      <c r="A85" s="14" t="s">
        <v>344</v>
      </c>
      <c r="B85" s="14" t="s">
        <v>345</v>
      </c>
      <c r="C85" s="16" t="s">
        <v>284</v>
      </c>
      <c r="D85" s="14" t="s">
        <v>99</v>
      </c>
      <c r="E85" s="16" t="s">
        <v>99</v>
      </c>
      <c r="F85" s="14" t="s">
        <v>99</v>
      </c>
    </row>
    <row r="86" spans="1:6" ht="27.6" x14ac:dyDescent="0.25">
      <c r="A86" s="17" t="s">
        <v>346</v>
      </c>
      <c r="B86" s="17" t="s">
        <v>347</v>
      </c>
      <c r="C86" s="18" t="s">
        <v>102</v>
      </c>
      <c r="D86" s="17" t="s">
        <v>348</v>
      </c>
      <c r="E86" s="19"/>
      <c r="F86" s="17" t="s">
        <v>349</v>
      </c>
    </row>
    <row r="87" spans="1:6" ht="27.6" x14ac:dyDescent="0.25">
      <c r="A87" s="17" t="s">
        <v>350</v>
      </c>
      <c r="B87" s="17" t="s">
        <v>351</v>
      </c>
      <c r="C87" s="18" t="s">
        <v>102</v>
      </c>
      <c r="D87" s="17" t="s">
        <v>352</v>
      </c>
      <c r="E87" s="18" t="s">
        <v>99</v>
      </c>
      <c r="F87" s="17" t="s">
        <v>353</v>
      </c>
    </row>
    <row r="88" spans="1:6" ht="27.6" x14ac:dyDescent="0.25">
      <c r="A88" s="17" t="s">
        <v>354</v>
      </c>
      <c r="B88" s="17" t="s">
        <v>355</v>
      </c>
      <c r="C88" s="18" t="s">
        <v>102</v>
      </c>
      <c r="D88" s="17" t="s">
        <v>356</v>
      </c>
      <c r="E88" s="18" t="s">
        <v>99</v>
      </c>
      <c r="F88" s="17" t="s">
        <v>349</v>
      </c>
    </row>
    <row r="89" spans="1:6" ht="27.6" x14ac:dyDescent="0.25">
      <c r="A89" s="17" t="s">
        <v>357</v>
      </c>
      <c r="B89" s="17" t="s">
        <v>358</v>
      </c>
      <c r="C89" s="18" t="s">
        <v>102</v>
      </c>
      <c r="D89" s="17" t="s">
        <v>359</v>
      </c>
      <c r="E89" s="18" t="s">
        <v>99</v>
      </c>
      <c r="F89" s="17" t="s">
        <v>360</v>
      </c>
    </row>
    <row r="90" spans="1:6" ht="27.6" x14ac:dyDescent="0.25">
      <c r="A90" s="17" t="s">
        <v>361</v>
      </c>
      <c r="B90" s="17" t="s">
        <v>362</v>
      </c>
      <c r="C90" s="18" t="s">
        <v>102</v>
      </c>
      <c r="D90" s="17" t="s">
        <v>363</v>
      </c>
      <c r="E90" s="19"/>
      <c r="F90" s="17" t="s">
        <v>360</v>
      </c>
    </row>
    <row r="91" spans="1:6" ht="27.6" x14ac:dyDescent="0.25">
      <c r="A91" s="17" t="s">
        <v>364</v>
      </c>
      <c r="B91" s="17" t="s">
        <v>365</v>
      </c>
      <c r="C91" s="18" t="s">
        <v>102</v>
      </c>
      <c r="D91" s="17" t="s">
        <v>352</v>
      </c>
      <c r="E91" s="18" t="s">
        <v>99</v>
      </c>
      <c r="F91" s="17" t="s">
        <v>353</v>
      </c>
    </row>
    <row r="92" spans="1:6" ht="27.6" x14ac:dyDescent="0.25">
      <c r="A92" s="17" t="s">
        <v>366</v>
      </c>
      <c r="B92" s="17" t="s">
        <v>367</v>
      </c>
      <c r="C92" s="18" t="s">
        <v>102</v>
      </c>
      <c r="D92" s="19"/>
      <c r="E92" s="19"/>
      <c r="F92" s="19"/>
    </row>
    <row r="93" spans="1:6" ht="41.4" x14ac:dyDescent="0.25">
      <c r="A93" s="17" t="s">
        <v>368</v>
      </c>
      <c r="B93" s="17" t="s">
        <v>369</v>
      </c>
      <c r="C93" s="18" t="s">
        <v>102</v>
      </c>
      <c r="D93" s="19"/>
      <c r="E93" s="19"/>
      <c r="F93" s="19"/>
    </row>
    <row r="94" spans="1:6" ht="41.4" x14ac:dyDescent="0.25">
      <c r="A94" s="17" t="s">
        <v>370</v>
      </c>
      <c r="B94" s="17" t="s">
        <v>371</v>
      </c>
      <c r="C94" s="18" t="s">
        <v>102</v>
      </c>
      <c r="D94" s="17" t="s">
        <v>352</v>
      </c>
      <c r="E94" s="18" t="s">
        <v>99</v>
      </c>
      <c r="F94" s="17" t="s">
        <v>353</v>
      </c>
    </row>
    <row r="95" spans="1:6" ht="41.4" x14ac:dyDescent="0.25">
      <c r="A95" s="17" t="s">
        <v>372</v>
      </c>
      <c r="B95" s="17" t="s">
        <v>369</v>
      </c>
      <c r="C95" s="18" t="s">
        <v>102</v>
      </c>
      <c r="D95" s="17" t="s">
        <v>352</v>
      </c>
      <c r="E95" s="18" t="s">
        <v>99</v>
      </c>
      <c r="F95" s="17" t="s">
        <v>353</v>
      </c>
    </row>
    <row r="96" spans="1:6" ht="27.6" x14ac:dyDescent="0.25">
      <c r="A96" s="17" t="s">
        <v>373</v>
      </c>
      <c r="B96" s="17" t="s">
        <v>374</v>
      </c>
      <c r="C96" s="18" t="s">
        <v>102</v>
      </c>
      <c r="D96" s="17" t="s">
        <v>375</v>
      </c>
      <c r="E96" s="18" t="s">
        <v>99</v>
      </c>
      <c r="F96" s="17" t="s">
        <v>376</v>
      </c>
    </row>
    <row r="97" spans="1:6" ht="27.6" x14ac:dyDescent="0.25">
      <c r="A97" s="17" t="s">
        <v>377</v>
      </c>
      <c r="B97" s="17" t="s">
        <v>374</v>
      </c>
      <c r="C97" s="18" t="s">
        <v>102</v>
      </c>
      <c r="D97" s="17" t="s">
        <v>375</v>
      </c>
      <c r="E97" s="18" t="s">
        <v>99</v>
      </c>
      <c r="F97" s="17" t="s">
        <v>376</v>
      </c>
    </row>
    <row r="98" spans="1:6" ht="27.6" x14ac:dyDescent="0.25">
      <c r="A98" s="17" t="s">
        <v>378</v>
      </c>
      <c r="B98" s="17" t="s">
        <v>379</v>
      </c>
      <c r="C98" s="18" t="s">
        <v>102</v>
      </c>
      <c r="D98" s="19"/>
      <c r="E98" s="19"/>
      <c r="F98" s="17" t="s">
        <v>376</v>
      </c>
    </row>
    <row r="99" spans="1:6" ht="27.6" x14ac:dyDescent="0.25">
      <c r="A99" s="17" t="s">
        <v>380</v>
      </c>
      <c r="B99" s="17" t="s">
        <v>381</v>
      </c>
      <c r="C99" s="18" t="s">
        <v>102</v>
      </c>
      <c r="D99" s="17" t="s">
        <v>382</v>
      </c>
      <c r="E99" s="19"/>
      <c r="F99" s="17" t="s">
        <v>376</v>
      </c>
    </row>
    <row r="100" spans="1:6" ht="27.6" x14ac:dyDescent="0.25">
      <c r="A100" s="17" t="s">
        <v>383</v>
      </c>
      <c r="B100" s="17" t="s">
        <v>384</v>
      </c>
      <c r="C100" s="18" t="s">
        <v>102</v>
      </c>
      <c r="D100" s="17" t="s">
        <v>375</v>
      </c>
      <c r="E100" s="18" t="s">
        <v>99</v>
      </c>
      <c r="F100" s="17" t="s">
        <v>376</v>
      </c>
    </row>
    <row r="101" spans="1:6" ht="27.6" x14ac:dyDescent="0.25">
      <c r="A101" s="17" t="s">
        <v>385</v>
      </c>
      <c r="B101" s="17" t="s">
        <v>386</v>
      </c>
      <c r="C101" s="18" t="s">
        <v>102</v>
      </c>
      <c r="D101" s="17" t="s">
        <v>375</v>
      </c>
      <c r="E101" s="18" t="s">
        <v>99</v>
      </c>
      <c r="F101" s="17" t="s">
        <v>376</v>
      </c>
    </row>
    <row r="102" spans="1:6" ht="27.6" x14ac:dyDescent="0.25">
      <c r="A102" s="14" t="s">
        <v>387</v>
      </c>
      <c r="B102" s="14" t="s">
        <v>388</v>
      </c>
      <c r="C102" s="16" t="s">
        <v>166</v>
      </c>
      <c r="D102" s="14" t="s">
        <v>389</v>
      </c>
      <c r="E102" s="16" t="s">
        <v>99</v>
      </c>
      <c r="F102" s="14" t="s">
        <v>265</v>
      </c>
    </row>
    <row r="103" spans="1:6" ht="27.6" x14ac:dyDescent="0.25">
      <c r="A103" s="17" t="s">
        <v>390</v>
      </c>
      <c r="B103" s="17" t="s">
        <v>391</v>
      </c>
      <c r="C103" s="18" t="s">
        <v>102</v>
      </c>
      <c r="D103" s="17" t="s">
        <v>392</v>
      </c>
      <c r="E103" s="18" t="s">
        <v>99</v>
      </c>
      <c r="F103" s="17" t="s">
        <v>265</v>
      </c>
    </row>
    <row r="104" spans="1:6" ht="27.6" x14ac:dyDescent="0.25">
      <c r="A104" s="14" t="s">
        <v>393</v>
      </c>
      <c r="B104" s="14" t="s">
        <v>394</v>
      </c>
      <c r="C104" s="16" t="s">
        <v>166</v>
      </c>
      <c r="D104" s="14" t="s">
        <v>395</v>
      </c>
      <c r="E104" s="16" t="s">
        <v>396</v>
      </c>
      <c r="F104" s="14" t="s">
        <v>397</v>
      </c>
    </row>
    <row r="105" spans="1:6" ht="27.6" x14ac:dyDescent="0.25">
      <c r="A105" s="17" t="s">
        <v>398</v>
      </c>
      <c r="B105" s="17" t="s">
        <v>399</v>
      </c>
      <c r="C105" s="18" t="s">
        <v>102</v>
      </c>
      <c r="D105" s="17" t="s">
        <v>400</v>
      </c>
      <c r="E105" s="18" t="s">
        <v>99</v>
      </c>
      <c r="F105" s="17" t="s">
        <v>401</v>
      </c>
    </row>
    <row r="106" spans="1:6" ht="27.6" x14ac:dyDescent="0.25">
      <c r="A106" s="14" t="s">
        <v>402</v>
      </c>
      <c r="B106" s="14" t="s">
        <v>403</v>
      </c>
      <c r="C106" s="16" t="s">
        <v>166</v>
      </c>
      <c r="D106" s="14" t="s">
        <v>404</v>
      </c>
      <c r="E106" s="16" t="s">
        <v>99</v>
      </c>
      <c r="F106" s="14" t="s">
        <v>104</v>
      </c>
    </row>
    <row r="107" spans="1:6" ht="27.6" x14ac:dyDescent="0.25">
      <c r="A107" s="17" t="s">
        <v>405</v>
      </c>
      <c r="B107" s="17" t="s">
        <v>406</v>
      </c>
      <c r="C107" s="18" t="s">
        <v>102</v>
      </c>
      <c r="D107" s="17" t="s">
        <v>407</v>
      </c>
      <c r="E107" s="19"/>
      <c r="F107" s="17" t="s">
        <v>408</v>
      </c>
    </row>
    <row r="108" spans="1:6" ht="13.8" x14ac:dyDescent="0.25">
      <c r="A108" s="17" t="s">
        <v>409</v>
      </c>
      <c r="B108" s="17" t="s">
        <v>410</v>
      </c>
      <c r="C108" s="18" t="s">
        <v>102</v>
      </c>
      <c r="D108" s="17" t="s">
        <v>411</v>
      </c>
      <c r="E108" s="18" t="s">
        <v>99</v>
      </c>
      <c r="F108" s="17" t="s">
        <v>401</v>
      </c>
    </row>
    <row r="109" spans="1:6" ht="27.6" x14ac:dyDescent="0.25">
      <c r="A109" s="17" t="s">
        <v>412</v>
      </c>
      <c r="B109" s="17" t="s">
        <v>413</v>
      </c>
      <c r="C109" s="18" t="s">
        <v>102</v>
      </c>
      <c r="D109" s="17" t="s">
        <v>414</v>
      </c>
      <c r="E109" s="19"/>
      <c r="F109" s="17" t="s">
        <v>401</v>
      </c>
    </row>
    <row r="110" spans="1:6" ht="27.6" x14ac:dyDescent="0.25">
      <c r="A110" s="17" t="s">
        <v>415</v>
      </c>
      <c r="B110" s="17" t="s">
        <v>416</v>
      </c>
      <c r="C110" s="18" t="s">
        <v>102</v>
      </c>
      <c r="D110" s="17" t="s">
        <v>417</v>
      </c>
      <c r="E110" s="18" t="s">
        <v>99</v>
      </c>
      <c r="F110" s="17" t="s">
        <v>418</v>
      </c>
    </row>
    <row r="111" spans="1:6" ht="27.6" x14ac:dyDescent="0.25">
      <c r="A111" s="17" t="s">
        <v>419</v>
      </c>
      <c r="B111" s="17" t="s">
        <v>420</v>
      </c>
      <c r="C111" s="18" t="s">
        <v>102</v>
      </c>
      <c r="D111" s="19"/>
      <c r="E111" s="19"/>
      <c r="F111" s="17" t="s">
        <v>418</v>
      </c>
    </row>
    <row r="112" spans="1:6" ht="27.6" x14ac:dyDescent="0.25">
      <c r="A112" s="17" t="s">
        <v>421</v>
      </c>
      <c r="B112" s="17" t="s">
        <v>422</v>
      </c>
      <c r="C112" s="18" t="s">
        <v>102</v>
      </c>
      <c r="D112" s="17" t="s">
        <v>423</v>
      </c>
      <c r="E112" s="18" t="s">
        <v>99</v>
      </c>
      <c r="F112" s="17" t="s">
        <v>418</v>
      </c>
    </row>
    <row r="113" spans="1:6" ht="27.6" x14ac:dyDescent="0.25">
      <c r="A113" s="17" t="s">
        <v>424</v>
      </c>
      <c r="B113" s="17" t="s">
        <v>425</v>
      </c>
      <c r="C113" s="18" t="s">
        <v>102</v>
      </c>
      <c r="D113" s="17" t="s">
        <v>426</v>
      </c>
      <c r="E113" s="18" t="s">
        <v>99</v>
      </c>
      <c r="F113" s="17" t="s">
        <v>418</v>
      </c>
    </row>
    <row r="114" spans="1:6" ht="27.6" x14ac:dyDescent="0.3">
      <c r="A114" s="17" t="s">
        <v>427</v>
      </c>
      <c r="B114" s="17" t="s">
        <v>428</v>
      </c>
      <c r="C114" s="18" t="s">
        <v>102</v>
      </c>
      <c r="D114" s="17" t="s">
        <v>429</v>
      </c>
      <c r="E114" s="22" t="s">
        <v>99</v>
      </c>
      <c r="F114" s="17" t="s">
        <v>265</v>
      </c>
    </row>
    <row r="115" spans="1:6" ht="27.6" x14ac:dyDescent="0.25">
      <c r="A115" s="17" t="s">
        <v>430</v>
      </c>
      <c r="B115" s="17" t="s">
        <v>431</v>
      </c>
      <c r="C115" s="18" t="s">
        <v>102</v>
      </c>
      <c r="D115" s="17" t="s">
        <v>432</v>
      </c>
      <c r="E115" s="18" t="s">
        <v>99</v>
      </c>
      <c r="F115" s="17" t="s">
        <v>433</v>
      </c>
    </row>
    <row r="116" spans="1:6" ht="27.6" x14ac:dyDescent="0.25">
      <c r="A116" s="17" t="s">
        <v>434</v>
      </c>
      <c r="B116" s="17" t="s">
        <v>435</v>
      </c>
      <c r="C116" s="18" t="s">
        <v>102</v>
      </c>
      <c r="D116" s="19"/>
      <c r="E116" s="19"/>
      <c r="F116" s="17" t="s">
        <v>433</v>
      </c>
    </row>
    <row r="117" spans="1:6" ht="27.6" x14ac:dyDescent="0.25">
      <c r="A117" s="17" t="s">
        <v>436</v>
      </c>
      <c r="B117" s="17" t="s">
        <v>437</v>
      </c>
      <c r="C117" s="18" t="s">
        <v>102</v>
      </c>
      <c r="D117" s="19"/>
      <c r="E117" s="19"/>
      <c r="F117" s="17" t="s">
        <v>433</v>
      </c>
    </row>
    <row r="118" spans="1:6" ht="27.6" x14ac:dyDescent="0.25">
      <c r="A118" s="17" t="s">
        <v>438</v>
      </c>
      <c r="B118" s="17" t="s">
        <v>439</v>
      </c>
      <c r="C118" s="18" t="s">
        <v>102</v>
      </c>
      <c r="D118" s="17" t="s">
        <v>440</v>
      </c>
      <c r="E118" s="18" t="s">
        <v>99</v>
      </c>
      <c r="F118" s="17" t="s">
        <v>433</v>
      </c>
    </row>
    <row r="119" spans="1:6" ht="27.6" x14ac:dyDescent="0.25">
      <c r="A119" s="17" t="s">
        <v>441</v>
      </c>
      <c r="B119" s="17" t="s">
        <v>442</v>
      </c>
      <c r="C119" s="18" t="s">
        <v>102</v>
      </c>
      <c r="D119" s="17" t="s">
        <v>443</v>
      </c>
      <c r="E119" s="18" t="s">
        <v>99</v>
      </c>
      <c r="F119" s="17" t="s">
        <v>433</v>
      </c>
    </row>
    <row r="120" spans="1:6" ht="27.6" x14ac:dyDescent="0.3">
      <c r="A120" s="17" t="s">
        <v>444</v>
      </c>
      <c r="B120" s="17" t="s">
        <v>445</v>
      </c>
      <c r="C120" s="18" t="s">
        <v>102</v>
      </c>
      <c r="D120" s="19"/>
      <c r="E120" s="23"/>
      <c r="F120" s="17" t="s">
        <v>433</v>
      </c>
    </row>
    <row r="121" spans="1:6" ht="27.6" x14ac:dyDescent="0.25">
      <c r="A121" s="17" t="s">
        <v>446</v>
      </c>
      <c r="B121" s="17" t="s">
        <v>447</v>
      </c>
      <c r="C121" s="18" t="s">
        <v>102</v>
      </c>
      <c r="D121" s="19"/>
      <c r="E121" s="18" t="s">
        <v>99</v>
      </c>
      <c r="F121" s="17" t="s">
        <v>433</v>
      </c>
    </row>
    <row r="122" spans="1:6" ht="27.6" x14ac:dyDescent="0.25">
      <c r="A122" s="17" t="s">
        <v>448</v>
      </c>
      <c r="B122" s="17" t="s">
        <v>449</v>
      </c>
      <c r="C122" s="18" t="s">
        <v>102</v>
      </c>
      <c r="D122" s="19"/>
      <c r="E122" s="19"/>
      <c r="F122" s="17" t="s">
        <v>433</v>
      </c>
    </row>
    <row r="123" spans="1:6" ht="27.6" x14ac:dyDescent="0.25">
      <c r="A123" s="14" t="s">
        <v>450</v>
      </c>
      <c r="B123" s="14" t="s">
        <v>451</v>
      </c>
      <c r="C123" s="16" t="s">
        <v>166</v>
      </c>
      <c r="D123" s="15"/>
      <c r="E123" s="15"/>
      <c r="F123" s="14" t="s">
        <v>104</v>
      </c>
    </row>
    <row r="124" spans="1:6" ht="27.6" x14ac:dyDescent="0.25">
      <c r="A124" s="14" t="s">
        <v>42</v>
      </c>
      <c r="B124" s="14" t="s">
        <v>452</v>
      </c>
      <c r="C124" s="16" t="s">
        <v>166</v>
      </c>
      <c r="D124" s="14" t="s">
        <v>453</v>
      </c>
      <c r="E124" s="16" t="s">
        <v>99</v>
      </c>
      <c r="F124" s="14" t="s">
        <v>104</v>
      </c>
    </row>
    <row r="125" spans="1:6" ht="27.6" x14ac:dyDescent="0.25">
      <c r="A125" s="17" t="s">
        <v>454</v>
      </c>
      <c r="B125" s="17" t="s">
        <v>455</v>
      </c>
      <c r="C125" s="18" t="s">
        <v>102</v>
      </c>
      <c r="D125" s="17" t="s">
        <v>456</v>
      </c>
      <c r="E125" s="18" t="s">
        <v>99</v>
      </c>
      <c r="F125" s="17" t="s">
        <v>140</v>
      </c>
    </row>
    <row r="126" spans="1:6" ht="27.6" x14ac:dyDescent="0.25">
      <c r="A126" s="14" t="s">
        <v>457</v>
      </c>
      <c r="B126" s="14" t="s">
        <v>458</v>
      </c>
      <c r="C126" s="16" t="s">
        <v>166</v>
      </c>
      <c r="D126" s="14" t="s">
        <v>459</v>
      </c>
      <c r="E126" s="15"/>
      <c r="F126" s="14" t="s">
        <v>408</v>
      </c>
    </row>
    <row r="127" spans="1:6" ht="27.6" x14ac:dyDescent="0.25">
      <c r="A127" s="17" t="s">
        <v>460</v>
      </c>
      <c r="B127" s="17" t="s">
        <v>461</v>
      </c>
      <c r="C127" s="18" t="s">
        <v>102</v>
      </c>
      <c r="D127" s="17" t="s">
        <v>462</v>
      </c>
      <c r="E127" s="18" t="s">
        <v>99</v>
      </c>
      <c r="F127" s="17" t="s">
        <v>463</v>
      </c>
    </row>
    <row r="128" spans="1:6" ht="27.6" x14ac:dyDescent="0.25">
      <c r="A128" s="17" t="s">
        <v>464</v>
      </c>
      <c r="B128" s="17" t="s">
        <v>465</v>
      </c>
      <c r="C128" s="18" t="s">
        <v>102</v>
      </c>
      <c r="D128" s="17" t="s">
        <v>466</v>
      </c>
      <c r="E128" s="18" t="s">
        <v>99</v>
      </c>
      <c r="F128" s="17" t="s">
        <v>104</v>
      </c>
    </row>
    <row r="129" spans="1:6" ht="27.6" x14ac:dyDescent="0.25">
      <c r="A129" s="17" t="s">
        <v>467</v>
      </c>
      <c r="B129" s="17" t="s">
        <v>468</v>
      </c>
      <c r="C129" s="18" t="s">
        <v>102</v>
      </c>
      <c r="D129" s="17" t="s">
        <v>469</v>
      </c>
      <c r="E129" s="18" t="s">
        <v>99</v>
      </c>
      <c r="F129" s="17" t="s">
        <v>104</v>
      </c>
    </row>
    <row r="130" spans="1:6" ht="27.6" x14ac:dyDescent="0.25">
      <c r="A130" s="17" t="s">
        <v>470</v>
      </c>
      <c r="B130" s="17" t="s">
        <v>471</v>
      </c>
      <c r="C130" s="18" t="s">
        <v>102</v>
      </c>
      <c r="D130" s="17" t="s">
        <v>472</v>
      </c>
      <c r="E130" s="18" t="s">
        <v>99</v>
      </c>
      <c r="F130" s="17" t="s">
        <v>463</v>
      </c>
    </row>
    <row r="131" spans="1:6" ht="27.6" x14ac:dyDescent="0.25">
      <c r="A131" s="14" t="s">
        <v>473</v>
      </c>
      <c r="B131" s="14" t="s">
        <v>474</v>
      </c>
      <c r="C131" s="16" t="s">
        <v>166</v>
      </c>
      <c r="D131" s="14" t="s">
        <v>475</v>
      </c>
      <c r="E131" s="16" t="s">
        <v>99</v>
      </c>
      <c r="F131" s="14" t="s">
        <v>269</v>
      </c>
    </row>
    <row r="132" spans="1:6" ht="27.6" x14ac:dyDescent="0.25">
      <c r="A132" s="17" t="s">
        <v>476</v>
      </c>
      <c r="B132" s="17" t="s">
        <v>477</v>
      </c>
      <c r="C132" s="18" t="s">
        <v>102</v>
      </c>
      <c r="D132" s="17" t="s">
        <v>478</v>
      </c>
      <c r="E132" s="18" t="s">
        <v>99</v>
      </c>
      <c r="F132" s="17" t="s">
        <v>269</v>
      </c>
    </row>
    <row r="133" spans="1:6" ht="27.6" x14ac:dyDescent="0.25">
      <c r="A133" s="14" t="s">
        <v>479</v>
      </c>
      <c r="B133" s="14" t="s">
        <v>480</v>
      </c>
      <c r="C133" s="16" t="s">
        <v>166</v>
      </c>
      <c r="D133" s="15"/>
      <c r="E133" s="15"/>
      <c r="F133" s="14" t="s">
        <v>269</v>
      </c>
    </row>
    <row r="134" spans="1:6" ht="27.6" x14ac:dyDescent="0.25">
      <c r="A134" s="14" t="s">
        <v>481</v>
      </c>
      <c r="B134" s="14" t="s">
        <v>482</v>
      </c>
      <c r="C134" s="16" t="s">
        <v>166</v>
      </c>
      <c r="D134" s="15"/>
      <c r="E134" s="15"/>
      <c r="F134" s="14" t="s">
        <v>269</v>
      </c>
    </row>
    <row r="135" spans="1:6" ht="27.6" x14ac:dyDescent="0.25">
      <c r="A135" s="14" t="s">
        <v>483</v>
      </c>
      <c r="B135" s="14" t="s">
        <v>484</v>
      </c>
      <c r="C135" s="16" t="s">
        <v>166</v>
      </c>
      <c r="D135" s="14" t="s">
        <v>485</v>
      </c>
      <c r="E135" s="16" t="s">
        <v>99</v>
      </c>
      <c r="F135" s="14" t="s">
        <v>269</v>
      </c>
    </row>
    <row r="136" spans="1:6" ht="27.6" x14ac:dyDescent="0.25">
      <c r="A136" s="17" t="s">
        <v>486</v>
      </c>
      <c r="B136" s="17" t="s">
        <v>487</v>
      </c>
      <c r="C136" s="18" t="s">
        <v>102</v>
      </c>
      <c r="D136" s="19"/>
      <c r="E136" s="19"/>
      <c r="F136" s="17" t="s">
        <v>488</v>
      </c>
    </row>
    <row r="137" spans="1:6" ht="27.6" x14ac:dyDescent="0.25">
      <c r="A137" s="17" t="s">
        <v>489</v>
      </c>
      <c r="B137" s="17" t="s">
        <v>490</v>
      </c>
      <c r="C137" s="18" t="s">
        <v>102</v>
      </c>
      <c r="D137" s="17" t="s">
        <v>491</v>
      </c>
      <c r="E137" s="19"/>
      <c r="F137" s="17" t="s">
        <v>492</v>
      </c>
    </row>
    <row r="138" spans="1:6" ht="27.6" x14ac:dyDescent="0.25">
      <c r="A138" s="17" t="s">
        <v>493</v>
      </c>
      <c r="B138" s="17" t="s">
        <v>494</v>
      </c>
      <c r="C138" s="18" t="s">
        <v>102</v>
      </c>
      <c r="D138" s="17" t="s">
        <v>495</v>
      </c>
      <c r="E138" s="18" t="s">
        <v>99</v>
      </c>
      <c r="F138" s="17" t="s">
        <v>492</v>
      </c>
    </row>
    <row r="139" spans="1:6" ht="27.6" x14ac:dyDescent="0.25">
      <c r="A139" s="17" t="s">
        <v>496</v>
      </c>
      <c r="B139" s="17" t="s">
        <v>497</v>
      </c>
      <c r="C139" s="18" t="s">
        <v>102</v>
      </c>
      <c r="D139" s="17" t="s">
        <v>498</v>
      </c>
      <c r="E139" s="19"/>
      <c r="F139" s="17" t="s">
        <v>499</v>
      </c>
    </row>
    <row r="140" spans="1:6" ht="27.6" x14ac:dyDescent="0.25">
      <c r="A140" s="17" t="s">
        <v>500</v>
      </c>
      <c r="B140" s="17" t="s">
        <v>501</v>
      </c>
      <c r="C140" s="18" t="s">
        <v>102</v>
      </c>
      <c r="D140" s="17" t="s">
        <v>498</v>
      </c>
      <c r="E140" s="19"/>
      <c r="F140" s="17" t="s">
        <v>499</v>
      </c>
    </row>
    <row r="141" spans="1:6" ht="27.6" x14ac:dyDescent="0.25">
      <c r="A141" s="17" t="s">
        <v>502</v>
      </c>
      <c r="B141" s="17" t="s">
        <v>503</v>
      </c>
      <c r="C141" s="18" t="s">
        <v>102</v>
      </c>
      <c r="D141" s="17" t="s">
        <v>498</v>
      </c>
      <c r="E141" s="19"/>
      <c r="F141" s="17" t="s">
        <v>499</v>
      </c>
    </row>
    <row r="142" spans="1:6" ht="27.6" x14ac:dyDescent="0.25">
      <c r="A142" s="17" t="s">
        <v>504</v>
      </c>
      <c r="B142" s="17" t="s">
        <v>505</v>
      </c>
      <c r="C142" s="18" t="s">
        <v>102</v>
      </c>
      <c r="D142" s="17" t="s">
        <v>506</v>
      </c>
      <c r="E142" s="18" t="s">
        <v>99</v>
      </c>
      <c r="F142" s="17" t="s">
        <v>104</v>
      </c>
    </row>
    <row r="143" spans="1:6" ht="41.4" x14ac:dyDescent="0.25">
      <c r="A143" s="17" t="s">
        <v>507</v>
      </c>
      <c r="B143" s="17" t="s">
        <v>508</v>
      </c>
      <c r="C143" s="18" t="s">
        <v>102</v>
      </c>
      <c r="D143" s="17" t="s">
        <v>506</v>
      </c>
      <c r="E143" s="18" t="s">
        <v>99</v>
      </c>
      <c r="F143" s="17" t="s">
        <v>104</v>
      </c>
    </row>
    <row r="144" spans="1:6" ht="55.2" x14ac:dyDescent="0.25">
      <c r="A144" s="17" t="s">
        <v>509</v>
      </c>
      <c r="B144" s="17" t="s">
        <v>510</v>
      </c>
      <c r="C144" s="18" t="s">
        <v>102</v>
      </c>
      <c r="D144" s="17" t="s">
        <v>506</v>
      </c>
      <c r="E144" s="18" t="s">
        <v>99</v>
      </c>
      <c r="F144" s="17" t="s">
        <v>104</v>
      </c>
    </row>
    <row r="145" spans="1:6" ht="13.8" x14ac:dyDescent="0.3">
      <c r="A145" s="14" t="s">
        <v>511</v>
      </c>
      <c r="B145" s="21" t="s">
        <v>512</v>
      </c>
      <c r="C145" s="16" t="s">
        <v>166</v>
      </c>
      <c r="D145" s="14" t="s">
        <v>513</v>
      </c>
      <c r="E145" s="21" t="s">
        <v>99</v>
      </c>
      <c r="F145" s="14" t="s">
        <v>104</v>
      </c>
    </row>
    <row r="146" spans="1:6" ht="27.6" x14ac:dyDescent="0.25">
      <c r="A146" s="17" t="s">
        <v>514</v>
      </c>
      <c r="B146" s="17" t="s">
        <v>515</v>
      </c>
      <c r="C146" s="18" t="s">
        <v>102</v>
      </c>
      <c r="D146" s="17" t="s">
        <v>516</v>
      </c>
      <c r="E146" s="18" t="s">
        <v>99</v>
      </c>
      <c r="F146" s="17" t="s">
        <v>376</v>
      </c>
    </row>
    <row r="147" spans="1:6" ht="27.6" x14ac:dyDescent="0.25">
      <c r="A147" s="17" t="s">
        <v>517</v>
      </c>
      <c r="B147" s="17" t="s">
        <v>518</v>
      </c>
      <c r="C147" s="18" t="s">
        <v>102</v>
      </c>
      <c r="D147" s="17" t="s">
        <v>519</v>
      </c>
      <c r="E147" s="18" t="s">
        <v>99</v>
      </c>
      <c r="F147" s="17" t="s">
        <v>349</v>
      </c>
    </row>
    <row r="148" spans="1:6" ht="27.6" x14ac:dyDescent="0.25">
      <c r="A148" s="17" t="s">
        <v>520</v>
      </c>
      <c r="B148" s="17" t="s">
        <v>521</v>
      </c>
      <c r="C148" s="18" t="s">
        <v>102</v>
      </c>
      <c r="D148" s="17" t="s">
        <v>522</v>
      </c>
      <c r="E148" s="18" t="s">
        <v>99</v>
      </c>
      <c r="F148" s="17" t="s">
        <v>349</v>
      </c>
    </row>
    <row r="149" spans="1:6" ht="27.6" x14ac:dyDescent="0.25">
      <c r="A149" s="18" t="s">
        <v>523</v>
      </c>
      <c r="B149" s="17" t="s">
        <v>524</v>
      </c>
      <c r="C149" s="18" t="s">
        <v>102</v>
      </c>
      <c r="D149" s="17" t="s">
        <v>525</v>
      </c>
      <c r="E149" s="18" t="s">
        <v>99</v>
      </c>
      <c r="F149" s="17" t="s">
        <v>376</v>
      </c>
    </row>
    <row r="150" spans="1:6" ht="27.6" x14ac:dyDescent="0.25">
      <c r="A150" s="18" t="s">
        <v>526</v>
      </c>
      <c r="B150" s="17" t="s">
        <v>527</v>
      </c>
      <c r="C150" s="18" t="s">
        <v>102</v>
      </c>
      <c r="D150" s="17" t="s">
        <v>528</v>
      </c>
      <c r="E150" s="18" t="s">
        <v>99</v>
      </c>
      <c r="F150" s="17" t="s">
        <v>529</v>
      </c>
    </row>
    <row r="151" spans="1:6" ht="27.6" x14ac:dyDescent="0.25">
      <c r="A151" s="18" t="s">
        <v>530</v>
      </c>
      <c r="B151" s="17" t="s">
        <v>531</v>
      </c>
      <c r="C151" s="18" t="s">
        <v>102</v>
      </c>
      <c r="D151" s="17" t="s">
        <v>528</v>
      </c>
      <c r="E151" s="18" t="s">
        <v>99</v>
      </c>
      <c r="F151" s="17" t="s">
        <v>529</v>
      </c>
    </row>
    <row r="152" spans="1:6" ht="27.6" x14ac:dyDescent="0.25">
      <c r="A152" s="18" t="s">
        <v>532</v>
      </c>
      <c r="B152" s="17" t="s">
        <v>533</v>
      </c>
      <c r="C152" s="18" t="s">
        <v>102</v>
      </c>
      <c r="D152" s="17" t="s">
        <v>534</v>
      </c>
      <c r="E152" s="19"/>
      <c r="F152" s="17" t="s">
        <v>535</v>
      </c>
    </row>
    <row r="153" spans="1:6" ht="13.8" x14ac:dyDescent="0.3">
      <c r="A153" s="16" t="s">
        <v>536</v>
      </c>
      <c r="B153" s="14" t="s">
        <v>537</v>
      </c>
      <c r="C153" s="16" t="s">
        <v>99</v>
      </c>
      <c r="D153" s="14" t="s">
        <v>99</v>
      </c>
      <c r="E153" s="21" t="s">
        <v>99</v>
      </c>
      <c r="F153" s="14" t="s">
        <v>99</v>
      </c>
    </row>
    <row r="154" spans="1:6" ht="27.6" x14ac:dyDescent="0.25">
      <c r="A154" s="18" t="s">
        <v>538</v>
      </c>
      <c r="B154" s="17" t="s">
        <v>539</v>
      </c>
      <c r="C154" s="18" t="s">
        <v>102</v>
      </c>
      <c r="D154" s="17" t="s">
        <v>540</v>
      </c>
      <c r="E154" s="18" t="s">
        <v>99</v>
      </c>
      <c r="F154" s="17" t="s">
        <v>206</v>
      </c>
    </row>
    <row r="155" spans="1:6" ht="13.8" x14ac:dyDescent="0.3">
      <c r="A155" s="20" t="s">
        <v>541</v>
      </c>
      <c r="B155" s="21" t="s">
        <v>542</v>
      </c>
      <c r="C155" s="16" t="s">
        <v>166</v>
      </c>
      <c r="D155" s="21" t="s">
        <v>543</v>
      </c>
      <c r="E155" s="21" t="s">
        <v>99</v>
      </c>
      <c r="F155" s="20" t="s">
        <v>360</v>
      </c>
    </row>
    <row r="156" spans="1:6" ht="13.8" x14ac:dyDescent="0.3">
      <c r="A156" s="24" t="s">
        <v>544</v>
      </c>
      <c r="B156" s="22" t="s">
        <v>545</v>
      </c>
      <c r="C156" s="18" t="s">
        <v>102</v>
      </c>
      <c r="D156" s="17" t="s">
        <v>546</v>
      </c>
      <c r="E156" s="22" t="s">
        <v>99</v>
      </c>
      <c r="F156" s="24" t="s">
        <v>104</v>
      </c>
    </row>
    <row r="157" spans="1:6" ht="27.6" x14ac:dyDescent="0.3">
      <c r="A157" s="20" t="s">
        <v>547</v>
      </c>
      <c r="B157" s="21" t="s">
        <v>548</v>
      </c>
      <c r="C157" s="16" t="s">
        <v>166</v>
      </c>
      <c r="D157" s="14" t="s">
        <v>549</v>
      </c>
      <c r="E157" s="21" t="s">
        <v>99</v>
      </c>
      <c r="F157" s="20" t="s">
        <v>202</v>
      </c>
    </row>
    <row r="158" spans="1:6" ht="27.6" x14ac:dyDescent="0.25">
      <c r="A158" s="17" t="s">
        <v>550</v>
      </c>
      <c r="B158" s="17" t="s">
        <v>551</v>
      </c>
      <c r="C158" s="18" t="s">
        <v>102</v>
      </c>
      <c r="D158" s="17" t="s">
        <v>552</v>
      </c>
      <c r="E158" s="18" t="s">
        <v>99</v>
      </c>
      <c r="F158" s="17" t="s">
        <v>360</v>
      </c>
    </row>
    <row r="159" spans="1:6" ht="13.8" x14ac:dyDescent="0.25">
      <c r="A159" s="14" t="s">
        <v>553</v>
      </c>
      <c r="B159" s="14" t="s">
        <v>554</v>
      </c>
      <c r="C159" s="16" t="s">
        <v>166</v>
      </c>
      <c r="D159" s="14" t="s">
        <v>555</v>
      </c>
      <c r="E159" s="16" t="s">
        <v>556</v>
      </c>
      <c r="F159" s="14" t="s">
        <v>104</v>
      </c>
    </row>
    <row r="160" spans="1:6" ht="27.6" x14ac:dyDescent="0.25">
      <c r="A160" s="17" t="s">
        <v>557</v>
      </c>
      <c r="B160" s="17" t="s">
        <v>558</v>
      </c>
      <c r="C160" s="18" t="s">
        <v>102</v>
      </c>
      <c r="D160" s="17" t="s">
        <v>559</v>
      </c>
      <c r="E160" s="18" t="s">
        <v>560</v>
      </c>
      <c r="F160" s="17" t="s">
        <v>104</v>
      </c>
    </row>
    <row r="161" spans="1:6" ht="27.6" x14ac:dyDescent="0.25">
      <c r="A161" s="17" t="s">
        <v>561</v>
      </c>
      <c r="B161" s="17" t="s">
        <v>562</v>
      </c>
      <c r="C161" s="18" t="s">
        <v>102</v>
      </c>
      <c r="D161" s="17" t="s">
        <v>563</v>
      </c>
      <c r="E161" s="18" t="s">
        <v>99</v>
      </c>
      <c r="F161" s="17" t="s">
        <v>418</v>
      </c>
    </row>
    <row r="162" spans="1:6" ht="27.6" x14ac:dyDescent="0.3">
      <c r="A162" s="20" t="s">
        <v>564</v>
      </c>
      <c r="B162" s="20" t="s">
        <v>565</v>
      </c>
      <c r="C162" s="16" t="s">
        <v>166</v>
      </c>
      <c r="D162" s="20" t="s">
        <v>566</v>
      </c>
      <c r="E162" s="21" t="s">
        <v>99</v>
      </c>
      <c r="F162" s="14" t="s">
        <v>149</v>
      </c>
    </row>
    <row r="163" spans="1:6" ht="27.6" x14ac:dyDescent="0.3">
      <c r="A163" s="20" t="s">
        <v>567</v>
      </c>
      <c r="B163" s="20" t="s">
        <v>568</v>
      </c>
      <c r="C163" s="16" t="s">
        <v>166</v>
      </c>
      <c r="D163" s="20" t="s">
        <v>569</v>
      </c>
      <c r="E163" s="25"/>
      <c r="F163" s="14" t="s">
        <v>104</v>
      </c>
    </row>
    <row r="164" spans="1:6" ht="27.6" x14ac:dyDescent="0.25">
      <c r="A164" s="17" t="s">
        <v>58</v>
      </c>
      <c r="B164" s="17" t="s">
        <v>570</v>
      </c>
      <c r="C164" s="18" t="s">
        <v>102</v>
      </c>
      <c r="D164" s="17" t="s">
        <v>571</v>
      </c>
      <c r="E164" s="18" t="s">
        <v>99</v>
      </c>
      <c r="F164" s="17" t="s">
        <v>572</v>
      </c>
    </row>
    <row r="165" spans="1:6" ht="27.6" x14ac:dyDescent="0.25">
      <c r="A165" s="17" t="s">
        <v>573</v>
      </c>
      <c r="B165" s="17" t="s">
        <v>574</v>
      </c>
      <c r="C165" s="18" t="s">
        <v>102</v>
      </c>
      <c r="D165" s="17" t="s">
        <v>575</v>
      </c>
      <c r="E165" s="18" t="s">
        <v>99</v>
      </c>
      <c r="F165" s="17" t="s">
        <v>463</v>
      </c>
    </row>
    <row r="166" spans="1:6" ht="27.6" x14ac:dyDescent="0.25">
      <c r="A166" s="17" t="s">
        <v>576</v>
      </c>
      <c r="B166" s="17" t="s">
        <v>577</v>
      </c>
      <c r="C166" s="18" t="s">
        <v>102</v>
      </c>
      <c r="D166" s="17" t="s">
        <v>578</v>
      </c>
      <c r="E166" s="18" t="s">
        <v>99</v>
      </c>
      <c r="F166" s="17" t="s">
        <v>463</v>
      </c>
    </row>
    <row r="167" spans="1:6" ht="27.6" x14ac:dyDescent="0.25">
      <c r="A167" s="17" t="s">
        <v>579</v>
      </c>
      <c r="B167" s="17" t="s">
        <v>580</v>
      </c>
      <c r="C167" s="18" t="s">
        <v>102</v>
      </c>
      <c r="D167" s="19"/>
      <c r="E167" s="19"/>
      <c r="F167" s="17" t="s">
        <v>186</v>
      </c>
    </row>
    <row r="168" spans="1:6" ht="27.6" x14ac:dyDescent="0.25">
      <c r="A168" s="17" t="s">
        <v>65</v>
      </c>
      <c r="B168" s="17" t="s">
        <v>581</v>
      </c>
      <c r="C168" s="18" t="s">
        <v>102</v>
      </c>
      <c r="D168" s="17" t="s">
        <v>582</v>
      </c>
      <c r="E168" s="18" t="s">
        <v>99</v>
      </c>
      <c r="F168" s="17" t="s">
        <v>186</v>
      </c>
    </row>
    <row r="169" spans="1:6" ht="27.6" x14ac:dyDescent="0.25">
      <c r="A169" s="17" t="s">
        <v>59</v>
      </c>
      <c r="B169" s="17" t="s">
        <v>583</v>
      </c>
      <c r="C169" s="18" t="s">
        <v>102</v>
      </c>
      <c r="D169" s="19"/>
      <c r="E169" s="19"/>
      <c r="F169" s="17" t="s">
        <v>186</v>
      </c>
    </row>
    <row r="170" spans="1:6" ht="41.4" x14ac:dyDescent="0.25">
      <c r="A170" s="17" t="s">
        <v>584</v>
      </c>
      <c r="B170" s="17" t="s">
        <v>585</v>
      </c>
      <c r="C170" s="18" t="s">
        <v>102</v>
      </c>
      <c r="D170" s="17" t="s">
        <v>586</v>
      </c>
      <c r="E170" s="19"/>
      <c r="F170" s="17" t="s">
        <v>186</v>
      </c>
    </row>
    <row r="171" spans="1:6" ht="27.6" x14ac:dyDescent="0.25">
      <c r="A171" s="17" t="s">
        <v>50</v>
      </c>
      <c r="B171" s="17" t="s">
        <v>587</v>
      </c>
      <c r="C171" s="18" t="s">
        <v>102</v>
      </c>
      <c r="D171" s="17"/>
      <c r="E171" s="18"/>
      <c r="F171" s="17"/>
    </row>
    <row r="172" spans="1:6" ht="27.6" x14ac:dyDescent="0.25">
      <c r="A172" s="17" t="s">
        <v>588</v>
      </c>
      <c r="B172" s="17" t="s">
        <v>589</v>
      </c>
      <c r="C172" s="18" t="s">
        <v>102</v>
      </c>
      <c r="D172" s="17" t="s">
        <v>590</v>
      </c>
      <c r="E172" s="18" t="s">
        <v>99</v>
      </c>
      <c r="F172" s="17" t="s">
        <v>186</v>
      </c>
    </row>
    <row r="173" spans="1:6" ht="55.2" x14ac:dyDescent="0.25">
      <c r="A173" s="17" t="s">
        <v>591</v>
      </c>
      <c r="B173" s="17" t="s">
        <v>592</v>
      </c>
      <c r="C173" s="18" t="s">
        <v>102</v>
      </c>
      <c r="D173" s="17" t="s">
        <v>139</v>
      </c>
      <c r="E173" s="19"/>
      <c r="F173" s="17" t="s">
        <v>140</v>
      </c>
    </row>
    <row r="174" spans="1:6" ht="55.2" x14ac:dyDescent="0.25">
      <c r="A174" s="17" t="s">
        <v>593</v>
      </c>
      <c r="B174" s="17" t="s">
        <v>594</v>
      </c>
      <c r="C174" s="18" t="s">
        <v>102</v>
      </c>
      <c r="D174" s="17" t="s">
        <v>595</v>
      </c>
      <c r="E174" s="19"/>
      <c r="F174" s="17" t="s">
        <v>104</v>
      </c>
    </row>
    <row r="175" spans="1:6" ht="55.2" x14ac:dyDescent="0.25">
      <c r="A175" s="17" t="s">
        <v>596</v>
      </c>
      <c r="B175" s="17" t="s">
        <v>597</v>
      </c>
      <c r="C175" s="18" t="s">
        <v>102</v>
      </c>
      <c r="D175" s="17" t="s">
        <v>598</v>
      </c>
      <c r="E175" s="19"/>
      <c r="F175" s="17" t="s">
        <v>499</v>
      </c>
    </row>
    <row r="176" spans="1:6" ht="55.2" x14ac:dyDescent="0.3">
      <c r="A176" s="21" t="s">
        <v>599</v>
      </c>
      <c r="B176" s="17" t="s">
        <v>600</v>
      </c>
      <c r="C176" s="18" t="s">
        <v>102</v>
      </c>
      <c r="D176" s="19"/>
      <c r="E176" s="19"/>
      <c r="F176" s="19"/>
    </row>
    <row r="177" spans="1:6" ht="55.2" x14ac:dyDescent="0.3">
      <c r="A177" s="21" t="s">
        <v>601</v>
      </c>
      <c r="B177" s="17" t="s">
        <v>602</v>
      </c>
      <c r="C177" s="18" t="s">
        <v>102</v>
      </c>
      <c r="D177" s="19"/>
      <c r="E177" s="19"/>
      <c r="F177" s="19"/>
    </row>
    <row r="178" spans="1:6" ht="55.2" x14ac:dyDescent="0.25">
      <c r="A178" s="17" t="s">
        <v>603</v>
      </c>
      <c r="B178" s="17" t="s">
        <v>604</v>
      </c>
      <c r="C178" s="18" t="s">
        <v>102</v>
      </c>
      <c r="D178" s="19"/>
      <c r="E178" s="19"/>
      <c r="F178" s="19"/>
    </row>
    <row r="179" spans="1:6" ht="41.4" x14ac:dyDescent="0.25">
      <c r="A179" s="17" t="s">
        <v>605</v>
      </c>
      <c r="B179" s="17" t="s">
        <v>606</v>
      </c>
      <c r="C179" s="18" t="s">
        <v>102</v>
      </c>
      <c r="D179" s="17" t="s">
        <v>607</v>
      </c>
      <c r="E179" s="19"/>
      <c r="F179" s="17" t="s">
        <v>608</v>
      </c>
    </row>
    <row r="180" spans="1:6" ht="41.4" x14ac:dyDescent="0.25">
      <c r="A180" s="17" t="s">
        <v>609</v>
      </c>
      <c r="B180" s="17" t="s">
        <v>610</v>
      </c>
      <c r="C180" s="18" t="s">
        <v>102</v>
      </c>
      <c r="D180" s="17" t="s">
        <v>611</v>
      </c>
      <c r="E180" s="19"/>
      <c r="F180" s="17" t="s">
        <v>608</v>
      </c>
    </row>
    <row r="181" spans="1:6" ht="69" x14ac:dyDescent="0.25">
      <c r="A181" s="17" t="s">
        <v>612</v>
      </c>
      <c r="B181" s="17" t="s">
        <v>613</v>
      </c>
      <c r="C181" s="18" t="s">
        <v>102</v>
      </c>
      <c r="D181" s="19"/>
      <c r="E181" s="19"/>
      <c r="F181" s="19"/>
    </row>
    <row r="182" spans="1:6" ht="27.6" x14ac:dyDescent="0.25">
      <c r="A182" s="17" t="s">
        <v>614</v>
      </c>
      <c r="B182" s="17" t="s">
        <v>615</v>
      </c>
      <c r="C182" s="18" t="s">
        <v>102</v>
      </c>
      <c r="D182" s="17" t="s">
        <v>616</v>
      </c>
      <c r="E182" s="18" t="s">
        <v>99</v>
      </c>
      <c r="F182" s="17" t="s">
        <v>617</v>
      </c>
    </row>
    <row r="183" spans="1:6" ht="14.4" x14ac:dyDescent="0.3">
      <c r="A183" s="26" t="s">
        <v>618</v>
      </c>
      <c r="B183" s="21" t="s">
        <v>619</v>
      </c>
      <c r="C183" s="27"/>
      <c r="D183" s="27"/>
      <c r="E183" s="27"/>
      <c r="F183" s="27"/>
    </row>
    <row r="184" spans="1:6" ht="14.4" x14ac:dyDescent="0.3">
      <c r="A184" s="17" t="s">
        <v>620</v>
      </c>
      <c r="B184" s="28" t="s">
        <v>621</v>
      </c>
      <c r="C184" s="18" t="s">
        <v>102</v>
      </c>
      <c r="D184" s="19"/>
      <c r="E184" s="19"/>
      <c r="F184" s="19"/>
    </row>
    <row r="185" spans="1:6" ht="27.6" x14ac:dyDescent="0.25">
      <c r="A185" s="17" t="s">
        <v>622</v>
      </c>
      <c r="B185" s="17" t="s">
        <v>623</v>
      </c>
      <c r="C185" s="18" t="s">
        <v>102</v>
      </c>
      <c r="D185" s="17" t="s">
        <v>624</v>
      </c>
      <c r="E185" s="18" t="s">
        <v>99</v>
      </c>
      <c r="F185" s="17" t="s">
        <v>360</v>
      </c>
    </row>
    <row r="186" spans="1:6" ht="27.6" x14ac:dyDescent="0.25">
      <c r="A186" s="29" t="s">
        <v>625</v>
      </c>
      <c r="B186" s="17" t="s">
        <v>626</v>
      </c>
      <c r="C186" s="18" t="s">
        <v>102</v>
      </c>
      <c r="D186" s="17" t="s">
        <v>627</v>
      </c>
      <c r="E186" s="18" t="s">
        <v>628</v>
      </c>
      <c r="F186" s="17" t="s">
        <v>360</v>
      </c>
    </row>
    <row r="187" spans="1:6" ht="27.6" x14ac:dyDescent="0.25">
      <c r="A187" s="29" t="s">
        <v>629</v>
      </c>
      <c r="B187" s="17" t="s">
        <v>630</v>
      </c>
      <c r="C187" s="18" t="s">
        <v>102</v>
      </c>
      <c r="D187" s="17" t="s">
        <v>631</v>
      </c>
      <c r="E187" s="18" t="s">
        <v>99</v>
      </c>
      <c r="F187" s="17" t="s">
        <v>360</v>
      </c>
    </row>
    <row r="188" spans="1:6" ht="27.6" x14ac:dyDescent="0.25">
      <c r="A188" s="17" t="s">
        <v>632</v>
      </c>
      <c r="B188" s="17" t="s">
        <v>633</v>
      </c>
      <c r="C188" s="18" t="s">
        <v>102</v>
      </c>
      <c r="D188" s="17" t="s">
        <v>634</v>
      </c>
      <c r="E188" s="19"/>
      <c r="F188" s="17" t="s">
        <v>635</v>
      </c>
    </row>
    <row r="189" spans="1:6" ht="27.6" x14ac:dyDescent="0.25">
      <c r="A189" s="17" t="s">
        <v>636</v>
      </c>
      <c r="B189" s="17" t="s">
        <v>637</v>
      </c>
      <c r="C189" s="18" t="s">
        <v>102</v>
      </c>
      <c r="D189" s="17" t="s">
        <v>638</v>
      </c>
      <c r="E189" s="19"/>
      <c r="F189" s="17" t="s">
        <v>635</v>
      </c>
    </row>
    <row r="190" spans="1:6" ht="27.6" x14ac:dyDescent="0.25">
      <c r="A190" s="30" t="s">
        <v>40</v>
      </c>
      <c r="B190" s="30" t="s">
        <v>639</v>
      </c>
      <c r="C190" s="31" t="s">
        <v>102</v>
      </c>
      <c r="D190" s="30" t="s">
        <v>640</v>
      </c>
      <c r="E190" s="31" t="s">
        <v>99</v>
      </c>
      <c r="F190" s="30" t="s">
        <v>635</v>
      </c>
    </row>
    <row r="191" spans="1:6" ht="27.6" x14ac:dyDescent="0.25">
      <c r="A191" s="14" t="s">
        <v>641</v>
      </c>
      <c r="B191" s="14" t="s">
        <v>642</v>
      </c>
      <c r="C191" s="16" t="s">
        <v>166</v>
      </c>
      <c r="D191" s="14" t="s">
        <v>643</v>
      </c>
      <c r="E191" s="16" t="s">
        <v>99</v>
      </c>
      <c r="F191" s="14" t="s">
        <v>104</v>
      </c>
    </row>
    <row r="192" spans="1:6" ht="27.6" x14ac:dyDescent="0.25">
      <c r="A192" s="14" t="s">
        <v>644</v>
      </c>
      <c r="B192" s="14" t="s">
        <v>645</v>
      </c>
      <c r="C192" s="16" t="s">
        <v>166</v>
      </c>
      <c r="D192" s="14" t="s">
        <v>646</v>
      </c>
      <c r="E192" s="16" t="s">
        <v>99</v>
      </c>
      <c r="F192" s="14" t="s">
        <v>149</v>
      </c>
    </row>
    <row r="193" spans="1:6" ht="27.6" x14ac:dyDescent="0.25">
      <c r="A193" s="26" t="s">
        <v>647</v>
      </c>
      <c r="B193" s="26" t="s">
        <v>648</v>
      </c>
      <c r="C193" s="32" t="s">
        <v>166</v>
      </c>
      <c r="D193" s="26" t="s">
        <v>649</v>
      </c>
      <c r="E193" s="32" t="s">
        <v>99</v>
      </c>
      <c r="F193" s="26" t="s">
        <v>401</v>
      </c>
    </row>
    <row r="194" spans="1:6" ht="27.6" x14ac:dyDescent="0.25">
      <c r="A194" s="33" t="s">
        <v>650</v>
      </c>
      <c r="B194" s="33" t="s">
        <v>651</v>
      </c>
      <c r="C194" s="34" t="s">
        <v>652</v>
      </c>
      <c r="D194" s="33" t="s">
        <v>653</v>
      </c>
      <c r="E194" s="34" t="s">
        <v>99</v>
      </c>
      <c r="F194" s="33" t="s">
        <v>104</v>
      </c>
    </row>
    <row r="195" spans="1:6" ht="41.4" x14ac:dyDescent="0.25">
      <c r="A195" s="33" t="s">
        <v>654</v>
      </c>
      <c r="B195" s="33" t="s">
        <v>655</v>
      </c>
      <c r="C195" s="34" t="s">
        <v>652</v>
      </c>
      <c r="D195" s="33" t="s">
        <v>99</v>
      </c>
      <c r="E195" s="34" t="s">
        <v>108</v>
      </c>
      <c r="F195" s="33" t="s">
        <v>109</v>
      </c>
    </row>
    <row r="196" spans="1:6" ht="41.4" x14ac:dyDescent="0.25">
      <c r="A196" s="33" t="s">
        <v>656</v>
      </c>
      <c r="B196" s="33" t="s">
        <v>657</v>
      </c>
      <c r="C196" s="34" t="s">
        <v>652</v>
      </c>
      <c r="D196" s="33" t="s">
        <v>112</v>
      </c>
      <c r="E196" s="34" t="s">
        <v>113</v>
      </c>
      <c r="F196" s="33" t="s">
        <v>109</v>
      </c>
    </row>
    <row r="197" spans="1:6" ht="41.4" x14ac:dyDescent="0.25">
      <c r="A197" s="33" t="s">
        <v>658</v>
      </c>
      <c r="B197" s="33" t="s">
        <v>659</v>
      </c>
      <c r="C197" s="34" t="s">
        <v>652</v>
      </c>
      <c r="D197" s="33" t="s">
        <v>660</v>
      </c>
      <c r="E197" s="34" t="s">
        <v>121</v>
      </c>
      <c r="F197" s="33" t="s">
        <v>109</v>
      </c>
    </row>
    <row r="198" spans="1:6" ht="41.4" x14ac:dyDescent="0.25">
      <c r="A198" s="33" t="s">
        <v>661</v>
      </c>
      <c r="B198" s="33" t="s">
        <v>662</v>
      </c>
      <c r="C198" s="34" t="s">
        <v>652</v>
      </c>
      <c r="D198" s="33" t="s">
        <v>99</v>
      </c>
      <c r="E198" s="34" t="s">
        <v>99</v>
      </c>
      <c r="F198" s="33" t="s">
        <v>109</v>
      </c>
    </row>
    <row r="199" spans="1:6" ht="41.4" x14ac:dyDescent="0.25">
      <c r="A199" s="33" t="s">
        <v>663</v>
      </c>
      <c r="B199" s="33" t="s">
        <v>664</v>
      </c>
      <c r="C199" s="34" t="s">
        <v>652</v>
      </c>
      <c r="D199" s="33" t="s">
        <v>99</v>
      </c>
      <c r="E199" s="34" t="s">
        <v>131</v>
      </c>
      <c r="F199" s="33" t="s">
        <v>109</v>
      </c>
    </row>
    <row r="200" spans="1:6" ht="41.4" x14ac:dyDescent="0.25">
      <c r="A200" s="35" t="s">
        <v>665</v>
      </c>
      <c r="B200" s="33" t="s">
        <v>666</v>
      </c>
      <c r="C200" s="34" t="s">
        <v>652</v>
      </c>
      <c r="D200" s="33" t="s">
        <v>139</v>
      </c>
      <c r="E200" s="34" t="s">
        <v>99</v>
      </c>
      <c r="F200" s="33" t="s">
        <v>140</v>
      </c>
    </row>
    <row r="201" spans="1:6" ht="27.6" x14ac:dyDescent="0.25">
      <c r="A201" s="33" t="s">
        <v>667</v>
      </c>
      <c r="B201" s="33" t="s">
        <v>668</v>
      </c>
      <c r="C201" s="34" t="s">
        <v>652</v>
      </c>
      <c r="D201" s="33" t="s">
        <v>99</v>
      </c>
      <c r="E201" s="34" t="s">
        <v>99</v>
      </c>
      <c r="F201" s="33" t="s">
        <v>149</v>
      </c>
    </row>
    <row r="202" spans="1:6" ht="41.4" x14ac:dyDescent="0.25">
      <c r="A202" s="33" t="s">
        <v>669</v>
      </c>
      <c r="B202" s="33" t="s">
        <v>670</v>
      </c>
      <c r="C202" s="34" t="s">
        <v>671</v>
      </c>
      <c r="D202" s="33" t="s">
        <v>167</v>
      </c>
      <c r="E202" s="34" t="s">
        <v>99</v>
      </c>
      <c r="F202" s="33" t="s">
        <v>168</v>
      </c>
    </row>
    <row r="203" spans="1:6" ht="27.6" x14ac:dyDescent="0.25">
      <c r="A203" s="33" t="s">
        <v>672</v>
      </c>
      <c r="B203" s="33" t="s">
        <v>673</v>
      </c>
      <c r="C203" s="34" t="s">
        <v>652</v>
      </c>
      <c r="D203" s="33" t="s">
        <v>171</v>
      </c>
      <c r="E203" s="34" t="s">
        <v>99</v>
      </c>
      <c r="F203" s="33" t="s">
        <v>104</v>
      </c>
    </row>
    <row r="204" spans="1:6" ht="27.6" x14ac:dyDescent="0.25">
      <c r="A204" s="33" t="s">
        <v>674</v>
      </c>
      <c r="B204" s="33" t="s">
        <v>675</v>
      </c>
      <c r="C204" s="34" t="s">
        <v>652</v>
      </c>
      <c r="D204" s="33" t="s">
        <v>171</v>
      </c>
      <c r="E204" s="34" t="s">
        <v>99</v>
      </c>
      <c r="F204" s="33" t="s">
        <v>104</v>
      </c>
    </row>
    <row r="205" spans="1:6" ht="27.6" x14ac:dyDescent="0.25">
      <c r="A205" s="33" t="s">
        <v>676</v>
      </c>
      <c r="B205" s="33" t="s">
        <v>677</v>
      </c>
      <c r="C205" s="34" t="s">
        <v>652</v>
      </c>
      <c r="D205" s="33" t="s">
        <v>179</v>
      </c>
      <c r="E205" s="34" t="s">
        <v>99</v>
      </c>
      <c r="F205" s="33" t="s">
        <v>109</v>
      </c>
    </row>
    <row r="206" spans="1:6" ht="27.6" x14ac:dyDescent="0.25">
      <c r="A206" s="33" t="s">
        <v>678</v>
      </c>
      <c r="B206" s="33" t="s">
        <v>679</v>
      </c>
      <c r="C206" s="34" t="s">
        <v>652</v>
      </c>
      <c r="D206" s="33" t="s">
        <v>182</v>
      </c>
      <c r="E206" s="34" t="s">
        <v>99</v>
      </c>
      <c r="F206" s="33" t="s">
        <v>109</v>
      </c>
    </row>
    <row r="207" spans="1:6" ht="41.4" x14ac:dyDescent="0.25">
      <c r="A207" s="33" t="s">
        <v>680</v>
      </c>
      <c r="B207" s="33" t="s">
        <v>681</v>
      </c>
      <c r="C207" s="34" t="s">
        <v>652</v>
      </c>
      <c r="D207" s="33" t="s">
        <v>185</v>
      </c>
      <c r="E207" s="34" t="s">
        <v>99</v>
      </c>
      <c r="F207" s="33" t="s">
        <v>186</v>
      </c>
    </row>
    <row r="208" spans="1:6" ht="55.2" x14ac:dyDescent="0.25">
      <c r="A208" s="33" t="s">
        <v>682</v>
      </c>
      <c r="B208" s="33" t="s">
        <v>683</v>
      </c>
      <c r="C208" s="34" t="s">
        <v>652</v>
      </c>
      <c r="D208" s="33" t="s">
        <v>188</v>
      </c>
      <c r="E208" s="34" t="s">
        <v>99</v>
      </c>
      <c r="F208" s="33" t="s">
        <v>186</v>
      </c>
    </row>
    <row r="209" spans="1:6" ht="27.6" x14ac:dyDescent="0.25">
      <c r="A209" s="33" t="s">
        <v>684</v>
      </c>
      <c r="B209" s="33" t="s">
        <v>685</v>
      </c>
      <c r="C209" s="34" t="s">
        <v>671</v>
      </c>
      <c r="D209" s="33" t="s">
        <v>193</v>
      </c>
      <c r="E209" s="34" t="s">
        <v>99</v>
      </c>
      <c r="F209" s="33" t="s">
        <v>194</v>
      </c>
    </row>
    <row r="210" spans="1:6" ht="41.4" x14ac:dyDescent="0.25">
      <c r="A210" s="33" t="s">
        <v>686</v>
      </c>
      <c r="B210" s="33" t="s">
        <v>687</v>
      </c>
      <c r="C210" s="34" t="s">
        <v>652</v>
      </c>
      <c r="D210" s="33" t="s">
        <v>197</v>
      </c>
      <c r="E210" s="34" t="s">
        <v>99</v>
      </c>
      <c r="F210" s="33" t="s">
        <v>198</v>
      </c>
    </row>
    <row r="211" spans="1:6" ht="41.4" x14ac:dyDescent="0.25">
      <c r="A211" s="33" t="s">
        <v>688</v>
      </c>
      <c r="B211" s="33" t="s">
        <v>689</v>
      </c>
      <c r="C211" s="34" t="s">
        <v>671</v>
      </c>
      <c r="D211" s="33" t="s">
        <v>201</v>
      </c>
      <c r="E211" s="34" t="s">
        <v>99</v>
      </c>
      <c r="F211" s="33" t="s">
        <v>202</v>
      </c>
    </row>
    <row r="212" spans="1:6" ht="41.4" x14ac:dyDescent="0.25">
      <c r="A212" s="33" t="s">
        <v>690</v>
      </c>
      <c r="B212" s="33" t="s">
        <v>691</v>
      </c>
      <c r="C212" s="34" t="s">
        <v>652</v>
      </c>
      <c r="D212" s="33" t="s">
        <v>205</v>
      </c>
      <c r="E212" s="34" t="s">
        <v>99</v>
      </c>
      <c r="F212" s="33" t="s">
        <v>692</v>
      </c>
    </row>
    <row r="213" spans="1:6" ht="41.4" x14ac:dyDescent="0.25">
      <c r="A213" s="33" t="s">
        <v>693</v>
      </c>
      <c r="B213" s="33" t="s">
        <v>694</v>
      </c>
      <c r="C213" s="34" t="s">
        <v>652</v>
      </c>
      <c r="D213" s="33" t="s">
        <v>99</v>
      </c>
      <c r="E213" s="34" t="s">
        <v>99</v>
      </c>
      <c r="F213" s="33" t="s">
        <v>692</v>
      </c>
    </row>
    <row r="214" spans="1:6" ht="41.4" x14ac:dyDescent="0.25">
      <c r="A214" s="33" t="s">
        <v>695</v>
      </c>
      <c r="B214" s="33" t="s">
        <v>696</v>
      </c>
      <c r="C214" s="34" t="s">
        <v>652</v>
      </c>
      <c r="D214" s="33" t="s">
        <v>99</v>
      </c>
      <c r="E214" s="34" t="s">
        <v>99</v>
      </c>
      <c r="F214" s="33" t="s">
        <v>692</v>
      </c>
    </row>
    <row r="215" spans="1:6" ht="41.4" x14ac:dyDescent="0.25">
      <c r="A215" s="33" t="s">
        <v>697</v>
      </c>
      <c r="B215" s="33" t="s">
        <v>698</v>
      </c>
      <c r="C215" s="34" t="s">
        <v>652</v>
      </c>
      <c r="D215" s="33" t="s">
        <v>215</v>
      </c>
      <c r="E215" s="34" t="s">
        <v>99</v>
      </c>
      <c r="F215" s="33" t="s">
        <v>202</v>
      </c>
    </row>
    <row r="216" spans="1:6" ht="27.6" x14ac:dyDescent="0.25">
      <c r="A216" s="33" t="s">
        <v>699</v>
      </c>
      <c r="B216" s="33" t="s">
        <v>700</v>
      </c>
      <c r="C216" s="34" t="s">
        <v>671</v>
      </c>
      <c r="D216" s="33" t="s">
        <v>218</v>
      </c>
      <c r="E216" s="34" t="s">
        <v>99</v>
      </c>
      <c r="F216" s="33" t="s">
        <v>202</v>
      </c>
    </row>
    <row r="217" spans="1:6" ht="41.4" x14ac:dyDescent="0.25">
      <c r="A217" s="33" t="s">
        <v>701</v>
      </c>
      <c r="B217" s="33" t="s">
        <v>702</v>
      </c>
      <c r="C217" s="34" t="s">
        <v>652</v>
      </c>
      <c r="D217" s="33" t="s">
        <v>221</v>
      </c>
      <c r="E217" s="34" t="s">
        <v>99</v>
      </c>
      <c r="F217" s="33" t="s">
        <v>222</v>
      </c>
    </row>
    <row r="218" spans="1:6" ht="27.6" x14ac:dyDescent="0.25">
      <c r="A218" s="33" t="s">
        <v>703</v>
      </c>
      <c r="B218" s="33" t="s">
        <v>704</v>
      </c>
      <c r="C218" s="34" t="s">
        <v>671</v>
      </c>
      <c r="D218" s="33" t="s">
        <v>225</v>
      </c>
      <c r="E218" s="34" t="s">
        <v>99</v>
      </c>
      <c r="F218" s="33" t="s">
        <v>222</v>
      </c>
    </row>
    <row r="219" spans="1:6" ht="27.6" x14ac:dyDescent="0.25">
      <c r="A219" s="33" t="s">
        <v>705</v>
      </c>
      <c r="B219" s="33" t="s">
        <v>706</v>
      </c>
      <c r="C219" s="34" t="s">
        <v>652</v>
      </c>
      <c r="D219" s="33" t="s">
        <v>234</v>
      </c>
      <c r="E219" s="34" t="s">
        <v>99</v>
      </c>
      <c r="F219" s="33" t="s">
        <v>104</v>
      </c>
    </row>
    <row r="220" spans="1:6" ht="27.6" x14ac:dyDescent="0.25">
      <c r="A220" s="33" t="s">
        <v>707</v>
      </c>
      <c r="B220" s="33" t="s">
        <v>708</v>
      </c>
      <c r="C220" s="34" t="s">
        <v>652</v>
      </c>
      <c r="D220" s="33" t="s">
        <v>241</v>
      </c>
      <c r="E220" s="34" t="s">
        <v>99</v>
      </c>
      <c r="F220" s="33" t="s">
        <v>104</v>
      </c>
    </row>
    <row r="221" spans="1:6" ht="27.6" x14ac:dyDescent="0.25">
      <c r="A221" s="33" t="s">
        <v>709</v>
      </c>
      <c r="B221" s="33" t="s">
        <v>710</v>
      </c>
      <c r="C221" s="34" t="s">
        <v>652</v>
      </c>
      <c r="D221" s="33" t="s">
        <v>244</v>
      </c>
      <c r="E221" s="34" t="s">
        <v>99</v>
      </c>
      <c r="F221" s="33" t="s">
        <v>104</v>
      </c>
    </row>
    <row r="222" spans="1:6" ht="27.6" x14ac:dyDescent="0.3">
      <c r="A222" s="36" t="s">
        <v>711</v>
      </c>
      <c r="B222" s="36" t="s">
        <v>712</v>
      </c>
      <c r="C222" s="34" t="s">
        <v>671</v>
      </c>
      <c r="D222" s="36" t="s">
        <v>249</v>
      </c>
      <c r="E222" s="37" t="s">
        <v>99</v>
      </c>
      <c r="F222" s="36" t="s">
        <v>149</v>
      </c>
    </row>
    <row r="223" spans="1:6" ht="27.6" x14ac:dyDescent="0.25">
      <c r="A223" s="33" t="s">
        <v>713</v>
      </c>
      <c r="B223" s="33" t="s">
        <v>714</v>
      </c>
      <c r="C223" s="34" t="s">
        <v>652</v>
      </c>
      <c r="D223" s="33" t="s">
        <v>252</v>
      </c>
      <c r="E223" s="34" t="s">
        <v>99</v>
      </c>
      <c r="F223" s="33" t="s">
        <v>222</v>
      </c>
    </row>
    <row r="224" spans="1:6" ht="27.6" x14ac:dyDescent="0.25">
      <c r="A224" s="33" t="s">
        <v>715</v>
      </c>
      <c r="B224" s="33" t="s">
        <v>716</v>
      </c>
      <c r="C224" s="34" t="s">
        <v>652</v>
      </c>
      <c r="D224" s="33" t="s">
        <v>255</v>
      </c>
      <c r="E224" s="34" t="s">
        <v>99</v>
      </c>
      <c r="F224" s="33" t="s">
        <v>222</v>
      </c>
    </row>
    <row r="225" spans="1:6" ht="41.4" x14ac:dyDescent="0.25">
      <c r="A225" s="33" t="s">
        <v>717</v>
      </c>
      <c r="B225" s="33" t="s">
        <v>718</v>
      </c>
      <c r="C225" s="34" t="s">
        <v>652</v>
      </c>
      <c r="D225" s="33" t="s">
        <v>258</v>
      </c>
      <c r="E225" s="34" t="s">
        <v>99</v>
      </c>
      <c r="F225" s="33" t="s">
        <v>109</v>
      </c>
    </row>
    <row r="226" spans="1:6" ht="41.4" x14ac:dyDescent="0.25">
      <c r="A226" s="33" t="s">
        <v>719</v>
      </c>
      <c r="B226" s="33" t="s">
        <v>720</v>
      </c>
      <c r="C226" s="34" t="s">
        <v>652</v>
      </c>
      <c r="D226" s="33" t="s">
        <v>261</v>
      </c>
      <c r="E226" s="34" t="s">
        <v>99</v>
      </c>
      <c r="F226" s="33" t="s">
        <v>109</v>
      </c>
    </row>
    <row r="227" spans="1:6" ht="41.4" x14ac:dyDescent="0.25">
      <c r="A227" s="33" t="s">
        <v>721</v>
      </c>
      <c r="B227" s="33" t="s">
        <v>722</v>
      </c>
      <c r="C227" s="34" t="s">
        <v>652</v>
      </c>
      <c r="D227" s="33" t="s">
        <v>99</v>
      </c>
      <c r="E227" s="34" t="s">
        <v>99</v>
      </c>
      <c r="F227" s="33" t="s">
        <v>265</v>
      </c>
    </row>
    <row r="228" spans="1:6" ht="27.6" x14ac:dyDescent="0.25">
      <c r="A228" s="33" t="s">
        <v>723</v>
      </c>
      <c r="B228" s="33" t="s">
        <v>724</v>
      </c>
      <c r="C228" s="34" t="s">
        <v>652</v>
      </c>
      <c r="D228" s="33" t="s">
        <v>268</v>
      </c>
      <c r="E228" s="34" t="s">
        <v>99</v>
      </c>
      <c r="F228" s="33" t="s">
        <v>725</v>
      </c>
    </row>
    <row r="229" spans="1:6" ht="27.6" x14ac:dyDescent="0.25">
      <c r="A229" s="33" t="s">
        <v>726</v>
      </c>
      <c r="B229" s="33" t="s">
        <v>727</v>
      </c>
      <c r="C229" s="34" t="s">
        <v>652</v>
      </c>
      <c r="D229" s="33" t="s">
        <v>272</v>
      </c>
      <c r="E229" s="34" t="s">
        <v>99</v>
      </c>
      <c r="F229" s="33" t="s">
        <v>725</v>
      </c>
    </row>
    <row r="230" spans="1:6" ht="27.6" x14ac:dyDescent="0.25">
      <c r="A230" s="33" t="s">
        <v>728</v>
      </c>
      <c r="B230" s="33" t="s">
        <v>729</v>
      </c>
      <c r="C230" s="34" t="s">
        <v>671</v>
      </c>
      <c r="D230" s="33" t="s">
        <v>275</v>
      </c>
      <c r="E230" s="34" t="s">
        <v>99</v>
      </c>
      <c r="F230" s="33" t="s">
        <v>269</v>
      </c>
    </row>
    <row r="231" spans="1:6" ht="13.8" x14ac:dyDescent="0.3">
      <c r="A231" s="33" t="s">
        <v>730</v>
      </c>
      <c r="B231" s="37" t="s">
        <v>731</v>
      </c>
      <c r="C231" s="34" t="s">
        <v>671</v>
      </c>
      <c r="D231" s="33" t="s">
        <v>278</v>
      </c>
      <c r="E231" s="34" t="s">
        <v>99</v>
      </c>
      <c r="F231" s="33" t="s">
        <v>149</v>
      </c>
    </row>
    <row r="232" spans="1:6" ht="13.8" x14ac:dyDescent="0.3">
      <c r="A232" s="33" t="s">
        <v>732</v>
      </c>
      <c r="B232" s="37" t="s">
        <v>733</v>
      </c>
      <c r="C232" s="34" t="s">
        <v>671</v>
      </c>
      <c r="D232" s="33" t="s">
        <v>278</v>
      </c>
      <c r="E232" s="34" t="s">
        <v>99</v>
      </c>
      <c r="F232" s="33" t="s">
        <v>149</v>
      </c>
    </row>
    <row r="233" spans="1:6" ht="27.6" x14ac:dyDescent="0.25">
      <c r="A233" s="33" t="s">
        <v>734</v>
      </c>
      <c r="B233" s="33" t="s">
        <v>735</v>
      </c>
      <c r="C233" s="34" t="s">
        <v>671</v>
      </c>
      <c r="D233" s="33" t="s">
        <v>278</v>
      </c>
      <c r="E233" s="34" t="s">
        <v>282</v>
      </c>
      <c r="F233" s="33" t="s">
        <v>149</v>
      </c>
    </row>
    <row r="234" spans="1:6" ht="27.6" x14ac:dyDescent="0.25">
      <c r="A234" s="33" t="s">
        <v>736</v>
      </c>
      <c r="B234" s="33" t="s">
        <v>737</v>
      </c>
      <c r="C234" s="34" t="s">
        <v>652</v>
      </c>
      <c r="D234" s="33" t="s">
        <v>287</v>
      </c>
      <c r="E234" s="34" t="s">
        <v>99</v>
      </c>
      <c r="F234" s="33" t="s">
        <v>104</v>
      </c>
    </row>
    <row r="235" spans="1:6" ht="27.6" x14ac:dyDescent="0.25">
      <c r="A235" s="33" t="s">
        <v>738</v>
      </c>
      <c r="B235" s="33" t="s">
        <v>739</v>
      </c>
      <c r="C235" s="34" t="s">
        <v>652</v>
      </c>
      <c r="D235" s="33" t="s">
        <v>290</v>
      </c>
      <c r="E235" s="34" t="s">
        <v>99</v>
      </c>
      <c r="F235" s="33" t="s">
        <v>104</v>
      </c>
    </row>
    <row r="236" spans="1:6" ht="27.6" x14ac:dyDescent="0.25">
      <c r="A236" s="33" t="s">
        <v>740</v>
      </c>
      <c r="B236" s="33" t="s">
        <v>741</v>
      </c>
      <c r="C236" s="34" t="s">
        <v>652</v>
      </c>
      <c r="D236" s="33" t="s">
        <v>293</v>
      </c>
      <c r="E236" s="34" t="s">
        <v>99</v>
      </c>
      <c r="F236" s="33" t="s">
        <v>104</v>
      </c>
    </row>
    <row r="237" spans="1:6" ht="27.6" x14ac:dyDescent="0.25">
      <c r="A237" s="33" t="s">
        <v>742</v>
      </c>
      <c r="B237" s="33" t="s">
        <v>743</v>
      </c>
      <c r="C237" s="34" t="s">
        <v>652</v>
      </c>
      <c r="D237" s="33" t="s">
        <v>296</v>
      </c>
      <c r="E237" s="34" t="s">
        <v>99</v>
      </c>
      <c r="F237" s="33" t="s">
        <v>104</v>
      </c>
    </row>
    <row r="238" spans="1:6" ht="27.6" x14ac:dyDescent="0.25">
      <c r="A238" s="33" t="s">
        <v>744</v>
      </c>
      <c r="B238" s="33" t="s">
        <v>745</v>
      </c>
      <c r="C238" s="34" t="s">
        <v>652</v>
      </c>
      <c r="D238" s="33" t="s">
        <v>301</v>
      </c>
      <c r="E238" s="34" t="s">
        <v>99</v>
      </c>
      <c r="F238" s="33" t="s">
        <v>104</v>
      </c>
    </row>
    <row r="239" spans="1:6" ht="41.4" x14ac:dyDescent="0.25">
      <c r="A239" s="33" t="s">
        <v>746</v>
      </c>
      <c r="B239" s="33" t="s">
        <v>747</v>
      </c>
      <c r="C239" s="34" t="s">
        <v>652</v>
      </c>
      <c r="D239" s="33" t="s">
        <v>304</v>
      </c>
      <c r="E239" s="34" t="s">
        <v>99</v>
      </c>
      <c r="F239" s="33" t="s">
        <v>305</v>
      </c>
    </row>
    <row r="240" spans="1:6" ht="41.4" x14ac:dyDescent="0.25">
      <c r="A240" s="33" t="s">
        <v>748</v>
      </c>
      <c r="B240" s="33" t="s">
        <v>749</v>
      </c>
      <c r="C240" s="34" t="s">
        <v>671</v>
      </c>
      <c r="D240" s="33" t="s">
        <v>312</v>
      </c>
      <c r="E240" s="34" t="s">
        <v>99</v>
      </c>
      <c r="F240" s="33" t="s">
        <v>149</v>
      </c>
    </row>
    <row r="241" spans="1:6" ht="27.6" x14ac:dyDescent="0.25">
      <c r="A241" s="33" t="s">
        <v>750</v>
      </c>
      <c r="B241" s="33" t="s">
        <v>751</v>
      </c>
      <c r="C241" s="34" t="s">
        <v>671</v>
      </c>
      <c r="D241" s="33" t="s">
        <v>317</v>
      </c>
      <c r="E241" s="34" t="s">
        <v>99</v>
      </c>
      <c r="F241" s="33" t="s">
        <v>265</v>
      </c>
    </row>
    <row r="242" spans="1:6" ht="27.6" x14ac:dyDescent="0.25">
      <c r="A242" s="33" t="s">
        <v>752</v>
      </c>
      <c r="B242" s="33" t="s">
        <v>753</v>
      </c>
      <c r="C242" s="34" t="s">
        <v>671</v>
      </c>
      <c r="D242" s="33" t="s">
        <v>322</v>
      </c>
      <c r="E242" s="34" t="s">
        <v>99</v>
      </c>
      <c r="F242" s="33" t="s">
        <v>265</v>
      </c>
    </row>
    <row r="243" spans="1:6" ht="27.6" x14ac:dyDescent="0.25">
      <c r="A243" s="33" t="s">
        <v>754</v>
      </c>
      <c r="B243" s="33" t="s">
        <v>755</v>
      </c>
      <c r="C243" s="34" t="s">
        <v>652</v>
      </c>
      <c r="D243" s="33" t="s">
        <v>325</v>
      </c>
      <c r="E243" s="34" t="s">
        <v>99</v>
      </c>
      <c r="F243" s="33" t="s">
        <v>104</v>
      </c>
    </row>
    <row r="244" spans="1:6" ht="27.6" x14ac:dyDescent="0.25">
      <c r="A244" s="33" t="s">
        <v>756</v>
      </c>
      <c r="B244" s="33" t="s">
        <v>757</v>
      </c>
      <c r="C244" s="34" t="s">
        <v>652</v>
      </c>
      <c r="D244" s="33" t="s">
        <v>328</v>
      </c>
      <c r="E244" s="34" t="s">
        <v>99</v>
      </c>
      <c r="F244" s="33" t="s">
        <v>149</v>
      </c>
    </row>
    <row r="245" spans="1:6" ht="27.6" x14ac:dyDescent="0.25">
      <c r="A245" s="33" t="s">
        <v>758</v>
      </c>
      <c r="B245" s="33" t="s">
        <v>759</v>
      </c>
      <c r="C245" s="34" t="s">
        <v>671</v>
      </c>
      <c r="D245" s="33" t="s">
        <v>331</v>
      </c>
      <c r="E245" s="34" t="s">
        <v>99</v>
      </c>
      <c r="F245" s="33" t="s">
        <v>149</v>
      </c>
    </row>
    <row r="246" spans="1:6" ht="27.6" x14ac:dyDescent="0.25">
      <c r="A246" s="33" t="s">
        <v>760</v>
      </c>
      <c r="B246" s="33" t="s">
        <v>761</v>
      </c>
      <c r="C246" s="34" t="s">
        <v>671</v>
      </c>
      <c r="D246" s="33" t="s">
        <v>333</v>
      </c>
      <c r="E246" s="34" t="s">
        <v>99</v>
      </c>
      <c r="F246" s="33" t="s">
        <v>149</v>
      </c>
    </row>
    <row r="247" spans="1:6" ht="27.6" x14ac:dyDescent="0.25">
      <c r="A247" s="33" t="s">
        <v>762</v>
      </c>
      <c r="B247" s="33" t="s">
        <v>763</v>
      </c>
      <c r="C247" s="34" t="s">
        <v>671</v>
      </c>
      <c r="D247" s="33" t="s">
        <v>335</v>
      </c>
      <c r="E247" s="34" t="s">
        <v>99</v>
      </c>
      <c r="F247" s="33" t="s">
        <v>149</v>
      </c>
    </row>
    <row r="248" spans="1:6" ht="27.6" x14ac:dyDescent="0.25">
      <c r="A248" s="33" t="s">
        <v>764</v>
      </c>
      <c r="B248" s="33" t="s">
        <v>765</v>
      </c>
      <c r="C248" s="34" t="s">
        <v>671</v>
      </c>
      <c r="D248" s="33" t="s">
        <v>337</v>
      </c>
      <c r="E248" s="34" t="s">
        <v>338</v>
      </c>
      <c r="F248" s="33" t="s">
        <v>149</v>
      </c>
    </row>
    <row r="249" spans="1:6" ht="41.4" x14ac:dyDescent="0.25">
      <c r="A249" s="33" t="s">
        <v>766</v>
      </c>
      <c r="B249" s="33" t="s">
        <v>767</v>
      </c>
      <c r="C249" s="34" t="s">
        <v>652</v>
      </c>
      <c r="D249" s="33" t="s">
        <v>352</v>
      </c>
      <c r="E249" s="34" t="s">
        <v>99</v>
      </c>
      <c r="F249" s="33" t="s">
        <v>353</v>
      </c>
    </row>
    <row r="250" spans="1:6" ht="41.4" x14ac:dyDescent="0.25">
      <c r="A250" s="33" t="s">
        <v>768</v>
      </c>
      <c r="B250" s="33" t="s">
        <v>769</v>
      </c>
      <c r="C250" s="34" t="s">
        <v>652</v>
      </c>
      <c r="D250" s="33" t="s">
        <v>356</v>
      </c>
      <c r="E250" s="34" t="s">
        <v>99</v>
      </c>
      <c r="F250" s="33" t="s">
        <v>349</v>
      </c>
    </row>
    <row r="251" spans="1:6" ht="41.4" x14ac:dyDescent="0.25">
      <c r="A251" s="33" t="s">
        <v>770</v>
      </c>
      <c r="B251" s="33" t="s">
        <v>771</v>
      </c>
      <c r="C251" s="34" t="s">
        <v>652</v>
      </c>
      <c r="D251" s="33" t="s">
        <v>359</v>
      </c>
      <c r="E251" s="34" t="s">
        <v>99</v>
      </c>
      <c r="F251" s="33" t="s">
        <v>360</v>
      </c>
    </row>
    <row r="252" spans="1:6" ht="41.4" x14ac:dyDescent="0.25">
      <c r="A252" s="33" t="s">
        <v>772</v>
      </c>
      <c r="B252" s="33" t="s">
        <v>773</v>
      </c>
      <c r="C252" s="34" t="s">
        <v>652</v>
      </c>
      <c r="D252" s="33" t="s">
        <v>352</v>
      </c>
      <c r="E252" s="34" t="s">
        <v>99</v>
      </c>
      <c r="F252" s="33" t="s">
        <v>353</v>
      </c>
    </row>
    <row r="253" spans="1:6" ht="55.2" x14ac:dyDescent="0.25">
      <c r="A253" s="33" t="s">
        <v>774</v>
      </c>
      <c r="B253" s="33" t="s">
        <v>775</v>
      </c>
      <c r="C253" s="34" t="s">
        <v>652</v>
      </c>
      <c r="D253" s="33" t="s">
        <v>352</v>
      </c>
      <c r="E253" s="34" t="s">
        <v>99</v>
      </c>
      <c r="F253" s="33" t="s">
        <v>353</v>
      </c>
    </row>
    <row r="254" spans="1:6" ht="55.2" x14ac:dyDescent="0.25">
      <c r="A254" s="33" t="s">
        <v>776</v>
      </c>
      <c r="B254" s="33" t="s">
        <v>777</v>
      </c>
      <c r="C254" s="34" t="s">
        <v>652</v>
      </c>
      <c r="D254" s="33" t="s">
        <v>352</v>
      </c>
      <c r="E254" s="34" t="s">
        <v>99</v>
      </c>
      <c r="F254" s="33" t="s">
        <v>353</v>
      </c>
    </row>
    <row r="255" spans="1:6" ht="41.4" x14ac:dyDescent="0.25">
      <c r="A255" s="33" t="s">
        <v>778</v>
      </c>
      <c r="B255" s="33" t="s">
        <v>779</v>
      </c>
      <c r="C255" s="34" t="s">
        <v>652</v>
      </c>
      <c r="D255" s="33" t="s">
        <v>99</v>
      </c>
      <c r="E255" s="34" t="s">
        <v>99</v>
      </c>
      <c r="F255" s="33" t="s">
        <v>376</v>
      </c>
    </row>
    <row r="256" spans="1:6" ht="41.4" x14ac:dyDescent="0.25">
      <c r="A256" s="33" t="s">
        <v>780</v>
      </c>
      <c r="B256" s="33" t="s">
        <v>781</v>
      </c>
      <c r="C256" s="34" t="s">
        <v>652</v>
      </c>
      <c r="D256" s="33" t="s">
        <v>99</v>
      </c>
      <c r="E256" s="34" t="s">
        <v>99</v>
      </c>
      <c r="F256" s="33" t="s">
        <v>376</v>
      </c>
    </row>
    <row r="257" spans="1:6" ht="41.4" x14ac:dyDescent="0.25">
      <c r="A257" s="33" t="s">
        <v>782</v>
      </c>
      <c r="B257" s="33" t="s">
        <v>783</v>
      </c>
      <c r="C257" s="34" t="s">
        <v>652</v>
      </c>
      <c r="D257" s="33" t="s">
        <v>99</v>
      </c>
      <c r="E257" s="34" t="s">
        <v>99</v>
      </c>
      <c r="F257" s="33" t="s">
        <v>376</v>
      </c>
    </row>
    <row r="258" spans="1:6" ht="27.6" x14ac:dyDescent="0.25">
      <c r="A258" s="33" t="s">
        <v>784</v>
      </c>
      <c r="B258" s="33" t="s">
        <v>785</v>
      </c>
      <c r="C258" s="34" t="s">
        <v>671</v>
      </c>
      <c r="D258" s="33" t="s">
        <v>389</v>
      </c>
      <c r="E258" s="34" t="s">
        <v>99</v>
      </c>
      <c r="F258" s="33" t="s">
        <v>265</v>
      </c>
    </row>
    <row r="259" spans="1:6" ht="41.4" x14ac:dyDescent="0.25">
      <c r="A259" s="33" t="s">
        <v>786</v>
      </c>
      <c r="B259" s="33" t="s">
        <v>787</v>
      </c>
      <c r="C259" s="34" t="s">
        <v>652</v>
      </c>
      <c r="D259" s="33" t="s">
        <v>392</v>
      </c>
      <c r="E259" s="34" t="s">
        <v>99</v>
      </c>
      <c r="F259" s="33" t="s">
        <v>265</v>
      </c>
    </row>
    <row r="260" spans="1:6" ht="41.4" x14ac:dyDescent="0.25">
      <c r="A260" s="33" t="s">
        <v>788</v>
      </c>
      <c r="B260" s="33" t="s">
        <v>789</v>
      </c>
      <c r="C260" s="34" t="s">
        <v>671</v>
      </c>
      <c r="D260" s="33" t="s">
        <v>395</v>
      </c>
      <c r="E260" s="34" t="s">
        <v>396</v>
      </c>
      <c r="F260" s="33" t="s">
        <v>397</v>
      </c>
    </row>
    <row r="261" spans="1:6" ht="27.6" x14ac:dyDescent="0.25">
      <c r="A261" s="33" t="s">
        <v>790</v>
      </c>
      <c r="B261" s="33" t="s">
        <v>791</v>
      </c>
      <c r="C261" s="34" t="s">
        <v>671</v>
      </c>
      <c r="D261" s="33" t="s">
        <v>404</v>
      </c>
      <c r="E261" s="34" t="s">
        <v>99</v>
      </c>
      <c r="F261" s="33" t="s">
        <v>104</v>
      </c>
    </row>
    <row r="262" spans="1:6" ht="27.6" x14ac:dyDescent="0.25">
      <c r="A262" s="33" t="s">
        <v>792</v>
      </c>
      <c r="B262" s="33" t="s">
        <v>793</v>
      </c>
      <c r="C262" s="34" t="s">
        <v>652</v>
      </c>
      <c r="D262" s="33" t="s">
        <v>417</v>
      </c>
      <c r="E262" s="34" t="s">
        <v>99</v>
      </c>
      <c r="F262" s="33" t="s">
        <v>418</v>
      </c>
    </row>
    <row r="263" spans="1:6" ht="27.6" x14ac:dyDescent="0.25">
      <c r="A263" s="33" t="s">
        <v>794</v>
      </c>
      <c r="B263" s="33" t="s">
        <v>795</v>
      </c>
      <c r="C263" s="34" t="s">
        <v>652</v>
      </c>
      <c r="D263" s="33" t="s">
        <v>423</v>
      </c>
      <c r="E263" s="34" t="s">
        <v>99</v>
      </c>
      <c r="F263" s="33" t="s">
        <v>418</v>
      </c>
    </row>
    <row r="264" spans="1:6" ht="27.6" x14ac:dyDescent="0.25">
      <c r="A264" s="33" t="s">
        <v>796</v>
      </c>
      <c r="B264" s="33" t="s">
        <v>797</v>
      </c>
      <c r="C264" s="34" t="s">
        <v>652</v>
      </c>
      <c r="D264" s="33" t="s">
        <v>426</v>
      </c>
      <c r="E264" s="34" t="s">
        <v>99</v>
      </c>
      <c r="F264" s="33" t="s">
        <v>418</v>
      </c>
    </row>
    <row r="265" spans="1:6" ht="41.4" x14ac:dyDescent="0.25">
      <c r="A265" s="33" t="s">
        <v>798</v>
      </c>
      <c r="B265" s="33" t="s">
        <v>799</v>
      </c>
      <c r="C265" s="34" t="s">
        <v>652</v>
      </c>
      <c r="D265" s="33" t="s">
        <v>99</v>
      </c>
      <c r="E265" s="34" t="s">
        <v>99</v>
      </c>
      <c r="F265" s="33" t="s">
        <v>433</v>
      </c>
    </row>
    <row r="266" spans="1:6" ht="41.4" x14ac:dyDescent="0.25">
      <c r="A266" s="33" t="s">
        <v>800</v>
      </c>
      <c r="B266" s="33" t="s">
        <v>801</v>
      </c>
      <c r="C266" s="34" t="s">
        <v>652</v>
      </c>
      <c r="D266" s="33" t="s">
        <v>440</v>
      </c>
      <c r="E266" s="34" t="s">
        <v>99</v>
      </c>
      <c r="F266" s="33" t="s">
        <v>433</v>
      </c>
    </row>
    <row r="267" spans="1:6" ht="41.4" x14ac:dyDescent="0.25">
      <c r="A267" s="33" t="s">
        <v>802</v>
      </c>
      <c r="B267" s="33" t="s">
        <v>803</v>
      </c>
      <c r="C267" s="34" t="s">
        <v>652</v>
      </c>
      <c r="D267" s="33" t="s">
        <v>99</v>
      </c>
      <c r="E267" s="34" t="s">
        <v>99</v>
      </c>
      <c r="F267" s="33" t="s">
        <v>433</v>
      </c>
    </row>
    <row r="268" spans="1:6" ht="41.4" x14ac:dyDescent="0.25">
      <c r="A268" s="33" t="s">
        <v>804</v>
      </c>
      <c r="B268" s="33" t="s">
        <v>805</v>
      </c>
      <c r="C268" s="34" t="s">
        <v>671</v>
      </c>
      <c r="D268" s="33" t="s">
        <v>453</v>
      </c>
      <c r="E268" s="34" t="s">
        <v>99</v>
      </c>
      <c r="F268" s="33" t="s">
        <v>104</v>
      </c>
    </row>
    <row r="269" spans="1:6" ht="41.4" x14ac:dyDescent="0.25">
      <c r="A269" s="33" t="s">
        <v>806</v>
      </c>
      <c r="B269" s="33" t="s">
        <v>807</v>
      </c>
      <c r="C269" s="34" t="s">
        <v>652</v>
      </c>
      <c r="D269" s="33" t="s">
        <v>456</v>
      </c>
      <c r="E269" s="34" t="s">
        <v>99</v>
      </c>
      <c r="F269" s="33" t="s">
        <v>140</v>
      </c>
    </row>
    <row r="270" spans="1:6" ht="41.4" x14ac:dyDescent="0.25">
      <c r="A270" s="33" t="s">
        <v>808</v>
      </c>
      <c r="B270" s="33" t="s">
        <v>809</v>
      </c>
      <c r="C270" s="34" t="s">
        <v>652</v>
      </c>
      <c r="D270" s="33" t="s">
        <v>462</v>
      </c>
      <c r="E270" s="34" t="s">
        <v>99</v>
      </c>
      <c r="F270" s="33" t="s">
        <v>810</v>
      </c>
    </row>
    <row r="271" spans="1:6" ht="41.4" x14ac:dyDescent="0.25">
      <c r="A271" s="33" t="s">
        <v>811</v>
      </c>
      <c r="B271" s="33" t="s">
        <v>812</v>
      </c>
      <c r="C271" s="34" t="s">
        <v>652</v>
      </c>
      <c r="D271" s="33" t="s">
        <v>466</v>
      </c>
      <c r="E271" s="34" t="s">
        <v>99</v>
      </c>
      <c r="F271" s="33" t="s">
        <v>104</v>
      </c>
    </row>
    <row r="272" spans="1:6" ht="41.4" x14ac:dyDescent="0.25">
      <c r="A272" s="33" t="s">
        <v>813</v>
      </c>
      <c r="B272" s="33" t="s">
        <v>814</v>
      </c>
      <c r="C272" s="34" t="s">
        <v>652</v>
      </c>
      <c r="D272" s="33" t="s">
        <v>469</v>
      </c>
      <c r="E272" s="34" t="s">
        <v>99</v>
      </c>
      <c r="F272" s="33" t="s">
        <v>104</v>
      </c>
    </row>
    <row r="273" spans="1:6" ht="41.4" x14ac:dyDescent="0.25">
      <c r="A273" s="33" t="s">
        <v>815</v>
      </c>
      <c r="B273" s="33" t="s">
        <v>816</v>
      </c>
      <c r="C273" s="34" t="s">
        <v>652</v>
      </c>
      <c r="D273" s="33" t="s">
        <v>472</v>
      </c>
      <c r="E273" s="34" t="s">
        <v>99</v>
      </c>
      <c r="F273" s="33" t="s">
        <v>810</v>
      </c>
    </row>
    <row r="274" spans="1:6" ht="41.4" x14ac:dyDescent="0.25">
      <c r="A274" s="33" t="s">
        <v>817</v>
      </c>
      <c r="B274" s="33" t="s">
        <v>818</v>
      </c>
      <c r="C274" s="34" t="s">
        <v>652</v>
      </c>
      <c r="D274" s="33" t="s">
        <v>478</v>
      </c>
      <c r="E274" s="34" t="s">
        <v>99</v>
      </c>
      <c r="F274" s="33" t="s">
        <v>269</v>
      </c>
    </row>
    <row r="275" spans="1:6" ht="41.4" x14ac:dyDescent="0.25">
      <c r="A275" s="33" t="s">
        <v>819</v>
      </c>
      <c r="B275" s="33" t="s">
        <v>820</v>
      </c>
      <c r="C275" s="34" t="s">
        <v>652</v>
      </c>
      <c r="D275" s="33" t="s">
        <v>495</v>
      </c>
      <c r="E275" s="34" t="s">
        <v>99</v>
      </c>
      <c r="F275" s="33" t="s">
        <v>492</v>
      </c>
    </row>
    <row r="276" spans="1:6" ht="41.4" x14ac:dyDescent="0.25">
      <c r="A276" s="33" t="s">
        <v>821</v>
      </c>
      <c r="B276" s="33" t="s">
        <v>822</v>
      </c>
      <c r="C276" s="34" t="s">
        <v>652</v>
      </c>
      <c r="D276" s="33" t="s">
        <v>506</v>
      </c>
      <c r="E276" s="34" t="s">
        <v>99</v>
      </c>
      <c r="F276" s="33" t="s">
        <v>104</v>
      </c>
    </row>
    <row r="277" spans="1:6" ht="55.2" x14ac:dyDescent="0.25">
      <c r="A277" s="33" t="s">
        <v>823</v>
      </c>
      <c r="B277" s="33" t="s">
        <v>824</v>
      </c>
      <c r="C277" s="34" t="s">
        <v>652</v>
      </c>
      <c r="D277" s="33" t="s">
        <v>506</v>
      </c>
      <c r="E277" s="34" t="s">
        <v>99</v>
      </c>
      <c r="F277" s="33" t="s">
        <v>104</v>
      </c>
    </row>
    <row r="278" spans="1:6" ht="27.6" x14ac:dyDescent="0.25">
      <c r="A278" s="33" t="s">
        <v>825</v>
      </c>
      <c r="B278" s="33" t="s">
        <v>826</v>
      </c>
      <c r="C278" s="34" t="s">
        <v>652</v>
      </c>
      <c r="D278" s="33" t="s">
        <v>506</v>
      </c>
      <c r="E278" s="34" t="s">
        <v>99</v>
      </c>
      <c r="F278" s="33" t="s">
        <v>104</v>
      </c>
    </row>
    <row r="279" spans="1:6" ht="13.8" x14ac:dyDescent="0.3">
      <c r="A279" s="33" t="s">
        <v>827</v>
      </c>
      <c r="B279" s="37" t="s">
        <v>828</v>
      </c>
      <c r="C279" s="34" t="s">
        <v>671</v>
      </c>
      <c r="D279" s="33" t="s">
        <v>513</v>
      </c>
      <c r="E279" s="37" t="s">
        <v>99</v>
      </c>
      <c r="F279" s="33" t="s">
        <v>104</v>
      </c>
    </row>
    <row r="280" spans="1:6" ht="27.6" x14ac:dyDescent="0.25">
      <c r="A280" s="33" t="s">
        <v>829</v>
      </c>
      <c r="B280" s="33" t="s">
        <v>830</v>
      </c>
      <c r="C280" s="34" t="s">
        <v>652</v>
      </c>
      <c r="D280" s="33" t="s">
        <v>516</v>
      </c>
      <c r="E280" s="34" t="s">
        <v>99</v>
      </c>
      <c r="F280" s="33" t="s">
        <v>376</v>
      </c>
    </row>
    <row r="281" spans="1:6" ht="27.6" x14ac:dyDescent="0.25">
      <c r="A281" s="34" t="s">
        <v>831</v>
      </c>
      <c r="B281" s="33" t="s">
        <v>832</v>
      </c>
      <c r="C281" s="34" t="s">
        <v>652</v>
      </c>
      <c r="D281" s="33" t="s">
        <v>99</v>
      </c>
      <c r="E281" s="34" t="s">
        <v>99</v>
      </c>
      <c r="F281" s="33" t="s">
        <v>529</v>
      </c>
    </row>
    <row r="282" spans="1:6" ht="27.6" x14ac:dyDescent="0.25">
      <c r="A282" s="33" t="s">
        <v>833</v>
      </c>
      <c r="B282" s="33" t="s">
        <v>834</v>
      </c>
      <c r="C282" s="34" t="s">
        <v>652</v>
      </c>
      <c r="D282" s="33" t="s">
        <v>519</v>
      </c>
      <c r="E282" s="34" t="s">
        <v>99</v>
      </c>
      <c r="F282" s="33" t="s">
        <v>349</v>
      </c>
    </row>
    <row r="283" spans="1:6" ht="27.6" x14ac:dyDescent="0.25">
      <c r="A283" s="33" t="s">
        <v>835</v>
      </c>
      <c r="B283" s="33" t="s">
        <v>836</v>
      </c>
      <c r="C283" s="34" t="s">
        <v>652</v>
      </c>
      <c r="D283" s="33" t="s">
        <v>522</v>
      </c>
      <c r="E283" s="34" t="s">
        <v>99</v>
      </c>
      <c r="F283" s="33" t="s">
        <v>349</v>
      </c>
    </row>
    <row r="284" spans="1:6" ht="27.6" x14ac:dyDescent="0.25">
      <c r="A284" s="34" t="s">
        <v>837</v>
      </c>
      <c r="B284" s="33" t="s">
        <v>838</v>
      </c>
      <c r="C284" s="34" t="s">
        <v>652</v>
      </c>
      <c r="D284" s="33" t="s">
        <v>525</v>
      </c>
      <c r="E284" s="34" t="s">
        <v>99</v>
      </c>
      <c r="F284" s="33" t="s">
        <v>376</v>
      </c>
    </row>
    <row r="285" spans="1:6" ht="27.6" x14ac:dyDescent="0.25">
      <c r="A285" s="34" t="s">
        <v>839</v>
      </c>
      <c r="B285" s="33" t="s">
        <v>840</v>
      </c>
      <c r="C285" s="34" t="s">
        <v>652</v>
      </c>
      <c r="D285" s="33" t="s">
        <v>99</v>
      </c>
      <c r="E285" s="34" t="s">
        <v>99</v>
      </c>
      <c r="F285" s="33" t="s">
        <v>529</v>
      </c>
    </row>
    <row r="286" spans="1:6" ht="27.6" x14ac:dyDescent="0.25">
      <c r="A286" s="34" t="s">
        <v>841</v>
      </c>
      <c r="B286" s="33" t="s">
        <v>842</v>
      </c>
      <c r="C286" s="34" t="s">
        <v>652</v>
      </c>
      <c r="D286" s="33" t="s">
        <v>540</v>
      </c>
      <c r="E286" s="34" t="s">
        <v>99</v>
      </c>
      <c r="F286" s="33" t="s">
        <v>206</v>
      </c>
    </row>
    <row r="287" spans="1:6" ht="13.8" x14ac:dyDescent="0.3">
      <c r="A287" s="36" t="s">
        <v>843</v>
      </c>
      <c r="B287" s="37" t="s">
        <v>844</v>
      </c>
      <c r="C287" s="34" t="s">
        <v>671</v>
      </c>
      <c r="D287" s="37" t="s">
        <v>543</v>
      </c>
      <c r="E287" s="37" t="s">
        <v>99</v>
      </c>
      <c r="F287" s="36" t="s">
        <v>360</v>
      </c>
    </row>
    <row r="288" spans="1:6" ht="13.8" x14ac:dyDescent="0.3">
      <c r="A288" s="36" t="s">
        <v>845</v>
      </c>
      <c r="B288" s="37" t="s">
        <v>846</v>
      </c>
      <c r="C288" s="34" t="s">
        <v>671</v>
      </c>
      <c r="D288" s="33" t="s">
        <v>546</v>
      </c>
      <c r="E288" s="37" t="s">
        <v>99</v>
      </c>
      <c r="F288" s="36" t="s">
        <v>104</v>
      </c>
    </row>
    <row r="289" spans="1:6" ht="27.6" x14ac:dyDescent="0.3">
      <c r="A289" s="36" t="s">
        <v>847</v>
      </c>
      <c r="B289" s="37" t="s">
        <v>848</v>
      </c>
      <c r="C289" s="34" t="s">
        <v>671</v>
      </c>
      <c r="D289" s="33" t="s">
        <v>549</v>
      </c>
      <c r="E289" s="37" t="s">
        <v>99</v>
      </c>
      <c r="F289" s="36" t="s">
        <v>202</v>
      </c>
    </row>
    <row r="290" spans="1:6" ht="41.4" x14ac:dyDescent="0.25">
      <c r="A290" s="33" t="s">
        <v>849</v>
      </c>
      <c r="B290" s="33" t="s">
        <v>850</v>
      </c>
      <c r="C290" s="34" t="s">
        <v>652</v>
      </c>
      <c r="D290" s="33" t="s">
        <v>552</v>
      </c>
      <c r="E290" s="34" t="s">
        <v>99</v>
      </c>
      <c r="F290" s="33" t="s">
        <v>360</v>
      </c>
    </row>
    <row r="291" spans="1:6" ht="27.6" x14ac:dyDescent="0.25">
      <c r="A291" s="33" t="s">
        <v>851</v>
      </c>
      <c r="B291" s="33" t="s">
        <v>852</v>
      </c>
      <c r="C291" s="34" t="s">
        <v>671</v>
      </c>
      <c r="D291" s="33" t="s">
        <v>555</v>
      </c>
      <c r="E291" s="34" t="s">
        <v>556</v>
      </c>
      <c r="F291" s="33" t="s">
        <v>104</v>
      </c>
    </row>
    <row r="292" spans="1:6" ht="41.4" x14ac:dyDescent="0.25">
      <c r="A292" s="33" t="s">
        <v>853</v>
      </c>
      <c r="B292" s="33" t="s">
        <v>854</v>
      </c>
      <c r="C292" s="34" t="s">
        <v>652</v>
      </c>
      <c r="D292" s="33" t="s">
        <v>559</v>
      </c>
      <c r="E292" s="34" t="s">
        <v>560</v>
      </c>
      <c r="F292" s="33" t="s">
        <v>104</v>
      </c>
    </row>
    <row r="293" spans="1:6" ht="41.4" x14ac:dyDescent="0.25">
      <c r="A293" s="33" t="s">
        <v>855</v>
      </c>
      <c r="B293" s="33" t="s">
        <v>856</v>
      </c>
      <c r="C293" s="34" t="s">
        <v>652</v>
      </c>
      <c r="D293" s="33" t="s">
        <v>563</v>
      </c>
      <c r="E293" s="34" t="s">
        <v>99</v>
      </c>
      <c r="F293" s="33" t="s">
        <v>418</v>
      </c>
    </row>
    <row r="294" spans="1:6" ht="41.4" x14ac:dyDescent="0.3">
      <c r="A294" s="36" t="s">
        <v>857</v>
      </c>
      <c r="B294" s="36" t="s">
        <v>858</v>
      </c>
      <c r="C294" s="34" t="s">
        <v>671</v>
      </c>
      <c r="D294" s="36" t="s">
        <v>566</v>
      </c>
      <c r="E294" s="37" t="s">
        <v>99</v>
      </c>
      <c r="F294" s="33" t="s">
        <v>149</v>
      </c>
    </row>
    <row r="295" spans="1:6" ht="27.6" x14ac:dyDescent="0.25">
      <c r="A295" s="33" t="s">
        <v>859</v>
      </c>
      <c r="B295" s="33" t="s">
        <v>860</v>
      </c>
      <c r="C295" s="34" t="s">
        <v>652</v>
      </c>
      <c r="D295" s="33" t="s">
        <v>571</v>
      </c>
      <c r="E295" s="34" t="s">
        <v>99</v>
      </c>
      <c r="F295" s="33" t="s">
        <v>572</v>
      </c>
    </row>
    <row r="296" spans="1:6" ht="27.6" x14ac:dyDescent="0.25">
      <c r="A296" s="33" t="s">
        <v>861</v>
      </c>
      <c r="B296" s="33" t="s">
        <v>862</v>
      </c>
      <c r="C296" s="34" t="s">
        <v>652</v>
      </c>
      <c r="D296" s="33" t="s">
        <v>99</v>
      </c>
      <c r="E296" s="34" t="s">
        <v>99</v>
      </c>
      <c r="F296" s="33" t="s">
        <v>810</v>
      </c>
    </row>
    <row r="297" spans="1:6" ht="27.6" x14ac:dyDescent="0.25">
      <c r="A297" s="33" t="s">
        <v>863</v>
      </c>
      <c r="B297" s="33" t="s">
        <v>864</v>
      </c>
      <c r="C297" s="34" t="s">
        <v>652</v>
      </c>
      <c r="D297" s="33" t="s">
        <v>865</v>
      </c>
      <c r="E297" s="34" t="s">
        <v>99</v>
      </c>
      <c r="F297" s="33" t="s">
        <v>810</v>
      </c>
    </row>
    <row r="298" spans="1:6" ht="41.4" x14ac:dyDescent="0.25">
      <c r="A298" s="33" t="s">
        <v>866</v>
      </c>
      <c r="B298" s="33" t="s">
        <v>867</v>
      </c>
      <c r="C298" s="34" t="s">
        <v>652</v>
      </c>
      <c r="D298" s="33" t="s">
        <v>582</v>
      </c>
      <c r="E298" s="34" t="s">
        <v>99</v>
      </c>
      <c r="F298" s="33" t="s">
        <v>186</v>
      </c>
    </row>
    <row r="299" spans="1:6" ht="41.4" x14ac:dyDescent="0.25">
      <c r="A299" s="33" t="s">
        <v>868</v>
      </c>
      <c r="B299" s="33" t="s">
        <v>869</v>
      </c>
      <c r="C299" s="34" t="s">
        <v>652</v>
      </c>
      <c r="D299" s="33" t="s">
        <v>99</v>
      </c>
      <c r="E299" s="34" t="s">
        <v>99</v>
      </c>
      <c r="F299" s="33" t="s">
        <v>186</v>
      </c>
    </row>
    <row r="300" spans="1:6" ht="27.6" x14ac:dyDescent="0.25">
      <c r="A300" s="33" t="s">
        <v>870</v>
      </c>
      <c r="B300" s="33" t="s">
        <v>871</v>
      </c>
      <c r="C300" s="34" t="s">
        <v>652</v>
      </c>
      <c r="D300" s="33" t="s">
        <v>616</v>
      </c>
      <c r="E300" s="34" t="s">
        <v>99</v>
      </c>
      <c r="F300" s="33" t="s">
        <v>617</v>
      </c>
    </row>
    <row r="301" spans="1:6" ht="27.6" x14ac:dyDescent="0.25">
      <c r="A301" s="33" t="s">
        <v>872</v>
      </c>
      <c r="B301" s="33" t="s">
        <v>873</v>
      </c>
      <c r="C301" s="34" t="s">
        <v>652</v>
      </c>
      <c r="D301" s="33" t="s">
        <v>624</v>
      </c>
      <c r="E301" s="34" t="s">
        <v>99</v>
      </c>
      <c r="F301" s="33" t="s">
        <v>360</v>
      </c>
    </row>
    <row r="302" spans="1:6" ht="27.6" x14ac:dyDescent="0.25">
      <c r="A302" s="33" t="s">
        <v>874</v>
      </c>
      <c r="B302" s="33" t="s">
        <v>875</v>
      </c>
      <c r="C302" s="34" t="s">
        <v>652</v>
      </c>
      <c r="D302" s="33" t="s">
        <v>627</v>
      </c>
      <c r="E302" s="34" t="s">
        <v>628</v>
      </c>
      <c r="F302" s="33" t="s">
        <v>360</v>
      </c>
    </row>
    <row r="303" spans="1:6" ht="27.6" x14ac:dyDescent="0.25">
      <c r="A303" s="33" t="s">
        <v>876</v>
      </c>
      <c r="B303" s="33" t="s">
        <v>877</v>
      </c>
      <c r="C303" s="34" t="s">
        <v>652</v>
      </c>
      <c r="D303" s="33" t="s">
        <v>631</v>
      </c>
      <c r="E303" s="34" t="s">
        <v>99</v>
      </c>
      <c r="F303" s="33" t="s">
        <v>360</v>
      </c>
    </row>
    <row r="304" spans="1:6" ht="41.4" x14ac:dyDescent="0.25">
      <c r="A304" s="33" t="s">
        <v>878</v>
      </c>
      <c r="B304" s="33" t="s">
        <v>879</v>
      </c>
      <c r="C304" s="34" t="s">
        <v>652</v>
      </c>
      <c r="D304" s="33" t="s">
        <v>640</v>
      </c>
      <c r="E304" s="34" t="s">
        <v>99</v>
      </c>
      <c r="F304" s="33" t="s">
        <v>635</v>
      </c>
    </row>
    <row r="305" spans="1:6" ht="27.6" x14ac:dyDescent="0.25">
      <c r="A305" s="33" t="s">
        <v>880</v>
      </c>
      <c r="B305" s="33" t="s">
        <v>881</v>
      </c>
      <c r="C305" s="34" t="s">
        <v>671</v>
      </c>
      <c r="D305" s="33" t="s">
        <v>643</v>
      </c>
      <c r="E305" s="34" t="s">
        <v>99</v>
      </c>
      <c r="F305" s="33" t="s">
        <v>104</v>
      </c>
    </row>
    <row r="306" spans="1:6" ht="27.6" x14ac:dyDescent="0.25">
      <c r="A306" s="33" t="s">
        <v>882</v>
      </c>
      <c r="B306" s="33" t="s">
        <v>883</v>
      </c>
      <c r="C306" s="34" t="s">
        <v>671</v>
      </c>
      <c r="D306" s="33" t="s">
        <v>646</v>
      </c>
      <c r="E306" s="34" t="s">
        <v>99</v>
      </c>
      <c r="F306" s="33" t="s">
        <v>149</v>
      </c>
    </row>
    <row r="307" spans="1:6" ht="27.6" x14ac:dyDescent="0.25">
      <c r="A307" s="33" t="s">
        <v>884</v>
      </c>
      <c r="B307" s="33" t="s">
        <v>885</v>
      </c>
      <c r="C307" s="34" t="s">
        <v>671</v>
      </c>
      <c r="D307" s="33" t="s">
        <v>649</v>
      </c>
      <c r="E307" s="34" t="s">
        <v>99</v>
      </c>
      <c r="F307" s="33" t="s">
        <v>401</v>
      </c>
    </row>
    <row r="308" spans="1:6" ht="27.6" x14ac:dyDescent="0.25">
      <c r="A308" s="33" t="s">
        <v>886</v>
      </c>
      <c r="B308" s="33" t="s">
        <v>887</v>
      </c>
      <c r="C308" s="34" t="s">
        <v>671</v>
      </c>
      <c r="D308" s="33" t="s">
        <v>888</v>
      </c>
      <c r="E308" s="34" t="s">
        <v>99</v>
      </c>
      <c r="F308" s="33" t="s">
        <v>889</v>
      </c>
    </row>
    <row r="309" spans="1:6" ht="27.6" x14ac:dyDescent="0.25">
      <c r="A309" s="33" t="s">
        <v>890</v>
      </c>
      <c r="B309" s="33" t="s">
        <v>891</v>
      </c>
      <c r="C309" s="34" t="s">
        <v>652</v>
      </c>
      <c r="D309" s="33" t="s">
        <v>888</v>
      </c>
      <c r="E309" s="34" t="s">
        <v>99</v>
      </c>
      <c r="F309" s="33" t="s">
        <v>889</v>
      </c>
    </row>
    <row r="310" spans="1:6" ht="27.6" x14ac:dyDescent="0.25">
      <c r="A310" s="33" t="s">
        <v>892</v>
      </c>
      <c r="B310" s="33" t="s">
        <v>893</v>
      </c>
      <c r="C310" s="34" t="s">
        <v>652</v>
      </c>
      <c r="D310" s="33" t="s">
        <v>894</v>
      </c>
      <c r="E310" s="34" t="s">
        <v>99</v>
      </c>
      <c r="F310" s="33" t="s">
        <v>202</v>
      </c>
    </row>
    <row r="311" spans="1:6" ht="41.4" x14ac:dyDescent="0.25">
      <c r="A311" s="33" t="s">
        <v>895</v>
      </c>
      <c r="B311" s="33" t="s">
        <v>896</v>
      </c>
      <c r="C311" s="34" t="s">
        <v>652</v>
      </c>
      <c r="D311" s="33" t="s">
        <v>897</v>
      </c>
      <c r="E311" s="34" t="s">
        <v>898</v>
      </c>
      <c r="F311" s="33" t="s">
        <v>104</v>
      </c>
    </row>
    <row r="312" spans="1:6" ht="41.4" x14ac:dyDescent="0.25">
      <c r="A312" s="33" t="s">
        <v>899</v>
      </c>
      <c r="B312" s="33" t="s">
        <v>900</v>
      </c>
      <c r="C312" s="34" t="s">
        <v>652</v>
      </c>
      <c r="D312" s="33" t="s">
        <v>901</v>
      </c>
      <c r="E312" s="34" t="s">
        <v>99</v>
      </c>
      <c r="F312" s="33" t="s">
        <v>104</v>
      </c>
    </row>
    <row r="313" spans="1:6" ht="41.4" x14ac:dyDescent="0.25">
      <c r="A313" s="33" t="s">
        <v>902</v>
      </c>
      <c r="B313" s="33" t="s">
        <v>903</v>
      </c>
      <c r="C313" s="34" t="s">
        <v>652</v>
      </c>
      <c r="D313" s="33" t="s">
        <v>904</v>
      </c>
      <c r="E313" s="34" t="s">
        <v>99</v>
      </c>
      <c r="F313" s="33" t="s">
        <v>104</v>
      </c>
    </row>
    <row r="314" spans="1:6" ht="27.6" x14ac:dyDescent="0.25">
      <c r="A314" s="33" t="s">
        <v>905</v>
      </c>
      <c r="B314" s="33" t="s">
        <v>906</v>
      </c>
      <c r="C314" s="34" t="s">
        <v>652</v>
      </c>
      <c r="D314" s="33" t="s">
        <v>901</v>
      </c>
      <c r="E314" s="34" t="s">
        <v>99</v>
      </c>
      <c r="F314" s="33" t="s">
        <v>104</v>
      </c>
    </row>
    <row r="315" spans="1:6" ht="41.4" x14ac:dyDescent="0.25">
      <c r="A315" s="33" t="s">
        <v>907</v>
      </c>
      <c r="B315" s="33" t="s">
        <v>908</v>
      </c>
      <c r="C315" s="34" t="s">
        <v>652</v>
      </c>
      <c r="D315" s="33" t="s">
        <v>909</v>
      </c>
      <c r="E315" s="34" t="s">
        <v>99</v>
      </c>
      <c r="F315" s="33" t="s">
        <v>529</v>
      </c>
    </row>
    <row r="316" spans="1:6" ht="41.4" x14ac:dyDescent="0.25">
      <c r="A316" s="38" t="s">
        <v>910</v>
      </c>
      <c r="B316" s="38" t="s">
        <v>911</v>
      </c>
      <c r="C316" s="39" t="s">
        <v>652</v>
      </c>
      <c r="D316" s="38" t="s">
        <v>912</v>
      </c>
      <c r="E316" s="39" t="s">
        <v>99</v>
      </c>
      <c r="F316" s="38" t="s">
        <v>529</v>
      </c>
    </row>
    <row r="317" spans="1:6" ht="41.4" x14ac:dyDescent="0.25">
      <c r="A317" s="26" t="s">
        <v>913</v>
      </c>
      <c r="B317" s="26" t="s">
        <v>914</v>
      </c>
      <c r="C317" s="32" t="s">
        <v>102</v>
      </c>
      <c r="D317" s="27"/>
      <c r="E317" s="27"/>
      <c r="F317" s="27"/>
    </row>
    <row r="318" spans="1:6" ht="41.4" x14ac:dyDescent="0.25">
      <c r="A318" s="33" t="s">
        <v>915</v>
      </c>
      <c r="B318" s="33" t="s">
        <v>916</v>
      </c>
      <c r="C318" s="34" t="s">
        <v>652</v>
      </c>
      <c r="D318" s="33" t="s">
        <v>917</v>
      </c>
      <c r="E318" s="34" t="s">
        <v>99</v>
      </c>
      <c r="F318" s="33" t="s">
        <v>353</v>
      </c>
    </row>
    <row r="319" spans="1:6" ht="27.6" x14ac:dyDescent="0.25">
      <c r="A319" s="33" t="s">
        <v>918</v>
      </c>
      <c r="B319" s="33" t="s">
        <v>919</v>
      </c>
      <c r="C319" s="34" t="s">
        <v>652</v>
      </c>
      <c r="D319" s="33" t="s">
        <v>920</v>
      </c>
      <c r="E319" s="34" t="s">
        <v>99</v>
      </c>
      <c r="F319" s="33" t="s">
        <v>149</v>
      </c>
    </row>
    <row r="320" spans="1:6" ht="27.6" x14ac:dyDescent="0.25">
      <c r="A320" s="33" t="s">
        <v>921</v>
      </c>
      <c r="B320" s="33" t="s">
        <v>922</v>
      </c>
      <c r="C320" s="34" t="s">
        <v>652</v>
      </c>
      <c r="D320" s="33" t="s">
        <v>923</v>
      </c>
      <c r="E320" s="34" t="s">
        <v>99</v>
      </c>
      <c r="F320" s="33" t="s">
        <v>572</v>
      </c>
    </row>
    <row r="321" spans="1:6" ht="27.6" x14ac:dyDescent="0.25">
      <c r="A321" s="33" t="s">
        <v>924</v>
      </c>
      <c r="B321" s="33" t="s">
        <v>925</v>
      </c>
      <c r="C321" s="34" t="s">
        <v>652</v>
      </c>
      <c r="D321" s="33" t="s">
        <v>99</v>
      </c>
      <c r="E321" s="34" t="s">
        <v>99</v>
      </c>
      <c r="F321" s="33" t="s">
        <v>572</v>
      </c>
    </row>
    <row r="322" spans="1:6" ht="27.6" x14ac:dyDescent="0.25">
      <c r="A322" s="33" t="s">
        <v>926</v>
      </c>
      <c r="B322" s="33" t="s">
        <v>927</v>
      </c>
      <c r="C322" s="34" t="s">
        <v>652</v>
      </c>
      <c r="D322" s="33" t="s">
        <v>928</v>
      </c>
      <c r="E322" s="34" t="s">
        <v>99</v>
      </c>
      <c r="F322" s="33" t="s">
        <v>572</v>
      </c>
    </row>
    <row r="323" spans="1:6" ht="27.6" x14ac:dyDescent="0.25">
      <c r="A323" s="33" t="s">
        <v>929</v>
      </c>
      <c r="B323" s="33" t="s">
        <v>930</v>
      </c>
      <c r="C323" s="34" t="s">
        <v>652</v>
      </c>
      <c r="D323" s="33" t="s">
        <v>931</v>
      </c>
      <c r="E323" s="34" t="s">
        <v>932</v>
      </c>
      <c r="F323" s="33" t="s">
        <v>149</v>
      </c>
    </row>
    <row r="324" spans="1:6" ht="27.6" x14ac:dyDescent="0.25">
      <c r="A324" s="33" t="s">
        <v>933</v>
      </c>
      <c r="B324" s="33" t="s">
        <v>934</v>
      </c>
      <c r="C324" s="34" t="s">
        <v>652</v>
      </c>
      <c r="D324" s="33" t="s">
        <v>935</v>
      </c>
      <c r="E324" s="34" t="s">
        <v>99</v>
      </c>
      <c r="F324" s="33" t="s">
        <v>149</v>
      </c>
    </row>
    <row r="325" spans="1:6" ht="41.4" x14ac:dyDescent="0.25">
      <c r="A325" s="33" t="s">
        <v>936</v>
      </c>
      <c r="B325" s="33" t="s">
        <v>937</v>
      </c>
      <c r="C325" s="34" t="s">
        <v>652</v>
      </c>
      <c r="D325" s="33" t="s">
        <v>938</v>
      </c>
      <c r="E325" s="34" t="s">
        <v>99</v>
      </c>
      <c r="F325" s="33" t="s">
        <v>186</v>
      </c>
    </row>
    <row r="326" spans="1:6" ht="27.6" x14ac:dyDescent="0.25">
      <c r="A326" s="33" t="s">
        <v>939</v>
      </c>
      <c r="B326" s="33" t="s">
        <v>940</v>
      </c>
      <c r="C326" s="34" t="s">
        <v>652</v>
      </c>
      <c r="D326" s="33" t="s">
        <v>941</v>
      </c>
      <c r="E326" s="34" t="s">
        <v>99</v>
      </c>
      <c r="F326" s="33" t="s">
        <v>104</v>
      </c>
    </row>
    <row r="327" spans="1:6" ht="27.6" x14ac:dyDescent="0.25">
      <c r="A327" s="33" t="s">
        <v>942</v>
      </c>
      <c r="B327" s="33" t="s">
        <v>943</v>
      </c>
      <c r="C327" s="34" t="s">
        <v>652</v>
      </c>
      <c r="D327" s="33" t="s">
        <v>944</v>
      </c>
      <c r="E327" s="34" t="s">
        <v>99</v>
      </c>
      <c r="F327" s="33" t="s">
        <v>104</v>
      </c>
    </row>
    <row r="328" spans="1:6" ht="55.2" x14ac:dyDescent="0.25">
      <c r="A328" s="33" t="s">
        <v>945</v>
      </c>
      <c r="B328" s="33" t="s">
        <v>946</v>
      </c>
      <c r="C328" s="34" t="s">
        <v>652</v>
      </c>
      <c r="D328" s="33" t="s">
        <v>947</v>
      </c>
      <c r="E328" s="34" t="s">
        <v>99</v>
      </c>
      <c r="F328" s="33" t="s">
        <v>376</v>
      </c>
    </row>
    <row r="329" spans="1:6" ht="55.2" x14ac:dyDescent="0.25">
      <c r="A329" s="33" t="s">
        <v>948</v>
      </c>
      <c r="B329" s="33" t="s">
        <v>949</v>
      </c>
      <c r="C329" s="34" t="s">
        <v>652</v>
      </c>
      <c r="D329" s="33" t="s">
        <v>947</v>
      </c>
      <c r="E329" s="34" t="s">
        <v>99</v>
      </c>
      <c r="F329" s="33" t="s">
        <v>376</v>
      </c>
    </row>
    <row r="330" spans="1:6" ht="41.4" x14ac:dyDescent="0.25">
      <c r="A330" s="33" t="s">
        <v>950</v>
      </c>
      <c r="B330" s="33" t="s">
        <v>951</v>
      </c>
      <c r="C330" s="34" t="s">
        <v>652</v>
      </c>
      <c r="D330" s="33" t="s">
        <v>947</v>
      </c>
      <c r="E330" s="34" t="s">
        <v>99</v>
      </c>
      <c r="F330" s="33" t="s">
        <v>376</v>
      </c>
    </row>
    <row r="331" spans="1:6" ht="41.4" x14ac:dyDescent="0.25">
      <c r="A331" s="33" t="s">
        <v>952</v>
      </c>
      <c r="B331" s="33" t="s">
        <v>953</v>
      </c>
      <c r="C331" s="34" t="s">
        <v>652</v>
      </c>
      <c r="D331" s="33" t="s">
        <v>954</v>
      </c>
      <c r="E331" s="34" t="s">
        <v>99</v>
      </c>
      <c r="F331" s="33" t="s">
        <v>376</v>
      </c>
    </row>
    <row r="332" spans="1:6" ht="41.4" x14ac:dyDescent="0.25">
      <c r="A332" s="33" t="s">
        <v>955</v>
      </c>
      <c r="B332" s="33" t="s">
        <v>956</v>
      </c>
      <c r="C332" s="34" t="s">
        <v>652</v>
      </c>
      <c r="D332" s="33" t="s">
        <v>957</v>
      </c>
      <c r="E332" s="34" t="s">
        <v>99</v>
      </c>
      <c r="F332" s="33" t="s">
        <v>104</v>
      </c>
    </row>
    <row r="333" spans="1:6" ht="41.4" x14ac:dyDescent="0.25">
      <c r="A333" s="33" t="s">
        <v>958</v>
      </c>
      <c r="B333" s="33" t="s">
        <v>959</v>
      </c>
      <c r="C333" s="34" t="s">
        <v>652</v>
      </c>
      <c r="D333" s="33" t="s">
        <v>960</v>
      </c>
      <c r="E333" s="34" t="s">
        <v>99</v>
      </c>
      <c r="F333" s="33" t="s">
        <v>186</v>
      </c>
    </row>
    <row r="334" spans="1:6" ht="41.4" x14ac:dyDescent="0.25">
      <c r="A334" s="33" t="s">
        <v>961</v>
      </c>
      <c r="B334" s="33" t="s">
        <v>962</v>
      </c>
      <c r="C334" s="34" t="s">
        <v>652</v>
      </c>
      <c r="D334" s="33" t="s">
        <v>963</v>
      </c>
      <c r="E334" s="34" t="s">
        <v>99</v>
      </c>
      <c r="F334" s="33" t="s">
        <v>499</v>
      </c>
    </row>
    <row r="335" spans="1:6" ht="55.2" x14ac:dyDescent="0.25">
      <c r="A335" s="33" t="s">
        <v>964</v>
      </c>
      <c r="B335" s="33" t="s">
        <v>965</v>
      </c>
      <c r="C335" s="34" t="s">
        <v>652</v>
      </c>
      <c r="D335" s="33" t="s">
        <v>99</v>
      </c>
      <c r="E335" s="34" t="s">
        <v>99</v>
      </c>
      <c r="F335" s="33" t="s">
        <v>499</v>
      </c>
    </row>
    <row r="336" spans="1:6" ht="41.4" x14ac:dyDescent="0.25">
      <c r="A336" s="33" t="s">
        <v>966</v>
      </c>
      <c r="B336" s="33" t="s">
        <v>967</v>
      </c>
      <c r="C336" s="34" t="s">
        <v>652</v>
      </c>
      <c r="D336" s="33" t="s">
        <v>968</v>
      </c>
      <c r="E336" s="34" t="s">
        <v>99</v>
      </c>
      <c r="F336" s="33" t="s">
        <v>499</v>
      </c>
    </row>
    <row r="337" spans="1:6" ht="41.4" x14ac:dyDescent="0.25">
      <c r="A337" s="33" t="s">
        <v>969</v>
      </c>
      <c r="B337" s="33" t="s">
        <v>970</v>
      </c>
      <c r="C337" s="34" t="s">
        <v>652</v>
      </c>
      <c r="D337" s="33" t="s">
        <v>971</v>
      </c>
      <c r="E337" s="34" t="s">
        <v>99</v>
      </c>
      <c r="F337" s="33" t="s">
        <v>104</v>
      </c>
    </row>
    <row r="338" spans="1:6" ht="41.4" x14ac:dyDescent="0.25">
      <c r="A338" s="33" t="s">
        <v>972</v>
      </c>
      <c r="B338" s="33" t="s">
        <v>973</v>
      </c>
      <c r="C338" s="34" t="s">
        <v>652</v>
      </c>
      <c r="D338" s="33" t="s">
        <v>974</v>
      </c>
      <c r="E338" s="34" t="s">
        <v>99</v>
      </c>
      <c r="F338" s="33" t="s">
        <v>104</v>
      </c>
    </row>
    <row r="339" spans="1:6" ht="41.4" x14ac:dyDescent="0.25">
      <c r="A339" s="33" t="s">
        <v>975</v>
      </c>
      <c r="B339" s="33" t="s">
        <v>976</v>
      </c>
      <c r="C339" s="34" t="s">
        <v>652</v>
      </c>
      <c r="D339" s="33" t="s">
        <v>977</v>
      </c>
      <c r="E339" s="34" t="s">
        <v>99</v>
      </c>
      <c r="F339" s="33" t="s">
        <v>157</v>
      </c>
    </row>
    <row r="340" spans="1:6" ht="27.6" x14ac:dyDescent="0.3">
      <c r="A340" s="33" t="s">
        <v>978</v>
      </c>
      <c r="B340" s="37" t="s">
        <v>979</v>
      </c>
      <c r="C340" s="34" t="s">
        <v>671</v>
      </c>
      <c r="D340" s="33" t="s">
        <v>980</v>
      </c>
      <c r="E340" s="34" t="s">
        <v>99</v>
      </c>
      <c r="F340" s="33" t="s">
        <v>981</v>
      </c>
    </row>
    <row r="341" spans="1:6" ht="27.6" x14ac:dyDescent="0.3">
      <c r="A341" s="33" t="s">
        <v>982</v>
      </c>
      <c r="B341" s="37" t="s">
        <v>983</v>
      </c>
      <c r="C341" s="34" t="s">
        <v>671</v>
      </c>
      <c r="D341" s="33" t="s">
        <v>984</v>
      </c>
      <c r="E341" s="34" t="s">
        <v>99</v>
      </c>
      <c r="F341" s="33" t="s">
        <v>981</v>
      </c>
    </row>
    <row r="342" spans="1:6" ht="27.6" x14ac:dyDescent="0.3">
      <c r="A342" s="33" t="s">
        <v>985</v>
      </c>
      <c r="B342" s="37" t="s">
        <v>986</v>
      </c>
      <c r="C342" s="34" t="s">
        <v>671</v>
      </c>
      <c r="D342" s="33" t="s">
        <v>987</v>
      </c>
      <c r="E342" s="34" t="s">
        <v>99</v>
      </c>
      <c r="F342" s="33" t="s">
        <v>981</v>
      </c>
    </row>
    <row r="343" spans="1:6" ht="27.6" x14ac:dyDescent="0.3">
      <c r="A343" s="33" t="s">
        <v>988</v>
      </c>
      <c r="B343" s="37" t="s">
        <v>989</v>
      </c>
      <c r="C343" s="34" t="s">
        <v>671</v>
      </c>
      <c r="D343" s="33" t="s">
        <v>990</v>
      </c>
      <c r="E343" s="34" t="s">
        <v>99</v>
      </c>
      <c r="F343" s="33" t="s">
        <v>981</v>
      </c>
    </row>
    <row r="344" spans="1:6" ht="27.6" x14ac:dyDescent="0.25">
      <c r="A344" s="33" t="s">
        <v>991</v>
      </c>
      <c r="B344" s="33" t="s">
        <v>992</v>
      </c>
      <c r="C344" s="34" t="s">
        <v>671</v>
      </c>
      <c r="D344" s="33" t="s">
        <v>993</v>
      </c>
      <c r="E344" s="34" t="s">
        <v>99</v>
      </c>
      <c r="F344" s="33" t="s">
        <v>981</v>
      </c>
    </row>
    <row r="345" spans="1:6" ht="41.4" x14ac:dyDescent="0.25">
      <c r="A345" s="33" t="s">
        <v>994</v>
      </c>
      <c r="B345" s="33" t="s">
        <v>995</v>
      </c>
      <c r="C345" s="34" t="s">
        <v>652</v>
      </c>
      <c r="D345" s="33" t="s">
        <v>996</v>
      </c>
      <c r="E345" s="34" t="s">
        <v>99</v>
      </c>
      <c r="F345" s="33" t="s">
        <v>997</v>
      </c>
    </row>
    <row r="346" spans="1:6" ht="41.4" x14ac:dyDescent="0.25">
      <c r="A346" s="33" t="s">
        <v>998</v>
      </c>
      <c r="B346" s="33" t="s">
        <v>999</v>
      </c>
      <c r="C346" s="34" t="s">
        <v>652</v>
      </c>
      <c r="D346" s="33" t="s">
        <v>1000</v>
      </c>
      <c r="E346" s="34" t="s">
        <v>99</v>
      </c>
      <c r="F346" s="33" t="s">
        <v>186</v>
      </c>
    </row>
    <row r="347" spans="1:6" ht="27.6" x14ac:dyDescent="0.25">
      <c r="A347" s="33" t="s">
        <v>1001</v>
      </c>
      <c r="B347" s="33" t="s">
        <v>1002</v>
      </c>
      <c r="C347" s="34" t="s">
        <v>652</v>
      </c>
      <c r="D347" s="33" t="s">
        <v>1003</v>
      </c>
      <c r="E347" s="34" t="s">
        <v>99</v>
      </c>
      <c r="F347" s="33" t="s">
        <v>376</v>
      </c>
    </row>
    <row r="348" spans="1:6" ht="41.4" x14ac:dyDescent="0.25">
      <c r="A348" s="33" t="s">
        <v>1004</v>
      </c>
      <c r="B348" s="33" t="s">
        <v>1005</v>
      </c>
      <c r="C348" s="34" t="s">
        <v>671</v>
      </c>
      <c r="D348" s="33" t="s">
        <v>1006</v>
      </c>
      <c r="E348" s="34" t="s">
        <v>99</v>
      </c>
      <c r="F348" s="33" t="s">
        <v>463</v>
      </c>
    </row>
    <row r="349" spans="1:6" ht="41.4" x14ac:dyDescent="0.25">
      <c r="A349" s="33" t="s">
        <v>1007</v>
      </c>
      <c r="B349" s="33" t="s">
        <v>1008</v>
      </c>
      <c r="C349" s="34" t="s">
        <v>671</v>
      </c>
      <c r="D349" s="33" t="s">
        <v>1009</v>
      </c>
      <c r="E349" s="34" t="s">
        <v>99</v>
      </c>
      <c r="F349" s="33" t="s">
        <v>202</v>
      </c>
    </row>
    <row r="350" spans="1:6" ht="13.8" x14ac:dyDescent="0.3">
      <c r="A350" s="33" t="s">
        <v>1010</v>
      </c>
      <c r="B350" s="37" t="s">
        <v>1011</v>
      </c>
      <c r="C350" s="34" t="s">
        <v>652</v>
      </c>
      <c r="D350" s="33" t="s">
        <v>1012</v>
      </c>
      <c r="E350" s="34" t="s">
        <v>99</v>
      </c>
      <c r="F350" s="33" t="s">
        <v>353</v>
      </c>
    </row>
    <row r="351" spans="1:6" ht="41.4" x14ac:dyDescent="0.25">
      <c r="A351" s="33" t="s">
        <v>1013</v>
      </c>
      <c r="B351" s="33" t="s">
        <v>1014</v>
      </c>
      <c r="C351" s="34" t="s">
        <v>652</v>
      </c>
      <c r="D351" s="33" t="s">
        <v>1015</v>
      </c>
      <c r="E351" s="34" t="s">
        <v>99</v>
      </c>
      <c r="F351" s="33" t="s">
        <v>1016</v>
      </c>
    </row>
    <row r="352" spans="1:6" ht="27.6" x14ac:dyDescent="0.25">
      <c r="A352" s="33" t="s">
        <v>1017</v>
      </c>
      <c r="B352" s="33" t="s">
        <v>1018</v>
      </c>
      <c r="C352" s="34" t="s">
        <v>652</v>
      </c>
      <c r="D352" s="33" t="s">
        <v>1019</v>
      </c>
      <c r="E352" s="34" t="s">
        <v>99</v>
      </c>
      <c r="F352" s="33" t="s">
        <v>1020</v>
      </c>
    </row>
    <row r="353" spans="1:6" ht="27.6" x14ac:dyDescent="0.25">
      <c r="A353" s="33" t="s">
        <v>1021</v>
      </c>
      <c r="B353" s="33" t="s">
        <v>1022</v>
      </c>
      <c r="C353" s="34" t="s">
        <v>652</v>
      </c>
      <c r="D353" s="33" t="s">
        <v>1023</v>
      </c>
      <c r="E353" s="34" t="s">
        <v>1024</v>
      </c>
      <c r="F353" s="33" t="s">
        <v>1020</v>
      </c>
    </row>
    <row r="354" spans="1:6" ht="27.6" x14ac:dyDescent="0.25">
      <c r="A354" s="33" t="s">
        <v>1025</v>
      </c>
      <c r="B354" s="33" t="s">
        <v>1026</v>
      </c>
      <c r="C354" s="34" t="s">
        <v>671</v>
      </c>
      <c r="D354" s="33" t="s">
        <v>1027</v>
      </c>
      <c r="E354" s="34" t="s">
        <v>99</v>
      </c>
      <c r="F354" s="33" t="s">
        <v>104</v>
      </c>
    </row>
    <row r="355" spans="1:6" ht="41.4" x14ac:dyDescent="0.25">
      <c r="A355" s="33" t="s">
        <v>1028</v>
      </c>
      <c r="B355" s="33" t="s">
        <v>1029</v>
      </c>
      <c r="C355" s="34" t="s">
        <v>671</v>
      </c>
      <c r="D355" s="33" t="s">
        <v>1030</v>
      </c>
      <c r="E355" s="34" t="s">
        <v>99</v>
      </c>
      <c r="F355" s="33" t="s">
        <v>981</v>
      </c>
    </row>
    <row r="356" spans="1:6" ht="27.6" x14ac:dyDescent="0.25">
      <c r="A356" s="33" t="s">
        <v>1031</v>
      </c>
      <c r="B356" s="33" t="s">
        <v>1032</v>
      </c>
      <c r="C356" s="34" t="s">
        <v>652</v>
      </c>
      <c r="D356" s="33" t="s">
        <v>99</v>
      </c>
      <c r="E356" s="34" t="s">
        <v>99</v>
      </c>
      <c r="F356" s="33" t="s">
        <v>157</v>
      </c>
    </row>
    <row r="357" spans="1:6" ht="27.6" x14ac:dyDescent="0.25">
      <c r="A357" s="33" t="s">
        <v>1033</v>
      </c>
      <c r="B357" s="33" t="s">
        <v>1034</v>
      </c>
      <c r="C357" s="34" t="s">
        <v>671</v>
      </c>
      <c r="D357" s="33" t="s">
        <v>1035</v>
      </c>
      <c r="E357" s="34" t="s">
        <v>99</v>
      </c>
      <c r="F357" s="33" t="s">
        <v>104</v>
      </c>
    </row>
    <row r="358" spans="1:6" ht="27.6" x14ac:dyDescent="0.25">
      <c r="A358" s="33" t="s">
        <v>1036</v>
      </c>
      <c r="B358" s="33" t="s">
        <v>1037</v>
      </c>
      <c r="C358" s="34" t="s">
        <v>652</v>
      </c>
      <c r="D358" s="33" t="s">
        <v>1038</v>
      </c>
      <c r="E358" s="34" t="s">
        <v>99</v>
      </c>
      <c r="F358" s="33" t="s">
        <v>104</v>
      </c>
    </row>
    <row r="359" spans="1:6" ht="41.4" x14ac:dyDescent="0.25">
      <c r="A359" s="33" t="s">
        <v>1039</v>
      </c>
      <c r="B359" s="33" t="s">
        <v>1040</v>
      </c>
      <c r="C359" s="34" t="s">
        <v>652</v>
      </c>
      <c r="D359" s="33" t="s">
        <v>1041</v>
      </c>
      <c r="E359" s="34" t="s">
        <v>99</v>
      </c>
      <c r="F359" s="33" t="s">
        <v>104</v>
      </c>
    </row>
    <row r="360" spans="1:6" ht="41.4" x14ac:dyDescent="0.25">
      <c r="A360" s="33" t="s">
        <v>1042</v>
      </c>
      <c r="B360" s="33" t="s">
        <v>1043</v>
      </c>
      <c r="C360" s="34" t="s">
        <v>652</v>
      </c>
      <c r="D360" s="33" t="s">
        <v>1044</v>
      </c>
      <c r="E360" s="34" t="s">
        <v>99</v>
      </c>
      <c r="F360" s="33" t="s">
        <v>186</v>
      </c>
    </row>
    <row r="361" spans="1:6" ht="27.6" x14ac:dyDescent="0.25">
      <c r="A361" s="33" t="s">
        <v>1045</v>
      </c>
      <c r="B361" s="33" t="s">
        <v>1046</v>
      </c>
      <c r="C361" s="34" t="s">
        <v>652</v>
      </c>
      <c r="D361" s="33" t="s">
        <v>1047</v>
      </c>
      <c r="E361" s="34" t="s">
        <v>99</v>
      </c>
      <c r="F361" s="33" t="s">
        <v>104</v>
      </c>
    </row>
    <row r="362" spans="1:6" ht="41.4" x14ac:dyDescent="0.25">
      <c r="A362" s="33" t="s">
        <v>1048</v>
      </c>
      <c r="B362" s="33" t="s">
        <v>1049</v>
      </c>
      <c r="C362" s="34" t="s">
        <v>671</v>
      </c>
      <c r="D362" s="33" t="s">
        <v>1050</v>
      </c>
      <c r="E362" s="34" t="s">
        <v>99</v>
      </c>
      <c r="F362" s="33" t="s">
        <v>104</v>
      </c>
    </row>
    <row r="363" spans="1:6" ht="41.4" x14ac:dyDescent="0.25">
      <c r="A363" s="33" t="s">
        <v>1051</v>
      </c>
      <c r="B363" s="33" t="s">
        <v>1052</v>
      </c>
      <c r="C363" s="34" t="s">
        <v>652</v>
      </c>
      <c r="D363" s="33" t="s">
        <v>1053</v>
      </c>
      <c r="E363" s="34" t="s">
        <v>99</v>
      </c>
      <c r="F363" s="33" t="s">
        <v>104</v>
      </c>
    </row>
    <row r="364" spans="1:6" ht="41.4" x14ac:dyDescent="0.25">
      <c r="A364" s="33" t="s">
        <v>1054</v>
      </c>
      <c r="B364" s="33" t="s">
        <v>1055</v>
      </c>
      <c r="C364" s="34" t="s">
        <v>652</v>
      </c>
      <c r="D364" s="33" t="s">
        <v>1056</v>
      </c>
      <c r="E364" s="34" t="s">
        <v>99</v>
      </c>
      <c r="F364" s="33" t="s">
        <v>186</v>
      </c>
    </row>
    <row r="365" spans="1:6" ht="41.4" x14ac:dyDescent="0.25">
      <c r="A365" s="33" t="s">
        <v>1057</v>
      </c>
      <c r="B365" s="33" t="s">
        <v>1058</v>
      </c>
      <c r="C365" s="34" t="s">
        <v>652</v>
      </c>
      <c r="D365" s="33" t="s">
        <v>1059</v>
      </c>
      <c r="E365" s="34" t="s">
        <v>99</v>
      </c>
      <c r="F365" s="33" t="s">
        <v>104</v>
      </c>
    </row>
    <row r="366" spans="1:6" ht="41.4" x14ac:dyDescent="0.25">
      <c r="A366" s="33" t="s">
        <v>1060</v>
      </c>
      <c r="B366" s="33" t="s">
        <v>1061</v>
      </c>
      <c r="C366" s="34" t="s">
        <v>652</v>
      </c>
      <c r="D366" s="33" t="s">
        <v>1062</v>
      </c>
      <c r="E366" s="34" t="s">
        <v>99</v>
      </c>
      <c r="F366" s="33" t="s">
        <v>1063</v>
      </c>
    </row>
    <row r="367" spans="1:6" ht="41.4" x14ac:dyDescent="0.25">
      <c r="A367" s="33" t="s">
        <v>1064</v>
      </c>
      <c r="B367" s="33" t="s">
        <v>1065</v>
      </c>
      <c r="C367" s="34" t="s">
        <v>652</v>
      </c>
      <c r="D367" s="33" t="s">
        <v>1066</v>
      </c>
      <c r="E367" s="34" t="s">
        <v>99</v>
      </c>
      <c r="F367" s="33" t="s">
        <v>1067</v>
      </c>
    </row>
    <row r="368" spans="1:6" ht="41.4" x14ac:dyDescent="0.25">
      <c r="A368" s="33" t="s">
        <v>1068</v>
      </c>
      <c r="B368" s="33" t="s">
        <v>1069</v>
      </c>
      <c r="C368" s="34" t="s">
        <v>652</v>
      </c>
      <c r="D368" s="33" t="s">
        <v>1070</v>
      </c>
      <c r="E368" s="34" t="s">
        <v>1071</v>
      </c>
      <c r="F368" s="33" t="s">
        <v>492</v>
      </c>
    </row>
    <row r="369" spans="1:6" ht="41.4" x14ac:dyDescent="0.25">
      <c r="A369" s="33" t="s">
        <v>1072</v>
      </c>
      <c r="B369" s="33" t="s">
        <v>1073</v>
      </c>
      <c r="C369" s="34" t="s">
        <v>652</v>
      </c>
      <c r="D369" s="33" t="s">
        <v>1074</v>
      </c>
      <c r="E369" s="34" t="s">
        <v>99</v>
      </c>
      <c r="F369" s="33" t="s">
        <v>140</v>
      </c>
    </row>
    <row r="370" spans="1:6" ht="41.4" x14ac:dyDescent="0.25">
      <c r="A370" s="33" t="s">
        <v>1075</v>
      </c>
      <c r="B370" s="33" t="s">
        <v>1076</v>
      </c>
      <c r="C370" s="34" t="s">
        <v>652</v>
      </c>
      <c r="D370" s="33" t="s">
        <v>1077</v>
      </c>
      <c r="E370" s="34" t="s">
        <v>99</v>
      </c>
      <c r="F370" s="33" t="s">
        <v>104</v>
      </c>
    </row>
    <row r="371" spans="1:6" ht="41.4" x14ac:dyDescent="0.25">
      <c r="A371" s="33" t="s">
        <v>1078</v>
      </c>
      <c r="B371" s="33" t="s">
        <v>1079</v>
      </c>
      <c r="C371" s="34" t="s">
        <v>671</v>
      </c>
      <c r="D371" s="33" t="s">
        <v>315</v>
      </c>
      <c r="E371" s="34" t="s">
        <v>313</v>
      </c>
      <c r="F371" s="33" t="s">
        <v>265</v>
      </c>
    </row>
    <row r="372" spans="1:6" ht="27.6" x14ac:dyDescent="0.25">
      <c r="A372" s="33" t="s">
        <v>1080</v>
      </c>
      <c r="B372" s="33" t="s">
        <v>1081</v>
      </c>
      <c r="C372" s="34" t="s">
        <v>671</v>
      </c>
      <c r="D372" s="33" t="s">
        <v>1082</v>
      </c>
      <c r="E372" s="34" t="s">
        <v>99</v>
      </c>
      <c r="F372" s="33" t="s">
        <v>149</v>
      </c>
    </row>
    <row r="373" spans="1:6" ht="41.4" x14ac:dyDescent="0.25">
      <c r="A373" s="33" t="s">
        <v>1083</v>
      </c>
      <c r="B373" s="33" t="s">
        <v>1084</v>
      </c>
      <c r="C373" s="34" t="s">
        <v>671</v>
      </c>
      <c r="D373" s="33" t="s">
        <v>1085</v>
      </c>
      <c r="E373" s="34" t="s">
        <v>99</v>
      </c>
      <c r="F373" s="33" t="s">
        <v>104</v>
      </c>
    </row>
    <row r="374" spans="1:6" ht="27.6" x14ac:dyDescent="0.25">
      <c r="A374" s="33" t="s">
        <v>1086</v>
      </c>
      <c r="B374" s="33" t="s">
        <v>1087</v>
      </c>
      <c r="C374" s="34" t="s">
        <v>652</v>
      </c>
      <c r="D374" s="33" t="s">
        <v>1088</v>
      </c>
      <c r="E374" s="34" t="s">
        <v>99</v>
      </c>
      <c r="F374" s="33" t="s">
        <v>104</v>
      </c>
    </row>
    <row r="375" spans="1:6" ht="27.6" x14ac:dyDescent="0.25">
      <c r="A375" s="33" t="s">
        <v>1089</v>
      </c>
      <c r="B375" s="33" t="s">
        <v>1090</v>
      </c>
      <c r="C375" s="34" t="s">
        <v>652</v>
      </c>
      <c r="D375" s="33" t="s">
        <v>1091</v>
      </c>
      <c r="E375" s="34" t="s">
        <v>99</v>
      </c>
      <c r="F375" s="33" t="s">
        <v>1092</v>
      </c>
    </row>
    <row r="376" spans="1:6" ht="27.6" x14ac:dyDescent="0.25">
      <c r="A376" s="33" t="s">
        <v>1093</v>
      </c>
      <c r="B376" s="33" t="s">
        <v>1094</v>
      </c>
      <c r="C376" s="34" t="s">
        <v>652</v>
      </c>
      <c r="D376" s="33" t="s">
        <v>99</v>
      </c>
      <c r="E376" s="34" t="s">
        <v>99</v>
      </c>
      <c r="F376" s="33" t="s">
        <v>1095</v>
      </c>
    </row>
    <row r="377" spans="1:6" ht="27.6" x14ac:dyDescent="0.25">
      <c r="A377" s="33" t="s">
        <v>1096</v>
      </c>
      <c r="B377" s="33" t="s">
        <v>1097</v>
      </c>
      <c r="C377" s="34" t="s">
        <v>652</v>
      </c>
      <c r="D377" s="33" t="s">
        <v>1098</v>
      </c>
      <c r="E377" s="34" t="s">
        <v>99</v>
      </c>
      <c r="F377" s="33" t="s">
        <v>206</v>
      </c>
    </row>
    <row r="378" spans="1:6" ht="27.6" x14ac:dyDescent="0.25">
      <c r="A378" s="33" t="s">
        <v>1099</v>
      </c>
      <c r="B378" s="33" t="s">
        <v>1100</v>
      </c>
      <c r="C378" s="34" t="s">
        <v>652</v>
      </c>
      <c r="D378" s="33" t="s">
        <v>1101</v>
      </c>
      <c r="E378" s="34" t="s">
        <v>99</v>
      </c>
      <c r="F378" s="33" t="s">
        <v>692</v>
      </c>
    </row>
    <row r="379" spans="1:6" ht="27.6" x14ac:dyDescent="0.25">
      <c r="A379" s="33" t="s">
        <v>1102</v>
      </c>
      <c r="B379" s="33" t="s">
        <v>1103</v>
      </c>
      <c r="C379" s="34" t="s">
        <v>671</v>
      </c>
      <c r="D379" s="33" t="s">
        <v>1104</v>
      </c>
      <c r="E379" s="34" t="s">
        <v>99</v>
      </c>
      <c r="F379" s="33" t="s">
        <v>104</v>
      </c>
    </row>
    <row r="380" spans="1:6" ht="13.8" x14ac:dyDescent="0.3">
      <c r="A380" s="36" t="s">
        <v>1105</v>
      </c>
      <c r="B380" s="37" t="s">
        <v>1106</v>
      </c>
      <c r="C380" s="34" t="s">
        <v>652</v>
      </c>
      <c r="D380" s="33" t="s">
        <v>99</v>
      </c>
      <c r="E380" s="37" t="s">
        <v>1107</v>
      </c>
      <c r="F380" s="36" t="s">
        <v>104</v>
      </c>
    </row>
    <row r="381" spans="1:6" ht="27.6" x14ac:dyDescent="0.25">
      <c r="A381" s="33" t="s">
        <v>1108</v>
      </c>
      <c r="B381" s="33" t="s">
        <v>1109</v>
      </c>
      <c r="C381" s="34" t="s">
        <v>671</v>
      </c>
      <c r="D381" s="33" t="s">
        <v>1110</v>
      </c>
      <c r="E381" s="34" t="s">
        <v>99</v>
      </c>
      <c r="F381" s="33" t="s">
        <v>608</v>
      </c>
    </row>
    <row r="382" spans="1:6" ht="13.8" x14ac:dyDescent="0.3">
      <c r="A382" s="36" t="s">
        <v>1111</v>
      </c>
      <c r="B382" s="37" t="s">
        <v>1112</v>
      </c>
      <c r="C382" s="34" t="s">
        <v>671</v>
      </c>
      <c r="D382" s="37" t="s">
        <v>1113</v>
      </c>
      <c r="E382" s="37" t="s">
        <v>99</v>
      </c>
      <c r="F382" s="36" t="s">
        <v>149</v>
      </c>
    </row>
    <row r="383" spans="1:6" ht="27.6" x14ac:dyDescent="0.25">
      <c r="A383" s="33" t="s">
        <v>1114</v>
      </c>
      <c r="B383" s="33" t="s">
        <v>1115</v>
      </c>
      <c r="C383" s="34" t="s">
        <v>652</v>
      </c>
      <c r="D383" s="33" t="s">
        <v>1116</v>
      </c>
      <c r="E383" s="34" t="s">
        <v>99</v>
      </c>
      <c r="F383" s="33" t="s">
        <v>104</v>
      </c>
    </row>
    <row r="384" spans="1:6" ht="27.6" x14ac:dyDescent="0.25">
      <c r="A384" s="33" t="s">
        <v>1117</v>
      </c>
      <c r="B384" s="33" t="s">
        <v>1118</v>
      </c>
      <c r="C384" s="34" t="s">
        <v>652</v>
      </c>
      <c r="D384" s="33" t="s">
        <v>1119</v>
      </c>
      <c r="E384" s="34" t="s">
        <v>99</v>
      </c>
      <c r="F384" s="33" t="s">
        <v>104</v>
      </c>
    </row>
    <row r="385" spans="1:6" ht="27.6" x14ac:dyDescent="0.25">
      <c r="A385" s="33" t="s">
        <v>1120</v>
      </c>
      <c r="B385" s="33" t="s">
        <v>1121</v>
      </c>
      <c r="C385" s="34" t="s">
        <v>652</v>
      </c>
      <c r="D385" s="33" t="s">
        <v>1122</v>
      </c>
      <c r="E385" s="34" t="s">
        <v>99</v>
      </c>
      <c r="F385" s="33" t="s">
        <v>109</v>
      </c>
    </row>
    <row r="386" spans="1:6" ht="27.6" x14ac:dyDescent="0.25">
      <c r="A386" s="33" t="s">
        <v>1123</v>
      </c>
      <c r="B386" s="33" t="s">
        <v>1124</v>
      </c>
      <c r="C386" s="34" t="s">
        <v>652</v>
      </c>
      <c r="D386" s="33" t="s">
        <v>1125</v>
      </c>
      <c r="E386" s="34" t="s">
        <v>99</v>
      </c>
      <c r="F386" s="33" t="s">
        <v>104</v>
      </c>
    </row>
    <row r="387" spans="1:6" ht="41.4" x14ac:dyDescent="0.25">
      <c r="A387" s="33" t="s">
        <v>1126</v>
      </c>
      <c r="B387" s="33" t="s">
        <v>1127</v>
      </c>
      <c r="C387" s="34" t="s">
        <v>652</v>
      </c>
      <c r="D387" s="33" t="s">
        <v>1128</v>
      </c>
      <c r="E387" s="33" t="s">
        <v>99</v>
      </c>
      <c r="F387" s="33" t="s">
        <v>157</v>
      </c>
    </row>
    <row r="388" spans="1:6" ht="27.6" x14ac:dyDescent="0.25">
      <c r="A388" s="33" t="s">
        <v>1129</v>
      </c>
      <c r="B388" s="33" t="s">
        <v>1130</v>
      </c>
      <c r="C388" s="34" t="s">
        <v>671</v>
      </c>
      <c r="D388" s="33" t="s">
        <v>1131</v>
      </c>
      <c r="E388" s="34" t="s">
        <v>99</v>
      </c>
      <c r="F388" s="33" t="s">
        <v>265</v>
      </c>
    </row>
    <row r="389" spans="1:6" ht="41.4" x14ac:dyDescent="0.25">
      <c r="A389" s="33" t="s">
        <v>1132</v>
      </c>
      <c r="B389" s="33" t="s">
        <v>1133</v>
      </c>
      <c r="C389" s="34" t="s">
        <v>652</v>
      </c>
      <c r="D389" s="33" t="s">
        <v>1134</v>
      </c>
      <c r="E389" s="33" t="s">
        <v>99</v>
      </c>
      <c r="F389" s="33" t="s">
        <v>157</v>
      </c>
    </row>
    <row r="390" spans="1:6" ht="27.6" x14ac:dyDescent="0.25">
      <c r="A390" s="33" t="s">
        <v>1135</v>
      </c>
      <c r="B390" s="33" t="s">
        <v>1136</v>
      </c>
      <c r="C390" s="34" t="s">
        <v>652</v>
      </c>
      <c r="D390" s="33" t="s">
        <v>1137</v>
      </c>
      <c r="E390" s="34" t="s">
        <v>99</v>
      </c>
      <c r="F390" s="33" t="s">
        <v>265</v>
      </c>
    </row>
    <row r="391" spans="1:6" ht="41.4" x14ac:dyDescent="0.25">
      <c r="A391" s="33" t="s">
        <v>1138</v>
      </c>
      <c r="B391" s="33" t="s">
        <v>1139</v>
      </c>
      <c r="C391" s="34" t="s">
        <v>652</v>
      </c>
      <c r="D391" s="33" t="s">
        <v>1140</v>
      </c>
      <c r="E391" s="34" t="s">
        <v>99</v>
      </c>
      <c r="F391" s="33" t="s">
        <v>104</v>
      </c>
    </row>
    <row r="392" spans="1:6" ht="41.4" x14ac:dyDescent="0.25">
      <c r="A392" s="33" t="s">
        <v>1141</v>
      </c>
      <c r="B392" s="33" t="s">
        <v>1142</v>
      </c>
      <c r="C392" s="34" t="s">
        <v>652</v>
      </c>
      <c r="D392" s="33" t="s">
        <v>1143</v>
      </c>
      <c r="E392" s="33" t="s">
        <v>1144</v>
      </c>
      <c r="F392" s="33" t="s">
        <v>157</v>
      </c>
    </row>
    <row r="393" spans="1:6" ht="41.4" x14ac:dyDescent="0.25">
      <c r="A393" s="33" t="s">
        <v>1145</v>
      </c>
      <c r="B393" s="33" t="s">
        <v>1146</v>
      </c>
      <c r="C393" s="34" t="s">
        <v>652</v>
      </c>
      <c r="D393" s="33" t="s">
        <v>1147</v>
      </c>
      <c r="E393" s="34" t="s">
        <v>99</v>
      </c>
      <c r="F393" s="33" t="s">
        <v>157</v>
      </c>
    </row>
    <row r="394" spans="1:6" ht="27.6" x14ac:dyDescent="0.25">
      <c r="A394" s="33" t="s">
        <v>1148</v>
      </c>
      <c r="B394" s="33" t="s">
        <v>1149</v>
      </c>
      <c r="C394" s="34" t="s">
        <v>652</v>
      </c>
      <c r="D394" s="33" t="s">
        <v>1150</v>
      </c>
      <c r="E394" s="34" t="s">
        <v>99</v>
      </c>
      <c r="F394" s="33" t="s">
        <v>104</v>
      </c>
    </row>
    <row r="395" spans="1:6" ht="27.6" x14ac:dyDescent="0.3">
      <c r="A395" s="36" t="s">
        <v>1151</v>
      </c>
      <c r="B395" s="33" t="s">
        <v>1152</v>
      </c>
      <c r="C395" s="34" t="s">
        <v>671</v>
      </c>
      <c r="D395" s="33" t="s">
        <v>99</v>
      </c>
      <c r="E395" s="34" t="s">
        <v>1153</v>
      </c>
      <c r="F395" s="33" t="s">
        <v>104</v>
      </c>
    </row>
    <row r="396" spans="1:6" ht="27.6" x14ac:dyDescent="0.3">
      <c r="A396" s="36" t="s">
        <v>1154</v>
      </c>
      <c r="B396" s="36" t="s">
        <v>1155</v>
      </c>
      <c r="C396" s="34" t="s">
        <v>671</v>
      </c>
      <c r="D396" s="36" t="s">
        <v>99</v>
      </c>
      <c r="E396" s="37" t="s">
        <v>1156</v>
      </c>
      <c r="F396" s="33" t="s">
        <v>149</v>
      </c>
    </row>
    <row r="397" spans="1:6" ht="27.6" x14ac:dyDescent="0.3">
      <c r="A397" s="36" t="s">
        <v>1157</v>
      </c>
      <c r="B397" s="36" t="s">
        <v>1158</v>
      </c>
      <c r="C397" s="34" t="s">
        <v>652</v>
      </c>
      <c r="D397" s="36" t="s">
        <v>1159</v>
      </c>
      <c r="E397" s="37" t="s">
        <v>99</v>
      </c>
      <c r="F397" s="33" t="s">
        <v>1160</v>
      </c>
    </row>
    <row r="398" spans="1:6" ht="41.4" x14ac:dyDescent="0.25">
      <c r="A398" s="33" t="s">
        <v>1161</v>
      </c>
      <c r="B398" s="33" t="s">
        <v>659</v>
      </c>
      <c r="C398" s="34" t="s">
        <v>652</v>
      </c>
      <c r="D398" s="33" t="s">
        <v>99</v>
      </c>
      <c r="E398" s="34" t="s">
        <v>121</v>
      </c>
      <c r="F398" s="33" t="s">
        <v>109</v>
      </c>
    </row>
    <row r="399" spans="1:6" ht="41.4" x14ac:dyDescent="0.25">
      <c r="A399" s="33" t="s">
        <v>1162</v>
      </c>
      <c r="B399" s="33" t="s">
        <v>655</v>
      </c>
      <c r="C399" s="34" t="s">
        <v>652</v>
      </c>
      <c r="D399" s="33" t="s">
        <v>99</v>
      </c>
      <c r="E399" s="34" t="s">
        <v>108</v>
      </c>
      <c r="F399" s="33" t="s">
        <v>109</v>
      </c>
    </row>
    <row r="400" spans="1:6" ht="41.4" x14ac:dyDescent="0.25">
      <c r="A400" s="33" t="s">
        <v>1163</v>
      </c>
      <c r="B400" s="33" t="s">
        <v>657</v>
      </c>
      <c r="C400" s="34" t="s">
        <v>652</v>
      </c>
      <c r="D400" s="33" t="s">
        <v>99</v>
      </c>
      <c r="E400" s="34" t="s">
        <v>113</v>
      </c>
      <c r="F400" s="33" t="s">
        <v>109</v>
      </c>
    </row>
    <row r="401" spans="1:6" ht="41.4" x14ac:dyDescent="0.25">
      <c r="A401" s="33" t="s">
        <v>1164</v>
      </c>
      <c r="B401" s="33" t="s">
        <v>664</v>
      </c>
      <c r="C401" s="34" t="s">
        <v>652</v>
      </c>
      <c r="D401" s="33" t="s">
        <v>99</v>
      </c>
      <c r="E401" s="34" t="s">
        <v>131</v>
      </c>
      <c r="F401" s="33" t="s">
        <v>109</v>
      </c>
    </row>
    <row r="402" spans="1:6" ht="27.6" x14ac:dyDescent="0.3">
      <c r="A402" s="36" t="s">
        <v>1165</v>
      </c>
      <c r="B402" s="36" t="s">
        <v>1166</v>
      </c>
      <c r="C402" s="34" t="s">
        <v>652</v>
      </c>
      <c r="D402" s="36" t="s">
        <v>1167</v>
      </c>
      <c r="E402" s="37" t="s">
        <v>99</v>
      </c>
      <c r="F402" s="33" t="s">
        <v>109</v>
      </c>
    </row>
    <row r="403" spans="1:6" ht="27.6" x14ac:dyDescent="0.25">
      <c r="A403" s="33" t="s">
        <v>1168</v>
      </c>
      <c r="B403" s="33" t="s">
        <v>1169</v>
      </c>
      <c r="C403" s="34" t="s">
        <v>652</v>
      </c>
      <c r="D403" s="33" t="s">
        <v>1170</v>
      </c>
      <c r="E403" s="34" t="s">
        <v>99</v>
      </c>
      <c r="F403" s="33" t="s">
        <v>109</v>
      </c>
    </row>
    <row r="404" spans="1:6" ht="27.6" x14ac:dyDescent="0.25">
      <c r="A404" s="33" t="s">
        <v>1171</v>
      </c>
      <c r="B404" s="33" t="s">
        <v>1172</v>
      </c>
      <c r="C404" s="34" t="s">
        <v>652</v>
      </c>
      <c r="D404" s="33" t="s">
        <v>1173</v>
      </c>
      <c r="E404" s="34" t="s">
        <v>99</v>
      </c>
      <c r="F404" s="33" t="s">
        <v>109</v>
      </c>
    </row>
    <row r="405" spans="1:6" ht="27.6" x14ac:dyDescent="0.25">
      <c r="A405" s="33" t="s">
        <v>1174</v>
      </c>
      <c r="B405" s="33" t="s">
        <v>1175</v>
      </c>
      <c r="C405" s="34" t="s">
        <v>652</v>
      </c>
      <c r="D405" s="33" t="s">
        <v>1167</v>
      </c>
      <c r="E405" s="34" t="s">
        <v>1176</v>
      </c>
      <c r="F405" s="33" t="s">
        <v>109</v>
      </c>
    </row>
    <row r="406" spans="1:6" ht="27.6" x14ac:dyDescent="0.25">
      <c r="A406" s="33" t="s">
        <v>1177</v>
      </c>
      <c r="B406" s="33" t="s">
        <v>1178</v>
      </c>
      <c r="C406" s="34" t="s">
        <v>652</v>
      </c>
      <c r="D406" s="33" t="s">
        <v>1179</v>
      </c>
      <c r="E406" s="34" t="s">
        <v>99</v>
      </c>
      <c r="F406" s="33" t="s">
        <v>109</v>
      </c>
    </row>
    <row r="407" spans="1:6" ht="27.6" x14ac:dyDescent="0.25">
      <c r="A407" s="33" t="s">
        <v>1180</v>
      </c>
      <c r="B407" s="33" t="s">
        <v>1181</v>
      </c>
      <c r="C407" s="34" t="s">
        <v>652</v>
      </c>
      <c r="D407" s="33" t="s">
        <v>99</v>
      </c>
      <c r="E407" s="34" t="s">
        <v>99</v>
      </c>
      <c r="F407" s="33" t="s">
        <v>109</v>
      </c>
    </row>
    <row r="408" spans="1:6" ht="27.6" x14ac:dyDescent="0.25">
      <c r="A408" s="33" t="s">
        <v>1182</v>
      </c>
      <c r="B408" s="33" t="s">
        <v>1183</v>
      </c>
      <c r="C408" s="34" t="s">
        <v>652</v>
      </c>
      <c r="D408" s="33" t="s">
        <v>1184</v>
      </c>
      <c r="E408" s="34" t="s">
        <v>99</v>
      </c>
      <c r="F408" s="33" t="s">
        <v>109</v>
      </c>
    </row>
    <row r="409" spans="1:6" ht="27.6" x14ac:dyDescent="0.25">
      <c r="A409" s="33" t="s">
        <v>1185</v>
      </c>
      <c r="B409" s="33" t="s">
        <v>1186</v>
      </c>
      <c r="C409" s="34" t="s">
        <v>652</v>
      </c>
      <c r="D409" s="33" t="s">
        <v>1187</v>
      </c>
      <c r="E409" s="34" t="s">
        <v>99</v>
      </c>
      <c r="F409" s="33" t="s">
        <v>109</v>
      </c>
    </row>
    <row r="410" spans="1:6" ht="41.4" x14ac:dyDescent="0.25">
      <c r="A410" s="33" t="s">
        <v>1188</v>
      </c>
      <c r="B410" s="33" t="s">
        <v>1189</v>
      </c>
      <c r="C410" s="34" t="s">
        <v>652</v>
      </c>
      <c r="D410" s="33" t="s">
        <v>1190</v>
      </c>
      <c r="E410" s="34" t="s">
        <v>99</v>
      </c>
      <c r="F410" s="33" t="s">
        <v>1191</v>
      </c>
    </row>
    <row r="411" spans="1:6" ht="27.6" x14ac:dyDescent="0.25">
      <c r="A411" s="33" t="s">
        <v>1192</v>
      </c>
      <c r="B411" s="33" t="s">
        <v>1193</v>
      </c>
      <c r="C411" s="34" t="s">
        <v>652</v>
      </c>
      <c r="D411" s="33" t="s">
        <v>1194</v>
      </c>
      <c r="E411" s="34" t="s">
        <v>99</v>
      </c>
      <c r="F411" s="33" t="s">
        <v>1195</v>
      </c>
    </row>
    <row r="412" spans="1:6" ht="27.6" x14ac:dyDescent="0.25">
      <c r="A412" s="33" t="s">
        <v>1196</v>
      </c>
      <c r="B412" s="33" t="s">
        <v>1197</v>
      </c>
      <c r="C412" s="34" t="s">
        <v>671</v>
      </c>
      <c r="D412" s="33" t="s">
        <v>1198</v>
      </c>
      <c r="E412" s="34" t="s">
        <v>99</v>
      </c>
      <c r="F412" s="33" t="s">
        <v>1191</v>
      </c>
    </row>
    <row r="413" spans="1:6" ht="41.4" x14ac:dyDescent="0.25">
      <c r="A413" s="33" t="s">
        <v>1199</v>
      </c>
      <c r="B413" s="33" t="s">
        <v>1200</v>
      </c>
      <c r="C413" s="34" t="s">
        <v>652</v>
      </c>
      <c r="D413" s="33" t="s">
        <v>1201</v>
      </c>
      <c r="E413" s="34" t="s">
        <v>99</v>
      </c>
      <c r="F413" s="33" t="s">
        <v>104</v>
      </c>
    </row>
    <row r="414" spans="1:6" ht="27.6" x14ac:dyDescent="0.25">
      <c r="A414" s="33" t="s">
        <v>1202</v>
      </c>
      <c r="B414" s="33" t="s">
        <v>1203</v>
      </c>
      <c r="C414" s="34" t="s">
        <v>652</v>
      </c>
      <c r="D414" s="33" t="s">
        <v>1204</v>
      </c>
      <c r="E414" s="34" t="s">
        <v>99</v>
      </c>
      <c r="F414" s="33" t="s">
        <v>617</v>
      </c>
    </row>
    <row r="415" spans="1:6" ht="41.4" x14ac:dyDescent="0.25">
      <c r="A415" s="33" t="s">
        <v>1205</v>
      </c>
      <c r="B415" s="33" t="s">
        <v>1206</v>
      </c>
      <c r="C415" s="34" t="s">
        <v>671</v>
      </c>
      <c r="D415" s="33" t="s">
        <v>1207</v>
      </c>
      <c r="E415" s="34" t="s">
        <v>99</v>
      </c>
      <c r="F415" s="33" t="s">
        <v>608</v>
      </c>
    </row>
    <row r="416" spans="1:6" ht="41.4" x14ac:dyDescent="0.25">
      <c r="A416" s="33" t="s">
        <v>1208</v>
      </c>
      <c r="B416" s="33" t="s">
        <v>1209</v>
      </c>
      <c r="C416" s="34" t="s">
        <v>671</v>
      </c>
      <c r="D416" s="33" t="s">
        <v>1210</v>
      </c>
      <c r="E416" s="34" t="s">
        <v>99</v>
      </c>
      <c r="F416" s="33" t="s">
        <v>109</v>
      </c>
    </row>
    <row r="417" spans="1:6" ht="27.6" x14ac:dyDescent="0.25">
      <c r="A417" s="33" t="s">
        <v>1211</v>
      </c>
      <c r="B417" s="33" t="s">
        <v>1212</v>
      </c>
      <c r="C417" s="34" t="s">
        <v>671</v>
      </c>
      <c r="D417" s="33" t="s">
        <v>1213</v>
      </c>
      <c r="E417" s="34" t="s">
        <v>99</v>
      </c>
      <c r="F417" s="33" t="s">
        <v>109</v>
      </c>
    </row>
    <row r="418" spans="1:6" ht="27.6" x14ac:dyDescent="0.25">
      <c r="A418" s="33" t="s">
        <v>1214</v>
      </c>
      <c r="B418" s="33" t="s">
        <v>1215</v>
      </c>
      <c r="C418" s="34" t="s">
        <v>652</v>
      </c>
      <c r="D418" s="33" t="s">
        <v>99</v>
      </c>
      <c r="E418" s="34" t="s">
        <v>99</v>
      </c>
      <c r="F418" s="33" t="s">
        <v>149</v>
      </c>
    </row>
    <row r="419" spans="1:6" ht="27.6" x14ac:dyDescent="0.25">
      <c r="A419" s="33" t="s">
        <v>1216</v>
      </c>
      <c r="B419" s="33" t="s">
        <v>1217</v>
      </c>
      <c r="C419" s="34" t="s">
        <v>671</v>
      </c>
      <c r="D419" s="33" t="s">
        <v>1218</v>
      </c>
      <c r="E419" s="34" t="s">
        <v>99</v>
      </c>
      <c r="F419" s="33" t="s">
        <v>109</v>
      </c>
    </row>
    <row r="420" spans="1:6" ht="27.6" x14ac:dyDescent="0.25">
      <c r="A420" s="33" t="s">
        <v>1219</v>
      </c>
      <c r="B420" s="33" t="s">
        <v>1220</v>
      </c>
      <c r="C420" s="34" t="s">
        <v>671</v>
      </c>
      <c r="D420" s="33" t="s">
        <v>1221</v>
      </c>
      <c r="E420" s="34" t="s">
        <v>99</v>
      </c>
      <c r="F420" s="33" t="s">
        <v>608</v>
      </c>
    </row>
    <row r="421" spans="1:6" ht="27.6" x14ac:dyDescent="0.25">
      <c r="A421" s="33" t="s">
        <v>1222</v>
      </c>
      <c r="B421" s="33" t="s">
        <v>1223</v>
      </c>
      <c r="C421" s="34" t="s">
        <v>652</v>
      </c>
      <c r="D421" s="33" t="s">
        <v>1224</v>
      </c>
      <c r="E421" s="34" t="s">
        <v>1225</v>
      </c>
      <c r="F421" s="33" t="s">
        <v>1226</v>
      </c>
    </row>
    <row r="422" spans="1:6" ht="27.6" x14ac:dyDescent="0.25">
      <c r="A422" s="33" t="s">
        <v>1227</v>
      </c>
      <c r="B422" s="33" t="s">
        <v>1228</v>
      </c>
      <c r="C422" s="34" t="s">
        <v>652</v>
      </c>
      <c r="D422" s="33" t="s">
        <v>1229</v>
      </c>
      <c r="E422" s="34" t="s">
        <v>1230</v>
      </c>
      <c r="F422" s="33" t="s">
        <v>1226</v>
      </c>
    </row>
    <row r="423" spans="1:6" ht="27.6" x14ac:dyDescent="0.25">
      <c r="A423" s="33" t="s">
        <v>1231</v>
      </c>
      <c r="B423" s="33" t="s">
        <v>1232</v>
      </c>
      <c r="C423" s="34" t="s">
        <v>652</v>
      </c>
      <c r="D423" s="33" t="s">
        <v>1233</v>
      </c>
      <c r="E423" s="34" t="s">
        <v>1234</v>
      </c>
      <c r="F423" s="33" t="s">
        <v>1235</v>
      </c>
    </row>
    <row r="424" spans="1:6" ht="41.4" x14ac:dyDescent="0.25">
      <c r="A424" s="33" t="s">
        <v>1236</v>
      </c>
      <c r="B424" s="33" t="s">
        <v>1237</v>
      </c>
      <c r="C424" s="34" t="s">
        <v>652</v>
      </c>
      <c r="D424" s="33" t="s">
        <v>1238</v>
      </c>
      <c r="E424" s="34" t="s">
        <v>99</v>
      </c>
      <c r="F424" s="33" t="s">
        <v>265</v>
      </c>
    </row>
    <row r="425" spans="1:6" ht="27.6" x14ac:dyDescent="0.25">
      <c r="A425" s="33" t="s">
        <v>1239</v>
      </c>
      <c r="B425" s="33" t="s">
        <v>1240</v>
      </c>
      <c r="C425" s="34" t="s">
        <v>652</v>
      </c>
      <c r="D425" s="33" t="s">
        <v>99</v>
      </c>
      <c r="E425" s="34" t="s">
        <v>99</v>
      </c>
      <c r="F425" s="33" t="s">
        <v>99</v>
      </c>
    </row>
    <row r="426" spans="1:6" ht="27.6" x14ac:dyDescent="0.25">
      <c r="A426" s="33" t="s">
        <v>1239</v>
      </c>
      <c r="B426" s="33" t="s">
        <v>1241</v>
      </c>
      <c r="C426" s="34" t="s">
        <v>652</v>
      </c>
      <c r="D426" s="33" t="s">
        <v>99</v>
      </c>
      <c r="E426" s="34" t="s">
        <v>99</v>
      </c>
      <c r="F426" s="33" t="s">
        <v>99</v>
      </c>
    </row>
    <row r="427" spans="1:6" ht="41.4" x14ac:dyDescent="0.25">
      <c r="A427" s="33" t="s">
        <v>1242</v>
      </c>
      <c r="B427" s="33" t="s">
        <v>1243</v>
      </c>
      <c r="C427" s="34" t="s">
        <v>652</v>
      </c>
      <c r="D427" s="33" t="s">
        <v>1244</v>
      </c>
      <c r="E427" s="34" t="s">
        <v>99</v>
      </c>
      <c r="F427" s="33" t="s">
        <v>186</v>
      </c>
    </row>
    <row r="428" spans="1:6" ht="27.6" x14ac:dyDescent="0.25">
      <c r="A428" s="33" t="s">
        <v>1245</v>
      </c>
      <c r="B428" s="33" t="s">
        <v>1246</v>
      </c>
      <c r="C428" s="34" t="s">
        <v>671</v>
      </c>
      <c r="D428" s="33" t="s">
        <v>1247</v>
      </c>
      <c r="E428" s="34" t="s">
        <v>99</v>
      </c>
      <c r="F428" s="33" t="s">
        <v>889</v>
      </c>
    </row>
    <row r="429" spans="1:6" ht="27.6" x14ac:dyDescent="0.3">
      <c r="A429" s="33" t="s">
        <v>1248</v>
      </c>
      <c r="B429" s="33" t="s">
        <v>1249</v>
      </c>
      <c r="C429" s="34" t="s">
        <v>652</v>
      </c>
      <c r="D429" s="33" t="s">
        <v>1250</v>
      </c>
      <c r="E429" s="37" t="s">
        <v>99</v>
      </c>
      <c r="F429" s="33" t="s">
        <v>889</v>
      </c>
    </row>
    <row r="430" spans="1:6" ht="27.6" x14ac:dyDescent="0.3">
      <c r="A430" s="33" t="s">
        <v>1251</v>
      </c>
      <c r="B430" s="33" t="s">
        <v>1252</v>
      </c>
      <c r="C430" s="34" t="s">
        <v>671</v>
      </c>
      <c r="D430" s="33" t="s">
        <v>99</v>
      </c>
      <c r="E430" s="37" t="s">
        <v>99</v>
      </c>
      <c r="F430" s="33" t="s">
        <v>99</v>
      </c>
    </row>
    <row r="431" spans="1:6" ht="27.6" x14ac:dyDescent="0.3">
      <c r="A431" s="33" t="s">
        <v>1253</v>
      </c>
      <c r="B431" s="33" t="s">
        <v>1254</v>
      </c>
      <c r="C431" s="34" t="s">
        <v>671</v>
      </c>
      <c r="D431" s="33" t="s">
        <v>99</v>
      </c>
      <c r="E431" s="37" t="s">
        <v>99</v>
      </c>
      <c r="F431" s="33" t="s">
        <v>149</v>
      </c>
    </row>
    <row r="432" spans="1:6" ht="27.6" x14ac:dyDescent="0.25">
      <c r="A432" s="33" t="s">
        <v>1255</v>
      </c>
      <c r="B432" s="33" t="s">
        <v>1256</v>
      </c>
      <c r="C432" s="34" t="s">
        <v>652</v>
      </c>
      <c r="D432" s="33" t="s">
        <v>1257</v>
      </c>
      <c r="E432" s="34" t="s">
        <v>99</v>
      </c>
      <c r="F432" s="33" t="s">
        <v>353</v>
      </c>
    </row>
    <row r="433" spans="1:6" ht="41.4" x14ac:dyDescent="0.25">
      <c r="A433" s="33" t="s">
        <v>1258</v>
      </c>
      <c r="B433" s="33" t="s">
        <v>1259</v>
      </c>
      <c r="C433" s="34" t="s">
        <v>652</v>
      </c>
      <c r="D433" s="33" t="s">
        <v>1260</v>
      </c>
      <c r="E433" s="34" t="s">
        <v>99</v>
      </c>
      <c r="F433" s="33" t="s">
        <v>206</v>
      </c>
    </row>
    <row r="434" spans="1:6" ht="41.4" x14ac:dyDescent="0.25">
      <c r="A434" s="33" t="s">
        <v>1261</v>
      </c>
      <c r="B434" s="33" t="s">
        <v>1262</v>
      </c>
      <c r="C434" s="34" t="s">
        <v>652</v>
      </c>
      <c r="D434" s="33" t="s">
        <v>1263</v>
      </c>
      <c r="E434" s="34" t="s">
        <v>99</v>
      </c>
      <c r="F434" s="33" t="s">
        <v>376</v>
      </c>
    </row>
    <row r="435" spans="1:6" ht="27.6" x14ac:dyDescent="0.25">
      <c r="A435" s="33" t="s">
        <v>1264</v>
      </c>
      <c r="B435" s="33" t="s">
        <v>1265</v>
      </c>
      <c r="C435" s="34" t="s">
        <v>652</v>
      </c>
      <c r="D435" s="33" t="s">
        <v>1266</v>
      </c>
      <c r="E435" s="34" t="s">
        <v>99</v>
      </c>
      <c r="F435" s="33" t="s">
        <v>635</v>
      </c>
    </row>
    <row r="436" spans="1:6" ht="41.4" x14ac:dyDescent="0.25">
      <c r="A436" s="33" t="s">
        <v>1267</v>
      </c>
      <c r="B436" s="33" t="s">
        <v>1268</v>
      </c>
      <c r="C436" s="34" t="s">
        <v>652</v>
      </c>
      <c r="D436" s="33" t="s">
        <v>1269</v>
      </c>
      <c r="E436" s="34" t="s">
        <v>99</v>
      </c>
      <c r="F436" s="33" t="s">
        <v>104</v>
      </c>
    </row>
    <row r="437" spans="1:6" ht="13.8" x14ac:dyDescent="0.3">
      <c r="A437" s="33" t="s">
        <v>1270</v>
      </c>
      <c r="B437" s="37" t="s">
        <v>1271</v>
      </c>
      <c r="C437" s="34" t="s">
        <v>671</v>
      </c>
      <c r="D437" s="33" t="s">
        <v>1272</v>
      </c>
      <c r="E437" s="34" t="s">
        <v>99</v>
      </c>
      <c r="F437" s="33" t="s">
        <v>1273</v>
      </c>
    </row>
    <row r="438" spans="1:6" ht="41.4" x14ac:dyDescent="0.25">
      <c r="A438" s="33" t="s">
        <v>1274</v>
      </c>
      <c r="B438" s="33" t="s">
        <v>1275</v>
      </c>
      <c r="C438" s="34" t="s">
        <v>652</v>
      </c>
      <c r="D438" s="33" t="s">
        <v>1276</v>
      </c>
      <c r="E438" s="34" t="s">
        <v>99</v>
      </c>
      <c r="F438" s="33" t="s">
        <v>206</v>
      </c>
    </row>
    <row r="439" spans="1:6" ht="41.4" x14ac:dyDescent="0.25">
      <c r="A439" s="33" t="s">
        <v>1277</v>
      </c>
      <c r="B439" s="33" t="s">
        <v>1278</v>
      </c>
      <c r="C439" s="34" t="s">
        <v>652</v>
      </c>
      <c r="D439" s="33" t="s">
        <v>1279</v>
      </c>
      <c r="E439" s="34" t="s">
        <v>99</v>
      </c>
      <c r="F439" s="33" t="s">
        <v>206</v>
      </c>
    </row>
    <row r="440" spans="1:6" ht="27.6" x14ac:dyDescent="0.25">
      <c r="A440" s="33" t="s">
        <v>1280</v>
      </c>
      <c r="B440" s="33" t="s">
        <v>1281</v>
      </c>
      <c r="C440" s="34" t="s">
        <v>652</v>
      </c>
      <c r="D440" s="33" t="s">
        <v>1282</v>
      </c>
      <c r="E440" s="34" t="s">
        <v>1283</v>
      </c>
      <c r="F440" s="33" t="s">
        <v>1284</v>
      </c>
    </row>
    <row r="441" spans="1:6" ht="27.6" x14ac:dyDescent="0.25">
      <c r="A441" s="33" t="s">
        <v>1285</v>
      </c>
      <c r="B441" s="33" t="s">
        <v>1286</v>
      </c>
      <c r="C441" s="34" t="s">
        <v>652</v>
      </c>
      <c r="D441" s="33" t="s">
        <v>1287</v>
      </c>
      <c r="E441" s="34" t="s">
        <v>99</v>
      </c>
      <c r="F441" s="33" t="s">
        <v>186</v>
      </c>
    </row>
    <row r="442" spans="1:6" ht="27.6" x14ac:dyDescent="0.25">
      <c r="A442" s="33" t="s">
        <v>1288</v>
      </c>
      <c r="B442" s="33" t="s">
        <v>1289</v>
      </c>
      <c r="C442" s="34" t="s">
        <v>652</v>
      </c>
      <c r="D442" s="33" t="s">
        <v>1290</v>
      </c>
      <c r="E442" s="34" t="s">
        <v>99</v>
      </c>
      <c r="F442" s="33" t="s">
        <v>186</v>
      </c>
    </row>
    <row r="443" spans="1:6" ht="27.6" x14ac:dyDescent="0.25">
      <c r="A443" s="33" t="s">
        <v>1291</v>
      </c>
      <c r="B443" s="33" t="s">
        <v>1292</v>
      </c>
      <c r="C443" s="34" t="s">
        <v>652</v>
      </c>
      <c r="D443" s="33" t="s">
        <v>1293</v>
      </c>
      <c r="E443" s="34" t="s">
        <v>99</v>
      </c>
      <c r="F443" s="33" t="s">
        <v>186</v>
      </c>
    </row>
    <row r="444" spans="1:6" ht="27.6" x14ac:dyDescent="0.3">
      <c r="A444" s="33" t="s">
        <v>1294</v>
      </c>
      <c r="B444" s="33" t="s">
        <v>1295</v>
      </c>
      <c r="C444" s="34" t="s">
        <v>652</v>
      </c>
      <c r="D444" s="36" t="s">
        <v>1296</v>
      </c>
      <c r="E444" s="34" t="s">
        <v>99</v>
      </c>
      <c r="F444" s="33" t="s">
        <v>186</v>
      </c>
    </row>
    <row r="445" spans="1:6" ht="27.6" x14ac:dyDescent="0.25">
      <c r="A445" s="33" t="s">
        <v>1297</v>
      </c>
      <c r="B445" s="33" t="s">
        <v>1298</v>
      </c>
      <c r="C445" s="34" t="s">
        <v>652</v>
      </c>
      <c r="D445" s="33" t="s">
        <v>99</v>
      </c>
      <c r="E445" s="34" t="s">
        <v>99</v>
      </c>
      <c r="F445" s="33" t="s">
        <v>186</v>
      </c>
    </row>
    <row r="446" spans="1:6" ht="27.6" x14ac:dyDescent="0.25">
      <c r="A446" s="33" t="s">
        <v>1299</v>
      </c>
      <c r="B446" s="33" t="s">
        <v>1300</v>
      </c>
      <c r="C446" s="34" t="s">
        <v>652</v>
      </c>
      <c r="D446" s="33" t="s">
        <v>1301</v>
      </c>
      <c r="E446" s="34" t="s">
        <v>99</v>
      </c>
      <c r="F446" s="33" t="s">
        <v>186</v>
      </c>
    </row>
    <row r="447" spans="1:6" ht="41.4" x14ac:dyDescent="0.25">
      <c r="A447" s="33" t="s">
        <v>1302</v>
      </c>
      <c r="B447" s="33" t="s">
        <v>1303</v>
      </c>
      <c r="C447" s="34" t="s">
        <v>652</v>
      </c>
      <c r="D447" s="33" t="s">
        <v>1304</v>
      </c>
      <c r="E447" s="34" t="s">
        <v>99</v>
      </c>
      <c r="F447" s="33" t="s">
        <v>186</v>
      </c>
    </row>
    <row r="448" spans="1:6" ht="27.6" x14ac:dyDescent="0.25">
      <c r="A448" s="33" t="s">
        <v>1305</v>
      </c>
      <c r="B448" s="33" t="s">
        <v>1306</v>
      </c>
      <c r="C448" s="34" t="s">
        <v>652</v>
      </c>
      <c r="D448" s="33" t="s">
        <v>1307</v>
      </c>
      <c r="E448" s="34" t="s">
        <v>99</v>
      </c>
      <c r="F448" s="33" t="s">
        <v>1308</v>
      </c>
    </row>
    <row r="449" spans="1:6" ht="27.6" x14ac:dyDescent="0.25">
      <c r="A449" s="33" t="s">
        <v>1309</v>
      </c>
      <c r="B449" s="33" t="s">
        <v>1310</v>
      </c>
      <c r="C449" s="34" t="s">
        <v>671</v>
      </c>
      <c r="D449" s="33" t="s">
        <v>1311</v>
      </c>
      <c r="E449" s="34" t="s">
        <v>99</v>
      </c>
      <c r="F449" s="33" t="s">
        <v>104</v>
      </c>
    </row>
    <row r="450" spans="1:6" ht="41.4" x14ac:dyDescent="0.25">
      <c r="A450" s="33" t="s">
        <v>1312</v>
      </c>
      <c r="B450" s="33" t="s">
        <v>1313</v>
      </c>
      <c r="C450" s="34" t="s">
        <v>652</v>
      </c>
      <c r="D450" s="33" t="s">
        <v>1314</v>
      </c>
      <c r="E450" s="34" t="s">
        <v>99</v>
      </c>
      <c r="F450" s="33" t="s">
        <v>109</v>
      </c>
    </row>
    <row r="451" spans="1:6" ht="41.4" x14ac:dyDescent="0.25">
      <c r="A451" s="33" t="s">
        <v>1315</v>
      </c>
      <c r="B451" s="33" t="s">
        <v>1316</v>
      </c>
      <c r="C451" s="34" t="s">
        <v>652</v>
      </c>
      <c r="D451" s="33" t="s">
        <v>1317</v>
      </c>
      <c r="E451" s="34" t="s">
        <v>99</v>
      </c>
      <c r="F451" s="33" t="s">
        <v>186</v>
      </c>
    </row>
    <row r="452" spans="1:6" ht="27.6" x14ac:dyDescent="0.25">
      <c r="A452" s="33" t="s">
        <v>1318</v>
      </c>
      <c r="B452" s="33" t="s">
        <v>1319</v>
      </c>
      <c r="C452" s="34" t="s">
        <v>652</v>
      </c>
      <c r="D452" s="33" t="s">
        <v>1320</v>
      </c>
      <c r="E452" s="34" t="s">
        <v>99</v>
      </c>
      <c r="F452" s="33" t="s">
        <v>206</v>
      </c>
    </row>
    <row r="453" spans="1:6" ht="13.8" x14ac:dyDescent="0.3">
      <c r="A453" s="33" t="s">
        <v>1321</v>
      </c>
      <c r="B453" s="37" t="s">
        <v>1322</v>
      </c>
      <c r="C453" s="34" t="s">
        <v>671</v>
      </c>
      <c r="D453" s="37" t="s">
        <v>1323</v>
      </c>
      <c r="E453" s="37" t="s">
        <v>99</v>
      </c>
      <c r="F453" s="33" t="s">
        <v>206</v>
      </c>
    </row>
    <row r="454" spans="1:6" ht="27.6" x14ac:dyDescent="0.3">
      <c r="A454" s="33" t="s">
        <v>1324</v>
      </c>
      <c r="B454" s="37" t="s">
        <v>1325</v>
      </c>
      <c r="C454" s="34" t="s">
        <v>671</v>
      </c>
      <c r="D454" s="33" t="s">
        <v>1326</v>
      </c>
      <c r="E454" s="37" t="s">
        <v>99</v>
      </c>
      <c r="F454" s="33" t="s">
        <v>206</v>
      </c>
    </row>
    <row r="455" spans="1:6" ht="41.4" x14ac:dyDescent="0.25">
      <c r="A455" s="33" t="s">
        <v>1327</v>
      </c>
      <c r="B455" s="33" t="s">
        <v>1328</v>
      </c>
      <c r="C455" s="34" t="s">
        <v>652</v>
      </c>
      <c r="D455" s="33" t="s">
        <v>1329</v>
      </c>
      <c r="E455" s="34" t="s">
        <v>99</v>
      </c>
      <c r="F455" s="33" t="s">
        <v>186</v>
      </c>
    </row>
    <row r="456" spans="1:6" ht="27.6" x14ac:dyDescent="0.25">
      <c r="A456" s="33" t="s">
        <v>1330</v>
      </c>
      <c r="B456" s="33" t="s">
        <v>1331</v>
      </c>
      <c r="C456" s="34" t="s">
        <v>652</v>
      </c>
      <c r="D456" s="33" t="s">
        <v>1332</v>
      </c>
      <c r="E456" s="34" t="s">
        <v>99</v>
      </c>
      <c r="F456" s="33" t="s">
        <v>1333</v>
      </c>
    </row>
    <row r="457" spans="1:6" ht="41.4" x14ac:dyDescent="0.25">
      <c r="A457" s="33" t="s">
        <v>1334</v>
      </c>
      <c r="B457" s="33" t="s">
        <v>1335</v>
      </c>
      <c r="C457" s="34" t="s">
        <v>652</v>
      </c>
      <c r="D457" s="33" t="s">
        <v>99</v>
      </c>
      <c r="E457" s="34" t="s">
        <v>99</v>
      </c>
      <c r="F457" s="33" t="s">
        <v>186</v>
      </c>
    </row>
    <row r="458" spans="1:6" ht="27.6" x14ac:dyDescent="0.25">
      <c r="A458" s="33" t="s">
        <v>1336</v>
      </c>
      <c r="B458" s="33" t="s">
        <v>1337</v>
      </c>
      <c r="C458" s="34" t="s">
        <v>652</v>
      </c>
      <c r="D458" s="33" t="s">
        <v>1338</v>
      </c>
      <c r="E458" s="34" t="s">
        <v>99</v>
      </c>
      <c r="F458" s="33" t="s">
        <v>104</v>
      </c>
    </row>
    <row r="459" spans="1:6" ht="55.2" x14ac:dyDescent="0.25">
      <c r="A459" s="33" t="s">
        <v>1339</v>
      </c>
      <c r="B459" s="33" t="s">
        <v>1340</v>
      </c>
      <c r="C459" s="34" t="s">
        <v>652</v>
      </c>
      <c r="D459" s="33" t="s">
        <v>99</v>
      </c>
      <c r="E459" s="34" t="s">
        <v>99</v>
      </c>
      <c r="F459" s="33" t="s">
        <v>104</v>
      </c>
    </row>
    <row r="460" spans="1:6" ht="41.4" x14ac:dyDescent="0.25">
      <c r="A460" s="33" t="s">
        <v>1341</v>
      </c>
      <c r="B460" s="33" t="s">
        <v>1342</v>
      </c>
      <c r="C460" s="34" t="s">
        <v>652</v>
      </c>
      <c r="D460" s="33" t="s">
        <v>1343</v>
      </c>
      <c r="E460" s="34" t="s">
        <v>99</v>
      </c>
      <c r="F460" s="33" t="s">
        <v>104</v>
      </c>
    </row>
    <row r="461" spans="1:6" ht="41.4" x14ac:dyDescent="0.25">
      <c r="A461" s="33" t="s">
        <v>1344</v>
      </c>
      <c r="B461" s="33" t="s">
        <v>1345</v>
      </c>
      <c r="C461" s="34" t="s">
        <v>652</v>
      </c>
      <c r="D461" s="33" t="s">
        <v>99</v>
      </c>
      <c r="E461" s="34" t="s">
        <v>99</v>
      </c>
      <c r="F461" s="33" t="s">
        <v>104</v>
      </c>
    </row>
    <row r="462" spans="1:6" ht="55.2" x14ac:dyDescent="0.25">
      <c r="A462" s="33" t="s">
        <v>1346</v>
      </c>
      <c r="B462" s="33" t="s">
        <v>1347</v>
      </c>
      <c r="C462" s="34" t="s">
        <v>652</v>
      </c>
      <c r="D462" s="33" t="s">
        <v>99</v>
      </c>
      <c r="E462" s="34" t="s">
        <v>99</v>
      </c>
      <c r="F462" s="33" t="s">
        <v>104</v>
      </c>
    </row>
    <row r="463" spans="1:6" ht="69" x14ac:dyDescent="0.25">
      <c r="A463" s="33" t="s">
        <v>1348</v>
      </c>
      <c r="B463" s="33" t="s">
        <v>1349</v>
      </c>
      <c r="C463" s="34" t="s">
        <v>652</v>
      </c>
      <c r="D463" s="33" t="s">
        <v>99</v>
      </c>
      <c r="E463" s="34" t="s">
        <v>99</v>
      </c>
      <c r="F463" s="33" t="s">
        <v>104</v>
      </c>
    </row>
    <row r="464" spans="1:6" ht="55.2" x14ac:dyDescent="0.25">
      <c r="A464" s="33" t="s">
        <v>1350</v>
      </c>
      <c r="B464" s="33" t="s">
        <v>1351</v>
      </c>
      <c r="C464" s="34" t="s">
        <v>652</v>
      </c>
      <c r="D464" s="33" t="s">
        <v>99</v>
      </c>
      <c r="E464" s="34" t="s">
        <v>99</v>
      </c>
      <c r="F464" s="33" t="s">
        <v>104</v>
      </c>
    </row>
    <row r="465" spans="1:6" ht="41.4" x14ac:dyDescent="0.25">
      <c r="A465" s="33" t="s">
        <v>1352</v>
      </c>
      <c r="B465" s="33" t="s">
        <v>1353</v>
      </c>
      <c r="C465" s="34" t="s">
        <v>652</v>
      </c>
      <c r="D465" s="33" t="s">
        <v>1354</v>
      </c>
      <c r="E465" s="34" t="s">
        <v>99</v>
      </c>
      <c r="F465" s="33" t="s">
        <v>499</v>
      </c>
    </row>
    <row r="466" spans="1:6" ht="13.8" x14ac:dyDescent="0.3">
      <c r="A466" s="33" t="s">
        <v>1355</v>
      </c>
      <c r="B466" s="37" t="s">
        <v>1356</v>
      </c>
      <c r="C466" s="34" t="s">
        <v>671</v>
      </c>
      <c r="D466" s="37" t="s">
        <v>1357</v>
      </c>
      <c r="E466" s="37" t="s">
        <v>99</v>
      </c>
      <c r="F466" s="33" t="s">
        <v>104</v>
      </c>
    </row>
    <row r="467" spans="1:6" ht="27.6" x14ac:dyDescent="0.25">
      <c r="A467" s="33" t="s">
        <v>1358</v>
      </c>
      <c r="B467" s="33" t="s">
        <v>1359</v>
      </c>
      <c r="C467" s="34" t="s">
        <v>652</v>
      </c>
      <c r="D467" s="33" t="s">
        <v>1360</v>
      </c>
      <c r="E467" s="34" t="s">
        <v>99</v>
      </c>
      <c r="F467" s="33" t="s">
        <v>1361</v>
      </c>
    </row>
    <row r="468" spans="1:6" ht="27.6" x14ac:dyDescent="0.25">
      <c r="A468" s="33" t="s">
        <v>1362</v>
      </c>
      <c r="B468" s="33" t="s">
        <v>1363</v>
      </c>
      <c r="C468" s="34" t="s">
        <v>652</v>
      </c>
      <c r="D468" s="33" t="s">
        <v>1364</v>
      </c>
      <c r="E468" s="34" t="s">
        <v>99</v>
      </c>
      <c r="F468" s="33" t="s">
        <v>1361</v>
      </c>
    </row>
    <row r="469" spans="1:6" ht="41.4" x14ac:dyDescent="0.25">
      <c r="A469" s="33" t="s">
        <v>1365</v>
      </c>
      <c r="B469" s="33" t="s">
        <v>1366</v>
      </c>
      <c r="C469" s="34" t="s">
        <v>652</v>
      </c>
      <c r="D469" s="33" t="s">
        <v>1367</v>
      </c>
      <c r="E469" s="34" t="s">
        <v>99</v>
      </c>
      <c r="F469" s="33" t="s">
        <v>104</v>
      </c>
    </row>
    <row r="470" spans="1:6" ht="41.4" x14ac:dyDescent="0.25">
      <c r="A470" s="33" t="s">
        <v>1368</v>
      </c>
      <c r="B470" s="33" t="s">
        <v>1369</v>
      </c>
      <c r="C470" s="34" t="s">
        <v>652</v>
      </c>
      <c r="D470" s="33" t="s">
        <v>1370</v>
      </c>
      <c r="E470" s="34" t="s">
        <v>99</v>
      </c>
      <c r="F470" s="33" t="s">
        <v>529</v>
      </c>
    </row>
    <row r="471" spans="1:6" ht="13.8" x14ac:dyDescent="0.3">
      <c r="A471" s="33" t="s">
        <v>1371</v>
      </c>
      <c r="B471" s="37" t="s">
        <v>1372</v>
      </c>
      <c r="C471" s="34" t="s">
        <v>671</v>
      </c>
      <c r="D471" s="33" t="s">
        <v>1373</v>
      </c>
      <c r="E471" s="37" t="s">
        <v>99</v>
      </c>
      <c r="F471" s="33" t="s">
        <v>265</v>
      </c>
    </row>
    <row r="472" spans="1:6" ht="27.6" x14ac:dyDescent="0.25">
      <c r="A472" s="33" t="s">
        <v>1374</v>
      </c>
      <c r="B472" s="33" t="s">
        <v>1375</v>
      </c>
      <c r="C472" s="34" t="s">
        <v>652</v>
      </c>
      <c r="D472" s="33" t="s">
        <v>1376</v>
      </c>
      <c r="E472" s="34" t="s">
        <v>99</v>
      </c>
      <c r="F472" s="33" t="s">
        <v>433</v>
      </c>
    </row>
    <row r="473" spans="1:6" ht="27.6" x14ac:dyDescent="0.25">
      <c r="A473" s="33" t="s">
        <v>1377</v>
      </c>
      <c r="B473" s="33" t="s">
        <v>1378</v>
      </c>
      <c r="C473" s="34" t="s">
        <v>652</v>
      </c>
      <c r="D473" s="33" t="s">
        <v>1379</v>
      </c>
      <c r="E473" s="34" t="s">
        <v>99</v>
      </c>
      <c r="F473" s="33" t="s">
        <v>1195</v>
      </c>
    </row>
    <row r="474" spans="1:6" ht="27.6" x14ac:dyDescent="0.25">
      <c r="A474" s="33" t="s">
        <v>1380</v>
      </c>
      <c r="B474" s="33" t="s">
        <v>1381</v>
      </c>
      <c r="C474" s="34" t="s">
        <v>652</v>
      </c>
      <c r="D474" s="33" t="s">
        <v>1382</v>
      </c>
      <c r="E474" s="34" t="s">
        <v>99</v>
      </c>
      <c r="F474" s="33" t="s">
        <v>1195</v>
      </c>
    </row>
    <row r="475" spans="1:6" ht="41.4" x14ac:dyDescent="0.25">
      <c r="A475" s="33" t="s">
        <v>1383</v>
      </c>
      <c r="B475" s="33" t="s">
        <v>1384</v>
      </c>
      <c r="C475" s="34" t="s">
        <v>652</v>
      </c>
      <c r="D475" s="33" t="s">
        <v>1385</v>
      </c>
      <c r="E475" s="34" t="s">
        <v>99</v>
      </c>
      <c r="F475" s="33" t="s">
        <v>1308</v>
      </c>
    </row>
    <row r="476" spans="1:6" ht="27.6" x14ac:dyDescent="0.25">
      <c r="A476" s="33" t="s">
        <v>1386</v>
      </c>
      <c r="B476" s="33" t="s">
        <v>1387</v>
      </c>
      <c r="C476" s="34" t="s">
        <v>671</v>
      </c>
      <c r="D476" s="33" t="s">
        <v>1388</v>
      </c>
      <c r="E476" s="34" t="s">
        <v>99</v>
      </c>
      <c r="F476" s="33" t="s">
        <v>463</v>
      </c>
    </row>
    <row r="477" spans="1:6" ht="27.6" x14ac:dyDescent="0.25">
      <c r="A477" s="33" t="s">
        <v>1389</v>
      </c>
      <c r="B477" s="33" t="s">
        <v>1390</v>
      </c>
      <c r="C477" s="34" t="s">
        <v>652</v>
      </c>
      <c r="D477" s="33" t="s">
        <v>1391</v>
      </c>
      <c r="E477" s="34" t="s">
        <v>99</v>
      </c>
      <c r="F477" s="33" t="s">
        <v>997</v>
      </c>
    </row>
    <row r="478" spans="1:6" ht="27.6" x14ac:dyDescent="0.25">
      <c r="A478" s="33" t="s">
        <v>1392</v>
      </c>
      <c r="B478" s="33" t="s">
        <v>1393</v>
      </c>
      <c r="C478" s="34" t="s">
        <v>652</v>
      </c>
      <c r="D478" s="33" t="s">
        <v>1394</v>
      </c>
      <c r="E478" s="34" t="s">
        <v>99</v>
      </c>
      <c r="F478" s="33" t="s">
        <v>140</v>
      </c>
    </row>
    <row r="479" spans="1:6" ht="27.6" x14ac:dyDescent="0.3">
      <c r="A479" s="33" t="s">
        <v>1395</v>
      </c>
      <c r="B479" s="33" t="s">
        <v>1396</v>
      </c>
      <c r="C479" s="34" t="s">
        <v>652</v>
      </c>
      <c r="D479" s="33" t="s">
        <v>1397</v>
      </c>
      <c r="E479" s="37" t="s">
        <v>99</v>
      </c>
      <c r="F479" s="33" t="s">
        <v>140</v>
      </c>
    </row>
    <row r="480" spans="1:6" ht="27.6" x14ac:dyDescent="0.3">
      <c r="A480" s="33" t="s">
        <v>1398</v>
      </c>
      <c r="B480" s="33" t="s">
        <v>1399</v>
      </c>
      <c r="C480" s="34" t="s">
        <v>671</v>
      </c>
      <c r="D480" s="33" t="s">
        <v>1400</v>
      </c>
      <c r="E480" s="37" t="s">
        <v>99</v>
      </c>
      <c r="F480" s="33" t="s">
        <v>499</v>
      </c>
    </row>
    <row r="481" spans="1:6" ht="27.6" x14ac:dyDescent="0.3">
      <c r="A481" s="33" t="s">
        <v>1401</v>
      </c>
      <c r="B481" s="33" t="s">
        <v>1402</v>
      </c>
      <c r="C481" s="34" t="s">
        <v>671</v>
      </c>
      <c r="D481" s="37" t="s">
        <v>99</v>
      </c>
      <c r="E481" s="37" t="s">
        <v>99</v>
      </c>
      <c r="F481" s="33" t="s">
        <v>499</v>
      </c>
    </row>
    <row r="482" spans="1:6" ht="41.4" x14ac:dyDescent="0.3">
      <c r="A482" s="33" t="s">
        <v>1403</v>
      </c>
      <c r="B482" s="33" t="s">
        <v>1404</v>
      </c>
      <c r="C482" s="34" t="s">
        <v>652</v>
      </c>
      <c r="D482" s="33" t="s">
        <v>99</v>
      </c>
      <c r="E482" s="37" t="s">
        <v>99</v>
      </c>
      <c r="F482" s="33" t="s">
        <v>99</v>
      </c>
    </row>
    <row r="483" spans="1:6" ht="27.6" x14ac:dyDescent="0.25">
      <c r="A483" s="33" t="s">
        <v>1405</v>
      </c>
      <c r="B483" s="33" t="s">
        <v>1406</v>
      </c>
      <c r="C483" s="34" t="s">
        <v>652</v>
      </c>
      <c r="D483" s="33" t="s">
        <v>1407</v>
      </c>
      <c r="E483" s="34" t="s">
        <v>99</v>
      </c>
      <c r="F483" s="33" t="s">
        <v>608</v>
      </c>
    </row>
    <row r="484" spans="1:6" ht="27.6" x14ac:dyDescent="0.25">
      <c r="A484" s="33" t="s">
        <v>1408</v>
      </c>
      <c r="B484" s="33" t="s">
        <v>1409</v>
      </c>
      <c r="C484" s="34" t="s">
        <v>652</v>
      </c>
      <c r="D484" s="33" t="s">
        <v>1410</v>
      </c>
      <c r="E484" s="34" t="s">
        <v>99</v>
      </c>
      <c r="F484" s="33" t="s">
        <v>608</v>
      </c>
    </row>
    <row r="485" spans="1:6" ht="27.6" x14ac:dyDescent="0.25">
      <c r="A485" s="33" t="s">
        <v>1411</v>
      </c>
      <c r="B485" s="33" t="s">
        <v>1412</v>
      </c>
      <c r="C485" s="34" t="s">
        <v>652</v>
      </c>
      <c r="D485" s="33" t="s">
        <v>1413</v>
      </c>
      <c r="E485" s="34" t="s">
        <v>99</v>
      </c>
      <c r="F485" s="33" t="s">
        <v>1414</v>
      </c>
    </row>
    <row r="486" spans="1:6" ht="27.6" x14ac:dyDescent="0.25">
      <c r="A486" s="33" t="s">
        <v>1415</v>
      </c>
      <c r="B486" s="33" t="s">
        <v>1416</v>
      </c>
      <c r="C486" s="34" t="s">
        <v>652</v>
      </c>
      <c r="D486" s="33" t="s">
        <v>1417</v>
      </c>
      <c r="E486" s="34" t="s">
        <v>99</v>
      </c>
      <c r="F486" s="33" t="s">
        <v>1414</v>
      </c>
    </row>
    <row r="487" spans="1:6" ht="27.6" x14ac:dyDescent="0.25">
      <c r="A487" s="33" t="s">
        <v>1418</v>
      </c>
      <c r="B487" s="33" t="s">
        <v>1419</v>
      </c>
      <c r="C487" s="34" t="s">
        <v>652</v>
      </c>
      <c r="D487" s="33" t="s">
        <v>1420</v>
      </c>
      <c r="E487" s="34" t="s">
        <v>99</v>
      </c>
      <c r="F487" s="33" t="s">
        <v>1414</v>
      </c>
    </row>
    <row r="488" spans="1:6" ht="27.6" x14ac:dyDescent="0.25">
      <c r="A488" s="33" t="s">
        <v>1421</v>
      </c>
      <c r="B488" s="33" t="s">
        <v>1422</v>
      </c>
      <c r="C488" s="34" t="s">
        <v>652</v>
      </c>
      <c r="D488" s="33" t="s">
        <v>1423</v>
      </c>
      <c r="E488" s="34" t="s">
        <v>99</v>
      </c>
      <c r="F488" s="33" t="s">
        <v>1414</v>
      </c>
    </row>
    <row r="489" spans="1:6" ht="27.6" x14ac:dyDescent="0.25">
      <c r="A489" s="33" t="s">
        <v>1424</v>
      </c>
      <c r="B489" s="33" t="s">
        <v>1425</v>
      </c>
      <c r="C489" s="34" t="s">
        <v>652</v>
      </c>
      <c r="D489" s="33" t="s">
        <v>1426</v>
      </c>
      <c r="E489" s="34" t="s">
        <v>99</v>
      </c>
      <c r="F489" s="33" t="s">
        <v>1414</v>
      </c>
    </row>
    <row r="490" spans="1:6" ht="27.6" x14ac:dyDescent="0.25">
      <c r="A490" s="33" t="s">
        <v>1427</v>
      </c>
      <c r="B490" s="33" t="s">
        <v>1428</v>
      </c>
      <c r="C490" s="34" t="s">
        <v>652</v>
      </c>
      <c r="D490" s="33" t="s">
        <v>1429</v>
      </c>
      <c r="E490" s="34" t="s">
        <v>99</v>
      </c>
      <c r="F490" s="33" t="s">
        <v>608</v>
      </c>
    </row>
    <row r="491" spans="1:6" ht="27.6" x14ac:dyDescent="0.25">
      <c r="A491" s="33" t="s">
        <v>1430</v>
      </c>
      <c r="B491" s="33" t="s">
        <v>1431</v>
      </c>
      <c r="C491" s="34" t="s">
        <v>652</v>
      </c>
      <c r="D491" s="33" t="s">
        <v>1432</v>
      </c>
      <c r="E491" s="34" t="s">
        <v>99</v>
      </c>
      <c r="F491" s="33" t="s">
        <v>608</v>
      </c>
    </row>
    <row r="492" spans="1:6" ht="27.6" x14ac:dyDescent="0.25">
      <c r="A492" s="33" t="s">
        <v>1433</v>
      </c>
      <c r="B492" s="33" t="s">
        <v>1434</v>
      </c>
      <c r="C492" s="34" t="s">
        <v>652</v>
      </c>
      <c r="D492" s="33" t="s">
        <v>1435</v>
      </c>
      <c r="E492" s="34" t="s">
        <v>99</v>
      </c>
      <c r="F492" s="33" t="s">
        <v>608</v>
      </c>
    </row>
    <row r="493" spans="1:6" ht="27.6" x14ac:dyDescent="0.25">
      <c r="A493" s="33" t="s">
        <v>1436</v>
      </c>
      <c r="B493" s="33" t="s">
        <v>1437</v>
      </c>
      <c r="C493" s="34" t="s">
        <v>671</v>
      </c>
      <c r="D493" s="33" t="s">
        <v>1438</v>
      </c>
      <c r="E493" s="34" t="s">
        <v>99</v>
      </c>
      <c r="F493" s="33" t="s">
        <v>269</v>
      </c>
    </row>
    <row r="494" spans="1:6" ht="41.4" x14ac:dyDescent="0.25">
      <c r="A494" s="33" t="s">
        <v>1439</v>
      </c>
      <c r="B494" s="33" t="s">
        <v>1440</v>
      </c>
      <c r="C494" s="34" t="s">
        <v>652</v>
      </c>
      <c r="D494" s="33" t="s">
        <v>1441</v>
      </c>
      <c r="E494" s="34" t="s">
        <v>1442</v>
      </c>
      <c r="F494" s="33" t="s">
        <v>1443</v>
      </c>
    </row>
    <row r="495" spans="1:6" ht="27.6" x14ac:dyDescent="0.25">
      <c r="A495" s="33" t="s">
        <v>1444</v>
      </c>
      <c r="B495" s="33" t="s">
        <v>1445</v>
      </c>
      <c r="C495" s="34" t="s">
        <v>652</v>
      </c>
      <c r="D495" s="33" t="s">
        <v>1446</v>
      </c>
      <c r="E495" s="34" t="s">
        <v>99</v>
      </c>
      <c r="F495" s="33" t="s">
        <v>202</v>
      </c>
    </row>
    <row r="496" spans="1:6" ht="13.8" x14ac:dyDescent="0.3">
      <c r="A496" s="33" t="s">
        <v>1447</v>
      </c>
      <c r="B496" s="37" t="s">
        <v>1448</v>
      </c>
      <c r="C496" s="34" t="s">
        <v>652</v>
      </c>
      <c r="D496" s="33" t="s">
        <v>1449</v>
      </c>
      <c r="E496" s="34" t="s">
        <v>99</v>
      </c>
      <c r="F496" s="33" t="s">
        <v>202</v>
      </c>
    </row>
    <row r="497" spans="1:6" ht="13.8" x14ac:dyDescent="0.3">
      <c r="A497" s="33" t="s">
        <v>1450</v>
      </c>
      <c r="B497" s="37" t="s">
        <v>1451</v>
      </c>
      <c r="C497" s="34" t="s">
        <v>652</v>
      </c>
      <c r="D497" s="33" t="s">
        <v>1452</v>
      </c>
      <c r="E497" s="34" t="s">
        <v>99</v>
      </c>
      <c r="F497" s="33" t="s">
        <v>202</v>
      </c>
    </row>
    <row r="498" spans="1:6" ht="13.8" x14ac:dyDescent="0.3">
      <c r="A498" s="36" t="s">
        <v>1453</v>
      </c>
      <c r="B498" s="37" t="s">
        <v>1454</v>
      </c>
      <c r="C498" s="34" t="s">
        <v>671</v>
      </c>
      <c r="D498" s="37" t="s">
        <v>99</v>
      </c>
      <c r="E498" s="37" t="s">
        <v>99</v>
      </c>
      <c r="F498" s="36" t="s">
        <v>149</v>
      </c>
    </row>
    <row r="499" spans="1:6" ht="41.4" x14ac:dyDescent="0.25">
      <c r="A499" s="33" t="s">
        <v>1455</v>
      </c>
      <c r="B499" s="33" t="s">
        <v>1456</v>
      </c>
      <c r="C499" s="34" t="s">
        <v>652</v>
      </c>
      <c r="D499" s="33" t="s">
        <v>1457</v>
      </c>
      <c r="E499" s="34" t="s">
        <v>99</v>
      </c>
      <c r="F499" s="33" t="s">
        <v>692</v>
      </c>
    </row>
    <row r="500" spans="1:6" ht="27.6" x14ac:dyDescent="0.25">
      <c r="A500" s="33" t="s">
        <v>1458</v>
      </c>
      <c r="B500" s="33" t="s">
        <v>1459</v>
      </c>
      <c r="C500" s="34" t="s">
        <v>671</v>
      </c>
      <c r="D500" s="33" t="s">
        <v>99</v>
      </c>
      <c r="E500" s="34" t="s">
        <v>99</v>
      </c>
      <c r="F500" s="33" t="s">
        <v>104</v>
      </c>
    </row>
    <row r="501" spans="1:6" ht="14.4" x14ac:dyDescent="0.25">
      <c r="A501" s="33" t="s">
        <v>1460</v>
      </c>
      <c r="B501" s="33" t="s">
        <v>1461</v>
      </c>
      <c r="C501" s="40"/>
      <c r="D501" s="40"/>
      <c r="E501" s="40"/>
      <c r="F501" s="40"/>
    </row>
    <row r="502" spans="1:6" ht="27.6" x14ac:dyDescent="0.25">
      <c r="A502" s="33" t="s">
        <v>1462</v>
      </c>
      <c r="B502" s="33" t="s">
        <v>1463</v>
      </c>
      <c r="C502" s="34" t="s">
        <v>652</v>
      </c>
      <c r="D502" s="33" t="s">
        <v>1464</v>
      </c>
      <c r="E502" s="34" t="s">
        <v>99</v>
      </c>
      <c r="F502" s="33" t="s">
        <v>1191</v>
      </c>
    </row>
    <row r="503" spans="1:6" ht="27.6" x14ac:dyDescent="0.3">
      <c r="A503" s="33" t="s">
        <v>1465</v>
      </c>
      <c r="B503" s="37" t="s">
        <v>1466</v>
      </c>
      <c r="C503" s="34" t="s">
        <v>671</v>
      </c>
      <c r="D503" s="33" t="s">
        <v>99</v>
      </c>
      <c r="E503" s="34" t="s">
        <v>99</v>
      </c>
      <c r="F503" s="33" t="s">
        <v>408</v>
      </c>
    </row>
    <row r="504" spans="1:6" ht="27.6" x14ac:dyDescent="0.3">
      <c r="A504" s="33" t="s">
        <v>1467</v>
      </c>
      <c r="B504" s="37" t="s">
        <v>1468</v>
      </c>
      <c r="C504" s="34" t="s">
        <v>652</v>
      </c>
      <c r="D504" s="33" t="s">
        <v>1469</v>
      </c>
      <c r="E504" s="34" t="s">
        <v>99</v>
      </c>
      <c r="F504" s="33" t="s">
        <v>408</v>
      </c>
    </row>
    <row r="505" spans="1:6" ht="27.6" x14ac:dyDescent="0.25">
      <c r="A505" s="33" t="s">
        <v>1470</v>
      </c>
      <c r="B505" s="33" t="s">
        <v>1471</v>
      </c>
      <c r="C505" s="34" t="s">
        <v>671</v>
      </c>
      <c r="D505" s="33" t="s">
        <v>1472</v>
      </c>
      <c r="E505" s="34" t="s">
        <v>99</v>
      </c>
      <c r="F505" s="33" t="s">
        <v>104</v>
      </c>
    </row>
    <row r="506" spans="1:6" ht="41.4" x14ac:dyDescent="0.25">
      <c r="A506" s="33" t="s">
        <v>1473</v>
      </c>
      <c r="B506" s="33" t="s">
        <v>1474</v>
      </c>
      <c r="C506" s="34" t="s">
        <v>652</v>
      </c>
      <c r="D506" s="33" t="s">
        <v>1475</v>
      </c>
      <c r="E506" s="34" t="s">
        <v>99</v>
      </c>
      <c r="F506" s="33" t="s">
        <v>1476</v>
      </c>
    </row>
    <row r="507" spans="1:6" ht="13.8" x14ac:dyDescent="0.3">
      <c r="A507" s="33" t="s">
        <v>1477</v>
      </c>
      <c r="B507" s="37" t="s">
        <v>1478</v>
      </c>
      <c r="C507" s="34" t="s">
        <v>671</v>
      </c>
      <c r="D507" s="37" t="s">
        <v>1479</v>
      </c>
      <c r="E507" s="37" t="s">
        <v>99</v>
      </c>
      <c r="F507" s="33" t="s">
        <v>265</v>
      </c>
    </row>
    <row r="508" spans="1:6" ht="13.8" x14ac:dyDescent="0.3">
      <c r="A508" s="33" t="s">
        <v>1480</v>
      </c>
      <c r="B508" s="37" t="s">
        <v>1481</v>
      </c>
      <c r="C508" s="34" t="s">
        <v>671</v>
      </c>
      <c r="D508" s="37" t="s">
        <v>1482</v>
      </c>
      <c r="E508" s="37" t="s">
        <v>99</v>
      </c>
      <c r="F508" s="33" t="s">
        <v>265</v>
      </c>
    </row>
    <row r="509" spans="1:6" ht="13.8" x14ac:dyDescent="0.3">
      <c r="A509" s="33" t="s">
        <v>1483</v>
      </c>
      <c r="B509" s="37" t="s">
        <v>1484</v>
      </c>
      <c r="C509" s="34" t="s">
        <v>652</v>
      </c>
      <c r="D509" s="37" t="s">
        <v>1485</v>
      </c>
      <c r="E509" s="37" t="s">
        <v>99</v>
      </c>
      <c r="F509" s="33" t="s">
        <v>889</v>
      </c>
    </row>
    <row r="510" spans="1:6" ht="27.6" x14ac:dyDescent="0.25">
      <c r="A510" s="33" t="s">
        <v>1486</v>
      </c>
      <c r="B510" s="33" t="s">
        <v>1487</v>
      </c>
      <c r="C510" s="34" t="s">
        <v>652</v>
      </c>
      <c r="D510" s="33" t="s">
        <v>1488</v>
      </c>
      <c r="E510" s="34" t="s">
        <v>99</v>
      </c>
      <c r="F510" s="33" t="s">
        <v>889</v>
      </c>
    </row>
    <row r="511" spans="1:6" ht="27.6" x14ac:dyDescent="0.3">
      <c r="A511" s="36" t="s">
        <v>1489</v>
      </c>
      <c r="B511" s="33" t="s">
        <v>1490</v>
      </c>
      <c r="C511" s="34" t="s">
        <v>671</v>
      </c>
      <c r="D511" s="33" t="s">
        <v>1491</v>
      </c>
      <c r="E511" s="34" t="s">
        <v>99</v>
      </c>
      <c r="F511" s="33" t="s">
        <v>889</v>
      </c>
    </row>
    <row r="512" spans="1:6" ht="27.6" x14ac:dyDescent="0.25">
      <c r="A512" s="33" t="s">
        <v>1492</v>
      </c>
      <c r="B512" s="33" t="s">
        <v>1493</v>
      </c>
      <c r="C512" s="34" t="s">
        <v>652</v>
      </c>
      <c r="D512" s="33" t="s">
        <v>1488</v>
      </c>
      <c r="E512" s="34" t="s">
        <v>1494</v>
      </c>
      <c r="F512" s="33" t="s">
        <v>889</v>
      </c>
    </row>
    <row r="513" spans="1:6" ht="27.6" x14ac:dyDescent="0.25">
      <c r="A513" s="33" t="s">
        <v>1495</v>
      </c>
      <c r="B513" s="33" t="s">
        <v>1496</v>
      </c>
      <c r="C513" s="34" t="s">
        <v>652</v>
      </c>
      <c r="D513" s="33" t="s">
        <v>1497</v>
      </c>
      <c r="E513" s="34" t="s">
        <v>99</v>
      </c>
      <c r="F513" s="33" t="s">
        <v>889</v>
      </c>
    </row>
    <row r="514" spans="1:6" ht="41.4" x14ac:dyDescent="0.25">
      <c r="A514" s="33" t="s">
        <v>1498</v>
      </c>
      <c r="B514" s="33" t="s">
        <v>1499</v>
      </c>
      <c r="C514" s="34" t="s">
        <v>652</v>
      </c>
      <c r="D514" s="33" t="s">
        <v>1500</v>
      </c>
      <c r="E514" s="34" t="s">
        <v>1501</v>
      </c>
      <c r="F514" s="33" t="s">
        <v>104</v>
      </c>
    </row>
    <row r="515" spans="1:6" ht="27.6" x14ac:dyDescent="0.25">
      <c r="A515" s="33" t="s">
        <v>1502</v>
      </c>
      <c r="B515" s="33" t="s">
        <v>1503</v>
      </c>
      <c r="C515" s="34" t="s">
        <v>652</v>
      </c>
      <c r="D515" s="33" t="s">
        <v>1504</v>
      </c>
      <c r="E515" s="34" t="s">
        <v>99</v>
      </c>
      <c r="F515" s="33" t="s">
        <v>889</v>
      </c>
    </row>
    <row r="516" spans="1:6" ht="27.6" x14ac:dyDescent="0.25">
      <c r="A516" s="33" t="s">
        <v>1505</v>
      </c>
      <c r="B516" s="33" t="s">
        <v>1506</v>
      </c>
      <c r="C516" s="34" t="s">
        <v>671</v>
      </c>
      <c r="D516" s="33" t="s">
        <v>1507</v>
      </c>
      <c r="E516" s="34" t="s">
        <v>99</v>
      </c>
      <c r="F516" s="33" t="s">
        <v>104</v>
      </c>
    </row>
    <row r="517" spans="1:6" ht="27.6" x14ac:dyDescent="0.25">
      <c r="A517" s="33" t="s">
        <v>1508</v>
      </c>
      <c r="B517" s="33" t="s">
        <v>1509</v>
      </c>
      <c r="C517" s="34" t="s">
        <v>671</v>
      </c>
      <c r="D517" s="33" t="s">
        <v>1510</v>
      </c>
      <c r="E517" s="34" t="s">
        <v>99</v>
      </c>
      <c r="F517" s="33" t="s">
        <v>104</v>
      </c>
    </row>
    <row r="518" spans="1:6" ht="27.6" x14ac:dyDescent="0.25">
      <c r="A518" s="33" t="s">
        <v>1511</v>
      </c>
      <c r="B518" s="33" t="s">
        <v>1512</v>
      </c>
      <c r="C518" s="34" t="s">
        <v>671</v>
      </c>
      <c r="D518" s="33" t="s">
        <v>1510</v>
      </c>
      <c r="E518" s="34" t="s">
        <v>1513</v>
      </c>
      <c r="F518" s="33" t="s">
        <v>104</v>
      </c>
    </row>
    <row r="519" spans="1:6" ht="27.6" x14ac:dyDescent="0.25">
      <c r="A519" s="33" t="s">
        <v>1514</v>
      </c>
      <c r="B519" s="33" t="s">
        <v>1515</v>
      </c>
      <c r="C519" s="34" t="s">
        <v>671</v>
      </c>
      <c r="D519" s="33" t="s">
        <v>1516</v>
      </c>
      <c r="E519" s="34" t="s">
        <v>99</v>
      </c>
      <c r="F519" s="33" t="s">
        <v>109</v>
      </c>
    </row>
    <row r="520" spans="1:6" ht="27.6" x14ac:dyDescent="0.25">
      <c r="A520" s="33" t="s">
        <v>1517</v>
      </c>
      <c r="B520" s="33" t="s">
        <v>1518</v>
      </c>
      <c r="C520" s="34" t="s">
        <v>652</v>
      </c>
      <c r="D520" s="33" t="s">
        <v>1519</v>
      </c>
      <c r="E520" s="34" t="s">
        <v>1520</v>
      </c>
      <c r="F520" s="33" t="s">
        <v>608</v>
      </c>
    </row>
    <row r="521" spans="1:6" ht="41.4" x14ac:dyDescent="0.25">
      <c r="A521" s="33" t="s">
        <v>1521</v>
      </c>
      <c r="B521" s="33" t="s">
        <v>1522</v>
      </c>
      <c r="C521" s="34" t="s">
        <v>652</v>
      </c>
      <c r="D521" s="33" t="s">
        <v>1519</v>
      </c>
      <c r="E521" s="34" t="s">
        <v>99</v>
      </c>
      <c r="F521" s="33" t="s">
        <v>608</v>
      </c>
    </row>
    <row r="522" spans="1:6" ht="41.4" x14ac:dyDescent="0.25">
      <c r="A522" s="33" t="s">
        <v>1523</v>
      </c>
      <c r="B522" s="33" t="s">
        <v>1524</v>
      </c>
      <c r="C522" s="34" t="s">
        <v>652</v>
      </c>
      <c r="D522" s="33" t="s">
        <v>1525</v>
      </c>
      <c r="E522" s="34" t="s">
        <v>99</v>
      </c>
      <c r="F522" s="33" t="s">
        <v>104</v>
      </c>
    </row>
    <row r="523" spans="1:6" ht="27.6" x14ac:dyDescent="0.3">
      <c r="A523" s="33" t="s">
        <v>1526</v>
      </c>
      <c r="B523" s="37" t="s">
        <v>1527</v>
      </c>
      <c r="C523" s="34" t="s">
        <v>652</v>
      </c>
      <c r="D523" s="33" t="s">
        <v>1528</v>
      </c>
      <c r="E523" s="34" t="s">
        <v>99</v>
      </c>
      <c r="F523" s="33" t="s">
        <v>104</v>
      </c>
    </row>
    <row r="524" spans="1:6" ht="41.4" x14ac:dyDescent="0.25">
      <c r="A524" s="33" t="s">
        <v>1529</v>
      </c>
      <c r="B524" s="33" t="s">
        <v>1530</v>
      </c>
      <c r="C524" s="34" t="s">
        <v>652</v>
      </c>
      <c r="D524" s="33" t="s">
        <v>1531</v>
      </c>
      <c r="E524" s="34" t="s">
        <v>99</v>
      </c>
      <c r="F524" s="33" t="s">
        <v>104</v>
      </c>
    </row>
    <row r="525" spans="1:6" ht="27.6" x14ac:dyDescent="0.25">
      <c r="A525" s="33" t="s">
        <v>1532</v>
      </c>
      <c r="B525" s="33" t="s">
        <v>1533</v>
      </c>
      <c r="C525" s="34" t="s">
        <v>671</v>
      </c>
      <c r="D525" s="33" t="s">
        <v>1534</v>
      </c>
      <c r="E525" s="34" t="s">
        <v>99</v>
      </c>
      <c r="F525" s="33" t="s">
        <v>408</v>
      </c>
    </row>
    <row r="526" spans="1:6" ht="27.6" x14ac:dyDescent="0.3">
      <c r="A526" s="33" t="s">
        <v>1535</v>
      </c>
      <c r="B526" s="37" t="s">
        <v>1536</v>
      </c>
      <c r="C526" s="34" t="s">
        <v>652</v>
      </c>
      <c r="D526" s="33" t="s">
        <v>1537</v>
      </c>
      <c r="E526" s="34" t="s">
        <v>99</v>
      </c>
      <c r="F526" s="33" t="s">
        <v>104</v>
      </c>
    </row>
    <row r="527" spans="1:6" ht="41.4" x14ac:dyDescent="0.25">
      <c r="A527" s="33" t="s">
        <v>1535</v>
      </c>
      <c r="B527" s="33" t="s">
        <v>1536</v>
      </c>
      <c r="C527" s="34" t="s">
        <v>652</v>
      </c>
      <c r="D527" s="33" t="s">
        <v>1525</v>
      </c>
      <c r="E527" s="34" t="s">
        <v>1538</v>
      </c>
      <c r="F527" s="33" t="s">
        <v>104</v>
      </c>
    </row>
    <row r="528" spans="1:6" ht="27.6" x14ac:dyDescent="0.25">
      <c r="A528" s="33" t="s">
        <v>1539</v>
      </c>
      <c r="B528" s="33" t="s">
        <v>1540</v>
      </c>
      <c r="C528" s="34" t="s">
        <v>652</v>
      </c>
      <c r="D528" s="33" t="s">
        <v>1541</v>
      </c>
      <c r="E528" s="34" t="s">
        <v>1542</v>
      </c>
      <c r="F528" s="33" t="s">
        <v>149</v>
      </c>
    </row>
    <row r="529" spans="1:6" ht="13.8" x14ac:dyDescent="0.3">
      <c r="A529" s="33" t="s">
        <v>1543</v>
      </c>
      <c r="B529" s="37" t="s">
        <v>1544</v>
      </c>
      <c r="C529" s="34" t="s">
        <v>671</v>
      </c>
      <c r="D529" s="33" t="s">
        <v>1545</v>
      </c>
      <c r="E529" s="37" t="s">
        <v>99</v>
      </c>
      <c r="F529" s="33" t="s">
        <v>149</v>
      </c>
    </row>
    <row r="530" spans="1:6" ht="27.6" x14ac:dyDescent="0.25">
      <c r="A530" s="33" t="s">
        <v>1546</v>
      </c>
      <c r="B530" s="33" t="s">
        <v>1547</v>
      </c>
      <c r="C530" s="34" t="s">
        <v>652</v>
      </c>
      <c r="D530" s="33" t="s">
        <v>1548</v>
      </c>
      <c r="E530" s="34" t="s">
        <v>1549</v>
      </c>
      <c r="F530" s="33" t="s">
        <v>149</v>
      </c>
    </row>
    <row r="531" spans="1:6" ht="27.6" x14ac:dyDescent="0.25">
      <c r="A531" s="33" t="s">
        <v>1550</v>
      </c>
      <c r="B531" s="33" t="s">
        <v>1551</v>
      </c>
      <c r="C531" s="34" t="s">
        <v>671</v>
      </c>
      <c r="D531" s="33" t="s">
        <v>1552</v>
      </c>
      <c r="E531" s="34" t="s">
        <v>99</v>
      </c>
      <c r="F531" s="33" t="s">
        <v>1553</v>
      </c>
    </row>
    <row r="532" spans="1:6" ht="13.8" x14ac:dyDescent="0.3">
      <c r="A532" s="33" t="s">
        <v>1554</v>
      </c>
      <c r="B532" s="37" t="s">
        <v>1555</v>
      </c>
      <c r="C532" s="34" t="s">
        <v>652</v>
      </c>
      <c r="D532" s="33" t="s">
        <v>1556</v>
      </c>
      <c r="E532" s="34" t="s">
        <v>99</v>
      </c>
      <c r="F532" s="33" t="s">
        <v>265</v>
      </c>
    </row>
    <row r="533" spans="1:6" ht="13.8" x14ac:dyDescent="0.3">
      <c r="A533" s="33" t="s">
        <v>1557</v>
      </c>
      <c r="B533" s="37" t="s">
        <v>1558</v>
      </c>
      <c r="C533" s="34" t="s">
        <v>652</v>
      </c>
      <c r="D533" s="33" t="s">
        <v>1556</v>
      </c>
      <c r="E533" s="34" t="s">
        <v>99</v>
      </c>
      <c r="F533" s="33" t="s">
        <v>265</v>
      </c>
    </row>
    <row r="534" spans="1:6" ht="41.4" x14ac:dyDescent="0.25">
      <c r="A534" s="33" t="s">
        <v>1559</v>
      </c>
      <c r="B534" s="33" t="s">
        <v>1560</v>
      </c>
      <c r="C534" s="34" t="s">
        <v>652</v>
      </c>
      <c r="D534" s="33" t="s">
        <v>1561</v>
      </c>
      <c r="E534" s="34" t="s">
        <v>99</v>
      </c>
      <c r="F534" s="33" t="s">
        <v>1195</v>
      </c>
    </row>
    <row r="535" spans="1:6" ht="14.4" x14ac:dyDescent="0.25">
      <c r="A535" s="33" t="s">
        <v>1562</v>
      </c>
      <c r="B535" s="33" t="s">
        <v>1563</v>
      </c>
      <c r="C535" s="40"/>
      <c r="D535" s="40"/>
      <c r="E535" s="40"/>
      <c r="F535" s="40"/>
    </row>
    <row r="536" spans="1:6" ht="41.4" x14ac:dyDescent="0.25">
      <c r="A536" s="33" t="s">
        <v>1564</v>
      </c>
      <c r="B536" s="33" t="s">
        <v>1565</v>
      </c>
      <c r="C536" s="34" t="s">
        <v>652</v>
      </c>
      <c r="D536" s="33" t="s">
        <v>1566</v>
      </c>
      <c r="E536" s="34" t="s">
        <v>99</v>
      </c>
      <c r="F536" s="33" t="s">
        <v>608</v>
      </c>
    </row>
    <row r="537" spans="1:6" ht="41.4" x14ac:dyDescent="0.25">
      <c r="A537" s="33" t="s">
        <v>1567</v>
      </c>
      <c r="B537" s="33" t="s">
        <v>1568</v>
      </c>
      <c r="C537" s="34" t="s">
        <v>652</v>
      </c>
      <c r="D537" s="33" t="s">
        <v>1569</v>
      </c>
      <c r="E537" s="34" t="s">
        <v>99</v>
      </c>
      <c r="F537" s="33" t="s">
        <v>608</v>
      </c>
    </row>
    <row r="538" spans="1:6" ht="27.6" x14ac:dyDescent="0.25">
      <c r="A538" s="33" t="s">
        <v>1570</v>
      </c>
      <c r="B538" s="33" t="s">
        <v>1571</v>
      </c>
      <c r="C538" s="34" t="s">
        <v>652</v>
      </c>
      <c r="D538" s="33" t="s">
        <v>99</v>
      </c>
      <c r="E538" s="34" t="s">
        <v>99</v>
      </c>
      <c r="F538" s="33" t="s">
        <v>109</v>
      </c>
    </row>
    <row r="539" spans="1:6" ht="27.6" x14ac:dyDescent="0.25">
      <c r="A539" s="33" t="s">
        <v>1572</v>
      </c>
      <c r="B539" s="33" t="s">
        <v>1573</v>
      </c>
      <c r="C539" s="34" t="s">
        <v>652</v>
      </c>
      <c r="D539" s="33" t="s">
        <v>1574</v>
      </c>
      <c r="E539" s="34" t="s">
        <v>99</v>
      </c>
      <c r="F539" s="33" t="s">
        <v>1575</v>
      </c>
    </row>
    <row r="540" spans="1:6" ht="27.6" x14ac:dyDescent="0.25">
      <c r="A540" s="33" t="s">
        <v>1576</v>
      </c>
      <c r="B540" s="33" t="s">
        <v>1577</v>
      </c>
      <c r="C540" s="34" t="s">
        <v>652</v>
      </c>
      <c r="D540" s="33" t="s">
        <v>1578</v>
      </c>
      <c r="E540" s="34" t="s">
        <v>99</v>
      </c>
      <c r="F540" s="33" t="s">
        <v>1575</v>
      </c>
    </row>
    <row r="541" spans="1:6" ht="27.6" x14ac:dyDescent="0.25">
      <c r="A541" s="33" t="s">
        <v>1579</v>
      </c>
      <c r="B541" s="33" t="s">
        <v>1580</v>
      </c>
      <c r="C541" s="34" t="s">
        <v>652</v>
      </c>
      <c r="D541" s="33" t="s">
        <v>1581</v>
      </c>
      <c r="E541" s="34" t="s">
        <v>99</v>
      </c>
      <c r="F541" s="33" t="s">
        <v>1575</v>
      </c>
    </row>
    <row r="542" spans="1:6" ht="27.6" x14ac:dyDescent="0.25">
      <c r="A542" s="33" t="s">
        <v>1582</v>
      </c>
      <c r="B542" s="33" t="s">
        <v>1583</v>
      </c>
      <c r="C542" s="34" t="s">
        <v>671</v>
      </c>
      <c r="D542" s="33" t="s">
        <v>1584</v>
      </c>
      <c r="E542" s="34" t="s">
        <v>99</v>
      </c>
      <c r="F542" s="33" t="s">
        <v>1585</v>
      </c>
    </row>
    <row r="543" spans="1:6" ht="27.6" x14ac:dyDescent="0.25">
      <c r="A543" s="33" t="s">
        <v>1586</v>
      </c>
      <c r="B543" s="33" t="s">
        <v>1587</v>
      </c>
      <c r="C543" s="34" t="s">
        <v>99</v>
      </c>
      <c r="D543" s="33" t="s">
        <v>99</v>
      </c>
      <c r="E543" s="34" t="s">
        <v>99</v>
      </c>
      <c r="F543" s="33" t="s">
        <v>99</v>
      </c>
    </row>
    <row r="544" spans="1:6" ht="27.6" x14ac:dyDescent="0.25">
      <c r="A544" s="33" t="s">
        <v>1588</v>
      </c>
      <c r="B544" s="33" t="s">
        <v>1589</v>
      </c>
      <c r="C544" s="34" t="s">
        <v>671</v>
      </c>
      <c r="D544" s="33" t="s">
        <v>99</v>
      </c>
      <c r="E544" s="34" t="s">
        <v>99</v>
      </c>
      <c r="F544" s="33" t="s">
        <v>149</v>
      </c>
    </row>
    <row r="545" spans="1:6" ht="27.6" x14ac:dyDescent="0.25">
      <c r="A545" s="33" t="s">
        <v>1590</v>
      </c>
      <c r="B545" s="33" t="s">
        <v>1591</v>
      </c>
      <c r="C545" s="34" t="s">
        <v>99</v>
      </c>
      <c r="D545" s="33" t="s">
        <v>99</v>
      </c>
      <c r="E545" s="34" t="s">
        <v>99</v>
      </c>
      <c r="F545" s="33" t="s">
        <v>99</v>
      </c>
    </row>
    <row r="546" spans="1:6" ht="41.4" x14ac:dyDescent="0.25">
      <c r="A546" s="33" t="s">
        <v>1592</v>
      </c>
      <c r="B546" s="33" t="s">
        <v>1593</v>
      </c>
      <c r="C546" s="34" t="s">
        <v>652</v>
      </c>
      <c r="D546" s="33" t="s">
        <v>1594</v>
      </c>
      <c r="E546" s="34" t="s">
        <v>1595</v>
      </c>
      <c r="F546" s="33" t="s">
        <v>104</v>
      </c>
    </row>
    <row r="547" spans="1:6" ht="27.6" x14ac:dyDescent="0.25">
      <c r="A547" s="33" t="s">
        <v>1596</v>
      </c>
      <c r="B547" s="33" t="s">
        <v>1597</v>
      </c>
      <c r="C547" s="34" t="s">
        <v>652</v>
      </c>
      <c r="D547" s="33" t="s">
        <v>1598</v>
      </c>
      <c r="E547" s="34" t="s">
        <v>99</v>
      </c>
      <c r="F547" s="33" t="s">
        <v>1599</v>
      </c>
    </row>
    <row r="548" spans="1:6" ht="27.6" x14ac:dyDescent="0.25">
      <c r="A548" s="33" t="s">
        <v>1600</v>
      </c>
      <c r="B548" s="33" t="s">
        <v>1601</v>
      </c>
      <c r="C548" s="34" t="s">
        <v>671</v>
      </c>
      <c r="D548" s="33" t="s">
        <v>1598</v>
      </c>
      <c r="E548" s="34" t="s">
        <v>99</v>
      </c>
      <c r="F548" s="33" t="s">
        <v>1599</v>
      </c>
    </row>
    <row r="549" spans="1:6" ht="27.6" x14ac:dyDescent="0.25">
      <c r="A549" s="33" t="s">
        <v>1602</v>
      </c>
      <c r="B549" s="33" t="s">
        <v>1603</v>
      </c>
      <c r="C549" s="34" t="s">
        <v>652</v>
      </c>
      <c r="D549" s="33" t="s">
        <v>1604</v>
      </c>
      <c r="E549" s="34" t="s">
        <v>99</v>
      </c>
      <c r="F549" s="33" t="s">
        <v>1605</v>
      </c>
    </row>
    <row r="550" spans="1:6" ht="41.4" x14ac:dyDescent="0.25">
      <c r="A550" s="33" t="s">
        <v>1606</v>
      </c>
      <c r="B550" s="33" t="s">
        <v>1607</v>
      </c>
      <c r="C550" s="34" t="s">
        <v>671</v>
      </c>
      <c r="D550" s="33" t="s">
        <v>1608</v>
      </c>
      <c r="E550" s="34" t="s">
        <v>99</v>
      </c>
      <c r="F550" s="33" t="s">
        <v>692</v>
      </c>
    </row>
    <row r="551" spans="1:6" ht="27.6" x14ac:dyDescent="0.25">
      <c r="A551" s="33" t="s">
        <v>1609</v>
      </c>
      <c r="B551" s="33" t="s">
        <v>1610</v>
      </c>
      <c r="C551" s="34" t="s">
        <v>671</v>
      </c>
      <c r="D551" s="33" t="s">
        <v>1611</v>
      </c>
      <c r="E551" s="34" t="s">
        <v>99</v>
      </c>
      <c r="F551" s="33" t="s">
        <v>109</v>
      </c>
    </row>
    <row r="552" spans="1:6" ht="27.6" x14ac:dyDescent="0.25">
      <c r="A552" s="33" t="s">
        <v>1612</v>
      </c>
      <c r="B552" s="33" t="s">
        <v>1613</v>
      </c>
      <c r="C552" s="34" t="s">
        <v>652</v>
      </c>
      <c r="D552" s="33" t="s">
        <v>1614</v>
      </c>
      <c r="E552" s="34" t="s">
        <v>99</v>
      </c>
      <c r="F552" s="33" t="s">
        <v>1615</v>
      </c>
    </row>
    <row r="553" spans="1:6" ht="27.6" x14ac:dyDescent="0.25">
      <c r="A553" s="33" t="s">
        <v>1616</v>
      </c>
      <c r="B553" s="33" t="s">
        <v>1617</v>
      </c>
      <c r="C553" s="34" t="s">
        <v>671</v>
      </c>
      <c r="D553" s="33" t="s">
        <v>1618</v>
      </c>
      <c r="E553" s="34" t="s">
        <v>1619</v>
      </c>
      <c r="F553" s="33" t="s">
        <v>149</v>
      </c>
    </row>
    <row r="554" spans="1:6" ht="41.4" x14ac:dyDescent="0.25">
      <c r="A554" s="33" t="s">
        <v>1620</v>
      </c>
      <c r="B554" s="33" t="s">
        <v>1621</v>
      </c>
      <c r="C554" s="34" t="s">
        <v>652</v>
      </c>
      <c r="D554" s="33" t="s">
        <v>1622</v>
      </c>
      <c r="E554" s="34" t="s">
        <v>99</v>
      </c>
      <c r="F554" s="33" t="s">
        <v>104</v>
      </c>
    </row>
    <row r="555" spans="1:6" ht="27.6" x14ac:dyDescent="0.3">
      <c r="A555" s="38" t="s">
        <v>1623</v>
      </c>
      <c r="B555" s="41" t="s">
        <v>1624</v>
      </c>
      <c r="C555" s="39" t="s">
        <v>652</v>
      </c>
      <c r="D555" s="38" t="s">
        <v>1625</v>
      </c>
      <c r="E555" s="41" t="s">
        <v>99</v>
      </c>
      <c r="F555" s="38" t="s">
        <v>1626</v>
      </c>
    </row>
    <row r="556" spans="1:6" ht="27.6" x14ac:dyDescent="0.25">
      <c r="A556" s="26" t="s">
        <v>1627</v>
      </c>
      <c r="B556" s="26" t="s">
        <v>1628</v>
      </c>
      <c r="C556" s="32" t="s">
        <v>166</v>
      </c>
      <c r="D556" s="26" t="s">
        <v>888</v>
      </c>
      <c r="E556" s="32" t="s">
        <v>99</v>
      </c>
      <c r="F556" s="26" t="s">
        <v>889</v>
      </c>
    </row>
    <row r="557" spans="1:6" ht="13.8" x14ac:dyDescent="0.25">
      <c r="A557" s="17" t="s">
        <v>1629</v>
      </c>
      <c r="B557" s="17" t="s">
        <v>1630</v>
      </c>
      <c r="C557" s="18" t="s">
        <v>102</v>
      </c>
      <c r="D557" s="17" t="s">
        <v>888</v>
      </c>
      <c r="E557" s="18" t="s">
        <v>99</v>
      </c>
      <c r="F557" s="17" t="s">
        <v>889</v>
      </c>
    </row>
    <row r="558" spans="1:6" ht="27.6" x14ac:dyDescent="0.25">
      <c r="A558" s="17" t="s">
        <v>55</v>
      </c>
      <c r="B558" s="17" t="s">
        <v>1631</v>
      </c>
      <c r="C558" s="18" t="s">
        <v>102</v>
      </c>
      <c r="D558" s="17" t="s">
        <v>894</v>
      </c>
      <c r="E558" s="18" t="s">
        <v>99</v>
      </c>
      <c r="F558" s="17" t="s">
        <v>202</v>
      </c>
    </row>
    <row r="559" spans="1:6" ht="69" x14ac:dyDescent="0.25">
      <c r="A559" s="17" t="s">
        <v>1632</v>
      </c>
      <c r="B559" s="17" t="s">
        <v>1633</v>
      </c>
      <c r="C559" s="18" t="s">
        <v>652</v>
      </c>
      <c r="D559" s="19"/>
      <c r="E559" s="19"/>
      <c r="F559" s="17" t="s">
        <v>140</v>
      </c>
    </row>
    <row r="560" spans="1:6" ht="69" x14ac:dyDescent="0.25">
      <c r="A560" s="30" t="s">
        <v>1634</v>
      </c>
      <c r="B560" s="30" t="s">
        <v>1635</v>
      </c>
      <c r="C560" s="31" t="s">
        <v>652</v>
      </c>
      <c r="D560" s="42"/>
      <c r="E560" s="42"/>
      <c r="F560" s="30" t="s">
        <v>499</v>
      </c>
    </row>
    <row r="561" spans="1:6" ht="69" x14ac:dyDescent="0.3">
      <c r="A561" s="21" t="s">
        <v>1636</v>
      </c>
      <c r="B561" s="14" t="s">
        <v>1637</v>
      </c>
      <c r="C561" s="16" t="s">
        <v>652</v>
      </c>
      <c r="D561" s="15"/>
      <c r="E561" s="15"/>
      <c r="F561" s="15"/>
    </row>
    <row r="562" spans="1:6" ht="69" x14ac:dyDescent="0.3">
      <c r="A562" s="21" t="s">
        <v>1638</v>
      </c>
      <c r="B562" s="14" t="s">
        <v>1639</v>
      </c>
      <c r="C562" s="16" t="s">
        <v>652</v>
      </c>
      <c r="D562" s="15"/>
      <c r="E562" s="15"/>
      <c r="F562" s="15"/>
    </row>
    <row r="563" spans="1:6" ht="69" x14ac:dyDescent="0.3">
      <c r="A563" s="21" t="s">
        <v>1640</v>
      </c>
      <c r="B563" s="14" t="s">
        <v>1641</v>
      </c>
      <c r="C563" s="16" t="s">
        <v>652</v>
      </c>
      <c r="D563" s="15"/>
      <c r="E563" s="15"/>
      <c r="F563" s="15"/>
    </row>
    <row r="564" spans="1:6" ht="55.2" x14ac:dyDescent="0.3">
      <c r="A564" s="21" t="s">
        <v>1642</v>
      </c>
      <c r="B564" s="14" t="s">
        <v>1643</v>
      </c>
      <c r="C564" s="16" t="s">
        <v>652</v>
      </c>
      <c r="D564" s="15"/>
      <c r="E564" s="15"/>
      <c r="F564" s="14" t="s">
        <v>608</v>
      </c>
    </row>
    <row r="565" spans="1:6" ht="55.2" x14ac:dyDescent="0.25">
      <c r="A565" s="14" t="s">
        <v>1644</v>
      </c>
      <c r="B565" s="14" t="s">
        <v>1645</v>
      </c>
      <c r="C565" s="16" t="s">
        <v>652</v>
      </c>
      <c r="D565" s="15"/>
      <c r="E565" s="15"/>
      <c r="F565" s="14" t="s">
        <v>608</v>
      </c>
    </row>
    <row r="566" spans="1:6" ht="82.8" x14ac:dyDescent="0.3">
      <c r="A566" s="28" t="s">
        <v>1646</v>
      </c>
      <c r="B566" s="26" t="s">
        <v>1647</v>
      </c>
      <c r="C566" s="32" t="s">
        <v>652</v>
      </c>
      <c r="D566" s="27"/>
      <c r="E566" s="27"/>
      <c r="F566" s="27"/>
    </row>
    <row r="567" spans="1:6" ht="27.6" x14ac:dyDescent="0.25">
      <c r="A567" s="17" t="s">
        <v>35</v>
      </c>
      <c r="B567" s="17" t="s">
        <v>1648</v>
      </c>
      <c r="C567" s="18" t="s">
        <v>102</v>
      </c>
      <c r="D567" s="17" t="s">
        <v>897</v>
      </c>
      <c r="E567" s="18" t="s">
        <v>898</v>
      </c>
      <c r="F567" s="17" t="s">
        <v>104</v>
      </c>
    </row>
    <row r="568" spans="1:6" ht="27.6" x14ac:dyDescent="0.25">
      <c r="A568" s="17" t="s">
        <v>1649</v>
      </c>
      <c r="B568" s="17" t="s">
        <v>1650</v>
      </c>
      <c r="C568" s="18" t="s">
        <v>102</v>
      </c>
      <c r="D568" s="17" t="s">
        <v>901</v>
      </c>
      <c r="E568" s="18" t="s">
        <v>99</v>
      </c>
      <c r="F568" s="17" t="s">
        <v>104</v>
      </c>
    </row>
    <row r="569" spans="1:6" ht="27.6" x14ac:dyDescent="0.25">
      <c r="A569" s="17" t="s">
        <v>1651</v>
      </c>
      <c r="B569" s="17" t="s">
        <v>1652</v>
      </c>
      <c r="C569" s="18" t="s">
        <v>102</v>
      </c>
      <c r="D569" s="17" t="s">
        <v>904</v>
      </c>
      <c r="E569" s="18" t="s">
        <v>99</v>
      </c>
      <c r="F569" s="17" t="s">
        <v>104</v>
      </c>
    </row>
    <row r="570" spans="1:6" ht="27.6" x14ac:dyDescent="0.25">
      <c r="A570" s="29" t="s">
        <v>1653</v>
      </c>
      <c r="B570" s="17" t="s">
        <v>1654</v>
      </c>
      <c r="C570" s="18" t="s">
        <v>102</v>
      </c>
      <c r="D570" s="17" t="s">
        <v>901</v>
      </c>
      <c r="E570" s="18" t="s">
        <v>99</v>
      </c>
      <c r="F570" s="17" t="s">
        <v>104</v>
      </c>
    </row>
    <row r="571" spans="1:6" ht="27.6" x14ac:dyDescent="0.25">
      <c r="A571" s="17" t="s">
        <v>1655</v>
      </c>
      <c r="B571" s="17" t="s">
        <v>1656</v>
      </c>
      <c r="C571" s="18" t="s">
        <v>102</v>
      </c>
      <c r="D571" s="17" t="s">
        <v>909</v>
      </c>
      <c r="E571" s="18" t="s">
        <v>99</v>
      </c>
      <c r="F571" s="17" t="s">
        <v>529</v>
      </c>
    </row>
    <row r="572" spans="1:6" ht="27.6" x14ac:dyDescent="0.25">
      <c r="A572" s="17" t="s">
        <v>1657</v>
      </c>
      <c r="B572" s="17" t="s">
        <v>1658</v>
      </c>
      <c r="C572" s="18" t="s">
        <v>102</v>
      </c>
      <c r="D572" s="17" t="s">
        <v>912</v>
      </c>
      <c r="E572" s="18" t="s">
        <v>99</v>
      </c>
      <c r="F572" s="17" t="s">
        <v>529</v>
      </c>
    </row>
    <row r="573" spans="1:6" ht="27.6" x14ac:dyDescent="0.25">
      <c r="A573" s="17" t="s">
        <v>1659</v>
      </c>
      <c r="B573" s="17" t="s">
        <v>1660</v>
      </c>
      <c r="C573" s="18" t="s">
        <v>102</v>
      </c>
      <c r="D573" s="17" t="s">
        <v>1661</v>
      </c>
      <c r="E573" s="18" t="s">
        <v>99</v>
      </c>
      <c r="F573" s="17" t="s">
        <v>997</v>
      </c>
    </row>
    <row r="574" spans="1:6" ht="27.6" x14ac:dyDescent="0.25">
      <c r="A574" s="17" t="s">
        <v>1662</v>
      </c>
      <c r="B574" s="17" t="s">
        <v>1663</v>
      </c>
      <c r="C574" s="18" t="s">
        <v>102</v>
      </c>
      <c r="D574" s="17" t="s">
        <v>1664</v>
      </c>
      <c r="E574" s="19"/>
      <c r="F574" s="17" t="s">
        <v>265</v>
      </c>
    </row>
    <row r="575" spans="1:6" ht="27.6" x14ac:dyDescent="0.25">
      <c r="A575" s="17" t="s">
        <v>1665</v>
      </c>
      <c r="B575" s="17" t="s">
        <v>1666</v>
      </c>
      <c r="C575" s="18" t="s">
        <v>102</v>
      </c>
      <c r="D575" s="17" t="s">
        <v>917</v>
      </c>
      <c r="E575" s="18" t="s">
        <v>99</v>
      </c>
      <c r="F575" s="17" t="s">
        <v>353</v>
      </c>
    </row>
    <row r="576" spans="1:6" ht="27.6" x14ac:dyDescent="0.25">
      <c r="A576" s="17" t="s">
        <v>1667</v>
      </c>
      <c r="B576" s="17" t="s">
        <v>1668</v>
      </c>
      <c r="C576" s="18" t="s">
        <v>102</v>
      </c>
      <c r="D576" s="17" t="s">
        <v>1669</v>
      </c>
      <c r="E576" s="19"/>
      <c r="F576" s="17" t="s">
        <v>360</v>
      </c>
    </row>
    <row r="577" spans="1:6" ht="27.6" x14ac:dyDescent="0.25">
      <c r="A577" s="17" t="s">
        <v>1670</v>
      </c>
      <c r="B577" s="17" t="s">
        <v>1671</v>
      </c>
      <c r="C577" s="18" t="s">
        <v>102</v>
      </c>
      <c r="D577" s="17" t="s">
        <v>1224</v>
      </c>
      <c r="E577" s="19"/>
      <c r="F577" s="17" t="s">
        <v>1226</v>
      </c>
    </row>
    <row r="578" spans="1:6" ht="27.6" x14ac:dyDescent="0.25">
      <c r="A578" s="17" t="s">
        <v>1672</v>
      </c>
      <c r="B578" s="17" t="s">
        <v>1671</v>
      </c>
      <c r="C578" s="18" t="s">
        <v>102</v>
      </c>
      <c r="D578" s="17" t="s">
        <v>1224</v>
      </c>
      <c r="E578" s="18" t="s">
        <v>1225</v>
      </c>
      <c r="F578" s="17" t="s">
        <v>1226</v>
      </c>
    </row>
    <row r="579" spans="1:6" ht="27.6" x14ac:dyDescent="0.25">
      <c r="A579" s="17" t="s">
        <v>1673</v>
      </c>
      <c r="B579" s="17" t="s">
        <v>1674</v>
      </c>
      <c r="C579" s="18" t="s">
        <v>102</v>
      </c>
      <c r="D579" s="17" t="s">
        <v>1675</v>
      </c>
      <c r="E579" s="19"/>
      <c r="F579" s="17" t="s">
        <v>149</v>
      </c>
    </row>
    <row r="580" spans="1:6" ht="27.6" x14ac:dyDescent="0.25">
      <c r="A580" s="17" t="s">
        <v>1676</v>
      </c>
      <c r="B580" s="17" t="s">
        <v>1677</v>
      </c>
      <c r="C580" s="18" t="s">
        <v>102</v>
      </c>
      <c r="D580" s="17" t="s">
        <v>920</v>
      </c>
      <c r="E580" s="18" t="s">
        <v>99</v>
      </c>
      <c r="F580" s="17" t="s">
        <v>149</v>
      </c>
    </row>
    <row r="581" spans="1:6" ht="27.6" x14ac:dyDescent="0.25">
      <c r="A581" s="30" t="s">
        <v>1678</v>
      </c>
      <c r="B581" s="30" t="s">
        <v>1679</v>
      </c>
      <c r="C581" s="31" t="s">
        <v>102</v>
      </c>
      <c r="D581" s="30" t="s">
        <v>1680</v>
      </c>
      <c r="E581" s="42"/>
      <c r="F581" s="30" t="s">
        <v>194</v>
      </c>
    </row>
    <row r="582" spans="1:6" ht="55.2" x14ac:dyDescent="0.25">
      <c r="A582" s="14" t="s">
        <v>1681</v>
      </c>
      <c r="B582" s="14" t="s">
        <v>1682</v>
      </c>
      <c r="C582" s="16" t="s">
        <v>102</v>
      </c>
      <c r="D582" s="15"/>
      <c r="E582" s="15"/>
      <c r="F582" s="15"/>
    </row>
    <row r="583" spans="1:6" ht="55.2" x14ac:dyDescent="0.25">
      <c r="A583" s="14" t="s">
        <v>1681</v>
      </c>
      <c r="B583" s="14" t="s">
        <v>1682</v>
      </c>
      <c r="C583" s="16" t="s">
        <v>102</v>
      </c>
      <c r="D583" s="14" t="s">
        <v>139</v>
      </c>
      <c r="E583" s="15"/>
      <c r="F583" s="14" t="s">
        <v>140</v>
      </c>
    </row>
    <row r="584" spans="1:6" ht="55.2" x14ac:dyDescent="0.25">
      <c r="A584" s="14" t="s">
        <v>1683</v>
      </c>
      <c r="B584" s="14" t="s">
        <v>1684</v>
      </c>
      <c r="C584" s="16" t="s">
        <v>102</v>
      </c>
      <c r="D584" s="15"/>
      <c r="E584" s="15"/>
      <c r="F584" s="15"/>
    </row>
    <row r="585" spans="1:6" ht="55.2" x14ac:dyDescent="0.25">
      <c r="A585" s="14" t="s">
        <v>1683</v>
      </c>
      <c r="B585" s="14" t="s">
        <v>1684</v>
      </c>
      <c r="C585" s="16" t="s">
        <v>102</v>
      </c>
      <c r="D585" s="14" t="s">
        <v>234</v>
      </c>
      <c r="E585" s="15"/>
      <c r="F585" s="14" t="s">
        <v>104</v>
      </c>
    </row>
    <row r="586" spans="1:6" ht="55.2" x14ac:dyDescent="0.25">
      <c r="A586" s="14" t="s">
        <v>1685</v>
      </c>
      <c r="B586" s="14" t="s">
        <v>1686</v>
      </c>
      <c r="C586" s="16" t="s">
        <v>102</v>
      </c>
      <c r="D586" s="15"/>
      <c r="E586" s="15"/>
      <c r="F586" s="14" t="s">
        <v>433</v>
      </c>
    </row>
    <row r="587" spans="1:6" ht="55.2" x14ac:dyDescent="0.25">
      <c r="A587" s="14" t="s">
        <v>1687</v>
      </c>
      <c r="B587" s="14" t="s">
        <v>1688</v>
      </c>
      <c r="C587" s="16" t="s">
        <v>102</v>
      </c>
      <c r="D587" s="15"/>
      <c r="E587" s="15"/>
      <c r="F587" s="15"/>
    </row>
    <row r="588" spans="1:6" ht="41.4" x14ac:dyDescent="0.25">
      <c r="A588" s="14" t="s">
        <v>1689</v>
      </c>
      <c r="B588" s="14" t="s">
        <v>1690</v>
      </c>
      <c r="C588" s="16" t="s">
        <v>102</v>
      </c>
      <c r="D588" s="14" t="s">
        <v>1691</v>
      </c>
      <c r="E588" s="15"/>
      <c r="F588" s="14" t="s">
        <v>104</v>
      </c>
    </row>
    <row r="589" spans="1:6" ht="55.2" x14ac:dyDescent="0.25">
      <c r="A589" s="14" t="s">
        <v>1692</v>
      </c>
      <c r="B589" s="14" t="s">
        <v>1693</v>
      </c>
      <c r="C589" s="16" t="s">
        <v>102</v>
      </c>
      <c r="D589" s="14" t="s">
        <v>968</v>
      </c>
      <c r="E589" s="15"/>
      <c r="F589" s="14" t="s">
        <v>499</v>
      </c>
    </row>
    <row r="590" spans="1:6" ht="55.2" x14ac:dyDescent="0.25">
      <c r="A590" s="14" t="s">
        <v>1694</v>
      </c>
      <c r="B590" s="14" t="s">
        <v>1695</v>
      </c>
      <c r="C590" s="16" t="s">
        <v>102</v>
      </c>
      <c r="D590" s="15"/>
      <c r="E590" s="15"/>
      <c r="F590" s="15"/>
    </row>
    <row r="591" spans="1:6" ht="41.4" x14ac:dyDescent="0.25">
      <c r="A591" s="14" t="s">
        <v>1696</v>
      </c>
      <c r="B591" s="14" t="s">
        <v>1697</v>
      </c>
      <c r="C591" s="16" t="s">
        <v>102</v>
      </c>
      <c r="D591" s="15"/>
      <c r="E591" s="15"/>
      <c r="F591" s="15"/>
    </row>
    <row r="592" spans="1:6" ht="55.2" x14ac:dyDescent="0.25">
      <c r="A592" s="14" t="s">
        <v>1698</v>
      </c>
      <c r="B592" s="14" t="s">
        <v>1699</v>
      </c>
      <c r="C592" s="16" t="s">
        <v>102</v>
      </c>
      <c r="D592" s="15"/>
      <c r="E592" s="15"/>
      <c r="F592" s="14" t="s">
        <v>1191</v>
      </c>
    </row>
    <row r="593" spans="1:6" ht="55.2" x14ac:dyDescent="0.25">
      <c r="A593" s="14" t="s">
        <v>1700</v>
      </c>
      <c r="B593" s="14" t="s">
        <v>1701</v>
      </c>
      <c r="C593" s="16" t="s">
        <v>102</v>
      </c>
      <c r="D593" s="15"/>
      <c r="E593" s="15"/>
      <c r="F593" s="15"/>
    </row>
    <row r="594" spans="1:6" ht="55.2" x14ac:dyDescent="0.25">
      <c r="A594" s="14" t="s">
        <v>1700</v>
      </c>
      <c r="B594" s="14" t="s">
        <v>1702</v>
      </c>
      <c r="C594" s="16" t="s">
        <v>102</v>
      </c>
      <c r="D594" s="15"/>
      <c r="E594" s="15"/>
      <c r="F594" s="14" t="s">
        <v>1195</v>
      </c>
    </row>
    <row r="595" spans="1:6" ht="41.4" x14ac:dyDescent="0.25">
      <c r="A595" s="14" t="s">
        <v>1703</v>
      </c>
      <c r="B595" s="14" t="s">
        <v>1704</v>
      </c>
      <c r="C595" s="16" t="s">
        <v>102</v>
      </c>
      <c r="D595" s="14" t="s">
        <v>1705</v>
      </c>
      <c r="E595" s="15"/>
      <c r="F595" s="14" t="s">
        <v>1226</v>
      </c>
    </row>
    <row r="596" spans="1:6" ht="41.4" x14ac:dyDescent="0.25">
      <c r="A596" s="14" t="s">
        <v>1706</v>
      </c>
      <c r="B596" s="14" t="s">
        <v>1707</v>
      </c>
      <c r="C596" s="16" t="s">
        <v>102</v>
      </c>
      <c r="D596" s="14" t="s">
        <v>1360</v>
      </c>
      <c r="E596" s="15"/>
      <c r="F596" s="14" t="s">
        <v>1361</v>
      </c>
    </row>
    <row r="597" spans="1:6" ht="41.4" x14ac:dyDescent="0.25">
      <c r="A597" s="14" t="s">
        <v>1708</v>
      </c>
      <c r="B597" s="14" t="s">
        <v>1709</v>
      </c>
      <c r="C597" s="16" t="s">
        <v>102</v>
      </c>
      <c r="D597" s="15"/>
      <c r="E597" s="15"/>
      <c r="F597" s="15"/>
    </row>
    <row r="598" spans="1:6" ht="41.4" x14ac:dyDescent="0.25">
      <c r="A598" s="14" t="s">
        <v>1710</v>
      </c>
      <c r="B598" s="14" t="s">
        <v>1711</v>
      </c>
      <c r="C598" s="16" t="s">
        <v>102</v>
      </c>
      <c r="D598" s="14" t="s">
        <v>1379</v>
      </c>
      <c r="E598" s="15"/>
      <c r="F598" s="14" t="s">
        <v>1195</v>
      </c>
    </row>
    <row r="599" spans="1:6" ht="41.4" x14ac:dyDescent="0.25">
      <c r="A599" s="14" t="s">
        <v>1712</v>
      </c>
      <c r="B599" s="14" t="s">
        <v>1713</v>
      </c>
      <c r="C599" s="16" t="s">
        <v>102</v>
      </c>
      <c r="D599" s="15"/>
      <c r="E599" s="15"/>
      <c r="F599" s="14" t="s">
        <v>608</v>
      </c>
    </row>
    <row r="600" spans="1:6" ht="41.4" x14ac:dyDescent="0.25">
      <c r="A600" s="26" t="s">
        <v>1714</v>
      </c>
      <c r="B600" s="26" t="s">
        <v>1715</v>
      </c>
      <c r="C600" s="32" t="s">
        <v>102</v>
      </c>
      <c r="D600" s="27"/>
      <c r="E600" s="27"/>
      <c r="F600" s="27"/>
    </row>
    <row r="601" spans="1:6" ht="27.6" x14ac:dyDescent="0.25">
      <c r="A601" s="17" t="s">
        <v>1716</v>
      </c>
      <c r="B601" s="17" t="s">
        <v>1717</v>
      </c>
      <c r="C601" s="18" t="s">
        <v>102</v>
      </c>
      <c r="D601" s="17" t="s">
        <v>923</v>
      </c>
      <c r="E601" s="18" t="s">
        <v>99</v>
      </c>
      <c r="F601" s="17" t="s">
        <v>572</v>
      </c>
    </row>
    <row r="602" spans="1:6" ht="41.4" x14ac:dyDescent="0.25">
      <c r="A602" s="17" t="s">
        <v>1718</v>
      </c>
      <c r="B602" s="17" t="s">
        <v>1719</v>
      </c>
      <c r="C602" s="18" t="s">
        <v>102</v>
      </c>
      <c r="D602" s="17" t="s">
        <v>1720</v>
      </c>
      <c r="E602" s="18" t="s">
        <v>99</v>
      </c>
      <c r="F602" s="17" t="s">
        <v>572</v>
      </c>
    </row>
    <row r="603" spans="1:6" ht="27.6" x14ac:dyDescent="0.25">
      <c r="A603" s="17" t="s">
        <v>1721</v>
      </c>
      <c r="B603" s="17" t="s">
        <v>1722</v>
      </c>
      <c r="C603" s="18" t="s">
        <v>102</v>
      </c>
      <c r="D603" s="17" t="s">
        <v>928</v>
      </c>
      <c r="E603" s="18" t="s">
        <v>99</v>
      </c>
      <c r="F603" s="17" t="s">
        <v>572</v>
      </c>
    </row>
    <row r="604" spans="1:6" ht="27.6" x14ac:dyDescent="0.25">
      <c r="A604" s="30" t="s">
        <v>1723</v>
      </c>
      <c r="B604" s="30" t="s">
        <v>1724</v>
      </c>
      <c r="C604" s="31" t="s">
        <v>102</v>
      </c>
      <c r="D604" s="30" t="s">
        <v>1725</v>
      </c>
      <c r="E604" s="42"/>
      <c r="F604" s="30" t="s">
        <v>572</v>
      </c>
    </row>
    <row r="605" spans="1:6" ht="27.6" x14ac:dyDescent="0.25">
      <c r="A605" s="14" t="s">
        <v>1726</v>
      </c>
      <c r="B605" s="14" t="s">
        <v>1727</v>
      </c>
      <c r="C605" s="16" t="s">
        <v>166</v>
      </c>
      <c r="D605" s="14" t="s">
        <v>1728</v>
      </c>
      <c r="E605" s="16" t="s">
        <v>99</v>
      </c>
      <c r="F605" s="14" t="s">
        <v>269</v>
      </c>
    </row>
    <row r="606" spans="1:6" ht="27.6" x14ac:dyDescent="0.25">
      <c r="A606" s="26" t="s">
        <v>1729</v>
      </c>
      <c r="B606" s="26" t="s">
        <v>1730</v>
      </c>
      <c r="C606" s="32" t="s">
        <v>166</v>
      </c>
      <c r="D606" s="26" t="s">
        <v>1731</v>
      </c>
      <c r="E606" s="27"/>
      <c r="F606" s="26" t="s">
        <v>149</v>
      </c>
    </row>
    <row r="607" spans="1:6" ht="27.6" x14ac:dyDescent="0.25">
      <c r="A607" s="17" t="s">
        <v>1732</v>
      </c>
      <c r="B607" s="17" t="s">
        <v>1733</v>
      </c>
      <c r="C607" s="18" t="s">
        <v>102</v>
      </c>
      <c r="D607" s="17" t="s">
        <v>1734</v>
      </c>
      <c r="E607" s="19"/>
      <c r="F607" s="17" t="s">
        <v>997</v>
      </c>
    </row>
    <row r="608" spans="1:6" ht="27.6" x14ac:dyDescent="0.25">
      <c r="A608" s="17" t="s">
        <v>1735</v>
      </c>
      <c r="B608" s="17" t="s">
        <v>1736</v>
      </c>
      <c r="C608" s="18" t="s">
        <v>102</v>
      </c>
      <c r="D608" s="17" t="s">
        <v>1737</v>
      </c>
      <c r="E608" s="19"/>
      <c r="F608" s="17" t="s">
        <v>401</v>
      </c>
    </row>
    <row r="609" spans="1:6" ht="27.6" x14ac:dyDescent="0.25">
      <c r="A609" s="17" t="s">
        <v>1738</v>
      </c>
      <c r="B609" s="17" t="s">
        <v>1739</v>
      </c>
      <c r="C609" s="18" t="s">
        <v>102</v>
      </c>
      <c r="D609" s="17" t="s">
        <v>931</v>
      </c>
      <c r="E609" s="18" t="s">
        <v>932</v>
      </c>
      <c r="F609" s="17" t="s">
        <v>149</v>
      </c>
    </row>
    <row r="610" spans="1:6" ht="27.6" x14ac:dyDescent="0.25">
      <c r="A610" s="17" t="s">
        <v>1740</v>
      </c>
      <c r="B610" s="17" t="s">
        <v>1741</v>
      </c>
      <c r="C610" s="18" t="s">
        <v>102</v>
      </c>
      <c r="D610" s="17" t="s">
        <v>935</v>
      </c>
      <c r="E610" s="18" t="s">
        <v>99</v>
      </c>
      <c r="F610" s="17" t="s">
        <v>149</v>
      </c>
    </row>
    <row r="611" spans="1:6" ht="27.6" x14ac:dyDescent="0.25">
      <c r="A611" s="17" t="s">
        <v>1742</v>
      </c>
      <c r="B611" s="17" t="s">
        <v>1743</v>
      </c>
      <c r="C611" s="18" t="s">
        <v>102</v>
      </c>
      <c r="D611" s="17" t="s">
        <v>938</v>
      </c>
      <c r="E611" s="18" t="s">
        <v>99</v>
      </c>
      <c r="F611" s="17" t="s">
        <v>186</v>
      </c>
    </row>
    <row r="612" spans="1:6" ht="27.6" x14ac:dyDescent="0.25">
      <c r="A612" s="17" t="s">
        <v>1744</v>
      </c>
      <c r="B612" s="17" t="s">
        <v>1745</v>
      </c>
      <c r="C612" s="18" t="s">
        <v>102</v>
      </c>
      <c r="D612" s="17" t="s">
        <v>941</v>
      </c>
      <c r="E612" s="18" t="s">
        <v>99</v>
      </c>
      <c r="F612" s="17" t="s">
        <v>104</v>
      </c>
    </row>
    <row r="613" spans="1:6" ht="27.6" x14ac:dyDescent="0.25">
      <c r="A613" s="17" t="s">
        <v>1746</v>
      </c>
      <c r="B613" s="17" t="s">
        <v>1747</v>
      </c>
      <c r="C613" s="18" t="s">
        <v>102</v>
      </c>
      <c r="D613" s="17" t="s">
        <v>944</v>
      </c>
      <c r="E613" s="18" t="s">
        <v>99</v>
      </c>
      <c r="F613" s="17" t="s">
        <v>104</v>
      </c>
    </row>
    <row r="614" spans="1:6" ht="27.6" x14ac:dyDescent="0.25">
      <c r="A614" s="17" t="s">
        <v>1748</v>
      </c>
      <c r="B614" s="17" t="s">
        <v>1749</v>
      </c>
      <c r="C614" s="18" t="s">
        <v>102</v>
      </c>
      <c r="D614" s="17" t="s">
        <v>947</v>
      </c>
      <c r="E614" s="18" t="s">
        <v>99</v>
      </c>
      <c r="F614" s="17" t="s">
        <v>376</v>
      </c>
    </row>
    <row r="615" spans="1:6" ht="41.4" x14ac:dyDescent="0.25">
      <c r="A615" s="17" t="s">
        <v>1750</v>
      </c>
      <c r="B615" s="17" t="s">
        <v>1751</v>
      </c>
      <c r="C615" s="18" t="s">
        <v>102</v>
      </c>
      <c r="D615" s="17" t="s">
        <v>947</v>
      </c>
      <c r="E615" s="18" t="s">
        <v>99</v>
      </c>
      <c r="F615" s="17" t="s">
        <v>376</v>
      </c>
    </row>
    <row r="616" spans="1:6" ht="41.4" x14ac:dyDescent="0.25">
      <c r="A616" s="17" t="s">
        <v>1752</v>
      </c>
      <c r="B616" s="17" t="s">
        <v>1753</v>
      </c>
      <c r="C616" s="18" t="s">
        <v>102</v>
      </c>
      <c r="D616" s="17" t="s">
        <v>947</v>
      </c>
      <c r="E616" s="18" t="s">
        <v>99</v>
      </c>
      <c r="F616" s="17" t="s">
        <v>376</v>
      </c>
    </row>
    <row r="617" spans="1:6" ht="27.6" x14ac:dyDescent="0.25">
      <c r="A617" s="17" t="s">
        <v>1754</v>
      </c>
      <c r="B617" s="17" t="s">
        <v>1755</v>
      </c>
      <c r="C617" s="18" t="s">
        <v>102</v>
      </c>
      <c r="D617" s="17" t="s">
        <v>954</v>
      </c>
      <c r="E617" s="18" t="s">
        <v>99</v>
      </c>
      <c r="F617" s="17" t="s">
        <v>376</v>
      </c>
    </row>
    <row r="618" spans="1:6" ht="27.6" x14ac:dyDescent="0.25">
      <c r="A618" s="43" t="s">
        <v>1756</v>
      </c>
      <c r="B618" s="43" t="s">
        <v>1757</v>
      </c>
      <c r="C618" s="44" t="s">
        <v>166</v>
      </c>
      <c r="D618" s="45"/>
      <c r="E618" s="45"/>
      <c r="F618" s="43" t="s">
        <v>104</v>
      </c>
    </row>
    <row r="619" spans="1:6" ht="27.6" x14ac:dyDescent="0.25">
      <c r="A619" s="17" t="s">
        <v>1758</v>
      </c>
      <c r="B619" s="17" t="s">
        <v>1759</v>
      </c>
      <c r="C619" s="18" t="s">
        <v>102</v>
      </c>
      <c r="D619" s="17" t="s">
        <v>555</v>
      </c>
      <c r="E619" s="19"/>
      <c r="F619" s="17" t="s">
        <v>104</v>
      </c>
    </row>
    <row r="620" spans="1:6" ht="27.6" x14ac:dyDescent="0.25">
      <c r="A620" s="17" t="s">
        <v>1760</v>
      </c>
      <c r="B620" s="17" t="s">
        <v>1761</v>
      </c>
      <c r="C620" s="18" t="s">
        <v>102</v>
      </c>
      <c r="D620" s="17" t="s">
        <v>957</v>
      </c>
      <c r="E620" s="18" t="s">
        <v>99</v>
      </c>
      <c r="F620" s="17" t="s">
        <v>104</v>
      </c>
    </row>
    <row r="621" spans="1:6" ht="27.6" x14ac:dyDescent="0.25">
      <c r="A621" s="17" t="s">
        <v>1762</v>
      </c>
      <c r="B621" s="17" t="s">
        <v>1763</v>
      </c>
      <c r="C621" s="18" t="s">
        <v>102</v>
      </c>
      <c r="D621" s="17" t="s">
        <v>960</v>
      </c>
      <c r="E621" s="18" t="s">
        <v>99</v>
      </c>
      <c r="F621" s="17" t="s">
        <v>186</v>
      </c>
    </row>
    <row r="622" spans="1:6" ht="27.6" x14ac:dyDescent="0.25">
      <c r="A622" s="17" t="s">
        <v>1764</v>
      </c>
      <c r="B622" s="17" t="s">
        <v>1765</v>
      </c>
      <c r="C622" s="18" t="s">
        <v>102</v>
      </c>
      <c r="D622" s="17" t="s">
        <v>963</v>
      </c>
      <c r="E622" s="18" t="s">
        <v>99</v>
      </c>
      <c r="F622" s="17" t="s">
        <v>499</v>
      </c>
    </row>
    <row r="623" spans="1:6" ht="27.6" x14ac:dyDescent="0.25">
      <c r="A623" s="17" t="s">
        <v>73</v>
      </c>
      <c r="B623" s="17" t="s">
        <v>1766</v>
      </c>
      <c r="C623" s="18" t="s">
        <v>102</v>
      </c>
      <c r="D623" s="17" t="s">
        <v>968</v>
      </c>
      <c r="E623" s="18" t="s">
        <v>99</v>
      </c>
      <c r="F623" s="17" t="s">
        <v>499</v>
      </c>
    </row>
    <row r="624" spans="1:6" ht="41.4" x14ac:dyDescent="0.25">
      <c r="A624" s="17" t="s">
        <v>1767</v>
      </c>
      <c r="B624" s="17" t="s">
        <v>1768</v>
      </c>
      <c r="C624" s="18" t="s">
        <v>102</v>
      </c>
      <c r="D624" s="17" t="s">
        <v>968</v>
      </c>
      <c r="E624" s="18" t="s">
        <v>99</v>
      </c>
      <c r="F624" s="17" t="s">
        <v>499</v>
      </c>
    </row>
    <row r="625" spans="1:6" ht="27.6" x14ac:dyDescent="0.25">
      <c r="A625" s="17" t="s">
        <v>1769</v>
      </c>
      <c r="B625" s="17" t="s">
        <v>1770</v>
      </c>
      <c r="C625" s="18" t="s">
        <v>102</v>
      </c>
      <c r="D625" s="19"/>
      <c r="E625" s="19"/>
      <c r="F625" s="17" t="s">
        <v>157</v>
      </c>
    </row>
    <row r="626" spans="1:6" ht="27.6" x14ac:dyDescent="0.25">
      <c r="A626" s="17" t="s">
        <v>1771</v>
      </c>
      <c r="B626" s="17" t="s">
        <v>1772</v>
      </c>
      <c r="C626" s="18" t="s">
        <v>102</v>
      </c>
      <c r="D626" s="17" t="s">
        <v>1773</v>
      </c>
      <c r="E626" s="18" t="s">
        <v>99</v>
      </c>
      <c r="F626" s="17" t="s">
        <v>104</v>
      </c>
    </row>
    <row r="627" spans="1:6" ht="27.6" x14ac:dyDescent="0.25">
      <c r="A627" s="17" t="s">
        <v>1774</v>
      </c>
      <c r="B627" s="17" t="s">
        <v>1775</v>
      </c>
      <c r="C627" s="18" t="s">
        <v>102</v>
      </c>
      <c r="D627" s="17" t="s">
        <v>971</v>
      </c>
      <c r="E627" s="18" t="s">
        <v>99</v>
      </c>
      <c r="F627" s="17" t="s">
        <v>104</v>
      </c>
    </row>
    <row r="628" spans="1:6" ht="27.6" x14ac:dyDescent="0.25">
      <c r="A628" s="17" t="s">
        <v>1776</v>
      </c>
      <c r="B628" s="17" t="s">
        <v>1777</v>
      </c>
      <c r="C628" s="18" t="s">
        <v>102</v>
      </c>
      <c r="D628" s="17" t="s">
        <v>974</v>
      </c>
      <c r="E628" s="18" t="s">
        <v>99</v>
      </c>
      <c r="F628" s="17" t="s">
        <v>104</v>
      </c>
    </row>
    <row r="629" spans="1:6" ht="27.6" x14ac:dyDescent="0.25">
      <c r="A629" s="30" t="s">
        <v>1778</v>
      </c>
      <c r="B629" s="30" t="s">
        <v>1779</v>
      </c>
      <c r="C629" s="31" t="s">
        <v>102</v>
      </c>
      <c r="D629" s="30" t="s">
        <v>977</v>
      </c>
      <c r="E629" s="31" t="s">
        <v>99</v>
      </c>
      <c r="F629" s="30" t="s">
        <v>157</v>
      </c>
    </row>
    <row r="630" spans="1:6" ht="27.6" x14ac:dyDescent="0.3">
      <c r="A630" s="14" t="s">
        <v>53</v>
      </c>
      <c r="B630" s="21" t="s">
        <v>1780</v>
      </c>
      <c r="C630" s="16" t="s">
        <v>166</v>
      </c>
      <c r="D630" s="14" t="s">
        <v>980</v>
      </c>
      <c r="E630" s="16" t="s">
        <v>99</v>
      </c>
      <c r="F630" s="14" t="s">
        <v>981</v>
      </c>
    </row>
    <row r="631" spans="1:6" ht="27.6" x14ac:dyDescent="0.3">
      <c r="A631" s="14" t="s">
        <v>1781</v>
      </c>
      <c r="B631" s="21" t="s">
        <v>1782</v>
      </c>
      <c r="C631" s="16" t="s">
        <v>166</v>
      </c>
      <c r="D631" s="14" t="s">
        <v>984</v>
      </c>
      <c r="E631" s="16" t="s">
        <v>99</v>
      </c>
      <c r="F631" s="14" t="s">
        <v>981</v>
      </c>
    </row>
    <row r="632" spans="1:6" ht="27.6" x14ac:dyDescent="0.3">
      <c r="A632" s="14" t="s">
        <v>34</v>
      </c>
      <c r="B632" s="21" t="s">
        <v>1783</v>
      </c>
      <c r="C632" s="16" t="s">
        <v>166</v>
      </c>
      <c r="D632" s="14" t="s">
        <v>987</v>
      </c>
      <c r="E632" s="16" t="s">
        <v>99</v>
      </c>
      <c r="F632" s="14" t="s">
        <v>981</v>
      </c>
    </row>
    <row r="633" spans="1:6" ht="27.6" x14ac:dyDescent="0.3">
      <c r="A633" s="14" t="s">
        <v>30</v>
      </c>
      <c r="B633" s="21" t="s">
        <v>1784</v>
      </c>
      <c r="C633" s="16" t="s">
        <v>166</v>
      </c>
      <c r="D633" s="14" t="s">
        <v>990</v>
      </c>
      <c r="E633" s="16" t="s">
        <v>99</v>
      </c>
      <c r="F633" s="14" t="s">
        <v>981</v>
      </c>
    </row>
    <row r="634" spans="1:6" ht="27.6" x14ac:dyDescent="0.25">
      <c r="A634" s="26" t="s">
        <v>80</v>
      </c>
      <c r="B634" s="26" t="s">
        <v>1785</v>
      </c>
      <c r="C634" s="32" t="s">
        <v>166</v>
      </c>
      <c r="D634" s="26" t="s">
        <v>993</v>
      </c>
      <c r="E634" s="32" t="s">
        <v>99</v>
      </c>
      <c r="F634" s="26" t="s">
        <v>981</v>
      </c>
    </row>
    <row r="635" spans="1:6" ht="27.6" x14ac:dyDescent="0.25">
      <c r="A635" s="17" t="s">
        <v>1786</v>
      </c>
      <c r="B635" s="17" t="s">
        <v>1787</v>
      </c>
      <c r="C635" s="18" t="s">
        <v>102</v>
      </c>
      <c r="D635" s="17" t="s">
        <v>1788</v>
      </c>
      <c r="E635" s="19"/>
      <c r="F635" s="17" t="s">
        <v>265</v>
      </c>
    </row>
    <row r="636" spans="1:6" ht="27.6" x14ac:dyDescent="0.25">
      <c r="A636" s="17" t="s">
        <v>1789</v>
      </c>
      <c r="B636" s="17" t="s">
        <v>1790</v>
      </c>
      <c r="C636" s="18" t="s">
        <v>102</v>
      </c>
      <c r="D636" s="17" t="s">
        <v>996</v>
      </c>
      <c r="E636" s="18" t="s">
        <v>99</v>
      </c>
      <c r="F636" s="17" t="s">
        <v>997</v>
      </c>
    </row>
    <row r="637" spans="1:6" ht="41.4" x14ac:dyDescent="0.25">
      <c r="A637" s="17" t="s">
        <v>1791</v>
      </c>
      <c r="B637" s="17" t="s">
        <v>1792</v>
      </c>
      <c r="C637" s="18" t="s">
        <v>102</v>
      </c>
      <c r="D637" s="17" t="s">
        <v>1000</v>
      </c>
      <c r="E637" s="18" t="s">
        <v>99</v>
      </c>
      <c r="F637" s="17" t="s">
        <v>186</v>
      </c>
    </row>
    <row r="638" spans="1:6" ht="27.6" x14ac:dyDescent="0.25">
      <c r="A638" s="30" t="s">
        <v>1793</v>
      </c>
      <c r="B638" s="30" t="s">
        <v>1794</v>
      </c>
      <c r="C638" s="31" t="s">
        <v>102</v>
      </c>
      <c r="D638" s="30" t="s">
        <v>1003</v>
      </c>
      <c r="E638" s="31" t="s">
        <v>99</v>
      </c>
      <c r="F638" s="30" t="s">
        <v>376</v>
      </c>
    </row>
    <row r="639" spans="1:6" ht="27.6" x14ac:dyDescent="0.25">
      <c r="A639" s="26" t="s">
        <v>1795</v>
      </c>
      <c r="B639" s="26" t="s">
        <v>1796</v>
      </c>
      <c r="C639" s="32" t="s">
        <v>102</v>
      </c>
      <c r="D639" s="26" t="s">
        <v>1797</v>
      </c>
      <c r="E639" s="27"/>
      <c r="F639" s="26" t="s">
        <v>463</v>
      </c>
    </row>
    <row r="640" spans="1:6" ht="27.6" x14ac:dyDescent="0.25">
      <c r="A640" s="30" t="s">
        <v>1798</v>
      </c>
      <c r="B640" s="30" t="s">
        <v>1799</v>
      </c>
      <c r="C640" s="31" t="s">
        <v>102</v>
      </c>
      <c r="D640" s="30" t="s">
        <v>1800</v>
      </c>
      <c r="E640" s="42"/>
      <c r="F640" s="30" t="s">
        <v>463</v>
      </c>
    </row>
    <row r="641" spans="1:6" ht="27.6" x14ac:dyDescent="0.25">
      <c r="A641" s="14" t="s">
        <v>1801</v>
      </c>
      <c r="B641" s="14" t="s">
        <v>1802</v>
      </c>
      <c r="C641" s="16" t="s">
        <v>166</v>
      </c>
      <c r="D641" s="14" t="s">
        <v>1006</v>
      </c>
      <c r="E641" s="16" t="s">
        <v>99</v>
      </c>
      <c r="F641" s="14" t="s">
        <v>463</v>
      </c>
    </row>
    <row r="642" spans="1:6" ht="27.6" x14ac:dyDescent="0.25">
      <c r="A642" s="26" t="s">
        <v>1803</v>
      </c>
      <c r="B642" s="26" t="s">
        <v>1804</v>
      </c>
      <c r="C642" s="32" t="s">
        <v>284</v>
      </c>
      <c r="D642" s="26" t="s">
        <v>99</v>
      </c>
      <c r="E642" s="32" t="s">
        <v>99</v>
      </c>
      <c r="F642" s="26" t="s">
        <v>99</v>
      </c>
    </row>
    <row r="643" spans="1:6" ht="27.6" x14ac:dyDescent="0.25">
      <c r="A643" s="17" t="s">
        <v>1805</v>
      </c>
      <c r="B643" s="17" t="s">
        <v>1806</v>
      </c>
      <c r="C643" s="18" t="s">
        <v>102</v>
      </c>
      <c r="D643" s="17" t="s">
        <v>1807</v>
      </c>
      <c r="E643" s="19"/>
      <c r="F643" s="17" t="s">
        <v>635</v>
      </c>
    </row>
    <row r="644" spans="1:6" ht="27.6" x14ac:dyDescent="0.25">
      <c r="A644" s="30" t="s">
        <v>1808</v>
      </c>
      <c r="B644" s="30" t="s">
        <v>1809</v>
      </c>
      <c r="C644" s="31" t="s">
        <v>166</v>
      </c>
      <c r="D644" s="30" t="s">
        <v>1810</v>
      </c>
      <c r="E644" s="42"/>
      <c r="F644" s="30" t="s">
        <v>149</v>
      </c>
    </row>
    <row r="645" spans="1:6" ht="27.6" x14ac:dyDescent="0.25">
      <c r="A645" s="14" t="s">
        <v>31</v>
      </c>
      <c r="B645" s="14" t="s">
        <v>1619</v>
      </c>
      <c r="C645" s="16" t="s">
        <v>166</v>
      </c>
      <c r="D645" s="14" t="s">
        <v>1618</v>
      </c>
      <c r="E645" s="16" t="s">
        <v>1811</v>
      </c>
      <c r="F645" s="14" t="s">
        <v>149</v>
      </c>
    </row>
    <row r="646" spans="1:6" ht="27.6" x14ac:dyDescent="0.3">
      <c r="A646" s="20" t="s">
        <v>1812</v>
      </c>
      <c r="B646" s="20" t="s">
        <v>1813</v>
      </c>
      <c r="C646" s="16" t="s">
        <v>166</v>
      </c>
      <c r="D646" s="20" t="s">
        <v>1814</v>
      </c>
      <c r="E646" s="21" t="s">
        <v>1815</v>
      </c>
      <c r="F646" s="14" t="s">
        <v>149</v>
      </c>
    </row>
    <row r="647" spans="1:6" ht="27.6" x14ac:dyDescent="0.3">
      <c r="A647" s="20" t="s">
        <v>1816</v>
      </c>
      <c r="B647" s="14" t="s">
        <v>1817</v>
      </c>
      <c r="C647" s="16" t="s">
        <v>166</v>
      </c>
      <c r="D647" s="14" t="s">
        <v>1818</v>
      </c>
      <c r="E647" s="16" t="s">
        <v>1153</v>
      </c>
      <c r="F647" s="14" t="s">
        <v>104</v>
      </c>
    </row>
    <row r="648" spans="1:6" ht="27.6" x14ac:dyDescent="0.25">
      <c r="A648" s="26" t="s">
        <v>1819</v>
      </c>
      <c r="B648" s="26" t="s">
        <v>1820</v>
      </c>
      <c r="C648" s="32" t="s">
        <v>166</v>
      </c>
      <c r="D648" s="26" t="s">
        <v>1009</v>
      </c>
      <c r="E648" s="32" t="s">
        <v>99</v>
      </c>
      <c r="F648" s="26" t="s">
        <v>202</v>
      </c>
    </row>
    <row r="649" spans="1:6" ht="14.4" x14ac:dyDescent="0.25">
      <c r="A649" s="17" t="s">
        <v>1821</v>
      </c>
      <c r="B649" s="17" t="s">
        <v>1822</v>
      </c>
      <c r="C649" s="18" t="s">
        <v>102</v>
      </c>
      <c r="D649" s="19"/>
      <c r="E649" s="19"/>
      <c r="F649" s="17" t="s">
        <v>1626</v>
      </c>
    </row>
    <row r="650" spans="1:6" ht="27.6" x14ac:dyDescent="0.25">
      <c r="A650" s="17" t="s">
        <v>1823</v>
      </c>
      <c r="B650" s="17" t="s">
        <v>1824</v>
      </c>
      <c r="C650" s="18" t="s">
        <v>102</v>
      </c>
      <c r="D650" s="17" t="s">
        <v>1825</v>
      </c>
      <c r="E650" s="18" t="s">
        <v>99</v>
      </c>
      <c r="F650" s="17" t="s">
        <v>1826</v>
      </c>
    </row>
    <row r="651" spans="1:6" ht="13.8" x14ac:dyDescent="0.3">
      <c r="A651" s="17" t="s">
        <v>1827</v>
      </c>
      <c r="B651" s="22" t="s">
        <v>1828</v>
      </c>
      <c r="C651" s="18" t="s">
        <v>102</v>
      </c>
      <c r="D651" s="17" t="s">
        <v>1012</v>
      </c>
      <c r="E651" s="18" t="s">
        <v>99</v>
      </c>
      <c r="F651" s="17" t="s">
        <v>353</v>
      </c>
    </row>
    <row r="652" spans="1:6" ht="27.6" x14ac:dyDescent="0.25">
      <c r="A652" s="17" t="s">
        <v>1829</v>
      </c>
      <c r="B652" s="17" t="s">
        <v>1830</v>
      </c>
      <c r="C652" s="18" t="s">
        <v>102</v>
      </c>
      <c r="D652" s="17" t="s">
        <v>1015</v>
      </c>
      <c r="E652" s="18" t="s">
        <v>99</v>
      </c>
      <c r="F652" s="17" t="s">
        <v>222</v>
      </c>
    </row>
    <row r="653" spans="1:6" ht="27.6" x14ac:dyDescent="0.25">
      <c r="A653" s="17" t="s">
        <v>1831</v>
      </c>
      <c r="B653" s="17" t="s">
        <v>1832</v>
      </c>
      <c r="C653" s="18" t="s">
        <v>102</v>
      </c>
      <c r="D653" s="17" t="s">
        <v>1833</v>
      </c>
      <c r="E653" s="19"/>
      <c r="F653" s="17" t="s">
        <v>1020</v>
      </c>
    </row>
    <row r="654" spans="1:6" ht="27.6" x14ac:dyDescent="0.25">
      <c r="A654" s="17" t="s">
        <v>1834</v>
      </c>
      <c r="B654" s="17" t="s">
        <v>1835</v>
      </c>
      <c r="C654" s="18" t="s">
        <v>102</v>
      </c>
      <c r="D654" s="17" t="s">
        <v>1019</v>
      </c>
      <c r="E654" s="18" t="s">
        <v>99</v>
      </c>
      <c r="F654" s="17" t="s">
        <v>1020</v>
      </c>
    </row>
    <row r="655" spans="1:6" ht="27.6" x14ac:dyDescent="0.25">
      <c r="A655" s="17" t="s">
        <v>67</v>
      </c>
      <c r="B655" s="17" t="s">
        <v>1836</v>
      </c>
      <c r="C655" s="18" t="s">
        <v>102</v>
      </c>
      <c r="D655" s="17" t="s">
        <v>1023</v>
      </c>
      <c r="E655" s="18" t="s">
        <v>1024</v>
      </c>
      <c r="F655" s="17" t="s">
        <v>1020</v>
      </c>
    </row>
    <row r="656" spans="1:6" ht="27.6" x14ac:dyDescent="0.25">
      <c r="A656" s="30" t="s">
        <v>1837</v>
      </c>
      <c r="B656" s="30" t="s">
        <v>1838</v>
      </c>
      <c r="C656" s="31" t="s">
        <v>102</v>
      </c>
      <c r="D656" s="30" t="s">
        <v>1839</v>
      </c>
      <c r="E656" s="42"/>
      <c r="F656" s="30" t="s">
        <v>1020</v>
      </c>
    </row>
    <row r="657" spans="1:6" ht="27.6" x14ac:dyDescent="0.25">
      <c r="A657" s="26" t="s">
        <v>1840</v>
      </c>
      <c r="B657" s="26" t="s">
        <v>1841</v>
      </c>
      <c r="C657" s="32" t="s">
        <v>166</v>
      </c>
      <c r="D657" s="26" t="s">
        <v>1842</v>
      </c>
      <c r="E657" s="32" t="s">
        <v>99</v>
      </c>
      <c r="F657" s="26" t="s">
        <v>1020</v>
      </c>
    </row>
    <row r="658" spans="1:6" ht="14.4" x14ac:dyDescent="0.25">
      <c r="A658" s="30" t="s">
        <v>1843</v>
      </c>
      <c r="B658" s="30" t="s">
        <v>1844</v>
      </c>
      <c r="C658" s="31" t="s">
        <v>102</v>
      </c>
      <c r="D658" s="42"/>
      <c r="E658" s="42"/>
      <c r="F658" s="42"/>
    </row>
    <row r="659" spans="1:6" ht="27.6" x14ac:dyDescent="0.25">
      <c r="A659" s="14" t="s">
        <v>1845</v>
      </c>
      <c r="B659" s="14" t="s">
        <v>1846</v>
      </c>
      <c r="C659" s="16" t="s">
        <v>166</v>
      </c>
      <c r="D659" s="14" t="s">
        <v>1847</v>
      </c>
      <c r="E659" s="15"/>
      <c r="F659" s="14" t="s">
        <v>149</v>
      </c>
    </row>
    <row r="660" spans="1:6" ht="27.6" x14ac:dyDescent="0.25">
      <c r="A660" s="14" t="s">
        <v>1848</v>
      </c>
      <c r="B660" s="14" t="s">
        <v>1849</v>
      </c>
      <c r="C660" s="16" t="s">
        <v>166</v>
      </c>
      <c r="D660" s="14" t="s">
        <v>1027</v>
      </c>
      <c r="E660" s="16" t="s">
        <v>99</v>
      </c>
      <c r="F660" s="14" t="s">
        <v>104</v>
      </c>
    </row>
    <row r="661" spans="1:6" ht="27.6" x14ac:dyDescent="0.25">
      <c r="A661" s="14" t="s">
        <v>1850</v>
      </c>
      <c r="B661" s="14" t="s">
        <v>1851</v>
      </c>
      <c r="C661" s="16" t="s">
        <v>166</v>
      </c>
      <c r="D661" s="14" t="s">
        <v>1852</v>
      </c>
      <c r="E661" s="15"/>
      <c r="F661" s="14" t="s">
        <v>981</v>
      </c>
    </row>
    <row r="662" spans="1:6" ht="27.6" x14ac:dyDescent="0.25">
      <c r="A662" s="26" t="s">
        <v>1853</v>
      </c>
      <c r="B662" s="26" t="s">
        <v>1854</v>
      </c>
      <c r="C662" s="32" t="s">
        <v>166</v>
      </c>
      <c r="D662" s="26" t="s">
        <v>1030</v>
      </c>
      <c r="E662" s="32" t="s">
        <v>99</v>
      </c>
      <c r="F662" s="26" t="s">
        <v>981</v>
      </c>
    </row>
    <row r="663" spans="1:6" ht="27.6" x14ac:dyDescent="0.25">
      <c r="A663" s="17" t="s">
        <v>1855</v>
      </c>
      <c r="B663" s="17" t="s">
        <v>1856</v>
      </c>
      <c r="C663" s="18" t="s">
        <v>102</v>
      </c>
      <c r="D663" s="17" t="s">
        <v>1857</v>
      </c>
      <c r="E663" s="18" t="s">
        <v>99</v>
      </c>
      <c r="F663" s="17" t="s">
        <v>157</v>
      </c>
    </row>
    <row r="664" spans="1:6" ht="14.4" x14ac:dyDescent="0.3">
      <c r="A664" s="26" t="s">
        <v>1858</v>
      </c>
      <c r="B664" s="28" t="s">
        <v>1859</v>
      </c>
      <c r="C664" s="32" t="s">
        <v>102</v>
      </c>
      <c r="D664" s="27"/>
      <c r="E664" s="27"/>
      <c r="F664" s="27"/>
    </row>
    <row r="665" spans="1:6" ht="14.4" x14ac:dyDescent="0.25">
      <c r="A665" s="17" t="s">
        <v>1860</v>
      </c>
      <c r="B665" s="17" t="s">
        <v>1861</v>
      </c>
      <c r="C665" s="18" t="s">
        <v>102</v>
      </c>
      <c r="D665" s="19"/>
      <c r="E665" s="19"/>
      <c r="F665" s="17" t="s">
        <v>157</v>
      </c>
    </row>
    <row r="666" spans="1:6" ht="14.4" x14ac:dyDescent="0.25">
      <c r="A666" s="17" t="s">
        <v>1862</v>
      </c>
      <c r="B666" s="17" t="s">
        <v>1863</v>
      </c>
      <c r="C666" s="18" t="s">
        <v>102</v>
      </c>
      <c r="D666" s="19"/>
      <c r="E666" s="19"/>
      <c r="F666" s="17" t="s">
        <v>157</v>
      </c>
    </row>
    <row r="667" spans="1:6" ht="14.4" x14ac:dyDescent="0.25">
      <c r="A667" s="30" t="s">
        <v>1864</v>
      </c>
      <c r="B667" s="30" t="s">
        <v>1865</v>
      </c>
      <c r="C667" s="31" t="s">
        <v>102</v>
      </c>
      <c r="D667" s="42"/>
      <c r="E667" s="42"/>
      <c r="F667" s="30" t="s">
        <v>157</v>
      </c>
    </row>
    <row r="668" spans="1:6" ht="14.4" x14ac:dyDescent="0.25">
      <c r="A668" s="17" t="s">
        <v>1866</v>
      </c>
      <c r="B668" s="17" t="s">
        <v>1867</v>
      </c>
      <c r="C668" s="18" t="s">
        <v>102</v>
      </c>
      <c r="D668" s="19"/>
      <c r="E668" s="19"/>
      <c r="F668" s="17" t="s">
        <v>157</v>
      </c>
    </row>
    <row r="669" spans="1:6" ht="27.6" x14ac:dyDescent="0.25">
      <c r="A669" s="14" t="s">
        <v>1868</v>
      </c>
      <c r="B669" s="14" t="s">
        <v>1869</v>
      </c>
      <c r="C669" s="16" t="s">
        <v>166</v>
      </c>
      <c r="D669" s="14" t="s">
        <v>1035</v>
      </c>
      <c r="E669" s="16" t="s">
        <v>99</v>
      </c>
      <c r="F669" s="14" t="s">
        <v>104</v>
      </c>
    </row>
    <row r="670" spans="1:6" ht="27.6" x14ac:dyDescent="0.25">
      <c r="A670" s="17" t="s">
        <v>1870</v>
      </c>
      <c r="B670" s="17" t="s">
        <v>1871</v>
      </c>
      <c r="C670" s="18" t="s">
        <v>102</v>
      </c>
      <c r="D670" s="19"/>
      <c r="E670" s="19"/>
      <c r="F670" s="17" t="s">
        <v>104</v>
      </c>
    </row>
    <row r="671" spans="1:6" ht="27.6" x14ac:dyDescent="0.25">
      <c r="A671" s="26" t="s">
        <v>1872</v>
      </c>
      <c r="B671" s="26" t="s">
        <v>1873</v>
      </c>
      <c r="C671" s="32" t="s">
        <v>166</v>
      </c>
      <c r="D671" s="26" t="s">
        <v>1874</v>
      </c>
      <c r="E671" s="32" t="s">
        <v>99</v>
      </c>
      <c r="F671" s="26" t="s">
        <v>104</v>
      </c>
    </row>
    <row r="672" spans="1:6" ht="27.6" x14ac:dyDescent="0.25">
      <c r="A672" s="17" t="s">
        <v>56</v>
      </c>
      <c r="B672" s="17" t="s">
        <v>1875</v>
      </c>
      <c r="C672" s="18" t="s">
        <v>102</v>
      </c>
      <c r="D672" s="17" t="s">
        <v>1038</v>
      </c>
      <c r="E672" s="18" t="s">
        <v>99</v>
      </c>
      <c r="F672" s="17" t="s">
        <v>104</v>
      </c>
    </row>
    <row r="673" spans="1:6" ht="27.6" x14ac:dyDescent="0.25">
      <c r="A673" s="17" t="s">
        <v>1876</v>
      </c>
      <c r="B673" s="17" t="s">
        <v>1877</v>
      </c>
      <c r="C673" s="18" t="s">
        <v>102</v>
      </c>
      <c r="D673" s="17" t="s">
        <v>1041</v>
      </c>
      <c r="E673" s="18" t="s">
        <v>99</v>
      </c>
      <c r="F673" s="17" t="s">
        <v>104</v>
      </c>
    </row>
    <row r="674" spans="1:6" ht="27.6" x14ac:dyDescent="0.25">
      <c r="A674" s="17" t="s">
        <v>1878</v>
      </c>
      <c r="B674" s="17" t="s">
        <v>1879</v>
      </c>
      <c r="C674" s="18" t="s">
        <v>102</v>
      </c>
      <c r="D674" s="19"/>
      <c r="E674" s="19"/>
      <c r="F674" s="17" t="s">
        <v>104</v>
      </c>
    </row>
    <row r="675" spans="1:6" ht="27.6" x14ac:dyDescent="0.25">
      <c r="A675" s="30" t="s">
        <v>1880</v>
      </c>
      <c r="B675" s="30" t="s">
        <v>1881</v>
      </c>
      <c r="C675" s="31" t="s">
        <v>102</v>
      </c>
      <c r="D675" s="30" t="s">
        <v>1044</v>
      </c>
      <c r="E675" s="31" t="s">
        <v>99</v>
      </c>
      <c r="F675" s="30" t="s">
        <v>186</v>
      </c>
    </row>
    <row r="676" spans="1:6" ht="27.6" x14ac:dyDescent="0.25">
      <c r="A676" s="17" t="s">
        <v>1882</v>
      </c>
      <c r="B676" s="17" t="s">
        <v>1883</v>
      </c>
      <c r="C676" s="18" t="s">
        <v>102</v>
      </c>
      <c r="D676" s="17" t="s">
        <v>1047</v>
      </c>
      <c r="E676" s="18" t="s">
        <v>99</v>
      </c>
      <c r="F676" s="17" t="s">
        <v>104</v>
      </c>
    </row>
    <row r="677" spans="1:6" ht="27.6" x14ac:dyDescent="0.25">
      <c r="A677" s="26" t="s">
        <v>1884</v>
      </c>
      <c r="B677" s="26" t="s">
        <v>1885</v>
      </c>
      <c r="C677" s="32" t="s">
        <v>166</v>
      </c>
      <c r="D677" s="26" t="s">
        <v>1050</v>
      </c>
      <c r="E677" s="32" t="s">
        <v>99</v>
      </c>
      <c r="F677" s="26" t="s">
        <v>104</v>
      </c>
    </row>
    <row r="678" spans="1:6" ht="27.6" x14ac:dyDescent="0.25">
      <c r="A678" s="30" t="s">
        <v>1886</v>
      </c>
      <c r="B678" s="30" t="s">
        <v>1887</v>
      </c>
      <c r="C678" s="31" t="s">
        <v>102</v>
      </c>
      <c r="D678" s="30" t="s">
        <v>1053</v>
      </c>
      <c r="E678" s="31" t="s">
        <v>99</v>
      </c>
      <c r="F678" s="30" t="s">
        <v>104</v>
      </c>
    </row>
    <row r="679" spans="1:6" ht="27.6" x14ac:dyDescent="0.25">
      <c r="A679" s="17" t="s">
        <v>1888</v>
      </c>
      <c r="B679" s="17" t="s">
        <v>1889</v>
      </c>
      <c r="C679" s="18" t="s">
        <v>102</v>
      </c>
      <c r="D679" s="17" t="s">
        <v>1056</v>
      </c>
      <c r="E679" s="18" t="s">
        <v>99</v>
      </c>
      <c r="F679" s="17" t="s">
        <v>186</v>
      </c>
    </row>
    <row r="680" spans="1:6" ht="27.6" x14ac:dyDescent="0.25">
      <c r="A680" s="26" t="s">
        <v>1890</v>
      </c>
      <c r="B680" s="26" t="s">
        <v>1891</v>
      </c>
      <c r="C680" s="32" t="s">
        <v>166</v>
      </c>
      <c r="D680" s="26" t="s">
        <v>1311</v>
      </c>
      <c r="E680" s="26" t="s">
        <v>1892</v>
      </c>
      <c r="F680" s="26" t="s">
        <v>104</v>
      </c>
    </row>
    <row r="681" spans="1:6" ht="27.6" x14ac:dyDescent="0.25">
      <c r="A681" s="17" t="s">
        <v>1893</v>
      </c>
      <c r="B681" s="17" t="s">
        <v>1894</v>
      </c>
      <c r="C681" s="18" t="s">
        <v>102</v>
      </c>
      <c r="D681" s="17" t="s">
        <v>1059</v>
      </c>
      <c r="E681" s="18" t="s">
        <v>99</v>
      </c>
      <c r="F681" s="17" t="s">
        <v>104</v>
      </c>
    </row>
    <row r="682" spans="1:6" ht="27.6" x14ac:dyDescent="0.25">
      <c r="A682" s="17" t="s">
        <v>1895</v>
      </c>
      <c r="B682" s="17" t="s">
        <v>1896</v>
      </c>
      <c r="C682" s="18" t="s">
        <v>102</v>
      </c>
      <c r="D682" s="17" t="s">
        <v>1062</v>
      </c>
      <c r="E682" s="18" t="s">
        <v>99</v>
      </c>
      <c r="F682" s="17" t="s">
        <v>1063</v>
      </c>
    </row>
    <row r="683" spans="1:6" ht="27.6" x14ac:dyDescent="0.25">
      <c r="A683" s="17" t="s">
        <v>1897</v>
      </c>
      <c r="B683" s="17" t="s">
        <v>1898</v>
      </c>
      <c r="C683" s="18" t="s">
        <v>102</v>
      </c>
      <c r="D683" s="17" t="s">
        <v>1066</v>
      </c>
      <c r="E683" s="18" t="s">
        <v>99</v>
      </c>
      <c r="F683" s="17" t="s">
        <v>1067</v>
      </c>
    </row>
    <row r="684" spans="1:6" ht="27.6" x14ac:dyDescent="0.25">
      <c r="A684" s="17" t="s">
        <v>1899</v>
      </c>
      <c r="B684" s="17" t="s">
        <v>1900</v>
      </c>
      <c r="C684" s="18" t="s">
        <v>102</v>
      </c>
      <c r="D684" s="17" t="s">
        <v>1070</v>
      </c>
      <c r="E684" s="18" t="s">
        <v>1071</v>
      </c>
      <c r="F684" s="17" t="s">
        <v>492</v>
      </c>
    </row>
    <row r="685" spans="1:6" ht="27.6" x14ac:dyDescent="0.25">
      <c r="A685" s="30" t="s">
        <v>1901</v>
      </c>
      <c r="B685" s="30" t="s">
        <v>1902</v>
      </c>
      <c r="C685" s="31" t="s">
        <v>102</v>
      </c>
      <c r="D685" s="30" t="s">
        <v>1074</v>
      </c>
      <c r="E685" s="31" t="s">
        <v>99</v>
      </c>
      <c r="F685" s="30" t="s">
        <v>140</v>
      </c>
    </row>
    <row r="686" spans="1:6" ht="27.6" x14ac:dyDescent="0.25">
      <c r="A686" s="30" t="s">
        <v>1903</v>
      </c>
      <c r="B686" s="30" t="s">
        <v>1904</v>
      </c>
      <c r="C686" s="31" t="s">
        <v>102</v>
      </c>
      <c r="D686" s="30" t="s">
        <v>1077</v>
      </c>
      <c r="E686" s="31" t="s">
        <v>99</v>
      </c>
      <c r="F686" s="30" t="s">
        <v>104</v>
      </c>
    </row>
    <row r="687" spans="1:6" ht="41.4" x14ac:dyDescent="0.25">
      <c r="A687" s="14" t="s">
        <v>1905</v>
      </c>
      <c r="B687" s="14" t="s">
        <v>314</v>
      </c>
      <c r="C687" s="16" t="s">
        <v>166</v>
      </c>
      <c r="D687" s="14" t="s">
        <v>315</v>
      </c>
      <c r="E687" s="16" t="s">
        <v>313</v>
      </c>
      <c r="F687" s="14" t="s">
        <v>265</v>
      </c>
    </row>
    <row r="688" spans="1:6" ht="27.6" x14ac:dyDescent="0.25">
      <c r="A688" s="14" t="s">
        <v>1906</v>
      </c>
      <c r="B688" s="14" t="s">
        <v>1907</v>
      </c>
      <c r="C688" s="16" t="s">
        <v>166</v>
      </c>
      <c r="D688" s="14" t="s">
        <v>1082</v>
      </c>
      <c r="E688" s="16" t="s">
        <v>99</v>
      </c>
      <c r="F688" s="14" t="s">
        <v>149</v>
      </c>
    </row>
    <row r="689" spans="1:6" ht="27.6" x14ac:dyDescent="0.25">
      <c r="A689" s="14" t="s">
        <v>1908</v>
      </c>
      <c r="B689" s="14" t="s">
        <v>1909</v>
      </c>
      <c r="C689" s="16" t="s">
        <v>166</v>
      </c>
      <c r="D689" s="15"/>
      <c r="E689" s="15"/>
      <c r="F689" s="14" t="s">
        <v>265</v>
      </c>
    </row>
    <row r="690" spans="1:6" ht="27.6" x14ac:dyDescent="0.25">
      <c r="A690" s="26" t="s">
        <v>1910</v>
      </c>
      <c r="B690" s="26" t="s">
        <v>1911</v>
      </c>
      <c r="C690" s="32" t="s">
        <v>166</v>
      </c>
      <c r="D690" s="26" t="s">
        <v>1085</v>
      </c>
      <c r="E690" s="32" t="s">
        <v>99</v>
      </c>
      <c r="F690" s="26" t="s">
        <v>104</v>
      </c>
    </row>
    <row r="691" spans="1:6" ht="27.6" x14ac:dyDescent="0.25">
      <c r="A691" s="26" t="s">
        <v>1912</v>
      </c>
      <c r="B691" s="26" t="s">
        <v>1913</v>
      </c>
      <c r="C691" s="32" t="s">
        <v>166</v>
      </c>
      <c r="D691" s="26" t="s">
        <v>1914</v>
      </c>
      <c r="E691" s="27"/>
      <c r="F691" s="26" t="s">
        <v>104</v>
      </c>
    </row>
    <row r="692" spans="1:6" ht="27.6" x14ac:dyDescent="0.25">
      <c r="A692" s="17" t="s">
        <v>1915</v>
      </c>
      <c r="B692" s="17" t="s">
        <v>1916</v>
      </c>
      <c r="C692" s="18" t="s">
        <v>102</v>
      </c>
      <c r="D692" s="19"/>
      <c r="E692" s="19"/>
      <c r="F692" s="17" t="s">
        <v>104</v>
      </c>
    </row>
    <row r="693" spans="1:6" ht="27.6" x14ac:dyDescent="0.25">
      <c r="A693" s="17" t="s">
        <v>1917</v>
      </c>
      <c r="B693" s="17" t="s">
        <v>1918</v>
      </c>
      <c r="C693" s="18" t="s">
        <v>102</v>
      </c>
      <c r="D693" s="17" t="s">
        <v>1282</v>
      </c>
      <c r="E693" s="18" t="s">
        <v>1283</v>
      </c>
      <c r="F693" s="17" t="s">
        <v>1284</v>
      </c>
    </row>
    <row r="694" spans="1:6" ht="27.6" x14ac:dyDescent="0.25">
      <c r="A694" s="17" t="s">
        <v>1919</v>
      </c>
      <c r="B694" s="17" t="s">
        <v>1920</v>
      </c>
      <c r="C694" s="18" t="s">
        <v>102</v>
      </c>
      <c r="D694" s="17" t="s">
        <v>1088</v>
      </c>
      <c r="E694" s="18" t="s">
        <v>99</v>
      </c>
      <c r="F694" s="17" t="s">
        <v>104</v>
      </c>
    </row>
    <row r="695" spans="1:6" ht="27.6" x14ac:dyDescent="0.25">
      <c r="A695" s="17" t="s">
        <v>1921</v>
      </c>
      <c r="B695" s="17" t="s">
        <v>1922</v>
      </c>
      <c r="C695" s="18" t="s">
        <v>102</v>
      </c>
      <c r="D695" s="17" t="s">
        <v>1091</v>
      </c>
      <c r="E695" s="18" t="s">
        <v>99</v>
      </c>
      <c r="F695" s="17" t="s">
        <v>1092</v>
      </c>
    </row>
    <row r="696" spans="1:6" ht="13.8" x14ac:dyDescent="0.25">
      <c r="A696" s="17" t="s">
        <v>1923</v>
      </c>
      <c r="B696" s="17" t="s">
        <v>1924</v>
      </c>
      <c r="C696" s="18" t="s">
        <v>102</v>
      </c>
      <c r="D696" s="17" t="s">
        <v>1925</v>
      </c>
      <c r="E696" s="18" t="s">
        <v>99</v>
      </c>
      <c r="F696" s="17" t="s">
        <v>1095</v>
      </c>
    </row>
    <row r="697" spans="1:6" ht="13.8" x14ac:dyDescent="0.25">
      <c r="A697" s="17" t="s">
        <v>1926</v>
      </c>
      <c r="B697" s="17" t="s">
        <v>1927</v>
      </c>
      <c r="C697" s="18" t="s">
        <v>102</v>
      </c>
      <c r="D697" s="17" t="s">
        <v>1928</v>
      </c>
      <c r="E697" s="18" t="s">
        <v>99</v>
      </c>
      <c r="F697" s="17" t="s">
        <v>1095</v>
      </c>
    </row>
    <row r="698" spans="1:6" ht="27.6" x14ac:dyDescent="0.25">
      <c r="A698" s="17" t="s">
        <v>1929</v>
      </c>
      <c r="B698" s="17" t="s">
        <v>1930</v>
      </c>
      <c r="C698" s="18" t="s">
        <v>102</v>
      </c>
      <c r="D698" s="19"/>
      <c r="E698" s="19"/>
      <c r="F698" s="17" t="s">
        <v>1095</v>
      </c>
    </row>
    <row r="699" spans="1:6" ht="27.6" x14ac:dyDescent="0.25">
      <c r="A699" s="17" t="s">
        <v>1931</v>
      </c>
      <c r="B699" s="17" t="s">
        <v>1932</v>
      </c>
      <c r="C699" s="18" t="s">
        <v>102</v>
      </c>
      <c r="D699" s="19"/>
      <c r="E699" s="19"/>
      <c r="F699" s="17" t="s">
        <v>1095</v>
      </c>
    </row>
    <row r="700" spans="1:6" ht="13.8" x14ac:dyDescent="0.25">
      <c r="A700" s="17" t="s">
        <v>1933</v>
      </c>
      <c r="B700" s="17" t="s">
        <v>1934</v>
      </c>
      <c r="C700" s="18" t="s">
        <v>102</v>
      </c>
      <c r="D700" s="17" t="s">
        <v>1935</v>
      </c>
      <c r="E700" s="18" t="s">
        <v>99</v>
      </c>
      <c r="F700" s="17" t="s">
        <v>1095</v>
      </c>
    </row>
    <row r="701" spans="1:6" ht="27.6" x14ac:dyDescent="0.25">
      <c r="A701" s="17" t="s">
        <v>1936</v>
      </c>
      <c r="B701" s="17" t="s">
        <v>1937</v>
      </c>
      <c r="C701" s="18" t="s">
        <v>102</v>
      </c>
      <c r="D701" s="17" t="s">
        <v>1938</v>
      </c>
      <c r="E701" s="18" t="s">
        <v>99</v>
      </c>
      <c r="F701" s="17" t="s">
        <v>1095</v>
      </c>
    </row>
    <row r="702" spans="1:6" ht="27.6" x14ac:dyDescent="0.25">
      <c r="A702" s="30" t="s">
        <v>1939</v>
      </c>
      <c r="B702" s="30" t="s">
        <v>1940</v>
      </c>
      <c r="C702" s="31" t="s">
        <v>102</v>
      </c>
      <c r="D702" s="30" t="s">
        <v>1098</v>
      </c>
      <c r="E702" s="31" t="s">
        <v>99</v>
      </c>
      <c r="F702" s="30" t="s">
        <v>206</v>
      </c>
    </row>
    <row r="703" spans="1:6" ht="27.6" x14ac:dyDescent="0.25">
      <c r="A703" s="30" t="s">
        <v>1941</v>
      </c>
      <c r="B703" s="30" t="s">
        <v>1942</v>
      </c>
      <c r="C703" s="31" t="s">
        <v>102</v>
      </c>
      <c r="D703" s="30" t="s">
        <v>1101</v>
      </c>
      <c r="E703" s="31" t="s">
        <v>99</v>
      </c>
      <c r="F703" s="30" t="s">
        <v>206</v>
      </c>
    </row>
    <row r="704" spans="1:6" ht="13.8" x14ac:dyDescent="0.25">
      <c r="A704" s="26" t="s">
        <v>28</v>
      </c>
      <c r="B704" s="26" t="s">
        <v>1943</v>
      </c>
      <c r="C704" s="32" t="s">
        <v>284</v>
      </c>
      <c r="D704" s="26" t="s">
        <v>99</v>
      </c>
      <c r="E704" s="32" t="s">
        <v>99</v>
      </c>
      <c r="F704" s="26" t="s">
        <v>99</v>
      </c>
    </row>
    <row r="705" spans="1:6" ht="27.6" x14ac:dyDescent="0.25">
      <c r="A705" s="14" t="s">
        <v>1944</v>
      </c>
      <c r="B705" s="14" t="s">
        <v>1945</v>
      </c>
      <c r="C705" s="16" t="s">
        <v>166</v>
      </c>
      <c r="D705" s="14" t="s">
        <v>1104</v>
      </c>
      <c r="E705" s="16" t="s">
        <v>99</v>
      </c>
      <c r="F705" s="14" t="s">
        <v>104</v>
      </c>
    </row>
    <row r="706" spans="1:6" ht="13.8" x14ac:dyDescent="0.3">
      <c r="A706" s="46" t="s">
        <v>1946</v>
      </c>
      <c r="B706" s="47" t="s">
        <v>1947</v>
      </c>
      <c r="C706" s="31" t="s">
        <v>102</v>
      </c>
      <c r="D706" s="30" t="s">
        <v>546</v>
      </c>
      <c r="E706" s="47" t="s">
        <v>1107</v>
      </c>
      <c r="F706" s="46" t="s">
        <v>104</v>
      </c>
    </row>
    <row r="707" spans="1:6" ht="27.6" x14ac:dyDescent="0.25">
      <c r="A707" s="26" t="s">
        <v>1948</v>
      </c>
      <c r="B707" s="26" t="s">
        <v>1949</v>
      </c>
      <c r="C707" s="32" t="s">
        <v>166</v>
      </c>
      <c r="D707" s="26" t="s">
        <v>1110</v>
      </c>
      <c r="E707" s="32" t="s">
        <v>99</v>
      </c>
      <c r="F707" s="26" t="s">
        <v>608</v>
      </c>
    </row>
    <row r="708" spans="1:6" ht="13.8" x14ac:dyDescent="0.3">
      <c r="A708" s="48" t="s">
        <v>1950</v>
      </c>
      <c r="B708" s="28" t="s">
        <v>1951</v>
      </c>
      <c r="C708" s="32" t="s">
        <v>166</v>
      </c>
      <c r="D708" s="28" t="s">
        <v>1113</v>
      </c>
      <c r="E708" s="32" t="s">
        <v>99</v>
      </c>
      <c r="F708" s="48" t="s">
        <v>149</v>
      </c>
    </row>
    <row r="709" spans="1:6" ht="27.6" x14ac:dyDescent="0.25">
      <c r="A709" s="17" t="s">
        <v>71</v>
      </c>
      <c r="B709" s="17" t="s">
        <v>1952</v>
      </c>
      <c r="C709" s="18" t="s">
        <v>102</v>
      </c>
      <c r="D709" s="19"/>
      <c r="E709" s="19"/>
      <c r="F709" s="17" t="s">
        <v>104</v>
      </c>
    </row>
    <row r="710" spans="1:6" ht="27.6" x14ac:dyDescent="0.25">
      <c r="A710" s="17" t="s">
        <v>1953</v>
      </c>
      <c r="B710" s="17" t="s">
        <v>1954</v>
      </c>
      <c r="C710" s="18" t="s">
        <v>102</v>
      </c>
      <c r="D710" s="19"/>
      <c r="E710" s="19"/>
      <c r="F710" s="17" t="s">
        <v>104</v>
      </c>
    </row>
    <row r="711" spans="1:6" ht="27.6" x14ac:dyDescent="0.25">
      <c r="A711" s="17" t="s">
        <v>1955</v>
      </c>
      <c r="B711" s="17" t="s">
        <v>1956</v>
      </c>
      <c r="C711" s="18" t="s">
        <v>102</v>
      </c>
      <c r="D711" s="17" t="s">
        <v>1116</v>
      </c>
      <c r="E711" s="18" t="s">
        <v>99</v>
      </c>
      <c r="F711" s="17" t="s">
        <v>104</v>
      </c>
    </row>
    <row r="712" spans="1:6" ht="27.6" x14ac:dyDescent="0.25">
      <c r="A712" s="17" t="s">
        <v>1957</v>
      </c>
      <c r="B712" s="17" t="s">
        <v>1958</v>
      </c>
      <c r="C712" s="18" t="s">
        <v>102</v>
      </c>
      <c r="D712" s="17" t="s">
        <v>1119</v>
      </c>
      <c r="E712" s="18" t="s">
        <v>99</v>
      </c>
      <c r="F712" s="17" t="s">
        <v>104</v>
      </c>
    </row>
    <row r="713" spans="1:6" ht="27.6" x14ac:dyDescent="0.25">
      <c r="A713" s="17" t="s">
        <v>1959</v>
      </c>
      <c r="B713" s="17" t="s">
        <v>1960</v>
      </c>
      <c r="C713" s="18" t="s">
        <v>102</v>
      </c>
      <c r="D713" s="17" t="s">
        <v>1122</v>
      </c>
      <c r="E713" s="18" t="s">
        <v>99</v>
      </c>
      <c r="F713" s="17" t="s">
        <v>109</v>
      </c>
    </row>
    <row r="714" spans="1:6" ht="27.6" x14ac:dyDescent="0.25">
      <c r="A714" s="17" t="s">
        <v>1961</v>
      </c>
      <c r="B714" s="17" t="s">
        <v>1962</v>
      </c>
      <c r="C714" s="18" t="s">
        <v>102</v>
      </c>
      <c r="D714" s="17" t="s">
        <v>1125</v>
      </c>
      <c r="E714" s="18" t="s">
        <v>99</v>
      </c>
      <c r="F714" s="17" t="s">
        <v>104</v>
      </c>
    </row>
    <row r="715" spans="1:6" ht="27.6" x14ac:dyDescent="0.25">
      <c r="A715" s="17" t="s">
        <v>1963</v>
      </c>
      <c r="B715" s="17" t="s">
        <v>1964</v>
      </c>
      <c r="C715" s="18" t="s">
        <v>102</v>
      </c>
      <c r="D715" s="17" t="s">
        <v>1128</v>
      </c>
      <c r="E715" s="17" t="s">
        <v>99</v>
      </c>
      <c r="F715" s="17" t="s">
        <v>157</v>
      </c>
    </row>
    <row r="716" spans="1:6" ht="27.6" x14ac:dyDescent="0.25">
      <c r="A716" s="30" t="s">
        <v>1965</v>
      </c>
      <c r="B716" s="30" t="s">
        <v>1966</v>
      </c>
      <c r="C716" s="31" t="s">
        <v>102</v>
      </c>
      <c r="D716" s="30" t="s">
        <v>1967</v>
      </c>
      <c r="E716" s="42"/>
      <c r="F716" s="30" t="s">
        <v>104</v>
      </c>
    </row>
    <row r="717" spans="1:6" ht="27.6" x14ac:dyDescent="0.25">
      <c r="A717" s="17" t="s">
        <v>1968</v>
      </c>
      <c r="B717" s="17" t="s">
        <v>1969</v>
      </c>
      <c r="C717" s="18" t="s">
        <v>102</v>
      </c>
      <c r="D717" s="19"/>
      <c r="E717" s="19"/>
      <c r="F717" s="17" t="s">
        <v>265</v>
      </c>
    </row>
    <row r="718" spans="1:6" ht="27.6" x14ac:dyDescent="0.25">
      <c r="A718" s="26" t="s">
        <v>1970</v>
      </c>
      <c r="B718" s="26" t="s">
        <v>1971</v>
      </c>
      <c r="C718" s="32" t="s">
        <v>166</v>
      </c>
      <c r="D718" s="26" t="s">
        <v>1131</v>
      </c>
      <c r="E718" s="32" t="s">
        <v>99</v>
      </c>
      <c r="F718" s="26" t="s">
        <v>265</v>
      </c>
    </row>
    <row r="719" spans="1:6" ht="27.6" x14ac:dyDescent="0.25">
      <c r="A719" s="17" t="s">
        <v>1972</v>
      </c>
      <c r="B719" s="17" t="s">
        <v>1973</v>
      </c>
      <c r="C719" s="18" t="s">
        <v>102</v>
      </c>
      <c r="D719" s="17" t="s">
        <v>1134</v>
      </c>
      <c r="E719" s="17" t="s">
        <v>99</v>
      </c>
      <c r="F719" s="17" t="s">
        <v>157</v>
      </c>
    </row>
    <row r="720" spans="1:6" ht="27.6" x14ac:dyDescent="0.25">
      <c r="A720" s="17" t="s">
        <v>1974</v>
      </c>
      <c r="B720" s="17" t="s">
        <v>1975</v>
      </c>
      <c r="C720" s="18" t="s">
        <v>102</v>
      </c>
      <c r="D720" s="17" t="s">
        <v>1976</v>
      </c>
      <c r="E720" s="19"/>
      <c r="F720" s="17" t="s">
        <v>104</v>
      </c>
    </row>
    <row r="721" spans="1:6" ht="27.6" x14ac:dyDescent="0.25">
      <c r="A721" s="17" t="s">
        <v>1977</v>
      </c>
      <c r="B721" s="17" t="s">
        <v>1978</v>
      </c>
      <c r="C721" s="18" t="s">
        <v>102</v>
      </c>
      <c r="D721" s="17" t="s">
        <v>1137</v>
      </c>
      <c r="E721" s="18" t="s">
        <v>99</v>
      </c>
      <c r="F721" s="17" t="s">
        <v>265</v>
      </c>
    </row>
    <row r="722" spans="1:6" ht="27.6" x14ac:dyDescent="0.25">
      <c r="A722" s="17" t="s">
        <v>1979</v>
      </c>
      <c r="B722" s="17" t="s">
        <v>1980</v>
      </c>
      <c r="C722" s="18" t="s">
        <v>102</v>
      </c>
      <c r="D722" s="19"/>
      <c r="E722" s="19"/>
      <c r="F722" s="17" t="s">
        <v>265</v>
      </c>
    </row>
    <row r="723" spans="1:6" ht="27.6" x14ac:dyDescent="0.25">
      <c r="A723" s="17" t="s">
        <v>1981</v>
      </c>
      <c r="B723" s="17" t="s">
        <v>1982</v>
      </c>
      <c r="C723" s="18" t="s">
        <v>102</v>
      </c>
      <c r="D723" s="19"/>
      <c r="E723" s="19"/>
      <c r="F723" s="17" t="s">
        <v>265</v>
      </c>
    </row>
    <row r="724" spans="1:6" ht="27.6" x14ac:dyDescent="0.25">
      <c r="A724" s="17" t="s">
        <v>1983</v>
      </c>
      <c r="B724" s="17" t="s">
        <v>1984</v>
      </c>
      <c r="C724" s="18" t="s">
        <v>102</v>
      </c>
      <c r="D724" s="17" t="s">
        <v>1140</v>
      </c>
      <c r="E724" s="18" t="s">
        <v>99</v>
      </c>
      <c r="F724" s="17" t="s">
        <v>104</v>
      </c>
    </row>
    <row r="725" spans="1:6" ht="27.6" x14ac:dyDescent="0.25">
      <c r="A725" s="17" t="s">
        <v>1985</v>
      </c>
      <c r="B725" s="17" t="s">
        <v>558</v>
      </c>
      <c r="C725" s="18" t="s">
        <v>102</v>
      </c>
      <c r="D725" s="17" t="s">
        <v>559</v>
      </c>
      <c r="E725" s="18" t="s">
        <v>560</v>
      </c>
      <c r="F725" s="17" t="s">
        <v>104</v>
      </c>
    </row>
    <row r="726" spans="1:6" ht="27.6" x14ac:dyDescent="0.25">
      <c r="A726" s="30" t="s">
        <v>1986</v>
      </c>
      <c r="B726" s="30" t="s">
        <v>1739</v>
      </c>
      <c r="C726" s="31" t="s">
        <v>102</v>
      </c>
      <c r="D726" s="30" t="s">
        <v>931</v>
      </c>
      <c r="E726" s="31" t="s">
        <v>932</v>
      </c>
      <c r="F726" s="30" t="s">
        <v>149</v>
      </c>
    </row>
    <row r="727" spans="1:6" ht="55.2" x14ac:dyDescent="0.25">
      <c r="A727" s="30" t="s">
        <v>1987</v>
      </c>
      <c r="B727" s="30" t="s">
        <v>1988</v>
      </c>
      <c r="C727" s="31" t="s">
        <v>102</v>
      </c>
      <c r="D727" s="30" t="s">
        <v>1989</v>
      </c>
      <c r="E727" s="31" t="s">
        <v>99</v>
      </c>
      <c r="F727" s="30" t="s">
        <v>1990</v>
      </c>
    </row>
    <row r="728" spans="1:6" ht="27.6" x14ac:dyDescent="0.25">
      <c r="A728" s="14" t="s">
        <v>1991</v>
      </c>
      <c r="B728" s="14" t="s">
        <v>1992</v>
      </c>
      <c r="C728" s="16" t="s">
        <v>166</v>
      </c>
      <c r="D728" s="14" t="s">
        <v>1993</v>
      </c>
      <c r="E728" s="16" t="s">
        <v>99</v>
      </c>
      <c r="F728" s="14" t="s">
        <v>1990</v>
      </c>
    </row>
    <row r="729" spans="1:6" ht="27.6" x14ac:dyDescent="0.25">
      <c r="A729" s="26" t="s">
        <v>1994</v>
      </c>
      <c r="B729" s="26" t="s">
        <v>1995</v>
      </c>
      <c r="C729" s="32" t="s">
        <v>166</v>
      </c>
      <c r="D729" s="26" t="s">
        <v>1996</v>
      </c>
      <c r="E729" s="32" t="s">
        <v>99</v>
      </c>
      <c r="F729" s="26" t="s">
        <v>1990</v>
      </c>
    </row>
    <row r="730" spans="1:6" ht="27.6" x14ac:dyDescent="0.25">
      <c r="A730" s="26" t="s">
        <v>1997</v>
      </c>
      <c r="B730" s="26" t="s">
        <v>1998</v>
      </c>
      <c r="C730" s="32" t="s">
        <v>166</v>
      </c>
      <c r="D730" s="26" t="s">
        <v>1999</v>
      </c>
      <c r="E730" s="32" t="s">
        <v>99</v>
      </c>
      <c r="F730" s="26" t="s">
        <v>1990</v>
      </c>
    </row>
    <row r="731" spans="1:6" ht="27.6" x14ac:dyDescent="0.25">
      <c r="A731" s="30" t="s">
        <v>2000</v>
      </c>
      <c r="B731" s="30" t="s">
        <v>2001</v>
      </c>
      <c r="C731" s="31" t="s">
        <v>102</v>
      </c>
      <c r="D731" s="30" t="s">
        <v>1143</v>
      </c>
      <c r="E731" s="30" t="s">
        <v>1144</v>
      </c>
      <c r="F731" s="30" t="s">
        <v>157</v>
      </c>
    </row>
    <row r="732" spans="1:6" ht="27.6" x14ac:dyDescent="0.25">
      <c r="A732" s="30" t="s">
        <v>2002</v>
      </c>
      <c r="B732" s="30" t="s">
        <v>2003</v>
      </c>
      <c r="C732" s="31" t="s">
        <v>102</v>
      </c>
      <c r="D732" s="30" t="s">
        <v>1147</v>
      </c>
      <c r="E732" s="31" t="s">
        <v>99</v>
      </c>
      <c r="F732" s="30" t="s">
        <v>157</v>
      </c>
    </row>
    <row r="733" spans="1:6" ht="27.6" x14ac:dyDescent="0.25">
      <c r="A733" s="26" t="s">
        <v>2004</v>
      </c>
      <c r="B733" s="26" t="s">
        <v>2005</v>
      </c>
      <c r="C733" s="32" t="s">
        <v>166</v>
      </c>
      <c r="D733" s="26" t="s">
        <v>2006</v>
      </c>
      <c r="E733" s="32" t="s">
        <v>99</v>
      </c>
      <c r="F733" s="26" t="s">
        <v>1990</v>
      </c>
    </row>
    <row r="734" spans="1:6" ht="27.6" x14ac:dyDescent="0.25">
      <c r="A734" s="26" t="s">
        <v>2007</v>
      </c>
      <c r="B734" s="26" t="s">
        <v>2008</v>
      </c>
      <c r="C734" s="32" t="s">
        <v>102</v>
      </c>
      <c r="D734" s="26" t="s">
        <v>1150</v>
      </c>
      <c r="E734" s="32" t="s">
        <v>2009</v>
      </c>
      <c r="F734" s="26" t="s">
        <v>104</v>
      </c>
    </row>
    <row r="735" spans="1:6" ht="27.6" x14ac:dyDescent="0.25">
      <c r="A735" s="30" t="s">
        <v>2010</v>
      </c>
      <c r="B735" s="30" t="s">
        <v>2011</v>
      </c>
      <c r="C735" s="31" t="s">
        <v>102</v>
      </c>
      <c r="D735" s="42"/>
      <c r="E735" s="42"/>
      <c r="F735" s="30" t="s">
        <v>104</v>
      </c>
    </row>
    <row r="736" spans="1:6" ht="27.6" x14ac:dyDescent="0.25">
      <c r="A736" s="30" t="s">
        <v>2012</v>
      </c>
      <c r="B736" s="30" t="s">
        <v>2013</v>
      </c>
      <c r="C736" s="31" t="s">
        <v>102</v>
      </c>
      <c r="D736" s="30" t="s">
        <v>1150</v>
      </c>
      <c r="E736" s="31" t="s">
        <v>2014</v>
      </c>
      <c r="F736" s="30" t="s">
        <v>104</v>
      </c>
    </row>
    <row r="737" spans="1:6" ht="27.6" x14ac:dyDescent="0.3">
      <c r="A737" s="20" t="s">
        <v>2015</v>
      </c>
      <c r="B737" s="14" t="s">
        <v>1817</v>
      </c>
      <c r="C737" s="16" t="s">
        <v>166</v>
      </c>
      <c r="D737" s="14" t="s">
        <v>1818</v>
      </c>
      <c r="E737" s="16" t="s">
        <v>1153</v>
      </c>
      <c r="F737" s="14" t="s">
        <v>104</v>
      </c>
    </row>
    <row r="738" spans="1:6" ht="14.4" x14ac:dyDescent="0.25">
      <c r="A738" s="14" t="s">
        <v>2016</v>
      </c>
      <c r="B738" s="14" t="s">
        <v>2017</v>
      </c>
      <c r="C738" s="16" t="s">
        <v>99</v>
      </c>
      <c r="D738" s="15"/>
      <c r="E738" s="15"/>
      <c r="F738" s="14" t="s">
        <v>104</v>
      </c>
    </row>
    <row r="739" spans="1:6" ht="27.6" x14ac:dyDescent="0.3">
      <c r="A739" s="48" t="s">
        <v>2018</v>
      </c>
      <c r="B739" s="48" t="s">
        <v>1813</v>
      </c>
      <c r="C739" s="32" t="s">
        <v>166</v>
      </c>
      <c r="D739" s="48" t="s">
        <v>1814</v>
      </c>
      <c r="E739" s="28" t="s">
        <v>1815</v>
      </c>
      <c r="F739" s="26" t="s">
        <v>149</v>
      </c>
    </row>
    <row r="740" spans="1:6" ht="27.6" x14ac:dyDescent="0.3">
      <c r="A740" s="48" t="s">
        <v>2019</v>
      </c>
      <c r="B740" s="48" t="s">
        <v>1813</v>
      </c>
      <c r="C740" s="32" t="s">
        <v>166</v>
      </c>
      <c r="D740" s="48" t="s">
        <v>1814</v>
      </c>
      <c r="E740" s="28" t="s">
        <v>2020</v>
      </c>
      <c r="F740" s="26" t="s">
        <v>149</v>
      </c>
    </row>
    <row r="741" spans="1:6" ht="27.6" x14ac:dyDescent="0.25">
      <c r="A741" s="17" t="s">
        <v>2021</v>
      </c>
      <c r="B741" s="17" t="s">
        <v>2022</v>
      </c>
      <c r="C741" s="18" t="s">
        <v>102</v>
      </c>
      <c r="D741" s="19"/>
      <c r="E741" s="19"/>
      <c r="F741" s="17" t="s">
        <v>202</v>
      </c>
    </row>
    <row r="742" spans="1:6" ht="27.6" x14ac:dyDescent="0.25">
      <c r="A742" s="17" t="s">
        <v>2023</v>
      </c>
      <c r="B742" s="17" t="s">
        <v>2024</v>
      </c>
      <c r="C742" s="18" t="s">
        <v>102</v>
      </c>
      <c r="D742" s="17" t="s">
        <v>2025</v>
      </c>
      <c r="E742" s="19"/>
      <c r="F742" s="17" t="s">
        <v>202</v>
      </c>
    </row>
    <row r="743" spans="1:6" ht="27.6" x14ac:dyDescent="0.25">
      <c r="A743" s="17" t="s">
        <v>2026</v>
      </c>
      <c r="B743" s="17" t="s">
        <v>2027</v>
      </c>
      <c r="C743" s="18" t="s">
        <v>102</v>
      </c>
      <c r="D743" s="19"/>
      <c r="E743" s="19"/>
      <c r="F743" s="17" t="s">
        <v>202</v>
      </c>
    </row>
    <row r="744" spans="1:6" ht="27.6" x14ac:dyDescent="0.25">
      <c r="A744" s="17" t="s">
        <v>2028</v>
      </c>
      <c r="B744" s="17" t="s">
        <v>2029</v>
      </c>
      <c r="C744" s="18" t="s">
        <v>102</v>
      </c>
      <c r="D744" s="19"/>
      <c r="E744" s="19"/>
      <c r="F744" s="17" t="s">
        <v>202</v>
      </c>
    </row>
    <row r="745" spans="1:6" ht="27.6" x14ac:dyDescent="0.3">
      <c r="A745" s="24" t="s">
        <v>2030</v>
      </c>
      <c r="B745" s="24" t="s">
        <v>2031</v>
      </c>
      <c r="C745" s="18" t="s">
        <v>102</v>
      </c>
      <c r="D745" s="24" t="s">
        <v>1159</v>
      </c>
      <c r="E745" s="22" t="s">
        <v>99</v>
      </c>
      <c r="F745" s="17" t="s">
        <v>1160</v>
      </c>
    </row>
    <row r="746" spans="1:6" ht="41.4" x14ac:dyDescent="0.25">
      <c r="A746" s="17" t="s">
        <v>2032</v>
      </c>
      <c r="B746" s="17" t="s">
        <v>119</v>
      </c>
      <c r="C746" s="18" t="s">
        <v>102</v>
      </c>
      <c r="D746" s="17" t="s">
        <v>120</v>
      </c>
      <c r="E746" s="18" t="s">
        <v>99</v>
      </c>
      <c r="F746" s="17" t="s">
        <v>109</v>
      </c>
    </row>
    <row r="747" spans="1:6" ht="41.4" x14ac:dyDescent="0.25">
      <c r="A747" s="17" t="s">
        <v>2033</v>
      </c>
      <c r="B747" s="17" t="s">
        <v>106</v>
      </c>
      <c r="C747" s="18" t="s">
        <v>102</v>
      </c>
      <c r="D747" s="17" t="s">
        <v>107</v>
      </c>
      <c r="E747" s="18" t="s">
        <v>99</v>
      </c>
      <c r="F747" s="17" t="s">
        <v>109</v>
      </c>
    </row>
    <row r="748" spans="1:6" ht="27.6" x14ac:dyDescent="0.25">
      <c r="A748" s="17" t="s">
        <v>2034</v>
      </c>
      <c r="B748" s="17" t="s">
        <v>111</v>
      </c>
      <c r="C748" s="18" t="s">
        <v>102</v>
      </c>
      <c r="D748" s="17" t="s">
        <v>2035</v>
      </c>
      <c r="E748" s="18" t="s">
        <v>99</v>
      </c>
      <c r="F748" s="17" t="s">
        <v>109</v>
      </c>
    </row>
    <row r="749" spans="1:6" ht="27.6" x14ac:dyDescent="0.25">
      <c r="A749" s="17" t="s">
        <v>2036</v>
      </c>
      <c r="B749" s="17" t="s">
        <v>126</v>
      </c>
      <c r="C749" s="18" t="s">
        <v>102</v>
      </c>
      <c r="D749" s="17" t="s">
        <v>127</v>
      </c>
      <c r="E749" s="18" t="s">
        <v>99</v>
      </c>
      <c r="F749" s="17" t="s">
        <v>109</v>
      </c>
    </row>
    <row r="750" spans="1:6" ht="27.6" x14ac:dyDescent="0.25">
      <c r="A750" s="17" t="s">
        <v>2037</v>
      </c>
      <c r="B750" s="17" t="s">
        <v>129</v>
      </c>
      <c r="C750" s="18" t="s">
        <v>102</v>
      </c>
      <c r="D750" s="17" t="s">
        <v>130</v>
      </c>
      <c r="E750" s="18" t="s">
        <v>99</v>
      </c>
      <c r="F750" s="17" t="s">
        <v>109</v>
      </c>
    </row>
    <row r="751" spans="1:6" ht="27.6" x14ac:dyDescent="0.3">
      <c r="A751" s="24" t="s">
        <v>2038</v>
      </c>
      <c r="B751" s="24" t="s">
        <v>2039</v>
      </c>
      <c r="C751" s="18" t="s">
        <v>102</v>
      </c>
      <c r="D751" s="24" t="s">
        <v>1167</v>
      </c>
      <c r="E751" s="22" t="s">
        <v>99</v>
      </c>
      <c r="F751" s="17" t="s">
        <v>109</v>
      </c>
    </row>
    <row r="752" spans="1:6" ht="27.6" x14ac:dyDescent="0.25">
      <c r="A752" s="17" t="s">
        <v>2040</v>
      </c>
      <c r="B752" s="17" t="s">
        <v>2041</v>
      </c>
      <c r="C752" s="18" t="s">
        <v>102</v>
      </c>
      <c r="D752" s="17" t="s">
        <v>1170</v>
      </c>
      <c r="E752" s="18" t="s">
        <v>99</v>
      </c>
      <c r="F752" s="17" t="s">
        <v>109</v>
      </c>
    </row>
    <row r="753" spans="1:6" ht="27.6" x14ac:dyDescent="0.25">
      <c r="A753" s="17" t="s">
        <v>2042</v>
      </c>
      <c r="B753" s="17" t="s">
        <v>2043</v>
      </c>
      <c r="C753" s="18" t="s">
        <v>102</v>
      </c>
      <c r="D753" s="19"/>
      <c r="E753" s="19"/>
      <c r="F753" s="17" t="s">
        <v>109</v>
      </c>
    </row>
    <row r="754" spans="1:6" ht="27.6" x14ac:dyDescent="0.25">
      <c r="A754" s="17" t="s">
        <v>2044</v>
      </c>
      <c r="B754" s="17" t="s">
        <v>2045</v>
      </c>
      <c r="C754" s="18" t="s">
        <v>102</v>
      </c>
      <c r="D754" s="17" t="s">
        <v>1173</v>
      </c>
      <c r="E754" s="18" t="s">
        <v>99</v>
      </c>
      <c r="F754" s="17" t="s">
        <v>109</v>
      </c>
    </row>
    <row r="755" spans="1:6" ht="27.6" x14ac:dyDescent="0.25">
      <c r="A755" s="17" t="s">
        <v>2046</v>
      </c>
      <c r="B755" s="17" t="s">
        <v>2047</v>
      </c>
      <c r="C755" s="18" t="s">
        <v>102</v>
      </c>
      <c r="D755" s="17" t="s">
        <v>2048</v>
      </c>
      <c r="E755" s="19"/>
      <c r="F755" s="17" t="s">
        <v>109</v>
      </c>
    </row>
    <row r="756" spans="1:6" ht="27.6" x14ac:dyDescent="0.25">
      <c r="A756" s="17" t="s">
        <v>2049</v>
      </c>
      <c r="B756" s="17" t="s">
        <v>2050</v>
      </c>
      <c r="C756" s="18" t="s">
        <v>102</v>
      </c>
      <c r="D756" s="17" t="s">
        <v>1167</v>
      </c>
      <c r="E756" s="18" t="s">
        <v>1176</v>
      </c>
      <c r="F756" s="17" t="s">
        <v>109</v>
      </c>
    </row>
    <row r="757" spans="1:6" ht="27.6" x14ac:dyDescent="0.25">
      <c r="A757" s="17" t="s">
        <v>2051</v>
      </c>
      <c r="B757" s="17" t="s">
        <v>2052</v>
      </c>
      <c r="C757" s="18" t="s">
        <v>102</v>
      </c>
      <c r="D757" s="17" t="s">
        <v>1179</v>
      </c>
      <c r="E757" s="18" t="s">
        <v>99</v>
      </c>
      <c r="F757" s="17" t="s">
        <v>109</v>
      </c>
    </row>
    <row r="758" spans="1:6" ht="27.6" x14ac:dyDescent="0.25">
      <c r="A758" s="17" t="s">
        <v>2053</v>
      </c>
      <c r="B758" s="17" t="s">
        <v>2054</v>
      </c>
      <c r="C758" s="18" t="s">
        <v>102</v>
      </c>
      <c r="D758" s="17" t="s">
        <v>2055</v>
      </c>
      <c r="E758" s="18" t="s">
        <v>99</v>
      </c>
      <c r="F758" s="17" t="s">
        <v>109</v>
      </c>
    </row>
    <row r="759" spans="1:6" ht="27.6" x14ac:dyDescent="0.25">
      <c r="A759" s="17" t="s">
        <v>2056</v>
      </c>
      <c r="B759" s="17" t="s">
        <v>2057</v>
      </c>
      <c r="C759" s="18" t="s">
        <v>102</v>
      </c>
      <c r="D759" s="19"/>
      <c r="E759" s="19"/>
      <c r="F759" s="17" t="s">
        <v>109</v>
      </c>
    </row>
    <row r="760" spans="1:6" ht="27.6" x14ac:dyDescent="0.25">
      <c r="A760" s="17" t="s">
        <v>70</v>
      </c>
      <c r="B760" s="17" t="s">
        <v>2058</v>
      </c>
      <c r="C760" s="18" t="s">
        <v>102</v>
      </c>
      <c r="D760" s="17" t="s">
        <v>1184</v>
      </c>
      <c r="E760" s="18" t="s">
        <v>99</v>
      </c>
      <c r="F760" s="17" t="s">
        <v>109</v>
      </c>
    </row>
    <row r="761" spans="1:6" ht="27.6" x14ac:dyDescent="0.25">
      <c r="A761" s="30" t="s">
        <v>2059</v>
      </c>
      <c r="B761" s="30" t="s">
        <v>2060</v>
      </c>
      <c r="C761" s="31" t="s">
        <v>102</v>
      </c>
      <c r="D761" s="30" t="s">
        <v>1187</v>
      </c>
      <c r="E761" s="31" t="s">
        <v>99</v>
      </c>
      <c r="F761" s="30" t="s">
        <v>109</v>
      </c>
    </row>
    <row r="762" spans="1:6" ht="27.6" x14ac:dyDescent="0.25">
      <c r="A762" s="30" t="s">
        <v>2061</v>
      </c>
      <c r="B762" s="30" t="s">
        <v>2062</v>
      </c>
      <c r="C762" s="31" t="s">
        <v>102</v>
      </c>
      <c r="D762" s="30" t="s">
        <v>2063</v>
      </c>
      <c r="E762" s="42"/>
      <c r="F762" s="30" t="s">
        <v>889</v>
      </c>
    </row>
    <row r="763" spans="1:6" ht="13.8" x14ac:dyDescent="0.25">
      <c r="A763" s="26" t="s">
        <v>60</v>
      </c>
      <c r="B763" s="26" t="s">
        <v>2064</v>
      </c>
      <c r="C763" s="32" t="s">
        <v>284</v>
      </c>
      <c r="D763" s="26" t="s">
        <v>99</v>
      </c>
      <c r="E763" s="32" t="s">
        <v>99</v>
      </c>
      <c r="F763" s="26" t="s">
        <v>99</v>
      </c>
    </row>
    <row r="764" spans="1:6" ht="14.4" x14ac:dyDescent="0.3">
      <c r="A764" s="26" t="s">
        <v>2065</v>
      </c>
      <c r="B764" s="28" t="s">
        <v>2066</v>
      </c>
      <c r="C764" s="32" t="s">
        <v>102</v>
      </c>
      <c r="D764" s="27"/>
      <c r="E764" s="27"/>
      <c r="F764" s="27"/>
    </row>
    <row r="765" spans="1:6" ht="27.6" x14ac:dyDescent="0.25">
      <c r="A765" s="26" t="s">
        <v>2067</v>
      </c>
      <c r="B765" s="26" t="s">
        <v>2068</v>
      </c>
      <c r="C765" s="32" t="s">
        <v>166</v>
      </c>
      <c r="D765" s="26" t="s">
        <v>2069</v>
      </c>
      <c r="E765" s="32" t="s">
        <v>99</v>
      </c>
      <c r="F765" s="26" t="s">
        <v>397</v>
      </c>
    </row>
    <row r="766" spans="1:6" ht="27.6" x14ac:dyDescent="0.25">
      <c r="A766" s="17" t="s">
        <v>2070</v>
      </c>
      <c r="B766" s="17" t="s">
        <v>2071</v>
      </c>
      <c r="C766" s="18" t="s">
        <v>102</v>
      </c>
      <c r="D766" s="17" t="s">
        <v>1190</v>
      </c>
      <c r="E766" s="18" t="s">
        <v>99</v>
      </c>
      <c r="F766" s="17" t="s">
        <v>1191</v>
      </c>
    </row>
    <row r="767" spans="1:6" ht="27.6" x14ac:dyDescent="0.25">
      <c r="A767" s="30" t="s">
        <v>2072</v>
      </c>
      <c r="B767" s="30" t="s">
        <v>2073</v>
      </c>
      <c r="C767" s="31" t="s">
        <v>102</v>
      </c>
      <c r="D767" s="30" t="s">
        <v>1194</v>
      </c>
      <c r="E767" s="31" t="s">
        <v>99</v>
      </c>
      <c r="F767" s="30" t="s">
        <v>1195</v>
      </c>
    </row>
    <row r="768" spans="1:6" ht="41.4" x14ac:dyDescent="0.25">
      <c r="A768" s="17" t="s">
        <v>2074</v>
      </c>
      <c r="B768" s="17" t="s">
        <v>2075</v>
      </c>
      <c r="C768" s="18" t="s">
        <v>102</v>
      </c>
      <c r="D768" s="17" t="s">
        <v>1194</v>
      </c>
      <c r="E768" s="18" t="s">
        <v>99</v>
      </c>
      <c r="F768" s="17" t="s">
        <v>1195</v>
      </c>
    </row>
    <row r="769" spans="1:6" ht="41.4" x14ac:dyDescent="0.25">
      <c r="A769" s="17" t="s">
        <v>2076</v>
      </c>
      <c r="B769" s="17" t="s">
        <v>2077</v>
      </c>
      <c r="C769" s="18" t="s">
        <v>102</v>
      </c>
      <c r="D769" s="17" t="s">
        <v>1194</v>
      </c>
      <c r="E769" s="18" t="s">
        <v>99</v>
      </c>
      <c r="F769" s="17" t="s">
        <v>1195</v>
      </c>
    </row>
    <row r="770" spans="1:6" ht="27.6" x14ac:dyDescent="0.25">
      <c r="A770" s="26" t="s">
        <v>2078</v>
      </c>
      <c r="B770" s="26" t="s">
        <v>2079</v>
      </c>
      <c r="C770" s="32" t="s">
        <v>166</v>
      </c>
      <c r="D770" s="26" t="s">
        <v>1198</v>
      </c>
      <c r="E770" s="32" t="s">
        <v>99</v>
      </c>
      <c r="F770" s="26" t="s">
        <v>1191</v>
      </c>
    </row>
    <row r="771" spans="1:6" ht="27.6" x14ac:dyDescent="0.25">
      <c r="A771" s="30" t="s">
        <v>2080</v>
      </c>
      <c r="B771" s="30" t="s">
        <v>2081</v>
      </c>
      <c r="C771" s="31" t="s">
        <v>102</v>
      </c>
      <c r="D771" s="30" t="s">
        <v>1201</v>
      </c>
      <c r="E771" s="31" t="s">
        <v>99</v>
      </c>
      <c r="F771" s="30" t="s">
        <v>104</v>
      </c>
    </row>
    <row r="772" spans="1:6" ht="14.4" x14ac:dyDescent="0.3">
      <c r="A772" s="14" t="s">
        <v>2082</v>
      </c>
      <c r="B772" s="21" t="s">
        <v>2083</v>
      </c>
      <c r="C772" s="16" t="s">
        <v>102</v>
      </c>
      <c r="D772" s="15"/>
      <c r="E772" s="15"/>
      <c r="F772" s="15"/>
    </row>
    <row r="773" spans="1:6" ht="27.6" x14ac:dyDescent="0.25">
      <c r="A773" s="30" t="s">
        <v>2084</v>
      </c>
      <c r="B773" s="30" t="s">
        <v>2085</v>
      </c>
      <c r="C773" s="31" t="s">
        <v>102</v>
      </c>
      <c r="D773" s="30" t="s">
        <v>1204</v>
      </c>
      <c r="E773" s="31" t="s">
        <v>99</v>
      </c>
      <c r="F773" s="30" t="s">
        <v>617</v>
      </c>
    </row>
    <row r="774" spans="1:6" ht="27.6" x14ac:dyDescent="0.25">
      <c r="A774" s="30" t="s">
        <v>2086</v>
      </c>
      <c r="B774" s="30" t="s">
        <v>2087</v>
      </c>
      <c r="C774" s="31" t="s">
        <v>102</v>
      </c>
      <c r="D774" s="30" t="s">
        <v>2088</v>
      </c>
      <c r="E774" s="42"/>
      <c r="F774" s="30" t="s">
        <v>2089</v>
      </c>
    </row>
    <row r="775" spans="1:6" ht="27.6" x14ac:dyDescent="0.25">
      <c r="A775" s="14" t="s">
        <v>2090</v>
      </c>
      <c r="B775" s="14" t="s">
        <v>2091</v>
      </c>
      <c r="C775" s="16" t="s">
        <v>166</v>
      </c>
      <c r="D775" s="14" t="s">
        <v>1207</v>
      </c>
      <c r="E775" s="16" t="s">
        <v>99</v>
      </c>
      <c r="F775" s="14" t="s">
        <v>608</v>
      </c>
    </row>
    <row r="776" spans="1:6" ht="27.6" x14ac:dyDescent="0.25">
      <c r="A776" s="14" t="s">
        <v>2092</v>
      </c>
      <c r="B776" s="14" t="s">
        <v>2093</v>
      </c>
      <c r="C776" s="16" t="s">
        <v>166</v>
      </c>
      <c r="D776" s="14" t="s">
        <v>2094</v>
      </c>
      <c r="E776" s="16" t="s">
        <v>99</v>
      </c>
      <c r="F776" s="14" t="s">
        <v>104</v>
      </c>
    </row>
    <row r="777" spans="1:6" ht="27.6" x14ac:dyDescent="0.25">
      <c r="A777" s="26" t="s">
        <v>32</v>
      </c>
      <c r="B777" s="26" t="s">
        <v>2095</v>
      </c>
      <c r="C777" s="32" t="s">
        <v>166</v>
      </c>
      <c r="D777" s="26" t="s">
        <v>1210</v>
      </c>
      <c r="E777" s="32" t="s">
        <v>99</v>
      </c>
      <c r="F777" s="26" t="s">
        <v>109</v>
      </c>
    </row>
    <row r="778" spans="1:6" ht="27.6" x14ac:dyDescent="0.25">
      <c r="A778" s="14" t="s">
        <v>2096</v>
      </c>
      <c r="B778" s="14" t="s">
        <v>2097</v>
      </c>
      <c r="C778" s="16" t="s">
        <v>166</v>
      </c>
      <c r="D778" s="14" t="s">
        <v>2098</v>
      </c>
      <c r="E778" s="15"/>
      <c r="F778" s="14" t="s">
        <v>109</v>
      </c>
    </row>
    <row r="779" spans="1:6" ht="27.6" x14ac:dyDescent="0.25">
      <c r="A779" s="14" t="s">
        <v>2099</v>
      </c>
      <c r="B779" s="14" t="s">
        <v>2100</v>
      </c>
      <c r="C779" s="15"/>
      <c r="D779" s="15"/>
      <c r="E779" s="15"/>
      <c r="F779" s="15"/>
    </row>
    <row r="780" spans="1:6" ht="27.6" x14ac:dyDescent="0.25">
      <c r="A780" s="14" t="s">
        <v>2101</v>
      </c>
      <c r="B780" s="14" t="s">
        <v>2102</v>
      </c>
      <c r="C780" s="16" t="s">
        <v>166</v>
      </c>
      <c r="D780" s="14" t="s">
        <v>1213</v>
      </c>
      <c r="E780" s="16" t="s">
        <v>99</v>
      </c>
      <c r="F780" s="14" t="s">
        <v>109</v>
      </c>
    </row>
    <row r="781" spans="1:6" ht="27.6" x14ac:dyDescent="0.25">
      <c r="A781" s="30" t="s">
        <v>2103</v>
      </c>
      <c r="B781" s="30" t="s">
        <v>2104</v>
      </c>
      <c r="C781" s="31" t="s">
        <v>102</v>
      </c>
      <c r="D781" s="30" t="s">
        <v>2105</v>
      </c>
      <c r="E781" s="31" t="s">
        <v>99</v>
      </c>
      <c r="F781" s="30" t="s">
        <v>149</v>
      </c>
    </row>
    <row r="782" spans="1:6" ht="27.6" x14ac:dyDescent="0.25">
      <c r="A782" s="14" t="s">
        <v>2106</v>
      </c>
      <c r="B782" s="14" t="s">
        <v>2107</v>
      </c>
      <c r="C782" s="16" t="s">
        <v>166</v>
      </c>
      <c r="D782" s="14" t="s">
        <v>1218</v>
      </c>
      <c r="E782" s="16" t="s">
        <v>99</v>
      </c>
      <c r="F782" s="14" t="s">
        <v>109</v>
      </c>
    </row>
    <row r="783" spans="1:6" ht="27.6" x14ac:dyDescent="0.25">
      <c r="A783" s="14" t="s">
        <v>2108</v>
      </c>
      <c r="B783" s="14" t="s">
        <v>2109</v>
      </c>
      <c r="C783" s="16" t="s">
        <v>166</v>
      </c>
      <c r="D783" s="15"/>
      <c r="E783" s="15"/>
      <c r="F783" s="14" t="s">
        <v>109</v>
      </c>
    </row>
    <row r="784" spans="1:6" ht="27.6" x14ac:dyDescent="0.25">
      <c r="A784" s="26" t="s">
        <v>2110</v>
      </c>
      <c r="B784" s="26" t="s">
        <v>2111</v>
      </c>
      <c r="C784" s="27"/>
      <c r="D784" s="27"/>
      <c r="E784" s="27"/>
      <c r="F784" s="27"/>
    </row>
    <row r="785" spans="1:6" ht="27.6" x14ac:dyDescent="0.25">
      <c r="A785" s="26" t="s">
        <v>2112</v>
      </c>
      <c r="B785" s="26" t="s">
        <v>2113</v>
      </c>
      <c r="C785" s="32" t="s">
        <v>166</v>
      </c>
      <c r="D785" s="26" t="s">
        <v>1221</v>
      </c>
      <c r="E785" s="32" t="s">
        <v>99</v>
      </c>
      <c r="F785" s="26" t="s">
        <v>608</v>
      </c>
    </row>
    <row r="786" spans="1:6" ht="41.4" x14ac:dyDescent="0.25">
      <c r="A786" s="26" t="s">
        <v>2114</v>
      </c>
      <c r="B786" s="26" t="s">
        <v>2115</v>
      </c>
      <c r="C786" s="32" t="s">
        <v>166</v>
      </c>
      <c r="D786" s="26" t="s">
        <v>2116</v>
      </c>
      <c r="E786" s="32" t="s">
        <v>99</v>
      </c>
      <c r="F786" s="26" t="s">
        <v>397</v>
      </c>
    </row>
    <row r="787" spans="1:6" ht="41.4" x14ac:dyDescent="0.25">
      <c r="A787" s="26" t="s">
        <v>2117</v>
      </c>
      <c r="B787" s="26" t="s">
        <v>2118</v>
      </c>
      <c r="C787" s="32" t="s">
        <v>166</v>
      </c>
      <c r="D787" s="26" t="s">
        <v>2119</v>
      </c>
      <c r="E787" s="32" t="s">
        <v>99</v>
      </c>
      <c r="F787" s="26" t="s">
        <v>397</v>
      </c>
    </row>
    <row r="788" spans="1:6" ht="27.6" x14ac:dyDescent="0.25">
      <c r="A788" s="17" t="s">
        <v>2120</v>
      </c>
      <c r="B788" s="17" t="s">
        <v>2121</v>
      </c>
      <c r="C788" s="18" t="s">
        <v>102</v>
      </c>
      <c r="D788" s="17" t="s">
        <v>2122</v>
      </c>
      <c r="E788" s="19"/>
      <c r="F788" s="17" t="s">
        <v>104</v>
      </c>
    </row>
    <row r="789" spans="1:6" ht="27.6" x14ac:dyDescent="0.25">
      <c r="A789" s="17" t="s">
        <v>2123</v>
      </c>
      <c r="B789" s="17" t="s">
        <v>2124</v>
      </c>
      <c r="C789" s="18" t="s">
        <v>102</v>
      </c>
      <c r="D789" s="17" t="s">
        <v>2125</v>
      </c>
      <c r="E789" s="19"/>
      <c r="F789" s="17" t="s">
        <v>104</v>
      </c>
    </row>
    <row r="790" spans="1:6" ht="27.6" x14ac:dyDescent="0.25">
      <c r="A790" s="17" t="s">
        <v>2126</v>
      </c>
      <c r="B790" s="17" t="s">
        <v>1595</v>
      </c>
      <c r="C790" s="18" t="s">
        <v>102</v>
      </c>
      <c r="D790" s="17" t="s">
        <v>2125</v>
      </c>
      <c r="E790" s="19"/>
      <c r="F790" s="17" t="s">
        <v>104</v>
      </c>
    </row>
    <row r="791" spans="1:6" ht="27.6" x14ac:dyDescent="0.25">
      <c r="A791" s="17" t="s">
        <v>2127</v>
      </c>
      <c r="B791" s="17" t="s">
        <v>1671</v>
      </c>
      <c r="C791" s="18" t="s">
        <v>102</v>
      </c>
      <c r="D791" s="17" t="s">
        <v>1224</v>
      </c>
      <c r="E791" s="18" t="s">
        <v>1225</v>
      </c>
      <c r="F791" s="17" t="s">
        <v>1226</v>
      </c>
    </row>
    <row r="792" spans="1:6" ht="27.6" x14ac:dyDescent="0.25">
      <c r="A792" s="17" t="s">
        <v>2128</v>
      </c>
      <c r="B792" s="17" t="s">
        <v>2129</v>
      </c>
      <c r="C792" s="18" t="s">
        <v>102</v>
      </c>
      <c r="D792" s="17" t="s">
        <v>1229</v>
      </c>
      <c r="E792" s="18" t="s">
        <v>1230</v>
      </c>
      <c r="F792" s="17" t="s">
        <v>1226</v>
      </c>
    </row>
    <row r="793" spans="1:6" ht="27.6" x14ac:dyDescent="0.25">
      <c r="A793" s="17" t="s">
        <v>2130</v>
      </c>
      <c r="B793" s="17" t="s">
        <v>2131</v>
      </c>
      <c r="C793" s="18" t="s">
        <v>102</v>
      </c>
      <c r="D793" s="17" t="s">
        <v>1233</v>
      </c>
      <c r="E793" s="18" t="s">
        <v>1234</v>
      </c>
      <c r="F793" s="17" t="s">
        <v>1235</v>
      </c>
    </row>
    <row r="794" spans="1:6" ht="27.6" x14ac:dyDescent="0.25">
      <c r="A794" s="17" t="s">
        <v>2132</v>
      </c>
      <c r="B794" s="17" t="s">
        <v>2131</v>
      </c>
      <c r="C794" s="18" t="s">
        <v>102</v>
      </c>
      <c r="D794" s="17" t="s">
        <v>1233</v>
      </c>
      <c r="E794" s="18" t="s">
        <v>1234</v>
      </c>
      <c r="F794" s="17" t="s">
        <v>1235</v>
      </c>
    </row>
    <row r="795" spans="1:6" ht="27.6" x14ac:dyDescent="0.25">
      <c r="A795" s="17" t="s">
        <v>2133</v>
      </c>
      <c r="B795" s="17" t="s">
        <v>2134</v>
      </c>
      <c r="C795" s="18" t="s">
        <v>102</v>
      </c>
      <c r="D795" s="19"/>
      <c r="E795" s="19"/>
      <c r="F795" s="17" t="s">
        <v>608</v>
      </c>
    </row>
    <row r="796" spans="1:6" ht="27.6" x14ac:dyDescent="0.25">
      <c r="A796" s="17" t="s">
        <v>2135</v>
      </c>
      <c r="B796" s="17" t="s">
        <v>2136</v>
      </c>
      <c r="C796" s="18" t="s">
        <v>102</v>
      </c>
      <c r="D796" s="17" t="s">
        <v>2137</v>
      </c>
      <c r="E796" s="18" t="s">
        <v>99</v>
      </c>
      <c r="F796" s="17" t="s">
        <v>149</v>
      </c>
    </row>
    <row r="797" spans="1:6" ht="27.6" x14ac:dyDescent="0.25">
      <c r="A797" s="17" t="s">
        <v>2138</v>
      </c>
      <c r="B797" s="17" t="s">
        <v>2139</v>
      </c>
      <c r="C797" s="18" t="s">
        <v>102</v>
      </c>
      <c r="D797" s="19"/>
      <c r="E797" s="19"/>
      <c r="F797" s="17" t="s">
        <v>149</v>
      </c>
    </row>
    <row r="798" spans="1:6" ht="27.6" x14ac:dyDescent="0.25">
      <c r="A798" s="17" t="s">
        <v>2140</v>
      </c>
      <c r="B798" s="17" t="s">
        <v>2141</v>
      </c>
      <c r="C798" s="18" t="s">
        <v>102</v>
      </c>
      <c r="D798" s="19"/>
      <c r="E798" s="19"/>
      <c r="F798" s="17" t="s">
        <v>149</v>
      </c>
    </row>
    <row r="799" spans="1:6" ht="27.6" x14ac:dyDescent="0.25">
      <c r="A799" s="17" t="s">
        <v>2142</v>
      </c>
      <c r="B799" s="17" t="s">
        <v>2143</v>
      </c>
      <c r="C799" s="18" t="s">
        <v>102</v>
      </c>
      <c r="D799" s="19"/>
      <c r="E799" s="19"/>
      <c r="F799" s="17" t="s">
        <v>305</v>
      </c>
    </row>
    <row r="800" spans="1:6" ht="27.6" x14ac:dyDescent="0.25">
      <c r="A800" s="17" t="s">
        <v>2144</v>
      </c>
      <c r="B800" s="17" t="s">
        <v>2145</v>
      </c>
      <c r="C800" s="18" t="s">
        <v>102</v>
      </c>
      <c r="D800" s="17" t="s">
        <v>1541</v>
      </c>
      <c r="E800" s="18" t="s">
        <v>1542</v>
      </c>
      <c r="F800" s="17" t="s">
        <v>149</v>
      </c>
    </row>
    <row r="801" spans="1:6" ht="27.6" x14ac:dyDescent="0.25">
      <c r="A801" s="17" t="s">
        <v>2146</v>
      </c>
      <c r="B801" s="17" t="s">
        <v>2147</v>
      </c>
      <c r="C801" s="18" t="s">
        <v>102</v>
      </c>
      <c r="D801" s="17" t="s">
        <v>1238</v>
      </c>
      <c r="E801" s="18" t="s">
        <v>99</v>
      </c>
      <c r="F801" s="17" t="s">
        <v>265</v>
      </c>
    </row>
    <row r="802" spans="1:6" ht="27.6" x14ac:dyDescent="0.25">
      <c r="A802" s="17" t="s">
        <v>2148</v>
      </c>
      <c r="B802" s="17" t="s">
        <v>2149</v>
      </c>
      <c r="C802" s="18" t="s">
        <v>102</v>
      </c>
      <c r="D802" s="17" t="s">
        <v>1548</v>
      </c>
      <c r="E802" s="18" t="s">
        <v>1549</v>
      </c>
      <c r="F802" s="17" t="s">
        <v>149</v>
      </c>
    </row>
    <row r="803" spans="1:6" ht="27.6" x14ac:dyDescent="0.25">
      <c r="A803" s="17" t="s">
        <v>2150</v>
      </c>
      <c r="B803" s="17" t="s">
        <v>2151</v>
      </c>
      <c r="C803" s="18" t="s">
        <v>102</v>
      </c>
      <c r="D803" s="19"/>
      <c r="E803" s="19"/>
      <c r="F803" s="17" t="s">
        <v>157</v>
      </c>
    </row>
    <row r="804" spans="1:6" ht="27.6" x14ac:dyDescent="0.25">
      <c r="A804" s="30" t="s">
        <v>2150</v>
      </c>
      <c r="B804" s="30" t="s">
        <v>2152</v>
      </c>
      <c r="C804" s="31" t="s">
        <v>102</v>
      </c>
      <c r="D804" s="42"/>
      <c r="E804" s="42"/>
      <c r="F804" s="30" t="s">
        <v>157</v>
      </c>
    </row>
    <row r="805" spans="1:6" ht="27.6" x14ac:dyDescent="0.25">
      <c r="A805" s="17" t="s">
        <v>2150</v>
      </c>
      <c r="B805" s="17" t="s">
        <v>2153</v>
      </c>
      <c r="C805" s="18" t="s">
        <v>102</v>
      </c>
      <c r="D805" s="19"/>
      <c r="E805" s="19"/>
      <c r="F805" s="17" t="s">
        <v>157</v>
      </c>
    </row>
    <row r="806" spans="1:6" ht="27.6" x14ac:dyDescent="0.25">
      <c r="A806" s="30" t="s">
        <v>2154</v>
      </c>
      <c r="B806" s="30" t="s">
        <v>2155</v>
      </c>
      <c r="C806" s="31" t="s">
        <v>102</v>
      </c>
      <c r="D806" s="30" t="s">
        <v>1244</v>
      </c>
      <c r="E806" s="31" t="s">
        <v>99</v>
      </c>
      <c r="F806" s="30" t="s">
        <v>186</v>
      </c>
    </row>
    <row r="807" spans="1:6" ht="27.6" x14ac:dyDescent="0.25">
      <c r="A807" s="30" t="s">
        <v>2156</v>
      </c>
      <c r="B807" s="30" t="s">
        <v>2157</v>
      </c>
      <c r="C807" s="31" t="s">
        <v>102</v>
      </c>
      <c r="D807" s="30" t="s">
        <v>2158</v>
      </c>
      <c r="E807" s="42"/>
      <c r="F807" s="30" t="s">
        <v>2159</v>
      </c>
    </row>
    <row r="808" spans="1:6" ht="27.6" x14ac:dyDescent="0.25">
      <c r="A808" s="14" t="s">
        <v>2160</v>
      </c>
      <c r="B808" s="14" t="s">
        <v>2161</v>
      </c>
      <c r="C808" s="16" t="s">
        <v>166</v>
      </c>
      <c r="D808" s="14" t="s">
        <v>1247</v>
      </c>
      <c r="E808" s="16" t="s">
        <v>99</v>
      </c>
      <c r="F808" s="14" t="s">
        <v>889</v>
      </c>
    </row>
    <row r="809" spans="1:6" ht="27.6" x14ac:dyDescent="0.3">
      <c r="A809" s="30" t="s">
        <v>2162</v>
      </c>
      <c r="B809" s="30" t="s">
        <v>2163</v>
      </c>
      <c r="C809" s="31" t="s">
        <v>102</v>
      </c>
      <c r="D809" s="30" t="s">
        <v>1250</v>
      </c>
      <c r="E809" s="47" t="s">
        <v>99</v>
      </c>
      <c r="F809" s="30" t="s">
        <v>889</v>
      </c>
    </row>
    <row r="810" spans="1:6" ht="27.6" x14ac:dyDescent="0.25">
      <c r="A810" s="26" t="s">
        <v>2164</v>
      </c>
      <c r="B810" s="26" t="s">
        <v>2165</v>
      </c>
      <c r="C810" s="32" t="s">
        <v>166</v>
      </c>
      <c r="D810" s="26" t="s">
        <v>99</v>
      </c>
      <c r="E810" s="32" t="s">
        <v>99</v>
      </c>
      <c r="F810" s="26" t="s">
        <v>99</v>
      </c>
    </row>
    <row r="811" spans="1:6" ht="27.6" x14ac:dyDescent="0.25">
      <c r="A811" s="14" t="s">
        <v>2166</v>
      </c>
      <c r="B811" s="14" t="s">
        <v>2167</v>
      </c>
      <c r="C811" s="16" t="s">
        <v>166</v>
      </c>
      <c r="D811" s="14" t="s">
        <v>99</v>
      </c>
      <c r="E811" s="16" t="s">
        <v>99</v>
      </c>
      <c r="F811" s="14" t="s">
        <v>149</v>
      </c>
    </row>
    <row r="812" spans="1:6" ht="27.6" x14ac:dyDescent="0.25">
      <c r="A812" s="14" t="s">
        <v>2168</v>
      </c>
      <c r="B812" s="14" t="s">
        <v>2169</v>
      </c>
      <c r="C812" s="16" t="s">
        <v>99</v>
      </c>
      <c r="D812" s="14" t="s">
        <v>99</v>
      </c>
      <c r="E812" s="16" t="s">
        <v>99</v>
      </c>
      <c r="F812" s="14" t="s">
        <v>99</v>
      </c>
    </row>
    <row r="813" spans="1:6" ht="13.8" x14ac:dyDescent="0.25">
      <c r="A813" s="14" t="s">
        <v>2170</v>
      </c>
      <c r="B813" s="14" t="s">
        <v>99</v>
      </c>
      <c r="C813" s="16" t="s">
        <v>99</v>
      </c>
      <c r="D813" s="14" t="s">
        <v>99</v>
      </c>
      <c r="E813" s="16" t="s">
        <v>99</v>
      </c>
      <c r="F813" s="14" t="s">
        <v>99</v>
      </c>
    </row>
    <row r="814" spans="1:6" ht="27.6" x14ac:dyDescent="0.25">
      <c r="A814" s="17" t="s">
        <v>2171</v>
      </c>
      <c r="B814" s="17" t="s">
        <v>2172</v>
      </c>
      <c r="C814" s="18" t="s">
        <v>102</v>
      </c>
      <c r="D814" s="17" t="s">
        <v>1257</v>
      </c>
      <c r="E814" s="18" t="s">
        <v>99</v>
      </c>
      <c r="F814" s="17" t="s">
        <v>2173</v>
      </c>
    </row>
    <row r="815" spans="1:6" ht="27.6" x14ac:dyDescent="0.25">
      <c r="A815" s="26" t="s">
        <v>2174</v>
      </c>
      <c r="B815" s="26" t="s">
        <v>2175</v>
      </c>
      <c r="C815" s="32" t="s">
        <v>2176</v>
      </c>
      <c r="D815" s="26" t="s">
        <v>99</v>
      </c>
      <c r="E815" s="32" t="s">
        <v>99</v>
      </c>
      <c r="F815" s="26" t="s">
        <v>99</v>
      </c>
    </row>
    <row r="816" spans="1:6" ht="27.6" x14ac:dyDescent="0.25">
      <c r="A816" s="26" t="s">
        <v>2177</v>
      </c>
      <c r="B816" s="26" t="s">
        <v>2178</v>
      </c>
      <c r="C816" s="32" t="s">
        <v>2179</v>
      </c>
      <c r="D816" s="26" t="s">
        <v>99</v>
      </c>
      <c r="E816" s="32" t="s">
        <v>99</v>
      </c>
      <c r="F816" s="26" t="s">
        <v>99</v>
      </c>
    </row>
    <row r="817" spans="1:6" ht="13.8" x14ac:dyDescent="0.25">
      <c r="A817" s="14" t="s">
        <v>2180</v>
      </c>
      <c r="B817" s="14" t="s">
        <v>99</v>
      </c>
      <c r="C817" s="16" t="s">
        <v>99</v>
      </c>
      <c r="D817" s="14" t="s">
        <v>99</v>
      </c>
      <c r="E817" s="16" t="s">
        <v>99</v>
      </c>
      <c r="F817" s="14" t="s">
        <v>99</v>
      </c>
    </row>
    <row r="818" spans="1:6" ht="27.6" x14ac:dyDescent="0.25">
      <c r="A818" s="17" t="s">
        <v>2181</v>
      </c>
      <c r="B818" s="17" t="s">
        <v>2182</v>
      </c>
      <c r="C818" s="18" t="s">
        <v>102</v>
      </c>
      <c r="D818" s="17" t="s">
        <v>1260</v>
      </c>
      <c r="E818" s="18" t="s">
        <v>99</v>
      </c>
      <c r="F818" s="17" t="s">
        <v>206</v>
      </c>
    </row>
    <row r="819" spans="1:6" ht="27.6" x14ac:dyDescent="0.25">
      <c r="A819" s="17" t="s">
        <v>2183</v>
      </c>
      <c r="B819" s="17" t="s">
        <v>2184</v>
      </c>
      <c r="C819" s="18" t="s">
        <v>102</v>
      </c>
      <c r="D819" s="17" t="s">
        <v>1263</v>
      </c>
      <c r="E819" s="18" t="s">
        <v>99</v>
      </c>
      <c r="F819" s="17" t="s">
        <v>376</v>
      </c>
    </row>
    <row r="820" spans="1:6" ht="27.6" x14ac:dyDescent="0.25">
      <c r="A820" s="17" t="s">
        <v>2185</v>
      </c>
      <c r="B820" s="17" t="s">
        <v>2186</v>
      </c>
      <c r="C820" s="18" t="s">
        <v>102</v>
      </c>
      <c r="D820" s="19"/>
      <c r="E820" s="19"/>
      <c r="F820" s="17" t="s">
        <v>202</v>
      </c>
    </row>
    <row r="821" spans="1:6" ht="27.6" x14ac:dyDescent="0.25">
      <c r="A821" s="26" t="s">
        <v>2187</v>
      </c>
      <c r="B821" s="26" t="s">
        <v>2188</v>
      </c>
      <c r="C821" s="32" t="s">
        <v>166</v>
      </c>
      <c r="D821" s="26" t="s">
        <v>2189</v>
      </c>
      <c r="E821" s="32" t="s">
        <v>99</v>
      </c>
      <c r="F821" s="26" t="s">
        <v>99</v>
      </c>
    </row>
    <row r="822" spans="1:6" ht="27.6" x14ac:dyDescent="0.25">
      <c r="A822" s="17" t="s">
        <v>2190</v>
      </c>
      <c r="B822" s="30" t="s">
        <v>2191</v>
      </c>
      <c r="C822" s="18" t="s">
        <v>102</v>
      </c>
      <c r="D822" s="19"/>
      <c r="E822" s="19"/>
      <c r="F822" s="17" t="s">
        <v>2192</v>
      </c>
    </row>
    <row r="823" spans="1:6" ht="27.6" x14ac:dyDescent="0.25">
      <c r="A823" s="17" t="s">
        <v>29</v>
      </c>
      <c r="B823" s="17" t="s">
        <v>2193</v>
      </c>
      <c r="C823" s="18" t="s">
        <v>102</v>
      </c>
      <c r="D823" s="17" t="s">
        <v>1266</v>
      </c>
      <c r="E823" s="18" t="s">
        <v>99</v>
      </c>
      <c r="F823" s="17" t="s">
        <v>635</v>
      </c>
    </row>
    <row r="824" spans="1:6" ht="27.6" x14ac:dyDescent="0.25">
      <c r="A824" s="30" t="s">
        <v>2194</v>
      </c>
      <c r="B824" s="30" t="s">
        <v>2195</v>
      </c>
      <c r="C824" s="31" t="s">
        <v>102</v>
      </c>
      <c r="D824" s="30" t="s">
        <v>2196</v>
      </c>
      <c r="E824" s="42"/>
      <c r="F824" s="30" t="s">
        <v>635</v>
      </c>
    </row>
    <row r="825" spans="1:6" ht="27.6" x14ac:dyDescent="0.25">
      <c r="A825" s="17" t="s">
        <v>2197</v>
      </c>
      <c r="B825" s="17" t="s">
        <v>2198</v>
      </c>
      <c r="C825" s="18" t="s">
        <v>102</v>
      </c>
      <c r="D825" s="17" t="s">
        <v>1269</v>
      </c>
      <c r="E825" s="18" t="s">
        <v>99</v>
      </c>
      <c r="F825" s="17" t="s">
        <v>104</v>
      </c>
    </row>
    <row r="826" spans="1:6" ht="14.4" x14ac:dyDescent="0.3">
      <c r="A826" s="17" t="s">
        <v>2199</v>
      </c>
      <c r="B826" s="28" t="s">
        <v>2200</v>
      </c>
      <c r="C826" s="18" t="s">
        <v>102</v>
      </c>
      <c r="D826" s="19"/>
      <c r="E826" s="19"/>
      <c r="F826" s="19"/>
    </row>
    <row r="827" spans="1:6" ht="27.6" x14ac:dyDescent="0.25">
      <c r="A827" s="17" t="s">
        <v>2201</v>
      </c>
      <c r="B827" s="17" t="s">
        <v>2202</v>
      </c>
      <c r="C827" s="18" t="s">
        <v>102</v>
      </c>
      <c r="D827" s="19"/>
      <c r="E827" s="19"/>
      <c r="F827" s="17" t="s">
        <v>1273</v>
      </c>
    </row>
    <row r="828" spans="1:6" ht="13.8" x14ac:dyDescent="0.3">
      <c r="A828" s="26" t="s">
        <v>2203</v>
      </c>
      <c r="B828" s="28" t="s">
        <v>2204</v>
      </c>
      <c r="C828" s="32" t="s">
        <v>166</v>
      </c>
      <c r="D828" s="26" t="s">
        <v>1272</v>
      </c>
      <c r="E828" s="32" t="s">
        <v>99</v>
      </c>
      <c r="F828" s="26" t="s">
        <v>1273</v>
      </c>
    </row>
    <row r="829" spans="1:6" ht="14.4" x14ac:dyDescent="0.25">
      <c r="A829" s="17" t="s">
        <v>2205</v>
      </c>
      <c r="B829" s="17" t="s">
        <v>2206</v>
      </c>
      <c r="C829" s="18" t="s">
        <v>99</v>
      </c>
      <c r="D829" s="19"/>
      <c r="E829" s="19"/>
      <c r="F829" s="17" t="s">
        <v>1273</v>
      </c>
    </row>
    <row r="830" spans="1:6" ht="27.6" x14ac:dyDescent="0.25">
      <c r="A830" s="17" t="s">
        <v>2207</v>
      </c>
      <c r="B830" s="17" t="s">
        <v>2208</v>
      </c>
      <c r="C830" s="18" t="s">
        <v>102</v>
      </c>
      <c r="D830" s="17" t="s">
        <v>2209</v>
      </c>
      <c r="E830" s="18" t="s">
        <v>99</v>
      </c>
      <c r="F830" s="17" t="s">
        <v>2210</v>
      </c>
    </row>
    <row r="831" spans="1:6" ht="27.6" x14ac:dyDescent="0.25">
      <c r="A831" s="17" t="s">
        <v>2211</v>
      </c>
      <c r="B831" s="17" t="s">
        <v>2212</v>
      </c>
      <c r="C831" s="18" t="s">
        <v>102</v>
      </c>
      <c r="D831" s="17" t="s">
        <v>2213</v>
      </c>
      <c r="E831" s="18" t="s">
        <v>99</v>
      </c>
      <c r="F831" s="17" t="s">
        <v>149</v>
      </c>
    </row>
    <row r="832" spans="1:6" ht="27.6" x14ac:dyDescent="0.25">
      <c r="A832" s="17" t="s">
        <v>2214</v>
      </c>
      <c r="B832" s="17" t="s">
        <v>2215</v>
      </c>
      <c r="C832" s="18" t="s">
        <v>102</v>
      </c>
      <c r="D832" s="17" t="s">
        <v>2216</v>
      </c>
      <c r="E832" s="19"/>
      <c r="F832" s="17" t="s">
        <v>186</v>
      </c>
    </row>
    <row r="833" spans="1:6" ht="41.4" x14ac:dyDescent="0.25">
      <c r="A833" s="30" t="s">
        <v>2217</v>
      </c>
      <c r="B833" s="30" t="s">
        <v>2218</v>
      </c>
      <c r="C833" s="31" t="s">
        <v>102</v>
      </c>
      <c r="D833" s="30" t="s">
        <v>2219</v>
      </c>
      <c r="E833" s="42"/>
      <c r="F833" s="30" t="s">
        <v>488</v>
      </c>
    </row>
    <row r="834" spans="1:6" ht="27.6" x14ac:dyDescent="0.25">
      <c r="A834" s="17" t="s">
        <v>2220</v>
      </c>
      <c r="B834" s="17" t="s">
        <v>2221</v>
      </c>
      <c r="C834" s="18" t="s">
        <v>102</v>
      </c>
      <c r="D834" s="17" t="s">
        <v>2222</v>
      </c>
      <c r="E834" s="19"/>
      <c r="F834" s="17" t="s">
        <v>488</v>
      </c>
    </row>
    <row r="835" spans="1:6" ht="27.6" x14ac:dyDescent="0.25">
      <c r="A835" s="17" t="s">
        <v>2223</v>
      </c>
      <c r="B835" s="17" t="s">
        <v>2224</v>
      </c>
      <c r="C835" s="18" t="s">
        <v>102</v>
      </c>
      <c r="D835" s="19"/>
      <c r="E835" s="19"/>
      <c r="F835" s="17" t="s">
        <v>104</v>
      </c>
    </row>
    <row r="836" spans="1:6" ht="41.4" x14ac:dyDescent="0.25">
      <c r="A836" s="17" t="s">
        <v>2225</v>
      </c>
      <c r="B836" s="17" t="s">
        <v>2226</v>
      </c>
      <c r="C836" s="18" t="s">
        <v>102</v>
      </c>
      <c r="D836" s="17" t="s">
        <v>2227</v>
      </c>
      <c r="E836" s="19"/>
      <c r="F836" s="17" t="s">
        <v>206</v>
      </c>
    </row>
    <row r="837" spans="1:6" ht="27.6" x14ac:dyDescent="0.25">
      <c r="A837" s="26" t="s">
        <v>2228</v>
      </c>
      <c r="B837" s="26" t="s">
        <v>2229</v>
      </c>
      <c r="C837" s="32" t="s">
        <v>166</v>
      </c>
      <c r="D837" s="27"/>
      <c r="E837" s="27"/>
      <c r="F837" s="26" t="s">
        <v>149</v>
      </c>
    </row>
    <row r="838" spans="1:6" ht="27.6" x14ac:dyDescent="0.25">
      <c r="A838" s="30" t="s">
        <v>2230</v>
      </c>
      <c r="B838" s="30" t="s">
        <v>2231</v>
      </c>
      <c r="C838" s="31" t="s">
        <v>102</v>
      </c>
      <c r="D838" s="30" t="s">
        <v>1276</v>
      </c>
      <c r="E838" s="31" t="s">
        <v>99</v>
      </c>
      <c r="F838" s="30" t="s">
        <v>206</v>
      </c>
    </row>
    <row r="839" spans="1:6" ht="27.6" x14ac:dyDescent="0.25">
      <c r="A839" s="17" t="s">
        <v>2232</v>
      </c>
      <c r="B839" s="17" t="s">
        <v>2233</v>
      </c>
      <c r="C839" s="18" t="s">
        <v>102</v>
      </c>
      <c r="D839" s="17" t="s">
        <v>1279</v>
      </c>
      <c r="E839" s="18" t="s">
        <v>99</v>
      </c>
      <c r="F839" s="17" t="s">
        <v>206</v>
      </c>
    </row>
    <row r="840" spans="1:6" ht="27.6" x14ac:dyDescent="0.25">
      <c r="A840" s="17" t="s">
        <v>2234</v>
      </c>
      <c r="B840" s="17" t="s">
        <v>2235</v>
      </c>
      <c r="C840" s="18" t="s">
        <v>102</v>
      </c>
      <c r="D840" s="17" t="s">
        <v>2236</v>
      </c>
      <c r="E840" s="19"/>
      <c r="F840" s="17" t="s">
        <v>488</v>
      </c>
    </row>
    <row r="841" spans="1:6" ht="27.6" x14ac:dyDescent="0.25">
      <c r="A841" s="17" t="s">
        <v>2237</v>
      </c>
      <c r="B841" s="17" t="s">
        <v>1918</v>
      </c>
      <c r="C841" s="18" t="s">
        <v>102</v>
      </c>
      <c r="D841" s="17" t="s">
        <v>1282</v>
      </c>
      <c r="E841" s="18" t="s">
        <v>1283</v>
      </c>
      <c r="F841" s="17" t="s">
        <v>1284</v>
      </c>
    </row>
    <row r="842" spans="1:6" ht="27.6" x14ac:dyDescent="0.25">
      <c r="A842" s="26" t="s">
        <v>2238</v>
      </c>
      <c r="B842" s="26" t="s">
        <v>2239</v>
      </c>
      <c r="C842" s="32" t="s">
        <v>166</v>
      </c>
      <c r="D842" s="26" t="s">
        <v>2240</v>
      </c>
      <c r="E842" s="27"/>
      <c r="F842" s="26" t="s">
        <v>149</v>
      </c>
    </row>
    <row r="843" spans="1:6" ht="27.6" x14ac:dyDescent="0.25">
      <c r="A843" s="17" t="s">
        <v>61</v>
      </c>
      <c r="B843" s="17" t="s">
        <v>2241</v>
      </c>
      <c r="C843" s="18" t="s">
        <v>102</v>
      </c>
      <c r="D843" s="17" t="s">
        <v>1287</v>
      </c>
      <c r="E843" s="18" t="s">
        <v>99</v>
      </c>
      <c r="F843" s="17" t="s">
        <v>186</v>
      </c>
    </row>
    <row r="844" spans="1:6" ht="27.6" x14ac:dyDescent="0.25">
      <c r="A844" s="17" t="s">
        <v>2242</v>
      </c>
      <c r="B844" s="17" t="s">
        <v>2243</v>
      </c>
      <c r="C844" s="18" t="s">
        <v>102</v>
      </c>
      <c r="D844" s="17" t="s">
        <v>1290</v>
      </c>
      <c r="E844" s="18" t="s">
        <v>99</v>
      </c>
      <c r="F844" s="17" t="s">
        <v>186</v>
      </c>
    </row>
    <row r="845" spans="1:6" ht="27.6" x14ac:dyDescent="0.25">
      <c r="A845" s="17" t="s">
        <v>2244</v>
      </c>
      <c r="B845" s="17" t="s">
        <v>2245</v>
      </c>
      <c r="C845" s="18" t="s">
        <v>102</v>
      </c>
      <c r="D845" s="17" t="s">
        <v>1293</v>
      </c>
      <c r="E845" s="18" t="s">
        <v>99</v>
      </c>
      <c r="F845" s="17" t="s">
        <v>186</v>
      </c>
    </row>
    <row r="846" spans="1:6" ht="27.6" x14ac:dyDescent="0.3">
      <c r="A846" s="17" t="s">
        <v>2246</v>
      </c>
      <c r="B846" s="17" t="s">
        <v>2247</v>
      </c>
      <c r="C846" s="18" t="s">
        <v>102</v>
      </c>
      <c r="D846" s="24" t="s">
        <v>1296</v>
      </c>
      <c r="E846" s="18" t="s">
        <v>99</v>
      </c>
      <c r="F846" s="17" t="s">
        <v>186</v>
      </c>
    </row>
    <row r="847" spans="1:6" ht="27.6" x14ac:dyDescent="0.25">
      <c r="A847" s="17" t="s">
        <v>2248</v>
      </c>
      <c r="B847" s="17" t="s">
        <v>2249</v>
      </c>
      <c r="C847" s="18" t="s">
        <v>102</v>
      </c>
      <c r="D847" s="17" t="s">
        <v>2250</v>
      </c>
      <c r="E847" s="18" t="s">
        <v>99</v>
      </c>
      <c r="F847" s="17" t="s">
        <v>186</v>
      </c>
    </row>
    <row r="848" spans="1:6" ht="27.6" x14ac:dyDescent="0.25">
      <c r="A848" s="17" t="s">
        <v>2251</v>
      </c>
      <c r="B848" s="17" t="s">
        <v>2252</v>
      </c>
      <c r="C848" s="18" t="s">
        <v>102</v>
      </c>
      <c r="D848" s="17" t="s">
        <v>1301</v>
      </c>
      <c r="E848" s="18" t="s">
        <v>99</v>
      </c>
      <c r="F848" s="17" t="s">
        <v>186</v>
      </c>
    </row>
    <row r="849" spans="1:6" ht="27.6" x14ac:dyDescent="0.25">
      <c r="A849" s="17" t="s">
        <v>2253</v>
      </c>
      <c r="B849" s="17" t="s">
        <v>2254</v>
      </c>
      <c r="C849" s="18" t="s">
        <v>102</v>
      </c>
      <c r="D849" s="17" t="s">
        <v>99</v>
      </c>
      <c r="E849" s="18" t="s">
        <v>99</v>
      </c>
      <c r="F849" s="17" t="s">
        <v>186</v>
      </c>
    </row>
    <row r="850" spans="1:6" ht="27.6" x14ac:dyDescent="0.25">
      <c r="A850" s="17" t="s">
        <v>2255</v>
      </c>
      <c r="B850" s="17" t="s">
        <v>2256</v>
      </c>
      <c r="C850" s="18" t="s">
        <v>102</v>
      </c>
      <c r="D850" s="17" t="s">
        <v>1304</v>
      </c>
      <c r="E850" s="18" t="s">
        <v>99</v>
      </c>
      <c r="F850" s="17" t="s">
        <v>186</v>
      </c>
    </row>
    <row r="851" spans="1:6" ht="27.6" x14ac:dyDescent="0.25">
      <c r="A851" s="30" t="s">
        <v>2257</v>
      </c>
      <c r="B851" s="30" t="s">
        <v>2258</v>
      </c>
      <c r="C851" s="31" t="s">
        <v>102</v>
      </c>
      <c r="D851" s="30" t="s">
        <v>2259</v>
      </c>
      <c r="E851" s="31" t="s">
        <v>99</v>
      </c>
      <c r="F851" s="30" t="s">
        <v>2260</v>
      </c>
    </row>
    <row r="852" spans="1:6" ht="41.4" x14ac:dyDescent="0.25">
      <c r="A852" s="17" t="s">
        <v>2261</v>
      </c>
      <c r="B852" s="17" t="s">
        <v>2262</v>
      </c>
      <c r="C852" s="18" t="s">
        <v>102</v>
      </c>
      <c r="D852" s="17" t="s">
        <v>2263</v>
      </c>
      <c r="E852" s="18" t="s">
        <v>99</v>
      </c>
      <c r="F852" s="17" t="s">
        <v>2260</v>
      </c>
    </row>
    <row r="853" spans="1:6" ht="41.4" x14ac:dyDescent="0.25">
      <c r="A853" s="17" t="s">
        <v>2264</v>
      </c>
      <c r="B853" s="17" t="s">
        <v>2265</v>
      </c>
      <c r="C853" s="18" t="s">
        <v>102</v>
      </c>
      <c r="D853" s="17" t="s">
        <v>2266</v>
      </c>
      <c r="E853" s="18" t="s">
        <v>99</v>
      </c>
      <c r="F853" s="17" t="s">
        <v>2260</v>
      </c>
    </row>
    <row r="854" spans="1:6" ht="27.6" x14ac:dyDescent="0.25">
      <c r="A854" s="17" t="s">
        <v>2267</v>
      </c>
      <c r="B854" s="17" t="s">
        <v>2268</v>
      </c>
      <c r="C854" s="18" t="s">
        <v>102</v>
      </c>
      <c r="D854" s="19"/>
      <c r="E854" s="19"/>
      <c r="F854" s="17" t="s">
        <v>186</v>
      </c>
    </row>
    <row r="855" spans="1:6" ht="27.6" x14ac:dyDescent="0.25">
      <c r="A855" s="26" t="s">
        <v>82</v>
      </c>
      <c r="B855" s="26" t="s">
        <v>1891</v>
      </c>
      <c r="C855" s="32" t="s">
        <v>166</v>
      </c>
      <c r="D855" s="26" t="s">
        <v>1311</v>
      </c>
      <c r="E855" s="26" t="s">
        <v>1892</v>
      </c>
      <c r="F855" s="26" t="s">
        <v>104</v>
      </c>
    </row>
    <row r="856" spans="1:6" ht="27.6" x14ac:dyDescent="0.25">
      <c r="A856" s="17" t="s">
        <v>2269</v>
      </c>
      <c r="B856" s="17" t="s">
        <v>2270</v>
      </c>
      <c r="C856" s="18" t="s">
        <v>102</v>
      </c>
      <c r="D856" s="17" t="s">
        <v>1314</v>
      </c>
      <c r="E856" s="18" t="s">
        <v>99</v>
      </c>
      <c r="F856" s="17" t="s">
        <v>109</v>
      </c>
    </row>
    <row r="857" spans="1:6" ht="27.6" x14ac:dyDescent="0.3">
      <c r="A857" s="30" t="s">
        <v>2271</v>
      </c>
      <c r="B857" s="30" t="s">
        <v>2272</v>
      </c>
      <c r="C857" s="31" t="s">
        <v>102</v>
      </c>
      <c r="D857" s="30" t="s">
        <v>2273</v>
      </c>
      <c r="E857" s="49"/>
      <c r="F857" s="30" t="s">
        <v>997</v>
      </c>
    </row>
    <row r="858" spans="1:6" ht="27.6" x14ac:dyDescent="0.3">
      <c r="A858" s="30" t="s">
        <v>2274</v>
      </c>
      <c r="B858" s="30" t="s">
        <v>2275</v>
      </c>
      <c r="C858" s="31" t="s">
        <v>102</v>
      </c>
      <c r="D858" s="30" t="s">
        <v>2276</v>
      </c>
      <c r="E858" s="49"/>
      <c r="F858" s="30" t="s">
        <v>186</v>
      </c>
    </row>
    <row r="859" spans="1:6" ht="27.6" x14ac:dyDescent="0.25">
      <c r="A859" s="17" t="s">
        <v>2277</v>
      </c>
      <c r="B859" s="17" t="s">
        <v>2278</v>
      </c>
      <c r="C859" s="18" t="s">
        <v>102</v>
      </c>
      <c r="D859" s="17" t="s">
        <v>1317</v>
      </c>
      <c r="E859" s="18" t="s">
        <v>99</v>
      </c>
      <c r="F859" s="17" t="s">
        <v>186</v>
      </c>
    </row>
    <row r="860" spans="1:6" ht="27.6" x14ac:dyDescent="0.25">
      <c r="A860" s="17" t="s">
        <v>2279</v>
      </c>
      <c r="B860" s="17" t="s">
        <v>2280</v>
      </c>
      <c r="C860" s="18" t="s">
        <v>102</v>
      </c>
      <c r="D860" s="17" t="s">
        <v>1320</v>
      </c>
      <c r="E860" s="18" t="s">
        <v>99</v>
      </c>
      <c r="F860" s="17" t="s">
        <v>206</v>
      </c>
    </row>
    <row r="861" spans="1:6" ht="13.8" x14ac:dyDescent="0.3">
      <c r="A861" s="26" t="s">
        <v>2281</v>
      </c>
      <c r="B861" s="28" t="s">
        <v>2282</v>
      </c>
      <c r="C861" s="32" t="s">
        <v>166</v>
      </c>
      <c r="D861" s="28" t="s">
        <v>1323</v>
      </c>
      <c r="E861" s="28" t="s">
        <v>99</v>
      </c>
      <c r="F861" s="26" t="s">
        <v>206</v>
      </c>
    </row>
    <row r="862" spans="1:6" ht="27.6" x14ac:dyDescent="0.3">
      <c r="A862" s="26" t="s">
        <v>2283</v>
      </c>
      <c r="B862" s="28" t="s">
        <v>2284</v>
      </c>
      <c r="C862" s="32" t="s">
        <v>166</v>
      </c>
      <c r="D862" s="26" t="s">
        <v>1326</v>
      </c>
      <c r="E862" s="28" t="s">
        <v>99</v>
      </c>
      <c r="F862" s="26" t="s">
        <v>206</v>
      </c>
    </row>
    <row r="863" spans="1:6" ht="27.6" x14ac:dyDescent="0.25">
      <c r="A863" s="17" t="s">
        <v>2285</v>
      </c>
      <c r="B863" s="17" t="s">
        <v>2286</v>
      </c>
      <c r="C863" s="18" t="s">
        <v>102</v>
      </c>
      <c r="D863" s="17" t="s">
        <v>1329</v>
      </c>
      <c r="E863" s="18" t="s">
        <v>99</v>
      </c>
      <c r="F863" s="17" t="s">
        <v>186</v>
      </c>
    </row>
    <row r="864" spans="1:6" ht="14.4" x14ac:dyDescent="0.3">
      <c r="A864" s="17" t="s">
        <v>2287</v>
      </c>
      <c r="B864" s="17" t="s">
        <v>2288</v>
      </c>
      <c r="C864" s="18" t="s">
        <v>102</v>
      </c>
      <c r="D864" s="19"/>
      <c r="E864" s="23"/>
      <c r="F864" s="17" t="s">
        <v>206</v>
      </c>
    </row>
    <row r="865" spans="1:6" ht="27.6" x14ac:dyDescent="0.25">
      <c r="A865" s="30" t="s">
        <v>2289</v>
      </c>
      <c r="B865" s="30" t="s">
        <v>2290</v>
      </c>
      <c r="C865" s="31" t="s">
        <v>102</v>
      </c>
      <c r="D865" s="30" t="s">
        <v>2291</v>
      </c>
      <c r="E865" s="42"/>
      <c r="F865" s="30" t="s">
        <v>206</v>
      </c>
    </row>
    <row r="866" spans="1:6" ht="27.6" x14ac:dyDescent="0.25">
      <c r="A866" s="17" t="s">
        <v>2292</v>
      </c>
      <c r="B866" s="17" t="s">
        <v>2293</v>
      </c>
      <c r="C866" s="18" t="s">
        <v>102</v>
      </c>
      <c r="D866" s="17" t="s">
        <v>1332</v>
      </c>
      <c r="E866" s="18" t="s">
        <v>99</v>
      </c>
      <c r="F866" s="17" t="s">
        <v>1333</v>
      </c>
    </row>
    <row r="867" spans="1:6" ht="27.6" x14ac:dyDescent="0.25">
      <c r="A867" s="17" t="s">
        <v>2294</v>
      </c>
      <c r="B867" s="17" t="s">
        <v>2295</v>
      </c>
      <c r="C867" s="18" t="s">
        <v>102</v>
      </c>
      <c r="D867" s="17" t="s">
        <v>2296</v>
      </c>
      <c r="E867" s="18" t="s">
        <v>99</v>
      </c>
      <c r="F867" s="17" t="s">
        <v>186</v>
      </c>
    </row>
    <row r="868" spans="1:6" ht="27.6" x14ac:dyDescent="0.25">
      <c r="A868" s="30" t="s">
        <v>2297</v>
      </c>
      <c r="B868" s="30" t="s">
        <v>2298</v>
      </c>
      <c r="C868" s="31" t="s">
        <v>102</v>
      </c>
      <c r="D868" s="30" t="s">
        <v>1338</v>
      </c>
      <c r="E868" s="31" t="s">
        <v>99</v>
      </c>
      <c r="F868" s="30" t="s">
        <v>104</v>
      </c>
    </row>
    <row r="869" spans="1:6" ht="14.4" x14ac:dyDescent="0.25">
      <c r="A869" s="26" t="s">
        <v>2299</v>
      </c>
      <c r="B869" s="26" t="s">
        <v>2300</v>
      </c>
      <c r="C869" s="32" t="s">
        <v>166</v>
      </c>
      <c r="D869" s="27"/>
      <c r="E869" s="27"/>
      <c r="F869" s="26" t="s">
        <v>149</v>
      </c>
    </row>
    <row r="870" spans="1:6" ht="14.4" x14ac:dyDescent="0.25">
      <c r="A870" s="17" t="s">
        <v>2301</v>
      </c>
      <c r="B870" s="17" t="s">
        <v>2302</v>
      </c>
      <c r="C870" s="18" t="s">
        <v>102</v>
      </c>
      <c r="D870" s="19"/>
      <c r="E870" s="19"/>
      <c r="F870" s="17" t="s">
        <v>149</v>
      </c>
    </row>
    <row r="871" spans="1:6" ht="14.4" x14ac:dyDescent="0.25">
      <c r="A871" s="30" t="s">
        <v>2303</v>
      </c>
      <c r="B871" s="30" t="s">
        <v>2304</v>
      </c>
      <c r="C871" s="31" t="s">
        <v>99</v>
      </c>
      <c r="D871" s="42"/>
      <c r="E871" s="42"/>
      <c r="F871" s="30" t="s">
        <v>149</v>
      </c>
    </row>
    <row r="872" spans="1:6" ht="27.6" x14ac:dyDescent="0.25">
      <c r="A872" s="14" t="s">
        <v>2305</v>
      </c>
      <c r="B872" s="14" t="s">
        <v>2306</v>
      </c>
      <c r="C872" s="16" t="s">
        <v>166</v>
      </c>
      <c r="D872" s="14" t="s">
        <v>2307</v>
      </c>
      <c r="E872" s="16" t="s">
        <v>99</v>
      </c>
      <c r="F872" s="14" t="s">
        <v>499</v>
      </c>
    </row>
    <row r="873" spans="1:6" ht="27.6" x14ac:dyDescent="0.25">
      <c r="A873" s="30" t="s">
        <v>2308</v>
      </c>
      <c r="B873" s="30" t="s">
        <v>2309</v>
      </c>
      <c r="C873" s="31" t="s">
        <v>102</v>
      </c>
      <c r="D873" s="42"/>
      <c r="E873" s="42"/>
      <c r="F873" s="30" t="s">
        <v>2310</v>
      </c>
    </row>
    <row r="874" spans="1:6" ht="27.6" x14ac:dyDescent="0.25">
      <c r="A874" s="17" t="s">
        <v>2311</v>
      </c>
      <c r="B874" s="17" t="s">
        <v>2312</v>
      </c>
      <c r="C874" s="18" t="s">
        <v>102</v>
      </c>
      <c r="D874" s="19"/>
      <c r="E874" s="19"/>
      <c r="F874" s="17" t="s">
        <v>408</v>
      </c>
    </row>
    <row r="875" spans="1:6" ht="27.6" x14ac:dyDescent="0.25">
      <c r="A875" s="14" t="s">
        <v>2313</v>
      </c>
      <c r="B875" s="14" t="s">
        <v>2314</v>
      </c>
      <c r="C875" s="16" t="s">
        <v>166</v>
      </c>
      <c r="D875" s="14" t="s">
        <v>2315</v>
      </c>
      <c r="E875" s="16" t="s">
        <v>99</v>
      </c>
      <c r="F875" s="14" t="s">
        <v>149</v>
      </c>
    </row>
    <row r="876" spans="1:6" ht="27.6" x14ac:dyDescent="0.25">
      <c r="A876" s="26" t="s">
        <v>2316</v>
      </c>
      <c r="B876" s="26" t="s">
        <v>2317</v>
      </c>
      <c r="C876" s="32" t="s">
        <v>166</v>
      </c>
      <c r="D876" s="27"/>
      <c r="E876" s="27"/>
      <c r="F876" s="26" t="s">
        <v>408</v>
      </c>
    </row>
    <row r="877" spans="1:6" ht="27.6" x14ac:dyDescent="0.25">
      <c r="A877" s="26" t="s">
        <v>2318</v>
      </c>
      <c r="B877" s="26" t="s">
        <v>2319</v>
      </c>
      <c r="C877" s="32" t="s">
        <v>166</v>
      </c>
      <c r="D877" s="26" t="s">
        <v>2315</v>
      </c>
      <c r="E877" s="32" t="s">
        <v>99</v>
      </c>
      <c r="F877" s="26" t="s">
        <v>149</v>
      </c>
    </row>
    <row r="878" spans="1:6" ht="27.6" x14ac:dyDescent="0.25">
      <c r="A878" s="17" t="s">
        <v>2320</v>
      </c>
      <c r="B878" s="17" t="s">
        <v>2321</v>
      </c>
      <c r="C878" s="18" t="s">
        <v>102</v>
      </c>
      <c r="D878" s="17" t="s">
        <v>2322</v>
      </c>
      <c r="E878" s="19"/>
      <c r="F878" s="17" t="s">
        <v>104</v>
      </c>
    </row>
    <row r="879" spans="1:6" ht="27.6" x14ac:dyDescent="0.25">
      <c r="A879" s="26" t="s">
        <v>2323</v>
      </c>
      <c r="B879" s="26" t="s">
        <v>2324</v>
      </c>
      <c r="C879" s="32" t="s">
        <v>166</v>
      </c>
      <c r="D879" s="26" t="s">
        <v>2325</v>
      </c>
      <c r="E879" s="32" t="s">
        <v>99</v>
      </c>
      <c r="F879" s="26" t="s">
        <v>2326</v>
      </c>
    </row>
    <row r="880" spans="1:6" ht="27.6" x14ac:dyDescent="0.25">
      <c r="A880" s="17" t="s">
        <v>2327</v>
      </c>
      <c r="B880" s="17" t="s">
        <v>2328</v>
      </c>
      <c r="C880" s="18" t="s">
        <v>102</v>
      </c>
      <c r="D880" s="17" t="s">
        <v>2329</v>
      </c>
      <c r="E880" s="19"/>
      <c r="F880" s="17" t="s">
        <v>140</v>
      </c>
    </row>
    <row r="881" spans="1:6" ht="41.4" x14ac:dyDescent="0.25">
      <c r="A881" s="30" t="s">
        <v>2330</v>
      </c>
      <c r="B881" s="30" t="s">
        <v>2331</v>
      </c>
      <c r="C881" s="31" t="s">
        <v>102</v>
      </c>
      <c r="D881" s="30" t="s">
        <v>2332</v>
      </c>
      <c r="E881" s="31" t="s">
        <v>99</v>
      </c>
      <c r="F881" s="30" t="s">
        <v>104</v>
      </c>
    </row>
    <row r="882" spans="1:6" ht="27.6" x14ac:dyDescent="0.25">
      <c r="A882" s="17" t="s">
        <v>2333</v>
      </c>
      <c r="B882" s="17" t="s">
        <v>2334</v>
      </c>
      <c r="C882" s="18" t="s">
        <v>102</v>
      </c>
      <c r="D882" s="17" t="s">
        <v>1343</v>
      </c>
      <c r="E882" s="18" t="s">
        <v>99</v>
      </c>
      <c r="F882" s="17" t="s">
        <v>104</v>
      </c>
    </row>
    <row r="883" spans="1:6" ht="27.6" x14ac:dyDescent="0.25">
      <c r="A883" s="17" t="s">
        <v>2335</v>
      </c>
      <c r="B883" s="17" t="s">
        <v>2336</v>
      </c>
      <c r="C883" s="18" t="s">
        <v>102</v>
      </c>
      <c r="D883" s="17" t="s">
        <v>1343</v>
      </c>
      <c r="E883" s="18" t="s">
        <v>99</v>
      </c>
      <c r="F883" s="17" t="s">
        <v>104</v>
      </c>
    </row>
    <row r="884" spans="1:6" ht="41.4" x14ac:dyDescent="0.25">
      <c r="A884" s="17" t="s">
        <v>2337</v>
      </c>
      <c r="B884" s="17" t="s">
        <v>2338</v>
      </c>
      <c r="C884" s="18" t="s">
        <v>102</v>
      </c>
      <c r="D884" s="17" t="s">
        <v>2339</v>
      </c>
      <c r="E884" s="18" t="s">
        <v>99</v>
      </c>
      <c r="F884" s="17" t="s">
        <v>104</v>
      </c>
    </row>
    <row r="885" spans="1:6" ht="41.4" x14ac:dyDescent="0.25">
      <c r="A885" s="26" t="s">
        <v>2340</v>
      </c>
      <c r="B885" s="26" t="s">
        <v>2341</v>
      </c>
      <c r="C885" s="32" t="s">
        <v>166</v>
      </c>
      <c r="D885" s="26" t="s">
        <v>2342</v>
      </c>
      <c r="E885" s="32" t="s">
        <v>99</v>
      </c>
      <c r="F885" s="26" t="s">
        <v>104</v>
      </c>
    </row>
    <row r="886" spans="1:6" ht="55.2" x14ac:dyDescent="0.25">
      <c r="A886" s="17" t="s">
        <v>2343</v>
      </c>
      <c r="B886" s="17" t="s">
        <v>2344</v>
      </c>
      <c r="C886" s="18" t="s">
        <v>102</v>
      </c>
      <c r="D886" s="17" t="s">
        <v>2345</v>
      </c>
      <c r="E886" s="18" t="s">
        <v>99</v>
      </c>
      <c r="F886" s="17" t="s">
        <v>104</v>
      </c>
    </row>
    <row r="887" spans="1:6" ht="41.4" x14ac:dyDescent="0.25">
      <c r="A887" s="17" t="s">
        <v>2346</v>
      </c>
      <c r="B887" s="17" t="s">
        <v>2347</v>
      </c>
      <c r="C887" s="18" t="s">
        <v>102</v>
      </c>
      <c r="D887" s="17" t="s">
        <v>2348</v>
      </c>
      <c r="E887" s="18" t="s">
        <v>99</v>
      </c>
      <c r="F887" s="17" t="s">
        <v>104</v>
      </c>
    </row>
    <row r="888" spans="1:6" ht="27.6" x14ac:dyDescent="0.25">
      <c r="A888" s="17" t="s">
        <v>2349</v>
      </c>
      <c r="B888" s="17" t="s">
        <v>2350</v>
      </c>
      <c r="C888" s="18" t="s">
        <v>102</v>
      </c>
      <c r="D888" s="19"/>
      <c r="E888" s="19"/>
      <c r="F888" s="17" t="s">
        <v>104</v>
      </c>
    </row>
    <row r="889" spans="1:6" ht="41.4" x14ac:dyDescent="0.25">
      <c r="A889" s="17" t="s">
        <v>2351</v>
      </c>
      <c r="B889" s="17" t="s">
        <v>2352</v>
      </c>
      <c r="C889" s="18" t="s">
        <v>102</v>
      </c>
      <c r="D889" s="19"/>
      <c r="E889" s="19"/>
      <c r="F889" s="17" t="s">
        <v>104</v>
      </c>
    </row>
    <row r="890" spans="1:6" ht="27.6" x14ac:dyDescent="0.25">
      <c r="A890" s="30" t="s">
        <v>2353</v>
      </c>
      <c r="B890" s="30" t="s">
        <v>2354</v>
      </c>
      <c r="C890" s="31" t="s">
        <v>102</v>
      </c>
      <c r="D890" s="30" t="s">
        <v>2355</v>
      </c>
      <c r="E890" s="42"/>
      <c r="F890" s="30" t="s">
        <v>104</v>
      </c>
    </row>
    <row r="891" spans="1:6" ht="27.6" x14ac:dyDescent="0.25">
      <c r="A891" s="17" t="s">
        <v>2356</v>
      </c>
      <c r="B891" s="17" t="s">
        <v>2357</v>
      </c>
      <c r="C891" s="18" t="s">
        <v>102</v>
      </c>
      <c r="D891" s="17" t="s">
        <v>2355</v>
      </c>
      <c r="E891" s="19"/>
      <c r="F891" s="17" t="s">
        <v>104</v>
      </c>
    </row>
    <row r="892" spans="1:6" ht="27.6" x14ac:dyDescent="0.25">
      <c r="A892" s="17" t="s">
        <v>2358</v>
      </c>
      <c r="B892" s="17" t="s">
        <v>2359</v>
      </c>
      <c r="C892" s="18" t="s">
        <v>102</v>
      </c>
      <c r="D892" s="17" t="s">
        <v>2355</v>
      </c>
      <c r="E892" s="19"/>
      <c r="F892" s="17" t="s">
        <v>104</v>
      </c>
    </row>
    <row r="893" spans="1:6" ht="27.6" x14ac:dyDescent="0.25">
      <c r="A893" s="17" t="s">
        <v>2360</v>
      </c>
      <c r="B893" s="17" t="s">
        <v>2361</v>
      </c>
      <c r="C893" s="18" t="s">
        <v>102</v>
      </c>
      <c r="D893" s="17" t="s">
        <v>1354</v>
      </c>
      <c r="E893" s="18" t="s">
        <v>99</v>
      </c>
      <c r="F893" s="17" t="s">
        <v>499</v>
      </c>
    </row>
    <row r="894" spans="1:6" ht="13.8" x14ac:dyDescent="0.3">
      <c r="A894" s="26" t="s">
        <v>2362</v>
      </c>
      <c r="B894" s="28" t="s">
        <v>2363</v>
      </c>
      <c r="C894" s="32" t="s">
        <v>166</v>
      </c>
      <c r="D894" s="28" t="s">
        <v>1357</v>
      </c>
      <c r="E894" s="32" t="s">
        <v>99</v>
      </c>
      <c r="F894" s="26" t="s">
        <v>104</v>
      </c>
    </row>
    <row r="895" spans="1:6" ht="27.6" x14ac:dyDescent="0.25">
      <c r="A895" s="30" t="s">
        <v>2364</v>
      </c>
      <c r="B895" s="30" t="s">
        <v>2365</v>
      </c>
      <c r="C895" s="31" t="s">
        <v>102</v>
      </c>
      <c r="D895" s="30" t="s">
        <v>1360</v>
      </c>
      <c r="E895" s="31" t="s">
        <v>99</v>
      </c>
      <c r="F895" s="30" t="s">
        <v>1361</v>
      </c>
    </row>
    <row r="896" spans="1:6" ht="27.6" x14ac:dyDescent="0.25">
      <c r="A896" s="17" t="s">
        <v>2366</v>
      </c>
      <c r="B896" s="17" t="s">
        <v>2367</v>
      </c>
      <c r="C896" s="18" t="s">
        <v>102</v>
      </c>
      <c r="D896" s="17" t="s">
        <v>1364</v>
      </c>
      <c r="E896" s="18" t="s">
        <v>99</v>
      </c>
      <c r="F896" s="17" t="s">
        <v>1361</v>
      </c>
    </row>
    <row r="897" spans="1:6" ht="27.6" x14ac:dyDescent="0.25">
      <c r="A897" s="17" t="s">
        <v>2368</v>
      </c>
      <c r="B897" s="17" t="s">
        <v>2369</v>
      </c>
      <c r="C897" s="18" t="s">
        <v>102</v>
      </c>
      <c r="D897" s="19"/>
      <c r="E897" s="19"/>
      <c r="F897" s="17" t="s">
        <v>1361</v>
      </c>
    </row>
    <row r="898" spans="1:6" ht="27.6" x14ac:dyDescent="0.25">
      <c r="A898" s="30" t="s">
        <v>2370</v>
      </c>
      <c r="B898" s="30" t="s">
        <v>2371</v>
      </c>
      <c r="C898" s="31" t="s">
        <v>102</v>
      </c>
      <c r="D898" s="42"/>
      <c r="E898" s="42"/>
      <c r="F898" s="30" t="s">
        <v>1361</v>
      </c>
    </row>
    <row r="899" spans="1:6" ht="13.8" x14ac:dyDescent="0.25">
      <c r="A899" s="26" t="s">
        <v>52</v>
      </c>
      <c r="B899" s="26" t="s">
        <v>2372</v>
      </c>
      <c r="C899" s="32" t="s">
        <v>284</v>
      </c>
      <c r="D899" s="26" t="s">
        <v>99</v>
      </c>
      <c r="E899" s="32" t="s">
        <v>99</v>
      </c>
      <c r="F899" s="26" t="s">
        <v>99</v>
      </c>
    </row>
    <row r="900" spans="1:6" ht="27.6" x14ac:dyDescent="0.25">
      <c r="A900" s="17" t="s">
        <v>2373</v>
      </c>
      <c r="B900" s="17" t="s">
        <v>2374</v>
      </c>
      <c r="C900" s="18" t="s">
        <v>102</v>
      </c>
      <c r="D900" s="17" t="s">
        <v>1367</v>
      </c>
      <c r="E900" s="18" t="s">
        <v>99</v>
      </c>
      <c r="F900" s="17" t="s">
        <v>104</v>
      </c>
    </row>
    <row r="901" spans="1:6" ht="27.6" x14ac:dyDescent="0.25">
      <c r="A901" s="17" t="s">
        <v>2375</v>
      </c>
      <c r="B901" s="17" t="s">
        <v>2376</v>
      </c>
      <c r="C901" s="18" t="s">
        <v>102</v>
      </c>
      <c r="D901" s="17" t="s">
        <v>1370</v>
      </c>
      <c r="E901" s="18" t="s">
        <v>99</v>
      </c>
      <c r="F901" s="17" t="s">
        <v>529</v>
      </c>
    </row>
    <row r="902" spans="1:6" ht="13.8" x14ac:dyDescent="0.3">
      <c r="A902" s="26" t="s">
        <v>2377</v>
      </c>
      <c r="B902" s="28" t="s">
        <v>2378</v>
      </c>
      <c r="C902" s="32" t="s">
        <v>166</v>
      </c>
      <c r="D902" s="26" t="s">
        <v>1373</v>
      </c>
      <c r="E902" s="32" t="s">
        <v>99</v>
      </c>
      <c r="F902" s="26" t="s">
        <v>265</v>
      </c>
    </row>
    <row r="903" spans="1:6" ht="14.4" x14ac:dyDescent="0.3">
      <c r="A903" s="17" t="s">
        <v>2379</v>
      </c>
      <c r="B903" s="22" t="s">
        <v>2380</v>
      </c>
      <c r="C903" s="18" t="s">
        <v>102</v>
      </c>
      <c r="D903" s="17" t="s">
        <v>2381</v>
      </c>
      <c r="E903" s="19"/>
      <c r="F903" s="17" t="s">
        <v>433</v>
      </c>
    </row>
    <row r="904" spans="1:6" ht="27.6" x14ac:dyDescent="0.25">
      <c r="A904" s="17" t="s">
        <v>2382</v>
      </c>
      <c r="B904" s="17" t="s">
        <v>2383</v>
      </c>
      <c r="C904" s="18" t="s">
        <v>102</v>
      </c>
      <c r="D904" s="17" t="s">
        <v>1376</v>
      </c>
      <c r="E904" s="18" t="s">
        <v>99</v>
      </c>
      <c r="F904" s="17" t="s">
        <v>433</v>
      </c>
    </row>
    <row r="905" spans="1:6" ht="27.6" x14ac:dyDescent="0.25">
      <c r="A905" s="30" t="s">
        <v>2384</v>
      </c>
      <c r="B905" s="30" t="s">
        <v>2385</v>
      </c>
      <c r="C905" s="31" t="s">
        <v>102</v>
      </c>
      <c r="D905" s="30" t="s">
        <v>1379</v>
      </c>
      <c r="E905" s="31" t="s">
        <v>99</v>
      </c>
      <c r="F905" s="30" t="s">
        <v>1195</v>
      </c>
    </row>
    <row r="906" spans="1:6" ht="13.8" x14ac:dyDescent="0.25">
      <c r="A906" s="17" t="s">
        <v>2386</v>
      </c>
      <c r="B906" s="17" t="s">
        <v>2387</v>
      </c>
      <c r="C906" s="18" t="s">
        <v>102</v>
      </c>
      <c r="D906" s="17" t="s">
        <v>1382</v>
      </c>
      <c r="E906" s="18" t="s">
        <v>99</v>
      </c>
      <c r="F906" s="17" t="s">
        <v>1195</v>
      </c>
    </row>
    <row r="907" spans="1:6" ht="27.6" x14ac:dyDescent="0.25">
      <c r="A907" s="17" t="s">
        <v>2388</v>
      </c>
      <c r="B907" s="17" t="s">
        <v>2389</v>
      </c>
      <c r="C907" s="18" t="s">
        <v>102</v>
      </c>
      <c r="D907" s="17" t="s">
        <v>1307</v>
      </c>
      <c r="E907" s="18" t="s">
        <v>99</v>
      </c>
      <c r="F907" s="17" t="s">
        <v>1308</v>
      </c>
    </row>
    <row r="908" spans="1:6" ht="41.4" x14ac:dyDescent="0.25">
      <c r="A908" s="17" t="s">
        <v>2390</v>
      </c>
      <c r="B908" s="17" t="s">
        <v>2391</v>
      </c>
      <c r="C908" s="18" t="s">
        <v>102</v>
      </c>
      <c r="D908" s="17" t="s">
        <v>1385</v>
      </c>
      <c r="E908" s="18" t="s">
        <v>99</v>
      </c>
      <c r="F908" s="17" t="s">
        <v>1308</v>
      </c>
    </row>
    <row r="909" spans="1:6" ht="27.6" x14ac:dyDescent="0.25">
      <c r="A909" s="14" t="s">
        <v>2392</v>
      </c>
      <c r="B909" s="14" t="s">
        <v>2393</v>
      </c>
      <c r="C909" s="16" t="s">
        <v>166</v>
      </c>
      <c r="D909" s="14" t="s">
        <v>1388</v>
      </c>
      <c r="E909" s="16" t="s">
        <v>99</v>
      </c>
      <c r="F909" s="14" t="s">
        <v>463</v>
      </c>
    </row>
    <row r="910" spans="1:6" ht="27.6" x14ac:dyDescent="0.25">
      <c r="A910" s="30" t="s">
        <v>2394</v>
      </c>
      <c r="B910" s="30" t="s">
        <v>2395</v>
      </c>
      <c r="C910" s="31" t="s">
        <v>102</v>
      </c>
      <c r="D910" s="30" t="s">
        <v>1391</v>
      </c>
      <c r="E910" s="31" t="s">
        <v>99</v>
      </c>
      <c r="F910" s="30" t="s">
        <v>997</v>
      </c>
    </row>
    <row r="911" spans="1:6" ht="27.6" x14ac:dyDescent="0.25">
      <c r="A911" s="17" t="s">
        <v>2396</v>
      </c>
      <c r="B911" s="17" t="s">
        <v>2397</v>
      </c>
      <c r="C911" s="18" t="s">
        <v>102</v>
      </c>
      <c r="D911" s="17" t="s">
        <v>1394</v>
      </c>
      <c r="E911" s="18" t="s">
        <v>99</v>
      </c>
      <c r="F911" s="17" t="s">
        <v>140</v>
      </c>
    </row>
    <row r="912" spans="1:6" ht="27.6" x14ac:dyDescent="0.3">
      <c r="A912" s="30" t="s">
        <v>2398</v>
      </c>
      <c r="B912" s="30" t="s">
        <v>2399</v>
      </c>
      <c r="C912" s="31" t="s">
        <v>102</v>
      </c>
      <c r="D912" s="30" t="s">
        <v>1397</v>
      </c>
      <c r="E912" s="47" t="s">
        <v>99</v>
      </c>
      <c r="F912" s="30" t="s">
        <v>140</v>
      </c>
    </row>
    <row r="913" spans="1:6" ht="13.8" x14ac:dyDescent="0.25">
      <c r="A913" s="14" t="s">
        <v>2400</v>
      </c>
      <c r="B913" s="14" t="s">
        <v>2401</v>
      </c>
      <c r="C913" s="16" t="s">
        <v>166</v>
      </c>
      <c r="D913" s="14" t="s">
        <v>1400</v>
      </c>
      <c r="E913" s="16" t="s">
        <v>99</v>
      </c>
      <c r="F913" s="14" t="s">
        <v>499</v>
      </c>
    </row>
    <row r="914" spans="1:6" ht="27.6" x14ac:dyDescent="0.25">
      <c r="A914" s="26" t="s">
        <v>2402</v>
      </c>
      <c r="B914" s="26" t="s">
        <v>2403</v>
      </c>
      <c r="C914" s="32" t="s">
        <v>166</v>
      </c>
      <c r="D914" s="26" t="s">
        <v>2404</v>
      </c>
      <c r="E914" s="32" t="s">
        <v>99</v>
      </c>
      <c r="F914" s="26" t="s">
        <v>499</v>
      </c>
    </row>
    <row r="915" spans="1:6" ht="41.4" x14ac:dyDescent="0.3">
      <c r="A915" s="17" t="s">
        <v>2405</v>
      </c>
      <c r="B915" s="17" t="s">
        <v>2406</v>
      </c>
      <c r="C915" s="18" t="s">
        <v>102</v>
      </c>
      <c r="D915" s="17" t="s">
        <v>2407</v>
      </c>
      <c r="E915" s="22" t="s">
        <v>99</v>
      </c>
      <c r="F915" s="17" t="s">
        <v>499</v>
      </c>
    </row>
    <row r="916" spans="1:6" ht="13.8" x14ac:dyDescent="0.25">
      <c r="A916" s="26" t="s">
        <v>41</v>
      </c>
      <c r="B916" s="26" t="s">
        <v>2408</v>
      </c>
      <c r="C916" s="32" t="s">
        <v>284</v>
      </c>
      <c r="D916" s="26" t="s">
        <v>99</v>
      </c>
      <c r="E916" s="32" t="s">
        <v>99</v>
      </c>
      <c r="F916" s="26" t="s">
        <v>99</v>
      </c>
    </row>
    <row r="917" spans="1:6" ht="14.4" x14ac:dyDescent="0.25">
      <c r="A917" s="26" t="s">
        <v>2409</v>
      </c>
      <c r="B917" s="26" t="s">
        <v>2410</v>
      </c>
      <c r="C917" s="32" t="s">
        <v>284</v>
      </c>
      <c r="D917" s="27"/>
      <c r="E917" s="27"/>
      <c r="F917" s="27"/>
    </row>
    <row r="918" spans="1:6" ht="13.8" x14ac:dyDescent="0.25">
      <c r="A918" s="17" t="s">
        <v>2411</v>
      </c>
      <c r="B918" s="17" t="s">
        <v>2412</v>
      </c>
      <c r="C918" s="18" t="s">
        <v>102</v>
      </c>
      <c r="D918" s="17" t="s">
        <v>1407</v>
      </c>
      <c r="E918" s="18" t="s">
        <v>99</v>
      </c>
      <c r="F918" s="17" t="s">
        <v>608</v>
      </c>
    </row>
    <row r="919" spans="1:6" ht="27.6" x14ac:dyDescent="0.25">
      <c r="A919" s="17" t="s">
        <v>2413</v>
      </c>
      <c r="B919" s="17" t="s">
        <v>2414</v>
      </c>
      <c r="C919" s="18" t="s">
        <v>102</v>
      </c>
      <c r="D919" s="17" t="s">
        <v>2415</v>
      </c>
      <c r="E919" s="18" t="s">
        <v>99</v>
      </c>
      <c r="F919" s="17" t="s">
        <v>608</v>
      </c>
    </row>
    <row r="920" spans="1:6" ht="27.6" x14ac:dyDescent="0.25">
      <c r="A920" s="17" t="s">
        <v>2416</v>
      </c>
      <c r="B920" s="17" t="s">
        <v>2417</v>
      </c>
      <c r="C920" s="18" t="s">
        <v>102</v>
      </c>
      <c r="D920" s="19"/>
      <c r="E920" s="19"/>
      <c r="F920" s="17" t="s">
        <v>157</v>
      </c>
    </row>
    <row r="921" spans="1:6" ht="27.6" x14ac:dyDescent="0.25">
      <c r="A921" s="17" t="s">
        <v>2418</v>
      </c>
      <c r="B921" s="17" t="s">
        <v>2419</v>
      </c>
      <c r="C921" s="18" t="s">
        <v>102</v>
      </c>
      <c r="D921" s="17" t="s">
        <v>2420</v>
      </c>
      <c r="E921" s="19"/>
      <c r="F921" s="17" t="s">
        <v>608</v>
      </c>
    </row>
    <row r="922" spans="1:6" ht="27.6" x14ac:dyDescent="0.25">
      <c r="A922" s="17" t="s">
        <v>2421</v>
      </c>
      <c r="B922" s="17" t="s">
        <v>2422</v>
      </c>
      <c r="C922" s="18" t="s">
        <v>102</v>
      </c>
      <c r="D922" s="17" t="s">
        <v>1410</v>
      </c>
      <c r="E922" s="18" t="s">
        <v>99</v>
      </c>
      <c r="F922" s="17" t="s">
        <v>608</v>
      </c>
    </row>
    <row r="923" spans="1:6" ht="13.8" x14ac:dyDescent="0.25">
      <c r="A923" s="17" t="s">
        <v>2423</v>
      </c>
      <c r="B923" s="17" t="s">
        <v>2424</v>
      </c>
      <c r="C923" s="18" t="s">
        <v>102</v>
      </c>
      <c r="D923" s="17" t="s">
        <v>1413</v>
      </c>
      <c r="E923" s="18" t="s">
        <v>99</v>
      </c>
      <c r="F923" s="17" t="s">
        <v>1414</v>
      </c>
    </row>
    <row r="924" spans="1:6" ht="27.6" x14ac:dyDescent="0.25">
      <c r="A924" s="17" t="s">
        <v>2425</v>
      </c>
      <c r="B924" s="17" t="s">
        <v>2426</v>
      </c>
      <c r="C924" s="18" t="s">
        <v>102</v>
      </c>
      <c r="D924" s="17" t="s">
        <v>1417</v>
      </c>
      <c r="E924" s="18" t="s">
        <v>99</v>
      </c>
      <c r="F924" s="17" t="s">
        <v>1414</v>
      </c>
    </row>
    <row r="925" spans="1:6" ht="13.8" x14ac:dyDescent="0.25">
      <c r="A925" s="17" t="s">
        <v>2427</v>
      </c>
      <c r="B925" s="17" t="s">
        <v>2428</v>
      </c>
      <c r="C925" s="18" t="s">
        <v>102</v>
      </c>
      <c r="D925" s="17" t="s">
        <v>1420</v>
      </c>
      <c r="E925" s="18" t="s">
        <v>99</v>
      </c>
      <c r="F925" s="17" t="s">
        <v>1414</v>
      </c>
    </row>
    <row r="926" spans="1:6" ht="13.8" x14ac:dyDescent="0.25">
      <c r="A926" s="17" t="s">
        <v>2429</v>
      </c>
      <c r="B926" s="17" t="s">
        <v>2430</v>
      </c>
      <c r="C926" s="18" t="s">
        <v>102</v>
      </c>
      <c r="D926" s="17" t="s">
        <v>1423</v>
      </c>
      <c r="E926" s="18" t="s">
        <v>99</v>
      </c>
      <c r="F926" s="17" t="s">
        <v>1414</v>
      </c>
    </row>
    <row r="927" spans="1:6" ht="13.8" x14ac:dyDescent="0.25">
      <c r="A927" s="17" t="s">
        <v>2431</v>
      </c>
      <c r="B927" s="17" t="s">
        <v>2432</v>
      </c>
      <c r="C927" s="18" t="s">
        <v>102</v>
      </c>
      <c r="D927" s="17" t="s">
        <v>1426</v>
      </c>
      <c r="E927" s="18" t="s">
        <v>99</v>
      </c>
      <c r="F927" s="17" t="s">
        <v>1414</v>
      </c>
    </row>
    <row r="928" spans="1:6" ht="27.6" x14ac:dyDescent="0.25">
      <c r="A928" s="17" t="s">
        <v>2433</v>
      </c>
      <c r="B928" s="17" t="s">
        <v>2434</v>
      </c>
      <c r="C928" s="18" t="s">
        <v>102</v>
      </c>
      <c r="D928" s="17" t="s">
        <v>1429</v>
      </c>
      <c r="E928" s="18" t="s">
        <v>99</v>
      </c>
      <c r="F928" s="17" t="s">
        <v>608</v>
      </c>
    </row>
    <row r="929" spans="1:6" ht="13.8" x14ac:dyDescent="0.25">
      <c r="A929" s="30" t="s">
        <v>2435</v>
      </c>
      <c r="B929" s="30" t="s">
        <v>2436</v>
      </c>
      <c r="C929" s="31" t="s">
        <v>102</v>
      </c>
      <c r="D929" s="30" t="s">
        <v>1432</v>
      </c>
      <c r="E929" s="31" t="s">
        <v>99</v>
      </c>
      <c r="F929" s="30" t="s">
        <v>608</v>
      </c>
    </row>
    <row r="930" spans="1:6" ht="27.6" x14ac:dyDescent="0.25">
      <c r="A930" s="17" t="s">
        <v>2437</v>
      </c>
      <c r="B930" s="17" t="s">
        <v>2438</v>
      </c>
      <c r="C930" s="18" t="s">
        <v>102</v>
      </c>
      <c r="D930" s="17" t="s">
        <v>1432</v>
      </c>
      <c r="E930" s="18" t="s">
        <v>99</v>
      </c>
      <c r="F930" s="17" t="s">
        <v>608</v>
      </c>
    </row>
    <row r="931" spans="1:6" ht="27.6" x14ac:dyDescent="0.25">
      <c r="A931" s="17" t="s">
        <v>2439</v>
      </c>
      <c r="B931" s="17" t="s">
        <v>2440</v>
      </c>
      <c r="C931" s="18" t="s">
        <v>102</v>
      </c>
      <c r="D931" s="17" t="s">
        <v>1432</v>
      </c>
      <c r="E931" s="18" t="s">
        <v>99</v>
      </c>
      <c r="F931" s="17" t="s">
        <v>608</v>
      </c>
    </row>
    <row r="932" spans="1:6" ht="27.6" x14ac:dyDescent="0.25">
      <c r="A932" s="17" t="s">
        <v>2441</v>
      </c>
      <c r="B932" s="17" t="s">
        <v>2442</v>
      </c>
      <c r="C932" s="18" t="s">
        <v>102</v>
      </c>
      <c r="D932" s="17" t="s">
        <v>1435</v>
      </c>
      <c r="E932" s="18" t="s">
        <v>99</v>
      </c>
      <c r="F932" s="17" t="s">
        <v>608</v>
      </c>
    </row>
    <row r="933" spans="1:6" ht="27.6" x14ac:dyDescent="0.25">
      <c r="A933" s="26" t="s">
        <v>2443</v>
      </c>
      <c r="B933" s="26" t="s">
        <v>2444</v>
      </c>
      <c r="C933" s="32" t="s">
        <v>166</v>
      </c>
      <c r="D933" s="26" t="s">
        <v>1438</v>
      </c>
      <c r="E933" s="32" t="s">
        <v>99</v>
      </c>
      <c r="F933" s="26" t="s">
        <v>269</v>
      </c>
    </row>
    <row r="934" spans="1:6" ht="41.4" x14ac:dyDescent="0.25">
      <c r="A934" s="17" t="s">
        <v>2445</v>
      </c>
      <c r="B934" s="17" t="s">
        <v>2446</v>
      </c>
      <c r="C934" s="18" t="s">
        <v>102</v>
      </c>
      <c r="D934" s="17" t="s">
        <v>1441</v>
      </c>
      <c r="E934" s="18" t="s">
        <v>1442</v>
      </c>
      <c r="F934" s="17" t="s">
        <v>1443</v>
      </c>
    </row>
    <row r="935" spans="1:6" ht="41.4" x14ac:dyDescent="0.25">
      <c r="A935" s="17" t="s">
        <v>2447</v>
      </c>
      <c r="B935" s="17" t="s">
        <v>2446</v>
      </c>
      <c r="C935" s="18" t="s">
        <v>102</v>
      </c>
      <c r="D935" s="17" t="s">
        <v>1441</v>
      </c>
      <c r="E935" s="18" t="s">
        <v>1442</v>
      </c>
      <c r="F935" s="17" t="s">
        <v>1443</v>
      </c>
    </row>
    <row r="936" spans="1:6" ht="27.6" x14ac:dyDescent="0.25">
      <c r="A936" s="17" t="s">
        <v>2448</v>
      </c>
      <c r="B936" s="17" t="s">
        <v>2449</v>
      </c>
      <c r="C936" s="18" t="s">
        <v>102</v>
      </c>
      <c r="D936" s="17" t="s">
        <v>1446</v>
      </c>
      <c r="E936" s="18" t="s">
        <v>99</v>
      </c>
      <c r="F936" s="17" t="s">
        <v>202</v>
      </c>
    </row>
    <row r="937" spans="1:6" ht="13.8" x14ac:dyDescent="0.3">
      <c r="A937" s="30" t="s">
        <v>2450</v>
      </c>
      <c r="B937" s="47" t="s">
        <v>2451</v>
      </c>
      <c r="C937" s="31" t="s">
        <v>102</v>
      </c>
      <c r="D937" s="30" t="s">
        <v>1449</v>
      </c>
      <c r="E937" s="31" t="s">
        <v>99</v>
      </c>
      <c r="F937" s="30" t="s">
        <v>202</v>
      </c>
    </row>
    <row r="938" spans="1:6" ht="13.8" x14ac:dyDescent="0.3">
      <c r="A938" s="17" t="s">
        <v>2452</v>
      </c>
      <c r="B938" s="22" t="s">
        <v>2453</v>
      </c>
      <c r="C938" s="18" t="s">
        <v>102</v>
      </c>
      <c r="D938" s="17" t="s">
        <v>1452</v>
      </c>
      <c r="E938" s="18" t="s">
        <v>99</v>
      </c>
      <c r="F938" s="17" t="s">
        <v>202</v>
      </c>
    </row>
    <row r="939" spans="1:6" ht="27.6" x14ac:dyDescent="0.3">
      <c r="A939" s="17" t="s">
        <v>2454</v>
      </c>
      <c r="B939" s="22" t="s">
        <v>2455</v>
      </c>
      <c r="C939" s="18" t="s">
        <v>102</v>
      </c>
      <c r="D939" s="17" t="s">
        <v>2456</v>
      </c>
      <c r="E939" s="18" t="s">
        <v>99</v>
      </c>
      <c r="F939" s="17" t="s">
        <v>99</v>
      </c>
    </row>
    <row r="940" spans="1:6" ht="14.4" x14ac:dyDescent="0.3">
      <c r="A940" s="17" t="s">
        <v>2457</v>
      </c>
      <c r="B940" s="22" t="s">
        <v>2458</v>
      </c>
      <c r="C940" s="18" t="s">
        <v>102</v>
      </c>
      <c r="D940" s="19"/>
      <c r="E940" s="19"/>
      <c r="F940" s="17" t="s">
        <v>202</v>
      </c>
    </row>
    <row r="941" spans="1:6" ht="27.6" x14ac:dyDescent="0.3">
      <c r="A941" s="48" t="s">
        <v>2459</v>
      </c>
      <c r="B941" s="28" t="s">
        <v>2460</v>
      </c>
      <c r="C941" s="32" t="s">
        <v>166</v>
      </c>
      <c r="D941" s="26" t="s">
        <v>2461</v>
      </c>
      <c r="E941" s="28" t="s">
        <v>99</v>
      </c>
      <c r="F941" s="48" t="s">
        <v>149</v>
      </c>
    </row>
    <row r="942" spans="1:6" ht="14.4" x14ac:dyDescent="0.3">
      <c r="A942" s="24" t="s">
        <v>2462</v>
      </c>
      <c r="B942" s="22" t="s">
        <v>2463</v>
      </c>
      <c r="C942" s="18" t="s">
        <v>102</v>
      </c>
      <c r="D942" s="19"/>
      <c r="E942" s="23"/>
      <c r="F942" s="24" t="s">
        <v>401</v>
      </c>
    </row>
    <row r="943" spans="1:6" ht="27.6" x14ac:dyDescent="0.25">
      <c r="A943" s="17" t="s">
        <v>2464</v>
      </c>
      <c r="B943" s="17" t="s">
        <v>2465</v>
      </c>
      <c r="C943" s="18" t="s">
        <v>102</v>
      </c>
      <c r="D943" s="17" t="s">
        <v>1457</v>
      </c>
      <c r="E943" s="18" t="s">
        <v>99</v>
      </c>
      <c r="F943" s="17" t="s">
        <v>692</v>
      </c>
    </row>
    <row r="944" spans="1:6" ht="27.6" x14ac:dyDescent="0.25">
      <c r="A944" s="17" t="s">
        <v>2466</v>
      </c>
      <c r="B944" s="17" t="s">
        <v>2467</v>
      </c>
      <c r="C944" s="18" t="s">
        <v>102</v>
      </c>
      <c r="D944" s="17" t="s">
        <v>2468</v>
      </c>
      <c r="E944" s="19"/>
      <c r="F944" s="17" t="s">
        <v>608</v>
      </c>
    </row>
    <row r="945" spans="1:6" ht="27.6" x14ac:dyDescent="0.25">
      <c r="A945" s="30" t="s">
        <v>2469</v>
      </c>
      <c r="B945" s="30" t="s">
        <v>2470</v>
      </c>
      <c r="C945" s="31" t="s">
        <v>102</v>
      </c>
      <c r="D945" s="30" t="s">
        <v>2471</v>
      </c>
      <c r="E945" s="42"/>
      <c r="F945" s="30" t="s">
        <v>2472</v>
      </c>
    </row>
    <row r="946" spans="1:6" ht="27.6" x14ac:dyDescent="0.25">
      <c r="A946" s="17" t="s">
        <v>2473</v>
      </c>
      <c r="B946" s="17" t="s">
        <v>2474</v>
      </c>
      <c r="C946" s="18" t="s">
        <v>102</v>
      </c>
      <c r="D946" s="17" t="s">
        <v>2471</v>
      </c>
      <c r="E946" s="19"/>
      <c r="F946" s="17" t="s">
        <v>2472</v>
      </c>
    </row>
    <row r="947" spans="1:6" ht="27.6" x14ac:dyDescent="0.25">
      <c r="A947" s="17" t="s">
        <v>2475</v>
      </c>
      <c r="B947" s="17" t="s">
        <v>2476</v>
      </c>
      <c r="C947" s="18" t="s">
        <v>102</v>
      </c>
      <c r="D947" s="19"/>
      <c r="E947" s="19"/>
      <c r="F947" s="17" t="s">
        <v>104</v>
      </c>
    </row>
    <row r="948" spans="1:6" ht="27.6" x14ac:dyDescent="0.25">
      <c r="A948" s="17" t="s">
        <v>2477</v>
      </c>
      <c r="B948" s="17" t="s">
        <v>2478</v>
      </c>
      <c r="C948" s="18" t="s">
        <v>99</v>
      </c>
      <c r="D948" s="19"/>
      <c r="E948" s="19"/>
      <c r="F948" s="17" t="s">
        <v>104</v>
      </c>
    </row>
    <row r="949" spans="1:6" ht="27.6" x14ac:dyDescent="0.25">
      <c r="A949" s="14" t="s">
        <v>79</v>
      </c>
      <c r="B949" s="14" t="s">
        <v>2479</v>
      </c>
      <c r="C949" s="16" t="s">
        <v>166</v>
      </c>
      <c r="D949" s="16" t="s">
        <v>2480</v>
      </c>
      <c r="E949" s="16" t="s">
        <v>99</v>
      </c>
      <c r="F949" s="14" t="s">
        <v>104</v>
      </c>
    </row>
    <row r="950" spans="1:6" ht="27.6" x14ac:dyDescent="0.25">
      <c r="A950" s="17" t="s">
        <v>2481</v>
      </c>
      <c r="B950" s="17" t="s">
        <v>619</v>
      </c>
      <c r="C950" s="19"/>
      <c r="D950" s="19"/>
      <c r="E950" s="19"/>
      <c r="F950" s="19"/>
    </row>
    <row r="951" spans="1:6" ht="27.6" x14ac:dyDescent="0.25">
      <c r="A951" s="30" t="s">
        <v>2482</v>
      </c>
      <c r="B951" s="30" t="s">
        <v>2483</v>
      </c>
      <c r="C951" s="31" t="s">
        <v>102</v>
      </c>
      <c r="D951" s="30" t="s">
        <v>1464</v>
      </c>
      <c r="E951" s="31" t="s">
        <v>99</v>
      </c>
      <c r="F951" s="30" t="s">
        <v>1191</v>
      </c>
    </row>
    <row r="952" spans="1:6" ht="27.6" x14ac:dyDescent="0.25">
      <c r="A952" s="17" t="s">
        <v>2484</v>
      </c>
      <c r="B952" s="17" t="s">
        <v>2485</v>
      </c>
      <c r="C952" s="18" t="s">
        <v>102</v>
      </c>
      <c r="D952" s="17" t="s">
        <v>1464</v>
      </c>
      <c r="E952" s="18" t="s">
        <v>99</v>
      </c>
      <c r="F952" s="17" t="s">
        <v>1191</v>
      </c>
    </row>
    <row r="953" spans="1:6" ht="27.6" x14ac:dyDescent="0.3">
      <c r="A953" s="26" t="s">
        <v>2486</v>
      </c>
      <c r="B953" s="28" t="s">
        <v>2487</v>
      </c>
      <c r="C953" s="32" t="s">
        <v>166</v>
      </c>
      <c r="D953" s="26" t="s">
        <v>2488</v>
      </c>
      <c r="E953" s="32" t="s">
        <v>99</v>
      </c>
      <c r="F953" s="26" t="s">
        <v>408</v>
      </c>
    </row>
    <row r="954" spans="1:6" ht="27.6" x14ac:dyDescent="0.3">
      <c r="A954" s="30" t="s">
        <v>2489</v>
      </c>
      <c r="B954" s="47" t="s">
        <v>2490</v>
      </c>
      <c r="C954" s="31" t="s">
        <v>102</v>
      </c>
      <c r="D954" s="30" t="s">
        <v>1469</v>
      </c>
      <c r="E954" s="31" t="s">
        <v>99</v>
      </c>
      <c r="F954" s="30" t="s">
        <v>408</v>
      </c>
    </row>
    <row r="955" spans="1:6" ht="27.6" x14ac:dyDescent="0.25">
      <c r="A955" s="14" t="s">
        <v>2491</v>
      </c>
      <c r="B955" s="14" t="s">
        <v>2492</v>
      </c>
      <c r="C955" s="16" t="s">
        <v>166</v>
      </c>
      <c r="D955" s="14" t="s">
        <v>1472</v>
      </c>
      <c r="E955" s="16" t="s">
        <v>99</v>
      </c>
      <c r="F955" s="14" t="s">
        <v>104</v>
      </c>
    </row>
    <row r="956" spans="1:6" ht="27.6" x14ac:dyDescent="0.25">
      <c r="A956" s="30" t="s">
        <v>2493</v>
      </c>
      <c r="B956" s="30" t="s">
        <v>2494</v>
      </c>
      <c r="C956" s="31" t="s">
        <v>102</v>
      </c>
      <c r="D956" s="30" t="s">
        <v>2495</v>
      </c>
      <c r="E956" s="42"/>
      <c r="F956" s="30" t="s">
        <v>2496</v>
      </c>
    </row>
    <row r="957" spans="1:6" ht="27.6" x14ac:dyDescent="0.25">
      <c r="A957" s="17" t="s">
        <v>2497</v>
      </c>
      <c r="B957" s="17" t="s">
        <v>2498</v>
      </c>
      <c r="C957" s="18" t="s">
        <v>102</v>
      </c>
      <c r="D957" s="17" t="s">
        <v>1475</v>
      </c>
      <c r="E957" s="18" t="s">
        <v>99</v>
      </c>
      <c r="F957" s="17" t="s">
        <v>1476</v>
      </c>
    </row>
    <row r="958" spans="1:6" ht="13.8" x14ac:dyDescent="0.3">
      <c r="A958" s="26" t="s">
        <v>2499</v>
      </c>
      <c r="B958" s="28" t="s">
        <v>2500</v>
      </c>
      <c r="C958" s="32" t="s">
        <v>166</v>
      </c>
      <c r="D958" s="28" t="s">
        <v>1479</v>
      </c>
      <c r="E958" s="32" t="s">
        <v>99</v>
      </c>
      <c r="F958" s="26" t="s">
        <v>265</v>
      </c>
    </row>
    <row r="959" spans="1:6" ht="13.8" x14ac:dyDescent="0.3">
      <c r="A959" s="26" t="s">
        <v>2501</v>
      </c>
      <c r="B959" s="28" t="s">
        <v>2502</v>
      </c>
      <c r="C959" s="32" t="s">
        <v>166</v>
      </c>
      <c r="D959" s="28" t="s">
        <v>1482</v>
      </c>
      <c r="E959" s="32" t="s">
        <v>99</v>
      </c>
      <c r="F959" s="26" t="s">
        <v>265</v>
      </c>
    </row>
    <row r="960" spans="1:6" ht="14.4" x14ac:dyDescent="0.3">
      <c r="A960" s="14" t="s">
        <v>2503</v>
      </c>
      <c r="B960" s="21" t="s">
        <v>2504</v>
      </c>
      <c r="C960" s="16" t="s">
        <v>166</v>
      </c>
      <c r="D960" s="25"/>
      <c r="E960" s="15"/>
      <c r="F960" s="14" t="s">
        <v>265</v>
      </c>
    </row>
    <row r="961" spans="1:6" ht="13.8" x14ac:dyDescent="0.3">
      <c r="A961" s="17" t="s">
        <v>2505</v>
      </c>
      <c r="B961" s="22" t="s">
        <v>2506</v>
      </c>
      <c r="C961" s="18" t="s">
        <v>102</v>
      </c>
      <c r="D961" s="22" t="s">
        <v>1485</v>
      </c>
      <c r="E961" s="22" t="s">
        <v>99</v>
      </c>
      <c r="F961" s="17" t="s">
        <v>889</v>
      </c>
    </row>
    <row r="962" spans="1:6" ht="41.4" x14ac:dyDescent="0.25">
      <c r="A962" s="17" t="s">
        <v>2507</v>
      </c>
      <c r="B962" s="17" t="s">
        <v>2508</v>
      </c>
      <c r="C962" s="18" t="s">
        <v>102</v>
      </c>
      <c r="D962" s="17" t="s">
        <v>1500</v>
      </c>
      <c r="E962" s="18" t="s">
        <v>1501</v>
      </c>
      <c r="F962" s="17" t="s">
        <v>104</v>
      </c>
    </row>
    <row r="963" spans="1:6" ht="27.6" x14ac:dyDescent="0.25">
      <c r="A963" s="17" t="s">
        <v>2509</v>
      </c>
      <c r="B963" s="17" t="s">
        <v>2510</v>
      </c>
      <c r="C963" s="18" t="s">
        <v>102</v>
      </c>
      <c r="D963" s="17" t="s">
        <v>1488</v>
      </c>
      <c r="E963" s="18" t="s">
        <v>99</v>
      </c>
      <c r="F963" s="17" t="s">
        <v>889</v>
      </c>
    </row>
    <row r="964" spans="1:6" ht="27.6" x14ac:dyDescent="0.3">
      <c r="A964" s="48" t="s">
        <v>2511</v>
      </c>
      <c r="B964" s="26" t="s">
        <v>2512</v>
      </c>
      <c r="C964" s="32" t="s">
        <v>166</v>
      </c>
      <c r="D964" s="26" t="s">
        <v>1491</v>
      </c>
      <c r="E964" s="32" t="s">
        <v>99</v>
      </c>
      <c r="F964" s="26" t="s">
        <v>889</v>
      </c>
    </row>
    <row r="965" spans="1:6" ht="27.6" x14ac:dyDescent="0.25">
      <c r="A965" s="30" t="s">
        <v>2513</v>
      </c>
      <c r="B965" s="30" t="s">
        <v>2514</v>
      </c>
      <c r="C965" s="31" t="s">
        <v>102</v>
      </c>
      <c r="D965" s="30" t="s">
        <v>1488</v>
      </c>
      <c r="E965" s="31" t="s">
        <v>99</v>
      </c>
      <c r="F965" s="30" t="s">
        <v>889</v>
      </c>
    </row>
    <row r="966" spans="1:6" ht="27.6" x14ac:dyDescent="0.25">
      <c r="A966" s="30" t="s">
        <v>2515</v>
      </c>
      <c r="B966" s="30" t="s">
        <v>2516</v>
      </c>
      <c r="C966" s="31" t="s">
        <v>102</v>
      </c>
      <c r="D966" s="30" t="s">
        <v>1497</v>
      </c>
      <c r="E966" s="31" t="s">
        <v>99</v>
      </c>
      <c r="F966" s="30" t="s">
        <v>889</v>
      </c>
    </row>
    <row r="967" spans="1:6" ht="41.4" x14ac:dyDescent="0.25">
      <c r="A967" s="30" t="s">
        <v>2517</v>
      </c>
      <c r="B967" s="30" t="s">
        <v>2508</v>
      </c>
      <c r="C967" s="31" t="s">
        <v>102</v>
      </c>
      <c r="D967" s="30" t="s">
        <v>1500</v>
      </c>
      <c r="E967" s="31" t="s">
        <v>1501</v>
      </c>
      <c r="F967" s="30" t="s">
        <v>104</v>
      </c>
    </row>
    <row r="968" spans="1:6" ht="27.6" x14ac:dyDescent="0.25">
      <c r="A968" s="30" t="s">
        <v>2518</v>
      </c>
      <c r="B968" s="30" t="s">
        <v>2519</v>
      </c>
      <c r="C968" s="31" t="s">
        <v>102</v>
      </c>
      <c r="D968" s="30" t="s">
        <v>1504</v>
      </c>
      <c r="E968" s="31" t="s">
        <v>99</v>
      </c>
      <c r="F968" s="30" t="s">
        <v>889</v>
      </c>
    </row>
    <row r="969" spans="1:6" ht="27.6" x14ac:dyDescent="0.25">
      <c r="A969" s="14" t="s">
        <v>48</v>
      </c>
      <c r="B969" s="14" t="s">
        <v>2520</v>
      </c>
      <c r="C969" s="16" t="s">
        <v>166</v>
      </c>
      <c r="D969" s="14" t="s">
        <v>1507</v>
      </c>
      <c r="E969" s="16" t="s">
        <v>99</v>
      </c>
      <c r="F969" s="14" t="s">
        <v>104</v>
      </c>
    </row>
    <row r="970" spans="1:6" ht="27.6" x14ac:dyDescent="0.25">
      <c r="A970" s="14" t="s">
        <v>37</v>
      </c>
      <c r="B970" s="14" t="s">
        <v>2521</v>
      </c>
      <c r="C970" s="16" t="s">
        <v>166</v>
      </c>
      <c r="D970" s="14" t="s">
        <v>1510</v>
      </c>
      <c r="E970" s="16" t="s">
        <v>99</v>
      </c>
      <c r="F970" s="14" t="s">
        <v>104</v>
      </c>
    </row>
    <row r="971" spans="1:6" ht="27.6" x14ac:dyDescent="0.25">
      <c r="A971" s="14" t="s">
        <v>47</v>
      </c>
      <c r="B971" s="14" t="s">
        <v>2522</v>
      </c>
      <c r="C971" s="16" t="s">
        <v>166</v>
      </c>
      <c r="D971" s="14" t="s">
        <v>1510</v>
      </c>
      <c r="E971" s="16" t="s">
        <v>99</v>
      </c>
      <c r="F971" s="14" t="s">
        <v>104</v>
      </c>
    </row>
    <row r="972" spans="1:6" ht="27.6" x14ac:dyDescent="0.25">
      <c r="A972" s="26" t="s">
        <v>2523</v>
      </c>
      <c r="B972" s="26" t="s">
        <v>2524</v>
      </c>
      <c r="C972" s="32" t="s">
        <v>166</v>
      </c>
      <c r="D972" s="26" t="s">
        <v>1516</v>
      </c>
      <c r="E972" s="32" t="s">
        <v>99</v>
      </c>
      <c r="F972" s="26" t="s">
        <v>109</v>
      </c>
    </row>
    <row r="973" spans="1:6" ht="27.6" x14ac:dyDescent="0.25">
      <c r="A973" s="26" t="s">
        <v>2525</v>
      </c>
      <c r="B973" s="26" t="s">
        <v>2526</v>
      </c>
      <c r="C973" s="32" t="s">
        <v>166</v>
      </c>
      <c r="D973" s="26" t="s">
        <v>2527</v>
      </c>
      <c r="E973" s="27"/>
      <c r="F973" s="26" t="s">
        <v>408</v>
      </c>
    </row>
    <row r="974" spans="1:6" ht="27.6" x14ac:dyDescent="0.25">
      <c r="A974" s="26" t="s">
        <v>2528</v>
      </c>
      <c r="B974" s="26" t="s">
        <v>2529</v>
      </c>
      <c r="C974" s="32" t="s">
        <v>99</v>
      </c>
      <c r="D974" s="27"/>
      <c r="E974" s="27"/>
      <c r="F974" s="26" t="s">
        <v>408</v>
      </c>
    </row>
    <row r="975" spans="1:6" ht="13.8" x14ac:dyDescent="0.25">
      <c r="A975" s="26" t="s">
        <v>2530</v>
      </c>
      <c r="B975" s="26" t="s">
        <v>2408</v>
      </c>
      <c r="C975" s="32" t="s">
        <v>284</v>
      </c>
      <c r="D975" s="26" t="s">
        <v>99</v>
      </c>
      <c r="E975" s="32" t="s">
        <v>99</v>
      </c>
      <c r="F975" s="26" t="s">
        <v>99</v>
      </c>
    </row>
    <row r="976" spans="1:6" ht="27.6" x14ac:dyDescent="0.25">
      <c r="A976" s="17" t="s">
        <v>2531</v>
      </c>
      <c r="B976" s="17" t="s">
        <v>2532</v>
      </c>
      <c r="C976" s="18" t="s">
        <v>102</v>
      </c>
      <c r="D976" s="17" t="s">
        <v>1519</v>
      </c>
      <c r="E976" s="18" t="s">
        <v>1520</v>
      </c>
      <c r="F976" s="17" t="s">
        <v>608</v>
      </c>
    </row>
    <row r="977" spans="1:6" ht="27.6" x14ac:dyDescent="0.25">
      <c r="A977" s="30" t="s">
        <v>2533</v>
      </c>
      <c r="B977" s="30" t="s">
        <v>2534</v>
      </c>
      <c r="C977" s="31" t="s">
        <v>102</v>
      </c>
      <c r="D977" s="30" t="s">
        <v>1519</v>
      </c>
      <c r="E977" s="31" t="s">
        <v>99</v>
      </c>
      <c r="F977" s="30" t="s">
        <v>608</v>
      </c>
    </row>
    <row r="978" spans="1:6" ht="27.6" x14ac:dyDescent="0.25">
      <c r="A978" s="17" t="s">
        <v>39</v>
      </c>
      <c r="B978" s="17" t="s">
        <v>2535</v>
      </c>
      <c r="C978" s="18" t="s">
        <v>102</v>
      </c>
      <c r="D978" s="17" t="s">
        <v>1525</v>
      </c>
      <c r="E978" s="18" t="s">
        <v>99</v>
      </c>
      <c r="F978" s="17" t="s">
        <v>104</v>
      </c>
    </row>
    <row r="979" spans="1:6" ht="27.6" x14ac:dyDescent="0.3">
      <c r="A979" s="30" t="s">
        <v>2536</v>
      </c>
      <c r="B979" s="47" t="s">
        <v>2537</v>
      </c>
      <c r="C979" s="31" t="s">
        <v>102</v>
      </c>
      <c r="D979" s="30" t="s">
        <v>1528</v>
      </c>
      <c r="E979" s="31" t="s">
        <v>99</v>
      </c>
      <c r="F979" s="30" t="s">
        <v>104</v>
      </c>
    </row>
    <row r="980" spans="1:6" ht="27.6" x14ac:dyDescent="0.25">
      <c r="A980" s="30" t="s">
        <v>2538</v>
      </c>
      <c r="B980" s="30" t="s">
        <v>2539</v>
      </c>
      <c r="C980" s="31" t="s">
        <v>102</v>
      </c>
      <c r="D980" s="30" t="s">
        <v>1531</v>
      </c>
      <c r="E980" s="31" t="s">
        <v>99</v>
      </c>
      <c r="F980" s="30" t="s">
        <v>104</v>
      </c>
    </row>
    <row r="981" spans="1:6" ht="27.6" x14ac:dyDescent="0.25">
      <c r="A981" s="26" t="s">
        <v>2540</v>
      </c>
      <c r="B981" s="26" t="s">
        <v>2541</v>
      </c>
      <c r="C981" s="32" t="s">
        <v>166</v>
      </c>
      <c r="D981" s="26" t="s">
        <v>1534</v>
      </c>
      <c r="E981" s="32" t="s">
        <v>99</v>
      </c>
      <c r="F981" s="26" t="s">
        <v>408</v>
      </c>
    </row>
    <row r="982" spans="1:6" ht="27.6" x14ac:dyDescent="0.25">
      <c r="A982" s="17" t="s">
        <v>2542</v>
      </c>
      <c r="B982" s="17" t="s">
        <v>2543</v>
      </c>
      <c r="C982" s="18" t="s">
        <v>102</v>
      </c>
      <c r="D982" s="19"/>
      <c r="E982" s="19"/>
      <c r="F982" s="17" t="s">
        <v>408</v>
      </c>
    </row>
    <row r="983" spans="1:6" ht="27.6" x14ac:dyDescent="0.25">
      <c r="A983" s="26" t="s">
        <v>2544</v>
      </c>
      <c r="B983" s="26" t="s">
        <v>2545</v>
      </c>
      <c r="C983" s="32" t="s">
        <v>166</v>
      </c>
      <c r="D983" s="27"/>
      <c r="E983" s="27"/>
      <c r="F983" s="26" t="s">
        <v>408</v>
      </c>
    </row>
    <row r="984" spans="1:6" ht="27.6" x14ac:dyDescent="0.25">
      <c r="A984" s="26" t="s">
        <v>2546</v>
      </c>
      <c r="B984" s="26" t="s">
        <v>2547</v>
      </c>
      <c r="C984" s="32" t="s">
        <v>99</v>
      </c>
      <c r="D984" s="27"/>
      <c r="E984" s="27"/>
      <c r="F984" s="26" t="s">
        <v>408</v>
      </c>
    </row>
    <row r="985" spans="1:6" ht="27.6" x14ac:dyDescent="0.3">
      <c r="A985" s="17" t="s">
        <v>2548</v>
      </c>
      <c r="B985" s="22" t="s">
        <v>2549</v>
      </c>
      <c r="C985" s="18" t="s">
        <v>102</v>
      </c>
      <c r="D985" s="17" t="s">
        <v>1537</v>
      </c>
      <c r="E985" s="18" t="s">
        <v>99</v>
      </c>
      <c r="F985" s="17" t="s">
        <v>104</v>
      </c>
    </row>
    <row r="986" spans="1:6" ht="27.6" x14ac:dyDescent="0.25">
      <c r="A986" s="30" t="s">
        <v>2550</v>
      </c>
      <c r="B986" s="30" t="s">
        <v>2551</v>
      </c>
      <c r="C986" s="31" t="s">
        <v>102</v>
      </c>
      <c r="D986" s="30" t="s">
        <v>2552</v>
      </c>
      <c r="E986" s="42"/>
      <c r="F986" s="30" t="s">
        <v>149</v>
      </c>
    </row>
    <row r="987" spans="1:6" ht="27.6" x14ac:dyDescent="0.3">
      <c r="A987" s="17" t="s">
        <v>2553</v>
      </c>
      <c r="B987" s="22" t="s">
        <v>2554</v>
      </c>
      <c r="C987" s="18" t="s">
        <v>102</v>
      </c>
      <c r="D987" s="17" t="s">
        <v>2555</v>
      </c>
      <c r="E987" s="19"/>
      <c r="F987" s="17" t="s">
        <v>149</v>
      </c>
    </row>
    <row r="988" spans="1:6" ht="14.4" x14ac:dyDescent="0.25">
      <c r="A988" s="17" t="s">
        <v>2556</v>
      </c>
      <c r="B988" s="17" t="s">
        <v>2557</v>
      </c>
      <c r="C988" s="18" t="s">
        <v>102</v>
      </c>
      <c r="D988" s="19"/>
      <c r="E988" s="19"/>
      <c r="F988" s="17" t="s">
        <v>149</v>
      </c>
    </row>
    <row r="989" spans="1:6" ht="27.6" x14ac:dyDescent="0.25">
      <c r="A989" s="17" t="s">
        <v>2558</v>
      </c>
      <c r="B989" s="17" t="s">
        <v>2145</v>
      </c>
      <c r="C989" s="18" t="s">
        <v>102</v>
      </c>
      <c r="D989" s="17" t="s">
        <v>1541</v>
      </c>
      <c r="E989" s="18" t="s">
        <v>1542</v>
      </c>
      <c r="F989" s="17" t="s">
        <v>149</v>
      </c>
    </row>
    <row r="990" spans="1:6" ht="13.8" x14ac:dyDescent="0.3">
      <c r="A990" s="26" t="s">
        <v>2559</v>
      </c>
      <c r="B990" s="28" t="s">
        <v>2560</v>
      </c>
      <c r="C990" s="32" t="s">
        <v>166</v>
      </c>
      <c r="D990" s="26" t="s">
        <v>1545</v>
      </c>
      <c r="E990" s="32" t="s">
        <v>99</v>
      </c>
      <c r="F990" s="26" t="s">
        <v>149</v>
      </c>
    </row>
    <row r="991" spans="1:6" ht="27.6" x14ac:dyDescent="0.25">
      <c r="A991" s="30" t="s">
        <v>57</v>
      </c>
      <c r="B991" s="30" t="s">
        <v>2149</v>
      </c>
      <c r="C991" s="31" t="s">
        <v>102</v>
      </c>
      <c r="D991" s="30" t="s">
        <v>1548</v>
      </c>
      <c r="E991" s="31" t="s">
        <v>1549</v>
      </c>
      <c r="F991" s="30" t="s">
        <v>149</v>
      </c>
    </row>
    <row r="992" spans="1:6" ht="27.6" x14ac:dyDescent="0.25">
      <c r="A992" s="30" t="s">
        <v>2561</v>
      </c>
      <c r="B992" s="30" t="s">
        <v>2562</v>
      </c>
      <c r="C992" s="31" t="s">
        <v>102</v>
      </c>
      <c r="D992" s="30" t="s">
        <v>2563</v>
      </c>
      <c r="E992" s="42"/>
      <c r="F992" s="30" t="s">
        <v>149</v>
      </c>
    </row>
    <row r="993" spans="1:6" ht="14.4" x14ac:dyDescent="0.25">
      <c r="A993" s="17" t="s">
        <v>2564</v>
      </c>
      <c r="B993" s="17" t="s">
        <v>2565</v>
      </c>
      <c r="C993" s="19"/>
      <c r="D993" s="19"/>
      <c r="E993" s="19"/>
      <c r="F993" s="17" t="s">
        <v>149</v>
      </c>
    </row>
    <row r="994" spans="1:6" ht="27.6" x14ac:dyDescent="0.25">
      <c r="A994" s="17" t="s">
        <v>2566</v>
      </c>
      <c r="B994" s="17" t="s">
        <v>2567</v>
      </c>
      <c r="C994" s="18" t="s">
        <v>102</v>
      </c>
      <c r="D994" s="19"/>
      <c r="E994" s="19"/>
      <c r="F994" s="17" t="s">
        <v>104</v>
      </c>
    </row>
    <row r="995" spans="1:6" ht="27.6" x14ac:dyDescent="0.25">
      <c r="A995" s="14" t="s">
        <v>2568</v>
      </c>
      <c r="B995" s="14" t="s">
        <v>2569</v>
      </c>
      <c r="C995" s="16" t="s">
        <v>166</v>
      </c>
      <c r="D995" s="14" t="s">
        <v>1552</v>
      </c>
      <c r="E995" s="16" t="s">
        <v>99</v>
      </c>
      <c r="F995" s="14" t="s">
        <v>1553</v>
      </c>
    </row>
    <row r="996" spans="1:6" ht="27.6" x14ac:dyDescent="0.25">
      <c r="A996" s="26" t="s">
        <v>2570</v>
      </c>
      <c r="B996" s="26" t="s">
        <v>2571</v>
      </c>
      <c r="C996" s="32" t="s">
        <v>166</v>
      </c>
      <c r="D996" s="26" t="s">
        <v>2572</v>
      </c>
      <c r="E996" s="27"/>
      <c r="F996" s="26" t="s">
        <v>104</v>
      </c>
    </row>
    <row r="997" spans="1:6" ht="27.6" x14ac:dyDescent="0.25">
      <c r="A997" s="17" t="s">
        <v>2573</v>
      </c>
      <c r="B997" s="17" t="s">
        <v>2574</v>
      </c>
      <c r="C997" s="18" t="s">
        <v>102</v>
      </c>
      <c r="D997" s="19"/>
      <c r="E997" s="19"/>
      <c r="F997" s="17" t="s">
        <v>202</v>
      </c>
    </row>
    <row r="998" spans="1:6" ht="27.6" x14ac:dyDescent="0.25">
      <c r="A998" s="17" t="s">
        <v>2575</v>
      </c>
      <c r="B998" s="17" t="s">
        <v>2576</v>
      </c>
      <c r="C998" s="18" t="s">
        <v>102</v>
      </c>
      <c r="D998" s="19"/>
      <c r="E998" s="19"/>
      <c r="F998" s="19"/>
    </row>
    <row r="999" spans="1:6" ht="14.4" x14ac:dyDescent="0.3">
      <c r="A999" s="26" t="s">
        <v>2577</v>
      </c>
      <c r="B999" s="28" t="s">
        <v>619</v>
      </c>
      <c r="C999" s="27"/>
      <c r="D999" s="27"/>
      <c r="E999" s="27"/>
      <c r="F999" s="27"/>
    </row>
    <row r="1000" spans="1:6" ht="13.8" x14ac:dyDescent="0.25">
      <c r="A1000" s="26" t="s">
        <v>38</v>
      </c>
      <c r="B1000" s="26" t="s">
        <v>2578</v>
      </c>
      <c r="C1000" s="32" t="s">
        <v>284</v>
      </c>
      <c r="D1000" s="26" t="s">
        <v>99</v>
      </c>
      <c r="E1000" s="32" t="s">
        <v>99</v>
      </c>
      <c r="F1000" s="26" t="s">
        <v>99</v>
      </c>
    </row>
    <row r="1001" spans="1:6" ht="13.8" x14ac:dyDescent="0.3">
      <c r="A1001" s="17" t="s">
        <v>2579</v>
      </c>
      <c r="B1001" s="22" t="s">
        <v>2580</v>
      </c>
      <c r="C1001" s="18" t="s">
        <v>102</v>
      </c>
      <c r="D1001" s="17" t="s">
        <v>1556</v>
      </c>
      <c r="E1001" s="18" t="s">
        <v>99</v>
      </c>
      <c r="F1001" s="17" t="s">
        <v>265</v>
      </c>
    </row>
    <row r="1002" spans="1:6" ht="13.8" x14ac:dyDescent="0.3">
      <c r="A1002" s="17" t="s">
        <v>2581</v>
      </c>
      <c r="B1002" s="22" t="s">
        <v>2582</v>
      </c>
      <c r="C1002" s="18" t="s">
        <v>102</v>
      </c>
      <c r="D1002" s="17" t="s">
        <v>1556</v>
      </c>
      <c r="E1002" s="18" t="s">
        <v>99</v>
      </c>
      <c r="F1002" s="17" t="s">
        <v>265</v>
      </c>
    </row>
    <row r="1003" spans="1:6" ht="27.6" x14ac:dyDescent="0.25">
      <c r="A1003" s="17" t="s">
        <v>2583</v>
      </c>
      <c r="B1003" s="17" t="s">
        <v>2584</v>
      </c>
      <c r="C1003" s="18" t="s">
        <v>102</v>
      </c>
      <c r="D1003" s="17" t="s">
        <v>1561</v>
      </c>
      <c r="E1003" s="18" t="s">
        <v>99</v>
      </c>
      <c r="F1003" s="17" t="s">
        <v>1195</v>
      </c>
    </row>
    <row r="1004" spans="1:6" ht="27.6" x14ac:dyDescent="0.25">
      <c r="A1004" s="17" t="s">
        <v>2585</v>
      </c>
      <c r="B1004" s="17" t="s">
        <v>2586</v>
      </c>
      <c r="C1004" s="18" t="s">
        <v>102</v>
      </c>
      <c r="D1004" s="17" t="s">
        <v>2587</v>
      </c>
      <c r="E1004" s="18" t="s">
        <v>2588</v>
      </c>
      <c r="F1004" s="17" t="s">
        <v>2589</v>
      </c>
    </row>
    <row r="1005" spans="1:6" ht="41.4" x14ac:dyDescent="0.25">
      <c r="A1005" s="17" t="s">
        <v>2590</v>
      </c>
      <c r="B1005" s="17" t="s">
        <v>2591</v>
      </c>
      <c r="C1005" s="18" t="s">
        <v>102</v>
      </c>
      <c r="D1005" s="17" t="s">
        <v>2592</v>
      </c>
      <c r="E1005" s="19"/>
      <c r="F1005" s="17" t="s">
        <v>109</v>
      </c>
    </row>
    <row r="1006" spans="1:6" ht="27.6" x14ac:dyDescent="0.25">
      <c r="A1006" s="17" t="s">
        <v>2593</v>
      </c>
      <c r="B1006" s="17" t="s">
        <v>2594</v>
      </c>
      <c r="C1006" s="18" t="s">
        <v>102</v>
      </c>
      <c r="D1006" s="19"/>
      <c r="E1006" s="19"/>
      <c r="F1006" s="17" t="s">
        <v>109</v>
      </c>
    </row>
    <row r="1007" spans="1:6" ht="27.6" x14ac:dyDescent="0.25">
      <c r="A1007" s="17" t="s">
        <v>2595</v>
      </c>
      <c r="B1007" s="17" t="s">
        <v>2596</v>
      </c>
      <c r="C1007" s="18" t="s">
        <v>102</v>
      </c>
      <c r="D1007" s="17" t="s">
        <v>1566</v>
      </c>
      <c r="E1007" s="18" t="s">
        <v>99</v>
      </c>
      <c r="F1007" s="17" t="s">
        <v>608</v>
      </c>
    </row>
    <row r="1008" spans="1:6" ht="27.6" x14ac:dyDescent="0.25">
      <c r="A1008" s="17" t="s">
        <v>2597</v>
      </c>
      <c r="B1008" s="17" t="s">
        <v>2598</v>
      </c>
      <c r="C1008" s="18" t="s">
        <v>102</v>
      </c>
      <c r="D1008" s="17" t="s">
        <v>1569</v>
      </c>
      <c r="E1008" s="18" t="s">
        <v>99</v>
      </c>
      <c r="F1008" s="17" t="s">
        <v>608</v>
      </c>
    </row>
    <row r="1009" spans="1:6" ht="41.4" x14ac:dyDescent="0.25">
      <c r="A1009" s="17" t="s">
        <v>2599</v>
      </c>
      <c r="B1009" s="17" t="s">
        <v>2600</v>
      </c>
      <c r="C1009" s="18" t="s">
        <v>102</v>
      </c>
      <c r="D1009" s="19"/>
      <c r="E1009" s="19"/>
      <c r="F1009" s="17" t="s">
        <v>109</v>
      </c>
    </row>
    <row r="1010" spans="1:6" ht="27.6" x14ac:dyDescent="0.25">
      <c r="A1010" s="17" t="s">
        <v>2601</v>
      </c>
      <c r="B1010" s="17" t="s">
        <v>2602</v>
      </c>
      <c r="C1010" s="18" t="s">
        <v>166</v>
      </c>
      <c r="D1010" s="17" t="s">
        <v>2603</v>
      </c>
      <c r="E1010" s="19"/>
      <c r="F1010" s="17" t="s">
        <v>109</v>
      </c>
    </row>
    <row r="1011" spans="1:6" ht="27.6" x14ac:dyDescent="0.25">
      <c r="A1011" s="17" t="s">
        <v>2604</v>
      </c>
      <c r="B1011" s="17" t="s">
        <v>2605</v>
      </c>
      <c r="C1011" s="18" t="s">
        <v>102</v>
      </c>
      <c r="D1011" s="17" t="s">
        <v>2606</v>
      </c>
      <c r="E1011" s="18" t="s">
        <v>99</v>
      </c>
      <c r="F1011" s="17" t="s">
        <v>109</v>
      </c>
    </row>
    <row r="1012" spans="1:6" ht="27.6" x14ac:dyDescent="0.25">
      <c r="A1012" s="17" t="s">
        <v>2607</v>
      </c>
      <c r="B1012" s="17" t="s">
        <v>2608</v>
      </c>
      <c r="C1012" s="18" t="s">
        <v>102</v>
      </c>
      <c r="D1012" s="19"/>
      <c r="E1012" s="19"/>
      <c r="F1012" s="17" t="s">
        <v>109</v>
      </c>
    </row>
    <row r="1013" spans="1:6" ht="27.6" x14ac:dyDescent="0.25">
      <c r="A1013" s="30" t="s">
        <v>2609</v>
      </c>
      <c r="B1013" s="30" t="s">
        <v>2610</v>
      </c>
      <c r="C1013" s="31" t="s">
        <v>102</v>
      </c>
      <c r="D1013" s="42"/>
      <c r="E1013" s="42"/>
      <c r="F1013" s="30" t="s">
        <v>109</v>
      </c>
    </row>
    <row r="1014" spans="1:6" ht="27.6" x14ac:dyDescent="0.25">
      <c r="A1014" s="17" t="s">
        <v>2611</v>
      </c>
      <c r="B1014" s="17" t="s">
        <v>2612</v>
      </c>
      <c r="C1014" s="18" t="s">
        <v>102</v>
      </c>
      <c r="D1014" s="17" t="s">
        <v>2613</v>
      </c>
      <c r="E1014" s="19"/>
      <c r="F1014" s="17" t="s">
        <v>109</v>
      </c>
    </row>
    <row r="1015" spans="1:6" ht="27.6" x14ac:dyDescent="0.25">
      <c r="A1015" s="17" t="s">
        <v>2614</v>
      </c>
      <c r="B1015" s="17" t="s">
        <v>2615</v>
      </c>
      <c r="C1015" s="18" t="s">
        <v>102</v>
      </c>
      <c r="D1015" s="17" t="s">
        <v>1574</v>
      </c>
      <c r="E1015" s="18" t="s">
        <v>99</v>
      </c>
      <c r="F1015" s="17" t="s">
        <v>1575</v>
      </c>
    </row>
    <row r="1016" spans="1:6" ht="27.6" x14ac:dyDescent="0.25">
      <c r="A1016" s="17" t="s">
        <v>2616</v>
      </c>
      <c r="B1016" s="17" t="s">
        <v>2617</v>
      </c>
      <c r="C1016" s="18" t="s">
        <v>102</v>
      </c>
      <c r="D1016" s="17" t="s">
        <v>1578</v>
      </c>
      <c r="E1016" s="18" t="s">
        <v>99</v>
      </c>
      <c r="F1016" s="17" t="s">
        <v>1575</v>
      </c>
    </row>
    <row r="1017" spans="1:6" ht="27.6" x14ac:dyDescent="0.25">
      <c r="A1017" s="17" t="s">
        <v>2618</v>
      </c>
      <c r="B1017" s="17" t="s">
        <v>619</v>
      </c>
      <c r="C1017" s="19"/>
      <c r="D1017" s="19"/>
      <c r="E1017" s="19"/>
      <c r="F1017" s="19"/>
    </row>
    <row r="1018" spans="1:6" ht="27.6" x14ac:dyDescent="0.25">
      <c r="A1018" s="14" t="s">
        <v>2619</v>
      </c>
      <c r="B1018" s="14" t="s">
        <v>2620</v>
      </c>
      <c r="C1018" s="16" t="s">
        <v>166</v>
      </c>
      <c r="D1018" s="14" t="s">
        <v>1584</v>
      </c>
      <c r="E1018" s="16" t="s">
        <v>99</v>
      </c>
      <c r="F1018" s="14" t="s">
        <v>1585</v>
      </c>
    </row>
    <row r="1019" spans="1:6" ht="41.4" x14ac:dyDescent="0.25">
      <c r="A1019" s="30" t="s">
        <v>2621</v>
      </c>
      <c r="B1019" s="30" t="s">
        <v>619</v>
      </c>
      <c r="C1019" s="42"/>
      <c r="D1019" s="42"/>
      <c r="E1019" s="42"/>
      <c r="F1019" s="42"/>
    </row>
    <row r="1020" spans="1:6" ht="27.6" x14ac:dyDescent="0.25">
      <c r="A1020" s="30" t="s">
        <v>2622</v>
      </c>
      <c r="B1020" s="30" t="s">
        <v>619</v>
      </c>
      <c r="C1020" s="42"/>
      <c r="D1020" s="42"/>
      <c r="E1020" s="42"/>
      <c r="F1020" s="42"/>
    </row>
    <row r="1021" spans="1:6" ht="14.4" x14ac:dyDescent="0.3">
      <c r="A1021" s="14" t="s">
        <v>2623</v>
      </c>
      <c r="B1021" s="21" t="s">
        <v>619</v>
      </c>
      <c r="C1021" s="15"/>
      <c r="D1021" s="15"/>
      <c r="E1021" s="15"/>
      <c r="F1021" s="15"/>
    </row>
    <row r="1022" spans="1:6" ht="27.6" x14ac:dyDescent="0.25">
      <c r="A1022" s="30" t="s">
        <v>2624</v>
      </c>
      <c r="B1022" s="30" t="s">
        <v>619</v>
      </c>
      <c r="C1022" s="42"/>
      <c r="D1022" s="42"/>
      <c r="E1022" s="42"/>
      <c r="F1022" s="42"/>
    </row>
    <row r="1023" spans="1:6" ht="27.6" x14ac:dyDescent="0.25">
      <c r="A1023" s="17" t="s">
        <v>2625</v>
      </c>
      <c r="B1023" s="17" t="s">
        <v>619</v>
      </c>
      <c r="C1023" s="19"/>
      <c r="D1023" s="19"/>
      <c r="E1023" s="19"/>
      <c r="F1023" s="19"/>
    </row>
    <row r="1024" spans="1:6" ht="13.8" x14ac:dyDescent="0.25">
      <c r="A1024" s="26" t="s">
        <v>2626</v>
      </c>
      <c r="B1024" s="26" t="s">
        <v>2627</v>
      </c>
      <c r="C1024" s="32" t="s">
        <v>99</v>
      </c>
      <c r="D1024" s="26" t="s">
        <v>99</v>
      </c>
      <c r="E1024" s="32" t="s">
        <v>99</v>
      </c>
      <c r="F1024" s="26" t="s">
        <v>99</v>
      </c>
    </row>
    <row r="1025" spans="1:6" ht="27.6" x14ac:dyDescent="0.25">
      <c r="A1025" s="26" t="s">
        <v>2628</v>
      </c>
      <c r="B1025" s="26" t="s">
        <v>2629</v>
      </c>
      <c r="C1025" s="27"/>
      <c r="D1025" s="27"/>
      <c r="E1025" s="27"/>
      <c r="F1025" s="27"/>
    </row>
    <row r="1026" spans="1:6" ht="27.6" x14ac:dyDescent="0.25">
      <c r="A1026" s="26" t="s">
        <v>2630</v>
      </c>
      <c r="B1026" s="26" t="s">
        <v>2631</v>
      </c>
      <c r="C1026" s="32" t="s">
        <v>166</v>
      </c>
      <c r="D1026" s="26" t="s">
        <v>99</v>
      </c>
      <c r="E1026" s="32" t="s">
        <v>99</v>
      </c>
      <c r="F1026" s="26" t="s">
        <v>149</v>
      </c>
    </row>
    <row r="1027" spans="1:6" ht="27.6" x14ac:dyDescent="0.25">
      <c r="A1027" s="26" t="s">
        <v>33</v>
      </c>
      <c r="B1027" s="26" t="s">
        <v>2632</v>
      </c>
      <c r="C1027" s="27"/>
      <c r="D1027" s="27"/>
      <c r="E1027" s="27"/>
      <c r="F1027" s="27"/>
    </row>
    <row r="1028" spans="1:6" ht="27.6" x14ac:dyDescent="0.25">
      <c r="A1028" s="26" t="s">
        <v>68</v>
      </c>
      <c r="B1028" s="26" t="s">
        <v>2633</v>
      </c>
      <c r="C1028" s="32" t="s">
        <v>99</v>
      </c>
      <c r="D1028" s="26" t="s">
        <v>99</v>
      </c>
      <c r="E1028" s="32" t="s">
        <v>99</v>
      </c>
      <c r="F1028" s="26" t="s">
        <v>99</v>
      </c>
    </row>
    <row r="1029" spans="1:6" ht="27.6" x14ac:dyDescent="0.25">
      <c r="A1029" s="17" t="s">
        <v>2634</v>
      </c>
      <c r="B1029" s="17" t="s">
        <v>619</v>
      </c>
      <c r="C1029" s="19"/>
      <c r="D1029" s="19"/>
      <c r="E1029" s="19"/>
      <c r="F1029" s="19"/>
    </row>
    <row r="1030" spans="1:6" ht="69" x14ac:dyDescent="0.25">
      <c r="A1030" s="17" t="s">
        <v>2635</v>
      </c>
      <c r="B1030" s="17" t="s">
        <v>619</v>
      </c>
      <c r="C1030" s="19"/>
      <c r="D1030" s="19"/>
      <c r="E1030" s="19"/>
      <c r="F1030" s="19"/>
    </row>
    <row r="1031" spans="1:6" ht="41.4" x14ac:dyDescent="0.25">
      <c r="A1031" s="17" t="s">
        <v>2636</v>
      </c>
      <c r="B1031" s="17" t="s">
        <v>619</v>
      </c>
      <c r="C1031" s="19"/>
      <c r="D1031" s="19"/>
      <c r="E1031" s="19"/>
      <c r="F1031" s="19"/>
    </row>
    <row r="1032" spans="1:6" ht="55.2" x14ac:dyDescent="0.25">
      <c r="A1032" s="17" t="s">
        <v>2637</v>
      </c>
      <c r="B1032" s="17" t="s">
        <v>619</v>
      </c>
      <c r="C1032" s="19"/>
      <c r="D1032" s="19"/>
      <c r="E1032" s="19"/>
      <c r="F1032" s="19"/>
    </row>
    <row r="1033" spans="1:6" ht="27.6" x14ac:dyDescent="0.25">
      <c r="A1033" s="17" t="s">
        <v>2638</v>
      </c>
      <c r="B1033" s="17" t="s">
        <v>619</v>
      </c>
      <c r="C1033" s="19"/>
      <c r="D1033" s="19"/>
      <c r="E1033" s="19"/>
      <c r="F1033" s="19"/>
    </row>
    <row r="1034" spans="1:6" ht="27.6" x14ac:dyDescent="0.25">
      <c r="A1034" s="30" t="s">
        <v>2639</v>
      </c>
      <c r="B1034" s="30" t="s">
        <v>619</v>
      </c>
      <c r="C1034" s="42"/>
      <c r="D1034" s="42"/>
      <c r="E1034" s="42"/>
      <c r="F1034" s="42"/>
    </row>
    <row r="1035" spans="1:6" ht="27.6" x14ac:dyDescent="0.25">
      <c r="A1035" s="30" t="s">
        <v>2640</v>
      </c>
      <c r="B1035" s="30" t="s">
        <v>619</v>
      </c>
      <c r="C1035" s="42"/>
      <c r="D1035" s="42"/>
      <c r="E1035" s="42"/>
      <c r="F1035" s="42"/>
    </row>
    <row r="1036" spans="1:6" ht="27.6" x14ac:dyDescent="0.25">
      <c r="A1036" s="17" t="s">
        <v>2641</v>
      </c>
      <c r="B1036" s="17" t="s">
        <v>2642</v>
      </c>
      <c r="C1036" s="18" t="s">
        <v>102</v>
      </c>
      <c r="D1036" s="17" t="s">
        <v>99</v>
      </c>
      <c r="E1036" s="18" t="s">
        <v>99</v>
      </c>
      <c r="F1036" s="17" t="s">
        <v>99</v>
      </c>
    </row>
    <row r="1037" spans="1:6" ht="13.8" x14ac:dyDescent="0.25">
      <c r="A1037" s="30" t="s">
        <v>2643</v>
      </c>
      <c r="B1037" s="30" t="s">
        <v>2644</v>
      </c>
      <c r="C1037" s="31" t="s">
        <v>102</v>
      </c>
      <c r="D1037" s="30" t="s">
        <v>99</v>
      </c>
      <c r="E1037" s="31" t="s">
        <v>99</v>
      </c>
      <c r="F1037" s="30" t="s">
        <v>99</v>
      </c>
    </row>
    <row r="1038" spans="1:6" ht="27.6" x14ac:dyDescent="0.25">
      <c r="A1038" s="30" t="s">
        <v>43</v>
      </c>
      <c r="B1038" s="30" t="s">
        <v>2645</v>
      </c>
      <c r="C1038" s="31" t="s">
        <v>102</v>
      </c>
      <c r="D1038" s="30" t="s">
        <v>1594</v>
      </c>
      <c r="E1038" s="31" t="s">
        <v>1595</v>
      </c>
      <c r="F1038" s="30" t="s">
        <v>104</v>
      </c>
    </row>
    <row r="1039" spans="1:6" ht="13.8" x14ac:dyDescent="0.25">
      <c r="A1039" s="17" t="s">
        <v>2646</v>
      </c>
      <c r="B1039" s="17" t="s">
        <v>2647</v>
      </c>
      <c r="C1039" s="18" t="s">
        <v>102</v>
      </c>
      <c r="D1039" s="17" t="s">
        <v>1598</v>
      </c>
      <c r="E1039" s="18" t="s">
        <v>99</v>
      </c>
      <c r="F1039" s="17" t="s">
        <v>1599</v>
      </c>
    </row>
    <row r="1040" spans="1:6" ht="13.8" x14ac:dyDescent="0.25">
      <c r="A1040" s="14" t="s">
        <v>2648</v>
      </c>
      <c r="B1040" s="14" t="s">
        <v>2649</v>
      </c>
      <c r="C1040" s="16" t="s">
        <v>166</v>
      </c>
      <c r="D1040" s="14" t="s">
        <v>1598</v>
      </c>
      <c r="E1040" s="16" t="s">
        <v>99</v>
      </c>
      <c r="F1040" s="14" t="s">
        <v>1599</v>
      </c>
    </row>
    <row r="1041" spans="1:6" ht="41.4" x14ac:dyDescent="0.25">
      <c r="A1041" s="14" t="s">
        <v>2650</v>
      </c>
      <c r="B1041" s="14" t="s">
        <v>2651</v>
      </c>
      <c r="C1041" s="16" t="s">
        <v>166</v>
      </c>
      <c r="D1041" s="14" t="s">
        <v>2652</v>
      </c>
      <c r="E1041" s="16" t="s">
        <v>99</v>
      </c>
      <c r="F1041" s="14" t="s">
        <v>206</v>
      </c>
    </row>
    <row r="1042" spans="1:6" ht="27.6" x14ac:dyDescent="0.25">
      <c r="A1042" s="17" t="s">
        <v>2653</v>
      </c>
      <c r="B1042" s="17" t="s">
        <v>2654</v>
      </c>
      <c r="C1042" s="18" t="s">
        <v>102</v>
      </c>
      <c r="D1042" s="17" t="s">
        <v>1604</v>
      </c>
      <c r="E1042" s="18" t="s">
        <v>99</v>
      </c>
      <c r="F1042" s="17" t="s">
        <v>1605</v>
      </c>
    </row>
    <row r="1043" spans="1:6" ht="27.6" x14ac:dyDescent="0.25">
      <c r="A1043" s="26" t="s">
        <v>2655</v>
      </c>
      <c r="B1043" s="26" t="s">
        <v>2656</v>
      </c>
      <c r="C1043" s="32" t="s">
        <v>166</v>
      </c>
      <c r="D1043" s="26" t="s">
        <v>1608</v>
      </c>
      <c r="E1043" s="32" t="s">
        <v>99</v>
      </c>
      <c r="F1043" s="26" t="s">
        <v>692</v>
      </c>
    </row>
    <row r="1044" spans="1:6" ht="41.4" x14ac:dyDescent="0.25">
      <c r="A1044" s="26" t="s">
        <v>2657</v>
      </c>
      <c r="B1044" s="26" t="s">
        <v>2658</v>
      </c>
      <c r="C1044" s="32" t="s">
        <v>102</v>
      </c>
      <c r="D1044" s="26" t="s">
        <v>2659</v>
      </c>
      <c r="E1044" s="27"/>
      <c r="F1044" s="26" t="s">
        <v>109</v>
      </c>
    </row>
    <row r="1045" spans="1:6" ht="27.6" x14ac:dyDescent="0.25">
      <c r="A1045" s="17" t="s">
        <v>2660</v>
      </c>
      <c r="B1045" s="17" t="s">
        <v>2661</v>
      </c>
      <c r="C1045" s="18" t="s">
        <v>102</v>
      </c>
      <c r="D1045" s="19"/>
      <c r="E1045" s="19"/>
      <c r="F1045" s="17" t="s">
        <v>109</v>
      </c>
    </row>
    <row r="1046" spans="1:6" ht="13.8" x14ac:dyDescent="0.25">
      <c r="A1046" s="14" t="s">
        <v>2662</v>
      </c>
      <c r="B1046" s="14" t="s">
        <v>2663</v>
      </c>
      <c r="C1046" s="16" t="s">
        <v>166</v>
      </c>
      <c r="D1046" s="14" t="s">
        <v>1611</v>
      </c>
      <c r="E1046" s="16" t="s">
        <v>99</v>
      </c>
      <c r="F1046" s="14" t="s">
        <v>109</v>
      </c>
    </row>
    <row r="1047" spans="1:6" ht="13.8" x14ac:dyDescent="0.25">
      <c r="A1047" s="14" t="s">
        <v>2664</v>
      </c>
      <c r="B1047" s="14" t="s">
        <v>2665</v>
      </c>
      <c r="C1047" s="16" t="s">
        <v>166</v>
      </c>
      <c r="D1047" s="14" t="s">
        <v>2666</v>
      </c>
      <c r="E1047" s="16" t="s">
        <v>99</v>
      </c>
      <c r="F1047" s="14" t="s">
        <v>222</v>
      </c>
    </row>
    <row r="1048" spans="1:6" ht="27.6" x14ac:dyDescent="0.25">
      <c r="A1048" s="30" t="s">
        <v>2667</v>
      </c>
      <c r="B1048" s="30" t="s">
        <v>2668</v>
      </c>
      <c r="C1048" s="31" t="s">
        <v>102</v>
      </c>
      <c r="D1048" s="30" t="s">
        <v>1614</v>
      </c>
      <c r="E1048" s="31" t="s">
        <v>99</v>
      </c>
      <c r="F1048" s="30" t="s">
        <v>1615</v>
      </c>
    </row>
    <row r="1049" spans="1:6" ht="14.4" x14ac:dyDescent="0.25">
      <c r="A1049" s="17" t="s">
        <v>2669</v>
      </c>
      <c r="B1049" s="17" t="s">
        <v>2670</v>
      </c>
      <c r="C1049" s="18" t="s">
        <v>102</v>
      </c>
      <c r="D1049" s="19"/>
      <c r="E1049" s="19"/>
      <c r="F1049" s="17" t="s">
        <v>1615</v>
      </c>
    </row>
    <row r="1050" spans="1:6" ht="14.4" x14ac:dyDescent="0.25">
      <c r="A1050" s="17" t="s">
        <v>2671</v>
      </c>
      <c r="B1050" s="17" t="s">
        <v>2672</v>
      </c>
      <c r="C1050" s="18" t="s">
        <v>102</v>
      </c>
      <c r="D1050" s="19"/>
      <c r="E1050" s="19"/>
      <c r="F1050" s="17" t="s">
        <v>1615</v>
      </c>
    </row>
    <row r="1051" spans="1:6" ht="27.6" x14ac:dyDescent="0.25">
      <c r="A1051" s="17" t="s">
        <v>2673</v>
      </c>
      <c r="B1051" s="17" t="s">
        <v>2674</v>
      </c>
      <c r="C1051" s="18" t="s">
        <v>102</v>
      </c>
      <c r="D1051" s="17" t="s">
        <v>2675</v>
      </c>
      <c r="E1051" s="18" t="s">
        <v>99</v>
      </c>
      <c r="F1051" s="17" t="s">
        <v>2676</v>
      </c>
    </row>
    <row r="1052" spans="1:6" ht="27.6" x14ac:dyDescent="0.25">
      <c r="A1052" s="26" t="s">
        <v>2677</v>
      </c>
      <c r="B1052" s="26" t="s">
        <v>1619</v>
      </c>
      <c r="C1052" s="32" t="s">
        <v>166</v>
      </c>
      <c r="D1052" s="26" t="s">
        <v>1618</v>
      </c>
      <c r="E1052" s="32" t="s">
        <v>1811</v>
      </c>
      <c r="F1052" s="26" t="s">
        <v>149</v>
      </c>
    </row>
    <row r="1053" spans="1:6" ht="27.6" x14ac:dyDescent="0.25">
      <c r="A1053" s="26" t="s">
        <v>2678</v>
      </c>
      <c r="B1053" s="26" t="s">
        <v>2679</v>
      </c>
      <c r="C1053" s="32" t="s">
        <v>284</v>
      </c>
      <c r="D1053" s="26" t="s">
        <v>99</v>
      </c>
      <c r="E1053" s="32" t="s">
        <v>99</v>
      </c>
      <c r="F1053" s="26" t="s">
        <v>99</v>
      </c>
    </row>
    <row r="1054" spans="1:6" ht="13.8" x14ac:dyDescent="0.25">
      <c r="A1054" s="14" t="s">
        <v>2680</v>
      </c>
      <c r="B1054" s="14" t="s">
        <v>2681</v>
      </c>
      <c r="C1054" s="16" t="s">
        <v>284</v>
      </c>
      <c r="D1054" s="14" t="s">
        <v>99</v>
      </c>
      <c r="E1054" s="16" t="s">
        <v>99</v>
      </c>
      <c r="F1054" s="14" t="s">
        <v>99</v>
      </c>
    </row>
    <row r="1055" spans="1:6" ht="27.6" x14ac:dyDescent="0.25">
      <c r="A1055" s="30" t="s">
        <v>2682</v>
      </c>
      <c r="B1055" s="30" t="s">
        <v>2683</v>
      </c>
      <c r="C1055" s="31" t="s">
        <v>102</v>
      </c>
      <c r="D1055" s="30" t="s">
        <v>1622</v>
      </c>
      <c r="E1055" s="31" t="s">
        <v>99</v>
      </c>
      <c r="F1055" s="30" t="s">
        <v>104</v>
      </c>
    </row>
    <row r="1056" spans="1:6" ht="27.6" x14ac:dyDescent="0.25">
      <c r="A1056" s="30" t="s">
        <v>2684</v>
      </c>
      <c r="B1056" s="30" t="s">
        <v>2685</v>
      </c>
      <c r="C1056" s="31" t="s">
        <v>102</v>
      </c>
      <c r="D1056" s="30" t="s">
        <v>2686</v>
      </c>
      <c r="E1056" s="42"/>
      <c r="F1056" s="30" t="s">
        <v>2687</v>
      </c>
    </row>
    <row r="1057" spans="1:6" ht="14.4" x14ac:dyDescent="0.3">
      <c r="A1057" s="14" t="s">
        <v>2688</v>
      </c>
      <c r="B1057" s="21" t="s">
        <v>619</v>
      </c>
      <c r="C1057" s="15"/>
      <c r="D1057" s="15"/>
      <c r="E1057" s="15"/>
      <c r="F1057" s="15"/>
    </row>
    <row r="1058" spans="1:6" ht="27.6" x14ac:dyDescent="0.25">
      <c r="A1058" s="30" t="s">
        <v>2689</v>
      </c>
      <c r="B1058" s="30" t="s">
        <v>2690</v>
      </c>
      <c r="C1058" s="31" t="s">
        <v>102</v>
      </c>
      <c r="D1058" s="30" t="s">
        <v>2691</v>
      </c>
      <c r="E1058" s="42"/>
      <c r="F1058" s="30" t="s">
        <v>492</v>
      </c>
    </row>
    <row r="1059" spans="1:6" ht="27.6" x14ac:dyDescent="0.25">
      <c r="A1059" s="30" t="s">
        <v>2692</v>
      </c>
      <c r="B1059" s="30" t="s">
        <v>1900</v>
      </c>
      <c r="C1059" s="31" t="s">
        <v>102</v>
      </c>
      <c r="D1059" s="30" t="s">
        <v>1070</v>
      </c>
      <c r="E1059" s="31" t="s">
        <v>1071</v>
      </c>
      <c r="F1059" s="30" t="s">
        <v>492</v>
      </c>
    </row>
    <row r="1060" spans="1:6" ht="27.6" x14ac:dyDescent="0.3">
      <c r="A1060" s="30" t="s">
        <v>2693</v>
      </c>
      <c r="B1060" s="47" t="s">
        <v>2694</v>
      </c>
      <c r="C1060" s="31" t="s">
        <v>102</v>
      </c>
      <c r="D1060" s="30" t="s">
        <v>1625</v>
      </c>
      <c r="E1060" s="31" t="s">
        <v>99</v>
      </c>
      <c r="F1060" s="30" t="s">
        <v>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Point Intercept 2</vt:lpstr>
      <vt:lpstr>Data Validation DO NOT EDIT</vt:lpstr>
      <vt:lpstr>Alphabetical by species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Lillywhite</cp:lastModifiedBy>
  <dcterms:modified xsi:type="dcterms:W3CDTF">2026-10-27T01:19:25Z</dcterms:modified>
</cp:coreProperties>
</file>