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is\OneDrive\Documents\GitHub\FuelMod_Quant26\FuelMod_Quant2026\"/>
    </mc:Choice>
  </mc:AlternateContent>
  <xr:revisionPtr revIDLastSave="0" documentId="13_ncr:1_{41957C52-35FC-41C8-A95F-6DE07E1F89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Entry2" sheetId="2" r:id="rId2"/>
    <sheet name="Data Validation" sheetId="3" r:id="rId3"/>
    <sheet name="Example Data" sheetId="4" r:id="rId4"/>
    <sheet name="Species List" sheetId="5" r:id="rId5"/>
    <sheet name="Alphabetical by species code" sheetId="6" r:id="rId6"/>
  </sheets>
  <definedNames>
    <definedName name="_xlnm._FilterDatabase" localSheetId="0" hidden="1">Data!$A$1:$N$1779</definedName>
    <definedName name="_xlnm._FilterDatabase" localSheetId="2" hidden="1">'Data Validation'!$A$1:$Z$1000</definedName>
    <definedName name="_xlnm._FilterDatabase" localSheetId="1" hidden="1">Entry2!$A$1:$M$985</definedName>
    <definedName name="_xlnm._FilterDatabase" localSheetId="3" hidden="1">'Example Data'!$A$1:$M$1701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BoPgQYj4/7ueCC+q5sy8hfjMmBfy78q+igfUf6QdFs="/>
    </ext>
  </extLst>
</workbook>
</file>

<file path=xl/calcChain.xml><?xml version="1.0" encoding="utf-8"?>
<calcChain xmlns="http://schemas.openxmlformats.org/spreadsheetml/2006/main">
  <c r="M979" i="3" l="1"/>
  <c r="L979" i="3"/>
  <c r="K979" i="3"/>
  <c r="J979" i="3"/>
  <c r="I979" i="3"/>
  <c r="H979" i="3"/>
  <c r="G979" i="3"/>
  <c r="F979" i="3"/>
  <c r="E979" i="3"/>
  <c r="D979" i="3"/>
  <c r="C979" i="3"/>
  <c r="B979" i="3"/>
  <c r="A979" i="3"/>
  <c r="M978" i="3"/>
  <c r="K978" i="3"/>
  <c r="J978" i="3"/>
  <c r="I978" i="3"/>
  <c r="H978" i="3"/>
  <c r="G978" i="3"/>
  <c r="F978" i="3"/>
  <c r="E978" i="3"/>
  <c r="D978" i="3"/>
  <c r="C978" i="3"/>
  <c r="B978" i="3"/>
  <c r="A978" i="3"/>
  <c r="M977" i="3"/>
  <c r="K977" i="3"/>
  <c r="J977" i="3"/>
  <c r="I977" i="3"/>
  <c r="H977" i="3"/>
  <c r="G977" i="3"/>
  <c r="F977" i="3"/>
  <c r="E977" i="3"/>
  <c r="D977" i="3"/>
  <c r="C977" i="3"/>
  <c r="B977" i="3"/>
  <c r="A977" i="3"/>
  <c r="M976" i="3"/>
  <c r="K976" i="3"/>
  <c r="J976" i="3"/>
  <c r="I976" i="3"/>
  <c r="H976" i="3"/>
  <c r="G976" i="3"/>
  <c r="F976" i="3"/>
  <c r="E976" i="3"/>
  <c r="D976" i="3"/>
  <c r="C976" i="3"/>
  <c r="B976" i="3"/>
  <c r="A976" i="3"/>
  <c r="M975" i="3"/>
  <c r="K975" i="3"/>
  <c r="J975" i="3"/>
  <c r="I975" i="3"/>
  <c r="H975" i="3"/>
  <c r="G975" i="3"/>
  <c r="F975" i="3"/>
  <c r="E975" i="3"/>
  <c r="D975" i="3"/>
  <c r="C975" i="3"/>
  <c r="B975" i="3"/>
  <c r="A975" i="3"/>
  <c r="M974" i="3"/>
  <c r="K974" i="3"/>
  <c r="J974" i="3"/>
  <c r="I974" i="3"/>
  <c r="H974" i="3"/>
  <c r="G974" i="3"/>
  <c r="F974" i="3"/>
  <c r="E974" i="3"/>
  <c r="D974" i="3"/>
  <c r="C974" i="3"/>
  <c r="B974" i="3"/>
  <c r="A974" i="3"/>
  <c r="M973" i="3"/>
  <c r="K973" i="3"/>
  <c r="J973" i="3"/>
  <c r="I973" i="3"/>
  <c r="H973" i="3"/>
  <c r="G973" i="3"/>
  <c r="F973" i="3"/>
  <c r="E973" i="3"/>
  <c r="D973" i="3"/>
  <c r="C973" i="3"/>
  <c r="B973" i="3"/>
  <c r="A973" i="3"/>
  <c r="M972" i="3"/>
  <c r="K972" i="3"/>
  <c r="J972" i="3"/>
  <c r="I972" i="3"/>
  <c r="H972" i="3"/>
  <c r="G972" i="3"/>
  <c r="F972" i="3"/>
  <c r="E972" i="3"/>
  <c r="D972" i="3"/>
  <c r="C972" i="3"/>
  <c r="B972" i="3"/>
  <c r="A972" i="3"/>
  <c r="M971" i="3"/>
  <c r="K971" i="3"/>
  <c r="J971" i="3"/>
  <c r="I971" i="3"/>
  <c r="H971" i="3"/>
  <c r="G971" i="3"/>
  <c r="F971" i="3"/>
  <c r="E971" i="3"/>
  <c r="D971" i="3"/>
  <c r="C971" i="3"/>
  <c r="B971" i="3"/>
  <c r="A971" i="3"/>
  <c r="M970" i="3"/>
  <c r="K970" i="3"/>
  <c r="J970" i="3"/>
  <c r="I970" i="3"/>
  <c r="H970" i="3"/>
  <c r="G970" i="3"/>
  <c r="F970" i="3"/>
  <c r="E970" i="3"/>
  <c r="D970" i="3"/>
  <c r="C970" i="3"/>
  <c r="B970" i="3"/>
  <c r="A970" i="3"/>
  <c r="M969" i="3"/>
  <c r="K969" i="3"/>
  <c r="J969" i="3"/>
  <c r="I969" i="3"/>
  <c r="H969" i="3"/>
  <c r="G969" i="3"/>
  <c r="F969" i="3"/>
  <c r="E969" i="3"/>
  <c r="D969" i="3"/>
  <c r="C969" i="3"/>
  <c r="B969" i="3"/>
  <c r="A969" i="3"/>
  <c r="M968" i="3"/>
  <c r="K968" i="3"/>
  <c r="J968" i="3"/>
  <c r="I968" i="3"/>
  <c r="H968" i="3"/>
  <c r="G968" i="3"/>
  <c r="F968" i="3"/>
  <c r="E968" i="3"/>
  <c r="D968" i="3"/>
  <c r="C968" i="3"/>
  <c r="B968" i="3"/>
  <c r="A968" i="3"/>
  <c r="M967" i="3"/>
  <c r="K967" i="3"/>
  <c r="J967" i="3"/>
  <c r="I967" i="3"/>
  <c r="H967" i="3"/>
  <c r="G967" i="3"/>
  <c r="F967" i="3"/>
  <c r="E967" i="3"/>
  <c r="D967" i="3"/>
  <c r="C967" i="3"/>
  <c r="B967" i="3"/>
  <c r="A967" i="3"/>
  <c r="M966" i="3"/>
  <c r="K966" i="3"/>
  <c r="J966" i="3"/>
  <c r="I966" i="3"/>
  <c r="H966" i="3"/>
  <c r="G966" i="3"/>
  <c r="F966" i="3"/>
  <c r="E966" i="3"/>
  <c r="D966" i="3"/>
  <c r="C966" i="3"/>
  <c r="B966" i="3"/>
  <c r="A966" i="3"/>
  <c r="M965" i="3"/>
  <c r="K965" i="3"/>
  <c r="J965" i="3"/>
  <c r="I965" i="3"/>
  <c r="H965" i="3"/>
  <c r="G965" i="3"/>
  <c r="F965" i="3"/>
  <c r="E965" i="3"/>
  <c r="D965" i="3"/>
  <c r="C965" i="3"/>
  <c r="B965" i="3"/>
  <c r="A965" i="3"/>
  <c r="M964" i="3"/>
  <c r="K964" i="3"/>
  <c r="J964" i="3"/>
  <c r="I964" i="3"/>
  <c r="H964" i="3"/>
  <c r="G964" i="3"/>
  <c r="F964" i="3"/>
  <c r="E964" i="3"/>
  <c r="D964" i="3"/>
  <c r="C964" i="3"/>
  <c r="B964" i="3"/>
  <c r="A964" i="3"/>
  <c r="M963" i="3"/>
  <c r="K963" i="3"/>
  <c r="J963" i="3"/>
  <c r="I963" i="3"/>
  <c r="H963" i="3"/>
  <c r="G963" i="3"/>
  <c r="F963" i="3"/>
  <c r="E963" i="3"/>
  <c r="D963" i="3"/>
  <c r="C963" i="3"/>
  <c r="B963" i="3"/>
  <c r="A963" i="3"/>
  <c r="M962" i="3"/>
  <c r="K962" i="3"/>
  <c r="J962" i="3"/>
  <c r="I962" i="3"/>
  <c r="H962" i="3"/>
  <c r="G962" i="3"/>
  <c r="F962" i="3"/>
  <c r="E962" i="3"/>
  <c r="D962" i="3"/>
  <c r="C962" i="3"/>
  <c r="B962" i="3"/>
  <c r="A962" i="3"/>
  <c r="M961" i="3"/>
  <c r="K961" i="3"/>
  <c r="J961" i="3"/>
  <c r="I961" i="3"/>
  <c r="H961" i="3"/>
  <c r="G961" i="3"/>
  <c r="F961" i="3"/>
  <c r="E961" i="3"/>
  <c r="D961" i="3"/>
  <c r="C961" i="3"/>
  <c r="B961" i="3"/>
  <c r="A961" i="3"/>
  <c r="M960" i="3"/>
  <c r="K960" i="3"/>
  <c r="J960" i="3"/>
  <c r="I960" i="3"/>
  <c r="H960" i="3"/>
  <c r="G960" i="3"/>
  <c r="F960" i="3"/>
  <c r="E960" i="3"/>
  <c r="D960" i="3"/>
  <c r="C960" i="3"/>
  <c r="B960" i="3"/>
  <c r="A960" i="3"/>
  <c r="M959" i="3"/>
  <c r="K959" i="3"/>
  <c r="J959" i="3"/>
  <c r="I959" i="3"/>
  <c r="H959" i="3"/>
  <c r="G959" i="3"/>
  <c r="F959" i="3"/>
  <c r="E959" i="3"/>
  <c r="D959" i="3"/>
  <c r="C959" i="3"/>
  <c r="B959" i="3"/>
  <c r="A959" i="3"/>
  <c r="M958" i="3"/>
  <c r="K958" i="3"/>
  <c r="J958" i="3"/>
  <c r="I958" i="3"/>
  <c r="H958" i="3"/>
  <c r="G958" i="3"/>
  <c r="F958" i="3"/>
  <c r="E958" i="3"/>
  <c r="D958" i="3"/>
  <c r="C958" i="3"/>
  <c r="B958" i="3"/>
  <c r="A958" i="3"/>
  <c r="M957" i="3"/>
  <c r="K957" i="3"/>
  <c r="J957" i="3"/>
  <c r="I957" i="3"/>
  <c r="H957" i="3"/>
  <c r="G957" i="3"/>
  <c r="F957" i="3"/>
  <c r="E957" i="3"/>
  <c r="D957" i="3"/>
  <c r="C957" i="3"/>
  <c r="B957" i="3"/>
  <c r="A957" i="3"/>
  <c r="M956" i="3"/>
  <c r="K956" i="3"/>
  <c r="J956" i="3"/>
  <c r="I956" i="3"/>
  <c r="H956" i="3"/>
  <c r="G956" i="3"/>
  <c r="F956" i="3"/>
  <c r="E956" i="3"/>
  <c r="D956" i="3"/>
  <c r="C956" i="3"/>
  <c r="B956" i="3"/>
  <c r="A956" i="3"/>
  <c r="M955" i="3"/>
  <c r="K955" i="3"/>
  <c r="J955" i="3"/>
  <c r="I955" i="3"/>
  <c r="H955" i="3"/>
  <c r="G955" i="3"/>
  <c r="F955" i="3"/>
  <c r="E955" i="3"/>
  <c r="D955" i="3"/>
  <c r="C955" i="3"/>
  <c r="B955" i="3"/>
  <c r="A955" i="3"/>
  <c r="M954" i="3"/>
  <c r="K954" i="3"/>
  <c r="J954" i="3"/>
  <c r="I954" i="3"/>
  <c r="H954" i="3"/>
  <c r="G954" i="3"/>
  <c r="F954" i="3"/>
  <c r="E954" i="3"/>
  <c r="D954" i="3"/>
  <c r="C954" i="3"/>
  <c r="B954" i="3"/>
  <c r="A954" i="3"/>
  <c r="M953" i="3"/>
  <c r="K953" i="3"/>
  <c r="J953" i="3"/>
  <c r="I953" i="3"/>
  <c r="H953" i="3"/>
  <c r="G953" i="3"/>
  <c r="F953" i="3"/>
  <c r="E953" i="3"/>
  <c r="D953" i="3"/>
  <c r="C953" i="3"/>
  <c r="B953" i="3"/>
  <c r="A953" i="3"/>
  <c r="M952" i="3"/>
  <c r="K952" i="3"/>
  <c r="J952" i="3"/>
  <c r="I952" i="3"/>
  <c r="H952" i="3"/>
  <c r="G952" i="3"/>
  <c r="F952" i="3"/>
  <c r="E952" i="3"/>
  <c r="D952" i="3"/>
  <c r="C952" i="3"/>
  <c r="B952" i="3"/>
  <c r="A952" i="3"/>
  <c r="M951" i="3"/>
  <c r="K951" i="3"/>
  <c r="J951" i="3"/>
  <c r="I951" i="3"/>
  <c r="H951" i="3"/>
  <c r="G951" i="3"/>
  <c r="F951" i="3"/>
  <c r="E951" i="3"/>
  <c r="D951" i="3"/>
  <c r="C951" i="3"/>
  <c r="B951" i="3"/>
  <c r="A951" i="3"/>
  <c r="M950" i="3"/>
  <c r="K950" i="3"/>
  <c r="J950" i="3"/>
  <c r="I950" i="3"/>
  <c r="H950" i="3"/>
  <c r="G950" i="3"/>
  <c r="F950" i="3"/>
  <c r="E950" i="3"/>
  <c r="D950" i="3"/>
  <c r="C950" i="3"/>
  <c r="B950" i="3"/>
  <c r="A950" i="3"/>
  <c r="M949" i="3"/>
  <c r="K949" i="3"/>
  <c r="J949" i="3"/>
  <c r="I949" i="3"/>
  <c r="H949" i="3"/>
  <c r="G949" i="3"/>
  <c r="F949" i="3"/>
  <c r="E949" i="3"/>
  <c r="D949" i="3"/>
  <c r="C949" i="3"/>
  <c r="B949" i="3"/>
  <c r="A949" i="3"/>
  <c r="M948" i="3"/>
  <c r="K948" i="3"/>
  <c r="J948" i="3"/>
  <c r="I948" i="3"/>
  <c r="H948" i="3"/>
  <c r="G948" i="3"/>
  <c r="F948" i="3"/>
  <c r="E948" i="3"/>
  <c r="D948" i="3"/>
  <c r="C948" i="3"/>
  <c r="B948" i="3"/>
  <c r="A948" i="3"/>
  <c r="M947" i="3"/>
  <c r="K947" i="3"/>
  <c r="J947" i="3"/>
  <c r="I947" i="3"/>
  <c r="H947" i="3"/>
  <c r="G947" i="3"/>
  <c r="F947" i="3"/>
  <c r="E947" i="3"/>
  <c r="D947" i="3"/>
  <c r="C947" i="3"/>
  <c r="B947" i="3"/>
  <c r="A947" i="3"/>
  <c r="M946" i="3"/>
  <c r="K946" i="3"/>
  <c r="J946" i="3"/>
  <c r="I946" i="3"/>
  <c r="H946" i="3"/>
  <c r="G946" i="3"/>
  <c r="F946" i="3"/>
  <c r="E946" i="3"/>
  <c r="D946" i="3"/>
  <c r="C946" i="3"/>
  <c r="B946" i="3"/>
  <c r="A946" i="3"/>
  <c r="M945" i="3"/>
  <c r="K945" i="3"/>
  <c r="J945" i="3"/>
  <c r="I945" i="3"/>
  <c r="H945" i="3"/>
  <c r="G945" i="3"/>
  <c r="F945" i="3"/>
  <c r="E945" i="3"/>
  <c r="D945" i="3"/>
  <c r="C945" i="3"/>
  <c r="B945" i="3"/>
  <c r="A945" i="3"/>
  <c r="M944" i="3"/>
  <c r="K944" i="3"/>
  <c r="J944" i="3"/>
  <c r="I944" i="3"/>
  <c r="H944" i="3"/>
  <c r="G944" i="3"/>
  <c r="F944" i="3"/>
  <c r="E944" i="3"/>
  <c r="D944" i="3"/>
  <c r="C944" i="3"/>
  <c r="B944" i="3"/>
  <c r="A944" i="3"/>
  <c r="M943" i="3"/>
  <c r="K943" i="3"/>
  <c r="J943" i="3"/>
  <c r="I943" i="3"/>
  <c r="H943" i="3"/>
  <c r="G943" i="3"/>
  <c r="F943" i="3"/>
  <c r="E943" i="3"/>
  <c r="D943" i="3"/>
  <c r="C943" i="3"/>
  <c r="B943" i="3"/>
  <c r="A943" i="3"/>
  <c r="M942" i="3"/>
  <c r="K942" i="3"/>
  <c r="J942" i="3"/>
  <c r="I942" i="3"/>
  <c r="H942" i="3"/>
  <c r="G942" i="3"/>
  <c r="F942" i="3"/>
  <c r="E942" i="3"/>
  <c r="D942" i="3"/>
  <c r="C942" i="3"/>
  <c r="B942" i="3"/>
  <c r="A942" i="3"/>
  <c r="M941" i="3"/>
  <c r="K941" i="3"/>
  <c r="J941" i="3"/>
  <c r="I941" i="3"/>
  <c r="H941" i="3"/>
  <c r="G941" i="3"/>
  <c r="F941" i="3"/>
  <c r="E941" i="3"/>
  <c r="D941" i="3"/>
  <c r="C941" i="3"/>
  <c r="B941" i="3"/>
  <c r="A941" i="3"/>
  <c r="M940" i="3"/>
  <c r="K940" i="3"/>
  <c r="J940" i="3"/>
  <c r="I940" i="3"/>
  <c r="H940" i="3"/>
  <c r="G940" i="3"/>
  <c r="F940" i="3"/>
  <c r="E940" i="3"/>
  <c r="D940" i="3"/>
  <c r="C940" i="3"/>
  <c r="B940" i="3"/>
  <c r="A940" i="3"/>
  <c r="M939" i="3"/>
  <c r="K939" i="3"/>
  <c r="J939" i="3"/>
  <c r="I939" i="3"/>
  <c r="H939" i="3"/>
  <c r="G939" i="3"/>
  <c r="F939" i="3"/>
  <c r="E939" i="3"/>
  <c r="D939" i="3"/>
  <c r="C939" i="3"/>
  <c r="B939" i="3"/>
  <c r="A939" i="3"/>
  <c r="M938" i="3"/>
  <c r="K938" i="3"/>
  <c r="J938" i="3"/>
  <c r="I938" i="3"/>
  <c r="H938" i="3"/>
  <c r="G938" i="3"/>
  <c r="F938" i="3"/>
  <c r="E938" i="3"/>
  <c r="D938" i="3"/>
  <c r="C938" i="3"/>
  <c r="B938" i="3"/>
  <c r="A938" i="3"/>
  <c r="M937" i="3"/>
  <c r="K937" i="3"/>
  <c r="J937" i="3"/>
  <c r="I937" i="3"/>
  <c r="H937" i="3"/>
  <c r="G937" i="3"/>
  <c r="F937" i="3"/>
  <c r="E937" i="3"/>
  <c r="D937" i="3"/>
  <c r="C937" i="3"/>
  <c r="B937" i="3"/>
  <c r="A937" i="3"/>
  <c r="M936" i="3"/>
  <c r="K936" i="3"/>
  <c r="J936" i="3"/>
  <c r="I936" i="3"/>
  <c r="H936" i="3"/>
  <c r="G936" i="3"/>
  <c r="F936" i="3"/>
  <c r="E936" i="3"/>
  <c r="D936" i="3"/>
  <c r="C936" i="3"/>
  <c r="B936" i="3"/>
  <c r="A936" i="3"/>
  <c r="M935" i="3"/>
  <c r="K935" i="3"/>
  <c r="J935" i="3"/>
  <c r="I935" i="3"/>
  <c r="H935" i="3"/>
  <c r="G935" i="3"/>
  <c r="F935" i="3"/>
  <c r="E935" i="3"/>
  <c r="D935" i="3"/>
  <c r="C935" i="3"/>
  <c r="B935" i="3"/>
  <c r="A935" i="3"/>
  <c r="M934" i="3"/>
  <c r="K934" i="3"/>
  <c r="J934" i="3"/>
  <c r="I934" i="3"/>
  <c r="H934" i="3"/>
  <c r="G934" i="3"/>
  <c r="F934" i="3"/>
  <c r="E934" i="3"/>
  <c r="D934" i="3"/>
  <c r="C934" i="3"/>
  <c r="B934" i="3"/>
  <c r="A934" i="3"/>
  <c r="M933" i="3"/>
  <c r="K933" i="3"/>
  <c r="J933" i="3"/>
  <c r="I933" i="3"/>
  <c r="H933" i="3"/>
  <c r="G933" i="3"/>
  <c r="F933" i="3"/>
  <c r="E933" i="3"/>
  <c r="D933" i="3"/>
  <c r="C933" i="3"/>
  <c r="B933" i="3"/>
  <c r="A933" i="3"/>
  <c r="M932" i="3"/>
  <c r="K932" i="3"/>
  <c r="J932" i="3"/>
  <c r="I932" i="3"/>
  <c r="H932" i="3"/>
  <c r="G932" i="3"/>
  <c r="F932" i="3"/>
  <c r="E932" i="3"/>
  <c r="D932" i="3"/>
  <c r="C932" i="3"/>
  <c r="B932" i="3"/>
  <c r="A932" i="3"/>
  <c r="M931" i="3"/>
  <c r="K931" i="3"/>
  <c r="J931" i="3"/>
  <c r="I931" i="3"/>
  <c r="H931" i="3"/>
  <c r="G931" i="3"/>
  <c r="F931" i="3"/>
  <c r="E931" i="3"/>
  <c r="D931" i="3"/>
  <c r="C931" i="3"/>
  <c r="B931" i="3"/>
  <c r="A931" i="3"/>
  <c r="M930" i="3"/>
  <c r="K930" i="3"/>
  <c r="J930" i="3"/>
  <c r="I930" i="3"/>
  <c r="H930" i="3"/>
  <c r="G930" i="3"/>
  <c r="F930" i="3"/>
  <c r="E930" i="3"/>
  <c r="D930" i="3"/>
  <c r="C930" i="3"/>
  <c r="B930" i="3"/>
  <c r="A930" i="3"/>
  <c r="M929" i="3"/>
  <c r="K929" i="3"/>
  <c r="J929" i="3"/>
  <c r="I929" i="3"/>
  <c r="H929" i="3"/>
  <c r="G929" i="3"/>
  <c r="F929" i="3"/>
  <c r="E929" i="3"/>
  <c r="D929" i="3"/>
  <c r="C929" i="3"/>
  <c r="B929" i="3"/>
  <c r="A929" i="3"/>
  <c r="M928" i="3"/>
  <c r="K928" i="3"/>
  <c r="J928" i="3"/>
  <c r="I928" i="3"/>
  <c r="H928" i="3"/>
  <c r="G928" i="3"/>
  <c r="F928" i="3"/>
  <c r="E928" i="3"/>
  <c r="D928" i="3"/>
  <c r="C928" i="3"/>
  <c r="B928" i="3"/>
  <c r="A928" i="3"/>
  <c r="M927" i="3"/>
  <c r="K927" i="3"/>
  <c r="J927" i="3"/>
  <c r="I927" i="3"/>
  <c r="H927" i="3"/>
  <c r="G927" i="3"/>
  <c r="F927" i="3"/>
  <c r="E927" i="3"/>
  <c r="D927" i="3"/>
  <c r="C927" i="3"/>
  <c r="B927" i="3"/>
  <c r="A927" i="3"/>
  <c r="M926" i="3"/>
  <c r="K926" i="3"/>
  <c r="J926" i="3"/>
  <c r="I926" i="3"/>
  <c r="H926" i="3"/>
  <c r="G926" i="3"/>
  <c r="F926" i="3"/>
  <c r="E926" i="3"/>
  <c r="D926" i="3"/>
  <c r="C926" i="3"/>
  <c r="B926" i="3"/>
  <c r="A926" i="3"/>
  <c r="M925" i="3"/>
  <c r="K925" i="3"/>
  <c r="J925" i="3"/>
  <c r="I925" i="3"/>
  <c r="H925" i="3"/>
  <c r="G925" i="3"/>
  <c r="F925" i="3"/>
  <c r="E925" i="3"/>
  <c r="D925" i="3"/>
  <c r="C925" i="3"/>
  <c r="B925" i="3"/>
  <c r="A925" i="3"/>
  <c r="M924" i="3"/>
  <c r="K924" i="3"/>
  <c r="J924" i="3"/>
  <c r="I924" i="3"/>
  <c r="H924" i="3"/>
  <c r="G924" i="3"/>
  <c r="F924" i="3"/>
  <c r="E924" i="3"/>
  <c r="D924" i="3"/>
  <c r="C924" i="3"/>
  <c r="B924" i="3"/>
  <c r="A924" i="3"/>
  <c r="M923" i="3"/>
  <c r="K923" i="3"/>
  <c r="J923" i="3"/>
  <c r="I923" i="3"/>
  <c r="H923" i="3"/>
  <c r="G923" i="3"/>
  <c r="F923" i="3"/>
  <c r="E923" i="3"/>
  <c r="D923" i="3"/>
  <c r="C923" i="3"/>
  <c r="B923" i="3"/>
  <c r="A923" i="3"/>
  <c r="M922" i="3"/>
  <c r="K922" i="3"/>
  <c r="J922" i="3"/>
  <c r="I922" i="3"/>
  <c r="H922" i="3"/>
  <c r="G922" i="3"/>
  <c r="F922" i="3"/>
  <c r="E922" i="3"/>
  <c r="D922" i="3"/>
  <c r="C922" i="3"/>
  <c r="B922" i="3"/>
  <c r="A922" i="3"/>
  <c r="M921" i="3"/>
  <c r="K921" i="3"/>
  <c r="J921" i="3"/>
  <c r="I921" i="3"/>
  <c r="H921" i="3"/>
  <c r="G921" i="3"/>
  <c r="F921" i="3"/>
  <c r="E921" i="3"/>
  <c r="D921" i="3"/>
  <c r="C921" i="3"/>
  <c r="B921" i="3"/>
  <c r="A921" i="3"/>
  <c r="M920" i="3"/>
  <c r="K920" i="3"/>
  <c r="J920" i="3"/>
  <c r="I920" i="3"/>
  <c r="H920" i="3"/>
  <c r="G920" i="3"/>
  <c r="F920" i="3"/>
  <c r="E920" i="3"/>
  <c r="D920" i="3"/>
  <c r="C920" i="3"/>
  <c r="B920" i="3"/>
  <c r="A920" i="3"/>
  <c r="M919" i="3"/>
  <c r="K919" i="3"/>
  <c r="J919" i="3"/>
  <c r="I919" i="3"/>
  <c r="H919" i="3"/>
  <c r="G919" i="3"/>
  <c r="F919" i="3"/>
  <c r="E919" i="3"/>
  <c r="D919" i="3"/>
  <c r="C919" i="3"/>
  <c r="B919" i="3"/>
  <c r="A919" i="3"/>
  <c r="M918" i="3"/>
  <c r="K918" i="3"/>
  <c r="J918" i="3"/>
  <c r="I918" i="3"/>
  <c r="H918" i="3"/>
  <c r="G918" i="3"/>
  <c r="F918" i="3"/>
  <c r="E918" i="3"/>
  <c r="D918" i="3"/>
  <c r="C918" i="3"/>
  <c r="B918" i="3"/>
  <c r="A918" i="3"/>
  <c r="M917" i="3"/>
  <c r="K917" i="3"/>
  <c r="J917" i="3"/>
  <c r="I917" i="3"/>
  <c r="H917" i="3"/>
  <c r="G917" i="3"/>
  <c r="F917" i="3"/>
  <c r="E917" i="3"/>
  <c r="D917" i="3"/>
  <c r="C917" i="3"/>
  <c r="B917" i="3"/>
  <c r="A917" i="3"/>
  <c r="M916" i="3"/>
  <c r="K916" i="3"/>
  <c r="J916" i="3"/>
  <c r="I916" i="3"/>
  <c r="H916" i="3"/>
  <c r="G916" i="3"/>
  <c r="F916" i="3"/>
  <c r="E916" i="3"/>
  <c r="D916" i="3"/>
  <c r="C916" i="3"/>
  <c r="B916" i="3"/>
  <c r="A916" i="3"/>
  <c r="M915" i="3"/>
  <c r="K915" i="3"/>
  <c r="J915" i="3"/>
  <c r="I915" i="3"/>
  <c r="H915" i="3"/>
  <c r="G915" i="3"/>
  <c r="F915" i="3"/>
  <c r="E915" i="3"/>
  <c r="D915" i="3"/>
  <c r="C915" i="3"/>
  <c r="B915" i="3"/>
  <c r="A915" i="3"/>
  <c r="M914" i="3"/>
  <c r="K914" i="3"/>
  <c r="J914" i="3"/>
  <c r="I914" i="3"/>
  <c r="H914" i="3"/>
  <c r="G914" i="3"/>
  <c r="F914" i="3"/>
  <c r="E914" i="3"/>
  <c r="D914" i="3"/>
  <c r="C914" i="3"/>
  <c r="B914" i="3"/>
  <c r="A914" i="3"/>
  <c r="M913" i="3"/>
  <c r="K913" i="3"/>
  <c r="J913" i="3"/>
  <c r="I913" i="3"/>
  <c r="H913" i="3"/>
  <c r="G913" i="3"/>
  <c r="F913" i="3"/>
  <c r="E913" i="3"/>
  <c r="D913" i="3"/>
  <c r="C913" i="3"/>
  <c r="B913" i="3"/>
  <c r="A913" i="3"/>
  <c r="M912" i="3"/>
  <c r="K912" i="3"/>
  <c r="J912" i="3"/>
  <c r="I912" i="3"/>
  <c r="H912" i="3"/>
  <c r="G912" i="3"/>
  <c r="F912" i="3"/>
  <c r="E912" i="3"/>
  <c r="D912" i="3"/>
  <c r="C912" i="3"/>
  <c r="B912" i="3"/>
  <c r="A912" i="3"/>
  <c r="M911" i="3"/>
  <c r="K911" i="3"/>
  <c r="J911" i="3"/>
  <c r="I911" i="3"/>
  <c r="H911" i="3"/>
  <c r="G911" i="3"/>
  <c r="F911" i="3"/>
  <c r="E911" i="3"/>
  <c r="D911" i="3"/>
  <c r="C911" i="3"/>
  <c r="B911" i="3"/>
  <c r="A911" i="3"/>
  <c r="M910" i="3"/>
  <c r="K910" i="3"/>
  <c r="J910" i="3"/>
  <c r="I910" i="3"/>
  <c r="H910" i="3"/>
  <c r="G910" i="3"/>
  <c r="F910" i="3"/>
  <c r="E910" i="3"/>
  <c r="D910" i="3"/>
  <c r="C910" i="3"/>
  <c r="B910" i="3"/>
  <c r="A910" i="3"/>
  <c r="M909" i="3"/>
  <c r="K909" i="3"/>
  <c r="J909" i="3"/>
  <c r="I909" i="3"/>
  <c r="H909" i="3"/>
  <c r="G909" i="3"/>
  <c r="F909" i="3"/>
  <c r="E909" i="3"/>
  <c r="D909" i="3"/>
  <c r="C909" i="3"/>
  <c r="B909" i="3"/>
  <c r="A909" i="3"/>
  <c r="M908" i="3"/>
  <c r="K908" i="3"/>
  <c r="J908" i="3"/>
  <c r="I908" i="3"/>
  <c r="H908" i="3"/>
  <c r="G908" i="3"/>
  <c r="F908" i="3"/>
  <c r="E908" i="3"/>
  <c r="D908" i="3"/>
  <c r="C908" i="3"/>
  <c r="B908" i="3"/>
  <c r="A908" i="3"/>
  <c r="M907" i="3"/>
  <c r="K907" i="3"/>
  <c r="J907" i="3"/>
  <c r="I907" i="3"/>
  <c r="H907" i="3"/>
  <c r="G907" i="3"/>
  <c r="F907" i="3"/>
  <c r="E907" i="3"/>
  <c r="D907" i="3"/>
  <c r="C907" i="3"/>
  <c r="B907" i="3"/>
  <c r="A907" i="3"/>
  <c r="M906" i="3"/>
  <c r="K906" i="3"/>
  <c r="J906" i="3"/>
  <c r="I906" i="3"/>
  <c r="H906" i="3"/>
  <c r="G906" i="3"/>
  <c r="F906" i="3"/>
  <c r="E906" i="3"/>
  <c r="D906" i="3"/>
  <c r="C906" i="3"/>
  <c r="B906" i="3"/>
  <c r="A906" i="3"/>
  <c r="M905" i="3"/>
  <c r="K905" i="3"/>
  <c r="J905" i="3"/>
  <c r="I905" i="3"/>
  <c r="H905" i="3"/>
  <c r="G905" i="3"/>
  <c r="F905" i="3"/>
  <c r="E905" i="3"/>
  <c r="D905" i="3"/>
  <c r="C905" i="3"/>
  <c r="B905" i="3"/>
  <c r="A905" i="3"/>
  <c r="M904" i="3"/>
  <c r="K904" i="3"/>
  <c r="J904" i="3"/>
  <c r="I904" i="3"/>
  <c r="H904" i="3"/>
  <c r="G904" i="3"/>
  <c r="F904" i="3"/>
  <c r="E904" i="3"/>
  <c r="D904" i="3"/>
  <c r="C904" i="3"/>
  <c r="B904" i="3"/>
  <c r="A904" i="3"/>
  <c r="M903" i="3"/>
  <c r="K903" i="3"/>
  <c r="J903" i="3"/>
  <c r="I903" i="3"/>
  <c r="H903" i="3"/>
  <c r="G903" i="3"/>
  <c r="F903" i="3"/>
  <c r="E903" i="3"/>
  <c r="D903" i="3"/>
  <c r="C903" i="3"/>
  <c r="B903" i="3"/>
  <c r="A903" i="3"/>
  <c r="M902" i="3"/>
  <c r="K902" i="3"/>
  <c r="J902" i="3"/>
  <c r="I902" i="3"/>
  <c r="H902" i="3"/>
  <c r="G902" i="3"/>
  <c r="F902" i="3"/>
  <c r="E902" i="3"/>
  <c r="D902" i="3"/>
  <c r="C902" i="3"/>
  <c r="B902" i="3"/>
  <c r="A902" i="3"/>
  <c r="M901" i="3"/>
  <c r="K901" i="3"/>
  <c r="J901" i="3"/>
  <c r="I901" i="3"/>
  <c r="H901" i="3"/>
  <c r="G901" i="3"/>
  <c r="F901" i="3"/>
  <c r="E901" i="3"/>
  <c r="D901" i="3"/>
  <c r="C901" i="3"/>
  <c r="B901" i="3"/>
  <c r="A901" i="3"/>
  <c r="M900" i="3"/>
  <c r="K900" i="3"/>
  <c r="J900" i="3"/>
  <c r="I900" i="3"/>
  <c r="H900" i="3"/>
  <c r="G900" i="3"/>
  <c r="F900" i="3"/>
  <c r="E900" i="3"/>
  <c r="D900" i="3"/>
  <c r="C900" i="3"/>
  <c r="B900" i="3"/>
  <c r="A900" i="3"/>
  <c r="M899" i="3"/>
  <c r="K899" i="3"/>
  <c r="J899" i="3"/>
  <c r="I899" i="3"/>
  <c r="H899" i="3"/>
  <c r="G899" i="3"/>
  <c r="F899" i="3"/>
  <c r="E899" i="3"/>
  <c r="D899" i="3"/>
  <c r="C899" i="3"/>
  <c r="B899" i="3"/>
  <c r="A899" i="3"/>
  <c r="M898" i="3"/>
  <c r="K898" i="3"/>
  <c r="J898" i="3"/>
  <c r="I898" i="3"/>
  <c r="H898" i="3"/>
  <c r="G898" i="3"/>
  <c r="F898" i="3"/>
  <c r="E898" i="3"/>
  <c r="D898" i="3"/>
  <c r="C898" i="3"/>
  <c r="B898" i="3"/>
  <c r="A898" i="3"/>
  <c r="M897" i="3"/>
  <c r="K897" i="3"/>
  <c r="J897" i="3"/>
  <c r="I897" i="3"/>
  <c r="H897" i="3"/>
  <c r="G897" i="3"/>
  <c r="F897" i="3"/>
  <c r="E897" i="3"/>
  <c r="D897" i="3"/>
  <c r="C897" i="3"/>
  <c r="B897" i="3"/>
  <c r="A897" i="3"/>
  <c r="M896" i="3"/>
  <c r="K896" i="3"/>
  <c r="J896" i="3"/>
  <c r="I896" i="3"/>
  <c r="H896" i="3"/>
  <c r="G896" i="3"/>
  <c r="F896" i="3"/>
  <c r="E896" i="3"/>
  <c r="D896" i="3"/>
  <c r="C896" i="3"/>
  <c r="B896" i="3"/>
  <c r="A896" i="3"/>
  <c r="M895" i="3"/>
  <c r="K895" i="3"/>
  <c r="J895" i="3"/>
  <c r="I895" i="3"/>
  <c r="H895" i="3"/>
  <c r="G895" i="3"/>
  <c r="F895" i="3"/>
  <c r="E895" i="3"/>
  <c r="D895" i="3"/>
  <c r="C895" i="3"/>
  <c r="B895" i="3"/>
  <c r="A895" i="3"/>
  <c r="M894" i="3"/>
  <c r="K894" i="3"/>
  <c r="J894" i="3"/>
  <c r="I894" i="3"/>
  <c r="H894" i="3"/>
  <c r="G894" i="3"/>
  <c r="F894" i="3"/>
  <c r="E894" i="3"/>
  <c r="D894" i="3"/>
  <c r="C894" i="3"/>
  <c r="B894" i="3"/>
  <c r="A894" i="3"/>
  <c r="M893" i="3"/>
  <c r="K893" i="3"/>
  <c r="J893" i="3"/>
  <c r="I893" i="3"/>
  <c r="H893" i="3"/>
  <c r="G893" i="3"/>
  <c r="F893" i="3"/>
  <c r="E893" i="3"/>
  <c r="D893" i="3"/>
  <c r="C893" i="3"/>
  <c r="B893" i="3"/>
  <c r="A893" i="3"/>
  <c r="M892" i="3"/>
  <c r="K892" i="3"/>
  <c r="J892" i="3"/>
  <c r="I892" i="3"/>
  <c r="H892" i="3"/>
  <c r="G892" i="3"/>
  <c r="F892" i="3"/>
  <c r="E892" i="3"/>
  <c r="D892" i="3"/>
  <c r="C892" i="3"/>
  <c r="B892" i="3"/>
  <c r="A892" i="3"/>
  <c r="M891" i="3"/>
  <c r="K891" i="3"/>
  <c r="J891" i="3"/>
  <c r="I891" i="3"/>
  <c r="H891" i="3"/>
  <c r="G891" i="3"/>
  <c r="F891" i="3"/>
  <c r="E891" i="3"/>
  <c r="D891" i="3"/>
  <c r="C891" i="3"/>
  <c r="B891" i="3"/>
  <c r="A891" i="3"/>
  <c r="M890" i="3"/>
  <c r="K890" i="3"/>
  <c r="J890" i="3"/>
  <c r="I890" i="3"/>
  <c r="H890" i="3"/>
  <c r="G890" i="3"/>
  <c r="F890" i="3"/>
  <c r="E890" i="3"/>
  <c r="D890" i="3"/>
  <c r="C890" i="3"/>
  <c r="B890" i="3"/>
  <c r="A890" i="3"/>
  <c r="M889" i="3"/>
  <c r="K889" i="3"/>
  <c r="J889" i="3"/>
  <c r="I889" i="3"/>
  <c r="H889" i="3"/>
  <c r="G889" i="3"/>
  <c r="F889" i="3"/>
  <c r="E889" i="3"/>
  <c r="D889" i="3"/>
  <c r="C889" i="3"/>
  <c r="B889" i="3"/>
  <c r="A889" i="3"/>
  <c r="M888" i="3"/>
  <c r="K888" i="3"/>
  <c r="J888" i="3"/>
  <c r="I888" i="3"/>
  <c r="H888" i="3"/>
  <c r="G888" i="3"/>
  <c r="F888" i="3"/>
  <c r="E888" i="3"/>
  <c r="D888" i="3"/>
  <c r="C888" i="3"/>
  <c r="B888" i="3"/>
  <c r="A888" i="3"/>
  <c r="M887" i="3"/>
  <c r="K887" i="3"/>
  <c r="J887" i="3"/>
  <c r="I887" i="3"/>
  <c r="H887" i="3"/>
  <c r="G887" i="3"/>
  <c r="F887" i="3"/>
  <c r="E887" i="3"/>
  <c r="D887" i="3"/>
  <c r="C887" i="3"/>
  <c r="B887" i="3"/>
  <c r="A887" i="3"/>
  <c r="M886" i="3"/>
  <c r="K886" i="3"/>
  <c r="J886" i="3"/>
  <c r="I886" i="3"/>
  <c r="H886" i="3"/>
  <c r="G886" i="3"/>
  <c r="F886" i="3"/>
  <c r="E886" i="3"/>
  <c r="D886" i="3"/>
  <c r="C886" i="3"/>
  <c r="B886" i="3"/>
  <c r="A886" i="3"/>
  <c r="M885" i="3"/>
  <c r="K885" i="3"/>
  <c r="J885" i="3"/>
  <c r="I885" i="3"/>
  <c r="H885" i="3"/>
  <c r="G885" i="3"/>
  <c r="F885" i="3"/>
  <c r="E885" i="3"/>
  <c r="D885" i="3"/>
  <c r="C885" i="3"/>
  <c r="B885" i="3"/>
  <c r="A885" i="3"/>
  <c r="M884" i="3"/>
  <c r="K884" i="3"/>
  <c r="J884" i="3"/>
  <c r="I884" i="3"/>
  <c r="H884" i="3"/>
  <c r="G884" i="3"/>
  <c r="F884" i="3"/>
  <c r="E884" i="3"/>
  <c r="D884" i="3"/>
  <c r="C884" i="3"/>
  <c r="B884" i="3"/>
  <c r="A884" i="3"/>
  <c r="M883" i="3"/>
  <c r="K883" i="3"/>
  <c r="J883" i="3"/>
  <c r="I883" i="3"/>
  <c r="H883" i="3"/>
  <c r="G883" i="3"/>
  <c r="F883" i="3"/>
  <c r="E883" i="3"/>
  <c r="D883" i="3"/>
  <c r="C883" i="3"/>
  <c r="B883" i="3"/>
  <c r="A883" i="3"/>
  <c r="M882" i="3"/>
  <c r="K882" i="3"/>
  <c r="J882" i="3"/>
  <c r="I882" i="3"/>
  <c r="H882" i="3"/>
  <c r="G882" i="3"/>
  <c r="F882" i="3"/>
  <c r="E882" i="3"/>
  <c r="D882" i="3"/>
  <c r="C882" i="3"/>
  <c r="B882" i="3"/>
  <c r="A882" i="3"/>
  <c r="M881" i="3"/>
  <c r="K881" i="3"/>
  <c r="J881" i="3"/>
  <c r="I881" i="3"/>
  <c r="H881" i="3"/>
  <c r="G881" i="3"/>
  <c r="F881" i="3"/>
  <c r="E881" i="3"/>
  <c r="D881" i="3"/>
  <c r="C881" i="3"/>
  <c r="B881" i="3"/>
  <c r="A881" i="3"/>
  <c r="M880" i="3"/>
  <c r="K880" i="3"/>
  <c r="J880" i="3"/>
  <c r="I880" i="3"/>
  <c r="H880" i="3"/>
  <c r="G880" i="3"/>
  <c r="F880" i="3"/>
  <c r="E880" i="3"/>
  <c r="D880" i="3"/>
  <c r="C880" i="3"/>
  <c r="B880" i="3"/>
  <c r="A880" i="3"/>
  <c r="M879" i="3"/>
  <c r="K879" i="3"/>
  <c r="J879" i="3"/>
  <c r="I879" i="3"/>
  <c r="H879" i="3"/>
  <c r="G879" i="3"/>
  <c r="F879" i="3"/>
  <c r="E879" i="3"/>
  <c r="D879" i="3"/>
  <c r="C879" i="3"/>
  <c r="B879" i="3"/>
  <c r="A879" i="3"/>
  <c r="M878" i="3"/>
  <c r="K878" i="3"/>
  <c r="J878" i="3"/>
  <c r="I878" i="3"/>
  <c r="H878" i="3"/>
  <c r="G878" i="3"/>
  <c r="F878" i="3"/>
  <c r="E878" i="3"/>
  <c r="D878" i="3"/>
  <c r="C878" i="3"/>
  <c r="B878" i="3"/>
  <c r="A878" i="3"/>
  <c r="M877" i="3"/>
  <c r="K877" i="3"/>
  <c r="J877" i="3"/>
  <c r="I877" i="3"/>
  <c r="H877" i="3"/>
  <c r="G877" i="3"/>
  <c r="F877" i="3"/>
  <c r="E877" i="3"/>
  <c r="D877" i="3"/>
  <c r="C877" i="3"/>
  <c r="B877" i="3"/>
  <c r="A877" i="3"/>
  <c r="M876" i="3"/>
  <c r="K876" i="3"/>
  <c r="J876" i="3"/>
  <c r="I876" i="3"/>
  <c r="H876" i="3"/>
  <c r="G876" i="3"/>
  <c r="F876" i="3"/>
  <c r="E876" i="3"/>
  <c r="D876" i="3"/>
  <c r="C876" i="3"/>
  <c r="B876" i="3"/>
  <c r="A876" i="3"/>
  <c r="M875" i="3"/>
  <c r="K875" i="3"/>
  <c r="J875" i="3"/>
  <c r="I875" i="3"/>
  <c r="H875" i="3"/>
  <c r="G875" i="3"/>
  <c r="F875" i="3"/>
  <c r="E875" i="3"/>
  <c r="D875" i="3"/>
  <c r="C875" i="3"/>
  <c r="B875" i="3"/>
  <c r="A875" i="3"/>
  <c r="M874" i="3"/>
  <c r="K874" i="3"/>
  <c r="J874" i="3"/>
  <c r="I874" i="3"/>
  <c r="H874" i="3"/>
  <c r="G874" i="3"/>
  <c r="F874" i="3"/>
  <c r="E874" i="3"/>
  <c r="D874" i="3"/>
  <c r="C874" i="3"/>
  <c r="B874" i="3"/>
  <c r="A874" i="3"/>
  <c r="M873" i="3"/>
  <c r="K873" i="3"/>
  <c r="J873" i="3"/>
  <c r="I873" i="3"/>
  <c r="H873" i="3"/>
  <c r="G873" i="3"/>
  <c r="F873" i="3"/>
  <c r="E873" i="3"/>
  <c r="D873" i="3"/>
  <c r="C873" i="3"/>
  <c r="B873" i="3"/>
  <c r="A873" i="3"/>
  <c r="M872" i="3"/>
  <c r="K872" i="3"/>
  <c r="J872" i="3"/>
  <c r="I872" i="3"/>
  <c r="H872" i="3"/>
  <c r="G872" i="3"/>
  <c r="F872" i="3"/>
  <c r="E872" i="3"/>
  <c r="D872" i="3"/>
  <c r="C872" i="3"/>
  <c r="B872" i="3"/>
  <c r="A872" i="3"/>
  <c r="M871" i="3"/>
  <c r="K871" i="3"/>
  <c r="J871" i="3"/>
  <c r="I871" i="3"/>
  <c r="H871" i="3"/>
  <c r="G871" i="3"/>
  <c r="F871" i="3"/>
  <c r="E871" i="3"/>
  <c r="D871" i="3"/>
  <c r="C871" i="3"/>
  <c r="B871" i="3"/>
  <c r="A871" i="3"/>
  <c r="M870" i="3"/>
  <c r="K870" i="3"/>
  <c r="J870" i="3"/>
  <c r="I870" i="3"/>
  <c r="H870" i="3"/>
  <c r="G870" i="3"/>
  <c r="F870" i="3"/>
  <c r="E870" i="3"/>
  <c r="D870" i="3"/>
  <c r="C870" i="3"/>
  <c r="B870" i="3"/>
  <c r="A870" i="3"/>
  <c r="M869" i="3"/>
  <c r="K869" i="3"/>
  <c r="J869" i="3"/>
  <c r="I869" i="3"/>
  <c r="H869" i="3"/>
  <c r="G869" i="3"/>
  <c r="F869" i="3"/>
  <c r="E869" i="3"/>
  <c r="D869" i="3"/>
  <c r="C869" i="3"/>
  <c r="B869" i="3"/>
  <c r="A869" i="3"/>
  <c r="M868" i="3"/>
  <c r="K868" i="3"/>
  <c r="J868" i="3"/>
  <c r="I868" i="3"/>
  <c r="H868" i="3"/>
  <c r="G868" i="3"/>
  <c r="F868" i="3"/>
  <c r="E868" i="3"/>
  <c r="D868" i="3"/>
  <c r="C868" i="3"/>
  <c r="B868" i="3"/>
  <c r="A868" i="3"/>
  <c r="M867" i="3"/>
  <c r="K867" i="3"/>
  <c r="J867" i="3"/>
  <c r="I867" i="3"/>
  <c r="H867" i="3"/>
  <c r="G867" i="3"/>
  <c r="F867" i="3"/>
  <c r="E867" i="3"/>
  <c r="D867" i="3"/>
  <c r="C867" i="3"/>
  <c r="B867" i="3"/>
  <c r="A867" i="3"/>
  <c r="M866" i="3"/>
  <c r="K866" i="3"/>
  <c r="J866" i="3"/>
  <c r="I866" i="3"/>
  <c r="H866" i="3"/>
  <c r="G866" i="3"/>
  <c r="F866" i="3"/>
  <c r="E866" i="3"/>
  <c r="D866" i="3"/>
  <c r="C866" i="3"/>
  <c r="B866" i="3"/>
  <c r="A866" i="3"/>
  <c r="M865" i="3"/>
  <c r="K865" i="3"/>
  <c r="J865" i="3"/>
  <c r="I865" i="3"/>
  <c r="H865" i="3"/>
  <c r="G865" i="3"/>
  <c r="F865" i="3"/>
  <c r="E865" i="3"/>
  <c r="D865" i="3"/>
  <c r="C865" i="3"/>
  <c r="B865" i="3"/>
  <c r="A865" i="3"/>
  <c r="M864" i="3"/>
  <c r="K864" i="3"/>
  <c r="J864" i="3"/>
  <c r="I864" i="3"/>
  <c r="H864" i="3"/>
  <c r="G864" i="3"/>
  <c r="F864" i="3"/>
  <c r="E864" i="3"/>
  <c r="D864" i="3"/>
  <c r="C864" i="3"/>
  <c r="B864" i="3"/>
  <c r="A864" i="3"/>
  <c r="M863" i="3"/>
  <c r="K863" i="3"/>
  <c r="J863" i="3"/>
  <c r="I863" i="3"/>
  <c r="H863" i="3"/>
  <c r="G863" i="3"/>
  <c r="F863" i="3"/>
  <c r="E863" i="3"/>
  <c r="D863" i="3"/>
  <c r="C863" i="3"/>
  <c r="B863" i="3"/>
  <c r="A863" i="3"/>
  <c r="M862" i="3"/>
  <c r="K862" i="3"/>
  <c r="J862" i="3"/>
  <c r="I862" i="3"/>
  <c r="H862" i="3"/>
  <c r="G862" i="3"/>
  <c r="F862" i="3"/>
  <c r="E862" i="3"/>
  <c r="D862" i="3"/>
  <c r="C862" i="3"/>
  <c r="B862" i="3"/>
  <c r="A862" i="3"/>
  <c r="M861" i="3"/>
  <c r="K861" i="3"/>
  <c r="J861" i="3"/>
  <c r="I861" i="3"/>
  <c r="H861" i="3"/>
  <c r="G861" i="3"/>
  <c r="F861" i="3"/>
  <c r="E861" i="3"/>
  <c r="D861" i="3"/>
  <c r="C861" i="3"/>
  <c r="B861" i="3"/>
  <c r="A861" i="3"/>
  <c r="M860" i="3"/>
  <c r="K860" i="3"/>
  <c r="J860" i="3"/>
  <c r="I860" i="3"/>
  <c r="H860" i="3"/>
  <c r="G860" i="3"/>
  <c r="F860" i="3"/>
  <c r="E860" i="3"/>
  <c r="D860" i="3"/>
  <c r="C860" i="3"/>
  <c r="B860" i="3"/>
  <c r="A860" i="3"/>
  <c r="M859" i="3"/>
  <c r="K859" i="3"/>
  <c r="J859" i="3"/>
  <c r="I859" i="3"/>
  <c r="H859" i="3"/>
  <c r="G859" i="3"/>
  <c r="F859" i="3"/>
  <c r="E859" i="3"/>
  <c r="D859" i="3"/>
  <c r="C859" i="3"/>
  <c r="B859" i="3"/>
  <c r="A859" i="3"/>
  <c r="M858" i="3"/>
  <c r="K858" i="3"/>
  <c r="J858" i="3"/>
  <c r="I858" i="3"/>
  <c r="H858" i="3"/>
  <c r="G858" i="3"/>
  <c r="F858" i="3"/>
  <c r="E858" i="3"/>
  <c r="D858" i="3"/>
  <c r="C858" i="3"/>
  <c r="B858" i="3"/>
  <c r="A858" i="3"/>
  <c r="M857" i="3"/>
  <c r="K857" i="3"/>
  <c r="J857" i="3"/>
  <c r="I857" i="3"/>
  <c r="H857" i="3"/>
  <c r="G857" i="3"/>
  <c r="F857" i="3"/>
  <c r="E857" i="3"/>
  <c r="D857" i="3"/>
  <c r="C857" i="3"/>
  <c r="B857" i="3"/>
  <c r="A857" i="3"/>
  <c r="M856" i="3"/>
  <c r="K856" i="3"/>
  <c r="J856" i="3"/>
  <c r="I856" i="3"/>
  <c r="H856" i="3"/>
  <c r="G856" i="3"/>
  <c r="F856" i="3"/>
  <c r="E856" i="3"/>
  <c r="D856" i="3"/>
  <c r="C856" i="3"/>
  <c r="B856" i="3"/>
  <c r="A856" i="3"/>
  <c r="M855" i="3"/>
  <c r="K855" i="3"/>
  <c r="J855" i="3"/>
  <c r="I855" i="3"/>
  <c r="H855" i="3"/>
  <c r="G855" i="3"/>
  <c r="F855" i="3"/>
  <c r="E855" i="3"/>
  <c r="D855" i="3"/>
  <c r="C855" i="3"/>
  <c r="B855" i="3"/>
  <c r="A855" i="3"/>
  <c r="M854" i="3"/>
  <c r="K854" i="3"/>
  <c r="J854" i="3"/>
  <c r="I854" i="3"/>
  <c r="H854" i="3"/>
  <c r="G854" i="3"/>
  <c r="F854" i="3"/>
  <c r="E854" i="3"/>
  <c r="D854" i="3"/>
  <c r="C854" i="3"/>
  <c r="B854" i="3"/>
  <c r="A854" i="3"/>
  <c r="M853" i="3"/>
  <c r="K853" i="3"/>
  <c r="J853" i="3"/>
  <c r="I853" i="3"/>
  <c r="H853" i="3"/>
  <c r="G853" i="3"/>
  <c r="F853" i="3"/>
  <c r="E853" i="3"/>
  <c r="D853" i="3"/>
  <c r="C853" i="3"/>
  <c r="B853" i="3"/>
  <c r="A853" i="3"/>
  <c r="M852" i="3"/>
  <c r="K852" i="3"/>
  <c r="J852" i="3"/>
  <c r="I852" i="3"/>
  <c r="H852" i="3"/>
  <c r="G852" i="3"/>
  <c r="F852" i="3"/>
  <c r="E852" i="3"/>
  <c r="D852" i="3"/>
  <c r="C852" i="3"/>
  <c r="B852" i="3"/>
  <c r="A852" i="3"/>
  <c r="M851" i="3"/>
  <c r="K851" i="3"/>
  <c r="J851" i="3"/>
  <c r="I851" i="3"/>
  <c r="H851" i="3"/>
  <c r="G851" i="3"/>
  <c r="F851" i="3"/>
  <c r="E851" i="3"/>
  <c r="D851" i="3"/>
  <c r="C851" i="3"/>
  <c r="B851" i="3"/>
  <c r="A851" i="3"/>
  <c r="M850" i="3"/>
  <c r="K850" i="3"/>
  <c r="J850" i="3"/>
  <c r="I850" i="3"/>
  <c r="H850" i="3"/>
  <c r="G850" i="3"/>
  <c r="F850" i="3"/>
  <c r="E850" i="3"/>
  <c r="D850" i="3"/>
  <c r="C850" i="3"/>
  <c r="B850" i="3"/>
  <c r="A850" i="3"/>
  <c r="M849" i="3"/>
  <c r="K849" i="3"/>
  <c r="J849" i="3"/>
  <c r="I849" i="3"/>
  <c r="H849" i="3"/>
  <c r="G849" i="3"/>
  <c r="F849" i="3"/>
  <c r="E849" i="3"/>
  <c r="D849" i="3"/>
  <c r="C849" i="3"/>
  <c r="B849" i="3"/>
  <c r="A849" i="3"/>
  <c r="M848" i="3"/>
  <c r="K848" i="3"/>
  <c r="J848" i="3"/>
  <c r="I848" i="3"/>
  <c r="H848" i="3"/>
  <c r="G848" i="3"/>
  <c r="F848" i="3"/>
  <c r="E848" i="3"/>
  <c r="D848" i="3"/>
  <c r="C848" i="3"/>
  <c r="B848" i="3"/>
  <c r="A848" i="3"/>
  <c r="M847" i="3"/>
  <c r="K847" i="3"/>
  <c r="J847" i="3"/>
  <c r="I847" i="3"/>
  <c r="H847" i="3"/>
  <c r="G847" i="3"/>
  <c r="F847" i="3"/>
  <c r="E847" i="3"/>
  <c r="D847" i="3"/>
  <c r="C847" i="3"/>
  <c r="B847" i="3"/>
  <c r="A847" i="3"/>
  <c r="M846" i="3"/>
  <c r="K846" i="3"/>
  <c r="J846" i="3"/>
  <c r="I846" i="3"/>
  <c r="H846" i="3"/>
  <c r="G846" i="3"/>
  <c r="F846" i="3"/>
  <c r="E846" i="3"/>
  <c r="D846" i="3"/>
  <c r="C846" i="3"/>
  <c r="B846" i="3"/>
  <c r="A846" i="3"/>
  <c r="M845" i="3"/>
  <c r="K845" i="3"/>
  <c r="J845" i="3"/>
  <c r="I845" i="3"/>
  <c r="H845" i="3"/>
  <c r="G845" i="3"/>
  <c r="F845" i="3"/>
  <c r="E845" i="3"/>
  <c r="D845" i="3"/>
  <c r="C845" i="3"/>
  <c r="B845" i="3"/>
  <c r="A845" i="3"/>
  <c r="M844" i="3"/>
  <c r="K844" i="3"/>
  <c r="J844" i="3"/>
  <c r="I844" i="3"/>
  <c r="H844" i="3"/>
  <c r="G844" i="3"/>
  <c r="F844" i="3"/>
  <c r="E844" i="3"/>
  <c r="D844" i="3"/>
  <c r="C844" i="3"/>
  <c r="B844" i="3"/>
  <c r="A844" i="3"/>
  <c r="M843" i="3"/>
  <c r="K843" i="3"/>
  <c r="J843" i="3"/>
  <c r="I843" i="3"/>
  <c r="H843" i="3"/>
  <c r="G843" i="3"/>
  <c r="F843" i="3"/>
  <c r="E843" i="3"/>
  <c r="D843" i="3"/>
  <c r="C843" i="3"/>
  <c r="B843" i="3"/>
  <c r="A843" i="3"/>
  <c r="M842" i="3"/>
  <c r="K842" i="3"/>
  <c r="J842" i="3"/>
  <c r="I842" i="3"/>
  <c r="H842" i="3"/>
  <c r="G842" i="3"/>
  <c r="F842" i="3"/>
  <c r="E842" i="3"/>
  <c r="D842" i="3"/>
  <c r="C842" i="3"/>
  <c r="B842" i="3"/>
  <c r="A842" i="3"/>
  <c r="M841" i="3"/>
  <c r="K841" i="3"/>
  <c r="J841" i="3"/>
  <c r="I841" i="3"/>
  <c r="H841" i="3"/>
  <c r="G841" i="3"/>
  <c r="F841" i="3"/>
  <c r="E841" i="3"/>
  <c r="D841" i="3"/>
  <c r="C841" i="3"/>
  <c r="B841" i="3"/>
  <c r="A841" i="3"/>
  <c r="M840" i="3"/>
  <c r="K840" i="3"/>
  <c r="J840" i="3"/>
  <c r="I840" i="3"/>
  <c r="H840" i="3"/>
  <c r="G840" i="3"/>
  <c r="F840" i="3"/>
  <c r="E840" i="3"/>
  <c r="D840" i="3"/>
  <c r="C840" i="3"/>
  <c r="B840" i="3"/>
  <c r="A840" i="3"/>
  <c r="M839" i="3"/>
  <c r="K839" i="3"/>
  <c r="J839" i="3"/>
  <c r="I839" i="3"/>
  <c r="H839" i="3"/>
  <c r="G839" i="3"/>
  <c r="F839" i="3"/>
  <c r="E839" i="3"/>
  <c r="D839" i="3"/>
  <c r="C839" i="3"/>
  <c r="B839" i="3"/>
  <c r="A839" i="3"/>
  <c r="M838" i="3"/>
  <c r="K838" i="3"/>
  <c r="J838" i="3"/>
  <c r="I838" i="3"/>
  <c r="H838" i="3"/>
  <c r="G838" i="3"/>
  <c r="F838" i="3"/>
  <c r="E838" i="3"/>
  <c r="D838" i="3"/>
  <c r="C838" i="3"/>
  <c r="B838" i="3"/>
  <c r="A838" i="3"/>
  <c r="M837" i="3"/>
  <c r="K837" i="3"/>
  <c r="J837" i="3"/>
  <c r="I837" i="3"/>
  <c r="H837" i="3"/>
  <c r="G837" i="3"/>
  <c r="F837" i="3"/>
  <c r="E837" i="3"/>
  <c r="D837" i="3"/>
  <c r="C837" i="3"/>
  <c r="B837" i="3"/>
  <c r="A837" i="3"/>
  <c r="M836" i="3"/>
  <c r="K836" i="3"/>
  <c r="J836" i="3"/>
  <c r="I836" i="3"/>
  <c r="H836" i="3"/>
  <c r="G836" i="3"/>
  <c r="F836" i="3"/>
  <c r="E836" i="3"/>
  <c r="D836" i="3"/>
  <c r="C836" i="3"/>
  <c r="B836" i="3"/>
  <c r="A836" i="3"/>
  <c r="M835" i="3"/>
  <c r="K835" i="3"/>
  <c r="J835" i="3"/>
  <c r="I835" i="3"/>
  <c r="H835" i="3"/>
  <c r="G835" i="3"/>
  <c r="F835" i="3"/>
  <c r="E835" i="3"/>
  <c r="D835" i="3"/>
  <c r="C835" i="3"/>
  <c r="B835" i="3"/>
  <c r="A835" i="3"/>
  <c r="M834" i="3"/>
  <c r="K834" i="3"/>
  <c r="J834" i="3"/>
  <c r="I834" i="3"/>
  <c r="H834" i="3"/>
  <c r="G834" i="3"/>
  <c r="F834" i="3"/>
  <c r="E834" i="3"/>
  <c r="D834" i="3"/>
  <c r="C834" i="3"/>
  <c r="B834" i="3"/>
  <c r="A834" i="3"/>
  <c r="M833" i="3"/>
  <c r="K833" i="3"/>
  <c r="J833" i="3"/>
  <c r="I833" i="3"/>
  <c r="H833" i="3"/>
  <c r="G833" i="3"/>
  <c r="F833" i="3"/>
  <c r="E833" i="3"/>
  <c r="D833" i="3"/>
  <c r="C833" i="3"/>
  <c r="B833" i="3"/>
  <c r="A833" i="3"/>
  <c r="M832" i="3"/>
  <c r="K832" i="3"/>
  <c r="J832" i="3"/>
  <c r="I832" i="3"/>
  <c r="H832" i="3"/>
  <c r="G832" i="3"/>
  <c r="F832" i="3"/>
  <c r="E832" i="3"/>
  <c r="D832" i="3"/>
  <c r="C832" i="3"/>
  <c r="B832" i="3"/>
  <c r="A832" i="3"/>
  <c r="M831" i="3"/>
  <c r="K831" i="3"/>
  <c r="J831" i="3"/>
  <c r="I831" i="3"/>
  <c r="H831" i="3"/>
  <c r="G831" i="3"/>
  <c r="F831" i="3"/>
  <c r="E831" i="3"/>
  <c r="D831" i="3"/>
  <c r="C831" i="3"/>
  <c r="B831" i="3"/>
  <c r="A831" i="3"/>
  <c r="M830" i="3"/>
  <c r="K830" i="3"/>
  <c r="J830" i="3"/>
  <c r="I830" i="3"/>
  <c r="H830" i="3"/>
  <c r="G830" i="3"/>
  <c r="F830" i="3"/>
  <c r="E830" i="3"/>
  <c r="D830" i="3"/>
  <c r="C830" i="3"/>
  <c r="B830" i="3"/>
  <c r="A830" i="3"/>
  <c r="M829" i="3"/>
  <c r="K829" i="3"/>
  <c r="J829" i="3"/>
  <c r="I829" i="3"/>
  <c r="H829" i="3"/>
  <c r="G829" i="3"/>
  <c r="F829" i="3"/>
  <c r="E829" i="3"/>
  <c r="D829" i="3"/>
  <c r="C829" i="3"/>
  <c r="B829" i="3"/>
  <c r="A829" i="3"/>
  <c r="M828" i="3"/>
  <c r="K828" i="3"/>
  <c r="J828" i="3"/>
  <c r="I828" i="3"/>
  <c r="H828" i="3"/>
  <c r="G828" i="3"/>
  <c r="F828" i="3"/>
  <c r="E828" i="3"/>
  <c r="D828" i="3"/>
  <c r="C828" i="3"/>
  <c r="B828" i="3"/>
  <c r="A828" i="3"/>
  <c r="M827" i="3"/>
  <c r="K827" i="3"/>
  <c r="J827" i="3"/>
  <c r="I827" i="3"/>
  <c r="H827" i="3"/>
  <c r="G827" i="3"/>
  <c r="F827" i="3"/>
  <c r="E827" i="3"/>
  <c r="D827" i="3"/>
  <c r="C827" i="3"/>
  <c r="B827" i="3"/>
  <c r="A827" i="3"/>
  <c r="M826" i="3"/>
  <c r="K826" i="3"/>
  <c r="J826" i="3"/>
  <c r="I826" i="3"/>
  <c r="H826" i="3"/>
  <c r="G826" i="3"/>
  <c r="F826" i="3"/>
  <c r="E826" i="3"/>
  <c r="D826" i="3"/>
  <c r="C826" i="3"/>
  <c r="B826" i="3"/>
  <c r="A826" i="3"/>
  <c r="M825" i="3"/>
  <c r="K825" i="3"/>
  <c r="J825" i="3"/>
  <c r="I825" i="3"/>
  <c r="H825" i="3"/>
  <c r="G825" i="3"/>
  <c r="F825" i="3"/>
  <c r="E825" i="3"/>
  <c r="D825" i="3"/>
  <c r="C825" i="3"/>
  <c r="B825" i="3"/>
  <c r="A825" i="3"/>
  <c r="M824" i="3"/>
  <c r="K824" i="3"/>
  <c r="J824" i="3"/>
  <c r="I824" i="3"/>
  <c r="H824" i="3"/>
  <c r="G824" i="3"/>
  <c r="F824" i="3"/>
  <c r="E824" i="3"/>
  <c r="D824" i="3"/>
  <c r="C824" i="3"/>
  <c r="B824" i="3"/>
  <c r="A824" i="3"/>
  <c r="M823" i="3"/>
  <c r="K823" i="3"/>
  <c r="J823" i="3"/>
  <c r="I823" i="3"/>
  <c r="H823" i="3"/>
  <c r="G823" i="3"/>
  <c r="F823" i="3"/>
  <c r="E823" i="3"/>
  <c r="D823" i="3"/>
  <c r="C823" i="3"/>
  <c r="B823" i="3"/>
  <c r="A823" i="3"/>
  <c r="M822" i="3"/>
  <c r="K822" i="3"/>
  <c r="J822" i="3"/>
  <c r="I822" i="3"/>
  <c r="H822" i="3"/>
  <c r="G822" i="3"/>
  <c r="F822" i="3"/>
  <c r="E822" i="3"/>
  <c r="D822" i="3"/>
  <c r="C822" i="3"/>
  <c r="B822" i="3"/>
  <c r="A822" i="3"/>
  <c r="M821" i="3"/>
  <c r="K821" i="3"/>
  <c r="J821" i="3"/>
  <c r="I821" i="3"/>
  <c r="H821" i="3"/>
  <c r="G821" i="3"/>
  <c r="F821" i="3"/>
  <c r="E821" i="3"/>
  <c r="D821" i="3"/>
  <c r="C821" i="3"/>
  <c r="B821" i="3"/>
  <c r="A821" i="3"/>
  <c r="M820" i="3"/>
  <c r="K820" i="3"/>
  <c r="J820" i="3"/>
  <c r="I820" i="3"/>
  <c r="H820" i="3"/>
  <c r="G820" i="3"/>
  <c r="F820" i="3"/>
  <c r="E820" i="3"/>
  <c r="D820" i="3"/>
  <c r="C820" i="3"/>
  <c r="B820" i="3"/>
  <c r="A820" i="3"/>
  <c r="M819" i="3"/>
  <c r="K819" i="3"/>
  <c r="J819" i="3"/>
  <c r="I819" i="3"/>
  <c r="H819" i="3"/>
  <c r="G819" i="3"/>
  <c r="F819" i="3"/>
  <c r="E819" i="3"/>
  <c r="D819" i="3"/>
  <c r="C819" i="3"/>
  <c r="B819" i="3"/>
  <c r="A819" i="3"/>
  <c r="M818" i="3"/>
  <c r="K818" i="3"/>
  <c r="J818" i="3"/>
  <c r="I818" i="3"/>
  <c r="H818" i="3"/>
  <c r="G818" i="3"/>
  <c r="F818" i="3"/>
  <c r="E818" i="3"/>
  <c r="D818" i="3"/>
  <c r="C818" i="3"/>
  <c r="B818" i="3"/>
  <c r="A818" i="3"/>
  <c r="M817" i="3"/>
  <c r="K817" i="3"/>
  <c r="J817" i="3"/>
  <c r="I817" i="3"/>
  <c r="H817" i="3"/>
  <c r="G817" i="3"/>
  <c r="F817" i="3"/>
  <c r="E817" i="3"/>
  <c r="D817" i="3"/>
  <c r="C817" i="3"/>
  <c r="B817" i="3"/>
  <c r="A817" i="3"/>
  <c r="M816" i="3"/>
  <c r="K816" i="3"/>
  <c r="J816" i="3"/>
  <c r="I816" i="3"/>
  <c r="H816" i="3"/>
  <c r="G816" i="3"/>
  <c r="F816" i="3"/>
  <c r="E816" i="3"/>
  <c r="D816" i="3"/>
  <c r="C816" i="3"/>
  <c r="B816" i="3"/>
  <c r="A816" i="3"/>
  <c r="M815" i="3"/>
  <c r="K815" i="3"/>
  <c r="J815" i="3"/>
  <c r="I815" i="3"/>
  <c r="H815" i="3"/>
  <c r="G815" i="3"/>
  <c r="F815" i="3"/>
  <c r="E815" i="3"/>
  <c r="D815" i="3"/>
  <c r="C815" i="3"/>
  <c r="B815" i="3"/>
  <c r="A815" i="3"/>
  <c r="M814" i="3"/>
  <c r="K814" i="3"/>
  <c r="J814" i="3"/>
  <c r="I814" i="3"/>
  <c r="H814" i="3"/>
  <c r="G814" i="3"/>
  <c r="F814" i="3"/>
  <c r="E814" i="3"/>
  <c r="D814" i="3"/>
  <c r="C814" i="3"/>
  <c r="B814" i="3"/>
  <c r="A814" i="3"/>
  <c r="M813" i="3"/>
  <c r="K813" i="3"/>
  <c r="J813" i="3"/>
  <c r="I813" i="3"/>
  <c r="H813" i="3"/>
  <c r="G813" i="3"/>
  <c r="F813" i="3"/>
  <c r="E813" i="3"/>
  <c r="D813" i="3"/>
  <c r="C813" i="3"/>
  <c r="B813" i="3"/>
  <c r="A813" i="3"/>
  <c r="M812" i="3"/>
  <c r="K812" i="3"/>
  <c r="J812" i="3"/>
  <c r="I812" i="3"/>
  <c r="H812" i="3"/>
  <c r="G812" i="3"/>
  <c r="F812" i="3"/>
  <c r="E812" i="3"/>
  <c r="D812" i="3"/>
  <c r="C812" i="3"/>
  <c r="B812" i="3"/>
  <c r="A812" i="3"/>
  <c r="M811" i="3"/>
  <c r="K811" i="3"/>
  <c r="J811" i="3"/>
  <c r="I811" i="3"/>
  <c r="H811" i="3"/>
  <c r="G811" i="3"/>
  <c r="F811" i="3"/>
  <c r="E811" i="3"/>
  <c r="D811" i="3"/>
  <c r="C811" i="3"/>
  <c r="B811" i="3"/>
  <c r="A811" i="3"/>
  <c r="M810" i="3"/>
  <c r="K810" i="3"/>
  <c r="J810" i="3"/>
  <c r="I810" i="3"/>
  <c r="H810" i="3"/>
  <c r="G810" i="3"/>
  <c r="F810" i="3"/>
  <c r="E810" i="3"/>
  <c r="D810" i="3"/>
  <c r="C810" i="3"/>
  <c r="B810" i="3"/>
  <c r="A810" i="3"/>
  <c r="M809" i="3"/>
  <c r="K809" i="3"/>
  <c r="J809" i="3"/>
  <c r="I809" i="3"/>
  <c r="H809" i="3"/>
  <c r="G809" i="3"/>
  <c r="F809" i="3"/>
  <c r="E809" i="3"/>
  <c r="D809" i="3"/>
  <c r="C809" i="3"/>
  <c r="B809" i="3"/>
  <c r="A809" i="3"/>
  <c r="M808" i="3"/>
  <c r="K808" i="3"/>
  <c r="J808" i="3"/>
  <c r="I808" i="3"/>
  <c r="H808" i="3"/>
  <c r="G808" i="3"/>
  <c r="F808" i="3"/>
  <c r="E808" i="3"/>
  <c r="D808" i="3"/>
  <c r="C808" i="3"/>
  <c r="B808" i="3"/>
  <c r="A808" i="3"/>
  <c r="M807" i="3"/>
  <c r="K807" i="3"/>
  <c r="J807" i="3"/>
  <c r="I807" i="3"/>
  <c r="H807" i="3"/>
  <c r="G807" i="3"/>
  <c r="F807" i="3"/>
  <c r="E807" i="3"/>
  <c r="D807" i="3"/>
  <c r="C807" i="3"/>
  <c r="B807" i="3"/>
  <c r="A807" i="3"/>
  <c r="M806" i="3"/>
  <c r="K806" i="3"/>
  <c r="J806" i="3"/>
  <c r="I806" i="3"/>
  <c r="H806" i="3"/>
  <c r="G806" i="3"/>
  <c r="F806" i="3"/>
  <c r="E806" i="3"/>
  <c r="D806" i="3"/>
  <c r="C806" i="3"/>
  <c r="B806" i="3"/>
  <c r="A806" i="3"/>
  <c r="M805" i="3"/>
  <c r="K805" i="3"/>
  <c r="J805" i="3"/>
  <c r="I805" i="3"/>
  <c r="H805" i="3"/>
  <c r="G805" i="3"/>
  <c r="F805" i="3"/>
  <c r="E805" i="3"/>
  <c r="D805" i="3"/>
  <c r="C805" i="3"/>
  <c r="B805" i="3"/>
  <c r="A805" i="3"/>
  <c r="M804" i="3"/>
  <c r="K804" i="3"/>
  <c r="J804" i="3"/>
  <c r="I804" i="3"/>
  <c r="H804" i="3"/>
  <c r="G804" i="3"/>
  <c r="F804" i="3"/>
  <c r="E804" i="3"/>
  <c r="D804" i="3"/>
  <c r="C804" i="3"/>
  <c r="B804" i="3"/>
  <c r="A804" i="3"/>
  <c r="M803" i="3"/>
  <c r="K803" i="3"/>
  <c r="J803" i="3"/>
  <c r="I803" i="3"/>
  <c r="H803" i="3"/>
  <c r="G803" i="3"/>
  <c r="F803" i="3"/>
  <c r="E803" i="3"/>
  <c r="D803" i="3"/>
  <c r="C803" i="3"/>
  <c r="B803" i="3"/>
  <c r="A803" i="3"/>
  <c r="M802" i="3"/>
  <c r="K802" i="3"/>
  <c r="J802" i="3"/>
  <c r="I802" i="3"/>
  <c r="H802" i="3"/>
  <c r="G802" i="3"/>
  <c r="F802" i="3"/>
  <c r="E802" i="3"/>
  <c r="D802" i="3"/>
  <c r="C802" i="3"/>
  <c r="B802" i="3"/>
  <c r="A802" i="3"/>
  <c r="M801" i="3"/>
  <c r="K801" i="3"/>
  <c r="J801" i="3"/>
  <c r="I801" i="3"/>
  <c r="H801" i="3"/>
  <c r="G801" i="3"/>
  <c r="F801" i="3"/>
  <c r="E801" i="3"/>
  <c r="D801" i="3"/>
  <c r="C801" i="3"/>
  <c r="B801" i="3"/>
  <c r="A801" i="3"/>
  <c r="M800" i="3"/>
  <c r="K800" i="3"/>
  <c r="J800" i="3"/>
  <c r="I800" i="3"/>
  <c r="H800" i="3"/>
  <c r="G800" i="3"/>
  <c r="F800" i="3"/>
  <c r="E800" i="3"/>
  <c r="D800" i="3"/>
  <c r="C800" i="3"/>
  <c r="B800" i="3"/>
  <c r="A800" i="3"/>
  <c r="M799" i="3"/>
  <c r="K799" i="3"/>
  <c r="J799" i="3"/>
  <c r="I799" i="3"/>
  <c r="H799" i="3"/>
  <c r="G799" i="3"/>
  <c r="F799" i="3"/>
  <c r="E799" i="3"/>
  <c r="D799" i="3"/>
  <c r="C799" i="3"/>
  <c r="B799" i="3"/>
  <c r="A799" i="3"/>
  <c r="M798" i="3"/>
  <c r="K798" i="3"/>
  <c r="J798" i="3"/>
  <c r="I798" i="3"/>
  <c r="H798" i="3"/>
  <c r="G798" i="3"/>
  <c r="F798" i="3"/>
  <c r="E798" i="3"/>
  <c r="D798" i="3"/>
  <c r="C798" i="3"/>
  <c r="B798" i="3"/>
  <c r="A798" i="3"/>
  <c r="M797" i="3"/>
  <c r="K797" i="3"/>
  <c r="J797" i="3"/>
  <c r="I797" i="3"/>
  <c r="H797" i="3"/>
  <c r="G797" i="3"/>
  <c r="F797" i="3"/>
  <c r="E797" i="3"/>
  <c r="D797" i="3"/>
  <c r="C797" i="3"/>
  <c r="B797" i="3"/>
  <c r="A797" i="3"/>
  <c r="M796" i="3"/>
  <c r="K796" i="3"/>
  <c r="J796" i="3"/>
  <c r="I796" i="3"/>
  <c r="H796" i="3"/>
  <c r="G796" i="3"/>
  <c r="F796" i="3"/>
  <c r="E796" i="3"/>
  <c r="D796" i="3"/>
  <c r="C796" i="3"/>
  <c r="B796" i="3"/>
  <c r="A796" i="3"/>
  <c r="M795" i="3"/>
  <c r="K795" i="3"/>
  <c r="J795" i="3"/>
  <c r="I795" i="3"/>
  <c r="H795" i="3"/>
  <c r="G795" i="3"/>
  <c r="F795" i="3"/>
  <c r="E795" i="3"/>
  <c r="D795" i="3"/>
  <c r="C795" i="3"/>
  <c r="B795" i="3"/>
  <c r="A795" i="3"/>
  <c r="M794" i="3"/>
  <c r="K794" i="3"/>
  <c r="J794" i="3"/>
  <c r="I794" i="3"/>
  <c r="H794" i="3"/>
  <c r="G794" i="3"/>
  <c r="F794" i="3"/>
  <c r="E794" i="3"/>
  <c r="D794" i="3"/>
  <c r="C794" i="3"/>
  <c r="B794" i="3"/>
  <c r="A794" i="3"/>
  <c r="M793" i="3"/>
  <c r="K793" i="3"/>
  <c r="J793" i="3"/>
  <c r="I793" i="3"/>
  <c r="H793" i="3"/>
  <c r="G793" i="3"/>
  <c r="F793" i="3"/>
  <c r="E793" i="3"/>
  <c r="D793" i="3"/>
  <c r="C793" i="3"/>
  <c r="B793" i="3"/>
  <c r="A793" i="3"/>
  <c r="M792" i="3"/>
  <c r="K792" i="3"/>
  <c r="J792" i="3"/>
  <c r="I792" i="3"/>
  <c r="H792" i="3"/>
  <c r="G792" i="3"/>
  <c r="F792" i="3"/>
  <c r="E792" i="3"/>
  <c r="D792" i="3"/>
  <c r="C792" i="3"/>
  <c r="B792" i="3"/>
  <c r="A792" i="3"/>
  <c r="M791" i="3"/>
  <c r="K791" i="3"/>
  <c r="J791" i="3"/>
  <c r="I791" i="3"/>
  <c r="H791" i="3"/>
  <c r="G791" i="3"/>
  <c r="F791" i="3"/>
  <c r="E791" i="3"/>
  <c r="D791" i="3"/>
  <c r="C791" i="3"/>
  <c r="B791" i="3"/>
  <c r="A791" i="3"/>
  <c r="M790" i="3"/>
  <c r="K790" i="3"/>
  <c r="J790" i="3"/>
  <c r="I790" i="3"/>
  <c r="H790" i="3"/>
  <c r="G790" i="3"/>
  <c r="F790" i="3"/>
  <c r="E790" i="3"/>
  <c r="D790" i="3"/>
  <c r="C790" i="3"/>
  <c r="B790" i="3"/>
  <c r="A790" i="3"/>
  <c r="M789" i="3"/>
  <c r="K789" i="3"/>
  <c r="J789" i="3"/>
  <c r="I789" i="3"/>
  <c r="H789" i="3"/>
  <c r="G789" i="3"/>
  <c r="F789" i="3"/>
  <c r="E789" i="3"/>
  <c r="D789" i="3"/>
  <c r="C789" i="3"/>
  <c r="B789" i="3"/>
  <c r="A789" i="3"/>
  <c r="M788" i="3"/>
  <c r="K788" i="3"/>
  <c r="J788" i="3"/>
  <c r="I788" i="3"/>
  <c r="H788" i="3"/>
  <c r="G788" i="3"/>
  <c r="F788" i="3"/>
  <c r="E788" i="3"/>
  <c r="D788" i="3"/>
  <c r="C788" i="3"/>
  <c r="B788" i="3"/>
  <c r="A788" i="3"/>
  <c r="M787" i="3"/>
  <c r="K787" i="3"/>
  <c r="J787" i="3"/>
  <c r="I787" i="3"/>
  <c r="H787" i="3"/>
  <c r="G787" i="3"/>
  <c r="F787" i="3"/>
  <c r="E787" i="3"/>
  <c r="D787" i="3"/>
  <c r="C787" i="3"/>
  <c r="B787" i="3"/>
  <c r="A787" i="3"/>
  <c r="M786" i="3"/>
  <c r="K786" i="3"/>
  <c r="J786" i="3"/>
  <c r="I786" i="3"/>
  <c r="H786" i="3"/>
  <c r="G786" i="3"/>
  <c r="F786" i="3"/>
  <c r="E786" i="3"/>
  <c r="D786" i="3"/>
  <c r="C786" i="3"/>
  <c r="B786" i="3"/>
  <c r="A786" i="3"/>
  <c r="M785" i="3"/>
  <c r="K785" i="3"/>
  <c r="J785" i="3"/>
  <c r="I785" i="3"/>
  <c r="H785" i="3"/>
  <c r="G785" i="3"/>
  <c r="F785" i="3"/>
  <c r="E785" i="3"/>
  <c r="D785" i="3"/>
  <c r="C785" i="3"/>
  <c r="B785" i="3"/>
  <c r="A785" i="3"/>
  <c r="M784" i="3"/>
  <c r="K784" i="3"/>
  <c r="J784" i="3"/>
  <c r="I784" i="3"/>
  <c r="H784" i="3"/>
  <c r="G784" i="3"/>
  <c r="F784" i="3"/>
  <c r="E784" i="3"/>
  <c r="D784" i="3"/>
  <c r="C784" i="3"/>
  <c r="B784" i="3"/>
  <c r="A784" i="3"/>
  <c r="M783" i="3"/>
  <c r="K783" i="3"/>
  <c r="J783" i="3"/>
  <c r="I783" i="3"/>
  <c r="H783" i="3"/>
  <c r="G783" i="3"/>
  <c r="F783" i="3"/>
  <c r="E783" i="3"/>
  <c r="D783" i="3"/>
  <c r="C783" i="3"/>
  <c r="B783" i="3"/>
  <c r="A783" i="3"/>
  <c r="M782" i="3"/>
  <c r="K782" i="3"/>
  <c r="J782" i="3"/>
  <c r="I782" i="3"/>
  <c r="H782" i="3"/>
  <c r="G782" i="3"/>
  <c r="F782" i="3"/>
  <c r="E782" i="3"/>
  <c r="D782" i="3"/>
  <c r="C782" i="3"/>
  <c r="B782" i="3"/>
  <c r="A782" i="3"/>
  <c r="M781" i="3"/>
  <c r="K781" i="3"/>
  <c r="J781" i="3"/>
  <c r="I781" i="3"/>
  <c r="H781" i="3"/>
  <c r="G781" i="3"/>
  <c r="F781" i="3"/>
  <c r="E781" i="3"/>
  <c r="D781" i="3"/>
  <c r="C781" i="3"/>
  <c r="B781" i="3"/>
  <c r="A781" i="3"/>
  <c r="M780" i="3"/>
  <c r="K780" i="3"/>
  <c r="J780" i="3"/>
  <c r="I780" i="3"/>
  <c r="H780" i="3"/>
  <c r="G780" i="3"/>
  <c r="F780" i="3"/>
  <c r="E780" i="3"/>
  <c r="D780" i="3"/>
  <c r="C780" i="3"/>
  <c r="B780" i="3"/>
  <c r="A780" i="3"/>
  <c r="M779" i="3"/>
  <c r="K779" i="3"/>
  <c r="J779" i="3"/>
  <c r="I779" i="3"/>
  <c r="H779" i="3"/>
  <c r="G779" i="3"/>
  <c r="F779" i="3"/>
  <c r="E779" i="3"/>
  <c r="D779" i="3"/>
  <c r="C779" i="3"/>
  <c r="B779" i="3"/>
  <c r="A779" i="3"/>
  <c r="M778" i="3"/>
  <c r="K778" i="3"/>
  <c r="J778" i="3"/>
  <c r="I778" i="3"/>
  <c r="H778" i="3"/>
  <c r="G778" i="3"/>
  <c r="F778" i="3"/>
  <c r="E778" i="3"/>
  <c r="D778" i="3"/>
  <c r="C778" i="3"/>
  <c r="B778" i="3"/>
  <c r="A778" i="3"/>
  <c r="M777" i="3"/>
  <c r="K777" i="3"/>
  <c r="J777" i="3"/>
  <c r="I777" i="3"/>
  <c r="H777" i="3"/>
  <c r="G777" i="3"/>
  <c r="F777" i="3"/>
  <c r="E777" i="3"/>
  <c r="D777" i="3"/>
  <c r="C777" i="3"/>
  <c r="B777" i="3"/>
  <c r="A777" i="3"/>
  <c r="M776" i="3"/>
  <c r="K776" i="3"/>
  <c r="J776" i="3"/>
  <c r="I776" i="3"/>
  <c r="H776" i="3"/>
  <c r="G776" i="3"/>
  <c r="F776" i="3"/>
  <c r="E776" i="3"/>
  <c r="D776" i="3"/>
  <c r="C776" i="3"/>
  <c r="B776" i="3"/>
  <c r="A776" i="3"/>
  <c r="M775" i="3"/>
  <c r="K775" i="3"/>
  <c r="J775" i="3"/>
  <c r="I775" i="3"/>
  <c r="H775" i="3"/>
  <c r="G775" i="3"/>
  <c r="F775" i="3"/>
  <c r="E775" i="3"/>
  <c r="D775" i="3"/>
  <c r="C775" i="3"/>
  <c r="B775" i="3"/>
  <c r="A775" i="3"/>
  <c r="M774" i="3"/>
  <c r="K774" i="3"/>
  <c r="J774" i="3"/>
  <c r="I774" i="3"/>
  <c r="H774" i="3"/>
  <c r="G774" i="3"/>
  <c r="F774" i="3"/>
  <c r="E774" i="3"/>
  <c r="D774" i="3"/>
  <c r="C774" i="3"/>
  <c r="B774" i="3"/>
  <c r="A774" i="3"/>
  <c r="M773" i="3"/>
  <c r="K773" i="3"/>
  <c r="J773" i="3"/>
  <c r="I773" i="3"/>
  <c r="H773" i="3"/>
  <c r="G773" i="3"/>
  <c r="F773" i="3"/>
  <c r="E773" i="3"/>
  <c r="D773" i="3"/>
  <c r="C773" i="3"/>
  <c r="B773" i="3"/>
  <c r="A773" i="3"/>
  <c r="M772" i="3"/>
  <c r="K772" i="3"/>
  <c r="J772" i="3"/>
  <c r="I772" i="3"/>
  <c r="H772" i="3"/>
  <c r="G772" i="3"/>
  <c r="F772" i="3"/>
  <c r="E772" i="3"/>
  <c r="D772" i="3"/>
  <c r="C772" i="3"/>
  <c r="B772" i="3"/>
  <c r="A772" i="3"/>
  <c r="M771" i="3"/>
  <c r="K771" i="3"/>
  <c r="J771" i="3"/>
  <c r="I771" i="3"/>
  <c r="H771" i="3"/>
  <c r="G771" i="3"/>
  <c r="F771" i="3"/>
  <c r="E771" i="3"/>
  <c r="D771" i="3"/>
  <c r="C771" i="3"/>
  <c r="B771" i="3"/>
  <c r="A771" i="3"/>
  <c r="M770" i="3"/>
  <c r="K770" i="3"/>
  <c r="J770" i="3"/>
  <c r="I770" i="3"/>
  <c r="H770" i="3"/>
  <c r="G770" i="3"/>
  <c r="F770" i="3"/>
  <c r="E770" i="3"/>
  <c r="D770" i="3"/>
  <c r="C770" i="3"/>
  <c r="B770" i="3"/>
  <c r="A770" i="3"/>
  <c r="M769" i="3"/>
  <c r="K769" i="3"/>
  <c r="J769" i="3"/>
  <c r="I769" i="3"/>
  <c r="H769" i="3"/>
  <c r="G769" i="3"/>
  <c r="F769" i="3"/>
  <c r="E769" i="3"/>
  <c r="D769" i="3"/>
  <c r="C769" i="3"/>
  <c r="B769" i="3"/>
  <c r="A769" i="3"/>
  <c r="M768" i="3"/>
  <c r="K768" i="3"/>
  <c r="J768" i="3"/>
  <c r="I768" i="3"/>
  <c r="H768" i="3"/>
  <c r="G768" i="3"/>
  <c r="F768" i="3"/>
  <c r="E768" i="3"/>
  <c r="D768" i="3"/>
  <c r="C768" i="3"/>
  <c r="B768" i="3"/>
  <c r="A768" i="3"/>
  <c r="M767" i="3"/>
  <c r="K767" i="3"/>
  <c r="J767" i="3"/>
  <c r="I767" i="3"/>
  <c r="H767" i="3"/>
  <c r="G767" i="3"/>
  <c r="F767" i="3"/>
  <c r="E767" i="3"/>
  <c r="D767" i="3"/>
  <c r="C767" i="3"/>
  <c r="B767" i="3"/>
  <c r="A767" i="3"/>
  <c r="M766" i="3"/>
  <c r="K766" i="3"/>
  <c r="J766" i="3"/>
  <c r="I766" i="3"/>
  <c r="H766" i="3"/>
  <c r="G766" i="3"/>
  <c r="F766" i="3"/>
  <c r="E766" i="3"/>
  <c r="D766" i="3"/>
  <c r="C766" i="3"/>
  <c r="B766" i="3"/>
  <c r="A766" i="3"/>
  <c r="M765" i="3"/>
  <c r="K765" i="3"/>
  <c r="J765" i="3"/>
  <c r="I765" i="3"/>
  <c r="H765" i="3"/>
  <c r="G765" i="3"/>
  <c r="F765" i="3"/>
  <c r="E765" i="3"/>
  <c r="D765" i="3"/>
  <c r="C765" i="3"/>
  <c r="B765" i="3"/>
  <c r="A765" i="3"/>
  <c r="M764" i="3"/>
  <c r="K764" i="3"/>
  <c r="J764" i="3"/>
  <c r="I764" i="3"/>
  <c r="H764" i="3"/>
  <c r="G764" i="3"/>
  <c r="F764" i="3"/>
  <c r="E764" i="3"/>
  <c r="D764" i="3"/>
  <c r="C764" i="3"/>
  <c r="B764" i="3"/>
  <c r="A764" i="3"/>
  <c r="M763" i="3"/>
  <c r="K763" i="3"/>
  <c r="J763" i="3"/>
  <c r="I763" i="3"/>
  <c r="H763" i="3"/>
  <c r="G763" i="3"/>
  <c r="F763" i="3"/>
  <c r="E763" i="3"/>
  <c r="D763" i="3"/>
  <c r="C763" i="3"/>
  <c r="B763" i="3"/>
  <c r="A763" i="3"/>
  <c r="M762" i="3"/>
  <c r="K762" i="3"/>
  <c r="J762" i="3"/>
  <c r="I762" i="3"/>
  <c r="H762" i="3"/>
  <c r="G762" i="3"/>
  <c r="F762" i="3"/>
  <c r="E762" i="3"/>
  <c r="D762" i="3"/>
  <c r="C762" i="3"/>
  <c r="B762" i="3"/>
  <c r="A762" i="3"/>
  <c r="M761" i="3"/>
  <c r="K761" i="3"/>
  <c r="J761" i="3"/>
  <c r="I761" i="3"/>
  <c r="H761" i="3"/>
  <c r="G761" i="3"/>
  <c r="F761" i="3"/>
  <c r="E761" i="3"/>
  <c r="D761" i="3"/>
  <c r="C761" i="3"/>
  <c r="B761" i="3"/>
  <c r="A761" i="3"/>
  <c r="M760" i="3"/>
  <c r="K760" i="3"/>
  <c r="J760" i="3"/>
  <c r="I760" i="3"/>
  <c r="H760" i="3"/>
  <c r="G760" i="3"/>
  <c r="F760" i="3"/>
  <c r="E760" i="3"/>
  <c r="D760" i="3"/>
  <c r="C760" i="3"/>
  <c r="B760" i="3"/>
  <c r="A760" i="3"/>
  <c r="M759" i="3"/>
  <c r="K759" i="3"/>
  <c r="J759" i="3"/>
  <c r="I759" i="3"/>
  <c r="H759" i="3"/>
  <c r="G759" i="3"/>
  <c r="F759" i="3"/>
  <c r="E759" i="3"/>
  <c r="D759" i="3"/>
  <c r="C759" i="3"/>
  <c r="B759" i="3"/>
  <c r="A759" i="3"/>
  <c r="M758" i="3"/>
  <c r="K758" i="3"/>
  <c r="J758" i="3"/>
  <c r="I758" i="3"/>
  <c r="H758" i="3"/>
  <c r="G758" i="3"/>
  <c r="F758" i="3"/>
  <c r="E758" i="3"/>
  <c r="D758" i="3"/>
  <c r="C758" i="3"/>
  <c r="B758" i="3"/>
  <c r="A758" i="3"/>
  <c r="M757" i="3"/>
  <c r="K757" i="3"/>
  <c r="J757" i="3"/>
  <c r="I757" i="3"/>
  <c r="H757" i="3"/>
  <c r="G757" i="3"/>
  <c r="F757" i="3"/>
  <c r="E757" i="3"/>
  <c r="D757" i="3"/>
  <c r="C757" i="3"/>
  <c r="B757" i="3"/>
  <c r="A757" i="3"/>
  <c r="M756" i="3"/>
  <c r="K756" i="3"/>
  <c r="J756" i="3"/>
  <c r="I756" i="3"/>
  <c r="H756" i="3"/>
  <c r="G756" i="3"/>
  <c r="F756" i="3"/>
  <c r="E756" i="3"/>
  <c r="D756" i="3"/>
  <c r="C756" i="3"/>
  <c r="B756" i="3"/>
  <c r="A756" i="3"/>
  <c r="M755" i="3"/>
  <c r="K755" i="3"/>
  <c r="J755" i="3"/>
  <c r="I755" i="3"/>
  <c r="H755" i="3"/>
  <c r="G755" i="3"/>
  <c r="F755" i="3"/>
  <c r="E755" i="3"/>
  <c r="D755" i="3"/>
  <c r="C755" i="3"/>
  <c r="B755" i="3"/>
  <c r="A755" i="3"/>
  <c r="M754" i="3"/>
  <c r="K754" i="3"/>
  <c r="J754" i="3"/>
  <c r="I754" i="3"/>
  <c r="H754" i="3"/>
  <c r="G754" i="3"/>
  <c r="F754" i="3"/>
  <c r="E754" i="3"/>
  <c r="D754" i="3"/>
  <c r="C754" i="3"/>
  <c r="B754" i="3"/>
  <c r="A754" i="3"/>
  <c r="M753" i="3"/>
  <c r="K753" i="3"/>
  <c r="J753" i="3"/>
  <c r="I753" i="3"/>
  <c r="H753" i="3"/>
  <c r="G753" i="3"/>
  <c r="F753" i="3"/>
  <c r="E753" i="3"/>
  <c r="D753" i="3"/>
  <c r="C753" i="3"/>
  <c r="B753" i="3"/>
  <c r="A753" i="3"/>
  <c r="M752" i="3"/>
  <c r="K752" i="3"/>
  <c r="J752" i="3"/>
  <c r="I752" i="3"/>
  <c r="H752" i="3"/>
  <c r="G752" i="3"/>
  <c r="F752" i="3"/>
  <c r="E752" i="3"/>
  <c r="D752" i="3"/>
  <c r="C752" i="3"/>
  <c r="B752" i="3"/>
  <c r="A752" i="3"/>
  <c r="M751" i="3"/>
  <c r="K751" i="3"/>
  <c r="J751" i="3"/>
  <c r="I751" i="3"/>
  <c r="H751" i="3"/>
  <c r="G751" i="3"/>
  <c r="F751" i="3"/>
  <c r="E751" i="3"/>
  <c r="D751" i="3"/>
  <c r="C751" i="3"/>
  <c r="B751" i="3"/>
  <c r="A751" i="3"/>
  <c r="M750" i="3"/>
  <c r="K750" i="3"/>
  <c r="J750" i="3"/>
  <c r="I750" i="3"/>
  <c r="H750" i="3"/>
  <c r="G750" i="3"/>
  <c r="F750" i="3"/>
  <c r="E750" i="3"/>
  <c r="D750" i="3"/>
  <c r="C750" i="3"/>
  <c r="B750" i="3"/>
  <c r="A750" i="3"/>
  <c r="M749" i="3"/>
  <c r="K749" i="3"/>
  <c r="J749" i="3"/>
  <c r="I749" i="3"/>
  <c r="H749" i="3"/>
  <c r="G749" i="3"/>
  <c r="F749" i="3"/>
  <c r="E749" i="3"/>
  <c r="D749" i="3"/>
  <c r="C749" i="3"/>
  <c r="B749" i="3"/>
  <c r="A749" i="3"/>
  <c r="M748" i="3"/>
  <c r="K748" i="3"/>
  <c r="J748" i="3"/>
  <c r="I748" i="3"/>
  <c r="H748" i="3"/>
  <c r="G748" i="3"/>
  <c r="F748" i="3"/>
  <c r="E748" i="3"/>
  <c r="D748" i="3"/>
  <c r="C748" i="3"/>
  <c r="B748" i="3"/>
  <c r="A748" i="3"/>
  <c r="M747" i="3"/>
  <c r="K747" i="3"/>
  <c r="J747" i="3"/>
  <c r="I747" i="3"/>
  <c r="H747" i="3"/>
  <c r="G747" i="3"/>
  <c r="F747" i="3"/>
  <c r="E747" i="3"/>
  <c r="D747" i="3"/>
  <c r="C747" i="3"/>
  <c r="B747" i="3"/>
  <c r="A747" i="3"/>
  <c r="M746" i="3"/>
  <c r="K746" i="3"/>
  <c r="J746" i="3"/>
  <c r="I746" i="3"/>
  <c r="H746" i="3"/>
  <c r="G746" i="3"/>
  <c r="F746" i="3"/>
  <c r="E746" i="3"/>
  <c r="D746" i="3"/>
  <c r="C746" i="3"/>
  <c r="B746" i="3"/>
  <c r="A746" i="3"/>
  <c r="M745" i="3"/>
  <c r="K745" i="3"/>
  <c r="J745" i="3"/>
  <c r="I745" i="3"/>
  <c r="H745" i="3"/>
  <c r="G745" i="3"/>
  <c r="F745" i="3"/>
  <c r="E745" i="3"/>
  <c r="D745" i="3"/>
  <c r="C745" i="3"/>
  <c r="B745" i="3"/>
  <c r="A745" i="3"/>
  <c r="M744" i="3"/>
  <c r="K744" i="3"/>
  <c r="J744" i="3"/>
  <c r="I744" i="3"/>
  <c r="H744" i="3"/>
  <c r="G744" i="3"/>
  <c r="F744" i="3"/>
  <c r="E744" i="3"/>
  <c r="D744" i="3"/>
  <c r="C744" i="3"/>
  <c r="B744" i="3"/>
  <c r="A744" i="3"/>
  <c r="M743" i="3"/>
  <c r="K743" i="3"/>
  <c r="J743" i="3"/>
  <c r="I743" i="3"/>
  <c r="H743" i="3"/>
  <c r="G743" i="3"/>
  <c r="F743" i="3"/>
  <c r="E743" i="3"/>
  <c r="D743" i="3"/>
  <c r="C743" i="3"/>
  <c r="B743" i="3"/>
  <c r="A743" i="3"/>
  <c r="M742" i="3"/>
  <c r="K742" i="3"/>
  <c r="J742" i="3"/>
  <c r="I742" i="3"/>
  <c r="H742" i="3"/>
  <c r="G742" i="3"/>
  <c r="F742" i="3"/>
  <c r="E742" i="3"/>
  <c r="D742" i="3"/>
  <c r="C742" i="3"/>
  <c r="B742" i="3"/>
  <c r="A742" i="3"/>
  <c r="M741" i="3"/>
  <c r="K741" i="3"/>
  <c r="J741" i="3"/>
  <c r="I741" i="3"/>
  <c r="H741" i="3"/>
  <c r="G741" i="3"/>
  <c r="F741" i="3"/>
  <c r="E741" i="3"/>
  <c r="D741" i="3"/>
  <c r="C741" i="3"/>
  <c r="B741" i="3"/>
  <c r="A741" i="3"/>
  <c r="M740" i="3"/>
  <c r="K740" i="3"/>
  <c r="J740" i="3"/>
  <c r="I740" i="3"/>
  <c r="H740" i="3"/>
  <c r="G740" i="3"/>
  <c r="F740" i="3"/>
  <c r="E740" i="3"/>
  <c r="D740" i="3"/>
  <c r="C740" i="3"/>
  <c r="B740" i="3"/>
  <c r="A740" i="3"/>
  <c r="M739" i="3"/>
  <c r="K739" i="3"/>
  <c r="J739" i="3"/>
  <c r="I739" i="3"/>
  <c r="H739" i="3"/>
  <c r="G739" i="3"/>
  <c r="F739" i="3"/>
  <c r="E739" i="3"/>
  <c r="D739" i="3"/>
  <c r="C739" i="3"/>
  <c r="B739" i="3"/>
  <c r="A739" i="3"/>
  <c r="M738" i="3"/>
  <c r="K738" i="3"/>
  <c r="J738" i="3"/>
  <c r="I738" i="3"/>
  <c r="H738" i="3"/>
  <c r="G738" i="3"/>
  <c r="F738" i="3"/>
  <c r="E738" i="3"/>
  <c r="D738" i="3"/>
  <c r="C738" i="3"/>
  <c r="B738" i="3"/>
  <c r="A738" i="3"/>
  <c r="M737" i="3"/>
  <c r="K737" i="3"/>
  <c r="J737" i="3"/>
  <c r="I737" i="3"/>
  <c r="H737" i="3"/>
  <c r="G737" i="3"/>
  <c r="F737" i="3"/>
  <c r="E737" i="3"/>
  <c r="D737" i="3"/>
  <c r="C737" i="3"/>
  <c r="B737" i="3"/>
  <c r="A737" i="3"/>
  <c r="M736" i="3"/>
  <c r="K736" i="3"/>
  <c r="J736" i="3"/>
  <c r="I736" i="3"/>
  <c r="H736" i="3"/>
  <c r="G736" i="3"/>
  <c r="F736" i="3"/>
  <c r="E736" i="3"/>
  <c r="D736" i="3"/>
  <c r="C736" i="3"/>
  <c r="B736" i="3"/>
  <c r="A736" i="3"/>
  <c r="M735" i="3"/>
  <c r="K735" i="3"/>
  <c r="J735" i="3"/>
  <c r="I735" i="3"/>
  <c r="H735" i="3"/>
  <c r="G735" i="3"/>
  <c r="F735" i="3"/>
  <c r="E735" i="3"/>
  <c r="D735" i="3"/>
  <c r="C735" i="3"/>
  <c r="B735" i="3"/>
  <c r="A735" i="3"/>
  <c r="M734" i="3"/>
  <c r="K734" i="3"/>
  <c r="J734" i="3"/>
  <c r="I734" i="3"/>
  <c r="H734" i="3"/>
  <c r="G734" i="3"/>
  <c r="F734" i="3"/>
  <c r="E734" i="3"/>
  <c r="D734" i="3"/>
  <c r="C734" i="3"/>
  <c r="B734" i="3"/>
  <c r="A734" i="3"/>
  <c r="M733" i="3"/>
  <c r="K733" i="3"/>
  <c r="J733" i="3"/>
  <c r="I733" i="3"/>
  <c r="H733" i="3"/>
  <c r="G733" i="3"/>
  <c r="F733" i="3"/>
  <c r="E733" i="3"/>
  <c r="D733" i="3"/>
  <c r="C733" i="3"/>
  <c r="B733" i="3"/>
  <c r="A733" i="3"/>
  <c r="M732" i="3"/>
  <c r="K732" i="3"/>
  <c r="J732" i="3"/>
  <c r="I732" i="3"/>
  <c r="H732" i="3"/>
  <c r="G732" i="3"/>
  <c r="F732" i="3"/>
  <c r="E732" i="3"/>
  <c r="D732" i="3"/>
  <c r="C732" i="3"/>
  <c r="B732" i="3"/>
  <c r="A732" i="3"/>
  <c r="M731" i="3"/>
  <c r="K731" i="3"/>
  <c r="J731" i="3"/>
  <c r="I731" i="3"/>
  <c r="H731" i="3"/>
  <c r="G731" i="3"/>
  <c r="F731" i="3"/>
  <c r="E731" i="3"/>
  <c r="D731" i="3"/>
  <c r="C731" i="3"/>
  <c r="B731" i="3"/>
  <c r="A731" i="3"/>
  <c r="M730" i="3"/>
  <c r="K730" i="3"/>
  <c r="J730" i="3"/>
  <c r="I730" i="3"/>
  <c r="H730" i="3"/>
  <c r="G730" i="3"/>
  <c r="F730" i="3"/>
  <c r="E730" i="3"/>
  <c r="D730" i="3"/>
  <c r="C730" i="3"/>
  <c r="B730" i="3"/>
  <c r="A730" i="3"/>
  <c r="M729" i="3"/>
  <c r="K729" i="3"/>
  <c r="J729" i="3"/>
  <c r="I729" i="3"/>
  <c r="H729" i="3"/>
  <c r="G729" i="3"/>
  <c r="F729" i="3"/>
  <c r="E729" i="3"/>
  <c r="D729" i="3"/>
  <c r="C729" i="3"/>
  <c r="B729" i="3"/>
  <c r="A729" i="3"/>
  <c r="M728" i="3"/>
  <c r="K728" i="3"/>
  <c r="J728" i="3"/>
  <c r="I728" i="3"/>
  <c r="H728" i="3"/>
  <c r="G728" i="3"/>
  <c r="F728" i="3"/>
  <c r="E728" i="3"/>
  <c r="D728" i="3"/>
  <c r="C728" i="3"/>
  <c r="B728" i="3"/>
  <c r="A728" i="3"/>
  <c r="M727" i="3"/>
  <c r="K727" i="3"/>
  <c r="J727" i="3"/>
  <c r="I727" i="3"/>
  <c r="H727" i="3"/>
  <c r="G727" i="3"/>
  <c r="F727" i="3"/>
  <c r="E727" i="3"/>
  <c r="D727" i="3"/>
  <c r="C727" i="3"/>
  <c r="B727" i="3"/>
  <c r="A727" i="3"/>
  <c r="M726" i="3"/>
  <c r="K726" i="3"/>
  <c r="J726" i="3"/>
  <c r="I726" i="3"/>
  <c r="H726" i="3"/>
  <c r="G726" i="3"/>
  <c r="F726" i="3"/>
  <c r="E726" i="3"/>
  <c r="D726" i="3"/>
  <c r="C726" i="3"/>
  <c r="B726" i="3"/>
  <c r="A726" i="3"/>
  <c r="M725" i="3"/>
  <c r="K725" i="3"/>
  <c r="J725" i="3"/>
  <c r="I725" i="3"/>
  <c r="H725" i="3"/>
  <c r="G725" i="3"/>
  <c r="F725" i="3"/>
  <c r="E725" i="3"/>
  <c r="D725" i="3"/>
  <c r="C725" i="3"/>
  <c r="B725" i="3"/>
  <c r="A725" i="3"/>
  <c r="M724" i="3"/>
  <c r="K724" i="3"/>
  <c r="J724" i="3"/>
  <c r="I724" i="3"/>
  <c r="H724" i="3"/>
  <c r="G724" i="3"/>
  <c r="F724" i="3"/>
  <c r="E724" i="3"/>
  <c r="D724" i="3"/>
  <c r="C724" i="3"/>
  <c r="B724" i="3"/>
  <c r="A724" i="3"/>
  <c r="M723" i="3"/>
  <c r="K723" i="3"/>
  <c r="J723" i="3"/>
  <c r="I723" i="3"/>
  <c r="H723" i="3"/>
  <c r="G723" i="3"/>
  <c r="F723" i="3"/>
  <c r="E723" i="3"/>
  <c r="D723" i="3"/>
  <c r="C723" i="3"/>
  <c r="B723" i="3"/>
  <c r="A723" i="3"/>
  <c r="M722" i="3"/>
  <c r="K722" i="3"/>
  <c r="J722" i="3"/>
  <c r="I722" i="3"/>
  <c r="H722" i="3"/>
  <c r="G722" i="3"/>
  <c r="F722" i="3"/>
  <c r="E722" i="3"/>
  <c r="D722" i="3"/>
  <c r="C722" i="3"/>
  <c r="B722" i="3"/>
  <c r="A722" i="3"/>
  <c r="M721" i="3"/>
  <c r="K721" i="3"/>
  <c r="J721" i="3"/>
  <c r="I721" i="3"/>
  <c r="H721" i="3"/>
  <c r="G721" i="3"/>
  <c r="F721" i="3"/>
  <c r="E721" i="3"/>
  <c r="D721" i="3"/>
  <c r="C721" i="3"/>
  <c r="B721" i="3"/>
  <c r="A721" i="3"/>
  <c r="M720" i="3"/>
  <c r="K720" i="3"/>
  <c r="J720" i="3"/>
  <c r="I720" i="3"/>
  <c r="H720" i="3"/>
  <c r="G720" i="3"/>
  <c r="F720" i="3"/>
  <c r="E720" i="3"/>
  <c r="D720" i="3"/>
  <c r="C720" i="3"/>
  <c r="B720" i="3"/>
  <c r="A720" i="3"/>
  <c r="M719" i="3"/>
  <c r="K719" i="3"/>
  <c r="J719" i="3"/>
  <c r="I719" i="3"/>
  <c r="H719" i="3"/>
  <c r="G719" i="3"/>
  <c r="F719" i="3"/>
  <c r="E719" i="3"/>
  <c r="D719" i="3"/>
  <c r="C719" i="3"/>
  <c r="B719" i="3"/>
  <c r="A719" i="3"/>
  <c r="M718" i="3"/>
  <c r="K718" i="3"/>
  <c r="J718" i="3"/>
  <c r="I718" i="3"/>
  <c r="H718" i="3"/>
  <c r="G718" i="3"/>
  <c r="F718" i="3"/>
  <c r="E718" i="3"/>
  <c r="D718" i="3"/>
  <c r="C718" i="3"/>
  <c r="B718" i="3"/>
  <c r="A718" i="3"/>
  <c r="M717" i="3"/>
  <c r="K717" i="3"/>
  <c r="J717" i="3"/>
  <c r="I717" i="3"/>
  <c r="H717" i="3"/>
  <c r="G717" i="3"/>
  <c r="F717" i="3"/>
  <c r="E717" i="3"/>
  <c r="D717" i="3"/>
  <c r="C717" i="3"/>
  <c r="B717" i="3"/>
  <c r="A717" i="3"/>
  <c r="M716" i="3"/>
  <c r="K716" i="3"/>
  <c r="J716" i="3"/>
  <c r="I716" i="3"/>
  <c r="H716" i="3"/>
  <c r="G716" i="3"/>
  <c r="F716" i="3"/>
  <c r="E716" i="3"/>
  <c r="D716" i="3"/>
  <c r="C716" i="3"/>
  <c r="B716" i="3"/>
  <c r="A716" i="3"/>
  <c r="M715" i="3"/>
  <c r="K715" i="3"/>
  <c r="J715" i="3"/>
  <c r="I715" i="3"/>
  <c r="H715" i="3"/>
  <c r="G715" i="3"/>
  <c r="F715" i="3"/>
  <c r="E715" i="3"/>
  <c r="D715" i="3"/>
  <c r="C715" i="3"/>
  <c r="B715" i="3"/>
  <c r="A715" i="3"/>
  <c r="M714" i="3"/>
  <c r="K714" i="3"/>
  <c r="J714" i="3"/>
  <c r="I714" i="3"/>
  <c r="H714" i="3"/>
  <c r="G714" i="3"/>
  <c r="F714" i="3"/>
  <c r="E714" i="3"/>
  <c r="D714" i="3"/>
  <c r="C714" i="3"/>
  <c r="B714" i="3"/>
  <c r="A714" i="3"/>
  <c r="M713" i="3"/>
  <c r="K713" i="3"/>
  <c r="J713" i="3"/>
  <c r="I713" i="3"/>
  <c r="H713" i="3"/>
  <c r="G713" i="3"/>
  <c r="F713" i="3"/>
  <c r="E713" i="3"/>
  <c r="D713" i="3"/>
  <c r="C713" i="3"/>
  <c r="B713" i="3"/>
  <c r="A713" i="3"/>
  <c r="M712" i="3"/>
  <c r="K712" i="3"/>
  <c r="J712" i="3"/>
  <c r="I712" i="3"/>
  <c r="H712" i="3"/>
  <c r="G712" i="3"/>
  <c r="F712" i="3"/>
  <c r="E712" i="3"/>
  <c r="D712" i="3"/>
  <c r="C712" i="3"/>
  <c r="B712" i="3"/>
  <c r="A712" i="3"/>
  <c r="M711" i="3"/>
  <c r="K711" i="3"/>
  <c r="J711" i="3"/>
  <c r="I711" i="3"/>
  <c r="H711" i="3"/>
  <c r="G711" i="3"/>
  <c r="F711" i="3"/>
  <c r="E711" i="3"/>
  <c r="D711" i="3"/>
  <c r="C711" i="3"/>
  <c r="B711" i="3"/>
  <c r="A711" i="3"/>
  <c r="M710" i="3"/>
  <c r="K710" i="3"/>
  <c r="J710" i="3"/>
  <c r="I710" i="3"/>
  <c r="H710" i="3"/>
  <c r="G710" i="3"/>
  <c r="F710" i="3"/>
  <c r="E710" i="3"/>
  <c r="D710" i="3"/>
  <c r="C710" i="3"/>
  <c r="B710" i="3"/>
  <c r="A710" i="3"/>
  <c r="M709" i="3"/>
  <c r="K709" i="3"/>
  <c r="J709" i="3"/>
  <c r="I709" i="3"/>
  <c r="H709" i="3"/>
  <c r="G709" i="3"/>
  <c r="F709" i="3"/>
  <c r="E709" i="3"/>
  <c r="D709" i="3"/>
  <c r="C709" i="3"/>
  <c r="B709" i="3"/>
  <c r="A709" i="3"/>
  <c r="M708" i="3"/>
  <c r="K708" i="3"/>
  <c r="J708" i="3"/>
  <c r="I708" i="3"/>
  <c r="H708" i="3"/>
  <c r="G708" i="3"/>
  <c r="F708" i="3"/>
  <c r="E708" i="3"/>
  <c r="D708" i="3"/>
  <c r="C708" i="3"/>
  <c r="B708" i="3"/>
  <c r="A708" i="3"/>
  <c r="M707" i="3"/>
  <c r="K707" i="3"/>
  <c r="J707" i="3"/>
  <c r="I707" i="3"/>
  <c r="H707" i="3"/>
  <c r="G707" i="3"/>
  <c r="F707" i="3"/>
  <c r="E707" i="3"/>
  <c r="D707" i="3"/>
  <c r="C707" i="3"/>
  <c r="B707" i="3"/>
  <c r="A707" i="3"/>
  <c r="M706" i="3"/>
  <c r="K706" i="3"/>
  <c r="J706" i="3"/>
  <c r="I706" i="3"/>
  <c r="H706" i="3"/>
  <c r="G706" i="3"/>
  <c r="F706" i="3"/>
  <c r="E706" i="3"/>
  <c r="D706" i="3"/>
  <c r="C706" i="3"/>
  <c r="B706" i="3"/>
  <c r="A706" i="3"/>
  <c r="M705" i="3"/>
  <c r="K705" i="3"/>
  <c r="J705" i="3"/>
  <c r="I705" i="3"/>
  <c r="H705" i="3"/>
  <c r="G705" i="3"/>
  <c r="F705" i="3"/>
  <c r="E705" i="3"/>
  <c r="D705" i="3"/>
  <c r="C705" i="3"/>
  <c r="B705" i="3"/>
  <c r="A705" i="3"/>
  <c r="M704" i="3"/>
  <c r="K704" i="3"/>
  <c r="J704" i="3"/>
  <c r="I704" i="3"/>
  <c r="H704" i="3"/>
  <c r="G704" i="3"/>
  <c r="F704" i="3"/>
  <c r="E704" i="3"/>
  <c r="D704" i="3"/>
  <c r="C704" i="3"/>
  <c r="B704" i="3"/>
  <c r="A704" i="3"/>
  <c r="M703" i="3"/>
  <c r="K703" i="3"/>
  <c r="J703" i="3"/>
  <c r="I703" i="3"/>
  <c r="H703" i="3"/>
  <c r="G703" i="3"/>
  <c r="F703" i="3"/>
  <c r="E703" i="3"/>
  <c r="D703" i="3"/>
  <c r="C703" i="3"/>
  <c r="B703" i="3"/>
  <c r="A703" i="3"/>
  <c r="M702" i="3"/>
  <c r="K702" i="3"/>
  <c r="J702" i="3"/>
  <c r="I702" i="3"/>
  <c r="H702" i="3"/>
  <c r="G702" i="3"/>
  <c r="F702" i="3"/>
  <c r="E702" i="3"/>
  <c r="D702" i="3"/>
  <c r="C702" i="3"/>
  <c r="B702" i="3"/>
  <c r="A702" i="3"/>
  <c r="M701" i="3"/>
  <c r="K701" i="3"/>
  <c r="J701" i="3"/>
  <c r="I701" i="3"/>
  <c r="H701" i="3"/>
  <c r="G701" i="3"/>
  <c r="F701" i="3"/>
  <c r="E701" i="3"/>
  <c r="D701" i="3"/>
  <c r="C701" i="3"/>
  <c r="B701" i="3"/>
  <c r="A701" i="3"/>
  <c r="M700" i="3"/>
  <c r="K700" i="3"/>
  <c r="J700" i="3"/>
  <c r="I700" i="3"/>
  <c r="H700" i="3"/>
  <c r="G700" i="3"/>
  <c r="F700" i="3"/>
  <c r="E700" i="3"/>
  <c r="D700" i="3"/>
  <c r="C700" i="3"/>
  <c r="B700" i="3"/>
  <c r="A700" i="3"/>
  <c r="M699" i="3"/>
  <c r="K699" i="3"/>
  <c r="J699" i="3"/>
  <c r="I699" i="3"/>
  <c r="H699" i="3"/>
  <c r="G699" i="3"/>
  <c r="F699" i="3"/>
  <c r="E699" i="3"/>
  <c r="D699" i="3"/>
  <c r="C699" i="3"/>
  <c r="B699" i="3"/>
  <c r="A699" i="3"/>
  <c r="M698" i="3"/>
  <c r="K698" i="3"/>
  <c r="J698" i="3"/>
  <c r="I698" i="3"/>
  <c r="H698" i="3"/>
  <c r="G698" i="3"/>
  <c r="F698" i="3"/>
  <c r="E698" i="3"/>
  <c r="D698" i="3"/>
  <c r="C698" i="3"/>
  <c r="B698" i="3"/>
  <c r="A698" i="3"/>
  <c r="M697" i="3"/>
  <c r="K697" i="3"/>
  <c r="J697" i="3"/>
  <c r="I697" i="3"/>
  <c r="H697" i="3"/>
  <c r="G697" i="3"/>
  <c r="F697" i="3"/>
  <c r="E697" i="3"/>
  <c r="D697" i="3"/>
  <c r="C697" i="3"/>
  <c r="B697" i="3"/>
  <c r="A697" i="3"/>
  <c r="M696" i="3"/>
  <c r="K696" i="3"/>
  <c r="J696" i="3"/>
  <c r="I696" i="3"/>
  <c r="H696" i="3"/>
  <c r="G696" i="3"/>
  <c r="F696" i="3"/>
  <c r="E696" i="3"/>
  <c r="D696" i="3"/>
  <c r="C696" i="3"/>
  <c r="B696" i="3"/>
  <c r="A696" i="3"/>
  <c r="M695" i="3"/>
  <c r="K695" i="3"/>
  <c r="J695" i="3"/>
  <c r="I695" i="3"/>
  <c r="H695" i="3"/>
  <c r="G695" i="3"/>
  <c r="F695" i="3"/>
  <c r="E695" i="3"/>
  <c r="D695" i="3"/>
  <c r="C695" i="3"/>
  <c r="B695" i="3"/>
  <c r="A695" i="3"/>
  <c r="M694" i="3"/>
  <c r="K694" i="3"/>
  <c r="J694" i="3"/>
  <c r="I694" i="3"/>
  <c r="H694" i="3"/>
  <c r="G694" i="3"/>
  <c r="F694" i="3"/>
  <c r="E694" i="3"/>
  <c r="D694" i="3"/>
  <c r="C694" i="3"/>
  <c r="B694" i="3"/>
  <c r="A694" i="3"/>
  <c r="M693" i="3"/>
  <c r="K693" i="3"/>
  <c r="J693" i="3"/>
  <c r="I693" i="3"/>
  <c r="H693" i="3"/>
  <c r="G693" i="3"/>
  <c r="F693" i="3"/>
  <c r="E693" i="3"/>
  <c r="D693" i="3"/>
  <c r="C693" i="3"/>
  <c r="B693" i="3"/>
  <c r="A693" i="3"/>
  <c r="M692" i="3"/>
  <c r="K692" i="3"/>
  <c r="J692" i="3"/>
  <c r="I692" i="3"/>
  <c r="H692" i="3"/>
  <c r="G692" i="3"/>
  <c r="F692" i="3"/>
  <c r="E692" i="3"/>
  <c r="D692" i="3"/>
  <c r="C692" i="3"/>
  <c r="B692" i="3"/>
  <c r="A692" i="3"/>
  <c r="M691" i="3"/>
  <c r="K691" i="3"/>
  <c r="J691" i="3"/>
  <c r="I691" i="3"/>
  <c r="H691" i="3"/>
  <c r="G691" i="3"/>
  <c r="F691" i="3"/>
  <c r="E691" i="3"/>
  <c r="D691" i="3"/>
  <c r="C691" i="3"/>
  <c r="B691" i="3"/>
  <c r="A691" i="3"/>
  <c r="M690" i="3"/>
  <c r="K690" i="3"/>
  <c r="J690" i="3"/>
  <c r="I690" i="3"/>
  <c r="H690" i="3"/>
  <c r="G690" i="3"/>
  <c r="F690" i="3"/>
  <c r="E690" i="3"/>
  <c r="D690" i="3"/>
  <c r="C690" i="3"/>
  <c r="B690" i="3"/>
  <c r="A690" i="3"/>
  <c r="M689" i="3"/>
  <c r="K689" i="3"/>
  <c r="J689" i="3"/>
  <c r="I689" i="3"/>
  <c r="H689" i="3"/>
  <c r="G689" i="3"/>
  <c r="F689" i="3"/>
  <c r="E689" i="3"/>
  <c r="D689" i="3"/>
  <c r="C689" i="3"/>
  <c r="B689" i="3"/>
  <c r="A689" i="3"/>
  <c r="M688" i="3"/>
  <c r="K688" i="3"/>
  <c r="J688" i="3"/>
  <c r="I688" i="3"/>
  <c r="H688" i="3"/>
  <c r="G688" i="3"/>
  <c r="F688" i="3"/>
  <c r="E688" i="3"/>
  <c r="D688" i="3"/>
  <c r="C688" i="3"/>
  <c r="B688" i="3"/>
  <c r="A688" i="3"/>
  <c r="M687" i="3"/>
  <c r="K687" i="3"/>
  <c r="J687" i="3"/>
  <c r="I687" i="3"/>
  <c r="H687" i="3"/>
  <c r="G687" i="3"/>
  <c r="F687" i="3"/>
  <c r="E687" i="3"/>
  <c r="D687" i="3"/>
  <c r="C687" i="3"/>
  <c r="B687" i="3"/>
  <c r="A687" i="3"/>
  <c r="M686" i="3"/>
  <c r="K686" i="3"/>
  <c r="J686" i="3"/>
  <c r="I686" i="3"/>
  <c r="H686" i="3"/>
  <c r="G686" i="3"/>
  <c r="F686" i="3"/>
  <c r="E686" i="3"/>
  <c r="D686" i="3"/>
  <c r="C686" i="3"/>
  <c r="B686" i="3"/>
  <c r="A686" i="3"/>
  <c r="M685" i="3"/>
  <c r="K685" i="3"/>
  <c r="J685" i="3"/>
  <c r="I685" i="3"/>
  <c r="H685" i="3"/>
  <c r="G685" i="3"/>
  <c r="F685" i="3"/>
  <c r="E685" i="3"/>
  <c r="D685" i="3"/>
  <c r="C685" i="3"/>
  <c r="B685" i="3"/>
  <c r="A685" i="3"/>
  <c r="M684" i="3"/>
  <c r="K684" i="3"/>
  <c r="J684" i="3"/>
  <c r="I684" i="3"/>
  <c r="H684" i="3"/>
  <c r="G684" i="3"/>
  <c r="F684" i="3"/>
  <c r="E684" i="3"/>
  <c r="D684" i="3"/>
  <c r="C684" i="3"/>
  <c r="B684" i="3"/>
  <c r="A684" i="3"/>
  <c r="M683" i="3"/>
  <c r="K683" i="3"/>
  <c r="J683" i="3"/>
  <c r="I683" i="3"/>
  <c r="H683" i="3"/>
  <c r="G683" i="3"/>
  <c r="F683" i="3"/>
  <c r="E683" i="3"/>
  <c r="D683" i="3"/>
  <c r="C683" i="3"/>
  <c r="B683" i="3"/>
  <c r="A683" i="3"/>
  <c r="M682" i="3"/>
  <c r="K682" i="3"/>
  <c r="J682" i="3"/>
  <c r="I682" i="3"/>
  <c r="H682" i="3"/>
  <c r="G682" i="3"/>
  <c r="F682" i="3"/>
  <c r="E682" i="3"/>
  <c r="D682" i="3"/>
  <c r="C682" i="3"/>
  <c r="B682" i="3"/>
  <c r="A682" i="3"/>
  <c r="M681" i="3"/>
  <c r="K681" i="3"/>
  <c r="J681" i="3"/>
  <c r="I681" i="3"/>
  <c r="H681" i="3"/>
  <c r="G681" i="3"/>
  <c r="F681" i="3"/>
  <c r="E681" i="3"/>
  <c r="D681" i="3"/>
  <c r="C681" i="3"/>
  <c r="B681" i="3"/>
  <c r="A681" i="3"/>
  <c r="M680" i="3"/>
  <c r="K680" i="3"/>
  <c r="J680" i="3"/>
  <c r="I680" i="3"/>
  <c r="H680" i="3"/>
  <c r="G680" i="3"/>
  <c r="F680" i="3"/>
  <c r="E680" i="3"/>
  <c r="D680" i="3"/>
  <c r="C680" i="3"/>
  <c r="B680" i="3"/>
  <c r="A680" i="3"/>
  <c r="M679" i="3"/>
  <c r="K679" i="3"/>
  <c r="J679" i="3"/>
  <c r="I679" i="3"/>
  <c r="H679" i="3"/>
  <c r="G679" i="3"/>
  <c r="F679" i="3"/>
  <c r="E679" i="3"/>
  <c r="D679" i="3"/>
  <c r="C679" i="3"/>
  <c r="B679" i="3"/>
  <c r="A679" i="3"/>
  <c r="M678" i="3"/>
  <c r="K678" i="3"/>
  <c r="J678" i="3"/>
  <c r="I678" i="3"/>
  <c r="H678" i="3"/>
  <c r="G678" i="3"/>
  <c r="F678" i="3"/>
  <c r="E678" i="3"/>
  <c r="D678" i="3"/>
  <c r="C678" i="3"/>
  <c r="B678" i="3"/>
  <c r="A678" i="3"/>
  <c r="M677" i="3"/>
  <c r="K677" i="3"/>
  <c r="J677" i="3"/>
  <c r="I677" i="3"/>
  <c r="H677" i="3"/>
  <c r="G677" i="3"/>
  <c r="F677" i="3"/>
  <c r="E677" i="3"/>
  <c r="D677" i="3"/>
  <c r="C677" i="3"/>
  <c r="B677" i="3"/>
  <c r="A677" i="3"/>
  <c r="M676" i="3"/>
  <c r="K676" i="3"/>
  <c r="J676" i="3"/>
  <c r="I676" i="3"/>
  <c r="H676" i="3"/>
  <c r="G676" i="3"/>
  <c r="F676" i="3"/>
  <c r="E676" i="3"/>
  <c r="D676" i="3"/>
  <c r="C676" i="3"/>
  <c r="B676" i="3"/>
  <c r="A676" i="3"/>
  <c r="M675" i="3"/>
  <c r="K675" i="3"/>
  <c r="J675" i="3"/>
  <c r="I675" i="3"/>
  <c r="H675" i="3"/>
  <c r="G675" i="3"/>
  <c r="F675" i="3"/>
  <c r="E675" i="3"/>
  <c r="D675" i="3"/>
  <c r="C675" i="3"/>
  <c r="B675" i="3"/>
  <c r="A675" i="3"/>
  <c r="M674" i="3"/>
  <c r="K674" i="3"/>
  <c r="J674" i="3"/>
  <c r="I674" i="3"/>
  <c r="H674" i="3"/>
  <c r="G674" i="3"/>
  <c r="F674" i="3"/>
  <c r="E674" i="3"/>
  <c r="D674" i="3"/>
  <c r="C674" i="3"/>
  <c r="B674" i="3"/>
  <c r="A674" i="3"/>
  <c r="M673" i="3"/>
  <c r="K673" i="3"/>
  <c r="J673" i="3"/>
  <c r="I673" i="3"/>
  <c r="H673" i="3"/>
  <c r="G673" i="3"/>
  <c r="F673" i="3"/>
  <c r="E673" i="3"/>
  <c r="D673" i="3"/>
  <c r="C673" i="3"/>
  <c r="B673" i="3"/>
  <c r="A673" i="3"/>
  <c r="M672" i="3"/>
  <c r="K672" i="3"/>
  <c r="J672" i="3"/>
  <c r="I672" i="3"/>
  <c r="H672" i="3"/>
  <c r="G672" i="3"/>
  <c r="F672" i="3"/>
  <c r="E672" i="3"/>
  <c r="D672" i="3"/>
  <c r="C672" i="3"/>
  <c r="B672" i="3"/>
  <c r="A672" i="3"/>
  <c r="M671" i="3"/>
  <c r="K671" i="3"/>
  <c r="J671" i="3"/>
  <c r="I671" i="3"/>
  <c r="H671" i="3"/>
  <c r="G671" i="3"/>
  <c r="F671" i="3"/>
  <c r="E671" i="3"/>
  <c r="D671" i="3"/>
  <c r="C671" i="3"/>
  <c r="B671" i="3"/>
  <c r="A671" i="3"/>
  <c r="M670" i="3"/>
  <c r="K670" i="3"/>
  <c r="J670" i="3"/>
  <c r="I670" i="3"/>
  <c r="H670" i="3"/>
  <c r="G670" i="3"/>
  <c r="F670" i="3"/>
  <c r="E670" i="3"/>
  <c r="D670" i="3"/>
  <c r="C670" i="3"/>
  <c r="B670" i="3"/>
  <c r="A670" i="3"/>
  <c r="M669" i="3"/>
  <c r="K669" i="3"/>
  <c r="J669" i="3"/>
  <c r="I669" i="3"/>
  <c r="H669" i="3"/>
  <c r="G669" i="3"/>
  <c r="F669" i="3"/>
  <c r="E669" i="3"/>
  <c r="D669" i="3"/>
  <c r="C669" i="3"/>
  <c r="B669" i="3"/>
  <c r="A669" i="3"/>
  <c r="M668" i="3"/>
  <c r="K668" i="3"/>
  <c r="J668" i="3"/>
  <c r="I668" i="3"/>
  <c r="H668" i="3"/>
  <c r="G668" i="3"/>
  <c r="F668" i="3"/>
  <c r="E668" i="3"/>
  <c r="D668" i="3"/>
  <c r="C668" i="3"/>
  <c r="B668" i="3"/>
  <c r="A668" i="3"/>
  <c r="M667" i="3"/>
  <c r="K667" i="3"/>
  <c r="J667" i="3"/>
  <c r="I667" i="3"/>
  <c r="H667" i="3"/>
  <c r="G667" i="3"/>
  <c r="F667" i="3"/>
  <c r="E667" i="3"/>
  <c r="D667" i="3"/>
  <c r="C667" i="3"/>
  <c r="B667" i="3"/>
  <c r="A667" i="3"/>
  <c r="M666" i="3"/>
  <c r="K666" i="3"/>
  <c r="J666" i="3"/>
  <c r="I666" i="3"/>
  <c r="H666" i="3"/>
  <c r="G666" i="3"/>
  <c r="F666" i="3"/>
  <c r="E666" i="3"/>
  <c r="D666" i="3"/>
  <c r="C666" i="3"/>
  <c r="B666" i="3"/>
  <c r="A666" i="3"/>
  <c r="M665" i="3"/>
  <c r="K665" i="3"/>
  <c r="J665" i="3"/>
  <c r="I665" i="3"/>
  <c r="H665" i="3"/>
  <c r="G665" i="3"/>
  <c r="F665" i="3"/>
  <c r="E665" i="3"/>
  <c r="D665" i="3"/>
  <c r="C665" i="3"/>
  <c r="B665" i="3"/>
  <c r="A665" i="3"/>
  <c r="M664" i="3"/>
  <c r="K664" i="3"/>
  <c r="J664" i="3"/>
  <c r="I664" i="3"/>
  <c r="H664" i="3"/>
  <c r="G664" i="3"/>
  <c r="F664" i="3"/>
  <c r="E664" i="3"/>
  <c r="D664" i="3"/>
  <c r="C664" i="3"/>
  <c r="B664" i="3"/>
  <c r="A664" i="3"/>
  <c r="M663" i="3"/>
  <c r="K663" i="3"/>
  <c r="J663" i="3"/>
  <c r="I663" i="3"/>
  <c r="H663" i="3"/>
  <c r="G663" i="3"/>
  <c r="F663" i="3"/>
  <c r="E663" i="3"/>
  <c r="D663" i="3"/>
  <c r="C663" i="3"/>
  <c r="B663" i="3"/>
  <c r="A663" i="3"/>
  <c r="M662" i="3"/>
  <c r="K662" i="3"/>
  <c r="J662" i="3"/>
  <c r="I662" i="3"/>
  <c r="H662" i="3"/>
  <c r="G662" i="3"/>
  <c r="F662" i="3"/>
  <c r="E662" i="3"/>
  <c r="D662" i="3"/>
  <c r="C662" i="3"/>
  <c r="B662" i="3"/>
  <c r="A662" i="3"/>
  <c r="M661" i="3"/>
  <c r="K661" i="3"/>
  <c r="J661" i="3"/>
  <c r="I661" i="3"/>
  <c r="H661" i="3"/>
  <c r="G661" i="3"/>
  <c r="F661" i="3"/>
  <c r="E661" i="3"/>
  <c r="D661" i="3"/>
  <c r="C661" i="3"/>
  <c r="B661" i="3"/>
  <c r="A661" i="3"/>
  <c r="M660" i="3"/>
  <c r="K660" i="3"/>
  <c r="J660" i="3"/>
  <c r="I660" i="3"/>
  <c r="H660" i="3"/>
  <c r="G660" i="3"/>
  <c r="F660" i="3"/>
  <c r="E660" i="3"/>
  <c r="D660" i="3"/>
  <c r="C660" i="3"/>
  <c r="B660" i="3"/>
  <c r="A660" i="3"/>
  <c r="M659" i="3"/>
  <c r="K659" i="3"/>
  <c r="J659" i="3"/>
  <c r="I659" i="3"/>
  <c r="H659" i="3"/>
  <c r="G659" i="3"/>
  <c r="F659" i="3"/>
  <c r="E659" i="3"/>
  <c r="D659" i="3"/>
  <c r="C659" i="3"/>
  <c r="B659" i="3"/>
  <c r="A659" i="3"/>
  <c r="M658" i="3"/>
  <c r="K658" i="3"/>
  <c r="J658" i="3"/>
  <c r="I658" i="3"/>
  <c r="H658" i="3"/>
  <c r="G658" i="3"/>
  <c r="F658" i="3"/>
  <c r="E658" i="3"/>
  <c r="D658" i="3"/>
  <c r="C658" i="3"/>
  <c r="B658" i="3"/>
  <c r="A658" i="3"/>
  <c r="M657" i="3"/>
  <c r="K657" i="3"/>
  <c r="J657" i="3"/>
  <c r="I657" i="3"/>
  <c r="H657" i="3"/>
  <c r="G657" i="3"/>
  <c r="F657" i="3"/>
  <c r="E657" i="3"/>
  <c r="D657" i="3"/>
  <c r="C657" i="3"/>
  <c r="B657" i="3"/>
  <c r="A657" i="3"/>
  <c r="M656" i="3"/>
  <c r="K656" i="3"/>
  <c r="J656" i="3"/>
  <c r="I656" i="3"/>
  <c r="H656" i="3"/>
  <c r="G656" i="3"/>
  <c r="F656" i="3"/>
  <c r="E656" i="3"/>
  <c r="D656" i="3"/>
  <c r="C656" i="3"/>
  <c r="B656" i="3"/>
  <c r="A656" i="3"/>
  <c r="M655" i="3"/>
  <c r="K655" i="3"/>
  <c r="J655" i="3"/>
  <c r="I655" i="3"/>
  <c r="H655" i="3"/>
  <c r="G655" i="3"/>
  <c r="F655" i="3"/>
  <c r="E655" i="3"/>
  <c r="D655" i="3"/>
  <c r="C655" i="3"/>
  <c r="B655" i="3"/>
  <c r="A655" i="3"/>
  <c r="M654" i="3"/>
  <c r="K654" i="3"/>
  <c r="J654" i="3"/>
  <c r="I654" i="3"/>
  <c r="H654" i="3"/>
  <c r="G654" i="3"/>
  <c r="F654" i="3"/>
  <c r="E654" i="3"/>
  <c r="D654" i="3"/>
  <c r="C654" i="3"/>
  <c r="B654" i="3"/>
  <c r="A654" i="3"/>
  <c r="M653" i="3"/>
  <c r="K653" i="3"/>
  <c r="J653" i="3"/>
  <c r="I653" i="3"/>
  <c r="H653" i="3"/>
  <c r="G653" i="3"/>
  <c r="F653" i="3"/>
  <c r="E653" i="3"/>
  <c r="D653" i="3"/>
  <c r="C653" i="3"/>
  <c r="B653" i="3"/>
  <c r="A653" i="3"/>
  <c r="M652" i="3"/>
  <c r="K652" i="3"/>
  <c r="J652" i="3"/>
  <c r="I652" i="3"/>
  <c r="H652" i="3"/>
  <c r="G652" i="3"/>
  <c r="F652" i="3"/>
  <c r="E652" i="3"/>
  <c r="D652" i="3"/>
  <c r="C652" i="3"/>
  <c r="B652" i="3"/>
  <c r="A652" i="3"/>
  <c r="M651" i="3"/>
  <c r="K651" i="3"/>
  <c r="J651" i="3"/>
  <c r="I651" i="3"/>
  <c r="H651" i="3"/>
  <c r="G651" i="3"/>
  <c r="F651" i="3"/>
  <c r="E651" i="3"/>
  <c r="D651" i="3"/>
  <c r="C651" i="3"/>
  <c r="B651" i="3"/>
  <c r="A651" i="3"/>
  <c r="M650" i="3"/>
  <c r="K650" i="3"/>
  <c r="J650" i="3"/>
  <c r="I650" i="3"/>
  <c r="H650" i="3"/>
  <c r="G650" i="3"/>
  <c r="F650" i="3"/>
  <c r="E650" i="3"/>
  <c r="D650" i="3"/>
  <c r="C650" i="3"/>
  <c r="B650" i="3"/>
  <c r="A650" i="3"/>
  <c r="M649" i="3"/>
  <c r="K649" i="3"/>
  <c r="J649" i="3"/>
  <c r="I649" i="3"/>
  <c r="H649" i="3"/>
  <c r="G649" i="3"/>
  <c r="F649" i="3"/>
  <c r="E649" i="3"/>
  <c r="D649" i="3"/>
  <c r="C649" i="3"/>
  <c r="B649" i="3"/>
  <c r="A649" i="3"/>
  <c r="M648" i="3"/>
  <c r="K648" i="3"/>
  <c r="J648" i="3"/>
  <c r="I648" i="3"/>
  <c r="H648" i="3"/>
  <c r="G648" i="3"/>
  <c r="F648" i="3"/>
  <c r="E648" i="3"/>
  <c r="D648" i="3"/>
  <c r="C648" i="3"/>
  <c r="B648" i="3"/>
  <c r="A648" i="3"/>
  <c r="M647" i="3"/>
  <c r="K647" i="3"/>
  <c r="J647" i="3"/>
  <c r="I647" i="3"/>
  <c r="H647" i="3"/>
  <c r="G647" i="3"/>
  <c r="F647" i="3"/>
  <c r="E647" i="3"/>
  <c r="D647" i="3"/>
  <c r="C647" i="3"/>
  <c r="B647" i="3"/>
  <c r="A647" i="3"/>
  <c r="M646" i="3"/>
  <c r="K646" i="3"/>
  <c r="J646" i="3"/>
  <c r="I646" i="3"/>
  <c r="H646" i="3"/>
  <c r="G646" i="3"/>
  <c r="F646" i="3"/>
  <c r="E646" i="3"/>
  <c r="D646" i="3"/>
  <c r="C646" i="3"/>
  <c r="B646" i="3"/>
  <c r="A646" i="3"/>
  <c r="M645" i="3"/>
  <c r="K645" i="3"/>
  <c r="J645" i="3"/>
  <c r="I645" i="3"/>
  <c r="H645" i="3"/>
  <c r="G645" i="3"/>
  <c r="F645" i="3"/>
  <c r="E645" i="3"/>
  <c r="D645" i="3"/>
  <c r="C645" i="3"/>
  <c r="B645" i="3"/>
  <c r="A645" i="3"/>
  <c r="M644" i="3"/>
  <c r="K644" i="3"/>
  <c r="J644" i="3"/>
  <c r="I644" i="3"/>
  <c r="H644" i="3"/>
  <c r="G644" i="3"/>
  <c r="F644" i="3"/>
  <c r="E644" i="3"/>
  <c r="D644" i="3"/>
  <c r="C644" i="3"/>
  <c r="B644" i="3"/>
  <c r="A644" i="3"/>
  <c r="M643" i="3"/>
  <c r="K643" i="3"/>
  <c r="J643" i="3"/>
  <c r="I643" i="3"/>
  <c r="H643" i="3"/>
  <c r="G643" i="3"/>
  <c r="F643" i="3"/>
  <c r="E643" i="3"/>
  <c r="D643" i="3"/>
  <c r="C643" i="3"/>
  <c r="B643" i="3"/>
  <c r="A643" i="3"/>
  <c r="M642" i="3"/>
  <c r="K642" i="3"/>
  <c r="J642" i="3"/>
  <c r="I642" i="3"/>
  <c r="H642" i="3"/>
  <c r="G642" i="3"/>
  <c r="F642" i="3"/>
  <c r="E642" i="3"/>
  <c r="D642" i="3"/>
  <c r="C642" i="3"/>
  <c r="B642" i="3"/>
  <c r="A642" i="3"/>
  <c r="M641" i="3"/>
  <c r="K641" i="3"/>
  <c r="J641" i="3"/>
  <c r="I641" i="3"/>
  <c r="H641" i="3"/>
  <c r="G641" i="3"/>
  <c r="F641" i="3"/>
  <c r="E641" i="3"/>
  <c r="D641" i="3"/>
  <c r="C641" i="3"/>
  <c r="B641" i="3"/>
  <c r="A641" i="3"/>
  <c r="M640" i="3"/>
  <c r="K640" i="3"/>
  <c r="J640" i="3"/>
  <c r="I640" i="3"/>
  <c r="H640" i="3"/>
  <c r="G640" i="3"/>
  <c r="F640" i="3"/>
  <c r="E640" i="3"/>
  <c r="D640" i="3"/>
  <c r="C640" i="3"/>
  <c r="B640" i="3"/>
  <c r="A640" i="3"/>
  <c r="M639" i="3"/>
  <c r="K639" i="3"/>
  <c r="J639" i="3"/>
  <c r="I639" i="3"/>
  <c r="H639" i="3"/>
  <c r="G639" i="3"/>
  <c r="F639" i="3"/>
  <c r="E639" i="3"/>
  <c r="D639" i="3"/>
  <c r="C639" i="3"/>
  <c r="B639" i="3"/>
  <c r="A639" i="3"/>
  <c r="M638" i="3"/>
  <c r="K638" i="3"/>
  <c r="J638" i="3"/>
  <c r="I638" i="3"/>
  <c r="H638" i="3"/>
  <c r="G638" i="3"/>
  <c r="F638" i="3"/>
  <c r="E638" i="3"/>
  <c r="D638" i="3"/>
  <c r="C638" i="3"/>
  <c r="B638" i="3"/>
  <c r="A638" i="3"/>
  <c r="M637" i="3"/>
  <c r="K637" i="3"/>
  <c r="J637" i="3"/>
  <c r="I637" i="3"/>
  <c r="H637" i="3"/>
  <c r="G637" i="3"/>
  <c r="F637" i="3"/>
  <c r="E637" i="3"/>
  <c r="D637" i="3"/>
  <c r="C637" i="3"/>
  <c r="B637" i="3"/>
  <c r="A637" i="3"/>
  <c r="M636" i="3"/>
  <c r="K636" i="3"/>
  <c r="J636" i="3"/>
  <c r="I636" i="3"/>
  <c r="H636" i="3"/>
  <c r="G636" i="3"/>
  <c r="F636" i="3"/>
  <c r="E636" i="3"/>
  <c r="D636" i="3"/>
  <c r="C636" i="3"/>
  <c r="B636" i="3"/>
  <c r="A636" i="3"/>
  <c r="M635" i="3"/>
  <c r="K635" i="3"/>
  <c r="J635" i="3"/>
  <c r="I635" i="3"/>
  <c r="H635" i="3"/>
  <c r="G635" i="3"/>
  <c r="F635" i="3"/>
  <c r="E635" i="3"/>
  <c r="D635" i="3"/>
  <c r="C635" i="3"/>
  <c r="B635" i="3"/>
  <c r="A635" i="3"/>
  <c r="M634" i="3"/>
  <c r="K634" i="3"/>
  <c r="J634" i="3"/>
  <c r="I634" i="3"/>
  <c r="H634" i="3"/>
  <c r="G634" i="3"/>
  <c r="F634" i="3"/>
  <c r="E634" i="3"/>
  <c r="D634" i="3"/>
  <c r="C634" i="3"/>
  <c r="B634" i="3"/>
  <c r="A634" i="3"/>
  <c r="M633" i="3"/>
  <c r="K633" i="3"/>
  <c r="J633" i="3"/>
  <c r="I633" i="3"/>
  <c r="H633" i="3"/>
  <c r="G633" i="3"/>
  <c r="F633" i="3"/>
  <c r="E633" i="3"/>
  <c r="D633" i="3"/>
  <c r="C633" i="3"/>
  <c r="B633" i="3"/>
  <c r="A633" i="3"/>
  <c r="M632" i="3"/>
  <c r="K632" i="3"/>
  <c r="J632" i="3"/>
  <c r="I632" i="3"/>
  <c r="H632" i="3"/>
  <c r="G632" i="3"/>
  <c r="F632" i="3"/>
  <c r="E632" i="3"/>
  <c r="D632" i="3"/>
  <c r="C632" i="3"/>
  <c r="B632" i="3"/>
  <c r="A632" i="3"/>
  <c r="M631" i="3"/>
  <c r="K631" i="3"/>
  <c r="J631" i="3"/>
  <c r="I631" i="3"/>
  <c r="H631" i="3"/>
  <c r="G631" i="3"/>
  <c r="F631" i="3"/>
  <c r="E631" i="3"/>
  <c r="D631" i="3"/>
  <c r="C631" i="3"/>
  <c r="B631" i="3"/>
  <c r="A631" i="3"/>
  <c r="M630" i="3"/>
  <c r="K630" i="3"/>
  <c r="J630" i="3"/>
  <c r="I630" i="3"/>
  <c r="H630" i="3"/>
  <c r="G630" i="3"/>
  <c r="F630" i="3"/>
  <c r="E630" i="3"/>
  <c r="D630" i="3"/>
  <c r="C630" i="3"/>
  <c r="B630" i="3"/>
  <c r="A630" i="3"/>
  <c r="M629" i="3"/>
  <c r="K629" i="3"/>
  <c r="J629" i="3"/>
  <c r="I629" i="3"/>
  <c r="H629" i="3"/>
  <c r="G629" i="3"/>
  <c r="F629" i="3"/>
  <c r="E629" i="3"/>
  <c r="D629" i="3"/>
  <c r="C629" i="3"/>
  <c r="B629" i="3"/>
  <c r="A629" i="3"/>
  <c r="M628" i="3"/>
  <c r="K628" i="3"/>
  <c r="J628" i="3"/>
  <c r="I628" i="3"/>
  <c r="H628" i="3"/>
  <c r="G628" i="3"/>
  <c r="F628" i="3"/>
  <c r="E628" i="3"/>
  <c r="D628" i="3"/>
  <c r="C628" i="3"/>
  <c r="B628" i="3"/>
  <c r="A628" i="3"/>
  <c r="M627" i="3"/>
  <c r="K627" i="3"/>
  <c r="J627" i="3"/>
  <c r="I627" i="3"/>
  <c r="H627" i="3"/>
  <c r="G627" i="3"/>
  <c r="F627" i="3"/>
  <c r="E627" i="3"/>
  <c r="D627" i="3"/>
  <c r="C627" i="3"/>
  <c r="B627" i="3"/>
  <c r="A627" i="3"/>
  <c r="M626" i="3"/>
  <c r="K626" i="3"/>
  <c r="J626" i="3"/>
  <c r="I626" i="3"/>
  <c r="H626" i="3"/>
  <c r="G626" i="3"/>
  <c r="F626" i="3"/>
  <c r="E626" i="3"/>
  <c r="D626" i="3"/>
  <c r="C626" i="3"/>
  <c r="B626" i="3"/>
  <c r="A626" i="3"/>
  <c r="M625" i="3"/>
  <c r="K625" i="3"/>
  <c r="J625" i="3"/>
  <c r="I625" i="3"/>
  <c r="H625" i="3"/>
  <c r="G625" i="3"/>
  <c r="F625" i="3"/>
  <c r="E625" i="3"/>
  <c r="D625" i="3"/>
  <c r="C625" i="3"/>
  <c r="B625" i="3"/>
  <c r="A625" i="3"/>
  <c r="M624" i="3"/>
  <c r="K624" i="3"/>
  <c r="J624" i="3"/>
  <c r="I624" i="3"/>
  <c r="H624" i="3"/>
  <c r="G624" i="3"/>
  <c r="F624" i="3"/>
  <c r="E624" i="3"/>
  <c r="D624" i="3"/>
  <c r="C624" i="3"/>
  <c r="B624" i="3"/>
  <c r="A624" i="3"/>
  <c r="M623" i="3"/>
  <c r="K623" i="3"/>
  <c r="J623" i="3"/>
  <c r="I623" i="3"/>
  <c r="H623" i="3"/>
  <c r="G623" i="3"/>
  <c r="F623" i="3"/>
  <c r="E623" i="3"/>
  <c r="D623" i="3"/>
  <c r="C623" i="3"/>
  <c r="B623" i="3"/>
  <c r="A623" i="3"/>
  <c r="M622" i="3"/>
  <c r="K622" i="3"/>
  <c r="J622" i="3"/>
  <c r="I622" i="3"/>
  <c r="H622" i="3"/>
  <c r="G622" i="3"/>
  <c r="F622" i="3"/>
  <c r="E622" i="3"/>
  <c r="D622" i="3"/>
  <c r="C622" i="3"/>
  <c r="B622" i="3"/>
  <c r="A622" i="3"/>
  <c r="M621" i="3"/>
  <c r="K621" i="3"/>
  <c r="J621" i="3"/>
  <c r="I621" i="3"/>
  <c r="H621" i="3"/>
  <c r="G621" i="3"/>
  <c r="F621" i="3"/>
  <c r="E621" i="3"/>
  <c r="D621" i="3"/>
  <c r="C621" i="3"/>
  <c r="B621" i="3"/>
  <c r="A621" i="3"/>
  <c r="M620" i="3"/>
  <c r="K620" i="3"/>
  <c r="J620" i="3"/>
  <c r="I620" i="3"/>
  <c r="H620" i="3"/>
  <c r="G620" i="3"/>
  <c r="F620" i="3"/>
  <c r="E620" i="3"/>
  <c r="D620" i="3"/>
  <c r="C620" i="3"/>
  <c r="B620" i="3"/>
  <c r="A620" i="3"/>
  <c r="M619" i="3"/>
  <c r="K619" i="3"/>
  <c r="J619" i="3"/>
  <c r="I619" i="3"/>
  <c r="H619" i="3"/>
  <c r="G619" i="3"/>
  <c r="F619" i="3"/>
  <c r="E619" i="3"/>
  <c r="D619" i="3"/>
  <c r="C619" i="3"/>
  <c r="B619" i="3"/>
  <c r="A619" i="3"/>
  <c r="M618" i="3"/>
  <c r="K618" i="3"/>
  <c r="J618" i="3"/>
  <c r="I618" i="3"/>
  <c r="H618" i="3"/>
  <c r="G618" i="3"/>
  <c r="F618" i="3"/>
  <c r="E618" i="3"/>
  <c r="D618" i="3"/>
  <c r="C618" i="3"/>
  <c r="B618" i="3"/>
  <c r="A618" i="3"/>
  <c r="M617" i="3"/>
  <c r="K617" i="3"/>
  <c r="J617" i="3"/>
  <c r="I617" i="3"/>
  <c r="H617" i="3"/>
  <c r="G617" i="3"/>
  <c r="F617" i="3"/>
  <c r="E617" i="3"/>
  <c r="D617" i="3"/>
  <c r="C617" i="3"/>
  <c r="B617" i="3"/>
  <c r="A617" i="3"/>
  <c r="M616" i="3"/>
  <c r="K616" i="3"/>
  <c r="J616" i="3"/>
  <c r="I616" i="3"/>
  <c r="H616" i="3"/>
  <c r="G616" i="3"/>
  <c r="F616" i="3"/>
  <c r="E616" i="3"/>
  <c r="D616" i="3"/>
  <c r="C616" i="3"/>
  <c r="B616" i="3"/>
  <c r="A616" i="3"/>
  <c r="M615" i="3"/>
  <c r="K615" i="3"/>
  <c r="J615" i="3"/>
  <c r="I615" i="3"/>
  <c r="H615" i="3"/>
  <c r="G615" i="3"/>
  <c r="F615" i="3"/>
  <c r="E615" i="3"/>
  <c r="D615" i="3"/>
  <c r="C615" i="3"/>
  <c r="B615" i="3"/>
  <c r="A615" i="3"/>
  <c r="M614" i="3"/>
  <c r="K614" i="3"/>
  <c r="J614" i="3"/>
  <c r="I614" i="3"/>
  <c r="H614" i="3"/>
  <c r="G614" i="3"/>
  <c r="F614" i="3"/>
  <c r="E614" i="3"/>
  <c r="D614" i="3"/>
  <c r="C614" i="3"/>
  <c r="B614" i="3"/>
  <c r="A614" i="3"/>
  <c r="M613" i="3"/>
  <c r="K613" i="3"/>
  <c r="J613" i="3"/>
  <c r="I613" i="3"/>
  <c r="H613" i="3"/>
  <c r="G613" i="3"/>
  <c r="F613" i="3"/>
  <c r="E613" i="3"/>
  <c r="D613" i="3"/>
  <c r="C613" i="3"/>
  <c r="B613" i="3"/>
  <c r="A613" i="3"/>
  <c r="M612" i="3"/>
  <c r="K612" i="3"/>
  <c r="J612" i="3"/>
  <c r="I612" i="3"/>
  <c r="H612" i="3"/>
  <c r="G612" i="3"/>
  <c r="F612" i="3"/>
  <c r="E612" i="3"/>
  <c r="D612" i="3"/>
  <c r="C612" i="3"/>
  <c r="B612" i="3"/>
  <c r="A612" i="3"/>
  <c r="M611" i="3"/>
  <c r="K611" i="3"/>
  <c r="J611" i="3"/>
  <c r="I611" i="3"/>
  <c r="H611" i="3"/>
  <c r="G611" i="3"/>
  <c r="F611" i="3"/>
  <c r="E611" i="3"/>
  <c r="D611" i="3"/>
  <c r="C611" i="3"/>
  <c r="B611" i="3"/>
  <c r="A611" i="3"/>
  <c r="M610" i="3"/>
  <c r="K610" i="3"/>
  <c r="J610" i="3"/>
  <c r="I610" i="3"/>
  <c r="H610" i="3"/>
  <c r="G610" i="3"/>
  <c r="F610" i="3"/>
  <c r="E610" i="3"/>
  <c r="D610" i="3"/>
  <c r="C610" i="3"/>
  <c r="B610" i="3"/>
  <c r="A610" i="3"/>
  <c r="M609" i="3"/>
  <c r="K609" i="3"/>
  <c r="J609" i="3"/>
  <c r="I609" i="3"/>
  <c r="H609" i="3"/>
  <c r="G609" i="3"/>
  <c r="F609" i="3"/>
  <c r="E609" i="3"/>
  <c r="D609" i="3"/>
  <c r="C609" i="3"/>
  <c r="B609" i="3"/>
  <c r="A609" i="3"/>
  <c r="M608" i="3"/>
  <c r="K608" i="3"/>
  <c r="J608" i="3"/>
  <c r="I608" i="3"/>
  <c r="H608" i="3"/>
  <c r="G608" i="3"/>
  <c r="F608" i="3"/>
  <c r="E608" i="3"/>
  <c r="D608" i="3"/>
  <c r="C608" i="3"/>
  <c r="B608" i="3"/>
  <c r="A608" i="3"/>
  <c r="M607" i="3"/>
  <c r="K607" i="3"/>
  <c r="J607" i="3"/>
  <c r="I607" i="3"/>
  <c r="H607" i="3"/>
  <c r="G607" i="3"/>
  <c r="F607" i="3"/>
  <c r="E607" i="3"/>
  <c r="D607" i="3"/>
  <c r="C607" i="3"/>
  <c r="B607" i="3"/>
  <c r="A607" i="3"/>
  <c r="M606" i="3"/>
  <c r="K606" i="3"/>
  <c r="J606" i="3"/>
  <c r="I606" i="3"/>
  <c r="H606" i="3"/>
  <c r="G606" i="3"/>
  <c r="F606" i="3"/>
  <c r="E606" i="3"/>
  <c r="D606" i="3"/>
  <c r="C606" i="3"/>
  <c r="B606" i="3"/>
  <c r="A606" i="3"/>
  <c r="M605" i="3"/>
  <c r="K605" i="3"/>
  <c r="J605" i="3"/>
  <c r="I605" i="3"/>
  <c r="H605" i="3"/>
  <c r="G605" i="3"/>
  <c r="F605" i="3"/>
  <c r="E605" i="3"/>
  <c r="D605" i="3"/>
  <c r="C605" i="3"/>
  <c r="B605" i="3"/>
  <c r="A605" i="3"/>
  <c r="M604" i="3"/>
  <c r="K604" i="3"/>
  <c r="J604" i="3"/>
  <c r="I604" i="3"/>
  <c r="H604" i="3"/>
  <c r="G604" i="3"/>
  <c r="F604" i="3"/>
  <c r="E604" i="3"/>
  <c r="D604" i="3"/>
  <c r="C604" i="3"/>
  <c r="B604" i="3"/>
  <c r="A604" i="3"/>
  <c r="M603" i="3"/>
  <c r="K603" i="3"/>
  <c r="J603" i="3"/>
  <c r="I603" i="3"/>
  <c r="H603" i="3"/>
  <c r="G603" i="3"/>
  <c r="F603" i="3"/>
  <c r="E603" i="3"/>
  <c r="D603" i="3"/>
  <c r="C603" i="3"/>
  <c r="B603" i="3"/>
  <c r="A603" i="3"/>
  <c r="M602" i="3"/>
  <c r="K602" i="3"/>
  <c r="J602" i="3"/>
  <c r="I602" i="3"/>
  <c r="H602" i="3"/>
  <c r="G602" i="3"/>
  <c r="F602" i="3"/>
  <c r="E602" i="3"/>
  <c r="D602" i="3"/>
  <c r="C602" i="3"/>
  <c r="B602" i="3"/>
  <c r="A602" i="3"/>
  <c r="M601" i="3"/>
  <c r="K601" i="3"/>
  <c r="J601" i="3"/>
  <c r="I601" i="3"/>
  <c r="H601" i="3"/>
  <c r="G601" i="3"/>
  <c r="F601" i="3"/>
  <c r="E601" i="3"/>
  <c r="D601" i="3"/>
  <c r="C601" i="3"/>
  <c r="B601" i="3"/>
  <c r="A601" i="3"/>
  <c r="M600" i="3"/>
  <c r="K600" i="3"/>
  <c r="J600" i="3"/>
  <c r="I600" i="3"/>
  <c r="H600" i="3"/>
  <c r="G600" i="3"/>
  <c r="F600" i="3"/>
  <c r="E600" i="3"/>
  <c r="D600" i="3"/>
  <c r="C600" i="3"/>
  <c r="B600" i="3"/>
  <c r="A600" i="3"/>
  <c r="M599" i="3"/>
  <c r="K599" i="3"/>
  <c r="J599" i="3"/>
  <c r="I599" i="3"/>
  <c r="H599" i="3"/>
  <c r="G599" i="3"/>
  <c r="F599" i="3"/>
  <c r="E599" i="3"/>
  <c r="D599" i="3"/>
  <c r="C599" i="3"/>
  <c r="B599" i="3"/>
  <c r="A599" i="3"/>
  <c r="M598" i="3"/>
  <c r="K598" i="3"/>
  <c r="J598" i="3"/>
  <c r="I598" i="3"/>
  <c r="H598" i="3"/>
  <c r="G598" i="3"/>
  <c r="F598" i="3"/>
  <c r="E598" i="3"/>
  <c r="D598" i="3"/>
  <c r="C598" i="3"/>
  <c r="B598" i="3"/>
  <c r="A598" i="3"/>
  <c r="M597" i="3"/>
  <c r="K597" i="3"/>
  <c r="J597" i="3"/>
  <c r="I597" i="3"/>
  <c r="H597" i="3"/>
  <c r="G597" i="3"/>
  <c r="F597" i="3"/>
  <c r="E597" i="3"/>
  <c r="D597" i="3"/>
  <c r="C597" i="3"/>
  <c r="B597" i="3"/>
  <c r="A597" i="3"/>
  <c r="M596" i="3"/>
  <c r="K596" i="3"/>
  <c r="J596" i="3"/>
  <c r="I596" i="3"/>
  <c r="H596" i="3"/>
  <c r="G596" i="3"/>
  <c r="F596" i="3"/>
  <c r="E596" i="3"/>
  <c r="D596" i="3"/>
  <c r="C596" i="3"/>
  <c r="B596" i="3"/>
  <c r="A596" i="3"/>
  <c r="M595" i="3"/>
  <c r="K595" i="3"/>
  <c r="J595" i="3"/>
  <c r="I595" i="3"/>
  <c r="H595" i="3"/>
  <c r="G595" i="3"/>
  <c r="F595" i="3"/>
  <c r="E595" i="3"/>
  <c r="D595" i="3"/>
  <c r="C595" i="3"/>
  <c r="B595" i="3"/>
  <c r="A595" i="3"/>
  <c r="M594" i="3"/>
  <c r="K594" i="3"/>
  <c r="J594" i="3"/>
  <c r="I594" i="3"/>
  <c r="H594" i="3"/>
  <c r="G594" i="3"/>
  <c r="F594" i="3"/>
  <c r="E594" i="3"/>
  <c r="D594" i="3"/>
  <c r="C594" i="3"/>
  <c r="B594" i="3"/>
  <c r="A594" i="3"/>
  <c r="M593" i="3"/>
  <c r="K593" i="3"/>
  <c r="J593" i="3"/>
  <c r="I593" i="3"/>
  <c r="H593" i="3"/>
  <c r="G593" i="3"/>
  <c r="F593" i="3"/>
  <c r="E593" i="3"/>
  <c r="D593" i="3"/>
  <c r="C593" i="3"/>
  <c r="B593" i="3"/>
  <c r="A593" i="3"/>
  <c r="M592" i="3"/>
  <c r="K592" i="3"/>
  <c r="J592" i="3"/>
  <c r="I592" i="3"/>
  <c r="H592" i="3"/>
  <c r="G592" i="3"/>
  <c r="F592" i="3"/>
  <c r="E592" i="3"/>
  <c r="D592" i="3"/>
  <c r="C592" i="3"/>
  <c r="B592" i="3"/>
  <c r="A592" i="3"/>
  <c r="M591" i="3"/>
  <c r="K591" i="3"/>
  <c r="J591" i="3"/>
  <c r="I591" i="3"/>
  <c r="H591" i="3"/>
  <c r="G591" i="3"/>
  <c r="F591" i="3"/>
  <c r="E591" i="3"/>
  <c r="D591" i="3"/>
  <c r="C591" i="3"/>
  <c r="B591" i="3"/>
  <c r="A591" i="3"/>
  <c r="M590" i="3"/>
  <c r="K590" i="3"/>
  <c r="J590" i="3"/>
  <c r="I590" i="3"/>
  <c r="H590" i="3"/>
  <c r="G590" i="3"/>
  <c r="F590" i="3"/>
  <c r="E590" i="3"/>
  <c r="D590" i="3"/>
  <c r="C590" i="3"/>
  <c r="B590" i="3"/>
  <c r="A590" i="3"/>
  <c r="M589" i="3"/>
  <c r="K589" i="3"/>
  <c r="J589" i="3"/>
  <c r="I589" i="3"/>
  <c r="H589" i="3"/>
  <c r="G589" i="3"/>
  <c r="F589" i="3"/>
  <c r="E589" i="3"/>
  <c r="D589" i="3"/>
  <c r="C589" i="3"/>
  <c r="B589" i="3"/>
  <c r="A589" i="3"/>
  <c r="M588" i="3"/>
  <c r="K588" i="3"/>
  <c r="J588" i="3"/>
  <c r="I588" i="3"/>
  <c r="H588" i="3"/>
  <c r="G588" i="3"/>
  <c r="F588" i="3"/>
  <c r="E588" i="3"/>
  <c r="D588" i="3"/>
  <c r="C588" i="3"/>
  <c r="B588" i="3"/>
  <c r="A588" i="3"/>
  <c r="M587" i="3"/>
  <c r="K587" i="3"/>
  <c r="J587" i="3"/>
  <c r="I587" i="3"/>
  <c r="H587" i="3"/>
  <c r="G587" i="3"/>
  <c r="F587" i="3"/>
  <c r="E587" i="3"/>
  <c r="D587" i="3"/>
  <c r="C587" i="3"/>
  <c r="B587" i="3"/>
  <c r="A587" i="3"/>
  <c r="M586" i="3"/>
  <c r="K586" i="3"/>
  <c r="J586" i="3"/>
  <c r="I586" i="3"/>
  <c r="H586" i="3"/>
  <c r="G586" i="3"/>
  <c r="F586" i="3"/>
  <c r="E586" i="3"/>
  <c r="D586" i="3"/>
  <c r="C586" i="3"/>
  <c r="B586" i="3"/>
  <c r="A586" i="3"/>
  <c r="M585" i="3"/>
  <c r="K585" i="3"/>
  <c r="J585" i="3"/>
  <c r="I585" i="3"/>
  <c r="H585" i="3"/>
  <c r="G585" i="3"/>
  <c r="F585" i="3"/>
  <c r="E585" i="3"/>
  <c r="D585" i="3"/>
  <c r="C585" i="3"/>
  <c r="B585" i="3"/>
  <c r="A585" i="3"/>
  <c r="M584" i="3"/>
  <c r="K584" i="3"/>
  <c r="J584" i="3"/>
  <c r="I584" i="3"/>
  <c r="H584" i="3"/>
  <c r="G584" i="3"/>
  <c r="F584" i="3"/>
  <c r="E584" i="3"/>
  <c r="D584" i="3"/>
  <c r="C584" i="3"/>
  <c r="B584" i="3"/>
  <c r="A584" i="3"/>
  <c r="M583" i="3"/>
  <c r="K583" i="3"/>
  <c r="J583" i="3"/>
  <c r="I583" i="3"/>
  <c r="H583" i="3"/>
  <c r="G583" i="3"/>
  <c r="F583" i="3"/>
  <c r="E583" i="3"/>
  <c r="D583" i="3"/>
  <c r="C583" i="3"/>
  <c r="B583" i="3"/>
  <c r="A583" i="3"/>
  <c r="M582" i="3"/>
  <c r="K582" i="3"/>
  <c r="J582" i="3"/>
  <c r="I582" i="3"/>
  <c r="H582" i="3"/>
  <c r="G582" i="3"/>
  <c r="F582" i="3"/>
  <c r="E582" i="3"/>
  <c r="D582" i="3"/>
  <c r="C582" i="3"/>
  <c r="B582" i="3"/>
  <c r="A582" i="3"/>
  <c r="M581" i="3"/>
  <c r="K581" i="3"/>
  <c r="J581" i="3"/>
  <c r="I581" i="3"/>
  <c r="H581" i="3"/>
  <c r="G581" i="3"/>
  <c r="F581" i="3"/>
  <c r="E581" i="3"/>
  <c r="D581" i="3"/>
  <c r="C581" i="3"/>
  <c r="B581" i="3"/>
  <c r="A581" i="3"/>
  <c r="M580" i="3"/>
  <c r="K580" i="3"/>
  <c r="J580" i="3"/>
  <c r="I580" i="3"/>
  <c r="H580" i="3"/>
  <c r="G580" i="3"/>
  <c r="F580" i="3"/>
  <c r="E580" i="3"/>
  <c r="D580" i="3"/>
  <c r="C580" i="3"/>
  <c r="B580" i="3"/>
  <c r="A580" i="3"/>
  <c r="M579" i="3"/>
  <c r="K579" i="3"/>
  <c r="J579" i="3"/>
  <c r="I579" i="3"/>
  <c r="H579" i="3"/>
  <c r="G579" i="3"/>
  <c r="F579" i="3"/>
  <c r="E579" i="3"/>
  <c r="D579" i="3"/>
  <c r="C579" i="3"/>
  <c r="B579" i="3"/>
  <c r="A579" i="3"/>
  <c r="M578" i="3"/>
  <c r="K578" i="3"/>
  <c r="J578" i="3"/>
  <c r="I578" i="3"/>
  <c r="H578" i="3"/>
  <c r="G578" i="3"/>
  <c r="F578" i="3"/>
  <c r="E578" i="3"/>
  <c r="D578" i="3"/>
  <c r="C578" i="3"/>
  <c r="B578" i="3"/>
  <c r="A578" i="3"/>
  <c r="M577" i="3"/>
  <c r="K577" i="3"/>
  <c r="J577" i="3"/>
  <c r="I577" i="3"/>
  <c r="H577" i="3"/>
  <c r="G577" i="3"/>
  <c r="F577" i="3"/>
  <c r="E577" i="3"/>
  <c r="D577" i="3"/>
  <c r="C577" i="3"/>
  <c r="B577" i="3"/>
  <c r="A577" i="3"/>
  <c r="M576" i="3"/>
  <c r="K576" i="3"/>
  <c r="J576" i="3"/>
  <c r="I576" i="3"/>
  <c r="H576" i="3"/>
  <c r="G576" i="3"/>
  <c r="F576" i="3"/>
  <c r="E576" i="3"/>
  <c r="D576" i="3"/>
  <c r="C576" i="3"/>
  <c r="B576" i="3"/>
  <c r="A576" i="3"/>
  <c r="M575" i="3"/>
  <c r="K575" i="3"/>
  <c r="J575" i="3"/>
  <c r="I575" i="3"/>
  <c r="H575" i="3"/>
  <c r="G575" i="3"/>
  <c r="F575" i="3"/>
  <c r="E575" i="3"/>
  <c r="D575" i="3"/>
  <c r="C575" i="3"/>
  <c r="B575" i="3"/>
  <c r="A575" i="3"/>
  <c r="M574" i="3"/>
  <c r="K574" i="3"/>
  <c r="J574" i="3"/>
  <c r="I574" i="3"/>
  <c r="H574" i="3"/>
  <c r="G574" i="3"/>
  <c r="F574" i="3"/>
  <c r="E574" i="3"/>
  <c r="D574" i="3"/>
  <c r="C574" i="3"/>
  <c r="B574" i="3"/>
  <c r="A574" i="3"/>
  <c r="M573" i="3"/>
  <c r="K573" i="3"/>
  <c r="J573" i="3"/>
  <c r="I573" i="3"/>
  <c r="H573" i="3"/>
  <c r="G573" i="3"/>
  <c r="F573" i="3"/>
  <c r="E573" i="3"/>
  <c r="D573" i="3"/>
  <c r="C573" i="3"/>
  <c r="B573" i="3"/>
  <c r="A573" i="3"/>
  <c r="M572" i="3"/>
  <c r="K572" i="3"/>
  <c r="J572" i="3"/>
  <c r="I572" i="3"/>
  <c r="H572" i="3"/>
  <c r="G572" i="3"/>
  <c r="F572" i="3"/>
  <c r="E572" i="3"/>
  <c r="D572" i="3"/>
  <c r="C572" i="3"/>
  <c r="B572" i="3"/>
  <c r="A572" i="3"/>
  <c r="M571" i="3"/>
  <c r="K571" i="3"/>
  <c r="J571" i="3"/>
  <c r="I571" i="3"/>
  <c r="H571" i="3"/>
  <c r="G571" i="3"/>
  <c r="F571" i="3"/>
  <c r="E571" i="3"/>
  <c r="D571" i="3"/>
  <c r="C571" i="3"/>
  <c r="B571" i="3"/>
  <c r="A571" i="3"/>
  <c r="M570" i="3"/>
  <c r="K570" i="3"/>
  <c r="J570" i="3"/>
  <c r="I570" i="3"/>
  <c r="H570" i="3"/>
  <c r="G570" i="3"/>
  <c r="F570" i="3"/>
  <c r="E570" i="3"/>
  <c r="D570" i="3"/>
  <c r="C570" i="3"/>
  <c r="B570" i="3"/>
  <c r="A570" i="3"/>
  <c r="M569" i="3"/>
  <c r="K569" i="3"/>
  <c r="J569" i="3"/>
  <c r="I569" i="3"/>
  <c r="H569" i="3"/>
  <c r="G569" i="3"/>
  <c r="F569" i="3"/>
  <c r="E569" i="3"/>
  <c r="D569" i="3"/>
  <c r="C569" i="3"/>
  <c r="B569" i="3"/>
  <c r="A569" i="3"/>
  <c r="M568" i="3"/>
  <c r="K568" i="3"/>
  <c r="J568" i="3"/>
  <c r="I568" i="3"/>
  <c r="H568" i="3"/>
  <c r="G568" i="3"/>
  <c r="F568" i="3"/>
  <c r="E568" i="3"/>
  <c r="D568" i="3"/>
  <c r="C568" i="3"/>
  <c r="B568" i="3"/>
  <c r="A568" i="3"/>
  <c r="M567" i="3"/>
  <c r="K567" i="3"/>
  <c r="J567" i="3"/>
  <c r="I567" i="3"/>
  <c r="H567" i="3"/>
  <c r="G567" i="3"/>
  <c r="F567" i="3"/>
  <c r="E567" i="3"/>
  <c r="D567" i="3"/>
  <c r="C567" i="3"/>
  <c r="B567" i="3"/>
  <c r="A567" i="3"/>
  <c r="M566" i="3"/>
  <c r="K566" i="3"/>
  <c r="J566" i="3"/>
  <c r="I566" i="3"/>
  <c r="H566" i="3"/>
  <c r="G566" i="3"/>
  <c r="F566" i="3"/>
  <c r="E566" i="3"/>
  <c r="D566" i="3"/>
  <c r="C566" i="3"/>
  <c r="B566" i="3"/>
  <c r="A566" i="3"/>
  <c r="M565" i="3"/>
  <c r="K565" i="3"/>
  <c r="J565" i="3"/>
  <c r="I565" i="3"/>
  <c r="H565" i="3"/>
  <c r="G565" i="3"/>
  <c r="F565" i="3"/>
  <c r="E565" i="3"/>
  <c r="D565" i="3"/>
  <c r="C565" i="3"/>
  <c r="B565" i="3"/>
  <c r="A565" i="3"/>
  <c r="M564" i="3"/>
  <c r="K564" i="3"/>
  <c r="J564" i="3"/>
  <c r="I564" i="3"/>
  <c r="H564" i="3"/>
  <c r="G564" i="3"/>
  <c r="F564" i="3"/>
  <c r="E564" i="3"/>
  <c r="D564" i="3"/>
  <c r="C564" i="3"/>
  <c r="B564" i="3"/>
  <c r="A564" i="3"/>
  <c r="M563" i="3"/>
  <c r="K563" i="3"/>
  <c r="J563" i="3"/>
  <c r="I563" i="3"/>
  <c r="H563" i="3"/>
  <c r="G563" i="3"/>
  <c r="F563" i="3"/>
  <c r="E563" i="3"/>
  <c r="D563" i="3"/>
  <c r="C563" i="3"/>
  <c r="B563" i="3"/>
  <c r="A563" i="3"/>
  <c r="M562" i="3"/>
  <c r="K562" i="3"/>
  <c r="J562" i="3"/>
  <c r="I562" i="3"/>
  <c r="H562" i="3"/>
  <c r="G562" i="3"/>
  <c r="F562" i="3"/>
  <c r="E562" i="3"/>
  <c r="D562" i="3"/>
  <c r="C562" i="3"/>
  <c r="B562" i="3"/>
  <c r="A562" i="3"/>
  <c r="M561" i="3"/>
  <c r="K561" i="3"/>
  <c r="J561" i="3"/>
  <c r="I561" i="3"/>
  <c r="H561" i="3"/>
  <c r="G561" i="3"/>
  <c r="F561" i="3"/>
  <c r="E561" i="3"/>
  <c r="D561" i="3"/>
  <c r="C561" i="3"/>
  <c r="B561" i="3"/>
  <c r="A561" i="3"/>
  <c r="M560" i="3"/>
  <c r="K560" i="3"/>
  <c r="J560" i="3"/>
  <c r="I560" i="3"/>
  <c r="H560" i="3"/>
  <c r="G560" i="3"/>
  <c r="F560" i="3"/>
  <c r="E560" i="3"/>
  <c r="D560" i="3"/>
  <c r="C560" i="3"/>
  <c r="B560" i="3"/>
  <c r="A560" i="3"/>
  <c r="M559" i="3"/>
  <c r="K559" i="3"/>
  <c r="J559" i="3"/>
  <c r="I559" i="3"/>
  <c r="H559" i="3"/>
  <c r="G559" i="3"/>
  <c r="F559" i="3"/>
  <c r="E559" i="3"/>
  <c r="D559" i="3"/>
  <c r="C559" i="3"/>
  <c r="B559" i="3"/>
  <c r="A559" i="3"/>
  <c r="M558" i="3"/>
  <c r="K558" i="3"/>
  <c r="J558" i="3"/>
  <c r="I558" i="3"/>
  <c r="H558" i="3"/>
  <c r="G558" i="3"/>
  <c r="F558" i="3"/>
  <c r="E558" i="3"/>
  <c r="D558" i="3"/>
  <c r="C558" i="3"/>
  <c r="B558" i="3"/>
  <c r="A558" i="3"/>
  <c r="M557" i="3"/>
  <c r="K557" i="3"/>
  <c r="J557" i="3"/>
  <c r="I557" i="3"/>
  <c r="H557" i="3"/>
  <c r="G557" i="3"/>
  <c r="F557" i="3"/>
  <c r="E557" i="3"/>
  <c r="D557" i="3"/>
  <c r="C557" i="3"/>
  <c r="B557" i="3"/>
  <c r="A557" i="3"/>
  <c r="M556" i="3"/>
  <c r="K556" i="3"/>
  <c r="J556" i="3"/>
  <c r="I556" i="3"/>
  <c r="H556" i="3"/>
  <c r="G556" i="3"/>
  <c r="F556" i="3"/>
  <c r="E556" i="3"/>
  <c r="D556" i="3"/>
  <c r="C556" i="3"/>
  <c r="B556" i="3"/>
  <c r="A556" i="3"/>
  <c r="M555" i="3"/>
  <c r="K555" i="3"/>
  <c r="J555" i="3"/>
  <c r="I555" i="3"/>
  <c r="H555" i="3"/>
  <c r="G555" i="3"/>
  <c r="F555" i="3"/>
  <c r="E555" i="3"/>
  <c r="D555" i="3"/>
  <c r="C555" i="3"/>
  <c r="B555" i="3"/>
  <c r="A555" i="3"/>
  <c r="M554" i="3"/>
  <c r="K554" i="3"/>
  <c r="J554" i="3"/>
  <c r="I554" i="3"/>
  <c r="H554" i="3"/>
  <c r="G554" i="3"/>
  <c r="F554" i="3"/>
  <c r="E554" i="3"/>
  <c r="D554" i="3"/>
  <c r="C554" i="3"/>
  <c r="B554" i="3"/>
  <c r="A554" i="3"/>
  <c r="M553" i="3"/>
  <c r="K553" i="3"/>
  <c r="J553" i="3"/>
  <c r="I553" i="3"/>
  <c r="H553" i="3"/>
  <c r="G553" i="3"/>
  <c r="F553" i="3"/>
  <c r="E553" i="3"/>
  <c r="D553" i="3"/>
  <c r="C553" i="3"/>
  <c r="B553" i="3"/>
  <c r="A553" i="3"/>
  <c r="M552" i="3"/>
  <c r="K552" i="3"/>
  <c r="J552" i="3"/>
  <c r="I552" i="3"/>
  <c r="H552" i="3"/>
  <c r="G552" i="3"/>
  <c r="F552" i="3"/>
  <c r="E552" i="3"/>
  <c r="D552" i="3"/>
  <c r="C552" i="3"/>
  <c r="B552" i="3"/>
  <c r="A552" i="3"/>
  <c r="M551" i="3"/>
  <c r="K551" i="3"/>
  <c r="J551" i="3"/>
  <c r="I551" i="3"/>
  <c r="H551" i="3"/>
  <c r="G551" i="3"/>
  <c r="F551" i="3"/>
  <c r="E551" i="3"/>
  <c r="D551" i="3"/>
  <c r="C551" i="3"/>
  <c r="B551" i="3"/>
  <c r="A551" i="3"/>
  <c r="M550" i="3"/>
  <c r="K550" i="3"/>
  <c r="J550" i="3"/>
  <c r="I550" i="3"/>
  <c r="H550" i="3"/>
  <c r="G550" i="3"/>
  <c r="F550" i="3"/>
  <c r="E550" i="3"/>
  <c r="D550" i="3"/>
  <c r="C550" i="3"/>
  <c r="B550" i="3"/>
  <c r="A550" i="3"/>
  <c r="M549" i="3"/>
  <c r="K549" i="3"/>
  <c r="J549" i="3"/>
  <c r="I549" i="3"/>
  <c r="H549" i="3"/>
  <c r="G549" i="3"/>
  <c r="F549" i="3"/>
  <c r="E549" i="3"/>
  <c r="D549" i="3"/>
  <c r="C549" i="3"/>
  <c r="B549" i="3"/>
  <c r="A549" i="3"/>
  <c r="M548" i="3"/>
  <c r="K548" i="3"/>
  <c r="J548" i="3"/>
  <c r="I548" i="3"/>
  <c r="H548" i="3"/>
  <c r="G548" i="3"/>
  <c r="F548" i="3"/>
  <c r="E548" i="3"/>
  <c r="D548" i="3"/>
  <c r="C548" i="3"/>
  <c r="B548" i="3"/>
  <c r="A548" i="3"/>
  <c r="M547" i="3"/>
  <c r="K547" i="3"/>
  <c r="J547" i="3"/>
  <c r="I547" i="3"/>
  <c r="H547" i="3"/>
  <c r="G547" i="3"/>
  <c r="F547" i="3"/>
  <c r="E547" i="3"/>
  <c r="D547" i="3"/>
  <c r="C547" i="3"/>
  <c r="B547" i="3"/>
  <c r="A547" i="3"/>
  <c r="M546" i="3"/>
  <c r="K546" i="3"/>
  <c r="J546" i="3"/>
  <c r="I546" i="3"/>
  <c r="H546" i="3"/>
  <c r="G546" i="3"/>
  <c r="F546" i="3"/>
  <c r="E546" i="3"/>
  <c r="D546" i="3"/>
  <c r="C546" i="3"/>
  <c r="B546" i="3"/>
  <c r="A546" i="3"/>
  <c r="M545" i="3"/>
  <c r="K545" i="3"/>
  <c r="J545" i="3"/>
  <c r="I545" i="3"/>
  <c r="H545" i="3"/>
  <c r="G545" i="3"/>
  <c r="F545" i="3"/>
  <c r="E545" i="3"/>
  <c r="D545" i="3"/>
  <c r="C545" i="3"/>
  <c r="B545" i="3"/>
  <c r="A545" i="3"/>
  <c r="M544" i="3"/>
  <c r="K544" i="3"/>
  <c r="J544" i="3"/>
  <c r="I544" i="3"/>
  <c r="H544" i="3"/>
  <c r="G544" i="3"/>
  <c r="F544" i="3"/>
  <c r="E544" i="3"/>
  <c r="D544" i="3"/>
  <c r="C544" i="3"/>
  <c r="B544" i="3"/>
  <c r="A544" i="3"/>
  <c r="M543" i="3"/>
  <c r="K543" i="3"/>
  <c r="J543" i="3"/>
  <c r="I543" i="3"/>
  <c r="H543" i="3"/>
  <c r="G543" i="3"/>
  <c r="F543" i="3"/>
  <c r="E543" i="3"/>
  <c r="D543" i="3"/>
  <c r="C543" i="3"/>
  <c r="B543" i="3"/>
  <c r="A543" i="3"/>
  <c r="M542" i="3"/>
  <c r="K542" i="3"/>
  <c r="J542" i="3"/>
  <c r="I542" i="3"/>
  <c r="H542" i="3"/>
  <c r="G542" i="3"/>
  <c r="F542" i="3"/>
  <c r="E542" i="3"/>
  <c r="D542" i="3"/>
  <c r="C542" i="3"/>
  <c r="B542" i="3"/>
  <c r="A542" i="3"/>
  <c r="M541" i="3"/>
  <c r="K541" i="3"/>
  <c r="J541" i="3"/>
  <c r="I541" i="3"/>
  <c r="H541" i="3"/>
  <c r="G541" i="3"/>
  <c r="F541" i="3"/>
  <c r="E541" i="3"/>
  <c r="D541" i="3"/>
  <c r="C541" i="3"/>
  <c r="B541" i="3"/>
  <c r="A541" i="3"/>
  <c r="M540" i="3"/>
  <c r="K540" i="3"/>
  <c r="J540" i="3"/>
  <c r="I540" i="3"/>
  <c r="H540" i="3"/>
  <c r="G540" i="3"/>
  <c r="F540" i="3"/>
  <c r="E540" i="3"/>
  <c r="D540" i="3"/>
  <c r="C540" i="3"/>
  <c r="B540" i="3"/>
  <c r="A540" i="3"/>
  <c r="M539" i="3"/>
  <c r="K539" i="3"/>
  <c r="J539" i="3"/>
  <c r="I539" i="3"/>
  <c r="H539" i="3"/>
  <c r="G539" i="3"/>
  <c r="F539" i="3"/>
  <c r="E539" i="3"/>
  <c r="D539" i="3"/>
  <c r="C539" i="3"/>
  <c r="B539" i="3"/>
  <c r="A539" i="3"/>
  <c r="M538" i="3"/>
  <c r="K538" i="3"/>
  <c r="J538" i="3"/>
  <c r="I538" i="3"/>
  <c r="H538" i="3"/>
  <c r="G538" i="3"/>
  <c r="F538" i="3"/>
  <c r="E538" i="3"/>
  <c r="D538" i="3"/>
  <c r="C538" i="3"/>
  <c r="B538" i="3"/>
  <c r="A538" i="3"/>
  <c r="M537" i="3"/>
  <c r="K537" i="3"/>
  <c r="J537" i="3"/>
  <c r="I537" i="3"/>
  <c r="H537" i="3"/>
  <c r="G537" i="3"/>
  <c r="F537" i="3"/>
  <c r="E537" i="3"/>
  <c r="D537" i="3"/>
  <c r="C537" i="3"/>
  <c r="B537" i="3"/>
  <c r="A537" i="3"/>
  <c r="M536" i="3"/>
  <c r="K536" i="3"/>
  <c r="J536" i="3"/>
  <c r="I536" i="3"/>
  <c r="H536" i="3"/>
  <c r="G536" i="3"/>
  <c r="F536" i="3"/>
  <c r="E536" i="3"/>
  <c r="D536" i="3"/>
  <c r="C536" i="3"/>
  <c r="B536" i="3"/>
  <c r="A536" i="3"/>
  <c r="M535" i="3"/>
  <c r="K535" i="3"/>
  <c r="J535" i="3"/>
  <c r="I535" i="3"/>
  <c r="H535" i="3"/>
  <c r="G535" i="3"/>
  <c r="F535" i="3"/>
  <c r="E535" i="3"/>
  <c r="D535" i="3"/>
  <c r="C535" i="3"/>
  <c r="B535" i="3"/>
  <c r="A535" i="3"/>
  <c r="M534" i="3"/>
  <c r="K534" i="3"/>
  <c r="J534" i="3"/>
  <c r="I534" i="3"/>
  <c r="H534" i="3"/>
  <c r="G534" i="3"/>
  <c r="F534" i="3"/>
  <c r="E534" i="3"/>
  <c r="D534" i="3"/>
  <c r="C534" i="3"/>
  <c r="B534" i="3"/>
  <c r="A534" i="3"/>
  <c r="M533" i="3"/>
  <c r="K533" i="3"/>
  <c r="J533" i="3"/>
  <c r="I533" i="3"/>
  <c r="H533" i="3"/>
  <c r="G533" i="3"/>
  <c r="F533" i="3"/>
  <c r="E533" i="3"/>
  <c r="D533" i="3"/>
  <c r="C533" i="3"/>
  <c r="B533" i="3"/>
  <c r="A533" i="3"/>
  <c r="M532" i="3"/>
  <c r="K532" i="3"/>
  <c r="J532" i="3"/>
  <c r="I532" i="3"/>
  <c r="H532" i="3"/>
  <c r="G532" i="3"/>
  <c r="F532" i="3"/>
  <c r="E532" i="3"/>
  <c r="D532" i="3"/>
  <c r="C532" i="3"/>
  <c r="B532" i="3"/>
  <c r="A532" i="3"/>
  <c r="M531" i="3"/>
  <c r="K531" i="3"/>
  <c r="J531" i="3"/>
  <c r="I531" i="3"/>
  <c r="H531" i="3"/>
  <c r="G531" i="3"/>
  <c r="F531" i="3"/>
  <c r="E531" i="3"/>
  <c r="D531" i="3"/>
  <c r="C531" i="3"/>
  <c r="B531" i="3"/>
  <c r="A531" i="3"/>
  <c r="M530" i="3"/>
  <c r="K530" i="3"/>
  <c r="J530" i="3"/>
  <c r="I530" i="3"/>
  <c r="H530" i="3"/>
  <c r="G530" i="3"/>
  <c r="F530" i="3"/>
  <c r="E530" i="3"/>
  <c r="D530" i="3"/>
  <c r="C530" i="3"/>
  <c r="B530" i="3"/>
  <c r="A530" i="3"/>
  <c r="M529" i="3"/>
  <c r="K529" i="3"/>
  <c r="J529" i="3"/>
  <c r="I529" i="3"/>
  <c r="H529" i="3"/>
  <c r="G529" i="3"/>
  <c r="F529" i="3"/>
  <c r="E529" i="3"/>
  <c r="D529" i="3"/>
  <c r="C529" i="3"/>
  <c r="B529" i="3"/>
  <c r="A529" i="3"/>
  <c r="M528" i="3"/>
  <c r="K528" i="3"/>
  <c r="J528" i="3"/>
  <c r="I528" i="3"/>
  <c r="H528" i="3"/>
  <c r="G528" i="3"/>
  <c r="F528" i="3"/>
  <c r="E528" i="3"/>
  <c r="D528" i="3"/>
  <c r="C528" i="3"/>
  <c r="B528" i="3"/>
  <c r="A528" i="3"/>
  <c r="M527" i="3"/>
  <c r="K527" i="3"/>
  <c r="J527" i="3"/>
  <c r="I527" i="3"/>
  <c r="H527" i="3"/>
  <c r="G527" i="3"/>
  <c r="F527" i="3"/>
  <c r="E527" i="3"/>
  <c r="D527" i="3"/>
  <c r="C527" i="3"/>
  <c r="B527" i="3"/>
  <c r="A527" i="3"/>
  <c r="M526" i="3"/>
  <c r="K526" i="3"/>
  <c r="J526" i="3"/>
  <c r="I526" i="3"/>
  <c r="H526" i="3"/>
  <c r="G526" i="3"/>
  <c r="F526" i="3"/>
  <c r="E526" i="3"/>
  <c r="D526" i="3"/>
  <c r="C526" i="3"/>
  <c r="B526" i="3"/>
  <c r="A526" i="3"/>
  <c r="M525" i="3"/>
  <c r="K525" i="3"/>
  <c r="J525" i="3"/>
  <c r="I525" i="3"/>
  <c r="H525" i="3"/>
  <c r="G525" i="3"/>
  <c r="F525" i="3"/>
  <c r="E525" i="3"/>
  <c r="D525" i="3"/>
  <c r="C525" i="3"/>
  <c r="B525" i="3"/>
  <c r="A525" i="3"/>
  <c r="M524" i="3"/>
  <c r="K524" i="3"/>
  <c r="J524" i="3"/>
  <c r="I524" i="3"/>
  <c r="H524" i="3"/>
  <c r="G524" i="3"/>
  <c r="F524" i="3"/>
  <c r="E524" i="3"/>
  <c r="D524" i="3"/>
  <c r="C524" i="3"/>
  <c r="B524" i="3"/>
  <c r="A524" i="3"/>
  <c r="M523" i="3"/>
  <c r="K523" i="3"/>
  <c r="J523" i="3"/>
  <c r="I523" i="3"/>
  <c r="H523" i="3"/>
  <c r="G523" i="3"/>
  <c r="F523" i="3"/>
  <c r="E523" i="3"/>
  <c r="D523" i="3"/>
  <c r="C523" i="3"/>
  <c r="B523" i="3"/>
  <c r="A523" i="3"/>
  <c r="M522" i="3"/>
  <c r="K522" i="3"/>
  <c r="J522" i="3"/>
  <c r="I522" i="3"/>
  <c r="H522" i="3"/>
  <c r="G522" i="3"/>
  <c r="F522" i="3"/>
  <c r="E522" i="3"/>
  <c r="D522" i="3"/>
  <c r="C522" i="3"/>
  <c r="B522" i="3"/>
  <c r="A522" i="3"/>
  <c r="M521" i="3"/>
  <c r="K521" i="3"/>
  <c r="J521" i="3"/>
  <c r="I521" i="3"/>
  <c r="H521" i="3"/>
  <c r="G521" i="3"/>
  <c r="F521" i="3"/>
  <c r="E521" i="3"/>
  <c r="D521" i="3"/>
  <c r="C521" i="3"/>
  <c r="B521" i="3"/>
  <c r="A521" i="3"/>
  <c r="M520" i="3"/>
  <c r="K520" i="3"/>
  <c r="J520" i="3"/>
  <c r="I520" i="3"/>
  <c r="H520" i="3"/>
  <c r="G520" i="3"/>
  <c r="F520" i="3"/>
  <c r="E520" i="3"/>
  <c r="D520" i="3"/>
  <c r="C520" i="3"/>
  <c r="B520" i="3"/>
  <c r="A520" i="3"/>
  <c r="M519" i="3"/>
  <c r="K519" i="3"/>
  <c r="J519" i="3"/>
  <c r="I519" i="3"/>
  <c r="H519" i="3"/>
  <c r="G519" i="3"/>
  <c r="F519" i="3"/>
  <c r="E519" i="3"/>
  <c r="D519" i="3"/>
  <c r="C519" i="3"/>
  <c r="B519" i="3"/>
  <c r="A519" i="3"/>
  <c r="M518" i="3"/>
  <c r="K518" i="3"/>
  <c r="J518" i="3"/>
  <c r="I518" i="3"/>
  <c r="H518" i="3"/>
  <c r="G518" i="3"/>
  <c r="F518" i="3"/>
  <c r="E518" i="3"/>
  <c r="D518" i="3"/>
  <c r="C518" i="3"/>
  <c r="B518" i="3"/>
  <c r="A518" i="3"/>
  <c r="M517" i="3"/>
  <c r="K517" i="3"/>
  <c r="J517" i="3"/>
  <c r="I517" i="3"/>
  <c r="H517" i="3"/>
  <c r="G517" i="3"/>
  <c r="F517" i="3"/>
  <c r="E517" i="3"/>
  <c r="D517" i="3"/>
  <c r="C517" i="3"/>
  <c r="B517" i="3"/>
  <c r="A517" i="3"/>
  <c r="M516" i="3"/>
  <c r="K516" i="3"/>
  <c r="J516" i="3"/>
  <c r="I516" i="3"/>
  <c r="H516" i="3"/>
  <c r="G516" i="3"/>
  <c r="F516" i="3"/>
  <c r="E516" i="3"/>
  <c r="D516" i="3"/>
  <c r="C516" i="3"/>
  <c r="B516" i="3"/>
  <c r="A516" i="3"/>
  <c r="M515" i="3"/>
  <c r="K515" i="3"/>
  <c r="J515" i="3"/>
  <c r="I515" i="3"/>
  <c r="H515" i="3"/>
  <c r="G515" i="3"/>
  <c r="F515" i="3"/>
  <c r="E515" i="3"/>
  <c r="D515" i="3"/>
  <c r="C515" i="3"/>
  <c r="B515" i="3"/>
  <c r="A515" i="3"/>
  <c r="M514" i="3"/>
  <c r="K514" i="3"/>
  <c r="J514" i="3"/>
  <c r="I514" i="3"/>
  <c r="H514" i="3"/>
  <c r="G514" i="3"/>
  <c r="F514" i="3"/>
  <c r="E514" i="3"/>
  <c r="D514" i="3"/>
  <c r="C514" i="3"/>
  <c r="B514" i="3"/>
  <c r="A514" i="3"/>
  <c r="M513" i="3"/>
  <c r="K513" i="3"/>
  <c r="J513" i="3"/>
  <c r="I513" i="3"/>
  <c r="H513" i="3"/>
  <c r="G513" i="3"/>
  <c r="F513" i="3"/>
  <c r="E513" i="3"/>
  <c r="D513" i="3"/>
  <c r="C513" i="3"/>
  <c r="B513" i="3"/>
  <c r="A513" i="3"/>
  <c r="M512" i="3"/>
  <c r="K512" i="3"/>
  <c r="J512" i="3"/>
  <c r="I512" i="3"/>
  <c r="H512" i="3"/>
  <c r="G512" i="3"/>
  <c r="F512" i="3"/>
  <c r="E512" i="3"/>
  <c r="D512" i="3"/>
  <c r="C512" i="3"/>
  <c r="B512" i="3"/>
  <c r="A512" i="3"/>
  <c r="M511" i="3"/>
  <c r="K511" i="3"/>
  <c r="J511" i="3"/>
  <c r="I511" i="3"/>
  <c r="H511" i="3"/>
  <c r="G511" i="3"/>
  <c r="F511" i="3"/>
  <c r="E511" i="3"/>
  <c r="D511" i="3"/>
  <c r="C511" i="3"/>
  <c r="B511" i="3"/>
  <c r="A511" i="3"/>
  <c r="M510" i="3"/>
  <c r="K510" i="3"/>
  <c r="J510" i="3"/>
  <c r="I510" i="3"/>
  <c r="H510" i="3"/>
  <c r="G510" i="3"/>
  <c r="F510" i="3"/>
  <c r="E510" i="3"/>
  <c r="D510" i="3"/>
  <c r="C510" i="3"/>
  <c r="B510" i="3"/>
  <c r="A510" i="3"/>
  <c r="M509" i="3"/>
  <c r="K509" i="3"/>
  <c r="J509" i="3"/>
  <c r="I509" i="3"/>
  <c r="H509" i="3"/>
  <c r="G509" i="3"/>
  <c r="F509" i="3"/>
  <c r="E509" i="3"/>
  <c r="D509" i="3"/>
  <c r="C509" i="3"/>
  <c r="B509" i="3"/>
  <c r="A509" i="3"/>
  <c r="M508" i="3"/>
  <c r="K508" i="3"/>
  <c r="J508" i="3"/>
  <c r="I508" i="3"/>
  <c r="H508" i="3"/>
  <c r="G508" i="3"/>
  <c r="F508" i="3"/>
  <c r="E508" i="3"/>
  <c r="D508" i="3"/>
  <c r="C508" i="3"/>
  <c r="B508" i="3"/>
  <c r="A508" i="3"/>
  <c r="M507" i="3"/>
  <c r="K507" i="3"/>
  <c r="J507" i="3"/>
  <c r="I507" i="3"/>
  <c r="H507" i="3"/>
  <c r="G507" i="3"/>
  <c r="F507" i="3"/>
  <c r="E507" i="3"/>
  <c r="D507" i="3"/>
  <c r="C507" i="3"/>
  <c r="B507" i="3"/>
  <c r="A507" i="3"/>
  <c r="M506" i="3"/>
  <c r="K506" i="3"/>
  <c r="J506" i="3"/>
  <c r="I506" i="3"/>
  <c r="H506" i="3"/>
  <c r="G506" i="3"/>
  <c r="F506" i="3"/>
  <c r="E506" i="3"/>
  <c r="D506" i="3"/>
  <c r="C506" i="3"/>
  <c r="B506" i="3"/>
  <c r="A506" i="3"/>
  <c r="M505" i="3"/>
  <c r="K505" i="3"/>
  <c r="J505" i="3"/>
  <c r="I505" i="3"/>
  <c r="H505" i="3"/>
  <c r="G505" i="3"/>
  <c r="F505" i="3"/>
  <c r="E505" i="3"/>
  <c r="D505" i="3"/>
  <c r="C505" i="3"/>
  <c r="B505" i="3"/>
  <c r="A505" i="3"/>
  <c r="M504" i="3"/>
  <c r="K504" i="3"/>
  <c r="J504" i="3"/>
  <c r="I504" i="3"/>
  <c r="H504" i="3"/>
  <c r="G504" i="3"/>
  <c r="F504" i="3"/>
  <c r="E504" i="3"/>
  <c r="D504" i="3"/>
  <c r="C504" i="3"/>
  <c r="B504" i="3"/>
  <c r="A504" i="3"/>
  <c r="M503" i="3"/>
  <c r="K503" i="3"/>
  <c r="J503" i="3"/>
  <c r="I503" i="3"/>
  <c r="H503" i="3"/>
  <c r="G503" i="3"/>
  <c r="F503" i="3"/>
  <c r="E503" i="3"/>
  <c r="D503" i="3"/>
  <c r="C503" i="3"/>
  <c r="B503" i="3"/>
  <c r="A503" i="3"/>
  <c r="M502" i="3"/>
  <c r="K502" i="3"/>
  <c r="J502" i="3"/>
  <c r="I502" i="3"/>
  <c r="H502" i="3"/>
  <c r="G502" i="3"/>
  <c r="F502" i="3"/>
  <c r="E502" i="3"/>
  <c r="D502" i="3"/>
  <c r="C502" i="3"/>
  <c r="B502" i="3"/>
  <c r="A502" i="3"/>
  <c r="M501" i="3"/>
  <c r="K501" i="3"/>
  <c r="J501" i="3"/>
  <c r="I501" i="3"/>
  <c r="H501" i="3"/>
  <c r="G501" i="3"/>
  <c r="F501" i="3"/>
  <c r="E501" i="3"/>
  <c r="D501" i="3"/>
  <c r="C501" i="3"/>
  <c r="B501" i="3"/>
  <c r="A501" i="3"/>
  <c r="M500" i="3"/>
  <c r="K500" i="3"/>
  <c r="J500" i="3"/>
  <c r="I500" i="3"/>
  <c r="H500" i="3"/>
  <c r="G500" i="3"/>
  <c r="F500" i="3"/>
  <c r="E500" i="3"/>
  <c r="D500" i="3"/>
  <c r="C500" i="3"/>
  <c r="B500" i="3"/>
  <c r="A500" i="3"/>
  <c r="M499" i="3"/>
  <c r="K499" i="3"/>
  <c r="J499" i="3"/>
  <c r="I499" i="3"/>
  <c r="H499" i="3"/>
  <c r="G499" i="3"/>
  <c r="F499" i="3"/>
  <c r="E499" i="3"/>
  <c r="D499" i="3"/>
  <c r="C499" i="3"/>
  <c r="B499" i="3"/>
  <c r="A499" i="3"/>
  <c r="M498" i="3"/>
  <c r="K498" i="3"/>
  <c r="J498" i="3"/>
  <c r="I498" i="3"/>
  <c r="H498" i="3"/>
  <c r="G498" i="3"/>
  <c r="F498" i="3"/>
  <c r="E498" i="3"/>
  <c r="D498" i="3"/>
  <c r="C498" i="3"/>
  <c r="B498" i="3"/>
  <c r="A498" i="3"/>
  <c r="M497" i="3"/>
  <c r="K497" i="3"/>
  <c r="J497" i="3"/>
  <c r="I497" i="3"/>
  <c r="H497" i="3"/>
  <c r="G497" i="3"/>
  <c r="F497" i="3"/>
  <c r="E497" i="3"/>
  <c r="D497" i="3"/>
  <c r="C497" i="3"/>
  <c r="B497" i="3"/>
  <c r="A497" i="3"/>
  <c r="M496" i="3"/>
  <c r="K496" i="3"/>
  <c r="J496" i="3"/>
  <c r="I496" i="3"/>
  <c r="H496" i="3"/>
  <c r="G496" i="3"/>
  <c r="F496" i="3"/>
  <c r="E496" i="3"/>
  <c r="D496" i="3"/>
  <c r="C496" i="3"/>
  <c r="B496" i="3"/>
  <c r="A496" i="3"/>
  <c r="M495" i="3"/>
  <c r="K495" i="3"/>
  <c r="J495" i="3"/>
  <c r="I495" i="3"/>
  <c r="H495" i="3"/>
  <c r="G495" i="3"/>
  <c r="F495" i="3"/>
  <c r="E495" i="3"/>
  <c r="D495" i="3"/>
  <c r="C495" i="3"/>
  <c r="B495" i="3"/>
  <c r="A495" i="3"/>
  <c r="M494" i="3"/>
  <c r="K494" i="3"/>
  <c r="J494" i="3"/>
  <c r="I494" i="3"/>
  <c r="H494" i="3"/>
  <c r="G494" i="3"/>
  <c r="F494" i="3"/>
  <c r="E494" i="3"/>
  <c r="D494" i="3"/>
  <c r="C494" i="3"/>
  <c r="B494" i="3"/>
  <c r="A494" i="3"/>
  <c r="M493" i="3"/>
  <c r="K493" i="3"/>
  <c r="J493" i="3"/>
  <c r="I493" i="3"/>
  <c r="H493" i="3"/>
  <c r="G493" i="3"/>
  <c r="F493" i="3"/>
  <c r="E493" i="3"/>
  <c r="D493" i="3"/>
  <c r="C493" i="3"/>
  <c r="B493" i="3"/>
  <c r="A493" i="3"/>
  <c r="M492" i="3"/>
  <c r="K492" i="3"/>
  <c r="J492" i="3"/>
  <c r="I492" i="3"/>
  <c r="H492" i="3"/>
  <c r="G492" i="3"/>
  <c r="F492" i="3"/>
  <c r="E492" i="3"/>
  <c r="D492" i="3"/>
  <c r="C492" i="3"/>
  <c r="B492" i="3"/>
  <c r="A492" i="3"/>
  <c r="M491" i="3"/>
  <c r="K491" i="3"/>
  <c r="J491" i="3"/>
  <c r="I491" i="3"/>
  <c r="H491" i="3"/>
  <c r="G491" i="3"/>
  <c r="F491" i="3"/>
  <c r="E491" i="3"/>
  <c r="D491" i="3"/>
  <c r="C491" i="3"/>
  <c r="B491" i="3"/>
  <c r="A491" i="3"/>
  <c r="M490" i="3"/>
  <c r="K490" i="3"/>
  <c r="J490" i="3"/>
  <c r="I490" i="3"/>
  <c r="H490" i="3"/>
  <c r="G490" i="3"/>
  <c r="F490" i="3"/>
  <c r="E490" i="3"/>
  <c r="D490" i="3"/>
  <c r="C490" i="3"/>
  <c r="B490" i="3"/>
  <c r="A490" i="3"/>
  <c r="M489" i="3"/>
  <c r="K489" i="3"/>
  <c r="J489" i="3"/>
  <c r="I489" i="3"/>
  <c r="H489" i="3"/>
  <c r="G489" i="3"/>
  <c r="F489" i="3"/>
  <c r="E489" i="3"/>
  <c r="D489" i="3"/>
  <c r="C489" i="3"/>
  <c r="B489" i="3"/>
  <c r="A489" i="3"/>
  <c r="M488" i="3"/>
  <c r="K488" i="3"/>
  <c r="J488" i="3"/>
  <c r="I488" i="3"/>
  <c r="H488" i="3"/>
  <c r="G488" i="3"/>
  <c r="F488" i="3"/>
  <c r="E488" i="3"/>
  <c r="D488" i="3"/>
  <c r="C488" i="3"/>
  <c r="B488" i="3"/>
  <c r="A488" i="3"/>
  <c r="M487" i="3"/>
  <c r="K487" i="3"/>
  <c r="J487" i="3"/>
  <c r="I487" i="3"/>
  <c r="H487" i="3"/>
  <c r="G487" i="3"/>
  <c r="F487" i="3"/>
  <c r="E487" i="3"/>
  <c r="D487" i="3"/>
  <c r="C487" i="3"/>
  <c r="B487" i="3"/>
  <c r="A487" i="3"/>
  <c r="M486" i="3"/>
  <c r="K486" i="3"/>
  <c r="J486" i="3"/>
  <c r="I486" i="3"/>
  <c r="H486" i="3"/>
  <c r="G486" i="3"/>
  <c r="F486" i="3"/>
  <c r="E486" i="3"/>
  <c r="D486" i="3"/>
  <c r="C486" i="3"/>
  <c r="B486" i="3"/>
  <c r="A486" i="3"/>
  <c r="M485" i="3"/>
  <c r="K485" i="3"/>
  <c r="J485" i="3"/>
  <c r="I485" i="3"/>
  <c r="H485" i="3"/>
  <c r="G485" i="3"/>
  <c r="F485" i="3"/>
  <c r="E485" i="3"/>
  <c r="D485" i="3"/>
  <c r="C485" i="3"/>
  <c r="B485" i="3"/>
  <c r="A485" i="3"/>
  <c r="M484" i="3"/>
  <c r="K484" i="3"/>
  <c r="J484" i="3"/>
  <c r="I484" i="3"/>
  <c r="H484" i="3"/>
  <c r="G484" i="3"/>
  <c r="F484" i="3"/>
  <c r="E484" i="3"/>
  <c r="D484" i="3"/>
  <c r="C484" i="3"/>
  <c r="B484" i="3"/>
  <c r="A484" i="3"/>
  <c r="M483" i="3"/>
  <c r="K483" i="3"/>
  <c r="J483" i="3"/>
  <c r="I483" i="3"/>
  <c r="H483" i="3"/>
  <c r="G483" i="3"/>
  <c r="F483" i="3"/>
  <c r="E483" i="3"/>
  <c r="D483" i="3"/>
  <c r="C483" i="3"/>
  <c r="B483" i="3"/>
  <c r="A483" i="3"/>
  <c r="M482" i="3"/>
  <c r="K482" i="3"/>
  <c r="J482" i="3"/>
  <c r="I482" i="3"/>
  <c r="H482" i="3"/>
  <c r="G482" i="3"/>
  <c r="F482" i="3"/>
  <c r="E482" i="3"/>
  <c r="D482" i="3"/>
  <c r="C482" i="3"/>
  <c r="B482" i="3"/>
  <c r="A482" i="3"/>
  <c r="M481" i="3"/>
  <c r="K481" i="3"/>
  <c r="J481" i="3"/>
  <c r="I481" i="3"/>
  <c r="H481" i="3"/>
  <c r="G481" i="3"/>
  <c r="F481" i="3"/>
  <c r="E481" i="3"/>
  <c r="D481" i="3"/>
  <c r="C481" i="3"/>
  <c r="B481" i="3"/>
  <c r="A481" i="3"/>
  <c r="M480" i="3"/>
  <c r="K480" i="3"/>
  <c r="J480" i="3"/>
  <c r="I480" i="3"/>
  <c r="H480" i="3"/>
  <c r="G480" i="3"/>
  <c r="F480" i="3"/>
  <c r="E480" i="3"/>
  <c r="D480" i="3"/>
  <c r="C480" i="3"/>
  <c r="B480" i="3"/>
  <c r="A480" i="3"/>
  <c r="M479" i="3"/>
  <c r="K479" i="3"/>
  <c r="J479" i="3"/>
  <c r="I479" i="3"/>
  <c r="H479" i="3"/>
  <c r="G479" i="3"/>
  <c r="F479" i="3"/>
  <c r="E479" i="3"/>
  <c r="D479" i="3"/>
  <c r="C479" i="3"/>
  <c r="B479" i="3"/>
  <c r="A479" i="3"/>
  <c r="M478" i="3"/>
  <c r="K478" i="3"/>
  <c r="J478" i="3"/>
  <c r="I478" i="3"/>
  <c r="H478" i="3"/>
  <c r="G478" i="3"/>
  <c r="F478" i="3"/>
  <c r="E478" i="3"/>
  <c r="D478" i="3"/>
  <c r="C478" i="3"/>
  <c r="B478" i="3"/>
  <c r="A478" i="3"/>
  <c r="M477" i="3"/>
  <c r="K477" i="3"/>
  <c r="J477" i="3"/>
  <c r="I477" i="3"/>
  <c r="H477" i="3"/>
  <c r="G477" i="3"/>
  <c r="F477" i="3"/>
  <c r="E477" i="3"/>
  <c r="D477" i="3"/>
  <c r="C477" i="3"/>
  <c r="B477" i="3"/>
  <c r="A477" i="3"/>
  <c r="M476" i="3"/>
  <c r="K476" i="3"/>
  <c r="J476" i="3"/>
  <c r="I476" i="3"/>
  <c r="H476" i="3"/>
  <c r="G476" i="3"/>
  <c r="F476" i="3"/>
  <c r="E476" i="3"/>
  <c r="D476" i="3"/>
  <c r="C476" i="3"/>
  <c r="B476" i="3"/>
  <c r="A476" i="3"/>
  <c r="M475" i="3"/>
  <c r="K475" i="3"/>
  <c r="J475" i="3"/>
  <c r="I475" i="3"/>
  <c r="H475" i="3"/>
  <c r="G475" i="3"/>
  <c r="F475" i="3"/>
  <c r="E475" i="3"/>
  <c r="D475" i="3"/>
  <c r="C475" i="3"/>
  <c r="B475" i="3"/>
  <c r="A475" i="3"/>
  <c r="M474" i="3"/>
  <c r="K474" i="3"/>
  <c r="J474" i="3"/>
  <c r="I474" i="3"/>
  <c r="H474" i="3"/>
  <c r="G474" i="3"/>
  <c r="F474" i="3"/>
  <c r="E474" i="3"/>
  <c r="D474" i="3"/>
  <c r="C474" i="3"/>
  <c r="B474" i="3"/>
  <c r="A474" i="3"/>
  <c r="M473" i="3"/>
  <c r="K473" i="3"/>
  <c r="J473" i="3"/>
  <c r="I473" i="3"/>
  <c r="H473" i="3"/>
  <c r="G473" i="3"/>
  <c r="F473" i="3"/>
  <c r="E473" i="3"/>
  <c r="D473" i="3"/>
  <c r="C473" i="3"/>
  <c r="B473" i="3"/>
  <c r="A473" i="3"/>
  <c r="M472" i="3"/>
  <c r="K472" i="3"/>
  <c r="J472" i="3"/>
  <c r="I472" i="3"/>
  <c r="H472" i="3"/>
  <c r="G472" i="3"/>
  <c r="F472" i="3"/>
  <c r="E472" i="3"/>
  <c r="D472" i="3"/>
  <c r="C472" i="3"/>
  <c r="B472" i="3"/>
  <c r="A472" i="3"/>
  <c r="M471" i="3"/>
  <c r="K471" i="3"/>
  <c r="J471" i="3"/>
  <c r="I471" i="3"/>
  <c r="H471" i="3"/>
  <c r="G471" i="3"/>
  <c r="F471" i="3"/>
  <c r="E471" i="3"/>
  <c r="D471" i="3"/>
  <c r="C471" i="3"/>
  <c r="B471" i="3"/>
  <c r="A471" i="3"/>
  <c r="M470" i="3"/>
  <c r="K470" i="3"/>
  <c r="J470" i="3"/>
  <c r="I470" i="3"/>
  <c r="H470" i="3"/>
  <c r="G470" i="3"/>
  <c r="F470" i="3"/>
  <c r="E470" i="3"/>
  <c r="D470" i="3"/>
  <c r="C470" i="3"/>
  <c r="B470" i="3"/>
  <c r="A470" i="3"/>
  <c r="M469" i="3"/>
  <c r="K469" i="3"/>
  <c r="J469" i="3"/>
  <c r="I469" i="3"/>
  <c r="H469" i="3"/>
  <c r="G469" i="3"/>
  <c r="F469" i="3"/>
  <c r="E469" i="3"/>
  <c r="D469" i="3"/>
  <c r="C469" i="3"/>
  <c r="B469" i="3"/>
  <c r="A469" i="3"/>
  <c r="M468" i="3"/>
  <c r="K468" i="3"/>
  <c r="J468" i="3"/>
  <c r="I468" i="3"/>
  <c r="H468" i="3"/>
  <c r="G468" i="3"/>
  <c r="F468" i="3"/>
  <c r="E468" i="3"/>
  <c r="D468" i="3"/>
  <c r="C468" i="3"/>
  <c r="B468" i="3"/>
  <c r="A468" i="3"/>
  <c r="M467" i="3"/>
  <c r="K467" i="3"/>
  <c r="J467" i="3"/>
  <c r="I467" i="3"/>
  <c r="H467" i="3"/>
  <c r="G467" i="3"/>
  <c r="F467" i="3"/>
  <c r="E467" i="3"/>
  <c r="D467" i="3"/>
  <c r="C467" i="3"/>
  <c r="B467" i="3"/>
  <c r="A467" i="3"/>
  <c r="M466" i="3"/>
  <c r="K466" i="3"/>
  <c r="J466" i="3"/>
  <c r="I466" i="3"/>
  <c r="H466" i="3"/>
  <c r="G466" i="3"/>
  <c r="F466" i="3"/>
  <c r="E466" i="3"/>
  <c r="D466" i="3"/>
  <c r="C466" i="3"/>
  <c r="B466" i="3"/>
  <c r="A466" i="3"/>
  <c r="M465" i="3"/>
  <c r="K465" i="3"/>
  <c r="J465" i="3"/>
  <c r="I465" i="3"/>
  <c r="H465" i="3"/>
  <c r="G465" i="3"/>
  <c r="F465" i="3"/>
  <c r="E465" i="3"/>
  <c r="D465" i="3"/>
  <c r="C465" i="3"/>
  <c r="B465" i="3"/>
  <c r="A465" i="3"/>
  <c r="M464" i="3"/>
  <c r="K464" i="3"/>
  <c r="J464" i="3"/>
  <c r="I464" i="3"/>
  <c r="H464" i="3"/>
  <c r="G464" i="3"/>
  <c r="F464" i="3"/>
  <c r="E464" i="3"/>
  <c r="D464" i="3"/>
  <c r="C464" i="3"/>
  <c r="B464" i="3"/>
  <c r="A464" i="3"/>
  <c r="M463" i="3"/>
  <c r="K463" i="3"/>
  <c r="J463" i="3"/>
  <c r="I463" i="3"/>
  <c r="H463" i="3"/>
  <c r="G463" i="3"/>
  <c r="F463" i="3"/>
  <c r="E463" i="3"/>
  <c r="D463" i="3"/>
  <c r="C463" i="3"/>
  <c r="B463" i="3"/>
  <c r="A463" i="3"/>
  <c r="M462" i="3"/>
  <c r="K462" i="3"/>
  <c r="J462" i="3"/>
  <c r="I462" i="3"/>
  <c r="H462" i="3"/>
  <c r="G462" i="3"/>
  <c r="F462" i="3"/>
  <c r="E462" i="3"/>
  <c r="D462" i="3"/>
  <c r="C462" i="3"/>
  <c r="B462" i="3"/>
  <c r="A462" i="3"/>
  <c r="M461" i="3"/>
  <c r="K461" i="3"/>
  <c r="J461" i="3"/>
  <c r="I461" i="3"/>
  <c r="H461" i="3"/>
  <c r="G461" i="3"/>
  <c r="F461" i="3"/>
  <c r="E461" i="3"/>
  <c r="D461" i="3"/>
  <c r="C461" i="3"/>
  <c r="B461" i="3"/>
  <c r="A461" i="3"/>
  <c r="M460" i="3"/>
  <c r="K460" i="3"/>
  <c r="J460" i="3"/>
  <c r="I460" i="3"/>
  <c r="H460" i="3"/>
  <c r="G460" i="3"/>
  <c r="F460" i="3"/>
  <c r="E460" i="3"/>
  <c r="D460" i="3"/>
  <c r="C460" i="3"/>
  <c r="B460" i="3"/>
  <c r="A460" i="3"/>
  <c r="M459" i="3"/>
  <c r="K459" i="3"/>
  <c r="J459" i="3"/>
  <c r="I459" i="3"/>
  <c r="H459" i="3"/>
  <c r="G459" i="3"/>
  <c r="F459" i="3"/>
  <c r="E459" i="3"/>
  <c r="D459" i="3"/>
  <c r="C459" i="3"/>
  <c r="B459" i="3"/>
  <c r="A459" i="3"/>
  <c r="M458" i="3"/>
  <c r="K458" i="3"/>
  <c r="J458" i="3"/>
  <c r="I458" i="3"/>
  <c r="H458" i="3"/>
  <c r="G458" i="3"/>
  <c r="F458" i="3"/>
  <c r="E458" i="3"/>
  <c r="D458" i="3"/>
  <c r="C458" i="3"/>
  <c r="B458" i="3"/>
  <c r="A458" i="3"/>
  <c r="M457" i="3"/>
  <c r="K457" i="3"/>
  <c r="J457" i="3"/>
  <c r="I457" i="3"/>
  <c r="H457" i="3"/>
  <c r="G457" i="3"/>
  <c r="F457" i="3"/>
  <c r="E457" i="3"/>
  <c r="D457" i="3"/>
  <c r="C457" i="3"/>
  <c r="B457" i="3"/>
  <c r="A457" i="3"/>
  <c r="M456" i="3"/>
  <c r="K456" i="3"/>
  <c r="J456" i="3"/>
  <c r="I456" i="3"/>
  <c r="H456" i="3"/>
  <c r="G456" i="3"/>
  <c r="F456" i="3"/>
  <c r="E456" i="3"/>
  <c r="D456" i="3"/>
  <c r="C456" i="3"/>
  <c r="B456" i="3"/>
  <c r="A456" i="3"/>
  <c r="M455" i="3"/>
  <c r="K455" i="3"/>
  <c r="J455" i="3"/>
  <c r="I455" i="3"/>
  <c r="H455" i="3"/>
  <c r="G455" i="3"/>
  <c r="F455" i="3"/>
  <c r="E455" i="3"/>
  <c r="D455" i="3"/>
  <c r="C455" i="3"/>
  <c r="B455" i="3"/>
  <c r="A455" i="3"/>
  <c r="M454" i="3"/>
  <c r="K454" i="3"/>
  <c r="J454" i="3"/>
  <c r="I454" i="3"/>
  <c r="H454" i="3"/>
  <c r="G454" i="3"/>
  <c r="F454" i="3"/>
  <c r="E454" i="3"/>
  <c r="D454" i="3"/>
  <c r="C454" i="3"/>
  <c r="B454" i="3"/>
  <c r="A454" i="3"/>
  <c r="M453" i="3"/>
  <c r="K453" i="3"/>
  <c r="J453" i="3"/>
  <c r="I453" i="3"/>
  <c r="H453" i="3"/>
  <c r="G453" i="3"/>
  <c r="F453" i="3"/>
  <c r="E453" i="3"/>
  <c r="D453" i="3"/>
  <c r="C453" i="3"/>
  <c r="B453" i="3"/>
  <c r="A453" i="3"/>
  <c r="M452" i="3"/>
  <c r="K452" i="3"/>
  <c r="J452" i="3"/>
  <c r="I452" i="3"/>
  <c r="H452" i="3"/>
  <c r="G452" i="3"/>
  <c r="F452" i="3"/>
  <c r="E452" i="3"/>
  <c r="D452" i="3"/>
  <c r="C452" i="3"/>
  <c r="B452" i="3"/>
  <c r="A452" i="3"/>
  <c r="M451" i="3"/>
  <c r="K451" i="3"/>
  <c r="J451" i="3"/>
  <c r="I451" i="3"/>
  <c r="H451" i="3"/>
  <c r="G451" i="3"/>
  <c r="F451" i="3"/>
  <c r="E451" i="3"/>
  <c r="D451" i="3"/>
  <c r="C451" i="3"/>
  <c r="B451" i="3"/>
  <c r="A451" i="3"/>
  <c r="M450" i="3"/>
  <c r="K450" i="3"/>
  <c r="J450" i="3"/>
  <c r="I450" i="3"/>
  <c r="H450" i="3"/>
  <c r="G450" i="3"/>
  <c r="F450" i="3"/>
  <c r="E450" i="3"/>
  <c r="D450" i="3"/>
  <c r="C450" i="3"/>
  <c r="B450" i="3"/>
  <c r="A450" i="3"/>
  <c r="M449" i="3"/>
  <c r="K449" i="3"/>
  <c r="J449" i="3"/>
  <c r="I449" i="3"/>
  <c r="H449" i="3"/>
  <c r="G449" i="3"/>
  <c r="F449" i="3"/>
  <c r="E449" i="3"/>
  <c r="D449" i="3"/>
  <c r="C449" i="3"/>
  <c r="B449" i="3"/>
  <c r="A449" i="3"/>
  <c r="M448" i="3"/>
  <c r="K448" i="3"/>
  <c r="J448" i="3"/>
  <c r="I448" i="3"/>
  <c r="H448" i="3"/>
  <c r="G448" i="3"/>
  <c r="F448" i="3"/>
  <c r="E448" i="3"/>
  <c r="D448" i="3"/>
  <c r="C448" i="3"/>
  <c r="B448" i="3"/>
  <c r="A448" i="3"/>
  <c r="M447" i="3"/>
  <c r="K447" i="3"/>
  <c r="J447" i="3"/>
  <c r="I447" i="3"/>
  <c r="H447" i="3"/>
  <c r="G447" i="3"/>
  <c r="F447" i="3"/>
  <c r="E447" i="3"/>
  <c r="D447" i="3"/>
  <c r="C447" i="3"/>
  <c r="B447" i="3"/>
  <c r="A447" i="3"/>
  <c r="M446" i="3"/>
  <c r="K446" i="3"/>
  <c r="J446" i="3"/>
  <c r="I446" i="3"/>
  <c r="H446" i="3"/>
  <c r="G446" i="3"/>
  <c r="F446" i="3"/>
  <c r="E446" i="3"/>
  <c r="D446" i="3"/>
  <c r="C446" i="3"/>
  <c r="B446" i="3"/>
  <c r="A446" i="3"/>
  <c r="M445" i="3"/>
  <c r="K445" i="3"/>
  <c r="J445" i="3"/>
  <c r="I445" i="3"/>
  <c r="H445" i="3"/>
  <c r="G445" i="3"/>
  <c r="F445" i="3"/>
  <c r="E445" i="3"/>
  <c r="D445" i="3"/>
  <c r="C445" i="3"/>
  <c r="B445" i="3"/>
  <c r="A445" i="3"/>
  <c r="M444" i="3"/>
  <c r="K444" i="3"/>
  <c r="J444" i="3"/>
  <c r="I444" i="3"/>
  <c r="H444" i="3"/>
  <c r="G444" i="3"/>
  <c r="F444" i="3"/>
  <c r="E444" i="3"/>
  <c r="D444" i="3"/>
  <c r="C444" i="3"/>
  <c r="B444" i="3"/>
  <c r="A444" i="3"/>
  <c r="M443" i="3"/>
  <c r="K443" i="3"/>
  <c r="J443" i="3"/>
  <c r="I443" i="3"/>
  <c r="H443" i="3"/>
  <c r="G443" i="3"/>
  <c r="F443" i="3"/>
  <c r="E443" i="3"/>
  <c r="D443" i="3"/>
  <c r="C443" i="3"/>
  <c r="B443" i="3"/>
  <c r="A443" i="3"/>
  <c r="M442" i="3"/>
  <c r="K442" i="3"/>
  <c r="J442" i="3"/>
  <c r="I442" i="3"/>
  <c r="H442" i="3"/>
  <c r="G442" i="3"/>
  <c r="F442" i="3"/>
  <c r="E442" i="3"/>
  <c r="D442" i="3"/>
  <c r="C442" i="3"/>
  <c r="B442" i="3"/>
  <c r="A442" i="3"/>
  <c r="M441" i="3"/>
  <c r="K441" i="3"/>
  <c r="J441" i="3"/>
  <c r="I441" i="3"/>
  <c r="H441" i="3"/>
  <c r="G441" i="3"/>
  <c r="F441" i="3"/>
  <c r="E441" i="3"/>
  <c r="D441" i="3"/>
  <c r="C441" i="3"/>
  <c r="B441" i="3"/>
  <c r="A441" i="3"/>
  <c r="M440" i="3"/>
  <c r="K440" i="3"/>
  <c r="J440" i="3"/>
  <c r="I440" i="3"/>
  <c r="H440" i="3"/>
  <c r="G440" i="3"/>
  <c r="F440" i="3"/>
  <c r="E440" i="3"/>
  <c r="D440" i="3"/>
  <c r="C440" i="3"/>
  <c r="B440" i="3"/>
  <c r="A440" i="3"/>
  <c r="M439" i="3"/>
  <c r="K439" i="3"/>
  <c r="J439" i="3"/>
  <c r="I439" i="3"/>
  <c r="H439" i="3"/>
  <c r="G439" i="3"/>
  <c r="F439" i="3"/>
  <c r="E439" i="3"/>
  <c r="D439" i="3"/>
  <c r="C439" i="3"/>
  <c r="B439" i="3"/>
  <c r="A439" i="3"/>
  <c r="M438" i="3"/>
  <c r="K438" i="3"/>
  <c r="J438" i="3"/>
  <c r="I438" i="3"/>
  <c r="H438" i="3"/>
  <c r="G438" i="3"/>
  <c r="F438" i="3"/>
  <c r="E438" i="3"/>
  <c r="D438" i="3"/>
  <c r="C438" i="3"/>
  <c r="B438" i="3"/>
  <c r="A438" i="3"/>
  <c r="M437" i="3"/>
  <c r="K437" i="3"/>
  <c r="J437" i="3"/>
  <c r="I437" i="3"/>
  <c r="H437" i="3"/>
  <c r="G437" i="3"/>
  <c r="F437" i="3"/>
  <c r="E437" i="3"/>
  <c r="D437" i="3"/>
  <c r="C437" i="3"/>
  <c r="B437" i="3"/>
  <c r="A437" i="3"/>
  <c r="M436" i="3"/>
  <c r="K436" i="3"/>
  <c r="J436" i="3"/>
  <c r="I436" i="3"/>
  <c r="H436" i="3"/>
  <c r="G436" i="3"/>
  <c r="F436" i="3"/>
  <c r="E436" i="3"/>
  <c r="D436" i="3"/>
  <c r="C436" i="3"/>
  <c r="B436" i="3"/>
  <c r="A436" i="3"/>
  <c r="M435" i="3"/>
  <c r="K435" i="3"/>
  <c r="J435" i="3"/>
  <c r="I435" i="3"/>
  <c r="H435" i="3"/>
  <c r="G435" i="3"/>
  <c r="F435" i="3"/>
  <c r="E435" i="3"/>
  <c r="D435" i="3"/>
  <c r="C435" i="3"/>
  <c r="B435" i="3"/>
  <c r="A435" i="3"/>
  <c r="M434" i="3"/>
  <c r="K434" i="3"/>
  <c r="J434" i="3"/>
  <c r="I434" i="3"/>
  <c r="H434" i="3"/>
  <c r="G434" i="3"/>
  <c r="F434" i="3"/>
  <c r="E434" i="3"/>
  <c r="D434" i="3"/>
  <c r="C434" i="3"/>
  <c r="B434" i="3"/>
  <c r="A434" i="3"/>
  <c r="M433" i="3"/>
  <c r="K433" i="3"/>
  <c r="J433" i="3"/>
  <c r="I433" i="3"/>
  <c r="H433" i="3"/>
  <c r="G433" i="3"/>
  <c r="F433" i="3"/>
  <c r="E433" i="3"/>
  <c r="D433" i="3"/>
  <c r="C433" i="3"/>
  <c r="B433" i="3"/>
  <c r="A433" i="3"/>
  <c r="M432" i="3"/>
  <c r="K432" i="3"/>
  <c r="J432" i="3"/>
  <c r="I432" i="3"/>
  <c r="H432" i="3"/>
  <c r="G432" i="3"/>
  <c r="F432" i="3"/>
  <c r="E432" i="3"/>
  <c r="D432" i="3"/>
  <c r="C432" i="3"/>
  <c r="B432" i="3"/>
  <c r="A432" i="3"/>
  <c r="M431" i="3"/>
  <c r="K431" i="3"/>
  <c r="J431" i="3"/>
  <c r="I431" i="3"/>
  <c r="H431" i="3"/>
  <c r="G431" i="3"/>
  <c r="F431" i="3"/>
  <c r="E431" i="3"/>
  <c r="D431" i="3"/>
  <c r="C431" i="3"/>
  <c r="B431" i="3"/>
  <c r="A431" i="3"/>
  <c r="M430" i="3"/>
  <c r="K430" i="3"/>
  <c r="J430" i="3"/>
  <c r="I430" i="3"/>
  <c r="H430" i="3"/>
  <c r="G430" i="3"/>
  <c r="F430" i="3"/>
  <c r="E430" i="3"/>
  <c r="D430" i="3"/>
  <c r="C430" i="3"/>
  <c r="B430" i="3"/>
  <c r="A430" i="3"/>
  <c r="M429" i="3"/>
  <c r="K429" i="3"/>
  <c r="J429" i="3"/>
  <c r="I429" i="3"/>
  <c r="H429" i="3"/>
  <c r="G429" i="3"/>
  <c r="F429" i="3"/>
  <c r="E429" i="3"/>
  <c r="D429" i="3"/>
  <c r="C429" i="3"/>
  <c r="B429" i="3"/>
  <c r="A429" i="3"/>
  <c r="M428" i="3"/>
  <c r="K428" i="3"/>
  <c r="J428" i="3"/>
  <c r="I428" i="3"/>
  <c r="H428" i="3"/>
  <c r="G428" i="3"/>
  <c r="F428" i="3"/>
  <c r="E428" i="3"/>
  <c r="D428" i="3"/>
  <c r="C428" i="3"/>
  <c r="B428" i="3"/>
  <c r="A428" i="3"/>
  <c r="M427" i="3"/>
  <c r="K427" i="3"/>
  <c r="J427" i="3"/>
  <c r="I427" i="3"/>
  <c r="H427" i="3"/>
  <c r="G427" i="3"/>
  <c r="F427" i="3"/>
  <c r="E427" i="3"/>
  <c r="D427" i="3"/>
  <c r="C427" i="3"/>
  <c r="B427" i="3"/>
  <c r="A427" i="3"/>
  <c r="M426" i="3"/>
  <c r="K426" i="3"/>
  <c r="J426" i="3"/>
  <c r="I426" i="3"/>
  <c r="H426" i="3"/>
  <c r="G426" i="3"/>
  <c r="F426" i="3"/>
  <c r="E426" i="3"/>
  <c r="D426" i="3"/>
  <c r="C426" i="3"/>
  <c r="B426" i="3"/>
  <c r="A426" i="3"/>
  <c r="M425" i="3"/>
  <c r="K425" i="3"/>
  <c r="J425" i="3"/>
  <c r="I425" i="3"/>
  <c r="H425" i="3"/>
  <c r="G425" i="3"/>
  <c r="F425" i="3"/>
  <c r="E425" i="3"/>
  <c r="D425" i="3"/>
  <c r="C425" i="3"/>
  <c r="B425" i="3"/>
  <c r="A425" i="3"/>
  <c r="M424" i="3"/>
  <c r="K424" i="3"/>
  <c r="J424" i="3"/>
  <c r="I424" i="3"/>
  <c r="H424" i="3"/>
  <c r="G424" i="3"/>
  <c r="F424" i="3"/>
  <c r="E424" i="3"/>
  <c r="D424" i="3"/>
  <c r="C424" i="3"/>
  <c r="B424" i="3"/>
  <c r="A424" i="3"/>
  <c r="M423" i="3"/>
  <c r="K423" i="3"/>
  <c r="J423" i="3"/>
  <c r="I423" i="3"/>
  <c r="H423" i="3"/>
  <c r="G423" i="3"/>
  <c r="F423" i="3"/>
  <c r="E423" i="3"/>
  <c r="D423" i="3"/>
  <c r="C423" i="3"/>
  <c r="B423" i="3"/>
  <c r="A423" i="3"/>
  <c r="M422" i="3"/>
  <c r="K422" i="3"/>
  <c r="J422" i="3"/>
  <c r="I422" i="3"/>
  <c r="H422" i="3"/>
  <c r="G422" i="3"/>
  <c r="F422" i="3"/>
  <c r="E422" i="3"/>
  <c r="D422" i="3"/>
  <c r="C422" i="3"/>
  <c r="B422" i="3"/>
  <c r="A422" i="3"/>
  <c r="M421" i="3"/>
  <c r="K421" i="3"/>
  <c r="J421" i="3"/>
  <c r="I421" i="3"/>
  <c r="H421" i="3"/>
  <c r="G421" i="3"/>
  <c r="F421" i="3"/>
  <c r="E421" i="3"/>
  <c r="D421" i="3"/>
  <c r="C421" i="3"/>
  <c r="B421" i="3"/>
  <c r="A421" i="3"/>
  <c r="M420" i="3"/>
  <c r="K420" i="3"/>
  <c r="J420" i="3"/>
  <c r="I420" i="3"/>
  <c r="H420" i="3"/>
  <c r="G420" i="3"/>
  <c r="F420" i="3"/>
  <c r="E420" i="3"/>
  <c r="D420" i="3"/>
  <c r="C420" i="3"/>
  <c r="B420" i="3"/>
  <c r="A420" i="3"/>
  <c r="M419" i="3"/>
  <c r="K419" i="3"/>
  <c r="J419" i="3"/>
  <c r="I419" i="3"/>
  <c r="H419" i="3"/>
  <c r="G419" i="3"/>
  <c r="F419" i="3"/>
  <c r="E419" i="3"/>
  <c r="D419" i="3"/>
  <c r="C419" i="3"/>
  <c r="B419" i="3"/>
  <c r="A419" i="3"/>
  <c r="M418" i="3"/>
  <c r="K418" i="3"/>
  <c r="J418" i="3"/>
  <c r="I418" i="3"/>
  <c r="H418" i="3"/>
  <c r="G418" i="3"/>
  <c r="F418" i="3"/>
  <c r="E418" i="3"/>
  <c r="D418" i="3"/>
  <c r="C418" i="3"/>
  <c r="B418" i="3"/>
  <c r="A418" i="3"/>
  <c r="M417" i="3"/>
  <c r="K417" i="3"/>
  <c r="J417" i="3"/>
  <c r="I417" i="3"/>
  <c r="H417" i="3"/>
  <c r="G417" i="3"/>
  <c r="F417" i="3"/>
  <c r="E417" i="3"/>
  <c r="D417" i="3"/>
  <c r="C417" i="3"/>
  <c r="B417" i="3"/>
  <c r="A417" i="3"/>
  <c r="M416" i="3"/>
  <c r="K416" i="3"/>
  <c r="J416" i="3"/>
  <c r="I416" i="3"/>
  <c r="H416" i="3"/>
  <c r="G416" i="3"/>
  <c r="F416" i="3"/>
  <c r="E416" i="3"/>
  <c r="D416" i="3"/>
  <c r="C416" i="3"/>
  <c r="B416" i="3"/>
  <c r="A416" i="3"/>
  <c r="M415" i="3"/>
  <c r="K415" i="3"/>
  <c r="J415" i="3"/>
  <c r="I415" i="3"/>
  <c r="H415" i="3"/>
  <c r="G415" i="3"/>
  <c r="F415" i="3"/>
  <c r="E415" i="3"/>
  <c r="D415" i="3"/>
  <c r="C415" i="3"/>
  <c r="B415" i="3"/>
  <c r="A415" i="3"/>
  <c r="M414" i="3"/>
  <c r="K414" i="3"/>
  <c r="J414" i="3"/>
  <c r="I414" i="3"/>
  <c r="H414" i="3"/>
  <c r="G414" i="3"/>
  <c r="F414" i="3"/>
  <c r="E414" i="3"/>
  <c r="D414" i="3"/>
  <c r="C414" i="3"/>
  <c r="B414" i="3"/>
  <c r="A414" i="3"/>
  <c r="M413" i="3"/>
  <c r="K413" i="3"/>
  <c r="J413" i="3"/>
  <c r="I413" i="3"/>
  <c r="H413" i="3"/>
  <c r="G413" i="3"/>
  <c r="F413" i="3"/>
  <c r="E413" i="3"/>
  <c r="D413" i="3"/>
  <c r="C413" i="3"/>
  <c r="B413" i="3"/>
  <c r="A413" i="3"/>
  <c r="M412" i="3"/>
  <c r="K412" i="3"/>
  <c r="J412" i="3"/>
  <c r="I412" i="3"/>
  <c r="H412" i="3"/>
  <c r="G412" i="3"/>
  <c r="F412" i="3"/>
  <c r="E412" i="3"/>
  <c r="D412" i="3"/>
  <c r="C412" i="3"/>
  <c r="B412" i="3"/>
  <c r="A412" i="3"/>
  <c r="M411" i="3"/>
  <c r="K411" i="3"/>
  <c r="J411" i="3"/>
  <c r="I411" i="3"/>
  <c r="H411" i="3"/>
  <c r="G411" i="3"/>
  <c r="F411" i="3"/>
  <c r="E411" i="3"/>
  <c r="D411" i="3"/>
  <c r="C411" i="3"/>
  <c r="B411" i="3"/>
  <c r="A411" i="3"/>
  <c r="M410" i="3"/>
  <c r="K410" i="3"/>
  <c r="J410" i="3"/>
  <c r="I410" i="3"/>
  <c r="H410" i="3"/>
  <c r="G410" i="3"/>
  <c r="F410" i="3"/>
  <c r="E410" i="3"/>
  <c r="D410" i="3"/>
  <c r="C410" i="3"/>
  <c r="B410" i="3"/>
  <c r="A410" i="3"/>
  <c r="M409" i="3"/>
  <c r="K409" i="3"/>
  <c r="J409" i="3"/>
  <c r="I409" i="3"/>
  <c r="H409" i="3"/>
  <c r="G409" i="3"/>
  <c r="F409" i="3"/>
  <c r="E409" i="3"/>
  <c r="D409" i="3"/>
  <c r="C409" i="3"/>
  <c r="B409" i="3"/>
  <c r="A409" i="3"/>
  <c r="M408" i="3"/>
  <c r="K408" i="3"/>
  <c r="J408" i="3"/>
  <c r="I408" i="3"/>
  <c r="H408" i="3"/>
  <c r="G408" i="3"/>
  <c r="F408" i="3"/>
  <c r="E408" i="3"/>
  <c r="D408" i="3"/>
  <c r="C408" i="3"/>
  <c r="B408" i="3"/>
  <c r="A408" i="3"/>
  <c r="M407" i="3"/>
  <c r="K407" i="3"/>
  <c r="J407" i="3"/>
  <c r="I407" i="3"/>
  <c r="H407" i="3"/>
  <c r="G407" i="3"/>
  <c r="F407" i="3"/>
  <c r="E407" i="3"/>
  <c r="D407" i="3"/>
  <c r="C407" i="3"/>
  <c r="B407" i="3"/>
  <c r="A407" i="3"/>
  <c r="M406" i="3"/>
  <c r="K406" i="3"/>
  <c r="J406" i="3"/>
  <c r="I406" i="3"/>
  <c r="H406" i="3"/>
  <c r="G406" i="3"/>
  <c r="F406" i="3"/>
  <c r="E406" i="3"/>
  <c r="D406" i="3"/>
  <c r="C406" i="3"/>
  <c r="B406" i="3"/>
  <c r="A406" i="3"/>
  <c r="M405" i="3"/>
  <c r="K405" i="3"/>
  <c r="J405" i="3"/>
  <c r="I405" i="3"/>
  <c r="H405" i="3"/>
  <c r="G405" i="3"/>
  <c r="F405" i="3"/>
  <c r="E405" i="3"/>
  <c r="D405" i="3"/>
  <c r="C405" i="3"/>
  <c r="B405" i="3"/>
  <c r="A405" i="3"/>
  <c r="M404" i="3"/>
  <c r="K404" i="3"/>
  <c r="J404" i="3"/>
  <c r="I404" i="3"/>
  <c r="H404" i="3"/>
  <c r="G404" i="3"/>
  <c r="F404" i="3"/>
  <c r="E404" i="3"/>
  <c r="D404" i="3"/>
  <c r="C404" i="3"/>
  <c r="B404" i="3"/>
  <c r="A404" i="3"/>
  <c r="M403" i="3"/>
  <c r="K403" i="3"/>
  <c r="J403" i="3"/>
  <c r="I403" i="3"/>
  <c r="H403" i="3"/>
  <c r="G403" i="3"/>
  <c r="F403" i="3"/>
  <c r="E403" i="3"/>
  <c r="D403" i="3"/>
  <c r="C403" i="3"/>
  <c r="B403" i="3"/>
  <c r="A403" i="3"/>
  <c r="M402" i="3"/>
  <c r="K402" i="3"/>
  <c r="J402" i="3"/>
  <c r="I402" i="3"/>
  <c r="H402" i="3"/>
  <c r="G402" i="3"/>
  <c r="F402" i="3"/>
  <c r="E402" i="3"/>
  <c r="D402" i="3"/>
  <c r="C402" i="3"/>
  <c r="B402" i="3"/>
  <c r="A402" i="3"/>
  <c r="M401" i="3"/>
  <c r="K401" i="3"/>
  <c r="J401" i="3"/>
  <c r="I401" i="3"/>
  <c r="H401" i="3"/>
  <c r="G401" i="3"/>
  <c r="F401" i="3"/>
  <c r="E401" i="3"/>
  <c r="D401" i="3"/>
  <c r="C401" i="3"/>
  <c r="B401" i="3"/>
  <c r="A401" i="3"/>
  <c r="M400" i="3"/>
  <c r="K400" i="3"/>
  <c r="J400" i="3"/>
  <c r="I400" i="3"/>
  <c r="H400" i="3"/>
  <c r="G400" i="3"/>
  <c r="F400" i="3"/>
  <c r="E400" i="3"/>
  <c r="D400" i="3"/>
  <c r="C400" i="3"/>
  <c r="B400" i="3"/>
  <c r="A400" i="3"/>
  <c r="M399" i="3"/>
  <c r="K399" i="3"/>
  <c r="J399" i="3"/>
  <c r="I399" i="3"/>
  <c r="H399" i="3"/>
  <c r="G399" i="3"/>
  <c r="F399" i="3"/>
  <c r="E399" i="3"/>
  <c r="D399" i="3"/>
  <c r="C399" i="3"/>
  <c r="B399" i="3"/>
  <c r="A399" i="3"/>
  <c r="M398" i="3"/>
  <c r="K398" i="3"/>
  <c r="J398" i="3"/>
  <c r="I398" i="3"/>
  <c r="H398" i="3"/>
  <c r="G398" i="3"/>
  <c r="F398" i="3"/>
  <c r="E398" i="3"/>
  <c r="D398" i="3"/>
  <c r="C398" i="3"/>
  <c r="B398" i="3"/>
  <c r="A398" i="3"/>
  <c r="M397" i="3"/>
  <c r="K397" i="3"/>
  <c r="J397" i="3"/>
  <c r="I397" i="3"/>
  <c r="H397" i="3"/>
  <c r="G397" i="3"/>
  <c r="F397" i="3"/>
  <c r="E397" i="3"/>
  <c r="D397" i="3"/>
  <c r="C397" i="3"/>
  <c r="B397" i="3"/>
  <c r="A397" i="3"/>
  <c r="M396" i="3"/>
  <c r="K396" i="3"/>
  <c r="J396" i="3"/>
  <c r="I396" i="3"/>
  <c r="H396" i="3"/>
  <c r="G396" i="3"/>
  <c r="F396" i="3"/>
  <c r="E396" i="3"/>
  <c r="D396" i="3"/>
  <c r="C396" i="3"/>
  <c r="B396" i="3"/>
  <c r="A396" i="3"/>
  <c r="M395" i="3"/>
  <c r="K395" i="3"/>
  <c r="J395" i="3"/>
  <c r="I395" i="3"/>
  <c r="H395" i="3"/>
  <c r="G395" i="3"/>
  <c r="F395" i="3"/>
  <c r="E395" i="3"/>
  <c r="D395" i="3"/>
  <c r="C395" i="3"/>
  <c r="B395" i="3"/>
  <c r="A395" i="3"/>
  <c r="M394" i="3"/>
  <c r="K394" i="3"/>
  <c r="J394" i="3"/>
  <c r="I394" i="3"/>
  <c r="H394" i="3"/>
  <c r="G394" i="3"/>
  <c r="F394" i="3"/>
  <c r="E394" i="3"/>
  <c r="D394" i="3"/>
  <c r="C394" i="3"/>
  <c r="B394" i="3"/>
  <c r="A394" i="3"/>
  <c r="M393" i="3"/>
  <c r="K393" i="3"/>
  <c r="J393" i="3"/>
  <c r="I393" i="3"/>
  <c r="H393" i="3"/>
  <c r="G393" i="3"/>
  <c r="F393" i="3"/>
  <c r="E393" i="3"/>
  <c r="D393" i="3"/>
  <c r="C393" i="3"/>
  <c r="B393" i="3"/>
  <c r="A393" i="3"/>
  <c r="M392" i="3"/>
  <c r="K392" i="3"/>
  <c r="J392" i="3"/>
  <c r="I392" i="3"/>
  <c r="H392" i="3"/>
  <c r="G392" i="3"/>
  <c r="F392" i="3"/>
  <c r="E392" i="3"/>
  <c r="D392" i="3"/>
  <c r="C392" i="3"/>
  <c r="B392" i="3"/>
  <c r="A392" i="3"/>
  <c r="M391" i="3"/>
  <c r="K391" i="3"/>
  <c r="J391" i="3"/>
  <c r="I391" i="3"/>
  <c r="H391" i="3"/>
  <c r="G391" i="3"/>
  <c r="F391" i="3"/>
  <c r="E391" i="3"/>
  <c r="D391" i="3"/>
  <c r="C391" i="3"/>
  <c r="B391" i="3"/>
  <c r="A391" i="3"/>
  <c r="M390" i="3"/>
  <c r="K390" i="3"/>
  <c r="J390" i="3"/>
  <c r="I390" i="3"/>
  <c r="H390" i="3"/>
  <c r="G390" i="3"/>
  <c r="F390" i="3"/>
  <c r="E390" i="3"/>
  <c r="D390" i="3"/>
  <c r="C390" i="3"/>
  <c r="B390" i="3"/>
  <c r="A390" i="3"/>
  <c r="M389" i="3"/>
  <c r="K389" i="3"/>
  <c r="J389" i="3"/>
  <c r="I389" i="3"/>
  <c r="H389" i="3"/>
  <c r="G389" i="3"/>
  <c r="F389" i="3"/>
  <c r="E389" i="3"/>
  <c r="D389" i="3"/>
  <c r="C389" i="3"/>
  <c r="B389" i="3"/>
  <c r="A389" i="3"/>
  <c r="M388" i="3"/>
  <c r="K388" i="3"/>
  <c r="J388" i="3"/>
  <c r="I388" i="3"/>
  <c r="H388" i="3"/>
  <c r="G388" i="3"/>
  <c r="F388" i="3"/>
  <c r="E388" i="3"/>
  <c r="D388" i="3"/>
  <c r="C388" i="3"/>
  <c r="B388" i="3"/>
  <c r="A388" i="3"/>
  <c r="M387" i="3"/>
  <c r="K387" i="3"/>
  <c r="J387" i="3"/>
  <c r="I387" i="3"/>
  <c r="H387" i="3"/>
  <c r="G387" i="3"/>
  <c r="F387" i="3"/>
  <c r="E387" i="3"/>
  <c r="D387" i="3"/>
  <c r="C387" i="3"/>
  <c r="B387" i="3"/>
  <c r="A387" i="3"/>
  <c r="M386" i="3"/>
  <c r="K386" i="3"/>
  <c r="J386" i="3"/>
  <c r="I386" i="3"/>
  <c r="H386" i="3"/>
  <c r="G386" i="3"/>
  <c r="F386" i="3"/>
  <c r="E386" i="3"/>
  <c r="D386" i="3"/>
  <c r="C386" i="3"/>
  <c r="B386" i="3"/>
  <c r="A386" i="3"/>
  <c r="M385" i="3"/>
  <c r="K385" i="3"/>
  <c r="J385" i="3"/>
  <c r="I385" i="3"/>
  <c r="H385" i="3"/>
  <c r="G385" i="3"/>
  <c r="F385" i="3"/>
  <c r="E385" i="3"/>
  <c r="D385" i="3"/>
  <c r="C385" i="3"/>
  <c r="B385" i="3"/>
  <c r="A385" i="3"/>
  <c r="M384" i="3"/>
  <c r="K384" i="3"/>
  <c r="J384" i="3"/>
  <c r="I384" i="3"/>
  <c r="H384" i="3"/>
  <c r="G384" i="3"/>
  <c r="F384" i="3"/>
  <c r="E384" i="3"/>
  <c r="D384" i="3"/>
  <c r="C384" i="3"/>
  <c r="B384" i="3"/>
  <c r="A384" i="3"/>
  <c r="M383" i="3"/>
  <c r="K383" i="3"/>
  <c r="J383" i="3"/>
  <c r="I383" i="3"/>
  <c r="H383" i="3"/>
  <c r="G383" i="3"/>
  <c r="F383" i="3"/>
  <c r="E383" i="3"/>
  <c r="D383" i="3"/>
  <c r="C383" i="3"/>
  <c r="B383" i="3"/>
  <c r="A383" i="3"/>
  <c r="M382" i="3"/>
  <c r="K382" i="3"/>
  <c r="J382" i="3"/>
  <c r="I382" i="3"/>
  <c r="H382" i="3"/>
  <c r="G382" i="3"/>
  <c r="F382" i="3"/>
  <c r="E382" i="3"/>
  <c r="D382" i="3"/>
  <c r="C382" i="3"/>
  <c r="B382" i="3"/>
  <c r="A382" i="3"/>
  <c r="M381" i="3"/>
  <c r="K381" i="3"/>
  <c r="J381" i="3"/>
  <c r="I381" i="3"/>
  <c r="H381" i="3"/>
  <c r="G381" i="3"/>
  <c r="F381" i="3"/>
  <c r="E381" i="3"/>
  <c r="D381" i="3"/>
  <c r="C381" i="3"/>
  <c r="B381" i="3"/>
  <c r="A381" i="3"/>
  <c r="M380" i="3"/>
  <c r="K380" i="3"/>
  <c r="J380" i="3"/>
  <c r="I380" i="3"/>
  <c r="H380" i="3"/>
  <c r="G380" i="3"/>
  <c r="F380" i="3"/>
  <c r="E380" i="3"/>
  <c r="D380" i="3"/>
  <c r="C380" i="3"/>
  <c r="B380" i="3"/>
  <c r="A380" i="3"/>
  <c r="M379" i="3"/>
  <c r="K379" i="3"/>
  <c r="J379" i="3"/>
  <c r="I379" i="3"/>
  <c r="H379" i="3"/>
  <c r="G379" i="3"/>
  <c r="F379" i="3"/>
  <c r="E379" i="3"/>
  <c r="D379" i="3"/>
  <c r="C379" i="3"/>
  <c r="B379" i="3"/>
  <c r="A379" i="3"/>
  <c r="M378" i="3"/>
  <c r="K378" i="3"/>
  <c r="J378" i="3"/>
  <c r="I378" i="3"/>
  <c r="H378" i="3"/>
  <c r="G378" i="3"/>
  <c r="F378" i="3"/>
  <c r="E378" i="3"/>
  <c r="D378" i="3"/>
  <c r="C378" i="3"/>
  <c r="B378" i="3"/>
  <c r="A378" i="3"/>
  <c r="M377" i="3"/>
  <c r="K377" i="3"/>
  <c r="J377" i="3"/>
  <c r="I377" i="3"/>
  <c r="H377" i="3"/>
  <c r="G377" i="3"/>
  <c r="F377" i="3"/>
  <c r="E377" i="3"/>
  <c r="D377" i="3"/>
  <c r="C377" i="3"/>
  <c r="B377" i="3"/>
  <c r="A377" i="3"/>
  <c r="M376" i="3"/>
  <c r="K376" i="3"/>
  <c r="J376" i="3"/>
  <c r="I376" i="3"/>
  <c r="H376" i="3"/>
  <c r="G376" i="3"/>
  <c r="F376" i="3"/>
  <c r="E376" i="3"/>
  <c r="D376" i="3"/>
  <c r="C376" i="3"/>
  <c r="B376" i="3"/>
  <c r="A376" i="3"/>
  <c r="M375" i="3"/>
  <c r="K375" i="3"/>
  <c r="J375" i="3"/>
  <c r="I375" i="3"/>
  <c r="H375" i="3"/>
  <c r="G375" i="3"/>
  <c r="F375" i="3"/>
  <c r="E375" i="3"/>
  <c r="D375" i="3"/>
  <c r="C375" i="3"/>
  <c r="B375" i="3"/>
  <c r="A375" i="3"/>
  <c r="M374" i="3"/>
  <c r="K374" i="3"/>
  <c r="J374" i="3"/>
  <c r="I374" i="3"/>
  <c r="H374" i="3"/>
  <c r="G374" i="3"/>
  <c r="F374" i="3"/>
  <c r="E374" i="3"/>
  <c r="D374" i="3"/>
  <c r="C374" i="3"/>
  <c r="B374" i="3"/>
  <c r="A374" i="3"/>
  <c r="M373" i="3"/>
  <c r="K373" i="3"/>
  <c r="J373" i="3"/>
  <c r="I373" i="3"/>
  <c r="H373" i="3"/>
  <c r="G373" i="3"/>
  <c r="F373" i="3"/>
  <c r="E373" i="3"/>
  <c r="D373" i="3"/>
  <c r="C373" i="3"/>
  <c r="B373" i="3"/>
  <c r="A373" i="3"/>
  <c r="M372" i="3"/>
  <c r="K372" i="3"/>
  <c r="J372" i="3"/>
  <c r="I372" i="3"/>
  <c r="H372" i="3"/>
  <c r="G372" i="3"/>
  <c r="F372" i="3"/>
  <c r="E372" i="3"/>
  <c r="D372" i="3"/>
  <c r="C372" i="3"/>
  <c r="B372" i="3"/>
  <c r="A372" i="3"/>
  <c r="M371" i="3"/>
  <c r="K371" i="3"/>
  <c r="J371" i="3"/>
  <c r="I371" i="3"/>
  <c r="H371" i="3"/>
  <c r="G371" i="3"/>
  <c r="F371" i="3"/>
  <c r="E371" i="3"/>
  <c r="D371" i="3"/>
  <c r="C371" i="3"/>
  <c r="B371" i="3"/>
  <c r="A371" i="3"/>
  <c r="M370" i="3"/>
  <c r="K370" i="3"/>
  <c r="J370" i="3"/>
  <c r="I370" i="3"/>
  <c r="H370" i="3"/>
  <c r="G370" i="3"/>
  <c r="F370" i="3"/>
  <c r="E370" i="3"/>
  <c r="D370" i="3"/>
  <c r="C370" i="3"/>
  <c r="B370" i="3"/>
  <c r="A370" i="3"/>
  <c r="M369" i="3"/>
  <c r="K369" i="3"/>
  <c r="J369" i="3"/>
  <c r="I369" i="3"/>
  <c r="H369" i="3"/>
  <c r="G369" i="3"/>
  <c r="F369" i="3"/>
  <c r="E369" i="3"/>
  <c r="D369" i="3"/>
  <c r="C369" i="3"/>
  <c r="B369" i="3"/>
  <c r="A369" i="3"/>
  <c r="M368" i="3"/>
  <c r="K368" i="3"/>
  <c r="J368" i="3"/>
  <c r="I368" i="3"/>
  <c r="H368" i="3"/>
  <c r="G368" i="3"/>
  <c r="F368" i="3"/>
  <c r="E368" i="3"/>
  <c r="D368" i="3"/>
  <c r="C368" i="3"/>
  <c r="B368" i="3"/>
  <c r="A368" i="3"/>
  <c r="M367" i="3"/>
  <c r="K367" i="3"/>
  <c r="J367" i="3"/>
  <c r="I367" i="3"/>
  <c r="H367" i="3"/>
  <c r="G367" i="3"/>
  <c r="F367" i="3"/>
  <c r="E367" i="3"/>
  <c r="D367" i="3"/>
  <c r="C367" i="3"/>
  <c r="B367" i="3"/>
  <c r="A367" i="3"/>
  <c r="M366" i="3"/>
  <c r="K366" i="3"/>
  <c r="J366" i="3"/>
  <c r="I366" i="3"/>
  <c r="H366" i="3"/>
  <c r="G366" i="3"/>
  <c r="F366" i="3"/>
  <c r="E366" i="3"/>
  <c r="D366" i="3"/>
  <c r="C366" i="3"/>
  <c r="B366" i="3"/>
  <c r="A366" i="3"/>
  <c r="M365" i="3"/>
  <c r="K365" i="3"/>
  <c r="J365" i="3"/>
  <c r="I365" i="3"/>
  <c r="H365" i="3"/>
  <c r="G365" i="3"/>
  <c r="F365" i="3"/>
  <c r="E365" i="3"/>
  <c r="D365" i="3"/>
  <c r="C365" i="3"/>
  <c r="B365" i="3"/>
  <c r="A365" i="3"/>
  <c r="M364" i="3"/>
  <c r="K364" i="3"/>
  <c r="J364" i="3"/>
  <c r="I364" i="3"/>
  <c r="H364" i="3"/>
  <c r="G364" i="3"/>
  <c r="F364" i="3"/>
  <c r="E364" i="3"/>
  <c r="D364" i="3"/>
  <c r="C364" i="3"/>
  <c r="B364" i="3"/>
  <c r="A364" i="3"/>
  <c r="M363" i="3"/>
  <c r="K363" i="3"/>
  <c r="J363" i="3"/>
  <c r="I363" i="3"/>
  <c r="H363" i="3"/>
  <c r="G363" i="3"/>
  <c r="F363" i="3"/>
  <c r="E363" i="3"/>
  <c r="D363" i="3"/>
  <c r="C363" i="3"/>
  <c r="B363" i="3"/>
  <c r="A363" i="3"/>
  <c r="M362" i="3"/>
  <c r="K362" i="3"/>
  <c r="J362" i="3"/>
  <c r="I362" i="3"/>
  <c r="H362" i="3"/>
  <c r="G362" i="3"/>
  <c r="F362" i="3"/>
  <c r="E362" i="3"/>
  <c r="D362" i="3"/>
  <c r="C362" i="3"/>
  <c r="B362" i="3"/>
  <c r="A362" i="3"/>
  <c r="M361" i="3"/>
  <c r="K361" i="3"/>
  <c r="J361" i="3"/>
  <c r="I361" i="3"/>
  <c r="H361" i="3"/>
  <c r="G361" i="3"/>
  <c r="F361" i="3"/>
  <c r="E361" i="3"/>
  <c r="D361" i="3"/>
  <c r="C361" i="3"/>
  <c r="B361" i="3"/>
  <c r="A361" i="3"/>
  <c r="M360" i="3"/>
  <c r="K360" i="3"/>
  <c r="J360" i="3"/>
  <c r="I360" i="3"/>
  <c r="H360" i="3"/>
  <c r="G360" i="3"/>
  <c r="F360" i="3"/>
  <c r="E360" i="3"/>
  <c r="D360" i="3"/>
  <c r="C360" i="3"/>
  <c r="B360" i="3"/>
  <c r="A360" i="3"/>
  <c r="M359" i="3"/>
  <c r="K359" i="3"/>
  <c r="J359" i="3"/>
  <c r="I359" i="3"/>
  <c r="H359" i="3"/>
  <c r="G359" i="3"/>
  <c r="F359" i="3"/>
  <c r="E359" i="3"/>
  <c r="D359" i="3"/>
  <c r="C359" i="3"/>
  <c r="B359" i="3"/>
  <c r="A359" i="3"/>
  <c r="M358" i="3"/>
  <c r="K358" i="3"/>
  <c r="J358" i="3"/>
  <c r="I358" i="3"/>
  <c r="H358" i="3"/>
  <c r="G358" i="3"/>
  <c r="F358" i="3"/>
  <c r="E358" i="3"/>
  <c r="D358" i="3"/>
  <c r="C358" i="3"/>
  <c r="B358" i="3"/>
  <c r="A358" i="3"/>
  <c r="M357" i="3"/>
  <c r="K357" i="3"/>
  <c r="J357" i="3"/>
  <c r="I357" i="3"/>
  <c r="H357" i="3"/>
  <c r="G357" i="3"/>
  <c r="F357" i="3"/>
  <c r="E357" i="3"/>
  <c r="D357" i="3"/>
  <c r="C357" i="3"/>
  <c r="B357" i="3"/>
  <c r="A357" i="3"/>
  <c r="M356" i="3"/>
  <c r="K356" i="3"/>
  <c r="J356" i="3"/>
  <c r="I356" i="3"/>
  <c r="H356" i="3"/>
  <c r="G356" i="3"/>
  <c r="F356" i="3"/>
  <c r="E356" i="3"/>
  <c r="D356" i="3"/>
  <c r="C356" i="3"/>
  <c r="B356" i="3"/>
  <c r="A356" i="3"/>
  <c r="M355" i="3"/>
  <c r="K355" i="3"/>
  <c r="J355" i="3"/>
  <c r="I355" i="3"/>
  <c r="H355" i="3"/>
  <c r="G355" i="3"/>
  <c r="F355" i="3"/>
  <c r="E355" i="3"/>
  <c r="D355" i="3"/>
  <c r="C355" i="3"/>
  <c r="B355" i="3"/>
  <c r="A355" i="3"/>
  <c r="M354" i="3"/>
  <c r="K354" i="3"/>
  <c r="J354" i="3"/>
  <c r="I354" i="3"/>
  <c r="H354" i="3"/>
  <c r="G354" i="3"/>
  <c r="F354" i="3"/>
  <c r="E354" i="3"/>
  <c r="D354" i="3"/>
  <c r="C354" i="3"/>
  <c r="B354" i="3"/>
  <c r="A354" i="3"/>
  <c r="M353" i="3"/>
  <c r="K353" i="3"/>
  <c r="J353" i="3"/>
  <c r="I353" i="3"/>
  <c r="H353" i="3"/>
  <c r="G353" i="3"/>
  <c r="F353" i="3"/>
  <c r="E353" i="3"/>
  <c r="D353" i="3"/>
  <c r="C353" i="3"/>
  <c r="B353" i="3"/>
  <c r="A353" i="3"/>
  <c r="M352" i="3"/>
  <c r="K352" i="3"/>
  <c r="J352" i="3"/>
  <c r="I352" i="3"/>
  <c r="H352" i="3"/>
  <c r="G352" i="3"/>
  <c r="F352" i="3"/>
  <c r="E352" i="3"/>
  <c r="D352" i="3"/>
  <c r="C352" i="3"/>
  <c r="B352" i="3"/>
  <c r="A352" i="3"/>
  <c r="M351" i="3"/>
  <c r="K351" i="3"/>
  <c r="J351" i="3"/>
  <c r="I351" i="3"/>
  <c r="H351" i="3"/>
  <c r="G351" i="3"/>
  <c r="F351" i="3"/>
  <c r="E351" i="3"/>
  <c r="D351" i="3"/>
  <c r="C351" i="3"/>
  <c r="B351" i="3"/>
  <c r="A351" i="3"/>
  <c r="M350" i="3"/>
  <c r="K350" i="3"/>
  <c r="J350" i="3"/>
  <c r="I350" i="3"/>
  <c r="H350" i="3"/>
  <c r="G350" i="3"/>
  <c r="F350" i="3"/>
  <c r="E350" i="3"/>
  <c r="D350" i="3"/>
  <c r="C350" i="3"/>
  <c r="B350" i="3"/>
  <c r="A350" i="3"/>
  <c r="M349" i="3"/>
  <c r="K349" i="3"/>
  <c r="J349" i="3"/>
  <c r="I349" i="3"/>
  <c r="H349" i="3"/>
  <c r="G349" i="3"/>
  <c r="F349" i="3"/>
  <c r="E349" i="3"/>
  <c r="D349" i="3"/>
  <c r="C349" i="3"/>
  <c r="B349" i="3"/>
  <c r="A349" i="3"/>
  <c r="M348" i="3"/>
  <c r="K348" i="3"/>
  <c r="J348" i="3"/>
  <c r="I348" i="3"/>
  <c r="H348" i="3"/>
  <c r="G348" i="3"/>
  <c r="F348" i="3"/>
  <c r="E348" i="3"/>
  <c r="D348" i="3"/>
  <c r="C348" i="3"/>
  <c r="B348" i="3"/>
  <c r="A348" i="3"/>
  <c r="M347" i="3"/>
  <c r="K347" i="3"/>
  <c r="J347" i="3"/>
  <c r="I347" i="3"/>
  <c r="H347" i="3"/>
  <c r="G347" i="3"/>
  <c r="F347" i="3"/>
  <c r="E347" i="3"/>
  <c r="D347" i="3"/>
  <c r="C347" i="3"/>
  <c r="B347" i="3"/>
  <c r="A347" i="3"/>
  <c r="M346" i="3"/>
  <c r="K346" i="3"/>
  <c r="J346" i="3"/>
  <c r="I346" i="3"/>
  <c r="H346" i="3"/>
  <c r="G346" i="3"/>
  <c r="F346" i="3"/>
  <c r="E346" i="3"/>
  <c r="D346" i="3"/>
  <c r="C346" i="3"/>
  <c r="B346" i="3"/>
  <c r="A346" i="3"/>
  <c r="M345" i="3"/>
  <c r="K345" i="3"/>
  <c r="J345" i="3"/>
  <c r="I345" i="3"/>
  <c r="H345" i="3"/>
  <c r="G345" i="3"/>
  <c r="F345" i="3"/>
  <c r="E345" i="3"/>
  <c r="D345" i="3"/>
  <c r="C345" i="3"/>
  <c r="B345" i="3"/>
  <c r="A345" i="3"/>
  <c r="M344" i="3"/>
  <c r="K344" i="3"/>
  <c r="J344" i="3"/>
  <c r="I344" i="3"/>
  <c r="H344" i="3"/>
  <c r="G344" i="3"/>
  <c r="F344" i="3"/>
  <c r="E344" i="3"/>
  <c r="D344" i="3"/>
  <c r="C344" i="3"/>
  <c r="B344" i="3"/>
  <c r="A344" i="3"/>
  <c r="M343" i="3"/>
  <c r="K343" i="3"/>
  <c r="J343" i="3"/>
  <c r="I343" i="3"/>
  <c r="H343" i="3"/>
  <c r="G343" i="3"/>
  <c r="F343" i="3"/>
  <c r="E343" i="3"/>
  <c r="D343" i="3"/>
  <c r="C343" i="3"/>
  <c r="B343" i="3"/>
  <c r="A343" i="3"/>
  <c r="M342" i="3"/>
  <c r="K342" i="3"/>
  <c r="J342" i="3"/>
  <c r="I342" i="3"/>
  <c r="H342" i="3"/>
  <c r="G342" i="3"/>
  <c r="F342" i="3"/>
  <c r="E342" i="3"/>
  <c r="D342" i="3"/>
  <c r="C342" i="3"/>
  <c r="B342" i="3"/>
  <c r="A342" i="3"/>
  <c r="M341" i="3"/>
  <c r="K341" i="3"/>
  <c r="J341" i="3"/>
  <c r="I341" i="3"/>
  <c r="H341" i="3"/>
  <c r="G341" i="3"/>
  <c r="F341" i="3"/>
  <c r="E341" i="3"/>
  <c r="D341" i="3"/>
  <c r="C341" i="3"/>
  <c r="B341" i="3"/>
  <c r="A341" i="3"/>
  <c r="M340" i="3"/>
  <c r="K340" i="3"/>
  <c r="J340" i="3"/>
  <c r="I340" i="3"/>
  <c r="H340" i="3"/>
  <c r="G340" i="3"/>
  <c r="F340" i="3"/>
  <c r="E340" i="3"/>
  <c r="D340" i="3"/>
  <c r="C340" i="3"/>
  <c r="B340" i="3"/>
  <c r="A340" i="3"/>
  <c r="M339" i="3"/>
  <c r="K339" i="3"/>
  <c r="J339" i="3"/>
  <c r="I339" i="3"/>
  <c r="H339" i="3"/>
  <c r="G339" i="3"/>
  <c r="F339" i="3"/>
  <c r="E339" i="3"/>
  <c r="D339" i="3"/>
  <c r="C339" i="3"/>
  <c r="B339" i="3"/>
  <c r="A339" i="3"/>
  <c r="M338" i="3"/>
  <c r="K338" i="3"/>
  <c r="J338" i="3"/>
  <c r="I338" i="3"/>
  <c r="H338" i="3"/>
  <c r="G338" i="3"/>
  <c r="F338" i="3"/>
  <c r="E338" i="3"/>
  <c r="D338" i="3"/>
  <c r="C338" i="3"/>
  <c r="B338" i="3"/>
  <c r="A338" i="3"/>
  <c r="M337" i="3"/>
  <c r="K337" i="3"/>
  <c r="J337" i="3"/>
  <c r="I337" i="3"/>
  <c r="H337" i="3"/>
  <c r="G337" i="3"/>
  <c r="F337" i="3"/>
  <c r="E337" i="3"/>
  <c r="D337" i="3"/>
  <c r="C337" i="3"/>
  <c r="B337" i="3"/>
  <c r="A337" i="3"/>
  <c r="M336" i="3"/>
  <c r="K336" i="3"/>
  <c r="J336" i="3"/>
  <c r="I336" i="3"/>
  <c r="H336" i="3"/>
  <c r="G336" i="3"/>
  <c r="F336" i="3"/>
  <c r="E336" i="3"/>
  <c r="D336" i="3"/>
  <c r="C336" i="3"/>
  <c r="B336" i="3"/>
  <c r="A336" i="3"/>
  <c r="M335" i="3"/>
  <c r="K335" i="3"/>
  <c r="J335" i="3"/>
  <c r="I335" i="3"/>
  <c r="H335" i="3"/>
  <c r="G335" i="3"/>
  <c r="F335" i="3"/>
  <c r="E335" i="3"/>
  <c r="D335" i="3"/>
  <c r="C335" i="3"/>
  <c r="B335" i="3"/>
  <c r="A335" i="3"/>
  <c r="M334" i="3"/>
  <c r="K334" i="3"/>
  <c r="J334" i="3"/>
  <c r="I334" i="3"/>
  <c r="H334" i="3"/>
  <c r="G334" i="3"/>
  <c r="F334" i="3"/>
  <c r="E334" i="3"/>
  <c r="D334" i="3"/>
  <c r="C334" i="3"/>
  <c r="B334" i="3"/>
  <c r="A334" i="3"/>
  <c r="M333" i="3"/>
  <c r="K333" i="3"/>
  <c r="J333" i="3"/>
  <c r="I333" i="3"/>
  <c r="H333" i="3"/>
  <c r="G333" i="3"/>
  <c r="F333" i="3"/>
  <c r="E333" i="3"/>
  <c r="D333" i="3"/>
  <c r="C333" i="3"/>
  <c r="B333" i="3"/>
  <c r="A333" i="3"/>
  <c r="M332" i="3"/>
  <c r="K332" i="3"/>
  <c r="J332" i="3"/>
  <c r="I332" i="3"/>
  <c r="H332" i="3"/>
  <c r="G332" i="3"/>
  <c r="F332" i="3"/>
  <c r="E332" i="3"/>
  <c r="D332" i="3"/>
  <c r="C332" i="3"/>
  <c r="B332" i="3"/>
  <c r="A332" i="3"/>
  <c r="M331" i="3"/>
  <c r="K331" i="3"/>
  <c r="J331" i="3"/>
  <c r="I331" i="3"/>
  <c r="H331" i="3"/>
  <c r="G331" i="3"/>
  <c r="F331" i="3"/>
  <c r="E331" i="3"/>
  <c r="D331" i="3"/>
  <c r="C331" i="3"/>
  <c r="B331" i="3"/>
  <c r="A331" i="3"/>
  <c r="M330" i="3"/>
  <c r="K330" i="3"/>
  <c r="J330" i="3"/>
  <c r="I330" i="3"/>
  <c r="H330" i="3"/>
  <c r="G330" i="3"/>
  <c r="F330" i="3"/>
  <c r="E330" i="3"/>
  <c r="D330" i="3"/>
  <c r="C330" i="3"/>
  <c r="B330" i="3"/>
  <c r="A330" i="3"/>
  <c r="M329" i="3"/>
  <c r="K329" i="3"/>
  <c r="J329" i="3"/>
  <c r="I329" i="3"/>
  <c r="H329" i="3"/>
  <c r="G329" i="3"/>
  <c r="F329" i="3"/>
  <c r="E329" i="3"/>
  <c r="D329" i="3"/>
  <c r="C329" i="3"/>
  <c r="B329" i="3"/>
  <c r="A329" i="3"/>
  <c r="M328" i="3"/>
  <c r="K328" i="3"/>
  <c r="J328" i="3"/>
  <c r="I328" i="3"/>
  <c r="H328" i="3"/>
  <c r="G328" i="3"/>
  <c r="F328" i="3"/>
  <c r="E328" i="3"/>
  <c r="D328" i="3"/>
  <c r="C328" i="3"/>
  <c r="B328" i="3"/>
  <c r="A328" i="3"/>
  <c r="M327" i="3"/>
  <c r="K327" i="3"/>
  <c r="J327" i="3"/>
  <c r="I327" i="3"/>
  <c r="H327" i="3"/>
  <c r="G327" i="3"/>
  <c r="F327" i="3"/>
  <c r="E327" i="3"/>
  <c r="D327" i="3"/>
  <c r="C327" i="3"/>
  <c r="B327" i="3"/>
  <c r="A327" i="3"/>
  <c r="M326" i="3"/>
  <c r="K326" i="3"/>
  <c r="J326" i="3"/>
  <c r="I326" i="3"/>
  <c r="H326" i="3"/>
  <c r="G326" i="3"/>
  <c r="F326" i="3"/>
  <c r="E326" i="3"/>
  <c r="D326" i="3"/>
  <c r="C326" i="3"/>
  <c r="B326" i="3"/>
  <c r="A326" i="3"/>
  <c r="M325" i="3"/>
  <c r="K325" i="3"/>
  <c r="J325" i="3"/>
  <c r="I325" i="3"/>
  <c r="H325" i="3"/>
  <c r="G325" i="3"/>
  <c r="F325" i="3"/>
  <c r="E325" i="3"/>
  <c r="D325" i="3"/>
  <c r="C325" i="3"/>
  <c r="B325" i="3"/>
  <c r="A325" i="3"/>
  <c r="M324" i="3"/>
  <c r="K324" i="3"/>
  <c r="J324" i="3"/>
  <c r="I324" i="3"/>
  <c r="H324" i="3"/>
  <c r="G324" i="3"/>
  <c r="F324" i="3"/>
  <c r="E324" i="3"/>
  <c r="D324" i="3"/>
  <c r="C324" i="3"/>
  <c r="B324" i="3"/>
  <c r="A324" i="3"/>
  <c r="M323" i="3"/>
  <c r="K323" i="3"/>
  <c r="J323" i="3"/>
  <c r="I323" i="3"/>
  <c r="H323" i="3"/>
  <c r="G323" i="3"/>
  <c r="F323" i="3"/>
  <c r="E323" i="3"/>
  <c r="D323" i="3"/>
  <c r="C323" i="3"/>
  <c r="B323" i="3"/>
  <c r="A323" i="3"/>
  <c r="M322" i="3"/>
  <c r="K322" i="3"/>
  <c r="J322" i="3"/>
  <c r="I322" i="3"/>
  <c r="H322" i="3"/>
  <c r="G322" i="3"/>
  <c r="F322" i="3"/>
  <c r="E322" i="3"/>
  <c r="D322" i="3"/>
  <c r="C322" i="3"/>
  <c r="B322" i="3"/>
  <c r="A322" i="3"/>
  <c r="M321" i="3"/>
  <c r="K321" i="3"/>
  <c r="J321" i="3"/>
  <c r="I321" i="3"/>
  <c r="H321" i="3"/>
  <c r="G321" i="3"/>
  <c r="F321" i="3"/>
  <c r="E321" i="3"/>
  <c r="D321" i="3"/>
  <c r="C321" i="3"/>
  <c r="B321" i="3"/>
  <c r="A321" i="3"/>
  <c r="M320" i="3"/>
  <c r="K320" i="3"/>
  <c r="J320" i="3"/>
  <c r="I320" i="3"/>
  <c r="H320" i="3"/>
  <c r="G320" i="3"/>
  <c r="F320" i="3"/>
  <c r="E320" i="3"/>
  <c r="D320" i="3"/>
  <c r="C320" i="3"/>
  <c r="B320" i="3"/>
  <c r="A320" i="3"/>
  <c r="M319" i="3"/>
  <c r="K319" i="3"/>
  <c r="J319" i="3"/>
  <c r="I319" i="3"/>
  <c r="H319" i="3"/>
  <c r="G319" i="3"/>
  <c r="F319" i="3"/>
  <c r="E319" i="3"/>
  <c r="D319" i="3"/>
  <c r="C319" i="3"/>
  <c r="B319" i="3"/>
  <c r="A319" i="3"/>
  <c r="M318" i="3"/>
  <c r="K318" i="3"/>
  <c r="J318" i="3"/>
  <c r="I318" i="3"/>
  <c r="H318" i="3"/>
  <c r="G318" i="3"/>
  <c r="F318" i="3"/>
  <c r="E318" i="3"/>
  <c r="D318" i="3"/>
  <c r="C318" i="3"/>
  <c r="B318" i="3"/>
  <c r="A318" i="3"/>
  <c r="M317" i="3"/>
  <c r="K317" i="3"/>
  <c r="J317" i="3"/>
  <c r="I317" i="3"/>
  <c r="H317" i="3"/>
  <c r="G317" i="3"/>
  <c r="F317" i="3"/>
  <c r="E317" i="3"/>
  <c r="D317" i="3"/>
  <c r="C317" i="3"/>
  <c r="B317" i="3"/>
  <c r="A317" i="3"/>
  <c r="M316" i="3"/>
  <c r="K316" i="3"/>
  <c r="J316" i="3"/>
  <c r="I316" i="3"/>
  <c r="H316" i="3"/>
  <c r="G316" i="3"/>
  <c r="F316" i="3"/>
  <c r="E316" i="3"/>
  <c r="D316" i="3"/>
  <c r="C316" i="3"/>
  <c r="B316" i="3"/>
  <c r="A316" i="3"/>
  <c r="M315" i="3"/>
  <c r="K315" i="3"/>
  <c r="J315" i="3"/>
  <c r="I315" i="3"/>
  <c r="H315" i="3"/>
  <c r="G315" i="3"/>
  <c r="F315" i="3"/>
  <c r="E315" i="3"/>
  <c r="D315" i="3"/>
  <c r="C315" i="3"/>
  <c r="B315" i="3"/>
  <c r="A315" i="3"/>
  <c r="M314" i="3"/>
  <c r="K314" i="3"/>
  <c r="J314" i="3"/>
  <c r="I314" i="3"/>
  <c r="H314" i="3"/>
  <c r="G314" i="3"/>
  <c r="F314" i="3"/>
  <c r="E314" i="3"/>
  <c r="D314" i="3"/>
  <c r="C314" i="3"/>
  <c r="B314" i="3"/>
  <c r="A314" i="3"/>
  <c r="M313" i="3"/>
  <c r="K313" i="3"/>
  <c r="J313" i="3"/>
  <c r="I313" i="3"/>
  <c r="H313" i="3"/>
  <c r="G313" i="3"/>
  <c r="F313" i="3"/>
  <c r="E313" i="3"/>
  <c r="D313" i="3"/>
  <c r="C313" i="3"/>
  <c r="B313" i="3"/>
  <c r="A313" i="3"/>
  <c r="M312" i="3"/>
  <c r="K312" i="3"/>
  <c r="J312" i="3"/>
  <c r="I312" i="3"/>
  <c r="H312" i="3"/>
  <c r="G312" i="3"/>
  <c r="F312" i="3"/>
  <c r="E312" i="3"/>
  <c r="D312" i="3"/>
  <c r="C312" i="3"/>
  <c r="B312" i="3"/>
  <c r="A312" i="3"/>
  <c r="M311" i="3"/>
  <c r="K311" i="3"/>
  <c r="J311" i="3"/>
  <c r="I311" i="3"/>
  <c r="H311" i="3"/>
  <c r="G311" i="3"/>
  <c r="F311" i="3"/>
  <c r="E311" i="3"/>
  <c r="D311" i="3"/>
  <c r="C311" i="3"/>
  <c r="B311" i="3"/>
  <c r="A311" i="3"/>
  <c r="M310" i="3"/>
  <c r="K310" i="3"/>
  <c r="J310" i="3"/>
  <c r="I310" i="3"/>
  <c r="H310" i="3"/>
  <c r="G310" i="3"/>
  <c r="F310" i="3"/>
  <c r="E310" i="3"/>
  <c r="D310" i="3"/>
  <c r="C310" i="3"/>
  <c r="B310" i="3"/>
  <c r="A310" i="3"/>
  <c r="M309" i="3"/>
  <c r="K309" i="3"/>
  <c r="J309" i="3"/>
  <c r="I309" i="3"/>
  <c r="H309" i="3"/>
  <c r="G309" i="3"/>
  <c r="F309" i="3"/>
  <c r="E309" i="3"/>
  <c r="D309" i="3"/>
  <c r="C309" i="3"/>
  <c r="B309" i="3"/>
  <c r="A309" i="3"/>
  <c r="M308" i="3"/>
  <c r="K308" i="3"/>
  <c r="J308" i="3"/>
  <c r="I308" i="3"/>
  <c r="H308" i="3"/>
  <c r="G308" i="3"/>
  <c r="F308" i="3"/>
  <c r="E308" i="3"/>
  <c r="D308" i="3"/>
  <c r="C308" i="3"/>
  <c r="B308" i="3"/>
  <c r="A308" i="3"/>
  <c r="M307" i="3"/>
  <c r="K307" i="3"/>
  <c r="J307" i="3"/>
  <c r="I307" i="3"/>
  <c r="H307" i="3"/>
  <c r="G307" i="3"/>
  <c r="F307" i="3"/>
  <c r="E307" i="3"/>
  <c r="D307" i="3"/>
  <c r="C307" i="3"/>
  <c r="B307" i="3"/>
  <c r="A307" i="3"/>
  <c r="M306" i="3"/>
  <c r="K306" i="3"/>
  <c r="J306" i="3"/>
  <c r="I306" i="3"/>
  <c r="H306" i="3"/>
  <c r="G306" i="3"/>
  <c r="F306" i="3"/>
  <c r="E306" i="3"/>
  <c r="D306" i="3"/>
  <c r="C306" i="3"/>
  <c r="B306" i="3"/>
  <c r="A306" i="3"/>
  <c r="M305" i="3"/>
  <c r="K305" i="3"/>
  <c r="J305" i="3"/>
  <c r="I305" i="3"/>
  <c r="H305" i="3"/>
  <c r="G305" i="3"/>
  <c r="F305" i="3"/>
  <c r="E305" i="3"/>
  <c r="D305" i="3"/>
  <c r="C305" i="3"/>
  <c r="B305" i="3"/>
  <c r="A305" i="3"/>
  <c r="M304" i="3"/>
  <c r="K304" i="3"/>
  <c r="J304" i="3"/>
  <c r="I304" i="3"/>
  <c r="H304" i="3"/>
  <c r="G304" i="3"/>
  <c r="F304" i="3"/>
  <c r="E304" i="3"/>
  <c r="D304" i="3"/>
  <c r="C304" i="3"/>
  <c r="B304" i="3"/>
  <c r="A304" i="3"/>
  <c r="M303" i="3"/>
  <c r="K303" i="3"/>
  <c r="J303" i="3"/>
  <c r="I303" i="3"/>
  <c r="H303" i="3"/>
  <c r="G303" i="3"/>
  <c r="F303" i="3"/>
  <c r="E303" i="3"/>
  <c r="D303" i="3"/>
  <c r="C303" i="3"/>
  <c r="B303" i="3"/>
  <c r="A303" i="3"/>
  <c r="M302" i="3"/>
  <c r="K302" i="3"/>
  <c r="J302" i="3"/>
  <c r="I302" i="3"/>
  <c r="H302" i="3"/>
  <c r="G302" i="3"/>
  <c r="F302" i="3"/>
  <c r="E302" i="3"/>
  <c r="D302" i="3"/>
  <c r="C302" i="3"/>
  <c r="B302" i="3"/>
  <c r="A302" i="3"/>
  <c r="M301" i="3"/>
  <c r="K301" i="3"/>
  <c r="J301" i="3"/>
  <c r="I301" i="3"/>
  <c r="H301" i="3"/>
  <c r="G301" i="3"/>
  <c r="F301" i="3"/>
  <c r="E301" i="3"/>
  <c r="D301" i="3"/>
  <c r="C301" i="3"/>
  <c r="B301" i="3"/>
  <c r="A301" i="3"/>
  <c r="M300" i="3"/>
  <c r="K300" i="3"/>
  <c r="J300" i="3"/>
  <c r="I300" i="3"/>
  <c r="H300" i="3"/>
  <c r="G300" i="3"/>
  <c r="F300" i="3"/>
  <c r="E300" i="3"/>
  <c r="D300" i="3"/>
  <c r="C300" i="3"/>
  <c r="B300" i="3"/>
  <c r="A300" i="3"/>
  <c r="M299" i="3"/>
  <c r="K299" i="3"/>
  <c r="J299" i="3"/>
  <c r="I299" i="3"/>
  <c r="H299" i="3"/>
  <c r="G299" i="3"/>
  <c r="F299" i="3"/>
  <c r="E299" i="3"/>
  <c r="D299" i="3"/>
  <c r="C299" i="3"/>
  <c r="B299" i="3"/>
  <c r="A299" i="3"/>
  <c r="M298" i="3"/>
  <c r="K298" i="3"/>
  <c r="J298" i="3"/>
  <c r="I298" i="3"/>
  <c r="H298" i="3"/>
  <c r="G298" i="3"/>
  <c r="F298" i="3"/>
  <c r="E298" i="3"/>
  <c r="D298" i="3"/>
  <c r="C298" i="3"/>
  <c r="B298" i="3"/>
  <c r="A298" i="3"/>
  <c r="M297" i="3"/>
  <c r="K297" i="3"/>
  <c r="J297" i="3"/>
  <c r="I297" i="3"/>
  <c r="H297" i="3"/>
  <c r="G297" i="3"/>
  <c r="F297" i="3"/>
  <c r="E297" i="3"/>
  <c r="D297" i="3"/>
  <c r="C297" i="3"/>
  <c r="B297" i="3"/>
  <c r="A297" i="3"/>
  <c r="M296" i="3"/>
  <c r="K296" i="3"/>
  <c r="J296" i="3"/>
  <c r="I296" i="3"/>
  <c r="H296" i="3"/>
  <c r="G296" i="3"/>
  <c r="F296" i="3"/>
  <c r="E296" i="3"/>
  <c r="D296" i="3"/>
  <c r="C296" i="3"/>
  <c r="B296" i="3"/>
  <c r="A296" i="3"/>
  <c r="M295" i="3"/>
  <c r="K295" i="3"/>
  <c r="J295" i="3"/>
  <c r="I295" i="3"/>
  <c r="H295" i="3"/>
  <c r="G295" i="3"/>
  <c r="F295" i="3"/>
  <c r="E295" i="3"/>
  <c r="D295" i="3"/>
  <c r="C295" i="3"/>
  <c r="B295" i="3"/>
  <c r="A295" i="3"/>
  <c r="M294" i="3"/>
  <c r="K294" i="3"/>
  <c r="J294" i="3"/>
  <c r="I294" i="3"/>
  <c r="H294" i="3"/>
  <c r="G294" i="3"/>
  <c r="F294" i="3"/>
  <c r="E294" i="3"/>
  <c r="D294" i="3"/>
  <c r="C294" i="3"/>
  <c r="B294" i="3"/>
  <c r="A294" i="3"/>
  <c r="M293" i="3"/>
  <c r="K293" i="3"/>
  <c r="J293" i="3"/>
  <c r="I293" i="3"/>
  <c r="H293" i="3"/>
  <c r="G293" i="3"/>
  <c r="F293" i="3"/>
  <c r="E293" i="3"/>
  <c r="D293" i="3"/>
  <c r="C293" i="3"/>
  <c r="B293" i="3"/>
  <c r="A293" i="3"/>
  <c r="M292" i="3"/>
  <c r="K292" i="3"/>
  <c r="J292" i="3"/>
  <c r="I292" i="3"/>
  <c r="H292" i="3"/>
  <c r="G292" i="3"/>
  <c r="F292" i="3"/>
  <c r="E292" i="3"/>
  <c r="D292" i="3"/>
  <c r="C292" i="3"/>
  <c r="B292" i="3"/>
  <c r="A292" i="3"/>
  <c r="M291" i="3"/>
  <c r="K291" i="3"/>
  <c r="J291" i="3"/>
  <c r="I291" i="3"/>
  <c r="H291" i="3"/>
  <c r="G291" i="3"/>
  <c r="F291" i="3"/>
  <c r="E291" i="3"/>
  <c r="D291" i="3"/>
  <c r="C291" i="3"/>
  <c r="B291" i="3"/>
  <c r="A291" i="3"/>
  <c r="M290" i="3"/>
  <c r="K290" i="3"/>
  <c r="J290" i="3"/>
  <c r="I290" i="3"/>
  <c r="H290" i="3"/>
  <c r="G290" i="3"/>
  <c r="F290" i="3"/>
  <c r="E290" i="3"/>
  <c r="D290" i="3"/>
  <c r="C290" i="3"/>
  <c r="B290" i="3"/>
  <c r="A290" i="3"/>
  <c r="M289" i="3"/>
  <c r="K289" i="3"/>
  <c r="J289" i="3"/>
  <c r="I289" i="3"/>
  <c r="H289" i="3"/>
  <c r="G289" i="3"/>
  <c r="F289" i="3"/>
  <c r="E289" i="3"/>
  <c r="D289" i="3"/>
  <c r="C289" i="3"/>
  <c r="B289" i="3"/>
  <c r="A289" i="3"/>
  <c r="M288" i="3"/>
  <c r="K288" i="3"/>
  <c r="J288" i="3"/>
  <c r="I288" i="3"/>
  <c r="H288" i="3"/>
  <c r="G288" i="3"/>
  <c r="F288" i="3"/>
  <c r="E288" i="3"/>
  <c r="D288" i="3"/>
  <c r="C288" i="3"/>
  <c r="B288" i="3"/>
  <c r="A288" i="3"/>
  <c r="M287" i="3"/>
  <c r="K287" i="3"/>
  <c r="J287" i="3"/>
  <c r="I287" i="3"/>
  <c r="H287" i="3"/>
  <c r="G287" i="3"/>
  <c r="F287" i="3"/>
  <c r="E287" i="3"/>
  <c r="D287" i="3"/>
  <c r="C287" i="3"/>
  <c r="B287" i="3"/>
  <c r="A287" i="3"/>
  <c r="M286" i="3"/>
  <c r="K286" i="3"/>
  <c r="J286" i="3"/>
  <c r="I286" i="3"/>
  <c r="H286" i="3"/>
  <c r="G286" i="3"/>
  <c r="F286" i="3"/>
  <c r="E286" i="3"/>
  <c r="D286" i="3"/>
  <c r="C286" i="3"/>
  <c r="B286" i="3"/>
  <c r="A286" i="3"/>
  <c r="M285" i="3"/>
  <c r="K285" i="3"/>
  <c r="J285" i="3"/>
  <c r="I285" i="3"/>
  <c r="H285" i="3"/>
  <c r="G285" i="3"/>
  <c r="F285" i="3"/>
  <c r="E285" i="3"/>
  <c r="D285" i="3"/>
  <c r="C285" i="3"/>
  <c r="B285" i="3"/>
  <c r="A285" i="3"/>
  <c r="M284" i="3"/>
  <c r="K284" i="3"/>
  <c r="J284" i="3"/>
  <c r="I284" i="3"/>
  <c r="H284" i="3"/>
  <c r="G284" i="3"/>
  <c r="F284" i="3"/>
  <c r="E284" i="3"/>
  <c r="D284" i="3"/>
  <c r="C284" i="3"/>
  <c r="B284" i="3"/>
  <c r="A284" i="3"/>
  <c r="M283" i="3"/>
  <c r="K283" i="3"/>
  <c r="J283" i="3"/>
  <c r="I283" i="3"/>
  <c r="H283" i="3"/>
  <c r="G283" i="3"/>
  <c r="F283" i="3"/>
  <c r="E283" i="3"/>
  <c r="D283" i="3"/>
  <c r="C283" i="3"/>
  <c r="B283" i="3"/>
  <c r="A283" i="3"/>
  <c r="M282" i="3"/>
  <c r="K282" i="3"/>
  <c r="J282" i="3"/>
  <c r="I282" i="3"/>
  <c r="H282" i="3"/>
  <c r="G282" i="3"/>
  <c r="F282" i="3"/>
  <c r="E282" i="3"/>
  <c r="D282" i="3"/>
  <c r="C282" i="3"/>
  <c r="B282" i="3"/>
  <c r="A282" i="3"/>
  <c r="M281" i="3"/>
  <c r="K281" i="3"/>
  <c r="J281" i="3"/>
  <c r="I281" i="3"/>
  <c r="H281" i="3"/>
  <c r="G281" i="3"/>
  <c r="F281" i="3"/>
  <c r="E281" i="3"/>
  <c r="D281" i="3"/>
  <c r="C281" i="3"/>
  <c r="B281" i="3"/>
  <c r="A281" i="3"/>
  <c r="M280" i="3"/>
  <c r="K280" i="3"/>
  <c r="J280" i="3"/>
  <c r="I280" i="3"/>
  <c r="H280" i="3"/>
  <c r="G280" i="3"/>
  <c r="F280" i="3"/>
  <c r="E280" i="3"/>
  <c r="D280" i="3"/>
  <c r="C280" i="3"/>
  <c r="B280" i="3"/>
  <c r="A280" i="3"/>
  <c r="M279" i="3"/>
  <c r="K279" i="3"/>
  <c r="J279" i="3"/>
  <c r="I279" i="3"/>
  <c r="H279" i="3"/>
  <c r="G279" i="3"/>
  <c r="F279" i="3"/>
  <c r="E279" i="3"/>
  <c r="D279" i="3"/>
  <c r="C279" i="3"/>
  <c r="B279" i="3"/>
  <c r="A279" i="3"/>
  <c r="M278" i="3"/>
  <c r="K278" i="3"/>
  <c r="J278" i="3"/>
  <c r="I278" i="3"/>
  <c r="H278" i="3"/>
  <c r="G278" i="3"/>
  <c r="F278" i="3"/>
  <c r="E278" i="3"/>
  <c r="D278" i="3"/>
  <c r="C278" i="3"/>
  <c r="B278" i="3"/>
  <c r="A278" i="3"/>
  <c r="M277" i="3"/>
  <c r="K277" i="3"/>
  <c r="J277" i="3"/>
  <c r="I277" i="3"/>
  <c r="H277" i="3"/>
  <c r="G277" i="3"/>
  <c r="F277" i="3"/>
  <c r="E277" i="3"/>
  <c r="D277" i="3"/>
  <c r="C277" i="3"/>
  <c r="B277" i="3"/>
  <c r="A277" i="3"/>
  <c r="M276" i="3"/>
  <c r="K276" i="3"/>
  <c r="J276" i="3"/>
  <c r="I276" i="3"/>
  <c r="H276" i="3"/>
  <c r="G276" i="3"/>
  <c r="F276" i="3"/>
  <c r="E276" i="3"/>
  <c r="D276" i="3"/>
  <c r="C276" i="3"/>
  <c r="B276" i="3"/>
  <c r="A276" i="3"/>
  <c r="M275" i="3"/>
  <c r="K275" i="3"/>
  <c r="J275" i="3"/>
  <c r="I275" i="3"/>
  <c r="H275" i="3"/>
  <c r="G275" i="3"/>
  <c r="F275" i="3"/>
  <c r="E275" i="3"/>
  <c r="D275" i="3"/>
  <c r="C275" i="3"/>
  <c r="B275" i="3"/>
  <c r="A275" i="3"/>
  <c r="M274" i="3"/>
  <c r="K274" i="3"/>
  <c r="J274" i="3"/>
  <c r="I274" i="3"/>
  <c r="H274" i="3"/>
  <c r="G274" i="3"/>
  <c r="F274" i="3"/>
  <c r="E274" i="3"/>
  <c r="D274" i="3"/>
  <c r="C274" i="3"/>
  <c r="B274" i="3"/>
  <c r="A274" i="3"/>
  <c r="M273" i="3"/>
  <c r="K273" i="3"/>
  <c r="J273" i="3"/>
  <c r="I273" i="3"/>
  <c r="H273" i="3"/>
  <c r="G273" i="3"/>
  <c r="F273" i="3"/>
  <c r="E273" i="3"/>
  <c r="D273" i="3"/>
  <c r="C273" i="3"/>
  <c r="B273" i="3"/>
  <c r="A273" i="3"/>
  <c r="M272" i="3"/>
  <c r="K272" i="3"/>
  <c r="J272" i="3"/>
  <c r="I272" i="3"/>
  <c r="H272" i="3"/>
  <c r="G272" i="3"/>
  <c r="F272" i="3"/>
  <c r="E272" i="3"/>
  <c r="D272" i="3"/>
  <c r="C272" i="3"/>
  <c r="B272" i="3"/>
  <c r="A272" i="3"/>
  <c r="M271" i="3"/>
  <c r="K271" i="3"/>
  <c r="J271" i="3"/>
  <c r="I271" i="3"/>
  <c r="H271" i="3"/>
  <c r="G271" i="3"/>
  <c r="F271" i="3"/>
  <c r="E271" i="3"/>
  <c r="D271" i="3"/>
  <c r="C271" i="3"/>
  <c r="B271" i="3"/>
  <c r="A271" i="3"/>
  <c r="M270" i="3"/>
  <c r="K270" i="3"/>
  <c r="J270" i="3"/>
  <c r="I270" i="3"/>
  <c r="H270" i="3"/>
  <c r="G270" i="3"/>
  <c r="F270" i="3"/>
  <c r="E270" i="3"/>
  <c r="D270" i="3"/>
  <c r="C270" i="3"/>
  <c r="B270" i="3"/>
  <c r="A270" i="3"/>
  <c r="M269" i="3"/>
  <c r="K269" i="3"/>
  <c r="J269" i="3"/>
  <c r="I269" i="3"/>
  <c r="H269" i="3"/>
  <c r="G269" i="3"/>
  <c r="F269" i="3"/>
  <c r="E269" i="3"/>
  <c r="D269" i="3"/>
  <c r="C269" i="3"/>
  <c r="B269" i="3"/>
  <c r="A269" i="3"/>
  <c r="M268" i="3"/>
  <c r="K268" i="3"/>
  <c r="J268" i="3"/>
  <c r="I268" i="3"/>
  <c r="H268" i="3"/>
  <c r="G268" i="3"/>
  <c r="F268" i="3"/>
  <c r="E268" i="3"/>
  <c r="D268" i="3"/>
  <c r="C268" i="3"/>
  <c r="B268" i="3"/>
  <c r="A268" i="3"/>
  <c r="M267" i="3"/>
  <c r="K267" i="3"/>
  <c r="J267" i="3"/>
  <c r="I267" i="3"/>
  <c r="H267" i="3"/>
  <c r="G267" i="3"/>
  <c r="F267" i="3"/>
  <c r="E267" i="3"/>
  <c r="D267" i="3"/>
  <c r="C267" i="3"/>
  <c r="B267" i="3"/>
  <c r="A267" i="3"/>
  <c r="M266" i="3"/>
  <c r="K266" i="3"/>
  <c r="J266" i="3"/>
  <c r="I266" i="3"/>
  <c r="H266" i="3"/>
  <c r="G266" i="3"/>
  <c r="F266" i="3"/>
  <c r="E266" i="3"/>
  <c r="D266" i="3"/>
  <c r="C266" i="3"/>
  <c r="B266" i="3"/>
  <c r="A266" i="3"/>
  <c r="M265" i="3"/>
  <c r="K265" i="3"/>
  <c r="J265" i="3"/>
  <c r="I265" i="3"/>
  <c r="H265" i="3"/>
  <c r="G265" i="3"/>
  <c r="F265" i="3"/>
  <c r="E265" i="3"/>
  <c r="D265" i="3"/>
  <c r="C265" i="3"/>
  <c r="B265" i="3"/>
  <c r="A265" i="3"/>
  <c r="M264" i="3"/>
  <c r="K264" i="3"/>
  <c r="J264" i="3"/>
  <c r="I264" i="3"/>
  <c r="H264" i="3"/>
  <c r="G264" i="3"/>
  <c r="F264" i="3"/>
  <c r="E264" i="3"/>
  <c r="D264" i="3"/>
  <c r="C264" i="3"/>
  <c r="B264" i="3"/>
  <c r="A264" i="3"/>
  <c r="M263" i="3"/>
  <c r="K263" i="3"/>
  <c r="J263" i="3"/>
  <c r="I263" i="3"/>
  <c r="H263" i="3"/>
  <c r="G263" i="3"/>
  <c r="F263" i="3"/>
  <c r="E263" i="3"/>
  <c r="D263" i="3"/>
  <c r="C263" i="3"/>
  <c r="B263" i="3"/>
  <c r="A263" i="3"/>
  <c r="M262" i="3"/>
  <c r="K262" i="3"/>
  <c r="J262" i="3"/>
  <c r="I262" i="3"/>
  <c r="H262" i="3"/>
  <c r="G262" i="3"/>
  <c r="F262" i="3"/>
  <c r="E262" i="3"/>
  <c r="D262" i="3"/>
  <c r="C262" i="3"/>
  <c r="B262" i="3"/>
  <c r="A262" i="3"/>
  <c r="M261" i="3"/>
  <c r="K261" i="3"/>
  <c r="J261" i="3"/>
  <c r="I261" i="3"/>
  <c r="H261" i="3"/>
  <c r="G261" i="3"/>
  <c r="F261" i="3"/>
  <c r="E261" i="3"/>
  <c r="D261" i="3"/>
  <c r="C261" i="3"/>
  <c r="B261" i="3"/>
  <c r="A261" i="3"/>
  <c r="M260" i="3"/>
  <c r="K260" i="3"/>
  <c r="J260" i="3"/>
  <c r="I260" i="3"/>
  <c r="H260" i="3"/>
  <c r="G260" i="3"/>
  <c r="F260" i="3"/>
  <c r="E260" i="3"/>
  <c r="D260" i="3"/>
  <c r="C260" i="3"/>
  <c r="B260" i="3"/>
  <c r="A260" i="3"/>
  <c r="M259" i="3"/>
  <c r="K259" i="3"/>
  <c r="J259" i="3"/>
  <c r="I259" i="3"/>
  <c r="H259" i="3"/>
  <c r="G259" i="3"/>
  <c r="F259" i="3"/>
  <c r="E259" i="3"/>
  <c r="D259" i="3"/>
  <c r="C259" i="3"/>
  <c r="B259" i="3"/>
  <c r="A259" i="3"/>
  <c r="M258" i="3"/>
  <c r="K258" i="3"/>
  <c r="J258" i="3"/>
  <c r="I258" i="3"/>
  <c r="H258" i="3"/>
  <c r="G258" i="3"/>
  <c r="F258" i="3"/>
  <c r="E258" i="3"/>
  <c r="D258" i="3"/>
  <c r="C258" i="3"/>
  <c r="B258" i="3"/>
  <c r="A258" i="3"/>
  <c r="M257" i="3"/>
  <c r="K257" i="3"/>
  <c r="J257" i="3"/>
  <c r="I257" i="3"/>
  <c r="H257" i="3"/>
  <c r="G257" i="3"/>
  <c r="F257" i="3"/>
  <c r="E257" i="3"/>
  <c r="D257" i="3"/>
  <c r="C257" i="3"/>
  <c r="B257" i="3"/>
  <c r="A257" i="3"/>
  <c r="M256" i="3"/>
  <c r="K256" i="3"/>
  <c r="J256" i="3"/>
  <c r="I256" i="3"/>
  <c r="H256" i="3"/>
  <c r="G256" i="3"/>
  <c r="F256" i="3"/>
  <c r="E256" i="3"/>
  <c r="D256" i="3"/>
  <c r="C256" i="3"/>
  <c r="B256" i="3"/>
  <c r="A256" i="3"/>
  <c r="M255" i="3"/>
  <c r="K255" i="3"/>
  <c r="J255" i="3"/>
  <c r="I255" i="3"/>
  <c r="H255" i="3"/>
  <c r="G255" i="3"/>
  <c r="F255" i="3"/>
  <c r="E255" i="3"/>
  <c r="D255" i="3"/>
  <c r="C255" i="3"/>
  <c r="B255" i="3"/>
  <c r="A255" i="3"/>
  <c r="M254" i="3"/>
  <c r="K254" i="3"/>
  <c r="J254" i="3"/>
  <c r="I254" i="3"/>
  <c r="H254" i="3"/>
  <c r="G254" i="3"/>
  <c r="F254" i="3"/>
  <c r="E254" i="3"/>
  <c r="D254" i="3"/>
  <c r="C254" i="3"/>
  <c r="B254" i="3"/>
  <c r="A254" i="3"/>
  <c r="M253" i="3"/>
  <c r="K253" i="3"/>
  <c r="J253" i="3"/>
  <c r="I253" i="3"/>
  <c r="H253" i="3"/>
  <c r="G253" i="3"/>
  <c r="F253" i="3"/>
  <c r="E253" i="3"/>
  <c r="D253" i="3"/>
  <c r="C253" i="3"/>
  <c r="B253" i="3"/>
  <c r="A253" i="3"/>
  <c r="M252" i="3"/>
  <c r="K252" i="3"/>
  <c r="J252" i="3"/>
  <c r="I252" i="3"/>
  <c r="H252" i="3"/>
  <c r="G252" i="3"/>
  <c r="F252" i="3"/>
  <c r="E252" i="3"/>
  <c r="D252" i="3"/>
  <c r="C252" i="3"/>
  <c r="B252" i="3"/>
  <c r="A252" i="3"/>
  <c r="M251" i="3"/>
  <c r="K251" i="3"/>
  <c r="J251" i="3"/>
  <c r="I251" i="3"/>
  <c r="H251" i="3"/>
  <c r="G251" i="3"/>
  <c r="F251" i="3"/>
  <c r="E251" i="3"/>
  <c r="D251" i="3"/>
  <c r="C251" i="3"/>
  <c r="B251" i="3"/>
  <c r="A251" i="3"/>
  <c r="M250" i="3"/>
  <c r="K250" i="3"/>
  <c r="J250" i="3"/>
  <c r="I250" i="3"/>
  <c r="H250" i="3"/>
  <c r="G250" i="3"/>
  <c r="F250" i="3"/>
  <c r="E250" i="3"/>
  <c r="D250" i="3"/>
  <c r="C250" i="3"/>
  <c r="B250" i="3"/>
  <c r="A250" i="3"/>
  <c r="M249" i="3"/>
  <c r="K249" i="3"/>
  <c r="J249" i="3"/>
  <c r="I249" i="3"/>
  <c r="H249" i="3"/>
  <c r="G249" i="3"/>
  <c r="F249" i="3"/>
  <c r="E249" i="3"/>
  <c r="D249" i="3"/>
  <c r="C249" i="3"/>
  <c r="B249" i="3"/>
  <c r="A249" i="3"/>
  <c r="M248" i="3"/>
  <c r="K248" i="3"/>
  <c r="J248" i="3"/>
  <c r="I248" i="3"/>
  <c r="H248" i="3"/>
  <c r="G248" i="3"/>
  <c r="F248" i="3"/>
  <c r="E248" i="3"/>
  <c r="D248" i="3"/>
  <c r="C248" i="3"/>
  <c r="B248" i="3"/>
  <c r="A248" i="3"/>
  <c r="M247" i="3"/>
  <c r="K247" i="3"/>
  <c r="J247" i="3"/>
  <c r="I247" i="3"/>
  <c r="H247" i="3"/>
  <c r="G247" i="3"/>
  <c r="F247" i="3"/>
  <c r="E247" i="3"/>
  <c r="D247" i="3"/>
  <c r="C247" i="3"/>
  <c r="B247" i="3"/>
  <c r="A247" i="3"/>
  <c r="M246" i="3"/>
  <c r="K246" i="3"/>
  <c r="J246" i="3"/>
  <c r="I246" i="3"/>
  <c r="H246" i="3"/>
  <c r="G246" i="3"/>
  <c r="F246" i="3"/>
  <c r="E246" i="3"/>
  <c r="D246" i="3"/>
  <c r="C246" i="3"/>
  <c r="B246" i="3"/>
  <c r="A246" i="3"/>
  <c r="M245" i="3"/>
  <c r="K245" i="3"/>
  <c r="J245" i="3"/>
  <c r="I245" i="3"/>
  <c r="H245" i="3"/>
  <c r="G245" i="3"/>
  <c r="F245" i="3"/>
  <c r="E245" i="3"/>
  <c r="D245" i="3"/>
  <c r="C245" i="3"/>
  <c r="B245" i="3"/>
  <c r="A245" i="3"/>
  <c r="M244" i="3"/>
  <c r="K244" i="3"/>
  <c r="J244" i="3"/>
  <c r="I244" i="3"/>
  <c r="H244" i="3"/>
  <c r="G244" i="3"/>
  <c r="F244" i="3"/>
  <c r="E244" i="3"/>
  <c r="D244" i="3"/>
  <c r="C244" i="3"/>
  <c r="B244" i="3"/>
  <c r="A244" i="3"/>
  <c r="M243" i="3"/>
  <c r="K243" i="3"/>
  <c r="J243" i="3"/>
  <c r="I243" i="3"/>
  <c r="H243" i="3"/>
  <c r="G243" i="3"/>
  <c r="F243" i="3"/>
  <c r="E243" i="3"/>
  <c r="D243" i="3"/>
  <c r="C243" i="3"/>
  <c r="B243" i="3"/>
  <c r="A243" i="3"/>
  <c r="M242" i="3"/>
  <c r="K242" i="3"/>
  <c r="J242" i="3"/>
  <c r="I242" i="3"/>
  <c r="H242" i="3"/>
  <c r="G242" i="3"/>
  <c r="F242" i="3"/>
  <c r="E242" i="3"/>
  <c r="D242" i="3"/>
  <c r="C242" i="3"/>
  <c r="B242" i="3"/>
  <c r="A242" i="3"/>
  <c r="M241" i="3"/>
  <c r="K241" i="3"/>
  <c r="J241" i="3"/>
  <c r="I241" i="3"/>
  <c r="H241" i="3"/>
  <c r="G241" i="3"/>
  <c r="F241" i="3"/>
  <c r="E241" i="3"/>
  <c r="D241" i="3"/>
  <c r="C241" i="3"/>
  <c r="B241" i="3"/>
  <c r="A241" i="3"/>
  <c r="M240" i="3"/>
  <c r="K240" i="3"/>
  <c r="J240" i="3"/>
  <c r="I240" i="3"/>
  <c r="H240" i="3"/>
  <c r="G240" i="3"/>
  <c r="F240" i="3"/>
  <c r="E240" i="3"/>
  <c r="D240" i="3"/>
  <c r="C240" i="3"/>
  <c r="B240" i="3"/>
  <c r="A240" i="3"/>
  <c r="M239" i="3"/>
  <c r="K239" i="3"/>
  <c r="J239" i="3"/>
  <c r="I239" i="3"/>
  <c r="H239" i="3"/>
  <c r="G239" i="3"/>
  <c r="F239" i="3"/>
  <c r="E239" i="3"/>
  <c r="D239" i="3"/>
  <c r="C239" i="3"/>
  <c r="B239" i="3"/>
  <c r="A239" i="3"/>
  <c r="M238" i="3"/>
  <c r="K238" i="3"/>
  <c r="J238" i="3"/>
  <c r="I238" i="3"/>
  <c r="H238" i="3"/>
  <c r="G238" i="3"/>
  <c r="F238" i="3"/>
  <c r="E238" i="3"/>
  <c r="D238" i="3"/>
  <c r="C238" i="3"/>
  <c r="B238" i="3"/>
  <c r="A238" i="3"/>
  <c r="M237" i="3"/>
  <c r="K237" i="3"/>
  <c r="J237" i="3"/>
  <c r="I237" i="3"/>
  <c r="H237" i="3"/>
  <c r="G237" i="3"/>
  <c r="F237" i="3"/>
  <c r="E237" i="3"/>
  <c r="D237" i="3"/>
  <c r="C237" i="3"/>
  <c r="B237" i="3"/>
  <c r="A237" i="3"/>
  <c r="M236" i="3"/>
  <c r="K236" i="3"/>
  <c r="J236" i="3"/>
  <c r="I236" i="3"/>
  <c r="H236" i="3"/>
  <c r="G236" i="3"/>
  <c r="F236" i="3"/>
  <c r="E236" i="3"/>
  <c r="D236" i="3"/>
  <c r="C236" i="3"/>
  <c r="B236" i="3"/>
  <c r="A236" i="3"/>
  <c r="M235" i="3"/>
  <c r="K235" i="3"/>
  <c r="J235" i="3"/>
  <c r="I235" i="3"/>
  <c r="H235" i="3"/>
  <c r="G235" i="3"/>
  <c r="F235" i="3"/>
  <c r="E235" i="3"/>
  <c r="D235" i="3"/>
  <c r="C235" i="3"/>
  <c r="B235" i="3"/>
  <c r="A235" i="3"/>
  <c r="M234" i="3"/>
  <c r="K234" i="3"/>
  <c r="J234" i="3"/>
  <c r="I234" i="3"/>
  <c r="H234" i="3"/>
  <c r="G234" i="3"/>
  <c r="F234" i="3"/>
  <c r="E234" i="3"/>
  <c r="D234" i="3"/>
  <c r="C234" i="3"/>
  <c r="B234" i="3"/>
  <c r="A234" i="3"/>
  <c r="M233" i="3"/>
  <c r="K233" i="3"/>
  <c r="J233" i="3"/>
  <c r="I233" i="3"/>
  <c r="H233" i="3"/>
  <c r="G233" i="3"/>
  <c r="F233" i="3"/>
  <c r="E233" i="3"/>
  <c r="D233" i="3"/>
  <c r="C233" i="3"/>
  <c r="B233" i="3"/>
  <c r="A233" i="3"/>
  <c r="M232" i="3"/>
  <c r="K232" i="3"/>
  <c r="J232" i="3"/>
  <c r="I232" i="3"/>
  <c r="H232" i="3"/>
  <c r="G232" i="3"/>
  <c r="F232" i="3"/>
  <c r="E232" i="3"/>
  <c r="D232" i="3"/>
  <c r="C232" i="3"/>
  <c r="B232" i="3"/>
  <c r="A232" i="3"/>
  <c r="M231" i="3"/>
  <c r="K231" i="3"/>
  <c r="J231" i="3"/>
  <c r="I231" i="3"/>
  <c r="H231" i="3"/>
  <c r="G231" i="3"/>
  <c r="F231" i="3"/>
  <c r="E231" i="3"/>
  <c r="D231" i="3"/>
  <c r="C231" i="3"/>
  <c r="B231" i="3"/>
  <c r="A231" i="3"/>
  <c r="M230" i="3"/>
  <c r="K230" i="3"/>
  <c r="J230" i="3"/>
  <c r="I230" i="3"/>
  <c r="H230" i="3"/>
  <c r="G230" i="3"/>
  <c r="F230" i="3"/>
  <c r="E230" i="3"/>
  <c r="D230" i="3"/>
  <c r="C230" i="3"/>
  <c r="B230" i="3"/>
  <c r="A230" i="3"/>
  <c r="M229" i="3"/>
  <c r="K229" i="3"/>
  <c r="J229" i="3"/>
  <c r="I229" i="3"/>
  <c r="H229" i="3"/>
  <c r="G229" i="3"/>
  <c r="F229" i="3"/>
  <c r="E229" i="3"/>
  <c r="D229" i="3"/>
  <c r="C229" i="3"/>
  <c r="B229" i="3"/>
  <c r="A229" i="3"/>
  <c r="M228" i="3"/>
  <c r="K228" i="3"/>
  <c r="J228" i="3"/>
  <c r="I228" i="3"/>
  <c r="H228" i="3"/>
  <c r="G228" i="3"/>
  <c r="F228" i="3"/>
  <c r="E228" i="3"/>
  <c r="D228" i="3"/>
  <c r="C228" i="3"/>
  <c r="B228" i="3"/>
  <c r="A228" i="3"/>
  <c r="M227" i="3"/>
  <c r="K227" i="3"/>
  <c r="J227" i="3"/>
  <c r="I227" i="3"/>
  <c r="H227" i="3"/>
  <c r="G227" i="3"/>
  <c r="F227" i="3"/>
  <c r="E227" i="3"/>
  <c r="D227" i="3"/>
  <c r="C227" i="3"/>
  <c r="B227" i="3"/>
  <c r="A227" i="3"/>
  <c r="M226" i="3"/>
  <c r="K226" i="3"/>
  <c r="J226" i="3"/>
  <c r="I226" i="3"/>
  <c r="H226" i="3"/>
  <c r="G226" i="3"/>
  <c r="F226" i="3"/>
  <c r="E226" i="3"/>
  <c r="D226" i="3"/>
  <c r="C226" i="3"/>
  <c r="B226" i="3"/>
  <c r="A226" i="3"/>
  <c r="M225" i="3"/>
  <c r="K225" i="3"/>
  <c r="J225" i="3"/>
  <c r="I225" i="3"/>
  <c r="H225" i="3"/>
  <c r="G225" i="3"/>
  <c r="F225" i="3"/>
  <c r="E225" i="3"/>
  <c r="D225" i="3"/>
  <c r="C225" i="3"/>
  <c r="B225" i="3"/>
  <c r="A225" i="3"/>
  <c r="M224" i="3"/>
  <c r="K224" i="3"/>
  <c r="J224" i="3"/>
  <c r="I224" i="3"/>
  <c r="H224" i="3"/>
  <c r="G224" i="3"/>
  <c r="F224" i="3"/>
  <c r="E224" i="3"/>
  <c r="D224" i="3"/>
  <c r="C224" i="3"/>
  <c r="B224" i="3"/>
  <c r="A224" i="3"/>
  <c r="M223" i="3"/>
  <c r="K223" i="3"/>
  <c r="J223" i="3"/>
  <c r="I223" i="3"/>
  <c r="H223" i="3"/>
  <c r="G223" i="3"/>
  <c r="F223" i="3"/>
  <c r="E223" i="3"/>
  <c r="D223" i="3"/>
  <c r="C223" i="3"/>
  <c r="B223" i="3"/>
  <c r="A223" i="3"/>
  <c r="M222" i="3"/>
  <c r="K222" i="3"/>
  <c r="J222" i="3"/>
  <c r="I222" i="3"/>
  <c r="H222" i="3"/>
  <c r="G222" i="3"/>
  <c r="F222" i="3"/>
  <c r="E222" i="3"/>
  <c r="D222" i="3"/>
  <c r="C222" i="3"/>
  <c r="B222" i="3"/>
  <c r="A222" i="3"/>
  <c r="M221" i="3"/>
  <c r="K221" i="3"/>
  <c r="J221" i="3"/>
  <c r="I221" i="3"/>
  <c r="H221" i="3"/>
  <c r="G221" i="3"/>
  <c r="F221" i="3"/>
  <c r="E221" i="3"/>
  <c r="D221" i="3"/>
  <c r="C221" i="3"/>
  <c r="B221" i="3"/>
  <c r="A221" i="3"/>
  <c r="M220" i="3"/>
  <c r="K220" i="3"/>
  <c r="J220" i="3"/>
  <c r="I220" i="3"/>
  <c r="H220" i="3"/>
  <c r="G220" i="3"/>
  <c r="F220" i="3"/>
  <c r="E220" i="3"/>
  <c r="D220" i="3"/>
  <c r="C220" i="3"/>
  <c r="B220" i="3"/>
  <c r="A220" i="3"/>
  <c r="M219" i="3"/>
  <c r="K219" i="3"/>
  <c r="J219" i="3"/>
  <c r="I219" i="3"/>
  <c r="H219" i="3"/>
  <c r="G219" i="3"/>
  <c r="F219" i="3"/>
  <c r="E219" i="3"/>
  <c r="D219" i="3"/>
  <c r="C219" i="3"/>
  <c r="B219" i="3"/>
  <c r="A219" i="3"/>
  <c r="M218" i="3"/>
  <c r="K218" i="3"/>
  <c r="J218" i="3"/>
  <c r="I218" i="3"/>
  <c r="H218" i="3"/>
  <c r="G218" i="3"/>
  <c r="F218" i="3"/>
  <c r="E218" i="3"/>
  <c r="D218" i="3"/>
  <c r="C218" i="3"/>
  <c r="B218" i="3"/>
  <c r="A218" i="3"/>
  <c r="M217" i="3"/>
  <c r="K217" i="3"/>
  <c r="J217" i="3"/>
  <c r="I217" i="3"/>
  <c r="H217" i="3"/>
  <c r="G217" i="3"/>
  <c r="F217" i="3"/>
  <c r="E217" i="3"/>
  <c r="D217" i="3"/>
  <c r="C217" i="3"/>
  <c r="B217" i="3"/>
  <c r="A217" i="3"/>
  <c r="M216" i="3"/>
  <c r="K216" i="3"/>
  <c r="J216" i="3"/>
  <c r="I216" i="3"/>
  <c r="H216" i="3"/>
  <c r="G216" i="3"/>
  <c r="F216" i="3"/>
  <c r="E216" i="3"/>
  <c r="D216" i="3"/>
  <c r="C216" i="3"/>
  <c r="B216" i="3"/>
  <c r="A216" i="3"/>
  <c r="M215" i="3"/>
  <c r="K215" i="3"/>
  <c r="J215" i="3"/>
  <c r="I215" i="3"/>
  <c r="H215" i="3"/>
  <c r="G215" i="3"/>
  <c r="F215" i="3"/>
  <c r="E215" i="3"/>
  <c r="D215" i="3"/>
  <c r="C215" i="3"/>
  <c r="B215" i="3"/>
  <c r="A215" i="3"/>
  <c r="M214" i="3"/>
  <c r="K214" i="3"/>
  <c r="J214" i="3"/>
  <c r="I214" i="3"/>
  <c r="H214" i="3"/>
  <c r="G214" i="3"/>
  <c r="F214" i="3"/>
  <c r="E214" i="3"/>
  <c r="D214" i="3"/>
  <c r="C214" i="3"/>
  <c r="B214" i="3"/>
  <c r="A214" i="3"/>
  <c r="M213" i="3"/>
  <c r="K213" i="3"/>
  <c r="J213" i="3"/>
  <c r="I213" i="3"/>
  <c r="H213" i="3"/>
  <c r="G213" i="3"/>
  <c r="F213" i="3"/>
  <c r="E213" i="3"/>
  <c r="D213" i="3"/>
  <c r="C213" i="3"/>
  <c r="B213" i="3"/>
  <c r="A213" i="3"/>
  <c r="M212" i="3"/>
  <c r="K212" i="3"/>
  <c r="J212" i="3"/>
  <c r="I212" i="3"/>
  <c r="H212" i="3"/>
  <c r="G212" i="3"/>
  <c r="F212" i="3"/>
  <c r="E212" i="3"/>
  <c r="D212" i="3"/>
  <c r="C212" i="3"/>
  <c r="B212" i="3"/>
  <c r="A212" i="3"/>
  <c r="M211" i="3"/>
  <c r="K211" i="3"/>
  <c r="J211" i="3"/>
  <c r="I211" i="3"/>
  <c r="H211" i="3"/>
  <c r="G211" i="3"/>
  <c r="F211" i="3"/>
  <c r="E211" i="3"/>
  <c r="D211" i="3"/>
  <c r="C211" i="3"/>
  <c r="B211" i="3"/>
  <c r="A211" i="3"/>
  <c r="M210" i="3"/>
  <c r="K210" i="3"/>
  <c r="J210" i="3"/>
  <c r="I210" i="3"/>
  <c r="H210" i="3"/>
  <c r="G210" i="3"/>
  <c r="F210" i="3"/>
  <c r="E210" i="3"/>
  <c r="D210" i="3"/>
  <c r="C210" i="3"/>
  <c r="B210" i="3"/>
  <c r="A210" i="3"/>
  <c r="M209" i="3"/>
  <c r="K209" i="3"/>
  <c r="J209" i="3"/>
  <c r="I209" i="3"/>
  <c r="H209" i="3"/>
  <c r="G209" i="3"/>
  <c r="F209" i="3"/>
  <c r="E209" i="3"/>
  <c r="D209" i="3"/>
  <c r="C209" i="3"/>
  <c r="B209" i="3"/>
  <c r="A209" i="3"/>
  <c r="M208" i="3"/>
  <c r="K208" i="3"/>
  <c r="J208" i="3"/>
  <c r="I208" i="3"/>
  <c r="H208" i="3"/>
  <c r="G208" i="3"/>
  <c r="F208" i="3"/>
  <c r="E208" i="3"/>
  <c r="D208" i="3"/>
  <c r="C208" i="3"/>
  <c r="B208" i="3"/>
  <c r="A208" i="3"/>
  <c r="M207" i="3"/>
  <c r="K207" i="3"/>
  <c r="J207" i="3"/>
  <c r="I207" i="3"/>
  <c r="H207" i="3"/>
  <c r="G207" i="3"/>
  <c r="F207" i="3"/>
  <c r="E207" i="3"/>
  <c r="D207" i="3"/>
  <c r="C207" i="3"/>
  <c r="B207" i="3"/>
  <c r="A207" i="3"/>
  <c r="M206" i="3"/>
  <c r="K206" i="3"/>
  <c r="J206" i="3"/>
  <c r="I206" i="3"/>
  <c r="H206" i="3"/>
  <c r="G206" i="3"/>
  <c r="F206" i="3"/>
  <c r="E206" i="3"/>
  <c r="D206" i="3"/>
  <c r="C206" i="3"/>
  <c r="B206" i="3"/>
  <c r="A206" i="3"/>
  <c r="M205" i="3"/>
  <c r="K205" i="3"/>
  <c r="J205" i="3"/>
  <c r="I205" i="3"/>
  <c r="H205" i="3"/>
  <c r="G205" i="3"/>
  <c r="F205" i="3"/>
  <c r="E205" i="3"/>
  <c r="D205" i="3"/>
  <c r="C205" i="3"/>
  <c r="B205" i="3"/>
  <c r="A205" i="3"/>
  <c r="M204" i="3"/>
  <c r="K204" i="3"/>
  <c r="J204" i="3"/>
  <c r="I204" i="3"/>
  <c r="H204" i="3"/>
  <c r="G204" i="3"/>
  <c r="F204" i="3"/>
  <c r="E204" i="3"/>
  <c r="D204" i="3"/>
  <c r="C204" i="3"/>
  <c r="B204" i="3"/>
  <c r="A204" i="3"/>
  <c r="M203" i="3"/>
  <c r="K203" i="3"/>
  <c r="J203" i="3"/>
  <c r="I203" i="3"/>
  <c r="H203" i="3"/>
  <c r="G203" i="3"/>
  <c r="F203" i="3"/>
  <c r="E203" i="3"/>
  <c r="D203" i="3"/>
  <c r="C203" i="3"/>
  <c r="B203" i="3"/>
  <c r="A203" i="3"/>
  <c r="M202" i="3"/>
  <c r="K202" i="3"/>
  <c r="J202" i="3"/>
  <c r="I202" i="3"/>
  <c r="H202" i="3"/>
  <c r="G202" i="3"/>
  <c r="F202" i="3"/>
  <c r="E202" i="3"/>
  <c r="D202" i="3"/>
  <c r="C202" i="3"/>
  <c r="B202" i="3"/>
  <c r="A202" i="3"/>
  <c r="M201" i="3"/>
  <c r="K201" i="3"/>
  <c r="J201" i="3"/>
  <c r="I201" i="3"/>
  <c r="H201" i="3"/>
  <c r="G201" i="3"/>
  <c r="F201" i="3"/>
  <c r="E201" i="3"/>
  <c r="D201" i="3"/>
  <c r="C201" i="3"/>
  <c r="B201" i="3"/>
  <c r="A201" i="3"/>
  <c r="M200" i="3"/>
  <c r="K200" i="3"/>
  <c r="J200" i="3"/>
  <c r="I200" i="3"/>
  <c r="H200" i="3"/>
  <c r="G200" i="3"/>
  <c r="F200" i="3"/>
  <c r="E200" i="3"/>
  <c r="D200" i="3"/>
  <c r="C200" i="3"/>
  <c r="B200" i="3"/>
  <c r="A200" i="3"/>
  <c r="M199" i="3"/>
  <c r="K199" i="3"/>
  <c r="J199" i="3"/>
  <c r="I199" i="3"/>
  <c r="H199" i="3"/>
  <c r="G199" i="3"/>
  <c r="F199" i="3"/>
  <c r="E199" i="3"/>
  <c r="D199" i="3"/>
  <c r="C199" i="3"/>
  <c r="B199" i="3"/>
  <c r="A199" i="3"/>
  <c r="M198" i="3"/>
  <c r="K198" i="3"/>
  <c r="J198" i="3"/>
  <c r="I198" i="3"/>
  <c r="H198" i="3"/>
  <c r="G198" i="3"/>
  <c r="F198" i="3"/>
  <c r="E198" i="3"/>
  <c r="D198" i="3"/>
  <c r="C198" i="3"/>
  <c r="B198" i="3"/>
  <c r="A198" i="3"/>
  <c r="M197" i="3"/>
  <c r="K197" i="3"/>
  <c r="J197" i="3"/>
  <c r="I197" i="3"/>
  <c r="H197" i="3"/>
  <c r="G197" i="3"/>
  <c r="F197" i="3"/>
  <c r="E197" i="3"/>
  <c r="D197" i="3"/>
  <c r="C197" i="3"/>
  <c r="B197" i="3"/>
  <c r="A197" i="3"/>
  <c r="M196" i="3"/>
  <c r="K196" i="3"/>
  <c r="J196" i="3"/>
  <c r="I196" i="3"/>
  <c r="H196" i="3"/>
  <c r="G196" i="3"/>
  <c r="F196" i="3"/>
  <c r="E196" i="3"/>
  <c r="D196" i="3"/>
  <c r="C196" i="3"/>
  <c r="B196" i="3"/>
  <c r="A196" i="3"/>
  <c r="M195" i="3"/>
  <c r="K195" i="3"/>
  <c r="J195" i="3"/>
  <c r="I195" i="3"/>
  <c r="H195" i="3"/>
  <c r="G195" i="3"/>
  <c r="F195" i="3"/>
  <c r="E195" i="3"/>
  <c r="D195" i="3"/>
  <c r="C195" i="3"/>
  <c r="B195" i="3"/>
  <c r="A195" i="3"/>
  <c r="M194" i="3"/>
  <c r="K194" i="3"/>
  <c r="J194" i="3"/>
  <c r="I194" i="3"/>
  <c r="H194" i="3"/>
  <c r="G194" i="3"/>
  <c r="F194" i="3"/>
  <c r="E194" i="3"/>
  <c r="D194" i="3"/>
  <c r="C194" i="3"/>
  <c r="B194" i="3"/>
  <c r="A194" i="3"/>
  <c r="M193" i="3"/>
  <c r="K193" i="3"/>
  <c r="J193" i="3"/>
  <c r="I193" i="3"/>
  <c r="H193" i="3"/>
  <c r="G193" i="3"/>
  <c r="F193" i="3"/>
  <c r="E193" i="3"/>
  <c r="D193" i="3"/>
  <c r="C193" i="3"/>
  <c r="B193" i="3"/>
  <c r="A193" i="3"/>
  <c r="M192" i="3"/>
  <c r="K192" i="3"/>
  <c r="J192" i="3"/>
  <c r="I192" i="3"/>
  <c r="H192" i="3"/>
  <c r="G192" i="3"/>
  <c r="F192" i="3"/>
  <c r="E192" i="3"/>
  <c r="D192" i="3"/>
  <c r="C192" i="3"/>
  <c r="B192" i="3"/>
  <c r="A192" i="3"/>
  <c r="M191" i="3"/>
  <c r="K191" i="3"/>
  <c r="J191" i="3"/>
  <c r="I191" i="3"/>
  <c r="H191" i="3"/>
  <c r="G191" i="3"/>
  <c r="F191" i="3"/>
  <c r="E191" i="3"/>
  <c r="D191" i="3"/>
  <c r="C191" i="3"/>
  <c r="B191" i="3"/>
  <c r="A191" i="3"/>
  <c r="M190" i="3"/>
  <c r="K190" i="3"/>
  <c r="J190" i="3"/>
  <c r="I190" i="3"/>
  <c r="H190" i="3"/>
  <c r="G190" i="3"/>
  <c r="F190" i="3"/>
  <c r="E190" i="3"/>
  <c r="D190" i="3"/>
  <c r="C190" i="3"/>
  <c r="B190" i="3"/>
  <c r="A190" i="3"/>
  <c r="M189" i="3"/>
  <c r="K189" i="3"/>
  <c r="J189" i="3"/>
  <c r="I189" i="3"/>
  <c r="H189" i="3"/>
  <c r="G189" i="3"/>
  <c r="F189" i="3"/>
  <c r="E189" i="3"/>
  <c r="D189" i="3"/>
  <c r="C189" i="3"/>
  <c r="B189" i="3"/>
  <c r="A189" i="3"/>
  <c r="M188" i="3"/>
  <c r="K188" i="3"/>
  <c r="J188" i="3"/>
  <c r="I188" i="3"/>
  <c r="H188" i="3"/>
  <c r="G188" i="3"/>
  <c r="F188" i="3"/>
  <c r="E188" i="3"/>
  <c r="D188" i="3"/>
  <c r="C188" i="3"/>
  <c r="B188" i="3"/>
  <c r="A188" i="3"/>
  <c r="M187" i="3"/>
  <c r="K187" i="3"/>
  <c r="J187" i="3"/>
  <c r="I187" i="3"/>
  <c r="H187" i="3"/>
  <c r="G187" i="3"/>
  <c r="F187" i="3"/>
  <c r="E187" i="3"/>
  <c r="D187" i="3"/>
  <c r="C187" i="3"/>
  <c r="B187" i="3"/>
  <c r="A187" i="3"/>
  <c r="M186" i="3"/>
  <c r="K186" i="3"/>
  <c r="J186" i="3"/>
  <c r="I186" i="3"/>
  <c r="H186" i="3"/>
  <c r="G186" i="3"/>
  <c r="F186" i="3"/>
  <c r="E186" i="3"/>
  <c r="D186" i="3"/>
  <c r="C186" i="3"/>
  <c r="B186" i="3"/>
  <c r="A186" i="3"/>
  <c r="M185" i="3"/>
  <c r="K185" i="3"/>
  <c r="J185" i="3"/>
  <c r="I185" i="3"/>
  <c r="H185" i="3"/>
  <c r="G185" i="3"/>
  <c r="F185" i="3"/>
  <c r="E185" i="3"/>
  <c r="D185" i="3"/>
  <c r="C185" i="3"/>
  <c r="B185" i="3"/>
  <c r="A185" i="3"/>
  <c r="M184" i="3"/>
  <c r="K184" i="3"/>
  <c r="J184" i="3"/>
  <c r="I184" i="3"/>
  <c r="H184" i="3"/>
  <c r="G184" i="3"/>
  <c r="F184" i="3"/>
  <c r="E184" i="3"/>
  <c r="D184" i="3"/>
  <c r="C184" i="3"/>
  <c r="B184" i="3"/>
  <c r="A184" i="3"/>
  <c r="M183" i="3"/>
  <c r="K183" i="3"/>
  <c r="J183" i="3"/>
  <c r="I183" i="3"/>
  <c r="H183" i="3"/>
  <c r="G183" i="3"/>
  <c r="F183" i="3"/>
  <c r="E183" i="3"/>
  <c r="D183" i="3"/>
  <c r="C183" i="3"/>
  <c r="B183" i="3"/>
  <c r="A183" i="3"/>
  <c r="M182" i="3"/>
  <c r="K182" i="3"/>
  <c r="J182" i="3"/>
  <c r="I182" i="3"/>
  <c r="H182" i="3"/>
  <c r="G182" i="3"/>
  <c r="F182" i="3"/>
  <c r="E182" i="3"/>
  <c r="D182" i="3"/>
  <c r="C182" i="3"/>
  <c r="B182" i="3"/>
  <c r="A182" i="3"/>
  <c r="M181" i="3"/>
  <c r="K181" i="3"/>
  <c r="J181" i="3"/>
  <c r="I181" i="3"/>
  <c r="H181" i="3"/>
  <c r="G181" i="3"/>
  <c r="F181" i="3"/>
  <c r="E181" i="3"/>
  <c r="D181" i="3"/>
  <c r="C181" i="3"/>
  <c r="B181" i="3"/>
  <c r="A181" i="3"/>
  <c r="M180" i="3"/>
  <c r="K180" i="3"/>
  <c r="J180" i="3"/>
  <c r="I180" i="3"/>
  <c r="H180" i="3"/>
  <c r="G180" i="3"/>
  <c r="F180" i="3"/>
  <c r="E180" i="3"/>
  <c r="D180" i="3"/>
  <c r="C180" i="3"/>
  <c r="B180" i="3"/>
  <c r="A180" i="3"/>
  <c r="M179" i="3"/>
  <c r="K179" i="3"/>
  <c r="J179" i="3"/>
  <c r="I179" i="3"/>
  <c r="H179" i="3"/>
  <c r="G179" i="3"/>
  <c r="F179" i="3"/>
  <c r="E179" i="3"/>
  <c r="D179" i="3"/>
  <c r="C179" i="3"/>
  <c r="B179" i="3"/>
  <c r="A179" i="3"/>
  <c r="M178" i="3"/>
  <c r="K178" i="3"/>
  <c r="J178" i="3"/>
  <c r="I178" i="3"/>
  <c r="H178" i="3"/>
  <c r="G178" i="3"/>
  <c r="F178" i="3"/>
  <c r="E178" i="3"/>
  <c r="D178" i="3"/>
  <c r="C178" i="3"/>
  <c r="B178" i="3"/>
  <c r="A178" i="3"/>
  <c r="M177" i="3"/>
  <c r="K177" i="3"/>
  <c r="J177" i="3"/>
  <c r="I177" i="3"/>
  <c r="H177" i="3"/>
  <c r="G177" i="3"/>
  <c r="F177" i="3"/>
  <c r="E177" i="3"/>
  <c r="D177" i="3"/>
  <c r="C177" i="3"/>
  <c r="B177" i="3"/>
  <c r="A177" i="3"/>
  <c r="M176" i="3"/>
  <c r="K176" i="3"/>
  <c r="J176" i="3"/>
  <c r="I176" i="3"/>
  <c r="H176" i="3"/>
  <c r="G176" i="3"/>
  <c r="F176" i="3"/>
  <c r="E176" i="3"/>
  <c r="D176" i="3"/>
  <c r="C176" i="3"/>
  <c r="B176" i="3"/>
  <c r="A176" i="3"/>
  <c r="M175" i="3"/>
  <c r="K175" i="3"/>
  <c r="J175" i="3"/>
  <c r="I175" i="3"/>
  <c r="H175" i="3"/>
  <c r="G175" i="3"/>
  <c r="F175" i="3"/>
  <c r="E175" i="3"/>
  <c r="D175" i="3"/>
  <c r="C175" i="3"/>
  <c r="B175" i="3"/>
  <c r="A175" i="3"/>
  <c r="M174" i="3"/>
  <c r="K174" i="3"/>
  <c r="J174" i="3"/>
  <c r="I174" i="3"/>
  <c r="H174" i="3"/>
  <c r="G174" i="3"/>
  <c r="F174" i="3"/>
  <c r="E174" i="3"/>
  <c r="D174" i="3"/>
  <c r="C174" i="3"/>
  <c r="B174" i="3"/>
  <c r="A174" i="3"/>
  <c r="M173" i="3"/>
  <c r="K173" i="3"/>
  <c r="J173" i="3"/>
  <c r="I173" i="3"/>
  <c r="H173" i="3"/>
  <c r="G173" i="3"/>
  <c r="F173" i="3"/>
  <c r="E173" i="3"/>
  <c r="D173" i="3"/>
  <c r="C173" i="3"/>
  <c r="B173" i="3"/>
  <c r="A173" i="3"/>
  <c r="M172" i="3"/>
  <c r="K172" i="3"/>
  <c r="J172" i="3"/>
  <c r="I172" i="3"/>
  <c r="H172" i="3"/>
  <c r="G172" i="3"/>
  <c r="F172" i="3"/>
  <c r="E172" i="3"/>
  <c r="D172" i="3"/>
  <c r="C172" i="3"/>
  <c r="B172" i="3"/>
  <c r="A172" i="3"/>
  <c r="M171" i="3"/>
  <c r="K171" i="3"/>
  <c r="J171" i="3"/>
  <c r="I171" i="3"/>
  <c r="H171" i="3"/>
  <c r="G171" i="3"/>
  <c r="F171" i="3"/>
  <c r="E171" i="3"/>
  <c r="D171" i="3"/>
  <c r="C171" i="3"/>
  <c r="B171" i="3"/>
  <c r="A171" i="3"/>
  <c r="M170" i="3"/>
  <c r="K170" i="3"/>
  <c r="J170" i="3"/>
  <c r="I170" i="3"/>
  <c r="H170" i="3"/>
  <c r="G170" i="3"/>
  <c r="F170" i="3"/>
  <c r="E170" i="3"/>
  <c r="D170" i="3"/>
  <c r="C170" i="3"/>
  <c r="B170" i="3"/>
  <c r="A170" i="3"/>
  <c r="M169" i="3"/>
  <c r="K169" i="3"/>
  <c r="J169" i="3"/>
  <c r="I169" i="3"/>
  <c r="H169" i="3"/>
  <c r="G169" i="3"/>
  <c r="F169" i="3"/>
  <c r="E169" i="3"/>
  <c r="D169" i="3"/>
  <c r="C169" i="3"/>
  <c r="B169" i="3"/>
  <c r="A169" i="3"/>
  <c r="M168" i="3"/>
  <c r="K168" i="3"/>
  <c r="J168" i="3"/>
  <c r="I168" i="3"/>
  <c r="H168" i="3"/>
  <c r="G168" i="3"/>
  <c r="F168" i="3"/>
  <c r="E168" i="3"/>
  <c r="D168" i="3"/>
  <c r="C168" i="3"/>
  <c r="B168" i="3"/>
  <c r="A168" i="3"/>
  <c r="M167" i="3"/>
  <c r="K167" i="3"/>
  <c r="J167" i="3"/>
  <c r="I167" i="3"/>
  <c r="H167" i="3"/>
  <c r="G167" i="3"/>
  <c r="F167" i="3"/>
  <c r="E167" i="3"/>
  <c r="D167" i="3"/>
  <c r="C167" i="3"/>
  <c r="B167" i="3"/>
  <c r="A167" i="3"/>
  <c r="M166" i="3"/>
  <c r="K166" i="3"/>
  <c r="J166" i="3"/>
  <c r="I166" i="3"/>
  <c r="H166" i="3"/>
  <c r="G166" i="3"/>
  <c r="F166" i="3"/>
  <c r="E166" i="3"/>
  <c r="D166" i="3"/>
  <c r="C166" i="3"/>
  <c r="B166" i="3"/>
  <c r="A166" i="3"/>
  <c r="M165" i="3"/>
  <c r="K165" i="3"/>
  <c r="J165" i="3"/>
  <c r="I165" i="3"/>
  <c r="H165" i="3"/>
  <c r="G165" i="3"/>
  <c r="F165" i="3"/>
  <c r="E165" i="3"/>
  <c r="D165" i="3"/>
  <c r="C165" i="3"/>
  <c r="B165" i="3"/>
  <c r="A165" i="3"/>
  <c r="M164" i="3"/>
  <c r="K164" i="3"/>
  <c r="J164" i="3"/>
  <c r="I164" i="3"/>
  <c r="H164" i="3"/>
  <c r="G164" i="3"/>
  <c r="F164" i="3"/>
  <c r="E164" i="3"/>
  <c r="D164" i="3"/>
  <c r="C164" i="3"/>
  <c r="B164" i="3"/>
  <c r="A164" i="3"/>
  <c r="M163" i="3"/>
  <c r="K163" i="3"/>
  <c r="J163" i="3"/>
  <c r="I163" i="3"/>
  <c r="H163" i="3"/>
  <c r="G163" i="3"/>
  <c r="F163" i="3"/>
  <c r="E163" i="3"/>
  <c r="D163" i="3"/>
  <c r="C163" i="3"/>
  <c r="B163" i="3"/>
  <c r="A163" i="3"/>
  <c r="M162" i="3"/>
  <c r="K162" i="3"/>
  <c r="J162" i="3"/>
  <c r="I162" i="3"/>
  <c r="H162" i="3"/>
  <c r="G162" i="3"/>
  <c r="F162" i="3"/>
  <c r="E162" i="3"/>
  <c r="D162" i="3"/>
  <c r="C162" i="3"/>
  <c r="B162" i="3"/>
  <c r="A162" i="3"/>
  <c r="M161" i="3"/>
  <c r="K161" i="3"/>
  <c r="J161" i="3"/>
  <c r="I161" i="3"/>
  <c r="H161" i="3"/>
  <c r="G161" i="3"/>
  <c r="F161" i="3"/>
  <c r="E161" i="3"/>
  <c r="D161" i="3"/>
  <c r="C161" i="3"/>
  <c r="B161" i="3"/>
  <c r="A161" i="3"/>
  <c r="M160" i="3"/>
  <c r="K160" i="3"/>
  <c r="J160" i="3"/>
  <c r="I160" i="3"/>
  <c r="H160" i="3"/>
  <c r="G160" i="3"/>
  <c r="F160" i="3"/>
  <c r="E160" i="3"/>
  <c r="D160" i="3"/>
  <c r="C160" i="3"/>
  <c r="B160" i="3"/>
  <c r="A160" i="3"/>
  <c r="M159" i="3"/>
  <c r="K159" i="3"/>
  <c r="J159" i="3"/>
  <c r="I159" i="3"/>
  <c r="H159" i="3"/>
  <c r="G159" i="3"/>
  <c r="F159" i="3"/>
  <c r="E159" i="3"/>
  <c r="D159" i="3"/>
  <c r="C159" i="3"/>
  <c r="B159" i="3"/>
  <c r="A159" i="3"/>
  <c r="M158" i="3"/>
  <c r="K158" i="3"/>
  <c r="J158" i="3"/>
  <c r="I158" i="3"/>
  <c r="H158" i="3"/>
  <c r="G158" i="3"/>
  <c r="F158" i="3"/>
  <c r="E158" i="3"/>
  <c r="D158" i="3"/>
  <c r="C158" i="3"/>
  <c r="B158" i="3"/>
  <c r="A158" i="3"/>
  <c r="M157" i="3"/>
  <c r="K157" i="3"/>
  <c r="J157" i="3"/>
  <c r="I157" i="3"/>
  <c r="H157" i="3"/>
  <c r="G157" i="3"/>
  <c r="F157" i="3"/>
  <c r="E157" i="3"/>
  <c r="D157" i="3"/>
  <c r="C157" i="3"/>
  <c r="B157" i="3"/>
  <c r="A157" i="3"/>
  <c r="M156" i="3"/>
  <c r="K156" i="3"/>
  <c r="J156" i="3"/>
  <c r="I156" i="3"/>
  <c r="H156" i="3"/>
  <c r="G156" i="3"/>
  <c r="F156" i="3"/>
  <c r="E156" i="3"/>
  <c r="D156" i="3"/>
  <c r="C156" i="3"/>
  <c r="B156" i="3"/>
  <c r="A156" i="3"/>
  <c r="M155" i="3"/>
  <c r="K155" i="3"/>
  <c r="J155" i="3"/>
  <c r="I155" i="3"/>
  <c r="H155" i="3"/>
  <c r="G155" i="3"/>
  <c r="F155" i="3"/>
  <c r="E155" i="3"/>
  <c r="D155" i="3"/>
  <c r="C155" i="3"/>
  <c r="B155" i="3"/>
  <c r="A155" i="3"/>
  <c r="M154" i="3"/>
  <c r="K154" i="3"/>
  <c r="J154" i="3"/>
  <c r="I154" i="3"/>
  <c r="H154" i="3"/>
  <c r="G154" i="3"/>
  <c r="F154" i="3"/>
  <c r="E154" i="3"/>
  <c r="D154" i="3"/>
  <c r="C154" i="3"/>
  <c r="B154" i="3"/>
  <c r="A154" i="3"/>
  <c r="M153" i="3"/>
  <c r="K153" i="3"/>
  <c r="J153" i="3"/>
  <c r="I153" i="3"/>
  <c r="H153" i="3"/>
  <c r="G153" i="3"/>
  <c r="F153" i="3"/>
  <c r="E153" i="3"/>
  <c r="D153" i="3"/>
  <c r="C153" i="3"/>
  <c r="B153" i="3"/>
  <c r="A153" i="3"/>
  <c r="M152" i="3"/>
  <c r="K152" i="3"/>
  <c r="J152" i="3"/>
  <c r="I152" i="3"/>
  <c r="H152" i="3"/>
  <c r="G152" i="3"/>
  <c r="F152" i="3"/>
  <c r="E152" i="3"/>
  <c r="D152" i="3"/>
  <c r="C152" i="3"/>
  <c r="B152" i="3"/>
  <c r="A152" i="3"/>
  <c r="M151" i="3"/>
  <c r="K151" i="3"/>
  <c r="J151" i="3"/>
  <c r="I151" i="3"/>
  <c r="H151" i="3"/>
  <c r="G151" i="3"/>
  <c r="F151" i="3"/>
  <c r="E151" i="3"/>
  <c r="D151" i="3"/>
  <c r="C151" i="3"/>
  <c r="B151" i="3"/>
  <c r="A151" i="3"/>
  <c r="M150" i="3"/>
  <c r="K150" i="3"/>
  <c r="J150" i="3"/>
  <c r="I150" i="3"/>
  <c r="H150" i="3"/>
  <c r="G150" i="3"/>
  <c r="F150" i="3"/>
  <c r="E150" i="3"/>
  <c r="D150" i="3"/>
  <c r="C150" i="3"/>
  <c r="B150" i="3"/>
  <c r="A150" i="3"/>
  <c r="M149" i="3"/>
  <c r="K149" i="3"/>
  <c r="J149" i="3"/>
  <c r="I149" i="3"/>
  <c r="H149" i="3"/>
  <c r="G149" i="3"/>
  <c r="F149" i="3"/>
  <c r="E149" i="3"/>
  <c r="D149" i="3"/>
  <c r="C149" i="3"/>
  <c r="B149" i="3"/>
  <c r="A149" i="3"/>
  <c r="M148" i="3"/>
  <c r="K148" i="3"/>
  <c r="J148" i="3"/>
  <c r="I148" i="3"/>
  <c r="H148" i="3"/>
  <c r="G148" i="3"/>
  <c r="F148" i="3"/>
  <c r="E148" i="3"/>
  <c r="D148" i="3"/>
  <c r="C148" i="3"/>
  <c r="B148" i="3"/>
  <c r="A148" i="3"/>
  <c r="M147" i="3"/>
  <c r="K147" i="3"/>
  <c r="J147" i="3"/>
  <c r="I147" i="3"/>
  <c r="H147" i="3"/>
  <c r="G147" i="3"/>
  <c r="F147" i="3"/>
  <c r="E147" i="3"/>
  <c r="D147" i="3"/>
  <c r="C147" i="3"/>
  <c r="B147" i="3"/>
  <c r="A147" i="3"/>
  <c r="M146" i="3"/>
  <c r="K146" i="3"/>
  <c r="J146" i="3"/>
  <c r="I146" i="3"/>
  <c r="H146" i="3"/>
  <c r="G146" i="3"/>
  <c r="F146" i="3"/>
  <c r="E146" i="3"/>
  <c r="D146" i="3"/>
  <c r="C146" i="3"/>
  <c r="B146" i="3"/>
  <c r="A146" i="3"/>
  <c r="M145" i="3"/>
  <c r="K145" i="3"/>
  <c r="J145" i="3"/>
  <c r="I145" i="3"/>
  <c r="H145" i="3"/>
  <c r="G145" i="3"/>
  <c r="F145" i="3"/>
  <c r="E145" i="3"/>
  <c r="D145" i="3"/>
  <c r="C145" i="3"/>
  <c r="B145" i="3"/>
  <c r="A145" i="3"/>
  <c r="M144" i="3"/>
  <c r="K144" i="3"/>
  <c r="J144" i="3"/>
  <c r="I144" i="3"/>
  <c r="H144" i="3"/>
  <c r="G144" i="3"/>
  <c r="F144" i="3"/>
  <c r="E144" i="3"/>
  <c r="D144" i="3"/>
  <c r="C144" i="3"/>
  <c r="B144" i="3"/>
  <c r="A144" i="3"/>
  <c r="M143" i="3"/>
  <c r="K143" i="3"/>
  <c r="J143" i="3"/>
  <c r="I143" i="3"/>
  <c r="H143" i="3"/>
  <c r="G143" i="3"/>
  <c r="F143" i="3"/>
  <c r="E143" i="3"/>
  <c r="D143" i="3"/>
  <c r="C143" i="3"/>
  <c r="B143" i="3"/>
  <c r="A143" i="3"/>
  <c r="M142" i="3"/>
  <c r="K142" i="3"/>
  <c r="J142" i="3"/>
  <c r="I142" i="3"/>
  <c r="H142" i="3"/>
  <c r="G142" i="3"/>
  <c r="F142" i="3"/>
  <c r="E142" i="3"/>
  <c r="D142" i="3"/>
  <c r="C142" i="3"/>
  <c r="B142" i="3"/>
  <c r="A142" i="3"/>
  <c r="M141" i="3"/>
  <c r="K141" i="3"/>
  <c r="J141" i="3"/>
  <c r="I141" i="3"/>
  <c r="H141" i="3"/>
  <c r="G141" i="3"/>
  <c r="F141" i="3"/>
  <c r="E141" i="3"/>
  <c r="D141" i="3"/>
  <c r="C141" i="3"/>
  <c r="B141" i="3"/>
  <c r="A141" i="3"/>
  <c r="M140" i="3"/>
  <c r="K140" i="3"/>
  <c r="J140" i="3"/>
  <c r="I140" i="3"/>
  <c r="H140" i="3"/>
  <c r="G140" i="3"/>
  <c r="F140" i="3"/>
  <c r="E140" i="3"/>
  <c r="D140" i="3"/>
  <c r="C140" i="3"/>
  <c r="B140" i="3"/>
  <c r="A140" i="3"/>
  <c r="M139" i="3"/>
  <c r="K139" i="3"/>
  <c r="J139" i="3"/>
  <c r="I139" i="3"/>
  <c r="H139" i="3"/>
  <c r="G139" i="3"/>
  <c r="F139" i="3"/>
  <c r="E139" i="3"/>
  <c r="D139" i="3"/>
  <c r="C139" i="3"/>
  <c r="B139" i="3"/>
  <c r="A139" i="3"/>
  <c r="M138" i="3"/>
  <c r="K138" i="3"/>
  <c r="J138" i="3"/>
  <c r="I138" i="3"/>
  <c r="H138" i="3"/>
  <c r="G138" i="3"/>
  <c r="F138" i="3"/>
  <c r="E138" i="3"/>
  <c r="D138" i="3"/>
  <c r="C138" i="3"/>
  <c r="B138" i="3"/>
  <c r="A138" i="3"/>
  <c r="M137" i="3"/>
  <c r="K137" i="3"/>
  <c r="J137" i="3"/>
  <c r="I137" i="3"/>
  <c r="H137" i="3"/>
  <c r="G137" i="3"/>
  <c r="F137" i="3"/>
  <c r="E137" i="3"/>
  <c r="D137" i="3"/>
  <c r="C137" i="3"/>
  <c r="B137" i="3"/>
  <c r="A137" i="3"/>
  <c r="M136" i="3"/>
  <c r="K136" i="3"/>
  <c r="J136" i="3"/>
  <c r="I136" i="3"/>
  <c r="H136" i="3"/>
  <c r="G136" i="3"/>
  <c r="F136" i="3"/>
  <c r="E136" i="3"/>
  <c r="D136" i="3"/>
  <c r="C136" i="3"/>
  <c r="B136" i="3"/>
  <c r="A136" i="3"/>
  <c r="M135" i="3"/>
  <c r="K135" i="3"/>
  <c r="J135" i="3"/>
  <c r="I135" i="3"/>
  <c r="H135" i="3"/>
  <c r="G135" i="3"/>
  <c r="F135" i="3"/>
  <c r="E135" i="3"/>
  <c r="D135" i="3"/>
  <c r="C135" i="3"/>
  <c r="B135" i="3"/>
  <c r="A135" i="3"/>
  <c r="M134" i="3"/>
  <c r="K134" i="3"/>
  <c r="J134" i="3"/>
  <c r="I134" i="3"/>
  <c r="H134" i="3"/>
  <c r="G134" i="3"/>
  <c r="F134" i="3"/>
  <c r="E134" i="3"/>
  <c r="D134" i="3"/>
  <c r="C134" i="3"/>
  <c r="B134" i="3"/>
  <c r="A134" i="3"/>
  <c r="M133" i="3"/>
  <c r="K133" i="3"/>
  <c r="J133" i="3"/>
  <c r="I133" i="3"/>
  <c r="H133" i="3"/>
  <c r="G133" i="3"/>
  <c r="F133" i="3"/>
  <c r="E133" i="3"/>
  <c r="D133" i="3"/>
  <c r="C133" i="3"/>
  <c r="B133" i="3"/>
  <c r="A133" i="3"/>
  <c r="M132" i="3"/>
  <c r="K132" i="3"/>
  <c r="J132" i="3"/>
  <c r="I132" i="3"/>
  <c r="H132" i="3"/>
  <c r="G132" i="3"/>
  <c r="F132" i="3"/>
  <c r="E132" i="3"/>
  <c r="D132" i="3"/>
  <c r="C132" i="3"/>
  <c r="B132" i="3"/>
  <c r="A132" i="3"/>
  <c r="M131" i="3"/>
  <c r="K131" i="3"/>
  <c r="J131" i="3"/>
  <c r="I131" i="3"/>
  <c r="H131" i="3"/>
  <c r="G131" i="3"/>
  <c r="F131" i="3"/>
  <c r="E131" i="3"/>
  <c r="D131" i="3"/>
  <c r="C131" i="3"/>
  <c r="B131" i="3"/>
  <c r="A131" i="3"/>
  <c r="M130" i="3"/>
  <c r="K130" i="3"/>
  <c r="J130" i="3"/>
  <c r="I130" i="3"/>
  <c r="H130" i="3"/>
  <c r="G130" i="3"/>
  <c r="F130" i="3"/>
  <c r="E130" i="3"/>
  <c r="D130" i="3"/>
  <c r="C130" i="3"/>
  <c r="B130" i="3"/>
  <c r="A130" i="3"/>
  <c r="M129" i="3"/>
  <c r="K129" i="3"/>
  <c r="J129" i="3"/>
  <c r="I129" i="3"/>
  <c r="H129" i="3"/>
  <c r="G129" i="3"/>
  <c r="F129" i="3"/>
  <c r="E129" i="3"/>
  <c r="D129" i="3"/>
  <c r="C129" i="3"/>
  <c r="B129" i="3"/>
  <c r="A129" i="3"/>
  <c r="M128" i="3"/>
  <c r="K128" i="3"/>
  <c r="J128" i="3"/>
  <c r="I128" i="3"/>
  <c r="H128" i="3"/>
  <c r="G128" i="3"/>
  <c r="F128" i="3"/>
  <c r="E128" i="3"/>
  <c r="D128" i="3"/>
  <c r="C128" i="3"/>
  <c r="B128" i="3"/>
  <c r="A128" i="3"/>
  <c r="M127" i="3"/>
  <c r="K127" i="3"/>
  <c r="J127" i="3"/>
  <c r="I127" i="3"/>
  <c r="H127" i="3"/>
  <c r="G127" i="3"/>
  <c r="F127" i="3"/>
  <c r="E127" i="3"/>
  <c r="D127" i="3"/>
  <c r="C127" i="3"/>
  <c r="B127" i="3"/>
  <c r="A127" i="3"/>
  <c r="M126" i="3"/>
  <c r="K126" i="3"/>
  <c r="J126" i="3"/>
  <c r="I126" i="3"/>
  <c r="H126" i="3"/>
  <c r="G126" i="3"/>
  <c r="F126" i="3"/>
  <c r="E126" i="3"/>
  <c r="D126" i="3"/>
  <c r="C126" i="3"/>
  <c r="B126" i="3"/>
  <c r="A126" i="3"/>
  <c r="M125" i="3"/>
  <c r="K125" i="3"/>
  <c r="J125" i="3"/>
  <c r="I125" i="3"/>
  <c r="H125" i="3"/>
  <c r="G125" i="3"/>
  <c r="F125" i="3"/>
  <c r="E125" i="3"/>
  <c r="D125" i="3"/>
  <c r="C125" i="3"/>
  <c r="B125" i="3"/>
  <c r="A125" i="3"/>
  <c r="M124" i="3"/>
  <c r="K124" i="3"/>
  <c r="J124" i="3"/>
  <c r="I124" i="3"/>
  <c r="H124" i="3"/>
  <c r="G124" i="3"/>
  <c r="F124" i="3"/>
  <c r="E124" i="3"/>
  <c r="D124" i="3"/>
  <c r="C124" i="3"/>
  <c r="B124" i="3"/>
  <c r="A124" i="3"/>
  <c r="M123" i="3"/>
  <c r="K123" i="3"/>
  <c r="J123" i="3"/>
  <c r="I123" i="3"/>
  <c r="H123" i="3"/>
  <c r="G123" i="3"/>
  <c r="F123" i="3"/>
  <c r="E123" i="3"/>
  <c r="D123" i="3"/>
  <c r="C123" i="3"/>
  <c r="B123" i="3"/>
  <c r="A123" i="3"/>
  <c r="M122" i="3"/>
  <c r="K122" i="3"/>
  <c r="J122" i="3"/>
  <c r="I122" i="3"/>
  <c r="H122" i="3"/>
  <c r="G122" i="3"/>
  <c r="F122" i="3"/>
  <c r="E122" i="3"/>
  <c r="D122" i="3"/>
  <c r="C122" i="3"/>
  <c r="B122" i="3"/>
  <c r="A122" i="3"/>
  <c r="M121" i="3"/>
  <c r="K121" i="3"/>
  <c r="J121" i="3"/>
  <c r="I121" i="3"/>
  <c r="H121" i="3"/>
  <c r="G121" i="3"/>
  <c r="F121" i="3"/>
  <c r="E121" i="3"/>
  <c r="D121" i="3"/>
  <c r="C121" i="3"/>
  <c r="B121" i="3"/>
  <c r="A121" i="3"/>
  <c r="M120" i="3"/>
  <c r="K120" i="3"/>
  <c r="J120" i="3"/>
  <c r="I120" i="3"/>
  <c r="H120" i="3"/>
  <c r="G120" i="3"/>
  <c r="F120" i="3"/>
  <c r="E120" i="3"/>
  <c r="D120" i="3"/>
  <c r="C120" i="3"/>
  <c r="B120" i="3"/>
  <c r="A120" i="3"/>
  <c r="M119" i="3"/>
  <c r="K119" i="3"/>
  <c r="J119" i="3"/>
  <c r="I119" i="3"/>
  <c r="H119" i="3"/>
  <c r="G119" i="3"/>
  <c r="F119" i="3"/>
  <c r="E119" i="3"/>
  <c r="D119" i="3"/>
  <c r="C119" i="3"/>
  <c r="B119" i="3"/>
  <c r="A119" i="3"/>
  <c r="M118" i="3"/>
  <c r="K118" i="3"/>
  <c r="J118" i="3"/>
  <c r="I118" i="3"/>
  <c r="H118" i="3"/>
  <c r="G118" i="3"/>
  <c r="F118" i="3"/>
  <c r="E118" i="3"/>
  <c r="D118" i="3"/>
  <c r="C118" i="3"/>
  <c r="B118" i="3"/>
  <c r="A118" i="3"/>
  <c r="M117" i="3"/>
  <c r="K117" i="3"/>
  <c r="J117" i="3"/>
  <c r="I117" i="3"/>
  <c r="H117" i="3"/>
  <c r="G117" i="3"/>
  <c r="F117" i="3"/>
  <c r="E117" i="3"/>
  <c r="D117" i="3"/>
  <c r="C117" i="3"/>
  <c r="B117" i="3"/>
  <c r="A117" i="3"/>
  <c r="M116" i="3"/>
  <c r="K116" i="3"/>
  <c r="J116" i="3"/>
  <c r="I116" i="3"/>
  <c r="H116" i="3"/>
  <c r="G116" i="3"/>
  <c r="F116" i="3"/>
  <c r="E116" i="3"/>
  <c r="D116" i="3"/>
  <c r="C116" i="3"/>
  <c r="B116" i="3"/>
  <c r="A116" i="3"/>
  <c r="M115" i="3"/>
  <c r="K115" i="3"/>
  <c r="J115" i="3"/>
  <c r="I115" i="3"/>
  <c r="H115" i="3"/>
  <c r="G115" i="3"/>
  <c r="F115" i="3"/>
  <c r="E115" i="3"/>
  <c r="D115" i="3"/>
  <c r="C115" i="3"/>
  <c r="B115" i="3"/>
  <c r="A115" i="3"/>
  <c r="M114" i="3"/>
  <c r="K114" i="3"/>
  <c r="J114" i="3"/>
  <c r="I114" i="3"/>
  <c r="H114" i="3"/>
  <c r="G114" i="3"/>
  <c r="F114" i="3"/>
  <c r="E114" i="3"/>
  <c r="D114" i="3"/>
  <c r="C114" i="3"/>
  <c r="B114" i="3"/>
  <c r="A114" i="3"/>
  <c r="M113" i="3"/>
  <c r="K113" i="3"/>
  <c r="J113" i="3"/>
  <c r="I113" i="3"/>
  <c r="H113" i="3"/>
  <c r="G113" i="3"/>
  <c r="F113" i="3"/>
  <c r="E113" i="3"/>
  <c r="D113" i="3"/>
  <c r="C113" i="3"/>
  <c r="B113" i="3"/>
  <c r="A113" i="3"/>
  <c r="M112" i="3"/>
  <c r="K112" i="3"/>
  <c r="J112" i="3"/>
  <c r="I112" i="3"/>
  <c r="H112" i="3"/>
  <c r="G112" i="3"/>
  <c r="F112" i="3"/>
  <c r="E112" i="3"/>
  <c r="D112" i="3"/>
  <c r="C112" i="3"/>
  <c r="B112" i="3"/>
  <c r="A112" i="3"/>
  <c r="M111" i="3"/>
  <c r="K111" i="3"/>
  <c r="J111" i="3"/>
  <c r="I111" i="3"/>
  <c r="H111" i="3"/>
  <c r="G111" i="3"/>
  <c r="F111" i="3"/>
  <c r="E111" i="3"/>
  <c r="D111" i="3"/>
  <c r="C111" i="3"/>
  <c r="B111" i="3"/>
  <c r="A111" i="3"/>
  <c r="M110" i="3"/>
  <c r="K110" i="3"/>
  <c r="J110" i="3"/>
  <c r="I110" i="3"/>
  <c r="H110" i="3"/>
  <c r="G110" i="3"/>
  <c r="F110" i="3"/>
  <c r="E110" i="3"/>
  <c r="D110" i="3"/>
  <c r="C110" i="3"/>
  <c r="B110" i="3"/>
  <c r="A110" i="3"/>
  <c r="M109" i="3"/>
  <c r="K109" i="3"/>
  <c r="J109" i="3"/>
  <c r="I109" i="3"/>
  <c r="H109" i="3"/>
  <c r="G109" i="3"/>
  <c r="F109" i="3"/>
  <c r="E109" i="3"/>
  <c r="D109" i="3"/>
  <c r="C109" i="3"/>
  <c r="B109" i="3"/>
  <c r="A109" i="3"/>
  <c r="M108" i="3"/>
  <c r="K108" i="3"/>
  <c r="J108" i="3"/>
  <c r="I108" i="3"/>
  <c r="H108" i="3"/>
  <c r="G108" i="3"/>
  <c r="F108" i="3"/>
  <c r="E108" i="3"/>
  <c r="D108" i="3"/>
  <c r="C108" i="3"/>
  <c r="B108" i="3"/>
  <c r="A108" i="3"/>
  <c r="M107" i="3"/>
  <c r="K107" i="3"/>
  <c r="J107" i="3"/>
  <c r="I107" i="3"/>
  <c r="H107" i="3"/>
  <c r="G107" i="3"/>
  <c r="F107" i="3"/>
  <c r="E107" i="3"/>
  <c r="D107" i="3"/>
  <c r="C107" i="3"/>
  <c r="B107" i="3"/>
  <c r="A107" i="3"/>
  <c r="M106" i="3"/>
  <c r="K106" i="3"/>
  <c r="J106" i="3"/>
  <c r="I106" i="3"/>
  <c r="H106" i="3"/>
  <c r="G106" i="3"/>
  <c r="F106" i="3"/>
  <c r="E106" i="3"/>
  <c r="D106" i="3"/>
  <c r="C106" i="3"/>
  <c r="B106" i="3"/>
  <c r="A106" i="3"/>
  <c r="M105" i="3"/>
  <c r="K105" i="3"/>
  <c r="J105" i="3"/>
  <c r="I105" i="3"/>
  <c r="H105" i="3"/>
  <c r="G105" i="3"/>
  <c r="F105" i="3"/>
  <c r="E105" i="3"/>
  <c r="D105" i="3"/>
  <c r="C105" i="3"/>
  <c r="B105" i="3"/>
  <c r="A105" i="3"/>
  <c r="M104" i="3"/>
  <c r="K104" i="3"/>
  <c r="J104" i="3"/>
  <c r="I104" i="3"/>
  <c r="H104" i="3"/>
  <c r="G104" i="3"/>
  <c r="F104" i="3"/>
  <c r="E104" i="3"/>
  <c r="D104" i="3"/>
  <c r="C104" i="3"/>
  <c r="B104" i="3"/>
  <c r="A104" i="3"/>
  <c r="M103" i="3"/>
  <c r="K103" i="3"/>
  <c r="J103" i="3"/>
  <c r="I103" i="3"/>
  <c r="H103" i="3"/>
  <c r="G103" i="3"/>
  <c r="F103" i="3"/>
  <c r="E103" i="3"/>
  <c r="D103" i="3"/>
  <c r="C103" i="3"/>
  <c r="B103" i="3"/>
  <c r="A103" i="3"/>
  <c r="M102" i="3"/>
  <c r="K102" i="3"/>
  <c r="J102" i="3"/>
  <c r="I102" i="3"/>
  <c r="H102" i="3"/>
  <c r="G102" i="3"/>
  <c r="F102" i="3"/>
  <c r="E102" i="3"/>
  <c r="D102" i="3"/>
  <c r="C102" i="3"/>
  <c r="B102" i="3"/>
  <c r="A102" i="3"/>
  <c r="M101" i="3"/>
  <c r="K101" i="3"/>
  <c r="J101" i="3"/>
  <c r="I101" i="3"/>
  <c r="H101" i="3"/>
  <c r="G101" i="3"/>
  <c r="F101" i="3"/>
  <c r="E101" i="3"/>
  <c r="D101" i="3"/>
  <c r="C101" i="3"/>
  <c r="B101" i="3"/>
  <c r="A101" i="3"/>
  <c r="M100" i="3"/>
  <c r="K100" i="3"/>
  <c r="J100" i="3"/>
  <c r="I100" i="3"/>
  <c r="H100" i="3"/>
  <c r="G100" i="3"/>
  <c r="F100" i="3"/>
  <c r="E100" i="3"/>
  <c r="D100" i="3"/>
  <c r="C100" i="3"/>
  <c r="B100" i="3"/>
  <c r="A100" i="3"/>
  <c r="M99" i="3"/>
  <c r="K99" i="3"/>
  <c r="J99" i="3"/>
  <c r="I99" i="3"/>
  <c r="H99" i="3"/>
  <c r="G99" i="3"/>
  <c r="F99" i="3"/>
  <c r="E99" i="3"/>
  <c r="D99" i="3"/>
  <c r="C99" i="3"/>
  <c r="B99" i="3"/>
  <c r="A99" i="3"/>
  <c r="M98" i="3"/>
  <c r="K98" i="3"/>
  <c r="J98" i="3"/>
  <c r="I98" i="3"/>
  <c r="H98" i="3"/>
  <c r="G98" i="3"/>
  <c r="F98" i="3"/>
  <c r="E98" i="3"/>
  <c r="D98" i="3"/>
  <c r="C98" i="3"/>
  <c r="B98" i="3"/>
  <c r="A98" i="3"/>
  <c r="M97" i="3"/>
  <c r="K97" i="3"/>
  <c r="J97" i="3"/>
  <c r="I97" i="3"/>
  <c r="H97" i="3"/>
  <c r="G97" i="3"/>
  <c r="F97" i="3"/>
  <c r="E97" i="3"/>
  <c r="D97" i="3"/>
  <c r="C97" i="3"/>
  <c r="B97" i="3"/>
  <c r="A97" i="3"/>
  <c r="M96" i="3"/>
  <c r="K96" i="3"/>
  <c r="J96" i="3"/>
  <c r="I96" i="3"/>
  <c r="H96" i="3"/>
  <c r="G96" i="3"/>
  <c r="F96" i="3"/>
  <c r="E96" i="3"/>
  <c r="D96" i="3"/>
  <c r="C96" i="3"/>
  <c r="B96" i="3"/>
  <c r="A96" i="3"/>
  <c r="M95" i="3"/>
  <c r="K95" i="3"/>
  <c r="J95" i="3"/>
  <c r="I95" i="3"/>
  <c r="H95" i="3"/>
  <c r="G95" i="3"/>
  <c r="F95" i="3"/>
  <c r="E95" i="3"/>
  <c r="D95" i="3"/>
  <c r="C95" i="3"/>
  <c r="B95" i="3"/>
  <c r="A95" i="3"/>
  <c r="M94" i="3"/>
  <c r="K94" i="3"/>
  <c r="J94" i="3"/>
  <c r="I94" i="3"/>
  <c r="H94" i="3"/>
  <c r="G94" i="3"/>
  <c r="F94" i="3"/>
  <c r="E94" i="3"/>
  <c r="D94" i="3"/>
  <c r="C94" i="3"/>
  <c r="B94" i="3"/>
  <c r="A94" i="3"/>
  <c r="M93" i="3"/>
  <c r="K93" i="3"/>
  <c r="J93" i="3"/>
  <c r="I93" i="3"/>
  <c r="H93" i="3"/>
  <c r="G93" i="3"/>
  <c r="F93" i="3"/>
  <c r="E93" i="3"/>
  <c r="D93" i="3"/>
  <c r="C93" i="3"/>
  <c r="B93" i="3"/>
  <c r="A93" i="3"/>
  <c r="M92" i="3"/>
  <c r="K92" i="3"/>
  <c r="J92" i="3"/>
  <c r="I92" i="3"/>
  <c r="H92" i="3"/>
  <c r="G92" i="3"/>
  <c r="F92" i="3"/>
  <c r="E92" i="3"/>
  <c r="D92" i="3"/>
  <c r="C92" i="3"/>
  <c r="B92" i="3"/>
  <c r="A92" i="3"/>
  <c r="M91" i="3"/>
  <c r="K91" i="3"/>
  <c r="J91" i="3"/>
  <c r="I91" i="3"/>
  <c r="H91" i="3"/>
  <c r="G91" i="3"/>
  <c r="F91" i="3"/>
  <c r="E91" i="3"/>
  <c r="D91" i="3"/>
  <c r="C91" i="3"/>
  <c r="B91" i="3"/>
  <c r="A91" i="3"/>
  <c r="M90" i="3"/>
  <c r="K90" i="3"/>
  <c r="J90" i="3"/>
  <c r="I90" i="3"/>
  <c r="H90" i="3"/>
  <c r="G90" i="3"/>
  <c r="F90" i="3"/>
  <c r="E90" i="3"/>
  <c r="D90" i="3"/>
  <c r="C90" i="3"/>
  <c r="B90" i="3"/>
  <c r="A90" i="3"/>
  <c r="M89" i="3"/>
  <c r="K89" i="3"/>
  <c r="J89" i="3"/>
  <c r="I89" i="3"/>
  <c r="H89" i="3"/>
  <c r="G89" i="3"/>
  <c r="F89" i="3"/>
  <c r="E89" i="3"/>
  <c r="D89" i="3"/>
  <c r="C89" i="3"/>
  <c r="B89" i="3"/>
  <c r="A89" i="3"/>
  <c r="M88" i="3"/>
  <c r="K88" i="3"/>
  <c r="J88" i="3"/>
  <c r="I88" i="3"/>
  <c r="H88" i="3"/>
  <c r="G88" i="3"/>
  <c r="F88" i="3"/>
  <c r="E88" i="3"/>
  <c r="D88" i="3"/>
  <c r="C88" i="3"/>
  <c r="B88" i="3"/>
  <c r="A88" i="3"/>
  <c r="M87" i="3"/>
  <c r="K87" i="3"/>
  <c r="J87" i="3"/>
  <c r="I87" i="3"/>
  <c r="H87" i="3"/>
  <c r="G87" i="3"/>
  <c r="F87" i="3"/>
  <c r="E87" i="3"/>
  <c r="D87" i="3"/>
  <c r="C87" i="3"/>
  <c r="B87" i="3"/>
  <c r="A87" i="3"/>
  <c r="M86" i="3"/>
  <c r="K86" i="3"/>
  <c r="J86" i="3"/>
  <c r="I86" i="3"/>
  <c r="H86" i="3"/>
  <c r="G86" i="3"/>
  <c r="F86" i="3"/>
  <c r="E86" i="3"/>
  <c r="D86" i="3"/>
  <c r="C86" i="3"/>
  <c r="B86" i="3"/>
  <c r="A86" i="3"/>
  <c r="M85" i="3"/>
  <c r="K85" i="3"/>
  <c r="J85" i="3"/>
  <c r="I85" i="3"/>
  <c r="H85" i="3"/>
  <c r="G85" i="3"/>
  <c r="F85" i="3"/>
  <c r="E85" i="3"/>
  <c r="D85" i="3"/>
  <c r="C85" i="3"/>
  <c r="B85" i="3"/>
  <c r="A85" i="3"/>
  <c r="M84" i="3"/>
  <c r="K84" i="3"/>
  <c r="J84" i="3"/>
  <c r="I84" i="3"/>
  <c r="H84" i="3"/>
  <c r="G84" i="3"/>
  <c r="F84" i="3"/>
  <c r="E84" i="3"/>
  <c r="D84" i="3"/>
  <c r="C84" i="3"/>
  <c r="B84" i="3"/>
  <c r="A84" i="3"/>
  <c r="M83" i="3"/>
  <c r="K83" i="3"/>
  <c r="J83" i="3"/>
  <c r="I83" i="3"/>
  <c r="H83" i="3"/>
  <c r="G83" i="3"/>
  <c r="F83" i="3"/>
  <c r="E83" i="3"/>
  <c r="D83" i="3"/>
  <c r="C83" i="3"/>
  <c r="B83" i="3"/>
  <c r="A83" i="3"/>
  <c r="M82" i="3"/>
  <c r="K82" i="3"/>
  <c r="J82" i="3"/>
  <c r="I82" i="3"/>
  <c r="H82" i="3"/>
  <c r="G82" i="3"/>
  <c r="F82" i="3"/>
  <c r="E82" i="3"/>
  <c r="D82" i="3"/>
  <c r="C82" i="3"/>
  <c r="B82" i="3"/>
  <c r="A82" i="3"/>
  <c r="M81" i="3"/>
  <c r="K81" i="3"/>
  <c r="J81" i="3"/>
  <c r="I81" i="3"/>
  <c r="H81" i="3"/>
  <c r="G81" i="3"/>
  <c r="F81" i="3"/>
  <c r="E81" i="3"/>
  <c r="D81" i="3"/>
  <c r="C81" i="3"/>
  <c r="B81" i="3"/>
  <c r="A81" i="3"/>
  <c r="M80" i="3"/>
  <c r="K80" i="3"/>
  <c r="J80" i="3"/>
  <c r="I80" i="3"/>
  <c r="H80" i="3"/>
  <c r="G80" i="3"/>
  <c r="F80" i="3"/>
  <c r="E80" i="3"/>
  <c r="D80" i="3"/>
  <c r="C80" i="3"/>
  <c r="B80" i="3"/>
  <c r="A80" i="3"/>
  <c r="M79" i="3"/>
  <c r="K79" i="3"/>
  <c r="J79" i="3"/>
  <c r="I79" i="3"/>
  <c r="H79" i="3"/>
  <c r="G79" i="3"/>
  <c r="F79" i="3"/>
  <c r="E79" i="3"/>
  <c r="D79" i="3"/>
  <c r="C79" i="3"/>
  <c r="B79" i="3"/>
  <c r="A79" i="3"/>
  <c r="M78" i="3"/>
  <c r="K78" i="3"/>
  <c r="J78" i="3"/>
  <c r="I78" i="3"/>
  <c r="H78" i="3"/>
  <c r="G78" i="3"/>
  <c r="F78" i="3"/>
  <c r="E78" i="3"/>
  <c r="D78" i="3"/>
  <c r="C78" i="3"/>
  <c r="B78" i="3"/>
  <c r="A78" i="3"/>
  <c r="M77" i="3"/>
  <c r="K77" i="3"/>
  <c r="J77" i="3"/>
  <c r="I77" i="3"/>
  <c r="H77" i="3"/>
  <c r="G77" i="3"/>
  <c r="F77" i="3"/>
  <c r="E77" i="3"/>
  <c r="D77" i="3"/>
  <c r="C77" i="3"/>
  <c r="B77" i="3"/>
  <c r="A77" i="3"/>
  <c r="M76" i="3"/>
  <c r="K76" i="3"/>
  <c r="J76" i="3"/>
  <c r="I76" i="3"/>
  <c r="H76" i="3"/>
  <c r="G76" i="3"/>
  <c r="F76" i="3"/>
  <c r="E76" i="3"/>
  <c r="D76" i="3"/>
  <c r="C76" i="3"/>
  <c r="B76" i="3"/>
  <c r="A76" i="3"/>
  <c r="M75" i="3"/>
  <c r="K75" i="3"/>
  <c r="J75" i="3"/>
  <c r="I75" i="3"/>
  <c r="H75" i="3"/>
  <c r="G75" i="3"/>
  <c r="F75" i="3"/>
  <c r="E75" i="3"/>
  <c r="D75" i="3"/>
  <c r="C75" i="3"/>
  <c r="B75" i="3"/>
  <c r="A75" i="3"/>
  <c r="M74" i="3"/>
  <c r="K74" i="3"/>
  <c r="J74" i="3"/>
  <c r="I74" i="3"/>
  <c r="H74" i="3"/>
  <c r="G74" i="3"/>
  <c r="F74" i="3"/>
  <c r="E74" i="3"/>
  <c r="D74" i="3"/>
  <c r="C74" i="3"/>
  <c r="B74" i="3"/>
  <c r="A74" i="3"/>
  <c r="M73" i="3"/>
  <c r="K73" i="3"/>
  <c r="J73" i="3"/>
  <c r="I73" i="3"/>
  <c r="H73" i="3"/>
  <c r="G73" i="3"/>
  <c r="F73" i="3"/>
  <c r="E73" i="3"/>
  <c r="D73" i="3"/>
  <c r="C73" i="3"/>
  <c r="B73" i="3"/>
  <c r="A73" i="3"/>
  <c r="M72" i="3"/>
  <c r="K72" i="3"/>
  <c r="J72" i="3"/>
  <c r="I72" i="3"/>
  <c r="H72" i="3"/>
  <c r="G72" i="3"/>
  <c r="F72" i="3"/>
  <c r="E72" i="3"/>
  <c r="D72" i="3"/>
  <c r="C72" i="3"/>
  <c r="B72" i="3"/>
  <c r="A72" i="3"/>
  <c r="M71" i="3"/>
  <c r="K71" i="3"/>
  <c r="J71" i="3"/>
  <c r="I71" i="3"/>
  <c r="H71" i="3"/>
  <c r="G71" i="3"/>
  <c r="F71" i="3"/>
  <c r="E71" i="3"/>
  <c r="D71" i="3"/>
  <c r="C71" i="3"/>
  <c r="B71" i="3"/>
  <c r="A71" i="3"/>
  <c r="M70" i="3"/>
  <c r="K70" i="3"/>
  <c r="J70" i="3"/>
  <c r="I70" i="3"/>
  <c r="H70" i="3"/>
  <c r="G70" i="3"/>
  <c r="F70" i="3"/>
  <c r="E70" i="3"/>
  <c r="D70" i="3"/>
  <c r="C70" i="3"/>
  <c r="B70" i="3"/>
  <c r="A70" i="3"/>
  <c r="M69" i="3"/>
  <c r="K69" i="3"/>
  <c r="J69" i="3"/>
  <c r="I69" i="3"/>
  <c r="H69" i="3"/>
  <c r="G69" i="3"/>
  <c r="F69" i="3"/>
  <c r="E69" i="3"/>
  <c r="D69" i="3"/>
  <c r="C69" i="3"/>
  <c r="B69" i="3"/>
  <c r="A69" i="3"/>
  <c r="M68" i="3"/>
  <c r="K68" i="3"/>
  <c r="J68" i="3"/>
  <c r="I68" i="3"/>
  <c r="H68" i="3"/>
  <c r="G68" i="3"/>
  <c r="F68" i="3"/>
  <c r="E68" i="3"/>
  <c r="D68" i="3"/>
  <c r="C68" i="3"/>
  <c r="B68" i="3"/>
  <c r="A68" i="3"/>
  <c r="M67" i="3"/>
  <c r="K67" i="3"/>
  <c r="J67" i="3"/>
  <c r="I67" i="3"/>
  <c r="H67" i="3"/>
  <c r="G67" i="3"/>
  <c r="F67" i="3"/>
  <c r="E67" i="3"/>
  <c r="D67" i="3"/>
  <c r="C67" i="3"/>
  <c r="B67" i="3"/>
  <c r="A67" i="3"/>
  <c r="M66" i="3"/>
  <c r="K66" i="3"/>
  <c r="J66" i="3"/>
  <c r="I66" i="3"/>
  <c r="H66" i="3"/>
  <c r="G66" i="3"/>
  <c r="F66" i="3"/>
  <c r="E66" i="3"/>
  <c r="D66" i="3"/>
  <c r="C66" i="3"/>
  <c r="B66" i="3"/>
  <c r="A66" i="3"/>
  <c r="M65" i="3"/>
  <c r="K65" i="3"/>
  <c r="J65" i="3"/>
  <c r="I65" i="3"/>
  <c r="H65" i="3"/>
  <c r="G65" i="3"/>
  <c r="F65" i="3"/>
  <c r="E65" i="3"/>
  <c r="D65" i="3"/>
  <c r="C65" i="3"/>
  <c r="B65" i="3"/>
  <c r="A65" i="3"/>
  <c r="M64" i="3"/>
  <c r="K64" i="3"/>
  <c r="J64" i="3"/>
  <c r="I64" i="3"/>
  <c r="H64" i="3"/>
  <c r="G64" i="3"/>
  <c r="F64" i="3"/>
  <c r="E64" i="3"/>
  <c r="D64" i="3"/>
  <c r="C64" i="3"/>
  <c r="B64" i="3"/>
  <c r="A64" i="3"/>
  <c r="M63" i="3"/>
  <c r="K63" i="3"/>
  <c r="J63" i="3"/>
  <c r="I63" i="3"/>
  <c r="H63" i="3"/>
  <c r="G63" i="3"/>
  <c r="F63" i="3"/>
  <c r="E63" i="3"/>
  <c r="D63" i="3"/>
  <c r="C63" i="3"/>
  <c r="B63" i="3"/>
  <c r="A63" i="3"/>
  <c r="M62" i="3"/>
  <c r="K62" i="3"/>
  <c r="J62" i="3"/>
  <c r="I62" i="3"/>
  <c r="H62" i="3"/>
  <c r="G62" i="3"/>
  <c r="F62" i="3"/>
  <c r="E62" i="3"/>
  <c r="D62" i="3"/>
  <c r="C62" i="3"/>
  <c r="B62" i="3"/>
  <c r="A62" i="3"/>
  <c r="M61" i="3"/>
  <c r="K61" i="3"/>
  <c r="J61" i="3"/>
  <c r="I61" i="3"/>
  <c r="H61" i="3"/>
  <c r="G61" i="3"/>
  <c r="F61" i="3"/>
  <c r="E61" i="3"/>
  <c r="D61" i="3"/>
  <c r="C61" i="3"/>
  <c r="B61" i="3"/>
  <c r="A61" i="3"/>
  <c r="M60" i="3"/>
  <c r="K60" i="3"/>
  <c r="J60" i="3"/>
  <c r="I60" i="3"/>
  <c r="H60" i="3"/>
  <c r="G60" i="3"/>
  <c r="F60" i="3"/>
  <c r="E60" i="3"/>
  <c r="D60" i="3"/>
  <c r="C60" i="3"/>
  <c r="B60" i="3"/>
  <c r="A60" i="3"/>
  <c r="M59" i="3"/>
  <c r="K59" i="3"/>
  <c r="J59" i="3"/>
  <c r="I59" i="3"/>
  <c r="H59" i="3"/>
  <c r="G59" i="3"/>
  <c r="F59" i="3"/>
  <c r="E59" i="3"/>
  <c r="D59" i="3"/>
  <c r="C59" i="3"/>
  <c r="B59" i="3"/>
  <c r="A59" i="3"/>
  <c r="M58" i="3"/>
  <c r="K58" i="3"/>
  <c r="J58" i="3"/>
  <c r="I58" i="3"/>
  <c r="H58" i="3"/>
  <c r="G58" i="3"/>
  <c r="F58" i="3"/>
  <c r="E58" i="3"/>
  <c r="D58" i="3"/>
  <c r="C58" i="3"/>
  <c r="B58" i="3"/>
  <c r="A58" i="3"/>
  <c r="M57" i="3"/>
  <c r="K57" i="3"/>
  <c r="J57" i="3"/>
  <c r="I57" i="3"/>
  <c r="H57" i="3"/>
  <c r="G57" i="3"/>
  <c r="F57" i="3"/>
  <c r="E57" i="3"/>
  <c r="D57" i="3"/>
  <c r="C57" i="3"/>
  <c r="B57" i="3"/>
  <c r="A57" i="3"/>
  <c r="M56" i="3"/>
  <c r="K56" i="3"/>
  <c r="J56" i="3"/>
  <c r="I56" i="3"/>
  <c r="H56" i="3"/>
  <c r="G56" i="3"/>
  <c r="F56" i="3"/>
  <c r="E56" i="3"/>
  <c r="D56" i="3"/>
  <c r="C56" i="3"/>
  <c r="B56" i="3"/>
  <c r="A56" i="3"/>
  <c r="M55" i="3"/>
  <c r="K55" i="3"/>
  <c r="J55" i="3"/>
  <c r="I55" i="3"/>
  <c r="H55" i="3"/>
  <c r="G55" i="3"/>
  <c r="F55" i="3"/>
  <c r="E55" i="3"/>
  <c r="D55" i="3"/>
  <c r="C55" i="3"/>
  <c r="B55" i="3"/>
  <c r="A55" i="3"/>
  <c r="M54" i="3"/>
  <c r="K54" i="3"/>
  <c r="J54" i="3"/>
  <c r="I54" i="3"/>
  <c r="H54" i="3"/>
  <c r="G54" i="3"/>
  <c r="F54" i="3"/>
  <c r="E54" i="3"/>
  <c r="D54" i="3"/>
  <c r="C54" i="3"/>
  <c r="B54" i="3"/>
  <c r="A54" i="3"/>
  <c r="M53" i="3"/>
  <c r="K53" i="3"/>
  <c r="J53" i="3"/>
  <c r="I53" i="3"/>
  <c r="H53" i="3"/>
  <c r="G53" i="3"/>
  <c r="F53" i="3"/>
  <c r="E53" i="3"/>
  <c r="D53" i="3"/>
  <c r="C53" i="3"/>
  <c r="B53" i="3"/>
  <c r="A53" i="3"/>
  <c r="M52" i="3"/>
  <c r="K52" i="3"/>
  <c r="J52" i="3"/>
  <c r="I52" i="3"/>
  <c r="H52" i="3"/>
  <c r="G52" i="3"/>
  <c r="F52" i="3"/>
  <c r="E52" i="3"/>
  <c r="D52" i="3"/>
  <c r="C52" i="3"/>
  <c r="B52" i="3"/>
  <c r="A52" i="3"/>
  <c r="M51" i="3"/>
  <c r="K51" i="3"/>
  <c r="J51" i="3"/>
  <c r="I51" i="3"/>
  <c r="H51" i="3"/>
  <c r="G51" i="3"/>
  <c r="F51" i="3"/>
  <c r="E51" i="3"/>
  <c r="D51" i="3"/>
  <c r="C51" i="3"/>
  <c r="B51" i="3"/>
  <c r="A51" i="3"/>
  <c r="M50" i="3"/>
  <c r="K50" i="3"/>
  <c r="J50" i="3"/>
  <c r="I50" i="3"/>
  <c r="H50" i="3"/>
  <c r="G50" i="3"/>
  <c r="F50" i="3"/>
  <c r="E50" i="3"/>
  <c r="D50" i="3"/>
  <c r="C50" i="3"/>
  <c r="B50" i="3"/>
  <c r="A50" i="3"/>
  <c r="M49" i="3"/>
  <c r="K49" i="3"/>
  <c r="J49" i="3"/>
  <c r="I49" i="3"/>
  <c r="H49" i="3"/>
  <c r="G49" i="3"/>
  <c r="F49" i="3"/>
  <c r="E49" i="3"/>
  <c r="D49" i="3"/>
  <c r="C49" i="3"/>
  <c r="B49" i="3"/>
  <c r="A49" i="3"/>
  <c r="M48" i="3"/>
  <c r="K48" i="3"/>
  <c r="J48" i="3"/>
  <c r="I48" i="3"/>
  <c r="H48" i="3"/>
  <c r="G48" i="3"/>
  <c r="F48" i="3"/>
  <c r="E48" i="3"/>
  <c r="D48" i="3"/>
  <c r="C48" i="3"/>
  <c r="B48" i="3"/>
  <c r="A48" i="3"/>
  <c r="M47" i="3"/>
  <c r="K47" i="3"/>
  <c r="J47" i="3"/>
  <c r="I47" i="3"/>
  <c r="H47" i="3"/>
  <c r="G47" i="3"/>
  <c r="F47" i="3"/>
  <c r="E47" i="3"/>
  <c r="D47" i="3"/>
  <c r="C47" i="3"/>
  <c r="B47" i="3"/>
  <c r="A47" i="3"/>
  <c r="M46" i="3"/>
  <c r="K46" i="3"/>
  <c r="J46" i="3"/>
  <c r="I46" i="3"/>
  <c r="H46" i="3"/>
  <c r="G46" i="3"/>
  <c r="F46" i="3"/>
  <c r="E46" i="3"/>
  <c r="D46" i="3"/>
  <c r="C46" i="3"/>
  <c r="B46" i="3"/>
  <c r="A46" i="3"/>
  <c r="M45" i="3"/>
  <c r="K45" i="3"/>
  <c r="J45" i="3"/>
  <c r="I45" i="3"/>
  <c r="H45" i="3"/>
  <c r="G45" i="3"/>
  <c r="F45" i="3"/>
  <c r="E45" i="3"/>
  <c r="D45" i="3"/>
  <c r="C45" i="3"/>
  <c r="B45" i="3"/>
  <c r="A45" i="3"/>
  <c r="M44" i="3"/>
  <c r="K44" i="3"/>
  <c r="J44" i="3"/>
  <c r="I44" i="3"/>
  <c r="H44" i="3"/>
  <c r="G44" i="3"/>
  <c r="F44" i="3"/>
  <c r="E44" i="3"/>
  <c r="D44" i="3"/>
  <c r="C44" i="3"/>
  <c r="B44" i="3"/>
  <c r="A44" i="3"/>
  <c r="M43" i="3"/>
  <c r="K43" i="3"/>
  <c r="J43" i="3"/>
  <c r="I43" i="3"/>
  <c r="H43" i="3"/>
  <c r="G43" i="3"/>
  <c r="F43" i="3"/>
  <c r="E43" i="3"/>
  <c r="D43" i="3"/>
  <c r="C43" i="3"/>
  <c r="B43" i="3"/>
  <c r="A43" i="3"/>
  <c r="M42" i="3"/>
  <c r="K42" i="3"/>
  <c r="J42" i="3"/>
  <c r="I42" i="3"/>
  <c r="H42" i="3"/>
  <c r="G42" i="3"/>
  <c r="F42" i="3"/>
  <c r="E42" i="3"/>
  <c r="D42" i="3"/>
  <c r="C42" i="3"/>
  <c r="B42" i="3"/>
  <c r="A42" i="3"/>
  <c r="M41" i="3"/>
  <c r="K41" i="3"/>
  <c r="J41" i="3"/>
  <c r="I41" i="3"/>
  <c r="H41" i="3"/>
  <c r="G41" i="3"/>
  <c r="F41" i="3"/>
  <c r="E41" i="3"/>
  <c r="D41" i="3"/>
  <c r="C41" i="3"/>
  <c r="B41" i="3"/>
  <c r="A41" i="3"/>
  <c r="M40" i="3"/>
  <c r="K40" i="3"/>
  <c r="J40" i="3"/>
  <c r="I40" i="3"/>
  <c r="H40" i="3"/>
  <c r="G40" i="3"/>
  <c r="F40" i="3"/>
  <c r="E40" i="3"/>
  <c r="D40" i="3"/>
  <c r="C40" i="3"/>
  <c r="B40" i="3"/>
  <c r="A40" i="3"/>
  <c r="M39" i="3"/>
  <c r="K39" i="3"/>
  <c r="J39" i="3"/>
  <c r="I39" i="3"/>
  <c r="H39" i="3"/>
  <c r="G39" i="3"/>
  <c r="F39" i="3"/>
  <c r="E39" i="3"/>
  <c r="D39" i="3"/>
  <c r="C39" i="3"/>
  <c r="B39" i="3"/>
  <c r="A39" i="3"/>
  <c r="M38" i="3"/>
  <c r="K38" i="3"/>
  <c r="J38" i="3"/>
  <c r="I38" i="3"/>
  <c r="H38" i="3"/>
  <c r="G38" i="3"/>
  <c r="F38" i="3"/>
  <c r="E38" i="3"/>
  <c r="D38" i="3"/>
  <c r="C38" i="3"/>
  <c r="B38" i="3"/>
  <c r="A38" i="3"/>
  <c r="M37" i="3"/>
  <c r="K37" i="3"/>
  <c r="J37" i="3"/>
  <c r="I37" i="3"/>
  <c r="H37" i="3"/>
  <c r="G37" i="3"/>
  <c r="F37" i="3"/>
  <c r="E37" i="3"/>
  <c r="D37" i="3"/>
  <c r="C37" i="3"/>
  <c r="B37" i="3"/>
  <c r="A37" i="3"/>
  <c r="M36" i="3"/>
  <c r="K36" i="3"/>
  <c r="J36" i="3"/>
  <c r="I36" i="3"/>
  <c r="H36" i="3"/>
  <c r="G36" i="3"/>
  <c r="F36" i="3"/>
  <c r="E36" i="3"/>
  <c r="D36" i="3"/>
  <c r="C36" i="3"/>
  <c r="B36" i="3"/>
  <c r="A36" i="3"/>
  <c r="M35" i="3"/>
  <c r="K35" i="3"/>
  <c r="J35" i="3"/>
  <c r="I35" i="3"/>
  <c r="H35" i="3"/>
  <c r="G35" i="3"/>
  <c r="F35" i="3"/>
  <c r="E35" i="3"/>
  <c r="D35" i="3"/>
  <c r="C35" i="3"/>
  <c r="B35" i="3"/>
  <c r="A35" i="3"/>
  <c r="M34" i="3"/>
  <c r="K34" i="3"/>
  <c r="J34" i="3"/>
  <c r="I34" i="3"/>
  <c r="H34" i="3"/>
  <c r="G34" i="3"/>
  <c r="F34" i="3"/>
  <c r="E34" i="3"/>
  <c r="D34" i="3"/>
  <c r="C34" i="3"/>
  <c r="B34" i="3"/>
  <c r="A34" i="3"/>
  <c r="M33" i="3"/>
  <c r="K33" i="3"/>
  <c r="J33" i="3"/>
  <c r="I33" i="3"/>
  <c r="H33" i="3"/>
  <c r="G33" i="3"/>
  <c r="F33" i="3"/>
  <c r="E33" i="3"/>
  <c r="D33" i="3"/>
  <c r="C33" i="3"/>
  <c r="B33" i="3"/>
  <c r="A33" i="3"/>
  <c r="M32" i="3"/>
  <c r="K32" i="3"/>
  <c r="J32" i="3"/>
  <c r="I32" i="3"/>
  <c r="H32" i="3"/>
  <c r="G32" i="3"/>
  <c r="F32" i="3"/>
  <c r="E32" i="3"/>
  <c r="D32" i="3"/>
  <c r="C32" i="3"/>
  <c r="B32" i="3"/>
  <c r="A32" i="3"/>
  <c r="M31" i="3"/>
  <c r="K31" i="3"/>
  <c r="J31" i="3"/>
  <c r="I31" i="3"/>
  <c r="H31" i="3"/>
  <c r="G31" i="3"/>
  <c r="F31" i="3"/>
  <c r="E31" i="3"/>
  <c r="D31" i="3"/>
  <c r="C31" i="3"/>
  <c r="B31" i="3"/>
  <c r="A31" i="3"/>
  <c r="M30" i="3"/>
  <c r="K30" i="3"/>
  <c r="J30" i="3"/>
  <c r="I30" i="3"/>
  <c r="H30" i="3"/>
  <c r="G30" i="3"/>
  <c r="F30" i="3"/>
  <c r="E30" i="3"/>
  <c r="D30" i="3"/>
  <c r="C30" i="3"/>
  <c r="B30" i="3"/>
  <c r="A30" i="3"/>
  <c r="M29" i="3"/>
  <c r="K29" i="3"/>
  <c r="J29" i="3"/>
  <c r="I29" i="3"/>
  <c r="H29" i="3"/>
  <c r="G29" i="3"/>
  <c r="F29" i="3"/>
  <c r="E29" i="3"/>
  <c r="D29" i="3"/>
  <c r="C29" i="3"/>
  <c r="B29" i="3"/>
  <c r="A29" i="3"/>
  <c r="M28" i="3"/>
  <c r="K28" i="3"/>
  <c r="J28" i="3"/>
  <c r="I28" i="3"/>
  <c r="H28" i="3"/>
  <c r="G28" i="3"/>
  <c r="F28" i="3"/>
  <c r="E28" i="3"/>
  <c r="D28" i="3"/>
  <c r="C28" i="3"/>
  <c r="B28" i="3"/>
  <c r="A28" i="3"/>
  <c r="M27" i="3"/>
  <c r="K27" i="3"/>
  <c r="J27" i="3"/>
  <c r="I27" i="3"/>
  <c r="H27" i="3"/>
  <c r="G27" i="3"/>
  <c r="F27" i="3"/>
  <c r="E27" i="3"/>
  <c r="D27" i="3"/>
  <c r="C27" i="3"/>
  <c r="B27" i="3"/>
  <c r="A27" i="3"/>
  <c r="M26" i="3"/>
  <c r="K26" i="3"/>
  <c r="J26" i="3"/>
  <c r="I26" i="3"/>
  <c r="H26" i="3"/>
  <c r="G26" i="3"/>
  <c r="F26" i="3"/>
  <c r="E26" i="3"/>
  <c r="D26" i="3"/>
  <c r="C26" i="3"/>
  <c r="B26" i="3"/>
  <c r="A26" i="3"/>
  <c r="M25" i="3"/>
  <c r="K25" i="3"/>
  <c r="J25" i="3"/>
  <c r="I25" i="3"/>
  <c r="H25" i="3"/>
  <c r="G25" i="3"/>
  <c r="F25" i="3"/>
  <c r="E25" i="3"/>
  <c r="D25" i="3"/>
  <c r="C25" i="3"/>
  <c r="B25" i="3"/>
  <c r="A25" i="3"/>
  <c r="M24" i="3"/>
  <c r="K24" i="3"/>
  <c r="J24" i="3"/>
  <c r="I24" i="3"/>
  <c r="H24" i="3"/>
  <c r="G24" i="3"/>
  <c r="F24" i="3"/>
  <c r="E24" i="3"/>
  <c r="D24" i="3"/>
  <c r="C24" i="3"/>
  <c r="B24" i="3"/>
  <c r="A24" i="3"/>
  <c r="M23" i="3"/>
  <c r="K23" i="3"/>
  <c r="J23" i="3"/>
  <c r="I23" i="3"/>
  <c r="H23" i="3"/>
  <c r="G23" i="3"/>
  <c r="F23" i="3"/>
  <c r="E23" i="3"/>
  <c r="D23" i="3"/>
  <c r="C23" i="3"/>
  <c r="B23" i="3"/>
  <c r="A23" i="3"/>
  <c r="M22" i="3"/>
  <c r="K22" i="3"/>
  <c r="J22" i="3"/>
  <c r="I22" i="3"/>
  <c r="H22" i="3"/>
  <c r="G22" i="3"/>
  <c r="F22" i="3"/>
  <c r="E22" i="3"/>
  <c r="D22" i="3"/>
  <c r="C22" i="3"/>
  <c r="B22" i="3"/>
  <c r="A22" i="3"/>
  <c r="M21" i="3"/>
  <c r="K21" i="3"/>
  <c r="J21" i="3"/>
  <c r="I21" i="3"/>
  <c r="H21" i="3"/>
  <c r="G21" i="3"/>
  <c r="F21" i="3"/>
  <c r="E21" i="3"/>
  <c r="D21" i="3"/>
  <c r="C21" i="3"/>
  <c r="B21" i="3"/>
  <c r="A21" i="3"/>
  <c r="M20" i="3"/>
  <c r="K20" i="3"/>
  <c r="J20" i="3"/>
  <c r="I20" i="3"/>
  <c r="H20" i="3"/>
  <c r="G20" i="3"/>
  <c r="F20" i="3"/>
  <c r="E20" i="3"/>
  <c r="D20" i="3"/>
  <c r="C20" i="3"/>
  <c r="B20" i="3"/>
  <c r="A20" i="3"/>
  <c r="M19" i="3"/>
  <c r="K19" i="3"/>
  <c r="J19" i="3"/>
  <c r="I19" i="3"/>
  <c r="H19" i="3"/>
  <c r="G19" i="3"/>
  <c r="F19" i="3"/>
  <c r="E19" i="3"/>
  <c r="D19" i="3"/>
  <c r="C19" i="3"/>
  <c r="B19" i="3"/>
  <c r="A19" i="3"/>
  <c r="M18" i="3"/>
  <c r="K18" i="3"/>
  <c r="J18" i="3"/>
  <c r="I18" i="3"/>
  <c r="H18" i="3"/>
  <c r="G18" i="3"/>
  <c r="F18" i="3"/>
  <c r="E18" i="3"/>
  <c r="D18" i="3"/>
  <c r="C18" i="3"/>
  <c r="B18" i="3"/>
  <c r="A18" i="3"/>
  <c r="M17" i="3"/>
  <c r="K17" i="3"/>
  <c r="J17" i="3"/>
  <c r="I17" i="3"/>
  <c r="H17" i="3"/>
  <c r="G17" i="3"/>
  <c r="F17" i="3"/>
  <c r="E17" i="3"/>
  <c r="D17" i="3"/>
  <c r="C17" i="3"/>
  <c r="B17" i="3"/>
  <c r="A17" i="3"/>
  <c r="M16" i="3"/>
  <c r="K16" i="3"/>
  <c r="J16" i="3"/>
  <c r="I16" i="3"/>
  <c r="H16" i="3"/>
  <c r="G16" i="3"/>
  <c r="F16" i="3"/>
  <c r="E16" i="3"/>
  <c r="D16" i="3"/>
  <c r="C16" i="3"/>
  <c r="B16" i="3"/>
  <c r="A16" i="3"/>
  <c r="M15" i="3"/>
  <c r="K15" i="3"/>
  <c r="J15" i="3"/>
  <c r="I15" i="3"/>
  <c r="H15" i="3"/>
  <c r="G15" i="3"/>
  <c r="F15" i="3"/>
  <c r="E15" i="3"/>
  <c r="D15" i="3"/>
  <c r="C15" i="3"/>
  <c r="B15" i="3"/>
  <c r="A15" i="3"/>
  <c r="M14" i="3"/>
  <c r="K14" i="3"/>
  <c r="J14" i="3"/>
  <c r="I14" i="3"/>
  <c r="H14" i="3"/>
  <c r="G14" i="3"/>
  <c r="F14" i="3"/>
  <c r="E14" i="3"/>
  <c r="D14" i="3"/>
  <c r="C14" i="3"/>
  <c r="B14" i="3"/>
  <c r="A14" i="3"/>
  <c r="M13" i="3"/>
  <c r="K13" i="3"/>
  <c r="J13" i="3"/>
  <c r="I13" i="3"/>
  <c r="H13" i="3"/>
  <c r="G13" i="3"/>
  <c r="F13" i="3"/>
  <c r="E13" i="3"/>
  <c r="D13" i="3"/>
  <c r="C13" i="3"/>
  <c r="B13" i="3"/>
  <c r="A13" i="3"/>
  <c r="M12" i="3"/>
  <c r="K12" i="3"/>
  <c r="J12" i="3"/>
  <c r="I12" i="3"/>
  <c r="H12" i="3"/>
  <c r="G12" i="3"/>
  <c r="F12" i="3"/>
  <c r="E12" i="3"/>
  <c r="D12" i="3"/>
  <c r="C12" i="3"/>
  <c r="B12" i="3"/>
  <c r="A12" i="3"/>
  <c r="M11" i="3"/>
  <c r="K11" i="3"/>
  <c r="J11" i="3"/>
  <c r="I11" i="3"/>
  <c r="H11" i="3"/>
  <c r="G11" i="3"/>
  <c r="F11" i="3"/>
  <c r="E11" i="3"/>
  <c r="D11" i="3"/>
  <c r="C11" i="3"/>
  <c r="B11" i="3"/>
  <c r="A11" i="3"/>
  <c r="M10" i="3"/>
  <c r="K10" i="3"/>
  <c r="J10" i="3"/>
  <c r="I10" i="3"/>
  <c r="H10" i="3"/>
  <c r="G10" i="3"/>
  <c r="F10" i="3"/>
  <c r="E10" i="3"/>
  <c r="D10" i="3"/>
  <c r="C10" i="3"/>
  <c r="B10" i="3"/>
  <c r="A10" i="3"/>
  <c r="M9" i="3"/>
  <c r="K9" i="3"/>
  <c r="J9" i="3"/>
  <c r="I9" i="3"/>
  <c r="H9" i="3"/>
  <c r="G9" i="3"/>
  <c r="F9" i="3"/>
  <c r="E9" i="3"/>
  <c r="D9" i="3"/>
  <c r="C9" i="3"/>
  <c r="B9" i="3"/>
  <c r="A9" i="3"/>
  <c r="M8" i="3"/>
  <c r="K8" i="3"/>
  <c r="J8" i="3"/>
  <c r="I8" i="3"/>
  <c r="H8" i="3"/>
  <c r="G8" i="3"/>
  <c r="F8" i="3"/>
  <c r="E8" i="3"/>
  <c r="D8" i="3"/>
  <c r="C8" i="3"/>
  <c r="B8" i="3"/>
  <c r="A8" i="3"/>
  <c r="M7" i="3"/>
  <c r="K7" i="3"/>
  <c r="J7" i="3"/>
  <c r="I7" i="3"/>
  <c r="H7" i="3"/>
  <c r="G7" i="3"/>
  <c r="F7" i="3"/>
  <c r="E7" i="3"/>
  <c r="D7" i="3"/>
  <c r="C7" i="3"/>
  <c r="B7" i="3"/>
  <c r="A7" i="3"/>
  <c r="M6" i="3"/>
  <c r="K6" i="3"/>
  <c r="J6" i="3"/>
  <c r="I6" i="3"/>
  <c r="H6" i="3"/>
  <c r="G6" i="3"/>
  <c r="F6" i="3"/>
  <c r="E6" i="3"/>
  <c r="D6" i="3"/>
  <c r="C6" i="3"/>
  <c r="B6" i="3"/>
  <c r="A6" i="3"/>
  <c r="M5" i="3"/>
  <c r="K5" i="3"/>
  <c r="J5" i="3"/>
  <c r="I5" i="3"/>
  <c r="H5" i="3"/>
  <c r="G5" i="3"/>
  <c r="F5" i="3"/>
  <c r="E5" i="3"/>
  <c r="D5" i="3"/>
  <c r="C5" i="3"/>
  <c r="B5" i="3"/>
  <c r="A5" i="3"/>
  <c r="M4" i="3"/>
  <c r="K4" i="3"/>
  <c r="J4" i="3"/>
  <c r="I4" i="3"/>
  <c r="H4" i="3"/>
  <c r="G4" i="3"/>
  <c r="F4" i="3"/>
  <c r="E4" i="3"/>
  <c r="D4" i="3"/>
  <c r="C4" i="3"/>
  <c r="B4" i="3"/>
  <c r="A4" i="3"/>
  <c r="M3" i="3"/>
  <c r="K3" i="3"/>
  <c r="J3" i="3"/>
  <c r="I3" i="3"/>
  <c r="H3" i="3"/>
  <c r="G3" i="3"/>
  <c r="F3" i="3"/>
  <c r="E3" i="3"/>
  <c r="D3" i="3"/>
  <c r="C3" i="3"/>
  <c r="B3" i="3"/>
  <c r="A3" i="3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M442" i="1"/>
  <c r="L442" i="1"/>
  <c r="L442" i="3" s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978" i="3" l="1"/>
  <c r="M978" i="1"/>
  <c r="L977" i="3"/>
  <c r="M977" i="1"/>
  <c r="L976" i="3"/>
  <c r="M976" i="1"/>
  <c r="L975" i="3"/>
  <c r="M975" i="1"/>
  <c r="L974" i="3"/>
  <c r="M974" i="1"/>
  <c r="L973" i="3"/>
  <c r="M973" i="1"/>
  <c r="L972" i="3"/>
  <c r="M972" i="1"/>
  <c r="L971" i="3"/>
  <c r="M971" i="1"/>
  <c r="L970" i="3"/>
  <c r="M970" i="1"/>
  <c r="L969" i="3"/>
  <c r="M969" i="1"/>
  <c r="L968" i="3"/>
  <c r="M968" i="1"/>
  <c r="M967" i="1"/>
  <c r="L967" i="3"/>
  <c r="L966" i="3"/>
  <c r="M966" i="1"/>
  <c r="L965" i="3"/>
  <c r="M965" i="1"/>
  <c r="L964" i="3"/>
  <c r="M964" i="1"/>
  <c r="L963" i="3"/>
  <c r="M963" i="1"/>
  <c r="L962" i="3"/>
  <c r="M962" i="1"/>
  <c r="L961" i="3"/>
  <c r="M961" i="1"/>
  <c r="L960" i="3"/>
  <c r="M960" i="1"/>
  <c r="L959" i="3"/>
  <c r="M959" i="1"/>
  <c r="L958" i="3"/>
  <c r="M958" i="1"/>
  <c r="L957" i="3"/>
  <c r="M957" i="1"/>
  <c r="L956" i="3"/>
  <c r="M956" i="1"/>
  <c r="M955" i="1"/>
  <c r="L955" i="3"/>
  <c r="L954" i="3"/>
  <c r="M954" i="1"/>
  <c r="M953" i="1"/>
  <c r="L953" i="3"/>
  <c r="L952" i="3"/>
  <c r="M952" i="1"/>
  <c r="M951" i="1"/>
  <c r="L951" i="3"/>
  <c r="M950" i="1"/>
  <c r="L950" i="3"/>
  <c r="M949" i="1"/>
  <c r="L949" i="3"/>
  <c r="M948" i="1"/>
  <c r="L948" i="3"/>
  <c r="L947" i="3"/>
  <c r="M947" i="1"/>
  <c r="M946" i="1"/>
  <c r="L946" i="3"/>
  <c r="M945" i="1"/>
  <c r="L945" i="3"/>
  <c r="M944" i="1"/>
  <c r="L944" i="3"/>
  <c r="M943" i="1"/>
  <c r="L943" i="3"/>
  <c r="L942" i="3"/>
  <c r="M942" i="1"/>
  <c r="L941" i="3"/>
  <c r="M941" i="1"/>
  <c r="M940" i="1"/>
  <c r="L940" i="3"/>
  <c r="M939" i="1"/>
  <c r="L939" i="3"/>
  <c r="L938" i="3"/>
  <c r="M938" i="1"/>
  <c r="L937" i="3"/>
  <c r="M937" i="1"/>
  <c r="L936" i="3"/>
  <c r="M936" i="1"/>
  <c r="L935" i="3"/>
  <c r="M935" i="1"/>
  <c r="L934" i="3"/>
  <c r="M934" i="1"/>
  <c r="L933" i="3"/>
  <c r="M933" i="1"/>
  <c r="L932" i="3"/>
  <c r="M932" i="1"/>
  <c r="L931" i="3"/>
  <c r="M931" i="1"/>
  <c r="L930" i="3"/>
  <c r="M930" i="1"/>
  <c r="L929" i="3"/>
  <c r="M929" i="1"/>
  <c r="L928" i="3"/>
  <c r="M928" i="1"/>
  <c r="L927" i="3"/>
  <c r="M927" i="1"/>
  <c r="L926" i="3"/>
  <c r="M926" i="1"/>
  <c r="L925" i="3"/>
  <c r="M925" i="1"/>
  <c r="L924" i="3"/>
  <c r="M924" i="1"/>
  <c r="L923" i="3"/>
  <c r="M923" i="1"/>
  <c r="M922" i="1"/>
  <c r="L922" i="3"/>
  <c r="L921" i="3"/>
  <c r="M921" i="1"/>
  <c r="M920" i="1"/>
  <c r="L920" i="3"/>
  <c r="M919" i="1"/>
  <c r="L919" i="3"/>
  <c r="L918" i="3"/>
  <c r="M918" i="1"/>
  <c r="M917" i="1"/>
  <c r="L917" i="3"/>
  <c r="M916" i="1"/>
  <c r="L916" i="3"/>
  <c r="M915" i="1"/>
  <c r="L915" i="3"/>
  <c r="L914" i="3"/>
  <c r="M914" i="1"/>
  <c r="L913" i="3"/>
  <c r="M913" i="1"/>
  <c r="L912" i="3"/>
  <c r="M912" i="1"/>
  <c r="M911" i="1"/>
  <c r="L911" i="3"/>
  <c r="L910" i="3"/>
  <c r="M910" i="1"/>
  <c r="M909" i="1"/>
  <c r="L909" i="3"/>
  <c r="M908" i="1"/>
  <c r="L908" i="3"/>
  <c r="M907" i="1"/>
  <c r="L907" i="3"/>
  <c r="L906" i="3"/>
  <c r="M906" i="1"/>
  <c r="L905" i="3"/>
  <c r="M905" i="1"/>
  <c r="M904" i="1"/>
  <c r="L904" i="3"/>
  <c r="M903" i="1"/>
  <c r="L903" i="3"/>
  <c r="M902" i="1"/>
  <c r="L902" i="3"/>
  <c r="M901" i="1"/>
  <c r="L901" i="3"/>
  <c r="M900" i="1"/>
  <c r="L900" i="3"/>
  <c r="M899" i="1"/>
  <c r="L899" i="3"/>
  <c r="L898" i="3"/>
  <c r="M898" i="1"/>
  <c r="L897" i="3"/>
  <c r="M897" i="1"/>
  <c r="M896" i="1"/>
  <c r="L896" i="3"/>
  <c r="L895" i="3"/>
  <c r="M895" i="1"/>
  <c r="L894" i="3"/>
  <c r="M894" i="1"/>
  <c r="L893" i="3"/>
  <c r="M893" i="1"/>
  <c r="L892" i="3"/>
  <c r="M892" i="1"/>
  <c r="L891" i="3"/>
  <c r="M891" i="1"/>
  <c r="L890" i="3"/>
  <c r="M890" i="1"/>
  <c r="M889" i="1"/>
  <c r="L889" i="3"/>
  <c r="L888" i="3"/>
  <c r="M888" i="1"/>
  <c r="L887" i="3"/>
  <c r="M887" i="1"/>
  <c r="M886" i="1"/>
  <c r="L886" i="3"/>
  <c r="M885" i="1"/>
  <c r="L885" i="3"/>
  <c r="L884" i="3"/>
  <c r="M884" i="1"/>
  <c r="L883" i="3"/>
  <c r="M883" i="1"/>
  <c r="L882" i="3"/>
  <c r="M882" i="1"/>
  <c r="L881" i="3"/>
  <c r="M881" i="1"/>
  <c r="L880" i="3"/>
  <c r="M880" i="1"/>
  <c r="L879" i="3"/>
  <c r="M879" i="1"/>
  <c r="L878" i="3"/>
  <c r="M878" i="1"/>
  <c r="L877" i="3"/>
  <c r="M877" i="1"/>
  <c r="L876" i="3"/>
  <c r="M876" i="1"/>
  <c r="L875" i="3"/>
  <c r="M875" i="1"/>
  <c r="M874" i="1"/>
  <c r="L874" i="3"/>
  <c r="M873" i="1"/>
  <c r="L873" i="3"/>
  <c r="M872" i="1"/>
  <c r="L872" i="3"/>
  <c r="L871" i="3"/>
  <c r="M871" i="1"/>
  <c r="L870" i="3"/>
  <c r="M870" i="1"/>
  <c r="L869" i="3"/>
  <c r="M869" i="1"/>
  <c r="L868" i="3"/>
  <c r="M868" i="1"/>
  <c r="L867" i="3"/>
  <c r="M867" i="1"/>
  <c r="L866" i="3"/>
  <c r="M866" i="1"/>
  <c r="L865" i="3"/>
  <c r="M865" i="1"/>
  <c r="L864" i="3"/>
  <c r="M864" i="1"/>
  <c r="L863" i="3"/>
  <c r="M863" i="1"/>
  <c r="L862" i="3"/>
  <c r="M862" i="1"/>
  <c r="L861" i="3"/>
  <c r="M861" i="1"/>
  <c r="L860" i="3"/>
  <c r="M860" i="1"/>
  <c r="L859" i="3"/>
  <c r="M859" i="1"/>
  <c r="M858" i="1"/>
  <c r="L858" i="3"/>
  <c r="M857" i="1"/>
  <c r="L857" i="3"/>
  <c r="M856" i="1"/>
  <c r="L856" i="3"/>
  <c r="M855" i="1"/>
  <c r="L855" i="3"/>
  <c r="M854" i="1"/>
  <c r="L854" i="3"/>
  <c r="L853" i="3"/>
  <c r="M853" i="1"/>
  <c r="L852" i="3"/>
  <c r="M852" i="1"/>
  <c r="L851" i="3"/>
  <c r="M851" i="1"/>
  <c r="L850" i="3"/>
  <c r="M850" i="1"/>
  <c r="L849" i="3"/>
  <c r="M849" i="1"/>
  <c r="M848" i="1"/>
  <c r="L848" i="3"/>
  <c r="L847" i="3"/>
  <c r="M847" i="1"/>
  <c r="L846" i="3"/>
  <c r="M846" i="1"/>
  <c r="L845" i="3"/>
  <c r="M845" i="1"/>
  <c r="L844" i="3"/>
  <c r="M844" i="1"/>
  <c r="L843" i="3"/>
  <c r="M843" i="1"/>
  <c r="L842" i="3"/>
  <c r="M842" i="1"/>
  <c r="L841" i="3"/>
  <c r="M841" i="1"/>
  <c r="L840" i="3"/>
  <c r="M840" i="1"/>
  <c r="L839" i="3"/>
  <c r="M839" i="1"/>
  <c r="L838" i="3"/>
  <c r="M838" i="1"/>
  <c r="L837" i="3"/>
  <c r="M837" i="1"/>
  <c r="M836" i="1"/>
  <c r="L836" i="3"/>
  <c r="L835" i="3"/>
  <c r="M835" i="1"/>
  <c r="L834" i="3"/>
  <c r="M834" i="1"/>
  <c r="L833" i="3"/>
  <c r="M833" i="1"/>
  <c r="L832" i="3"/>
  <c r="M832" i="1"/>
  <c r="L831" i="3"/>
  <c r="M831" i="1"/>
  <c r="M830" i="1"/>
  <c r="L830" i="3"/>
  <c r="M829" i="1"/>
  <c r="L829" i="3"/>
  <c r="M828" i="1"/>
  <c r="L828" i="3"/>
  <c r="M827" i="1"/>
  <c r="L827" i="3"/>
  <c r="M826" i="1"/>
  <c r="L826" i="3"/>
  <c r="M825" i="1"/>
  <c r="L825" i="3"/>
  <c r="M824" i="1"/>
  <c r="L824" i="3"/>
  <c r="M823" i="1"/>
  <c r="L823" i="3"/>
  <c r="M822" i="1"/>
  <c r="L822" i="3"/>
  <c r="L821" i="3"/>
  <c r="M821" i="1"/>
  <c r="L820" i="3"/>
  <c r="M820" i="1"/>
  <c r="L819" i="3"/>
  <c r="M819" i="1"/>
  <c r="L818" i="3"/>
  <c r="M818" i="1"/>
  <c r="L817" i="3"/>
  <c r="M817" i="1"/>
  <c r="L816" i="3"/>
  <c r="M816" i="1"/>
  <c r="L815" i="3"/>
  <c r="M815" i="1"/>
  <c r="L814" i="3"/>
  <c r="M814" i="1"/>
  <c r="L813" i="3"/>
  <c r="M813" i="1"/>
  <c r="L812" i="3"/>
  <c r="M812" i="1"/>
  <c r="L811" i="3"/>
  <c r="M811" i="1"/>
  <c r="L810" i="3"/>
  <c r="M810" i="1"/>
  <c r="L809" i="3"/>
  <c r="M809" i="1"/>
  <c r="L808" i="3"/>
  <c r="M808" i="1"/>
  <c r="M807" i="1"/>
  <c r="L807" i="3"/>
  <c r="L806" i="3"/>
  <c r="M806" i="1"/>
  <c r="M805" i="1"/>
  <c r="L805" i="3"/>
  <c r="M804" i="1"/>
  <c r="L804" i="3"/>
  <c r="M803" i="1"/>
  <c r="L803" i="3"/>
  <c r="M802" i="1"/>
  <c r="L802" i="3"/>
  <c r="M801" i="1"/>
  <c r="L801" i="3"/>
  <c r="M800" i="1"/>
  <c r="L800" i="3"/>
  <c r="L799" i="3"/>
  <c r="M799" i="1"/>
  <c r="L798" i="3"/>
  <c r="M798" i="1"/>
  <c r="M797" i="1"/>
  <c r="L797" i="3"/>
  <c r="M796" i="1"/>
  <c r="L796" i="3"/>
  <c r="M795" i="1"/>
  <c r="L795" i="3"/>
  <c r="M794" i="1"/>
  <c r="L794" i="3"/>
  <c r="M793" i="1"/>
  <c r="L793" i="3"/>
  <c r="M792" i="1"/>
  <c r="L792" i="3"/>
  <c r="M791" i="1"/>
  <c r="L791" i="3"/>
  <c r="M790" i="1"/>
  <c r="L790" i="3"/>
  <c r="M789" i="1"/>
  <c r="L789" i="3"/>
  <c r="M788" i="1"/>
  <c r="L788" i="3"/>
  <c r="M787" i="1"/>
  <c r="L787" i="3"/>
  <c r="M786" i="1"/>
  <c r="L786" i="3"/>
  <c r="M785" i="1"/>
  <c r="L785" i="3"/>
  <c r="M784" i="1"/>
  <c r="L784" i="3"/>
  <c r="M783" i="1"/>
  <c r="L783" i="3"/>
  <c r="M782" i="1"/>
  <c r="L782" i="3"/>
  <c r="L781" i="3"/>
  <c r="M781" i="1"/>
  <c r="L780" i="3"/>
  <c r="M780" i="1"/>
  <c r="L779" i="3"/>
  <c r="M779" i="1"/>
  <c r="L778" i="3"/>
  <c r="M778" i="1"/>
  <c r="L777" i="3"/>
  <c r="M777" i="1"/>
  <c r="L776" i="3"/>
  <c r="M776" i="1"/>
  <c r="L775" i="3"/>
  <c r="M775" i="1"/>
  <c r="L774" i="3"/>
  <c r="M774" i="1"/>
  <c r="L773" i="3"/>
  <c r="M773" i="1"/>
  <c r="L772" i="3"/>
  <c r="M772" i="1"/>
  <c r="L771" i="3"/>
  <c r="M771" i="1"/>
  <c r="L770" i="3"/>
  <c r="M770" i="1"/>
  <c r="L769" i="3"/>
  <c r="M769" i="1"/>
  <c r="L768" i="3"/>
  <c r="M768" i="1"/>
  <c r="M767" i="1"/>
  <c r="L767" i="3"/>
  <c r="L766" i="3"/>
  <c r="M766" i="1"/>
  <c r="L765" i="3"/>
  <c r="M765" i="1"/>
  <c r="L764" i="3"/>
  <c r="M764" i="1"/>
  <c r="L763" i="3"/>
  <c r="M763" i="1"/>
  <c r="L762" i="3"/>
  <c r="M762" i="1"/>
  <c r="M761" i="1"/>
  <c r="L761" i="3"/>
  <c r="M760" i="1"/>
  <c r="L760" i="3"/>
  <c r="M759" i="1"/>
  <c r="L759" i="3"/>
  <c r="L758" i="3"/>
  <c r="M758" i="1"/>
  <c r="M757" i="1"/>
  <c r="L757" i="3"/>
  <c r="M756" i="1"/>
  <c r="L756" i="3"/>
  <c r="M755" i="1"/>
  <c r="L755" i="3"/>
  <c r="L754" i="3"/>
  <c r="M754" i="1"/>
  <c r="L753" i="3"/>
  <c r="M753" i="1"/>
  <c r="L752" i="3"/>
  <c r="M752" i="1"/>
  <c r="M751" i="1"/>
  <c r="L751" i="3"/>
  <c r="M750" i="1"/>
  <c r="L750" i="3"/>
  <c r="L749" i="3"/>
  <c r="M749" i="1"/>
  <c r="L748" i="3"/>
  <c r="M748" i="1"/>
  <c r="L747" i="3"/>
  <c r="M747" i="1"/>
  <c r="M746" i="1"/>
  <c r="L746" i="3"/>
  <c r="M745" i="1"/>
  <c r="L745" i="3"/>
  <c r="L744" i="3"/>
  <c r="M744" i="1"/>
  <c r="L743" i="3"/>
  <c r="M743" i="1"/>
  <c r="L742" i="3"/>
  <c r="M742" i="1"/>
  <c r="L741" i="3"/>
  <c r="M741" i="1"/>
  <c r="L740" i="3"/>
  <c r="M740" i="1"/>
  <c r="M739" i="1"/>
  <c r="L739" i="3"/>
  <c r="L738" i="3"/>
  <c r="M738" i="1"/>
  <c r="L737" i="3"/>
  <c r="M737" i="1"/>
  <c r="L736" i="3"/>
  <c r="M736" i="1"/>
  <c r="L735" i="3"/>
  <c r="M735" i="1"/>
  <c r="L734" i="3"/>
  <c r="M734" i="1"/>
  <c r="L733" i="3"/>
  <c r="M733" i="1"/>
  <c r="L732" i="3"/>
  <c r="M732" i="1"/>
  <c r="M731" i="1"/>
  <c r="L731" i="3"/>
  <c r="L730" i="3"/>
  <c r="M730" i="1"/>
  <c r="L729" i="3"/>
  <c r="M729" i="1"/>
  <c r="L728" i="3"/>
  <c r="M728" i="1"/>
  <c r="L727" i="3"/>
  <c r="M727" i="1"/>
  <c r="L726" i="3"/>
  <c r="M726" i="1"/>
  <c r="L725" i="3"/>
  <c r="M725" i="1"/>
  <c r="M724" i="1"/>
  <c r="L724" i="3"/>
  <c r="M723" i="1"/>
  <c r="L723" i="3"/>
  <c r="M722" i="1"/>
  <c r="L722" i="3"/>
  <c r="L721" i="3"/>
  <c r="M721" i="1"/>
  <c r="L720" i="3"/>
  <c r="M720" i="1"/>
  <c r="M719" i="1"/>
  <c r="L719" i="3"/>
  <c r="M718" i="1"/>
  <c r="L718" i="3"/>
  <c r="M717" i="1"/>
  <c r="L717" i="3"/>
  <c r="M716" i="1"/>
  <c r="L716" i="3"/>
  <c r="L715" i="3"/>
  <c r="M715" i="1"/>
  <c r="L714" i="3"/>
  <c r="M714" i="1"/>
  <c r="M713" i="1"/>
  <c r="L713" i="3"/>
  <c r="L712" i="3"/>
  <c r="M712" i="1"/>
  <c r="L711" i="3"/>
  <c r="M711" i="1"/>
  <c r="M710" i="1"/>
  <c r="L710" i="3"/>
  <c r="L709" i="3"/>
  <c r="M709" i="1"/>
  <c r="L708" i="3"/>
  <c r="M708" i="1"/>
  <c r="L707" i="3"/>
  <c r="M707" i="1"/>
  <c r="M706" i="1"/>
  <c r="L706" i="3"/>
  <c r="L705" i="3"/>
  <c r="M705" i="1"/>
  <c r="L704" i="3"/>
  <c r="M704" i="1"/>
  <c r="L703" i="3"/>
  <c r="M703" i="1"/>
  <c r="M702" i="1"/>
  <c r="L702" i="3"/>
  <c r="L701" i="3"/>
  <c r="M701" i="1"/>
  <c r="L700" i="3"/>
  <c r="M700" i="1"/>
  <c r="L699" i="3"/>
  <c r="M699" i="1"/>
  <c r="L698" i="3"/>
  <c r="M698" i="1"/>
  <c r="L697" i="3"/>
  <c r="M697" i="1"/>
  <c r="L696" i="3"/>
  <c r="M696" i="1"/>
  <c r="L695" i="3"/>
  <c r="M695" i="1"/>
  <c r="M694" i="1"/>
  <c r="L694" i="3"/>
  <c r="L693" i="3"/>
  <c r="M693" i="1"/>
  <c r="M692" i="1"/>
  <c r="L692" i="3"/>
  <c r="M691" i="1"/>
  <c r="L691" i="3"/>
  <c r="M690" i="1"/>
  <c r="L690" i="3"/>
  <c r="L689" i="3"/>
  <c r="M689" i="1"/>
  <c r="L688" i="3"/>
  <c r="M688" i="1"/>
  <c r="L687" i="3"/>
  <c r="M687" i="1"/>
  <c r="M686" i="1"/>
  <c r="L686" i="3"/>
  <c r="M685" i="1"/>
  <c r="L685" i="3"/>
  <c r="M684" i="1"/>
  <c r="L684" i="3"/>
  <c r="M683" i="1"/>
  <c r="L683" i="3"/>
  <c r="L682" i="3"/>
  <c r="M682" i="1"/>
  <c r="M681" i="1"/>
  <c r="L681" i="3"/>
  <c r="L680" i="3"/>
  <c r="M680" i="1"/>
  <c r="M679" i="1"/>
  <c r="L679" i="3"/>
  <c r="L678" i="3"/>
  <c r="M678" i="1"/>
  <c r="L677" i="3"/>
  <c r="M677" i="1"/>
  <c r="L676" i="3"/>
  <c r="M676" i="1"/>
  <c r="L675" i="3"/>
  <c r="M675" i="1"/>
  <c r="L674" i="3"/>
  <c r="M674" i="1"/>
  <c r="L673" i="3"/>
  <c r="M673" i="1"/>
  <c r="M672" i="1"/>
  <c r="L672" i="3"/>
  <c r="L671" i="3"/>
  <c r="M671" i="1"/>
  <c r="M670" i="1"/>
  <c r="L670" i="3"/>
  <c r="L669" i="3"/>
  <c r="M669" i="1"/>
  <c r="M668" i="1"/>
  <c r="L668" i="3"/>
  <c r="L667" i="3"/>
  <c r="M667" i="1"/>
  <c r="M666" i="1"/>
  <c r="L666" i="3"/>
  <c r="L665" i="3"/>
  <c r="M665" i="1"/>
  <c r="M664" i="1"/>
  <c r="L664" i="3"/>
  <c r="M663" i="1"/>
  <c r="L663" i="3"/>
  <c r="M662" i="1"/>
  <c r="L662" i="3"/>
  <c r="M661" i="1"/>
  <c r="L661" i="3"/>
  <c r="M660" i="1"/>
  <c r="L660" i="3"/>
  <c r="M659" i="1"/>
  <c r="L659" i="3"/>
  <c r="L658" i="3"/>
  <c r="M658" i="1"/>
  <c r="M657" i="1"/>
  <c r="L657" i="3"/>
  <c r="L656" i="3"/>
  <c r="M656" i="1"/>
  <c r="L655" i="3"/>
  <c r="M655" i="1"/>
  <c r="L654" i="3"/>
  <c r="M654" i="1"/>
  <c r="M653" i="1"/>
  <c r="L653" i="3"/>
  <c r="L652" i="3"/>
  <c r="M652" i="1"/>
  <c r="L651" i="3"/>
  <c r="M651" i="1"/>
  <c r="L650" i="3"/>
  <c r="M650" i="1"/>
  <c r="M649" i="1"/>
  <c r="L649" i="3"/>
  <c r="L648" i="3"/>
  <c r="M648" i="1"/>
  <c r="M647" i="1"/>
  <c r="L647" i="3"/>
  <c r="M646" i="1"/>
  <c r="L646" i="3"/>
  <c r="L645" i="3"/>
  <c r="M645" i="1"/>
  <c r="L644" i="3"/>
  <c r="M644" i="1"/>
  <c r="L643" i="3"/>
  <c r="M643" i="1"/>
  <c r="L642" i="3"/>
  <c r="M642" i="1"/>
  <c r="L641" i="3"/>
  <c r="M641" i="1"/>
  <c r="L640" i="3"/>
  <c r="M640" i="1"/>
  <c r="L639" i="3"/>
  <c r="M639" i="1"/>
  <c r="L638" i="3"/>
  <c r="M638" i="1"/>
  <c r="M637" i="1"/>
  <c r="L637" i="3"/>
  <c r="M636" i="1"/>
  <c r="L636" i="3"/>
  <c r="L635" i="3"/>
  <c r="M635" i="1"/>
  <c r="L634" i="3"/>
  <c r="M634" i="1"/>
  <c r="M633" i="1"/>
  <c r="L633" i="3"/>
  <c r="L632" i="3"/>
  <c r="M632" i="1"/>
  <c r="L631" i="3"/>
  <c r="M631" i="1"/>
  <c r="M630" i="1"/>
  <c r="L630" i="3"/>
  <c r="L629" i="3"/>
  <c r="M629" i="1"/>
  <c r="M628" i="1"/>
  <c r="L628" i="3"/>
  <c r="M627" i="1"/>
  <c r="L627" i="3"/>
  <c r="M626" i="1"/>
  <c r="L626" i="3"/>
  <c r="M625" i="1"/>
  <c r="L625" i="3"/>
  <c r="M624" i="1"/>
  <c r="L624" i="3"/>
  <c r="M623" i="1"/>
  <c r="L623" i="3"/>
  <c r="M622" i="1"/>
  <c r="L622" i="3"/>
  <c r="M621" i="1"/>
  <c r="L621" i="3"/>
  <c r="M620" i="1"/>
  <c r="L620" i="3"/>
  <c r="M619" i="1"/>
  <c r="L619" i="3"/>
  <c r="M618" i="1"/>
  <c r="L618" i="3"/>
  <c r="L617" i="3"/>
  <c r="M617" i="1"/>
  <c r="L616" i="3"/>
  <c r="M616" i="1"/>
  <c r="L615" i="3"/>
  <c r="M615" i="1"/>
  <c r="L614" i="3"/>
  <c r="M614" i="1"/>
  <c r="L613" i="3"/>
  <c r="M613" i="1"/>
  <c r="L612" i="3"/>
  <c r="M612" i="1"/>
  <c r="L611" i="3"/>
  <c r="M611" i="1"/>
  <c r="M610" i="1"/>
  <c r="L610" i="3"/>
  <c r="L609" i="3"/>
  <c r="M609" i="1"/>
  <c r="L608" i="3"/>
  <c r="M608" i="1"/>
  <c r="L607" i="3"/>
  <c r="M607" i="1"/>
  <c r="L606" i="3"/>
  <c r="M606" i="1"/>
  <c r="M605" i="1"/>
  <c r="L605" i="3"/>
  <c r="M604" i="1"/>
  <c r="L604" i="3"/>
  <c r="L603" i="3"/>
  <c r="M603" i="1"/>
  <c r="M602" i="1"/>
  <c r="L602" i="3"/>
  <c r="L601" i="3"/>
  <c r="M601" i="1"/>
  <c r="M600" i="1"/>
  <c r="L600" i="3"/>
  <c r="L599" i="3"/>
  <c r="M599" i="1"/>
  <c r="M598" i="1"/>
  <c r="L598" i="3"/>
  <c r="L597" i="3"/>
  <c r="M597" i="1"/>
  <c r="M596" i="1"/>
  <c r="L596" i="3"/>
  <c r="M595" i="1"/>
  <c r="L595" i="3"/>
  <c r="M594" i="1"/>
  <c r="L594" i="3"/>
  <c r="M593" i="1"/>
  <c r="L593" i="3"/>
  <c r="L592" i="3"/>
  <c r="M592" i="1"/>
  <c r="M591" i="1"/>
  <c r="L591" i="3"/>
  <c r="L590" i="3"/>
  <c r="M590" i="1"/>
  <c r="M589" i="1"/>
  <c r="L589" i="3"/>
  <c r="M588" i="1"/>
  <c r="L588" i="3"/>
  <c r="M587" i="1"/>
  <c r="L587" i="3"/>
  <c r="L586" i="3"/>
  <c r="M586" i="1"/>
  <c r="M585" i="1"/>
  <c r="L585" i="3"/>
  <c r="M584" i="1"/>
  <c r="L584" i="3"/>
  <c r="M583" i="1"/>
  <c r="L583" i="3"/>
  <c r="M582" i="1"/>
  <c r="L582" i="3"/>
  <c r="L581" i="3"/>
  <c r="M581" i="1"/>
  <c r="M580" i="1"/>
  <c r="L580" i="3"/>
  <c r="L579" i="3"/>
  <c r="M579" i="1"/>
  <c r="L578" i="3"/>
  <c r="M578" i="1"/>
  <c r="M577" i="1"/>
  <c r="L577" i="3"/>
  <c r="M576" i="1"/>
  <c r="L576" i="3"/>
  <c r="M575" i="1"/>
  <c r="L575" i="3"/>
  <c r="M574" i="1"/>
  <c r="L574" i="3"/>
  <c r="M573" i="1"/>
  <c r="L573" i="3"/>
  <c r="M572" i="1"/>
  <c r="L572" i="3"/>
  <c r="M571" i="1"/>
  <c r="L571" i="3"/>
  <c r="L570" i="3"/>
  <c r="M570" i="1"/>
  <c r="M569" i="1"/>
  <c r="L569" i="3"/>
  <c r="M568" i="1"/>
  <c r="L568" i="3"/>
  <c r="M567" i="1"/>
  <c r="L567" i="3"/>
  <c r="L566" i="3"/>
  <c r="M566" i="1"/>
  <c r="L565" i="3"/>
  <c r="M565" i="1"/>
  <c r="M564" i="1"/>
  <c r="L564" i="3"/>
  <c r="L563" i="3"/>
  <c r="M563" i="1"/>
  <c r="L562" i="3"/>
  <c r="M562" i="1"/>
  <c r="L561" i="3"/>
  <c r="M561" i="1"/>
  <c r="L560" i="3"/>
  <c r="M560" i="1"/>
  <c r="L559" i="3"/>
  <c r="M559" i="1"/>
  <c r="L558" i="3"/>
  <c r="M558" i="1"/>
  <c r="L557" i="3"/>
  <c r="M557" i="1"/>
  <c r="M556" i="1"/>
  <c r="L556" i="3"/>
  <c r="M555" i="1"/>
  <c r="L555" i="3"/>
  <c r="M554" i="1"/>
  <c r="L554" i="3"/>
  <c r="L553" i="3"/>
  <c r="M553" i="1"/>
  <c r="L552" i="3"/>
  <c r="M552" i="1"/>
  <c r="L551" i="3"/>
  <c r="M551" i="1"/>
  <c r="L550" i="3"/>
  <c r="M550" i="1"/>
  <c r="L549" i="3"/>
  <c r="M549" i="1"/>
  <c r="M548" i="1"/>
  <c r="L548" i="3"/>
  <c r="M547" i="1"/>
  <c r="L547" i="3"/>
  <c r="L546" i="3"/>
  <c r="M546" i="1"/>
  <c r="M545" i="1"/>
  <c r="L545" i="3"/>
  <c r="L544" i="3"/>
  <c r="M544" i="1"/>
  <c r="L543" i="3"/>
  <c r="M543" i="1"/>
  <c r="L542" i="3"/>
  <c r="M542" i="1"/>
  <c r="L541" i="3"/>
  <c r="M541" i="1"/>
  <c r="M540" i="1"/>
  <c r="L540" i="3"/>
  <c r="L539" i="3"/>
  <c r="M539" i="1"/>
  <c r="L538" i="3"/>
  <c r="M538" i="1"/>
  <c r="L537" i="3"/>
  <c r="M537" i="1"/>
  <c r="L536" i="3"/>
  <c r="M536" i="1"/>
  <c r="M535" i="1"/>
  <c r="L535" i="3"/>
  <c r="L534" i="3"/>
  <c r="M534" i="1"/>
  <c r="L533" i="3"/>
  <c r="M533" i="1"/>
  <c r="M532" i="1"/>
  <c r="L532" i="3"/>
  <c r="M531" i="1"/>
  <c r="L531" i="3"/>
  <c r="M530" i="1"/>
  <c r="L530" i="3"/>
  <c r="M529" i="1"/>
  <c r="L529" i="3"/>
  <c r="M528" i="1"/>
  <c r="L528" i="3"/>
  <c r="M527" i="1"/>
  <c r="L527" i="3"/>
  <c r="L526" i="3"/>
  <c r="M526" i="1"/>
  <c r="M525" i="1"/>
  <c r="L525" i="3"/>
  <c r="M524" i="1"/>
  <c r="L524" i="3"/>
  <c r="M523" i="1"/>
  <c r="L523" i="3"/>
  <c r="M522" i="1"/>
  <c r="L522" i="3"/>
  <c r="L521" i="3"/>
  <c r="M521" i="1"/>
  <c r="L520" i="3"/>
  <c r="M520" i="1"/>
  <c r="M519" i="1"/>
  <c r="L519" i="3"/>
  <c r="L518" i="3"/>
  <c r="M518" i="1"/>
  <c r="M517" i="1"/>
  <c r="L517" i="3"/>
  <c r="L516" i="3"/>
  <c r="M516" i="1"/>
  <c r="M515" i="1"/>
  <c r="L515" i="3"/>
  <c r="L514" i="3"/>
  <c r="M514" i="1"/>
  <c r="M513" i="1"/>
  <c r="L513" i="3"/>
  <c r="L512" i="3"/>
  <c r="M512" i="1"/>
  <c r="M511" i="1"/>
  <c r="L511" i="3"/>
  <c r="M510" i="1"/>
  <c r="L510" i="3"/>
  <c r="L509" i="3"/>
  <c r="M509" i="1"/>
  <c r="L508" i="3"/>
  <c r="M508" i="1"/>
  <c r="L507" i="3"/>
  <c r="M507" i="1"/>
  <c r="L506" i="3"/>
  <c r="M506" i="1"/>
  <c r="L505" i="3"/>
  <c r="M505" i="1"/>
  <c r="L504" i="3"/>
  <c r="M504" i="1"/>
  <c r="L503" i="3"/>
  <c r="M503" i="1"/>
  <c r="L502" i="3"/>
  <c r="M502" i="1"/>
  <c r="M501" i="1"/>
  <c r="L501" i="3"/>
  <c r="M500" i="1"/>
  <c r="L500" i="3"/>
  <c r="L499" i="3"/>
  <c r="M499" i="1"/>
  <c r="M498" i="1"/>
  <c r="L498" i="3"/>
  <c r="L497" i="3"/>
  <c r="M497" i="1"/>
  <c r="M496" i="1"/>
  <c r="L496" i="3"/>
  <c r="L495" i="3"/>
  <c r="M495" i="1"/>
  <c r="M494" i="1"/>
  <c r="L494" i="3"/>
  <c r="M493" i="1"/>
  <c r="L493" i="3"/>
  <c r="M492" i="1"/>
  <c r="L492" i="3"/>
  <c r="L491" i="3"/>
  <c r="M491" i="1"/>
  <c r="M490" i="1"/>
  <c r="L490" i="3"/>
  <c r="M489" i="1"/>
  <c r="L489" i="3"/>
  <c r="M488" i="1"/>
  <c r="L488" i="3"/>
  <c r="M487" i="1"/>
  <c r="L487" i="3"/>
  <c r="M486" i="1"/>
  <c r="L486" i="3"/>
  <c r="M485" i="1"/>
  <c r="L485" i="3"/>
  <c r="L484" i="3"/>
  <c r="M484" i="1"/>
  <c r="L483" i="3"/>
  <c r="M483" i="1"/>
  <c r="L482" i="3"/>
  <c r="M482" i="1"/>
  <c r="L481" i="3"/>
  <c r="M481" i="1"/>
  <c r="L480" i="3"/>
  <c r="M480" i="1"/>
  <c r="L479" i="3"/>
  <c r="M479" i="1"/>
  <c r="L478" i="3"/>
  <c r="M478" i="1"/>
  <c r="L477" i="3"/>
  <c r="M477" i="1"/>
  <c r="M476" i="1"/>
  <c r="L476" i="3"/>
  <c r="L475" i="3"/>
  <c r="M475" i="1"/>
  <c r="L474" i="3"/>
  <c r="M474" i="1"/>
  <c r="L473" i="3"/>
  <c r="M473" i="1"/>
  <c r="L472" i="3"/>
  <c r="M472" i="1"/>
  <c r="L471" i="3"/>
  <c r="M471" i="1"/>
  <c r="L470" i="3"/>
  <c r="M470" i="1"/>
  <c r="L469" i="3"/>
  <c r="M469" i="1"/>
  <c r="L468" i="3"/>
  <c r="M468" i="1"/>
  <c r="L467" i="3"/>
  <c r="M467" i="1"/>
  <c r="L466" i="3"/>
  <c r="M466" i="1"/>
  <c r="L465" i="3"/>
  <c r="M465" i="1"/>
  <c r="L464" i="3"/>
  <c r="M464" i="1"/>
  <c r="M463" i="1"/>
  <c r="L463" i="3"/>
  <c r="M462" i="1"/>
  <c r="L462" i="3"/>
  <c r="M461" i="1"/>
  <c r="L461" i="3"/>
  <c r="L460" i="3"/>
  <c r="M460" i="1"/>
  <c r="M459" i="1"/>
  <c r="L459" i="3"/>
  <c r="M458" i="1"/>
  <c r="L458" i="3"/>
  <c r="M457" i="1"/>
  <c r="L457" i="3"/>
  <c r="L456" i="3"/>
  <c r="M456" i="1"/>
  <c r="M455" i="1"/>
  <c r="L455" i="3"/>
  <c r="M454" i="1"/>
  <c r="L454" i="3"/>
  <c r="L453" i="3"/>
  <c r="M453" i="1"/>
  <c r="L452" i="3"/>
  <c r="M452" i="1"/>
  <c r="L451" i="3"/>
  <c r="M451" i="1"/>
  <c r="M450" i="1"/>
  <c r="L450" i="3"/>
  <c r="M449" i="1"/>
  <c r="L449" i="3"/>
  <c r="L448" i="3"/>
  <c r="M448" i="1"/>
  <c r="M447" i="1"/>
  <c r="L447" i="3"/>
  <c r="M446" i="1"/>
  <c r="L446" i="3"/>
  <c r="L445" i="3"/>
  <c r="M445" i="1"/>
  <c r="L444" i="3"/>
  <c r="M444" i="1"/>
  <c r="L443" i="3"/>
  <c r="M443" i="1"/>
  <c r="M441" i="1"/>
  <c r="L441" i="3"/>
  <c r="M440" i="1"/>
  <c r="L440" i="3"/>
  <c r="L439" i="3"/>
  <c r="M439" i="1"/>
  <c r="M438" i="1"/>
  <c r="L438" i="3"/>
  <c r="M437" i="1"/>
  <c r="L437" i="3"/>
  <c r="M436" i="1"/>
  <c r="L436" i="3"/>
  <c r="L435" i="3"/>
  <c r="M435" i="1"/>
  <c r="M434" i="1"/>
  <c r="L434" i="3"/>
  <c r="L433" i="3"/>
  <c r="M433" i="1"/>
  <c r="M432" i="1"/>
  <c r="L432" i="3"/>
  <c r="L431" i="3"/>
  <c r="M431" i="1"/>
  <c r="L430" i="3"/>
  <c r="M430" i="1"/>
  <c r="L429" i="3"/>
  <c r="M429" i="1"/>
  <c r="M428" i="1"/>
  <c r="L428" i="3"/>
  <c r="M427" i="1"/>
  <c r="L427" i="3"/>
  <c r="M426" i="1"/>
  <c r="L426" i="3"/>
  <c r="M425" i="1"/>
  <c r="L425" i="3"/>
  <c r="M424" i="1"/>
  <c r="L424" i="3"/>
  <c r="M423" i="1"/>
  <c r="L423" i="3"/>
  <c r="M422" i="1"/>
  <c r="L422" i="3"/>
  <c r="M421" i="1"/>
  <c r="L421" i="3"/>
  <c r="L420" i="3"/>
  <c r="M420" i="1"/>
  <c r="M419" i="1"/>
  <c r="L419" i="3"/>
  <c r="L418" i="3"/>
  <c r="M418" i="1"/>
  <c r="M417" i="1"/>
  <c r="L417" i="3"/>
  <c r="L416" i="3"/>
  <c r="M416" i="1"/>
  <c r="M415" i="1"/>
  <c r="L415" i="3"/>
  <c r="M414" i="1"/>
  <c r="L414" i="3"/>
  <c r="L413" i="3"/>
  <c r="M413" i="1"/>
  <c r="M412" i="1"/>
  <c r="L412" i="3"/>
  <c r="M411" i="1"/>
  <c r="L411" i="3"/>
  <c r="L410" i="3"/>
  <c r="M410" i="1"/>
  <c r="L409" i="3"/>
  <c r="M409" i="1"/>
  <c r="M408" i="1"/>
  <c r="L408" i="3"/>
  <c r="M407" i="1"/>
  <c r="L407" i="3"/>
  <c r="M406" i="1"/>
  <c r="L406" i="3"/>
  <c r="L405" i="3"/>
  <c r="M405" i="1"/>
  <c r="M404" i="1"/>
  <c r="L404" i="3"/>
  <c r="L403" i="3"/>
  <c r="M403" i="1"/>
  <c r="L402" i="3"/>
  <c r="M402" i="1"/>
  <c r="L401" i="3"/>
  <c r="M401" i="1"/>
  <c r="L400" i="3"/>
  <c r="M400" i="1"/>
  <c r="L399" i="3"/>
  <c r="M399" i="1"/>
  <c r="L398" i="3"/>
  <c r="M398" i="1"/>
  <c r="M397" i="1"/>
  <c r="L397" i="3"/>
  <c r="M396" i="1"/>
  <c r="L396" i="3"/>
  <c r="M395" i="1"/>
  <c r="L395" i="3"/>
  <c r="M394" i="1"/>
  <c r="L394" i="3"/>
  <c r="M393" i="1"/>
  <c r="L393" i="3"/>
  <c r="M392" i="1"/>
  <c r="L392" i="3"/>
  <c r="M391" i="1"/>
  <c r="L391" i="3"/>
  <c r="M390" i="1"/>
  <c r="L390" i="3"/>
  <c r="M389" i="1"/>
  <c r="L389" i="3"/>
  <c r="M388" i="1"/>
  <c r="L388" i="3"/>
  <c r="M387" i="1"/>
  <c r="L387" i="3"/>
  <c r="M386" i="1"/>
  <c r="L386" i="3"/>
  <c r="M385" i="1"/>
  <c r="L385" i="3"/>
  <c r="L384" i="3"/>
  <c r="M384" i="1"/>
  <c r="M383" i="1"/>
  <c r="L383" i="3"/>
  <c r="M382" i="1"/>
  <c r="L382" i="3"/>
  <c r="L381" i="3"/>
  <c r="M381" i="1"/>
  <c r="M380" i="1"/>
  <c r="L380" i="3"/>
  <c r="M379" i="1"/>
  <c r="L379" i="3"/>
  <c r="M378" i="1"/>
  <c r="L378" i="3"/>
  <c r="M377" i="1"/>
  <c r="L377" i="3"/>
  <c r="M376" i="1"/>
  <c r="L376" i="3"/>
  <c r="M375" i="1"/>
  <c r="L375" i="3"/>
  <c r="L374" i="3"/>
  <c r="M374" i="1"/>
  <c r="M373" i="1"/>
  <c r="L373" i="3"/>
  <c r="L372" i="3"/>
  <c r="M372" i="1"/>
  <c r="M371" i="1"/>
  <c r="L371" i="3"/>
  <c r="M370" i="1"/>
  <c r="L370" i="3"/>
  <c r="L369" i="3"/>
  <c r="M369" i="1"/>
  <c r="M368" i="1"/>
  <c r="L368" i="3"/>
  <c r="M367" i="1"/>
  <c r="L367" i="3"/>
  <c r="M366" i="1"/>
  <c r="L366" i="3"/>
  <c r="M365" i="1"/>
  <c r="L365" i="3"/>
  <c r="M364" i="1"/>
  <c r="L364" i="3"/>
  <c r="L363" i="3"/>
  <c r="M363" i="1"/>
  <c r="L362" i="3"/>
  <c r="M362" i="1"/>
  <c r="L361" i="3"/>
  <c r="M361" i="1"/>
  <c r="L360" i="3"/>
  <c r="M360" i="1"/>
  <c r="L359" i="3"/>
  <c r="M359" i="1"/>
  <c r="L358" i="3"/>
  <c r="M358" i="1"/>
  <c r="M357" i="1"/>
  <c r="L357" i="3"/>
  <c r="M356" i="1"/>
  <c r="L356" i="3"/>
  <c r="M355" i="1"/>
  <c r="L355" i="3"/>
  <c r="M354" i="1"/>
  <c r="L354" i="3"/>
  <c r="M353" i="1"/>
  <c r="L353" i="3"/>
  <c r="M352" i="1"/>
  <c r="L352" i="3"/>
  <c r="L351" i="3"/>
  <c r="M351" i="1"/>
  <c r="L350" i="3"/>
  <c r="M350" i="1"/>
  <c r="L349" i="3"/>
  <c r="M349" i="1"/>
  <c r="L348" i="3"/>
  <c r="M348" i="1"/>
  <c r="L347" i="3"/>
  <c r="M347" i="1"/>
  <c r="L346" i="3"/>
  <c r="M346" i="1"/>
  <c r="L345" i="3"/>
  <c r="M345" i="1"/>
  <c r="L344" i="3"/>
  <c r="M344" i="1"/>
  <c r="L343" i="3"/>
  <c r="M343" i="1"/>
  <c r="L342" i="3"/>
  <c r="M342" i="1"/>
  <c r="L341" i="3"/>
  <c r="M341" i="1"/>
  <c r="L340" i="3"/>
  <c r="M340" i="1"/>
  <c r="L339" i="3"/>
  <c r="M339" i="1"/>
  <c r="M338" i="1"/>
  <c r="L338" i="3"/>
  <c r="L337" i="3"/>
  <c r="M337" i="1"/>
  <c r="L336" i="3"/>
  <c r="M336" i="1"/>
  <c r="L335" i="3"/>
  <c r="M335" i="1"/>
  <c r="M334" i="1"/>
  <c r="L334" i="3"/>
  <c r="L333" i="3"/>
  <c r="M333" i="1"/>
  <c r="L332" i="3"/>
  <c r="M332" i="1"/>
  <c r="L331" i="3"/>
  <c r="M331" i="1"/>
  <c r="M330" i="1"/>
  <c r="L330" i="3"/>
  <c r="M329" i="1"/>
  <c r="L329" i="3"/>
  <c r="L328" i="3"/>
  <c r="M328" i="1"/>
  <c r="M327" i="1"/>
  <c r="L327" i="3"/>
  <c r="L326" i="3"/>
  <c r="M326" i="1"/>
  <c r="M325" i="1"/>
  <c r="L325" i="3"/>
  <c r="L324" i="3"/>
  <c r="M324" i="1"/>
  <c r="L323" i="3"/>
  <c r="M323" i="1"/>
  <c r="L322" i="3"/>
  <c r="M322" i="1"/>
  <c r="M321" i="1"/>
  <c r="L321" i="3"/>
  <c r="M320" i="1"/>
  <c r="L320" i="3"/>
  <c r="M319" i="1"/>
  <c r="L319" i="3"/>
  <c r="M318" i="1"/>
  <c r="L318" i="3"/>
  <c r="M317" i="1"/>
  <c r="L317" i="3"/>
  <c r="L316" i="3"/>
  <c r="M316" i="1"/>
  <c r="M315" i="1"/>
  <c r="L315" i="3"/>
  <c r="L314" i="3"/>
  <c r="M314" i="1"/>
  <c r="L313" i="3"/>
  <c r="M313" i="1"/>
  <c r="L312" i="3"/>
  <c r="M312" i="1"/>
  <c r="L311" i="3"/>
  <c r="M311" i="1"/>
  <c r="L310" i="3"/>
  <c r="M310" i="1"/>
  <c r="M309" i="1"/>
  <c r="L309" i="3"/>
  <c r="L308" i="3"/>
  <c r="M308" i="1"/>
  <c r="L307" i="3"/>
  <c r="M307" i="1"/>
  <c r="M306" i="1"/>
  <c r="L306" i="3"/>
  <c r="M305" i="1"/>
  <c r="L305" i="3"/>
  <c r="L304" i="3"/>
  <c r="M304" i="1"/>
  <c r="L303" i="3"/>
  <c r="M303" i="1"/>
  <c r="L302" i="3"/>
  <c r="M302" i="1"/>
  <c r="L301" i="3"/>
  <c r="M301" i="1"/>
  <c r="L300" i="3"/>
  <c r="M300" i="1"/>
  <c r="M299" i="1"/>
  <c r="L299" i="3"/>
  <c r="M298" i="1"/>
  <c r="L298" i="3"/>
  <c r="M297" i="1"/>
  <c r="L297" i="3"/>
  <c r="M296" i="1"/>
  <c r="L296" i="3"/>
  <c r="M295" i="1"/>
  <c r="L295" i="3"/>
  <c r="L294" i="3"/>
  <c r="M294" i="1"/>
  <c r="L293" i="3"/>
  <c r="M293" i="1"/>
  <c r="L292" i="3"/>
  <c r="M292" i="1"/>
  <c r="L291" i="3"/>
  <c r="M291" i="1"/>
  <c r="L290" i="3"/>
  <c r="M290" i="1"/>
  <c r="L289" i="3"/>
  <c r="M289" i="1"/>
  <c r="L288" i="3"/>
  <c r="M288" i="1"/>
  <c r="L287" i="3"/>
  <c r="M287" i="1"/>
  <c r="L286" i="3"/>
  <c r="M286" i="1"/>
  <c r="L285" i="3"/>
  <c r="M285" i="1"/>
  <c r="L284" i="3"/>
  <c r="M284" i="1"/>
  <c r="L283" i="3"/>
  <c r="M283" i="1"/>
  <c r="L282" i="3"/>
  <c r="M282" i="1"/>
  <c r="L281" i="3"/>
  <c r="M281" i="1"/>
  <c r="L280" i="3"/>
  <c r="M280" i="1"/>
  <c r="L279" i="3"/>
  <c r="M279" i="1"/>
  <c r="L278" i="3"/>
  <c r="M278" i="1"/>
  <c r="L277" i="3"/>
  <c r="M277" i="1"/>
  <c r="L276" i="3"/>
  <c r="M276" i="1"/>
  <c r="L275" i="3"/>
  <c r="M275" i="1"/>
  <c r="M274" i="1"/>
  <c r="L274" i="3"/>
  <c r="M273" i="1"/>
  <c r="L273" i="3"/>
  <c r="L272" i="3"/>
  <c r="M272" i="1"/>
  <c r="L271" i="3"/>
  <c r="M271" i="1"/>
  <c r="M270" i="1"/>
  <c r="L270" i="3"/>
  <c r="M269" i="1"/>
  <c r="L269" i="3"/>
  <c r="M268" i="1"/>
  <c r="L268" i="3"/>
  <c r="M267" i="1"/>
  <c r="L267" i="3"/>
  <c r="M266" i="1"/>
  <c r="L266" i="3"/>
  <c r="M265" i="1"/>
  <c r="L265" i="3"/>
  <c r="L264" i="3"/>
  <c r="M264" i="1"/>
  <c r="L263" i="3"/>
  <c r="M263" i="1"/>
  <c r="M262" i="1"/>
  <c r="L262" i="3"/>
  <c r="M261" i="1"/>
  <c r="L261" i="3"/>
  <c r="L260" i="3"/>
  <c r="M260" i="1"/>
  <c r="L259" i="3"/>
  <c r="M259" i="1"/>
  <c r="L258" i="3"/>
  <c r="M258" i="1"/>
  <c r="L257" i="3"/>
  <c r="M257" i="1"/>
  <c r="L256" i="3"/>
  <c r="M256" i="1"/>
  <c r="M255" i="1"/>
  <c r="L255" i="3"/>
  <c r="M254" i="1"/>
  <c r="L254" i="3"/>
  <c r="M253" i="1"/>
  <c r="L253" i="3"/>
  <c r="M252" i="1"/>
  <c r="L252" i="3"/>
  <c r="M251" i="1"/>
  <c r="L251" i="3"/>
  <c r="M250" i="1"/>
  <c r="L250" i="3"/>
  <c r="M249" i="1"/>
  <c r="L249" i="3"/>
  <c r="M248" i="1"/>
  <c r="L248" i="3"/>
  <c r="L247" i="3"/>
  <c r="M247" i="1"/>
  <c r="M246" i="1"/>
  <c r="L246" i="3"/>
  <c r="M245" i="1"/>
  <c r="L245" i="3"/>
  <c r="M244" i="1"/>
  <c r="L244" i="3"/>
  <c r="L243" i="3"/>
  <c r="M243" i="1"/>
  <c r="M242" i="1"/>
  <c r="L242" i="3"/>
  <c r="L241" i="3"/>
  <c r="M241" i="1"/>
  <c r="M240" i="1"/>
  <c r="L240" i="3"/>
  <c r="M239" i="1"/>
  <c r="L239" i="3"/>
  <c r="M238" i="1"/>
  <c r="L238" i="3"/>
  <c r="L237" i="3"/>
  <c r="M237" i="1"/>
  <c r="L236" i="3"/>
  <c r="M236" i="1"/>
  <c r="L235" i="3"/>
  <c r="M235" i="1"/>
  <c r="L234" i="3"/>
  <c r="M234" i="1"/>
  <c r="M233" i="1"/>
  <c r="L233" i="3"/>
  <c r="M232" i="1"/>
  <c r="L232" i="3"/>
  <c r="M231" i="1"/>
  <c r="L231" i="3"/>
  <c r="M230" i="1"/>
  <c r="L230" i="3"/>
  <c r="M229" i="1"/>
  <c r="L229" i="3"/>
  <c r="M228" i="1"/>
  <c r="L228" i="3"/>
  <c r="M227" i="1"/>
  <c r="L227" i="3"/>
  <c r="M226" i="1"/>
  <c r="L226" i="3"/>
  <c r="M225" i="1"/>
  <c r="L225" i="3"/>
  <c r="M224" i="1"/>
  <c r="L224" i="3"/>
  <c r="M223" i="1"/>
  <c r="L223" i="3"/>
  <c r="L222" i="3"/>
  <c r="M222" i="1"/>
  <c r="L221" i="3"/>
  <c r="M221" i="1"/>
  <c r="L220" i="3"/>
  <c r="M220" i="1"/>
  <c r="L219" i="3"/>
  <c r="M219" i="1"/>
  <c r="L218" i="3"/>
  <c r="M218" i="1"/>
  <c r="L217" i="3"/>
  <c r="M217" i="1"/>
  <c r="L216" i="3"/>
  <c r="M216" i="1"/>
  <c r="L215" i="3"/>
  <c r="M215" i="1"/>
  <c r="L214" i="3"/>
  <c r="M214" i="1"/>
  <c r="L213" i="3"/>
  <c r="M213" i="1"/>
  <c r="L212" i="3"/>
  <c r="M212" i="1"/>
  <c r="L211" i="3"/>
  <c r="M211" i="1"/>
  <c r="L210" i="3"/>
  <c r="M210" i="1"/>
  <c r="L209" i="3"/>
  <c r="M209" i="1"/>
  <c r="L208" i="3"/>
  <c r="M208" i="1"/>
  <c r="M207" i="1"/>
  <c r="L207" i="3"/>
  <c r="L206" i="3"/>
  <c r="M206" i="1"/>
  <c r="L205" i="3"/>
  <c r="M205" i="1"/>
  <c r="L204" i="3"/>
  <c r="M204" i="1"/>
  <c r="L203" i="3"/>
  <c r="M203" i="1"/>
  <c r="L202" i="3"/>
  <c r="M202" i="1"/>
  <c r="L201" i="3"/>
  <c r="M201" i="1"/>
  <c r="L200" i="3"/>
  <c r="M200" i="1"/>
  <c r="L199" i="3"/>
  <c r="M199" i="1"/>
  <c r="L198" i="3"/>
  <c r="M198" i="1"/>
  <c r="L197" i="3"/>
  <c r="M197" i="1"/>
  <c r="L196" i="3"/>
  <c r="M196" i="1"/>
  <c r="L195" i="3"/>
  <c r="M195" i="1"/>
  <c r="L194" i="3"/>
  <c r="M194" i="1"/>
  <c r="M193" i="1"/>
  <c r="L193" i="3"/>
  <c r="M192" i="1"/>
  <c r="L192" i="3"/>
  <c r="L191" i="3"/>
  <c r="M191" i="1"/>
  <c r="M190" i="1"/>
  <c r="L190" i="3"/>
  <c r="M189" i="1"/>
  <c r="L189" i="3"/>
  <c r="M188" i="1"/>
  <c r="L188" i="3"/>
  <c r="M187" i="1"/>
  <c r="L187" i="3"/>
  <c r="M186" i="1"/>
  <c r="L186" i="3"/>
  <c r="L185" i="3"/>
  <c r="M185" i="1"/>
  <c r="M184" i="1"/>
  <c r="L184" i="3"/>
  <c r="L183" i="3"/>
  <c r="M183" i="1"/>
  <c r="L182" i="3"/>
  <c r="M182" i="1"/>
  <c r="L181" i="3"/>
  <c r="M181" i="1"/>
  <c r="L180" i="3"/>
  <c r="M180" i="1"/>
  <c r="L179" i="3"/>
  <c r="M179" i="1"/>
  <c r="L178" i="3"/>
  <c r="M178" i="1"/>
  <c r="M177" i="1"/>
  <c r="L177" i="3"/>
  <c r="M176" i="1"/>
  <c r="L176" i="3"/>
  <c r="L175" i="3"/>
  <c r="M175" i="1"/>
  <c r="L174" i="3"/>
  <c r="M174" i="1"/>
  <c r="M173" i="1"/>
  <c r="L173" i="3"/>
  <c r="M172" i="1"/>
  <c r="L172" i="3"/>
  <c r="M171" i="1"/>
  <c r="L171" i="3"/>
  <c r="L170" i="3"/>
  <c r="M170" i="1"/>
  <c r="M169" i="1"/>
  <c r="L169" i="3"/>
  <c r="M168" i="1"/>
  <c r="L168" i="3"/>
  <c r="L167" i="3"/>
  <c r="M167" i="1"/>
  <c r="M166" i="1"/>
  <c r="L166" i="3"/>
  <c r="M165" i="1"/>
  <c r="L165" i="3"/>
  <c r="M164" i="1"/>
  <c r="L164" i="3"/>
  <c r="M163" i="1"/>
  <c r="L163" i="3"/>
  <c r="M162" i="1"/>
  <c r="L162" i="3"/>
  <c r="M161" i="1"/>
  <c r="L161" i="3"/>
  <c r="M160" i="1"/>
  <c r="L160" i="3"/>
  <c r="M159" i="1"/>
  <c r="L159" i="3"/>
  <c r="L158" i="3"/>
  <c r="M158" i="1"/>
  <c r="L157" i="3"/>
  <c r="M157" i="1"/>
  <c r="L156" i="3"/>
  <c r="M156" i="1"/>
  <c r="L155" i="3"/>
  <c r="M155" i="1"/>
  <c r="M154" i="1"/>
  <c r="L154" i="3"/>
  <c r="L153" i="3"/>
  <c r="M153" i="1"/>
  <c r="L152" i="3"/>
  <c r="M152" i="1"/>
  <c r="L151" i="3"/>
  <c r="M151" i="1"/>
  <c r="L150" i="3"/>
  <c r="M150" i="1"/>
  <c r="M149" i="1"/>
  <c r="L149" i="3"/>
  <c r="L148" i="3"/>
  <c r="M148" i="1"/>
  <c r="L147" i="3"/>
  <c r="M147" i="1"/>
  <c r="L146" i="3"/>
  <c r="M146" i="1"/>
  <c r="M145" i="1"/>
  <c r="L145" i="3"/>
  <c r="L144" i="3"/>
  <c r="M144" i="1"/>
  <c r="M143" i="1"/>
  <c r="L143" i="3"/>
  <c r="M142" i="1"/>
  <c r="L142" i="3"/>
  <c r="M141" i="1"/>
  <c r="L141" i="3"/>
  <c r="M140" i="1"/>
  <c r="L140" i="3"/>
  <c r="L139" i="3"/>
  <c r="M139" i="1"/>
  <c r="L138" i="3"/>
  <c r="M138" i="1"/>
  <c r="M137" i="1"/>
  <c r="L137" i="3"/>
  <c r="M136" i="1"/>
  <c r="L136" i="3"/>
  <c r="M135" i="1"/>
  <c r="L135" i="3"/>
  <c r="M134" i="1"/>
  <c r="L134" i="3"/>
  <c r="L133" i="3"/>
  <c r="M133" i="1"/>
  <c r="M132" i="1"/>
  <c r="L132" i="3"/>
  <c r="M131" i="1"/>
  <c r="L131" i="3"/>
  <c r="M130" i="1"/>
  <c r="L130" i="3"/>
  <c r="M129" i="1"/>
  <c r="L129" i="3"/>
  <c r="M128" i="1"/>
  <c r="L128" i="3"/>
  <c r="L127" i="3"/>
  <c r="M127" i="1"/>
  <c r="L126" i="3"/>
  <c r="M126" i="1"/>
  <c r="L125" i="3"/>
  <c r="M125" i="1"/>
  <c r="L124" i="3"/>
  <c r="M124" i="1"/>
  <c r="M123" i="1"/>
  <c r="L123" i="3"/>
  <c r="M122" i="1"/>
  <c r="L122" i="3"/>
  <c r="L121" i="3"/>
  <c r="M121" i="1"/>
  <c r="M120" i="1"/>
  <c r="L120" i="3"/>
  <c r="M119" i="1"/>
  <c r="L119" i="3"/>
  <c r="M118" i="1"/>
  <c r="L118" i="3"/>
  <c r="L117" i="3"/>
  <c r="M117" i="1"/>
  <c r="M116" i="1"/>
  <c r="L116" i="3"/>
  <c r="L115" i="3"/>
  <c r="M115" i="1"/>
  <c r="M114" i="1"/>
  <c r="L114" i="3"/>
  <c r="M113" i="1"/>
  <c r="L113" i="3"/>
  <c r="L112" i="3"/>
  <c r="M112" i="1"/>
  <c r="L111" i="3"/>
  <c r="M111" i="1"/>
  <c r="L110" i="3"/>
  <c r="M110" i="1"/>
  <c r="L109" i="3"/>
  <c r="M109" i="1"/>
  <c r="L108" i="3"/>
  <c r="M108" i="1"/>
  <c r="L107" i="3"/>
  <c r="M107" i="1"/>
  <c r="M106" i="1"/>
  <c r="L106" i="3"/>
  <c r="M105" i="1"/>
  <c r="L105" i="3"/>
  <c r="M104" i="1"/>
  <c r="L104" i="3"/>
  <c r="M103" i="1"/>
  <c r="L103" i="3"/>
  <c r="L102" i="3"/>
  <c r="M102" i="1"/>
  <c r="L101" i="3"/>
  <c r="M101" i="1"/>
  <c r="L100" i="3"/>
  <c r="M100" i="1"/>
  <c r="L99" i="3"/>
  <c r="M99" i="1"/>
  <c r="M98" i="1"/>
  <c r="L98" i="3"/>
  <c r="M97" i="1"/>
  <c r="L97" i="3"/>
  <c r="L96" i="3"/>
  <c r="M96" i="1"/>
  <c r="L95" i="3"/>
  <c r="M95" i="1"/>
  <c r="M94" i="1"/>
  <c r="L94" i="3"/>
  <c r="L93" i="3"/>
  <c r="M93" i="1"/>
  <c r="L92" i="3"/>
  <c r="M92" i="1"/>
  <c r="L91" i="3"/>
  <c r="M91" i="1"/>
  <c r="L90" i="3"/>
  <c r="M90" i="1"/>
  <c r="M89" i="1"/>
  <c r="L89" i="3"/>
  <c r="M88" i="1"/>
  <c r="L88" i="3"/>
  <c r="M87" i="1"/>
  <c r="L87" i="3"/>
  <c r="M86" i="1"/>
  <c r="L86" i="3"/>
  <c r="M85" i="1"/>
  <c r="L85" i="3"/>
  <c r="M84" i="1"/>
  <c r="L84" i="3"/>
  <c r="M83" i="1"/>
  <c r="L83" i="3"/>
  <c r="M82" i="1"/>
  <c r="L82" i="3"/>
  <c r="M81" i="1"/>
  <c r="L81" i="3"/>
  <c r="L80" i="3"/>
  <c r="M80" i="1"/>
  <c r="M79" i="1"/>
  <c r="L79" i="3"/>
  <c r="M78" i="1"/>
  <c r="L78" i="3"/>
  <c r="L77" i="3"/>
  <c r="M77" i="1"/>
  <c r="L76" i="3"/>
  <c r="M76" i="1"/>
  <c r="M75" i="1"/>
  <c r="L75" i="3"/>
  <c r="L74" i="3"/>
  <c r="M74" i="1"/>
  <c r="L73" i="3"/>
  <c r="M73" i="1"/>
  <c r="L72" i="3"/>
  <c r="M72" i="1"/>
  <c r="L71" i="3"/>
  <c r="M71" i="1"/>
  <c r="M70" i="1"/>
  <c r="L70" i="3"/>
  <c r="M69" i="1"/>
  <c r="L69" i="3"/>
  <c r="L68" i="3"/>
  <c r="M68" i="1"/>
  <c r="L67" i="3"/>
  <c r="M67" i="1"/>
  <c r="M66" i="1"/>
  <c r="L66" i="3"/>
  <c r="M65" i="1"/>
  <c r="L65" i="3"/>
  <c r="L64" i="3"/>
  <c r="M64" i="1"/>
  <c r="L63" i="3"/>
  <c r="M63" i="1"/>
  <c r="M62" i="1"/>
  <c r="L62" i="3"/>
  <c r="L61" i="3"/>
  <c r="M61" i="1"/>
  <c r="M60" i="1"/>
  <c r="L60" i="3"/>
  <c r="M59" i="1"/>
  <c r="L59" i="3"/>
  <c r="M58" i="1"/>
  <c r="L58" i="3"/>
  <c r="M57" i="1"/>
  <c r="L57" i="3"/>
  <c r="M56" i="1"/>
  <c r="L56" i="3"/>
  <c r="M55" i="1"/>
  <c r="L55" i="3"/>
  <c r="M54" i="1"/>
  <c r="L54" i="3"/>
  <c r="M53" i="1"/>
  <c r="L53" i="3"/>
  <c r="L52" i="3"/>
  <c r="M52" i="1"/>
  <c r="L51" i="3"/>
  <c r="M51" i="1"/>
  <c r="L50" i="3"/>
  <c r="M50" i="1"/>
  <c r="L49" i="3"/>
  <c r="M49" i="1"/>
  <c r="L48" i="3"/>
  <c r="M48" i="1"/>
  <c r="L47" i="3"/>
  <c r="M47" i="1"/>
  <c r="L46" i="3"/>
  <c r="M46" i="1"/>
  <c r="L45" i="3"/>
  <c r="M45" i="1"/>
  <c r="M44" i="1"/>
  <c r="L44" i="3"/>
  <c r="M43" i="1"/>
  <c r="L43" i="3"/>
  <c r="L42" i="3"/>
  <c r="M42" i="1"/>
  <c r="L41" i="3"/>
  <c r="M41" i="1"/>
  <c r="L40" i="3"/>
  <c r="M40" i="1"/>
  <c r="L39" i="3"/>
  <c r="M39" i="1"/>
  <c r="L38" i="3"/>
  <c r="M38" i="1"/>
  <c r="L37" i="3"/>
  <c r="M37" i="1"/>
  <c r="L36" i="3"/>
  <c r="M36" i="1"/>
  <c r="L35" i="3"/>
  <c r="M35" i="1"/>
  <c r="L34" i="3"/>
  <c r="M34" i="1"/>
  <c r="M33" i="1"/>
  <c r="L33" i="3"/>
  <c r="M32" i="1"/>
  <c r="L32" i="3"/>
  <c r="L31" i="3"/>
  <c r="M31" i="1"/>
  <c r="L30" i="3"/>
  <c r="M30" i="1"/>
  <c r="L29" i="3"/>
  <c r="M29" i="1"/>
  <c r="L28" i="3"/>
  <c r="M28" i="1"/>
  <c r="L27" i="3"/>
  <c r="M27" i="1"/>
  <c r="M26" i="1"/>
  <c r="L26" i="3"/>
  <c r="L25" i="3"/>
  <c r="M25" i="1"/>
  <c r="L24" i="3"/>
  <c r="M24" i="1"/>
  <c r="L23" i="3"/>
  <c r="M23" i="1"/>
  <c r="L22" i="3"/>
  <c r="M22" i="1"/>
  <c r="L21" i="3"/>
  <c r="M21" i="1"/>
  <c r="L20" i="3"/>
  <c r="M20" i="1"/>
  <c r="L19" i="3"/>
  <c r="M19" i="1"/>
  <c r="L18" i="3"/>
  <c r="M18" i="1"/>
  <c r="L17" i="3"/>
  <c r="M17" i="1"/>
  <c r="L16" i="3"/>
  <c r="M16" i="1"/>
  <c r="L15" i="3"/>
  <c r="M15" i="1"/>
  <c r="M14" i="1"/>
  <c r="L14" i="3"/>
  <c r="L13" i="3"/>
  <c r="M13" i="1"/>
  <c r="M12" i="1"/>
  <c r="L12" i="3"/>
  <c r="L11" i="3"/>
  <c r="M11" i="1"/>
  <c r="M10" i="1"/>
  <c r="L10" i="3"/>
  <c r="L9" i="3"/>
  <c r="M9" i="1"/>
  <c r="M8" i="1"/>
  <c r="L8" i="3"/>
  <c r="M7" i="1"/>
  <c r="L7" i="3"/>
  <c r="M6" i="1"/>
  <c r="L6" i="3"/>
  <c r="M5" i="1"/>
  <c r="L5" i="3"/>
  <c r="M4" i="1"/>
  <c r="L4" i="3"/>
  <c r="M3" i="1"/>
  <c r="L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5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ID#AAAA66ms1is
    (2023-10-11 18:17:45)
Bindweed spp
	-Audrey Tamayo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nfKuo+BJlfALrOiNRHrC88zLIG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7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ID#AAABFRl7zfU
Thanh Le    (2024-02-07 17:12:19)
all non-native grass = NNG</t>
        </r>
      </text>
    </comment>
    <comment ref="K216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ID#AAABFRl7zfI
Thanh Le    (2024-02-07 17:03:27)
If you see, STIDIE, change to STEDIE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UcgbpQWvcF0i6u37xKarXaECYw=="/>
    </ext>
  </extLst>
</comments>
</file>

<file path=xl/sharedStrings.xml><?xml version="1.0" encoding="utf-8"?>
<sst xmlns="http://schemas.openxmlformats.org/spreadsheetml/2006/main" count="14088" uniqueCount="2707">
  <si>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</si>
  <si>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</si>
  <si>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</si>
  <si>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</si>
  <si>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</si>
  <si>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</si>
  <si>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</si>
  <si>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</si>
  <si>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</si>
  <si>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</si>
  <si>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</si>
  <si>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</si>
  <si>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</si>
  <si>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</si>
  <si>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</si>
  <si>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</si>
  <si>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</si>
  <si>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</si>
  <si>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</si>
  <si>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</si>
  <si>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</si>
  <si>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</si>
  <si>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</si>
  <si>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</si>
  <si>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MG, TL</t>
  </si>
  <si>
    <t>GB</t>
  </si>
  <si>
    <t>SS</t>
  </si>
  <si>
    <t>L</t>
  </si>
  <si>
    <t>STEDIE</t>
  </si>
  <si>
    <t>OPULIT</t>
  </si>
  <si>
    <t>NNG</t>
  </si>
  <si>
    <t>NNG - non-native grass</t>
  </si>
  <si>
    <t>R</t>
  </si>
  <si>
    <t>CYLPRO</t>
  </si>
  <si>
    <t>CENMEL</t>
  </si>
  <si>
    <t>B</t>
  </si>
  <si>
    <t>SU</t>
  </si>
  <si>
    <t>EUPFEN</t>
  </si>
  <si>
    <t>* TL took photo</t>
  </si>
  <si>
    <t>NNG = non-native grass</t>
  </si>
  <si>
    <t>EUPMAC</t>
  </si>
  <si>
    <t>* Euphorbia maculata</t>
  </si>
  <si>
    <t>MALLAU</t>
  </si>
  <si>
    <t>CROSET</t>
  </si>
  <si>
    <t>LAECOU</t>
  </si>
  <si>
    <t>* unk Euphorb</t>
  </si>
  <si>
    <t>LS</t>
  </si>
  <si>
    <t>ANAARV</t>
  </si>
  <si>
    <t>DEIFAS</t>
  </si>
  <si>
    <t>TH</t>
  </si>
  <si>
    <t>SYLPRO</t>
  </si>
  <si>
    <t>LU</t>
  </si>
  <si>
    <t>EUPMAD</t>
  </si>
  <si>
    <t>JC, HH</t>
  </si>
  <si>
    <t>EROCIC</t>
  </si>
  <si>
    <t>BRANIG</t>
  </si>
  <si>
    <t>ERIFAS</t>
  </si>
  <si>
    <t>BACPIL</t>
  </si>
  <si>
    <t>S</t>
  </si>
  <si>
    <t>CUCURBITA</t>
  </si>
  <si>
    <t>don't know what code is for this</t>
  </si>
  <si>
    <t>PSECAL</t>
  </si>
  <si>
    <t>MP, TL, MG</t>
  </si>
  <si>
    <t>CU</t>
  </si>
  <si>
    <t>CONARV</t>
  </si>
  <si>
    <t>could not read</t>
  </si>
  <si>
    <t>STIPUL</t>
  </si>
  <si>
    <t>C</t>
  </si>
  <si>
    <t>VB</t>
  </si>
  <si>
    <t>BHASPD</t>
  </si>
  <si>
    <t>MP, TL, HH</t>
  </si>
  <si>
    <t>l</t>
  </si>
  <si>
    <t>MP, TL</t>
  </si>
  <si>
    <t>EROMOS</t>
  </si>
  <si>
    <t>SONOLE</t>
  </si>
  <si>
    <t xml:space="preserve">TL took photo </t>
  </si>
  <si>
    <t>non native grass</t>
  </si>
  <si>
    <t>euphorbia masculata?</t>
  </si>
  <si>
    <t>unk euphono</t>
  </si>
  <si>
    <t>CLYPRO</t>
  </si>
  <si>
    <t>AMAALB</t>
  </si>
  <si>
    <t>Bare ground</t>
  </si>
  <si>
    <t>Cryptobiotic crust</t>
  </si>
  <si>
    <t>CALMAC</t>
  </si>
  <si>
    <t>Calystegia macrostegia</t>
  </si>
  <si>
    <t>Cylindropuntia prolifera</t>
  </si>
  <si>
    <t>Eriogonum fasciculatum</t>
  </si>
  <si>
    <t>F</t>
  </si>
  <si>
    <t>Fine woody debris</t>
  </si>
  <si>
    <t>Litter</t>
  </si>
  <si>
    <t>Laennecia coulteri</t>
  </si>
  <si>
    <t>M</t>
  </si>
  <si>
    <t>Moss</t>
  </si>
  <si>
    <t>Opuntia littoralis</t>
  </si>
  <si>
    <t>Pseudognaphalium californicum</t>
  </si>
  <si>
    <t>Rock</t>
  </si>
  <si>
    <t>Stem</t>
  </si>
  <si>
    <t>Stephanomeria diegensis</t>
  </si>
  <si>
    <t>Thatch</t>
  </si>
  <si>
    <t>W</t>
  </si>
  <si>
    <t>Coarse woody debris</t>
  </si>
  <si>
    <t>Species Code (A-Z)</t>
  </si>
  <si>
    <t>Full Scientific Name (Genus species)</t>
  </si>
  <si>
    <t>Native/Non-Native</t>
  </si>
  <si>
    <t>Common Name</t>
  </si>
  <si>
    <t>other scientific names</t>
  </si>
  <si>
    <t>Plant Family</t>
  </si>
  <si>
    <t>.</t>
  </si>
  <si>
    <t>ACHMIL</t>
  </si>
  <si>
    <t>Achillea millefolium</t>
  </si>
  <si>
    <t>Native</t>
  </si>
  <si>
    <t>Yarrow</t>
  </si>
  <si>
    <t>Asteraceae</t>
  </si>
  <si>
    <t>ACMAME</t>
  </si>
  <si>
    <t>Acmispon americanus</t>
  </si>
  <si>
    <t>American bird's foot trefoil</t>
  </si>
  <si>
    <t>Lotus purshianus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</si>
  <si>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</si>
  <si>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</si>
  <si>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</si>
  <si>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</si>
  <si>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</si>
  <si>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</si>
  <si>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</si>
  <si>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Coastal Lotus</t>
  </si>
  <si>
    <t>Lotus salsuginosus</t>
  </si>
  <si>
    <t>ACMMIC</t>
  </si>
  <si>
    <t>Acmicspon micranthus</t>
  </si>
  <si>
    <t>Small flowered lotus, grab lotus</t>
  </si>
  <si>
    <t>Lotus hamatus</t>
  </si>
  <si>
    <t>ACMPRO</t>
  </si>
  <si>
    <t>Acmispon prostratus</t>
  </si>
  <si>
    <t>prostrate lotus</t>
  </si>
  <si>
    <t>ACMSPP</t>
  </si>
  <si>
    <t>Acmispon species</t>
  </si>
  <si>
    <t>bird's foot trefoil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</si>
  <si>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</si>
  <si>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</si>
  <si>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</si>
  <si>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</si>
  <si>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</si>
  <si>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</si>
  <si>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</si>
  <si>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</si>
  <si>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</si>
  <si>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</si>
  <si>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</si>
  <si>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</si>
  <si>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</si>
  <si>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</si>
  <si>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</si>
  <si>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</si>
  <si>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</si>
  <si>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</si>
  <si>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</si>
  <si>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</si>
  <si>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</si>
  <si>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</si>
  <si>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</si>
  <si>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</si>
  <si>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</si>
  <si>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</si>
  <si>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</si>
  <si>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</si>
  <si>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</si>
  <si>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</si>
  <si>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</si>
  <si>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</si>
  <si>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ALLPRA</t>
  </si>
  <si>
    <t>Allium praecox</t>
  </si>
  <si>
    <t>ALLSPP</t>
  </si>
  <si>
    <t>Allium species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</si>
  <si>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</si>
  <si>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</si>
  <si>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</si>
  <si>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</si>
  <si>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</si>
  <si>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</si>
  <si>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</si>
  <si>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</si>
  <si>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</si>
  <si>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</si>
  <si>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</si>
  <si>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</si>
  <si>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</si>
  <si>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</si>
  <si>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</si>
  <si>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</si>
  <si>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</si>
  <si>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</si>
  <si>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AMSINT</t>
  </si>
  <si>
    <t>Amsinckia intermedia</t>
  </si>
  <si>
    <t>common fiddleneck</t>
  </si>
  <si>
    <t>Boraginaceae</t>
  </si>
  <si>
    <t>AMSMEN</t>
  </si>
  <si>
    <t>Amsinckia menziesii</t>
  </si>
  <si>
    <t>fiddleneck</t>
  </si>
  <si>
    <t>AMSRET</t>
  </si>
  <si>
    <t>Amsinckia retrorsa</t>
  </si>
  <si>
    <t>Gray Fiddleneck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</si>
  <si>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</si>
  <si>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</si>
  <si>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</si>
  <si>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</si>
  <si>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</si>
  <si>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</si>
  <si>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</si>
  <si>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</si>
  <si>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</si>
  <si>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</si>
  <si>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</si>
  <si>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</si>
  <si>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</si>
  <si>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</si>
  <si>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</si>
  <si>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</si>
  <si>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</si>
  <si>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</si>
  <si>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</si>
  <si>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</si>
  <si>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</si>
  <si>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</si>
  <si>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</si>
  <si>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</si>
  <si>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</si>
  <si>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</si>
  <si>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</si>
  <si>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</si>
  <si>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</si>
  <si>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</si>
  <si>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</si>
  <si>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</si>
  <si>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</si>
  <si>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</si>
  <si>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</si>
  <si>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</si>
  <si>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</si>
  <si>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</si>
  <si>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</si>
  <si>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</si>
  <si>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</si>
  <si>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ARTCAL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</si>
  <si>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</si>
  <si>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</si>
  <si>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</si>
  <si>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</si>
  <si>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</si>
  <si>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</si>
  <si>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</si>
  <si>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</si>
  <si>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</si>
  <si>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</si>
  <si>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</si>
  <si>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</si>
  <si>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</si>
  <si>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</si>
  <si>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</si>
  <si>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</si>
  <si>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</si>
  <si>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</si>
  <si>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</si>
  <si>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</si>
  <si>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</si>
  <si>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</si>
  <si>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</si>
  <si>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</si>
  <si>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</si>
  <si>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</si>
  <si>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</si>
  <si>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</si>
  <si>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</si>
  <si>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</si>
  <si>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</si>
  <si>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</si>
  <si>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</si>
  <si>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</si>
  <si>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</si>
  <si>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</si>
  <si>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</si>
  <si>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</si>
  <si>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</si>
  <si>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</si>
  <si>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</si>
  <si>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</si>
  <si>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</si>
  <si>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</si>
  <si>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</si>
  <si>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</si>
  <si>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AVEFAT</t>
  </si>
  <si>
    <t>Avena fatua</t>
  </si>
  <si>
    <t>AVESPP</t>
  </si>
  <si>
    <t>Avena species</t>
  </si>
  <si>
    <t>Avena fatua, Avena Barbata</t>
  </si>
  <si>
    <t>Bareground</t>
  </si>
  <si>
    <t>Ground Cover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</si>
  <si>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</si>
  <si>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</si>
  <si>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</si>
  <si>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</si>
  <si>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</si>
  <si>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</si>
  <si>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</si>
  <si>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</si>
  <si>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</si>
  <si>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</si>
  <si>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</si>
  <si>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</si>
  <si>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</si>
  <si>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</si>
  <si>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</si>
  <si>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</si>
  <si>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</si>
  <si>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</si>
  <si>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</si>
  <si>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</si>
  <si>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</si>
  <si>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</si>
  <si>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</si>
  <si>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</si>
  <si>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</si>
  <si>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BRADIS</t>
  </si>
  <si>
    <t>Brachypodium distachyon</t>
  </si>
  <si>
    <t>false brome</t>
  </si>
  <si>
    <t>BRAGEN</t>
  </si>
  <si>
    <t>Hirschfeldia incana</t>
  </si>
  <si>
    <t>Summer mustard, short pod mustard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</si>
  <si>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</si>
  <si>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</si>
  <si>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</si>
  <si>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</si>
  <si>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</si>
  <si>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</si>
  <si>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</si>
  <si>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</si>
  <si>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</si>
  <si>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</si>
  <si>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</si>
  <si>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</si>
  <si>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</si>
  <si>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</si>
  <si>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</si>
  <si>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</si>
  <si>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BRODIA</t>
  </si>
  <si>
    <t>Bromus diandrus</t>
  </si>
  <si>
    <t>ripgut brome</t>
  </si>
  <si>
    <t>BROHOR</t>
  </si>
  <si>
    <t>Bromus hordeaceus</t>
  </si>
  <si>
    <t>soft chess brome</t>
  </si>
  <si>
    <t>BROMAD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</si>
  <si>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</si>
  <si>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</si>
  <si>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</si>
  <si>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</si>
  <si>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</si>
  <si>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</si>
  <si>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</si>
  <si>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</si>
  <si>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</si>
  <si>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</si>
  <si>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</si>
  <si>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</si>
  <si>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</si>
  <si>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</si>
  <si>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</si>
  <si>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</si>
  <si>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</si>
  <si>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</si>
  <si>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</si>
  <si>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</si>
  <si>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</si>
  <si>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</si>
  <si>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</si>
  <si>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</si>
  <si>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</si>
  <si>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</si>
  <si>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</si>
  <si>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</si>
  <si>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</si>
  <si>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</si>
  <si>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</si>
  <si>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</si>
  <si>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</si>
  <si>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</si>
  <si>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</si>
  <si>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</si>
  <si>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</si>
  <si>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</si>
  <si>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</si>
  <si>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</si>
  <si>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</si>
  <si>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</si>
  <si>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</si>
  <si>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</si>
  <si>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</si>
  <si>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</si>
  <si>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</si>
  <si>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</si>
  <si>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</si>
  <si>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</si>
  <si>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</si>
  <si>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</si>
  <si>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</si>
  <si>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</si>
  <si>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</si>
  <si>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</si>
  <si>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</si>
  <si>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</si>
  <si>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</si>
  <si>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</si>
  <si>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</si>
  <si>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</si>
  <si>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</si>
  <si>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</si>
  <si>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</si>
  <si>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</si>
  <si>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</si>
  <si>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</si>
  <si>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</si>
  <si>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</si>
  <si>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</si>
  <si>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</si>
  <si>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</si>
  <si>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</si>
  <si>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</si>
  <si>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</si>
  <si>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</si>
  <si>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</si>
  <si>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</si>
  <si>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</si>
  <si>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</si>
  <si>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</si>
  <si>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</si>
  <si>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</si>
  <si>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</si>
  <si>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</si>
  <si>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</si>
  <si>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</si>
  <si>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</si>
  <si>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</si>
  <si>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</si>
  <si>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</si>
  <si>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</si>
  <si>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</si>
  <si>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</si>
  <si>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</si>
  <si>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</si>
  <si>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</si>
  <si>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</si>
  <si>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</si>
  <si>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</si>
  <si>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</si>
  <si>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</si>
  <si>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</si>
  <si>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</si>
  <si>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</si>
  <si>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</si>
  <si>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</si>
  <si>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</si>
  <si>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</si>
  <si>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</si>
  <si>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</si>
  <si>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</si>
  <si>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</si>
  <si>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</si>
  <si>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</si>
  <si>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</si>
  <si>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</si>
  <si>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</si>
  <si>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</si>
  <si>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</si>
  <si>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</si>
  <si>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</si>
  <si>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</si>
  <si>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</si>
  <si>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</si>
  <si>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</si>
  <si>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</si>
  <si>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</si>
  <si>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</si>
  <si>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</si>
  <si>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</si>
  <si>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</si>
  <si>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</si>
  <si>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</si>
  <si>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</si>
  <si>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</si>
  <si>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</si>
  <si>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</si>
  <si>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</si>
  <si>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</si>
  <si>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</si>
  <si>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</si>
  <si>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</si>
  <si>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</si>
  <si>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</si>
  <si>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</si>
  <si>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</si>
  <si>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</si>
  <si>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</si>
  <si>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</si>
  <si>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</si>
  <si>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</si>
  <si>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</si>
  <si>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</si>
  <si>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</si>
  <si>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</si>
  <si>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</si>
  <si>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</si>
  <si>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</si>
  <si>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</si>
  <si>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</si>
  <si>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</si>
  <si>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</si>
  <si>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</si>
  <si>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</si>
  <si>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</si>
  <si>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</si>
  <si>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</si>
  <si>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</si>
  <si>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</si>
  <si>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</si>
  <si>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</si>
  <si>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</si>
  <si>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</si>
  <si>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</si>
  <si>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</si>
  <si>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</si>
  <si>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</si>
  <si>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</si>
  <si>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</si>
  <si>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</si>
  <si>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</si>
  <si>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</si>
  <si>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</si>
  <si>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</si>
  <si>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</si>
  <si>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</si>
  <si>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</si>
  <si>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</si>
  <si>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</si>
  <si>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</si>
  <si>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</si>
  <si>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</si>
  <si>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</si>
  <si>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</si>
  <si>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</si>
  <si>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</si>
  <si>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</si>
  <si>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</si>
  <si>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</si>
  <si>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</si>
  <si>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</si>
  <si>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</si>
  <si>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</si>
  <si>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</si>
  <si>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</si>
  <si>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</si>
  <si>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</si>
  <si>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</si>
  <si>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</si>
  <si>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</si>
  <si>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</si>
  <si>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</si>
  <si>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</si>
  <si>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</si>
  <si>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</si>
  <si>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</si>
  <si>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</si>
  <si>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</si>
  <si>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</si>
  <si>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</si>
  <si>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</si>
  <si>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</si>
  <si>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</si>
  <si>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</si>
  <si>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</si>
  <si>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</si>
  <si>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</si>
  <si>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</si>
  <si>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CRACON</t>
  </si>
  <si>
    <t>Crassula connata</t>
  </si>
  <si>
    <t>sand pygmy weed</t>
  </si>
  <si>
    <t>Crassulaceae</t>
  </si>
  <si>
    <t>CROCAL</t>
  </si>
  <si>
    <t>Croton californica</t>
  </si>
  <si>
    <t>Desert croton</t>
  </si>
  <si>
    <t>Croton setigerus</t>
  </si>
  <si>
    <t>doveweed, turkey mullein</t>
  </si>
  <si>
    <t>CRYANG</t>
  </si>
  <si>
    <t>Cryptantha angustifolia</t>
  </si>
  <si>
    <t>CRYINT</t>
  </si>
  <si>
    <t>Cryptantha intermedia</t>
  </si>
  <si>
    <t>common cryptantha</t>
  </si>
  <si>
    <t>CRYMIC</t>
  </si>
  <si>
    <t>Cryptantha micromeres</t>
  </si>
  <si>
    <t>CRYMUR</t>
  </si>
  <si>
    <t>Cryptantha muricata var. jonesii</t>
  </si>
  <si>
    <t>Jone's Cat's-eyes</t>
  </si>
  <si>
    <t>CRYMAR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</si>
  <si>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</si>
  <si>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</si>
  <si>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</si>
  <si>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</si>
  <si>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</si>
  <si>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</si>
  <si>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</si>
  <si>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</si>
  <si>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</si>
  <si>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</si>
  <si>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</si>
  <si>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</si>
  <si>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</si>
  <si>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</si>
  <si>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</si>
  <si>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</si>
  <si>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</si>
  <si>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</si>
  <si>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</si>
  <si>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</si>
  <si>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</si>
  <si>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</si>
  <si>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</si>
  <si>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</si>
  <si>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</si>
  <si>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</si>
  <si>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</si>
  <si>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</si>
  <si>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</si>
  <si>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</si>
  <si>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</si>
  <si>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</si>
  <si>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</si>
  <si>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</si>
  <si>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</si>
  <si>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</si>
  <si>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</si>
  <si>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</si>
  <si>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</si>
  <si>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</si>
  <si>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</si>
  <si>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</si>
  <si>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</si>
  <si>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</si>
  <si>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</si>
  <si>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</si>
  <si>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</si>
  <si>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</si>
  <si>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</si>
  <si>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</si>
  <si>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</si>
  <si>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</si>
  <si>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</si>
  <si>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</si>
  <si>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</si>
  <si>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</si>
  <si>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</si>
  <si>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</si>
  <si>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</si>
  <si>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</si>
  <si>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</si>
  <si>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</si>
  <si>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</si>
  <si>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</si>
  <si>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</si>
  <si>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</si>
  <si>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</si>
  <si>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</si>
  <si>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</si>
  <si>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</si>
  <si>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</si>
  <si>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</si>
  <si>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</si>
  <si>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</si>
  <si>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</si>
  <si>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</si>
  <si>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</si>
  <si>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</si>
  <si>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</si>
  <si>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</si>
  <si>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</si>
  <si>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</si>
  <si>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</si>
  <si>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</si>
  <si>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</si>
  <si>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</si>
  <si>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</si>
  <si>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</si>
  <si>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</si>
  <si>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</si>
  <si>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</si>
  <si>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</si>
  <si>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</si>
  <si>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</si>
  <si>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</si>
  <si>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</si>
  <si>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</si>
  <si>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</si>
  <si>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</si>
  <si>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</si>
  <si>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</si>
  <si>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</si>
  <si>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</si>
  <si>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</si>
  <si>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</si>
  <si>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</si>
  <si>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</si>
  <si>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</si>
  <si>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</si>
  <si>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</si>
  <si>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</si>
  <si>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</si>
  <si>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</si>
  <si>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</si>
  <si>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</si>
  <si>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</si>
  <si>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</si>
  <si>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</si>
  <si>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</si>
  <si>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</si>
  <si>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</si>
  <si>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</si>
  <si>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</si>
  <si>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</si>
  <si>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</si>
  <si>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</si>
  <si>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</si>
  <si>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</si>
  <si>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</si>
  <si>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</si>
  <si>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</si>
  <si>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</si>
  <si>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</si>
  <si>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</si>
  <si>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</si>
  <si>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</si>
  <si>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</si>
  <si>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</si>
  <si>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</si>
  <si>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</si>
  <si>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</si>
  <si>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</si>
  <si>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</si>
  <si>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</si>
  <si>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</si>
  <si>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</si>
  <si>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</si>
  <si>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</si>
  <si>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</si>
  <si>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</si>
  <si>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</si>
  <si>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</si>
  <si>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</si>
  <si>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</si>
  <si>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</si>
  <si>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</si>
  <si>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</si>
  <si>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</si>
  <si>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</si>
  <si>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</si>
  <si>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</si>
  <si>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</si>
  <si>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</si>
  <si>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</si>
  <si>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</si>
  <si>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</si>
  <si>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</si>
  <si>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</si>
  <si>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</si>
  <si>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</si>
  <si>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</si>
  <si>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</si>
  <si>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</si>
  <si>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</si>
  <si>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</si>
  <si>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</si>
  <si>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</si>
  <si>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</si>
  <si>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</si>
  <si>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</si>
  <si>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</si>
  <si>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</si>
  <si>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</si>
  <si>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</si>
  <si>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</si>
  <si>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</si>
  <si>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</si>
  <si>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</si>
  <si>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</si>
  <si>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</si>
  <si>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</si>
  <si>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</si>
  <si>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</si>
  <si>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</si>
  <si>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</si>
  <si>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</si>
  <si>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</si>
  <si>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</si>
  <si>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</si>
  <si>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</si>
  <si>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</si>
  <si>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</si>
  <si>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</si>
  <si>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</si>
  <si>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</si>
  <si>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</si>
  <si>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</si>
  <si>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</si>
  <si>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</si>
  <si>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</si>
  <si>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</si>
  <si>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</si>
  <si>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</si>
  <si>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</si>
  <si>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</si>
  <si>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</si>
  <si>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</si>
  <si>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</si>
  <si>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</si>
  <si>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</si>
  <si>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</si>
  <si>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</si>
  <si>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</si>
  <si>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</si>
  <si>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</si>
  <si>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</si>
  <si>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</si>
  <si>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</si>
  <si>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</si>
  <si>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</si>
  <si>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</si>
  <si>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</si>
  <si>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</si>
  <si>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</si>
  <si>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</si>
  <si>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</si>
  <si>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</si>
  <si>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</si>
  <si>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</si>
  <si>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</si>
  <si>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</si>
  <si>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</si>
  <si>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</si>
  <si>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</si>
  <si>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</si>
  <si>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</si>
  <si>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</si>
  <si>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</si>
  <si>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</si>
  <si>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</si>
  <si>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</si>
  <si>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</si>
  <si>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</si>
  <si>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</si>
  <si>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</si>
  <si>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</si>
  <si>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</si>
  <si>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</si>
  <si>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</si>
  <si>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</si>
  <si>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</si>
  <si>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</si>
  <si>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</si>
  <si>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</si>
  <si>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</si>
  <si>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</si>
  <si>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</si>
  <si>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</si>
  <si>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</si>
  <si>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</si>
  <si>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</si>
  <si>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</si>
  <si>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</si>
  <si>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</si>
  <si>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</si>
  <si>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</si>
  <si>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</si>
  <si>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</si>
  <si>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</si>
  <si>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</si>
  <si>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</si>
  <si>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</si>
  <si>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</si>
  <si>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</si>
  <si>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</si>
  <si>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</si>
  <si>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</si>
  <si>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</si>
  <si>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</si>
  <si>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</si>
  <si>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</si>
  <si>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</si>
  <si>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</si>
  <si>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</si>
  <si>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</si>
  <si>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</si>
  <si>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</si>
  <si>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</si>
  <si>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</si>
  <si>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</si>
  <si>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</si>
  <si>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</si>
  <si>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</si>
  <si>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</si>
  <si>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</si>
  <si>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</si>
  <si>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</si>
  <si>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</si>
  <si>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</si>
  <si>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</si>
  <si>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</si>
  <si>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</si>
  <si>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</si>
  <si>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</si>
  <si>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</si>
  <si>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</si>
  <si>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</si>
  <si>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</si>
  <si>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</si>
  <si>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</si>
  <si>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</si>
  <si>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</si>
  <si>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</si>
  <si>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</si>
  <si>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</si>
  <si>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</si>
  <si>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</si>
  <si>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</si>
  <si>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</si>
  <si>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</si>
  <si>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</si>
  <si>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</si>
  <si>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</si>
  <si>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</si>
  <si>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</si>
  <si>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</si>
  <si>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</si>
  <si>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</si>
  <si>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</si>
  <si>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</si>
  <si>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</si>
  <si>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</si>
  <si>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</si>
  <si>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</si>
  <si>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</si>
  <si>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</si>
  <si>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</si>
  <si>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</si>
  <si>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</si>
  <si>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</si>
  <si>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</si>
  <si>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</si>
  <si>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</si>
  <si>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</si>
  <si>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</si>
  <si>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</si>
  <si>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</si>
  <si>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</si>
  <si>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</si>
  <si>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</si>
  <si>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</si>
  <si>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</si>
  <si>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</si>
  <si>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</si>
  <si>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</si>
  <si>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</si>
  <si>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</si>
  <si>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</si>
  <si>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</si>
  <si>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</si>
  <si>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</si>
  <si>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</si>
  <si>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</si>
  <si>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</si>
  <si>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</si>
  <si>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</si>
  <si>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</si>
  <si>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</si>
  <si>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</si>
  <si>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</si>
  <si>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</si>
  <si>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</si>
  <si>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</si>
  <si>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</si>
  <si>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</si>
  <si>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</si>
  <si>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</si>
  <si>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</si>
  <si>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</si>
  <si>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</si>
  <si>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</si>
  <si>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</si>
  <si>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</si>
  <si>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</si>
  <si>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</si>
  <si>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</si>
  <si>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</si>
  <si>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</si>
  <si>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</si>
  <si>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</si>
  <si>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</si>
  <si>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</si>
  <si>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</si>
  <si>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</si>
  <si>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</si>
  <si>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</si>
  <si>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</si>
  <si>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</si>
  <si>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</si>
  <si>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</si>
  <si>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</si>
  <si>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</si>
  <si>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</si>
  <si>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</si>
  <si>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</si>
  <si>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</si>
  <si>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</si>
  <si>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</si>
  <si>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</si>
  <si>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</si>
  <si>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</si>
  <si>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</si>
  <si>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</si>
  <si>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</si>
  <si>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</si>
  <si>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</si>
  <si>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</si>
  <si>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</si>
  <si>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</si>
  <si>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</si>
  <si>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</si>
  <si>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</si>
  <si>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</si>
  <si>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</si>
  <si>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</si>
  <si>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</si>
  <si>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</si>
  <si>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</si>
  <si>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</si>
  <si>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</si>
  <si>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</si>
  <si>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</si>
  <si>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</si>
  <si>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</si>
  <si>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</si>
  <si>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</si>
  <si>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</si>
  <si>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</si>
  <si>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</si>
  <si>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</si>
  <si>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</si>
  <si>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</si>
  <si>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</si>
  <si>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</si>
  <si>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</si>
  <si>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</si>
  <si>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</si>
  <si>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</si>
  <si>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</si>
  <si>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</si>
  <si>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</si>
  <si>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</si>
  <si>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</si>
  <si>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</si>
  <si>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</si>
  <si>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</si>
  <si>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</si>
  <si>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</si>
  <si>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</si>
  <si>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</si>
  <si>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</si>
  <si>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</si>
  <si>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</si>
  <si>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</si>
  <si>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</si>
  <si>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</si>
  <si>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</si>
  <si>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</si>
  <si>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</si>
  <si>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</si>
  <si>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</si>
  <si>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</si>
  <si>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</si>
  <si>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</si>
  <si>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</si>
  <si>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</si>
  <si>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</si>
  <si>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</si>
  <si>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</si>
  <si>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</si>
  <si>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</si>
  <si>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</si>
  <si>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</si>
  <si>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</si>
  <si>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</si>
  <si>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</si>
  <si>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</si>
  <si>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</si>
  <si>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</si>
  <si>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</si>
  <si>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</si>
  <si>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</si>
  <si>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</si>
  <si>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</si>
  <si>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</si>
  <si>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</si>
  <si>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</si>
  <si>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</si>
  <si>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</si>
  <si>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</si>
  <si>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</si>
  <si>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</si>
  <si>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</si>
  <si>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</si>
  <si>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</si>
  <si>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</si>
  <si>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</si>
  <si>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</si>
  <si>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</si>
  <si>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</si>
  <si>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</si>
  <si>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</si>
  <si>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</si>
  <si>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</si>
  <si>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</si>
  <si>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</si>
  <si>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</si>
  <si>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</si>
  <si>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</si>
  <si>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</si>
  <si>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</si>
  <si>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</si>
  <si>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</si>
  <si>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</si>
  <si>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</si>
  <si>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</si>
  <si>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</si>
  <si>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</si>
  <si>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</si>
  <si>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</si>
  <si>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</si>
  <si>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</si>
  <si>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</si>
  <si>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</si>
  <si>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</si>
  <si>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</si>
  <si>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</si>
  <si>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</si>
  <si>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</si>
  <si>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</si>
  <si>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</si>
  <si>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</si>
  <si>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</si>
  <si>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</si>
  <si>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</si>
  <si>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</si>
  <si>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</si>
  <si>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</si>
  <si>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</si>
  <si>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</si>
  <si>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</si>
  <si>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</si>
  <si>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</si>
  <si>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</si>
  <si>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</si>
  <si>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</si>
  <si>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</si>
  <si>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</si>
  <si>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</si>
  <si>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</si>
  <si>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</si>
  <si>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</si>
  <si>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</si>
  <si>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</si>
  <si>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</si>
  <si>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</si>
  <si>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</si>
  <si>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</si>
  <si>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</si>
  <si>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</si>
  <si>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</si>
  <si>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</si>
  <si>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</si>
  <si>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</si>
  <si>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</si>
  <si>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</si>
  <si>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</si>
  <si>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</si>
  <si>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</si>
  <si>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</si>
  <si>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</si>
  <si>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</si>
  <si>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</si>
  <si>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</si>
  <si>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</si>
  <si>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</si>
  <si>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</si>
  <si>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</si>
  <si>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</si>
  <si>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</si>
  <si>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</si>
  <si>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</si>
  <si>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</si>
  <si>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</si>
  <si>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</si>
  <si>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</si>
  <si>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</si>
  <si>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</si>
  <si>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</si>
  <si>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</si>
  <si>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</si>
  <si>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</si>
  <si>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</si>
  <si>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</si>
  <si>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</si>
  <si>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</si>
  <si>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</si>
  <si>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</si>
  <si>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</si>
  <si>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</si>
  <si>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</si>
  <si>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</si>
  <si>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</si>
  <si>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</si>
  <si>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</si>
  <si>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</si>
  <si>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</si>
  <si>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</si>
  <si>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</si>
  <si>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</si>
  <si>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</si>
  <si>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</si>
  <si>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</si>
  <si>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</si>
  <si>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</si>
  <si>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</si>
  <si>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</si>
  <si>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</si>
  <si>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</si>
  <si>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</si>
  <si>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</si>
  <si>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</si>
  <si>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</si>
  <si>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</si>
  <si>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</si>
  <si>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</si>
  <si>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</si>
  <si>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</si>
  <si>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</si>
  <si>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</si>
  <si>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</si>
  <si>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</si>
  <si>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</si>
  <si>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</si>
  <si>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</si>
  <si>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</si>
  <si>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</si>
  <si>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</si>
  <si>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</si>
  <si>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</si>
  <si>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</si>
  <si>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</si>
  <si>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</si>
  <si>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</si>
  <si>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</si>
  <si>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</si>
  <si>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</si>
  <si>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</si>
  <si>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</si>
  <si>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</si>
  <si>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</si>
  <si>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</si>
  <si>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</si>
  <si>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</si>
  <si>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</si>
  <si>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</si>
  <si>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</si>
  <si>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</si>
  <si>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</si>
  <si>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</si>
  <si>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</si>
  <si>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</si>
  <si>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</si>
  <si>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</si>
  <si>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</si>
  <si>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</si>
  <si>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</si>
  <si>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</si>
  <si>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</si>
  <si>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</si>
  <si>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</si>
  <si>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</si>
  <si>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</si>
  <si>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</si>
  <si>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</si>
  <si>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</si>
  <si>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</si>
  <si>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</si>
  <si>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</si>
  <si>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</si>
  <si>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</si>
  <si>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</si>
  <si>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</si>
  <si>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</si>
  <si>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</si>
  <si>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</si>
  <si>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</si>
  <si>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</si>
  <si>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</si>
  <si>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</si>
  <si>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</si>
  <si>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</si>
  <si>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</si>
  <si>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</si>
  <si>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</si>
  <si>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</si>
  <si>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</si>
  <si>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</si>
  <si>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</si>
  <si>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</si>
  <si>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</si>
  <si>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</si>
  <si>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</si>
  <si>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</si>
  <si>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</si>
  <si>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</si>
  <si>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</si>
  <si>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</si>
  <si>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</si>
  <si>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</si>
  <si>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</si>
  <si>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</si>
  <si>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</si>
  <si>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</si>
  <si>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</si>
  <si>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</si>
  <si>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</si>
  <si>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</si>
  <si>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</si>
  <si>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</si>
  <si>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</si>
  <si>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</si>
  <si>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</si>
  <si>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</si>
  <si>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</si>
  <si>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</si>
  <si>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</si>
  <si>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</si>
  <si>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</si>
  <si>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</si>
  <si>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</si>
  <si>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</si>
  <si>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</si>
  <si>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</si>
  <si>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</si>
  <si>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</si>
  <si>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</si>
  <si>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</si>
  <si>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</si>
  <si>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</si>
  <si>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</si>
  <si>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</si>
  <si>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</si>
  <si>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</si>
  <si>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</si>
  <si>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</si>
  <si>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</si>
  <si>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</si>
  <si>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</si>
  <si>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</si>
  <si>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</si>
  <si>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</si>
  <si>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</si>
  <si>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</si>
  <si>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</si>
  <si>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</si>
  <si>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</si>
  <si>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</si>
  <si>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</si>
  <si>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</si>
  <si>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</si>
  <si>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</si>
  <si>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</si>
  <si>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</si>
  <si>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</si>
  <si>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</si>
  <si>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</si>
  <si>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</si>
  <si>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</si>
  <si>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</si>
  <si>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</si>
  <si>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</si>
  <si>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</si>
  <si>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</si>
  <si>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</si>
  <si>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</si>
  <si>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</si>
  <si>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</si>
  <si>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</si>
  <si>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</si>
  <si>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</si>
  <si>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</si>
  <si>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</si>
  <si>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</si>
  <si>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</si>
  <si>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</si>
  <si>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</si>
  <si>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</si>
  <si>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</si>
  <si>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</si>
  <si>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</si>
  <si>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</si>
  <si>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</si>
  <si>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</si>
  <si>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</si>
  <si>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</si>
  <si>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</si>
  <si>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</si>
  <si>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</si>
  <si>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</si>
  <si>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</si>
  <si>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</si>
  <si>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</si>
  <si>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</si>
  <si>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</si>
  <si>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</si>
  <si>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</si>
  <si>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</si>
  <si>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</si>
  <si>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</si>
  <si>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</si>
  <si>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</si>
  <si>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</si>
  <si>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</si>
  <si>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</si>
  <si>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</si>
  <si>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</si>
  <si>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</si>
  <si>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</si>
  <si>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</si>
  <si>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</si>
  <si>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</si>
  <si>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</si>
  <si>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</si>
  <si>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</si>
  <si>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</si>
  <si>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</si>
  <si>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</si>
  <si>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</si>
  <si>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</si>
  <si>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</si>
  <si>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</si>
  <si>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</si>
  <si>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</si>
  <si>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</si>
  <si>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</si>
  <si>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</si>
  <si>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</si>
  <si>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</si>
  <si>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</si>
  <si>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</si>
  <si>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</si>
  <si>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</si>
  <si>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</si>
  <si>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</si>
  <si>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</si>
  <si>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</si>
  <si>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</si>
  <si>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</si>
  <si>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</si>
  <si>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</si>
  <si>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</si>
  <si>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</si>
  <si>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</si>
  <si>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</si>
  <si>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</si>
  <si>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</si>
  <si>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</si>
  <si>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</si>
  <si>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</si>
  <si>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</si>
  <si>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</si>
  <si>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</si>
  <si>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</si>
  <si>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</si>
  <si>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</si>
  <si>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</si>
  <si>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</si>
  <si>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</si>
  <si>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</si>
  <si>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</si>
  <si>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</si>
  <si>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</si>
  <si>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</si>
  <si>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</si>
  <si>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</si>
  <si>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</si>
  <si>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</si>
  <si>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</si>
  <si>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</si>
  <si>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</si>
  <si>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</si>
  <si>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</si>
  <si>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</si>
  <si>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</si>
  <si>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</si>
  <si>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</si>
  <si>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</si>
  <si>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</si>
  <si>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</si>
  <si>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</si>
  <si>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</si>
  <si>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</si>
  <si>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</si>
  <si>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</si>
  <si>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</si>
  <si>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</si>
  <si>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</si>
  <si>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</si>
  <si>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</si>
  <si>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</si>
  <si>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</si>
  <si>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</si>
  <si>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</si>
  <si>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</si>
  <si>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</si>
  <si>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</si>
  <si>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</si>
  <si>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</si>
  <si>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</si>
  <si>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</si>
  <si>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</si>
  <si>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</si>
  <si>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</si>
  <si>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</si>
  <si>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</si>
  <si>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</si>
  <si>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</si>
  <si>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</si>
  <si>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</si>
  <si>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</si>
  <si>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</si>
  <si>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</si>
  <si>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</si>
  <si>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</si>
  <si>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</si>
  <si>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</si>
  <si>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</si>
  <si>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</si>
  <si>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</si>
  <si>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</si>
  <si>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</si>
  <si>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</si>
  <si>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</si>
  <si>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</si>
  <si>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</si>
  <si>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</si>
  <si>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</si>
  <si>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</si>
  <si>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</si>
  <si>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</si>
  <si>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</si>
  <si>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</si>
  <si>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</si>
  <si>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</si>
  <si>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</si>
  <si>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</si>
  <si>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</si>
  <si>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</si>
  <si>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</si>
  <si>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</si>
  <si>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</si>
  <si>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</si>
  <si>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</si>
  <si>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</si>
  <si>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</si>
  <si>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</si>
  <si>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</si>
  <si>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</si>
  <si>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</si>
  <si>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</si>
  <si>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</si>
  <si>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</si>
  <si>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</si>
  <si>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</si>
  <si>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</si>
  <si>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</si>
  <si>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</si>
  <si>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</si>
  <si>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</si>
  <si>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</si>
  <si>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</si>
  <si>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</si>
  <si>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</si>
  <si>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</si>
  <si>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</si>
  <si>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</si>
  <si>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</si>
  <si>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</si>
  <si>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</si>
  <si>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</si>
  <si>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</si>
  <si>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</si>
  <si>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</si>
  <si>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</si>
  <si>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</si>
  <si>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</si>
  <si>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</si>
  <si>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</si>
  <si>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</si>
  <si>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</si>
  <si>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</si>
  <si>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</si>
  <si>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</si>
  <si>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</si>
  <si>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</si>
  <si>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</si>
  <si>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</si>
  <si>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</si>
  <si>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</si>
  <si>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</si>
  <si>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</si>
  <si>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</si>
  <si>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</si>
  <si>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</si>
  <si>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</si>
  <si>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</si>
  <si>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</si>
  <si>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</si>
  <si>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</si>
  <si>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</si>
  <si>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</si>
  <si>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</si>
  <si>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</si>
  <si>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</si>
  <si>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</si>
  <si>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</si>
  <si>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</si>
  <si>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</si>
  <si>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</si>
  <si>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</si>
  <si>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</si>
  <si>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</si>
  <si>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DAUPUS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</si>
  <si>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</si>
  <si>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</si>
  <si>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</si>
  <si>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</si>
  <si>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</si>
  <si>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</si>
  <si>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</si>
  <si>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</si>
  <si>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</si>
  <si>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</si>
  <si>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</si>
  <si>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</si>
  <si>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</si>
  <si>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</si>
  <si>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</si>
  <si>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</si>
  <si>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</si>
  <si>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</si>
  <si>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</si>
  <si>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</si>
  <si>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</si>
  <si>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</si>
  <si>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</si>
  <si>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</si>
  <si>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</si>
  <si>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</si>
  <si>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</si>
  <si>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</si>
  <si>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</si>
  <si>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</si>
  <si>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</si>
  <si>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</si>
  <si>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</si>
  <si>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</si>
  <si>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</si>
  <si>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</si>
  <si>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</si>
  <si>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</si>
  <si>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</si>
  <si>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</si>
  <si>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</si>
  <si>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</si>
  <si>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</si>
  <si>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</si>
  <si>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</si>
  <si>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</si>
  <si>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</si>
  <si>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</si>
  <si>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</si>
  <si>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</si>
  <si>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</si>
  <si>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</si>
  <si>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</si>
  <si>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</si>
  <si>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</si>
  <si>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</si>
  <si>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</si>
  <si>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</si>
  <si>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</si>
  <si>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</si>
  <si>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</si>
  <si>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</si>
  <si>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</si>
  <si>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</si>
  <si>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</si>
  <si>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</si>
  <si>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</si>
  <si>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</si>
  <si>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</si>
  <si>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</si>
  <si>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</si>
  <si>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</si>
  <si>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</si>
  <si>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</si>
  <si>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</si>
  <si>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</si>
  <si>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</si>
  <si>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</si>
  <si>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</si>
  <si>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</si>
  <si>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</si>
  <si>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</si>
  <si>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</si>
  <si>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</si>
  <si>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</si>
  <si>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</si>
  <si>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</si>
  <si>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</si>
  <si>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</si>
  <si>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</si>
  <si>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</si>
  <si>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</si>
  <si>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</si>
  <si>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</si>
  <si>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</si>
  <si>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</si>
  <si>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</si>
  <si>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</si>
  <si>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</si>
  <si>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</si>
  <si>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</si>
  <si>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</si>
  <si>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</si>
  <si>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</si>
  <si>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</si>
  <si>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</si>
  <si>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</si>
  <si>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</si>
  <si>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</si>
  <si>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</si>
  <si>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</si>
  <si>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</si>
  <si>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</si>
  <si>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</si>
  <si>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</si>
  <si>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</si>
  <si>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</si>
  <si>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</si>
  <si>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</si>
  <si>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</si>
  <si>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</si>
  <si>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</si>
  <si>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</si>
  <si>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</si>
  <si>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</si>
  <si>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</si>
  <si>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</si>
  <si>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</si>
  <si>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</si>
  <si>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</si>
  <si>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</si>
  <si>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</si>
  <si>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</si>
  <si>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</si>
  <si>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</si>
  <si>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</si>
  <si>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</si>
  <si>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</si>
  <si>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</si>
  <si>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</si>
  <si>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</si>
  <si>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</si>
  <si>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</si>
  <si>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</si>
  <si>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</si>
  <si>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</si>
  <si>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</si>
  <si>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</si>
  <si>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EROBOT</t>
  </si>
  <si>
    <t>Erodium botrys</t>
  </si>
  <si>
    <t>EROBRA</t>
  </si>
  <si>
    <t>Erodium brachycarpum</t>
  </si>
  <si>
    <t>Erodium cicutarium</t>
  </si>
  <si>
    <t>Erodium moschatum</t>
  </si>
  <si>
    <t>EROSPP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</si>
  <si>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</si>
  <si>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</si>
  <si>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</si>
  <si>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</si>
  <si>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</si>
  <si>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</si>
  <si>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</si>
  <si>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</si>
  <si>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</si>
  <si>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</si>
  <si>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</si>
  <si>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</si>
  <si>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</si>
  <si>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</si>
  <si>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</si>
  <si>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</si>
  <si>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</si>
  <si>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</si>
  <si>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FERVIR</t>
  </si>
  <si>
    <t>Ferocactus viridescens</t>
  </si>
  <si>
    <t>san diego barrel cactus</t>
  </si>
  <si>
    <t>FESARU</t>
  </si>
  <si>
    <t>Festuca arundinacea</t>
  </si>
  <si>
    <t>tall fescue</t>
  </si>
  <si>
    <t>FESMYU</t>
  </si>
  <si>
    <t>Vulpia myuros</t>
  </si>
  <si>
    <t>FESPER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</si>
  <si>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</si>
  <si>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</si>
  <si>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</si>
  <si>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</si>
  <si>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</si>
  <si>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</si>
  <si>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</si>
  <si>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</si>
  <si>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</si>
  <si>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</si>
  <si>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</si>
  <si>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</si>
  <si>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</si>
  <si>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</si>
  <si>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</si>
  <si>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</si>
  <si>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</si>
  <si>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</si>
  <si>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</si>
  <si>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</si>
  <si>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</si>
  <si>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</si>
  <si>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</si>
  <si>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GALAPA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</si>
  <si>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</si>
  <si>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</si>
  <si>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</si>
  <si>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</si>
  <si>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</si>
  <si>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</si>
  <si>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</si>
  <si>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</si>
  <si>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</si>
  <si>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</si>
  <si>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</si>
  <si>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</si>
  <si>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</si>
  <si>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</si>
  <si>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</si>
  <si>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</si>
  <si>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</si>
  <si>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</si>
  <si>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</si>
  <si>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</si>
  <si>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</si>
  <si>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</si>
  <si>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</si>
  <si>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</si>
  <si>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</si>
  <si>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</si>
  <si>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</si>
  <si>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</si>
  <si>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</si>
  <si>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</si>
  <si>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</si>
  <si>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</si>
  <si>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</si>
  <si>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</si>
  <si>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</si>
  <si>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</si>
  <si>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</si>
  <si>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</si>
  <si>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</si>
  <si>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GRICAM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</si>
  <si>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</si>
  <si>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</si>
  <si>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</si>
  <si>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</si>
  <si>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</si>
  <si>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</si>
  <si>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</si>
  <si>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</si>
  <si>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</si>
  <si>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</si>
  <si>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</si>
  <si>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</si>
  <si>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</si>
  <si>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</si>
  <si>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</si>
  <si>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</si>
  <si>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</si>
  <si>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</si>
  <si>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</si>
  <si>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</si>
  <si>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</si>
  <si>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</si>
  <si>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</si>
  <si>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</si>
  <si>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</si>
  <si>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</si>
  <si>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</si>
  <si>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</si>
  <si>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</si>
  <si>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</si>
  <si>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</si>
  <si>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</si>
  <si>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</si>
  <si>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</si>
  <si>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</si>
  <si>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</si>
  <si>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</si>
  <si>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</si>
  <si>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</si>
  <si>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</si>
  <si>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</si>
  <si>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</si>
  <si>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</si>
  <si>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</si>
  <si>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</si>
  <si>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</si>
  <si>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</si>
  <si>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</si>
  <si>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</si>
  <si>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</si>
  <si>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</si>
  <si>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</si>
  <si>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</si>
  <si>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</si>
  <si>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</si>
  <si>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</si>
  <si>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</si>
  <si>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</si>
  <si>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</si>
  <si>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</si>
  <si>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</si>
  <si>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</si>
  <si>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</si>
  <si>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</si>
  <si>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</si>
  <si>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</si>
  <si>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</si>
  <si>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</si>
  <si>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LACSER</t>
  </si>
  <si>
    <t>Lactuca serriola</t>
  </si>
  <si>
    <t>LAMAMP</t>
  </si>
  <si>
    <t>Lamium amplexicaule</t>
  </si>
  <si>
    <t>LAMAUR</t>
  </si>
  <si>
    <t>Lamarchia aurea</t>
  </si>
  <si>
    <t>LASCAL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</si>
  <si>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</si>
  <si>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</si>
  <si>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</si>
  <si>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</si>
  <si>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</si>
  <si>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</si>
  <si>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</si>
  <si>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</si>
  <si>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</si>
  <si>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</si>
  <si>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</si>
  <si>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</si>
  <si>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</si>
  <si>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</si>
  <si>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</si>
  <si>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</si>
  <si>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</si>
  <si>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</si>
  <si>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</si>
  <si>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</si>
  <si>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</si>
  <si>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</si>
  <si>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</si>
  <si>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</si>
  <si>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</si>
  <si>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</si>
  <si>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</si>
  <si>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</si>
  <si>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</si>
  <si>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</si>
  <si>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</si>
  <si>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</si>
  <si>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</si>
  <si>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</si>
  <si>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</si>
  <si>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</si>
  <si>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</si>
  <si>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</si>
  <si>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</si>
  <si>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</si>
  <si>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</si>
  <si>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</si>
  <si>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</si>
  <si>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</si>
  <si>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</si>
  <si>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</si>
  <si>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</si>
  <si>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</si>
  <si>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</si>
  <si>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</si>
  <si>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</si>
  <si>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</si>
  <si>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</si>
  <si>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</si>
  <si>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</si>
  <si>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</si>
  <si>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</si>
  <si>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</si>
  <si>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</si>
  <si>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</si>
  <si>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</si>
  <si>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</si>
  <si>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</si>
  <si>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</si>
  <si>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</si>
  <si>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</si>
  <si>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</si>
  <si>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</si>
  <si>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</si>
  <si>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</si>
  <si>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</si>
  <si>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</si>
  <si>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</si>
  <si>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</si>
  <si>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</si>
  <si>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</si>
  <si>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</si>
  <si>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</si>
  <si>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</si>
  <si>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</si>
  <si>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</si>
  <si>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</si>
  <si>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</si>
  <si>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</si>
  <si>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</si>
  <si>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</si>
  <si>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</si>
  <si>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</si>
  <si>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</si>
  <si>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</si>
  <si>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</si>
  <si>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</si>
  <si>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</si>
  <si>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</si>
  <si>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</si>
  <si>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</si>
  <si>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</si>
  <si>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</si>
  <si>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</si>
  <si>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</si>
  <si>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</si>
  <si>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</si>
  <si>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</si>
  <si>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</si>
  <si>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</si>
  <si>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</si>
  <si>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LUPSUC</t>
  </si>
  <si>
    <t>Lupinus succulentus</t>
  </si>
  <si>
    <t>LUPTRU</t>
  </si>
  <si>
    <t>Lupinus truncatus</t>
  </si>
  <si>
    <t>LYCAND</t>
  </si>
  <si>
    <t>Lycium andersonii</t>
  </si>
  <si>
    <t>thornbush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</si>
  <si>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</si>
  <si>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</si>
  <si>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</si>
  <si>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</si>
  <si>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</si>
  <si>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</si>
  <si>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</si>
  <si>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</si>
  <si>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</si>
  <si>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</si>
  <si>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</si>
  <si>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</si>
  <si>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</si>
  <si>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</si>
  <si>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</si>
  <si>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</si>
  <si>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</si>
  <si>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</si>
  <si>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</si>
  <si>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</si>
  <si>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</si>
  <si>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</si>
  <si>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</si>
  <si>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</si>
  <si>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</si>
  <si>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</si>
  <si>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</si>
  <si>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</si>
  <si>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</si>
  <si>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MEDPOL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</si>
  <si>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</si>
  <si>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</si>
  <si>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</si>
  <si>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</si>
  <si>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</si>
  <si>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</si>
  <si>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</si>
  <si>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</si>
  <si>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</si>
  <si>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</si>
  <si>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</si>
  <si>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</si>
  <si>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</si>
  <si>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</si>
  <si>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</si>
  <si>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</si>
  <si>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</si>
  <si>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</si>
  <si>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</si>
  <si>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</si>
  <si>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</si>
  <si>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</si>
  <si>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</si>
  <si>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</si>
  <si>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</si>
  <si>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</si>
  <si>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</si>
  <si>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</si>
  <si>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</si>
  <si>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</si>
  <si>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</si>
  <si>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</si>
  <si>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</si>
  <si>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</si>
  <si>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</si>
  <si>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</si>
  <si>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</si>
  <si>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</si>
  <si>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</si>
  <si>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</si>
  <si>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</si>
  <si>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</si>
  <si>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</si>
  <si>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</si>
  <si>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</si>
  <si>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</si>
  <si>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</si>
  <si>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</si>
  <si>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</si>
  <si>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</si>
  <si>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</si>
  <si>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</si>
  <si>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</si>
  <si>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</si>
  <si>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</si>
  <si>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</si>
  <si>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</si>
  <si>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</si>
  <si>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</si>
  <si>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</si>
  <si>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</si>
  <si>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</si>
  <si>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</si>
  <si>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</si>
  <si>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</si>
  <si>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</si>
  <si>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</si>
  <si>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</si>
  <si>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</si>
  <si>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</si>
  <si>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</si>
  <si>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</si>
  <si>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</si>
  <si>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</si>
  <si>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</si>
  <si>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</si>
  <si>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</si>
  <si>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</si>
  <si>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</si>
  <si>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</si>
  <si>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</si>
  <si>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</si>
  <si>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</si>
  <si>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</si>
  <si>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</si>
  <si>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</si>
  <si>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</si>
  <si>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</si>
  <si>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</si>
  <si>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</si>
  <si>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</si>
  <si>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</si>
  <si>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</si>
  <si>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</si>
  <si>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</si>
  <si>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</si>
  <si>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</si>
  <si>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</si>
  <si>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</si>
  <si>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</si>
  <si>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</si>
  <si>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</si>
  <si>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</si>
  <si>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</si>
  <si>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</si>
  <si>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</si>
  <si>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</si>
  <si>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</si>
  <si>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</si>
  <si>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</si>
  <si>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</si>
  <si>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</si>
  <si>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</si>
  <si>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</si>
  <si>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</si>
  <si>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</si>
  <si>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</si>
  <si>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</si>
  <si>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</si>
  <si>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</si>
  <si>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</si>
  <si>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</si>
  <si>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</si>
  <si>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</si>
  <si>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</si>
  <si>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</si>
  <si>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</si>
  <si>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</si>
  <si>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</si>
  <si>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</si>
  <si>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</si>
  <si>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</si>
  <si>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</si>
  <si>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</si>
  <si>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</si>
  <si>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</si>
  <si>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</si>
  <si>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</si>
  <si>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</si>
  <si>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</si>
  <si>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</si>
  <si>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</si>
  <si>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</si>
  <si>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</si>
  <si>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PHACIC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</si>
  <si>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</si>
  <si>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</si>
  <si>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</si>
  <si>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</si>
  <si>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</si>
  <si>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</si>
  <si>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</si>
  <si>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</si>
  <si>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</si>
  <si>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</si>
  <si>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</si>
  <si>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</si>
  <si>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</si>
  <si>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</si>
  <si>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</si>
  <si>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</si>
  <si>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</si>
  <si>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</si>
  <si>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</si>
  <si>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</si>
  <si>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</si>
  <si>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</si>
  <si>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</si>
  <si>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</si>
  <si>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</si>
  <si>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</si>
  <si>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</si>
  <si>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</si>
  <si>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PICECH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</si>
  <si>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</si>
  <si>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</si>
  <si>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</si>
  <si>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</si>
  <si>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</si>
  <si>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</si>
  <si>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</si>
  <si>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</si>
  <si>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</si>
  <si>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</si>
  <si>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</si>
  <si>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</si>
  <si>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</si>
  <si>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</si>
  <si>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</si>
  <si>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</si>
  <si>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</si>
  <si>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</si>
  <si>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</si>
  <si>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</si>
  <si>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</si>
  <si>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</si>
  <si>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</si>
  <si>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</si>
  <si>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</si>
  <si>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</si>
  <si>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</si>
  <si>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</si>
  <si>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</si>
  <si>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</si>
  <si>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</si>
  <si>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</si>
  <si>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</si>
  <si>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</si>
  <si>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</si>
  <si>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</si>
  <si>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</si>
  <si>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</si>
  <si>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</si>
  <si>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</si>
  <si>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</si>
  <si>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</si>
  <si>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</si>
  <si>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</si>
  <si>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</si>
  <si>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</si>
  <si>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</si>
  <si>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</si>
  <si>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</si>
  <si>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</si>
  <si>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</si>
  <si>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</si>
  <si>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</si>
  <si>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</si>
  <si>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</si>
  <si>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</si>
  <si>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</si>
  <si>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</si>
  <si>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</si>
  <si>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</si>
  <si>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</si>
  <si>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</si>
  <si>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</si>
  <si>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</si>
  <si>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</si>
  <si>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</si>
  <si>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</si>
  <si>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</si>
  <si>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</si>
  <si>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</si>
  <si>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</si>
  <si>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</si>
  <si>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</si>
  <si>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</si>
  <si>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</si>
  <si>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</si>
  <si>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</si>
  <si>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</si>
  <si>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</si>
  <si>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</si>
  <si>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</si>
  <si>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</si>
  <si>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</si>
  <si>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</si>
  <si>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</si>
  <si>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</si>
  <si>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</si>
  <si>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</si>
  <si>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</si>
  <si>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</si>
  <si>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</si>
  <si>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</si>
  <si>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</si>
  <si>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</si>
  <si>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</si>
  <si>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</si>
  <si>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</si>
  <si>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</si>
  <si>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</si>
  <si>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</si>
  <si>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</si>
  <si>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</si>
  <si>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</si>
  <si>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</si>
  <si>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</si>
  <si>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</si>
  <si>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</si>
  <si>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</si>
  <si>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</si>
  <si>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</si>
  <si>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</si>
  <si>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</si>
  <si>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</si>
  <si>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</si>
  <si>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</si>
  <si>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</si>
  <si>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</si>
  <si>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</si>
  <si>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</si>
  <si>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</si>
  <si>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</si>
  <si>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</si>
  <si>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</si>
  <si>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</si>
  <si>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</si>
  <si>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</si>
  <si>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</si>
  <si>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</si>
  <si>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</si>
  <si>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</si>
  <si>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</si>
  <si>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</si>
  <si>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</si>
  <si>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</si>
  <si>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</si>
  <si>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</si>
  <si>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</si>
  <si>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</si>
  <si>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</si>
  <si>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</si>
  <si>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</si>
  <si>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</si>
  <si>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</si>
  <si>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</si>
  <si>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</si>
  <si>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</si>
  <si>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</si>
  <si>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</si>
  <si>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</si>
  <si>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</si>
  <si>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</si>
  <si>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</si>
  <si>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</si>
  <si>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</si>
  <si>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</si>
  <si>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</si>
  <si>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</si>
  <si>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</si>
  <si>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</si>
  <si>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</si>
  <si>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</si>
  <si>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</si>
  <si>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</si>
  <si>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</si>
  <si>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</si>
  <si>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</si>
  <si>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</si>
  <si>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</si>
  <si>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</si>
  <si>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</si>
  <si>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</si>
  <si>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</si>
  <si>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</si>
  <si>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</si>
  <si>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</si>
  <si>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</si>
  <si>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</si>
  <si>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</si>
  <si>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</si>
  <si>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</si>
  <si>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</si>
  <si>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</si>
  <si>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</si>
  <si>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</si>
  <si>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</si>
  <si>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</si>
  <si>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</si>
  <si>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</si>
  <si>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</si>
  <si>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</si>
  <si>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</si>
  <si>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</si>
  <si>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</si>
  <si>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</si>
  <si>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</si>
  <si>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</si>
  <si>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</si>
  <si>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</si>
  <si>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</si>
  <si>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</si>
  <si>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</si>
  <si>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</si>
  <si>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</si>
  <si>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</si>
  <si>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</si>
  <si>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</si>
  <si>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</si>
  <si>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SENVUL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</si>
  <si>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</si>
  <si>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</si>
  <si>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</si>
  <si>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</si>
  <si>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</si>
  <si>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</si>
  <si>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</si>
  <si>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</si>
  <si>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</si>
  <si>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</si>
  <si>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</si>
  <si>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</si>
  <si>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</si>
  <si>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</si>
  <si>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</si>
  <si>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</si>
  <si>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</si>
  <si>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</si>
  <si>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</si>
  <si>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</si>
  <si>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</si>
  <si>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</si>
  <si>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</si>
  <si>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</si>
  <si>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</si>
  <si>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</si>
  <si>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</si>
  <si>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</si>
  <si>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</si>
  <si>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</si>
  <si>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</si>
  <si>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</si>
  <si>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</si>
  <si>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</si>
  <si>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</si>
  <si>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</si>
  <si>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</si>
  <si>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</si>
  <si>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</si>
  <si>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</si>
  <si>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</si>
  <si>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SONASP</t>
  </si>
  <si>
    <t>Sonchus asper</t>
  </si>
  <si>
    <t>Sonchus oleraceus</t>
  </si>
  <si>
    <t>SONSPP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</si>
  <si>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</si>
  <si>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</si>
  <si>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</si>
  <si>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</si>
  <si>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</si>
  <si>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</si>
  <si>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</si>
  <si>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</si>
  <si>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</si>
  <si>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</si>
  <si>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</si>
  <si>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</si>
  <si>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</si>
  <si>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</si>
  <si>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</si>
  <si>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</si>
  <si>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</si>
  <si>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</si>
  <si>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</si>
  <si>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</si>
  <si>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</si>
  <si>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</si>
  <si>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</si>
  <si>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</si>
  <si>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</si>
  <si>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</si>
  <si>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</si>
  <si>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</si>
  <si>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</si>
  <si>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</si>
  <si>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</si>
  <si>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</si>
  <si>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</si>
  <si>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</si>
  <si>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</si>
  <si>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</si>
  <si>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</si>
  <si>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</si>
  <si>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</si>
  <si>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</si>
  <si>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</si>
  <si>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</si>
  <si>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</si>
  <si>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</si>
  <si>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</si>
  <si>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</si>
  <si>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</si>
  <si>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</si>
  <si>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</si>
  <si>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</si>
  <si>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</si>
  <si>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</si>
  <si>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</si>
  <si>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</si>
  <si>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</si>
  <si>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</si>
  <si>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</si>
  <si>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</si>
  <si>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</si>
  <si>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</si>
  <si>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</si>
  <si>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</si>
  <si>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</si>
  <si>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</si>
  <si>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</si>
  <si>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</si>
  <si>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</si>
  <si>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</si>
  <si>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</si>
  <si>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</si>
  <si>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</si>
  <si>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</si>
  <si>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</si>
  <si>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</si>
  <si>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</si>
  <si>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</si>
  <si>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</si>
  <si>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</si>
  <si>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</si>
  <si>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</si>
  <si>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</si>
  <si>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</si>
  <si>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</si>
  <si>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</si>
  <si>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</si>
  <si>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</si>
  <si>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</si>
  <si>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</si>
  <si>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</si>
  <si>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</si>
  <si>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</si>
  <si>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</si>
  <si>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</si>
  <si>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</si>
  <si>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</si>
  <si>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</si>
  <si>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</si>
  <si>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</si>
  <si>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</si>
  <si>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</si>
  <si>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</si>
  <si>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</si>
  <si>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</si>
  <si>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</si>
  <si>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</si>
  <si>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</si>
  <si>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</si>
  <si>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</si>
  <si>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UNKNNGRASS</t>
  </si>
  <si>
    <t>Unknown non-native grass</t>
  </si>
  <si>
    <t>UNKNOWN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</si>
  <si>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</si>
  <si>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</si>
  <si>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</si>
  <si>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</si>
  <si>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</si>
  <si>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</si>
  <si>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</si>
  <si>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</si>
  <si>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</si>
  <si>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</si>
  <si>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</si>
  <si>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</si>
  <si>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UROLIN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</si>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</sst>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/d/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4" borderId="0" xfId="0" applyFont="1" applyFill="1"/>
    <xf numFmtId="0" fontId="2" fillId="5" borderId="0" xfId="0" applyFont="1" applyFill="1"/>
    <xf numFmtId="0" fontId="4" fillId="0" borderId="0" xfId="0" applyFont="1" applyAlignment="1">
      <alignment horizontal="right"/>
    </xf>
    <xf numFmtId="165" fontId="5" fillId="5" borderId="0" xfId="0" applyNumberFormat="1" applyFont="1" applyFill="1" applyAlignment="1">
      <alignment horizontal="right"/>
    </xf>
    <xf numFmtId="165" fontId="5" fillId="5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165" fontId="3" fillId="0" borderId="0" xfId="0" applyNumberFormat="1" applyFont="1"/>
    <xf numFmtId="165" fontId="4" fillId="0" borderId="0" xfId="0" applyNumberFormat="1" applyFont="1" applyAlignment="1">
      <alignment horizontal="right"/>
    </xf>
    <xf numFmtId="165" fontId="4" fillId="5" borderId="0" xfId="0" applyNumberFormat="1" applyFont="1" applyFill="1" applyAlignment="1">
      <alignment horizontal="right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vertical="top"/>
    </xf>
    <xf numFmtId="0" fontId="8" fillId="6" borderId="1" xfId="0" applyFont="1" applyFill="1" applyBorder="1"/>
    <xf numFmtId="0" fontId="4" fillId="6" borderId="1" xfId="0" applyFont="1" applyFill="1" applyBorder="1"/>
    <xf numFmtId="0" fontId="8" fillId="6" borderId="1" xfId="0" applyFont="1" applyFill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8" fillId="0" borderId="1" xfId="0" applyFont="1" applyBorder="1"/>
    <xf numFmtId="0" fontId="8" fillId="6" borderId="2" xfId="0" applyFont="1" applyFill="1" applyBorder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8" fillId="6" borderId="0" xfId="0" applyFont="1" applyFill="1" applyAlignment="1">
      <alignment vertical="top"/>
    </xf>
    <xf numFmtId="0" fontId="8" fillId="0" borderId="1" xfId="0" applyFont="1" applyBorder="1" applyAlignment="1">
      <alignment vertical="top"/>
    </xf>
    <xf numFmtId="0" fontId="8" fillId="7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8" fillId="7" borderId="1" xfId="0" applyFont="1" applyFill="1" applyBorder="1" applyAlignment="1">
      <alignment wrapText="1"/>
    </xf>
    <xf numFmtId="0" fontId="8" fillId="7" borderId="1" xfId="0" applyFont="1" applyFill="1" applyBorder="1"/>
    <xf numFmtId="0" fontId="8" fillId="7" borderId="0" xfId="0" applyFont="1" applyFill="1" applyAlignment="1">
      <alignment vertical="top" wrapText="1"/>
    </xf>
    <xf numFmtId="0" fontId="8" fillId="7" borderId="0" xfId="0" applyFont="1" applyFill="1" applyAlignment="1">
      <alignment vertical="top"/>
    </xf>
    <xf numFmtId="0" fontId="4" fillId="7" borderId="1" xfId="0" applyFont="1" applyFill="1" applyBorder="1" applyAlignment="1">
      <alignment vertical="top"/>
    </xf>
    <xf numFmtId="0" fontId="8" fillId="7" borderId="0" xfId="0" applyFont="1" applyFill="1"/>
    <xf numFmtId="0" fontId="4" fillId="6" borderId="0" xfId="0" applyFont="1" applyFill="1" applyAlignment="1">
      <alignment vertical="top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8" fillId="6" borderId="0" xfId="0" applyFont="1" applyFill="1" applyAlignment="1">
      <alignment wrapText="1"/>
    </xf>
    <xf numFmtId="0" fontId="8" fillId="6" borderId="0" xfId="0" applyFont="1" applyFill="1"/>
    <xf numFmtId="0" fontId="8" fillId="0" borderId="1" xfId="0" applyFont="1" applyBorder="1" applyAlignment="1">
      <alignment wrapText="1"/>
    </xf>
    <xf numFmtId="0" fontId="4" fillId="6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4" fontId="5" fillId="5" borderId="0" xfId="0" applyNumberFormat="1" applyFont="1" applyFill="1" applyAlignment="1">
      <alignment horizontal="right"/>
    </xf>
    <xf numFmtId="14" fontId="5" fillId="5" borderId="0" xfId="0" applyNumberFormat="1" applyFont="1" applyFill="1" applyAlignment="1">
      <alignment horizontal="left"/>
    </xf>
    <xf numFmtId="14" fontId="2" fillId="0" borderId="0" xfId="0" applyNumberFormat="1" applyFont="1" applyAlignment="1">
      <alignment horizontal="right"/>
    </xf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6FA8DC"/>
          <bgColor rgb="FF6FA8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779"/>
  <sheetViews>
    <sheetView tabSelected="1" workbookViewId="0">
      <pane ySplit="2" topLeftCell="A975" activePane="bottomLeft" state="frozen"/>
      <selection pane="bottomLeft" activeCell="A986" sqref="A986"/>
    </sheetView>
  </sheetViews>
  <sheetFormatPr defaultColWidth="12.6640625" defaultRowHeight="15" customHeight="1" x14ac:dyDescent="0.25"/>
  <cols>
    <col min="3" max="3" width="12.6640625" style="66"/>
    <col min="12" max="12" width="25.21875" customWidth="1"/>
  </cols>
  <sheetData>
    <row r="1" spans="1:14" ht="15.75" customHeight="1" x14ac:dyDescent="0.25">
      <c r="A1" s="1" t="s">
        <v>0</v>
      </c>
      <c r="B1" s="1" t="s">
        <v>1</v>
      </c>
      <c r="C1" s="5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</row>
    <row r="2" spans="1:14" ht="15.75" customHeight="1" x14ac:dyDescent="0.25">
      <c r="A2" s="2" t="s">
        <v>13</v>
      </c>
      <c r="B2" s="2">
        <v>2023</v>
      </c>
      <c r="C2" s="60" t="s">
        <v>14</v>
      </c>
      <c r="D2" s="2" t="s">
        <v>15</v>
      </c>
      <c r="E2" s="2" t="s">
        <v>16</v>
      </c>
      <c r="F2" s="3">
        <v>43469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  <c r="N2" s="2" t="s">
        <v>23</v>
      </c>
    </row>
    <row r="3" spans="1:14" ht="15.75" customHeight="1" x14ac:dyDescent="0.25">
      <c r="A3" s="5">
        <v>1</v>
      </c>
      <c r="B3" s="5">
        <v>2023</v>
      </c>
      <c r="C3" s="61">
        <v>45197</v>
      </c>
      <c r="D3" s="5" t="s">
        <v>24</v>
      </c>
      <c r="E3" s="5" t="s">
        <v>25</v>
      </c>
      <c r="F3" s="5">
        <v>1</v>
      </c>
      <c r="G3" s="5" t="s">
        <v>26</v>
      </c>
      <c r="H3" s="5">
        <v>1</v>
      </c>
      <c r="I3" s="5">
        <v>1</v>
      </c>
      <c r="J3" s="5">
        <v>0</v>
      </c>
      <c r="K3" s="5" t="s">
        <v>27</v>
      </c>
      <c r="L3" s="7" t="str">
        <f>VLOOKUP(K3, 'Alphabetical by species code'!A:B, 2, FALSE)</f>
        <v>Litter</v>
      </c>
      <c r="M3" s="7" t="str">
        <f>VLOOKUP(L3, 'Alphabetical by species code'!B:C, 2, FALSE)</f>
        <v>Ground Cover</v>
      </c>
    </row>
    <row r="4" spans="1:14" ht="15.75" customHeight="1" x14ac:dyDescent="0.25">
      <c r="A4" s="5">
        <v>1</v>
      </c>
      <c r="B4" s="5">
        <v>2023</v>
      </c>
      <c r="C4" s="61">
        <v>45197</v>
      </c>
      <c r="D4" s="5" t="s">
        <v>24</v>
      </c>
      <c r="E4" s="5" t="s">
        <v>25</v>
      </c>
      <c r="F4" s="5">
        <v>1</v>
      </c>
      <c r="G4" s="5" t="s">
        <v>26</v>
      </c>
      <c r="H4" s="5">
        <v>1</v>
      </c>
      <c r="I4" s="5">
        <v>1</v>
      </c>
      <c r="J4" s="5">
        <v>0</v>
      </c>
      <c r="K4" s="5" t="s">
        <v>28</v>
      </c>
      <c r="L4" s="7" t="str">
        <f>VLOOKUP(K4, 'Alphabetical by species code'!A:B, 2, FALSE)</f>
        <v>Stephanomeria diegensis</v>
      </c>
      <c r="M4" s="7" t="str">
        <f>VLOOKUP(L4, 'Alphabetical by species code'!B:C, 2, FALSE)</f>
        <v>Native</v>
      </c>
    </row>
    <row r="5" spans="1:14" ht="15.75" customHeight="1" x14ac:dyDescent="0.25">
      <c r="A5" s="5">
        <v>1</v>
      </c>
      <c r="B5" s="5">
        <v>2023</v>
      </c>
      <c r="C5" s="61">
        <v>45197</v>
      </c>
      <c r="D5" s="5" t="s">
        <v>24</v>
      </c>
      <c r="E5" s="5" t="s">
        <v>25</v>
      </c>
      <c r="F5" s="5">
        <v>1</v>
      </c>
      <c r="G5" s="5" t="s">
        <v>26</v>
      </c>
      <c r="H5" s="5">
        <v>2</v>
      </c>
      <c r="I5" s="5">
        <v>1</v>
      </c>
      <c r="J5" s="5">
        <v>1</v>
      </c>
      <c r="K5" s="5" t="s">
        <v>27</v>
      </c>
      <c r="L5" s="7" t="str">
        <f>VLOOKUP(K5, 'Alphabetical by species code'!A:B, 2, FALSE)</f>
        <v>Litter</v>
      </c>
      <c r="M5" s="7" t="str">
        <f>VLOOKUP(L5, 'Alphabetical by species code'!B:C, 2, FALSE)</f>
        <v>Ground Cover</v>
      </c>
    </row>
    <row r="6" spans="1:14" ht="15.75" customHeight="1" x14ac:dyDescent="0.25">
      <c r="A6" s="5">
        <v>1</v>
      </c>
      <c r="B6" s="5">
        <v>2023</v>
      </c>
      <c r="C6" s="61">
        <v>45197</v>
      </c>
      <c r="D6" s="5" t="s">
        <v>24</v>
      </c>
      <c r="E6" s="5" t="s">
        <v>25</v>
      </c>
      <c r="F6" s="5">
        <v>1</v>
      </c>
      <c r="G6" s="5" t="s">
        <v>26</v>
      </c>
      <c r="H6" s="5">
        <v>2</v>
      </c>
      <c r="I6" s="5">
        <v>1</v>
      </c>
      <c r="J6" s="5">
        <v>1</v>
      </c>
      <c r="K6" s="5" t="s">
        <v>29</v>
      </c>
      <c r="L6" s="7" t="str">
        <f>VLOOKUP(K6, 'Alphabetical by species code'!A:B, 2, FALSE)</f>
        <v>Opuntia littoralis</v>
      </c>
      <c r="M6" s="7" t="str">
        <f>VLOOKUP(L6, 'Alphabetical by species code'!B:C, 2, FALSE)</f>
        <v>Native</v>
      </c>
    </row>
    <row r="7" spans="1:14" ht="15.75" customHeight="1" x14ac:dyDescent="0.25">
      <c r="A7" s="5">
        <v>1</v>
      </c>
      <c r="B7" s="5">
        <v>2023</v>
      </c>
      <c r="C7" s="61">
        <v>45197</v>
      </c>
      <c r="D7" s="5" t="s">
        <v>24</v>
      </c>
      <c r="E7" s="5" t="s">
        <v>25</v>
      </c>
      <c r="F7" s="5">
        <v>1</v>
      </c>
      <c r="G7" s="5" t="s">
        <v>26</v>
      </c>
      <c r="H7" s="5">
        <v>2</v>
      </c>
      <c r="I7" s="5">
        <v>1</v>
      </c>
      <c r="J7" s="5">
        <v>1</v>
      </c>
      <c r="K7" s="5" t="s">
        <v>30</v>
      </c>
      <c r="L7" s="7" t="str">
        <f>VLOOKUP(K7, 'Alphabetical by species code'!A:B, 2, FALSE)</f>
        <v>Non Native Grass</v>
      </c>
      <c r="M7" s="7" t="str">
        <f>VLOOKUP(L7, 'Alphabetical by species code'!B:C, 2, FALSE)</f>
        <v>Non-Native</v>
      </c>
      <c r="N7" s="7" t="s">
        <v>31</v>
      </c>
    </row>
    <row r="8" spans="1:14" ht="15.75" customHeight="1" x14ac:dyDescent="0.25">
      <c r="A8" s="5">
        <v>1</v>
      </c>
      <c r="B8" s="5">
        <v>2023</v>
      </c>
      <c r="C8" s="61">
        <v>45197</v>
      </c>
      <c r="D8" s="5" t="s">
        <v>24</v>
      </c>
      <c r="E8" s="5" t="s">
        <v>25</v>
      </c>
      <c r="F8" s="5">
        <v>1</v>
      </c>
      <c r="G8" s="5" t="s">
        <v>26</v>
      </c>
      <c r="H8" s="5">
        <v>3</v>
      </c>
      <c r="I8" s="5">
        <v>1</v>
      </c>
      <c r="J8" s="5">
        <v>1.5</v>
      </c>
      <c r="K8" s="5" t="s">
        <v>32</v>
      </c>
      <c r="L8" s="7" t="str">
        <f>VLOOKUP(K8, 'Alphabetical by species code'!A:B, 2, FALSE)</f>
        <v>Rock</v>
      </c>
      <c r="M8" s="7" t="str">
        <f>VLOOKUP(L8, 'Alphabetical by species code'!B:C, 2, FALSE)</f>
        <v>Ground Cover</v>
      </c>
    </row>
    <row r="9" spans="1:14" ht="15.75" customHeight="1" x14ac:dyDescent="0.25">
      <c r="A9" s="5">
        <v>1</v>
      </c>
      <c r="B9" s="5">
        <v>2023</v>
      </c>
      <c r="C9" s="61">
        <v>45197</v>
      </c>
      <c r="D9" s="5" t="s">
        <v>24</v>
      </c>
      <c r="E9" s="5" t="s">
        <v>25</v>
      </c>
      <c r="F9" s="5">
        <v>1</v>
      </c>
      <c r="G9" s="5" t="s">
        <v>26</v>
      </c>
      <c r="H9" s="5">
        <v>3</v>
      </c>
      <c r="I9" s="5">
        <v>1</v>
      </c>
      <c r="J9" s="5">
        <v>1.5</v>
      </c>
      <c r="K9" s="5" t="s">
        <v>28</v>
      </c>
      <c r="L9" s="7" t="str">
        <f>VLOOKUP(K9, 'Alphabetical by species code'!A:B, 2, FALSE)</f>
        <v>Stephanomeria diegensis</v>
      </c>
      <c r="M9" s="7" t="str">
        <f>VLOOKUP(L9, 'Alphabetical by species code'!B:C, 2, FALSE)</f>
        <v>Native</v>
      </c>
    </row>
    <row r="10" spans="1:14" ht="15.75" customHeight="1" x14ac:dyDescent="0.25">
      <c r="A10" s="5">
        <v>1</v>
      </c>
      <c r="B10" s="5">
        <v>2023</v>
      </c>
      <c r="C10" s="61">
        <v>45197</v>
      </c>
      <c r="D10" s="5" t="s">
        <v>24</v>
      </c>
      <c r="E10" s="5" t="s">
        <v>25</v>
      </c>
      <c r="F10" s="5">
        <v>1</v>
      </c>
      <c r="G10" s="5" t="s">
        <v>26</v>
      </c>
      <c r="H10" s="5">
        <v>4</v>
      </c>
      <c r="I10" s="5">
        <v>1</v>
      </c>
      <c r="J10" s="5">
        <v>2</v>
      </c>
      <c r="K10" s="5" t="s">
        <v>27</v>
      </c>
      <c r="L10" s="7" t="str">
        <f>VLOOKUP(K10, 'Alphabetical by species code'!A:B, 2, FALSE)</f>
        <v>Litter</v>
      </c>
      <c r="M10" s="7" t="str">
        <f>VLOOKUP(L10, 'Alphabetical by species code'!B:C, 2, FALSE)</f>
        <v>Ground Cover</v>
      </c>
    </row>
    <row r="11" spans="1:14" ht="15.75" customHeight="1" x14ac:dyDescent="0.25">
      <c r="A11" s="5">
        <v>1</v>
      </c>
      <c r="B11" s="5">
        <v>2023</v>
      </c>
      <c r="C11" s="61">
        <v>45197</v>
      </c>
      <c r="D11" s="5" t="s">
        <v>24</v>
      </c>
      <c r="E11" s="5" t="s">
        <v>25</v>
      </c>
      <c r="F11" s="5">
        <v>1</v>
      </c>
      <c r="G11" s="5" t="s">
        <v>26</v>
      </c>
      <c r="H11" s="5">
        <v>4</v>
      </c>
      <c r="I11" s="5">
        <v>1</v>
      </c>
      <c r="J11" s="5">
        <v>2</v>
      </c>
      <c r="K11" s="5" t="s">
        <v>28</v>
      </c>
      <c r="L11" s="7" t="str">
        <f>VLOOKUP(K11, 'Alphabetical by species code'!A:B, 2, FALSE)</f>
        <v>Stephanomeria diegensis</v>
      </c>
      <c r="M11" s="7" t="str">
        <f>VLOOKUP(L11, 'Alphabetical by species code'!B:C, 2, FALSE)</f>
        <v>Native</v>
      </c>
    </row>
    <row r="12" spans="1:14" ht="15.75" customHeight="1" x14ac:dyDescent="0.25">
      <c r="A12" s="5">
        <v>1</v>
      </c>
      <c r="B12" s="5">
        <v>2023</v>
      </c>
      <c r="C12" s="61">
        <v>45197</v>
      </c>
      <c r="D12" s="5" t="s">
        <v>24</v>
      </c>
      <c r="E12" s="5" t="s">
        <v>25</v>
      </c>
      <c r="F12" s="5">
        <v>1</v>
      </c>
      <c r="G12" s="5" t="s">
        <v>26</v>
      </c>
      <c r="H12" s="5">
        <v>5</v>
      </c>
      <c r="I12" s="5">
        <v>1</v>
      </c>
      <c r="J12" s="5">
        <v>3</v>
      </c>
      <c r="K12" s="5" t="s">
        <v>32</v>
      </c>
      <c r="L12" s="7" t="str">
        <f>VLOOKUP(K12, 'Alphabetical by species code'!A:B, 2, FALSE)</f>
        <v>Rock</v>
      </c>
      <c r="M12" s="7" t="str">
        <f>VLOOKUP(L12, 'Alphabetical by species code'!B:C, 2, FALSE)</f>
        <v>Ground Cover</v>
      </c>
      <c r="N12" s="5"/>
    </row>
    <row r="13" spans="1:14" ht="15.75" customHeight="1" x14ac:dyDescent="0.25">
      <c r="A13" s="5">
        <v>1</v>
      </c>
      <c r="B13" s="5">
        <v>2023</v>
      </c>
      <c r="C13" s="61">
        <v>45197</v>
      </c>
      <c r="D13" s="5" t="s">
        <v>24</v>
      </c>
      <c r="E13" s="5" t="s">
        <v>25</v>
      </c>
      <c r="F13" s="5">
        <v>1</v>
      </c>
      <c r="G13" s="5" t="s">
        <v>26</v>
      </c>
      <c r="H13" s="5">
        <v>6</v>
      </c>
      <c r="I13" s="5">
        <v>1</v>
      </c>
      <c r="J13" s="5">
        <v>3.5</v>
      </c>
      <c r="K13" s="5" t="s">
        <v>32</v>
      </c>
      <c r="L13" s="7" t="str">
        <f>VLOOKUP(K13, 'Alphabetical by species code'!A:B, 2, FALSE)</f>
        <v>Rock</v>
      </c>
      <c r="M13" s="7" t="str">
        <f>VLOOKUP(L13, 'Alphabetical by species code'!B:C, 2, FALSE)</f>
        <v>Ground Cover</v>
      </c>
    </row>
    <row r="14" spans="1:14" ht="15.75" customHeight="1" x14ac:dyDescent="0.25">
      <c r="A14" s="5">
        <v>1</v>
      </c>
      <c r="B14" s="5">
        <v>2023</v>
      </c>
      <c r="C14" s="61">
        <v>45197</v>
      </c>
      <c r="D14" s="5" t="s">
        <v>24</v>
      </c>
      <c r="E14" s="5" t="s">
        <v>25</v>
      </c>
      <c r="F14" s="5">
        <v>1</v>
      </c>
      <c r="G14" s="5" t="s">
        <v>26</v>
      </c>
      <c r="H14" s="5">
        <v>6</v>
      </c>
      <c r="I14" s="5">
        <v>1</v>
      </c>
      <c r="J14" s="5">
        <v>3.5</v>
      </c>
      <c r="K14" s="5" t="s">
        <v>30</v>
      </c>
      <c r="L14" s="7" t="str">
        <f>VLOOKUP(K14, 'Alphabetical by species code'!A:B, 2, FALSE)</f>
        <v>Non Native Grass</v>
      </c>
      <c r="M14" s="7" t="str">
        <f>VLOOKUP(L14, 'Alphabetical by species code'!B:C, 2, FALSE)</f>
        <v>Non-Native</v>
      </c>
    </row>
    <row r="15" spans="1:14" ht="15.75" customHeight="1" x14ac:dyDescent="0.25">
      <c r="A15" s="5">
        <v>1</v>
      </c>
      <c r="B15" s="5">
        <v>2023</v>
      </c>
      <c r="C15" s="61">
        <v>45197</v>
      </c>
      <c r="D15" s="5" t="s">
        <v>24</v>
      </c>
      <c r="E15" s="5" t="s">
        <v>25</v>
      </c>
      <c r="F15" s="5">
        <v>1</v>
      </c>
      <c r="G15" s="5" t="s">
        <v>26</v>
      </c>
      <c r="H15" s="5">
        <v>6</v>
      </c>
      <c r="I15" s="5">
        <v>1</v>
      </c>
      <c r="J15" s="5">
        <v>3.5</v>
      </c>
      <c r="K15" s="5" t="s">
        <v>28</v>
      </c>
      <c r="L15" s="7" t="str">
        <f>VLOOKUP(K15, 'Alphabetical by species code'!A:B, 2, FALSE)</f>
        <v>Stephanomeria diegensis</v>
      </c>
      <c r="M15" s="7" t="str">
        <f>VLOOKUP(L15, 'Alphabetical by species code'!B:C, 2, FALSE)</f>
        <v>Native</v>
      </c>
    </row>
    <row r="16" spans="1:14" ht="15.75" customHeight="1" x14ac:dyDescent="0.25">
      <c r="A16" s="5">
        <v>1</v>
      </c>
      <c r="B16" s="5">
        <v>2023</v>
      </c>
      <c r="C16" s="61">
        <v>45197</v>
      </c>
      <c r="D16" s="5" t="s">
        <v>24</v>
      </c>
      <c r="E16" s="5" t="s">
        <v>25</v>
      </c>
      <c r="F16" s="5">
        <v>1</v>
      </c>
      <c r="G16" s="5" t="s">
        <v>26</v>
      </c>
      <c r="H16" s="5">
        <v>7</v>
      </c>
      <c r="I16" s="5">
        <v>1</v>
      </c>
      <c r="J16" s="5">
        <v>4</v>
      </c>
      <c r="K16" s="5" t="s">
        <v>27</v>
      </c>
      <c r="L16" s="7" t="str">
        <f>VLOOKUP(K16, 'Alphabetical by species code'!A:B, 2, FALSE)</f>
        <v>Litter</v>
      </c>
      <c r="M16" s="7" t="str">
        <f>VLOOKUP(L16, 'Alphabetical by species code'!B:C, 2, FALSE)</f>
        <v>Ground Cover</v>
      </c>
    </row>
    <row r="17" spans="1:13" ht="15.75" customHeight="1" x14ac:dyDescent="0.25">
      <c r="A17" s="5">
        <v>1</v>
      </c>
      <c r="B17" s="5">
        <v>2023</v>
      </c>
      <c r="C17" s="61">
        <v>45197</v>
      </c>
      <c r="D17" s="5" t="s">
        <v>24</v>
      </c>
      <c r="E17" s="5" t="s">
        <v>25</v>
      </c>
      <c r="F17" s="5">
        <v>1</v>
      </c>
      <c r="G17" s="5" t="s">
        <v>26</v>
      </c>
      <c r="H17" s="5">
        <v>8</v>
      </c>
      <c r="I17" s="5">
        <v>1</v>
      </c>
      <c r="J17" s="5">
        <v>5</v>
      </c>
      <c r="K17" s="5" t="s">
        <v>27</v>
      </c>
      <c r="L17" s="7" t="str">
        <f>VLOOKUP(K17, 'Alphabetical by species code'!A:B, 2, FALSE)</f>
        <v>Litter</v>
      </c>
      <c r="M17" s="7" t="str">
        <f>VLOOKUP(L17, 'Alphabetical by species code'!B:C, 2, FALSE)</f>
        <v>Ground Cover</v>
      </c>
    </row>
    <row r="18" spans="1:13" ht="15.75" customHeight="1" x14ac:dyDescent="0.25">
      <c r="A18" s="5">
        <v>1</v>
      </c>
      <c r="B18" s="5">
        <v>2023</v>
      </c>
      <c r="C18" s="61">
        <v>45197</v>
      </c>
      <c r="D18" s="5" t="s">
        <v>24</v>
      </c>
      <c r="E18" s="5" t="s">
        <v>25</v>
      </c>
      <c r="F18" s="5">
        <v>1</v>
      </c>
      <c r="G18" s="5" t="s">
        <v>26</v>
      </c>
      <c r="H18" s="5">
        <v>9</v>
      </c>
      <c r="I18" s="5">
        <v>1</v>
      </c>
      <c r="J18" s="5">
        <v>7</v>
      </c>
      <c r="K18" s="5" t="s">
        <v>27</v>
      </c>
      <c r="L18" s="7" t="str">
        <f>VLOOKUP(K18, 'Alphabetical by species code'!A:B, 2, FALSE)</f>
        <v>Litter</v>
      </c>
      <c r="M18" s="7" t="str">
        <f>VLOOKUP(L18, 'Alphabetical by species code'!B:C, 2, FALSE)</f>
        <v>Ground Cover</v>
      </c>
    </row>
    <row r="19" spans="1:13" ht="15.75" customHeight="1" x14ac:dyDescent="0.25">
      <c r="A19" s="5">
        <v>1</v>
      </c>
      <c r="B19" s="5">
        <v>2023</v>
      </c>
      <c r="C19" s="61">
        <v>45197</v>
      </c>
      <c r="D19" s="5" t="s">
        <v>24</v>
      </c>
      <c r="E19" s="5" t="s">
        <v>25</v>
      </c>
      <c r="F19" s="5">
        <v>1</v>
      </c>
      <c r="G19" s="5" t="s">
        <v>26</v>
      </c>
      <c r="H19" s="5">
        <v>9</v>
      </c>
      <c r="I19" s="5">
        <v>1</v>
      </c>
      <c r="J19" s="5">
        <v>7</v>
      </c>
      <c r="K19" s="5" t="s">
        <v>28</v>
      </c>
      <c r="L19" s="7" t="str">
        <f>VLOOKUP(K19, 'Alphabetical by species code'!A:B, 2, FALSE)</f>
        <v>Stephanomeria diegensis</v>
      </c>
      <c r="M19" s="7" t="str">
        <f>VLOOKUP(L19, 'Alphabetical by species code'!B:C, 2, FALSE)</f>
        <v>Native</v>
      </c>
    </row>
    <row r="20" spans="1:13" ht="15.75" customHeight="1" x14ac:dyDescent="0.25">
      <c r="A20" s="5">
        <v>1</v>
      </c>
      <c r="B20" s="5">
        <v>2023</v>
      </c>
      <c r="C20" s="61">
        <v>45197</v>
      </c>
      <c r="D20" s="5" t="s">
        <v>24</v>
      </c>
      <c r="E20" s="5" t="s">
        <v>25</v>
      </c>
      <c r="F20" s="5">
        <v>1</v>
      </c>
      <c r="G20" s="5" t="s">
        <v>26</v>
      </c>
      <c r="H20" s="5">
        <v>10</v>
      </c>
      <c r="I20" s="5">
        <v>1</v>
      </c>
      <c r="J20" s="5">
        <v>8</v>
      </c>
      <c r="K20" s="5" t="s">
        <v>27</v>
      </c>
      <c r="L20" s="7" t="str">
        <f>VLOOKUP(K20, 'Alphabetical by species code'!A:B, 2, FALSE)</f>
        <v>Litter</v>
      </c>
      <c r="M20" s="7" t="str">
        <f>VLOOKUP(L20, 'Alphabetical by species code'!B:C, 2, FALSE)</f>
        <v>Ground Cover</v>
      </c>
    </row>
    <row r="21" spans="1:13" ht="15.75" customHeight="1" x14ac:dyDescent="0.25">
      <c r="A21" s="5">
        <v>1</v>
      </c>
      <c r="B21" s="5">
        <v>2023</v>
      </c>
      <c r="C21" s="61">
        <v>45197</v>
      </c>
      <c r="D21" s="5" t="s">
        <v>24</v>
      </c>
      <c r="E21" s="5" t="s">
        <v>25</v>
      </c>
      <c r="F21" s="5">
        <v>1</v>
      </c>
      <c r="G21" s="5" t="s">
        <v>26</v>
      </c>
      <c r="H21" s="5">
        <v>10</v>
      </c>
      <c r="I21" s="5">
        <v>1</v>
      </c>
      <c r="J21" s="5">
        <v>8</v>
      </c>
      <c r="K21" s="5" t="s">
        <v>28</v>
      </c>
      <c r="L21" s="7" t="str">
        <f>VLOOKUP(K21, 'Alphabetical by species code'!A:B, 2, FALSE)</f>
        <v>Stephanomeria diegensis</v>
      </c>
      <c r="M21" s="7" t="str">
        <f>VLOOKUP(L21, 'Alphabetical by species code'!B:C, 2, FALSE)</f>
        <v>Native</v>
      </c>
    </row>
    <row r="22" spans="1:13" ht="15.75" customHeight="1" x14ac:dyDescent="0.25">
      <c r="A22" s="5">
        <v>1</v>
      </c>
      <c r="B22" s="5">
        <v>2023</v>
      </c>
      <c r="C22" s="61">
        <v>45197</v>
      </c>
      <c r="D22" s="5" t="s">
        <v>24</v>
      </c>
      <c r="E22" s="5" t="s">
        <v>25</v>
      </c>
      <c r="F22" s="5">
        <v>1</v>
      </c>
      <c r="G22" s="5" t="s">
        <v>26</v>
      </c>
      <c r="H22" s="5">
        <v>11</v>
      </c>
      <c r="I22" s="5">
        <v>1</v>
      </c>
      <c r="J22" s="5">
        <v>8.5</v>
      </c>
      <c r="K22" s="5" t="s">
        <v>27</v>
      </c>
      <c r="L22" s="7" t="str">
        <f>VLOOKUP(K22, 'Alphabetical by species code'!A:B, 2, FALSE)</f>
        <v>Litter</v>
      </c>
      <c r="M22" s="7" t="str">
        <f>VLOOKUP(L22, 'Alphabetical by species code'!B:C, 2, FALSE)</f>
        <v>Ground Cover</v>
      </c>
    </row>
    <row r="23" spans="1:13" ht="15.75" customHeight="1" x14ac:dyDescent="0.25">
      <c r="A23" s="5">
        <v>1</v>
      </c>
      <c r="B23" s="5">
        <v>2023</v>
      </c>
      <c r="C23" s="61">
        <v>45197</v>
      </c>
      <c r="D23" s="5" t="s">
        <v>24</v>
      </c>
      <c r="E23" s="5" t="s">
        <v>25</v>
      </c>
      <c r="F23" s="5">
        <v>1</v>
      </c>
      <c r="G23" s="5" t="s">
        <v>26</v>
      </c>
      <c r="H23" s="5">
        <v>11</v>
      </c>
      <c r="I23" s="5">
        <v>1</v>
      </c>
      <c r="J23" s="5">
        <v>8.5</v>
      </c>
      <c r="K23" s="5" t="s">
        <v>28</v>
      </c>
      <c r="L23" s="7" t="str">
        <f>VLOOKUP(K23, 'Alphabetical by species code'!A:B, 2, FALSE)</f>
        <v>Stephanomeria diegensis</v>
      </c>
      <c r="M23" s="7" t="str">
        <f>VLOOKUP(L23, 'Alphabetical by species code'!B:C, 2, FALSE)</f>
        <v>Native</v>
      </c>
    </row>
    <row r="24" spans="1:13" ht="15.75" customHeight="1" x14ac:dyDescent="0.25">
      <c r="A24" s="5">
        <v>1</v>
      </c>
      <c r="B24" s="5">
        <v>2023</v>
      </c>
      <c r="C24" s="61">
        <v>45197</v>
      </c>
      <c r="D24" s="5" t="s">
        <v>24</v>
      </c>
      <c r="E24" s="5" t="s">
        <v>25</v>
      </c>
      <c r="F24" s="5">
        <v>1</v>
      </c>
      <c r="G24" s="5" t="s">
        <v>26</v>
      </c>
      <c r="H24" s="5">
        <v>12</v>
      </c>
      <c r="I24" s="5">
        <v>1</v>
      </c>
      <c r="J24" s="5">
        <v>9</v>
      </c>
      <c r="K24" s="5" t="s">
        <v>27</v>
      </c>
      <c r="L24" s="7" t="str">
        <f>VLOOKUP(K24, 'Alphabetical by species code'!A:B, 2, FALSE)</f>
        <v>Litter</v>
      </c>
      <c r="M24" s="7" t="str">
        <f>VLOOKUP(L24, 'Alphabetical by species code'!B:C, 2, FALSE)</f>
        <v>Ground Cover</v>
      </c>
    </row>
    <row r="25" spans="1:13" ht="15.75" customHeight="1" x14ac:dyDescent="0.25">
      <c r="A25" s="5">
        <v>1</v>
      </c>
      <c r="B25" s="5">
        <v>2023</v>
      </c>
      <c r="C25" s="61">
        <v>45197</v>
      </c>
      <c r="D25" s="5" t="s">
        <v>24</v>
      </c>
      <c r="E25" s="5" t="s">
        <v>25</v>
      </c>
      <c r="F25" s="5">
        <v>1</v>
      </c>
      <c r="G25" s="5" t="s">
        <v>26</v>
      </c>
      <c r="H25" s="5">
        <v>12</v>
      </c>
      <c r="I25" s="5">
        <v>1</v>
      </c>
      <c r="J25" s="5">
        <v>9</v>
      </c>
      <c r="K25" s="5" t="s">
        <v>28</v>
      </c>
      <c r="L25" s="7" t="str">
        <f>VLOOKUP(K25, 'Alphabetical by species code'!A:B, 2, FALSE)</f>
        <v>Stephanomeria diegensis</v>
      </c>
      <c r="M25" s="7" t="str">
        <f>VLOOKUP(L25, 'Alphabetical by species code'!B:C, 2, FALSE)</f>
        <v>Native</v>
      </c>
    </row>
    <row r="26" spans="1:13" ht="15.75" customHeight="1" x14ac:dyDescent="0.25">
      <c r="A26" s="5">
        <v>1</v>
      </c>
      <c r="B26" s="5">
        <v>2023</v>
      </c>
      <c r="C26" s="61">
        <v>45197</v>
      </c>
      <c r="D26" s="5" t="s">
        <v>24</v>
      </c>
      <c r="E26" s="5" t="s">
        <v>25</v>
      </c>
      <c r="F26" s="5">
        <v>1</v>
      </c>
      <c r="G26" s="5" t="s">
        <v>26</v>
      </c>
      <c r="H26" s="5">
        <v>13</v>
      </c>
      <c r="I26" s="5">
        <v>1</v>
      </c>
      <c r="J26" s="5">
        <v>10</v>
      </c>
      <c r="K26" s="5" t="s">
        <v>27</v>
      </c>
      <c r="L26" s="7" t="str">
        <f>VLOOKUP(K26, 'Alphabetical by species code'!A:B, 2, FALSE)</f>
        <v>Litter</v>
      </c>
      <c r="M26" s="7" t="str">
        <f>VLOOKUP(L26, 'Alphabetical by species code'!B:C, 2, FALSE)</f>
        <v>Ground Cover</v>
      </c>
    </row>
    <row r="27" spans="1:13" ht="15.75" customHeight="1" x14ac:dyDescent="0.25">
      <c r="A27" s="5">
        <v>1</v>
      </c>
      <c r="B27" s="5">
        <v>2023</v>
      </c>
      <c r="C27" s="61">
        <v>45197</v>
      </c>
      <c r="D27" s="5" t="s">
        <v>24</v>
      </c>
      <c r="E27" s="5" t="s">
        <v>25</v>
      </c>
      <c r="F27" s="5">
        <v>1</v>
      </c>
      <c r="G27" s="5" t="s">
        <v>26</v>
      </c>
      <c r="H27" s="5">
        <v>13</v>
      </c>
      <c r="I27" s="5">
        <v>1</v>
      </c>
      <c r="J27" s="5">
        <v>10</v>
      </c>
      <c r="K27" s="5" t="s">
        <v>28</v>
      </c>
      <c r="L27" s="7" t="str">
        <f>VLOOKUP(K27, 'Alphabetical by species code'!A:B, 2, FALSE)</f>
        <v>Stephanomeria diegensis</v>
      </c>
      <c r="M27" s="7" t="str">
        <f>VLOOKUP(L27, 'Alphabetical by species code'!B:C, 2, FALSE)</f>
        <v>Native</v>
      </c>
    </row>
    <row r="28" spans="1:13" ht="15.75" customHeight="1" x14ac:dyDescent="0.25">
      <c r="A28" s="5">
        <v>1</v>
      </c>
      <c r="B28" s="5">
        <v>2023</v>
      </c>
      <c r="C28" s="61">
        <v>45197</v>
      </c>
      <c r="D28" s="5" t="s">
        <v>24</v>
      </c>
      <c r="E28" s="5" t="s">
        <v>25</v>
      </c>
      <c r="F28" s="5">
        <v>1</v>
      </c>
      <c r="G28" s="5" t="s">
        <v>26</v>
      </c>
      <c r="H28" s="5">
        <v>14</v>
      </c>
      <c r="I28" s="5">
        <v>1</v>
      </c>
      <c r="J28" s="5">
        <v>11</v>
      </c>
      <c r="K28" s="5" t="s">
        <v>27</v>
      </c>
      <c r="L28" s="7" t="str">
        <f>VLOOKUP(K28, 'Alphabetical by species code'!A:B, 2, FALSE)</f>
        <v>Litter</v>
      </c>
      <c r="M28" s="7" t="str">
        <f>VLOOKUP(L28, 'Alphabetical by species code'!B:C, 2, FALSE)</f>
        <v>Ground Cover</v>
      </c>
    </row>
    <row r="29" spans="1:13" ht="15.75" customHeight="1" x14ac:dyDescent="0.25">
      <c r="A29" s="5">
        <v>1</v>
      </c>
      <c r="B29" s="5">
        <v>2023</v>
      </c>
      <c r="C29" s="61">
        <v>45197</v>
      </c>
      <c r="D29" s="5" t="s">
        <v>24</v>
      </c>
      <c r="E29" s="5" t="s">
        <v>25</v>
      </c>
      <c r="F29" s="5">
        <v>1</v>
      </c>
      <c r="G29" s="5" t="s">
        <v>26</v>
      </c>
      <c r="H29" s="5">
        <v>15</v>
      </c>
      <c r="I29" s="5">
        <v>1</v>
      </c>
      <c r="J29" s="5">
        <v>12</v>
      </c>
      <c r="K29" s="5" t="s">
        <v>27</v>
      </c>
      <c r="L29" s="7" t="str">
        <f>VLOOKUP(K29, 'Alphabetical by species code'!A:B, 2, FALSE)</f>
        <v>Litter</v>
      </c>
      <c r="M29" s="7" t="str">
        <f>VLOOKUP(L29, 'Alphabetical by species code'!B:C, 2, FALSE)</f>
        <v>Ground Cover</v>
      </c>
    </row>
    <row r="30" spans="1:13" ht="15.75" customHeight="1" x14ac:dyDescent="0.25">
      <c r="A30" s="5">
        <v>1</v>
      </c>
      <c r="B30" s="5">
        <v>2023</v>
      </c>
      <c r="C30" s="61">
        <v>45197</v>
      </c>
      <c r="D30" s="5" t="s">
        <v>24</v>
      </c>
      <c r="E30" s="5" t="s">
        <v>25</v>
      </c>
      <c r="F30" s="5">
        <v>1</v>
      </c>
      <c r="G30" s="5" t="s">
        <v>26</v>
      </c>
      <c r="H30" s="5">
        <v>1</v>
      </c>
      <c r="I30" s="5">
        <v>2</v>
      </c>
      <c r="J30" s="5">
        <v>0</v>
      </c>
      <c r="K30" s="5" t="s">
        <v>27</v>
      </c>
      <c r="L30" s="7" t="str">
        <f>VLOOKUP(K30, 'Alphabetical by species code'!A:B, 2, FALSE)</f>
        <v>Litter</v>
      </c>
      <c r="M30" s="7" t="str">
        <f>VLOOKUP(L30, 'Alphabetical by species code'!B:C, 2, FALSE)</f>
        <v>Ground Cover</v>
      </c>
    </row>
    <row r="31" spans="1:13" ht="15.75" customHeight="1" x14ac:dyDescent="0.25">
      <c r="A31" s="5">
        <v>1</v>
      </c>
      <c r="B31" s="5">
        <v>2023</v>
      </c>
      <c r="C31" s="61">
        <v>45197</v>
      </c>
      <c r="D31" s="5" t="s">
        <v>24</v>
      </c>
      <c r="E31" s="5" t="s">
        <v>25</v>
      </c>
      <c r="F31" s="5">
        <v>1</v>
      </c>
      <c r="G31" s="5" t="s">
        <v>26</v>
      </c>
      <c r="H31" s="5">
        <v>1</v>
      </c>
      <c r="I31" s="5">
        <v>2</v>
      </c>
      <c r="J31" s="5">
        <v>0</v>
      </c>
      <c r="K31" s="8" t="s">
        <v>33</v>
      </c>
      <c r="L31" s="7" t="str">
        <f>VLOOKUP(K31, 'Alphabetical by species code'!A:B, 2, FALSE)</f>
        <v>Cylindropuntia prolifera</v>
      </c>
      <c r="M31" s="7" t="str">
        <f>VLOOKUP(L31, 'Alphabetical by species code'!B:C, 2, FALSE)</f>
        <v>Native</v>
      </c>
    </row>
    <row r="32" spans="1:13" ht="15.75" customHeight="1" x14ac:dyDescent="0.25">
      <c r="A32" s="5">
        <v>1</v>
      </c>
      <c r="B32" s="5">
        <v>2023</v>
      </c>
      <c r="C32" s="61">
        <v>45197</v>
      </c>
      <c r="D32" s="5" t="s">
        <v>24</v>
      </c>
      <c r="E32" s="5" t="s">
        <v>25</v>
      </c>
      <c r="F32" s="5">
        <v>1</v>
      </c>
      <c r="G32" s="5" t="s">
        <v>26</v>
      </c>
      <c r="H32" s="5">
        <v>2</v>
      </c>
      <c r="I32" s="5">
        <v>2</v>
      </c>
      <c r="J32" s="5">
        <v>1</v>
      </c>
      <c r="K32" s="5" t="s">
        <v>27</v>
      </c>
      <c r="L32" s="7" t="str">
        <f>VLOOKUP(K32, 'Alphabetical by species code'!A:B, 2, FALSE)</f>
        <v>Litter</v>
      </c>
      <c r="M32" s="7" t="str">
        <f>VLOOKUP(L32, 'Alphabetical by species code'!B:C, 2, FALSE)</f>
        <v>Ground Cover</v>
      </c>
    </row>
    <row r="33" spans="1:13" ht="15.75" customHeight="1" x14ac:dyDescent="0.25">
      <c r="A33" s="5">
        <v>1</v>
      </c>
      <c r="B33" s="5">
        <v>2023</v>
      </c>
      <c r="C33" s="61">
        <v>45197</v>
      </c>
      <c r="D33" s="5" t="s">
        <v>24</v>
      </c>
      <c r="E33" s="5" t="s">
        <v>25</v>
      </c>
      <c r="F33" s="5">
        <v>1</v>
      </c>
      <c r="G33" s="5" t="s">
        <v>26</v>
      </c>
      <c r="H33" s="5">
        <v>2</v>
      </c>
      <c r="I33" s="5">
        <v>2</v>
      </c>
      <c r="J33" s="5">
        <v>1</v>
      </c>
      <c r="K33" s="5" t="s">
        <v>33</v>
      </c>
      <c r="L33" s="7" t="str">
        <f>VLOOKUP(K33, 'Alphabetical by species code'!A:B, 2, FALSE)</f>
        <v>Cylindropuntia prolifera</v>
      </c>
      <c r="M33" s="7" t="str">
        <f>VLOOKUP(L33, 'Alphabetical by species code'!B:C, 2, FALSE)</f>
        <v>Native</v>
      </c>
    </row>
    <row r="34" spans="1:13" ht="15.75" customHeight="1" x14ac:dyDescent="0.25">
      <c r="A34" s="5">
        <v>1</v>
      </c>
      <c r="B34" s="5">
        <v>2023</v>
      </c>
      <c r="C34" s="61">
        <v>45197</v>
      </c>
      <c r="D34" s="5" t="s">
        <v>24</v>
      </c>
      <c r="E34" s="5" t="s">
        <v>25</v>
      </c>
      <c r="F34" s="5">
        <v>1</v>
      </c>
      <c r="G34" s="5" t="s">
        <v>26</v>
      </c>
      <c r="H34" s="5">
        <v>2</v>
      </c>
      <c r="I34" s="5">
        <v>2</v>
      </c>
      <c r="J34" s="5">
        <v>1</v>
      </c>
      <c r="K34" s="5" t="s">
        <v>28</v>
      </c>
      <c r="L34" s="7" t="str">
        <f>VLOOKUP(K34, 'Alphabetical by species code'!A:B, 2, FALSE)</f>
        <v>Stephanomeria diegensis</v>
      </c>
      <c r="M34" s="7" t="str">
        <f>VLOOKUP(L34, 'Alphabetical by species code'!B:C, 2, FALSE)</f>
        <v>Native</v>
      </c>
    </row>
    <row r="35" spans="1:13" ht="15.75" customHeight="1" x14ac:dyDescent="0.25">
      <c r="A35" s="5">
        <v>1</v>
      </c>
      <c r="B35" s="5">
        <v>2023</v>
      </c>
      <c r="C35" s="61">
        <v>45197</v>
      </c>
      <c r="D35" s="5" t="s">
        <v>24</v>
      </c>
      <c r="E35" s="5" t="s">
        <v>25</v>
      </c>
      <c r="F35" s="5">
        <v>1</v>
      </c>
      <c r="G35" s="5" t="s">
        <v>26</v>
      </c>
      <c r="H35" s="5">
        <v>3</v>
      </c>
      <c r="I35" s="5">
        <v>2</v>
      </c>
      <c r="J35" s="5">
        <v>1.5</v>
      </c>
      <c r="K35" s="5" t="s">
        <v>27</v>
      </c>
      <c r="L35" s="7" t="str">
        <f>VLOOKUP(K35, 'Alphabetical by species code'!A:B, 2, FALSE)</f>
        <v>Litter</v>
      </c>
      <c r="M35" s="7" t="str">
        <f>VLOOKUP(L35, 'Alphabetical by species code'!B:C, 2, FALSE)</f>
        <v>Ground Cover</v>
      </c>
    </row>
    <row r="36" spans="1:13" ht="15.75" customHeight="1" x14ac:dyDescent="0.25">
      <c r="A36" s="5">
        <v>1</v>
      </c>
      <c r="B36" s="5">
        <v>2023</v>
      </c>
      <c r="C36" s="61">
        <v>45197</v>
      </c>
      <c r="D36" s="5" t="s">
        <v>24</v>
      </c>
      <c r="E36" s="5" t="s">
        <v>25</v>
      </c>
      <c r="F36" s="5">
        <v>1</v>
      </c>
      <c r="G36" s="5" t="s">
        <v>26</v>
      </c>
      <c r="H36" s="5">
        <v>3</v>
      </c>
      <c r="I36" s="5">
        <v>2</v>
      </c>
      <c r="J36" s="5">
        <v>1.5</v>
      </c>
      <c r="K36" s="5" t="s">
        <v>28</v>
      </c>
      <c r="L36" s="7" t="str">
        <f>VLOOKUP(K36, 'Alphabetical by species code'!A:B, 2, FALSE)</f>
        <v>Stephanomeria diegensis</v>
      </c>
      <c r="M36" s="7" t="str">
        <f>VLOOKUP(L36, 'Alphabetical by species code'!B:C, 2, FALSE)</f>
        <v>Native</v>
      </c>
    </row>
    <row r="37" spans="1:13" ht="15.75" customHeight="1" x14ac:dyDescent="0.25">
      <c r="A37" s="5">
        <v>1</v>
      </c>
      <c r="B37" s="5">
        <v>2023</v>
      </c>
      <c r="C37" s="61">
        <v>45197</v>
      </c>
      <c r="D37" s="5" t="s">
        <v>24</v>
      </c>
      <c r="E37" s="5" t="s">
        <v>25</v>
      </c>
      <c r="F37" s="5">
        <v>1</v>
      </c>
      <c r="G37" s="5" t="s">
        <v>26</v>
      </c>
      <c r="H37" s="5">
        <v>4</v>
      </c>
      <c r="I37" s="5">
        <v>2</v>
      </c>
      <c r="J37" s="5">
        <v>2</v>
      </c>
      <c r="K37" s="5" t="s">
        <v>27</v>
      </c>
      <c r="L37" s="7" t="str">
        <f>VLOOKUP(K37, 'Alphabetical by species code'!A:B, 2, FALSE)</f>
        <v>Litter</v>
      </c>
      <c r="M37" s="7" t="str">
        <f>VLOOKUP(L37, 'Alphabetical by species code'!B:C, 2, FALSE)</f>
        <v>Ground Cover</v>
      </c>
    </row>
    <row r="38" spans="1:13" ht="15.75" customHeight="1" x14ac:dyDescent="0.25">
      <c r="A38" s="5">
        <v>1</v>
      </c>
      <c r="B38" s="5">
        <v>2023</v>
      </c>
      <c r="C38" s="61">
        <v>45197</v>
      </c>
      <c r="D38" s="5" t="s">
        <v>24</v>
      </c>
      <c r="E38" s="5" t="s">
        <v>25</v>
      </c>
      <c r="F38" s="5">
        <v>1</v>
      </c>
      <c r="G38" s="5" t="s">
        <v>26</v>
      </c>
      <c r="H38" s="5">
        <v>4</v>
      </c>
      <c r="I38" s="5">
        <v>2</v>
      </c>
      <c r="J38" s="5">
        <v>2</v>
      </c>
      <c r="K38" s="5" t="s">
        <v>28</v>
      </c>
      <c r="L38" s="7" t="str">
        <f>VLOOKUP(K38, 'Alphabetical by species code'!A:B, 2, FALSE)</f>
        <v>Stephanomeria diegensis</v>
      </c>
      <c r="M38" s="7" t="str">
        <f>VLOOKUP(L38, 'Alphabetical by species code'!B:C, 2, FALSE)</f>
        <v>Native</v>
      </c>
    </row>
    <row r="39" spans="1:13" ht="15.75" customHeight="1" x14ac:dyDescent="0.25">
      <c r="A39" s="5">
        <v>1</v>
      </c>
      <c r="B39" s="5">
        <v>2023</v>
      </c>
      <c r="C39" s="61">
        <v>45197</v>
      </c>
      <c r="D39" s="5" t="s">
        <v>24</v>
      </c>
      <c r="E39" s="5" t="s">
        <v>25</v>
      </c>
      <c r="F39" s="5">
        <v>1</v>
      </c>
      <c r="G39" s="5" t="s">
        <v>26</v>
      </c>
      <c r="H39" s="5">
        <v>5</v>
      </c>
      <c r="I39" s="5">
        <v>2</v>
      </c>
      <c r="J39" s="5">
        <v>3</v>
      </c>
      <c r="K39" s="5" t="s">
        <v>27</v>
      </c>
      <c r="L39" s="7" t="str">
        <f>VLOOKUP(K39, 'Alphabetical by species code'!A:B, 2, FALSE)</f>
        <v>Litter</v>
      </c>
      <c r="M39" s="7" t="str">
        <f>VLOOKUP(L39, 'Alphabetical by species code'!B:C, 2, FALSE)</f>
        <v>Ground Cover</v>
      </c>
    </row>
    <row r="40" spans="1:13" ht="15.75" customHeight="1" x14ac:dyDescent="0.25">
      <c r="A40" s="5">
        <v>1</v>
      </c>
      <c r="B40" s="5">
        <v>2023</v>
      </c>
      <c r="C40" s="61">
        <v>45197</v>
      </c>
      <c r="D40" s="5" t="s">
        <v>24</v>
      </c>
      <c r="E40" s="5" t="s">
        <v>25</v>
      </c>
      <c r="F40" s="5">
        <v>1</v>
      </c>
      <c r="G40" s="5" t="s">
        <v>26</v>
      </c>
      <c r="H40" s="5">
        <v>5</v>
      </c>
      <c r="I40" s="5">
        <v>2</v>
      </c>
      <c r="J40" s="5">
        <v>3</v>
      </c>
      <c r="K40" s="5" t="s">
        <v>28</v>
      </c>
      <c r="L40" s="7" t="str">
        <f>VLOOKUP(K40, 'Alphabetical by species code'!A:B, 2, FALSE)</f>
        <v>Stephanomeria diegensis</v>
      </c>
      <c r="M40" s="7" t="str">
        <f>VLOOKUP(L40, 'Alphabetical by species code'!B:C, 2, FALSE)</f>
        <v>Native</v>
      </c>
    </row>
    <row r="41" spans="1:13" ht="15.75" customHeight="1" x14ac:dyDescent="0.25">
      <c r="A41" s="5">
        <v>1</v>
      </c>
      <c r="B41" s="5">
        <v>2023</v>
      </c>
      <c r="C41" s="61">
        <v>45197</v>
      </c>
      <c r="D41" s="5" t="s">
        <v>24</v>
      </c>
      <c r="E41" s="5" t="s">
        <v>25</v>
      </c>
      <c r="F41" s="5">
        <v>1</v>
      </c>
      <c r="G41" s="5" t="s">
        <v>26</v>
      </c>
      <c r="H41" s="5">
        <v>6</v>
      </c>
      <c r="I41" s="5">
        <v>2</v>
      </c>
      <c r="J41" s="5">
        <v>3.5</v>
      </c>
      <c r="K41" s="5" t="s">
        <v>27</v>
      </c>
      <c r="L41" s="7" t="str">
        <f>VLOOKUP(K41, 'Alphabetical by species code'!A:B, 2, FALSE)</f>
        <v>Litter</v>
      </c>
      <c r="M41" s="7" t="str">
        <f>VLOOKUP(L41, 'Alphabetical by species code'!B:C, 2, FALSE)</f>
        <v>Ground Cover</v>
      </c>
    </row>
    <row r="42" spans="1:13" ht="15.75" customHeight="1" x14ac:dyDescent="0.25">
      <c r="A42" s="5">
        <v>1</v>
      </c>
      <c r="B42" s="5">
        <v>2023</v>
      </c>
      <c r="C42" s="61">
        <v>45197</v>
      </c>
      <c r="D42" s="5" t="s">
        <v>24</v>
      </c>
      <c r="E42" s="5" t="s">
        <v>25</v>
      </c>
      <c r="F42" s="5">
        <v>1</v>
      </c>
      <c r="G42" s="5" t="s">
        <v>26</v>
      </c>
      <c r="H42" s="5">
        <v>7</v>
      </c>
      <c r="I42" s="5">
        <v>2</v>
      </c>
      <c r="J42" s="5">
        <v>4</v>
      </c>
      <c r="K42" s="5" t="s">
        <v>27</v>
      </c>
      <c r="L42" s="7" t="str">
        <f>VLOOKUP(K42, 'Alphabetical by species code'!A:B, 2, FALSE)</f>
        <v>Litter</v>
      </c>
      <c r="M42" s="7" t="str">
        <f>VLOOKUP(L42, 'Alphabetical by species code'!B:C, 2, FALSE)</f>
        <v>Ground Cover</v>
      </c>
    </row>
    <row r="43" spans="1:13" ht="15.75" customHeight="1" x14ac:dyDescent="0.25">
      <c r="A43" s="5">
        <v>1</v>
      </c>
      <c r="B43" s="5">
        <v>2023</v>
      </c>
      <c r="C43" s="61">
        <v>45197</v>
      </c>
      <c r="D43" s="5" t="s">
        <v>24</v>
      </c>
      <c r="E43" s="5" t="s">
        <v>25</v>
      </c>
      <c r="F43" s="5">
        <v>1</v>
      </c>
      <c r="G43" s="5" t="s">
        <v>26</v>
      </c>
      <c r="H43" s="5">
        <v>8</v>
      </c>
      <c r="I43" s="5">
        <v>2</v>
      </c>
      <c r="J43" s="5">
        <v>5</v>
      </c>
      <c r="K43" s="5" t="s">
        <v>27</v>
      </c>
      <c r="L43" s="7" t="str">
        <f>VLOOKUP(K43, 'Alphabetical by species code'!A:B, 2, FALSE)</f>
        <v>Litter</v>
      </c>
      <c r="M43" s="7" t="str">
        <f>VLOOKUP(L43, 'Alphabetical by species code'!B:C, 2, FALSE)</f>
        <v>Ground Cover</v>
      </c>
    </row>
    <row r="44" spans="1:13" ht="15.75" customHeight="1" x14ac:dyDescent="0.25">
      <c r="A44" s="5">
        <v>1</v>
      </c>
      <c r="B44" s="5">
        <v>2023</v>
      </c>
      <c r="C44" s="61">
        <v>45197</v>
      </c>
      <c r="D44" s="5" t="s">
        <v>24</v>
      </c>
      <c r="E44" s="5" t="s">
        <v>25</v>
      </c>
      <c r="F44" s="5">
        <v>1</v>
      </c>
      <c r="G44" s="5" t="s">
        <v>26</v>
      </c>
      <c r="H44" s="5">
        <v>8</v>
      </c>
      <c r="I44" s="5">
        <v>2</v>
      </c>
      <c r="J44" s="5">
        <v>5</v>
      </c>
      <c r="K44" s="5" t="s">
        <v>34</v>
      </c>
      <c r="L44" s="7" t="str">
        <f>VLOOKUP(K44, 'Alphabetical by species code'!A:B, 2, FALSE)</f>
        <v>Centaurea melitensis</v>
      </c>
      <c r="M44" s="7" t="str">
        <f>VLOOKUP(L44, 'Alphabetical by species code'!B:C, 2, FALSE)</f>
        <v>Non-Native</v>
      </c>
    </row>
    <row r="45" spans="1:13" ht="15.75" customHeight="1" x14ac:dyDescent="0.25">
      <c r="A45" s="5">
        <v>1</v>
      </c>
      <c r="B45" s="5">
        <v>2023</v>
      </c>
      <c r="C45" s="61">
        <v>45197</v>
      </c>
      <c r="D45" s="5" t="s">
        <v>24</v>
      </c>
      <c r="E45" s="5" t="s">
        <v>25</v>
      </c>
      <c r="F45" s="5">
        <v>1</v>
      </c>
      <c r="G45" s="5" t="s">
        <v>26</v>
      </c>
      <c r="H45" s="5">
        <v>9</v>
      </c>
      <c r="I45" s="5">
        <v>2</v>
      </c>
      <c r="J45" s="5">
        <v>7</v>
      </c>
      <c r="K45" s="5" t="s">
        <v>27</v>
      </c>
      <c r="L45" s="7" t="str">
        <f>VLOOKUP(K45, 'Alphabetical by species code'!A:B, 2, FALSE)</f>
        <v>Litter</v>
      </c>
      <c r="M45" s="7" t="str">
        <f>VLOOKUP(L45, 'Alphabetical by species code'!B:C, 2, FALSE)</f>
        <v>Ground Cover</v>
      </c>
    </row>
    <row r="46" spans="1:13" ht="15.75" customHeight="1" x14ac:dyDescent="0.25">
      <c r="A46" s="5">
        <v>1</v>
      </c>
      <c r="B46" s="5">
        <v>2023</v>
      </c>
      <c r="C46" s="61">
        <v>45197</v>
      </c>
      <c r="D46" s="5" t="s">
        <v>24</v>
      </c>
      <c r="E46" s="5" t="s">
        <v>25</v>
      </c>
      <c r="F46" s="5">
        <v>1</v>
      </c>
      <c r="G46" s="5" t="s">
        <v>26</v>
      </c>
      <c r="H46" s="5">
        <v>9</v>
      </c>
      <c r="I46" s="5">
        <v>2</v>
      </c>
      <c r="J46" s="5">
        <v>7</v>
      </c>
      <c r="K46" s="5" t="s">
        <v>28</v>
      </c>
      <c r="L46" s="7" t="str">
        <f>VLOOKUP(K46, 'Alphabetical by species code'!A:B, 2, FALSE)</f>
        <v>Stephanomeria diegensis</v>
      </c>
      <c r="M46" s="7" t="str">
        <f>VLOOKUP(L46, 'Alphabetical by species code'!B:C, 2, FALSE)</f>
        <v>Native</v>
      </c>
    </row>
    <row r="47" spans="1:13" ht="15.75" customHeight="1" x14ac:dyDescent="0.25">
      <c r="A47" s="5">
        <v>1</v>
      </c>
      <c r="B47" s="5">
        <v>2023</v>
      </c>
      <c r="C47" s="61">
        <v>45197</v>
      </c>
      <c r="D47" s="5" t="s">
        <v>24</v>
      </c>
      <c r="E47" s="5" t="s">
        <v>25</v>
      </c>
      <c r="F47" s="5">
        <v>1</v>
      </c>
      <c r="G47" s="5" t="s">
        <v>26</v>
      </c>
      <c r="H47" s="5">
        <v>10</v>
      </c>
      <c r="I47" s="5">
        <v>2</v>
      </c>
      <c r="J47" s="5">
        <v>8</v>
      </c>
      <c r="K47" s="5" t="s">
        <v>27</v>
      </c>
      <c r="L47" s="7" t="str">
        <f>VLOOKUP(K47, 'Alphabetical by species code'!A:B, 2, FALSE)</f>
        <v>Litter</v>
      </c>
      <c r="M47" s="7" t="str">
        <f>VLOOKUP(L47, 'Alphabetical by species code'!B:C, 2, FALSE)</f>
        <v>Ground Cover</v>
      </c>
    </row>
    <row r="48" spans="1:13" ht="15.75" customHeight="1" x14ac:dyDescent="0.25">
      <c r="A48" s="5">
        <v>1</v>
      </c>
      <c r="B48" s="5">
        <v>2023</v>
      </c>
      <c r="C48" s="61">
        <v>45197</v>
      </c>
      <c r="D48" s="5" t="s">
        <v>24</v>
      </c>
      <c r="E48" s="5" t="s">
        <v>25</v>
      </c>
      <c r="F48" s="5">
        <v>1</v>
      </c>
      <c r="G48" s="5" t="s">
        <v>26</v>
      </c>
      <c r="H48" s="5">
        <v>11</v>
      </c>
      <c r="I48" s="5">
        <v>2</v>
      </c>
      <c r="J48" s="5">
        <v>8.5</v>
      </c>
      <c r="K48" s="5" t="s">
        <v>35</v>
      </c>
      <c r="L48" s="7" t="str">
        <f>VLOOKUP(K48, 'Alphabetical by species code'!A:B, 2, FALSE)</f>
        <v>Bareground</v>
      </c>
      <c r="M48" s="7" t="str">
        <f>VLOOKUP(L48, 'Alphabetical by species code'!B:C, 2, FALSE)</f>
        <v>Ground Cover</v>
      </c>
    </row>
    <row r="49" spans="1:14" ht="15.75" customHeight="1" x14ac:dyDescent="0.25">
      <c r="A49" s="5">
        <v>1</v>
      </c>
      <c r="B49" s="5">
        <v>2023</v>
      </c>
      <c r="C49" s="61">
        <v>45197</v>
      </c>
      <c r="D49" s="5" t="s">
        <v>24</v>
      </c>
      <c r="E49" s="5" t="s">
        <v>25</v>
      </c>
      <c r="F49" s="5">
        <v>1</v>
      </c>
      <c r="G49" s="5" t="s">
        <v>26</v>
      </c>
      <c r="H49" s="5">
        <v>12</v>
      </c>
      <c r="I49" s="5">
        <v>2</v>
      </c>
      <c r="J49" s="5">
        <v>9</v>
      </c>
      <c r="K49" s="5" t="s">
        <v>35</v>
      </c>
      <c r="L49" s="7" t="str">
        <f>VLOOKUP(K49, 'Alphabetical by species code'!A:B, 2, FALSE)</f>
        <v>Bareground</v>
      </c>
      <c r="M49" s="7" t="str">
        <f>VLOOKUP(L49, 'Alphabetical by species code'!B:C, 2, FALSE)</f>
        <v>Ground Cover</v>
      </c>
    </row>
    <row r="50" spans="1:14" ht="15.75" customHeight="1" x14ac:dyDescent="0.25">
      <c r="A50" s="5">
        <v>1</v>
      </c>
      <c r="B50" s="5">
        <v>2023</v>
      </c>
      <c r="C50" s="61">
        <v>45197</v>
      </c>
      <c r="D50" s="5" t="s">
        <v>24</v>
      </c>
      <c r="E50" s="5" t="s">
        <v>25</v>
      </c>
      <c r="F50" s="5">
        <v>1</v>
      </c>
      <c r="G50" s="5" t="s">
        <v>26</v>
      </c>
      <c r="H50" s="5">
        <v>13</v>
      </c>
      <c r="I50" s="5">
        <v>2</v>
      </c>
      <c r="J50" s="5">
        <v>10</v>
      </c>
      <c r="K50" s="5" t="s">
        <v>27</v>
      </c>
      <c r="L50" s="7" t="str">
        <f>VLOOKUP(K50, 'Alphabetical by species code'!A:B, 2, FALSE)</f>
        <v>Litter</v>
      </c>
      <c r="M50" s="7" t="str">
        <f>VLOOKUP(L50, 'Alphabetical by species code'!B:C, 2, FALSE)</f>
        <v>Ground Cover</v>
      </c>
    </row>
    <row r="51" spans="1:14" ht="15.75" customHeight="1" x14ac:dyDescent="0.25">
      <c r="A51" s="5">
        <v>1</v>
      </c>
      <c r="B51" s="5">
        <v>2023</v>
      </c>
      <c r="C51" s="61">
        <v>45197</v>
      </c>
      <c r="D51" s="5" t="s">
        <v>24</v>
      </c>
      <c r="E51" s="5" t="s">
        <v>25</v>
      </c>
      <c r="F51" s="5">
        <v>1</v>
      </c>
      <c r="G51" s="5" t="s">
        <v>26</v>
      </c>
      <c r="H51" s="5">
        <v>14</v>
      </c>
      <c r="I51" s="5">
        <v>2</v>
      </c>
      <c r="J51" s="5">
        <v>11</v>
      </c>
      <c r="K51" s="5" t="s">
        <v>27</v>
      </c>
      <c r="L51" s="7" t="str">
        <f>VLOOKUP(K51, 'Alphabetical by species code'!A:B, 2, FALSE)</f>
        <v>Litter</v>
      </c>
      <c r="M51" s="7" t="str">
        <f>VLOOKUP(L51, 'Alphabetical by species code'!B:C, 2, FALSE)</f>
        <v>Ground Cover</v>
      </c>
    </row>
    <row r="52" spans="1:14" ht="15.75" customHeight="1" x14ac:dyDescent="0.25">
      <c r="A52" s="5">
        <v>1</v>
      </c>
      <c r="B52" s="5">
        <v>2023</v>
      </c>
      <c r="C52" s="61">
        <v>45197</v>
      </c>
      <c r="D52" s="5" t="s">
        <v>24</v>
      </c>
      <c r="E52" s="5" t="s">
        <v>25</v>
      </c>
      <c r="F52" s="5">
        <v>1</v>
      </c>
      <c r="G52" s="5" t="s">
        <v>26</v>
      </c>
      <c r="H52" s="5">
        <v>15</v>
      </c>
      <c r="I52" s="5">
        <v>2</v>
      </c>
      <c r="J52" s="5">
        <v>12</v>
      </c>
      <c r="K52" s="5" t="s">
        <v>27</v>
      </c>
      <c r="L52" s="7" t="str">
        <f>VLOOKUP(K52, 'Alphabetical by species code'!A:B, 2, FALSE)</f>
        <v>Litter</v>
      </c>
      <c r="M52" s="7" t="str">
        <f>VLOOKUP(L52, 'Alphabetical by species code'!B:C, 2, FALSE)</f>
        <v>Ground Cover</v>
      </c>
    </row>
    <row r="53" spans="1:14" ht="15.75" customHeight="1" x14ac:dyDescent="0.25">
      <c r="A53" s="5">
        <v>2</v>
      </c>
      <c r="B53" s="5">
        <v>2023</v>
      </c>
      <c r="C53" s="61">
        <v>45197</v>
      </c>
      <c r="D53" s="5" t="s">
        <v>24</v>
      </c>
      <c r="E53" s="5" t="s">
        <v>25</v>
      </c>
      <c r="F53" s="5">
        <v>1</v>
      </c>
      <c r="G53" s="5" t="s">
        <v>36</v>
      </c>
      <c r="H53" s="5">
        <v>1</v>
      </c>
      <c r="I53" s="5">
        <v>1</v>
      </c>
      <c r="J53" s="5">
        <v>0</v>
      </c>
      <c r="K53" s="5" t="s">
        <v>27</v>
      </c>
      <c r="L53" s="7" t="str">
        <f>VLOOKUP(K53, 'Alphabetical by species code'!A:B, 2, FALSE)</f>
        <v>Litter</v>
      </c>
      <c r="M53" s="7" t="str">
        <f>VLOOKUP(L53, 'Alphabetical by species code'!B:C, 2, FALSE)</f>
        <v>Ground Cover</v>
      </c>
    </row>
    <row r="54" spans="1:14" ht="15.75" customHeight="1" x14ac:dyDescent="0.25">
      <c r="A54" s="5">
        <v>2</v>
      </c>
      <c r="B54" s="5">
        <v>2023</v>
      </c>
      <c r="C54" s="61">
        <v>45197</v>
      </c>
      <c r="D54" s="5" t="s">
        <v>24</v>
      </c>
      <c r="E54" s="5" t="s">
        <v>25</v>
      </c>
      <c r="F54" s="5">
        <v>1</v>
      </c>
      <c r="G54" s="5" t="s">
        <v>36</v>
      </c>
      <c r="H54" s="5">
        <v>1</v>
      </c>
      <c r="I54" s="5">
        <v>1</v>
      </c>
      <c r="J54" s="5">
        <v>0</v>
      </c>
      <c r="K54" s="5" t="s">
        <v>28</v>
      </c>
      <c r="L54" s="7" t="str">
        <f>VLOOKUP(K54, 'Alphabetical by species code'!A:B, 2, FALSE)</f>
        <v>Stephanomeria diegensis</v>
      </c>
      <c r="M54" s="7" t="str">
        <f>VLOOKUP(L54, 'Alphabetical by species code'!B:C, 2, FALSE)</f>
        <v>Native</v>
      </c>
    </row>
    <row r="55" spans="1:14" ht="15.75" customHeight="1" x14ac:dyDescent="0.25">
      <c r="A55" s="5">
        <v>2</v>
      </c>
      <c r="B55" s="5">
        <v>2023</v>
      </c>
      <c r="C55" s="61">
        <v>45197</v>
      </c>
      <c r="D55" s="5" t="s">
        <v>24</v>
      </c>
      <c r="E55" s="5" t="s">
        <v>25</v>
      </c>
      <c r="F55" s="5">
        <v>1</v>
      </c>
      <c r="G55" s="5" t="s">
        <v>36</v>
      </c>
      <c r="H55" s="5">
        <v>2</v>
      </c>
      <c r="I55" s="5">
        <v>1</v>
      </c>
      <c r="J55" s="5">
        <v>1</v>
      </c>
      <c r="K55" s="5" t="s">
        <v>27</v>
      </c>
      <c r="L55" s="7" t="str">
        <f>VLOOKUP(K55, 'Alphabetical by species code'!A:B, 2, FALSE)</f>
        <v>Litter</v>
      </c>
      <c r="M55" s="7" t="str">
        <f>VLOOKUP(L55, 'Alphabetical by species code'!B:C, 2, FALSE)</f>
        <v>Ground Cover</v>
      </c>
    </row>
    <row r="56" spans="1:14" ht="15.75" customHeight="1" x14ac:dyDescent="0.25">
      <c r="A56" s="5">
        <v>2</v>
      </c>
      <c r="B56" s="5">
        <v>2023</v>
      </c>
      <c r="C56" s="61">
        <v>45197</v>
      </c>
      <c r="D56" s="5" t="s">
        <v>24</v>
      </c>
      <c r="E56" s="5" t="s">
        <v>25</v>
      </c>
      <c r="F56" s="5">
        <v>1</v>
      </c>
      <c r="G56" s="5" t="s">
        <v>36</v>
      </c>
      <c r="H56" s="5">
        <v>2</v>
      </c>
      <c r="I56" s="5">
        <v>1</v>
      </c>
      <c r="J56" s="5">
        <v>1</v>
      </c>
      <c r="K56" s="5" t="s">
        <v>28</v>
      </c>
      <c r="L56" s="7" t="str">
        <f>VLOOKUP(K56, 'Alphabetical by species code'!A:B, 2, FALSE)</f>
        <v>Stephanomeria diegensis</v>
      </c>
      <c r="M56" s="7" t="str">
        <f>VLOOKUP(L56, 'Alphabetical by species code'!B:C, 2, FALSE)</f>
        <v>Native</v>
      </c>
    </row>
    <row r="57" spans="1:14" ht="15.75" customHeight="1" x14ac:dyDescent="0.25">
      <c r="A57" s="5">
        <v>2</v>
      </c>
      <c r="B57" s="5">
        <v>2023</v>
      </c>
      <c r="C57" s="61">
        <v>45197</v>
      </c>
      <c r="D57" s="5" t="s">
        <v>24</v>
      </c>
      <c r="E57" s="5" t="s">
        <v>25</v>
      </c>
      <c r="F57" s="5">
        <v>1</v>
      </c>
      <c r="G57" s="5" t="s">
        <v>36</v>
      </c>
      <c r="H57" s="5">
        <v>2</v>
      </c>
      <c r="I57" s="5">
        <v>1</v>
      </c>
      <c r="J57" s="5">
        <v>1</v>
      </c>
      <c r="K57" s="5" t="s">
        <v>34</v>
      </c>
      <c r="L57" s="7" t="str">
        <f>VLOOKUP(K57, 'Alphabetical by species code'!A:B, 2, FALSE)</f>
        <v>Centaurea melitensis</v>
      </c>
      <c r="M57" s="7" t="str">
        <f>VLOOKUP(L57, 'Alphabetical by species code'!B:C, 2, FALSE)</f>
        <v>Non-Native</v>
      </c>
    </row>
    <row r="58" spans="1:14" ht="15.75" customHeight="1" x14ac:dyDescent="0.25">
      <c r="A58" s="5">
        <v>2</v>
      </c>
      <c r="B58" s="5">
        <v>2023</v>
      </c>
      <c r="C58" s="61">
        <v>45197</v>
      </c>
      <c r="D58" s="5" t="s">
        <v>24</v>
      </c>
      <c r="E58" s="5" t="s">
        <v>25</v>
      </c>
      <c r="F58" s="5">
        <v>1</v>
      </c>
      <c r="G58" s="5" t="s">
        <v>36</v>
      </c>
      <c r="H58" s="5">
        <v>3</v>
      </c>
      <c r="I58" s="5">
        <v>1</v>
      </c>
      <c r="J58" s="5">
        <v>1.5</v>
      </c>
      <c r="K58" s="5" t="s">
        <v>27</v>
      </c>
      <c r="L58" s="7" t="str">
        <f>VLOOKUP(K58, 'Alphabetical by species code'!A:B, 2, FALSE)</f>
        <v>Litter</v>
      </c>
      <c r="M58" s="7" t="str">
        <f>VLOOKUP(L58, 'Alphabetical by species code'!B:C, 2, FALSE)</f>
        <v>Ground Cover</v>
      </c>
    </row>
    <row r="59" spans="1:14" ht="15.75" customHeight="1" x14ac:dyDescent="0.25">
      <c r="A59" s="5">
        <v>2</v>
      </c>
      <c r="B59" s="5">
        <v>2023</v>
      </c>
      <c r="C59" s="61">
        <v>45197</v>
      </c>
      <c r="D59" s="5" t="s">
        <v>24</v>
      </c>
      <c r="E59" s="5" t="s">
        <v>25</v>
      </c>
      <c r="F59" s="5">
        <v>1</v>
      </c>
      <c r="G59" s="5" t="s">
        <v>36</v>
      </c>
      <c r="H59" s="5">
        <v>3</v>
      </c>
      <c r="I59" s="5">
        <v>1</v>
      </c>
      <c r="J59" s="5">
        <v>1.5</v>
      </c>
      <c r="K59" s="5" t="s">
        <v>28</v>
      </c>
      <c r="L59" s="7" t="str">
        <f>VLOOKUP(K59, 'Alphabetical by species code'!A:B, 2, FALSE)</f>
        <v>Stephanomeria diegensis</v>
      </c>
      <c r="M59" s="7" t="str">
        <f>VLOOKUP(L59, 'Alphabetical by species code'!B:C, 2, FALSE)</f>
        <v>Native</v>
      </c>
    </row>
    <row r="60" spans="1:14" ht="15.75" customHeight="1" x14ac:dyDescent="0.25">
      <c r="A60" s="5">
        <v>2</v>
      </c>
      <c r="B60" s="5">
        <v>2023</v>
      </c>
      <c r="C60" s="61">
        <v>45197</v>
      </c>
      <c r="D60" s="5" t="s">
        <v>24</v>
      </c>
      <c r="E60" s="5" t="s">
        <v>25</v>
      </c>
      <c r="F60" s="5">
        <v>1</v>
      </c>
      <c r="G60" s="5" t="s">
        <v>36</v>
      </c>
      <c r="H60" s="5">
        <v>4</v>
      </c>
      <c r="I60" s="5">
        <v>1</v>
      </c>
      <c r="J60" s="5">
        <v>2</v>
      </c>
      <c r="K60" s="5" t="s">
        <v>27</v>
      </c>
      <c r="L60" s="7" t="str">
        <f>VLOOKUP(K60, 'Alphabetical by species code'!A:B, 2, FALSE)</f>
        <v>Litter</v>
      </c>
      <c r="M60" s="7" t="str">
        <f>VLOOKUP(L60, 'Alphabetical by species code'!B:C, 2, FALSE)</f>
        <v>Ground Cover</v>
      </c>
    </row>
    <row r="61" spans="1:14" ht="15.75" customHeight="1" x14ac:dyDescent="0.25">
      <c r="A61" s="5">
        <v>2</v>
      </c>
      <c r="B61" s="5">
        <v>2023</v>
      </c>
      <c r="C61" s="61">
        <v>45197</v>
      </c>
      <c r="D61" s="5" t="s">
        <v>24</v>
      </c>
      <c r="E61" s="5" t="s">
        <v>25</v>
      </c>
      <c r="F61" s="5">
        <v>1</v>
      </c>
      <c r="G61" s="5" t="s">
        <v>36</v>
      </c>
      <c r="H61" s="5">
        <v>4</v>
      </c>
      <c r="I61" s="5">
        <v>1</v>
      </c>
      <c r="J61" s="5">
        <v>2</v>
      </c>
      <c r="K61" s="5" t="s">
        <v>28</v>
      </c>
      <c r="L61" s="7" t="str">
        <f>VLOOKUP(K61, 'Alphabetical by species code'!A:B, 2, FALSE)</f>
        <v>Stephanomeria diegensis</v>
      </c>
      <c r="M61" s="7" t="str">
        <f>VLOOKUP(L61, 'Alphabetical by species code'!B:C, 2, FALSE)</f>
        <v>Native</v>
      </c>
    </row>
    <row r="62" spans="1:14" ht="15.75" customHeight="1" x14ac:dyDescent="0.25">
      <c r="A62" s="5">
        <v>2</v>
      </c>
      <c r="B62" s="5">
        <v>2023</v>
      </c>
      <c r="C62" s="61">
        <v>45197</v>
      </c>
      <c r="D62" s="5" t="s">
        <v>24</v>
      </c>
      <c r="E62" s="5" t="s">
        <v>25</v>
      </c>
      <c r="F62" s="5">
        <v>1</v>
      </c>
      <c r="G62" s="5" t="s">
        <v>36</v>
      </c>
      <c r="H62" s="5">
        <v>4</v>
      </c>
      <c r="I62" s="5">
        <v>1</v>
      </c>
      <c r="J62" s="5">
        <v>2</v>
      </c>
      <c r="K62" s="5" t="s">
        <v>37</v>
      </c>
      <c r="L62" s="7" t="e">
        <f>VLOOKUP(K62, 'Alphabetical by species code'!A:B, 2, FALSE)</f>
        <v>#N/A</v>
      </c>
      <c r="M62" s="7" t="e">
        <f>VLOOKUP(L62, 'Alphabetical by species code'!B:C, 2, FALSE)</f>
        <v>#N/A</v>
      </c>
      <c r="N62" s="7" t="s">
        <v>38</v>
      </c>
    </row>
    <row r="63" spans="1:14" ht="15.75" customHeight="1" x14ac:dyDescent="0.25">
      <c r="A63" s="5">
        <v>2</v>
      </c>
      <c r="B63" s="5">
        <v>2023</v>
      </c>
      <c r="C63" s="61">
        <v>45197</v>
      </c>
      <c r="D63" s="5" t="s">
        <v>24</v>
      </c>
      <c r="E63" s="5" t="s">
        <v>25</v>
      </c>
      <c r="F63" s="5">
        <v>1</v>
      </c>
      <c r="G63" s="5" t="s">
        <v>36</v>
      </c>
      <c r="H63" s="5">
        <v>5</v>
      </c>
      <c r="I63" s="5">
        <v>1</v>
      </c>
      <c r="J63" s="5">
        <v>3</v>
      </c>
      <c r="K63" s="5" t="s">
        <v>27</v>
      </c>
      <c r="L63" s="7" t="str">
        <f>VLOOKUP(K63, 'Alphabetical by species code'!A:B, 2, FALSE)</f>
        <v>Litter</v>
      </c>
      <c r="M63" s="7" t="str">
        <f>VLOOKUP(L63, 'Alphabetical by species code'!B:C, 2, FALSE)</f>
        <v>Ground Cover</v>
      </c>
    </row>
    <row r="64" spans="1:14" ht="15.75" customHeight="1" x14ac:dyDescent="0.25">
      <c r="A64" s="5">
        <v>2</v>
      </c>
      <c r="B64" s="5">
        <v>2023</v>
      </c>
      <c r="C64" s="61">
        <v>45197</v>
      </c>
      <c r="D64" s="5" t="s">
        <v>24</v>
      </c>
      <c r="E64" s="5" t="s">
        <v>25</v>
      </c>
      <c r="F64" s="5">
        <v>1</v>
      </c>
      <c r="G64" s="5" t="s">
        <v>36</v>
      </c>
      <c r="H64" s="5">
        <v>5</v>
      </c>
      <c r="I64" s="5">
        <v>1</v>
      </c>
      <c r="J64" s="5">
        <v>3</v>
      </c>
      <c r="K64" s="5" t="s">
        <v>28</v>
      </c>
      <c r="L64" s="7" t="str">
        <f>VLOOKUP(K64, 'Alphabetical by species code'!A:B, 2, FALSE)</f>
        <v>Stephanomeria diegensis</v>
      </c>
      <c r="M64" s="7" t="str">
        <f>VLOOKUP(L64, 'Alphabetical by species code'!B:C, 2, FALSE)</f>
        <v>Native</v>
      </c>
      <c r="N64" s="5"/>
    </row>
    <row r="65" spans="1:14" ht="15.75" customHeight="1" x14ac:dyDescent="0.25">
      <c r="A65" s="5">
        <v>2</v>
      </c>
      <c r="B65" s="5">
        <v>2023</v>
      </c>
      <c r="C65" s="61">
        <v>45197</v>
      </c>
      <c r="D65" s="5" t="s">
        <v>24</v>
      </c>
      <c r="E65" s="5" t="s">
        <v>25</v>
      </c>
      <c r="F65" s="5">
        <v>1</v>
      </c>
      <c r="G65" s="5" t="s">
        <v>36</v>
      </c>
      <c r="H65" s="5">
        <v>6</v>
      </c>
      <c r="I65" s="5">
        <v>1</v>
      </c>
      <c r="J65" s="5">
        <v>3.5</v>
      </c>
      <c r="K65" s="5" t="s">
        <v>27</v>
      </c>
      <c r="L65" s="7" t="str">
        <f>VLOOKUP(K65, 'Alphabetical by species code'!A:B, 2, FALSE)</f>
        <v>Litter</v>
      </c>
      <c r="M65" s="7" t="str">
        <f>VLOOKUP(L65, 'Alphabetical by species code'!B:C, 2, FALSE)</f>
        <v>Ground Cover</v>
      </c>
    </row>
    <row r="66" spans="1:14" ht="15.75" customHeight="1" x14ac:dyDescent="0.25">
      <c r="A66" s="5">
        <v>2</v>
      </c>
      <c r="B66" s="5">
        <v>2023</v>
      </c>
      <c r="C66" s="61">
        <v>45197</v>
      </c>
      <c r="D66" s="5" t="s">
        <v>24</v>
      </c>
      <c r="E66" s="5" t="s">
        <v>25</v>
      </c>
      <c r="F66" s="5">
        <v>1</v>
      </c>
      <c r="G66" s="5" t="s">
        <v>36</v>
      </c>
      <c r="H66" s="5">
        <v>6</v>
      </c>
      <c r="I66" s="5">
        <v>1</v>
      </c>
      <c r="J66" s="5">
        <v>3.5</v>
      </c>
      <c r="K66" s="5" t="s">
        <v>37</v>
      </c>
      <c r="L66" s="7" t="e">
        <f>VLOOKUP(K66, 'Alphabetical by species code'!A:B, 2, FALSE)</f>
        <v>#N/A</v>
      </c>
      <c r="M66" s="7" t="e">
        <f>VLOOKUP(L66, 'Alphabetical by species code'!B:C, 2, FALSE)</f>
        <v>#N/A</v>
      </c>
    </row>
    <row r="67" spans="1:14" ht="15.75" customHeight="1" x14ac:dyDescent="0.25">
      <c r="A67" s="5">
        <v>2</v>
      </c>
      <c r="B67" s="5">
        <v>2023</v>
      </c>
      <c r="C67" s="61">
        <v>45197</v>
      </c>
      <c r="D67" s="5" t="s">
        <v>24</v>
      </c>
      <c r="E67" s="5" t="s">
        <v>25</v>
      </c>
      <c r="F67" s="5">
        <v>1</v>
      </c>
      <c r="G67" s="5" t="s">
        <v>36</v>
      </c>
      <c r="H67" s="5">
        <v>7</v>
      </c>
      <c r="I67" s="5">
        <v>1</v>
      </c>
      <c r="J67" s="5">
        <v>4</v>
      </c>
      <c r="K67" s="5" t="s">
        <v>35</v>
      </c>
      <c r="L67" s="7" t="str">
        <f>VLOOKUP(K67, 'Alphabetical by species code'!A:B, 2, FALSE)</f>
        <v>Bareground</v>
      </c>
      <c r="M67" s="7" t="str">
        <f>VLOOKUP(L67, 'Alphabetical by species code'!B:C, 2, FALSE)</f>
        <v>Ground Cover</v>
      </c>
    </row>
    <row r="68" spans="1:14" ht="15.75" customHeight="1" x14ac:dyDescent="0.25">
      <c r="A68" s="5">
        <v>2</v>
      </c>
      <c r="B68" s="5">
        <v>2023</v>
      </c>
      <c r="C68" s="61">
        <v>45197</v>
      </c>
      <c r="D68" s="5" t="s">
        <v>24</v>
      </c>
      <c r="E68" s="5" t="s">
        <v>25</v>
      </c>
      <c r="F68" s="5">
        <v>1</v>
      </c>
      <c r="G68" s="5" t="s">
        <v>36</v>
      </c>
      <c r="H68" s="5">
        <v>8</v>
      </c>
      <c r="I68" s="5">
        <v>1</v>
      </c>
      <c r="J68" s="5">
        <v>5</v>
      </c>
      <c r="K68" s="5" t="s">
        <v>27</v>
      </c>
      <c r="L68" s="7" t="str">
        <f>VLOOKUP(K68, 'Alphabetical by species code'!A:B, 2, FALSE)</f>
        <v>Litter</v>
      </c>
      <c r="M68" s="7" t="str">
        <f>VLOOKUP(L68, 'Alphabetical by species code'!B:C, 2, FALSE)</f>
        <v>Ground Cover</v>
      </c>
    </row>
    <row r="69" spans="1:14" ht="15.75" customHeight="1" x14ac:dyDescent="0.25">
      <c r="A69" s="5">
        <v>2</v>
      </c>
      <c r="B69" s="5">
        <v>2023</v>
      </c>
      <c r="C69" s="61">
        <v>45197</v>
      </c>
      <c r="D69" s="5" t="s">
        <v>24</v>
      </c>
      <c r="E69" s="5" t="s">
        <v>25</v>
      </c>
      <c r="F69" s="5">
        <v>1</v>
      </c>
      <c r="G69" s="5" t="s">
        <v>36</v>
      </c>
      <c r="H69" s="5">
        <v>8</v>
      </c>
      <c r="I69" s="5">
        <v>1</v>
      </c>
      <c r="J69" s="5">
        <v>5</v>
      </c>
      <c r="K69" s="5" t="s">
        <v>30</v>
      </c>
      <c r="L69" s="7" t="str">
        <f>VLOOKUP(K69, 'Alphabetical by species code'!A:B, 2, FALSE)</f>
        <v>Non Native Grass</v>
      </c>
      <c r="M69" s="7" t="str">
        <f>VLOOKUP(L69, 'Alphabetical by species code'!B:C, 2, FALSE)</f>
        <v>Non-Native</v>
      </c>
      <c r="N69" s="7" t="s">
        <v>39</v>
      </c>
    </row>
    <row r="70" spans="1:14" ht="15.75" customHeight="1" x14ac:dyDescent="0.25">
      <c r="A70" s="5">
        <v>2</v>
      </c>
      <c r="B70" s="5">
        <v>2023</v>
      </c>
      <c r="C70" s="61">
        <v>45197</v>
      </c>
      <c r="D70" s="5" t="s">
        <v>24</v>
      </c>
      <c r="E70" s="5" t="s">
        <v>25</v>
      </c>
      <c r="F70" s="5">
        <v>1</v>
      </c>
      <c r="G70" s="5" t="s">
        <v>36</v>
      </c>
      <c r="H70" s="5">
        <v>9</v>
      </c>
      <c r="I70" s="5">
        <v>1</v>
      </c>
      <c r="J70" s="5">
        <v>7</v>
      </c>
      <c r="K70" s="5" t="s">
        <v>27</v>
      </c>
      <c r="L70" s="7" t="str">
        <f>VLOOKUP(K70, 'Alphabetical by species code'!A:B, 2, FALSE)</f>
        <v>Litter</v>
      </c>
      <c r="M70" s="7" t="str">
        <f>VLOOKUP(L70, 'Alphabetical by species code'!B:C, 2, FALSE)</f>
        <v>Ground Cover</v>
      </c>
    </row>
    <row r="71" spans="1:14" ht="15.75" customHeight="1" x14ac:dyDescent="0.25">
      <c r="A71" s="5">
        <v>2</v>
      </c>
      <c r="B71" s="5">
        <v>2023</v>
      </c>
      <c r="C71" s="61">
        <v>45197</v>
      </c>
      <c r="D71" s="5" t="s">
        <v>24</v>
      </c>
      <c r="E71" s="5" t="s">
        <v>25</v>
      </c>
      <c r="F71" s="5">
        <v>1</v>
      </c>
      <c r="G71" s="5" t="s">
        <v>36</v>
      </c>
      <c r="H71" s="5">
        <v>9</v>
      </c>
      <c r="I71" s="5">
        <v>1</v>
      </c>
      <c r="J71" s="5">
        <v>7</v>
      </c>
      <c r="K71" s="5" t="s">
        <v>28</v>
      </c>
      <c r="L71" s="7" t="str">
        <f>VLOOKUP(K71, 'Alphabetical by species code'!A:B, 2, FALSE)</f>
        <v>Stephanomeria diegensis</v>
      </c>
      <c r="M71" s="7" t="str">
        <f>VLOOKUP(L71, 'Alphabetical by species code'!B:C, 2, FALSE)</f>
        <v>Native</v>
      </c>
    </row>
    <row r="72" spans="1:14" ht="15.75" customHeight="1" x14ac:dyDescent="0.25">
      <c r="A72" s="5">
        <v>2</v>
      </c>
      <c r="B72" s="5">
        <v>2023</v>
      </c>
      <c r="C72" s="61">
        <v>45197</v>
      </c>
      <c r="D72" s="5" t="s">
        <v>24</v>
      </c>
      <c r="E72" s="5" t="s">
        <v>25</v>
      </c>
      <c r="F72" s="5">
        <v>1</v>
      </c>
      <c r="G72" s="5" t="s">
        <v>36</v>
      </c>
      <c r="H72" s="5">
        <v>10</v>
      </c>
      <c r="I72" s="5">
        <v>1</v>
      </c>
      <c r="J72" s="5">
        <v>8</v>
      </c>
      <c r="K72" s="5" t="s">
        <v>27</v>
      </c>
      <c r="L72" s="7" t="str">
        <f>VLOOKUP(K72, 'Alphabetical by species code'!A:B, 2, FALSE)</f>
        <v>Litter</v>
      </c>
      <c r="M72" s="7" t="str">
        <f>VLOOKUP(L72, 'Alphabetical by species code'!B:C, 2, FALSE)</f>
        <v>Ground Cover</v>
      </c>
    </row>
    <row r="73" spans="1:14" ht="15.75" customHeight="1" x14ac:dyDescent="0.25">
      <c r="A73" s="5">
        <v>2</v>
      </c>
      <c r="B73" s="5">
        <v>2023</v>
      </c>
      <c r="C73" s="61">
        <v>45197</v>
      </c>
      <c r="D73" s="5" t="s">
        <v>24</v>
      </c>
      <c r="E73" s="5" t="s">
        <v>25</v>
      </c>
      <c r="F73" s="5">
        <v>1</v>
      </c>
      <c r="G73" s="5" t="s">
        <v>36</v>
      </c>
      <c r="H73" s="5">
        <v>11</v>
      </c>
      <c r="I73" s="5">
        <v>1</v>
      </c>
      <c r="J73" s="5">
        <v>8.5</v>
      </c>
      <c r="K73" s="5" t="s">
        <v>27</v>
      </c>
      <c r="L73" s="7" t="str">
        <f>VLOOKUP(K73, 'Alphabetical by species code'!A:B, 2, FALSE)</f>
        <v>Litter</v>
      </c>
      <c r="M73" s="7" t="str">
        <f>VLOOKUP(L73, 'Alphabetical by species code'!B:C, 2, FALSE)</f>
        <v>Ground Cover</v>
      </c>
    </row>
    <row r="74" spans="1:14" ht="15.75" customHeight="1" x14ac:dyDescent="0.25">
      <c r="A74" s="5">
        <v>2</v>
      </c>
      <c r="B74" s="5">
        <v>2023</v>
      </c>
      <c r="C74" s="61">
        <v>45197</v>
      </c>
      <c r="D74" s="5" t="s">
        <v>24</v>
      </c>
      <c r="E74" s="5" t="s">
        <v>25</v>
      </c>
      <c r="F74" s="5">
        <v>1</v>
      </c>
      <c r="G74" s="5" t="s">
        <v>36</v>
      </c>
      <c r="H74" s="5">
        <v>11</v>
      </c>
      <c r="I74" s="5">
        <v>1</v>
      </c>
      <c r="J74" s="5">
        <v>8.5</v>
      </c>
      <c r="K74" s="5" t="s">
        <v>28</v>
      </c>
      <c r="L74" s="7" t="str">
        <f>VLOOKUP(K74, 'Alphabetical by species code'!A:B, 2, FALSE)</f>
        <v>Stephanomeria diegensis</v>
      </c>
      <c r="M74" s="7" t="str">
        <f>VLOOKUP(L74, 'Alphabetical by species code'!B:C, 2, FALSE)</f>
        <v>Native</v>
      </c>
    </row>
    <row r="75" spans="1:14" ht="15.75" customHeight="1" x14ac:dyDescent="0.25">
      <c r="A75" s="5">
        <v>2</v>
      </c>
      <c r="B75" s="5">
        <v>2023</v>
      </c>
      <c r="C75" s="61">
        <v>45197</v>
      </c>
      <c r="D75" s="5" t="s">
        <v>24</v>
      </c>
      <c r="E75" s="5" t="s">
        <v>25</v>
      </c>
      <c r="F75" s="5">
        <v>1</v>
      </c>
      <c r="G75" s="5" t="s">
        <v>36</v>
      </c>
      <c r="H75" s="5">
        <v>12</v>
      </c>
      <c r="I75" s="5">
        <v>1</v>
      </c>
      <c r="J75" s="5">
        <v>9</v>
      </c>
      <c r="K75" s="5" t="s">
        <v>27</v>
      </c>
      <c r="L75" s="7" t="str">
        <f>VLOOKUP(K75, 'Alphabetical by species code'!A:B, 2, FALSE)</f>
        <v>Litter</v>
      </c>
      <c r="M75" s="7" t="str">
        <f>VLOOKUP(L75, 'Alphabetical by species code'!B:C, 2, FALSE)</f>
        <v>Ground Cover</v>
      </c>
    </row>
    <row r="76" spans="1:14" ht="15.75" customHeight="1" x14ac:dyDescent="0.25">
      <c r="A76" s="5">
        <v>2</v>
      </c>
      <c r="B76" s="5">
        <v>2023</v>
      </c>
      <c r="C76" s="61">
        <v>45197</v>
      </c>
      <c r="D76" s="5" t="s">
        <v>24</v>
      </c>
      <c r="E76" s="5" t="s">
        <v>25</v>
      </c>
      <c r="F76" s="5">
        <v>1</v>
      </c>
      <c r="G76" s="5" t="s">
        <v>36</v>
      </c>
      <c r="H76" s="5">
        <v>12</v>
      </c>
      <c r="I76" s="5">
        <v>1</v>
      </c>
      <c r="J76" s="5">
        <v>9</v>
      </c>
      <c r="K76" s="5" t="s">
        <v>40</v>
      </c>
      <c r="L76" s="7" t="e">
        <f>VLOOKUP(K76, 'Alphabetical by species code'!A:B, 2, FALSE)</f>
        <v>#N/A</v>
      </c>
      <c r="M76" s="7" t="e">
        <f>VLOOKUP(L76, 'Alphabetical by species code'!B:C, 2, FALSE)</f>
        <v>#N/A</v>
      </c>
      <c r="N76" s="7" t="s">
        <v>41</v>
      </c>
    </row>
    <row r="77" spans="1:14" ht="15.75" customHeight="1" x14ac:dyDescent="0.25">
      <c r="A77" s="5">
        <v>2</v>
      </c>
      <c r="B77" s="5">
        <v>2023</v>
      </c>
      <c r="C77" s="61">
        <v>45197</v>
      </c>
      <c r="D77" s="5" t="s">
        <v>24</v>
      </c>
      <c r="E77" s="5" t="s">
        <v>25</v>
      </c>
      <c r="F77" s="5">
        <v>1</v>
      </c>
      <c r="G77" s="5" t="s">
        <v>36</v>
      </c>
      <c r="H77" s="5">
        <v>13</v>
      </c>
      <c r="I77" s="5">
        <v>1</v>
      </c>
      <c r="J77" s="5">
        <v>10</v>
      </c>
      <c r="K77" s="5" t="s">
        <v>35</v>
      </c>
      <c r="L77" s="7" t="str">
        <f>VLOOKUP(K77, 'Alphabetical by species code'!A:B, 2, FALSE)</f>
        <v>Bareground</v>
      </c>
      <c r="M77" s="7" t="str">
        <f>VLOOKUP(L77, 'Alphabetical by species code'!B:C, 2, FALSE)</f>
        <v>Ground Cover</v>
      </c>
    </row>
    <row r="78" spans="1:14" ht="15.75" customHeight="1" x14ac:dyDescent="0.25">
      <c r="A78" s="5">
        <v>2</v>
      </c>
      <c r="B78" s="5">
        <v>2023</v>
      </c>
      <c r="C78" s="61">
        <v>45197</v>
      </c>
      <c r="D78" s="5" t="s">
        <v>24</v>
      </c>
      <c r="E78" s="5" t="s">
        <v>25</v>
      </c>
      <c r="F78" s="5">
        <v>1</v>
      </c>
      <c r="G78" s="5" t="s">
        <v>36</v>
      </c>
      <c r="H78" s="5">
        <v>13</v>
      </c>
      <c r="I78" s="5">
        <v>1</v>
      </c>
      <c r="J78" s="5">
        <v>10</v>
      </c>
      <c r="K78" s="5" t="s">
        <v>42</v>
      </c>
      <c r="L78" s="7" t="str">
        <f>VLOOKUP(K78, 'Alphabetical by species code'!A:B, 2, FALSE)</f>
        <v>Malosma laurina</v>
      </c>
      <c r="M78" s="7" t="str">
        <f>VLOOKUP(L78, 'Alphabetical by species code'!B:C, 2, FALSE)</f>
        <v>Native</v>
      </c>
    </row>
    <row r="79" spans="1:14" ht="15.75" customHeight="1" x14ac:dyDescent="0.25">
      <c r="A79" s="5">
        <v>2</v>
      </c>
      <c r="B79" s="5">
        <v>2023</v>
      </c>
      <c r="C79" s="61">
        <v>45197</v>
      </c>
      <c r="D79" s="5" t="s">
        <v>24</v>
      </c>
      <c r="E79" s="5" t="s">
        <v>25</v>
      </c>
      <c r="F79" s="5">
        <v>1</v>
      </c>
      <c r="G79" s="5" t="s">
        <v>36</v>
      </c>
      <c r="H79" s="5">
        <v>14</v>
      </c>
      <c r="I79" s="5">
        <v>1</v>
      </c>
      <c r="J79" s="5">
        <v>11</v>
      </c>
      <c r="K79" s="5" t="s">
        <v>35</v>
      </c>
      <c r="L79" s="7" t="str">
        <f>VLOOKUP(K79, 'Alphabetical by species code'!A:B, 2, FALSE)</f>
        <v>Bareground</v>
      </c>
      <c r="M79" s="7" t="str">
        <f>VLOOKUP(L79, 'Alphabetical by species code'!B:C, 2, FALSE)</f>
        <v>Ground Cover</v>
      </c>
    </row>
    <row r="80" spans="1:14" ht="15.75" customHeight="1" x14ac:dyDescent="0.25">
      <c r="A80" s="5">
        <v>2</v>
      </c>
      <c r="B80" s="5">
        <v>2023</v>
      </c>
      <c r="C80" s="61">
        <v>45197</v>
      </c>
      <c r="D80" s="5" t="s">
        <v>24</v>
      </c>
      <c r="E80" s="5" t="s">
        <v>25</v>
      </c>
      <c r="F80" s="5">
        <v>1</v>
      </c>
      <c r="G80" s="5" t="s">
        <v>36</v>
      </c>
      <c r="H80" s="5">
        <v>15</v>
      </c>
      <c r="I80" s="5">
        <v>1</v>
      </c>
      <c r="J80" s="5">
        <v>12</v>
      </c>
      <c r="K80" s="5" t="s">
        <v>27</v>
      </c>
      <c r="L80" s="7" t="str">
        <f>VLOOKUP(K80, 'Alphabetical by species code'!A:B, 2, FALSE)</f>
        <v>Litter</v>
      </c>
      <c r="M80" s="7" t="str">
        <f>VLOOKUP(L80, 'Alphabetical by species code'!B:C, 2, FALSE)</f>
        <v>Ground Cover</v>
      </c>
    </row>
    <row r="81" spans="1:13" ht="15.75" customHeight="1" x14ac:dyDescent="0.25">
      <c r="A81" s="5">
        <v>2</v>
      </c>
      <c r="B81" s="5">
        <v>2023</v>
      </c>
      <c r="C81" s="61">
        <v>45197</v>
      </c>
      <c r="D81" s="5" t="s">
        <v>24</v>
      </c>
      <c r="E81" s="5" t="s">
        <v>25</v>
      </c>
      <c r="F81" s="5">
        <v>1</v>
      </c>
      <c r="G81" s="5" t="s">
        <v>36</v>
      </c>
      <c r="H81" s="5">
        <v>1</v>
      </c>
      <c r="I81" s="5">
        <v>2</v>
      </c>
      <c r="J81" s="5">
        <v>0</v>
      </c>
      <c r="K81" s="5" t="s">
        <v>35</v>
      </c>
      <c r="L81" s="7" t="str">
        <f>VLOOKUP(K81, 'Alphabetical by species code'!A:B, 2, FALSE)</f>
        <v>Bareground</v>
      </c>
      <c r="M81" s="7" t="str">
        <f>VLOOKUP(L81, 'Alphabetical by species code'!B:C, 2, FALSE)</f>
        <v>Ground Cover</v>
      </c>
    </row>
    <row r="82" spans="1:13" ht="15.75" customHeight="1" x14ac:dyDescent="0.25">
      <c r="A82" s="5">
        <v>2</v>
      </c>
      <c r="B82" s="5">
        <v>2023</v>
      </c>
      <c r="C82" s="61">
        <v>45197</v>
      </c>
      <c r="D82" s="5" t="s">
        <v>24</v>
      </c>
      <c r="E82" s="5" t="s">
        <v>25</v>
      </c>
      <c r="F82" s="5">
        <v>1</v>
      </c>
      <c r="G82" s="5" t="s">
        <v>36</v>
      </c>
      <c r="H82" s="5">
        <v>1</v>
      </c>
      <c r="I82" s="5">
        <v>2</v>
      </c>
      <c r="J82" s="5">
        <v>0</v>
      </c>
      <c r="K82" s="5" t="s">
        <v>28</v>
      </c>
      <c r="L82" s="7" t="str">
        <f>VLOOKUP(K82, 'Alphabetical by species code'!A:B, 2, FALSE)</f>
        <v>Stephanomeria diegensis</v>
      </c>
      <c r="M82" s="7" t="str">
        <f>VLOOKUP(L82, 'Alphabetical by species code'!B:C, 2, FALSE)</f>
        <v>Native</v>
      </c>
    </row>
    <row r="83" spans="1:13" ht="15.75" customHeight="1" x14ac:dyDescent="0.25">
      <c r="A83" s="5">
        <v>2</v>
      </c>
      <c r="B83" s="5">
        <v>2023</v>
      </c>
      <c r="C83" s="61">
        <v>45197</v>
      </c>
      <c r="D83" s="5" t="s">
        <v>24</v>
      </c>
      <c r="E83" s="5" t="s">
        <v>25</v>
      </c>
      <c r="F83" s="5">
        <v>1</v>
      </c>
      <c r="G83" s="5" t="s">
        <v>36</v>
      </c>
      <c r="H83" s="5">
        <v>1</v>
      </c>
      <c r="I83" s="5">
        <v>2</v>
      </c>
      <c r="J83" s="5">
        <v>0</v>
      </c>
      <c r="K83" s="5" t="s">
        <v>37</v>
      </c>
      <c r="L83" s="7" t="e">
        <f>VLOOKUP(K83, 'Alphabetical by species code'!A:B, 2, FALSE)</f>
        <v>#N/A</v>
      </c>
      <c r="M83" s="7" t="e">
        <f>VLOOKUP(L83, 'Alphabetical by species code'!B:C, 2, FALSE)</f>
        <v>#N/A</v>
      </c>
    </row>
    <row r="84" spans="1:13" ht="15.75" customHeight="1" x14ac:dyDescent="0.25">
      <c r="A84" s="5">
        <v>2</v>
      </c>
      <c r="B84" s="5">
        <v>2023</v>
      </c>
      <c r="C84" s="61">
        <v>45197</v>
      </c>
      <c r="D84" s="5" t="s">
        <v>24</v>
      </c>
      <c r="E84" s="5" t="s">
        <v>25</v>
      </c>
      <c r="F84" s="5">
        <v>1</v>
      </c>
      <c r="G84" s="5" t="s">
        <v>36</v>
      </c>
      <c r="H84" s="5">
        <v>2</v>
      </c>
      <c r="I84" s="5">
        <v>2</v>
      </c>
      <c r="J84" s="5">
        <v>1</v>
      </c>
      <c r="K84" s="5" t="s">
        <v>32</v>
      </c>
      <c r="L84" s="7" t="str">
        <f>VLOOKUP(K84, 'Alphabetical by species code'!A:B, 2, FALSE)</f>
        <v>Rock</v>
      </c>
      <c r="M84" s="7" t="str">
        <f>VLOOKUP(L84, 'Alphabetical by species code'!B:C, 2, FALSE)</f>
        <v>Ground Cover</v>
      </c>
    </row>
    <row r="85" spans="1:13" ht="15.75" customHeight="1" x14ac:dyDescent="0.25">
      <c r="A85" s="5">
        <v>2</v>
      </c>
      <c r="B85" s="5">
        <v>2023</v>
      </c>
      <c r="C85" s="61">
        <v>45197</v>
      </c>
      <c r="D85" s="5" t="s">
        <v>24</v>
      </c>
      <c r="E85" s="5" t="s">
        <v>25</v>
      </c>
      <c r="F85" s="5">
        <v>1</v>
      </c>
      <c r="G85" s="5" t="s">
        <v>36</v>
      </c>
      <c r="H85" s="5">
        <v>2</v>
      </c>
      <c r="I85" s="5">
        <v>2</v>
      </c>
      <c r="J85" s="5">
        <v>1</v>
      </c>
      <c r="K85" s="5" t="s">
        <v>28</v>
      </c>
      <c r="L85" s="7" t="str">
        <f>VLOOKUP(K85, 'Alphabetical by species code'!A:B, 2, FALSE)</f>
        <v>Stephanomeria diegensis</v>
      </c>
      <c r="M85" s="7" t="str">
        <f>VLOOKUP(L85, 'Alphabetical by species code'!B:C, 2, FALSE)</f>
        <v>Native</v>
      </c>
    </row>
    <row r="86" spans="1:13" ht="15.75" customHeight="1" x14ac:dyDescent="0.25">
      <c r="A86" s="5">
        <v>2</v>
      </c>
      <c r="B86" s="5">
        <v>2023</v>
      </c>
      <c r="C86" s="61">
        <v>45197</v>
      </c>
      <c r="D86" s="5" t="s">
        <v>24</v>
      </c>
      <c r="E86" s="5" t="s">
        <v>25</v>
      </c>
      <c r="F86" s="5">
        <v>1</v>
      </c>
      <c r="G86" s="5" t="s">
        <v>36</v>
      </c>
      <c r="H86" s="5">
        <v>3</v>
      </c>
      <c r="I86" s="5">
        <v>2</v>
      </c>
      <c r="J86" s="5">
        <v>1.5</v>
      </c>
      <c r="K86" s="5" t="s">
        <v>27</v>
      </c>
      <c r="L86" s="7" t="str">
        <f>VLOOKUP(K86, 'Alphabetical by species code'!A:B, 2, FALSE)</f>
        <v>Litter</v>
      </c>
      <c r="M86" s="7" t="str">
        <f>VLOOKUP(L86, 'Alphabetical by species code'!B:C, 2, FALSE)</f>
        <v>Ground Cover</v>
      </c>
    </row>
    <row r="87" spans="1:13" ht="15.75" customHeight="1" x14ac:dyDescent="0.25">
      <c r="A87" s="5">
        <v>2</v>
      </c>
      <c r="B87" s="5">
        <v>2023</v>
      </c>
      <c r="C87" s="61">
        <v>45197</v>
      </c>
      <c r="D87" s="5" t="s">
        <v>24</v>
      </c>
      <c r="E87" s="5" t="s">
        <v>25</v>
      </c>
      <c r="F87" s="5">
        <v>1</v>
      </c>
      <c r="G87" s="5" t="s">
        <v>36</v>
      </c>
      <c r="H87" s="5">
        <v>4</v>
      </c>
      <c r="I87" s="5">
        <v>2</v>
      </c>
      <c r="J87" s="5">
        <v>2</v>
      </c>
      <c r="K87" s="5" t="s">
        <v>27</v>
      </c>
      <c r="L87" s="7" t="str">
        <f>VLOOKUP(K87, 'Alphabetical by species code'!A:B, 2, FALSE)</f>
        <v>Litter</v>
      </c>
      <c r="M87" s="7" t="str">
        <f>VLOOKUP(L87, 'Alphabetical by species code'!B:C, 2, FALSE)</f>
        <v>Ground Cover</v>
      </c>
    </row>
    <row r="88" spans="1:13" ht="15.75" customHeight="1" x14ac:dyDescent="0.25">
      <c r="A88" s="5">
        <v>2</v>
      </c>
      <c r="B88" s="5">
        <v>2023</v>
      </c>
      <c r="C88" s="61">
        <v>45197</v>
      </c>
      <c r="D88" s="5" t="s">
        <v>24</v>
      </c>
      <c r="E88" s="5" t="s">
        <v>25</v>
      </c>
      <c r="F88" s="5">
        <v>1</v>
      </c>
      <c r="G88" s="5" t="s">
        <v>36</v>
      </c>
      <c r="H88" s="5">
        <v>4</v>
      </c>
      <c r="I88" s="5">
        <v>2</v>
      </c>
      <c r="J88" s="5">
        <v>2</v>
      </c>
      <c r="K88" s="5" t="s">
        <v>30</v>
      </c>
      <c r="L88" s="7" t="str">
        <f>VLOOKUP(K88, 'Alphabetical by species code'!A:B, 2, FALSE)</f>
        <v>Non Native Grass</v>
      </c>
      <c r="M88" s="7" t="str">
        <f>VLOOKUP(L88, 'Alphabetical by species code'!B:C, 2, FALSE)</f>
        <v>Non-Native</v>
      </c>
    </row>
    <row r="89" spans="1:13" ht="15.75" customHeight="1" x14ac:dyDescent="0.25">
      <c r="A89" s="5">
        <v>2</v>
      </c>
      <c r="B89" s="5">
        <v>2023</v>
      </c>
      <c r="C89" s="61">
        <v>45197</v>
      </c>
      <c r="D89" s="5" t="s">
        <v>24</v>
      </c>
      <c r="E89" s="5" t="s">
        <v>25</v>
      </c>
      <c r="F89" s="5">
        <v>1</v>
      </c>
      <c r="G89" s="5" t="s">
        <v>36</v>
      </c>
      <c r="H89" s="5">
        <v>5</v>
      </c>
      <c r="I89" s="5">
        <v>2</v>
      </c>
      <c r="J89" s="5">
        <v>3</v>
      </c>
      <c r="K89" s="5" t="s">
        <v>27</v>
      </c>
      <c r="L89" s="7" t="str">
        <f>VLOOKUP(K89, 'Alphabetical by species code'!A:B, 2, FALSE)</f>
        <v>Litter</v>
      </c>
      <c r="M89" s="7" t="str">
        <f>VLOOKUP(L89, 'Alphabetical by species code'!B:C, 2, FALSE)</f>
        <v>Ground Cover</v>
      </c>
    </row>
    <row r="90" spans="1:13" ht="15.75" customHeight="1" x14ac:dyDescent="0.25">
      <c r="A90" s="5">
        <v>2</v>
      </c>
      <c r="B90" s="5">
        <v>2023</v>
      </c>
      <c r="C90" s="61">
        <v>45197</v>
      </c>
      <c r="D90" s="5" t="s">
        <v>24</v>
      </c>
      <c r="E90" s="5" t="s">
        <v>25</v>
      </c>
      <c r="F90" s="5">
        <v>1</v>
      </c>
      <c r="G90" s="5" t="s">
        <v>36</v>
      </c>
      <c r="H90" s="5">
        <v>5</v>
      </c>
      <c r="I90" s="5">
        <v>2</v>
      </c>
      <c r="J90" s="5">
        <v>3</v>
      </c>
      <c r="K90" s="5" t="s">
        <v>43</v>
      </c>
      <c r="L90" s="7" t="str">
        <f>VLOOKUP(K90, 'Alphabetical by species code'!A:B, 2, FALSE)</f>
        <v>Croton setigerus</v>
      </c>
      <c r="M90" s="7" t="str">
        <f>VLOOKUP(L90, 'Alphabetical by species code'!B:C, 2, FALSE)</f>
        <v>Native</v>
      </c>
    </row>
    <row r="91" spans="1:13" ht="15.75" customHeight="1" x14ac:dyDescent="0.25">
      <c r="A91" s="5">
        <v>2</v>
      </c>
      <c r="B91" s="5">
        <v>2023</v>
      </c>
      <c r="C91" s="61">
        <v>45197</v>
      </c>
      <c r="D91" s="5" t="s">
        <v>24</v>
      </c>
      <c r="E91" s="5" t="s">
        <v>25</v>
      </c>
      <c r="F91" s="5">
        <v>1</v>
      </c>
      <c r="G91" s="5" t="s">
        <v>36</v>
      </c>
      <c r="H91" s="5">
        <v>6</v>
      </c>
      <c r="I91" s="5">
        <v>2</v>
      </c>
      <c r="J91" s="5">
        <v>3.5</v>
      </c>
      <c r="K91" s="5" t="s">
        <v>35</v>
      </c>
      <c r="L91" s="7" t="str">
        <f>VLOOKUP(K91, 'Alphabetical by species code'!A:B, 2, FALSE)</f>
        <v>Bareground</v>
      </c>
      <c r="M91" s="7" t="str">
        <f>VLOOKUP(L91, 'Alphabetical by species code'!B:C, 2, FALSE)</f>
        <v>Ground Cover</v>
      </c>
    </row>
    <row r="92" spans="1:13" ht="15.75" customHeight="1" x14ac:dyDescent="0.25">
      <c r="A92" s="5">
        <v>2</v>
      </c>
      <c r="B92" s="5">
        <v>2023</v>
      </c>
      <c r="C92" s="61">
        <v>45197</v>
      </c>
      <c r="D92" s="5" t="s">
        <v>24</v>
      </c>
      <c r="E92" s="5" t="s">
        <v>25</v>
      </c>
      <c r="F92" s="5">
        <v>1</v>
      </c>
      <c r="G92" s="5" t="s">
        <v>36</v>
      </c>
      <c r="H92" s="5">
        <v>6</v>
      </c>
      <c r="I92" s="5">
        <v>2</v>
      </c>
      <c r="J92" s="5">
        <v>3.5</v>
      </c>
      <c r="K92" s="5" t="s">
        <v>44</v>
      </c>
      <c r="L92" s="7" t="str">
        <f>VLOOKUP(K92, 'Alphabetical by species code'!A:B, 2, FALSE)</f>
        <v>Laennecia coulteri</v>
      </c>
      <c r="M92" s="7" t="str">
        <f>VLOOKUP(L92, 'Alphabetical by species code'!B:C, 2, FALSE)</f>
        <v>Native</v>
      </c>
    </row>
    <row r="93" spans="1:13" ht="15.75" customHeight="1" x14ac:dyDescent="0.25">
      <c r="A93" s="5">
        <v>2</v>
      </c>
      <c r="B93" s="5">
        <v>2023</v>
      </c>
      <c r="C93" s="61">
        <v>45197</v>
      </c>
      <c r="D93" s="5" t="s">
        <v>24</v>
      </c>
      <c r="E93" s="5" t="s">
        <v>25</v>
      </c>
      <c r="F93" s="5">
        <v>1</v>
      </c>
      <c r="G93" s="5" t="s">
        <v>36</v>
      </c>
      <c r="H93" s="5">
        <v>7</v>
      </c>
      <c r="I93" s="5">
        <v>2</v>
      </c>
      <c r="J93" s="5">
        <v>4</v>
      </c>
      <c r="K93" s="5" t="s">
        <v>27</v>
      </c>
      <c r="L93" s="7" t="str">
        <f>VLOOKUP(K93, 'Alphabetical by species code'!A:B, 2, FALSE)</f>
        <v>Litter</v>
      </c>
      <c r="M93" s="7" t="str">
        <f>VLOOKUP(L93, 'Alphabetical by species code'!B:C, 2, FALSE)</f>
        <v>Ground Cover</v>
      </c>
    </row>
    <row r="94" spans="1:13" ht="15.75" customHeight="1" x14ac:dyDescent="0.25">
      <c r="A94" s="5">
        <v>2</v>
      </c>
      <c r="B94" s="5">
        <v>2023</v>
      </c>
      <c r="C94" s="61">
        <v>45197</v>
      </c>
      <c r="D94" s="5" t="s">
        <v>24</v>
      </c>
      <c r="E94" s="5" t="s">
        <v>25</v>
      </c>
      <c r="F94" s="5">
        <v>1</v>
      </c>
      <c r="G94" s="5" t="s">
        <v>36</v>
      </c>
      <c r="H94" s="5">
        <v>7</v>
      </c>
      <c r="I94" s="5">
        <v>2</v>
      </c>
      <c r="J94" s="5">
        <v>4</v>
      </c>
      <c r="K94" s="5" t="s">
        <v>28</v>
      </c>
      <c r="L94" s="7" t="str">
        <f>VLOOKUP(K94, 'Alphabetical by species code'!A:B, 2, FALSE)</f>
        <v>Stephanomeria diegensis</v>
      </c>
      <c r="M94" s="7" t="str">
        <f>VLOOKUP(L94, 'Alphabetical by species code'!B:C, 2, FALSE)</f>
        <v>Native</v>
      </c>
    </row>
    <row r="95" spans="1:13" ht="15.75" customHeight="1" x14ac:dyDescent="0.25">
      <c r="A95" s="5">
        <v>2</v>
      </c>
      <c r="B95" s="5">
        <v>2023</v>
      </c>
      <c r="C95" s="61">
        <v>45197</v>
      </c>
      <c r="D95" s="5" t="s">
        <v>24</v>
      </c>
      <c r="E95" s="5" t="s">
        <v>25</v>
      </c>
      <c r="F95" s="5">
        <v>1</v>
      </c>
      <c r="G95" s="5" t="s">
        <v>36</v>
      </c>
      <c r="H95" s="5">
        <v>8</v>
      </c>
      <c r="I95" s="5">
        <v>2</v>
      </c>
      <c r="J95" s="5">
        <v>5</v>
      </c>
      <c r="K95" s="5" t="s">
        <v>27</v>
      </c>
      <c r="L95" s="7" t="str">
        <f>VLOOKUP(K95, 'Alphabetical by species code'!A:B, 2, FALSE)</f>
        <v>Litter</v>
      </c>
      <c r="M95" s="7" t="str">
        <f>VLOOKUP(L95, 'Alphabetical by species code'!B:C, 2, FALSE)</f>
        <v>Ground Cover</v>
      </c>
    </row>
    <row r="96" spans="1:13" ht="15.75" customHeight="1" x14ac:dyDescent="0.25">
      <c r="A96" s="5">
        <v>2</v>
      </c>
      <c r="B96" s="5">
        <v>2023</v>
      </c>
      <c r="C96" s="61">
        <v>45197</v>
      </c>
      <c r="D96" s="5" t="s">
        <v>24</v>
      </c>
      <c r="E96" s="5" t="s">
        <v>25</v>
      </c>
      <c r="F96" s="5">
        <v>1</v>
      </c>
      <c r="G96" s="5" t="s">
        <v>36</v>
      </c>
      <c r="H96" s="5">
        <v>8</v>
      </c>
      <c r="I96" s="5">
        <v>2</v>
      </c>
      <c r="J96" s="5">
        <v>5</v>
      </c>
      <c r="K96" s="5" t="s">
        <v>28</v>
      </c>
      <c r="L96" s="7" t="str">
        <f>VLOOKUP(K96, 'Alphabetical by species code'!A:B, 2, FALSE)</f>
        <v>Stephanomeria diegensis</v>
      </c>
      <c r="M96" s="7" t="str">
        <f>VLOOKUP(L96, 'Alphabetical by species code'!B:C, 2, FALSE)</f>
        <v>Native</v>
      </c>
    </row>
    <row r="97" spans="1:14" ht="15.75" customHeight="1" x14ac:dyDescent="0.25">
      <c r="A97" s="5">
        <v>2</v>
      </c>
      <c r="B97" s="5">
        <v>2023</v>
      </c>
      <c r="C97" s="61">
        <v>45197</v>
      </c>
      <c r="D97" s="5" t="s">
        <v>24</v>
      </c>
      <c r="E97" s="5" t="s">
        <v>25</v>
      </c>
      <c r="F97" s="5">
        <v>1</v>
      </c>
      <c r="G97" s="5" t="s">
        <v>36</v>
      </c>
      <c r="H97" s="5">
        <v>9</v>
      </c>
      <c r="I97" s="5">
        <v>2</v>
      </c>
      <c r="J97" s="5">
        <v>7</v>
      </c>
      <c r="K97" s="5" t="s">
        <v>35</v>
      </c>
      <c r="L97" s="7" t="str">
        <f>VLOOKUP(K97, 'Alphabetical by species code'!A:B, 2, FALSE)</f>
        <v>Bareground</v>
      </c>
      <c r="M97" s="7" t="str">
        <f>VLOOKUP(L97, 'Alphabetical by species code'!B:C, 2, FALSE)</f>
        <v>Ground Cover</v>
      </c>
    </row>
    <row r="98" spans="1:14" ht="15.75" customHeight="1" x14ac:dyDescent="0.25">
      <c r="A98" s="5">
        <v>2</v>
      </c>
      <c r="B98" s="5">
        <v>2023</v>
      </c>
      <c r="C98" s="61">
        <v>45197</v>
      </c>
      <c r="D98" s="5" t="s">
        <v>24</v>
      </c>
      <c r="E98" s="5" t="s">
        <v>25</v>
      </c>
      <c r="F98" s="5">
        <v>1</v>
      </c>
      <c r="G98" s="5" t="s">
        <v>36</v>
      </c>
      <c r="H98" s="5">
        <v>10</v>
      </c>
      <c r="I98" s="5">
        <v>2</v>
      </c>
      <c r="J98" s="5">
        <v>8</v>
      </c>
      <c r="K98" s="5" t="s">
        <v>27</v>
      </c>
      <c r="L98" s="7" t="str">
        <f>VLOOKUP(K98, 'Alphabetical by species code'!A:B, 2, FALSE)</f>
        <v>Litter</v>
      </c>
      <c r="M98" s="7" t="str">
        <f>VLOOKUP(L98, 'Alphabetical by species code'!B:C, 2, FALSE)</f>
        <v>Ground Cover</v>
      </c>
    </row>
    <row r="99" spans="1:14" ht="15.75" customHeight="1" x14ac:dyDescent="0.25">
      <c r="A99" s="5">
        <v>2</v>
      </c>
      <c r="B99" s="5">
        <v>2023</v>
      </c>
      <c r="C99" s="61">
        <v>45197</v>
      </c>
      <c r="D99" s="5" t="s">
        <v>24</v>
      </c>
      <c r="E99" s="5" t="s">
        <v>25</v>
      </c>
      <c r="F99" s="5">
        <v>1</v>
      </c>
      <c r="G99" s="5" t="s">
        <v>36</v>
      </c>
      <c r="H99" s="5">
        <v>11</v>
      </c>
      <c r="I99" s="5">
        <v>2</v>
      </c>
      <c r="J99" s="5">
        <v>8.5</v>
      </c>
      <c r="K99" s="5" t="s">
        <v>35</v>
      </c>
      <c r="L99" s="7" t="str">
        <f>VLOOKUP(K99, 'Alphabetical by species code'!A:B, 2, FALSE)</f>
        <v>Bareground</v>
      </c>
      <c r="M99" s="7" t="str">
        <f>VLOOKUP(L99, 'Alphabetical by species code'!B:C, 2, FALSE)</f>
        <v>Ground Cover</v>
      </c>
    </row>
    <row r="100" spans="1:14" ht="15.75" customHeight="1" x14ac:dyDescent="0.25">
      <c r="A100" s="5">
        <v>2</v>
      </c>
      <c r="B100" s="5">
        <v>2023</v>
      </c>
      <c r="C100" s="61">
        <v>45197</v>
      </c>
      <c r="D100" s="5" t="s">
        <v>24</v>
      </c>
      <c r="E100" s="5" t="s">
        <v>25</v>
      </c>
      <c r="F100" s="5">
        <v>1</v>
      </c>
      <c r="G100" s="5" t="s">
        <v>36</v>
      </c>
      <c r="H100" s="5">
        <v>11</v>
      </c>
      <c r="I100" s="5">
        <v>2</v>
      </c>
      <c r="J100" s="5">
        <v>8.5</v>
      </c>
      <c r="K100" s="5" t="s">
        <v>40</v>
      </c>
      <c r="L100" s="7" t="e">
        <f>VLOOKUP(K100, 'Alphabetical by species code'!A:B, 2, FALSE)</f>
        <v>#N/A</v>
      </c>
      <c r="M100" s="7" t="e">
        <f>VLOOKUP(L100, 'Alphabetical by species code'!B:C, 2, FALSE)</f>
        <v>#N/A</v>
      </c>
      <c r="N100" s="7" t="s">
        <v>45</v>
      </c>
    </row>
    <row r="101" spans="1:14" ht="15.75" customHeight="1" x14ac:dyDescent="0.25">
      <c r="A101" s="5">
        <v>2</v>
      </c>
      <c r="B101" s="5">
        <v>2023</v>
      </c>
      <c r="C101" s="61">
        <v>45197</v>
      </c>
      <c r="D101" s="5" t="s">
        <v>24</v>
      </c>
      <c r="E101" s="5" t="s">
        <v>25</v>
      </c>
      <c r="F101" s="5">
        <v>1</v>
      </c>
      <c r="G101" s="5" t="s">
        <v>36</v>
      </c>
      <c r="H101" s="5">
        <v>12</v>
      </c>
      <c r="I101" s="5">
        <v>2</v>
      </c>
      <c r="J101" s="5">
        <v>9</v>
      </c>
      <c r="K101" s="5" t="s">
        <v>27</v>
      </c>
      <c r="L101" s="7" t="str">
        <f>VLOOKUP(K101, 'Alphabetical by species code'!A:B, 2, FALSE)</f>
        <v>Litter</v>
      </c>
      <c r="M101" s="7" t="str">
        <f>VLOOKUP(L101, 'Alphabetical by species code'!B:C, 2, FALSE)</f>
        <v>Ground Cover</v>
      </c>
    </row>
    <row r="102" spans="1:14" ht="15.75" customHeight="1" x14ac:dyDescent="0.25">
      <c r="A102" s="5">
        <v>2</v>
      </c>
      <c r="B102" s="5">
        <v>2023</v>
      </c>
      <c r="C102" s="61">
        <v>45197</v>
      </c>
      <c r="D102" s="5" t="s">
        <v>24</v>
      </c>
      <c r="E102" s="5" t="s">
        <v>25</v>
      </c>
      <c r="F102" s="5">
        <v>1</v>
      </c>
      <c r="G102" s="5" t="s">
        <v>36</v>
      </c>
      <c r="H102" s="5">
        <v>12</v>
      </c>
      <c r="I102" s="5">
        <v>2</v>
      </c>
      <c r="J102" s="5">
        <v>9</v>
      </c>
      <c r="K102" s="5" t="s">
        <v>34</v>
      </c>
      <c r="L102" s="7" t="str">
        <f>VLOOKUP(K102, 'Alphabetical by species code'!A:B, 2, FALSE)</f>
        <v>Centaurea melitensis</v>
      </c>
      <c r="M102" s="7" t="str">
        <f>VLOOKUP(L102, 'Alphabetical by species code'!B:C, 2, FALSE)</f>
        <v>Non-Native</v>
      </c>
    </row>
    <row r="103" spans="1:14" ht="15.75" customHeight="1" x14ac:dyDescent="0.25">
      <c r="A103" s="5">
        <v>2</v>
      </c>
      <c r="B103" s="5">
        <v>2023</v>
      </c>
      <c r="C103" s="61">
        <v>45197</v>
      </c>
      <c r="D103" s="5" t="s">
        <v>24</v>
      </c>
      <c r="E103" s="5" t="s">
        <v>25</v>
      </c>
      <c r="F103" s="5">
        <v>1</v>
      </c>
      <c r="G103" s="5" t="s">
        <v>36</v>
      </c>
      <c r="H103" s="5">
        <v>12</v>
      </c>
      <c r="I103" s="5">
        <v>2</v>
      </c>
      <c r="J103" s="5">
        <v>9</v>
      </c>
      <c r="K103" s="5" t="s">
        <v>40</v>
      </c>
      <c r="L103" s="7" t="e">
        <f>VLOOKUP(K103, 'Alphabetical by species code'!A:B, 2, FALSE)</f>
        <v>#N/A</v>
      </c>
      <c r="M103" s="7" t="e">
        <f>VLOOKUP(L103, 'Alphabetical by species code'!B:C, 2, FALSE)</f>
        <v>#N/A</v>
      </c>
      <c r="N103" s="7" t="s">
        <v>45</v>
      </c>
    </row>
    <row r="104" spans="1:14" ht="15.75" customHeight="1" x14ac:dyDescent="0.25">
      <c r="A104" s="5">
        <v>2</v>
      </c>
      <c r="B104" s="5">
        <v>2023</v>
      </c>
      <c r="C104" s="61">
        <v>45197</v>
      </c>
      <c r="D104" s="5" t="s">
        <v>24</v>
      </c>
      <c r="E104" s="5" t="s">
        <v>25</v>
      </c>
      <c r="F104" s="5">
        <v>1</v>
      </c>
      <c r="G104" s="5" t="s">
        <v>36</v>
      </c>
      <c r="H104" s="5">
        <v>13</v>
      </c>
      <c r="I104" s="5">
        <v>2</v>
      </c>
      <c r="J104" s="5">
        <v>10</v>
      </c>
      <c r="K104" s="5" t="s">
        <v>35</v>
      </c>
      <c r="L104" s="7" t="str">
        <f>VLOOKUP(K104, 'Alphabetical by species code'!A:B, 2, FALSE)</f>
        <v>Bareground</v>
      </c>
      <c r="M104" s="7" t="str">
        <f>VLOOKUP(L104, 'Alphabetical by species code'!B:C, 2, FALSE)</f>
        <v>Ground Cover</v>
      </c>
    </row>
    <row r="105" spans="1:14" ht="15.75" customHeight="1" x14ac:dyDescent="0.25">
      <c r="A105" s="5">
        <v>2</v>
      </c>
      <c r="B105" s="5">
        <v>2023</v>
      </c>
      <c r="C105" s="61">
        <v>45197</v>
      </c>
      <c r="D105" s="5" t="s">
        <v>24</v>
      </c>
      <c r="E105" s="5" t="s">
        <v>25</v>
      </c>
      <c r="F105" s="5">
        <v>1</v>
      </c>
      <c r="G105" s="5" t="s">
        <v>36</v>
      </c>
      <c r="H105" s="5">
        <v>14</v>
      </c>
      <c r="I105" s="5">
        <v>2</v>
      </c>
      <c r="J105" s="5">
        <v>11</v>
      </c>
      <c r="K105" s="5" t="s">
        <v>27</v>
      </c>
      <c r="L105" s="7" t="str">
        <f>VLOOKUP(K105, 'Alphabetical by species code'!A:B, 2, FALSE)</f>
        <v>Litter</v>
      </c>
      <c r="M105" s="7" t="str">
        <f>VLOOKUP(L105, 'Alphabetical by species code'!B:C, 2, FALSE)</f>
        <v>Ground Cover</v>
      </c>
    </row>
    <row r="106" spans="1:14" ht="15.75" customHeight="1" x14ac:dyDescent="0.25">
      <c r="A106" s="5">
        <v>2</v>
      </c>
      <c r="B106" s="5">
        <v>2023</v>
      </c>
      <c r="C106" s="61">
        <v>45197</v>
      </c>
      <c r="D106" s="5" t="s">
        <v>24</v>
      </c>
      <c r="E106" s="5" t="s">
        <v>25</v>
      </c>
      <c r="F106" s="5">
        <v>1</v>
      </c>
      <c r="G106" s="5" t="s">
        <v>36</v>
      </c>
      <c r="H106" s="5">
        <v>15</v>
      </c>
      <c r="I106" s="5">
        <v>2</v>
      </c>
      <c r="J106" s="5">
        <v>12</v>
      </c>
      <c r="K106" s="5" t="s">
        <v>27</v>
      </c>
      <c r="L106" s="7" t="str">
        <f>VLOOKUP(K106, 'Alphabetical by species code'!A:B, 2, FALSE)</f>
        <v>Litter</v>
      </c>
      <c r="M106" s="7" t="str">
        <f>VLOOKUP(L106, 'Alphabetical by species code'!B:C, 2, FALSE)</f>
        <v>Ground Cover</v>
      </c>
    </row>
    <row r="107" spans="1:14" ht="15.75" customHeight="1" x14ac:dyDescent="0.25">
      <c r="A107" s="5">
        <v>2</v>
      </c>
      <c r="B107" s="5">
        <v>2023</v>
      </c>
      <c r="C107" s="61">
        <v>45197</v>
      </c>
      <c r="D107" s="5" t="s">
        <v>24</v>
      </c>
      <c r="E107" s="5" t="s">
        <v>25</v>
      </c>
      <c r="F107" s="5">
        <v>1</v>
      </c>
      <c r="G107" s="5" t="s">
        <v>36</v>
      </c>
      <c r="H107" s="5">
        <v>15</v>
      </c>
      <c r="I107" s="5">
        <v>2</v>
      </c>
      <c r="J107" s="5">
        <v>12</v>
      </c>
      <c r="K107" s="5" t="s">
        <v>29</v>
      </c>
      <c r="L107" s="7" t="str">
        <f>VLOOKUP(K107, 'Alphabetical by species code'!A:B, 2, FALSE)</f>
        <v>Opuntia littoralis</v>
      </c>
      <c r="M107" s="7" t="str">
        <f>VLOOKUP(L107, 'Alphabetical by species code'!B:C, 2, FALSE)</f>
        <v>Native</v>
      </c>
    </row>
    <row r="108" spans="1:14" ht="15.75" customHeight="1" x14ac:dyDescent="0.25">
      <c r="A108" s="5">
        <v>3</v>
      </c>
      <c r="B108" s="5">
        <v>2023</v>
      </c>
      <c r="C108" s="61">
        <v>45203</v>
      </c>
      <c r="D108" s="5" t="s">
        <v>24</v>
      </c>
      <c r="E108" s="5" t="s">
        <v>25</v>
      </c>
      <c r="F108" s="5">
        <v>1</v>
      </c>
      <c r="G108" s="5" t="s">
        <v>46</v>
      </c>
      <c r="H108" s="5">
        <v>1</v>
      </c>
      <c r="I108" s="5">
        <v>1</v>
      </c>
      <c r="J108" s="5">
        <v>0</v>
      </c>
      <c r="K108" s="5" t="s">
        <v>35</v>
      </c>
      <c r="L108" s="7" t="str">
        <f>VLOOKUP(K108, 'Alphabetical by species code'!A:B, 2, FALSE)</f>
        <v>Bareground</v>
      </c>
      <c r="M108" s="7" t="str">
        <f>VLOOKUP(L108, 'Alphabetical by species code'!B:C, 2, FALSE)</f>
        <v>Ground Cover</v>
      </c>
    </row>
    <row r="109" spans="1:14" ht="15.75" customHeight="1" x14ac:dyDescent="0.25">
      <c r="A109" s="5">
        <v>3</v>
      </c>
      <c r="B109" s="5">
        <v>2023</v>
      </c>
      <c r="C109" s="61">
        <v>45203</v>
      </c>
      <c r="D109" s="5" t="s">
        <v>24</v>
      </c>
      <c r="E109" s="5" t="s">
        <v>25</v>
      </c>
      <c r="F109" s="5">
        <v>1</v>
      </c>
      <c r="G109" s="5" t="s">
        <v>46</v>
      </c>
      <c r="H109" s="5">
        <v>1</v>
      </c>
      <c r="I109" s="5">
        <v>1</v>
      </c>
      <c r="J109" s="5">
        <v>0</v>
      </c>
      <c r="K109" s="5" t="s">
        <v>28</v>
      </c>
      <c r="L109" s="7" t="str">
        <f>VLOOKUP(K109, 'Alphabetical by species code'!A:B, 2, FALSE)</f>
        <v>Stephanomeria diegensis</v>
      </c>
      <c r="M109" s="7" t="str">
        <f>VLOOKUP(L109, 'Alphabetical by species code'!B:C, 2, FALSE)</f>
        <v>Native</v>
      </c>
    </row>
    <row r="110" spans="1:14" ht="15.75" customHeight="1" x14ac:dyDescent="0.25">
      <c r="A110" s="5">
        <v>3</v>
      </c>
      <c r="B110" s="5">
        <v>2023</v>
      </c>
      <c r="C110" s="61">
        <v>45203</v>
      </c>
      <c r="D110" s="5" t="s">
        <v>24</v>
      </c>
      <c r="E110" s="5" t="s">
        <v>25</v>
      </c>
      <c r="F110" s="5">
        <v>1</v>
      </c>
      <c r="G110" s="5" t="s">
        <v>46</v>
      </c>
      <c r="H110" s="8">
        <v>2</v>
      </c>
      <c r="I110" s="5">
        <v>1</v>
      </c>
      <c r="J110" s="5">
        <v>0.5</v>
      </c>
      <c r="K110" s="5" t="s">
        <v>27</v>
      </c>
      <c r="L110" s="7" t="str">
        <f>VLOOKUP(K110, 'Alphabetical by species code'!A:B, 2, FALSE)</f>
        <v>Litter</v>
      </c>
      <c r="M110" s="7" t="str">
        <f>VLOOKUP(L110, 'Alphabetical by species code'!B:C, 2, FALSE)</f>
        <v>Ground Cover</v>
      </c>
    </row>
    <row r="111" spans="1:14" ht="15.75" customHeight="1" x14ac:dyDescent="0.25">
      <c r="A111" s="5">
        <v>3</v>
      </c>
      <c r="B111" s="5">
        <v>2023</v>
      </c>
      <c r="C111" s="61">
        <v>45203</v>
      </c>
      <c r="D111" s="5" t="s">
        <v>24</v>
      </c>
      <c r="E111" s="5" t="s">
        <v>25</v>
      </c>
      <c r="F111" s="5">
        <v>1</v>
      </c>
      <c r="G111" s="5" t="s">
        <v>46</v>
      </c>
      <c r="H111" s="5">
        <v>2</v>
      </c>
      <c r="I111" s="5">
        <v>1</v>
      </c>
      <c r="J111" s="5">
        <v>0.5</v>
      </c>
      <c r="K111" s="5" t="s">
        <v>28</v>
      </c>
      <c r="L111" s="7" t="str">
        <f>VLOOKUP(K111, 'Alphabetical by species code'!A:B, 2, FALSE)</f>
        <v>Stephanomeria diegensis</v>
      </c>
      <c r="M111" s="7" t="str">
        <f>VLOOKUP(L111, 'Alphabetical by species code'!B:C, 2, FALSE)</f>
        <v>Native</v>
      </c>
    </row>
    <row r="112" spans="1:14" ht="15.75" customHeight="1" x14ac:dyDescent="0.25">
      <c r="A112" s="5">
        <v>3</v>
      </c>
      <c r="B112" s="5">
        <v>2023</v>
      </c>
      <c r="C112" s="61">
        <v>45203</v>
      </c>
      <c r="D112" s="5" t="s">
        <v>24</v>
      </c>
      <c r="E112" s="5" t="s">
        <v>25</v>
      </c>
      <c r="F112" s="5">
        <v>1</v>
      </c>
      <c r="G112" s="5" t="s">
        <v>46</v>
      </c>
      <c r="H112" s="5">
        <v>3</v>
      </c>
      <c r="I112" s="5">
        <v>1</v>
      </c>
      <c r="J112" s="5">
        <v>1</v>
      </c>
      <c r="K112" s="5" t="s">
        <v>27</v>
      </c>
      <c r="L112" s="7" t="str">
        <f>VLOOKUP(K112, 'Alphabetical by species code'!A:B, 2, FALSE)</f>
        <v>Litter</v>
      </c>
      <c r="M112" s="7" t="str">
        <f>VLOOKUP(L112, 'Alphabetical by species code'!B:C, 2, FALSE)</f>
        <v>Ground Cover</v>
      </c>
    </row>
    <row r="113" spans="1:13" ht="15.75" customHeight="1" x14ac:dyDescent="0.25">
      <c r="A113" s="5">
        <v>3</v>
      </c>
      <c r="B113" s="5">
        <v>2023</v>
      </c>
      <c r="C113" s="61">
        <v>45203</v>
      </c>
      <c r="D113" s="5" t="s">
        <v>24</v>
      </c>
      <c r="E113" s="5" t="s">
        <v>25</v>
      </c>
      <c r="F113" s="5">
        <v>1</v>
      </c>
      <c r="G113" s="5" t="s">
        <v>46</v>
      </c>
      <c r="H113" s="5">
        <v>3</v>
      </c>
      <c r="I113" s="5">
        <v>1</v>
      </c>
      <c r="J113" s="5">
        <v>1</v>
      </c>
      <c r="K113" s="5" t="s">
        <v>28</v>
      </c>
      <c r="L113" s="7" t="str">
        <f>VLOOKUP(K113, 'Alphabetical by species code'!A:B, 2, FALSE)</f>
        <v>Stephanomeria diegensis</v>
      </c>
      <c r="M113" s="7" t="str">
        <f>VLOOKUP(L113, 'Alphabetical by species code'!B:C, 2, FALSE)</f>
        <v>Native</v>
      </c>
    </row>
    <row r="114" spans="1:13" ht="15.75" customHeight="1" x14ac:dyDescent="0.25">
      <c r="A114" s="5">
        <v>3</v>
      </c>
      <c r="B114" s="5">
        <v>2023</v>
      </c>
      <c r="C114" s="61">
        <v>45203</v>
      </c>
      <c r="D114" s="5" t="s">
        <v>24</v>
      </c>
      <c r="E114" s="5" t="s">
        <v>25</v>
      </c>
      <c r="F114" s="5">
        <v>1</v>
      </c>
      <c r="G114" s="5" t="s">
        <v>46</v>
      </c>
      <c r="H114" s="5">
        <v>4</v>
      </c>
      <c r="I114" s="5">
        <v>1</v>
      </c>
      <c r="J114" s="5">
        <v>1.5</v>
      </c>
      <c r="K114" s="5" t="s">
        <v>27</v>
      </c>
      <c r="L114" s="7" t="str">
        <f>VLOOKUP(K114, 'Alphabetical by species code'!A:B, 2, FALSE)</f>
        <v>Litter</v>
      </c>
      <c r="M114" s="7" t="str">
        <f>VLOOKUP(L114, 'Alphabetical by species code'!B:C, 2, FALSE)</f>
        <v>Ground Cover</v>
      </c>
    </row>
    <row r="115" spans="1:13" ht="15.75" customHeight="1" x14ac:dyDescent="0.25">
      <c r="A115" s="5">
        <v>3</v>
      </c>
      <c r="B115" s="5">
        <v>2023</v>
      </c>
      <c r="C115" s="61">
        <v>45203</v>
      </c>
      <c r="D115" s="5" t="s">
        <v>24</v>
      </c>
      <c r="E115" s="5" t="s">
        <v>25</v>
      </c>
      <c r="F115" s="5">
        <v>1</v>
      </c>
      <c r="G115" s="5" t="s">
        <v>46</v>
      </c>
      <c r="H115" s="5">
        <v>4</v>
      </c>
      <c r="I115" s="5">
        <v>1</v>
      </c>
      <c r="J115" s="5">
        <v>1.5</v>
      </c>
      <c r="K115" s="5" t="s">
        <v>28</v>
      </c>
      <c r="L115" s="7" t="str">
        <f>VLOOKUP(K115, 'Alphabetical by species code'!A:B, 2, FALSE)</f>
        <v>Stephanomeria diegensis</v>
      </c>
      <c r="M115" s="7" t="str">
        <f>VLOOKUP(L115, 'Alphabetical by species code'!B:C, 2, FALSE)</f>
        <v>Native</v>
      </c>
    </row>
    <row r="116" spans="1:13" ht="15.75" customHeight="1" x14ac:dyDescent="0.25">
      <c r="A116" s="5">
        <v>3</v>
      </c>
      <c r="B116" s="5">
        <v>2023</v>
      </c>
      <c r="C116" s="61">
        <v>45203</v>
      </c>
      <c r="D116" s="5" t="s">
        <v>24</v>
      </c>
      <c r="E116" s="5" t="s">
        <v>25</v>
      </c>
      <c r="F116" s="5">
        <v>1</v>
      </c>
      <c r="G116" s="5" t="s">
        <v>46</v>
      </c>
      <c r="H116" s="5">
        <v>5</v>
      </c>
      <c r="I116" s="5">
        <v>1</v>
      </c>
      <c r="J116" s="5">
        <v>2</v>
      </c>
      <c r="K116" s="5" t="s">
        <v>27</v>
      </c>
      <c r="L116" s="7" t="str">
        <f>VLOOKUP(K116, 'Alphabetical by species code'!A:B, 2, FALSE)</f>
        <v>Litter</v>
      </c>
      <c r="M116" s="7" t="str">
        <f>VLOOKUP(L116, 'Alphabetical by species code'!B:C, 2, FALSE)</f>
        <v>Ground Cover</v>
      </c>
    </row>
    <row r="117" spans="1:13" ht="15.75" customHeight="1" x14ac:dyDescent="0.25">
      <c r="A117" s="5">
        <v>3</v>
      </c>
      <c r="B117" s="5">
        <v>2023</v>
      </c>
      <c r="C117" s="61">
        <v>45203</v>
      </c>
      <c r="D117" s="5" t="s">
        <v>24</v>
      </c>
      <c r="E117" s="5" t="s">
        <v>25</v>
      </c>
      <c r="F117" s="5">
        <v>1</v>
      </c>
      <c r="G117" s="5" t="s">
        <v>46</v>
      </c>
      <c r="H117" s="5">
        <v>5</v>
      </c>
      <c r="I117" s="5">
        <v>1</v>
      </c>
      <c r="J117" s="5">
        <v>2</v>
      </c>
      <c r="K117" s="5" t="s">
        <v>28</v>
      </c>
      <c r="L117" s="7" t="str">
        <f>VLOOKUP(K117, 'Alphabetical by species code'!A:B, 2, FALSE)</f>
        <v>Stephanomeria diegensis</v>
      </c>
      <c r="M117" s="7" t="str">
        <f>VLOOKUP(L117, 'Alphabetical by species code'!B:C, 2, FALSE)</f>
        <v>Native</v>
      </c>
    </row>
    <row r="118" spans="1:13" ht="15.75" customHeight="1" x14ac:dyDescent="0.25">
      <c r="A118" s="5">
        <v>3</v>
      </c>
      <c r="B118" s="5">
        <v>2023</v>
      </c>
      <c r="C118" s="61">
        <v>45203</v>
      </c>
      <c r="D118" s="5" t="s">
        <v>24</v>
      </c>
      <c r="E118" s="5" t="s">
        <v>25</v>
      </c>
      <c r="F118" s="5">
        <v>1</v>
      </c>
      <c r="G118" s="5" t="s">
        <v>46</v>
      </c>
      <c r="H118" s="5">
        <v>5</v>
      </c>
      <c r="I118" s="5">
        <v>1</v>
      </c>
      <c r="J118" s="5">
        <v>2</v>
      </c>
      <c r="K118" s="5" t="s">
        <v>34</v>
      </c>
      <c r="L118" s="7" t="str">
        <f>VLOOKUP(K118, 'Alphabetical by species code'!A:B, 2, FALSE)</f>
        <v>Centaurea melitensis</v>
      </c>
      <c r="M118" s="7" t="str">
        <f>VLOOKUP(L118, 'Alphabetical by species code'!B:C, 2, FALSE)</f>
        <v>Non-Native</v>
      </c>
    </row>
    <row r="119" spans="1:13" ht="15.75" customHeight="1" x14ac:dyDescent="0.25">
      <c r="A119" s="5">
        <v>3</v>
      </c>
      <c r="B119" s="5">
        <v>2023</v>
      </c>
      <c r="C119" s="61">
        <v>45203</v>
      </c>
      <c r="D119" s="5" t="s">
        <v>24</v>
      </c>
      <c r="E119" s="5" t="s">
        <v>25</v>
      </c>
      <c r="F119" s="5">
        <v>1</v>
      </c>
      <c r="G119" s="5" t="s">
        <v>46</v>
      </c>
      <c r="H119" s="5">
        <v>6</v>
      </c>
      <c r="I119" s="5">
        <v>1</v>
      </c>
      <c r="J119" s="5">
        <v>2.5</v>
      </c>
      <c r="K119" s="5" t="s">
        <v>27</v>
      </c>
      <c r="L119" s="7" t="str">
        <f>VLOOKUP(K119, 'Alphabetical by species code'!A:B, 2, FALSE)</f>
        <v>Litter</v>
      </c>
      <c r="M119" s="7" t="str">
        <f>VLOOKUP(L119, 'Alphabetical by species code'!B:C, 2, FALSE)</f>
        <v>Ground Cover</v>
      </c>
    </row>
    <row r="120" spans="1:13" ht="15.75" customHeight="1" x14ac:dyDescent="0.25">
      <c r="A120" s="5">
        <v>3</v>
      </c>
      <c r="B120" s="5">
        <v>2023</v>
      </c>
      <c r="C120" s="61">
        <v>45203</v>
      </c>
      <c r="D120" s="5" t="s">
        <v>24</v>
      </c>
      <c r="E120" s="5" t="s">
        <v>25</v>
      </c>
      <c r="F120" s="5">
        <v>1</v>
      </c>
      <c r="G120" s="5" t="s">
        <v>46</v>
      </c>
      <c r="H120" s="5">
        <v>6</v>
      </c>
      <c r="I120" s="5">
        <v>1</v>
      </c>
      <c r="J120" s="5">
        <v>2.5</v>
      </c>
      <c r="K120" s="5" t="s">
        <v>28</v>
      </c>
      <c r="L120" s="7" t="str">
        <f>VLOOKUP(K120, 'Alphabetical by species code'!A:B, 2, FALSE)</f>
        <v>Stephanomeria diegensis</v>
      </c>
      <c r="M120" s="7" t="str">
        <f>VLOOKUP(L120, 'Alphabetical by species code'!B:C, 2, FALSE)</f>
        <v>Native</v>
      </c>
    </row>
    <row r="121" spans="1:13" ht="15.75" customHeight="1" x14ac:dyDescent="0.25">
      <c r="A121" s="5">
        <v>3</v>
      </c>
      <c r="B121" s="5">
        <v>2023</v>
      </c>
      <c r="C121" s="61">
        <v>45203</v>
      </c>
      <c r="D121" s="5" t="s">
        <v>24</v>
      </c>
      <c r="E121" s="5" t="s">
        <v>25</v>
      </c>
      <c r="F121" s="5">
        <v>1</v>
      </c>
      <c r="G121" s="5" t="s">
        <v>46</v>
      </c>
      <c r="H121" s="5">
        <v>6</v>
      </c>
      <c r="I121" s="5">
        <v>1</v>
      </c>
      <c r="J121" s="5">
        <v>2.5</v>
      </c>
      <c r="K121" s="5" t="s">
        <v>29</v>
      </c>
      <c r="L121" s="7" t="str">
        <f>VLOOKUP(K121, 'Alphabetical by species code'!A:B, 2, FALSE)</f>
        <v>Opuntia littoralis</v>
      </c>
      <c r="M121" s="7" t="str">
        <f>VLOOKUP(L121, 'Alphabetical by species code'!B:C, 2, FALSE)</f>
        <v>Native</v>
      </c>
    </row>
    <row r="122" spans="1:13" ht="15.75" customHeight="1" x14ac:dyDescent="0.25">
      <c r="A122" s="5">
        <v>3</v>
      </c>
      <c r="B122" s="5">
        <v>2023</v>
      </c>
      <c r="C122" s="61">
        <v>45203</v>
      </c>
      <c r="D122" s="5" t="s">
        <v>24</v>
      </c>
      <c r="E122" s="5" t="s">
        <v>25</v>
      </c>
      <c r="F122" s="5">
        <v>1</v>
      </c>
      <c r="G122" s="5" t="s">
        <v>46</v>
      </c>
      <c r="H122" s="5">
        <v>7</v>
      </c>
      <c r="I122" s="5">
        <v>1</v>
      </c>
      <c r="J122" s="5">
        <v>3</v>
      </c>
      <c r="K122" s="5" t="s">
        <v>27</v>
      </c>
      <c r="L122" s="7" t="str">
        <f>VLOOKUP(K122, 'Alphabetical by species code'!A:B, 2, FALSE)</f>
        <v>Litter</v>
      </c>
      <c r="M122" s="7" t="str">
        <f>VLOOKUP(L122, 'Alphabetical by species code'!B:C, 2, FALSE)</f>
        <v>Ground Cover</v>
      </c>
    </row>
    <row r="123" spans="1:13" ht="15.75" customHeight="1" x14ac:dyDescent="0.25">
      <c r="A123" s="5">
        <v>3</v>
      </c>
      <c r="B123" s="5">
        <v>2023</v>
      </c>
      <c r="C123" s="61">
        <v>45203</v>
      </c>
      <c r="D123" s="5" t="s">
        <v>24</v>
      </c>
      <c r="E123" s="5" t="s">
        <v>25</v>
      </c>
      <c r="F123" s="5">
        <v>1</v>
      </c>
      <c r="G123" s="5" t="s">
        <v>46</v>
      </c>
      <c r="H123" s="5">
        <v>7</v>
      </c>
      <c r="I123" s="5">
        <v>1</v>
      </c>
      <c r="J123" s="5">
        <v>3</v>
      </c>
      <c r="K123" s="5" t="s">
        <v>29</v>
      </c>
      <c r="L123" s="7" t="str">
        <f>VLOOKUP(K123, 'Alphabetical by species code'!A:B, 2, FALSE)</f>
        <v>Opuntia littoralis</v>
      </c>
      <c r="M123" s="7" t="str">
        <f>VLOOKUP(L123, 'Alphabetical by species code'!B:C, 2, FALSE)</f>
        <v>Native</v>
      </c>
    </row>
    <row r="124" spans="1:13" ht="15.75" customHeight="1" x14ac:dyDescent="0.25">
      <c r="A124" s="5">
        <v>3</v>
      </c>
      <c r="B124" s="5">
        <v>2023</v>
      </c>
      <c r="C124" s="61">
        <v>45203</v>
      </c>
      <c r="D124" s="5" t="s">
        <v>24</v>
      </c>
      <c r="E124" s="5" t="s">
        <v>25</v>
      </c>
      <c r="F124" s="5">
        <v>1</v>
      </c>
      <c r="G124" s="5" t="s">
        <v>46</v>
      </c>
      <c r="H124" s="5">
        <v>8</v>
      </c>
      <c r="I124" s="5">
        <v>1</v>
      </c>
      <c r="J124" s="5">
        <v>3.5</v>
      </c>
      <c r="K124" s="5" t="s">
        <v>32</v>
      </c>
      <c r="L124" s="7" t="str">
        <f>VLOOKUP(K124, 'Alphabetical by species code'!A:B, 2, FALSE)</f>
        <v>Rock</v>
      </c>
      <c r="M124" s="7" t="str">
        <f>VLOOKUP(L124, 'Alphabetical by species code'!B:C, 2, FALSE)</f>
        <v>Ground Cover</v>
      </c>
    </row>
    <row r="125" spans="1:13" ht="15.75" customHeight="1" x14ac:dyDescent="0.25">
      <c r="A125" s="5">
        <v>3</v>
      </c>
      <c r="B125" s="5">
        <v>2023</v>
      </c>
      <c r="C125" s="61">
        <v>45203</v>
      </c>
      <c r="D125" s="5" t="s">
        <v>24</v>
      </c>
      <c r="E125" s="5" t="s">
        <v>25</v>
      </c>
      <c r="F125" s="5">
        <v>1</v>
      </c>
      <c r="G125" s="5" t="s">
        <v>46</v>
      </c>
      <c r="H125" s="5">
        <v>9</v>
      </c>
      <c r="I125" s="5">
        <v>1</v>
      </c>
      <c r="J125" s="5">
        <v>4</v>
      </c>
      <c r="K125" s="5" t="s">
        <v>27</v>
      </c>
      <c r="L125" s="7" t="str">
        <f>VLOOKUP(K125, 'Alphabetical by species code'!A:B, 2, FALSE)</f>
        <v>Litter</v>
      </c>
      <c r="M125" s="7" t="str">
        <f>VLOOKUP(L125, 'Alphabetical by species code'!B:C, 2, FALSE)</f>
        <v>Ground Cover</v>
      </c>
    </row>
    <row r="126" spans="1:13" ht="15.75" customHeight="1" x14ac:dyDescent="0.25">
      <c r="A126" s="5">
        <v>3</v>
      </c>
      <c r="B126" s="5">
        <v>2023</v>
      </c>
      <c r="C126" s="61">
        <v>45203</v>
      </c>
      <c r="D126" s="5" t="s">
        <v>24</v>
      </c>
      <c r="E126" s="5" t="s">
        <v>25</v>
      </c>
      <c r="F126" s="5">
        <v>1</v>
      </c>
      <c r="G126" s="5" t="s">
        <v>46</v>
      </c>
      <c r="H126" s="5">
        <v>10</v>
      </c>
      <c r="I126" s="5">
        <v>1</v>
      </c>
      <c r="J126" s="5">
        <v>4.5</v>
      </c>
      <c r="K126" s="5" t="s">
        <v>27</v>
      </c>
      <c r="L126" s="7" t="str">
        <f>VLOOKUP(K126, 'Alphabetical by species code'!A:B, 2, FALSE)</f>
        <v>Litter</v>
      </c>
      <c r="M126" s="7" t="str">
        <f>VLOOKUP(L126, 'Alphabetical by species code'!B:C, 2, FALSE)</f>
        <v>Ground Cover</v>
      </c>
    </row>
    <row r="127" spans="1:13" ht="15.75" customHeight="1" x14ac:dyDescent="0.25">
      <c r="A127" s="5">
        <v>3</v>
      </c>
      <c r="B127" s="5">
        <v>2023</v>
      </c>
      <c r="C127" s="61">
        <v>45203</v>
      </c>
      <c r="D127" s="5" t="s">
        <v>24</v>
      </c>
      <c r="E127" s="5" t="s">
        <v>25</v>
      </c>
      <c r="F127" s="5">
        <v>1</v>
      </c>
      <c r="G127" s="5" t="s">
        <v>46</v>
      </c>
      <c r="H127" s="5">
        <v>10</v>
      </c>
      <c r="I127" s="5">
        <v>1</v>
      </c>
      <c r="J127" s="5">
        <v>4.5</v>
      </c>
      <c r="K127" s="5" t="s">
        <v>47</v>
      </c>
      <c r="L127" s="7" t="str">
        <f>VLOOKUP(K127, 'Alphabetical by species code'!A:B, 2, FALSE)</f>
        <v>Anagallis arvensis</v>
      </c>
      <c r="M127" s="7" t="str">
        <f>VLOOKUP(L127, 'Alphabetical by species code'!B:C, 2, FALSE)</f>
        <v>Non-Native</v>
      </c>
    </row>
    <row r="128" spans="1:13" ht="15.75" customHeight="1" x14ac:dyDescent="0.25">
      <c r="A128" s="5">
        <v>3</v>
      </c>
      <c r="B128" s="5">
        <v>2023</v>
      </c>
      <c r="C128" s="61">
        <v>45203</v>
      </c>
      <c r="D128" s="5" t="s">
        <v>24</v>
      </c>
      <c r="E128" s="5" t="s">
        <v>25</v>
      </c>
      <c r="F128" s="5">
        <v>1</v>
      </c>
      <c r="G128" s="5" t="s">
        <v>46</v>
      </c>
      <c r="H128" s="5">
        <v>11</v>
      </c>
      <c r="I128" s="5">
        <v>1</v>
      </c>
      <c r="J128" s="5">
        <v>5</v>
      </c>
      <c r="K128" s="5" t="s">
        <v>27</v>
      </c>
      <c r="L128" s="7" t="str">
        <f>VLOOKUP(K128, 'Alphabetical by species code'!A:B, 2, FALSE)</f>
        <v>Litter</v>
      </c>
      <c r="M128" s="7" t="str">
        <f>VLOOKUP(L128, 'Alphabetical by species code'!B:C, 2, FALSE)</f>
        <v>Ground Cover</v>
      </c>
    </row>
    <row r="129" spans="1:13" ht="15.75" customHeight="1" x14ac:dyDescent="0.25">
      <c r="A129" s="5">
        <v>3</v>
      </c>
      <c r="B129" s="5">
        <v>2023</v>
      </c>
      <c r="C129" s="61">
        <v>45203</v>
      </c>
      <c r="D129" s="5" t="s">
        <v>24</v>
      </c>
      <c r="E129" s="5" t="s">
        <v>25</v>
      </c>
      <c r="F129" s="5">
        <v>1</v>
      </c>
      <c r="G129" s="5" t="s">
        <v>46</v>
      </c>
      <c r="H129" s="5">
        <v>12</v>
      </c>
      <c r="I129" s="5">
        <v>1</v>
      </c>
      <c r="J129" s="5">
        <v>5.5</v>
      </c>
      <c r="K129" s="5" t="s">
        <v>27</v>
      </c>
      <c r="L129" s="7" t="str">
        <f>VLOOKUP(K129, 'Alphabetical by species code'!A:B, 2, FALSE)</f>
        <v>Litter</v>
      </c>
      <c r="M129" s="7" t="str">
        <f>VLOOKUP(L129, 'Alphabetical by species code'!B:C, 2, FALSE)</f>
        <v>Ground Cover</v>
      </c>
    </row>
    <row r="130" spans="1:13" ht="15.75" customHeight="1" x14ac:dyDescent="0.25">
      <c r="A130" s="5">
        <v>3</v>
      </c>
      <c r="B130" s="5">
        <v>2023</v>
      </c>
      <c r="C130" s="61">
        <v>45203</v>
      </c>
      <c r="D130" s="5" t="s">
        <v>24</v>
      </c>
      <c r="E130" s="5" t="s">
        <v>25</v>
      </c>
      <c r="F130" s="5">
        <v>1</v>
      </c>
      <c r="G130" s="5" t="s">
        <v>46</v>
      </c>
      <c r="H130" s="5">
        <v>12</v>
      </c>
      <c r="I130" s="5">
        <v>1</v>
      </c>
      <c r="J130" s="5">
        <v>5.5</v>
      </c>
      <c r="K130" s="5" t="s">
        <v>44</v>
      </c>
      <c r="L130" s="7" t="str">
        <f>VLOOKUP(K130, 'Alphabetical by species code'!A:B, 2, FALSE)</f>
        <v>Laennecia coulteri</v>
      </c>
      <c r="M130" s="7" t="str">
        <f>VLOOKUP(L130, 'Alphabetical by species code'!B:C, 2, FALSE)</f>
        <v>Native</v>
      </c>
    </row>
    <row r="131" spans="1:13" ht="15.75" customHeight="1" x14ac:dyDescent="0.25">
      <c r="A131" s="5">
        <v>3</v>
      </c>
      <c r="B131" s="5">
        <v>2023</v>
      </c>
      <c r="C131" s="61">
        <v>45203</v>
      </c>
      <c r="D131" s="5" t="s">
        <v>24</v>
      </c>
      <c r="E131" s="5" t="s">
        <v>25</v>
      </c>
      <c r="F131" s="5">
        <v>1</v>
      </c>
      <c r="G131" s="5" t="s">
        <v>46</v>
      </c>
      <c r="H131" s="5">
        <v>13</v>
      </c>
      <c r="I131" s="5">
        <v>1</v>
      </c>
      <c r="J131" s="5">
        <v>6.5</v>
      </c>
      <c r="K131" s="5" t="s">
        <v>27</v>
      </c>
      <c r="L131" s="7" t="str">
        <f>VLOOKUP(K131, 'Alphabetical by species code'!A:B, 2, FALSE)</f>
        <v>Litter</v>
      </c>
      <c r="M131" s="7" t="str">
        <f>VLOOKUP(L131, 'Alphabetical by species code'!B:C, 2, FALSE)</f>
        <v>Ground Cover</v>
      </c>
    </row>
    <row r="132" spans="1:13" ht="15.75" customHeight="1" x14ac:dyDescent="0.25">
      <c r="A132" s="5">
        <v>3</v>
      </c>
      <c r="B132" s="5">
        <v>2023</v>
      </c>
      <c r="C132" s="61">
        <v>45203</v>
      </c>
      <c r="D132" s="5" t="s">
        <v>24</v>
      </c>
      <c r="E132" s="5" t="s">
        <v>25</v>
      </c>
      <c r="F132" s="5">
        <v>1</v>
      </c>
      <c r="G132" s="5" t="s">
        <v>46</v>
      </c>
      <c r="H132" s="5">
        <v>13</v>
      </c>
      <c r="I132" s="5">
        <v>1</v>
      </c>
      <c r="J132" s="5">
        <v>6.5</v>
      </c>
      <c r="K132" s="5" t="s">
        <v>48</v>
      </c>
      <c r="L132" s="7" t="str">
        <f>VLOOKUP(K132, 'Alphabetical by species code'!A:B, 2, FALSE)</f>
        <v>Deinandra fasciculata</v>
      </c>
      <c r="M132" s="7" t="str">
        <f>VLOOKUP(L132, 'Alphabetical by species code'!B:C, 2, FALSE)</f>
        <v>Native</v>
      </c>
    </row>
    <row r="133" spans="1:13" ht="15.75" customHeight="1" x14ac:dyDescent="0.25">
      <c r="A133" s="5">
        <v>3</v>
      </c>
      <c r="B133" s="5">
        <v>2023</v>
      </c>
      <c r="C133" s="61">
        <v>45203</v>
      </c>
      <c r="D133" s="5" t="s">
        <v>24</v>
      </c>
      <c r="E133" s="5" t="s">
        <v>25</v>
      </c>
      <c r="F133" s="5">
        <v>1</v>
      </c>
      <c r="G133" s="5" t="s">
        <v>46</v>
      </c>
      <c r="H133" s="5">
        <v>14</v>
      </c>
      <c r="I133" s="5">
        <v>1</v>
      </c>
      <c r="J133" s="5">
        <v>7</v>
      </c>
      <c r="K133" s="5" t="s">
        <v>27</v>
      </c>
      <c r="L133" s="7" t="str">
        <f>VLOOKUP(K133, 'Alphabetical by species code'!A:B, 2, FALSE)</f>
        <v>Litter</v>
      </c>
      <c r="M133" s="7" t="str">
        <f>VLOOKUP(L133, 'Alphabetical by species code'!B:C, 2, FALSE)</f>
        <v>Ground Cover</v>
      </c>
    </row>
    <row r="134" spans="1:13" ht="15.75" customHeight="1" x14ac:dyDescent="0.25">
      <c r="A134" s="5">
        <v>3</v>
      </c>
      <c r="B134" s="5">
        <v>2023</v>
      </c>
      <c r="C134" s="61">
        <v>45203</v>
      </c>
      <c r="D134" s="5" t="s">
        <v>24</v>
      </c>
      <c r="E134" s="5" t="s">
        <v>25</v>
      </c>
      <c r="F134" s="5">
        <v>1</v>
      </c>
      <c r="G134" s="5" t="s">
        <v>46</v>
      </c>
      <c r="H134" s="5">
        <v>14</v>
      </c>
      <c r="I134" s="5">
        <v>1</v>
      </c>
      <c r="J134" s="5">
        <v>7</v>
      </c>
      <c r="K134" s="5" t="s">
        <v>48</v>
      </c>
      <c r="L134" s="7" t="str">
        <f>VLOOKUP(K134, 'Alphabetical by species code'!A:B, 2, FALSE)</f>
        <v>Deinandra fasciculata</v>
      </c>
      <c r="M134" s="7" t="str">
        <f>VLOOKUP(L134, 'Alphabetical by species code'!B:C, 2, FALSE)</f>
        <v>Native</v>
      </c>
    </row>
    <row r="135" spans="1:13" ht="15.75" customHeight="1" x14ac:dyDescent="0.25">
      <c r="A135" s="5">
        <v>3</v>
      </c>
      <c r="B135" s="5">
        <v>2023</v>
      </c>
      <c r="C135" s="61">
        <v>45203</v>
      </c>
      <c r="D135" s="5" t="s">
        <v>24</v>
      </c>
      <c r="E135" s="5" t="s">
        <v>25</v>
      </c>
      <c r="F135" s="5">
        <v>1</v>
      </c>
      <c r="G135" s="5" t="s">
        <v>46</v>
      </c>
      <c r="H135" s="5">
        <v>15</v>
      </c>
      <c r="I135" s="5">
        <v>1</v>
      </c>
      <c r="J135" s="5">
        <v>7.5</v>
      </c>
      <c r="K135" s="5" t="s">
        <v>27</v>
      </c>
      <c r="L135" s="7" t="str">
        <f>VLOOKUP(K135, 'Alphabetical by species code'!A:B, 2, FALSE)</f>
        <v>Litter</v>
      </c>
      <c r="M135" s="7" t="str">
        <f>VLOOKUP(L135, 'Alphabetical by species code'!B:C, 2, FALSE)</f>
        <v>Ground Cover</v>
      </c>
    </row>
    <row r="136" spans="1:13" ht="15.75" customHeight="1" x14ac:dyDescent="0.25">
      <c r="A136" s="5">
        <v>3</v>
      </c>
      <c r="B136" s="5">
        <v>2023</v>
      </c>
      <c r="C136" s="61">
        <v>45203</v>
      </c>
      <c r="D136" s="5" t="s">
        <v>24</v>
      </c>
      <c r="E136" s="5" t="s">
        <v>25</v>
      </c>
      <c r="F136" s="5">
        <v>1</v>
      </c>
      <c r="G136" s="5" t="s">
        <v>46</v>
      </c>
      <c r="H136" s="5">
        <v>15</v>
      </c>
      <c r="I136" s="5">
        <v>1</v>
      </c>
      <c r="J136" s="5">
        <v>7.5</v>
      </c>
      <c r="K136" s="5" t="s">
        <v>48</v>
      </c>
      <c r="L136" s="7" t="str">
        <f>VLOOKUP(K136, 'Alphabetical by species code'!A:B, 2, FALSE)</f>
        <v>Deinandra fasciculata</v>
      </c>
      <c r="M136" s="7" t="str">
        <f>VLOOKUP(L136, 'Alphabetical by species code'!B:C, 2, FALSE)</f>
        <v>Native</v>
      </c>
    </row>
    <row r="137" spans="1:13" ht="15.75" customHeight="1" x14ac:dyDescent="0.25">
      <c r="A137" s="5">
        <v>3</v>
      </c>
      <c r="B137" s="5">
        <v>2023</v>
      </c>
      <c r="C137" s="61">
        <v>45203</v>
      </c>
      <c r="D137" s="5" t="s">
        <v>24</v>
      </c>
      <c r="E137" s="5" t="s">
        <v>25</v>
      </c>
      <c r="F137" s="5">
        <v>1</v>
      </c>
      <c r="G137" s="5" t="s">
        <v>46</v>
      </c>
      <c r="H137" s="5">
        <v>15</v>
      </c>
      <c r="I137" s="5">
        <v>1</v>
      </c>
      <c r="J137" s="5">
        <v>7.5</v>
      </c>
      <c r="K137" s="5" t="s">
        <v>29</v>
      </c>
      <c r="L137" s="7" t="str">
        <f>VLOOKUP(K137, 'Alphabetical by species code'!A:B, 2, FALSE)</f>
        <v>Opuntia littoralis</v>
      </c>
      <c r="M137" s="7" t="str">
        <f>VLOOKUP(L137, 'Alphabetical by species code'!B:C, 2, FALSE)</f>
        <v>Native</v>
      </c>
    </row>
    <row r="138" spans="1:13" ht="15.75" customHeight="1" x14ac:dyDescent="0.25">
      <c r="A138" s="5">
        <v>3</v>
      </c>
      <c r="B138" s="5">
        <v>2023</v>
      </c>
      <c r="C138" s="61">
        <v>45203</v>
      </c>
      <c r="D138" s="5" t="s">
        <v>24</v>
      </c>
      <c r="E138" s="5" t="s">
        <v>25</v>
      </c>
      <c r="F138" s="5">
        <v>1</v>
      </c>
      <c r="G138" s="5" t="s">
        <v>46</v>
      </c>
      <c r="H138" s="5">
        <v>1</v>
      </c>
      <c r="I138" s="5">
        <v>2</v>
      </c>
      <c r="J138" s="5">
        <v>0</v>
      </c>
      <c r="K138" s="5" t="s">
        <v>49</v>
      </c>
      <c r="L138" s="7" t="str">
        <f>VLOOKUP(K138, 'Alphabetical by species code'!A:B, 2, FALSE)</f>
        <v>Thatch</v>
      </c>
      <c r="M138" s="7" t="str">
        <f>VLOOKUP(L138, 'Alphabetical by species code'!B:C, 2, FALSE)</f>
        <v>Ground Cover</v>
      </c>
    </row>
    <row r="139" spans="1:13" ht="15.75" customHeight="1" x14ac:dyDescent="0.25">
      <c r="A139" s="5">
        <v>3</v>
      </c>
      <c r="B139" s="5">
        <v>2023</v>
      </c>
      <c r="C139" s="61">
        <v>45203</v>
      </c>
      <c r="D139" s="5" t="s">
        <v>24</v>
      </c>
      <c r="E139" s="5" t="s">
        <v>25</v>
      </c>
      <c r="F139" s="5">
        <v>1</v>
      </c>
      <c r="G139" s="5" t="s">
        <v>46</v>
      </c>
      <c r="H139" s="5">
        <v>1</v>
      </c>
      <c r="I139" s="5">
        <v>2</v>
      </c>
      <c r="J139" s="5">
        <v>0</v>
      </c>
      <c r="K139" s="5" t="s">
        <v>30</v>
      </c>
      <c r="L139" s="7" t="str">
        <f>VLOOKUP(K139, 'Alphabetical by species code'!A:B, 2, FALSE)</f>
        <v>Non Native Grass</v>
      </c>
      <c r="M139" s="7" t="str">
        <f>VLOOKUP(L139, 'Alphabetical by species code'!B:C, 2, FALSE)</f>
        <v>Non-Native</v>
      </c>
    </row>
    <row r="140" spans="1:13" ht="15.75" customHeight="1" x14ac:dyDescent="0.25">
      <c r="A140" s="5">
        <v>3</v>
      </c>
      <c r="B140" s="5">
        <v>2023</v>
      </c>
      <c r="C140" s="61">
        <v>45203</v>
      </c>
      <c r="D140" s="5" t="s">
        <v>24</v>
      </c>
      <c r="E140" s="5" t="s">
        <v>25</v>
      </c>
      <c r="F140" s="5">
        <v>1</v>
      </c>
      <c r="G140" s="5" t="s">
        <v>46</v>
      </c>
      <c r="H140" s="5">
        <v>2</v>
      </c>
      <c r="I140" s="5">
        <v>2</v>
      </c>
      <c r="J140" s="5">
        <v>0.5</v>
      </c>
      <c r="K140" s="5" t="s">
        <v>49</v>
      </c>
      <c r="L140" s="7" t="str">
        <f>VLOOKUP(K140, 'Alphabetical by species code'!A:B, 2, FALSE)</f>
        <v>Thatch</v>
      </c>
      <c r="M140" s="7" t="str">
        <f>VLOOKUP(L140, 'Alphabetical by species code'!B:C, 2, FALSE)</f>
        <v>Ground Cover</v>
      </c>
    </row>
    <row r="141" spans="1:13" ht="15.75" customHeight="1" x14ac:dyDescent="0.25">
      <c r="A141" s="5">
        <v>3</v>
      </c>
      <c r="B141" s="5">
        <v>2023</v>
      </c>
      <c r="C141" s="61">
        <v>45203</v>
      </c>
      <c r="D141" s="5" t="s">
        <v>24</v>
      </c>
      <c r="E141" s="5" t="s">
        <v>25</v>
      </c>
      <c r="F141" s="5">
        <v>1</v>
      </c>
      <c r="G141" s="5" t="s">
        <v>46</v>
      </c>
      <c r="H141" s="5">
        <v>2</v>
      </c>
      <c r="I141" s="5">
        <v>2</v>
      </c>
      <c r="J141" s="5">
        <v>0.5</v>
      </c>
      <c r="K141" s="5" t="s">
        <v>30</v>
      </c>
      <c r="L141" s="7" t="str">
        <f>VLOOKUP(K141, 'Alphabetical by species code'!A:B, 2, FALSE)</f>
        <v>Non Native Grass</v>
      </c>
      <c r="M141" s="7" t="str">
        <f>VLOOKUP(L141, 'Alphabetical by species code'!B:C, 2, FALSE)</f>
        <v>Non-Native</v>
      </c>
    </row>
    <row r="142" spans="1:13" ht="15.75" customHeight="1" x14ac:dyDescent="0.25">
      <c r="A142" s="5">
        <v>3</v>
      </c>
      <c r="B142" s="5">
        <v>2023</v>
      </c>
      <c r="C142" s="61">
        <v>45203</v>
      </c>
      <c r="D142" s="5" t="s">
        <v>24</v>
      </c>
      <c r="E142" s="5" t="s">
        <v>25</v>
      </c>
      <c r="F142" s="5">
        <v>1</v>
      </c>
      <c r="G142" s="5" t="s">
        <v>46</v>
      </c>
      <c r="H142" s="5">
        <v>3</v>
      </c>
      <c r="I142" s="5">
        <v>2</v>
      </c>
      <c r="J142" s="5">
        <v>1</v>
      </c>
      <c r="K142" s="5" t="s">
        <v>27</v>
      </c>
      <c r="L142" s="7" t="str">
        <f>VLOOKUP(K142, 'Alphabetical by species code'!A:B, 2, FALSE)</f>
        <v>Litter</v>
      </c>
      <c r="M142" s="7" t="str">
        <f>VLOOKUP(L142, 'Alphabetical by species code'!B:C, 2, FALSE)</f>
        <v>Ground Cover</v>
      </c>
    </row>
    <row r="143" spans="1:13" ht="15.75" customHeight="1" x14ac:dyDescent="0.25">
      <c r="A143" s="5">
        <v>3</v>
      </c>
      <c r="B143" s="5">
        <v>2023</v>
      </c>
      <c r="C143" s="61">
        <v>45203</v>
      </c>
      <c r="D143" s="5" t="s">
        <v>24</v>
      </c>
      <c r="E143" s="5" t="s">
        <v>25</v>
      </c>
      <c r="F143" s="5">
        <v>1</v>
      </c>
      <c r="G143" s="5" t="s">
        <v>46</v>
      </c>
      <c r="H143" s="5">
        <v>3</v>
      </c>
      <c r="I143" s="5">
        <v>2</v>
      </c>
      <c r="J143" s="5">
        <v>1</v>
      </c>
      <c r="K143" s="5" t="s">
        <v>48</v>
      </c>
      <c r="L143" s="7" t="str">
        <f>VLOOKUP(K143, 'Alphabetical by species code'!A:B, 2, FALSE)</f>
        <v>Deinandra fasciculata</v>
      </c>
      <c r="M143" s="7" t="str">
        <f>VLOOKUP(L143, 'Alphabetical by species code'!B:C, 2, FALSE)</f>
        <v>Native</v>
      </c>
    </row>
    <row r="144" spans="1:13" ht="15.75" customHeight="1" x14ac:dyDescent="0.25">
      <c r="A144" s="5">
        <v>3</v>
      </c>
      <c r="B144" s="5">
        <v>2023</v>
      </c>
      <c r="C144" s="61">
        <v>45203</v>
      </c>
      <c r="D144" s="5" t="s">
        <v>24</v>
      </c>
      <c r="E144" s="5" t="s">
        <v>25</v>
      </c>
      <c r="F144" s="5">
        <v>1</v>
      </c>
      <c r="G144" s="5" t="s">
        <v>46</v>
      </c>
      <c r="H144" s="5">
        <v>4</v>
      </c>
      <c r="I144" s="5">
        <v>2</v>
      </c>
      <c r="J144" s="5">
        <v>1.5</v>
      </c>
      <c r="K144" s="5" t="s">
        <v>27</v>
      </c>
      <c r="L144" s="7" t="str">
        <f>VLOOKUP(K144, 'Alphabetical by species code'!A:B, 2, FALSE)</f>
        <v>Litter</v>
      </c>
      <c r="M144" s="7" t="str">
        <f>VLOOKUP(L144, 'Alphabetical by species code'!B:C, 2, FALSE)</f>
        <v>Ground Cover</v>
      </c>
    </row>
    <row r="145" spans="1:13" ht="15.75" customHeight="1" x14ac:dyDescent="0.25">
      <c r="A145" s="5">
        <v>3</v>
      </c>
      <c r="B145" s="5">
        <v>2023</v>
      </c>
      <c r="C145" s="61">
        <v>45203</v>
      </c>
      <c r="D145" s="5" t="s">
        <v>24</v>
      </c>
      <c r="E145" s="5" t="s">
        <v>25</v>
      </c>
      <c r="F145" s="5">
        <v>1</v>
      </c>
      <c r="G145" s="5" t="s">
        <v>46</v>
      </c>
      <c r="H145" s="5">
        <v>4</v>
      </c>
      <c r="I145" s="5">
        <v>2</v>
      </c>
      <c r="J145" s="5">
        <v>1.5</v>
      </c>
      <c r="K145" s="5" t="s">
        <v>48</v>
      </c>
      <c r="L145" s="7" t="str">
        <f>VLOOKUP(K145, 'Alphabetical by species code'!A:B, 2, FALSE)</f>
        <v>Deinandra fasciculata</v>
      </c>
      <c r="M145" s="7" t="str">
        <f>VLOOKUP(L145, 'Alphabetical by species code'!B:C, 2, FALSE)</f>
        <v>Native</v>
      </c>
    </row>
    <row r="146" spans="1:13" ht="15.75" customHeight="1" x14ac:dyDescent="0.25">
      <c r="A146" s="5">
        <v>3</v>
      </c>
      <c r="B146" s="5">
        <v>2023</v>
      </c>
      <c r="C146" s="61">
        <v>45203</v>
      </c>
      <c r="D146" s="5" t="s">
        <v>24</v>
      </c>
      <c r="E146" s="5" t="s">
        <v>25</v>
      </c>
      <c r="F146" s="5">
        <v>1</v>
      </c>
      <c r="G146" s="5" t="s">
        <v>46</v>
      </c>
      <c r="H146" s="5">
        <v>5</v>
      </c>
      <c r="I146" s="5">
        <v>2</v>
      </c>
      <c r="J146" s="5">
        <v>2.5</v>
      </c>
      <c r="K146" s="5" t="s">
        <v>49</v>
      </c>
      <c r="L146" s="7" t="str">
        <f>VLOOKUP(K146, 'Alphabetical by species code'!A:B, 2, FALSE)</f>
        <v>Thatch</v>
      </c>
      <c r="M146" s="7" t="str">
        <f>VLOOKUP(L146, 'Alphabetical by species code'!B:C, 2, FALSE)</f>
        <v>Ground Cover</v>
      </c>
    </row>
    <row r="147" spans="1:13" ht="15.75" customHeight="1" x14ac:dyDescent="0.25">
      <c r="A147" s="5">
        <v>3</v>
      </c>
      <c r="B147" s="5">
        <v>2023</v>
      </c>
      <c r="C147" s="61">
        <v>45203</v>
      </c>
      <c r="D147" s="5" t="s">
        <v>24</v>
      </c>
      <c r="E147" s="5" t="s">
        <v>25</v>
      </c>
      <c r="F147" s="5">
        <v>1</v>
      </c>
      <c r="G147" s="5" t="s">
        <v>46</v>
      </c>
      <c r="H147" s="5">
        <v>5</v>
      </c>
      <c r="I147" s="5">
        <v>2</v>
      </c>
      <c r="J147" s="5">
        <v>2.5</v>
      </c>
      <c r="K147" s="5" t="s">
        <v>48</v>
      </c>
      <c r="L147" s="7" t="str">
        <f>VLOOKUP(K147, 'Alphabetical by species code'!A:B, 2, FALSE)</f>
        <v>Deinandra fasciculata</v>
      </c>
      <c r="M147" s="7" t="str">
        <f>VLOOKUP(L147, 'Alphabetical by species code'!B:C, 2, FALSE)</f>
        <v>Native</v>
      </c>
    </row>
    <row r="148" spans="1:13" ht="15.75" customHeight="1" x14ac:dyDescent="0.25">
      <c r="A148" s="5">
        <v>3</v>
      </c>
      <c r="B148" s="5">
        <v>2023</v>
      </c>
      <c r="C148" s="61">
        <v>45203</v>
      </c>
      <c r="D148" s="5" t="s">
        <v>24</v>
      </c>
      <c r="E148" s="5" t="s">
        <v>25</v>
      </c>
      <c r="F148" s="5">
        <v>1</v>
      </c>
      <c r="G148" s="5" t="s">
        <v>46</v>
      </c>
      <c r="H148" s="5">
        <v>5</v>
      </c>
      <c r="I148" s="5">
        <v>2</v>
      </c>
      <c r="J148" s="5">
        <v>2.5</v>
      </c>
      <c r="K148" s="5" t="s">
        <v>50</v>
      </c>
      <c r="L148" s="7" t="e">
        <f>VLOOKUP(K148, 'Alphabetical by species code'!A:B, 2, FALSE)</f>
        <v>#N/A</v>
      </c>
      <c r="M148" s="7" t="e">
        <f>VLOOKUP(L148, 'Alphabetical by species code'!B:C, 2, FALSE)</f>
        <v>#N/A</v>
      </c>
    </row>
    <row r="149" spans="1:13" ht="15.75" customHeight="1" x14ac:dyDescent="0.25">
      <c r="A149" s="5">
        <v>3</v>
      </c>
      <c r="B149" s="5">
        <v>2023</v>
      </c>
      <c r="C149" s="61">
        <v>45203</v>
      </c>
      <c r="D149" s="5" t="s">
        <v>24</v>
      </c>
      <c r="E149" s="5" t="s">
        <v>25</v>
      </c>
      <c r="F149" s="5">
        <v>1</v>
      </c>
      <c r="G149" s="5" t="s">
        <v>46</v>
      </c>
      <c r="H149" s="5">
        <v>6</v>
      </c>
      <c r="I149" s="5">
        <v>2</v>
      </c>
      <c r="J149" s="5">
        <v>3</v>
      </c>
      <c r="K149" s="5" t="s">
        <v>27</v>
      </c>
      <c r="L149" s="7" t="str">
        <f>VLOOKUP(K149, 'Alphabetical by species code'!A:B, 2, FALSE)</f>
        <v>Litter</v>
      </c>
      <c r="M149" s="7" t="str">
        <f>VLOOKUP(L149, 'Alphabetical by species code'!B:C, 2, FALSE)</f>
        <v>Ground Cover</v>
      </c>
    </row>
    <row r="150" spans="1:13" ht="15.75" customHeight="1" x14ac:dyDescent="0.25">
      <c r="A150" s="5">
        <v>3</v>
      </c>
      <c r="B150" s="5">
        <v>2023</v>
      </c>
      <c r="C150" s="61">
        <v>45203</v>
      </c>
      <c r="D150" s="5" t="s">
        <v>24</v>
      </c>
      <c r="E150" s="5" t="s">
        <v>25</v>
      </c>
      <c r="F150" s="5">
        <v>1</v>
      </c>
      <c r="G150" s="5" t="s">
        <v>46</v>
      </c>
      <c r="H150" s="5">
        <v>7</v>
      </c>
      <c r="I150" s="5">
        <v>2</v>
      </c>
      <c r="J150" s="5">
        <v>3.5</v>
      </c>
      <c r="K150" s="5" t="s">
        <v>27</v>
      </c>
      <c r="L150" s="7" t="str">
        <f>VLOOKUP(K150, 'Alphabetical by species code'!A:B, 2, FALSE)</f>
        <v>Litter</v>
      </c>
      <c r="M150" s="7" t="str">
        <f>VLOOKUP(L150, 'Alphabetical by species code'!B:C, 2, FALSE)</f>
        <v>Ground Cover</v>
      </c>
    </row>
    <row r="151" spans="1:13" ht="15.75" customHeight="1" x14ac:dyDescent="0.25">
      <c r="A151" s="5">
        <v>3</v>
      </c>
      <c r="B151" s="5">
        <v>2023</v>
      </c>
      <c r="C151" s="61">
        <v>45203</v>
      </c>
      <c r="D151" s="5" t="s">
        <v>24</v>
      </c>
      <c r="E151" s="5" t="s">
        <v>25</v>
      </c>
      <c r="F151" s="5">
        <v>1</v>
      </c>
      <c r="G151" s="5" t="s">
        <v>46</v>
      </c>
      <c r="H151" s="5">
        <v>8</v>
      </c>
      <c r="I151" s="5">
        <v>2</v>
      </c>
      <c r="J151" s="5">
        <v>4</v>
      </c>
      <c r="K151" s="5" t="s">
        <v>27</v>
      </c>
      <c r="L151" s="7" t="str">
        <f>VLOOKUP(K151, 'Alphabetical by species code'!A:B, 2, FALSE)</f>
        <v>Litter</v>
      </c>
      <c r="M151" s="7" t="str">
        <f>VLOOKUP(L151, 'Alphabetical by species code'!B:C, 2, FALSE)</f>
        <v>Ground Cover</v>
      </c>
    </row>
    <row r="152" spans="1:13" ht="15.75" customHeight="1" x14ac:dyDescent="0.25">
      <c r="A152" s="5">
        <v>3</v>
      </c>
      <c r="B152" s="5">
        <v>2023</v>
      </c>
      <c r="C152" s="61">
        <v>45203</v>
      </c>
      <c r="D152" s="5" t="s">
        <v>24</v>
      </c>
      <c r="E152" s="5" t="s">
        <v>25</v>
      </c>
      <c r="F152" s="5">
        <v>1</v>
      </c>
      <c r="G152" s="5" t="s">
        <v>46</v>
      </c>
      <c r="H152" s="5">
        <v>9</v>
      </c>
      <c r="I152" s="5">
        <v>2</v>
      </c>
      <c r="J152" s="5">
        <v>4.5</v>
      </c>
      <c r="K152" s="5" t="s">
        <v>27</v>
      </c>
      <c r="L152" s="7" t="str">
        <f>VLOOKUP(K152, 'Alphabetical by species code'!A:B, 2, FALSE)</f>
        <v>Litter</v>
      </c>
      <c r="M152" s="7" t="str">
        <f>VLOOKUP(L152, 'Alphabetical by species code'!B:C, 2, FALSE)</f>
        <v>Ground Cover</v>
      </c>
    </row>
    <row r="153" spans="1:13" ht="15.75" customHeight="1" x14ac:dyDescent="0.25">
      <c r="A153" s="5">
        <v>3</v>
      </c>
      <c r="B153" s="5">
        <v>2023</v>
      </c>
      <c r="C153" s="61">
        <v>45203</v>
      </c>
      <c r="D153" s="5" t="s">
        <v>24</v>
      </c>
      <c r="E153" s="5" t="s">
        <v>25</v>
      </c>
      <c r="F153" s="5">
        <v>1</v>
      </c>
      <c r="G153" s="5" t="s">
        <v>46</v>
      </c>
      <c r="H153" s="5">
        <v>10</v>
      </c>
      <c r="I153" s="5">
        <v>2</v>
      </c>
      <c r="J153" s="5">
        <v>5</v>
      </c>
      <c r="K153" s="5" t="s">
        <v>27</v>
      </c>
      <c r="L153" s="7" t="str">
        <f>VLOOKUP(K153, 'Alphabetical by species code'!A:B, 2, FALSE)</f>
        <v>Litter</v>
      </c>
      <c r="M153" s="7" t="str">
        <f>VLOOKUP(L153, 'Alphabetical by species code'!B:C, 2, FALSE)</f>
        <v>Ground Cover</v>
      </c>
    </row>
    <row r="154" spans="1:13" ht="15.75" customHeight="1" x14ac:dyDescent="0.25">
      <c r="A154" s="5">
        <v>3</v>
      </c>
      <c r="B154" s="5">
        <v>2023</v>
      </c>
      <c r="C154" s="61">
        <v>45203</v>
      </c>
      <c r="D154" s="5" t="s">
        <v>24</v>
      </c>
      <c r="E154" s="5" t="s">
        <v>25</v>
      </c>
      <c r="F154" s="5">
        <v>1</v>
      </c>
      <c r="G154" s="5" t="s">
        <v>46</v>
      </c>
      <c r="H154" s="5">
        <v>10</v>
      </c>
      <c r="I154" s="5">
        <v>2</v>
      </c>
      <c r="J154" s="5">
        <v>5</v>
      </c>
      <c r="K154" s="5" t="s">
        <v>48</v>
      </c>
      <c r="L154" s="7" t="str">
        <f>VLOOKUP(K154, 'Alphabetical by species code'!A:B, 2, FALSE)</f>
        <v>Deinandra fasciculata</v>
      </c>
      <c r="M154" s="7" t="str">
        <f>VLOOKUP(L154, 'Alphabetical by species code'!B:C, 2, FALSE)</f>
        <v>Native</v>
      </c>
    </row>
    <row r="155" spans="1:13" ht="15.75" customHeight="1" x14ac:dyDescent="0.25">
      <c r="A155" s="5">
        <v>3</v>
      </c>
      <c r="B155" s="5">
        <v>2023</v>
      </c>
      <c r="C155" s="61">
        <v>45203</v>
      </c>
      <c r="D155" s="5" t="s">
        <v>24</v>
      </c>
      <c r="E155" s="5" t="s">
        <v>25</v>
      </c>
      <c r="F155" s="5">
        <v>1</v>
      </c>
      <c r="G155" s="5" t="s">
        <v>46</v>
      </c>
      <c r="H155" s="5">
        <v>11</v>
      </c>
      <c r="I155" s="5">
        <v>2</v>
      </c>
      <c r="J155" s="5">
        <v>5.5</v>
      </c>
      <c r="K155" s="5" t="s">
        <v>27</v>
      </c>
      <c r="L155" s="7" t="str">
        <f>VLOOKUP(K155, 'Alphabetical by species code'!A:B, 2, FALSE)</f>
        <v>Litter</v>
      </c>
      <c r="M155" s="7" t="str">
        <f>VLOOKUP(L155, 'Alphabetical by species code'!B:C, 2, FALSE)</f>
        <v>Ground Cover</v>
      </c>
    </row>
    <row r="156" spans="1:13" ht="15.75" customHeight="1" x14ac:dyDescent="0.25">
      <c r="A156" s="5">
        <v>3</v>
      </c>
      <c r="B156" s="5">
        <v>2023</v>
      </c>
      <c r="C156" s="61">
        <v>45203</v>
      </c>
      <c r="D156" s="5" t="s">
        <v>24</v>
      </c>
      <c r="E156" s="5" t="s">
        <v>25</v>
      </c>
      <c r="F156" s="5">
        <v>1</v>
      </c>
      <c r="G156" s="5" t="s">
        <v>46</v>
      </c>
      <c r="H156" s="5">
        <v>12</v>
      </c>
      <c r="I156" s="5">
        <v>2</v>
      </c>
      <c r="J156" s="5">
        <v>6</v>
      </c>
      <c r="K156" s="5" t="s">
        <v>35</v>
      </c>
      <c r="L156" s="7" t="str">
        <f>VLOOKUP(K156, 'Alphabetical by species code'!A:B, 2, FALSE)</f>
        <v>Bareground</v>
      </c>
      <c r="M156" s="7" t="str">
        <f>VLOOKUP(L156, 'Alphabetical by species code'!B:C, 2, FALSE)</f>
        <v>Ground Cover</v>
      </c>
    </row>
    <row r="157" spans="1:13" ht="15.75" customHeight="1" x14ac:dyDescent="0.25">
      <c r="A157" s="5">
        <v>3</v>
      </c>
      <c r="B157" s="5">
        <v>2023</v>
      </c>
      <c r="C157" s="61">
        <v>45203</v>
      </c>
      <c r="D157" s="5" t="s">
        <v>24</v>
      </c>
      <c r="E157" s="5" t="s">
        <v>25</v>
      </c>
      <c r="F157" s="5">
        <v>1</v>
      </c>
      <c r="G157" s="5" t="s">
        <v>46</v>
      </c>
      <c r="H157" s="5">
        <v>13</v>
      </c>
      <c r="I157" s="5">
        <v>2</v>
      </c>
      <c r="J157" s="5">
        <v>6.5</v>
      </c>
      <c r="K157" s="5" t="s">
        <v>49</v>
      </c>
      <c r="L157" s="7" t="str">
        <f>VLOOKUP(K157, 'Alphabetical by species code'!A:B, 2, FALSE)</f>
        <v>Thatch</v>
      </c>
      <c r="M157" s="7" t="str">
        <f>VLOOKUP(L157, 'Alphabetical by species code'!B:C, 2, FALSE)</f>
        <v>Ground Cover</v>
      </c>
    </row>
    <row r="158" spans="1:13" ht="15.75" customHeight="1" x14ac:dyDescent="0.25">
      <c r="A158" s="5">
        <v>3</v>
      </c>
      <c r="B158" s="5">
        <v>2023</v>
      </c>
      <c r="C158" s="61">
        <v>45203</v>
      </c>
      <c r="D158" s="5" t="s">
        <v>24</v>
      </c>
      <c r="E158" s="5" t="s">
        <v>25</v>
      </c>
      <c r="F158" s="5">
        <v>1</v>
      </c>
      <c r="G158" s="5" t="s">
        <v>46</v>
      </c>
      <c r="H158" s="5">
        <v>13</v>
      </c>
      <c r="I158" s="5">
        <v>2</v>
      </c>
      <c r="J158" s="5">
        <v>6.5</v>
      </c>
      <c r="K158" s="5" t="s">
        <v>30</v>
      </c>
      <c r="L158" s="7" t="str">
        <f>VLOOKUP(K158, 'Alphabetical by species code'!A:B, 2, FALSE)</f>
        <v>Non Native Grass</v>
      </c>
      <c r="M158" s="7" t="str">
        <f>VLOOKUP(L158, 'Alphabetical by species code'!B:C, 2, FALSE)</f>
        <v>Non-Native</v>
      </c>
    </row>
    <row r="159" spans="1:13" ht="15.75" customHeight="1" x14ac:dyDescent="0.25">
      <c r="A159" s="5">
        <v>3</v>
      </c>
      <c r="B159" s="5">
        <v>2023</v>
      </c>
      <c r="C159" s="61">
        <v>45203</v>
      </c>
      <c r="D159" s="5" t="s">
        <v>24</v>
      </c>
      <c r="E159" s="5" t="s">
        <v>25</v>
      </c>
      <c r="F159" s="5">
        <v>1</v>
      </c>
      <c r="G159" s="5" t="s">
        <v>46</v>
      </c>
      <c r="H159" s="5">
        <v>13</v>
      </c>
      <c r="I159" s="5">
        <v>2</v>
      </c>
      <c r="J159" s="5">
        <v>6.5</v>
      </c>
      <c r="K159" s="5" t="s">
        <v>34</v>
      </c>
      <c r="L159" s="7" t="str">
        <f>VLOOKUP(K159, 'Alphabetical by species code'!A:B, 2, FALSE)</f>
        <v>Centaurea melitensis</v>
      </c>
      <c r="M159" s="7" t="str">
        <f>VLOOKUP(L159, 'Alphabetical by species code'!B:C, 2, FALSE)</f>
        <v>Non-Native</v>
      </c>
    </row>
    <row r="160" spans="1:13" ht="15.75" customHeight="1" x14ac:dyDescent="0.25">
      <c r="A160" s="5">
        <v>3</v>
      </c>
      <c r="B160" s="5">
        <v>2023</v>
      </c>
      <c r="C160" s="61">
        <v>45203</v>
      </c>
      <c r="D160" s="5" t="s">
        <v>24</v>
      </c>
      <c r="E160" s="5" t="s">
        <v>25</v>
      </c>
      <c r="F160" s="5">
        <v>1</v>
      </c>
      <c r="G160" s="5" t="s">
        <v>46</v>
      </c>
      <c r="H160" s="5">
        <v>14</v>
      </c>
      <c r="I160" s="5">
        <v>2</v>
      </c>
      <c r="J160" s="5">
        <v>7</v>
      </c>
      <c r="K160" s="5" t="s">
        <v>27</v>
      </c>
      <c r="L160" s="7" t="str">
        <f>VLOOKUP(K160, 'Alphabetical by species code'!A:B, 2, FALSE)</f>
        <v>Litter</v>
      </c>
      <c r="M160" s="7" t="str">
        <f>VLOOKUP(L160, 'Alphabetical by species code'!B:C, 2, FALSE)</f>
        <v>Ground Cover</v>
      </c>
    </row>
    <row r="161" spans="1:13" ht="15.75" customHeight="1" x14ac:dyDescent="0.25">
      <c r="A161" s="5">
        <v>3</v>
      </c>
      <c r="B161" s="5">
        <v>2023</v>
      </c>
      <c r="C161" s="61">
        <v>45203</v>
      </c>
      <c r="D161" s="5" t="s">
        <v>24</v>
      </c>
      <c r="E161" s="5" t="s">
        <v>25</v>
      </c>
      <c r="F161" s="5">
        <v>1</v>
      </c>
      <c r="G161" s="5" t="s">
        <v>46</v>
      </c>
      <c r="H161" s="5">
        <v>14</v>
      </c>
      <c r="I161" s="5">
        <v>2</v>
      </c>
      <c r="J161" s="5">
        <v>7</v>
      </c>
      <c r="K161" s="5" t="s">
        <v>28</v>
      </c>
      <c r="L161" s="7" t="str">
        <f>VLOOKUP(K161, 'Alphabetical by species code'!A:B, 2, FALSE)</f>
        <v>Stephanomeria diegensis</v>
      </c>
      <c r="M161" s="7" t="str">
        <f>VLOOKUP(L161, 'Alphabetical by species code'!B:C, 2, FALSE)</f>
        <v>Native</v>
      </c>
    </row>
    <row r="162" spans="1:13" ht="15.75" customHeight="1" x14ac:dyDescent="0.25">
      <c r="A162" s="5">
        <v>3</v>
      </c>
      <c r="B162" s="5">
        <v>2023</v>
      </c>
      <c r="C162" s="61">
        <v>45203</v>
      </c>
      <c r="D162" s="5" t="s">
        <v>24</v>
      </c>
      <c r="E162" s="5" t="s">
        <v>25</v>
      </c>
      <c r="F162" s="5">
        <v>1</v>
      </c>
      <c r="G162" s="5" t="s">
        <v>46</v>
      </c>
      <c r="H162" s="5">
        <v>14</v>
      </c>
      <c r="I162" s="5">
        <v>2</v>
      </c>
      <c r="J162" s="5">
        <v>7</v>
      </c>
      <c r="K162" s="5" t="s">
        <v>34</v>
      </c>
      <c r="L162" s="7" t="str">
        <f>VLOOKUP(K162, 'Alphabetical by species code'!A:B, 2, FALSE)</f>
        <v>Centaurea melitensis</v>
      </c>
      <c r="M162" s="7" t="str">
        <f>VLOOKUP(L162, 'Alphabetical by species code'!B:C, 2, FALSE)</f>
        <v>Non-Native</v>
      </c>
    </row>
    <row r="163" spans="1:13" ht="15.75" customHeight="1" x14ac:dyDescent="0.25">
      <c r="A163" s="5">
        <v>3</v>
      </c>
      <c r="B163" s="5">
        <v>2023</v>
      </c>
      <c r="C163" s="61">
        <v>45203</v>
      </c>
      <c r="D163" s="5" t="s">
        <v>24</v>
      </c>
      <c r="E163" s="5" t="s">
        <v>25</v>
      </c>
      <c r="F163" s="5">
        <v>1</v>
      </c>
      <c r="G163" s="5" t="s">
        <v>46</v>
      </c>
      <c r="H163" s="5">
        <v>15</v>
      </c>
      <c r="I163" s="5">
        <v>2</v>
      </c>
      <c r="J163" s="5">
        <v>7.5</v>
      </c>
      <c r="K163" s="5" t="s">
        <v>27</v>
      </c>
      <c r="L163" s="7" t="str">
        <f>VLOOKUP(K163, 'Alphabetical by species code'!A:B, 2, FALSE)</f>
        <v>Litter</v>
      </c>
      <c r="M163" s="7" t="str">
        <f>VLOOKUP(L163, 'Alphabetical by species code'!B:C, 2, FALSE)</f>
        <v>Ground Cover</v>
      </c>
    </row>
    <row r="164" spans="1:13" ht="15.75" customHeight="1" x14ac:dyDescent="0.25">
      <c r="A164" s="5">
        <v>3</v>
      </c>
      <c r="B164" s="5">
        <v>2023</v>
      </c>
      <c r="C164" s="61">
        <v>45203</v>
      </c>
      <c r="D164" s="5" t="s">
        <v>24</v>
      </c>
      <c r="E164" s="5" t="s">
        <v>25</v>
      </c>
      <c r="F164" s="5">
        <v>1</v>
      </c>
      <c r="G164" s="5" t="s">
        <v>46</v>
      </c>
      <c r="H164" s="5">
        <v>15</v>
      </c>
      <c r="I164" s="5">
        <v>2</v>
      </c>
      <c r="J164" s="5">
        <v>7.5</v>
      </c>
      <c r="K164" s="5" t="s">
        <v>48</v>
      </c>
      <c r="L164" s="7" t="str">
        <f>VLOOKUP(K164, 'Alphabetical by species code'!A:B, 2, FALSE)</f>
        <v>Deinandra fasciculata</v>
      </c>
      <c r="M164" s="7" t="str">
        <f>VLOOKUP(L164, 'Alphabetical by species code'!B:C, 2, FALSE)</f>
        <v>Native</v>
      </c>
    </row>
    <row r="165" spans="1:13" ht="15.75" customHeight="1" x14ac:dyDescent="0.25">
      <c r="A165" s="5">
        <v>3</v>
      </c>
      <c r="B165" s="5">
        <v>2023</v>
      </c>
      <c r="C165" s="61">
        <v>45203</v>
      </c>
      <c r="D165" s="5" t="s">
        <v>24</v>
      </c>
      <c r="E165" s="5" t="s">
        <v>25</v>
      </c>
      <c r="F165" s="5">
        <v>1</v>
      </c>
      <c r="G165" s="5" t="s">
        <v>46</v>
      </c>
      <c r="H165" s="5">
        <v>15</v>
      </c>
      <c r="I165" s="5">
        <v>2</v>
      </c>
      <c r="J165" s="5">
        <v>7.5</v>
      </c>
      <c r="K165" s="5" t="s">
        <v>28</v>
      </c>
      <c r="L165" s="7" t="str">
        <f>VLOOKUP(K165, 'Alphabetical by species code'!A:B, 2, FALSE)</f>
        <v>Stephanomeria diegensis</v>
      </c>
      <c r="M165" s="7" t="str">
        <f>VLOOKUP(L165, 'Alphabetical by species code'!B:C, 2, FALSE)</f>
        <v>Native</v>
      </c>
    </row>
    <row r="166" spans="1:13" ht="15.75" customHeight="1" x14ac:dyDescent="0.25">
      <c r="A166" s="5">
        <v>3</v>
      </c>
      <c r="B166" s="5">
        <v>2023</v>
      </c>
      <c r="C166" s="61">
        <v>45203</v>
      </c>
      <c r="D166" s="5" t="s">
        <v>24</v>
      </c>
      <c r="E166" s="5" t="s">
        <v>25</v>
      </c>
      <c r="F166" s="5">
        <v>1</v>
      </c>
      <c r="G166" s="5" t="s">
        <v>46</v>
      </c>
      <c r="H166" s="5">
        <v>15</v>
      </c>
      <c r="I166" s="5">
        <v>2</v>
      </c>
      <c r="J166" s="5">
        <v>7.5</v>
      </c>
      <c r="K166" s="5" t="s">
        <v>29</v>
      </c>
      <c r="L166" s="7" t="str">
        <f>VLOOKUP(K166, 'Alphabetical by species code'!A:B, 2, FALSE)</f>
        <v>Opuntia littoralis</v>
      </c>
      <c r="M166" s="7" t="str">
        <f>VLOOKUP(L166, 'Alphabetical by species code'!B:C, 2, FALSE)</f>
        <v>Native</v>
      </c>
    </row>
    <row r="167" spans="1:13" ht="15.75" customHeight="1" x14ac:dyDescent="0.25">
      <c r="A167" s="5">
        <v>4</v>
      </c>
      <c r="B167" s="5">
        <v>2023</v>
      </c>
      <c r="C167" s="61">
        <v>45203</v>
      </c>
      <c r="D167" s="5" t="s">
        <v>24</v>
      </c>
      <c r="E167" s="5" t="s">
        <v>25</v>
      </c>
      <c r="F167" s="5">
        <v>1</v>
      </c>
      <c r="G167" s="5" t="s">
        <v>51</v>
      </c>
      <c r="H167" s="5">
        <v>1</v>
      </c>
      <c r="I167" s="5">
        <v>1</v>
      </c>
      <c r="J167" s="5">
        <v>0</v>
      </c>
      <c r="K167" s="5" t="s">
        <v>27</v>
      </c>
      <c r="L167" s="7" t="str">
        <f>VLOOKUP(K167, 'Alphabetical by species code'!A:B, 2, FALSE)</f>
        <v>Litter</v>
      </c>
      <c r="M167" s="7" t="str">
        <f>VLOOKUP(L167, 'Alphabetical by species code'!B:C, 2, FALSE)</f>
        <v>Ground Cover</v>
      </c>
    </row>
    <row r="168" spans="1:13" ht="15.75" customHeight="1" x14ac:dyDescent="0.25">
      <c r="A168" s="5">
        <v>4</v>
      </c>
      <c r="B168" s="5">
        <v>2023</v>
      </c>
      <c r="C168" s="61">
        <v>45203</v>
      </c>
      <c r="D168" s="5" t="s">
        <v>24</v>
      </c>
      <c r="E168" s="5" t="s">
        <v>25</v>
      </c>
      <c r="F168" s="5">
        <v>1</v>
      </c>
      <c r="G168" s="5" t="s">
        <v>51</v>
      </c>
      <c r="H168" s="5">
        <v>1</v>
      </c>
      <c r="I168" s="5">
        <v>1</v>
      </c>
      <c r="J168" s="5">
        <v>0</v>
      </c>
      <c r="K168" s="5" t="s">
        <v>43</v>
      </c>
      <c r="L168" s="7" t="str">
        <f>VLOOKUP(K168, 'Alphabetical by species code'!A:B, 2, FALSE)</f>
        <v>Croton setigerus</v>
      </c>
      <c r="M168" s="7" t="str">
        <f>VLOOKUP(L168, 'Alphabetical by species code'!B:C, 2, FALSE)</f>
        <v>Native</v>
      </c>
    </row>
    <row r="169" spans="1:13" ht="15.75" customHeight="1" x14ac:dyDescent="0.25">
      <c r="A169" s="5">
        <v>4</v>
      </c>
      <c r="B169" s="5">
        <v>2023</v>
      </c>
      <c r="C169" s="61">
        <v>45203</v>
      </c>
      <c r="D169" s="5" t="s">
        <v>24</v>
      </c>
      <c r="E169" s="5" t="s">
        <v>25</v>
      </c>
      <c r="F169" s="5">
        <v>1</v>
      </c>
      <c r="G169" s="5" t="s">
        <v>51</v>
      </c>
      <c r="H169" s="5">
        <v>2</v>
      </c>
      <c r="I169" s="5">
        <v>1</v>
      </c>
      <c r="J169" s="5">
        <v>0.5</v>
      </c>
      <c r="K169" s="5" t="s">
        <v>27</v>
      </c>
      <c r="L169" s="7" t="str">
        <f>VLOOKUP(K169, 'Alphabetical by species code'!A:B, 2, FALSE)</f>
        <v>Litter</v>
      </c>
      <c r="M169" s="7" t="str">
        <f>VLOOKUP(L169, 'Alphabetical by species code'!B:C, 2, FALSE)</f>
        <v>Ground Cover</v>
      </c>
    </row>
    <row r="170" spans="1:13" ht="15.75" customHeight="1" x14ac:dyDescent="0.25">
      <c r="A170" s="5">
        <v>4</v>
      </c>
      <c r="B170" s="5">
        <v>2023</v>
      </c>
      <c r="C170" s="61">
        <v>45203</v>
      </c>
      <c r="D170" s="5" t="s">
        <v>24</v>
      </c>
      <c r="E170" s="5" t="s">
        <v>25</v>
      </c>
      <c r="F170" s="5">
        <v>1</v>
      </c>
      <c r="G170" s="5" t="s">
        <v>51</v>
      </c>
      <c r="H170" s="5">
        <v>2</v>
      </c>
      <c r="I170" s="5">
        <v>1</v>
      </c>
      <c r="J170" s="5">
        <v>0.5</v>
      </c>
      <c r="K170" s="5" t="s">
        <v>29</v>
      </c>
      <c r="L170" s="7" t="str">
        <f>VLOOKUP(K170, 'Alphabetical by species code'!A:B, 2, FALSE)</f>
        <v>Opuntia littoralis</v>
      </c>
      <c r="M170" s="7" t="str">
        <f>VLOOKUP(L170, 'Alphabetical by species code'!B:C, 2, FALSE)</f>
        <v>Native</v>
      </c>
    </row>
    <row r="171" spans="1:13" ht="15.75" customHeight="1" x14ac:dyDescent="0.25">
      <c r="A171" s="5">
        <v>4</v>
      </c>
      <c r="B171" s="5">
        <v>2023</v>
      </c>
      <c r="C171" s="61">
        <v>45203</v>
      </c>
      <c r="D171" s="5" t="s">
        <v>24</v>
      </c>
      <c r="E171" s="5" t="s">
        <v>25</v>
      </c>
      <c r="F171" s="5">
        <v>1</v>
      </c>
      <c r="G171" s="5" t="s">
        <v>51</v>
      </c>
      <c r="H171" s="5">
        <v>3</v>
      </c>
      <c r="I171" s="5">
        <v>1</v>
      </c>
      <c r="J171" s="5">
        <v>1</v>
      </c>
      <c r="K171" s="5" t="s">
        <v>27</v>
      </c>
      <c r="L171" s="7" t="str">
        <f>VLOOKUP(K171, 'Alphabetical by species code'!A:B, 2, FALSE)</f>
        <v>Litter</v>
      </c>
      <c r="M171" s="7" t="str">
        <f>VLOOKUP(L171, 'Alphabetical by species code'!B:C, 2, FALSE)</f>
        <v>Ground Cover</v>
      </c>
    </row>
    <row r="172" spans="1:13" ht="15.75" customHeight="1" x14ac:dyDescent="0.25">
      <c r="A172" s="5">
        <v>4</v>
      </c>
      <c r="B172" s="5">
        <v>2023</v>
      </c>
      <c r="C172" s="61">
        <v>45203</v>
      </c>
      <c r="D172" s="5" t="s">
        <v>24</v>
      </c>
      <c r="E172" s="5" t="s">
        <v>25</v>
      </c>
      <c r="F172" s="5">
        <v>1</v>
      </c>
      <c r="G172" s="5" t="s">
        <v>51</v>
      </c>
      <c r="H172" s="5">
        <v>4</v>
      </c>
      <c r="I172" s="5">
        <v>1</v>
      </c>
      <c r="J172" s="5">
        <v>1.5</v>
      </c>
      <c r="K172" s="5" t="s">
        <v>32</v>
      </c>
      <c r="L172" s="7" t="str">
        <f>VLOOKUP(K172, 'Alphabetical by species code'!A:B, 2, FALSE)</f>
        <v>Rock</v>
      </c>
      <c r="M172" s="7" t="str">
        <f>VLOOKUP(L172, 'Alphabetical by species code'!B:C, 2, FALSE)</f>
        <v>Ground Cover</v>
      </c>
    </row>
    <row r="173" spans="1:13" ht="15.75" customHeight="1" x14ac:dyDescent="0.25">
      <c r="A173" s="5">
        <v>4</v>
      </c>
      <c r="B173" s="5">
        <v>2023</v>
      </c>
      <c r="C173" s="61">
        <v>45203</v>
      </c>
      <c r="D173" s="5" t="s">
        <v>24</v>
      </c>
      <c r="E173" s="5" t="s">
        <v>25</v>
      </c>
      <c r="F173" s="5">
        <v>1</v>
      </c>
      <c r="G173" s="5" t="s">
        <v>51</v>
      </c>
      <c r="H173" s="5">
        <v>5</v>
      </c>
      <c r="I173" s="5">
        <v>1</v>
      </c>
      <c r="J173" s="5">
        <v>2</v>
      </c>
      <c r="K173" s="5" t="s">
        <v>32</v>
      </c>
      <c r="L173" s="7" t="str">
        <f>VLOOKUP(K173, 'Alphabetical by species code'!A:B, 2, FALSE)</f>
        <v>Rock</v>
      </c>
      <c r="M173" s="7" t="str">
        <f>VLOOKUP(L173, 'Alphabetical by species code'!B:C, 2, FALSE)</f>
        <v>Ground Cover</v>
      </c>
    </row>
    <row r="174" spans="1:13" ht="15.75" customHeight="1" x14ac:dyDescent="0.25">
      <c r="A174" s="5">
        <v>4</v>
      </c>
      <c r="B174" s="5">
        <v>2023</v>
      </c>
      <c r="C174" s="61">
        <v>45203</v>
      </c>
      <c r="D174" s="5" t="s">
        <v>24</v>
      </c>
      <c r="E174" s="5" t="s">
        <v>25</v>
      </c>
      <c r="F174" s="5">
        <v>1</v>
      </c>
      <c r="G174" s="5" t="s">
        <v>51</v>
      </c>
      <c r="H174" s="5">
        <v>6</v>
      </c>
      <c r="I174" s="5">
        <v>1</v>
      </c>
      <c r="J174" s="5">
        <v>2.5</v>
      </c>
      <c r="K174" s="5" t="s">
        <v>27</v>
      </c>
      <c r="L174" s="7" t="str">
        <f>VLOOKUP(K174, 'Alphabetical by species code'!A:B, 2, FALSE)</f>
        <v>Litter</v>
      </c>
      <c r="M174" s="7" t="str">
        <f>VLOOKUP(L174, 'Alphabetical by species code'!B:C, 2, FALSE)</f>
        <v>Ground Cover</v>
      </c>
    </row>
    <row r="175" spans="1:13" ht="15.75" customHeight="1" x14ac:dyDescent="0.25">
      <c r="A175" s="5">
        <v>4</v>
      </c>
      <c r="B175" s="5">
        <v>2023</v>
      </c>
      <c r="C175" s="61">
        <v>45203</v>
      </c>
      <c r="D175" s="5" t="s">
        <v>24</v>
      </c>
      <c r="E175" s="5" t="s">
        <v>25</v>
      </c>
      <c r="F175" s="5">
        <v>1</v>
      </c>
      <c r="G175" s="5" t="s">
        <v>51</v>
      </c>
      <c r="H175" s="5">
        <v>7</v>
      </c>
      <c r="I175" s="5">
        <v>1</v>
      </c>
      <c r="J175" s="5">
        <v>3</v>
      </c>
      <c r="K175" s="5" t="s">
        <v>27</v>
      </c>
      <c r="L175" s="7" t="str">
        <f>VLOOKUP(K175, 'Alphabetical by species code'!A:B, 2, FALSE)</f>
        <v>Litter</v>
      </c>
      <c r="M175" s="7" t="str">
        <f>VLOOKUP(L175, 'Alphabetical by species code'!B:C, 2, FALSE)</f>
        <v>Ground Cover</v>
      </c>
    </row>
    <row r="176" spans="1:13" ht="15.75" customHeight="1" x14ac:dyDescent="0.25">
      <c r="A176" s="5">
        <v>4</v>
      </c>
      <c r="B176" s="5">
        <v>2023</v>
      </c>
      <c r="C176" s="61">
        <v>45203</v>
      </c>
      <c r="D176" s="5" t="s">
        <v>24</v>
      </c>
      <c r="E176" s="5" t="s">
        <v>25</v>
      </c>
      <c r="F176" s="5">
        <v>1</v>
      </c>
      <c r="G176" s="5" t="s">
        <v>51</v>
      </c>
      <c r="H176" s="5">
        <v>7</v>
      </c>
      <c r="I176" s="5">
        <v>1</v>
      </c>
      <c r="J176" s="5">
        <v>3</v>
      </c>
      <c r="K176" s="5" t="s">
        <v>47</v>
      </c>
      <c r="L176" s="7" t="str">
        <f>VLOOKUP(K176, 'Alphabetical by species code'!A:B, 2, FALSE)</f>
        <v>Anagallis arvensis</v>
      </c>
      <c r="M176" s="7" t="str">
        <f>VLOOKUP(L176, 'Alphabetical by species code'!B:C, 2, FALSE)</f>
        <v>Non-Native</v>
      </c>
    </row>
    <row r="177" spans="1:13" ht="15.75" customHeight="1" x14ac:dyDescent="0.25">
      <c r="A177" s="5">
        <v>4</v>
      </c>
      <c r="B177" s="5">
        <v>2023</v>
      </c>
      <c r="C177" s="61">
        <v>45203</v>
      </c>
      <c r="D177" s="5" t="s">
        <v>24</v>
      </c>
      <c r="E177" s="5" t="s">
        <v>25</v>
      </c>
      <c r="F177" s="5">
        <v>1</v>
      </c>
      <c r="G177" s="5" t="s">
        <v>51</v>
      </c>
      <c r="H177" s="5">
        <v>8</v>
      </c>
      <c r="I177" s="5">
        <v>1</v>
      </c>
      <c r="J177" s="5">
        <v>3.5</v>
      </c>
      <c r="K177" s="5" t="s">
        <v>27</v>
      </c>
      <c r="L177" s="7" t="str">
        <f>VLOOKUP(K177, 'Alphabetical by species code'!A:B, 2, FALSE)</f>
        <v>Litter</v>
      </c>
      <c r="M177" s="7" t="str">
        <f>VLOOKUP(L177, 'Alphabetical by species code'!B:C, 2, FALSE)</f>
        <v>Ground Cover</v>
      </c>
    </row>
    <row r="178" spans="1:13" ht="15.75" customHeight="1" x14ac:dyDescent="0.25">
      <c r="A178" s="5">
        <v>4</v>
      </c>
      <c r="B178" s="5">
        <v>2023</v>
      </c>
      <c r="C178" s="61">
        <v>45203</v>
      </c>
      <c r="D178" s="5" t="s">
        <v>24</v>
      </c>
      <c r="E178" s="5" t="s">
        <v>25</v>
      </c>
      <c r="F178" s="5">
        <v>1</v>
      </c>
      <c r="G178" s="5" t="s">
        <v>51</v>
      </c>
      <c r="H178" s="5">
        <v>8</v>
      </c>
      <c r="I178" s="5">
        <v>1</v>
      </c>
      <c r="J178" s="5">
        <v>3.5</v>
      </c>
      <c r="K178" s="5" t="s">
        <v>47</v>
      </c>
      <c r="L178" s="7" t="str">
        <f>VLOOKUP(K178, 'Alphabetical by species code'!A:B, 2, FALSE)</f>
        <v>Anagallis arvensis</v>
      </c>
      <c r="M178" s="7" t="str">
        <f>VLOOKUP(L178, 'Alphabetical by species code'!B:C, 2, FALSE)</f>
        <v>Non-Native</v>
      </c>
    </row>
    <row r="179" spans="1:13" ht="15.75" customHeight="1" x14ac:dyDescent="0.25">
      <c r="A179" s="5">
        <v>4</v>
      </c>
      <c r="B179" s="5">
        <v>2023</v>
      </c>
      <c r="C179" s="61">
        <v>45203</v>
      </c>
      <c r="D179" s="5" t="s">
        <v>24</v>
      </c>
      <c r="E179" s="5" t="s">
        <v>25</v>
      </c>
      <c r="F179" s="5">
        <v>1</v>
      </c>
      <c r="G179" s="5" t="s">
        <v>51</v>
      </c>
      <c r="H179" s="5">
        <v>9</v>
      </c>
      <c r="I179" s="5">
        <v>1</v>
      </c>
      <c r="J179" s="5">
        <v>4</v>
      </c>
      <c r="K179" s="5" t="s">
        <v>27</v>
      </c>
      <c r="L179" s="7" t="str">
        <f>VLOOKUP(K179, 'Alphabetical by species code'!A:B, 2, FALSE)</f>
        <v>Litter</v>
      </c>
      <c r="M179" s="7" t="str">
        <f>VLOOKUP(L179, 'Alphabetical by species code'!B:C, 2, FALSE)</f>
        <v>Ground Cover</v>
      </c>
    </row>
    <row r="180" spans="1:13" ht="15.75" customHeight="1" x14ac:dyDescent="0.25">
      <c r="A180" s="5">
        <v>4</v>
      </c>
      <c r="B180" s="5">
        <v>2023</v>
      </c>
      <c r="C180" s="61">
        <v>45203</v>
      </c>
      <c r="D180" s="5" t="s">
        <v>24</v>
      </c>
      <c r="E180" s="5" t="s">
        <v>25</v>
      </c>
      <c r="F180" s="5">
        <v>1</v>
      </c>
      <c r="G180" s="5" t="s">
        <v>51</v>
      </c>
      <c r="H180" s="5">
        <v>10</v>
      </c>
      <c r="I180" s="5">
        <v>1</v>
      </c>
      <c r="J180" s="5">
        <v>4.5</v>
      </c>
      <c r="K180" s="5" t="s">
        <v>27</v>
      </c>
      <c r="L180" s="7" t="str">
        <f>VLOOKUP(K180, 'Alphabetical by species code'!A:B, 2, FALSE)</f>
        <v>Litter</v>
      </c>
      <c r="M180" s="7" t="str">
        <f>VLOOKUP(L180, 'Alphabetical by species code'!B:C, 2, FALSE)</f>
        <v>Ground Cover</v>
      </c>
    </row>
    <row r="181" spans="1:13" ht="15.75" customHeight="1" x14ac:dyDescent="0.25">
      <c r="A181" s="5">
        <v>4</v>
      </c>
      <c r="B181" s="5">
        <v>2023</v>
      </c>
      <c r="C181" s="61">
        <v>45203</v>
      </c>
      <c r="D181" s="5" t="s">
        <v>24</v>
      </c>
      <c r="E181" s="5" t="s">
        <v>25</v>
      </c>
      <c r="F181" s="5">
        <v>1</v>
      </c>
      <c r="G181" s="5" t="s">
        <v>51</v>
      </c>
      <c r="H181" s="5">
        <v>11</v>
      </c>
      <c r="I181" s="5">
        <v>1</v>
      </c>
      <c r="J181" s="5">
        <v>5</v>
      </c>
      <c r="K181" s="5" t="s">
        <v>35</v>
      </c>
      <c r="L181" s="7" t="str">
        <f>VLOOKUP(K181, 'Alphabetical by species code'!A:B, 2, FALSE)</f>
        <v>Bareground</v>
      </c>
      <c r="M181" s="7" t="str">
        <f>VLOOKUP(L181, 'Alphabetical by species code'!B:C, 2, FALSE)</f>
        <v>Ground Cover</v>
      </c>
    </row>
    <row r="182" spans="1:13" ht="15.75" customHeight="1" x14ac:dyDescent="0.25">
      <c r="A182" s="5">
        <v>4</v>
      </c>
      <c r="B182" s="5">
        <v>2023</v>
      </c>
      <c r="C182" s="61">
        <v>45203</v>
      </c>
      <c r="D182" s="5" t="s">
        <v>24</v>
      </c>
      <c r="E182" s="5" t="s">
        <v>25</v>
      </c>
      <c r="F182" s="5">
        <v>1</v>
      </c>
      <c r="G182" s="5" t="s">
        <v>51</v>
      </c>
      <c r="H182" s="5">
        <v>12</v>
      </c>
      <c r="I182" s="5">
        <v>1</v>
      </c>
      <c r="J182" s="5">
        <v>5.5</v>
      </c>
      <c r="K182" s="5" t="s">
        <v>35</v>
      </c>
      <c r="L182" s="7" t="str">
        <f>VLOOKUP(K182, 'Alphabetical by species code'!A:B, 2, FALSE)</f>
        <v>Bareground</v>
      </c>
      <c r="M182" s="7" t="str">
        <f>VLOOKUP(L182, 'Alphabetical by species code'!B:C, 2, FALSE)</f>
        <v>Ground Cover</v>
      </c>
    </row>
    <row r="183" spans="1:13" ht="15.75" customHeight="1" x14ac:dyDescent="0.25">
      <c r="A183" s="5">
        <v>4</v>
      </c>
      <c r="B183" s="5">
        <v>2023</v>
      </c>
      <c r="C183" s="61">
        <v>45203</v>
      </c>
      <c r="D183" s="5" t="s">
        <v>24</v>
      </c>
      <c r="E183" s="5" t="s">
        <v>25</v>
      </c>
      <c r="F183" s="5">
        <v>1</v>
      </c>
      <c r="G183" s="5" t="s">
        <v>51</v>
      </c>
      <c r="H183" s="5">
        <v>13</v>
      </c>
      <c r="I183" s="5">
        <v>1</v>
      </c>
      <c r="J183" s="5">
        <v>6.5</v>
      </c>
      <c r="K183" s="5" t="s">
        <v>35</v>
      </c>
      <c r="L183" s="7" t="str">
        <f>VLOOKUP(K183, 'Alphabetical by species code'!A:B, 2, FALSE)</f>
        <v>Bareground</v>
      </c>
      <c r="M183" s="7" t="str">
        <f>VLOOKUP(L183, 'Alphabetical by species code'!B:C, 2, FALSE)</f>
        <v>Ground Cover</v>
      </c>
    </row>
    <row r="184" spans="1:13" ht="15.75" customHeight="1" x14ac:dyDescent="0.25">
      <c r="A184" s="5">
        <v>4</v>
      </c>
      <c r="B184" s="5">
        <v>2023</v>
      </c>
      <c r="C184" s="61">
        <v>45203</v>
      </c>
      <c r="D184" s="5" t="s">
        <v>24</v>
      </c>
      <c r="E184" s="5" t="s">
        <v>25</v>
      </c>
      <c r="F184" s="5">
        <v>1</v>
      </c>
      <c r="G184" s="5" t="s">
        <v>51</v>
      </c>
      <c r="H184" s="5">
        <v>14</v>
      </c>
      <c r="I184" s="5">
        <v>1</v>
      </c>
      <c r="J184" s="5">
        <v>7</v>
      </c>
      <c r="K184" s="5" t="s">
        <v>27</v>
      </c>
      <c r="L184" s="7" t="str">
        <f>VLOOKUP(K184, 'Alphabetical by species code'!A:B, 2, FALSE)</f>
        <v>Litter</v>
      </c>
      <c r="M184" s="7" t="str">
        <f>VLOOKUP(L184, 'Alphabetical by species code'!B:C, 2, FALSE)</f>
        <v>Ground Cover</v>
      </c>
    </row>
    <row r="185" spans="1:13" ht="15.75" customHeight="1" x14ac:dyDescent="0.25">
      <c r="A185" s="5">
        <v>4</v>
      </c>
      <c r="B185" s="5">
        <v>2023</v>
      </c>
      <c r="C185" s="61">
        <v>45203</v>
      </c>
      <c r="D185" s="5" t="s">
        <v>24</v>
      </c>
      <c r="E185" s="5" t="s">
        <v>25</v>
      </c>
      <c r="F185" s="5">
        <v>1</v>
      </c>
      <c r="G185" s="5" t="s">
        <v>51</v>
      </c>
      <c r="H185" s="5">
        <v>15</v>
      </c>
      <c r="I185" s="5">
        <v>1</v>
      </c>
      <c r="J185" s="5">
        <v>7.5</v>
      </c>
      <c r="K185" s="5" t="s">
        <v>35</v>
      </c>
      <c r="L185" s="7" t="str">
        <f>VLOOKUP(K185, 'Alphabetical by species code'!A:B, 2, FALSE)</f>
        <v>Bareground</v>
      </c>
      <c r="M185" s="7" t="str">
        <f>VLOOKUP(L185, 'Alphabetical by species code'!B:C, 2, FALSE)</f>
        <v>Ground Cover</v>
      </c>
    </row>
    <row r="186" spans="1:13" ht="15.75" customHeight="1" x14ac:dyDescent="0.25">
      <c r="A186" s="5">
        <v>4</v>
      </c>
      <c r="B186" s="5">
        <v>2023</v>
      </c>
      <c r="C186" s="61">
        <v>45203</v>
      </c>
      <c r="D186" s="5" t="s">
        <v>24</v>
      </c>
      <c r="E186" s="5" t="s">
        <v>25</v>
      </c>
      <c r="F186" s="5">
        <v>1</v>
      </c>
      <c r="G186" s="5" t="s">
        <v>51</v>
      </c>
      <c r="H186" s="5">
        <v>1</v>
      </c>
      <c r="I186" s="5">
        <v>2</v>
      </c>
      <c r="J186" s="5">
        <v>0</v>
      </c>
      <c r="K186" s="5" t="s">
        <v>35</v>
      </c>
      <c r="L186" s="7" t="str">
        <f>VLOOKUP(K186, 'Alphabetical by species code'!A:B, 2, FALSE)</f>
        <v>Bareground</v>
      </c>
      <c r="M186" s="7" t="str">
        <f>VLOOKUP(L186, 'Alphabetical by species code'!B:C, 2, FALSE)</f>
        <v>Ground Cover</v>
      </c>
    </row>
    <row r="187" spans="1:13" ht="15.75" customHeight="1" x14ac:dyDescent="0.25">
      <c r="A187" s="5">
        <v>4</v>
      </c>
      <c r="B187" s="5">
        <v>2023</v>
      </c>
      <c r="C187" s="61">
        <v>45203</v>
      </c>
      <c r="D187" s="5" t="s">
        <v>24</v>
      </c>
      <c r="E187" s="5" t="s">
        <v>25</v>
      </c>
      <c r="F187" s="5">
        <v>1</v>
      </c>
      <c r="G187" s="5" t="s">
        <v>51</v>
      </c>
      <c r="H187" s="5">
        <v>2</v>
      </c>
      <c r="I187" s="5">
        <v>2</v>
      </c>
      <c r="J187" s="5">
        <v>0.5</v>
      </c>
      <c r="K187" s="5" t="s">
        <v>35</v>
      </c>
      <c r="L187" s="7" t="str">
        <f>VLOOKUP(K187, 'Alphabetical by species code'!A:B, 2, FALSE)</f>
        <v>Bareground</v>
      </c>
      <c r="M187" s="7" t="str">
        <f>VLOOKUP(L187, 'Alphabetical by species code'!B:C, 2, FALSE)</f>
        <v>Ground Cover</v>
      </c>
    </row>
    <row r="188" spans="1:13" ht="15.75" customHeight="1" x14ac:dyDescent="0.25">
      <c r="A188" s="5">
        <v>4</v>
      </c>
      <c r="B188" s="5">
        <v>2023</v>
      </c>
      <c r="C188" s="61">
        <v>45203</v>
      </c>
      <c r="D188" s="5" t="s">
        <v>24</v>
      </c>
      <c r="E188" s="5" t="s">
        <v>25</v>
      </c>
      <c r="F188" s="5">
        <v>1</v>
      </c>
      <c r="G188" s="5" t="s">
        <v>51</v>
      </c>
      <c r="H188" s="5">
        <v>3</v>
      </c>
      <c r="I188" s="5">
        <v>2</v>
      </c>
      <c r="J188" s="5">
        <v>1</v>
      </c>
      <c r="K188" s="5" t="s">
        <v>35</v>
      </c>
      <c r="L188" s="7" t="str">
        <f>VLOOKUP(K188, 'Alphabetical by species code'!A:B, 2, FALSE)</f>
        <v>Bareground</v>
      </c>
      <c r="M188" s="7" t="str">
        <f>VLOOKUP(L188, 'Alphabetical by species code'!B:C, 2, FALSE)</f>
        <v>Ground Cover</v>
      </c>
    </row>
    <row r="189" spans="1:13" ht="15.75" customHeight="1" x14ac:dyDescent="0.25">
      <c r="A189" s="5">
        <v>4</v>
      </c>
      <c r="B189" s="5">
        <v>2023</v>
      </c>
      <c r="C189" s="61">
        <v>45203</v>
      </c>
      <c r="D189" s="5" t="s">
        <v>24</v>
      </c>
      <c r="E189" s="5" t="s">
        <v>25</v>
      </c>
      <c r="F189" s="5">
        <v>1</v>
      </c>
      <c r="G189" s="5" t="s">
        <v>51</v>
      </c>
      <c r="H189" s="5">
        <v>3</v>
      </c>
      <c r="I189" s="5">
        <v>2</v>
      </c>
      <c r="J189" s="5">
        <v>1</v>
      </c>
      <c r="K189" s="5" t="s">
        <v>52</v>
      </c>
      <c r="L189" s="7" t="e">
        <f>VLOOKUP(K189, 'Alphabetical by species code'!A:B, 2, FALSE)</f>
        <v>#N/A</v>
      </c>
      <c r="M189" s="7" t="e">
        <f>VLOOKUP(L189, 'Alphabetical by species code'!B:C, 2, FALSE)</f>
        <v>#N/A</v>
      </c>
    </row>
    <row r="190" spans="1:13" ht="15.75" customHeight="1" x14ac:dyDescent="0.25">
      <c r="A190" s="5">
        <v>4</v>
      </c>
      <c r="B190" s="5">
        <v>2023</v>
      </c>
      <c r="C190" s="61">
        <v>45203</v>
      </c>
      <c r="D190" s="5" t="s">
        <v>24</v>
      </c>
      <c r="E190" s="5" t="s">
        <v>25</v>
      </c>
      <c r="F190" s="5">
        <v>1</v>
      </c>
      <c r="G190" s="5" t="s">
        <v>51</v>
      </c>
      <c r="H190" s="5">
        <v>4</v>
      </c>
      <c r="I190" s="5">
        <v>2</v>
      </c>
      <c r="J190" s="5">
        <v>1.5</v>
      </c>
      <c r="K190" s="9" t="s">
        <v>35</v>
      </c>
      <c r="L190" s="7" t="str">
        <f>VLOOKUP(K190, 'Alphabetical by species code'!A:B, 2, FALSE)</f>
        <v>Bareground</v>
      </c>
      <c r="M190" s="7" t="str">
        <f>VLOOKUP(L190, 'Alphabetical by species code'!B:C, 2, FALSE)</f>
        <v>Ground Cover</v>
      </c>
    </row>
    <row r="191" spans="1:13" ht="15.75" customHeight="1" x14ac:dyDescent="0.25">
      <c r="A191" s="5">
        <v>4</v>
      </c>
      <c r="B191" s="5">
        <v>2023</v>
      </c>
      <c r="C191" s="61">
        <v>45203</v>
      </c>
      <c r="D191" s="5" t="s">
        <v>24</v>
      </c>
      <c r="E191" s="5" t="s">
        <v>25</v>
      </c>
      <c r="F191" s="5">
        <v>1</v>
      </c>
      <c r="G191" s="5" t="s">
        <v>51</v>
      </c>
      <c r="H191" s="5">
        <v>4</v>
      </c>
      <c r="I191" s="5">
        <v>2</v>
      </c>
      <c r="J191" s="5">
        <v>1.5</v>
      </c>
      <c r="K191" s="5" t="s">
        <v>52</v>
      </c>
      <c r="L191" s="7" t="e">
        <f>VLOOKUP(K191, 'Alphabetical by species code'!A:B, 2, FALSE)</f>
        <v>#N/A</v>
      </c>
      <c r="M191" s="7" t="e">
        <f>VLOOKUP(L191, 'Alphabetical by species code'!B:C, 2, FALSE)</f>
        <v>#N/A</v>
      </c>
    </row>
    <row r="192" spans="1:13" ht="15.75" customHeight="1" x14ac:dyDescent="0.25">
      <c r="A192" s="5">
        <v>4</v>
      </c>
      <c r="B192" s="5">
        <v>2023</v>
      </c>
      <c r="C192" s="61">
        <v>45203</v>
      </c>
      <c r="D192" s="5" t="s">
        <v>24</v>
      </c>
      <c r="E192" s="5" t="s">
        <v>25</v>
      </c>
      <c r="F192" s="5">
        <v>1</v>
      </c>
      <c r="G192" s="5" t="s">
        <v>51</v>
      </c>
      <c r="H192" s="5">
        <v>5</v>
      </c>
      <c r="I192" s="5">
        <v>2</v>
      </c>
      <c r="J192" s="5">
        <v>2.5</v>
      </c>
      <c r="K192" s="5" t="s">
        <v>27</v>
      </c>
      <c r="L192" s="7" t="str">
        <f>VLOOKUP(K192, 'Alphabetical by species code'!A:B, 2, FALSE)</f>
        <v>Litter</v>
      </c>
      <c r="M192" s="7" t="str">
        <f>VLOOKUP(L192, 'Alphabetical by species code'!B:C, 2, FALSE)</f>
        <v>Ground Cover</v>
      </c>
    </row>
    <row r="193" spans="1:13" ht="15.75" customHeight="1" x14ac:dyDescent="0.25">
      <c r="A193" s="5">
        <v>4</v>
      </c>
      <c r="B193" s="5">
        <v>2023</v>
      </c>
      <c r="C193" s="61">
        <v>45203</v>
      </c>
      <c r="D193" s="5" t="s">
        <v>24</v>
      </c>
      <c r="E193" s="5" t="s">
        <v>25</v>
      </c>
      <c r="F193" s="5">
        <v>1</v>
      </c>
      <c r="G193" s="5" t="s">
        <v>51</v>
      </c>
      <c r="H193" s="5">
        <v>5</v>
      </c>
      <c r="I193" s="5">
        <v>2</v>
      </c>
      <c r="J193" s="5">
        <v>2.5</v>
      </c>
      <c r="K193" s="5" t="s">
        <v>29</v>
      </c>
      <c r="L193" s="7" t="str">
        <f>VLOOKUP(K193, 'Alphabetical by species code'!A:B, 2, FALSE)</f>
        <v>Opuntia littoralis</v>
      </c>
      <c r="M193" s="7" t="str">
        <f>VLOOKUP(L193, 'Alphabetical by species code'!B:C, 2, FALSE)</f>
        <v>Native</v>
      </c>
    </row>
    <row r="194" spans="1:13" ht="15.75" customHeight="1" x14ac:dyDescent="0.25">
      <c r="A194" s="5">
        <v>4</v>
      </c>
      <c r="B194" s="5">
        <v>2023</v>
      </c>
      <c r="C194" s="61">
        <v>45203</v>
      </c>
      <c r="D194" s="5" t="s">
        <v>24</v>
      </c>
      <c r="E194" s="5" t="s">
        <v>25</v>
      </c>
      <c r="F194" s="5">
        <v>1</v>
      </c>
      <c r="G194" s="5" t="s">
        <v>51</v>
      </c>
      <c r="H194" s="5">
        <v>6</v>
      </c>
      <c r="I194" s="5">
        <v>2</v>
      </c>
      <c r="J194" s="5">
        <v>3</v>
      </c>
      <c r="K194" s="5" t="s">
        <v>35</v>
      </c>
      <c r="L194" s="7" t="str">
        <f>VLOOKUP(K194, 'Alphabetical by species code'!A:B, 2, FALSE)</f>
        <v>Bareground</v>
      </c>
      <c r="M194" s="7" t="str">
        <f>VLOOKUP(L194, 'Alphabetical by species code'!B:C, 2, FALSE)</f>
        <v>Ground Cover</v>
      </c>
    </row>
    <row r="195" spans="1:13" ht="15.75" customHeight="1" x14ac:dyDescent="0.25">
      <c r="A195" s="5">
        <v>4</v>
      </c>
      <c r="B195" s="5">
        <v>2023</v>
      </c>
      <c r="C195" s="61">
        <v>45203</v>
      </c>
      <c r="D195" s="5" t="s">
        <v>24</v>
      </c>
      <c r="E195" s="5" t="s">
        <v>25</v>
      </c>
      <c r="F195" s="5">
        <v>1</v>
      </c>
      <c r="G195" s="5" t="s">
        <v>51</v>
      </c>
      <c r="H195" s="5">
        <v>7</v>
      </c>
      <c r="I195" s="5">
        <v>2</v>
      </c>
      <c r="J195" s="5">
        <v>3.5</v>
      </c>
      <c r="K195" s="5" t="s">
        <v>35</v>
      </c>
      <c r="L195" s="7" t="str">
        <f>VLOOKUP(K195, 'Alphabetical by species code'!A:B, 2, FALSE)</f>
        <v>Bareground</v>
      </c>
      <c r="M195" s="7" t="str">
        <f>VLOOKUP(L195, 'Alphabetical by species code'!B:C, 2, FALSE)</f>
        <v>Ground Cover</v>
      </c>
    </row>
    <row r="196" spans="1:13" ht="15.75" customHeight="1" x14ac:dyDescent="0.25">
      <c r="A196" s="5">
        <v>4</v>
      </c>
      <c r="B196" s="5">
        <v>2023</v>
      </c>
      <c r="C196" s="61">
        <v>45203</v>
      </c>
      <c r="D196" s="5" t="s">
        <v>24</v>
      </c>
      <c r="E196" s="5" t="s">
        <v>25</v>
      </c>
      <c r="F196" s="5">
        <v>1</v>
      </c>
      <c r="G196" s="5" t="s">
        <v>51</v>
      </c>
      <c r="H196" s="5">
        <v>8</v>
      </c>
      <c r="I196" s="5">
        <v>2</v>
      </c>
      <c r="J196" s="5">
        <v>4</v>
      </c>
      <c r="K196" s="5" t="s">
        <v>27</v>
      </c>
      <c r="L196" s="7" t="str">
        <f>VLOOKUP(K196, 'Alphabetical by species code'!A:B, 2, FALSE)</f>
        <v>Litter</v>
      </c>
      <c r="M196" s="7" t="str">
        <f>VLOOKUP(L196, 'Alphabetical by species code'!B:C, 2, FALSE)</f>
        <v>Ground Cover</v>
      </c>
    </row>
    <row r="197" spans="1:13" ht="15.75" customHeight="1" x14ac:dyDescent="0.25">
      <c r="A197" s="5">
        <v>4</v>
      </c>
      <c r="B197" s="5">
        <v>2023</v>
      </c>
      <c r="C197" s="61">
        <v>45203</v>
      </c>
      <c r="D197" s="5" t="s">
        <v>24</v>
      </c>
      <c r="E197" s="5" t="s">
        <v>25</v>
      </c>
      <c r="F197" s="5">
        <v>1</v>
      </c>
      <c r="G197" s="5" t="s">
        <v>51</v>
      </c>
      <c r="H197" s="5">
        <v>8</v>
      </c>
      <c r="I197" s="5">
        <v>2</v>
      </c>
      <c r="J197" s="5">
        <v>4</v>
      </c>
      <c r="K197" s="5" t="s">
        <v>52</v>
      </c>
      <c r="L197" s="7" t="e">
        <f>VLOOKUP(K197, 'Alphabetical by species code'!A:B, 2, FALSE)</f>
        <v>#N/A</v>
      </c>
      <c r="M197" s="7" t="e">
        <f>VLOOKUP(L197, 'Alphabetical by species code'!B:C, 2, FALSE)</f>
        <v>#N/A</v>
      </c>
    </row>
    <row r="198" spans="1:13" ht="15.75" customHeight="1" x14ac:dyDescent="0.25">
      <c r="A198" s="5">
        <v>4</v>
      </c>
      <c r="B198" s="5">
        <v>2023</v>
      </c>
      <c r="C198" s="61">
        <v>45203</v>
      </c>
      <c r="D198" s="5" t="s">
        <v>24</v>
      </c>
      <c r="E198" s="5" t="s">
        <v>25</v>
      </c>
      <c r="F198" s="5">
        <v>1</v>
      </c>
      <c r="G198" s="5" t="s">
        <v>51</v>
      </c>
      <c r="H198" s="5">
        <v>9</v>
      </c>
      <c r="I198" s="5">
        <v>2</v>
      </c>
      <c r="J198" s="5">
        <v>4.5</v>
      </c>
      <c r="K198" s="5" t="s">
        <v>27</v>
      </c>
      <c r="L198" s="7" t="str">
        <f>VLOOKUP(K198, 'Alphabetical by species code'!A:B, 2, FALSE)</f>
        <v>Litter</v>
      </c>
      <c r="M198" s="7" t="str">
        <f>VLOOKUP(L198, 'Alphabetical by species code'!B:C, 2, FALSE)</f>
        <v>Ground Cover</v>
      </c>
    </row>
    <row r="199" spans="1:13" ht="15.75" customHeight="1" x14ac:dyDescent="0.25">
      <c r="A199" s="5">
        <v>4</v>
      </c>
      <c r="B199" s="5">
        <v>2023</v>
      </c>
      <c r="C199" s="61">
        <v>45203</v>
      </c>
      <c r="D199" s="5" t="s">
        <v>24</v>
      </c>
      <c r="E199" s="5" t="s">
        <v>25</v>
      </c>
      <c r="F199" s="5">
        <v>1</v>
      </c>
      <c r="G199" s="5" t="s">
        <v>51</v>
      </c>
      <c r="H199" s="5">
        <v>10</v>
      </c>
      <c r="I199" s="5">
        <v>2</v>
      </c>
      <c r="J199" s="5">
        <v>5</v>
      </c>
      <c r="K199" s="5" t="s">
        <v>35</v>
      </c>
      <c r="L199" s="7" t="str">
        <f>VLOOKUP(K199, 'Alphabetical by species code'!A:B, 2, FALSE)</f>
        <v>Bareground</v>
      </c>
      <c r="M199" s="7" t="str">
        <f>VLOOKUP(L199, 'Alphabetical by species code'!B:C, 2, FALSE)</f>
        <v>Ground Cover</v>
      </c>
    </row>
    <row r="200" spans="1:13" ht="15.75" customHeight="1" x14ac:dyDescent="0.25">
      <c r="A200" s="5">
        <v>4</v>
      </c>
      <c r="B200" s="5">
        <v>2023</v>
      </c>
      <c r="C200" s="61">
        <v>45203</v>
      </c>
      <c r="D200" s="5" t="s">
        <v>24</v>
      </c>
      <c r="E200" s="5" t="s">
        <v>25</v>
      </c>
      <c r="F200" s="5">
        <v>1</v>
      </c>
      <c r="G200" s="5" t="s">
        <v>51</v>
      </c>
      <c r="H200" s="5">
        <v>10</v>
      </c>
      <c r="I200" s="5">
        <v>2</v>
      </c>
      <c r="J200" s="5">
        <v>5</v>
      </c>
      <c r="K200" s="5" t="s">
        <v>52</v>
      </c>
      <c r="L200" s="7" t="e">
        <f>VLOOKUP(K200, 'Alphabetical by species code'!A:B, 2, FALSE)</f>
        <v>#N/A</v>
      </c>
      <c r="M200" s="7" t="e">
        <f>VLOOKUP(L200, 'Alphabetical by species code'!B:C, 2, FALSE)</f>
        <v>#N/A</v>
      </c>
    </row>
    <row r="201" spans="1:13" ht="15.75" customHeight="1" x14ac:dyDescent="0.25">
      <c r="A201" s="5">
        <v>4</v>
      </c>
      <c r="B201" s="5">
        <v>2023</v>
      </c>
      <c r="C201" s="61">
        <v>45203</v>
      </c>
      <c r="D201" s="5" t="s">
        <v>24</v>
      </c>
      <c r="E201" s="5" t="s">
        <v>25</v>
      </c>
      <c r="F201" s="5">
        <v>1</v>
      </c>
      <c r="G201" s="5" t="s">
        <v>51</v>
      </c>
      <c r="H201" s="5">
        <v>11</v>
      </c>
      <c r="I201" s="5">
        <v>2</v>
      </c>
      <c r="J201" s="5">
        <v>5.5</v>
      </c>
      <c r="K201" s="5" t="s">
        <v>35</v>
      </c>
      <c r="L201" s="7" t="str">
        <f>VLOOKUP(K201, 'Alphabetical by species code'!A:B, 2, FALSE)</f>
        <v>Bareground</v>
      </c>
      <c r="M201" s="7" t="str">
        <f>VLOOKUP(L201, 'Alphabetical by species code'!B:C, 2, FALSE)</f>
        <v>Ground Cover</v>
      </c>
    </row>
    <row r="202" spans="1:13" ht="15.75" customHeight="1" x14ac:dyDescent="0.25">
      <c r="A202" s="5">
        <v>4</v>
      </c>
      <c r="B202" s="5">
        <v>2023</v>
      </c>
      <c r="C202" s="61">
        <v>45203</v>
      </c>
      <c r="D202" s="5" t="s">
        <v>24</v>
      </c>
      <c r="E202" s="5" t="s">
        <v>25</v>
      </c>
      <c r="F202" s="5">
        <v>1</v>
      </c>
      <c r="G202" s="5" t="s">
        <v>51</v>
      </c>
      <c r="H202" s="5">
        <v>11</v>
      </c>
      <c r="I202" s="5">
        <v>2</v>
      </c>
      <c r="J202" s="5">
        <v>5.5</v>
      </c>
      <c r="K202" s="5" t="s">
        <v>52</v>
      </c>
      <c r="L202" s="7" t="e">
        <f>VLOOKUP(K202, 'Alphabetical by species code'!A:B, 2, FALSE)</f>
        <v>#N/A</v>
      </c>
      <c r="M202" s="7" t="e">
        <f>VLOOKUP(L202, 'Alphabetical by species code'!B:C, 2, FALSE)</f>
        <v>#N/A</v>
      </c>
    </row>
    <row r="203" spans="1:13" ht="15.75" customHeight="1" x14ac:dyDescent="0.25">
      <c r="A203" s="5">
        <v>4</v>
      </c>
      <c r="B203" s="5">
        <v>2023</v>
      </c>
      <c r="C203" s="61">
        <v>45203</v>
      </c>
      <c r="D203" s="5" t="s">
        <v>24</v>
      </c>
      <c r="E203" s="5" t="s">
        <v>25</v>
      </c>
      <c r="F203" s="5">
        <v>1</v>
      </c>
      <c r="G203" s="5" t="s">
        <v>51</v>
      </c>
      <c r="H203" s="5">
        <v>12</v>
      </c>
      <c r="I203" s="5">
        <v>2</v>
      </c>
      <c r="J203" s="5">
        <v>6</v>
      </c>
      <c r="K203" s="10" t="s">
        <v>35</v>
      </c>
      <c r="L203" s="7" t="str">
        <f>VLOOKUP(K203, 'Alphabetical by species code'!A:B, 2, FALSE)</f>
        <v>Bareground</v>
      </c>
      <c r="M203" s="7" t="str">
        <f>VLOOKUP(L203, 'Alphabetical by species code'!B:C, 2, FALSE)</f>
        <v>Ground Cover</v>
      </c>
    </row>
    <row r="204" spans="1:13" ht="15.75" customHeight="1" x14ac:dyDescent="0.25">
      <c r="A204" s="5">
        <v>4</v>
      </c>
      <c r="B204" s="5">
        <v>2023</v>
      </c>
      <c r="C204" s="61">
        <v>45203</v>
      </c>
      <c r="D204" s="5" t="s">
        <v>24</v>
      </c>
      <c r="E204" s="5" t="s">
        <v>25</v>
      </c>
      <c r="F204" s="5">
        <v>1</v>
      </c>
      <c r="G204" s="5" t="s">
        <v>51</v>
      </c>
      <c r="H204" s="5">
        <v>13</v>
      </c>
      <c r="I204" s="5">
        <v>2</v>
      </c>
      <c r="J204" s="5">
        <v>6.5</v>
      </c>
      <c r="K204" s="5" t="s">
        <v>27</v>
      </c>
      <c r="L204" s="7" t="str">
        <f>VLOOKUP(K204, 'Alphabetical by species code'!A:B, 2, FALSE)</f>
        <v>Litter</v>
      </c>
      <c r="M204" s="7" t="str">
        <f>VLOOKUP(L204, 'Alphabetical by species code'!B:C, 2, FALSE)</f>
        <v>Ground Cover</v>
      </c>
    </row>
    <row r="205" spans="1:13" ht="15.75" customHeight="1" x14ac:dyDescent="0.25">
      <c r="A205" s="5">
        <v>4</v>
      </c>
      <c r="B205" s="5">
        <v>2023</v>
      </c>
      <c r="C205" s="61">
        <v>45203</v>
      </c>
      <c r="D205" s="5" t="s">
        <v>24</v>
      </c>
      <c r="E205" s="5" t="s">
        <v>25</v>
      </c>
      <c r="F205" s="5">
        <v>1</v>
      </c>
      <c r="G205" s="5" t="s">
        <v>51</v>
      </c>
      <c r="H205" s="5">
        <v>13</v>
      </c>
      <c r="I205" s="5">
        <v>2</v>
      </c>
      <c r="J205" s="5">
        <v>6.5</v>
      </c>
      <c r="K205" s="5" t="s">
        <v>48</v>
      </c>
      <c r="L205" s="7" t="str">
        <f>VLOOKUP(K205, 'Alphabetical by species code'!A:B, 2, FALSE)</f>
        <v>Deinandra fasciculata</v>
      </c>
      <c r="M205" s="7" t="str">
        <f>VLOOKUP(L205, 'Alphabetical by species code'!B:C, 2, FALSE)</f>
        <v>Native</v>
      </c>
    </row>
    <row r="206" spans="1:13" ht="15.75" customHeight="1" x14ac:dyDescent="0.25">
      <c r="A206" s="5">
        <v>4</v>
      </c>
      <c r="B206" s="5">
        <v>2023</v>
      </c>
      <c r="C206" s="61">
        <v>45203</v>
      </c>
      <c r="D206" s="5" t="s">
        <v>24</v>
      </c>
      <c r="E206" s="5" t="s">
        <v>25</v>
      </c>
      <c r="F206" s="5">
        <v>1</v>
      </c>
      <c r="G206" s="5" t="s">
        <v>51</v>
      </c>
      <c r="H206" s="5">
        <v>14</v>
      </c>
      <c r="I206" s="5">
        <v>2</v>
      </c>
      <c r="J206" s="5">
        <v>7</v>
      </c>
      <c r="K206" s="5" t="s">
        <v>27</v>
      </c>
      <c r="L206" s="7" t="str">
        <f>VLOOKUP(K206, 'Alphabetical by species code'!A:B, 2, FALSE)</f>
        <v>Litter</v>
      </c>
      <c r="M206" s="7" t="str">
        <f>VLOOKUP(L206, 'Alphabetical by species code'!B:C, 2, FALSE)</f>
        <v>Ground Cover</v>
      </c>
    </row>
    <row r="207" spans="1:13" ht="15.75" customHeight="1" x14ac:dyDescent="0.25">
      <c r="A207" s="5">
        <v>4</v>
      </c>
      <c r="B207" s="5">
        <v>2023</v>
      </c>
      <c r="C207" s="61">
        <v>45203</v>
      </c>
      <c r="D207" s="5" t="s">
        <v>24</v>
      </c>
      <c r="E207" s="5" t="s">
        <v>25</v>
      </c>
      <c r="F207" s="5">
        <v>1</v>
      </c>
      <c r="G207" s="5" t="s">
        <v>51</v>
      </c>
      <c r="H207" s="5">
        <v>14</v>
      </c>
      <c r="I207" s="5">
        <v>2</v>
      </c>
      <c r="J207" s="5">
        <v>7</v>
      </c>
      <c r="K207" s="5" t="s">
        <v>48</v>
      </c>
      <c r="L207" s="7" t="str">
        <f>VLOOKUP(K207, 'Alphabetical by species code'!A:B, 2, FALSE)</f>
        <v>Deinandra fasciculata</v>
      </c>
      <c r="M207" s="7" t="str">
        <f>VLOOKUP(L207, 'Alphabetical by species code'!B:C, 2, FALSE)</f>
        <v>Native</v>
      </c>
    </row>
    <row r="208" spans="1:13" ht="15.75" customHeight="1" x14ac:dyDescent="0.25">
      <c r="A208" s="5">
        <v>4</v>
      </c>
      <c r="B208" s="5">
        <v>2023</v>
      </c>
      <c r="C208" s="61">
        <v>45203</v>
      </c>
      <c r="D208" s="5" t="s">
        <v>24</v>
      </c>
      <c r="E208" s="5" t="s">
        <v>25</v>
      </c>
      <c r="F208" s="5">
        <v>1</v>
      </c>
      <c r="G208" s="5" t="s">
        <v>51</v>
      </c>
      <c r="H208" s="5">
        <v>14</v>
      </c>
      <c r="I208" s="5">
        <v>2</v>
      </c>
      <c r="J208" s="5">
        <v>7</v>
      </c>
      <c r="K208" s="5" t="s">
        <v>29</v>
      </c>
      <c r="L208" s="7" t="str">
        <f>VLOOKUP(K208, 'Alphabetical by species code'!A:B, 2, FALSE)</f>
        <v>Opuntia littoralis</v>
      </c>
      <c r="M208" s="7" t="str">
        <f>VLOOKUP(L208, 'Alphabetical by species code'!B:C, 2, FALSE)</f>
        <v>Native</v>
      </c>
    </row>
    <row r="209" spans="1:13" ht="15.75" customHeight="1" x14ac:dyDescent="0.25">
      <c r="A209" s="5">
        <v>4</v>
      </c>
      <c r="B209" s="5">
        <v>2023</v>
      </c>
      <c r="C209" s="61">
        <v>45203</v>
      </c>
      <c r="D209" s="5" t="s">
        <v>24</v>
      </c>
      <c r="E209" s="5" t="s">
        <v>25</v>
      </c>
      <c r="F209" s="5">
        <v>1</v>
      </c>
      <c r="G209" s="5" t="s">
        <v>51</v>
      </c>
      <c r="H209" s="5">
        <v>15</v>
      </c>
      <c r="I209" s="5">
        <v>2</v>
      </c>
      <c r="J209" s="5">
        <v>7.5</v>
      </c>
      <c r="K209" s="5" t="s">
        <v>27</v>
      </c>
      <c r="L209" s="7" t="str">
        <f>VLOOKUP(K209, 'Alphabetical by species code'!A:B, 2, FALSE)</f>
        <v>Litter</v>
      </c>
      <c r="M209" s="7" t="str">
        <f>VLOOKUP(L209, 'Alphabetical by species code'!B:C, 2, FALSE)</f>
        <v>Ground Cover</v>
      </c>
    </row>
    <row r="210" spans="1:13" ht="15.75" customHeight="1" x14ac:dyDescent="0.25">
      <c r="A210" s="5">
        <v>4</v>
      </c>
      <c r="B210" s="5">
        <v>2023</v>
      </c>
      <c r="C210" s="61">
        <v>45203</v>
      </c>
      <c r="D210" s="5" t="s">
        <v>24</v>
      </c>
      <c r="E210" s="5" t="s">
        <v>25</v>
      </c>
      <c r="F210" s="5">
        <v>1</v>
      </c>
      <c r="G210" s="5" t="s">
        <v>51</v>
      </c>
      <c r="H210" s="5">
        <v>15</v>
      </c>
      <c r="I210" s="5">
        <v>2</v>
      </c>
      <c r="J210" s="5">
        <v>7.5</v>
      </c>
      <c r="K210" s="5" t="s">
        <v>48</v>
      </c>
      <c r="L210" s="7" t="str">
        <f>VLOOKUP(K210, 'Alphabetical by species code'!A:B, 2, FALSE)</f>
        <v>Deinandra fasciculata</v>
      </c>
      <c r="M210" s="7" t="str">
        <f>VLOOKUP(L210, 'Alphabetical by species code'!B:C, 2, FALSE)</f>
        <v>Native</v>
      </c>
    </row>
    <row r="211" spans="1:13" ht="15.75" customHeight="1" x14ac:dyDescent="0.25">
      <c r="A211" s="5">
        <v>5</v>
      </c>
      <c r="B211" s="5">
        <v>2023</v>
      </c>
      <c r="C211" s="61">
        <v>45203</v>
      </c>
      <c r="D211" s="5" t="s">
        <v>53</v>
      </c>
      <c r="E211" s="5" t="s">
        <v>25</v>
      </c>
      <c r="F211" s="5">
        <v>3</v>
      </c>
      <c r="G211" s="5" t="s">
        <v>26</v>
      </c>
      <c r="H211" s="5">
        <v>1</v>
      </c>
      <c r="I211" s="5">
        <v>1</v>
      </c>
      <c r="J211" s="5">
        <v>0</v>
      </c>
      <c r="K211" s="5" t="s">
        <v>27</v>
      </c>
      <c r="L211" s="7" t="str">
        <f>VLOOKUP(K211, 'Alphabetical by species code'!A:B, 2, FALSE)</f>
        <v>Litter</v>
      </c>
      <c r="M211" s="7" t="str">
        <f>VLOOKUP(L211, 'Alphabetical by species code'!B:C, 2, FALSE)</f>
        <v>Ground Cover</v>
      </c>
    </row>
    <row r="212" spans="1:13" ht="15.75" customHeight="1" x14ac:dyDescent="0.25">
      <c r="A212" s="5">
        <v>5</v>
      </c>
      <c r="B212" s="5">
        <v>2023</v>
      </c>
      <c r="C212" s="61">
        <v>45203</v>
      </c>
      <c r="D212" s="5" t="s">
        <v>53</v>
      </c>
      <c r="E212" s="5" t="s">
        <v>25</v>
      </c>
      <c r="F212" s="5">
        <v>3</v>
      </c>
      <c r="G212" s="5" t="s">
        <v>26</v>
      </c>
      <c r="H212" s="5">
        <v>2</v>
      </c>
      <c r="I212" s="5">
        <v>1</v>
      </c>
      <c r="J212" s="5">
        <v>1</v>
      </c>
      <c r="K212" s="5" t="s">
        <v>35</v>
      </c>
      <c r="L212" s="7" t="str">
        <f>VLOOKUP(K212, 'Alphabetical by species code'!A:B, 2, FALSE)</f>
        <v>Bareground</v>
      </c>
      <c r="M212" s="7" t="str">
        <f>VLOOKUP(L212, 'Alphabetical by species code'!B:C, 2, FALSE)</f>
        <v>Ground Cover</v>
      </c>
    </row>
    <row r="213" spans="1:13" ht="15.75" customHeight="1" x14ac:dyDescent="0.25">
      <c r="A213" s="5">
        <v>5</v>
      </c>
      <c r="B213" s="5">
        <v>2023</v>
      </c>
      <c r="C213" s="61">
        <v>45203</v>
      </c>
      <c r="D213" s="5" t="s">
        <v>53</v>
      </c>
      <c r="E213" s="5" t="s">
        <v>25</v>
      </c>
      <c r="F213" s="5">
        <v>3</v>
      </c>
      <c r="G213" s="5" t="s">
        <v>26</v>
      </c>
      <c r="H213" s="5">
        <v>3</v>
      </c>
      <c r="I213" s="5">
        <v>1</v>
      </c>
      <c r="J213" s="5">
        <v>1.5</v>
      </c>
      <c r="K213" s="5" t="s">
        <v>35</v>
      </c>
      <c r="L213" s="7" t="str">
        <f>VLOOKUP(K213, 'Alphabetical by species code'!A:B, 2, FALSE)</f>
        <v>Bareground</v>
      </c>
      <c r="M213" s="7" t="str">
        <f>VLOOKUP(L213, 'Alphabetical by species code'!B:C, 2, FALSE)</f>
        <v>Ground Cover</v>
      </c>
    </row>
    <row r="214" spans="1:13" ht="15.75" customHeight="1" x14ac:dyDescent="0.25">
      <c r="A214" s="5">
        <v>5</v>
      </c>
      <c r="B214" s="5">
        <v>2023</v>
      </c>
      <c r="C214" s="61">
        <v>45203</v>
      </c>
      <c r="D214" s="5" t="s">
        <v>53</v>
      </c>
      <c r="E214" s="5" t="s">
        <v>25</v>
      </c>
      <c r="F214" s="5">
        <v>3</v>
      </c>
      <c r="G214" s="5" t="s">
        <v>26</v>
      </c>
      <c r="H214" s="5">
        <v>4</v>
      </c>
      <c r="I214" s="5">
        <v>1</v>
      </c>
      <c r="J214" s="5">
        <v>2</v>
      </c>
      <c r="K214" s="5" t="s">
        <v>35</v>
      </c>
      <c r="L214" s="7" t="str">
        <f>VLOOKUP(K214, 'Alphabetical by species code'!A:B, 2, FALSE)</f>
        <v>Bareground</v>
      </c>
      <c r="M214" s="7" t="str">
        <f>VLOOKUP(L214, 'Alphabetical by species code'!B:C, 2, FALSE)</f>
        <v>Ground Cover</v>
      </c>
    </row>
    <row r="215" spans="1:13" ht="15.75" customHeight="1" x14ac:dyDescent="0.25">
      <c r="A215" s="5">
        <v>5</v>
      </c>
      <c r="B215" s="5">
        <v>2023</v>
      </c>
      <c r="C215" s="61">
        <v>45203</v>
      </c>
      <c r="D215" s="5" t="s">
        <v>53</v>
      </c>
      <c r="E215" s="5" t="s">
        <v>25</v>
      </c>
      <c r="F215" s="5">
        <v>3</v>
      </c>
      <c r="G215" s="5" t="s">
        <v>26</v>
      </c>
      <c r="H215" s="5">
        <v>5</v>
      </c>
      <c r="I215" s="5">
        <v>1</v>
      </c>
      <c r="J215" s="5">
        <v>3</v>
      </c>
      <c r="K215" s="5" t="s">
        <v>27</v>
      </c>
      <c r="L215" s="7" t="str">
        <f>VLOOKUP(K215, 'Alphabetical by species code'!A:B, 2, FALSE)</f>
        <v>Litter</v>
      </c>
      <c r="M215" s="7" t="str">
        <f>VLOOKUP(L215, 'Alphabetical by species code'!B:C, 2, FALSE)</f>
        <v>Ground Cover</v>
      </c>
    </row>
    <row r="216" spans="1:13" ht="15.75" customHeight="1" x14ac:dyDescent="0.25">
      <c r="A216" s="5">
        <v>5</v>
      </c>
      <c r="B216" s="5">
        <v>2023</v>
      </c>
      <c r="C216" s="61">
        <v>45203</v>
      </c>
      <c r="D216" s="5" t="s">
        <v>53</v>
      </c>
      <c r="E216" s="5" t="s">
        <v>25</v>
      </c>
      <c r="F216" s="5">
        <v>3</v>
      </c>
      <c r="G216" s="5" t="s">
        <v>26</v>
      </c>
      <c r="H216" s="5">
        <v>5</v>
      </c>
      <c r="I216" s="5">
        <v>1</v>
      </c>
      <c r="J216" s="5">
        <v>3</v>
      </c>
      <c r="K216" s="5" t="s">
        <v>28</v>
      </c>
      <c r="L216" s="7" t="str">
        <f>VLOOKUP(K216, 'Alphabetical by species code'!A:B, 2, FALSE)</f>
        <v>Stephanomeria diegensis</v>
      </c>
      <c r="M216" s="7" t="str">
        <f>VLOOKUP(L216, 'Alphabetical by species code'!B:C, 2, FALSE)</f>
        <v>Native</v>
      </c>
    </row>
    <row r="217" spans="1:13" ht="15.75" customHeight="1" x14ac:dyDescent="0.25">
      <c r="A217" s="5">
        <v>5</v>
      </c>
      <c r="B217" s="5">
        <v>2023</v>
      </c>
      <c r="C217" s="61">
        <v>45203</v>
      </c>
      <c r="D217" s="5" t="s">
        <v>53</v>
      </c>
      <c r="E217" s="5" t="s">
        <v>25</v>
      </c>
      <c r="F217" s="5">
        <v>3</v>
      </c>
      <c r="G217" s="5" t="s">
        <v>26</v>
      </c>
      <c r="H217" s="5">
        <v>6</v>
      </c>
      <c r="I217" s="5">
        <v>1</v>
      </c>
      <c r="J217" s="5">
        <v>3.5</v>
      </c>
      <c r="K217" s="5" t="s">
        <v>27</v>
      </c>
      <c r="L217" s="7" t="str">
        <f>VLOOKUP(K217, 'Alphabetical by species code'!A:B, 2, FALSE)</f>
        <v>Litter</v>
      </c>
      <c r="M217" s="7" t="str">
        <f>VLOOKUP(L217, 'Alphabetical by species code'!B:C, 2, FALSE)</f>
        <v>Ground Cover</v>
      </c>
    </row>
    <row r="218" spans="1:13" ht="15.75" customHeight="1" x14ac:dyDescent="0.25">
      <c r="A218" s="5">
        <v>5</v>
      </c>
      <c r="B218" s="5">
        <v>2023</v>
      </c>
      <c r="C218" s="61">
        <v>45203</v>
      </c>
      <c r="D218" s="5" t="s">
        <v>53</v>
      </c>
      <c r="E218" s="5" t="s">
        <v>25</v>
      </c>
      <c r="F218" s="5">
        <v>3</v>
      </c>
      <c r="G218" s="5" t="s">
        <v>26</v>
      </c>
      <c r="H218" s="5">
        <v>7</v>
      </c>
      <c r="I218" s="5">
        <v>1</v>
      </c>
      <c r="J218" s="5">
        <v>4</v>
      </c>
      <c r="K218" s="5" t="s">
        <v>32</v>
      </c>
      <c r="L218" s="7" t="str">
        <f>VLOOKUP(K218, 'Alphabetical by species code'!A:B, 2, FALSE)</f>
        <v>Rock</v>
      </c>
      <c r="M218" s="7" t="str">
        <f>VLOOKUP(L218, 'Alphabetical by species code'!B:C, 2, FALSE)</f>
        <v>Ground Cover</v>
      </c>
    </row>
    <row r="219" spans="1:13" ht="15.75" customHeight="1" x14ac:dyDescent="0.25">
      <c r="A219" s="5">
        <v>5</v>
      </c>
      <c r="B219" s="5">
        <v>2023</v>
      </c>
      <c r="C219" s="61">
        <v>45203</v>
      </c>
      <c r="D219" s="5" t="s">
        <v>53</v>
      </c>
      <c r="E219" s="5" t="s">
        <v>25</v>
      </c>
      <c r="F219" s="5">
        <v>3</v>
      </c>
      <c r="G219" s="5" t="s">
        <v>26</v>
      </c>
      <c r="H219" s="5">
        <v>7</v>
      </c>
      <c r="I219" s="5">
        <v>1</v>
      </c>
      <c r="J219" s="5">
        <v>4</v>
      </c>
      <c r="K219" s="5" t="s">
        <v>34</v>
      </c>
      <c r="L219" s="7" t="str">
        <f>VLOOKUP(K219, 'Alphabetical by species code'!A:B, 2, FALSE)</f>
        <v>Centaurea melitensis</v>
      </c>
      <c r="M219" s="7" t="str">
        <f>VLOOKUP(L219, 'Alphabetical by species code'!B:C, 2, FALSE)</f>
        <v>Non-Native</v>
      </c>
    </row>
    <row r="220" spans="1:13" ht="15.75" customHeight="1" x14ac:dyDescent="0.25">
      <c r="A220" s="5">
        <v>5</v>
      </c>
      <c r="B220" s="5">
        <v>2023</v>
      </c>
      <c r="C220" s="61">
        <v>45203</v>
      </c>
      <c r="D220" s="5" t="s">
        <v>53</v>
      </c>
      <c r="E220" s="5" t="s">
        <v>25</v>
      </c>
      <c r="F220" s="5">
        <v>3</v>
      </c>
      <c r="G220" s="5" t="s">
        <v>26</v>
      </c>
      <c r="H220" s="5">
        <v>8</v>
      </c>
      <c r="I220" s="5">
        <v>1</v>
      </c>
      <c r="J220" s="5">
        <v>5</v>
      </c>
      <c r="K220" s="5" t="s">
        <v>35</v>
      </c>
      <c r="L220" s="7" t="str">
        <f>VLOOKUP(K220, 'Alphabetical by species code'!A:B, 2, FALSE)</f>
        <v>Bareground</v>
      </c>
      <c r="M220" s="7" t="str">
        <f>VLOOKUP(L220, 'Alphabetical by species code'!B:C, 2, FALSE)</f>
        <v>Ground Cover</v>
      </c>
    </row>
    <row r="221" spans="1:13" ht="15.75" customHeight="1" x14ac:dyDescent="0.25">
      <c r="A221" s="5">
        <v>5</v>
      </c>
      <c r="B221" s="5">
        <v>2023</v>
      </c>
      <c r="C221" s="61">
        <v>45203</v>
      </c>
      <c r="D221" s="5" t="s">
        <v>53</v>
      </c>
      <c r="E221" s="5" t="s">
        <v>25</v>
      </c>
      <c r="F221" s="5">
        <v>3</v>
      </c>
      <c r="G221" s="5" t="s">
        <v>26</v>
      </c>
      <c r="H221" s="5">
        <v>9</v>
      </c>
      <c r="I221" s="5">
        <v>1</v>
      </c>
      <c r="J221" s="5">
        <v>7</v>
      </c>
      <c r="K221" s="5" t="s">
        <v>35</v>
      </c>
      <c r="L221" s="7" t="str">
        <f>VLOOKUP(K221, 'Alphabetical by species code'!A:B, 2, FALSE)</f>
        <v>Bareground</v>
      </c>
      <c r="M221" s="7" t="str">
        <f>VLOOKUP(L221, 'Alphabetical by species code'!B:C, 2, FALSE)</f>
        <v>Ground Cover</v>
      </c>
    </row>
    <row r="222" spans="1:13" ht="15.75" customHeight="1" x14ac:dyDescent="0.25">
      <c r="A222" s="5">
        <v>5</v>
      </c>
      <c r="B222" s="5">
        <v>2023</v>
      </c>
      <c r="C222" s="61">
        <v>45203</v>
      </c>
      <c r="D222" s="5" t="s">
        <v>53</v>
      </c>
      <c r="E222" s="5" t="s">
        <v>25</v>
      </c>
      <c r="F222" s="5">
        <v>3</v>
      </c>
      <c r="G222" s="5" t="s">
        <v>26</v>
      </c>
      <c r="H222" s="5">
        <v>10</v>
      </c>
      <c r="I222" s="5">
        <v>1</v>
      </c>
      <c r="J222" s="5">
        <v>8</v>
      </c>
      <c r="K222" s="5" t="s">
        <v>32</v>
      </c>
      <c r="L222" s="7" t="str">
        <f>VLOOKUP(K222, 'Alphabetical by species code'!A:B, 2, FALSE)</f>
        <v>Rock</v>
      </c>
      <c r="M222" s="7" t="str">
        <f>VLOOKUP(L222, 'Alphabetical by species code'!B:C, 2, FALSE)</f>
        <v>Ground Cover</v>
      </c>
    </row>
    <row r="223" spans="1:13" ht="15.75" customHeight="1" x14ac:dyDescent="0.25">
      <c r="A223" s="5">
        <v>5</v>
      </c>
      <c r="B223" s="5">
        <v>2023</v>
      </c>
      <c r="C223" s="61">
        <v>45203</v>
      </c>
      <c r="D223" s="5" t="s">
        <v>53</v>
      </c>
      <c r="E223" s="5" t="s">
        <v>25</v>
      </c>
      <c r="F223" s="5">
        <v>3</v>
      </c>
      <c r="G223" s="5" t="s">
        <v>26</v>
      </c>
      <c r="H223" s="5">
        <v>10</v>
      </c>
      <c r="I223" s="5">
        <v>1</v>
      </c>
      <c r="J223" s="5">
        <v>8</v>
      </c>
      <c r="K223" s="5" t="s">
        <v>28</v>
      </c>
      <c r="L223" s="7" t="str">
        <f>VLOOKUP(K223, 'Alphabetical by species code'!A:B, 2, FALSE)</f>
        <v>Stephanomeria diegensis</v>
      </c>
      <c r="M223" s="7" t="str">
        <f>VLOOKUP(L223, 'Alphabetical by species code'!B:C, 2, FALSE)</f>
        <v>Native</v>
      </c>
    </row>
    <row r="224" spans="1:13" ht="15.75" customHeight="1" x14ac:dyDescent="0.25">
      <c r="A224" s="5">
        <v>5</v>
      </c>
      <c r="B224" s="5">
        <v>2023</v>
      </c>
      <c r="C224" s="61">
        <v>45203</v>
      </c>
      <c r="D224" s="5" t="s">
        <v>53</v>
      </c>
      <c r="E224" s="5" t="s">
        <v>25</v>
      </c>
      <c r="F224" s="5">
        <v>3</v>
      </c>
      <c r="G224" s="5" t="s">
        <v>26</v>
      </c>
      <c r="H224" s="5">
        <v>11</v>
      </c>
      <c r="I224" s="5">
        <v>1</v>
      </c>
      <c r="J224" s="5">
        <v>8.5</v>
      </c>
      <c r="K224" s="5" t="s">
        <v>35</v>
      </c>
      <c r="L224" s="7" t="str">
        <f>VLOOKUP(K224, 'Alphabetical by species code'!A:B, 2, FALSE)</f>
        <v>Bareground</v>
      </c>
      <c r="M224" s="7" t="str">
        <f>VLOOKUP(L224, 'Alphabetical by species code'!B:C, 2, FALSE)</f>
        <v>Ground Cover</v>
      </c>
    </row>
    <row r="225" spans="1:13" ht="15.75" customHeight="1" x14ac:dyDescent="0.25">
      <c r="A225" s="5">
        <v>5</v>
      </c>
      <c r="B225" s="5">
        <v>2023</v>
      </c>
      <c r="C225" s="61">
        <v>45203</v>
      </c>
      <c r="D225" s="5" t="s">
        <v>53</v>
      </c>
      <c r="E225" s="5" t="s">
        <v>25</v>
      </c>
      <c r="F225" s="5">
        <v>3</v>
      </c>
      <c r="G225" s="5" t="s">
        <v>26</v>
      </c>
      <c r="H225" s="5">
        <v>12</v>
      </c>
      <c r="I225" s="5">
        <v>1</v>
      </c>
      <c r="J225" s="5">
        <v>9</v>
      </c>
      <c r="K225" s="5" t="s">
        <v>27</v>
      </c>
      <c r="L225" s="7" t="str">
        <f>VLOOKUP(K225, 'Alphabetical by species code'!A:B, 2, FALSE)</f>
        <v>Litter</v>
      </c>
      <c r="M225" s="7" t="str">
        <f>VLOOKUP(L225, 'Alphabetical by species code'!B:C, 2, FALSE)</f>
        <v>Ground Cover</v>
      </c>
    </row>
    <row r="226" spans="1:13" ht="15.75" customHeight="1" x14ac:dyDescent="0.25">
      <c r="A226" s="5">
        <v>5</v>
      </c>
      <c r="B226" s="5">
        <v>2023</v>
      </c>
      <c r="C226" s="61">
        <v>45203</v>
      </c>
      <c r="D226" s="5" t="s">
        <v>53</v>
      </c>
      <c r="E226" s="5" t="s">
        <v>25</v>
      </c>
      <c r="F226" s="5">
        <v>3</v>
      </c>
      <c r="G226" s="5" t="s">
        <v>26</v>
      </c>
      <c r="H226" s="5">
        <v>13</v>
      </c>
      <c r="I226" s="5">
        <v>1</v>
      </c>
      <c r="J226" s="5">
        <v>10</v>
      </c>
      <c r="K226" s="5" t="s">
        <v>27</v>
      </c>
      <c r="L226" s="7" t="str">
        <f>VLOOKUP(K226, 'Alphabetical by species code'!A:B, 2, FALSE)</f>
        <v>Litter</v>
      </c>
      <c r="M226" s="7" t="str">
        <f>VLOOKUP(L226, 'Alphabetical by species code'!B:C, 2, FALSE)</f>
        <v>Ground Cover</v>
      </c>
    </row>
    <row r="227" spans="1:13" ht="15.75" customHeight="1" x14ac:dyDescent="0.25">
      <c r="A227" s="5">
        <v>5</v>
      </c>
      <c r="B227" s="5">
        <v>2023</v>
      </c>
      <c r="C227" s="61">
        <v>45203</v>
      </c>
      <c r="D227" s="5" t="s">
        <v>53</v>
      </c>
      <c r="E227" s="5" t="s">
        <v>25</v>
      </c>
      <c r="F227" s="5">
        <v>3</v>
      </c>
      <c r="G227" s="5" t="s">
        <v>26</v>
      </c>
      <c r="H227" s="5">
        <v>13</v>
      </c>
      <c r="I227" s="5">
        <v>1</v>
      </c>
      <c r="J227" s="5">
        <v>10</v>
      </c>
      <c r="K227" s="5" t="s">
        <v>54</v>
      </c>
      <c r="L227" s="7" t="str">
        <f>VLOOKUP(K227, 'Alphabetical by species code'!A:B, 2, FALSE)</f>
        <v>Erodium cicutarium</v>
      </c>
      <c r="M227" s="7" t="str">
        <f>VLOOKUP(L227, 'Alphabetical by species code'!B:C, 2, FALSE)</f>
        <v>Non-Native</v>
      </c>
    </row>
    <row r="228" spans="1:13" ht="15.75" customHeight="1" x14ac:dyDescent="0.25">
      <c r="A228" s="5">
        <v>5</v>
      </c>
      <c r="B228" s="5">
        <v>2023</v>
      </c>
      <c r="C228" s="61">
        <v>45203</v>
      </c>
      <c r="D228" s="5" t="s">
        <v>53</v>
      </c>
      <c r="E228" s="5" t="s">
        <v>25</v>
      </c>
      <c r="F228" s="5">
        <v>3</v>
      </c>
      <c r="G228" s="5" t="s">
        <v>26</v>
      </c>
      <c r="H228" s="5">
        <v>14</v>
      </c>
      <c r="I228" s="5">
        <v>1</v>
      </c>
      <c r="J228" s="5">
        <v>11</v>
      </c>
      <c r="K228" s="5" t="s">
        <v>35</v>
      </c>
      <c r="L228" s="7" t="str">
        <f>VLOOKUP(K228, 'Alphabetical by species code'!A:B, 2, FALSE)</f>
        <v>Bareground</v>
      </c>
      <c r="M228" s="7" t="str">
        <f>VLOOKUP(L228, 'Alphabetical by species code'!B:C, 2, FALSE)</f>
        <v>Ground Cover</v>
      </c>
    </row>
    <row r="229" spans="1:13" ht="15.75" customHeight="1" x14ac:dyDescent="0.25">
      <c r="A229" s="5">
        <v>5</v>
      </c>
      <c r="B229" s="5">
        <v>2023</v>
      </c>
      <c r="C229" s="61">
        <v>45203</v>
      </c>
      <c r="D229" s="5" t="s">
        <v>53</v>
      </c>
      <c r="E229" s="5" t="s">
        <v>25</v>
      </c>
      <c r="F229" s="5">
        <v>3</v>
      </c>
      <c r="G229" s="5" t="s">
        <v>26</v>
      </c>
      <c r="H229" s="5">
        <v>15</v>
      </c>
      <c r="I229" s="5">
        <v>1</v>
      </c>
      <c r="J229" s="5">
        <v>12</v>
      </c>
      <c r="K229" s="5" t="s">
        <v>27</v>
      </c>
      <c r="L229" s="7" t="str">
        <f>VLOOKUP(K229, 'Alphabetical by species code'!A:B, 2, FALSE)</f>
        <v>Litter</v>
      </c>
      <c r="M229" s="7" t="str">
        <f>VLOOKUP(L229, 'Alphabetical by species code'!B:C, 2, FALSE)</f>
        <v>Ground Cover</v>
      </c>
    </row>
    <row r="230" spans="1:13" ht="15.75" customHeight="1" x14ac:dyDescent="0.25">
      <c r="A230" s="5">
        <v>5</v>
      </c>
      <c r="B230" s="5">
        <v>2023</v>
      </c>
      <c r="C230" s="61">
        <v>45203</v>
      </c>
      <c r="D230" s="5" t="s">
        <v>53</v>
      </c>
      <c r="E230" s="5" t="s">
        <v>25</v>
      </c>
      <c r="F230" s="5">
        <v>3</v>
      </c>
      <c r="G230" s="5" t="s">
        <v>26</v>
      </c>
      <c r="H230" s="5">
        <v>1</v>
      </c>
      <c r="I230" s="5">
        <v>2</v>
      </c>
      <c r="J230" s="5">
        <v>0</v>
      </c>
      <c r="K230" s="5" t="s">
        <v>27</v>
      </c>
      <c r="L230" s="7" t="str">
        <f>VLOOKUP(K230, 'Alphabetical by species code'!A:B, 2, FALSE)</f>
        <v>Litter</v>
      </c>
      <c r="M230" s="7" t="str">
        <f>VLOOKUP(L230, 'Alphabetical by species code'!B:C, 2, FALSE)</f>
        <v>Ground Cover</v>
      </c>
    </row>
    <row r="231" spans="1:13" ht="15.75" customHeight="1" x14ac:dyDescent="0.25">
      <c r="A231" s="5">
        <v>5</v>
      </c>
      <c r="B231" s="5">
        <v>2023</v>
      </c>
      <c r="C231" s="61">
        <v>45203</v>
      </c>
      <c r="D231" s="5" t="s">
        <v>53</v>
      </c>
      <c r="E231" s="5" t="s">
        <v>25</v>
      </c>
      <c r="F231" s="5">
        <v>3</v>
      </c>
      <c r="G231" s="5" t="s">
        <v>26</v>
      </c>
      <c r="H231" s="5">
        <v>1</v>
      </c>
      <c r="I231" s="5">
        <v>2</v>
      </c>
      <c r="J231" s="5">
        <v>0</v>
      </c>
      <c r="K231" s="5" t="s">
        <v>34</v>
      </c>
      <c r="L231" s="7" t="str">
        <f>VLOOKUP(K231, 'Alphabetical by species code'!A:B, 2, FALSE)</f>
        <v>Centaurea melitensis</v>
      </c>
      <c r="M231" s="7" t="str">
        <f>VLOOKUP(L231, 'Alphabetical by species code'!B:C, 2, FALSE)</f>
        <v>Non-Native</v>
      </c>
    </row>
    <row r="232" spans="1:13" ht="15.75" customHeight="1" x14ac:dyDescent="0.25">
      <c r="A232" s="5">
        <v>5</v>
      </c>
      <c r="B232" s="5">
        <v>2023</v>
      </c>
      <c r="C232" s="61">
        <v>45203</v>
      </c>
      <c r="D232" s="5" t="s">
        <v>53</v>
      </c>
      <c r="E232" s="5" t="s">
        <v>25</v>
      </c>
      <c r="F232" s="5">
        <v>3</v>
      </c>
      <c r="G232" s="5" t="s">
        <v>26</v>
      </c>
      <c r="H232" s="5">
        <v>1</v>
      </c>
      <c r="I232" s="5">
        <v>2</v>
      </c>
      <c r="J232" s="5">
        <v>0</v>
      </c>
      <c r="K232" s="5" t="s">
        <v>30</v>
      </c>
      <c r="L232" s="7" t="str">
        <f>VLOOKUP(K232, 'Alphabetical by species code'!A:B, 2, FALSE)</f>
        <v>Non Native Grass</v>
      </c>
      <c r="M232" s="7" t="str">
        <f>VLOOKUP(L232, 'Alphabetical by species code'!B:C, 2, FALSE)</f>
        <v>Non-Native</v>
      </c>
    </row>
    <row r="233" spans="1:13" ht="15.75" customHeight="1" x14ac:dyDescent="0.25">
      <c r="A233" s="5">
        <v>5</v>
      </c>
      <c r="B233" s="5">
        <v>2023</v>
      </c>
      <c r="C233" s="61">
        <v>45203</v>
      </c>
      <c r="D233" s="5" t="s">
        <v>53</v>
      </c>
      <c r="E233" s="5" t="s">
        <v>25</v>
      </c>
      <c r="F233" s="5">
        <v>3</v>
      </c>
      <c r="G233" s="5" t="s">
        <v>26</v>
      </c>
      <c r="H233" s="5">
        <v>2</v>
      </c>
      <c r="I233" s="5">
        <v>2</v>
      </c>
      <c r="J233" s="5">
        <v>1</v>
      </c>
      <c r="K233" s="5" t="s">
        <v>27</v>
      </c>
      <c r="L233" s="7" t="str">
        <f>VLOOKUP(K233, 'Alphabetical by species code'!A:B, 2, FALSE)</f>
        <v>Litter</v>
      </c>
      <c r="M233" s="7" t="str">
        <f>VLOOKUP(L233, 'Alphabetical by species code'!B:C, 2, FALSE)</f>
        <v>Ground Cover</v>
      </c>
    </row>
    <row r="234" spans="1:13" ht="15.75" customHeight="1" x14ac:dyDescent="0.25">
      <c r="A234" s="5">
        <v>5</v>
      </c>
      <c r="B234" s="5">
        <v>2023</v>
      </c>
      <c r="C234" s="61">
        <v>45203</v>
      </c>
      <c r="D234" s="5" t="s">
        <v>53</v>
      </c>
      <c r="E234" s="5" t="s">
        <v>25</v>
      </c>
      <c r="F234" s="5">
        <v>3</v>
      </c>
      <c r="G234" s="5" t="s">
        <v>26</v>
      </c>
      <c r="H234" s="5">
        <v>2</v>
      </c>
      <c r="I234" s="5">
        <v>2</v>
      </c>
      <c r="J234" s="5">
        <v>1</v>
      </c>
      <c r="K234" s="5" t="s">
        <v>34</v>
      </c>
      <c r="L234" s="7" t="str">
        <f>VLOOKUP(K234, 'Alphabetical by species code'!A:B, 2, FALSE)</f>
        <v>Centaurea melitensis</v>
      </c>
      <c r="M234" s="7" t="str">
        <f>VLOOKUP(L234, 'Alphabetical by species code'!B:C, 2, FALSE)</f>
        <v>Non-Native</v>
      </c>
    </row>
    <row r="235" spans="1:13" ht="15.75" customHeight="1" x14ac:dyDescent="0.25">
      <c r="A235" s="5">
        <v>5</v>
      </c>
      <c r="B235" s="5">
        <v>2023</v>
      </c>
      <c r="C235" s="61">
        <v>45203</v>
      </c>
      <c r="D235" s="5" t="s">
        <v>53</v>
      </c>
      <c r="E235" s="5" t="s">
        <v>25</v>
      </c>
      <c r="F235" s="5">
        <v>3</v>
      </c>
      <c r="G235" s="5" t="s">
        <v>26</v>
      </c>
      <c r="H235" s="5">
        <v>2</v>
      </c>
      <c r="I235" s="5">
        <v>2</v>
      </c>
      <c r="J235" s="5">
        <v>1</v>
      </c>
      <c r="K235" s="5" t="s">
        <v>28</v>
      </c>
      <c r="L235" s="7" t="str">
        <f>VLOOKUP(K235, 'Alphabetical by species code'!A:B, 2, FALSE)</f>
        <v>Stephanomeria diegensis</v>
      </c>
      <c r="M235" s="7" t="str">
        <f>VLOOKUP(L235, 'Alphabetical by species code'!B:C, 2, FALSE)</f>
        <v>Native</v>
      </c>
    </row>
    <row r="236" spans="1:13" ht="15.75" customHeight="1" x14ac:dyDescent="0.25">
      <c r="A236" s="5">
        <v>5</v>
      </c>
      <c r="B236" s="5">
        <v>2023</v>
      </c>
      <c r="C236" s="61">
        <v>45203</v>
      </c>
      <c r="D236" s="5" t="s">
        <v>53</v>
      </c>
      <c r="E236" s="5" t="s">
        <v>25</v>
      </c>
      <c r="F236" s="5">
        <v>3</v>
      </c>
      <c r="G236" s="5" t="s">
        <v>26</v>
      </c>
      <c r="H236" s="5">
        <v>3</v>
      </c>
      <c r="I236" s="5">
        <v>2</v>
      </c>
      <c r="J236" s="5">
        <v>1.5</v>
      </c>
      <c r="K236" s="5" t="s">
        <v>32</v>
      </c>
      <c r="L236" s="7" t="str">
        <f>VLOOKUP(K236, 'Alphabetical by species code'!A:B, 2, FALSE)</f>
        <v>Rock</v>
      </c>
      <c r="M236" s="7" t="str">
        <f>VLOOKUP(L236, 'Alphabetical by species code'!B:C, 2, FALSE)</f>
        <v>Ground Cover</v>
      </c>
    </row>
    <row r="237" spans="1:13" ht="15.75" customHeight="1" x14ac:dyDescent="0.25">
      <c r="A237" s="5">
        <v>5</v>
      </c>
      <c r="B237" s="5">
        <v>2023</v>
      </c>
      <c r="C237" s="61">
        <v>45203</v>
      </c>
      <c r="D237" s="5" t="s">
        <v>53</v>
      </c>
      <c r="E237" s="5" t="s">
        <v>25</v>
      </c>
      <c r="F237" s="5">
        <v>3</v>
      </c>
      <c r="G237" s="5" t="s">
        <v>26</v>
      </c>
      <c r="H237" s="5">
        <v>3</v>
      </c>
      <c r="I237" s="5">
        <v>2</v>
      </c>
      <c r="J237" s="5">
        <v>1.5</v>
      </c>
      <c r="K237" s="5" t="s">
        <v>30</v>
      </c>
      <c r="L237" s="7" t="str">
        <f>VLOOKUP(K237, 'Alphabetical by species code'!A:B, 2, FALSE)</f>
        <v>Non Native Grass</v>
      </c>
      <c r="M237" s="7" t="str">
        <f>VLOOKUP(L237, 'Alphabetical by species code'!B:C, 2, FALSE)</f>
        <v>Non-Native</v>
      </c>
    </row>
    <row r="238" spans="1:13" ht="15.75" customHeight="1" x14ac:dyDescent="0.25">
      <c r="A238" s="5">
        <v>5</v>
      </c>
      <c r="B238" s="5">
        <v>2023</v>
      </c>
      <c r="C238" s="61">
        <v>45203</v>
      </c>
      <c r="D238" s="5" t="s">
        <v>53</v>
      </c>
      <c r="E238" s="5" t="s">
        <v>25</v>
      </c>
      <c r="F238" s="5">
        <v>3</v>
      </c>
      <c r="G238" s="5" t="s">
        <v>26</v>
      </c>
      <c r="H238" s="5">
        <v>3</v>
      </c>
      <c r="I238" s="5">
        <v>2</v>
      </c>
      <c r="J238" s="5">
        <v>1.5</v>
      </c>
      <c r="K238" s="5" t="s">
        <v>28</v>
      </c>
      <c r="L238" s="7" t="str">
        <f>VLOOKUP(K238, 'Alphabetical by species code'!A:B, 2, FALSE)</f>
        <v>Stephanomeria diegensis</v>
      </c>
      <c r="M238" s="7" t="str">
        <f>VLOOKUP(L238, 'Alphabetical by species code'!B:C, 2, FALSE)</f>
        <v>Native</v>
      </c>
    </row>
    <row r="239" spans="1:13" ht="15.75" customHeight="1" x14ac:dyDescent="0.25">
      <c r="A239" s="5">
        <v>5</v>
      </c>
      <c r="B239" s="5">
        <v>2023</v>
      </c>
      <c r="C239" s="61">
        <v>45203</v>
      </c>
      <c r="D239" s="5" t="s">
        <v>53</v>
      </c>
      <c r="E239" s="5" t="s">
        <v>25</v>
      </c>
      <c r="F239" s="5">
        <v>3</v>
      </c>
      <c r="G239" s="5" t="s">
        <v>26</v>
      </c>
      <c r="H239" s="5">
        <v>4</v>
      </c>
      <c r="I239" s="5">
        <v>2</v>
      </c>
      <c r="J239" s="5">
        <v>2</v>
      </c>
      <c r="K239" s="5" t="s">
        <v>32</v>
      </c>
      <c r="L239" s="7" t="str">
        <f>VLOOKUP(K239, 'Alphabetical by species code'!A:B, 2, FALSE)</f>
        <v>Rock</v>
      </c>
      <c r="M239" s="7" t="str">
        <f>VLOOKUP(L239, 'Alphabetical by species code'!B:C, 2, FALSE)</f>
        <v>Ground Cover</v>
      </c>
    </row>
    <row r="240" spans="1:13" ht="15.75" customHeight="1" x14ac:dyDescent="0.25">
      <c r="A240" s="5">
        <v>5</v>
      </c>
      <c r="B240" s="5">
        <v>2023</v>
      </c>
      <c r="C240" s="61">
        <v>45203</v>
      </c>
      <c r="D240" s="5" t="s">
        <v>53</v>
      </c>
      <c r="E240" s="5" t="s">
        <v>25</v>
      </c>
      <c r="F240" s="5">
        <v>3</v>
      </c>
      <c r="G240" s="5" t="s">
        <v>26</v>
      </c>
      <c r="H240" s="5">
        <v>4</v>
      </c>
      <c r="I240" s="5">
        <v>2</v>
      </c>
      <c r="J240" s="5">
        <v>2</v>
      </c>
      <c r="K240" s="5" t="s">
        <v>28</v>
      </c>
      <c r="L240" s="7" t="str">
        <f>VLOOKUP(K240, 'Alphabetical by species code'!A:B, 2, FALSE)</f>
        <v>Stephanomeria diegensis</v>
      </c>
      <c r="M240" s="7" t="str">
        <f>VLOOKUP(L240, 'Alphabetical by species code'!B:C, 2, FALSE)</f>
        <v>Native</v>
      </c>
    </row>
    <row r="241" spans="1:13" ht="15.75" customHeight="1" x14ac:dyDescent="0.25">
      <c r="A241" s="5">
        <v>5</v>
      </c>
      <c r="B241" s="5">
        <v>2023</v>
      </c>
      <c r="C241" s="61">
        <v>45203</v>
      </c>
      <c r="D241" s="5" t="s">
        <v>53</v>
      </c>
      <c r="E241" s="5" t="s">
        <v>25</v>
      </c>
      <c r="F241" s="5">
        <v>3</v>
      </c>
      <c r="G241" s="5" t="s">
        <v>26</v>
      </c>
      <c r="H241" s="5">
        <v>5</v>
      </c>
      <c r="I241" s="5">
        <v>2</v>
      </c>
      <c r="J241" s="5">
        <v>3</v>
      </c>
      <c r="K241" s="5" t="s">
        <v>27</v>
      </c>
      <c r="L241" s="7" t="str">
        <f>VLOOKUP(K241, 'Alphabetical by species code'!A:B, 2, FALSE)</f>
        <v>Litter</v>
      </c>
      <c r="M241" s="7" t="str">
        <f>VLOOKUP(L241, 'Alphabetical by species code'!B:C, 2, FALSE)</f>
        <v>Ground Cover</v>
      </c>
    </row>
    <row r="242" spans="1:13" ht="15.75" customHeight="1" x14ac:dyDescent="0.25">
      <c r="A242" s="5">
        <v>5</v>
      </c>
      <c r="B242" s="5">
        <v>2023</v>
      </c>
      <c r="C242" s="61">
        <v>45203</v>
      </c>
      <c r="D242" s="5" t="s">
        <v>53</v>
      </c>
      <c r="E242" s="5" t="s">
        <v>25</v>
      </c>
      <c r="F242" s="5">
        <v>3</v>
      </c>
      <c r="G242" s="5" t="s">
        <v>26</v>
      </c>
      <c r="H242" s="5">
        <v>5</v>
      </c>
      <c r="I242" s="5">
        <v>2</v>
      </c>
      <c r="J242" s="5">
        <v>3</v>
      </c>
      <c r="K242" s="5" t="s">
        <v>28</v>
      </c>
      <c r="L242" s="7" t="str">
        <f>VLOOKUP(K242, 'Alphabetical by species code'!A:B, 2, FALSE)</f>
        <v>Stephanomeria diegensis</v>
      </c>
      <c r="M242" s="7" t="str">
        <f>VLOOKUP(L242, 'Alphabetical by species code'!B:C, 2, FALSE)</f>
        <v>Native</v>
      </c>
    </row>
    <row r="243" spans="1:13" ht="15.75" customHeight="1" x14ac:dyDescent="0.25">
      <c r="A243" s="5">
        <v>5</v>
      </c>
      <c r="B243" s="5">
        <v>2023</v>
      </c>
      <c r="C243" s="61">
        <v>45203</v>
      </c>
      <c r="D243" s="5" t="s">
        <v>53</v>
      </c>
      <c r="E243" s="5" t="s">
        <v>25</v>
      </c>
      <c r="F243" s="5">
        <v>3</v>
      </c>
      <c r="G243" s="5" t="s">
        <v>26</v>
      </c>
      <c r="H243" s="5">
        <v>6</v>
      </c>
      <c r="I243" s="5">
        <v>2</v>
      </c>
      <c r="J243" s="5">
        <v>3.5</v>
      </c>
      <c r="K243" s="5" t="s">
        <v>32</v>
      </c>
      <c r="L243" s="7" t="str">
        <f>VLOOKUP(K243, 'Alphabetical by species code'!A:B, 2, FALSE)</f>
        <v>Rock</v>
      </c>
      <c r="M243" s="7" t="str">
        <f>VLOOKUP(L243, 'Alphabetical by species code'!B:C, 2, FALSE)</f>
        <v>Ground Cover</v>
      </c>
    </row>
    <row r="244" spans="1:13" ht="15.75" customHeight="1" x14ac:dyDescent="0.25">
      <c r="A244" s="5">
        <v>5</v>
      </c>
      <c r="B244" s="5">
        <v>2023</v>
      </c>
      <c r="C244" s="61">
        <v>45203</v>
      </c>
      <c r="D244" s="5" t="s">
        <v>53</v>
      </c>
      <c r="E244" s="5" t="s">
        <v>25</v>
      </c>
      <c r="F244" s="5">
        <v>3</v>
      </c>
      <c r="G244" s="5" t="s">
        <v>26</v>
      </c>
      <c r="H244" s="5">
        <v>6</v>
      </c>
      <c r="I244" s="5">
        <v>2</v>
      </c>
      <c r="J244" s="5">
        <v>3.5</v>
      </c>
      <c r="K244" s="5" t="s">
        <v>28</v>
      </c>
      <c r="L244" s="7" t="str">
        <f>VLOOKUP(K244, 'Alphabetical by species code'!A:B, 2, FALSE)</f>
        <v>Stephanomeria diegensis</v>
      </c>
      <c r="M244" s="7" t="str">
        <f>VLOOKUP(L244, 'Alphabetical by species code'!B:C, 2, FALSE)</f>
        <v>Native</v>
      </c>
    </row>
    <row r="245" spans="1:13" ht="15.75" customHeight="1" x14ac:dyDescent="0.25">
      <c r="A245" s="5">
        <v>5</v>
      </c>
      <c r="B245" s="5">
        <v>2023</v>
      </c>
      <c r="C245" s="61">
        <v>45203</v>
      </c>
      <c r="D245" s="5" t="s">
        <v>53</v>
      </c>
      <c r="E245" s="5" t="s">
        <v>25</v>
      </c>
      <c r="F245" s="5">
        <v>3</v>
      </c>
      <c r="G245" s="5" t="s">
        <v>26</v>
      </c>
      <c r="H245" s="5">
        <v>6</v>
      </c>
      <c r="I245" s="5">
        <v>2</v>
      </c>
      <c r="J245" s="5">
        <v>3.5</v>
      </c>
      <c r="K245" s="5" t="s">
        <v>55</v>
      </c>
      <c r="L245" s="7" t="str">
        <f>VLOOKUP(K245, 'Alphabetical by species code'!A:B, 2, FALSE)</f>
        <v>Brassica nigra</v>
      </c>
      <c r="M245" s="7" t="str">
        <f>VLOOKUP(L245, 'Alphabetical by species code'!B:C, 2, FALSE)</f>
        <v>Non-Native</v>
      </c>
    </row>
    <row r="246" spans="1:13" ht="15.75" customHeight="1" x14ac:dyDescent="0.25">
      <c r="A246" s="5">
        <v>5</v>
      </c>
      <c r="B246" s="5">
        <v>2023</v>
      </c>
      <c r="C246" s="61">
        <v>45203</v>
      </c>
      <c r="D246" s="5" t="s">
        <v>53</v>
      </c>
      <c r="E246" s="5" t="s">
        <v>25</v>
      </c>
      <c r="F246" s="5">
        <v>3</v>
      </c>
      <c r="G246" s="5" t="s">
        <v>26</v>
      </c>
      <c r="H246" s="5">
        <v>7</v>
      </c>
      <c r="I246" s="5">
        <v>2</v>
      </c>
      <c r="J246" s="5">
        <v>4</v>
      </c>
      <c r="K246" s="5" t="s">
        <v>27</v>
      </c>
      <c r="L246" s="7" t="str">
        <f>VLOOKUP(K246, 'Alphabetical by species code'!A:B, 2, FALSE)</f>
        <v>Litter</v>
      </c>
      <c r="M246" s="7" t="str">
        <f>VLOOKUP(L246, 'Alphabetical by species code'!B:C, 2, FALSE)</f>
        <v>Ground Cover</v>
      </c>
    </row>
    <row r="247" spans="1:13" ht="15.75" customHeight="1" x14ac:dyDescent="0.25">
      <c r="A247" s="5">
        <v>5</v>
      </c>
      <c r="B247" s="5">
        <v>2023</v>
      </c>
      <c r="C247" s="61">
        <v>45203</v>
      </c>
      <c r="D247" s="5" t="s">
        <v>53</v>
      </c>
      <c r="E247" s="5" t="s">
        <v>25</v>
      </c>
      <c r="F247" s="5">
        <v>3</v>
      </c>
      <c r="G247" s="5" t="s">
        <v>26</v>
      </c>
      <c r="H247" s="5">
        <v>7</v>
      </c>
      <c r="I247" s="5">
        <v>2</v>
      </c>
      <c r="J247" s="5">
        <v>4</v>
      </c>
      <c r="K247" s="5" t="s">
        <v>28</v>
      </c>
      <c r="L247" s="7" t="str">
        <f>VLOOKUP(K247, 'Alphabetical by species code'!A:B, 2, FALSE)</f>
        <v>Stephanomeria diegensis</v>
      </c>
      <c r="M247" s="7" t="str">
        <f>VLOOKUP(L247, 'Alphabetical by species code'!B:C, 2, FALSE)</f>
        <v>Native</v>
      </c>
    </row>
    <row r="248" spans="1:13" ht="15.75" customHeight="1" x14ac:dyDescent="0.25">
      <c r="A248" s="5">
        <v>5</v>
      </c>
      <c r="B248" s="5">
        <v>2023</v>
      </c>
      <c r="C248" s="61">
        <v>45203</v>
      </c>
      <c r="D248" s="5" t="s">
        <v>53</v>
      </c>
      <c r="E248" s="5" t="s">
        <v>25</v>
      </c>
      <c r="F248" s="5">
        <v>3</v>
      </c>
      <c r="G248" s="5" t="s">
        <v>26</v>
      </c>
      <c r="H248" s="5">
        <v>8</v>
      </c>
      <c r="I248" s="5">
        <v>2</v>
      </c>
      <c r="J248" s="5">
        <v>5</v>
      </c>
      <c r="K248" s="5" t="s">
        <v>32</v>
      </c>
      <c r="L248" s="7" t="str">
        <f>VLOOKUP(K248, 'Alphabetical by species code'!A:B, 2, FALSE)</f>
        <v>Rock</v>
      </c>
      <c r="M248" s="7" t="str">
        <f>VLOOKUP(L248, 'Alphabetical by species code'!B:C, 2, FALSE)</f>
        <v>Ground Cover</v>
      </c>
    </row>
    <row r="249" spans="1:13" ht="15.75" customHeight="1" x14ac:dyDescent="0.25">
      <c r="A249" s="5">
        <v>5</v>
      </c>
      <c r="B249" s="5">
        <v>2023</v>
      </c>
      <c r="C249" s="61">
        <v>45203</v>
      </c>
      <c r="D249" s="5" t="s">
        <v>53</v>
      </c>
      <c r="E249" s="5" t="s">
        <v>25</v>
      </c>
      <c r="F249" s="5">
        <v>3</v>
      </c>
      <c r="G249" s="5" t="s">
        <v>26</v>
      </c>
      <c r="H249" s="5">
        <v>9</v>
      </c>
      <c r="I249" s="5">
        <v>2</v>
      </c>
      <c r="J249" s="5">
        <v>7</v>
      </c>
      <c r="K249" s="5" t="s">
        <v>27</v>
      </c>
      <c r="L249" s="7" t="str">
        <f>VLOOKUP(K249, 'Alphabetical by species code'!A:B, 2, FALSE)</f>
        <v>Litter</v>
      </c>
      <c r="M249" s="7" t="str">
        <f>VLOOKUP(L249, 'Alphabetical by species code'!B:C, 2, FALSE)</f>
        <v>Ground Cover</v>
      </c>
    </row>
    <row r="250" spans="1:13" ht="15.75" customHeight="1" x14ac:dyDescent="0.25">
      <c r="A250" s="5">
        <v>5</v>
      </c>
      <c r="B250" s="5">
        <v>2023</v>
      </c>
      <c r="C250" s="61">
        <v>45203</v>
      </c>
      <c r="D250" s="5" t="s">
        <v>53</v>
      </c>
      <c r="E250" s="5" t="s">
        <v>25</v>
      </c>
      <c r="F250" s="5">
        <v>3</v>
      </c>
      <c r="G250" s="5" t="s">
        <v>26</v>
      </c>
      <c r="H250" s="5">
        <v>9</v>
      </c>
      <c r="I250" s="5">
        <v>2</v>
      </c>
      <c r="J250" s="5">
        <v>7</v>
      </c>
      <c r="K250" s="5" t="s">
        <v>28</v>
      </c>
      <c r="L250" s="7" t="str">
        <f>VLOOKUP(K250, 'Alphabetical by species code'!A:B, 2, FALSE)</f>
        <v>Stephanomeria diegensis</v>
      </c>
      <c r="M250" s="7" t="str">
        <f>VLOOKUP(L250, 'Alphabetical by species code'!B:C, 2, FALSE)</f>
        <v>Native</v>
      </c>
    </row>
    <row r="251" spans="1:13" ht="15.75" customHeight="1" x14ac:dyDescent="0.25">
      <c r="A251" s="5">
        <v>5</v>
      </c>
      <c r="B251" s="5">
        <v>2023</v>
      </c>
      <c r="C251" s="61">
        <v>45203</v>
      </c>
      <c r="D251" s="5" t="s">
        <v>53</v>
      </c>
      <c r="E251" s="5" t="s">
        <v>25</v>
      </c>
      <c r="F251" s="5">
        <v>3</v>
      </c>
      <c r="G251" s="5" t="s">
        <v>26</v>
      </c>
      <c r="H251" s="5">
        <v>10</v>
      </c>
      <c r="I251" s="5">
        <v>2</v>
      </c>
      <c r="J251" s="5">
        <v>8</v>
      </c>
      <c r="K251" s="5" t="s">
        <v>27</v>
      </c>
      <c r="L251" s="7" t="str">
        <f>VLOOKUP(K251, 'Alphabetical by species code'!A:B, 2, FALSE)</f>
        <v>Litter</v>
      </c>
      <c r="M251" s="7" t="str">
        <f>VLOOKUP(L251, 'Alphabetical by species code'!B:C, 2, FALSE)</f>
        <v>Ground Cover</v>
      </c>
    </row>
    <row r="252" spans="1:13" ht="15.75" customHeight="1" x14ac:dyDescent="0.25">
      <c r="A252" s="5">
        <v>5</v>
      </c>
      <c r="B252" s="5">
        <v>2023</v>
      </c>
      <c r="C252" s="61">
        <v>45203</v>
      </c>
      <c r="D252" s="5" t="s">
        <v>53</v>
      </c>
      <c r="E252" s="5" t="s">
        <v>25</v>
      </c>
      <c r="F252" s="5">
        <v>3</v>
      </c>
      <c r="G252" s="5" t="s">
        <v>26</v>
      </c>
      <c r="H252" s="5">
        <v>11</v>
      </c>
      <c r="I252" s="5">
        <v>2</v>
      </c>
      <c r="J252" s="5">
        <v>8.5</v>
      </c>
      <c r="K252" s="5" t="s">
        <v>32</v>
      </c>
      <c r="L252" s="7" t="str">
        <f>VLOOKUP(K252, 'Alphabetical by species code'!A:B, 2, FALSE)</f>
        <v>Rock</v>
      </c>
      <c r="M252" s="7" t="str">
        <f>VLOOKUP(L252, 'Alphabetical by species code'!B:C, 2, FALSE)</f>
        <v>Ground Cover</v>
      </c>
    </row>
    <row r="253" spans="1:13" ht="15.75" customHeight="1" x14ac:dyDescent="0.25">
      <c r="A253" s="5">
        <v>5</v>
      </c>
      <c r="B253" s="5">
        <v>2023</v>
      </c>
      <c r="C253" s="61">
        <v>45203</v>
      </c>
      <c r="D253" s="5" t="s">
        <v>53</v>
      </c>
      <c r="E253" s="5" t="s">
        <v>25</v>
      </c>
      <c r="F253" s="5">
        <v>3</v>
      </c>
      <c r="G253" s="5" t="s">
        <v>26</v>
      </c>
      <c r="H253" s="5">
        <v>11</v>
      </c>
      <c r="I253" s="5">
        <v>2</v>
      </c>
      <c r="J253" s="5">
        <v>8.5</v>
      </c>
      <c r="K253" s="5" t="s">
        <v>48</v>
      </c>
      <c r="L253" s="7" t="str">
        <f>VLOOKUP(K253, 'Alphabetical by species code'!A:B, 2, FALSE)</f>
        <v>Deinandra fasciculata</v>
      </c>
      <c r="M253" s="7" t="str">
        <f>VLOOKUP(L253, 'Alphabetical by species code'!B:C, 2, FALSE)</f>
        <v>Native</v>
      </c>
    </row>
    <row r="254" spans="1:13" ht="15.75" customHeight="1" x14ac:dyDescent="0.25">
      <c r="A254" s="5">
        <v>5</v>
      </c>
      <c r="B254" s="5">
        <v>2023</v>
      </c>
      <c r="C254" s="61">
        <v>45203</v>
      </c>
      <c r="D254" s="5" t="s">
        <v>53</v>
      </c>
      <c r="E254" s="5" t="s">
        <v>25</v>
      </c>
      <c r="F254" s="5">
        <v>3</v>
      </c>
      <c r="G254" s="5" t="s">
        <v>26</v>
      </c>
      <c r="H254" s="5">
        <v>12</v>
      </c>
      <c r="I254" s="5">
        <v>2</v>
      </c>
      <c r="J254" s="5">
        <v>9</v>
      </c>
      <c r="K254" s="5" t="s">
        <v>32</v>
      </c>
      <c r="L254" s="7" t="str">
        <f>VLOOKUP(K254, 'Alphabetical by species code'!A:B, 2, FALSE)</f>
        <v>Rock</v>
      </c>
      <c r="M254" s="7" t="str">
        <f>VLOOKUP(L254, 'Alphabetical by species code'!B:C, 2, FALSE)</f>
        <v>Ground Cover</v>
      </c>
    </row>
    <row r="255" spans="1:13" ht="15.75" customHeight="1" x14ac:dyDescent="0.25">
      <c r="A255" s="5">
        <v>5</v>
      </c>
      <c r="B255" s="5">
        <v>2023</v>
      </c>
      <c r="C255" s="61">
        <v>45203</v>
      </c>
      <c r="D255" s="5" t="s">
        <v>53</v>
      </c>
      <c r="E255" s="5" t="s">
        <v>25</v>
      </c>
      <c r="F255" s="5">
        <v>3</v>
      </c>
      <c r="G255" s="5" t="s">
        <v>26</v>
      </c>
      <c r="H255" s="5">
        <v>12</v>
      </c>
      <c r="I255" s="5">
        <v>2</v>
      </c>
      <c r="J255" s="5">
        <v>9</v>
      </c>
      <c r="K255" s="5" t="s">
        <v>48</v>
      </c>
      <c r="L255" s="7" t="str">
        <f>VLOOKUP(K255, 'Alphabetical by species code'!A:B, 2, FALSE)</f>
        <v>Deinandra fasciculata</v>
      </c>
      <c r="M255" s="7" t="str">
        <f>VLOOKUP(L255, 'Alphabetical by species code'!B:C, 2, FALSE)</f>
        <v>Native</v>
      </c>
    </row>
    <row r="256" spans="1:13" ht="15.75" customHeight="1" x14ac:dyDescent="0.25">
      <c r="A256" s="5">
        <v>5</v>
      </c>
      <c r="B256" s="5">
        <v>2023</v>
      </c>
      <c r="C256" s="61">
        <v>45203</v>
      </c>
      <c r="D256" s="5" t="s">
        <v>53</v>
      </c>
      <c r="E256" s="5" t="s">
        <v>25</v>
      </c>
      <c r="F256" s="5">
        <v>3</v>
      </c>
      <c r="G256" s="5" t="s">
        <v>26</v>
      </c>
      <c r="H256" s="5">
        <v>13</v>
      </c>
      <c r="I256" s="5">
        <v>2</v>
      </c>
      <c r="J256" s="5">
        <v>10</v>
      </c>
      <c r="K256" s="5" t="s">
        <v>27</v>
      </c>
      <c r="L256" s="7" t="str">
        <f>VLOOKUP(K256, 'Alphabetical by species code'!A:B, 2, FALSE)</f>
        <v>Litter</v>
      </c>
      <c r="M256" s="7" t="str">
        <f>VLOOKUP(L256, 'Alphabetical by species code'!B:C, 2, FALSE)</f>
        <v>Ground Cover</v>
      </c>
    </row>
    <row r="257" spans="1:13" ht="15.75" customHeight="1" x14ac:dyDescent="0.25">
      <c r="A257" s="5">
        <v>5</v>
      </c>
      <c r="B257" s="5">
        <v>2023</v>
      </c>
      <c r="C257" s="61">
        <v>45203</v>
      </c>
      <c r="D257" s="5" t="s">
        <v>53</v>
      </c>
      <c r="E257" s="5" t="s">
        <v>25</v>
      </c>
      <c r="F257" s="5">
        <v>3</v>
      </c>
      <c r="G257" s="5" t="s">
        <v>26</v>
      </c>
      <c r="H257" s="5">
        <v>13</v>
      </c>
      <c r="I257" s="5">
        <v>2</v>
      </c>
      <c r="J257" s="5">
        <v>10</v>
      </c>
      <c r="K257" s="5" t="s">
        <v>48</v>
      </c>
      <c r="L257" s="7" t="str">
        <f>VLOOKUP(K257, 'Alphabetical by species code'!A:B, 2, FALSE)</f>
        <v>Deinandra fasciculata</v>
      </c>
      <c r="M257" s="7" t="str">
        <f>VLOOKUP(L257, 'Alphabetical by species code'!B:C, 2, FALSE)</f>
        <v>Native</v>
      </c>
    </row>
    <row r="258" spans="1:13" ht="15.75" customHeight="1" x14ac:dyDescent="0.25">
      <c r="A258" s="5">
        <v>5</v>
      </c>
      <c r="B258" s="5">
        <v>2023</v>
      </c>
      <c r="C258" s="61">
        <v>45203</v>
      </c>
      <c r="D258" s="5" t="s">
        <v>53</v>
      </c>
      <c r="E258" s="5" t="s">
        <v>25</v>
      </c>
      <c r="F258" s="5">
        <v>3</v>
      </c>
      <c r="G258" s="5" t="s">
        <v>26</v>
      </c>
      <c r="H258" s="5">
        <v>14</v>
      </c>
      <c r="I258" s="5">
        <v>2</v>
      </c>
      <c r="J258" s="5">
        <v>11</v>
      </c>
      <c r="K258" s="5" t="s">
        <v>35</v>
      </c>
      <c r="L258" s="7" t="str">
        <f>VLOOKUP(K258, 'Alphabetical by species code'!A:B, 2, FALSE)</f>
        <v>Bareground</v>
      </c>
      <c r="M258" s="7" t="str">
        <f>VLOOKUP(L258, 'Alphabetical by species code'!B:C, 2, FALSE)</f>
        <v>Ground Cover</v>
      </c>
    </row>
    <row r="259" spans="1:13" ht="15.75" customHeight="1" x14ac:dyDescent="0.25">
      <c r="A259" s="5">
        <v>5</v>
      </c>
      <c r="B259" s="5">
        <v>2023</v>
      </c>
      <c r="C259" s="61">
        <v>45203</v>
      </c>
      <c r="D259" s="5" t="s">
        <v>53</v>
      </c>
      <c r="E259" s="5" t="s">
        <v>25</v>
      </c>
      <c r="F259" s="5">
        <v>3</v>
      </c>
      <c r="G259" s="5" t="s">
        <v>26</v>
      </c>
      <c r="H259" s="5">
        <v>14</v>
      </c>
      <c r="I259" s="5">
        <v>2</v>
      </c>
      <c r="J259" s="5">
        <v>11</v>
      </c>
      <c r="K259" s="5" t="s">
        <v>48</v>
      </c>
      <c r="L259" s="7" t="str">
        <f>VLOOKUP(K259, 'Alphabetical by species code'!A:B, 2, FALSE)</f>
        <v>Deinandra fasciculata</v>
      </c>
      <c r="M259" s="7" t="str">
        <f>VLOOKUP(L259, 'Alphabetical by species code'!B:C, 2, FALSE)</f>
        <v>Native</v>
      </c>
    </row>
    <row r="260" spans="1:13" ht="15.75" customHeight="1" x14ac:dyDescent="0.25">
      <c r="A260" s="5">
        <v>5</v>
      </c>
      <c r="B260" s="5">
        <v>2023</v>
      </c>
      <c r="C260" s="61">
        <v>45203</v>
      </c>
      <c r="D260" s="5" t="s">
        <v>53</v>
      </c>
      <c r="E260" s="5" t="s">
        <v>25</v>
      </c>
      <c r="F260" s="5">
        <v>3</v>
      </c>
      <c r="G260" s="5" t="s">
        <v>26</v>
      </c>
      <c r="H260" s="5">
        <v>15</v>
      </c>
      <c r="I260" s="5">
        <v>2</v>
      </c>
      <c r="J260" s="5">
        <v>12</v>
      </c>
      <c r="K260" s="5" t="s">
        <v>27</v>
      </c>
      <c r="L260" s="7" t="str">
        <f>VLOOKUP(K260, 'Alphabetical by species code'!A:B, 2, FALSE)</f>
        <v>Litter</v>
      </c>
      <c r="M260" s="7" t="str">
        <f>VLOOKUP(L260, 'Alphabetical by species code'!B:C, 2, FALSE)</f>
        <v>Ground Cover</v>
      </c>
    </row>
    <row r="261" spans="1:13" ht="15.75" customHeight="1" x14ac:dyDescent="0.25">
      <c r="A261" s="5">
        <v>5</v>
      </c>
      <c r="B261" s="5">
        <v>2023</v>
      </c>
      <c r="C261" s="61">
        <v>45203</v>
      </c>
      <c r="D261" s="5" t="s">
        <v>53</v>
      </c>
      <c r="E261" s="5" t="s">
        <v>25</v>
      </c>
      <c r="F261" s="5">
        <v>3</v>
      </c>
      <c r="G261" s="5" t="s">
        <v>26</v>
      </c>
      <c r="H261" s="5">
        <v>15</v>
      </c>
      <c r="I261" s="5">
        <v>2</v>
      </c>
      <c r="J261" s="5">
        <v>12</v>
      </c>
      <c r="K261" s="5" t="s">
        <v>56</v>
      </c>
      <c r="L261" s="7" t="str">
        <f>VLOOKUP(K261, 'Alphabetical by species code'!A:B, 2, FALSE)</f>
        <v>Eriogonum fasciculatum</v>
      </c>
      <c r="M261" s="7" t="str">
        <f>VLOOKUP(L261, 'Alphabetical by species code'!B:C, 2, FALSE)</f>
        <v>Native</v>
      </c>
    </row>
    <row r="262" spans="1:13" ht="15.75" customHeight="1" x14ac:dyDescent="0.25">
      <c r="A262" s="5">
        <v>6</v>
      </c>
      <c r="B262" s="5">
        <v>2023</v>
      </c>
      <c r="C262" s="61">
        <v>45203</v>
      </c>
      <c r="D262" s="5" t="s">
        <v>53</v>
      </c>
      <c r="E262" s="5" t="s">
        <v>25</v>
      </c>
      <c r="F262" s="5">
        <v>3</v>
      </c>
      <c r="G262" s="5" t="s">
        <v>36</v>
      </c>
      <c r="H262" s="5">
        <v>1</v>
      </c>
      <c r="I262" s="5">
        <v>1</v>
      </c>
      <c r="J262" s="5">
        <v>0</v>
      </c>
      <c r="K262" s="5" t="s">
        <v>35</v>
      </c>
      <c r="L262" s="7" t="str">
        <f>VLOOKUP(K262, 'Alphabetical by species code'!A:B, 2, FALSE)</f>
        <v>Bareground</v>
      </c>
      <c r="M262" s="7" t="str">
        <f>VLOOKUP(L262, 'Alphabetical by species code'!B:C, 2, FALSE)</f>
        <v>Ground Cover</v>
      </c>
    </row>
    <row r="263" spans="1:13" ht="15.75" customHeight="1" x14ac:dyDescent="0.25">
      <c r="A263" s="5">
        <v>6</v>
      </c>
      <c r="B263" s="5">
        <v>2023</v>
      </c>
      <c r="C263" s="61">
        <v>45203</v>
      </c>
      <c r="D263" s="5" t="s">
        <v>53</v>
      </c>
      <c r="E263" s="5" t="s">
        <v>25</v>
      </c>
      <c r="F263" s="5">
        <v>3</v>
      </c>
      <c r="G263" s="5" t="s">
        <v>36</v>
      </c>
      <c r="H263" s="5">
        <v>1</v>
      </c>
      <c r="I263" s="5">
        <v>1</v>
      </c>
      <c r="J263" s="5">
        <v>0</v>
      </c>
      <c r="K263" s="5" t="s">
        <v>57</v>
      </c>
      <c r="L263" s="7" t="str">
        <f>VLOOKUP(K263, 'Alphabetical by species code'!A:B, 2, FALSE)</f>
        <v>Baccharis pilularis</v>
      </c>
      <c r="M263" s="7" t="str">
        <f>VLOOKUP(L263, 'Alphabetical by species code'!B:C, 2, FALSE)</f>
        <v>Native</v>
      </c>
    </row>
    <row r="264" spans="1:13" ht="15.75" customHeight="1" x14ac:dyDescent="0.25">
      <c r="A264" s="5">
        <v>6</v>
      </c>
      <c r="B264" s="5">
        <v>2023</v>
      </c>
      <c r="C264" s="61">
        <v>45203</v>
      </c>
      <c r="D264" s="5" t="s">
        <v>53</v>
      </c>
      <c r="E264" s="5" t="s">
        <v>25</v>
      </c>
      <c r="F264" s="5">
        <v>3</v>
      </c>
      <c r="G264" s="5" t="s">
        <v>36</v>
      </c>
      <c r="H264" s="5">
        <v>2</v>
      </c>
      <c r="I264" s="5">
        <v>1</v>
      </c>
      <c r="J264" s="5">
        <v>1</v>
      </c>
      <c r="K264" s="5" t="s">
        <v>35</v>
      </c>
      <c r="L264" s="7" t="str">
        <f>VLOOKUP(K264, 'Alphabetical by species code'!A:B, 2, FALSE)</f>
        <v>Bareground</v>
      </c>
      <c r="M264" s="7" t="str">
        <f>VLOOKUP(L264, 'Alphabetical by species code'!B:C, 2, FALSE)</f>
        <v>Ground Cover</v>
      </c>
    </row>
    <row r="265" spans="1:13" ht="15.75" customHeight="1" x14ac:dyDescent="0.25">
      <c r="A265" s="5">
        <v>6</v>
      </c>
      <c r="B265" s="5">
        <v>2023</v>
      </c>
      <c r="C265" s="61">
        <v>45203</v>
      </c>
      <c r="D265" s="5" t="s">
        <v>53</v>
      </c>
      <c r="E265" s="5" t="s">
        <v>25</v>
      </c>
      <c r="F265" s="5">
        <v>3</v>
      </c>
      <c r="G265" s="5" t="s">
        <v>36</v>
      </c>
      <c r="H265" s="11">
        <v>3</v>
      </c>
      <c r="I265" s="11">
        <v>1</v>
      </c>
      <c r="J265" s="11">
        <v>1.5</v>
      </c>
      <c r="K265" s="8" t="s">
        <v>27</v>
      </c>
      <c r="L265" s="7" t="str">
        <f>VLOOKUP(K265, 'Alphabetical by species code'!A:B, 2, FALSE)</f>
        <v>Litter</v>
      </c>
      <c r="M265" s="7" t="str">
        <f>VLOOKUP(L265, 'Alphabetical by species code'!B:C, 2, FALSE)</f>
        <v>Ground Cover</v>
      </c>
    </row>
    <row r="266" spans="1:13" ht="15.75" customHeight="1" x14ac:dyDescent="0.25">
      <c r="A266" s="5">
        <v>6</v>
      </c>
      <c r="B266" s="5">
        <v>2023</v>
      </c>
      <c r="C266" s="61">
        <v>45203</v>
      </c>
      <c r="D266" s="5" t="s">
        <v>53</v>
      </c>
      <c r="E266" s="5" t="s">
        <v>25</v>
      </c>
      <c r="F266" s="5">
        <v>3</v>
      </c>
      <c r="G266" s="5" t="s">
        <v>36</v>
      </c>
      <c r="H266" s="11">
        <v>3</v>
      </c>
      <c r="I266" s="11">
        <v>1</v>
      </c>
      <c r="J266" s="11">
        <v>1.5</v>
      </c>
      <c r="K266" s="5" t="s">
        <v>28</v>
      </c>
      <c r="L266" s="7" t="str">
        <f>VLOOKUP(K266, 'Alphabetical by species code'!A:B, 2, FALSE)</f>
        <v>Stephanomeria diegensis</v>
      </c>
      <c r="M266" s="7" t="str">
        <f>VLOOKUP(L266, 'Alphabetical by species code'!B:C, 2, FALSE)</f>
        <v>Native</v>
      </c>
    </row>
    <row r="267" spans="1:13" ht="15.75" customHeight="1" x14ac:dyDescent="0.25">
      <c r="A267" s="5">
        <v>6</v>
      </c>
      <c r="B267" s="5">
        <v>2023</v>
      </c>
      <c r="C267" s="61">
        <v>45203</v>
      </c>
      <c r="D267" s="5" t="s">
        <v>53</v>
      </c>
      <c r="E267" s="5" t="s">
        <v>25</v>
      </c>
      <c r="F267" s="5">
        <v>3</v>
      </c>
      <c r="G267" s="5" t="s">
        <v>36</v>
      </c>
      <c r="H267" s="11">
        <v>4</v>
      </c>
      <c r="I267" s="11">
        <v>1</v>
      </c>
      <c r="J267" s="11">
        <v>2</v>
      </c>
      <c r="K267" s="5" t="s">
        <v>32</v>
      </c>
      <c r="L267" s="7" t="str">
        <f>VLOOKUP(K267, 'Alphabetical by species code'!A:B, 2, FALSE)</f>
        <v>Rock</v>
      </c>
      <c r="M267" s="7" t="str">
        <f>VLOOKUP(L267, 'Alphabetical by species code'!B:C, 2, FALSE)</f>
        <v>Ground Cover</v>
      </c>
    </row>
    <row r="268" spans="1:13" ht="15.75" customHeight="1" x14ac:dyDescent="0.25">
      <c r="A268" s="5">
        <v>6</v>
      </c>
      <c r="B268" s="5">
        <v>2023</v>
      </c>
      <c r="C268" s="61">
        <v>45203</v>
      </c>
      <c r="D268" s="5" t="s">
        <v>53</v>
      </c>
      <c r="E268" s="5" t="s">
        <v>25</v>
      </c>
      <c r="F268" s="5">
        <v>3</v>
      </c>
      <c r="G268" s="5" t="s">
        <v>36</v>
      </c>
      <c r="H268" s="5">
        <v>4</v>
      </c>
      <c r="I268" s="5">
        <v>1</v>
      </c>
      <c r="J268" s="5">
        <v>2</v>
      </c>
      <c r="K268" s="5" t="s">
        <v>28</v>
      </c>
      <c r="L268" s="7" t="str">
        <f>VLOOKUP(K268, 'Alphabetical by species code'!A:B, 2, FALSE)</f>
        <v>Stephanomeria diegensis</v>
      </c>
      <c r="M268" s="7" t="str">
        <f>VLOOKUP(L268, 'Alphabetical by species code'!B:C, 2, FALSE)</f>
        <v>Native</v>
      </c>
    </row>
    <row r="269" spans="1:13" ht="15.75" customHeight="1" x14ac:dyDescent="0.25">
      <c r="A269" s="5">
        <v>6</v>
      </c>
      <c r="B269" s="5">
        <v>2023</v>
      </c>
      <c r="C269" s="61">
        <v>45203</v>
      </c>
      <c r="D269" s="5" t="s">
        <v>53</v>
      </c>
      <c r="E269" s="5" t="s">
        <v>25</v>
      </c>
      <c r="F269" s="5">
        <v>3</v>
      </c>
      <c r="G269" s="5" t="s">
        <v>36</v>
      </c>
      <c r="H269" s="5">
        <v>5</v>
      </c>
      <c r="I269" s="5">
        <v>1</v>
      </c>
      <c r="J269" s="5">
        <v>3</v>
      </c>
      <c r="K269" s="5" t="s">
        <v>35</v>
      </c>
      <c r="L269" s="7" t="str">
        <f>VLOOKUP(K269, 'Alphabetical by species code'!A:B, 2, FALSE)</f>
        <v>Bareground</v>
      </c>
      <c r="M269" s="7" t="str">
        <f>VLOOKUP(L269, 'Alphabetical by species code'!B:C, 2, FALSE)</f>
        <v>Ground Cover</v>
      </c>
    </row>
    <row r="270" spans="1:13" ht="15.75" customHeight="1" x14ac:dyDescent="0.25">
      <c r="A270" s="5">
        <v>6</v>
      </c>
      <c r="B270" s="5">
        <v>2023</v>
      </c>
      <c r="C270" s="61">
        <v>45203</v>
      </c>
      <c r="D270" s="5" t="s">
        <v>53</v>
      </c>
      <c r="E270" s="5" t="s">
        <v>25</v>
      </c>
      <c r="F270" s="5">
        <v>3</v>
      </c>
      <c r="G270" s="5" t="s">
        <v>36</v>
      </c>
      <c r="H270" s="5">
        <v>6</v>
      </c>
      <c r="I270" s="5">
        <v>1</v>
      </c>
      <c r="J270" s="5">
        <v>3.5</v>
      </c>
      <c r="K270" s="5" t="s">
        <v>35</v>
      </c>
      <c r="L270" s="7" t="str">
        <f>VLOOKUP(K270, 'Alphabetical by species code'!A:B, 2, FALSE)</f>
        <v>Bareground</v>
      </c>
      <c r="M270" s="7" t="str">
        <f>VLOOKUP(L270, 'Alphabetical by species code'!B:C, 2, FALSE)</f>
        <v>Ground Cover</v>
      </c>
    </row>
    <row r="271" spans="1:13" ht="15.75" customHeight="1" x14ac:dyDescent="0.25">
      <c r="A271" s="5">
        <v>6</v>
      </c>
      <c r="B271" s="5">
        <v>2023</v>
      </c>
      <c r="C271" s="61">
        <v>45203</v>
      </c>
      <c r="D271" s="5" t="s">
        <v>53</v>
      </c>
      <c r="E271" s="5" t="s">
        <v>25</v>
      </c>
      <c r="F271" s="5">
        <v>3</v>
      </c>
      <c r="G271" s="5" t="s">
        <v>36</v>
      </c>
      <c r="H271" s="5">
        <v>6</v>
      </c>
      <c r="I271" s="5">
        <v>1</v>
      </c>
      <c r="J271" s="5">
        <v>3.5</v>
      </c>
      <c r="K271" s="5" t="s">
        <v>44</v>
      </c>
      <c r="L271" s="7" t="str">
        <f>VLOOKUP(K271, 'Alphabetical by species code'!A:B, 2, FALSE)</f>
        <v>Laennecia coulteri</v>
      </c>
      <c r="M271" s="7" t="str">
        <f>VLOOKUP(L271, 'Alphabetical by species code'!B:C, 2, FALSE)</f>
        <v>Native</v>
      </c>
    </row>
    <row r="272" spans="1:13" ht="15.75" customHeight="1" x14ac:dyDescent="0.25">
      <c r="A272" s="5">
        <v>6</v>
      </c>
      <c r="B272" s="5">
        <v>2023</v>
      </c>
      <c r="C272" s="61">
        <v>45203</v>
      </c>
      <c r="D272" s="5" t="s">
        <v>53</v>
      </c>
      <c r="E272" s="5" t="s">
        <v>25</v>
      </c>
      <c r="F272" s="5">
        <v>3</v>
      </c>
      <c r="G272" s="5" t="s">
        <v>36</v>
      </c>
      <c r="H272" s="5">
        <v>7</v>
      </c>
      <c r="I272" s="5">
        <v>1</v>
      </c>
      <c r="J272" s="5">
        <v>4</v>
      </c>
      <c r="K272" s="5" t="s">
        <v>35</v>
      </c>
      <c r="L272" s="7" t="str">
        <f>VLOOKUP(K272, 'Alphabetical by species code'!A:B, 2, FALSE)</f>
        <v>Bareground</v>
      </c>
      <c r="M272" s="7" t="str">
        <f>VLOOKUP(L272, 'Alphabetical by species code'!B:C, 2, FALSE)</f>
        <v>Ground Cover</v>
      </c>
    </row>
    <row r="273" spans="1:13" ht="15.75" customHeight="1" x14ac:dyDescent="0.25">
      <c r="A273" s="5">
        <v>6</v>
      </c>
      <c r="B273" s="5">
        <v>2023</v>
      </c>
      <c r="C273" s="61">
        <v>45203</v>
      </c>
      <c r="D273" s="5" t="s">
        <v>53</v>
      </c>
      <c r="E273" s="5" t="s">
        <v>25</v>
      </c>
      <c r="F273" s="5">
        <v>3</v>
      </c>
      <c r="G273" s="5" t="s">
        <v>36</v>
      </c>
      <c r="H273" s="5">
        <v>8</v>
      </c>
      <c r="I273" s="5">
        <v>1</v>
      </c>
      <c r="J273" s="5">
        <v>5</v>
      </c>
      <c r="K273" s="5" t="s">
        <v>27</v>
      </c>
      <c r="L273" s="7" t="str">
        <f>VLOOKUP(K273, 'Alphabetical by species code'!A:B, 2, FALSE)</f>
        <v>Litter</v>
      </c>
      <c r="M273" s="7" t="str">
        <f>VLOOKUP(L273, 'Alphabetical by species code'!B:C, 2, FALSE)</f>
        <v>Ground Cover</v>
      </c>
    </row>
    <row r="274" spans="1:13" ht="15.75" customHeight="1" x14ac:dyDescent="0.25">
      <c r="A274" s="5">
        <v>6</v>
      </c>
      <c r="B274" s="5">
        <v>2023</v>
      </c>
      <c r="C274" s="61">
        <v>45203</v>
      </c>
      <c r="D274" s="5" t="s">
        <v>53</v>
      </c>
      <c r="E274" s="5" t="s">
        <v>25</v>
      </c>
      <c r="F274" s="5">
        <v>3</v>
      </c>
      <c r="G274" s="5" t="s">
        <v>36</v>
      </c>
      <c r="H274" s="5">
        <v>9</v>
      </c>
      <c r="I274" s="5">
        <v>1</v>
      </c>
      <c r="J274" s="5">
        <v>7</v>
      </c>
      <c r="K274" s="5" t="s">
        <v>27</v>
      </c>
      <c r="L274" s="7" t="str">
        <f>VLOOKUP(K274, 'Alphabetical by species code'!A:B, 2, FALSE)</f>
        <v>Litter</v>
      </c>
      <c r="M274" s="7" t="str">
        <f>VLOOKUP(L274, 'Alphabetical by species code'!B:C, 2, FALSE)</f>
        <v>Ground Cover</v>
      </c>
    </row>
    <row r="275" spans="1:13" ht="15.75" customHeight="1" x14ac:dyDescent="0.25">
      <c r="A275" s="5">
        <v>6</v>
      </c>
      <c r="B275" s="5">
        <v>2023</v>
      </c>
      <c r="C275" s="61">
        <v>45203</v>
      </c>
      <c r="D275" s="5" t="s">
        <v>53</v>
      </c>
      <c r="E275" s="5" t="s">
        <v>25</v>
      </c>
      <c r="F275" s="5">
        <v>3</v>
      </c>
      <c r="G275" s="5" t="s">
        <v>36</v>
      </c>
      <c r="H275" s="5">
        <v>10</v>
      </c>
      <c r="I275" s="5">
        <v>1</v>
      </c>
      <c r="J275" s="5">
        <v>8</v>
      </c>
      <c r="K275" s="5" t="s">
        <v>35</v>
      </c>
      <c r="L275" s="7" t="str">
        <f>VLOOKUP(K275, 'Alphabetical by species code'!A:B, 2, FALSE)</f>
        <v>Bareground</v>
      </c>
      <c r="M275" s="7" t="str">
        <f>VLOOKUP(L275, 'Alphabetical by species code'!B:C, 2, FALSE)</f>
        <v>Ground Cover</v>
      </c>
    </row>
    <row r="276" spans="1:13" ht="15.75" customHeight="1" x14ac:dyDescent="0.25">
      <c r="A276" s="5">
        <v>6</v>
      </c>
      <c r="B276" s="5">
        <v>2023</v>
      </c>
      <c r="C276" s="61">
        <v>45203</v>
      </c>
      <c r="D276" s="5" t="s">
        <v>53</v>
      </c>
      <c r="E276" s="5" t="s">
        <v>25</v>
      </c>
      <c r="F276" s="5">
        <v>3</v>
      </c>
      <c r="G276" s="5" t="s">
        <v>36</v>
      </c>
      <c r="H276" s="5">
        <v>11</v>
      </c>
      <c r="I276" s="5">
        <v>1</v>
      </c>
      <c r="J276" s="5">
        <v>8.5</v>
      </c>
      <c r="K276" s="5" t="s">
        <v>27</v>
      </c>
      <c r="L276" s="7" t="str">
        <f>VLOOKUP(K276, 'Alphabetical by species code'!A:B, 2, FALSE)</f>
        <v>Litter</v>
      </c>
      <c r="M276" s="7" t="str">
        <f>VLOOKUP(L276, 'Alphabetical by species code'!B:C, 2, FALSE)</f>
        <v>Ground Cover</v>
      </c>
    </row>
    <row r="277" spans="1:13" ht="15.75" customHeight="1" x14ac:dyDescent="0.25">
      <c r="A277" s="5">
        <v>6</v>
      </c>
      <c r="B277" s="5">
        <v>2023</v>
      </c>
      <c r="C277" s="61">
        <v>45203</v>
      </c>
      <c r="D277" s="5" t="s">
        <v>53</v>
      </c>
      <c r="E277" s="5" t="s">
        <v>25</v>
      </c>
      <c r="F277" s="5">
        <v>3</v>
      </c>
      <c r="G277" s="5" t="s">
        <v>36</v>
      </c>
      <c r="H277" s="5">
        <v>12</v>
      </c>
      <c r="I277" s="5">
        <v>1</v>
      </c>
      <c r="J277" s="5">
        <v>9</v>
      </c>
      <c r="K277" s="5" t="s">
        <v>27</v>
      </c>
      <c r="L277" s="7" t="str">
        <f>VLOOKUP(K277, 'Alphabetical by species code'!A:B, 2, FALSE)</f>
        <v>Litter</v>
      </c>
      <c r="M277" s="7" t="str">
        <f>VLOOKUP(L277, 'Alphabetical by species code'!B:C, 2, FALSE)</f>
        <v>Ground Cover</v>
      </c>
    </row>
    <row r="278" spans="1:13" ht="15.75" customHeight="1" x14ac:dyDescent="0.25">
      <c r="A278" s="5">
        <v>6</v>
      </c>
      <c r="B278" s="5">
        <v>2023</v>
      </c>
      <c r="C278" s="61">
        <v>45203</v>
      </c>
      <c r="D278" s="5" t="s">
        <v>53</v>
      </c>
      <c r="E278" s="5" t="s">
        <v>25</v>
      </c>
      <c r="F278" s="5">
        <v>3</v>
      </c>
      <c r="G278" s="5" t="s">
        <v>36</v>
      </c>
      <c r="H278" s="5">
        <v>12</v>
      </c>
      <c r="I278" s="5">
        <v>1</v>
      </c>
      <c r="J278" s="5">
        <v>9</v>
      </c>
      <c r="K278" s="5" t="s">
        <v>28</v>
      </c>
      <c r="L278" s="7" t="str">
        <f>VLOOKUP(K278, 'Alphabetical by species code'!A:B, 2, FALSE)</f>
        <v>Stephanomeria diegensis</v>
      </c>
      <c r="M278" s="7" t="str">
        <f>VLOOKUP(L278, 'Alphabetical by species code'!B:C, 2, FALSE)</f>
        <v>Native</v>
      </c>
    </row>
    <row r="279" spans="1:13" ht="15.75" customHeight="1" x14ac:dyDescent="0.25">
      <c r="A279" s="5">
        <v>6</v>
      </c>
      <c r="B279" s="5">
        <v>2023</v>
      </c>
      <c r="C279" s="61">
        <v>45203</v>
      </c>
      <c r="D279" s="5" t="s">
        <v>53</v>
      </c>
      <c r="E279" s="5" t="s">
        <v>25</v>
      </c>
      <c r="F279" s="5">
        <v>3</v>
      </c>
      <c r="G279" s="5" t="s">
        <v>36</v>
      </c>
      <c r="H279" s="5">
        <v>13</v>
      </c>
      <c r="I279" s="5">
        <v>1</v>
      </c>
      <c r="J279" s="5">
        <v>10</v>
      </c>
      <c r="K279" s="5" t="s">
        <v>27</v>
      </c>
      <c r="L279" s="7" t="str">
        <f>VLOOKUP(K279, 'Alphabetical by species code'!A:B, 2, FALSE)</f>
        <v>Litter</v>
      </c>
      <c r="M279" s="7" t="str">
        <f>VLOOKUP(L279, 'Alphabetical by species code'!B:C, 2, FALSE)</f>
        <v>Ground Cover</v>
      </c>
    </row>
    <row r="280" spans="1:13" ht="15.75" customHeight="1" x14ac:dyDescent="0.25">
      <c r="A280" s="5">
        <v>6</v>
      </c>
      <c r="B280" s="5">
        <v>2023</v>
      </c>
      <c r="C280" s="61">
        <v>45203</v>
      </c>
      <c r="D280" s="5" t="s">
        <v>53</v>
      </c>
      <c r="E280" s="5" t="s">
        <v>25</v>
      </c>
      <c r="F280" s="5">
        <v>3</v>
      </c>
      <c r="G280" s="5" t="s">
        <v>36</v>
      </c>
      <c r="H280" s="5">
        <v>13</v>
      </c>
      <c r="I280" s="5">
        <v>1</v>
      </c>
      <c r="J280" s="5">
        <v>10</v>
      </c>
      <c r="K280" s="5" t="s">
        <v>48</v>
      </c>
      <c r="L280" s="7" t="str">
        <f>VLOOKUP(K280, 'Alphabetical by species code'!A:B, 2, FALSE)</f>
        <v>Deinandra fasciculata</v>
      </c>
      <c r="M280" s="7" t="str">
        <f>VLOOKUP(L280, 'Alphabetical by species code'!B:C, 2, FALSE)</f>
        <v>Native</v>
      </c>
    </row>
    <row r="281" spans="1:13" ht="15.75" customHeight="1" x14ac:dyDescent="0.25">
      <c r="A281" s="5">
        <v>6</v>
      </c>
      <c r="B281" s="5">
        <v>2023</v>
      </c>
      <c r="C281" s="61">
        <v>45203</v>
      </c>
      <c r="D281" s="5" t="s">
        <v>53</v>
      </c>
      <c r="E281" s="5" t="s">
        <v>25</v>
      </c>
      <c r="F281" s="5">
        <v>3</v>
      </c>
      <c r="G281" s="5" t="s">
        <v>36</v>
      </c>
      <c r="H281" s="5">
        <v>14</v>
      </c>
      <c r="I281" s="5">
        <v>1</v>
      </c>
      <c r="J281" s="5">
        <v>11</v>
      </c>
      <c r="K281" s="5" t="s">
        <v>35</v>
      </c>
      <c r="L281" s="7" t="str">
        <f>VLOOKUP(K281, 'Alphabetical by species code'!A:B, 2, FALSE)</f>
        <v>Bareground</v>
      </c>
      <c r="M281" s="7" t="str">
        <f>VLOOKUP(L281, 'Alphabetical by species code'!B:C, 2, FALSE)</f>
        <v>Ground Cover</v>
      </c>
    </row>
    <row r="282" spans="1:13" ht="15.75" customHeight="1" x14ac:dyDescent="0.25">
      <c r="A282" s="5">
        <v>6</v>
      </c>
      <c r="B282" s="5">
        <v>2023</v>
      </c>
      <c r="C282" s="61">
        <v>45203</v>
      </c>
      <c r="D282" s="5" t="s">
        <v>53</v>
      </c>
      <c r="E282" s="5" t="s">
        <v>25</v>
      </c>
      <c r="F282" s="5">
        <v>3</v>
      </c>
      <c r="G282" s="5" t="s">
        <v>36</v>
      </c>
      <c r="H282" s="5">
        <v>14</v>
      </c>
      <c r="I282" s="5">
        <v>1</v>
      </c>
      <c r="J282" s="5">
        <v>11</v>
      </c>
      <c r="K282" s="5" t="s">
        <v>48</v>
      </c>
      <c r="L282" s="7" t="str">
        <f>VLOOKUP(K282, 'Alphabetical by species code'!A:B, 2, FALSE)</f>
        <v>Deinandra fasciculata</v>
      </c>
      <c r="M282" s="7" t="str">
        <f>VLOOKUP(L282, 'Alphabetical by species code'!B:C, 2, FALSE)</f>
        <v>Native</v>
      </c>
    </row>
    <row r="283" spans="1:13" ht="15.75" customHeight="1" x14ac:dyDescent="0.25">
      <c r="A283" s="5">
        <v>6</v>
      </c>
      <c r="B283" s="5">
        <v>2023</v>
      </c>
      <c r="C283" s="61">
        <v>45203</v>
      </c>
      <c r="D283" s="5" t="s">
        <v>53</v>
      </c>
      <c r="E283" s="5" t="s">
        <v>25</v>
      </c>
      <c r="F283" s="5">
        <v>3</v>
      </c>
      <c r="G283" s="5" t="s">
        <v>36</v>
      </c>
      <c r="H283" s="5">
        <v>15</v>
      </c>
      <c r="I283" s="5">
        <v>1</v>
      </c>
      <c r="J283" s="5">
        <v>12</v>
      </c>
      <c r="K283" s="5" t="s">
        <v>35</v>
      </c>
      <c r="L283" s="7" t="str">
        <f>VLOOKUP(K283, 'Alphabetical by species code'!A:B, 2, FALSE)</f>
        <v>Bareground</v>
      </c>
      <c r="M283" s="7" t="str">
        <f>VLOOKUP(L283, 'Alphabetical by species code'!B:C, 2, FALSE)</f>
        <v>Ground Cover</v>
      </c>
    </row>
    <row r="284" spans="1:13" ht="15.75" customHeight="1" x14ac:dyDescent="0.25">
      <c r="A284" s="5">
        <v>6</v>
      </c>
      <c r="B284" s="5">
        <v>2023</v>
      </c>
      <c r="C284" s="61">
        <v>45203</v>
      </c>
      <c r="D284" s="5" t="s">
        <v>53</v>
      </c>
      <c r="E284" s="5" t="s">
        <v>25</v>
      </c>
      <c r="F284" s="5">
        <v>3</v>
      </c>
      <c r="G284" s="5" t="s">
        <v>36</v>
      </c>
      <c r="H284" s="5">
        <v>15</v>
      </c>
      <c r="I284" s="5">
        <v>1</v>
      </c>
      <c r="J284" s="5">
        <v>12</v>
      </c>
      <c r="K284" s="5" t="s">
        <v>34</v>
      </c>
      <c r="L284" s="7" t="str">
        <f>VLOOKUP(K284, 'Alphabetical by species code'!A:B, 2, FALSE)</f>
        <v>Centaurea melitensis</v>
      </c>
      <c r="M284" s="7" t="str">
        <f>VLOOKUP(L284, 'Alphabetical by species code'!B:C, 2, FALSE)</f>
        <v>Non-Native</v>
      </c>
    </row>
    <row r="285" spans="1:13" ht="15.75" customHeight="1" x14ac:dyDescent="0.25">
      <c r="A285" s="5">
        <v>6</v>
      </c>
      <c r="B285" s="5">
        <v>2023</v>
      </c>
      <c r="C285" s="61">
        <v>45203</v>
      </c>
      <c r="D285" s="5" t="s">
        <v>53</v>
      </c>
      <c r="E285" s="5" t="s">
        <v>25</v>
      </c>
      <c r="F285" s="5">
        <v>3</v>
      </c>
      <c r="G285" s="5" t="s">
        <v>36</v>
      </c>
      <c r="H285" s="5">
        <v>1</v>
      </c>
      <c r="I285" s="5">
        <v>2</v>
      </c>
      <c r="J285" s="5">
        <v>0</v>
      </c>
      <c r="K285" s="5" t="s">
        <v>27</v>
      </c>
      <c r="L285" s="7" t="str">
        <f>VLOOKUP(K285, 'Alphabetical by species code'!A:B, 2, FALSE)</f>
        <v>Litter</v>
      </c>
      <c r="M285" s="7" t="str">
        <f>VLOOKUP(L285, 'Alphabetical by species code'!B:C, 2, FALSE)</f>
        <v>Ground Cover</v>
      </c>
    </row>
    <row r="286" spans="1:13" ht="15.75" customHeight="1" x14ac:dyDescent="0.25">
      <c r="A286" s="5">
        <v>6</v>
      </c>
      <c r="B286" s="5">
        <v>2023</v>
      </c>
      <c r="C286" s="61">
        <v>45203</v>
      </c>
      <c r="D286" s="5" t="s">
        <v>53</v>
      </c>
      <c r="E286" s="5" t="s">
        <v>25</v>
      </c>
      <c r="F286" s="5">
        <v>3</v>
      </c>
      <c r="G286" s="5" t="s">
        <v>36</v>
      </c>
      <c r="H286" s="5">
        <v>2</v>
      </c>
      <c r="I286" s="5">
        <v>2</v>
      </c>
      <c r="J286" s="5">
        <v>1</v>
      </c>
      <c r="K286" s="5" t="s">
        <v>27</v>
      </c>
      <c r="L286" s="7" t="str">
        <f>VLOOKUP(K286, 'Alphabetical by species code'!A:B, 2, FALSE)</f>
        <v>Litter</v>
      </c>
      <c r="M286" s="7" t="str">
        <f>VLOOKUP(L286, 'Alphabetical by species code'!B:C, 2, FALSE)</f>
        <v>Ground Cover</v>
      </c>
    </row>
    <row r="287" spans="1:13" ht="15.75" customHeight="1" x14ac:dyDescent="0.25">
      <c r="A287" s="5">
        <v>6</v>
      </c>
      <c r="B287" s="5">
        <v>2023</v>
      </c>
      <c r="C287" s="61">
        <v>45203</v>
      </c>
      <c r="D287" s="5" t="s">
        <v>53</v>
      </c>
      <c r="E287" s="5" t="s">
        <v>25</v>
      </c>
      <c r="F287" s="5">
        <v>3</v>
      </c>
      <c r="G287" s="5" t="s">
        <v>36</v>
      </c>
      <c r="H287" s="5">
        <v>2</v>
      </c>
      <c r="I287" s="5">
        <v>2</v>
      </c>
      <c r="J287" s="5">
        <v>1</v>
      </c>
      <c r="K287" s="5" t="s">
        <v>30</v>
      </c>
      <c r="L287" s="7" t="str">
        <f>VLOOKUP(K287, 'Alphabetical by species code'!A:B, 2, FALSE)</f>
        <v>Non Native Grass</v>
      </c>
      <c r="M287" s="7" t="str">
        <f>VLOOKUP(L287, 'Alphabetical by species code'!B:C, 2, FALSE)</f>
        <v>Non-Native</v>
      </c>
    </row>
    <row r="288" spans="1:13" ht="15.75" customHeight="1" x14ac:dyDescent="0.25">
      <c r="A288" s="5">
        <v>6</v>
      </c>
      <c r="B288" s="5">
        <v>2023</v>
      </c>
      <c r="C288" s="61">
        <v>45203</v>
      </c>
      <c r="D288" s="5" t="s">
        <v>53</v>
      </c>
      <c r="E288" s="5" t="s">
        <v>25</v>
      </c>
      <c r="F288" s="5">
        <v>3</v>
      </c>
      <c r="G288" s="5" t="s">
        <v>36</v>
      </c>
      <c r="H288" s="5">
        <v>2</v>
      </c>
      <c r="I288" s="5">
        <v>2</v>
      </c>
      <c r="J288" s="5">
        <v>1</v>
      </c>
      <c r="K288" s="5" t="s">
        <v>48</v>
      </c>
      <c r="L288" s="7" t="str">
        <f>VLOOKUP(K288, 'Alphabetical by species code'!A:B, 2, FALSE)</f>
        <v>Deinandra fasciculata</v>
      </c>
      <c r="M288" s="7" t="str">
        <f>VLOOKUP(L288, 'Alphabetical by species code'!B:C, 2, FALSE)</f>
        <v>Native</v>
      </c>
    </row>
    <row r="289" spans="1:13" ht="15.75" customHeight="1" x14ac:dyDescent="0.25">
      <c r="A289" s="5">
        <v>6</v>
      </c>
      <c r="B289" s="5">
        <v>2023</v>
      </c>
      <c r="C289" s="61">
        <v>45203</v>
      </c>
      <c r="D289" s="5" t="s">
        <v>53</v>
      </c>
      <c r="E289" s="5" t="s">
        <v>25</v>
      </c>
      <c r="F289" s="5">
        <v>3</v>
      </c>
      <c r="G289" s="5" t="s">
        <v>36</v>
      </c>
      <c r="H289" s="5">
        <v>3</v>
      </c>
      <c r="I289" s="5">
        <v>2</v>
      </c>
      <c r="J289" s="5">
        <v>1.5</v>
      </c>
      <c r="K289" s="5" t="s">
        <v>27</v>
      </c>
      <c r="L289" s="7" t="str">
        <f>VLOOKUP(K289, 'Alphabetical by species code'!A:B, 2, FALSE)</f>
        <v>Litter</v>
      </c>
      <c r="M289" s="7" t="str">
        <f>VLOOKUP(L289, 'Alphabetical by species code'!B:C, 2, FALSE)</f>
        <v>Ground Cover</v>
      </c>
    </row>
    <row r="290" spans="1:13" ht="15.75" customHeight="1" x14ac:dyDescent="0.25">
      <c r="A290" s="5">
        <v>6</v>
      </c>
      <c r="B290" s="5">
        <v>2023</v>
      </c>
      <c r="C290" s="61">
        <v>45203</v>
      </c>
      <c r="D290" s="5" t="s">
        <v>53</v>
      </c>
      <c r="E290" s="5" t="s">
        <v>25</v>
      </c>
      <c r="F290" s="5">
        <v>3</v>
      </c>
      <c r="G290" s="5" t="s">
        <v>36</v>
      </c>
      <c r="H290" s="5">
        <v>3</v>
      </c>
      <c r="I290" s="5">
        <v>2</v>
      </c>
      <c r="J290" s="5">
        <v>1.5</v>
      </c>
      <c r="K290" s="5" t="s">
        <v>48</v>
      </c>
      <c r="L290" s="7" t="str">
        <f>VLOOKUP(K290, 'Alphabetical by species code'!A:B, 2, FALSE)</f>
        <v>Deinandra fasciculata</v>
      </c>
      <c r="M290" s="7" t="str">
        <f>VLOOKUP(L290, 'Alphabetical by species code'!B:C, 2, FALSE)</f>
        <v>Native</v>
      </c>
    </row>
    <row r="291" spans="1:13" ht="15.75" customHeight="1" x14ac:dyDescent="0.25">
      <c r="A291" s="5">
        <v>6</v>
      </c>
      <c r="B291" s="5">
        <v>2023</v>
      </c>
      <c r="C291" s="61">
        <v>45203</v>
      </c>
      <c r="D291" s="5" t="s">
        <v>53</v>
      </c>
      <c r="E291" s="5" t="s">
        <v>25</v>
      </c>
      <c r="F291" s="5">
        <v>3</v>
      </c>
      <c r="G291" s="5" t="s">
        <v>36</v>
      </c>
      <c r="H291" s="5">
        <v>4</v>
      </c>
      <c r="I291" s="5">
        <v>2</v>
      </c>
      <c r="J291" s="5">
        <v>2</v>
      </c>
      <c r="K291" s="5" t="s">
        <v>27</v>
      </c>
      <c r="L291" s="7" t="str">
        <f>VLOOKUP(K291, 'Alphabetical by species code'!A:B, 2, FALSE)</f>
        <v>Litter</v>
      </c>
      <c r="M291" s="7" t="str">
        <f>VLOOKUP(L291, 'Alphabetical by species code'!B:C, 2, FALSE)</f>
        <v>Ground Cover</v>
      </c>
    </row>
    <row r="292" spans="1:13" ht="15.75" customHeight="1" x14ac:dyDescent="0.25">
      <c r="A292" s="5">
        <v>6</v>
      </c>
      <c r="B292" s="5">
        <v>2023</v>
      </c>
      <c r="C292" s="61">
        <v>45203</v>
      </c>
      <c r="D292" s="5" t="s">
        <v>53</v>
      </c>
      <c r="E292" s="5" t="s">
        <v>25</v>
      </c>
      <c r="F292" s="5">
        <v>3</v>
      </c>
      <c r="G292" s="5" t="s">
        <v>36</v>
      </c>
      <c r="H292" s="5">
        <v>4</v>
      </c>
      <c r="I292" s="5">
        <v>2</v>
      </c>
      <c r="J292" s="5">
        <v>2</v>
      </c>
      <c r="K292" s="5" t="s">
        <v>48</v>
      </c>
      <c r="L292" s="7" t="str">
        <f>VLOOKUP(K292, 'Alphabetical by species code'!A:B, 2, FALSE)</f>
        <v>Deinandra fasciculata</v>
      </c>
      <c r="M292" s="7" t="str">
        <f>VLOOKUP(L292, 'Alphabetical by species code'!B:C, 2, FALSE)</f>
        <v>Native</v>
      </c>
    </row>
    <row r="293" spans="1:13" ht="15.75" customHeight="1" x14ac:dyDescent="0.25">
      <c r="A293" s="5">
        <v>6</v>
      </c>
      <c r="B293" s="5">
        <v>2023</v>
      </c>
      <c r="C293" s="61">
        <v>45203</v>
      </c>
      <c r="D293" s="5" t="s">
        <v>53</v>
      </c>
      <c r="E293" s="5" t="s">
        <v>25</v>
      </c>
      <c r="F293" s="5">
        <v>3</v>
      </c>
      <c r="G293" s="5" t="s">
        <v>36</v>
      </c>
      <c r="H293" s="5">
        <v>5</v>
      </c>
      <c r="I293" s="5">
        <v>2</v>
      </c>
      <c r="J293" s="5">
        <v>3</v>
      </c>
      <c r="K293" s="5" t="s">
        <v>27</v>
      </c>
      <c r="L293" s="7" t="str">
        <f>VLOOKUP(K293, 'Alphabetical by species code'!A:B, 2, FALSE)</f>
        <v>Litter</v>
      </c>
      <c r="M293" s="7" t="str">
        <f>VLOOKUP(L293, 'Alphabetical by species code'!B:C, 2, FALSE)</f>
        <v>Ground Cover</v>
      </c>
    </row>
    <row r="294" spans="1:13" ht="15.75" customHeight="1" x14ac:dyDescent="0.25">
      <c r="A294" s="5">
        <v>6</v>
      </c>
      <c r="B294" s="5">
        <v>2023</v>
      </c>
      <c r="C294" s="61">
        <v>45203</v>
      </c>
      <c r="D294" s="5" t="s">
        <v>53</v>
      </c>
      <c r="E294" s="5" t="s">
        <v>25</v>
      </c>
      <c r="F294" s="5">
        <v>3</v>
      </c>
      <c r="G294" s="5" t="s">
        <v>36</v>
      </c>
      <c r="H294" s="5">
        <v>5</v>
      </c>
      <c r="I294" s="5">
        <v>2</v>
      </c>
      <c r="J294" s="5">
        <v>3</v>
      </c>
      <c r="K294" s="5" t="s">
        <v>48</v>
      </c>
      <c r="L294" s="7" t="str">
        <f>VLOOKUP(K294, 'Alphabetical by species code'!A:B, 2, FALSE)</f>
        <v>Deinandra fasciculata</v>
      </c>
      <c r="M294" s="7" t="str">
        <f>VLOOKUP(L294, 'Alphabetical by species code'!B:C, 2, FALSE)</f>
        <v>Native</v>
      </c>
    </row>
    <row r="295" spans="1:13" ht="15.75" customHeight="1" x14ac:dyDescent="0.25">
      <c r="A295" s="5">
        <v>6</v>
      </c>
      <c r="B295" s="5">
        <v>2023</v>
      </c>
      <c r="C295" s="61">
        <v>45203</v>
      </c>
      <c r="D295" s="5" t="s">
        <v>53</v>
      </c>
      <c r="E295" s="5" t="s">
        <v>25</v>
      </c>
      <c r="F295" s="5">
        <v>3</v>
      </c>
      <c r="G295" s="5" t="s">
        <v>36</v>
      </c>
      <c r="H295" s="5">
        <v>6</v>
      </c>
      <c r="I295" s="5">
        <v>2</v>
      </c>
      <c r="J295" s="5">
        <v>3.5</v>
      </c>
      <c r="K295" s="5" t="s">
        <v>27</v>
      </c>
      <c r="L295" s="7" t="str">
        <f>VLOOKUP(K295, 'Alphabetical by species code'!A:B, 2, FALSE)</f>
        <v>Litter</v>
      </c>
      <c r="M295" s="7" t="str">
        <f>VLOOKUP(L295, 'Alphabetical by species code'!B:C, 2, FALSE)</f>
        <v>Ground Cover</v>
      </c>
    </row>
    <row r="296" spans="1:13" ht="15.75" customHeight="1" x14ac:dyDescent="0.25">
      <c r="A296" s="5">
        <v>6</v>
      </c>
      <c r="B296" s="5">
        <v>2023</v>
      </c>
      <c r="C296" s="61">
        <v>45203</v>
      </c>
      <c r="D296" s="5" t="s">
        <v>53</v>
      </c>
      <c r="E296" s="5" t="s">
        <v>25</v>
      </c>
      <c r="F296" s="5">
        <v>3</v>
      </c>
      <c r="G296" s="5" t="s">
        <v>36</v>
      </c>
      <c r="H296" s="5">
        <v>6</v>
      </c>
      <c r="I296" s="5">
        <v>2</v>
      </c>
      <c r="J296" s="5">
        <v>3.5</v>
      </c>
      <c r="K296" s="5" t="s">
        <v>48</v>
      </c>
      <c r="L296" s="7" t="str">
        <f>VLOOKUP(K296, 'Alphabetical by species code'!A:B, 2, FALSE)</f>
        <v>Deinandra fasciculata</v>
      </c>
      <c r="M296" s="7" t="str">
        <f>VLOOKUP(L296, 'Alphabetical by species code'!B:C, 2, FALSE)</f>
        <v>Native</v>
      </c>
    </row>
    <row r="297" spans="1:13" ht="15.75" customHeight="1" x14ac:dyDescent="0.25">
      <c r="A297" s="5">
        <v>6</v>
      </c>
      <c r="B297" s="5">
        <v>2023</v>
      </c>
      <c r="C297" s="61">
        <v>45203</v>
      </c>
      <c r="D297" s="5" t="s">
        <v>53</v>
      </c>
      <c r="E297" s="5" t="s">
        <v>25</v>
      </c>
      <c r="F297" s="5">
        <v>3</v>
      </c>
      <c r="G297" s="5" t="s">
        <v>36</v>
      </c>
      <c r="H297" s="5">
        <v>7</v>
      </c>
      <c r="I297" s="5">
        <v>2</v>
      </c>
      <c r="J297" s="5">
        <v>4</v>
      </c>
      <c r="K297" s="5" t="s">
        <v>35</v>
      </c>
      <c r="L297" s="7" t="str">
        <f>VLOOKUP(K297, 'Alphabetical by species code'!A:B, 2, FALSE)</f>
        <v>Bareground</v>
      </c>
      <c r="M297" s="7" t="str">
        <f>VLOOKUP(L297, 'Alphabetical by species code'!B:C, 2, FALSE)</f>
        <v>Ground Cover</v>
      </c>
    </row>
    <row r="298" spans="1:13" ht="15.75" customHeight="1" x14ac:dyDescent="0.25">
      <c r="A298" s="5">
        <v>6</v>
      </c>
      <c r="B298" s="5">
        <v>2023</v>
      </c>
      <c r="C298" s="61">
        <v>45203</v>
      </c>
      <c r="D298" s="5" t="s">
        <v>53</v>
      </c>
      <c r="E298" s="5" t="s">
        <v>25</v>
      </c>
      <c r="F298" s="5">
        <v>3</v>
      </c>
      <c r="G298" s="5" t="s">
        <v>36</v>
      </c>
      <c r="H298" s="5">
        <v>8</v>
      </c>
      <c r="I298" s="5">
        <v>2</v>
      </c>
      <c r="J298" s="5">
        <v>5</v>
      </c>
      <c r="K298" s="5" t="s">
        <v>35</v>
      </c>
      <c r="L298" s="7" t="str">
        <f>VLOOKUP(K298, 'Alphabetical by species code'!A:B, 2, FALSE)</f>
        <v>Bareground</v>
      </c>
      <c r="M298" s="7" t="str">
        <f>VLOOKUP(L298, 'Alphabetical by species code'!B:C, 2, FALSE)</f>
        <v>Ground Cover</v>
      </c>
    </row>
    <row r="299" spans="1:13" ht="15.75" customHeight="1" x14ac:dyDescent="0.25">
      <c r="A299" s="5">
        <v>6</v>
      </c>
      <c r="B299" s="5">
        <v>2023</v>
      </c>
      <c r="C299" s="61">
        <v>45203</v>
      </c>
      <c r="D299" s="5" t="s">
        <v>53</v>
      </c>
      <c r="E299" s="5" t="s">
        <v>25</v>
      </c>
      <c r="F299" s="5">
        <v>3</v>
      </c>
      <c r="G299" s="5" t="s">
        <v>36</v>
      </c>
      <c r="H299" s="5">
        <v>8</v>
      </c>
      <c r="I299" s="5">
        <v>2</v>
      </c>
      <c r="J299" s="5">
        <v>5</v>
      </c>
      <c r="K299" s="5" t="s">
        <v>48</v>
      </c>
      <c r="L299" s="7" t="str">
        <f>VLOOKUP(K299, 'Alphabetical by species code'!A:B, 2, FALSE)</f>
        <v>Deinandra fasciculata</v>
      </c>
      <c r="M299" s="7" t="str">
        <f>VLOOKUP(L299, 'Alphabetical by species code'!B:C, 2, FALSE)</f>
        <v>Native</v>
      </c>
    </row>
    <row r="300" spans="1:13" ht="15.75" customHeight="1" x14ac:dyDescent="0.25">
      <c r="A300" s="5">
        <v>6</v>
      </c>
      <c r="B300" s="5">
        <v>2023</v>
      </c>
      <c r="C300" s="61">
        <v>45203</v>
      </c>
      <c r="D300" s="5" t="s">
        <v>53</v>
      </c>
      <c r="E300" s="5" t="s">
        <v>25</v>
      </c>
      <c r="F300" s="5">
        <v>3</v>
      </c>
      <c r="G300" s="5" t="s">
        <v>36</v>
      </c>
      <c r="H300" s="5">
        <v>9</v>
      </c>
      <c r="I300" s="5">
        <v>2</v>
      </c>
      <c r="J300" s="5">
        <v>7</v>
      </c>
      <c r="K300" s="5" t="s">
        <v>35</v>
      </c>
      <c r="L300" s="7" t="str">
        <f>VLOOKUP(K300, 'Alphabetical by species code'!A:B, 2, FALSE)</f>
        <v>Bareground</v>
      </c>
      <c r="M300" s="7" t="str">
        <f>VLOOKUP(L300, 'Alphabetical by species code'!B:C, 2, FALSE)</f>
        <v>Ground Cover</v>
      </c>
    </row>
    <row r="301" spans="1:13" ht="15.75" customHeight="1" x14ac:dyDescent="0.25">
      <c r="A301" s="5">
        <v>6</v>
      </c>
      <c r="B301" s="5">
        <v>2023</v>
      </c>
      <c r="C301" s="61">
        <v>45203</v>
      </c>
      <c r="D301" s="5" t="s">
        <v>53</v>
      </c>
      <c r="E301" s="5" t="s">
        <v>25</v>
      </c>
      <c r="F301" s="5">
        <v>3</v>
      </c>
      <c r="G301" s="5" t="s">
        <v>36</v>
      </c>
      <c r="H301" s="5">
        <v>10</v>
      </c>
      <c r="I301" s="5">
        <v>2</v>
      </c>
      <c r="J301" s="5">
        <v>8</v>
      </c>
      <c r="K301" s="5" t="s">
        <v>35</v>
      </c>
      <c r="L301" s="7" t="str">
        <f>VLOOKUP(K301, 'Alphabetical by species code'!A:B, 2, FALSE)</f>
        <v>Bareground</v>
      </c>
      <c r="M301" s="7" t="str">
        <f>VLOOKUP(L301, 'Alphabetical by species code'!B:C, 2, FALSE)</f>
        <v>Ground Cover</v>
      </c>
    </row>
    <row r="302" spans="1:13" ht="15.75" customHeight="1" x14ac:dyDescent="0.25">
      <c r="A302" s="5">
        <v>6</v>
      </c>
      <c r="B302" s="5">
        <v>2023</v>
      </c>
      <c r="C302" s="61">
        <v>45203</v>
      </c>
      <c r="D302" s="5" t="s">
        <v>53</v>
      </c>
      <c r="E302" s="5" t="s">
        <v>25</v>
      </c>
      <c r="F302" s="5">
        <v>3</v>
      </c>
      <c r="G302" s="5" t="s">
        <v>36</v>
      </c>
      <c r="H302" s="5">
        <v>11</v>
      </c>
      <c r="I302" s="5">
        <v>2</v>
      </c>
      <c r="J302" s="5">
        <v>8.5</v>
      </c>
      <c r="K302" s="5" t="s">
        <v>35</v>
      </c>
      <c r="L302" s="7" t="str">
        <f>VLOOKUP(K302, 'Alphabetical by species code'!A:B, 2, FALSE)</f>
        <v>Bareground</v>
      </c>
      <c r="M302" s="7" t="str">
        <f>VLOOKUP(L302, 'Alphabetical by species code'!B:C, 2, FALSE)</f>
        <v>Ground Cover</v>
      </c>
    </row>
    <row r="303" spans="1:13" ht="15.75" customHeight="1" x14ac:dyDescent="0.25">
      <c r="A303" s="5">
        <v>6</v>
      </c>
      <c r="B303" s="5">
        <v>2023</v>
      </c>
      <c r="C303" s="61">
        <v>45203</v>
      </c>
      <c r="D303" s="5" t="s">
        <v>53</v>
      </c>
      <c r="E303" s="5" t="s">
        <v>25</v>
      </c>
      <c r="F303" s="5">
        <v>3</v>
      </c>
      <c r="G303" s="5" t="s">
        <v>36</v>
      </c>
      <c r="H303" s="5">
        <v>11</v>
      </c>
      <c r="I303" s="5">
        <v>2</v>
      </c>
      <c r="J303" s="5">
        <v>8.5</v>
      </c>
      <c r="K303" s="5" t="s">
        <v>48</v>
      </c>
      <c r="L303" s="7" t="str">
        <f>VLOOKUP(K303, 'Alphabetical by species code'!A:B, 2, FALSE)</f>
        <v>Deinandra fasciculata</v>
      </c>
      <c r="M303" s="7" t="str">
        <f>VLOOKUP(L303, 'Alphabetical by species code'!B:C, 2, FALSE)</f>
        <v>Native</v>
      </c>
    </row>
    <row r="304" spans="1:13" ht="15.75" customHeight="1" x14ac:dyDescent="0.25">
      <c r="A304" s="5">
        <v>6</v>
      </c>
      <c r="B304" s="5">
        <v>2023</v>
      </c>
      <c r="C304" s="61">
        <v>45203</v>
      </c>
      <c r="D304" s="5" t="s">
        <v>53</v>
      </c>
      <c r="E304" s="5" t="s">
        <v>25</v>
      </c>
      <c r="F304" s="5">
        <v>3</v>
      </c>
      <c r="G304" s="5" t="s">
        <v>36</v>
      </c>
      <c r="H304" s="5">
        <v>11</v>
      </c>
      <c r="I304" s="5">
        <v>2</v>
      </c>
      <c r="J304" s="5">
        <v>8.5</v>
      </c>
      <c r="K304" s="5" t="s">
        <v>44</v>
      </c>
      <c r="L304" s="7" t="str">
        <f>VLOOKUP(K304, 'Alphabetical by species code'!A:B, 2, FALSE)</f>
        <v>Laennecia coulteri</v>
      </c>
      <c r="M304" s="7" t="str">
        <f>VLOOKUP(L304, 'Alphabetical by species code'!B:C, 2, FALSE)</f>
        <v>Native</v>
      </c>
    </row>
    <row r="305" spans="1:13" ht="15.75" customHeight="1" x14ac:dyDescent="0.25">
      <c r="A305" s="5">
        <v>6</v>
      </c>
      <c r="B305" s="5">
        <v>2023</v>
      </c>
      <c r="C305" s="61">
        <v>45203</v>
      </c>
      <c r="D305" s="5" t="s">
        <v>53</v>
      </c>
      <c r="E305" s="5" t="s">
        <v>25</v>
      </c>
      <c r="F305" s="5">
        <v>3</v>
      </c>
      <c r="G305" s="5" t="s">
        <v>36</v>
      </c>
      <c r="H305" s="5">
        <v>12</v>
      </c>
      <c r="I305" s="5">
        <v>2</v>
      </c>
      <c r="J305" s="5">
        <v>9</v>
      </c>
      <c r="K305" s="5" t="s">
        <v>27</v>
      </c>
      <c r="L305" s="7" t="str">
        <f>VLOOKUP(K305, 'Alphabetical by species code'!A:B, 2, FALSE)</f>
        <v>Litter</v>
      </c>
      <c r="M305" s="7" t="str">
        <f>VLOOKUP(L305, 'Alphabetical by species code'!B:C, 2, FALSE)</f>
        <v>Ground Cover</v>
      </c>
    </row>
    <row r="306" spans="1:13" ht="15.75" customHeight="1" x14ac:dyDescent="0.25">
      <c r="A306" s="5">
        <v>6</v>
      </c>
      <c r="B306" s="5">
        <v>2023</v>
      </c>
      <c r="C306" s="61">
        <v>45203</v>
      </c>
      <c r="D306" s="5" t="s">
        <v>53</v>
      </c>
      <c r="E306" s="5" t="s">
        <v>25</v>
      </c>
      <c r="F306" s="5">
        <v>3</v>
      </c>
      <c r="G306" s="5" t="s">
        <v>36</v>
      </c>
      <c r="H306" s="5">
        <v>12</v>
      </c>
      <c r="I306" s="5">
        <v>2</v>
      </c>
      <c r="J306" s="5">
        <v>9</v>
      </c>
      <c r="K306" s="5" t="s">
        <v>48</v>
      </c>
      <c r="L306" s="7" t="str">
        <f>VLOOKUP(K306, 'Alphabetical by species code'!A:B, 2, FALSE)</f>
        <v>Deinandra fasciculata</v>
      </c>
      <c r="M306" s="7" t="str">
        <f>VLOOKUP(L306, 'Alphabetical by species code'!B:C, 2, FALSE)</f>
        <v>Native</v>
      </c>
    </row>
    <row r="307" spans="1:13" ht="15.75" customHeight="1" x14ac:dyDescent="0.25">
      <c r="A307" s="5">
        <v>6</v>
      </c>
      <c r="B307" s="5">
        <v>2023</v>
      </c>
      <c r="C307" s="61">
        <v>45203</v>
      </c>
      <c r="D307" s="5" t="s">
        <v>53</v>
      </c>
      <c r="E307" s="5" t="s">
        <v>25</v>
      </c>
      <c r="F307" s="5">
        <v>3</v>
      </c>
      <c r="G307" s="5" t="s">
        <v>36</v>
      </c>
      <c r="H307" s="5">
        <v>12</v>
      </c>
      <c r="I307" s="5">
        <v>2</v>
      </c>
      <c r="J307" s="5">
        <v>9</v>
      </c>
      <c r="K307" s="5" t="s">
        <v>44</v>
      </c>
      <c r="L307" s="7" t="str">
        <f>VLOOKUP(K307, 'Alphabetical by species code'!A:B, 2, FALSE)</f>
        <v>Laennecia coulteri</v>
      </c>
      <c r="M307" s="7" t="str">
        <f>VLOOKUP(L307, 'Alphabetical by species code'!B:C, 2, FALSE)</f>
        <v>Native</v>
      </c>
    </row>
    <row r="308" spans="1:13" ht="15.75" customHeight="1" x14ac:dyDescent="0.25">
      <c r="A308" s="5">
        <v>6</v>
      </c>
      <c r="B308" s="5">
        <v>2023</v>
      </c>
      <c r="C308" s="61">
        <v>45203</v>
      </c>
      <c r="D308" s="5" t="s">
        <v>53</v>
      </c>
      <c r="E308" s="5" t="s">
        <v>25</v>
      </c>
      <c r="F308" s="5">
        <v>3</v>
      </c>
      <c r="G308" s="5" t="s">
        <v>36</v>
      </c>
      <c r="H308" s="5">
        <v>13</v>
      </c>
      <c r="I308" s="5">
        <v>2</v>
      </c>
      <c r="J308" s="5">
        <v>10</v>
      </c>
      <c r="K308" s="5" t="s">
        <v>35</v>
      </c>
      <c r="L308" s="7" t="str">
        <f>VLOOKUP(K308, 'Alphabetical by species code'!A:B, 2, FALSE)</f>
        <v>Bareground</v>
      </c>
      <c r="M308" s="7" t="str">
        <f>VLOOKUP(L308, 'Alphabetical by species code'!B:C, 2, FALSE)</f>
        <v>Ground Cover</v>
      </c>
    </row>
    <row r="309" spans="1:13" ht="15.75" customHeight="1" x14ac:dyDescent="0.25">
      <c r="A309" s="5">
        <v>6</v>
      </c>
      <c r="B309" s="5">
        <v>2023</v>
      </c>
      <c r="C309" s="61">
        <v>45203</v>
      </c>
      <c r="D309" s="5" t="s">
        <v>53</v>
      </c>
      <c r="E309" s="5" t="s">
        <v>25</v>
      </c>
      <c r="F309" s="5">
        <v>3</v>
      </c>
      <c r="G309" s="5" t="s">
        <v>36</v>
      </c>
      <c r="H309" s="5">
        <v>14</v>
      </c>
      <c r="I309" s="5">
        <v>2</v>
      </c>
      <c r="J309" s="5">
        <v>11</v>
      </c>
      <c r="K309" s="5" t="s">
        <v>27</v>
      </c>
      <c r="L309" s="7" t="str">
        <f>VLOOKUP(K309, 'Alphabetical by species code'!A:B, 2, FALSE)</f>
        <v>Litter</v>
      </c>
      <c r="M309" s="7" t="str">
        <f>VLOOKUP(L309, 'Alphabetical by species code'!B:C, 2, FALSE)</f>
        <v>Ground Cover</v>
      </c>
    </row>
    <row r="310" spans="1:13" ht="15.75" customHeight="1" x14ac:dyDescent="0.25">
      <c r="A310" s="5">
        <v>6</v>
      </c>
      <c r="B310" s="5">
        <v>2023</v>
      </c>
      <c r="C310" s="61">
        <v>45203</v>
      </c>
      <c r="D310" s="5" t="s">
        <v>53</v>
      </c>
      <c r="E310" s="5" t="s">
        <v>25</v>
      </c>
      <c r="F310" s="5">
        <v>3</v>
      </c>
      <c r="G310" s="5" t="s">
        <v>36</v>
      </c>
      <c r="H310" s="5">
        <v>14</v>
      </c>
      <c r="I310" s="5">
        <v>2</v>
      </c>
      <c r="J310" s="5">
        <v>11</v>
      </c>
      <c r="K310" s="5" t="s">
        <v>44</v>
      </c>
      <c r="L310" s="7" t="str">
        <f>VLOOKUP(K310, 'Alphabetical by species code'!A:B, 2, FALSE)</f>
        <v>Laennecia coulteri</v>
      </c>
      <c r="M310" s="7" t="str">
        <f>VLOOKUP(L310, 'Alphabetical by species code'!B:C, 2, FALSE)</f>
        <v>Native</v>
      </c>
    </row>
    <row r="311" spans="1:13" ht="15.75" customHeight="1" x14ac:dyDescent="0.25">
      <c r="A311" s="5">
        <v>6</v>
      </c>
      <c r="B311" s="5">
        <v>2023</v>
      </c>
      <c r="C311" s="61">
        <v>45203</v>
      </c>
      <c r="D311" s="5" t="s">
        <v>53</v>
      </c>
      <c r="E311" s="5" t="s">
        <v>25</v>
      </c>
      <c r="F311" s="5">
        <v>3</v>
      </c>
      <c r="G311" s="5" t="s">
        <v>36</v>
      </c>
      <c r="H311" s="5">
        <v>15</v>
      </c>
      <c r="I311" s="5">
        <v>2</v>
      </c>
      <c r="J311" s="5">
        <v>12</v>
      </c>
      <c r="K311" s="5" t="s">
        <v>27</v>
      </c>
      <c r="L311" s="7" t="str">
        <f>VLOOKUP(K311, 'Alphabetical by species code'!A:B, 2, FALSE)</f>
        <v>Litter</v>
      </c>
      <c r="M311" s="7" t="str">
        <f>VLOOKUP(L311, 'Alphabetical by species code'!B:C, 2, FALSE)</f>
        <v>Ground Cover</v>
      </c>
    </row>
    <row r="312" spans="1:13" ht="15.75" customHeight="1" x14ac:dyDescent="0.25">
      <c r="A312" s="5">
        <v>7</v>
      </c>
      <c r="B312" s="5">
        <v>2023</v>
      </c>
      <c r="C312" s="61">
        <v>45203</v>
      </c>
      <c r="D312" s="5" t="s">
        <v>53</v>
      </c>
      <c r="E312" s="5" t="s">
        <v>25</v>
      </c>
      <c r="F312" s="5">
        <v>3</v>
      </c>
      <c r="G312" s="5" t="s">
        <v>46</v>
      </c>
      <c r="H312" s="5">
        <v>1</v>
      </c>
      <c r="I312" s="5">
        <v>1</v>
      </c>
      <c r="J312" s="5">
        <v>0</v>
      </c>
      <c r="K312" s="5" t="s">
        <v>27</v>
      </c>
      <c r="L312" s="7" t="str">
        <f>VLOOKUP(K312, 'Alphabetical by species code'!A:B, 2, FALSE)</f>
        <v>Litter</v>
      </c>
      <c r="M312" s="7" t="str">
        <f>VLOOKUP(L312, 'Alphabetical by species code'!B:C, 2, FALSE)</f>
        <v>Ground Cover</v>
      </c>
    </row>
    <row r="313" spans="1:13" ht="15.75" customHeight="1" x14ac:dyDescent="0.25">
      <c r="A313" s="5">
        <v>7</v>
      </c>
      <c r="B313" s="5">
        <v>2023</v>
      </c>
      <c r="C313" s="61">
        <v>45203</v>
      </c>
      <c r="D313" s="5" t="s">
        <v>53</v>
      </c>
      <c r="E313" s="5" t="s">
        <v>25</v>
      </c>
      <c r="F313" s="5">
        <v>3</v>
      </c>
      <c r="G313" s="5" t="s">
        <v>46</v>
      </c>
      <c r="H313" s="5">
        <v>1</v>
      </c>
      <c r="I313" s="5">
        <v>1</v>
      </c>
      <c r="J313" s="5">
        <v>0</v>
      </c>
      <c r="K313" s="5" t="s">
        <v>48</v>
      </c>
      <c r="L313" s="7" t="str">
        <f>VLOOKUP(K313, 'Alphabetical by species code'!A:B, 2, FALSE)</f>
        <v>Deinandra fasciculata</v>
      </c>
      <c r="M313" s="7" t="str">
        <f>VLOOKUP(L313, 'Alphabetical by species code'!B:C, 2, FALSE)</f>
        <v>Native</v>
      </c>
    </row>
    <row r="314" spans="1:13" ht="15.75" customHeight="1" x14ac:dyDescent="0.25">
      <c r="A314" s="5">
        <v>7</v>
      </c>
      <c r="B314" s="5">
        <v>2023</v>
      </c>
      <c r="C314" s="62">
        <v>45203</v>
      </c>
      <c r="D314" s="5" t="s">
        <v>53</v>
      </c>
      <c r="E314" s="5" t="s">
        <v>25</v>
      </c>
      <c r="F314" s="5">
        <v>3</v>
      </c>
      <c r="G314" s="5" t="s">
        <v>46</v>
      </c>
      <c r="H314" s="5">
        <v>2</v>
      </c>
      <c r="I314" s="5">
        <v>1</v>
      </c>
      <c r="J314" s="5">
        <v>0.5</v>
      </c>
      <c r="K314" s="5" t="s">
        <v>27</v>
      </c>
      <c r="L314" s="7" t="str">
        <f>VLOOKUP(K314, 'Alphabetical by species code'!A:B, 2, FALSE)</f>
        <v>Litter</v>
      </c>
      <c r="M314" s="7" t="str">
        <f>VLOOKUP(L314, 'Alphabetical by species code'!B:C, 2, FALSE)</f>
        <v>Ground Cover</v>
      </c>
    </row>
    <row r="315" spans="1:13" ht="15.75" customHeight="1" x14ac:dyDescent="0.25">
      <c r="A315" s="5">
        <v>7</v>
      </c>
      <c r="B315" s="5">
        <v>2023</v>
      </c>
      <c r="C315" s="62">
        <v>45203</v>
      </c>
      <c r="D315" s="5" t="s">
        <v>53</v>
      </c>
      <c r="E315" s="5" t="s">
        <v>25</v>
      </c>
      <c r="F315" s="5">
        <v>3</v>
      </c>
      <c r="G315" s="5" t="s">
        <v>46</v>
      </c>
      <c r="H315" s="5">
        <v>2</v>
      </c>
      <c r="I315" s="5">
        <v>1</v>
      </c>
      <c r="J315" s="5">
        <v>0.5</v>
      </c>
      <c r="K315" s="5" t="s">
        <v>30</v>
      </c>
      <c r="L315" s="7" t="str">
        <f>VLOOKUP(K315, 'Alphabetical by species code'!A:B, 2, FALSE)</f>
        <v>Non Native Grass</v>
      </c>
      <c r="M315" s="7" t="str">
        <f>VLOOKUP(L315, 'Alphabetical by species code'!B:C, 2, FALSE)</f>
        <v>Non-Native</v>
      </c>
    </row>
    <row r="316" spans="1:13" ht="15.75" customHeight="1" x14ac:dyDescent="0.25">
      <c r="A316" s="5">
        <v>7</v>
      </c>
      <c r="B316" s="5">
        <v>2023</v>
      </c>
      <c r="C316" s="62">
        <v>45203</v>
      </c>
      <c r="D316" s="5" t="s">
        <v>53</v>
      </c>
      <c r="E316" s="5" t="s">
        <v>25</v>
      </c>
      <c r="F316" s="5">
        <v>3</v>
      </c>
      <c r="G316" s="5" t="s">
        <v>46</v>
      </c>
      <c r="H316" s="5">
        <v>2</v>
      </c>
      <c r="I316" s="5">
        <v>1</v>
      </c>
      <c r="J316" s="5">
        <v>0.5</v>
      </c>
      <c r="K316" s="5" t="s">
        <v>48</v>
      </c>
      <c r="L316" s="7" t="str">
        <f>VLOOKUP(K316, 'Alphabetical by species code'!A:B, 2, FALSE)</f>
        <v>Deinandra fasciculata</v>
      </c>
      <c r="M316" s="7" t="str">
        <f>VLOOKUP(L316, 'Alphabetical by species code'!B:C, 2, FALSE)</f>
        <v>Native</v>
      </c>
    </row>
    <row r="317" spans="1:13" ht="15.75" customHeight="1" x14ac:dyDescent="0.25">
      <c r="A317" s="5">
        <v>7</v>
      </c>
      <c r="B317" s="5">
        <v>2023</v>
      </c>
      <c r="C317" s="62">
        <v>45203</v>
      </c>
      <c r="D317" s="5" t="s">
        <v>53</v>
      </c>
      <c r="E317" s="5" t="s">
        <v>25</v>
      </c>
      <c r="F317" s="5">
        <v>3</v>
      </c>
      <c r="G317" s="5" t="s">
        <v>46</v>
      </c>
      <c r="H317" s="5">
        <v>3</v>
      </c>
      <c r="I317" s="5">
        <v>1</v>
      </c>
      <c r="J317" s="5">
        <v>1</v>
      </c>
      <c r="K317" s="5" t="s">
        <v>58</v>
      </c>
      <c r="L317" s="7" t="str">
        <f>VLOOKUP(K317, 'Alphabetical by species code'!A:B, 2, FALSE)</f>
        <v>Stem</v>
      </c>
      <c r="M317" s="7" t="str">
        <f>VLOOKUP(L317, 'Alphabetical by species code'!B:C, 2, FALSE)</f>
        <v>Ground Cover</v>
      </c>
    </row>
    <row r="318" spans="1:13" ht="15.75" customHeight="1" x14ac:dyDescent="0.25">
      <c r="A318" s="5">
        <v>7</v>
      </c>
      <c r="B318" s="5">
        <v>2023</v>
      </c>
      <c r="C318" s="62">
        <v>45203</v>
      </c>
      <c r="D318" s="5" t="s">
        <v>53</v>
      </c>
      <c r="E318" s="5" t="s">
        <v>25</v>
      </c>
      <c r="F318" s="5">
        <v>3</v>
      </c>
      <c r="G318" s="5" t="s">
        <v>46</v>
      </c>
      <c r="H318" s="5">
        <v>3</v>
      </c>
      <c r="I318" s="5">
        <v>1</v>
      </c>
      <c r="J318" s="5">
        <v>1</v>
      </c>
      <c r="K318" s="5" t="s">
        <v>29</v>
      </c>
      <c r="L318" s="7" t="str">
        <f>VLOOKUP(K318, 'Alphabetical by species code'!A:B, 2, FALSE)</f>
        <v>Opuntia littoralis</v>
      </c>
      <c r="M318" s="7" t="str">
        <f>VLOOKUP(L318, 'Alphabetical by species code'!B:C, 2, FALSE)</f>
        <v>Native</v>
      </c>
    </row>
    <row r="319" spans="1:13" ht="15.75" customHeight="1" x14ac:dyDescent="0.25">
      <c r="A319" s="5">
        <v>7</v>
      </c>
      <c r="B319" s="5">
        <v>2023</v>
      </c>
      <c r="C319" s="62">
        <v>45203</v>
      </c>
      <c r="D319" s="5" t="s">
        <v>53</v>
      </c>
      <c r="E319" s="5" t="s">
        <v>25</v>
      </c>
      <c r="F319" s="5">
        <v>3</v>
      </c>
      <c r="G319" s="5" t="s">
        <v>46</v>
      </c>
      <c r="H319" s="5">
        <v>4</v>
      </c>
      <c r="I319" s="5">
        <v>1</v>
      </c>
      <c r="J319" s="5">
        <v>1.5</v>
      </c>
      <c r="K319" s="5" t="s">
        <v>27</v>
      </c>
      <c r="L319" s="7" t="str">
        <f>VLOOKUP(K319, 'Alphabetical by species code'!A:B, 2, FALSE)</f>
        <v>Litter</v>
      </c>
      <c r="M319" s="7" t="str">
        <f>VLOOKUP(L319, 'Alphabetical by species code'!B:C, 2, FALSE)</f>
        <v>Ground Cover</v>
      </c>
    </row>
    <row r="320" spans="1:13" ht="15.75" customHeight="1" x14ac:dyDescent="0.25">
      <c r="A320" s="5">
        <v>7</v>
      </c>
      <c r="B320" s="5">
        <v>2023</v>
      </c>
      <c r="C320" s="62">
        <v>45203</v>
      </c>
      <c r="D320" s="5" t="s">
        <v>53</v>
      </c>
      <c r="E320" s="5" t="s">
        <v>25</v>
      </c>
      <c r="F320" s="5">
        <v>3</v>
      </c>
      <c r="G320" s="5" t="s">
        <v>46</v>
      </c>
      <c r="H320" s="5">
        <v>4</v>
      </c>
      <c r="I320" s="5">
        <v>1</v>
      </c>
      <c r="J320" s="5">
        <v>1.5</v>
      </c>
      <c r="K320" s="5" t="s">
        <v>30</v>
      </c>
      <c r="L320" s="7" t="str">
        <f>VLOOKUP(K320, 'Alphabetical by species code'!A:B, 2, FALSE)</f>
        <v>Non Native Grass</v>
      </c>
      <c r="M320" s="7" t="str">
        <f>VLOOKUP(L320, 'Alphabetical by species code'!B:C, 2, FALSE)</f>
        <v>Non-Native</v>
      </c>
    </row>
    <row r="321" spans="1:14" ht="15.75" customHeight="1" x14ac:dyDescent="0.25">
      <c r="A321" s="5">
        <v>7</v>
      </c>
      <c r="B321" s="5">
        <v>2023</v>
      </c>
      <c r="C321" s="62">
        <v>45203</v>
      </c>
      <c r="D321" s="5" t="s">
        <v>53</v>
      </c>
      <c r="E321" s="5" t="s">
        <v>25</v>
      </c>
      <c r="F321" s="5">
        <v>3</v>
      </c>
      <c r="G321" s="5" t="s">
        <v>46</v>
      </c>
      <c r="H321" s="5">
        <v>4</v>
      </c>
      <c r="I321" s="5">
        <v>1</v>
      </c>
      <c r="J321" s="5">
        <v>1.5</v>
      </c>
      <c r="K321" s="5" t="s">
        <v>48</v>
      </c>
      <c r="L321" s="7" t="str">
        <f>VLOOKUP(K321, 'Alphabetical by species code'!A:B, 2, FALSE)</f>
        <v>Deinandra fasciculata</v>
      </c>
      <c r="M321" s="7" t="str">
        <f>VLOOKUP(L321, 'Alphabetical by species code'!B:C, 2, FALSE)</f>
        <v>Native</v>
      </c>
    </row>
    <row r="322" spans="1:14" ht="15.75" customHeight="1" x14ac:dyDescent="0.25">
      <c r="A322" s="5">
        <v>7</v>
      </c>
      <c r="B322" s="5">
        <v>2023</v>
      </c>
      <c r="C322" s="62">
        <v>45203</v>
      </c>
      <c r="D322" s="5" t="s">
        <v>53</v>
      </c>
      <c r="E322" s="5" t="s">
        <v>25</v>
      </c>
      <c r="F322" s="5">
        <v>3</v>
      </c>
      <c r="G322" s="5" t="s">
        <v>46</v>
      </c>
      <c r="H322" s="5">
        <v>5</v>
      </c>
      <c r="I322" s="5">
        <v>1</v>
      </c>
      <c r="J322" s="5">
        <v>2</v>
      </c>
      <c r="K322" s="5" t="s">
        <v>27</v>
      </c>
      <c r="L322" s="7" t="str">
        <f>VLOOKUP(K322, 'Alphabetical by species code'!A:B, 2, FALSE)</f>
        <v>Litter</v>
      </c>
      <c r="M322" s="7" t="str">
        <f>VLOOKUP(L322, 'Alphabetical by species code'!B:C, 2, FALSE)</f>
        <v>Ground Cover</v>
      </c>
    </row>
    <row r="323" spans="1:14" ht="15.75" customHeight="1" x14ac:dyDescent="0.25">
      <c r="A323" s="5">
        <v>7</v>
      </c>
      <c r="B323" s="5">
        <v>2023</v>
      </c>
      <c r="C323" s="62">
        <v>45203</v>
      </c>
      <c r="D323" s="5" t="s">
        <v>53</v>
      </c>
      <c r="E323" s="5" t="s">
        <v>25</v>
      </c>
      <c r="F323" s="5">
        <v>3</v>
      </c>
      <c r="G323" s="5" t="s">
        <v>46</v>
      </c>
      <c r="H323" s="5">
        <v>5</v>
      </c>
      <c r="I323" s="5">
        <v>1</v>
      </c>
      <c r="J323" s="5">
        <v>2</v>
      </c>
      <c r="K323" s="5" t="s">
        <v>30</v>
      </c>
      <c r="L323" s="7" t="str">
        <f>VLOOKUP(K323, 'Alphabetical by species code'!A:B, 2, FALSE)</f>
        <v>Non Native Grass</v>
      </c>
      <c r="M323" s="7" t="str">
        <f>VLOOKUP(L323, 'Alphabetical by species code'!B:C, 2, FALSE)</f>
        <v>Non-Native</v>
      </c>
    </row>
    <row r="324" spans="1:14" ht="15.75" customHeight="1" x14ac:dyDescent="0.25">
      <c r="A324" s="5">
        <v>7</v>
      </c>
      <c r="B324" s="5">
        <v>2023</v>
      </c>
      <c r="C324" s="62">
        <v>45203</v>
      </c>
      <c r="D324" s="5" t="s">
        <v>53</v>
      </c>
      <c r="E324" s="5" t="s">
        <v>25</v>
      </c>
      <c r="F324" s="5">
        <v>3</v>
      </c>
      <c r="G324" s="5" t="s">
        <v>46</v>
      </c>
      <c r="H324" s="5">
        <v>5</v>
      </c>
      <c r="I324" s="5">
        <v>1</v>
      </c>
      <c r="J324" s="5">
        <v>2</v>
      </c>
      <c r="K324" s="5" t="s">
        <v>48</v>
      </c>
      <c r="L324" s="7" t="str">
        <f>VLOOKUP(K324, 'Alphabetical by species code'!A:B, 2, FALSE)</f>
        <v>Deinandra fasciculata</v>
      </c>
      <c r="M324" s="7" t="str">
        <f>VLOOKUP(L324, 'Alphabetical by species code'!B:C, 2, FALSE)</f>
        <v>Native</v>
      </c>
    </row>
    <row r="325" spans="1:14" ht="15.75" customHeight="1" x14ac:dyDescent="0.25">
      <c r="A325" s="5">
        <v>7</v>
      </c>
      <c r="B325" s="5">
        <v>2023</v>
      </c>
      <c r="C325" s="62">
        <v>45203</v>
      </c>
      <c r="D325" s="5" t="s">
        <v>53</v>
      </c>
      <c r="E325" s="5" t="s">
        <v>25</v>
      </c>
      <c r="F325" s="5">
        <v>3</v>
      </c>
      <c r="G325" s="5" t="s">
        <v>46</v>
      </c>
      <c r="H325" s="5">
        <v>6</v>
      </c>
      <c r="I325" s="5">
        <v>1</v>
      </c>
      <c r="J325" s="5">
        <v>2.5</v>
      </c>
      <c r="K325" s="5" t="s">
        <v>27</v>
      </c>
      <c r="L325" s="7" t="str">
        <f>VLOOKUP(K325, 'Alphabetical by species code'!A:B, 2, FALSE)</f>
        <v>Litter</v>
      </c>
      <c r="M325" s="7" t="str">
        <f>VLOOKUP(L325, 'Alphabetical by species code'!B:C, 2, FALSE)</f>
        <v>Ground Cover</v>
      </c>
    </row>
    <row r="326" spans="1:14" ht="15.75" customHeight="1" x14ac:dyDescent="0.25">
      <c r="A326" s="5">
        <v>7</v>
      </c>
      <c r="B326" s="5">
        <v>2023</v>
      </c>
      <c r="C326" s="62">
        <v>45203</v>
      </c>
      <c r="D326" s="5" t="s">
        <v>53</v>
      </c>
      <c r="E326" s="5" t="s">
        <v>25</v>
      </c>
      <c r="F326" s="5">
        <v>3</v>
      </c>
      <c r="G326" s="5" t="s">
        <v>46</v>
      </c>
      <c r="H326" s="5">
        <v>6</v>
      </c>
      <c r="I326" s="5">
        <v>1</v>
      </c>
      <c r="J326" s="5">
        <v>2.5</v>
      </c>
      <c r="K326" s="5" t="s">
        <v>30</v>
      </c>
      <c r="L326" s="7" t="str">
        <f>VLOOKUP(K326, 'Alphabetical by species code'!A:B, 2, FALSE)</f>
        <v>Non Native Grass</v>
      </c>
      <c r="M326" s="7" t="str">
        <f>VLOOKUP(L326, 'Alphabetical by species code'!B:C, 2, FALSE)</f>
        <v>Non-Native</v>
      </c>
    </row>
    <row r="327" spans="1:14" ht="15.75" customHeight="1" x14ac:dyDescent="0.25">
      <c r="A327" s="5">
        <v>7</v>
      </c>
      <c r="B327" s="5">
        <v>2023</v>
      </c>
      <c r="C327" s="62">
        <v>45203</v>
      </c>
      <c r="D327" s="5" t="s">
        <v>53</v>
      </c>
      <c r="E327" s="5" t="s">
        <v>25</v>
      </c>
      <c r="F327" s="5">
        <v>3</v>
      </c>
      <c r="G327" s="5" t="s">
        <v>46</v>
      </c>
      <c r="H327" s="5">
        <v>6</v>
      </c>
      <c r="I327" s="5">
        <v>1</v>
      </c>
      <c r="J327" s="5">
        <v>2.5</v>
      </c>
      <c r="K327" s="5" t="s">
        <v>48</v>
      </c>
      <c r="L327" s="7" t="str">
        <f>VLOOKUP(K327, 'Alphabetical by species code'!A:B, 2, FALSE)</f>
        <v>Deinandra fasciculata</v>
      </c>
      <c r="M327" s="7" t="str">
        <f>VLOOKUP(L327, 'Alphabetical by species code'!B:C, 2, FALSE)</f>
        <v>Native</v>
      </c>
    </row>
    <row r="328" spans="1:14" ht="15.75" customHeight="1" x14ac:dyDescent="0.25">
      <c r="A328" s="5">
        <v>7</v>
      </c>
      <c r="B328" s="5">
        <v>2023</v>
      </c>
      <c r="C328" s="62">
        <v>45203</v>
      </c>
      <c r="D328" s="5" t="s">
        <v>53</v>
      </c>
      <c r="E328" s="5" t="s">
        <v>25</v>
      </c>
      <c r="F328" s="5">
        <v>3</v>
      </c>
      <c r="G328" s="5" t="s">
        <v>46</v>
      </c>
      <c r="H328" s="5">
        <v>7</v>
      </c>
      <c r="I328" s="5">
        <v>1</v>
      </c>
      <c r="J328" s="5">
        <v>3</v>
      </c>
      <c r="K328" s="5" t="s">
        <v>27</v>
      </c>
      <c r="L328" s="7" t="str">
        <f>VLOOKUP(K328, 'Alphabetical by species code'!A:B, 2, FALSE)</f>
        <v>Litter</v>
      </c>
      <c r="M328" s="7" t="str">
        <f>VLOOKUP(L328, 'Alphabetical by species code'!B:C, 2, FALSE)</f>
        <v>Ground Cover</v>
      </c>
    </row>
    <row r="329" spans="1:14" ht="15.75" customHeight="1" x14ac:dyDescent="0.25">
      <c r="A329" s="5">
        <v>7</v>
      </c>
      <c r="B329" s="5">
        <v>2023</v>
      </c>
      <c r="C329" s="62">
        <v>45203</v>
      </c>
      <c r="D329" s="5" t="s">
        <v>53</v>
      </c>
      <c r="E329" s="5" t="s">
        <v>25</v>
      </c>
      <c r="F329" s="5">
        <v>3</v>
      </c>
      <c r="G329" s="5" t="s">
        <v>46</v>
      </c>
      <c r="H329" s="5">
        <v>7</v>
      </c>
      <c r="I329" s="5">
        <v>1</v>
      </c>
      <c r="J329" s="5">
        <v>3</v>
      </c>
      <c r="K329" s="5" t="s">
        <v>48</v>
      </c>
      <c r="L329" s="7" t="str">
        <f>VLOOKUP(K329, 'Alphabetical by species code'!A:B, 2, FALSE)</f>
        <v>Deinandra fasciculata</v>
      </c>
      <c r="M329" s="7" t="str">
        <f>VLOOKUP(L329, 'Alphabetical by species code'!B:C, 2, FALSE)</f>
        <v>Native</v>
      </c>
    </row>
    <row r="330" spans="1:14" ht="15.75" customHeight="1" x14ac:dyDescent="0.25">
      <c r="A330" s="5">
        <v>7</v>
      </c>
      <c r="B330" s="5">
        <v>2023</v>
      </c>
      <c r="C330" s="62">
        <v>45203</v>
      </c>
      <c r="D330" s="5" t="s">
        <v>53</v>
      </c>
      <c r="E330" s="5" t="s">
        <v>25</v>
      </c>
      <c r="F330" s="5">
        <v>3</v>
      </c>
      <c r="G330" s="5" t="s">
        <v>46</v>
      </c>
      <c r="H330" s="5">
        <v>8</v>
      </c>
      <c r="I330" s="5">
        <v>1</v>
      </c>
      <c r="J330" s="5">
        <v>3.5</v>
      </c>
      <c r="K330" s="5" t="s">
        <v>35</v>
      </c>
      <c r="L330" s="7" t="str">
        <f>VLOOKUP(K330, 'Alphabetical by species code'!A:B, 2, FALSE)</f>
        <v>Bareground</v>
      </c>
      <c r="M330" s="7" t="str">
        <f>VLOOKUP(L330, 'Alphabetical by species code'!B:C, 2, FALSE)</f>
        <v>Ground Cover</v>
      </c>
    </row>
    <row r="331" spans="1:14" ht="15.75" customHeight="1" x14ac:dyDescent="0.25">
      <c r="A331" s="5">
        <v>7</v>
      </c>
      <c r="B331" s="5">
        <v>2023</v>
      </c>
      <c r="C331" s="62">
        <v>45203</v>
      </c>
      <c r="D331" s="5" t="s">
        <v>53</v>
      </c>
      <c r="E331" s="5" t="s">
        <v>25</v>
      </c>
      <c r="F331" s="5">
        <v>3</v>
      </c>
      <c r="G331" s="5" t="s">
        <v>46</v>
      </c>
      <c r="H331" s="5">
        <v>8</v>
      </c>
      <c r="I331" s="5">
        <v>1</v>
      </c>
      <c r="J331" s="5">
        <v>3.5</v>
      </c>
      <c r="K331" s="5" t="s">
        <v>34</v>
      </c>
      <c r="L331" s="7" t="str">
        <f>VLOOKUP(K331, 'Alphabetical by species code'!A:B, 2, FALSE)</f>
        <v>Centaurea melitensis</v>
      </c>
      <c r="M331" s="7" t="str">
        <f>VLOOKUP(L331, 'Alphabetical by species code'!B:C, 2, FALSE)</f>
        <v>Non-Native</v>
      </c>
    </row>
    <row r="332" spans="1:14" ht="15.75" customHeight="1" x14ac:dyDescent="0.25">
      <c r="A332" s="5">
        <v>7</v>
      </c>
      <c r="B332" s="5">
        <v>2023</v>
      </c>
      <c r="C332" s="62">
        <v>45203</v>
      </c>
      <c r="D332" s="5" t="s">
        <v>53</v>
      </c>
      <c r="E332" s="5" t="s">
        <v>25</v>
      </c>
      <c r="F332" s="5">
        <v>3</v>
      </c>
      <c r="G332" s="5" t="s">
        <v>46</v>
      </c>
      <c r="H332" s="5">
        <v>9</v>
      </c>
      <c r="I332" s="5">
        <v>1</v>
      </c>
      <c r="J332" s="5">
        <v>4</v>
      </c>
      <c r="K332" s="5" t="s">
        <v>35</v>
      </c>
      <c r="L332" s="7" t="str">
        <f>VLOOKUP(K332, 'Alphabetical by species code'!A:B, 2, FALSE)</f>
        <v>Bareground</v>
      </c>
      <c r="M332" s="7" t="str">
        <f>VLOOKUP(L332, 'Alphabetical by species code'!B:C, 2, FALSE)</f>
        <v>Ground Cover</v>
      </c>
    </row>
    <row r="333" spans="1:14" ht="15.75" customHeight="1" x14ac:dyDescent="0.25">
      <c r="A333" s="5">
        <v>7</v>
      </c>
      <c r="B333" s="5">
        <v>2023</v>
      </c>
      <c r="C333" s="62">
        <v>45203</v>
      </c>
      <c r="D333" s="5" t="s">
        <v>53</v>
      </c>
      <c r="E333" s="5" t="s">
        <v>25</v>
      </c>
      <c r="F333" s="5">
        <v>3</v>
      </c>
      <c r="G333" s="5" t="s">
        <v>46</v>
      </c>
      <c r="H333" s="5">
        <v>9</v>
      </c>
      <c r="I333" s="5">
        <v>1</v>
      </c>
      <c r="J333" s="5">
        <v>4</v>
      </c>
      <c r="K333" s="5" t="s">
        <v>59</v>
      </c>
      <c r="L333" s="7" t="e">
        <f>VLOOKUP(K333, 'Alphabetical by species code'!A:B, 2, FALSE)</f>
        <v>#N/A</v>
      </c>
      <c r="M333" s="7" t="e">
        <f>VLOOKUP(L333, 'Alphabetical by species code'!B:C, 2, FALSE)</f>
        <v>#N/A</v>
      </c>
      <c r="N333" s="7" t="s">
        <v>60</v>
      </c>
    </row>
    <row r="334" spans="1:14" ht="15.75" customHeight="1" x14ac:dyDescent="0.25">
      <c r="A334" s="5">
        <v>7</v>
      </c>
      <c r="B334" s="5">
        <v>2023</v>
      </c>
      <c r="C334" s="62">
        <v>45203</v>
      </c>
      <c r="D334" s="5" t="s">
        <v>53</v>
      </c>
      <c r="E334" s="5" t="s">
        <v>25</v>
      </c>
      <c r="F334" s="5">
        <v>3</v>
      </c>
      <c r="G334" s="5" t="s">
        <v>46</v>
      </c>
      <c r="H334" s="5">
        <v>10</v>
      </c>
      <c r="I334" s="5">
        <v>1</v>
      </c>
      <c r="J334" s="5">
        <v>4.5</v>
      </c>
      <c r="K334" s="5" t="s">
        <v>27</v>
      </c>
      <c r="L334" s="7" t="str">
        <f>VLOOKUP(K334, 'Alphabetical by species code'!A:B, 2, FALSE)</f>
        <v>Litter</v>
      </c>
      <c r="M334" s="7" t="str">
        <f>VLOOKUP(L334, 'Alphabetical by species code'!B:C, 2, FALSE)</f>
        <v>Ground Cover</v>
      </c>
    </row>
    <row r="335" spans="1:14" ht="15.75" customHeight="1" x14ac:dyDescent="0.25">
      <c r="A335" s="5">
        <v>7</v>
      </c>
      <c r="B335" s="5">
        <v>2023</v>
      </c>
      <c r="C335" s="62">
        <v>45203</v>
      </c>
      <c r="D335" s="5" t="s">
        <v>53</v>
      </c>
      <c r="E335" s="5" t="s">
        <v>25</v>
      </c>
      <c r="F335" s="5">
        <v>3</v>
      </c>
      <c r="G335" s="5" t="s">
        <v>46</v>
      </c>
      <c r="H335" s="5">
        <v>10</v>
      </c>
      <c r="I335" s="5">
        <v>1</v>
      </c>
      <c r="J335" s="5">
        <v>4.5</v>
      </c>
      <c r="K335" s="5" t="s">
        <v>61</v>
      </c>
      <c r="L335" s="7" t="str">
        <f>VLOOKUP(K335, 'Alphabetical by species code'!A:B, 2, FALSE)</f>
        <v xml:space="preserve">Pseudognaphalium californicum </v>
      </c>
      <c r="M335" s="7" t="str">
        <f>VLOOKUP(L335, 'Alphabetical by species code'!B:C, 2, FALSE)</f>
        <v>Native</v>
      </c>
    </row>
    <row r="336" spans="1:14" ht="15.75" customHeight="1" x14ac:dyDescent="0.25">
      <c r="A336" s="5">
        <v>7</v>
      </c>
      <c r="B336" s="5">
        <v>2023</v>
      </c>
      <c r="C336" s="62">
        <v>45203</v>
      </c>
      <c r="D336" s="5" t="s">
        <v>53</v>
      </c>
      <c r="E336" s="5" t="s">
        <v>25</v>
      </c>
      <c r="F336" s="5">
        <v>3</v>
      </c>
      <c r="G336" s="5" t="s">
        <v>46</v>
      </c>
      <c r="H336" s="5">
        <v>11</v>
      </c>
      <c r="I336" s="5">
        <v>1</v>
      </c>
      <c r="J336" s="5">
        <v>5</v>
      </c>
      <c r="K336" s="5" t="s">
        <v>35</v>
      </c>
      <c r="L336" s="7" t="str">
        <f>VLOOKUP(K336, 'Alphabetical by species code'!A:B, 2, FALSE)</f>
        <v>Bareground</v>
      </c>
      <c r="M336" s="7" t="str">
        <f>VLOOKUP(L336, 'Alphabetical by species code'!B:C, 2, FALSE)</f>
        <v>Ground Cover</v>
      </c>
    </row>
    <row r="337" spans="1:13" ht="15.75" customHeight="1" x14ac:dyDescent="0.25">
      <c r="A337" s="5">
        <v>7</v>
      </c>
      <c r="B337" s="5">
        <v>2023</v>
      </c>
      <c r="C337" s="62">
        <v>45203</v>
      </c>
      <c r="D337" s="5" t="s">
        <v>53</v>
      </c>
      <c r="E337" s="5" t="s">
        <v>25</v>
      </c>
      <c r="F337" s="5">
        <v>3</v>
      </c>
      <c r="G337" s="5" t="s">
        <v>46</v>
      </c>
      <c r="H337" s="5">
        <v>12</v>
      </c>
      <c r="I337" s="5">
        <v>1</v>
      </c>
      <c r="J337" s="5">
        <v>5.5</v>
      </c>
      <c r="K337" s="5" t="s">
        <v>27</v>
      </c>
      <c r="L337" s="7" t="str">
        <f>VLOOKUP(K337, 'Alphabetical by species code'!A:B, 2, FALSE)</f>
        <v>Litter</v>
      </c>
      <c r="M337" s="7" t="str">
        <f>VLOOKUP(L337, 'Alphabetical by species code'!B:C, 2, FALSE)</f>
        <v>Ground Cover</v>
      </c>
    </row>
    <row r="338" spans="1:13" ht="15.75" customHeight="1" x14ac:dyDescent="0.25">
      <c r="A338" s="5">
        <v>7</v>
      </c>
      <c r="B338" s="5">
        <v>2023</v>
      </c>
      <c r="C338" s="62">
        <v>45203</v>
      </c>
      <c r="D338" s="5" t="s">
        <v>53</v>
      </c>
      <c r="E338" s="5" t="s">
        <v>25</v>
      </c>
      <c r="F338" s="5">
        <v>3</v>
      </c>
      <c r="G338" s="5" t="s">
        <v>46</v>
      </c>
      <c r="H338" s="5">
        <v>12</v>
      </c>
      <c r="I338" s="5">
        <v>1</v>
      </c>
      <c r="J338" s="5">
        <v>5.5</v>
      </c>
      <c r="K338" s="5" t="s">
        <v>34</v>
      </c>
      <c r="L338" s="7" t="str">
        <f>VLOOKUP(K338, 'Alphabetical by species code'!A:B, 2, FALSE)</f>
        <v>Centaurea melitensis</v>
      </c>
      <c r="M338" s="7" t="str">
        <f>VLOOKUP(L338, 'Alphabetical by species code'!B:C, 2, FALSE)</f>
        <v>Non-Native</v>
      </c>
    </row>
    <row r="339" spans="1:13" ht="15.75" customHeight="1" x14ac:dyDescent="0.25">
      <c r="A339" s="5">
        <v>7</v>
      </c>
      <c r="B339" s="5">
        <v>2023</v>
      </c>
      <c r="C339" s="62">
        <v>45203</v>
      </c>
      <c r="D339" s="5" t="s">
        <v>53</v>
      </c>
      <c r="E339" s="5" t="s">
        <v>25</v>
      </c>
      <c r="F339" s="5">
        <v>3</v>
      </c>
      <c r="G339" s="5" t="s">
        <v>46</v>
      </c>
      <c r="H339" s="5">
        <v>13</v>
      </c>
      <c r="I339" s="5">
        <v>1</v>
      </c>
      <c r="J339" s="5">
        <v>6.5</v>
      </c>
      <c r="K339" s="5" t="s">
        <v>27</v>
      </c>
      <c r="L339" s="7" t="str">
        <f>VLOOKUP(K339, 'Alphabetical by species code'!A:B, 2, FALSE)</f>
        <v>Litter</v>
      </c>
      <c r="M339" s="7" t="str">
        <f>VLOOKUP(L339, 'Alphabetical by species code'!B:C, 2, FALSE)</f>
        <v>Ground Cover</v>
      </c>
    </row>
    <row r="340" spans="1:13" ht="15.75" customHeight="1" x14ac:dyDescent="0.25">
      <c r="A340" s="5">
        <v>7</v>
      </c>
      <c r="B340" s="5">
        <v>2023</v>
      </c>
      <c r="C340" s="62">
        <v>45203</v>
      </c>
      <c r="D340" s="5" t="s">
        <v>53</v>
      </c>
      <c r="E340" s="5" t="s">
        <v>25</v>
      </c>
      <c r="F340" s="5">
        <v>3</v>
      </c>
      <c r="G340" s="5" t="s">
        <v>46</v>
      </c>
      <c r="H340" s="5">
        <v>13</v>
      </c>
      <c r="I340" s="5">
        <v>1</v>
      </c>
      <c r="J340" s="5">
        <v>6.5</v>
      </c>
      <c r="K340" s="5" t="s">
        <v>30</v>
      </c>
      <c r="L340" s="7" t="str">
        <f>VLOOKUP(K340, 'Alphabetical by species code'!A:B, 2, FALSE)</f>
        <v>Non Native Grass</v>
      </c>
      <c r="M340" s="7" t="str">
        <f>VLOOKUP(L340, 'Alphabetical by species code'!B:C, 2, FALSE)</f>
        <v>Non-Native</v>
      </c>
    </row>
    <row r="341" spans="1:13" ht="15.75" customHeight="1" x14ac:dyDescent="0.25">
      <c r="A341" s="5">
        <v>7</v>
      </c>
      <c r="B341" s="5">
        <v>2023</v>
      </c>
      <c r="C341" s="62">
        <v>45203</v>
      </c>
      <c r="D341" s="5" t="s">
        <v>53</v>
      </c>
      <c r="E341" s="5" t="s">
        <v>25</v>
      </c>
      <c r="F341" s="5">
        <v>3</v>
      </c>
      <c r="G341" s="5" t="s">
        <v>46</v>
      </c>
      <c r="H341" s="5">
        <v>13</v>
      </c>
      <c r="I341" s="5">
        <v>1</v>
      </c>
      <c r="J341" s="5">
        <v>6.5</v>
      </c>
      <c r="K341" s="5" t="s">
        <v>48</v>
      </c>
      <c r="L341" s="7" t="str">
        <f>VLOOKUP(K341, 'Alphabetical by species code'!A:B, 2, FALSE)</f>
        <v>Deinandra fasciculata</v>
      </c>
      <c r="M341" s="7" t="str">
        <f>VLOOKUP(L341, 'Alphabetical by species code'!B:C, 2, FALSE)</f>
        <v>Native</v>
      </c>
    </row>
    <row r="342" spans="1:13" ht="15.75" customHeight="1" x14ac:dyDescent="0.25">
      <c r="A342" s="5">
        <v>7</v>
      </c>
      <c r="B342" s="5">
        <v>2023</v>
      </c>
      <c r="C342" s="61">
        <v>45203</v>
      </c>
      <c r="D342" s="5" t="s">
        <v>53</v>
      </c>
      <c r="E342" s="5" t="s">
        <v>25</v>
      </c>
      <c r="F342" s="5">
        <v>3</v>
      </c>
      <c r="G342" s="5" t="s">
        <v>46</v>
      </c>
      <c r="H342" s="5">
        <v>14</v>
      </c>
      <c r="I342" s="5">
        <v>1</v>
      </c>
      <c r="J342" s="5">
        <v>7</v>
      </c>
      <c r="K342" s="5" t="s">
        <v>35</v>
      </c>
      <c r="L342" s="7" t="str">
        <f>VLOOKUP(K342, 'Alphabetical by species code'!A:B, 2, FALSE)</f>
        <v>Bareground</v>
      </c>
      <c r="M342" s="7" t="str">
        <f>VLOOKUP(L342, 'Alphabetical by species code'!B:C, 2, FALSE)</f>
        <v>Ground Cover</v>
      </c>
    </row>
    <row r="343" spans="1:13" ht="15.75" customHeight="1" x14ac:dyDescent="0.25">
      <c r="A343" s="5">
        <v>7</v>
      </c>
      <c r="B343" s="5">
        <v>2023</v>
      </c>
      <c r="C343" s="61">
        <v>45203</v>
      </c>
      <c r="D343" s="5" t="s">
        <v>53</v>
      </c>
      <c r="E343" s="5" t="s">
        <v>25</v>
      </c>
      <c r="F343" s="5">
        <v>3</v>
      </c>
      <c r="G343" s="5" t="s">
        <v>46</v>
      </c>
      <c r="H343" s="5">
        <v>14</v>
      </c>
      <c r="I343" s="5">
        <v>1</v>
      </c>
      <c r="J343" s="5">
        <v>7</v>
      </c>
      <c r="K343" s="5" t="s">
        <v>34</v>
      </c>
      <c r="L343" s="7" t="str">
        <f>VLOOKUP(K343, 'Alphabetical by species code'!A:B, 2, FALSE)</f>
        <v>Centaurea melitensis</v>
      </c>
      <c r="M343" s="7" t="str">
        <f>VLOOKUP(L343, 'Alphabetical by species code'!B:C, 2, FALSE)</f>
        <v>Non-Native</v>
      </c>
    </row>
    <row r="344" spans="1:13" ht="15.75" customHeight="1" x14ac:dyDescent="0.25">
      <c r="A344" s="5">
        <v>7</v>
      </c>
      <c r="B344" s="5">
        <v>2023</v>
      </c>
      <c r="C344" s="62">
        <v>45203</v>
      </c>
      <c r="D344" s="5" t="s">
        <v>53</v>
      </c>
      <c r="E344" s="5" t="s">
        <v>25</v>
      </c>
      <c r="F344" s="5">
        <v>3</v>
      </c>
      <c r="G344" s="5" t="s">
        <v>46</v>
      </c>
      <c r="H344" s="5">
        <v>15</v>
      </c>
      <c r="I344" s="5">
        <v>1</v>
      </c>
      <c r="J344" s="5">
        <v>7.5</v>
      </c>
      <c r="K344" s="5" t="s">
        <v>27</v>
      </c>
      <c r="L344" s="7" t="str">
        <f>VLOOKUP(K344, 'Alphabetical by species code'!A:B, 2, FALSE)</f>
        <v>Litter</v>
      </c>
      <c r="M344" s="7" t="str">
        <f>VLOOKUP(L344, 'Alphabetical by species code'!B:C, 2, FALSE)</f>
        <v>Ground Cover</v>
      </c>
    </row>
    <row r="345" spans="1:13" ht="15.75" customHeight="1" x14ac:dyDescent="0.25">
      <c r="A345" s="5">
        <v>7</v>
      </c>
      <c r="B345" s="5">
        <v>2023</v>
      </c>
      <c r="C345" s="62">
        <v>45203</v>
      </c>
      <c r="D345" s="5" t="s">
        <v>53</v>
      </c>
      <c r="E345" s="5" t="s">
        <v>25</v>
      </c>
      <c r="F345" s="5">
        <v>3</v>
      </c>
      <c r="G345" s="5" t="s">
        <v>46</v>
      </c>
      <c r="H345" s="5">
        <v>15</v>
      </c>
      <c r="I345" s="5">
        <v>1</v>
      </c>
      <c r="J345" s="5">
        <v>7.5</v>
      </c>
      <c r="K345" s="5" t="s">
        <v>34</v>
      </c>
      <c r="L345" s="7" t="str">
        <f>VLOOKUP(K345, 'Alphabetical by species code'!A:B, 2, FALSE)</f>
        <v>Centaurea melitensis</v>
      </c>
      <c r="M345" s="7" t="str">
        <f>VLOOKUP(L345, 'Alphabetical by species code'!B:C, 2, FALSE)</f>
        <v>Non-Native</v>
      </c>
    </row>
    <row r="346" spans="1:13" ht="15.75" customHeight="1" x14ac:dyDescent="0.25">
      <c r="A346" s="5">
        <v>7</v>
      </c>
      <c r="B346" s="5">
        <v>2023</v>
      </c>
      <c r="C346" s="62">
        <v>45203</v>
      </c>
      <c r="D346" s="5" t="s">
        <v>53</v>
      </c>
      <c r="E346" s="5" t="s">
        <v>25</v>
      </c>
      <c r="F346" s="5">
        <v>3</v>
      </c>
      <c r="G346" s="5" t="s">
        <v>46</v>
      </c>
      <c r="H346" s="5">
        <v>1</v>
      </c>
      <c r="I346" s="5">
        <v>2</v>
      </c>
      <c r="J346" s="5">
        <v>0</v>
      </c>
      <c r="K346" s="5" t="s">
        <v>27</v>
      </c>
      <c r="L346" s="7" t="str">
        <f>VLOOKUP(K346, 'Alphabetical by species code'!A:B, 2, FALSE)</f>
        <v>Litter</v>
      </c>
      <c r="M346" s="7" t="str">
        <f>VLOOKUP(L346, 'Alphabetical by species code'!B:C, 2, FALSE)</f>
        <v>Ground Cover</v>
      </c>
    </row>
    <row r="347" spans="1:13" ht="15.75" customHeight="1" x14ac:dyDescent="0.25">
      <c r="A347" s="5">
        <v>7</v>
      </c>
      <c r="B347" s="5">
        <v>2023</v>
      </c>
      <c r="C347" s="62">
        <v>45203</v>
      </c>
      <c r="D347" s="5" t="s">
        <v>53</v>
      </c>
      <c r="E347" s="5" t="s">
        <v>25</v>
      </c>
      <c r="F347" s="5">
        <v>3</v>
      </c>
      <c r="G347" s="5" t="s">
        <v>46</v>
      </c>
      <c r="H347" s="5">
        <v>1</v>
      </c>
      <c r="I347" s="5">
        <v>2</v>
      </c>
      <c r="J347" s="5">
        <v>0</v>
      </c>
      <c r="K347" s="5" t="s">
        <v>30</v>
      </c>
      <c r="L347" s="7" t="str">
        <f>VLOOKUP(K347, 'Alphabetical by species code'!A:B, 2, FALSE)</f>
        <v>Non Native Grass</v>
      </c>
      <c r="M347" s="7" t="str">
        <f>VLOOKUP(L347, 'Alphabetical by species code'!B:C, 2, FALSE)</f>
        <v>Non-Native</v>
      </c>
    </row>
    <row r="348" spans="1:13" ht="15.75" customHeight="1" x14ac:dyDescent="0.25">
      <c r="A348" s="5">
        <v>7</v>
      </c>
      <c r="B348" s="5">
        <v>2023</v>
      </c>
      <c r="C348" s="62">
        <v>45203</v>
      </c>
      <c r="D348" s="5" t="s">
        <v>53</v>
      </c>
      <c r="E348" s="5" t="s">
        <v>25</v>
      </c>
      <c r="F348" s="5">
        <v>3</v>
      </c>
      <c r="G348" s="5" t="s">
        <v>46</v>
      </c>
      <c r="H348" s="5">
        <v>1</v>
      </c>
      <c r="I348" s="5">
        <v>2</v>
      </c>
      <c r="J348" s="5">
        <v>0</v>
      </c>
      <c r="K348" s="5" t="s">
        <v>34</v>
      </c>
      <c r="L348" s="7" t="str">
        <f>VLOOKUP(K348, 'Alphabetical by species code'!A:B, 2, FALSE)</f>
        <v>Centaurea melitensis</v>
      </c>
      <c r="M348" s="7" t="str">
        <f>VLOOKUP(L348, 'Alphabetical by species code'!B:C, 2, FALSE)</f>
        <v>Non-Native</v>
      </c>
    </row>
    <row r="349" spans="1:13" ht="15.75" customHeight="1" x14ac:dyDescent="0.25">
      <c r="A349" s="5">
        <v>7</v>
      </c>
      <c r="B349" s="5">
        <v>2023</v>
      </c>
      <c r="C349" s="62">
        <v>45203</v>
      </c>
      <c r="D349" s="5" t="s">
        <v>53</v>
      </c>
      <c r="E349" s="5" t="s">
        <v>25</v>
      </c>
      <c r="F349" s="5">
        <v>3</v>
      </c>
      <c r="G349" s="5" t="s">
        <v>46</v>
      </c>
      <c r="H349" s="5">
        <v>2</v>
      </c>
      <c r="I349" s="5">
        <v>2</v>
      </c>
      <c r="J349" s="5">
        <v>0.5</v>
      </c>
      <c r="K349" s="5" t="s">
        <v>27</v>
      </c>
      <c r="L349" s="7" t="str">
        <f>VLOOKUP(K349, 'Alphabetical by species code'!A:B, 2, FALSE)</f>
        <v>Litter</v>
      </c>
      <c r="M349" s="7" t="str">
        <f>VLOOKUP(L349, 'Alphabetical by species code'!B:C, 2, FALSE)</f>
        <v>Ground Cover</v>
      </c>
    </row>
    <row r="350" spans="1:13" ht="15.75" customHeight="1" x14ac:dyDescent="0.25">
      <c r="A350" s="5">
        <v>7</v>
      </c>
      <c r="B350" s="5">
        <v>2023</v>
      </c>
      <c r="C350" s="62">
        <v>45203</v>
      </c>
      <c r="D350" s="5" t="s">
        <v>53</v>
      </c>
      <c r="E350" s="5" t="s">
        <v>25</v>
      </c>
      <c r="F350" s="5">
        <v>3</v>
      </c>
      <c r="G350" s="5" t="s">
        <v>46</v>
      </c>
      <c r="H350" s="5">
        <v>2</v>
      </c>
      <c r="I350" s="5">
        <v>2</v>
      </c>
      <c r="J350" s="5">
        <v>0.5</v>
      </c>
      <c r="K350" s="5" t="s">
        <v>30</v>
      </c>
      <c r="L350" s="7" t="str">
        <f>VLOOKUP(K350, 'Alphabetical by species code'!A:B, 2, FALSE)</f>
        <v>Non Native Grass</v>
      </c>
      <c r="M350" s="7" t="str">
        <f>VLOOKUP(L350, 'Alphabetical by species code'!B:C, 2, FALSE)</f>
        <v>Non-Native</v>
      </c>
    </row>
    <row r="351" spans="1:13" ht="15.75" customHeight="1" x14ac:dyDescent="0.25">
      <c r="A351" s="5">
        <v>7</v>
      </c>
      <c r="B351" s="5">
        <v>2023</v>
      </c>
      <c r="C351" s="62">
        <v>45203</v>
      </c>
      <c r="D351" s="5" t="s">
        <v>53</v>
      </c>
      <c r="E351" s="5" t="s">
        <v>25</v>
      </c>
      <c r="F351" s="5">
        <v>3</v>
      </c>
      <c r="G351" s="5" t="s">
        <v>46</v>
      </c>
      <c r="H351" s="5">
        <v>3</v>
      </c>
      <c r="I351" s="5">
        <v>2</v>
      </c>
      <c r="J351" s="5">
        <v>1</v>
      </c>
      <c r="K351" s="5" t="s">
        <v>27</v>
      </c>
      <c r="L351" s="7" t="str">
        <f>VLOOKUP(K351, 'Alphabetical by species code'!A:B, 2, FALSE)</f>
        <v>Litter</v>
      </c>
      <c r="M351" s="7" t="str">
        <f>VLOOKUP(L351, 'Alphabetical by species code'!B:C, 2, FALSE)</f>
        <v>Ground Cover</v>
      </c>
    </row>
    <row r="352" spans="1:13" ht="15.75" customHeight="1" x14ac:dyDescent="0.25">
      <c r="A352" s="5">
        <v>7</v>
      </c>
      <c r="B352" s="5">
        <v>2023</v>
      </c>
      <c r="C352" s="62">
        <v>45203</v>
      </c>
      <c r="D352" s="5" t="s">
        <v>53</v>
      </c>
      <c r="E352" s="5" t="s">
        <v>25</v>
      </c>
      <c r="F352" s="5">
        <v>3</v>
      </c>
      <c r="G352" s="5" t="s">
        <v>46</v>
      </c>
      <c r="H352" s="5">
        <v>3</v>
      </c>
      <c r="I352" s="5">
        <v>2</v>
      </c>
      <c r="J352" s="5">
        <v>1</v>
      </c>
      <c r="K352" s="5" t="s">
        <v>30</v>
      </c>
      <c r="L352" s="7" t="str">
        <f>VLOOKUP(K352, 'Alphabetical by species code'!A:B, 2, FALSE)</f>
        <v>Non Native Grass</v>
      </c>
      <c r="M352" s="7" t="str">
        <f>VLOOKUP(L352, 'Alphabetical by species code'!B:C, 2, FALSE)</f>
        <v>Non-Native</v>
      </c>
    </row>
    <row r="353" spans="1:13" ht="15.75" customHeight="1" x14ac:dyDescent="0.25">
      <c r="A353" s="5">
        <v>7</v>
      </c>
      <c r="B353" s="5">
        <v>2023</v>
      </c>
      <c r="C353" s="62">
        <v>45203</v>
      </c>
      <c r="D353" s="5" t="s">
        <v>53</v>
      </c>
      <c r="E353" s="5" t="s">
        <v>25</v>
      </c>
      <c r="F353" s="5">
        <v>3</v>
      </c>
      <c r="G353" s="5" t="s">
        <v>46</v>
      </c>
      <c r="H353" s="5">
        <v>4</v>
      </c>
      <c r="I353" s="5">
        <v>2</v>
      </c>
      <c r="J353" s="5">
        <v>1.5</v>
      </c>
      <c r="K353" s="5" t="s">
        <v>27</v>
      </c>
      <c r="L353" s="7" t="str">
        <f>VLOOKUP(K353, 'Alphabetical by species code'!A:B, 2, FALSE)</f>
        <v>Litter</v>
      </c>
      <c r="M353" s="7" t="str">
        <f>VLOOKUP(L353, 'Alphabetical by species code'!B:C, 2, FALSE)</f>
        <v>Ground Cover</v>
      </c>
    </row>
    <row r="354" spans="1:13" ht="15.75" customHeight="1" x14ac:dyDescent="0.25">
      <c r="A354" s="5">
        <v>7</v>
      </c>
      <c r="B354" s="5">
        <v>2023</v>
      </c>
      <c r="C354" s="62">
        <v>45203</v>
      </c>
      <c r="D354" s="5" t="s">
        <v>53</v>
      </c>
      <c r="E354" s="5" t="s">
        <v>25</v>
      </c>
      <c r="F354" s="5">
        <v>3</v>
      </c>
      <c r="G354" s="5" t="s">
        <v>46</v>
      </c>
      <c r="H354" s="5">
        <v>4</v>
      </c>
      <c r="I354" s="5">
        <v>2</v>
      </c>
      <c r="J354" s="5">
        <v>1.5</v>
      </c>
      <c r="K354" s="5" t="s">
        <v>30</v>
      </c>
      <c r="L354" s="7" t="str">
        <f>VLOOKUP(K354, 'Alphabetical by species code'!A:B, 2, FALSE)</f>
        <v>Non Native Grass</v>
      </c>
      <c r="M354" s="7" t="str">
        <f>VLOOKUP(L354, 'Alphabetical by species code'!B:C, 2, FALSE)</f>
        <v>Non-Native</v>
      </c>
    </row>
    <row r="355" spans="1:13" ht="15.75" customHeight="1" x14ac:dyDescent="0.25">
      <c r="A355" s="5">
        <v>7</v>
      </c>
      <c r="B355" s="5">
        <v>2023</v>
      </c>
      <c r="C355" s="62">
        <v>45203</v>
      </c>
      <c r="D355" s="5" t="s">
        <v>53</v>
      </c>
      <c r="E355" s="5" t="s">
        <v>25</v>
      </c>
      <c r="F355" s="5">
        <v>3</v>
      </c>
      <c r="G355" s="5" t="s">
        <v>46</v>
      </c>
      <c r="H355" s="5">
        <v>4</v>
      </c>
      <c r="I355" s="5">
        <v>2</v>
      </c>
      <c r="J355" s="5">
        <v>1.5</v>
      </c>
      <c r="K355" s="5" t="s">
        <v>48</v>
      </c>
      <c r="L355" s="7" t="str">
        <f>VLOOKUP(K355, 'Alphabetical by species code'!A:B, 2, FALSE)</f>
        <v>Deinandra fasciculata</v>
      </c>
      <c r="M355" s="7" t="str">
        <f>VLOOKUP(L355, 'Alphabetical by species code'!B:C, 2, FALSE)</f>
        <v>Native</v>
      </c>
    </row>
    <row r="356" spans="1:13" ht="15.75" customHeight="1" x14ac:dyDescent="0.25">
      <c r="A356" s="5">
        <v>7</v>
      </c>
      <c r="B356" s="5">
        <v>2023</v>
      </c>
      <c r="C356" s="62">
        <v>45203</v>
      </c>
      <c r="D356" s="5" t="s">
        <v>53</v>
      </c>
      <c r="E356" s="5" t="s">
        <v>25</v>
      </c>
      <c r="F356" s="5">
        <v>3</v>
      </c>
      <c r="G356" s="5" t="s">
        <v>46</v>
      </c>
      <c r="H356" s="5">
        <v>5</v>
      </c>
      <c r="I356" s="5">
        <v>2</v>
      </c>
      <c r="J356" s="5">
        <v>2.5</v>
      </c>
      <c r="K356" s="5" t="s">
        <v>27</v>
      </c>
      <c r="L356" s="7" t="str">
        <f>VLOOKUP(K356, 'Alphabetical by species code'!A:B, 2, FALSE)</f>
        <v>Litter</v>
      </c>
      <c r="M356" s="7" t="str">
        <f>VLOOKUP(L356, 'Alphabetical by species code'!B:C, 2, FALSE)</f>
        <v>Ground Cover</v>
      </c>
    </row>
    <row r="357" spans="1:13" ht="15.75" customHeight="1" x14ac:dyDescent="0.25">
      <c r="A357" s="5">
        <v>7</v>
      </c>
      <c r="B357" s="5">
        <v>2023</v>
      </c>
      <c r="C357" s="62">
        <v>45203</v>
      </c>
      <c r="D357" s="5" t="s">
        <v>53</v>
      </c>
      <c r="E357" s="5" t="s">
        <v>25</v>
      </c>
      <c r="F357" s="5">
        <v>3</v>
      </c>
      <c r="G357" s="5" t="s">
        <v>46</v>
      </c>
      <c r="H357" s="5">
        <v>5</v>
      </c>
      <c r="I357" s="5">
        <v>2</v>
      </c>
      <c r="J357" s="5">
        <v>2.5</v>
      </c>
      <c r="K357" s="5" t="s">
        <v>30</v>
      </c>
      <c r="L357" s="7" t="str">
        <f>VLOOKUP(K357, 'Alphabetical by species code'!A:B, 2, FALSE)</f>
        <v>Non Native Grass</v>
      </c>
      <c r="M357" s="7" t="str">
        <f>VLOOKUP(L357, 'Alphabetical by species code'!B:C, 2, FALSE)</f>
        <v>Non-Native</v>
      </c>
    </row>
    <row r="358" spans="1:13" ht="15.75" customHeight="1" x14ac:dyDescent="0.25">
      <c r="A358" s="5">
        <v>7</v>
      </c>
      <c r="B358" s="5">
        <v>2023</v>
      </c>
      <c r="C358" s="62">
        <v>45203</v>
      </c>
      <c r="D358" s="5" t="s">
        <v>53</v>
      </c>
      <c r="E358" s="5" t="s">
        <v>25</v>
      </c>
      <c r="F358" s="5">
        <v>3</v>
      </c>
      <c r="G358" s="5" t="s">
        <v>46</v>
      </c>
      <c r="H358" s="5">
        <v>5</v>
      </c>
      <c r="I358" s="5">
        <v>2</v>
      </c>
      <c r="J358" s="5">
        <v>2.5</v>
      </c>
      <c r="K358" s="5" t="s">
        <v>48</v>
      </c>
      <c r="L358" s="7" t="str">
        <f>VLOOKUP(K358, 'Alphabetical by species code'!A:B, 2, FALSE)</f>
        <v>Deinandra fasciculata</v>
      </c>
      <c r="M358" s="7" t="str">
        <f>VLOOKUP(L358, 'Alphabetical by species code'!B:C, 2, FALSE)</f>
        <v>Native</v>
      </c>
    </row>
    <row r="359" spans="1:13" ht="15.75" customHeight="1" x14ac:dyDescent="0.25">
      <c r="A359" s="5">
        <v>7</v>
      </c>
      <c r="B359" s="5">
        <v>2023</v>
      </c>
      <c r="C359" s="62">
        <v>45203</v>
      </c>
      <c r="D359" s="5" t="s">
        <v>53</v>
      </c>
      <c r="E359" s="5" t="s">
        <v>25</v>
      </c>
      <c r="F359" s="5">
        <v>3</v>
      </c>
      <c r="G359" s="5" t="s">
        <v>46</v>
      </c>
      <c r="H359" s="5">
        <v>6</v>
      </c>
      <c r="I359" s="5">
        <v>2</v>
      </c>
      <c r="J359" s="5">
        <v>3</v>
      </c>
      <c r="K359" s="5" t="s">
        <v>27</v>
      </c>
      <c r="L359" s="7" t="str">
        <f>VLOOKUP(K359, 'Alphabetical by species code'!A:B, 2, FALSE)</f>
        <v>Litter</v>
      </c>
      <c r="M359" s="7" t="str">
        <f>VLOOKUP(L359, 'Alphabetical by species code'!B:C, 2, FALSE)</f>
        <v>Ground Cover</v>
      </c>
    </row>
    <row r="360" spans="1:13" ht="15.75" customHeight="1" x14ac:dyDescent="0.25">
      <c r="A360" s="5">
        <v>7</v>
      </c>
      <c r="B360" s="5">
        <v>2023</v>
      </c>
      <c r="C360" s="62">
        <v>45203</v>
      </c>
      <c r="D360" s="5" t="s">
        <v>53</v>
      </c>
      <c r="E360" s="5" t="s">
        <v>25</v>
      </c>
      <c r="F360" s="5">
        <v>3</v>
      </c>
      <c r="G360" s="5" t="s">
        <v>46</v>
      </c>
      <c r="H360" s="5">
        <v>6</v>
      </c>
      <c r="I360" s="5">
        <v>2</v>
      </c>
      <c r="J360" s="5">
        <v>3</v>
      </c>
      <c r="K360" s="5" t="s">
        <v>48</v>
      </c>
      <c r="L360" s="7" t="str">
        <f>VLOOKUP(K360, 'Alphabetical by species code'!A:B, 2, FALSE)</f>
        <v>Deinandra fasciculata</v>
      </c>
      <c r="M360" s="7" t="str">
        <f>VLOOKUP(L360, 'Alphabetical by species code'!B:C, 2, FALSE)</f>
        <v>Native</v>
      </c>
    </row>
    <row r="361" spans="1:13" ht="15.75" customHeight="1" x14ac:dyDescent="0.25">
      <c r="A361" s="5">
        <v>7</v>
      </c>
      <c r="B361" s="5">
        <v>2023</v>
      </c>
      <c r="C361" s="62">
        <v>45203</v>
      </c>
      <c r="D361" s="5" t="s">
        <v>53</v>
      </c>
      <c r="E361" s="5" t="s">
        <v>25</v>
      </c>
      <c r="F361" s="5">
        <v>3</v>
      </c>
      <c r="G361" s="5" t="s">
        <v>46</v>
      </c>
      <c r="H361" s="5">
        <v>7</v>
      </c>
      <c r="I361" s="5">
        <v>2</v>
      </c>
      <c r="J361" s="5">
        <v>3.5</v>
      </c>
      <c r="K361" s="5" t="s">
        <v>27</v>
      </c>
      <c r="L361" s="7" t="str">
        <f>VLOOKUP(K361, 'Alphabetical by species code'!A:B, 2, FALSE)</f>
        <v>Litter</v>
      </c>
      <c r="M361" s="7" t="str">
        <f>VLOOKUP(L361, 'Alphabetical by species code'!B:C, 2, FALSE)</f>
        <v>Ground Cover</v>
      </c>
    </row>
    <row r="362" spans="1:13" ht="15.75" customHeight="1" x14ac:dyDescent="0.25">
      <c r="A362" s="5">
        <v>7</v>
      </c>
      <c r="B362" s="5">
        <v>2023</v>
      </c>
      <c r="C362" s="62">
        <v>45203</v>
      </c>
      <c r="D362" s="5" t="s">
        <v>53</v>
      </c>
      <c r="E362" s="5" t="s">
        <v>25</v>
      </c>
      <c r="F362" s="5">
        <v>3</v>
      </c>
      <c r="G362" s="5" t="s">
        <v>46</v>
      </c>
      <c r="H362" s="5">
        <v>7</v>
      </c>
      <c r="I362" s="5">
        <v>2</v>
      </c>
      <c r="J362" s="5">
        <v>3.5</v>
      </c>
      <c r="K362" s="5" t="s">
        <v>48</v>
      </c>
      <c r="L362" s="7" t="str">
        <f>VLOOKUP(K362, 'Alphabetical by species code'!A:B, 2, FALSE)</f>
        <v>Deinandra fasciculata</v>
      </c>
      <c r="M362" s="7" t="str">
        <f>VLOOKUP(L362, 'Alphabetical by species code'!B:C, 2, FALSE)</f>
        <v>Native</v>
      </c>
    </row>
    <row r="363" spans="1:13" ht="15.75" customHeight="1" x14ac:dyDescent="0.25">
      <c r="A363" s="5">
        <v>7</v>
      </c>
      <c r="B363" s="5">
        <v>2023</v>
      </c>
      <c r="C363" s="62">
        <v>45203</v>
      </c>
      <c r="D363" s="5" t="s">
        <v>53</v>
      </c>
      <c r="E363" s="5" t="s">
        <v>25</v>
      </c>
      <c r="F363" s="5">
        <v>3</v>
      </c>
      <c r="G363" s="5" t="s">
        <v>46</v>
      </c>
      <c r="H363" s="5">
        <v>8</v>
      </c>
      <c r="I363" s="5">
        <v>2</v>
      </c>
      <c r="J363" s="5">
        <v>4</v>
      </c>
      <c r="K363" s="5" t="s">
        <v>35</v>
      </c>
      <c r="L363" s="7" t="str">
        <f>VLOOKUP(K363, 'Alphabetical by species code'!A:B, 2, FALSE)</f>
        <v>Bareground</v>
      </c>
      <c r="M363" s="7" t="str">
        <f>VLOOKUP(L363, 'Alphabetical by species code'!B:C, 2, FALSE)</f>
        <v>Ground Cover</v>
      </c>
    </row>
    <row r="364" spans="1:13" ht="15.75" customHeight="1" x14ac:dyDescent="0.25">
      <c r="A364" s="5">
        <v>7</v>
      </c>
      <c r="B364" s="5">
        <v>2023</v>
      </c>
      <c r="C364" s="62">
        <v>45203</v>
      </c>
      <c r="D364" s="5" t="s">
        <v>53</v>
      </c>
      <c r="E364" s="5" t="s">
        <v>25</v>
      </c>
      <c r="F364" s="5">
        <v>3</v>
      </c>
      <c r="G364" s="5" t="s">
        <v>46</v>
      </c>
      <c r="H364" s="5">
        <v>9</v>
      </c>
      <c r="I364" s="5">
        <v>2</v>
      </c>
      <c r="J364" s="5">
        <v>4.5</v>
      </c>
      <c r="K364" s="5" t="s">
        <v>35</v>
      </c>
      <c r="L364" s="7" t="str">
        <f>VLOOKUP(K364, 'Alphabetical by species code'!A:B, 2, FALSE)</f>
        <v>Bareground</v>
      </c>
      <c r="M364" s="7" t="str">
        <f>VLOOKUP(L364, 'Alphabetical by species code'!B:C, 2, FALSE)</f>
        <v>Ground Cover</v>
      </c>
    </row>
    <row r="365" spans="1:13" ht="15.75" customHeight="1" x14ac:dyDescent="0.25">
      <c r="A365" s="5">
        <v>7</v>
      </c>
      <c r="B365" s="5">
        <v>2023</v>
      </c>
      <c r="C365" s="62">
        <v>45203</v>
      </c>
      <c r="D365" s="5" t="s">
        <v>53</v>
      </c>
      <c r="E365" s="5" t="s">
        <v>25</v>
      </c>
      <c r="F365" s="5">
        <v>3</v>
      </c>
      <c r="G365" s="5" t="s">
        <v>46</v>
      </c>
      <c r="H365" s="5">
        <v>10</v>
      </c>
      <c r="I365" s="5">
        <v>2</v>
      </c>
      <c r="J365" s="5">
        <v>5</v>
      </c>
      <c r="K365" s="5" t="s">
        <v>27</v>
      </c>
      <c r="L365" s="7" t="str">
        <f>VLOOKUP(K365, 'Alphabetical by species code'!A:B, 2, FALSE)</f>
        <v>Litter</v>
      </c>
      <c r="M365" s="7" t="str">
        <f>VLOOKUP(L365, 'Alphabetical by species code'!B:C, 2, FALSE)</f>
        <v>Ground Cover</v>
      </c>
    </row>
    <row r="366" spans="1:13" ht="15.75" customHeight="1" x14ac:dyDescent="0.25">
      <c r="A366" s="5">
        <v>7</v>
      </c>
      <c r="B366" s="5">
        <v>2023</v>
      </c>
      <c r="C366" s="62">
        <v>45203</v>
      </c>
      <c r="D366" s="5" t="s">
        <v>53</v>
      </c>
      <c r="E366" s="5" t="s">
        <v>25</v>
      </c>
      <c r="F366" s="5">
        <v>3</v>
      </c>
      <c r="G366" s="5" t="s">
        <v>46</v>
      </c>
      <c r="H366" s="5">
        <v>10</v>
      </c>
      <c r="I366" s="5">
        <v>2</v>
      </c>
      <c r="J366" s="5">
        <v>5</v>
      </c>
      <c r="K366" s="5" t="s">
        <v>30</v>
      </c>
      <c r="L366" s="7" t="str">
        <f>VLOOKUP(K366, 'Alphabetical by species code'!A:B, 2, FALSE)</f>
        <v>Non Native Grass</v>
      </c>
      <c r="M366" s="7" t="str">
        <f>VLOOKUP(L366, 'Alphabetical by species code'!B:C, 2, FALSE)</f>
        <v>Non-Native</v>
      </c>
    </row>
    <row r="367" spans="1:13" ht="15.75" customHeight="1" x14ac:dyDescent="0.25">
      <c r="A367" s="5">
        <v>7</v>
      </c>
      <c r="B367" s="5">
        <v>2023</v>
      </c>
      <c r="C367" s="62">
        <v>45203</v>
      </c>
      <c r="D367" s="5" t="s">
        <v>53</v>
      </c>
      <c r="E367" s="5" t="s">
        <v>25</v>
      </c>
      <c r="F367" s="5">
        <v>3</v>
      </c>
      <c r="G367" s="5" t="s">
        <v>46</v>
      </c>
      <c r="H367" s="5">
        <v>11</v>
      </c>
      <c r="I367" s="5">
        <v>2</v>
      </c>
      <c r="J367" s="5">
        <v>5.5</v>
      </c>
      <c r="K367" s="5" t="s">
        <v>35</v>
      </c>
      <c r="L367" s="7" t="str">
        <f>VLOOKUP(K367, 'Alphabetical by species code'!A:B, 2, FALSE)</f>
        <v>Bareground</v>
      </c>
      <c r="M367" s="7" t="str">
        <f>VLOOKUP(L367, 'Alphabetical by species code'!B:C, 2, FALSE)</f>
        <v>Ground Cover</v>
      </c>
    </row>
    <row r="368" spans="1:13" ht="15.75" customHeight="1" x14ac:dyDescent="0.25">
      <c r="A368" s="5">
        <v>7</v>
      </c>
      <c r="B368" s="5">
        <v>2023</v>
      </c>
      <c r="C368" s="62">
        <v>45203</v>
      </c>
      <c r="D368" s="5" t="s">
        <v>53</v>
      </c>
      <c r="E368" s="5" t="s">
        <v>25</v>
      </c>
      <c r="F368" s="5">
        <v>3</v>
      </c>
      <c r="G368" s="5" t="s">
        <v>46</v>
      </c>
      <c r="H368" s="5">
        <v>11</v>
      </c>
      <c r="I368" s="5">
        <v>2</v>
      </c>
      <c r="J368" s="5">
        <v>5.5</v>
      </c>
      <c r="K368" s="5" t="s">
        <v>34</v>
      </c>
      <c r="L368" s="7" t="str">
        <f>VLOOKUP(K368, 'Alphabetical by species code'!A:B, 2, FALSE)</f>
        <v>Centaurea melitensis</v>
      </c>
      <c r="M368" s="7" t="str">
        <f>VLOOKUP(L368, 'Alphabetical by species code'!B:C, 2, FALSE)</f>
        <v>Non-Native</v>
      </c>
    </row>
    <row r="369" spans="1:13" ht="15.75" customHeight="1" x14ac:dyDescent="0.25">
      <c r="A369" s="5">
        <v>7</v>
      </c>
      <c r="B369" s="5">
        <v>2023</v>
      </c>
      <c r="C369" s="62">
        <v>45203</v>
      </c>
      <c r="D369" s="5" t="s">
        <v>53</v>
      </c>
      <c r="E369" s="5" t="s">
        <v>25</v>
      </c>
      <c r="F369" s="5">
        <v>3</v>
      </c>
      <c r="G369" s="5" t="s">
        <v>46</v>
      </c>
      <c r="H369" s="5">
        <v>12</v>
      </c>
      <c r="I369" s="5">
        <v>2</v>
      </c>
      <c r="J369" s="5">
        <v>6</v>
      </c>
      <c r="K369" s="5" t="s">
        <v>35</v>
      </c>
      <c r="L369" s="7" t="str">
        <f>VLOOKUP(K369, 'Alphabetical by species code'!A:B, 2, FALSE)</f>
        <v>Bareground</v>
      </c>
      <c r="M369" s="7" t="str">
        <f>VLOOKUP(L369, 'Alphabetical by species code'!B:C, 2, FALSE)</f>
        <v>Ground Cover</v>
      </c>
    </row>
    <row r="370" spans="1:13" ht="15.75" customHeight="1" x14ac:dyDescent="0.25">
      <c r="A370" s="5">
        <v>7</v>
      </c>
      <c r="B370" s="5">
        <v>2023</v>
      </c>
      <c r="C370" s="62">
        <v>45203</v>
      </c>
      <c r="D370" s="5" t="s">
        <v>53</v>
      </c>
      <c r="E370" s="5" t="s">
        <v>25</v>
      </c>
      <c r="F370" s="5">
        <v>3</v>
      </c>
      <c r="G370" s="5" t="s">
        <v>46</v>
      </c>
      <c r="H370" s="5">
        <v>13</v>
      </c>
      <c r="I370" s="5">
        <v>2</v>
      </c>
      <c r="J370" s="5">
        <v>6.5</v>
      </c>
      <c r="K370" s="5" t="s">
        <v>35</v>
      </c>
      <c r="L370" s="7" t="str">
        <f>VLOOKUP(K370, 'Alphabetical by species code'!A:B, 2, FALSE)</f>
        <v>Bareground</v>
      </c>
      <c r="M370" s="7" t="str">
        <f>VLOOKUP(L370, 'Alphabetical by species code'!B:C, 2, FALSE)</f>
        <v>Ground Cover</v>
      </c>
    </row>
    <row r="371" spans="1:13" ht="15.75" customHeight="1" x14ac:dyDescent="0.25">
      <c r="A371" s="5">
        <v>7</v>
      </c>
      <c r="B371" s="5">
        <v>2023</v>
      </c>
      <c r="C371" s="62">
        <v>45203</v>
      </c>
      <c r="D371" s="5" t="s">
        <v>53</v>
      </c>
      <c r="E371" s="5" t="s">
        <v>25</v>
      </c>
      <c r="F371" s="5">
        <v>3</v>
      </c>
      <c r="G371" s="5" t="s">
        <v>46</v>
      </c>
      <c r="H371" s="5">
        <v>14</v>
      </c>
      <c r="I371" s="5">
        <v>2</v>
      </c>
      <c r="J371" s="5">
        <v>7</v>
      </c>
      <c r="K371" s="5" t="s">
        <v>27</v>
      </c>
      <c r="L371" s="7" t="str">
        <f>VLOOKUP(K371, 'Alphabetical by species code'!A:B, 2, FALSE)</f>
        <v>Litter</v>
      </c>
      <c r="M371" s="7" t="str">
        <f>VLOOKUP(L371, 'Alphabetical by species code'!B:C, 2, FALSE)</f>
        <v>Ground Cover</v>
      </c>
    </row>
    <row r="372" spans="1:13" ht="15.75" customHeight="1" x14ac:dyDescent="0.25">
      <c r="A372" s="5">
        <v>7</v>
      </c>
      <c r="B372" s="5">
        <v>2023</v>
      </c>
      <c r="C372" s="62">
        <v>45203</v>
      </c>
      <c r="D372" s="5" t="s">
        <v>53</v>
      </c>
      <c r="E372" s="5" t="s">
        <v>25</v>
      </c>
      <c r="F372" s="5">
        <v>3</v>
      </c>
      <c r="G372" s="5" t="s">
        <v>46</v>
      </c>
      <c r="H372" s="5">
        <v>14</v>
      </c>
      <c r="I372" s="5">
        <v>2</v>
      </c>
      <c r="J372" s="5">
        <v>7</v>
      </c>
      <c r="K372" s="5" t="s">
        <v>34</v>
      </c>
      <c r="L372" s="7" t="str">
        <f>VLOOKUP(K372, 'Alphabetical by species code'!A:B, 2, FALSE)</f>
        <v>Centaurea melitensis</v>
      </c>
      <c r="M372" s="7" t="str">
        <f>VLOOKUP(L372, 'Alphabetical by species code'!B:C, 2, FALSE)</f>
        <v>Non-Native</v>
      </c>
    </row>
    <row r="373" spans="1:13" ht="15.75" customHeight="1" x14ac:dyDescent="0.25">
      <c r="A373" s="5">
        <v>7</v>
      </c>
      <c r="B373" s="5">
        <v>2023</v>
      </c>
      <c r="C373" s="62">
        <v>45203</v>
      </c>
      <c r="D373" s="5" t="s">
        <v>53</v>
      </c>
      <c r="E373" s="5" t="s">
        <v>25</v>
      </c>
      <c r="F373" s="5">
        <v>3</v>
      </c>
      <c r="G373" s="5" t="s">
        <v>46</v>
      </c>
      <c r="H373" s="5">
        <v>15</v>
      </c>
      <c r="I373" s="5">
        <v>2</v>
      </c>
      <c r="J373" s="5">
        <v>7.5</v>
      </c>
      <c r="K373" s="5" t="s">
        <v>27</v>
      </c>
      <c r="L373" s="7" t="str">
        <f>VLOOKUP(K373, 'Alphabetical by species code'!A:B, 2, FALSE)</f>
        <v>Litter</v>
      </c>
      <c r="M373" s="7" t="str">
        <f>VLOOKUP(L373, 'Alphabetical by species code'!B:C, 2, FALSE)</f>
        <v>Ground Cover</v>
      </c>
    </row>
    <row r="374" spans="1:13" ht="15.75" customHeight="1" x14ac:dyDescent="0.25">
      <c r="A374" s="5">
        <v>7</v>
      </c>
      <c r="B374" s="5">
        <v>2023</v>
      </c>
      <c r="C374" s="62">
        <v>45203</v>
      </c>
      <c r="D374" s="5" t="s">
        <v>53</v>
      </c>
      <c r="E374" s="5" t="s">
        <v>25</v>
      </c>
      <c r="F374" s="5">
        <v>3</v>
      </c>
      <c r="G374" s="5" t="s">
        <v>46</v>
      </c>
      <c r="H374" s="5">
        <v>15</v>
      </c>
      <c r="I374" s="5">
        <v>2</v>
      </c>
      <c r="J374" s="5">
        <v>7.5</v>
      </c>
      <c r="K374" s="5" t="s">
        <v>30</v>
      </c>
      <c r="L374" s="7" t="str">
        <f>VLOOKUP(K374, 'Alphabetical by species code'!A:B, 2, FALSE)</f>
        <v>Non Native Grass</v>
      </c>
      <c r="M374" s="7" t="str">
        <f>VLOOKUP(L374, 'Alphabetical by species code'!B:C, 2, FALSE)</f>
        <v>Non-Native</v>
      </c>
    </row>
    <row r="375" spans="1:13" ht="15.75" customHeight="1" x14ac:dyDescent="0.25">
      <c r="A375" s="5">
        <v>8</v>
      </c>
      <c r="B375" s="5">
        <v>2023</v>
      </c>
      <c r="C375" s="62">
        <v>45203</v>
      </c>
      <c r="D375" s="5" t="s">
        <v>53</v>
      </c>
      <c r="E375" s="5" t="s">
        <v>25</v>
      </c>
      <c r="F375" s="5">
        <v>3</v>
      </c>
      <c r="G375" s="5" t="s">
        <v>51</v>
      </c>
      <c r="H375" s="5">
        <v>1</v>
      </c>
      <c r="I375" s="5">
        <v>1</v>
      </c>
      <c r="J375" s="5">
        <v>0</v>
      </c>
      <c r="K375" s="5" t="s">
        <v>27</v>
      </c>
      <c r="L375" s="7" t="str">
        <f>VLOOKUP(K375, 'Alphabetical by species code'!A:B, 2, FALSE)</f>
        <v>Litter</v>
      </c>
      <c r="M375" s="7" t="str">
        <f>VLOOKUP(L375, 'Alphabetical by species code'!B:C, 2, FALSE)</f>
        <v>Ground Cover</v>
      </c>
    </row>
    <row r="376" spans="1:13" ht="15.75" customHeight="1" x14ac:dyDescent="0.25">
      <c r="A376" s="5">
        <v>8</v>
      </c>
      <c r="B376" s="5">
        <v>2023</v>
      </c>
      <c r="C376" s="62">
        <v>45203</v>
      </c>
      <c r="D376" s="5" t="s">
        <v>53</v>
      </c>
      <c r="E376" s="5" t="s">
        <v>25</v>
      </c>
      <c r="F376" s="5">
        <v>3</v>
      </c>
      <c r="G376" s="5" t="s">
        <v>51</v>
      </c>
      <c r="H376" s="5">
        <v>2</v>
      </c>
      <c r="I376" s="5">
        <v>1</v>
      </c>
      <c r="J376" s="5">
        <v>0.5</v>
      </c>
      <c r="K376" s="5" t="s">
        <v>27</v>
      </c>
      <c r="L376" s="7" t="str">
        <f>VLOOKUP(K376, 'Alphabetical by species code'!A:B, 2, FALSE)</f>
        <v>Litter</v>
      </c>
      <c r="M376" s="7" t="str">
        <f>VLOOKUP(L376, 'Alphabetical by species code'!B:C, 2, FALSE)</f>
        <v>Ground Cover</v>
      </c>
    </row>
    <row r="377" spans="1:13" ht="15.75" customHeight="1" x14ac:dyDescent="0.25">
      <c r="A377" s="5">
        <v>8</v>
      </c>
      <c r="B377" s="5">
        <v>2023</v>
      </c>
      <c r="C377" s="62">
        <v>45203</v>
      </c>
      <c r="D377" s="5" t="s">
        <v>53</v>
      </c>
      <c r="E377" s="5" t="s">
        <v>25</v>
      </c>
      <c r="F377" s="5">
        <v>3</v>
      </c>
      <c r="G377" s="5" t="s">
        <v>51</v>
      </c>
      <c r="H377" s="5">
        <v>3</v>
      </c>
      <c r="I377" s="5">
        <v>1</v>
      </c>
      <c r="J377" s="5">
        <v>1</v>
      </c>
      <c r="K377" s="5" t="s">
        <v>27</v>
      </c>
      <c r="L377" s="7" t="str">
        <f>VLOOKUP(K377, 'Alphabetical by species code'!A:B, 2, FALSE)</f>
        <v>Litter</v>
      </c>
      <c r="M377" s="7" t="str">
        <f>VLOOKUP(L377, 'Alphabetical by species code'!B:C, 2, FALSE)</f>
        <v>Ground Cover</v>
      </c>
    </row>
    <row r="378" spans="1:13" ht="15.75" customHeight="1" x14ac:dyDescent="0.25">
      <c r="A378" s="5">
        <v>8</v>
      </c>
      <c r="B378" s="5">
        <v>2023</v>
      </c>
      <c r="C378" s="62">
        <v>45203</v>
      </c>
      <c r="D378" s="5" t="s">
        <v>53</v>
      </c>
      <c r="E378" s="5" t="s">
        <v>25</v>
      </c>
      <c r="F378" s="5">
        <v>3</v>
      </c>
      <c r="G378" s="5" t="s">
        <v>51</v>
      </c>
      <c r="H378" s="5">
        <v>3</v>
      </c>
      <c r="I378" s="5">
        <v>1</v>
      </c>
      <c r="J378" s="5">
        <v>1</v>
      </c>
      <c r="K378" s="5" t="s">
        <v>30</v>
      </c>
      <c r="L378" s="7" t="str">
        <f>VLOOKUP(K378, 'Alphabetical by species code'!A:B, 2, FALSE)</f>
        <v>Non Native Grass</v>
      </c>
      <c r="M378" s="7" t="str">
        <f>VLOOKUP(L378, 'Alphabetical by species code'!B:C, 2, FALSE)</f>
        <v>Non-Native</v>
      </c>
    </row>
    <row r="379" spans="1:13" ht="15.75" customHeight="1" x14ac:dyDescent="0.25">
      <c r="A379" s="5">
        <v>8</v>
      </c>
      <c r="B379" s="5">
        <v>2023</v>
      </c>
      <c r="C379" s="62">
        <v>45203</v>
      </c>
      <c r="D379" s="5" t="s">
        <v>53</v>
      </c>
      <c r="E379" s="5" t="s">
        <v>25</v>
      </c>
      <c r="F379" s="5">
        <v>3</v>
      </c>
      <c r="G379" s="5" t="s">
        <v>51</v>
      </c>
      <c r="H379" s="5">
        <v>4</v>
      </c>
      <c r="I379" s="5">
        <v>1</v>
      </c>
      <c r="J379" s="5">
        <v>1.5</v>
      </c>
      <c r="K379" s="5" t="s">
        <v>35</v>
      </c>
      <c r="L379" s="7" t="str">
        <f>VLOOKUP(K379, 'Alphabetical by species code'!A:B, 2, FALSE)</f>
        <v>Bareground</v>
      </c>
      <c r="M379" s="7" t="str">
        <f>VLOOKUP(L379, 'Alphabetical by species code'!B:C, 2, FALSE)</f>
        <v>Ground Cover</v>
      </c>
    </row>
    <row r="380" spans="1:13" ht="15.75" customHeight="1" x14ac:dyDescent="0.25">
      <c r="A380" s="5">
        <v>8</v>
      </c>
      <c r="B380" s="5">
        <v>2023</v>
      </c>
      <c r="C380" s="62">
        <v>45203</v>
      </c>
      <c r="D380" s="5" t="s">
        <v>53</v>
      </c>
      <c r="E380" s="5" t="s">
        <v>25</v>
      </c>
      <c r="F380" s="5">
        <v>3</v>
      </c>
      <c r="G380" s="5" t="s">
        <v>51</v>
      </c>
      <c r="H380" s="5">
        <v>4</v>
      </c>
      <c r="I380" s="5">
        <v>1</v>
      </c>
      <c r="J380" s="5">
        <v>1.5</v>
      </c>
      <c r="K380" s="5" t="s">
        <v>30</v>
      </c>
      <c r="L380" s="7" t="str">
        <f>VLOOKUP(K380, 'Alphabetical by species code'!A:B, 2, FALSE)</f>
        <v>Non Native Grass</v>
      </c>
      <c r="M380" s="7" t="str">
        <f>VLOOKUP(L380, 'Alphabetical by species code'!B:C, 2, FALSE)</f>
        <v>Non-Native</v>
      </c>
    </row>
    <row r="381" spans="1:13" ht="15.75" customHeight="1" x14ac:dyDescent="0.25">
      <c r="A381" s="5">
        <v>8</v>
      </c>
      <c r="B381" s="5">
        <v>2023</v>
      </c>
      <c r="C381" s="62">
        <v>45203</v>
      </c>
      <c r="D381" s="5" t="s">
        <v>53</v>
      </c>
      <c r="E381" s="5" t="s">
        <v>25</v>
      </c>
      <c r="F381" s="5">
        <v>3</v>
      </c>
      <c r="G381" s="5" t="s">
        <v>51</v>
      </c>
      <c r="H381" s="5">
        <v>5</v>
      </c>
      <c r="I381" s="5">
        <v>1</v>
      </c>
      <c r="J381" s="5">
        <v>2</v>
      </c>
      <c r="K381" s="5" t="s">
        <v>32</v>
      </c>
      <c r="L381" s="7" t="str">
        <f>VLOOKUP(K381, 'Alphabetical by species code'!A:B, 2, FALSE)</f>
        <v>Rock</v>
      </c>
      <c r="M381" s="7" t="str">
        <f>VLOOKUP(L381, 'Alphabetical by species code'!B:C, 2, FALSE)</f>
        <v>Ground Cover</v>
      </c>
    </row>
    <row r="382" spans="1:13" ht="15.75" customHeight="1" x14ac:dyDescent="0.25">
      <c r="A382" s="5">
        <v>8</v>
      </c>
      <c r="B382" s="5">
        <v>2023</v>
      </c>
      <c r="C382" s="62">
        <v>45203</v>
      </c>
      <c r="D382" s="5" t="s">
        <v>53</v>
      </c>
      <c r="E382" s="5" t="s">
        <v>25</v>
      </c>
      <c r="F382" s="5">
        <v>3</v>
      </c>
      <c r="G382" s="5" t="s">
        <v>51</v>
      </c>
      <c r="H382" s="5">
        <v>5</v>
      </c>
      <c r="I382" s="5">
        <v>1</v>
      </c>
      <c r="J382" s="5">
        <v>2</v>
      </c>
      <c r="K382" s="5" t="s">
        <v>30</v>
      </c>
      <c r="L382" s="7" t="str">
        <f>VLOOKUP(K382, 'Alphabetical by species code'!A:B, 2, FALSE)</f>
        <v>Non Native Grass</v>
      </c>
      <c r="M382" s="7" t="str">
        <f>VLOOKUP(L382, 'Alphabetical by species code'!B:C, 2, FALSE)</f>
        <v>Non-Native</v>
      </c>
    </row>
    <row r="383" spans="1:13" ht="15.75" customHeight="1" x14ac:dyDescent="0.25">
      <c r="A383" s="5">
        <v>8</v>
      </c>
      <c r="B383" s="5">
        <v>2023</v>
      </c>
      <c r="C383" s="62">
        <v>45203</v>
      </c>
      <c r="D383" s="5" t="s">
        <v>53</v>
      </c>
      <c r="E383" s="5" t="s">
        <v>25</v>
      </c>
      <c r="F383" s="5">
        <v>3</v>
      </c>
      <c r="G383" s="5" t="s">
        <v>51</v>
      </c>
      <c r="H383" s="5">
        <v>6</v>
      </c>
      <c r="I383" s="5">
        <v>1</v>
      </c>
      <c r="J383" s="5">
        <v>2.5</v>
      </c>
      <c r="K383" s="5" t="s">
        <v>27</v>
      </c>
      <c r="L383" s="7" t="str">
        <f>VLOOKUP(K383, 'Alphabetical by species code'!A:B, 2, FALSE)</f>
        <v>Litter</v>
      </c>
      <c r="M383" s="7" t="str">
        <f>VLOOKUP(L383, 'Alphabetical by species code'!B:C, 2, FALSE)</f>
        <v>Ground Cover</v>
      </c>
    </row>
    <row r="384" spans="1:13" ht="15.75" customHeight="1" x14ac:dyDescent="0.25">
      <c r="A384" s="5">
        <v>8</v>
      </c>
      <c r="B384" s="5">
        <v>2023</v>
      </c>
      <c r="C384" s="62">
        <v>45203</v>
      </c>
      <c r="D384" s="5" t="s">
        <v>53</v>
      </c>
      <c r="E384" s="5" t="s">
        <v>25</v>
      </c>
      <c r="F384" s="5">
        <v>3</v>
      </c>
      <c r="G384" s="5" t="s">
        <v>51</v>
      </c>
      <c r="H384" s="5">
        <v>6</v>
      </c>
      <c r="I384" s="5">
        <v>1</v>
      </c>
      <c r="J384" s="5">
        <v>2.5</v>
      </c>
      <c r="K384" s="5" t="s">
        <v>30</v>
      </c>
      <c r="L384" s="7" t="str">
        <f>VLOOKUP(K384, 'Alphabetical by species code'!A:B, 2, FALSE)</f>
        <v>Non Native Grass</v>
      </c>
      <c r="M384" s="7" t="str">
        <f>VLOOKUP(L384, 'Alphabetical by species code'!B:C, 2, FALSE)</f>
        <v>Non-Native</v>
      </c>
    </row>
    <row r="385" spans="1:13" ht="15.75" customHeight="1" x14ac:dyDescent="0.25">
      <c r="A385" s="5">
        <v>8</v>
      </c>
      <c r="B385" s="5">
        <v>2023</v>
      </c>
      <c r="C385" s="62">
        <v>45203</v>
      </c>
      <c r="D385" s="5" t="s">
        <v>53</v>
      </c>
      <c r="E385" s="5" t="s">
        <v>25</v>
      </c>
      <c r="F385" s="5">
        <v>3</v>
      </c>
      <c r="G385" s="5" t="s">
        <v>51</v>
      </c>
      <c r="H385" s="5">
        <v>6</v>
      </c>
      <c r="I385" s="5">
        <v>1</v>
      </c>
      <c r="J385" s="5">
        <v>2.5</v>
      </c>
      <c r="K385" s="5" t="s">
        <v>48</v>
      </c>
      <c r="L385" s="7" t="str">
        <f>VLOOKUP(K385, 'Alphabetical by species code'!A:B, 2, FALSE)</f>
        <v>Deinandra fasciculata</v>
      </c>
      <c r="M385" s="7" t="str">
        <f>VLOOKUP(L385, 'Alphabetical by species code'!B:C, 2, FALSE)</f>
        <v>Native</v>
      </c>
    </row>
    <row r="386" spans="1:13" ht="15.75" customHeight="1" x14ac:dyDescent="0.25">
      <c r="A386" s="5">
        <v>8</v>
      </c>
      <c r="B386" s="5">
        <v>2023</v>
      </c>
      <c r="C386" s="62">
        <v>45203</v>
      </c>
      <c r="D386" s="5" t="s">
        <v>53</v>
      </c>
      <c r="E386" s="5" t="s">
        <v>25</v>
      </c>
      <c r="F386" s="5">
        <v>3</v>
      </c>
      <c r="G386" s="5" t="s">
        <v>51</v>
      </c>
      <c r="H386" s="5">
        <v>7</v>
      </c>
      <c r="I386" s="5">
        <v>1</v>
      </c>
      <c r="J386" s="5">
        <v>3</v>
      </c>
      <c r="K386" s="5" t="s">
        <v>27</v>
      </c>
      <c r="L386" s="7" t="str">
        <f>VLOOKUP(K386, 'Alphabetical by species code'!A:B, 2, FALSE)</f>
        <v>Litter</v>
      </c>
      <c r="M386" s="7" t="str">
        <f>VLOOKUP(L386, 'Alphabetical by species code'!B:C, 2, FALSE)</f>
        <v>Ground Cover</v>
      </c>
    </row>
    <row r="387" spans="1:13" ht="15.75" customHeight="1" x14ac:dyDescent="0.25">
      <c r="A387" s="5">
        <v>8</v>
      </c>
      <c r="B387" s="5">
        <v>2023</v>
      </c>
      <c r="C387" s="62">
        <v>45203</v>
      </c>
      <c r="D387" s="5" t="s">
        <v>53</v>
      </c>
      <c r="E387" s="5" t="s">
        <v>25</v>
      </c>
      <c r="F387" s="5">
        <v>3</v>
      </c>
      <c r="G387" s="5" t="s">
        <v>51</v>
      </c>
      <c r="H387" s="5">
        <v>7</v>
      </c>
      <c r="I387" s="5">
        <v>1</v>
      </c>
      <c r="J387" s="5">
        <v>3</v>
      </c>
      <c r="K387" s="5" t="s">
        <v>30</v>
      </c>
      <c r="L387" s="7" t="str">
        <f>VLOOKUP(K387, 'Alphabetical by species code'!A:B, 2, FALSE)</f>
        <v>Non Native Grass</v>
      </c>
      <c r="M387" s="7" t="str">
        <f>VLOOKUP(L387, 'Alphabetical by species code'!B:C, 2, FALSE)</f>
        <v>Non-Native</v>
      </c>
    </row>
    <row r="388" spans="1:13" ht="15.75" customHeight="1" x14ac:dyDescent="0.25">
      <c r="A388" s="5">
        <v>8</v>
      </c>
      <c r="B388" s="5">
        <v>2023</v>
      </c>
      <c r="C388" s="62">
        <v>45203</v>
      </c>
      <c r="D388" s="5" t="s">
        <v>53</v>
      </c>
      <c r="E388" s="5" t="s">
        <v>25</v>
      </c>
      <c r="F388" s="5">
        <v>3</v>
      </c>
      <c r="G388" s="5" t="s">
        <v>51</v>
      </c>
      <c r="H388" s="5">
        <v>7</v>
      </c>
      <c r="I388" s="5">
        <v>1</v>
      </c>
      <c r="J388" s="5">
        <v>3</v>
      </c>
      <c r="K388" s="5" t="s">
        <v>59</v>
      </c>
      <c r="L388" s="7" t="e">
        <f>VLOOKUP(K388, 'Alphabetical by species code'!A:B, 2, FALSE)</f>
        <v>#N/A</v>
      </c>
      <c r="M388" s="7" t="e">
        <f>VLOOKUP(L388, 'Alphabetical by species code'!B:C, 2, FALSE)</f>
        <v>#N/A</v>
      </c>
    </row>
    <row r="389" spans="1:13" ht="15.75" customHeight="1" x14ac:dyDescent="0.25">
      <c r="A389" s="5">
        <v>8</v>
      </c>
      <c r="B389" s="5">
        <v>2023</v>
      </c>
      <c r="C389" s="62">
        <v>45203</v>
      </c>
      <c r="D389" s="5" t="s">
        <v>53</v>
      </c>
      <c r="E389" s="5" t="s">
        <v>25</v>
      </c>
      <c r="F389" s="5">
        <v>3</v>
      </c>
      <c r="G389" s="5" t="s">
        <v>51</v>
      </c>
      <c r="H389" s="5">
        <v>7</v>
      </c>
      <c r="I389" s="5">
        <v>1</v>
      </c>
      <c r="J389" s="5">
        <v>3</v>
      </c>
      <c r="K389" s="5" t="s">
        <v>29</v>
      </c>
      <c r="L389" s="7" t="str">
        <f>VLOOKUP(K389, 'Alphabetical by species code'!A:B, 2, FALSE)</f>
        <v>Opuntia littoralis</v>
      </c>
      <c r="M389" s="7" t="str">
        <f>VLOOKUP(L389, 'Alphabetical by species code'!B:C, 2, FALSE)</f>
        <v>Native</v>
      </c>
    </row>
    <row r="390" spans="1:13" ht="15.75" customHeight="1" x14ac:dyDescent="0.25">
      <c r="A390" s="5">
        <v>8</v>
      </c>
      <c r="B390" s="5">
        <v>2023</v>
      </c>
      <c r="C390" s="62">
        <v>45203</v>
      </c>
      <c r="D390" s="5" t="s">
        <v>53</v>
      </c>
      <c r="E390" s="5" t="s">
        <v>25</v>
      </c>
      <c r="F390" s="5">
        <v>3</v>
      </c>
      <c r="G390" s="5" t="s">
        <v>51</v>
      </c>
      <c r="H390" s="5">
        <v>8</v>
      </c>
      <c r="I390" s="5">
        <v>1</v>
      </c>
      <c r="J390" s="5">
        <v>3.5</v>
      </c>
      <c r="K390" s="5" t="s">
        <v>27</v>
      </c>
      <c r="L390" s="7" t="str">
        <f>VLOOKUP(K390, 'Alphabetical by species code'!A:B, 2, FALSE)</f>
        <v>Litter</v>
      </c>
      <c r="M390" s="7" t="str">
        <f>VLOOKUP(L390, 'Alphabetical by species code'!B:C, 2, FALSE)</f>
        <v>Ground Cover</v>
      </c>
    </row>
    <row r="391" spans="1:13" ht="15.75" customHeight="1" x14ac:dyDescent="0.25">
      <c r="A391" s="5">
        <v>8</v>
      </c>
      <c r="B391" s="5">
        <v>2023</v>
      </c>
      <c r="C391" s="62">
        <v>45203</v>
      </c>
      <c r="D391" s="5" t="s">
        <v>53</v>
      </c>
      <c r="E391" s="5" t="s">
        <v>25</v>
      </c>
      <c r="F391" s="5">
        <v>3</v>
      </c>
      <c r="G391" s="5" t="s">
        <v>51</v>
      </c>
      <c r="H391" s="5">
        <v>9</v>
      </c>
      <c r="I391" s="5">
        <v>1</v>
      </c>
      <c r="J391" s="5">
        <v>4</v>
      </c>
      <c r="K391" s="5" t="s">
        <v>27</v>
      </c>
      <c r="L391" s="7" t="str">
        <f>VLOOKUP(K391, 'Alphabetical by species code'!A:B, 2, FALSE)</f>
        <v>Litter</v>
      </c>
      <c r="M391" s="7" t="str">
        <f>VLOOKUP(L391, 'Alphabetical by species code'!B:C, 2, FALSE)</f>
        <v>Ground Cover</v>
      </c>
    </row>
    <row r="392" spans="1:13" ht="15.75" customHeight="1" x14ac:dyDescent="0.25">
      <c r="A392" s="5">
        <v>8</v>
      </c>
      <c r="B392" s="5">
        <v>2023</v>
      </c>
      <c r="C392" s="62">
        <v>45203</v>
      </c>
      <c r="D392" s="5" t="s">
        <v>53</v>
      </c>
      <c r="E392" s="5" t="s">
        <v>25</v>
      </c>
      <c r="F392" s="5">
        <v>3</v>
      </c>
      <c r="G392" s="5" t="s">
        <v>51</v>
      </c>
      <c r="H392" s="5">
        <v>10</v>
      </c>
      <c r="I392" s="5">
        <v>1</v>
      </c>
      <c r="J392" s="5">
        <v>4.5</v>
      </c>
      <c r="K392" s="5" t="s">
        <v>27</v>
      </c>
      <c r="L392" s="7" t="str">
        <f>VLOOKUP(K392, 'Alphabetical by species code'!A:B, 2, FALSE)</f>
        <v>Litter</v>
      </c>
      <c r="M392" s="7" t="str">
        <f>VLOOKUP(L392, 'Alphabetical by species code'!B:C, 2, FALSE)</f>
        <v>Ground Cover</v>
      </c>
    </row>
    <row r="393" spans="1:13" ht="15.75" customHeight="1" x14ac:dyDescent="0.25">
      <c r="A393" s="5">
        <v>8</v>
      </c>
      <c r="B393" s="5">
        <v>2023</v>
      </c>
      <c r="C393" s="62">
        <v>45203</v>
      </c>
      <c r="D393" s="5" t="s">
        <v>53</v>
      </c>
      <c r="E393" s="5" t="s">
        <v>25</v>
      </c>
      <c r="F393" s="5">
        <v>3</v>
      </c>
      <c r="G393" s="5" t="s">
        <v>51</v>
      </c>
      <c r="H393" s="5">
        <v>10</v>
      </c>
      <c r="I393" s="5">
        <v>1</v>
      </c>
      <c r="J393" s="5">
        <v>4.5</v>
      </c>
      <c r="K393" s="5" t="s">
        <v>30</v>
      </c>
      <c r="L393" s="7" t="str">
        <f>VLOOKUP(K393, 'Alphabetical by species code'!A:B, 2, FALSE)</f>
        <v>Non Native Grass</v>
      </c>
      <c r="M393" s="7" t="str">
        <f>VLOOKUP(L393, 'Alphabetical by species code'!B:C, 2, FALSE)</f>
        <v>Non-Native</v>
      </c>
    </row>
    <row r="394" spans="1:13" ht="15.75" customHeight="1" x14ac:dyDescent="0.25">
      <c r="A394" s="5">
        <v>8</v>
      </c>
      <c r="B394" s="5">
        <v>2023</v>
      </c>
      <c r="C394" s="62">
        <v>45203</v>
      </c>
      <c r="D394" s="5" t="s">
        <v>53</v>
      </c>
      <c r="E394" s="5" t="s">
        <v>25</v>
      </c>
      <c r="F394" s="5">
        <v>3</v>
      </c>
      <c r="G394" s="5" t="s">
        <v>51</v>
      </c>
      <c r="H394" s="5">
        <v>11</v>
      </c>
      <c r="I394" s="5">
        <v>1</v>
      </c>
      <c r="J394" s="5">
        <v>5</v>
      </c>
      <c r="K394" s="5" t="s">
        <v>27</v>
      </c>
      <c r="L394" s="7" t="str">
        <f>VLOOKUP(K394, 'Alphabetical by species code'!A:B, 2, FALSE)</f>
        <v>Litter</v>
      </c>
      <c r="M394" s="7" t="str">
        <f>VLOOKUP(L394, 'Alphabetical by species code'!B:C, 2, FALSE)</f>
        <v>Ground Cover</v>
      </c>
    </row>
    <row r="395" spans="1:13" ht="15.75" customHeight="1" x14ac:dyDescent="0.25">
      <c r="A395" s="5">
        <v>8</v>
      </c>
      <c r="B395" s="5">
        <v>2023</v>
      </c>
      <c r="C395" s="62">
        <v>45203</v>
      </c>
      <c r="D395" s="5" t="s">
        <v>53</v>
      </c>
      <c r="E395" s="5" t="s">
        <v>25</v>
      </c>
      <c r="F395" s="5">
        <v>3</v>
      </c>
      <c r="G395" s="5" t="s">
        <v>51</v>
      </c>
      <c r="H395" s="5">
        <v>12</v>
      </c>
      <c r="I395" s="5">
        <v>1</v>
      </c>
      <c r="J395" s="5">
        <v>5.5</v>
      </c>
      <c r="K395" s="8" t="s">
        <v>27</v>
      </c>
      <c r="L395" s="7" t="str">
        <f>VLOOKUP(K395, 'Alphabetical by species code'!A:B, 2, FALSE)</f>
        <v>Litter</v>
      </c>
      <c r="M395" s="7" t="str">
        <f>VLOOKUP(L395, 'Alphabetical by species code'!B:C, 2, FALSE)</f>
        <v>Ground Cover</v>
      </c>
    </row>
    <row r="396" spans="1:13" ht="15.75" customHeight="1" x14ac:dyDescent="0.25">
      <c r="A396" s="5">
        <v>8</v>
      </c>
      <c r="B396" s="5">
        <v>2023</v>
      </c>
      <c r="C396" s="62">
        <v>45203</v>
      </c>
      <c r="D396" s="5" t="s">
        <v>53</v>
      </c>
      <c r="E396" s="5" t="s">
        <v>25</v>
      </c>
      <c r="F396" s="5">
        <v>3</v>
      </c>
      <c r="G396" s="5" t="s">
        <v>51</v>
      </c>
      <c r="H396" s="5">
        <v>12</v>
      </c>
      <c r="I396" s="5">
        <v>1</v>
      </c>
      <c r="J396" s="5">
        <v>5.5</v>
      </c>
      <c r="K396" s="8" t="s">
        <v>48</v>
      </c>
      <c r="L396" s="7" t="str">
        <f>VLOOKUP(K396, 'Alphabetical by species code'!A:B, 2, FALSE)</f>
        <v>Deinandra fasciculata</v>
      </c>
      <c r="M396" s="7" t="str">
        <f>VLOOKUP(L396, 'Alphabetical by species code'!B:C, 2, FALSE)</f>
        <v>Native</v>
      </c>
    </row>
    <row r="397" spans="1:13" ht="15.75" customHeight="1" x14ac:dyDescent="0.25">
      <c r="A397" s="5">
        <v>8</v>
      </c>
      <c r="B397" s="5">
        <v>2023</v>
      </c>
      <c r="C397" s="62">
        <v>45203</v>
      </c>
      <c r="D397" s="5" t="s">
        <v>53</v>
      </c>
      <c r="E397" s="5" t="s">
        <v>25</v>
      </c>
      <c r="F397" s="5">
        <v>3</v>
      </c>
      <c r="G397" s="5" t="s">
        <v>51</v>
      </c>
      <c r="H397" s="8">
        <v>13</v>
      </c>
      <c r="I397" s="5">
        <v>1</v>
      </c>
      <c r="J397" s="5">
        <v>6.5</v>
      </c>
      <c r="K397" s="8" t="s">
        <v>27</v>
      </c>
      <c r="L397" s="7" t="str">
        <f>VLOOKUP(K397, 'Alphabetical by species code'!A:B, 2, FALSE)</f>
        <v>Litter</v>
      </c>
      <c r="M397" s="7" t="str">
        <f>VLOOKUP(L397, 'Alphabetical by species code'!B:C, 2, FALSE)</f>
        <v>Ground Cover</v>
      </c>
    </row>
    <row r="398" spans="1:13" ht="15.75" customHeight="1" x14ac:dyDescent="0.25">
      <c r="A398" s="5">
        <v>8</v>
      </c>
      <c r="B398" s="5">
        <v>2023</v>
      </c>
      <c r="C398" s="62">
        <v>45203</v>
      </c>
      <c r="D398" s="5" t="s">
        <v>53</v>
      </c>
      <c r="E398" s="5" t="s">
        <v>25</v>
      </c>
      <c r="F398" s="5">
        <v>3</v>
      </c>
      <c r="G398" s="5" t="s">
        <v>51</v>
      </c>
      <c r="H398" s="5">
        <v>13</v>
      </c>
      <c r="I398" s="5">
        <v>1</v>
      </c>
      <c r="J398" s="5">
        <v>6.5</v>
      </c>
      <c r="K398" s="8" t="s">
        <v>34</v>
      </c>
      <c r="L398" s="7" t="str">
        <f>VLOOKUP(K398, 'Alphabetical by species code'!A:B, 2, FALSE)</f>
        <v>Centaurea melitensis</v>
      </c>
      <c r="M398" s="7" t="str">
        <f>VLOOKUP(L398, 'Alphabetical by species code'!B:C, 2, FALSE)</f>
        <v>Non-Native</v>
      </c>
    </row>
    <row r="399" spans="1:13" ht="15.75" customHeight="1" x14ac:dyDescent="0.25">
      <c r="A399" s="5">
        <v>8</v>
      </c>
      <c r="B399" s="5">
        <v>2023</v>
      </c>
      <c r="C399" s="62">
        <v>45203</v>
      </c>
      <c r="D399" s="5" t="s">
        <v>53</v>
      </c>
      <c r="E399" s="5" t="s">
        <v>25</v>
      </c>
      <c r="F399" s="5">
        <v>3</v>
      </c>
      <c r="G399" s="5" t="s">
        <v>51</v>
      </c>
      <c r="H399" s="5">
        <v>13</v>
      </c>
      <c r="I399" s="5">
        <v>1</v>
      </c>
      <c r="J399" s="5">
        <v>6.5</v>
      </c>
      <c r="K399" s="8" t="s">
        <v>48</v>
      </c>
      <c r="L399" s="7" t="str">
        <f>VLOOKUP(K399, 'Alphabetical by species code'!A:B, 2, FALSE)</f>
        <v>Deinandra fasciculata</v>
      </c>
      <c r="M399" s="7" t="str">
        <f>VLOOKUP(L399, 'Alphabetical by species code'!B:C, 2, FALSE)</f>
        <v>Native</v>
      </c>
    </row>
    <row r="400" spans="1:13" ht="15.75" customHeight="1" x14ac:dyDescent="0.25">
      <c r="A400" s="5">
        <v>8</v>
      </c>
      <c r="B400" s="5">
        <v>2023</v>
      </c>
      <c r="C400" s="62">
        <v>45203</v>
      </c>
      <c r="D400" s="5" t="s">
        <v>53</v>
      </c>
      <c r="E400" s="5" t="s">
        <v>25</v>
      </c>
      <c r="F400" s="5">
        <v>3</v>
      </c>
      <c r="G400" s="5" t="s">
        <v>51</v>
      </c>
      <c r="H400" s="5">
        <v>14</v>
      </c>
      <c r="I400" s="5">
        <v>1</v>
      </c>
      <c r="J400" s="5">
        <v>7</v>
      </c>
      <c r="K400" s="8" t="s">
        <v>27</v>
      </c>
      <c r="L400" s="7" t="str">
        <f>VLOOKUP(K400, 'Alphabetical by species code'!A:B, 2, FALSE)</f>
        <v>Litter</v>
      </c>
      <c r="M400" s="7" t="str">
        <f>VLOOKUP(L400, 'Alphabetical by species code'!B:C, 2, FALSE)</f>
        <v>Ground Cover</v>
      </c>
    </row>
    <row r="401" spans="1:13" ht="15.75" customHeight="1" x14ac:dyDescent="0.25">
      <c r="A401" s="5">
        <v>8</v>
      </c>
      <c r="B401" s="5">
        <v>2023</v>
      </c>
      <c r="C401" s="62">
        <v>45203</v>
      </c>
      <c r="D401" s="5" t="s">
        <v>53</v>
      </c>
      <c r="E401" s="5" t="s">
        <v>25</v>
      </c>
      <c r="F401" s="5">
        <v>3</v>
      </c>
      <c r="G401" s="5" t="s">
        <v>51</v>
      </c>
      <c r="H401" s="5">
        <v>14</v>
      </c>
      <c r="I401" s="5">
        <v>1</v>
      </c>
      <c r="J401" s="5">
        <v>7</v>
      </c>
      <c r="K401" s="8" t="s">
        <v>30</v>
      </c>
      <c r="L401" s="7" t="str">
        <f>VLOOKUP(K401, 'Alphabetical by species code'!A:B, 2, FALSE)</f>
        <v>Non Native Grass</v>
      </c>
      <c r="M401" s="7" t="str">
        <f>VLOOKUP(L401, 'Alphabetical by species code'!B:C, 2, FALSE)</f>
        <v>Non-Native</v>
      </c>
    </row>
    <row r="402" spans="1:13" ht="15.75" customHeight="1" x14ac:dyDescent="0.25">
      <c r="A402" s="5">
        <v>8</v>
      </c>
      <c r="B402" s="5">
        <v>2023</v>
      </c>
      <c r="C402" s="62">
        <v>45203</v>
      </c>
      <c r="D402" s="5" t="s">
        <v>53</v>
      </c>
      <c r="E402" s="5" t="s">
        <v>25</v>
      </c>
      <c r="F402" s="5">
        <v>3</v>
      </c>
      <c r="G402" s="5" t="s">
        <v>51</v>
      </c>
      <c r="H402" s="5">
        <v>14</v>
      </c>
      <c r="I402" s="5">
        <v>1</v>
      </c>
      <c r="J402" s="5">
        <v>7</v>
      </c>
      <c r="K402" s="8" t="s">
        <v>28</v>
      </c>
      <c r="L402" s="7" t="str">
        <f>VLOOKUP(K402, 'Alphabetical by species code'!A:B, 2, FALSE)</f>
        <v>Stephanomeria diegensis</v>
      </c>
      <c r="M402" s="7" t="str">
        <f>VLOOKUP(L402, 'Alphabetical by species code'!B:C, 2, FALSE)</f>
        <v>Native</v>
      </c>
    </row>
    <row r="403" spans="1:13" ht="15.75" customHeight="1" x14ac:dyDescent="0.25">
      <c r="A403" s="5">
        <v>8</v>
      </c>
      <c r="B403" s="5">
        <v>2023</v>
      </c>
      <c r="C403" s="62">
        <v>45203</v>
      </c>
      <c r="D403" s="5" t="s">
        <v>53</v>
      </c>
      <c r="E403" s="5" t="s">
        <v>25</v>
      </c>
      <c r="F403" s="5">
        <v>3</v>
      </c>
      <c r="G403" s="5" t="s">
        <v>51</v>
      </c>
      <c r="H403" s="5">
        <v>15</v>
      </c>
      <c r="I403" s="5">
        <v>1</v>
      </c>
      <c r="J403" s="5">
        <v>7.5</v>
      </c>
      <c r="K403" s="8" t="s">
        <v>35</v>
      </c>
      <c r="L403" s="7" t="str">
        <f>VLOOKUP(K403, 'Alphabetical by species code'!A:B, 2, FALSE)</f>
        <v>Bareground</v>
      </c>
      <c r="M403" s="7" t="str">
        <f>VLOOKUP(L403, 'Alphabetical by species code'!B:C, 2, FALSE)</f>
        <v>Ground Cover</v>
      </c>
    </row>
    <row r="404" spans="1:13" ht="15.75" customHeight="1" x14ac:dyDescent="0.25">
      <c r="A404" s="5">
        <v>8</v>
      </c>
      <c r="B404" s="5">
        <v>2023</v>
      </c>
      <c r="C404" s="62">
        <v>45203</v>
      </c>
      <c r="D404" s="5" t="s">
        <v>53</v>
      </c>
      <c r="E404" s="5" t="s">
        <v>25</v>
      </c>
      <c r="F404" s="5">
        <v>3</v>
      </c>
      <c r="G404" s="5" t="s">
        <v>51</v>
      </c>
      <c r="H404" s="5">
        <v>15</v>
      </c>
      <c r="I404" s="5">
        <v>1</v>
      </c>
      <c r="J404" s="5">
        <v>7.5</v>
      </c>
      <c r="K404" s="8" t="s">
        <v>30</v>
      </c>
      <c r="L404" s="7" t="str">
        <f>VLOOKUP(K404, 'Alphabetical by species code'!A:B, 2, FALSE)</f>
        <v>Non Native Grass</v>
      </c>
      <c r="M404" s="7" t="str">
        <f>VLOOKUP(L404, 'Alphabetical by species code'!B:C, 2, FALSE)</f>
        <v>Non-Native</v>
      </c>
    </row>
    <row r="405" spans="1:13" ht="15.75" customHeight="1" x14ac:dyDescent="0.25">
      <c r="A405" s="5">
        <v>8</v>
      </c>
      <c r="B405" s="5">
        <v>2023</v>
      </c>
      <c r="C405" s="62">
        <v>45203</v>
      </c>
      <c r="D405" s="5" t="s">
        <v>53</v>
      </c>
      <c r="E405" s="5" t="s">
        <v>25</v>
      </c>
      <c r="F405" s="5">
        <v>3</v>
      </c>
      <c r="G405" s="5" t="s">
        <v>51</v>
      </c>
      <c r="H405" s="5">
        <v>1</v>
      </c>
      <c r="I405" s="5">
        <v>2</v>
      </c>
      <c r="J405" s="5">
        <v>0</v>
      </c>
      <c r="K405" s="8" t="s">
        <v>27</v>
      </c>
      <c r="L405" s="7" t="str">
        <f>VLOOKUP(K405, 'Alphabetical by species code'!A:B, 2, FALSE)</f>
        <v>Litter</v>
      </c>
      <c r="M405" s="7" t="str">
        <f>VLOOKUP(L405, 'Alphabetical by species code'!B:C, 2, FALSE)</f>
        <v>Ground Cover</v>
      </c>
    </row>
    <row r="406" spans="1:13" ht="15.75" customHeight="1" x14ac:dyDescent="0.25">
      <c r="A406" s="5">
        <v>8</v>
      </c>
      <c r="B406" s="5">
        <v>2023</v>
      </c>
      <c r="C406" s="62">
        <v>45203</v>
      </c>
      <c r="D406" s="5" t="s">
        <v>53</v>
      </c>
      <c r="E406" s="5" t="s">
        <v>25</v>
      </c>
      <c r="F406" s="5">
        <v>3</v>
      </c>
      <c r="G406" s="5" t="s">
        <v>51</v>
      </c>
      <c r="H406" s="5">
        <v>1</v>
      </c>
      <c r="I406" s="5">
        <v>2</v>
      </c>
      <c r="J406" s="5">
        <v>0</v>
      </c>
      <c r="K406" s="8" t="s">
        <v>30</v>
      </c>
      <c r="L406" s="7" t="str">
        <f>VLOOKUP(K406, 'Alphabetical by species code'!A:B, 2, FALSE)</f>
        <v>Non Native Grass</v>
      </c>
      <c r="M406" s="7" t="str">
        <f>VLOOKUP(L406, 'Alphabetical by species code'!B:C, 2, FALSE)</f>
        <v>Non-Native</v>
      </c>
    </row>
    <row r="407" spans="1:13" ht="15.75" customHeight="1" x14ac:dyDescent="0.25">
      <c r="A407" s="5">
        <v>8</v>
      </c>
      <c r="B407" s="5">
        <v>2023</v>
      </c>
      <c r="C407" s="62">
        <v>45203</v>
      </c>
      <c r="D407" s="5" t="s">
        <v>53</v>
      </c>
      <c r="E407" s="5" t="s">
        <v>25</v>
      </c>
      <c r="F407" s="5">
        <v>3</v>
      </c>
      <c r="G407" s="5" t="s">
        <v>51</v>
      </c>
      <c r="H407" s="5">
        <v>2</v>
      </c>
      <c r="I407" s="5">
        <v>2</v>
      </c>
      <c r="J407" s="5">
        <v>0.5</v>
      </c>
      <c r="K407" s="8" t="s">
        <v>35</v>
      </c>
      <c r="L407" s="7" t="str">
        <f>VLOOKUP(K407, 'Alphabetical by species code'!A:B, 2, FALSE)</f>
        <v>Bareground</v>
      </c>
      <c r="M407" s="7" t="str">
        <f>VLOOKUP(L407, 'Alphabetical by species code'!B:C, 2, FALSE)</f>
        <v>Ground Cover</v>
      </c>
    </row>
    <row r="408" spans="1:13" ht="15.75" customHeight="1" x14ac:dyDescent="0.25">
      <c r="A408" s="5">
        <v>8</v>
      </c>
      <c r="B408" s="5">
        <v>2023</v>
      </c>
      <c r="C408" s="62">
        <v>45203</v>
      </c>
      <c r="D408" s="5" t="s">
        <v>53</v>
      </c>
      <c r="E408" s="5" t="s">
        <v>25</v>
      </c>
      <c r="F408" s="5">
        <v>3</v>
      </c>
      <c r="G408" s="5" t="s">
        <v>51</v>
      </c>
      <c r="H408" s="5">
        <v>2</v>
      </c>
      <c r="I408" s="5">
        <v>2</v>
      </c>
      <c r="J408" s="5">
        <v>0.5</v>
      </c>
      <c r="K408" s="8" t="s">
        <v>29</v>
      </c>
      <c r="L408" s="7" t="str">
        <f>VLOOKUP(K408, 'Alphabetical by species code'!A:B, 2, FALSE)</f>
        <v>Opuntia littoralis</v>
      </c>
      <c r="M408" s="7" t="str">
        <f>VLOOKUP(L408, 'Alphabetical by species code'!B:C, 2, FALSE)</f>
        <v>Native</v>
      </c>
    </row>
    <row r="409" spans="1:13" ht="15.75" customHeight="1" x14ac:dyDescent="0.25">
      <c r="A409" s="5">
        <v>8</v>
      </c>
      <c r="B409" s="5">
        <v>2023</v>
      </c>
      <c r="C409" s="62">
        <v>45203</v>
      </c>
      <c r="D409" s="5" t="s">
        <v>53</v>
      </c>
      <c r="E409" s="5" t="s">
        <v>25</v>
      </c>
      <c r="F409" s="5">
        <v>3</v>
      </c>
      <c r="G409" s="5" t="s">
        <v>51</v>
      </c>
      <c r="H409" s="5">
        <v>3</v>
      </c>
      <c r="I409" s="5">
        <v>2</v>
      </c>
      <c r="J409" s="5">
        <v>1</v>
      </c>
      <c r="K409" s="8" t="s">
        <v>35</v>
      </c>
      <c r="L409" s="7" t="str">
        <f>VLOOKUP(K409, 'Alphabetical by species code'!A:B, 2, FALSE)</f>
        <v>Bareground</v>
      </c>
      <c r="M409" s="7" t="str">
        <f>VLOOKUP(L409, 'Alphabetical by species code'!B:C, 2, FALSE)</f>
        <v>Ground Cover</v>
      </c>
    </row>
    <row r="410" spans="1:13" ht="15.75" customHeight="1" x14ac:dyDescent="0.25">
      <c r="A410" s="5">
        <v>8</v>
      </c>
      <c r="B410" s="5">
        <v>2023</v>
      </c>
      <c r="C410" s="62">
        <v>45203</v>
      </c>
      <c r="D410" s="5" t="s">
        <v>53</v>
      </c>
      <c r="E410" s="5" t="s">
        <v>25</v>
      </c>
      <c r="F410" s="5">
        <v>3</v>
      </c>
      <c r="G410" s="5" t="s">
        <v>51</v>
      </c>
      <c r="H410" s="5">
        <v>4</v>
      </c>
      <c r="I410" s="5">
        <v>2</v>
      </c>
      <c r="J410" s="5">
        <v>1.5</v>
      </c>
      <c r="K410" s="8" t="s">
        <v>35</v>
      </c>
      <c r="L410" s="7" t="str">
        <f>VLOOKUP(K410, 'Alphabetical by species code'!A:B, 2, FALSE)</f>
        <v>Bareground</v>
      </c>
      <c r="M410" s="7" t="str">
        <f>VLOOKUP(L410, 'Alphabetical by species code'!B:C, 2, FALSE)</f>
        <v>Ground Cover</v>
      </c>
    </row>
    <row r="411" spans="1:13" ht="15.75" customHeight="1" x14ac:dyDescent="0.25">
      <c r="A411" s="5">
        <v>8</v>
      </c>
      <c r="B411" s="5">
        <v>2023</v>
      </c>
      <c r="C411" s="62">
        <v>45203</v>
      </c>
      <c r="D411" s="5" t="s">
        <v>53</v>
      </c>
      <c r="E411" s="5" t="s">
        <v>25</v>
      </c>
      <c r="F411" s="5">
        <v>3</v>
      </c>
      <c r="G411" s="5" t="s">
        <v>51</v>
      </c>
      <c r="H411" s="5">
        <v>4</v>
      </c>
      <c r="I411" s="5">
        <v>2</v>
      </c>
      <c r="J411" s="5">
        <v>1.5</v>
      </c>
      <c r="K411" s="8" t="s">
        <v>55</v>
      </c>
      <c r="L411" s="7" t="str">
        <f>VLOOKUP(K411, 'Alphabetical by species code'!A:B, 2, FALSE)</f>
        <v>Brassica nigra</v>
      </c>
      <c r="M411" s="7" t="str">
        <f>VLOOKUP(L411, 'Alphabetical by species code'!B:C, 2, FALSE)</f>
        <v>Non-Native</v>
      </c>
    </row>
    <row r="412" spans="1:13" ht="15.75" customHeight="1" x14ac:dyDescent="0.25">
      <c r="A412" s="5">
        <v>8</v>
      </c>
      <c r="B412" s="5">
        <v>2023</v>
      </c>
      <c r="C412" s="62">
        <v>45203</v>
      </c>
      <c r="D412" s="5" t="s">
        <v>53</v>
      </c>
      <c r="E412" s="5" t="s">
        <v>25</v>
      </c>
      <c r="F412" s="5">
        <v>3</v>
      </c>
      <c r="G412" s="5" t="s">
        <v>51</v>
      </c>
      <c r="H412" s="5">
        <v>5</v>
      </c>
      <c r="I412" s="5">
        <v>2</v>
      </c>
      <c r="J412" s="5">
        <v>2.5</v>
      </c>
      <c r="K412" s="8" t="s">
        <v>35</v>
      </c>
      <c r="L412" s="7" t="str">
        <f>VLOOKUP(K412, 'Alphabetical by species code'!A:B, 2, FALSE)</f>
        <v>Bareground</v>
      </c>
      <c r="M412" s="7" t="str">
        <f>VLOOKUP(L412, 'Alphabetical by species code'!B:C, 2, FALSE)</f>
        <v>Ground Cover</v>
      </c>
    </row>
    <row r="413" spans="1:13" ht="15.75" customHeight="1" x14ac:dyDescent="0.25">
      <c r="A413" s="5">
        <v>8</v>
      </c>
      <c r="B413" s="5">
        <v>2023</v>
      </c>
      <c r="C413" s="62">
        <v>45203</v>
      </c>
      <c r="D413" s="5" t="s">
        <v>53</v>
      </c>
      <c r="E413" s="5" t="s">
        <v>25</v>
      </c>
      <c r="F413" s="5">
        <v>3</v>
      </c>
      <c r="G413" s="5" t="s">
        <v>51</v>
      </c>
      <c r="H413" s="5">
        <v>5</v>
      </c>
      <c r="I413" s="5">
        <v>2</v>
      </c>
      <c r="J413" s="5">
        <v>2.5</v>
      </c>
      <c r="K413" s="8" t="s">
        <v>30</v>
      </c>
      <c r="L413" s="7" t="str">
        <f>VLOOKUP(K413, 'Alphabetical by species code'!A:B, 2, FALSE)</f>
        <v>Non Native Grass</v>
      </c>
      <c r="M413" s="7" t="str">
        <f>VLOOKUP(L413, 'Alphabetical by species code'!B:C, 2, FALSE)</f>
        <v>Non-Native</v>
      </c>
    </row>
    <row r="414" spans="1:13" ht="15.75" customHeight="1" x14ac:dyDescent="0.25">
      <c r="A414" s="5">
        <v>8</v>
      </c>
      <c r="B414" s="5">
        <v>2023</v>
      </c>
      <c r="C414" s="62">
        <v>45203</v>
      </c>
      <c r="D414" s="5" t="s">
        <v>53</v>
      </c>
      <c r="E414" s="5" t="s">
        <v>25</v>
      </c>
      <c r="F414" s="5">
        <v>3</v>
      </c>
      <c r="G414" s="5" t="s">
        <v>51</v>
      </c>
      <c r="H414" s="5">
        <v>5</v>
      </c>
      <c r="I414" s="5">
        <v>2</v>
      </c>
      <c r="J414" s="5">
        <v>2.5</v>
      </c>
      <c r="K414" s="8" t="s">
        <v>48</v>
      </c>
      <c r="L414" s="7" t="str">
        <f>VLOOKUP(K414, 'Alphabetical by species code'!A:B, 2, FALSE)</f>
        <v>Deinandra fasciculata</v>
      </c>
      <c r="M414" s="7" t="str">
        <f>VLOOKUP(L414, 'Alphabetical by species code'!B:C, 2, FALSE)</f>
        <v>Native</v>
      </c>
    </row>
    <row r="415" spans="1:13" ht="15.75" customHeight="1" x14ac:dyDescent="0.25">
      <c r="A415" s="5">
        <v>8</v>
      </c>
      <c r="B415" s="5">
        <v>2023</v>
      </c>
      <c r="C415" s="62">
        <v>45203</v>
      </c>
      <c r="D415" s="5" t="s">
        <v>53</v>
      </c>
      <c r="E415" s="5" t="s">
        <v>25</v>
      </c>
      <c r="F415" s="5">
        <v>3</v>
      </c>
      <c r="G415" s="5" t="s">
        <v>51</v>
      </c>
      <c r="H415" s="5">
        <v>6</v>
      </c>
      <c r="I415" s="5">
        <v>2</v>
      </c>
      <c r="J415" s="5">
        <v>3</v>
      </c>
      <c r="K415" s="8" t="s">
        <v>27</v>
      </c>
      <c r="L415" s="7" t="str">
        <f>VLOOKUP(K415, 'Alphabetical by species code'!A:B, 2, FALSE)</f>
        <v>Litter</v>
      </c>
      <c r="M415" s="7" t="str">
        <f>VLOOKUP(L415, 'Alphabetical by species code'!B:C, 2, FALSE)</f>
        <v>Ground Cover</v>
      </c>
    </row>
    <row r="416" spans="1:13" ht="15.75" customHeight="1" x14ac:dyDescent="0.25">
      <c r="A416" s="5">
        <v>8</v>
      </c>
      <c r="B416" s="5">
        <v>2023</v>
      </c>
      <c r="C416" s="62">
        <v>45203</v>
      </c>
      <c r="D416" s="5" t="s">
        <v>53</v>
      </c>
      <c r="E416" s="5" t="s">
        <v>25</v>
      </c>
      <c r="F416" s="5">
        <v>3</v>
      </c>
      <c r="G416" s="5" t="s">
        <v>51</v>
      </c>
      <c r="H416" s="5">
        <v>6</v>
      </c>
      <c r="I416" s="5">
        <v>2</v>
      </c>
      <c r="J416" s="5">
        <v>3</v>
      </c>
      <c r="K416" s="8" t="s">
        <v>55</v>
      </c>
      <c r="L416" s="7" t="str">
        <f>VLOOKUP(K416, 'Alphabetical by species code'!A:B, 2, FALSE)</f>
        <v>Brassica nigra</v>
      </c>
      <c r="M416" s="7" t="str">
        <f>VLOOKUP(L416, 'Alphabetical by species code'!B:C, 2, FALSE)</f>
        <v>Non-Native</v>
      </c>
    </row>
    <row r="417" spans="1:13" ht="15.75" customHeight="1" x14ac:dyDescent="0.25">
      <c r="A417" s="5">
        <v>8</v>
      </c>
      <c r="B417" s="5">
        <v>2023</v>
      </c>
      <c r="C417" s="62">
        <v>45203</v>
      </c>
      <c r="D417" s="5" t="s">
        <v>53</v>
      </c>
      <c r="E417" s="5" t="s">
        <v>25</v>
      </c>
      <c r="F417" s="5">
        <v>3</v>
      </c>
      <c r="G417" s="5" t="s">
        <v>51</v>
      </c>
      <c r="H417" s="5">
        <v>6</v>
      </c>
      <c r="I417" s="5">
        <v>2</v>
      </c>
      <c r="J417" s="5">
        <v>3</v>
      </c>
      <c r="K417" s="8" t="s">
        <v>48</v>
      </c>
      <c r="L417" s="7" t="str">
        <f>VLOOKUP(K417, 'Alphabetical by species code'!A:B, 2, FALSE)</f>
        <v>Deinandra fasciculata</v>
      </c>
      <c r="M417" s="7" t="str">
        <f>VLOOKUP(L417, 'Alphabetical by species code'!B:C, 2, FALSE)</f>
        <v>Native</v>
      </c>
    </row>
    <row r="418" spans="1:13" ht="15.75" customHeight="1" x14ac:dyDescent="0.25">
      <c r="A418" s="5">
        <v>8</v>
      </c>
      <c r="B418" s="5">
        <v>2023</v>
      </c>
      <c r="C418" s="62">
        <v>45203</v>
      </c>
      <c r="D418" s="5" t="s">
        <v>53</v>
      </c>
      <c r="E418" s="5" t="s">
        <v>25</v>
      </c>
      <c r="F418" s="5">
        <v>3</v>
      </c>
      <c r="G418" s="5" t="s">
        <v>51</v>
      </c>
      <c r="H418" s="5">
        <v>6</v>
      </c>
      <c r="I418" s="5">
        <v>2</v>
      </c>
      <c r="J418" s="5">
        <v>3</v>
      </c>
      <c r="K418" s="8" t="s">
        <v>30</v>
      </c>
      <c r="L418" s="7" t="str">
        <f>VLOOKUP(K418, 'Alphabetical by species code'!A:B, 2, FALSE)</f>
        <v>Non Native Grass</v>
      </c>
      <c r="M418" s="7" t="str">
        <f>VLOOKUP(L418, 'Alphabetical by species code'!B:C, 2, FALSE)</f>
        <v>Non-Native</v>
      </c>
    </row>
    <row r="419" spans="1:13" ht="15.75" customHeight="1" x14ac:dyDescent="0.25">
      <c r="A419" s="5">
        <v>8</v>
      </c>
      <c r="B419" s="5">
        <v>2023</v>
      </c>
      <c r="C419" s="62">
        <v>45203</v>
      </c>
      <c r="D419" s="5" t="s">
        <v>53</v>
      </c>
      <c r="E419" s="5" t="s">
        <v>25</v>
      </c>
      <c r="F419" s="5">
        <v>3</v>
      </c>
      <c r="G419" s="5" t="s">
        <v>51</v>
      </c>
      <c r="H419" s="5">
        <v>7</v>
      </c>
      <c r="I419" s="5">
        <v>2</v>
      </c>
      <c r="J419" s="5">
        <v>3.5</v>
      </c>
      <c r="K419" s="8" t="s">
        <v>27</v>
      </c>
      <c r="L419" s="7" t="str">
        <f>VLOOKUP(K419, 'Alphabetical by species code'!A:B, 2, FALSE)</f>
        <v>Litter</v>
      </c>
      <c r="M419" s="7" t="str">
        <f>VLOOKUP(L419, 'Alphabetical by species code'!B:C, 2, FALSE)</f>
        <v>Ground Cover</v>
      </c>
    </row>
    <row r="420" spans="1:13" ht="15.75" customHeight="1" x14ac:dyDescent="0.25">
      <c r="A420" s="5">
        <v>8</v>
      </c>
      <c r="B420" s="5">
        <v>2023</v>
      </c>
      <c r="C420" s="62">
        <v>45203</v>
      </c>
      <c r="D420" s="5" t="s">
        <v>53</v>
      </c>
      <c r="E420" s="5" t="s">
        <v>25</v>
      </c>
      <c r="F420" s="5">
        <v>3</v>
      </c>
      <c r="G420" s="5" t="s">
        <v>51</v>
      </c>
      <c r="H420" s="5">
        <v>7</v>
      </c>
      <c r="I420" s="5">
        <v>2</v>
      </c>
      <c r="J420" s="5">
        <v>3.5</v>
      </c>
      <c r="K420" s="8" t="s">
        <v>30</v>
      </c>
      <c r="L420" s="7" t="str">
        <f>VLOOKUP(K420, 'Alphabetical by species code'!A:B, 2, FALSE)</f>
        <v>Non Native Grass</v>
      </c>
      <c r="M420" s="7" t="str">
        <f>VLOOKUP(L420, 'Alphabetical by species code'!B:C, 2, FALSE)</f>
        <v>Non-Native</v>
      </c>
    </row>
    <row r="421" spans="1:13" ht="15.75" customHeight="1" x14ac:dyDescent="0.25">
      <c r="A421" s="5">
        <v>8</v>
      </c>
      <c r="B421" s="5">
        <v>2023</v>
      </c>
      <c r="C421" s="62">
        <v>45203</v>
      </c>
      <c r="D421" s="5" t="s">
        <v>53</v>
      </c>
      <c r="E421" s="5" t="s">
        <v>25</v>
      </c>
      <c r="F421" s="5">
        <v>3</v>
      </c>
      <c r="G421" s="5" t="s">
        <v>51</v>
      </c>
      <c r="H421" s="5">
        <v>7</v>
      </c>
      <c r="I421" s="5">
        <v>2</v>
      </c>
      <c r="J421" s="5">
        <v>3.5</v>
      </c>
      <c r="K421" s="8" t="s">
        <v>48</v>
      </c>
      <c r="L421" s="7" t="str">
        <f>VLOOKUP(K421, 'Alphabetical by species code'!A:B, 2, FALSE)</f>
        <v>Deinandra fasciculata</v>
      </c>
      <c r="M421" s="7" t="str">
        <f>VLOOKUP(L421, 'Alphabetical by species code'!B:C, 2, FALSE)</f>
        <v>Native</v>
      </c>
    </row>
    <row r="422" spans="1:13" ht="15.75" customHeight="1" x14ac:dyDescent="0.25">
      <c r="A422" s="5">
        <v>8</v>
      </c>
      <c r="B422" s="5">
        <v>2023</v>
      </c>
      <c r="C422" s="62">
        <v>45203</v>
      </c>
      <c r="D422" s="5" t="s">
        <v>53</v>
      </c>
      <c r="E422" s="5" t="s">
        <v>25</v>
      </c>
      <c r="F422" s="5">
        <v>3</v>
      </c>
      <c r="G422" s="5" t="s">
        <v>51</v>
      </c>
      <c r="H422" s="5">
        <v>8</v>
      </c>
      <c r="I422" s="5">
        <v>2</v>
      </c>
      <c r="J422" s="5">
        <v>4</v>
      </c>
      <c r="K422" s="8" t="s">
        <v>27</v>
      </c>
      <c r="L422" s="7" t="str">
        <f>VLOOKUP(K422, 'Alphabetical by species code'!A:B, 2, FALSE)</f>
        <v>Litter</v>
      </c>
      <c r="M422" s="7" t="str">
        <f>VLOOKUP(L422, 'Alphabetical by species code'!B:C, 2, FALSE)</f>
        <v>Ground Cover</v>
      </c>
    </row>
    <row r="423" spans="1:13" ht="15.75" customHeight="1" x14ac:dyDescent="0.25">
      <c r="A423" s="5">
        <v>8</v>
      </c>
      <c r="B423" s="5">
        <v>2023</v>
      </c>
      <c r="C423" s="62">
        <v>45203</v>
      </c>
      <c r="D423" s="5" t="s">
        <v>53</v>
      </c>
      <c r="E423" s="5" t="s">
        <v>25</v>
      </c>
      <c r="F423" s="5">
        <v>3</v>
      </c>
      <c r="G423" s="5" t="s">
        <v>51</v>
      </c>
      <c r="H423" s="5">
        <v>8</v>
      </c>
      <c r="I423" s="5">
        <v>2</v>
      </c>
      <c r="J423" s="5">
        <v>4</v>
      </c>
      <c r="K423" s="8" t="s">
        <v>30</v>
      </c>
      <c r="L423" s="7" t="str">
        <f>VLOOKUP(K423, 'Alphabetical by species code'!A:B, 2, FALSE)</f>
        <v>Non Native Grass</v>
      </c>
      <c r="M423" s="7" t="str">
        <f>VLOOKUP(L423, 'Alphabetical by species code'!B:C, 2, FALSE)</f>
        <v>Non-Native</v>
      </c>
    </row>
    <row r="424" spans="1:13" ht="15.75" customHeight="1" x14ac:dyDescent="0.25">
      <c r="A424" s="5">
        <v>8</v>
      </c>
      <c r="B424" s="5">
        <v>2023</v>
      </c>
      <c r="C424" s="62">
        <v>45203</v>
      </c>
      <c r="D424" s="5" t="s">
        <v>53</v>
      </c>
      <c r="E424" s="5" t="s">
        <v>25</v>
      </c>
      <c r="F424" s="5">
        <v>3</v>
      </c>
      <c r="G424" s="5" t="s">
        <v>51</v>
      </c>
      <c r="H424" s="5">
        <v>8</v>
      </c>
      <c r="I424" s="5">
        <v>2</v>
      </c>
      <c r="J424" s="5">
        <v>4</v>
      </c>
      <c r="K424" s="8" t="s">
        <v>48</v>
      </c>
      <c r="L424" s="7" t="str">
        <f>VLOOKUP(K424, 'Alphabetical by species code'!A:B, 2, FALSE)</f>
        <v>Deinandra fasciculata</v>
      </c>
      <c r="M424" s="7" t="str">
        <f>VLOOKUP(L424, 'Alphabetical by species code'!B:C, 2, FALSE)</f>
        <v>Native</v>
      </c>
    </row>
    <row r="425" spans="1:13" ht="15.75" customHeight="1" x14ac:dyDescent="0.25">
      <c r="A425" s="5">
        <v>8</v>
      </c>
      <c r="B425" s="5">
        <v>2023</v>
      </c>
      <c r="C425" s="62">
        <v>45203</v>
      </c>
      <c r="D425" s="5" t="s">
        <v>53</v>
      </c>
      <c r="E425" s="5" t="s">
        <v>25</v>
      </c>
      <c r="F425" s="5">
        <v>3</v>
      </c>
      <c r="G425" s="5" t="s">
        <v>51</v>
      </c>
      <c r="H425" s="5">
        <v>9</v>
      </c>
      <c r="I425" s="5">
        <v>2</v>
      </c>
      <c r="J425" s="5">
        <v>4.5</v>
      </c>
      <c r="K425" s="5" t="s">
        <v>27</v>
      </c>
      <c r="L425" s="7" t="str">
        <f>VLOOKUP(K425, 'Alphabetical by species code'!A:B, 2, FALSE)</f>
        <v>Litter</v>
      </c>
      <c r="M425" s="7" t="str">
        <f>VLOOKUP(L425, 'Alphabetical by species code'!B:C, 2, FALSE)</f>
        <v>Ground Cover</v>
      </c>
    </row>
    <row r="426" spans="1:13" ht="15.75" customHeight="1" x14ac:dyDescent="0.25">
      <c r="A426" s="5">
        <v>8</v>
      </c>
      <c r="B426" s="5">
        <v>2023</v>
      </c>
      <c r="C426" s="62">
        <v>45203</v>
      </c>
      <c r="D426" s="5" t="s">
        <v>53</v>
      </c>
      <c r="E426" s="5" t="s">
        <v>25</v>
      </c>
      <c r="F426" s="5">
        <v>3</v>
      </c>
      <c r="G426" s="5" t="s">
        <v>51</v>
      </c>
      <c r="H426" s="5">
        <v>9</v>
      </c>
      <c r="I426" s="5">
        <v>2</v>
      </c>
      <c r="J426" s="5">
        <v>4.5</v>
      </c>
      <c r="K426" s="8" t="s">
        <v>48</v>
      </c>
      <c r="L426" s="7" t="str">
        <f>VLOOKUP(K426, 'Alphabetical by species code'!A:B, 2, FALSE)</f>
        <v>Deinandra fasciculata</v>
      </c>
      <c r="M426" s="7" t="str">
        <f>VLOOKUP(L426, 'Alphabetical by species code'!B:C, 2, FALSE)</f>
        <v>Native</v>
      </c>
    </row>
    <row r="427" spans="1:13" ht="15.75" customHeight="1" x14ac:dyDescent="0.25">
      <c r="A427" s="5">
        <v>8</v>
      </c>
      <c r="B427" s="5">
        <v>2023</v>
      </c>
      <c r="C427" s="62">
        <v>45203</v>
      </c>
      <c r="D427" s="5" t="s">
        <v>53</v>
      </c>
      <c r="E427" s="5" t="s">
        <v>25</v>
      </c>
      <c r="F427" s="5">
        <v>3</v>
      </c>
      <c r="G427" s="5" t="s">
        <v>51</v>
      </c>
      <c r="H427" s="5">
        <v>10</v>
      </c>
      <c r="I427" s="5">
        <v>2</v>
      </c>
      <c r="J427" s="5">
        <v>5</v>
      </c>
      <c r="K427" s="5" t="s">
        <v>27</v>
      </c>
      <c r="L427" s="7" t="str">
        <f>VLOOKUP(K427, 'Alphabetical by species code'!A:B, 2, FALSE)</f>
        <v>Litter</v>
      </c>
      <c r="M427" s="7" t="str">
        <f>VLOOKUP(L427, 'Alphabetical by species code'!B:C, 2, FALSE)</f>
        <v>Ground Cover</v>
      </c>
    </row>
    <row r="428" spans="1:13" ht="15.75" customHeight="1" x14ac:dyDescent="0.25">
      <c r="A428" s="5">
        <v>8</v>
      </c>
      <c r="B428" s="5">
        <v>2023</v>
      </c>
      <c r="C428" s="62">
        <v>45203</v>
      </c>
      <c r="D428" s="5" t="s">
        <v>53</v>
      </c>
      <c r="E428" s="5" t="s">
        <v>25</v>
      </c>
      <c r="F428" s="5">
        <v>3</v>
      </c>
      <c r="G428" s="5" t="s">
        <v>51</v>
      </c>
      <c r="H428" s="5">
        <v>10</v>
      </c>
      <c r="I428" s="5">
        <v>2</v>
      </c>
      <c r="J428" s="5">
        <v>5</v>
      </c>
      <c r="K428" s="5" t="s">
        <v>48</v>
      </c>
      <c r="L428" s="7" t="str">
        <f>VLOOKUP(K428, 'Alphabetical by species code'!A:B, 2, FALSE)</f>
        <v>Deinandra fasciculata</v>
      </c>
      <c r="M428" s="7" t="str">
        <f>VLOOKUP(L428, 'Alphabetical by species code'!B:C, 2, FALSE)</f>
        <v>Native</v>
      </c>
    </row>
    <row r="429" spans="1:13" ht="15.75" customHeight="1" x14ac:dyDescent="0.25">
      <c r="A429" s="5">
        <v>8</v>
      </c>
      <c r="B429" s="5">
        <v>2023</v>
      </c>
      <c r="C429" s="62">
        <v>45203</v>
      </c>
      <c r="D429" s="5" t="s">
        <v>53</v>
      </c>
      <c r="E429" s="5" t="s">
        <v>25</v>
      </c>
      <c r="F429" s="5">
        <v>3</v>
      </c>
      <c r="G429" s="5" t="s">
        <v>51</v>
      </c>
      <c r="H429" s="5">
        <v>11</v>
      </c>
      <c r="I429" s="5">
        <v>2</v>
      </c>
      <c r="J429" s="5">
        <v>5.5</v>
      </c>
      <c r="K429" s="5" t="s">
        <v>35</v>
      </c>
      <c r="L429" s="7" t="str">
        <f>VLOOKUP(K429, 'Alphabetical by species code'!A:B, 2, FALSE)</f>
        <v>Bareground</v>
      </c>
      <c r="M429" s="7" t="str">
        <f>VLOOKUP(L429, 'Alphabetical by species code'!B:C, 2, FALSE)</f>
        <v>Ground Cover</v>
      </c>
    </row>
    <row r="430" spans="1:13" ht="15.75" customHeight="1" x14ac:dyDescent="0.25">
      <c r="A430" s="5">
        <v>8</v>
      </c>
      <c r="B430" s="5">
        <v>2023</v>
      </c>
      <c r="C430" s="62">
        <v>45203</v>
      </c>
      <c r="D430" s="5" t="s">
        <v>53</v>
      </c>
      <c r="E430" s="5" t="s">
        <v>25</v>
      </c>
      <c r="F430" s="5">
        <v>3</v>
      </c>
      <c r="G430" s="5" t="s">
        <v>51</v>
      </c>
      <c r="H430" s="5">
        <v>11</v>
      </c>
      <c r="I430" s="5">
        <v>2</v>
      </c>
      <c r="J430" s="5">
        <v>5.5</v>
      </c>
      <c r="K430" s="5" t="s">
        <v>34</v>
      </c>
      <c r="L430" s="7" t="str">
        <f>VLOOKUP(K430, 'Alphabetical by species code'!A:B, 2, FALSE)</f>
        <v>Centaurea melitensis</v>
      </c>
      <c r="M430" s="7" t="str">
        <f>VLOOKUP(L430, 'Alphabetical by species code'!B:C, 2, FALSE)</f>
        <v>Non-Native</v>
      </c>
    </row>
    <row r="431" spans="1:13" ht="15.75" customHeight="1" x14ac:dyDescent="0.25">
      <c r="A431" s="5">
        <v>8</v>
      </c>
      <c r="B431" s="5">
        <v>2023</v>
      </c>
      <c r="C431" s="62">
        <v>45203</v>
      </c>
      <c r="D431" s="5" t="s">
        <v>53</v>
      </c>
      <c r="E431" s="5" t="s">
        <v>25</v>
      </c>
      <c r="F431" s="5">
        <v>3</v>
      </c>
      <c r="G431" s="5" t="s">
        <v>51</v>
      </c>
      <c r="H431" s="5">
        <v>11</v>
      </c>
      <c r="I431" s="5">
        <v>2</v>
      </c>
      <c r="J431" s="5">
        <v>5.5</v>
      </c>
      <c r="K431" s="5" t="s">
        <v>48</v>
      </c>
      <c r="L431" s="7" t="str">
        <f>VLOOKUP(K431, 'Alphabetical by species code'!A:B, 2, FALSE)</f>
        <v>Deinandra fasciculata</v>
      </c>
      <c r="M431" s="7" t="str">
        <f>VLOOKUP(L431, 'Alphabetical by species code'!B:C, 2, FALSE)</f>
        <v>Native</v>
      </c>
    </row>
    <row r="432" spans="1:13" ht="15.75" customHeight="1" x14ac:dyDescent="0.25">
      <c r="A432" s="5">
        <v>8</v>
      </c>
      <c r="B432" s="5">
        <v>2023</v>
      </c>
      <c r="C432" s="62">
        <v>45203</v>
      </c>
      <c r="D432" s="5" t="s">
        <v>53</v>
      </c>
      <c r="E432" s="5" t="s">
        <v>25</v>
      </c>
      <c r="F432" s="5">
        <v>3</v>
      </c>
      <c r="G432" s="5" t="s">
        <v>51</v>
      </c>
      <c r="H432" s="5">
        <v>12</v>
      </c>
      <c r="I432" s="5">
        <v>2</v>
      </c>
      <c r="J432" s="5">
        <v>6</v>
      </c>
      <c r="K432" s="5" t="s">
        <v>35</v>
      </c>
      <c r="L432" s="7" t="str">
        <f>VLOOKUP(K432, 'Alphabetical by species code'!A:B, 2, FALSE)</f>
        <v>Bareground</v>
      </c>
      <c r="M432" s="7" t="str">
        <f>VLOOKUP(L432, 'Alphabetical by species code'!B:C, 2, FALSE)</f>
        <v>Ground Cover</v>
      </c>
    </row>
    <row r="433" spans="1:13" ht="15.75" customHeight="1" x14ac:dyDescent="0.25">
      <c r="A433" s="5">
        <v>8</v>
      </c>
      <c r="B433" s="5">
        <v>2023</v>
      </c>
      <c r="C433" s="62">
        <v>45203</v>
      </c>
      <c r="D433" s="5" t="s">
        <v>53</v>
      </c>
      <c r="E433" s="5" t="s">
        <v>25</v>
      </c>
      <c r="F433" s="5">
        <v>3</v>
      </c>
      <c r="G433" s="5" t="s">
        <v>51</v>
      </c>
      <c r="H433" s="5">
        <v>12</v>
      </c>
      <c r="I433" s="5">
        <v>2</v>
      </c>
      <c r="J433" s="5">
        <v>6</v>
      </c>
      <c r="K433" s="5" t="s">
        <v>34</v>
      </c>
      <c r="L433" s="7" t="str">
        <f>VLOOKUP(K433, 'Alphabetical by species code'!A:B, 2, FALSE)</f>
        <v>Centaurea melitensis</v>
      </c>
      <c r="M433" s="7" t="str">
        <f>VLOOKUP(L433, 'Alphabetical by species code'!B:C, 2, FALSE)</f>
        <v>Non-Native</v>
      </c>
    </row>
    <row r="434" spans="1:13" ht="15.75" customHeight="1" x14ac:dyDescent="0.25">
      <c r="A434" s="5">
        <v>8</v>
      </c>
      <c r="B434" s="5">
        <v>2023</v>
      </c>
      <c r="C434" s="62">
        <v>45203</v>
      </c>
      <c r="D434" s="5" t="s">
        <v>53</v>
      </c>
      <c r="E434" s="5" t="s">
        <v>25</v>
      </c>
      <c r="F434" s="5">
        <v>3</v>
      </c>
      <c r="G434" s="5" t="s">
        <v>51</v>
      </c>
      <c r="H434" s="5">
        <v>12</v>
      </c>
      <c r="I434" s="5">
        <v>2</v>
      </c>
      <c r="J434" s="5">
        <v>6</v>
      </c>
      <c r="K434" s="5" t="s">
        <v>55</v>
      </c>
      <c r="L434" s="7" t="str">
        <f>VLOOKUP(K434, 'Alphabetical by species code'!A:B, 2, FALSE)</f>
        <v>Brassica nigra</v>
      </c>
      <c r="M434" s="7" t="str">
        <f>VLOOKUP(L434, 'Alphabetical by species code'!B:C, 2, FALSE)</f>
        <v>Non-Native</v>
      </c>
    </row>
    <row r="435" spans="1:13" ht="15.75" customHeight="1" x14ac:dyDescent="0.25">
      <c r="A435" s="5">
        <v>8</v>
      </c>
      <c r="B435" s="5">
        <v>2023</v>
      </c>
      <c r="C435" s="62">
        <v>45203</v>
      </c>
      <c r="D435" s="5" t="s">
        <v>53</v>
      </c>
      <c r="E435" s="5" t="s">
        <v>25</v>
      </c>
      <c r="F435" s="5">
        <v>3</v>
      </c>
      <c r="G435" s="5" t="s">
        <v>51</v>
      </c>
      <c r="H435" s="5">
        <v>12</v>
      </c>
      <c r="I435" s="5">
        <v>2</v>
      </c>
      <c r="J435" s="5">
        <v>6</v>
      </c>
      <c r="K435" s="5" t="s">
        <v>48</v>
      </c>
      <c r="L435" s="7" t="str">
        <f>VLOOKUP(K435, 'Alphabetical by species code'!A:B, 2, FALSE)</f>
        <v>Deinandra fasciculata</v>
      </c>
      <c r="M435" s="7" t="str">
        <f>VLOOKUP(L435, 'Alphabetical by species code'!B:C, 2, FALSE)</f>
        <v>Native</v>
      </c>
    </row>
    <row r="436" spans="1:13" ht="15.75" customHeight="1" x14ac:dyDescent="0.25">
      <c r="A436" s="5">
        <v>8</v>
      </c>
      <c r="B436" s="5">
        <v>2023</v>
      </c>
      <c r="C436" s="62">
        <v>45203</v>
      </c>
      <c r="D436" s="5" t="s">
        <v>53</v>
      </c>
      <c r="E436" s="5" t="s">
        <v>25</v>
      </c>
      <c r="F436" s="5">
        <v>3</v>
      </c>
      <c r="G436" s="5" t="s">
        <v>51</v>
      </c>
      <c r="H436" s="5">
        <v>13</v>
      </c>
      <c r="I436" s="5">
        <v>2</v>
      </c>
      <c r="J436" s="5">
        <v>6.5</v>
      </c>
      <c r="K436" s="5" t="s">
        <v>35</v>
      </c>
      <c r="L436" s="7" t="str">
        <f>VLOOKUP(K436, 'Alphabetical by species code'!A:B, 2, FALSE)</f>
        <v>Bareground</v>
      </c>
      <c r="M436" s="7" t="str">
        <f>VLOOKUP(L436, 'Alphabetical by species code'!B:C, 2, FALSE)</f>
        <v>Ground Cover</v>
      </c>
    </row>
    <row r="437" spans="1:13" ht="15.75" customHeight="1" x14ac:dyDescent="0.25">
      <c r="A437" s="5">
        <v>8</v>
      </c>
      <c r="B437" s="5">
        <v>2023</v>
      </c>
      <c r="C437" s="62">
        <v>45203</v>
      </c>
      <c r="D437" s="5" t="s">
        <v>53</v>
      </c>
      <c r="E437" s="5" t="s">
        <v>25</v>
      </c>
      <c r="F437" s="5">
        <v>3</v>
      </c>
      <c r="G437" s="5" t="s">
        <v>51</v>
      </c>
      <c r="H437" s="5">
        <v>14</v>
      </c>
      <c r="I437" s="5">
        <v>2</v>
      </c>
      <c r="J437" s="5">
        <v>7</v>
      </c>
      <c r="K437" s="5" t="s">
        <v>35</v>
      </c>
      <c r="L437" s="7" t="str">
        <f>VLOOKUP(K437, 'Alphabetical by species code'!A:B, 2, FALSE)</f>
        <v>Bareground</v>
      </c>
      <c r="M437" s="7" t="str">
        <f>VLOOKUP(L437, 'Alphabetical by species code'!B:C, 2, FALSE)</f>
        <v>Ground Cover</v>
      </c>
    </row>
    <row r="438" spans="1:13" ht="15.75" customHeight="1" x14ac:dyDescent="0.25">
      <c r="A438" s="5">
        <v>8</v>
      </c>
      <c r="B438" s="5">
        <v>2023</v>
      </c>
      <c r="C438" s="62">
        <v>45203</v>
      </c>
      <c r="D438" s="5" t="s">
        <v>53</v>
      </c>
      <c r="E438" s="5" t="s">
        <v>25</v>
      </c>
      <c r="F438" s="5">
        <v>3</v>
      </c>
      <c r="G438" s="5" t="s">
        <v>51</v>
      </c>
      <c r="H438" s="5">
        <v>15</v>
      </c>
      <c r="I438" s="5">
        <v>2</v>
      </c>
      <c r="J438" s="5">
        <v>7.5</v>
      </c>
      <c r="K438" s="5" t="s">
        <v>27</v>
      </c>
      <c r="L438" s="7" t="str">
        <f>VLOOKUP(K438, 'Alphabetical by species code'!A:B, 2, FALSE)</f>
        <v>Litter</v>
      </c>
      <c r="M438" s="7" t="str">
        <f>VLOOKUP(L438, 'Alphabetical by species code'!B:C, 2, FALSE)</f>
        <v>Ground Cover</v>
      </c>
    </row>
    <row r="439" spans="1:13" ht="15.75" customHeight="1" x14ac:dyDescent="0.25">
      <c r="A439" s="5">
        <v>9</v>
      </c>
      <c r="B439" s="5">
        <v>2023</v>
      </c>
      <c r="C439" s="61">
        <v>45197</v>
      </c>
      <c r="D439" s="5" t="s">
        <v>62</v>
      </c>
      <c r="E439" s="5" t="s">
        <v>63</v>
      </c>
      <c r="F439" s="5">
        <v>1</v>
      </c>
      <c r="G439" s="5" t="s">
        <v>26</v>
      </c>
      <c r="H439" s="5">
        <v>1</v>
      </c>
      <c r="I439" s="5">
        <v>1</v>
      </c>
      <c r="J439" s="5">
        <v>0</v>
      </c>
      <c r="K439" s="5" t="s">
        <v>35</v>
      </c>
      <c r="L439" s="7" t="str">
        <f>VLOOKUP(K439, 'Alphabetical by species code'!A:B, 2, FALSE)</f>
        <v>Bareground</v>
      </c>
      <c r="M439" s="7" t="str">
        <f>VLOOKUP(L439, 'Alphabetical by species code'!B:C, 2, FALSE)</f>
        <v>Ground Cover</v>
      </c>
    </row>
    <row r="440" spans="1:13" ht="15.75" customHeight="1" x14ac:dyDescent="0.25">
      <c r="A440" s="5">
        <v>9</v>
      </c>
      <c r="B440" s="5">
        <v>2023</v>
      </c>
      <c r="C440" s="63">
        <v>45197</v>
      </c>
      <c r="D440" s="5" t="s">
        <v>62</v>
      </c>
      <c r="E440" s="5" t="s">
        <v>63</v>
      </c>
      <c r="F440" s="5">
        <v>1</v>
      </c>
      <c r="G440" s="5" t="s">
        <v>26</v>
      </c>
      <c r="H440" s="5">
        <v>1</v>
      </c>
      <c r="I440" s="5">
        <v>1</v>
      </c>
      <c r="J440" s="5">
        <v>0</v>
      </c>
      <c r="K440" s="5" t="s">
        <v>34</v>
      </c>
      <c r="L440" s="7" t="str">
        <f>VLOOKUP(K440, 'Alphabetical by species code'!A:B, 2, FALSE)</f>
        <v>Centaurea melitensis</v>
      </c>
      <c r="M440" s="7" t="str">
        <f>VLOOKUP(L440, 'Alphabetical by species code'!B:C, 2, FALSE)</f>
        <v>Non-Native</v>
      </c>
    </row>
    <row r="441" spans="1:13" ht="15.75" customHeight="1" x14ac:dyDescent="0.25">
      <c r="A441" s="5">
        <v>9</v>
      </c>
      <c r="B441" s="5">
        <v>2023</v>
      </c>
      <c r="C441" s="63">
        <v>45197</v>
      </c>
      <c r="D441" s="14" t="s">
        <v>62</v>
      </c>
      <c r="E441" s="5" t="s">
        <v>63</v>
      </c>
      <c r="F441" s="5">
        <v>1</v>
      </c>
      <c r="G441" s="5" t="s">
        <v>26</v>
      </c>
      <c r="H441" s="5">
        <v>2</v>
      </c>
      <c r="I441" s="5">
        <v>1</v>
      </c>
      <c r="J441" s="5">
        <v>1</v>
      </c>
      <c r="K441" s="5" t="s">
        <v>35</v>
      </c>
      <c r="L441" s="7" t="str">
        <f>VLOOKUP(K441, 'Alphabetical by species code'!A:B, 2, FALSE)</f>
        <v>Bareground</v>
      </c>
      <c r="M441" s="7" t="str">
        <f>VLOOKUP(L441, 'Alphabetical by species code'!B:C, 2, FALSE)</f>
        <v>Ground Cover</v>
      </c>
    </row>
    <row r="442" spans="1:13" ht="15.75" customHeight="1" x14ac:dyDescent="0.25">
      <c r="A442" s="5">
        <v>9</v>
      </c>
      <c r="B442" s="5">
        <v>2023</v>
      </c>
      <c r="C442" s="63">
        <v>45197</v>
      </c>
      <c r="D442" s="14" t="s">
        <v>62</v>
      </c>
      <c r="E442" s="5" t="s">
        <v>63</v>
      </c>
      <c r="F442" s="5">
        <v>1</v>
      </c>
      <c r="G442" s="5" t="s">
        <v>26</v>
      </c>
      <c r="H442" s="5">
        <v>2</v>
      </c>
      <c r="I442" s="5">
        <v>1</v>
      </c>
      <c r="J442" s="5">
        <v>1</v>
      </c>
      <c r="K442" s="5" t="s">
        <v>29</v>
      </c>
      <c r="L442" s="7" t="str">
        <f>VLOOKUP(K442, 'Alphabetical by species code'!A:B, 2, FALSE)</f>
        <v>Opuntia littoralis</v>
      </c>
      <c r="M442" s="7" t="str">
        <f>VLOOKUP(L442, 'Alphabetical by species code'!B:C, 2, FALSE)</f>
        <v>Native</v>
      </c>
    </row>
    <row r="443" spans="1:13" ht="15.75" customHeight="1" x14ac:dyDescent="0.25">
      <c r="A443" s="5">
        <v>9</v>
      </c>
      <c r="B443" s="5">
        <v>2023</v>
      </c>
      <c r="C443" s="63">
        <v>45197</v>
      </c>
      <c r="D443" s="14" t="s">
        <v>62</v>
      </c>
      <c r="E443" s="5" t="s">
        <v>63</v>
      </c>
      <c r="F443" s="5">
        <v>1</v>
      </c>
      <c r="G443" s="5" t="s">
        <v>26</v>
      </c>
      <c r="H443" s="5">
        <v>3</v>
      </c>
      <c r="I443" s="5">
        <v>1</v>
      </c>
      <c r="J443" s="5">
        <v>1.5</v>
      </c>
      <c r="K443" s="5" t="s">
        <v>35</v>
      </c>
      <c r="L443" s="7" t="str">
        <f>VLOOKUP(K443, 'Alphabetical by species code'!A:B, 2, FALSE)</f>
        <v>Bareground</v>
      </c>
      <c r="M443" s="7" t="str">
        <f>VLOOKUP(L443, 'Alphabetical by species code'!B:C, 2, FALSE)</f>
        <v>Ground Cover</v>
      </c>
    </row>
    <row r="444" spans="1:13" ht="15.75" customHeight="1" x14ac:dyDescent="0.25">
      <c r="A444" s="5">
        <v>9</v>
      </c>
      <c r="B444" s="5">
        <v>2023</v>
      </c>
      <c r="C444" s="63">
        <v>45197</v>
      </c>
      <c r="D444" s="5" t="s">
        <v>62</v>
      </c>
      <c r="E444" s="5" t="s">
        <v>63</v>
      </c>
      <c r="F444" s="5">
        <v>1</v>
      </c>
      <c r="G444" s="5" t="s">
        <v>26</v>
      </c>
      <c r="H444" s="5">
        <v>4</v>
      </c>
      <c r="I444" s="5">
        <v>1</v>
      </c>
      <c r="J444" s="5">
        <v>2</v>
      </c>
      <c r="K444" s="5" t="s">
        <v>27</v>
      </c>
      <c r="L444" s="7" t="str">
        <f>VLOOKUP(K444, 'Alphabetical by species code'!A:B, 2, FALSE)</f>
        <v>Litter</v>
      </c>
      <c r="M444" s="7" t="str">
        <f>VLOOKUP(L444, 'Alphabetical by species code'!B:C, 2, FALSE)</f>
        <v>Ground Cover</v>
      </c>
    </row>
    <row r="445" spans="1:13" ht="15.75" customHeight="1" x14ac:dyDescent="0.25">
      <c r="A445" s="5">
        <v>9</v>
      </c>
      <c r="B445" s="5">
        <v>2023</v>
      </c>
      <c r="C445" s="63">
        <v>45197</v>
      </c>
      <c r="D445" s="5" t="s">
        <v>62</v>
      </c>
      <c r="E445" s="5" t="s">
        <v>63</v>
      </c>
      <c r="F445" s="5">
        <v>1</v>
      </c>
      <c r="G445" s="5" t="s">
        <v>26</v>
      </c>
      <c r="H445" s="5">
        <v>4</v>
      </c>
      <c r="I445" s="5">
        <v>1</v>
      </c>
      <c r="J445" s="5">
        <v>2</v>
      </c>
      <c r="K445" s="5" t="s">
        <v>55</v>
      </c>
      <c r="L445" s="7" t="str">
        <f>VLOOKUP(K445, 'Alphabetical by species code'!A:B, 2, FALSE)</f>
        <v>Brassica nigra</v>
      </c>
      <c r="M445" s="7" t="str">
        <f>VLOOKUP(L445, 'Alphabetical by species code'!B:C, 2, FALSE)</f>
        <v>Non-Native</v>
      </c>
    </row>
    <row r="446" spans="1:13" ht="15.75" customHeight="1" x14ac:dyDescent="0.25">
      <c r="A446" s="5">
        <v>9</v>
      </c>
      <c r="B446" s="5">
        <v>2023</v>
      </c>
      <c r="C446" s="63">
        <v>45197</v>
      </c>
      <c r="D446" s="14" t="s">
        <v>62</v>
      </c>
      <c r="E446" s="5" t="s">
        <v>63</v>
      </c>
      <c r="F446" s="5">
        <v>1</v>
      </c>
      <c r="G446" s="5" t="s">
        <v>26</v>
      </c>
      <c r="H446" s="5">
        <v>5</v>
      </c>
      <c r="I446" s="5">
        <v>1</v>
      </c>
      <c r="J446" s="5">
        <v>3</v>
      </c>
      <c r="K446" s="5" t="s">
        <v>27</v>
      </c>
      <c r="L446" s="7" t="str">
        <f>VLOOKUP(K446, 'Alphabetical by species code'!A:B, 2, FALSE)</f>
        <v>Litter</v>
      </c>
      <c r="M446" s="7" t="str">
        <f>VLOOKUP(L446, 'Alphabetical by species code'!B:C, 2, FALSE)</f>
        <v>Ground Cover</v>
      </c>
    </row>
    <row r="447" spans="1:13" ht="15.75" customHeight="1" x14ac:dyDescent="0.25">
      <c r="A447" s="5">
        <v>9</v>
      </c>
      <c r="B447" s="5">
        <v>2023</v>
      </c>
      <c r="C447" s="63">
        <v>45197</v>
      </c>
      <c r="D447" s="14" t="s">
        <v>62</v>
      </c>
      <c r="E447" s="5" t="s">
        <v>63</v>
      </c>
      <c r="F447" s="5">
        <v>1</v>
      </c>
      <c r="G447" s="5" t="s">
        <v>26</v>
      </c>
      <c r="H447" s="5">
        <v>6</v>
      </c>
      <c r="I447" s="5">
        <v>1</v>
      </c>
      <c r="J447" s="5">
        <v>3.5</v>
      </c>
      <c r="K447" s="5" t="s">
        <v>27</v>
      </c>
      <c r="L447" s="7" t="str">
        <f>VLOOKUP(K447, 'Alphabetical by species code'!A:B, 2, FALSE)</f>
        <v>Litter</v>
      </c>
      <c r="M447" s="7" t="str">
        <f>VLOOKUP(L447, 'Alphabetical by species code'!B:C, 2, FALSE)</f>
        <v>Ground Cover</v>
      </c>
    </row>
    <row r="448" spans="1:13" ht="15.75" customHeight="1" x14ac:dyDescent="0.25">
      <c r="A448" s="5">
        <v>9</v>
      </c>
      <c r="B448" s="5">
        <v>2023</v>
      </c>
      <c r="C448" s="63">
        <v>45197</v>
      </c>
      <c r="D448" s="14" t="s">
        <v>62</v>
      </c>
      <c r="E448" s="5" t="s">
        <v>63</v>
      </c>
      <c r="F448" s="5">
        <v>1</v>
      </c>
      <c r="G448" s="5" t="s">
        <v>26</v>
      </c>
      <c r="H448" s="5">
        <v>7</v>
      </c>
      <c r="I448" s="5">
        <v>1</v>
      </c>
      <c r="J448" s="5">
        <v>4</v>
      </c>
      <c r="K448" s="5" t="s">
        <v>27</v>
      </c>
      <c r="L448" s="7" t="str">
        <f>VLOOKUP(K448, 'Alphabetical by species code'!A:B, 2, FALSE)</f>
        <v>Litter</v>
      </c>
      <c r="M448" s="7" t="str">
        <f>VLOOKUP(L448, 'Alphabetical by species code'!B:C, 2, FALSE)</f>
        <v>Ground Cover</v>
      </c>
    </row>
    <row r="449" spans="1:14" ht="15.75" customHeight="1" x14ac:dyDescent="0.25">
      <c r="A449" s="5">
        <v>9</v>
      </c>
      <c r="B449" s="5">
        <v>2023</v>
      </c>
      <c r="C449" s="63">
        <v>45197</v>
      </c>
      <c r="D449" s="5" t="s">
        <v>62</v>
      </c>
      <c r="E449" s="5" t="s">
        <v>63</v>
      </c>
      <c r="F449" s="5">
        <v>1</v>
      </c>
      <c r="G449" s="5" t="s">
        <v>26</v>
      </c>
      <c r="H449" s="5">
        <v>8</v>
      </c>
      <c r="I449" s="5">
        <v>1</v>
      </c>
      <c r="J449" s="5">
        <v>5</v>
      </c>
      <c r="K449" s="5" t="s">
        <v>27</v>
      </c>
      <c r="L449" s="7" t="str">
        <f>VLOOKUP(K449, 'Alphabetical by species code'!A:B, 2, FALSE)</f>
        <v>Litter</v>
      </c>
      <c r="M449" s="7" t="str">
        <f>VLOOKUP(L449, 'Alphabetical by species code'!B:C, 2, FALSE)</f>
        <v>Ground Cover</v>
      </c>
    </row>
    <row r="450" spans="1:14" ht="15.75" customHeight="1" x14ac:dyDescent="0.25">
      <c r="A450" s="5">
        <v>9</v>
      </c>
      <c r="B450" s="5">
        <v>2023</v>
      </c>
      <c r="C450" s="63">
        <v>45197</v>
      </c>
      <c r="D450" s="5" t="s">
        <v>62</v>
      </c>
      <c r="E450" s="5" t="s">
        <v>63</v>
      </c>
      <c r="F450" s="5">
        <v>1</v>
      </c>
      <c r="G450" s="5" t="s">
        <v>26</v>
      </c>
      <c r="H450" s="5">
        <v>9</v>
      </c>
      <c r="I450" s="5">
        <v>1</v>
      </c>
      <c r="J450" s="5">
        <v>7</v>
      </c>
      <c r="K450" s="5" t="s">
        <v>35</v>
      </c>
      <c r="L450" s="7" t="str">
        <f>VLOOKUP(K450, 'Alphabetical by species code'!A:B, 2, FALSE)</f>
        <v>Bareground</v>
      </c>
      <c r="M450" s="7" t="str">
        <f>VLOOKUP(L450, 'Alphabetical by species code'!B:C, 2, FALSE)</f>
        <v>Ground Cover</v>
      </c>
    </row>
    <row r="451" spans="1:14" ht="15.75" customHeight="1" x14ac:dyDescent="0.25">
      <c r="A451" s="5">
        <v>9</v>
      </c>
      <c r="B451" s="5">
        <v>2023</v>
      </c>
      <c r="C451" s="63">
        <v>45197</v>
      </c>
      <c r="D451" s="14" t="s">
        <v>62</v>
      </c>
      <c r="E451" s="5" t="s">
        <v>63</v>
      </c>
      <c r="F451" s="5">
        <v>1</v>
      </c>
      <c r="G451" s="5" t="s">
        <v>26</v>
      </c>
      <c r="H451" s="5">
        <v>10</v>
      </c>
      <c r="I451" s="5">
        <v>1</v>
      </c>
      <c r="J451" s="5">
        <v>8</v>
      </c>
      <c r="K451" s="5" t="s">
        <v>35</v>
      </c>
      <c r="L451" s="7" t="str">
        <f>VLOOKUP(K451, 'Alphabetical by species code'!A:B, 2, FALSE)</f>
        <v>Bareground</v>
      </c>
      <c r="M451" s="7" t="str">
        <f>VLOOKUP(L451, 'Alphabetical by species code'!B:C, 2, FALSE)</f>
        <v>Ground Cover</v>
      </c>
    </row>
    <row r="452" spans="1:14" ht="15.75" customHeight="1" x14ac:dyDescent="0.25">
      <c r="A452" s="5">
        <v>9</v>
      </c>
      <c r="B452" s="5">
        <v>2023</v>
      </c>
      <c r="C452" s="63">
        <v>45197</v>
      </c>
      <c r="D452" s="14" t="s">
        <v>62</v>
      </c>
      <c r="E452" s="5" t="s">
        <v>63</v>
      </c>
      <c r="F452" s="5">
        <v>1</v>
      </c>
      <c r="G452" s="5" t="s">
        <v>26</v>
      </c>
      <c r="H452" s="5">
        <v>11</v>
      </c>
      <c r="I452" s="5">
        <v>1</v>
      </c>
      <c r="J452" s="5">
        <v>8.5</v>
      </c>
      <c r="K452" s="5" t="s">
        <v>27</v>
      </c>
      <c r="L452" s="7" t="str">
        <f>VLOOKUP(K452, 'Alphabetical by species code'!A:B, 2, FALSE)</f>
        <v>Litter</v>
      </c>
      <c r="M452" s="7" t="str">
        <f>VLOOKUP(L452, 'Alphabetical by species code'!B:C, 2, FALSE)</f>
        <v>Ground Cover</v>
      </c>
    </row>
    <row r="453" spans="1:14" ht="15.75" customHeight="1" x14ac:dyDescent="0.25">
      <c r="A453" s="5">
        <v>9</v>
      </c>
      <c r="B453" s="5">
        <v>2023</v>
      </c>
      <c r="C453" s="63">
        <v>45197</v>
      </c>
      <c r="D453" s="14" t="s">
        <v>62</v>
      </c>
      <c r="E453" s="5" t="s">
        <v>63</v>
      </c>
      <c r="F453" s="5">
        <v>1</v>
      </c>
      <c r="G453" s="5" t="s">
        <v>26</v>
      </c>
      <c r="H453" s="5">
        <v>12</v>
      </c>
      <c r="I453" s="5">
        <v>1</v>
      </c>
      <c r="J453" s="5">
        <v>9</v>
      </c>
      <c r="K453" s="5" t="s">
        <v>35</v>
      </c>
      <c r="L453" s="7" t="str">
        <f>VLOOKUP(K453, 'Alphabetical by species code'!A:B, 2, FALSE)</f>
        <v>Bareground</v>
      </c>
      <c r="M453" s="7" t="str">
        <f>VLOOKUP(L453, 'Alphabetical by species code'!B:C, 2, FALSE)</f>
        <v>Ground Cover</v>
      </c>
    </row>
    <row r="454" spans="1:14" ht="15.75" customHeight="1" x14ac:dyDescent="0.25">
      <c r="A454" s="5">
        <v>9</v>
      </c>
      <c r="B454" s="5">
        <v>2023</v>
      </c>
      <c r="C454" s="63">
        <v>45197</v>
      </c>
      <c r="D454" s="5" t="s">
        <v>62</v>
      </c>
      <c r="E454" s="5" t="s">
        <v>63</v>
      </c>
      <c r="F454" s="5">
        <v>1</v>
      </c>
      <c r="G454" s="5" t="s">
        <v>26</v>
      </c>
      <c r="H454" s="5">
        <v>13</v>
      </c>
      <c r="I454" s="5">
        <v>1</v>
      </c>
      <c r="J454" s="5">
        <v>10</v>
      </c>
      <c r="K454" s="5" t="s">
        <v>27</v>
      </c>
      <c r="L454" s="7" t="str">
        <f>VLOOKUP(K454, 'Alphabetical by species code'!A:B, 2, FALSE)</f>
        <v>Litter</v>
      </c>
      <c r="M454" s="7" t="str">
        <f>VLOOKUP(L454, 'Alphabetical by species code'!B:C, 2, FALSE)</f>
        <v>Ground Cover</v>
      </c>
    </row>
    <row r="455" spans="1:14" ht="15.75" customHeight="1" x14ac:dyDescent="0.25">
      <c r="A455" s="5">
        <v>9</v>
      </c>
      <c r="B455" s="5">
        <v>2023</v>
      </c>
      <c r="C455" s="63">
        <v>45197</v>
      </c>
      <c r="D455" s="5" t="s">
        <v>62</v>
      </c>
      <c r="E455" s="5" t="s">
        <v>63</v>
      </c>
      <c r="F455" s="5">
        <v>1</v>
      </c>
      <c r="G455" s="5" t="s">
        <v>26</v>
      </c>
      <c r="H455" s="5">
        <v>14</v>
      </c>
      <c r="I455" s="5">
        <v>1</v>
      </c>
      <c r="J455" s="5">
        <v>11</v>
      </c>
      <c r="K455" s="5" t="s">
        <v>27</v>
      </c>
      <c r="L455" s="7" t="str">
        <f>VLOOKUP(K455, 'Alphabetical by species code'!A:B, 2, FALSE)</f>
        <v>Litter</v>
      </c>
      <c r="M455" s="7" t="str">
        <f>VLOOKUP(L455, 'Alphabetical by species code'!B:C, 2, FALSE)</f>
        <v>Ground Cover</v>
      </c>
    </row>
    <row r="456" spans="1:14" ht="15.75" customHeight="1" x14ac:dyDescent="0.25">
      <c r="A456" s="5">
        <v>9</v>
      </c>
      <c r="B456" s="5">
        <v>2023</v>
      </c>
      <c r="C456" s="63">
        <v>45197</v>
      </c>
      <c r="D456" s="14" t="s">
        <v>62</v>
      </c>
      <c r="E456" s="5" t="s">
        <v>63</v>
      </c>
      <c r="F456" s="5">
        <v>1</v>
      </c>
      <c r="G456" s="5" t="s">
        <v>26</v>
      </c>
      <c r="H456" s="5">
        <v>15</v>
      </c>
      <c r="I456" s="5">
        <v>1</v>
      </c>
      <c r="J456" s="5">
        <v>12</v>
      </c>
      <c r="K456" s="5" t="s">
        <v>27</v>
      </c>
      <c r="L456" s="7" t="str">
        <f>VLOOKUP(K456, 'Alphabetical by species code'!A:B, 2, FALSE)</f>
        <v>Litter</v>
      </c>
      <c r="M456" s="7" t="str">
        <f>VLOOKUP(L456, 'Alphabetical by species code'!B:C, 2, FALSE)</f>
        <v>Ground Cover</v>
      </c>
    </row>
    <row r="457" spans="1:14" ht="15.75" customHeight="1" x14ac:dyDescent="0.25">
      <c r="A457" s="5">
        <v>9</v>
      </c>
      <c r="B457" s="5">
        <v>2023</v>
      </c>
      <c r="C457" s="63">
        <v>45197</v>
      </c>
      <c r="D457" s="14" t="s">
        <v>62</v>
      </c>
      <c r="E457" s="5" t="s">
        <v>63</v>
      </c>
      <c r="F457" s="5">
        <v>1</v>
      </c>
      <c r="G457" s="5" t="s">
        <v>26</v>
      </c>
      <c r="H457" s="5">
        <v>15</v>
      </c>
      <c r="I457" s="5">
        <v>1</v>
      </c>
      <c r="J457" s="5">
        <v>12</v>
      </c>
      <c r="K457" s="5" t="s">
        <v>29</v>
      </c>
      <c r="L457" s="7" t="str">
        <f>VLOOKUP(K457, 'Alphabetical by species code'!A:B, 2, FALSE)</f>
        <v>Opuntia littoralis</v>
      </c>
      <c r="M457" s="7" t="str">
        <f>VLOOKUP(L457, 'Alphabetical by species code'!B:C, 2, FALSE)</f>
        <v>Native</v>
      </c>
    </row>
    <row r="458" spans="1:14" ht="15.75" customHeight="1" x14ac:dyDescent="0.25">
      <c r="A458" s="5">
        <v>9</v>
      </c>
      <c r="B458" s="5">
        <v>2023</v>
      </c>
      <c r="C458" s="63">
        <v>45197</v>
      </c>
      <c r="D458" s="14" t="s">
        <v>62</v>
      </c>
      <c r="E458" s="5" t="s">
        <v>63</v>
      </c>
      <c r="F458" s="5">
        <v>1</v>
      </c>
      <c r="G458" s="5" t="s">
        <v>26</v>
      </c>
      <c r="H458" s="5">
        <v>15</v>
      </c>
      <c r="I458" s="5">
        <v>1</v>
      </c>
      <c r="J458" s="5">
        <v>12</v>
      </c>
      <c r="K458" s="5" t="s">
        <v>64</v>
      </c>
      <c r="L458" s="7" t="str">
        <f>VLOOKUP(K458, 'Alphabetical by species code'!A:B, 2, FALSE)</f>
        <v>Convolvulus arvensis</v>
      </c>
      <c r="M458" s="7" t="str">
        <f>VLOOKUP(L458, 'Alphabetical by species code'!B:C, 2, FALSE)</f>
        <v>Non-Native</v>
      </c>
      <c r="N458" s="7" t="s">
        <v>65</v>
      </c>
    </row>
    <row r="459" spans="1:14" ht="15.75" customHeight="1" x14ac:dyDescent="0.25">
      <c r="A459" s="5">
        <v>9</v>
      </c>
      <c r="B459" s="5">
        <v>2023</v>
      </c>
      <c r="C459" s="63">
        <v>45197</v>
      </c>
      <c r="D459" s="5" t="s">
        <v>62</v>
      </c>
      <c r="E459" s="5" t="s">
        <v>63</v>
      </c>
      <c r="F459" s="5">
        <v>1</v>
      </c>
      <c r="G459" s="5" t="s">
        <v>26</v>
      </c>
      <c r="H459" s="5">
        <v>1</v>
      </c>
      <c r="I459" s="5">
        <v>2</v>
      </c>
      <c r="J459" s="5">
        <v>0</v>
      </c>
      <c r="K459" s="5" t="s">
        <v>27</v>
      </c>
      <c r="L459" s="7" t="str">
        <f>VLOOKUP(K459, 'Alphabetical by species code'!A:B, 2, FALSE)</f>
        <v>Litter</v>
      </c>
      <c r="M459" s="7" t="str">
        <f>VLOOKUP(L459, 'Alphabetical by species code'!B:C, 2, FALSE)</f>
        <v>Ground Cover</v>
      </c>
    </row>
    <row r="460" spans="1:14" ht="15.75" customHeight="1" x14ac:dyDescent="0.25">
      <c r="A460" s="5">
        <v>9</v>
      </c>
      <c r="B460" s="5">
        <v>2023</v>
      </c>
      <c r="C460" s="63">
        <v>45197</v>
      </c>
      <c r="D460" s="5" t="s">
        <v>62</v>
      </c>
      <c r="E460" s="5" t="s">
        <v>63</v>
      </c>
      <c r="F460" s="5">
        <v>1</v>
      </c>
      <c r="G460" s="5" t="s">
        <v>26</v>
      </c>
      <c r="H460" s="5">
        <v>1</v>
      </c>
      <c r="I460" s="5">
        <v>2</v>
      </c>
      <c r="J460" s="5">
        <v>0</v>
      </c>
      <c r="K460" s="5" t="s">
        <v>29</v>
      </c>
      <c r="L460" s="7" t="str">
        <f>VLOOKUP(K460, 'Alphabetical by species code'!A:B, 2, FALSE)</f>
        <v>Opuntia littoralis</v>
      </c>
      <c r="M460" s="7" t="str">
        <f>VLOOKUP(L460, 'Alphabetical by species code'!B:C, 2, FALSE)</f>
        <v>Native</v>
      </c>
    </row>
    <row r="461" spans="1:14" ht="15.75" customHeight="1" x14ac:dyDescent="0.25">
      <c r="A461" s="5">
        <v>9</v>
      </c>
      <c r="B461" s="5">
        <v>2023</v>
      </c>
      <c r="C461" s="63">
        <v>45197</v>
      </c>
      <c r="D461" s="14" t="s">
        <v>62</v>
      </c>
      <c r="E461" s="5" t="s">
        <v>63</v>
      </c>
      <c r="F461" s="5">
        <v>1</v>
      </c>
      <c r="G461" s="5" t="s">
        <v>26</v>
      </c>
      <c r="H461" s="11">
        <v>2</v>
      </c>
      <c r="I461" s="11">
        <v>2</v>
      </c>
      <c r="J461" s="11">
        <v>1</v>
      </c>
      <c r="K461" s="8" t="s">
        <v>27</v>
      </c>
      <c r="L461" s="7" t="str">
        <f>VLOOKUP(K461, 'Alphabetical by species code'!A:B, 2, FALSE)</f>
        <v>Litter</v>
      </c>
      <c r="M461" s="7" t="str">
        <f>VLOOKUP(L461, 'Alphabetical by species code'!B:C, 2, FALSE)</f>
        <v>Ground Cover</v>
      </c>
    </row>
    <row r="462" spans="1:14" ht="15.75" customHeight="1" x14ac:dyDescent="0.25">
      <c r="A462" s="5">
        <v>9</v>
      </c>
      <c r="B462" s="5">
        <v>2023</v>
      </c>
      <c r="C462" s="63">
        <v>45197</v>
      </c>
      <c r="D462" s="14" t="s">
        <v>62</v>
      </c>
      <c r="E462" s="5" t="s">
        <v>63</v>
      </c>
      <c r="F462" s="5">
        <v>1</v>
      </c>
      <c r="G462" s="5" t="s">
        <v>26</v>
      </c>
      <c r="H462" s="11">
        <v>3</v>
      </c>
      <c r="I462" s="11">
        <v>2</v>
      </c>
      <c r="J462" s="11">
        <v>1.5</v>
      </c>
      <c r="K462" s="8" t="s">
        <v>32</v>
      </c>
      <c r="L462" s="7" t="str">
        <f>VLOOKUP(K462, 'Alphabetical by species code'!A:B, 2, FALSE)</f>
        <v>Rock</v>
      </c>
      <c r="M462" s="7" t="str">
        <f>VLOOKUP(L462, 'Alphabetical by species code'!B:C, 2, FALSE)</f>
        <v>Ground Cover</v>
      </c>
    </row>
    <row r="463" spans="1:14" ht="15.75" customHeight="1" x14ac:dyDescent="0.25">
      <c r="A463" s="5">
        <v>9</v>
      </c>
      <c r="B463" s="5">
        <v>2023</v>
      </c>
      <c r="C463" s="63">
        <v>45197</v>
      </c>
      <c r="D463" s="14" t="s">
        <v>62</v>
      </c>
      <c r="E463" s="5" t="s">
        <v>63</v>
      </c>
      <c r="F463" s="5">
        <v>1</v>
      </c>
      <c r="G463" s="5" t="s">
        <v>26</v>
      </c>
      <c r="H463" s="11">
        <v>4</v>
      </c>
      <c r="I463" s="11">
        <v>2</v>
      </c>
      <c r="J463" s="11">
        <v>2</v>
      </c>
      <c r="K463" s="8" t="s">
        <v>35</v>
      </c>
      <c r="L463" s="7" t="str">
        <f>VLOOKUP(K463, 'Alphabetical by species code'!A:B, 2, FALSE)</f>
        <v>Bareground</v>
      </c>
      <c r="M463" s="7" t="str">
        <f>VLOOKUP(L463, 'Alphabetical by species code'!B:C, 2, FALSE)</f>
        <v>Ground Cover</v>
      </c>
    </row>
    <row r="464" spans="1:14" ht="15.75" customHeight="1" x14ac:dyDescent="0.25">
      <c r="A464" s="5">
        <v>9</v>
      </c>
      <c r="B464" s="5">
        <v>2023</v>
      </c>
      <c r="C464" s="63">
        <v>45197</v>
      </c>
      <c r="D464" s="14" t="s">
        <v>62</v>
      </c>
      <c r="E464" s="5" t="s">
        <v>63</v>
      </c>
      <c r="F464" s="5">
        <v>1</v>
      </c>
      <c r="G464" s="5" t="s">
        <v>26</v>
      </c>
      <c r="H464" s="11">
        <v>5</v>
      </c>
      <c r="I464" s="11">
        <v>2</v>
      </c>
      <c r="J464" s="11">
        <v>3</v>
      </c>
      <c r="K464" s="8" t="s">
        <v>27</v>
      </c>
      <c r="L464" s="7" t="str">
        <f>VLOOKUP(K464, 'Alphabetical by species code'!A:B, 2, FALSE)</f>
        <v>Litter</v>
      </c>
      <c r="M464" s="7" t="str">
        <f>VLOOKUP(L464, 'Alphabetical by species code'!B:C, 2, FALSE)</f>
        <v>Ground Cover</v>
      </c>
    </row>
    <row r="465" spans="1:13" ht="15.75" customHeight="1" x14ac:dyDescent="0.25">
      <c r="A465" s="5">
        <v>9</v>
      </c>
      <c r="B465" s="5">
        <v>2023</v>
      </c>
      <c r="C465" s="63">
        <v>45197</v>
      </c>
      <c r="D465" s="5" t="s">
        <v>62</v>
      </c>
      <c r="E465" s="5" t="s">
        <v>63</v>
      </c>
      <c r="F465" s="5">
        <v>1</v>
      </c>
      <c r="G465" s="5" t="s">
        <v>26</v>
      </c>
      <c r="H465" s="5">
        <v>6</v>
      </c>
      <c r="I465" s="5">
        <v>2</v>
      </c>
      <c r="J465" s="5">
        <v>3.5</v>
      </c>
      <c r="K465" s="5" t="s">
        <v>35</v>
      </c>
      <c r="L465" s="7" t="str">
        <f>VLOOKUP(K465, 'Alphabetical by species code'!A:B, 2, FALSE)</f>
        <v>Bareground</v>
      </c>
      <c r="M465" s="7" t="str">
        <f>VLOOKUP(L465, 'Alphabetical by species code'!B:C, 2, FALSE)</f>
        <v>Ground Cover</v>
      </c>
    </row>
    <row r="466" spans="1:13" ht="15.75" customHeight="1" x14ac:dyDescent="0.25">
      <c r="A466" s="5">
        <v>9</v>
      </c>
      <c r="B466" s="5">
        <v>2023</v>
      </c>
      <c r="C466" s="63">
        <v>45197</v>
      </c>
      <c r="D466" s="5" t="s">
        <v>62</v>
      </c>
      <c r="E466" s="5" t="s">
        <v>63</v>
      </c>
      <c r="F466" s="5">
        <v>1</v>
      </c>
      <c r="G466" s="5" t="s">
        <v>26</v>
      </c>
      <c r="H466" s="5">
        <v>7</v>
      </c>
      <c r="I466" s="5">
        <v>2</v>
      </c>
      <c r="J466" s="5">
        <v>4</v>
      </c>
      <c r="K466" s="5" t="s">
        <v>27</v>
      </c>
      <c r="L466" s="7" t="str">
        <f>VLOOKUP(K466, 'Alphabetical by species code'!A:B, 2, FALSE)</f>
        <v>Litter</v>
      </c>
      <c r="M466" s="7" t="str">
        <f>VLOOKUP(L466, 'Alphabetical by species code'!B:C, 2, FALSE)</f>
        <v>Ground Cover</v>
      </c>
    </row>
    <row r="467" spans="1:13" ht="15.75" customHeight="1" x14ac:dyDescent="0.25">
      <c r="A467" s="5">
        <v>9</v>
      </c>
      <c r="B467" s="5">
        <v>2023</v>
      </c>
      <c r="C467" s="63">
        <v>45197</v>
      </c>
      <c r="D467" s="14" t="s">
        <v>62</v>
      </c>
      <c r="E467" s="5" t="s">
        <v>63</v>
      </c>
      <c r="F467" s="5">
        <v>1</v>
      </c>
      <c r="G467" s="5" t="s">
        <v>26</v>
      </c>
      <c r="H467" s="5">
        <v>8</v>
      </c>
      <c r="I467" s="5">
        <v>2</v>
      </c>
      <c r="J467" s="5">
        <v>5</v>
      </c>
      <c r="K467" s="5" t="s">
        <v>35</v>
      </c>
      <c r="L467" s="7" t="str">
        <f>VLOOKUP(K467, 'Alphabetical by species code'!A:B, 2, FALSE)</f>
        <v>Bareground</v>
      </c>
      <c r="M467" s="7" t="str">
        <f>VLOOKUP(L467, 'Alphabetical by species code'!B:C, 2, FALSE)</f>
        <v>Ground Cover</v>
      </c>
    </row>
    <row r="468" spans="1:13" ht="15.75" customHeight="1" x14ac:dyDescent="0.25">
      <c r="A468" s="5">
        <v>9</v>
      </c>
      <c r="B468" s="5">
        <v>2023</v>
      </c>
      <c r="C468" s="63">
        <v>45197</v>
      </c>
      <c r="D468" s="14" t="s">
        <v>62</v>
      </c>
      <c r="E468" s="5" t="s">
        <v>63</v>
      </c>
      <c r="F468" s="5">
        <v>1</v>
      </c>
      <c r="G468" s="5" t="s">
        <v>26</v>
      </c>
      <c r="H468" s="5">
        <v>9</v>
      </c>
      <c r="I468" s="5">
        <v>2</v>
      </c>
      <c r="J468" s="5">
        <v>7</v>
      </c>
      <c r="K468" s="5" t="s">
        <v>27</v>
      </c>
      <c r="L468" s="7" t="str">
        <f>VLOOKUP(K468, 'Alphabetical by species code'!A:B, 2, FALSE)</f>
        <v>Litter</v>
      </c>
      <c r="M468" s="7" t="str">
        <f>VLOOKUP(L468, 'Alphabetical by species code'!B:C, 2, FALSE)</f>
        <v>Ground Cover</v>
      </c>
    </row>
    <row r="469" spans="1:13" ht="15.75" customHeight="1" x14ac:dyDescent="0.25">
      <c r="A469" s="5">
        <v>9</v>
      </c>
      <c r="B469" s="5">
        <v>2023</v>
      </c>
      <c r="C469" s="63">
        <v>45197</v>
      </c>
      <c r="D469" s="14" t="s">
        <v>62</v>
      </c>
      <c r="E469" s="5" t="s">
        <v>63</v>
      </c>
      <c r="F469" s="5">
        <v>1</v>
      </c>
      <c r="G469" s="5" t="s">
        <v>26</v>
      </c>
      <c r="H469" s="5">
        <v>10</v>
      </c>
      <c r="I469" s="5">
        <v>2</v>
      </c>
      <c r="J469" s="5">
        <v>8</v>
      </c>
      <c r="K469" s="5" t="s">
        <v>27</v>
      </c>
      <c r="L469" s="7" t="str">
        <f>VLOOKUP(K469, 'Alphabetical by species code'!A:B, 2, FALSE)</f>
        <v>Litter</v>
      </c>
      <c r="M469" s="7" t="str">
        <f>VLOOKUP(L469, 'Alphabetical by species code'!B:C, 2, FALSE)</f>
        <v>Ground Cover</v>
      </c>
    </row>
    <row r="470" spans="1:13" ht="15.75" customHeight="1" x14ac:dyDescent="0.25">
      <c r="A470" s="5">
        <v>9</v>
      </c>
      <c r="B470" s="5">
        <v>2023</v>
      </c>
      <c r="C470" s="63">
        <v>45197</v>
      </c>
      <c r="D470" s="5" t="s">
        <v>62</v>
      </c>
      <c r="E470" s="5" t="s">
        <v>63</v>
      </c>
      <c r="F470" s="5">
        <v>1</v>
      </c>
      <c r="G470" s="5" t="s">
        <v>26</v>
      </c>
      <c r="H470" s="5">
        <v>11</v>
      </c>
      <c r="I470" s="5">
        <v>2</v>
      </c>
      <c r="J470" s="5">
        <v>8.5</v>
      </c>
      <c r="K470" s="5" t="s">
        <v>35</v>
      </c>
      <c r="L470" s="7" t="str">
        <f>VLOOKUP(K470, 'Alphabetical by species code'!A:B, 2, FALSE)</f>
        <v>Bareground</v>
      </c>
      <c r="M470" s="7" t="str">
        <f>VLOOKUP(L470, 'Alphabetical by species code'!B:C, 2, FALSE)</f>
        <v>Ground Cover</v>
      </c>
    </row>
    <row r="471" spans="1:13" ht="15.75" customHeight="1" x14ac:dyDescent="0.25">
      <c r="A471" s="5">
        <v>9</v>
      </c>
      <c r="B471" s="5">
        <v>2023</v>
      </c>
      <c r="C471" s="63">
        <v>45197</v>
      </c>
      <c r="D471" s="5" t="s">
        <v>62</v>
      </c>
      <c r="E471" s="5" t="s">
        <v>63</v>
      </c>
      <c r="F471" s="5">
        <v>1</v>
      </c>
      <c r="G471" s="5" t="s">
        <v>26</v>
      </c>
      <c r="H471" s="5">
        <v>12</v>
      </c>
      <c r="I471" s="5">
        <v>2</v>
      </c>
      <c r="J471" s="5">
        <v>9</v>
      </c>
      <c r="K471" s="5" t="s">
        <v>35</v>
      </c>
      <c r="L471" s="7" t="str">
        <f>VLOOKUP(K471, 'Alphabetical by species code'!A:B, 2, FALSE)</f>
        <v>Bareground</v>
      </c>
      <c r="M471" s="7" t="str">
        <f>VLOOKUP(L471, 'Alphabetical by species code'!B:C, 2, FALSE)</f>
        <v>Ground Cover</v>
      </c>
    </row>
    <row r="472" spans="1:13" ht="15.75" customHeight="1" x14ac:dyDescent="0.25">
      <c r="A472" s="5">
        <v>9</v>
      </c>
      <c r="B472" s="5">
        <v>2023</v>
      </c>
      <c r="C472" s="63">
        <v>45197</v>
      </c>
      <c r="D472" s="14" t="s">
        <v>62</v>
      </c>
      <c r="E472" s="5" t="s">
        <v>63</v>
      </c>
      <c r="F472" s="5">
        <v>1</v>
      </c>
      <c r="G472" s="5" t="s">
        <v>26</v>
      </c>
      <c r="H472" s="5">
        <v>13</v>
      </c>
      <c r="I472" s="5">
        <v>2</v>
      </c>
      <c r="J472" s="5">
        <v>10</v>
      </c>
      <c r="K472" s="5" t="s">
        <v>35</v>
      </c>
      <c r="L472" s="7" t="str">
        <f>VLOOKUP(K472, 'Alphabetical by species code'!A:B, 2, FALSE)</f>
        <v>Bareground</v>
      </c>
      <c r="M472" s="7" t="str">
        <f>VLOOKUP(L472, 'Alphabetical by species code'!B:C, 2, FALSE)</f>
        <v>Ground Cover</v>
      </c>
    </row>
    <row r="473" spans="1:13" ht="15.75" customHeight="1" x14ac:dyDescent="0.25">
      <c r="A473" s="5">
        <v>9</v>
      </c>
      <c r="B473" s="5">
        <v>2023</v>
      </c>
      <c r="C473" s="63">
        <v>45197</v>
      </c>
      <c r="D473" s="14" t="s">
        <v>62</v>
      </c>
      <c r="E473" s="5" t="s">
        <v>63</v>
      </c>
      <c r="F473" s="5">
        <v>1</v>
      </c>
      <c r="G473" s="5" t="s">
        <v>26</v>
      </c>
      <c r="H473" s="5">
        <v>14</v>
      </c>
      <c r="I473" s="5">
        <v>2</v>
      </c>
      <c r="J473" s="5">
        <v>11</v>
      </c>
      <c r="K473" s="5" t="s">
        <v>27</v>
      </c>
      <c r="L473" s="7" t="str">
        <f>VLOOKUP(K473, 'Alphabetical by species code'!A:B, 2, FALSE)</f>
        <v>Litter</v>
      </c>
      <c r="M473" s="7" t="str">
        <f>VLOOKUP(L473, 'Alphabetical by species code'!B:C, 2, FALSE)</f>
        <v>Ground Cover</v>
      </c>
    </row>
    <row r="474" spans="1:13" ht="15.75" customHeight="1" x14ac:dyDescent="0.25">
      <c r="A474" s="5">
        <v>9</v>
      </c>
      <c r="B474" s="5">
        <v>2023</v>
      </c>
      <c r="C474" s="63">
        <v>45197</v>
      </c>
      <c r="D474" s="14" t="s">
        <v>62</v>
      </c>
      <c r="E474" s="5" t="s">
        <v>63</v>
      </c>
      <c r="F474" s="5">
        <v>1</v>
      </c>
      <c r="G474" s="5" t="s">
        <v>26</v>
      </c>
      <c r="H474" s="5">
        <v>15</v>
      </c>
      <c r="I474" s="5">
        <v>2</v>
      </c>
      <c r="J474" s="5">
        <v>12</v>
      </c>
      <c r="K474" s="5" t="s">
        <v>35</v>
      </c>
      <c r="L474" s="7" t="str">
        <f>VLOOKUP(K474, 'Alphabetical by species code'!A:B, 2, FALSE)</f>
        <v>Bareground</v>
      </c>
      <c r="M474" s="7" t="str">
        <f>VLOOKUP(L474, 'Alphabetical by species code'!B:C, 2, FALSE)</f>
        <v>Ground Cover</v>
      </c>
    </row>
    <row r="475" spans="1:13" ht="15.75" customHeight="1" x14ac:dyDescent="0.25">
      <c r="A475" s="5">
        <v>9</v>
      </c>
      <c r="B475" s="5">
        <v>2023</v>
      </c>
      <c r="C475" s="63">
        <v>45197</v>
      </c>
      <c r="D475" s="14" t="s">
        <v>62</v>
      </c>
      <c r="E475" s="5" t="s">
        <v>63</v>
      </c>
      <c r="F475" s="5">
        <v>1</v>
      </c>
      <c r="G475" s="5" t="s">
        <v>26</v>
      </c>
      <c r="H475" s="5">
        <v>15</v>
      </c>
      <c r="I475" s="5">
        <v>2</v>
      </c>
      <c r="J475" s="5">
        <v>12</v>
      </c>
      <c r="K475" s="5" t="s">
        <v>33</v>
      </c>
      <c r="L475" s="7" t="str">
        <f>VLOOKUP(K475, 'Alphabetical by species code'!A:B, 2, FALSE)</f>
        <v>Cylindropuntia prolifera</v>
      </c>
      <c r="M475" s="7" t="str">
        <f>VLOOKUP(L475, 'Alphabetical by species code'!B:C, 2, FALSE)</f>
        <v>Native</v>
      </c>
    </row>
    <row r="476" spans="1:13" ht="15.75" customHeight="1" x14ac:dyDescent="0.25">
      <c r="A476" s="5">
        <v>10</v>
      </c>
      <c r="B476" s="5">
        <v>2023</v>
      </c>
      <c r="C476" s="63">
        <v>45197</v>
      </c>
      <c r="D476" s="14" t="s">
        <v>62</v>
      </c>
      <c r="E476" s="5" t="s">
        <v>63</v>
      </c>
      <c r="F476" s="5">
        <v>1</v>
      </c>
      <c r="G476" s="5" t="s">
        <v>36</v>
      </c>
      <c r="H476" s="5">
        <v>1</v>
      </c>
      <c r="I476" s="5">
        <v>1</v>
      </c>
      <c r="J476" s="5">
        <v>0</v>
      </c>
      <c r="K476" s="5" t="s">
        <v>35</v>
      </c>
      <c r="L476" s="7" t="str">
        <f>VLOOKUP(K476, 'Alphabetical by species code'!A:B, 2, FALSE)</f>
        <v>Bareground</v>
      </c>
      <c r="M476" s="7" t="str">
        <f>VLOOKUP(L476, 'Alphabetical by species code'!B:C, 2, FALSE)</f>
        <v>Ground Cover</v>
      </c>
    </row>
    <row r="477" spans="1:13" ht="15.75" customHeight="1" x14ac:dyDescent="0.25">
      <c r="A477" s="5">
        <v>10</v>
      </c>
      <c r="B477" s="5">
        <v>2023</v>
      </c>
      <c r="C477" s="63">
        <v>45197</v>
      </c>
      <c r="D477" s="5" t="s">
        <v>62</v>
      </c>
      <c r="E477" s="5" t="s">
        <v>63</v>
      </c>
      <c r="F477" s="5">
        <v>1</v>
      </c>
      <c r="G477" s="5" t="s">
        <v>36</v>
      </c>
      <c r="H477" s="5">
        <v>1</v>
      </c>
      <c r="I477" s="5">
        <v>1</v>
      </c>
      <c r="J477" s="5">
        <v>0</v>
      </c>
      <c r="K477" s="5" t="s">
        <v>55</v>
      </c>
      <c r="L477" s="7" t="str">
        <f>VLOOKUP(K477, 'Alphabetical by species code'!A:B, 2, FALSE)</f>
        <v>Brassica nigra</v>
      </c>
      <c r="M477" s="7" t="str">
        <f>VLOOKUP(L477, 'Alphabetical by species code'!B:C, 2, FALSE)</f>
        <v>Non-Native</v>
      </c>
    </row>
    <row r="478" spans="1:13" ht="15.75" customHeight="1" x14ac:dyDescent="0.25">
      <c r="A478" s="5">
        <v>10</v>
      </c>
      <c r="B478" s="5">
        <v>2023</v>
      </c>
      <c r="C478" s="63">
        <v>45197</v>
      </c>
      <c r="D478" s="5" t="s">
        <v>62</v>
      </c>
      <c r="E478" s="5" t="s">
        <v>63</v>
      </c>
      <c r="F478" s="5">
        <v>1</v>
      </c>
      <c r="G478" s="5" t="s">
        <v>36</v>
      </c>
      <c r="H478" s="5">
        <v>2</v>
      </c>
      <c r="I478" s="5">
        <v>1</v>
      </c>
      <c r="J478" s="5">
        <v>1</v>
      </c>
      <c r="K478" s="5" t="s">
        <v>35</v>
      </c>
      <c r="L478" s="7" t="str">
        <f>VLOOKUP(K478, 'Alphabetical by species code'!A:B, 2, FALSE)</f>
        <v>Bareground</v>
      </c>
      <c r="M478" s="7" t="str">
        <f>VLOOKUP(L478, 'Alphabetical by species code'!B:C, 2, FALSE)</f>
        <v>Ground Cover</v>
      </c>
    </row>
    <row r="479" spans="1:13" ht="15.75" customHeight="1" x14ac:dyDescent="0.25">
      <c r="A479" s="5">
        <v>10</v>
      </c>
      <c r="B479" s="5">
        <v>2023</v>
      </c>
      <c r="C479" s="63">
        <v>45197</v>
      </c>
      <c r="D479" s="14" t="s">
        <v>62</v>
      </c>
      <c r="E479" s="5" t="s">
        <v>63</v>
      </c>
      <c r="F479" s="5">
        <v>1</v>
      </c>
      <c r="G479" s="5" t="s">
        <v>36</v>
      </c>
      <c r="H479" s="5">
        <v>2</v>
      </c>
      <c r="I479" s="5">
        <v>1</v>
      </c>
      <c r="J479" s="5">
        <v>1</v>
      </c>
      <c r="K479" s="5" t="s">
        <v>33</v>
      </c>
      <c r="L479" s="7" t="str">
        <f>VLOOKUP(K479, 'Alphabetical by species code'!A:B, 2, FALSE)</f>
        <v>Cylindropuntia prolifera</v>
      </c>
      <c r="M479" s="7" t="str">
        <f>VLOOKUP(L479, 'Alphabetical by species code'!B:C, 2, FALSE)</f>
        <v>Native</v>
      </c>
    </row>
    <row r="480" spans="1:13" ht="15.75" customHeight="1" x14ac:dyDescent="0.25">
      <c r="A480" s="5">
        <v>10</v>
      </c>
      <c r="B480" s="5">
        <v>2023</v>
      </c>
      <c r="C480" s="63">
        <v>45197</v>
      </c>
      <c r="D480" s="14" t="s">
        <v>62</v>
      </c>
      <c r="E480" s="5" t="s">
        <v>63</v>
      </c>
      <c r="F480" s="5">
        <v>1</v>
      </c>
      <c r="G480" s="5" t="s">
        <v>36</v>
      </c>
      <c r="H480" s="5">
        <v>3</v>
      </c>
      <c r="I480" s="5">
        <v>1</v>
      </c>
      <c r="J480" s="5">
        <v>1.5</v>
      </c>
      <c r="K480" s="5" t="s">
        <v>27</v>
      </c>
      <c r="L480" s="7" t="str">
        <f>VLOOKUP(K480, 'Alphabetical by species code'!A:B, 2, FALSE)</f>
        <v>Litter</v>
      </c>
      <c r="M480" s="7" t="str">
        <f>VLOOKUP(L480, 'Alphabetical by species code'!B:C, 2, FALSE)</f>
        <v>Ground Cover</v>
      </c>
    </row>
    <row r="481" spans="1:13" ht="15.75" customHeight="1" x14ac:dyDescent="0.25">
      <c r="A481" s="5">
        <v>10</v>
      </c>
      <c r="B481" s="5">
        <v>2023</v>
      </c>
      <c r="C481" s="63">
        <v>45197</v>
      </c>
      <c r="D481" s="14" t="s">
        <v>62</v>
      </c>
      <c r="E481" s="5" t="s">
        <v>63</v>
      </c>
      <c r="F481" s="5">
        <v>1</v>
      </c>
      <c r="G481" s="5" t="s">
        <v>36</v>
      </c>
      <c r="H481" s="5">
        <v>4</v>
      </c>
      <c r="I481" s="5">
        <v>1</v>
      </c>
      <c r="J481" s="5">
        <v>2</v>
      </c>
      <c r="K481" s="5" t="s">
        <v>35</v>
      </c>
      <c r="L481" s="7" t="str">
        <f>VLOOKUP(K481, 'Alphabetical by species code'!A:B, 2, FALSE)</f>
        <v>Bareground</v>
      </c>
      <c r="M481" s="7" t="str">
        <f>VLOOKUP(L481, 'Alphabetical by species code'!B:C, 2, FALSE)</f>
        <v>Ground Cover</v>
      </c>
    </row>
    <row r="482" spans="1:13" ht="15.75" customHeight="1" x14ac:dyDescent="0.25">
      <c r="A482" s="5">
        <v>10</v>
      </c>
      <c r="B482" s="5">
        <v>2023</v>
      </c>
      <c r="C482" s="63">
        <v>45197</v>
      </c>
      <c r="D482" s="5" t="s">
        <v>62</v>
      </c>
      <c r="E482" s="5" t="s">
        <v>63</v>
      </c>
      <c r="F482" s="5">
        <v>1</v>
      </c>
      <c r="G482" s="5" t="s">
        <v>36</v>
      </c>
      <c r="H482" s="5">
        <v>5</v>
      </c>
      <c r="I482" s="5">
        <v>1</v>
      </c>
      <c r="J482" s="5">
        <v>3</v>
      </c>
      <c r="K482" s="5" t="s">
        <v>35</v>
      </c>
      <c r="L482" s="7" t="str">
        <f>VLOOKUP(K482, 'Alphabetical by species code'!A:B, 2, FALSE)</f>
        <v>Bareground</v>
      </c>
      <c r="M482" s="7" t="str">
        <f>VLOOKUP(L482, 'Alphabetical by species code'!B:C, 2, FALSE)</f>
        <v>Ground Cover</v>
      </c>
    </row>
    <row r="483" spans="1:13" ht="15.75" customHeight="1" x14ac:dyDescent="0.25">
      <c r="A483" s="5">
        <v>10</v>
      </c>
      <c r="B483" s="5">
        <v>2023</v>
      </c>
      <c r="C483" s="63">
        <v>45197</v>
      </c>
      <c r="D483" s="5" t="s">
        <v>62</v>
      </c>
      <c r="E483" s="5" t="s">
        <v>63</v>
      </c>
      <c r="F483" s="5">
        <v>1</v>
      </c>
      <c r="G483" s="5" t="s">
        <v>36</v>
      </c>
      <c r="H483" s="5">
        <v>6</v>
      </c>
      <c r="I483" s="5">
        <v>1</v>
      </c>
      <c r="J483" s="5">
        <v>3.5</v>
      </c>
      <c r="K483" s="5" t="s">
        <v>35</v>
      </c>
      <c r="L483" s="7" t="str">
        <f>VLOOKUP(K483, 'Alphabetical by species code'!A:B, 2, FALSE)</f>
        <v>Bareground</v>
      </c>
      <c r="M483" s="7" t="str">
        <f>VLOOKUP(L483, 'Alphabetical by species code'!B:C, 2, FALSE)</f>
        <v>Ground Cover</v>
      </c>
    </row>
    <row r="484" spans="1:13" ht="15.75" customHeight="1" x14ac:dyDescent="0.25">
      <c r="A484" s="5">
        <v>10</v>
      </c>
      <c r="B484" s="5">
        <v>2023</v>
      </c>
      <c r="C484" s="63">
        <v>45197</v>
      </c>
      <c r="D484" s="14" t="s">
        <v>62</v>
      </c>
      <c r="E484" s="5" t="s">
        <v>63</v>
      </c>
      <c r="F484" s="5">
        <v>1</v>
      </c>
      <c r="G484" s="5" t="s">
        <v>36</v>
      </c>
      <c r="H484" s="5">
        <v>7</v>
      </c>
      <c r="I484" s="5">
        <v>1</v>
      </c>
      <c r="J484" s="5">
        <v>4</v>
      </c>
      <c r="K484" s="5" t="s">
        <v>35</v>
      </c>
      <c r="L484" s="7" t="str">
        <f>VLOOKUP(K484, 'Alphabetical by species code'!A:B, 2, FALSE)</f>
        <v>Bareground</v>
      </c>
      <c r="M484" s="7" t="str">
        <f>VLOOKUP(L484, 'Alphabetical by species code'!B:C, 2, FALSE)</f>
        <v>Ground Cover</v>
      </c>
    </row>
    <row r="485" spans="1:13" ht="15.75" customHeight="1" x14ac:dyDescent="0.25">
      <c r="A485" s="5">
        <v>10</v>
      </c>
      <c r="B485" s="5">
        <v>2023</v>
      </c>
      <c r="C485" s="63">
        <v>45197</v>
      </c>
      <c r="D485" s="14" t="s">
        <v>62</v>
      </c>
      <c r="E485" s="5" t="s">
        <v>63</v>
      </c>
      <c r="F485" s="5">
        <v>1</v>
      </c>
      <c r="G485" s="5" t="s">
        <v>36</v>
      </c>
      <c r="H485" s="5">
        <v>8</v>
      </c>
      <c r="I485" s="5">
        <v>1</v>
      </c>
      <c r="J485" s="5">
        <v>5</v>
      </c>
      <c r="K485" s="5" t="s">
        <v>27</v>
      </c>
      <c r="L485" s="7" t="str">
        <f>VLOOKUP(K485, 'Alphabetical by species code'!A:B, 2, FALSE)</f>
        <v>Litter</v>
      </c>
      <c r="M485" s="7" t="str">
        <f>VLOOKUP(L485, 'Alphabetical by species code'!B:C, 2, FALSE)</f>
        <v>Ground Cover</v>
      </c>
    </row>
    <row r="486" spans="1:13" ht="15.75" customHeight="1" x14ac:dyDescent="0.25">
      <c r="A486" s="5">
        <v>10</v>
      </c>
      <c r="B486" s="5">
        <v>2023</v>
      </c>
      <c r="C486" s="63">
        <v>45197</v>
      </c>
      <c r="D486" s="14" t="s">
        <v>62</v>
      </c>
      <c r="E486" s="5" t="s">
        <v>63</v>
      </c>
      <c r="F486" s="5">
        <v>1</v>
      </c>
      <c r="G486" s="5" t="s">
        <v>36</v>
      </c>
      <c r="H486" s="5">
        <v>9</v>
      </c>
      <c r="I486" s="5">
        <v>1</v>
      </c>
      <c r="J486" s="5">
        <v>7</v>
      </c>
      <c r="K486" s="5" t="s">
        <v>27</v>
      </c>
      <c r="L486" s="7" t="str">
        <f>VLOOKUP(K486, 'Alphabetical by species code'!A:B, 2, FALSE)</f>
        <v>Litter</v>
      </c>
      <c r="M486" s="7" t="str">
        <f>VLOOKUP(L486, 'Alphabetical by species code'!B:C, 2, FALSE)</f>
        <v>Ground Cover</v>
      </c>
    </row>
    <row r="487" spans="1:13" ht="15.75" customHeight="1" x14ac:dyDescent="0.25">
      <c r="A487" s="5">
        <v>10</v>
      </c>
      <c r="B487" s="5">
        <v>2023</v>
      </c>
      <c r="C487" s="63">
        <v>45197</v>
      </c>
      <c r="D487" s="14" t="s">
        <v>62</v>
      </c>
      <c r="E487" s="5" t="s">
        <v>63</v>
      </c>
      <c r="F487" s="5">
        <v>1</v>
      </c>
      <c r="G487" s="5" t="s">
        <v>36</v>
      </c>
      <c r="H487" s="5">
        <v>9</v>
      </c>
      <c r="I487" s="5">
        <v>1</v>
      </c>
      <c r="J487" s="5">
        <v>7</v>
      </c>
      <c r="K487" s="5" t="s">
        <v>48</v>
      </c>
      <c r="L487" s="7" t="str">
        <f>VLOOKUP(K487, 'Alphabetical by species code'!A:B, 2, FALSE)</f>
        <v>Deinandra fasciculata</v>
      </c>
      <c r="M487" s="7" t="str">
        <f>VLOOKUP(L487, 'Alphabetical by species code'!B:C, 2, FALSE)</f>
        <v>Native</v>
      </c>
    </row>
    <row r="488" spans="1:13" ht="15.75" customHeight="1" x14ac:dyDescent="0.25">
      <c r="A488" s="5">
        <v>10</v>
      </c>
      <c r="B488" s="5">
        <v>2023</v>
      </c>
      <c r="C488" s="63">
        <v>45197</v>
      </c>
      <c r="D488" s="14" t="s">
        <v>62</v>
      </c>
      <c r="E488" s="5" t="s">
        <v>63</v>
      </c>
      <c r="F488" s="5">
        <v>1</v>
      </c>
      <c r="G488" s="5" t="s">
        <v>36</v>
      </c>
      <c r="H488" s="5">
        <v>10</v>
      </c>
      <c r="I488" s="5">
        <v>1</v>
      </c>
      <c r="J488" s="5">
        <v>8</v>
      </c>
      <c r="K488" s="5" t="s">
        <v>27</v>
      </c>
      <c r="L488" s="7" t="str">
        <f>VLOOKUP(K488, 'Alphabetical by species code'!A:B, 2, FALSE)</f>
        <v>Litter</v>
      </c>
      <c r="M488" s="7" t="str">
        <f>VLOOKUP(L488, 'Alphabetical by species code'!B:C, 2, FALSE)</f>
        <v>Ground Cover</v>
      </c>
    </row>
    <row r="489" spans="1:13" ht="15.75" customHeight="1" x14ac:dyDescent="0.25">
      <c r="A489" s="5">
        <v>10</v>
      </c>
      <c r="B489" s="5">
        <v>2023</v>
      </c>
      <c r="C489" s="63">
        <v>45197</v>
      </c>
      <c r="D489" s="5" t="s">
        <v>62</v>
      </c>
      <c r="E489" s="5" t="s">
        <v>63</v>
      </c>
      <c r="F489" s="5">
        <v>1</v>
      </c>
      <c r="G489" s="5" t="s">
        <v>36</v>
      </c>
      <c r="H489" s="5">
        <v>11</v>
      </c>
      <c r="I489" s="5">
        <v>1</v>
      </c>
      <c r="J489" s="5">
        <v>8.5</v>
      </c>
      <c r="K489" s="5" t="s">
        <v>35</v>
      </c>
      <c r="L489" s="7" t="str">
        <f>VLOOKUP(K489, 'Alphabetical by species code'!A:B, 2, FALSE)</f>
        <v>Bareground</v>
      </c>
      <c r="M489" s="7" t="str">
        <f>VLOOKUP(L489, 'Alphabetical by species code'!B:C, 2, FALSE)</f>
        <v>Ground Cover</v>
      </c>
    </row>
    <row r="490" spans="1:13" ht="15.75" customHeight="1" x14ac:dyDescent="0.25">
      <c r="A490" s="5">
        <v>10</v>
      </c>
      <c r="B490" s="5">
        <v>2023</v>
      </c>
      <c r="C490" s="63">
        <v>45197</v>
      </c>
      <c r="D490" s="5" t="s">
        <v>62</v>
      </c>
      <c r="E490" s="5" t="s">
        <v>63</v>
      </c>
      <c r="F490" s="5">
        <v>1</v>
      </c>
      <c r="G490" s="5" t="s">
        <v>36</v>
      </c>
      <c r="H490" s="5">
        <v>12</v>
      </c>
      <c r="I490" s="5">
        <v>1</v>
      </c>
      <c r="J490" s="5">
        <v>9</v>
      </c>
      <c r="K490" s="5" t="s">
        <v>32</v>
      </c>
      <c r="L490" s="7" t="str">
        <f>VLOOKUP(K490, 'Alphabetical by species code'!A:B, 2, FALSE)</f>
        <v>Rock</v>
      </c>
      <c r="M490" s="7" t="str">
        <f>VLOOKUP(L490, 'Alphabetical by species code'!B:C, 2, FALSE)</f>
        <v>Ground Cover</v>
      </c>
    </row>
    <row r="491" spans="1:13" ht="15.75" customHeight="1" x14ac:dyDescent="0.25">
      <c r="A491" s="5">
        <v>10</v>
      </c>
      <c r="B491" s="5">
        <v>2023</v>
      </c>
      <c r="C491" s="63">
        <v>45197</v>
      </c>
      <c r="D491" s="14" t="s">
        <v>62</v>
      </c>
      <c r="E491" s="5" t="s">
        <v>63</v>
      </c>
      <c r="F491" s="5">
        <v>1</v>
      </c>
      <c r="G491" s="5" t="s">
        <v>36</v>
      </c>
      <c r="H491" s="5">
        <v>13</v>
      </c>
      <c r="I491" s="5">
        <v>1</v>
      </c>
      <c r="J491" s="5">
        <v>10</v>
      </c>
      <c r="K491" s="5" t="s">
        <v>35</v>
      </c>
      <c r="L491" s="7" t="str">
        <f>VLOOKUP(K491, 'Alphabetical by species code'!A:B, 2, FALSE)</f>
        <v>Bareground</v>
      </c>
      <c r="M491" s="7" t="str">
        <f>VLOOKUP(L491, 'Alphabetical by species code'!B:C, 2, FALSE)</f>
        <v>Ground Cover</v>
      </c>
    </row>
    <row r="492" spans="1:13" ht="15.75" customHeight="1" x14ac:dyDescent="0.25">
      <c r="A492" s="5">
        <v>10</v>
      </c>
      <c r="B492" s="5">
        <v>2023</v>
      </c>
      <c r="C492" s="63">
        <v>45197</v>
      </c>
      <c r="D492" s="14" t="s">
        <v>62</v>
      </c>
      <c r="E492" s="5" t="s">
        <v>63</v>
      </c>
      <c r="F492" s="5">
        <v>1</v>
      </c>
      <c r="G492" s="5" t="s">
        <v>36</v>
      </c>
      <c r="H492" s="5">
        <v>13</v>
      </c>
      <c r="I492" s="5">
        <v>1</v>
      </c>
      <c r="J492" s="5">
        <v>10</v>
      </c>
      <c r="K492" s="5" t="s">
        <v>64</v>
      </c>
      <c r="L492" s="7" t="str">
        <f>VLOOKUP(K492, 'Alphabetical by species code'!A:B, 2, FALSE)</f>
        <v>Convolvulus arvensis</v>
      </c>
      <c r="M492" s="7" t="str">
        <f>VLOOKUP(L492, 'Alphabetical by species code'!B:C, 2, FALSE)</f>
        <v>Non-Native</v>
      </c>
    </row>
    <row r="493" spans="1:13" ht="15.75" customHeight="1" x14ac:dyDescent="0.25">
      <c r="A493" s="5">
        <v>10</v>
      </c>
      <c r="B493" s="5">
        <v>2023</v>
      </c>
      <c r="C493" s="63">
        <v>45197</v>
      </c>
      <c r="D493" s="14" t="s">
        <v>62</v>
      </c>
      <c r="E493" s="5" t="s">
        <v>63</v>
      </c>
      <c r="F493" s="5">
        <v>1</v>
      </c>
      <c r="G493" s="5" t="s">
        <v>36</v>
      </c>
      <c r="H493" s="5">
        <v>14</v>
      </c>
      <c r="I493" s="5">
        <v>1</v>
      </c>
      <c r="J493" s="5">
        <v>11</v>
      </c>
      <c r="K493" s="5" t="s">
        <v>32</v>
      </c>
      <c r="L493" s="7" t="str">
        <f>VLOOKUP(K493, 'Alphabetical by species code'!A:B, 2, FALSE)</f>
        <v>Rock</v>
      </c>
      <c r="M493" s="7" t="str">
        <f>VLOOKUP(L493, 'Alphabetical by species code'!B:C, 2, FALSE)</f>
        <v>Ground Cover</v>
      </c>
    </row>
    <row r="494" spans="1:13" ht="15.75" customHeight="1" x14ac:dyDescent="0.25">
      <c r="A494" s="5">
        <v>10</v>
      </c>
      <c r="B494" s="5">
        <v>2023</v>
      </c>
      <c r="C494" s="63">
        <v>45197</v>
      </c>
      <c r="D494" s="5" t="s">
        <v>62</v>
      </c>
      <c r="E494" s="5" t="s">
        <v>63</v>
      </c>
      <c r="F494" s="5">
        <v>1</v>
      </c>
      <c r="G494" s="5" t="s">
        <v>36</v>
      </c>
      <c r="H494" s="5">
        <v>15</v>
      </c>
      <c r="I494" s="5">
        <v>1</v>
      </c>
      <c r="J494" s="5">
        <v>12</v>
      </c>
      <c r="K494" s="5" t="s">
        <v>35</v>
      </c>
      <c r="L494" s="7" t="str">
        <f>VLOOKUP(K494, 'Alphabetical by species code'!A:B, 2, FALSE)</f>
        <v>Bareground</v>
      </c>
      <c r="M494" s="7" t="str">
        <f>VLOOKUP(L494, 'Alphabetical by species code'!B:C, 2, FALSE)</f>
        <v>Ground Cover</v>
      </c>
    </row>
    <row r="495" spans="1:13" ht="15.75" customHeight="1" x14ac:dyDescent="0.25">
      <c r="A495" s="5">
        <v>10</v>
      </c>
      <c r="B495" s="5">
        <v>2023</v>
      </c>
      <c r="C495" s="63">
        <v>45197</v>
      </c>
      <c r="D495" s="5" t="s">
        <v>62</v>
      </c>
      <c r="E495" s="5" t="s">
        <v>63</v>
      </c>
      <c r="F495" s="5">
        <v>1</v>
      </c>
      <c r="G495" s="5" t="s">
        <v>36</v>
      </c>
      <c r="H495" s="5">
        <v>1</v>
      </c>
      <c r="I495" s="5">
        <v>2</v>
      </c>
      <c r="J495" s="5">
        <v>0</v>
      </c>
      <c r="K495" s="5" t="s">
        <v>32</v>
      </c>
      <c r="L495" s="7" t="str">
        <f>VLOOKUP(K495, 'Alphabetical by species code'!A:B, 2, FALSE)</f>
        <v>Rock</v>
      </c>
      <c r="M495" s="7" t="str">
        <f>VLOOKUP(L495, 'Alphabetical by species code'!B:C, 2, FALSE)</f>
        <v>Ground Cover</v>
      </c>
    </row>
    <row r="496" spans="1:13" ht="15.75" customHeight="1" x14ac:dyDescent="0.25">
      <c r="A496" s="5">
        <v>10</v>
      </c>
      <c r="B496" s="5">
        <v>2023</v>
      </c>
      <c r="C496" s="63">
        <v>45197</v>
      </c>
      <c r="D496" s="14" t="s">
        <v>62</v>
      </c>
      <c r="E496" s="5" t="s">
        <v>63</v>
      </c>
      <c r="F496" s="5">
        <v>1</v>
      </c>
      <c r="G496" s="5" t="s">
        <v>36</v>
      </c>
      <c r="H496" s="5">
        <v>1</v>
      </c>
      <c r="I496" s="5">
        <v>2</v>
      </c>
      <c r="J496" s="5">
        <v>0</v>
      </c>
      <c r="K496" s="5" t="s">
        <v>28</v>
      </c>
      <c r="L496" s="7" t="str">
        <f>VLOOKUP(K496, 'Alphabetical by species code'!A:B, 2, FALSE)</f>
        <v>Stephanomeria diegensis</v>
      </c>
      <c r="M496" s="7" t="str">
        <f>VLOOKUP(L496, 'Alphabetical by species code'!B:C, 2, FALSE)</f>
        <v>Native</v>
      </c>
    </row>
    <row r="497" spans="1:14" ht="15.75" customHeight="1" x14ac:dyDescent="0.25">
      <c r="A497" s="5">
        <v>10</v>
      </c>
      <c r="B497" s="5">
        <v>2023</v>
      </c>
      <c r="C497" s="63">
        <v>45197</v>
      </c>
      <c r="D497" s="14" t="s">
        <v>62</v>
      </c>
      <c r="E497" s="5" t="s">
        <v>63</v>
      </c>
      <c r="F497" s="5">
        <v>1</v>
      </c>
      <c r="G497" s="5" t="s">
        <v>36</v>
      </c>
      <c r="H497" s="5">
        <v>2</v>
      </c>
      <c r="I497" s="5">
        <v>2</v>
      </c>
      <c r="J497" s="5">
        <v>1</v>
      </c>
      <c r="K497" s="5" t="s">
        <v>35</v>
      </c>
      <c r="L497" s="7" t="str">
        <f>VLOOKUP(K497, 'Alphabetical by species code'!A:B, 2, FALSE)</f>
        <v>Bareground</v>
      </c>
      <c r="M497" s="7" t="str">
        <f>VLOOKUP(L497, 'Alphabetical by species code'!B:C, 2, FALSE)</f>
        <v>Ground Cover</v>
      </c>
    </row>
    <row r="498" spans="1:14" ht="15.75" customHeight="1" x14ac:dyDescent="0.25">
      <c r="A498" s="5">
        <v>10</v>
      </c>
      <c r="B498" s="5">
        <v>2023</v>
      </c>
      <c r="C498" s="63">
        <v>45197</v>
      </c>
      <c r="D498" s="14" t="s">
        <v>62</v>
      </c>
      <c r="E498" s="5" t="s">
        <v>63</v>
      </c>
      <c r="F498" s="5">
        <v>1</v>
      </c>
      <c r="G498" s="5" t="s">
        <v>36</v>
      </c>
      <c r="H498" s="5">
        <v>3</v>
      </c>
      <c r="I498" s="5">
        <v>2</v>
      </c>
      <c r="J498" s="5">
        <v>1.5</v>
      </c>
      <c r="K498" s="5" t="s">
        <v>35</v>
      </c>
      <c r="L498" s="7" t="str">
        <f>VLOOKUP(K498, 'Alphabetical by species code'!A:B, 2, FALSE)</f>
        <v>Bareground</v>
      </c>
      <c r="M498" s="7" t="str">
        <f>VLOOKUP(L498, 'Alphabetical by species code'!B:C, 2, FALSE)</f>
        <v>Ground Cover</v>
      </c>
    </row>
    <row r="499" spans="1:14" ht="15.75" customHeight="1" x14ac:dyDescent="0.25">
      <c r="A499" s="5">
        <v>10</v>
      </c>
      <c r="B499" s="5">
        <v>2023</v>
      </c>
      <c r="C499" s="63">
        <v>45197</v>
      </c>
      <c r="D499" s="14" t="s">
        <v>62</v>
      </c>
      <c r="E499" s="5" t="s">
        <v>63</v>
      </c>
      <c r="F499" s="5">
        <v>1</v>
      </c>
      <c r="G499" s="5" t="s">
        <v>36</v>
      </c>
      <c r="H499" s="5">
        <v>3</v>
      </c>
      <c r="I499" s="5">
        <v>2</v>
      </c>
      <c r="J499" s="5">
        <v>1.5</v>
      </c>
      <c r="K499" s="5" t="s">
        <v>54</v>
      </c>
      <c r="L499" s="7" t="str">
        <f>VLOOKUP(K499, 'Alphabetical by species code'!A:B, 2, FALSE)</f>
        <v>Erodium cicutarium</v>
      </c>
      <c r="M499" s="7" t="str">
        <f>VLOOKUP(L499, 'Alphabetical by species code'!B:C, 2, FALSE)</f>
        <v>Non-Native</v>
      </c>
      <c r="N499" s="7" t="s">
        <v>65</v>
      </c>
    </row>
    <row r="500" spans="1:14" ht="15.75" customHeight="1" x14ac:dyDescent="0.25">
      <c r="A500" s="5">
        <v>10</v>
      </c>
      <c r="B500" s="5">
        <v>2023</v>
      </c>
      <c r="C500" s="63">
        <v>45197</v>
      </c>
      <c r="D500" s="14" t="s">
        <v>62</v>
      </c>
      <c r="E500" s="5" t="s">
        <v>63</v>
      </c>
      <c r="F500" s="5">
        <v>1</v>
      </c>
      <c r="G500" s="5" t="s">
        <v>36</v>
      </c>
      <c r="H500" s="5">
        <v>4</v>
      </c>
      <c r="I500" s="5">
        <v>2</v>
      </c>
      <c r="J500" s="5">
        <v>2</v>
      </c>
      <c r="K500" s="5" t="s">
        <v>35</v>
      </c>
      <c r="L500" s="7" t="str">
        <f>VLOOKUP(K500, 'Alphabetical by species code'!A:B, 2, FALSE)</f>
        <v>Bareground</v>
      </c>
      <c r="M500" s="7" t="str">
        <f>VLOOKUP(L500, 'Alphabetical by species code'!B:C, 2, FALSE)</f>
        <v>Ground Cover</v>
      </c>
    </row>
    <row r="501" spans="1:14" ht="15.75" customHeight="1" x14ac:dyDescent="0.25">
      <c r="A501" s="5">
        <v>10</v>
      </c>
      <c r="B501" s="5">
        <v>2023</v>
      </c>
      <c r="C501" s="63">
        <v>45197</v>
      </c>
      <c r="D501" s="14" t="s">
        <v>62</v>
      </c>
      <c r="E501" s="5" t="s">
        <v>63</v>
      </c>
      <c r="F501" s="5">
        <v>1</v>
      </c>
      <c r="G501" s="5" t="s">
        <v>36</v>
      </c>
      <c r="H501" s="5">
        <v>5</v>
      </c>
      <c r="I501" s="5">
        <v>2</v>
      </c>
      <c r="J501" s="5">
        <v>3</v>
      </c>
      <c r="K501" s="5" t="s">
        <v>27</v>
      </c>
      <c r="L501" s="7" t="str">
        <f>VLOOKUP(K501, 'Alphabetical by species code'!A:B, 2, FALSE)</f>
        <v>Litter</v>
      </c>
      <c r="M501" s="7" t="str">
        <f>VLOOKUP(L501, 'Alphabetical by species code'!B:C, 2, FALSE)</f>
        <v>Ground Cover</v>
      </c>
    </row>
    <row r="502" spans="1:14" ht="15.75" customHeight="1" x14ac:dyDescent="0.25">
      <c r="A502" s="5">
        <v>10</v>
      </c>
      <c r="B502" s="5">
        <v>2023</v>
      </c>
      <c r="C502" s="63">
        <v>45197</v>
      </c>
      <c r="D502" s="14" t="s">
        <v>62</v>
      </c>
      <c r="E502" s="5" t="s">
        <v>63</v>
      </c>
      <c r="F502" s="5">
        <v>1</v>
      </c>
      <c r="G502" s="5" t="s">
        <v>36</v>
      </c>
      <c r="H502" s="5">
        <v>6</v>
      </c>
      <c r="I502" s="5">
        <v>2</v>
      </c>
      <c r="J502" s="5">
        <v>3.5</v>
      </c>
      <c r="K502" s="5" t="s">
        <v>35</v>
      </c>
      <c r="L502" s="7" t="str">
        <f>VLOOKUP(K502, 'Alphabetical by species code'!A:B, 2, FALSE)</f>
        <v>Bareground</v>
      </c>
      <c r="M502" s="7" t="str">
        <f>VLOOKUP(L502, 'Alphabetical by species code'!B:C, 2, FALSE)</f>
        <v>Ground Cover</v>
      </c>
    </row>
    <row r="503" spans="1:14" ht="15.75" customHeight="1" x14ac:dyDescent="0.25">
      <c r="A503" s="5">
        <v>10</v>
      </c>
      <c r="B503" s="5">
        <v>2023</v>
      </c>
      <c r="C503" s="63">
        <v>45197</v>
      </c>
      <c r="D503" s="14" t="s">
        <v>62</v>
      </c>
      <c r="E503" s="5" t="s">
        <v>63</v>
      </c>
      <c r="F503" s="5">
        <v>1</v>
      </c>
      <c r="G503" s="5" t="s">
        <v>36</v>
      </c>
      <c r="H503" s="5">
        <v>7</v>
      </c>
      <c r="I503" s="5">
        <v>2</v>
      </c>
      <c r="J503" s="5">
        <v>4</v>
      </c>
      <c r="K503" s="5" t="s">
        <v>35</v>
      </c>
      <c r="L503" s="7" t="str">
        <f>VLOOKUP(K503, 'Alphabetical by species code'!A:B, 2, FALSE)</f>
        <v>Bareground</v>
      </c>
      <c r="M503" s="7" t="str">
        <f>VLOOKUP(L503, 'Alphabetical by species code'!B:C, 2, FALSE)</f>
        <v>Ground Cover</v>
      </c>
    </row>
    <row r="504" spans="1:14" ht="15.75" customHeight="1" x14ac:dyDescent="0.25">
      <c r="A504" s="5">
        <v>10</v>
      </c>
      <c r="B504" s="5">
        <v>2023</v>
      </c>
      <c r="C504" s="63">
        <v>45197</v>
      </c>
      <c r="D504" s="5" t="s">
        <v>62</v>
      </c>
      <c r="E504" s="5" t="s">
        <v>63</v>
      </c>
      <c r="F504" s="5">
        <v>1</v>
      </c>
      <c r="G504" s="5" t="s">
        <v>36</v>
      </c>
      <c r="H504" s="5">
        <v>8</v>
      </c>
      <c r="I504" s="5">
        <v>2</v>
      </c>
      <c r="J504" s="5">
        <v>5</v>
      </c>
      <c r="K504" s="5" t="s">
        <v>27</v>
      </c>
      <c r="L504" s="7" t="str">
        <f>VLOOKUP(K504, 'Alphabetical by species code'!A:B, 2, FALSE)</f>
        <v>Litter</v>
      </c>
      <c r="M504" s="7" t="str">
        <f>VLOOKUP(L504, 'Alphabetical by species code'!B:C, 2, FALSE)</f>
        <v>Ground Cover</v>
      </c>
    </row>
    <row r="505" spans="1:14" ht="15.75" customHeight="1" x14ac:dyDescent="0.25">
      <c r="A505" s="5">
        <v>10</v>
      </c>
      <c r="B505" s="5">
        <v>2023</v>
      </c>
      <c r="C505" s="63">
        <v>45197</v>
      </c>
      <c r="D505" s="5" t="s">
        <v>62</v>
      </c>
      <c r="E505" s="5" t="s">
        <v>63</v>
      </c>
      <c r="F505" s="5">
        <v>1</v>
      </c>
      <c r="G505" s="5" t="s">
        <v>36</v>
      </c>
      <c r="H505" s="5">
        <v>9</v>
      </c>
      <c r="I505" s="5">
        <v>2</v>
      </c>
      <c r="J505" s="5">
        <v>7</v>
      </c>
      <c r="K505" s="5" t="s">
        <v>27</v>
      </c>
      <c r="L505" s="7" t="str">
        <f>VLOOKUP(K505, 'Alphabetical by species code'!A:B, 2, FALSE)</f>
        <v>Litter</v>
      </c>
      <c r="M505" s="7" t="str">
        <f>VLOOKUP(L505, 'Alphabetical by species code'!B:C, 2, FALSE)</f>
        <v>Ground Cover</v>
      </c>
    </row>
    <row r="506" spans="1:14" ht="15.75" customHeight="1" x14ac:dyDescent="0.25">
      <c r="A506" s="5">
        <v>10</v>
      </c>
      <c r="B506" s="5">
        <v>2023</v>
      </c>
      <c r="C506" s="63">
        <v>45197</v>
      </c>
      <c r="D506" s="14" t="s">
        <v>62</v>
      </c>
      <c r="E506" s="5" t="s">
        <v>63</v>
      </c>
      <c r="F506" s="5">
        <v>1</v>
      </c>
      <c r="G506" s="5" t="s">
        <v>36</v>
      </c>
      <c r="H506" s="5">
        <v>10</v>
      </c>
      <c r="I506" s="5">
        <v>2</v>
      </c>
      <c r="J506" s="5">
        <v>8</v>
      </c>
      <c r="K506" s="5" t="s">
        <v>27</v>
      </c>
      <c r="L506" s="7" t="str">
        <f>VLOOKUP(K506, 'Alphabetical by species code'!A:B, 2, FALSE)</f>
        <v>Litter</v>
      </c>
      <c r="M506" s="7" t="str">
        <f>VLOOKUP(L506, 'Alphabetical by species code'!B:C, 2, FALSE)</f>
        <v>Ground Cover</v>
      </c>
    </row>
    <row r="507" spans="1:14" ht="15.75" customHeight="1" x14ac:dyDescent="0.25">
      <c r="A507" s="5">
        <v>10</v>
      </c>
      <c r="B507" s="5">
        <v>2023</v>
      </c>
      <c r="C507" s="63">
        <v>45197</v>
      </c>
      <c r="D507" s="14" t="s">
        <v>62</v>
      </c>
      <c r="E507" s="5" t="s">
        <v>63</v>
      </c>
      <c r="F507" s="5">
        <v>1</v>
      </c>
      <c r="G507" s="5" t="s">
        <v>36</v>
      </c>
      <c r="H507" s="5">
        <v>11</v>
      </c>
      <c r="I507" s="5">
        <v>2</v>
      </c>
      <c r="J507" s="5">
        <v>8.5</v>
      </c>
      <c r="K507" s="5" t="s">
        <v>27</v>
      </c>
      <c r="L507" s="7" t="str">
        <f>VLOOKUP(K507, 'Alphabetical by species code'!A:B, 2, FALSE)</f>
        <v>Litter</v>
      </c>
      <c r="M507" s="7" t="str">
        <f>VLOOKUP(L507, 'Alphabetical by species code'!B:C, 2, FALSE)</f>
        <v>Ground Cover</v>
      </c>
    </row>
    <row r="508" spans="1:14" ht="15.75" customHeight="1" x14ac:dyDescent="0.25">
      <c r="A508" s="5">
        <v>10</v>
      </c>
      <c r="B508" s="5">
        <v>2023</v>
      </c>
      <c r="C508" s="63">
        <v>45197</v>
      </c>
      <c r="D508" s="14" t="s">
        <v>62</v>
      </c>
      <c r="E508" s="5" t="s">
        <v>63</v>
      </c>
      <c r="F508" s="5">
        <v>1</v>
      </c>
      <c r="G508" s="5" t="s">
        <v>36</v>
      </c>
      <c r="H508" s="5">
        <v>12</v>
      </c>
      <c r="I508" s="5">
        <v>2</v>
      </c>
      <c r="J508" s="5">
        <v>9</v>
      </c>
      <c r="K508" s="5" t="s">
        <v>27</v>
      </c>
      <c r="L508" s="7" t="str">
        <f>VLOOKUP(K508, 'Alphabetical by species code'!A:B, 2, FALSE)</f>
        <v>Litter</v>
      </c>
      <c r="M508" s="7" t="str">
        <f>VLOOKUP(L508, 'Alphabetical by species code'!B:C, 2, FALSE)</f>
        <v>Ground Cover</v>
      </c>
    </row>
    <row r="509" spans="1:14" ht="15.75" customHeight="1" x14ac:dyDescent="0.25">
      <c r="A509" s="5">
        <v>10</v>
      </c>
      <c r="B509" s="5">
        <v>2023</v>
      </c>
      <c r="C509" s="63">
        <v>45197</v>
      </c>
      <c r="D509" s="5" t="s">
        <v>62</v>
      </c>
      <c r="E509" s="5" t="s">
        <v>63</v>
      </c>
      <c r="F509" s="5">
        <v>1</v>
      </c>
      <c r="G509" s="5" t="s">
        <v>36</v>
      </c>
      <c r="H509" s="5">
        <v>13</v>
      </c>
      <c r="I509" s="5">
        <v>2</v>
      </c>
      <c r="J509" s="5">
        <v>10</v>
      </c>
      <c r="K509" s="5" t="s">
        <v>32</v>
      </c>
      <c r="L509" s="7" t="str">
        <f>VLOOKUP(K509, 'Alphabetical by species code'!A:B, 2, FALSE)</f>
        <v>Rock</v>
      </c>
      <c r="M509" s="7" t="str">
        <f>VLOOKUP(L509, 'Alphabetical by species code'!B:C, 2, FALSE)</f>
        <v>Ground Cover</v>
      </c>
    </row>
    <row r="510" spans="1:14" ht="15.75" customHeight="1" x14ac:dyDescent="0.25">
      <c r="A510" s="5">
        <v>10</v>
      </c>
      <c r="B510" s="5">
        <v>2023</v>
      </c>
      <c r="C510" s="63">
        <v>45197</v>
      </c>
      <c r="D510" s="5" t="s">
        <v>62</v>
      </c>
      <c r="E510" s="5" t="s">
        <v>63</v>
      </c>
      <c r="F510" s="5">
        <v>1</v>
      </c>
      <c r="G510" s="5" t="s">
        <v>36</v>
      </c>
      <c r="H510" s="5">
        <v>14</v>
      </c>
      <c r="I510" s="5">
        <v>2</v>
      </c>
      <c r="J510" s="5">
        <v>11</v>
      </c>
      <c r="K510" s="5" t="s">
        <v>35</v>
      </c>
      <c r="L510" s="7" t="str">
        <f>VLOOKUP(K510, 'Alphabetical by species code'!A:B, 2, FALSE)</f>
        <v>Bareground</v>
      </c>
      <c r="M510" s="7" t="str">
        <f>VLOOKUP(L510, 'Alphabetical by species code'!B:C, 2, FALSE)</f>
        <v>Ground Cover</v>
      </c>
    </row>
    <row r="511" spans="1:14" ht="15.75" customHeight="1" x14ac:dyDescent="0.25">
      <c r="A511" s="5">
        <v>10</v>
      </c>
      <c r="B511" s="5">
        <v>2023</v>
      </c>
      <c r="C511" s="63">
        <v>45197</v>
      </c>
      <c r="D511" s="14" t="s">
        <v>62</v>
      </c>
      <c r="E511" s="5" t="s">
        <v>63</v>
      </c>
      <c r="F511" s="5">
        <v>1</v>
      </c>
      <c r="G511" s="5" t="s">
        <v>36</v>
      </c>
      <c r="H511" s="5">
        <v>15</v>
      </c>
      <c r="I511" s="5">
        <v>2</v>
      </c>
      <c r="J511" s="5">
        <v>12</v>
      </c>
      <c r="K511" s="5" t="s">
        <v>27</v>
      </c>
      <c r="L511" s="7" t="str">
        <f>VLOOKUP(K511, 'Alphabetical by species code'!A:B, 2, FALSE)</f>
        <v>Litter</v>
      </c>
      <c r="M511" s="7" t="str">
        <f>VLOOKUP(L511, 'Alphabetical by species code'!B:C, 2, FALSE)</f>
        <v>Ground Cover</v>
      </c>
    </row>
    <row r="512" spans="1:14" ht="15.75" customHeight="1" x14ac:dyDescent="0.25">
      <c r="A512" s="5">
        <v>11</v>
      </c>
      <c r="B512" s="5">
        <v>2023</v>
      </c>
      <c r="C512" s="63">
        <v>45197</v>
      </c>
      <c r="D512" s="5" t="s">
        <v>62</v>
      </c>
      <c r="E512" s="5" t="s">
        <v>63</v>
      </c>
      <c r="F512" s="5">
        <v>1</v>
      </c>
      <c r="G512" s="5" t="s">
        <v>46</v>
      </c>
      <c r="H512" s="5">
        <v>1</v>
      </c>
      <c r="I512" s="5">
        <v>1</v>
      </c>
      <c r="J512" s="5">
        <v>0</v>
      </c>
      <c r="K512" s="5" t="s">
        <v>32</v>
      </c>
      <c r="L512" s="7" t="str">
        <f>VLOOKUP(K512, 'Alphabetical by species code'!A:B, 2, FALSE)</f>
        <v>Rock</v>
      </c>
      <c r="M512" s="7" t="str">
        <f>VLOOKUP(L512, 'Alphabetical by species code'!B:C, 2, FALSE)</f>
        <v>Ground Cover</v>
      </c>
    </row>
    <row r="513" spans="1:13" ht="15.75" customHeight="1" x14ac:dyDescent="0.25">
      <c r="A513" s="5">
        <v>11</v>
      </c>
      <c r="B513" s="5">
        <v>2023</v>
      </c>
      <c r="C513" s="63">
        <v>45197</v>
      </c>
      <c r="D513" s="5" t="s">
        <v>62</v>
      </c>
      <c r="E513" s="5" t="s">
        <v>63</v>
      </c>
      <c r="F513" s="5">
        <v>1</v>
      </c>
      <c r="G513" s="5" t="s">
        <v>46</v>
      </c>
      <c r="H513" s="5">
        <v>2</v>
      </c>
      <c r="I513" s="5">
        <v>1</v>
      </c>
      <c r="J513" s="5">
        <v>0.5</v>
      </c>
      <c r="K513" s="5" t="s">
        <v>35</v>
      </c>
      <c r="L513" s="7" t="str">
        <f>VLOOKUP(K513, 'Alphabetical by species code'!A:B, 2, FALSE)</f>
        <v>Bareground</v>
      </c>
      <c r="M513" s="7" t="str">
        <f>VLOOKUP(L513, 'Alphabetical by species code'!B:C, 2, FALSE)</f>
        <v>Ground Cover</v>
      </c>
    </row>
    <row r="514" spans="1:13" ht="15.75" customHeight="1" x14ac:dyDescent="0.25">
      <c r="A514" s="5">
        <v>11</v>
      </c>
      <c r="B514" s="5">
        <v>2023</v>
      </c>
      <c r="C514" s="63">
        <v>45197</v>
      </c>
      <c r="D514" s="14" t="s">
        <v>62</v>
      </c>
      <c r="E514" s="5" t="s">
        <v>63</v>
      </c>
      <c r="F514" s="5">
        <v>1</v>
      </c>
      <c r="G514" s="5" t="s">
        <v>46</v>
      </c>
      <c r="H514" s="5">
        <v>3</v>
      </c>
      <c r="I514" s="5">
        <v>1</v>
      </c>
      <c r="J514" s="5">
        <v>1</v>
      </c>
      <c r="K514" s="5" t="s">
        <v>35</v>
      </c>
      <c r="L514" s="7" t="str">
        <f>VLOOKUP(K514, 'Alphabetical by species code'!A:B, 2, FALSE)</f>
        <v>Bareground</v>
      </c>
      <c r="M514" s="7" t="str">
        <f>VLOOKUP(L514, 'Alphabetical by species code'!B:C, 2, FALSE)</f>
        <v>Ground Cover</v>
      </c>
    </row>
    <row r="515" spans="1:13" ht="15.75" customHeight="1" x14ac:dyDescent="0.25">
      <c r="A515" s="5">
        <v>11</v>
      </c>
      <c r="B515" s="5">
        <v>2023</v>
      </c>
      <c r="C515" s="63">
        <v>45197</v>
      </c>
      <c r="D515" s="14" t="s">
        <v>62</v>
      </c>
      <c r="E515" s="5" t="s">
        <v>63</v>
      </c>
      <c r="F515" s="5">
        <v>1</v>
      </c>
      <c r="G515" s="5" t="s">
        <v>46</v>
      </c>
      <c r="H515" s="5">
        <v>4</v>
      </c>
      <c r="I515" s="5">
        <v>1</v>
      </c>
      <c r="J515" s="5">
        <v>1.5</v>
      </c>
      <c r="K515" s="5" t="s">
        <v>35</v>
      </c>
      <c r="L515" s="7" t="str">
        <f>VLOOKUP(K515, 'Alphabetical by species code'!A:B, 2, FALSE)</f>
        <v>Bareground</v>
      </c>
      <c r="M515" s="7" t="str">
        <f>VLOOKUP(L515, 'Alphabetical by species code'!B:C, 2, FALSE)</f>
        <v>Ground Cover</v>
      </c>
    </row>
    <row r="516" spans="1:13" ht="15.75" customHeight="1" x14ac:dyDescent="0.25">
      <c r="A516" s="5">
        <v>11</v>
      </c>
      <c r="B516" s="5">
        <v>2023</v>
      </c>
      <c r="C516" s="63">
        <v>45197</v>
      </c>
      <c r="D516" s="14" t="s">
        <v>62</v>
      </c>
      <c r="E516" s="5" t="s">
        <v>63</v>
      </c>
      <c r="F516" s="5">
        <v>1</v>
      </c>
      <c r="G516" s="5" t="s">
        <v>46</v>
      </c>
      <c r="H516" s="5">
        <v>5</v>
      </c>
      <c r="I516" s="5">
        <v>1</v>
      </c>
      <c r="J516" s="5">
        <v>2</v>
      </c>
      <c r="K516" s="5" t="s">
        <v>35</v>
      </c>
      <c r="L516" s="7" t="str">
        <f>VLOOKUP(K516, 'Alphabetical by species code'!A:B, 2, FALSE)</f>
        <v>Bareground</v>
      </c>
      <c r="M516" s="7" t="str">
        <f>VLOOKUP(L516, 'Alphabetical by species code'!B:C, 2, FALSE)</f>
        <v>Ground Cover</v>
      </c>
    </row>
    <row r="517" spans="1:13" ht="15.75" customHeight="1" x14ac:dyDescent="0.25">
      <c r="A517" s="5">
        <v>11</v>
      </c>
      <c r="B517" s="5">
        <v>2023</v>
      </c>
      <c r="C517" s="63">
        <v>45197</v>
      </c>
      <c r="D517" s="5" t="s">
        <v>62</v>
      </c>
      <c r="E517" s="5" t="s">
        <v>63</v>
      </c>
      <c r="F517" s="5">
        <v>1</v>
      </c>
      <c r="G517" s="5" t="s">
        <v>46</v>
      </c>
      <c r="H517" s="5">
        <v>5</v>
      </c>
      <c r="I517" s="5">
        <v>1</v>
      </c>
      <c r="J517" s="5">
        <v>2</v>
      </c>
      <c r="K517" s="5" t="s">
        <v>54</v>
      </c>
      <c r="L517" s="7" t="str">
        <f>VLOOKUP(K517, 'Alphabetical by species code'!A:B, 2, FALSE)</f>
        <v>Erodium cicutarium</v>
      </c>
      <c r="M517" s="7" t="str">
        <f>VLOOKUP(L517, 'Alphabetical by species code'!B:C, 2, FALSE)</f>
        <v>Non-Native</v>
      </c>
    </row>
    <row r="518" spans="1:13" ht="15.75" customHeight="1" x14ac:dyDescent="0.25">
      <c r="A518" s="5">
        <v>11</v>
      </c>
      <c r="B518" s="5">
        <v>2023</v>
      </c>
      <c r="C518" s="63">
        <v>45197</v>
      </c>
      <c r="D518" s="5" t="s">
        <v>62</v>
      </c>
      <c r="E518" s="5" t="s">
        <v>63</v>
      </c>
      <c r="F518" s="5">
        <v>1</v>
      </c>
      <c r="G518" s="5" t="s">
        <v>46</v>
      </c>
      <c r="H518" s="5">
        <v>6</v>
      </c>
      <c r="I518" s="5">
        <v>1</v>
      </c>
      <c r="J518" s="5">
        <v>2.5</v>
      </c>
      <c r="K518" s="5" t="s">
        <v>35</v>
      </c>
      <c r="L518" s="7" t="str">
        <f>VLOOKUP(K518, 'Alphabetical by species code'!A:B, 2, FALSE)</f>
        <v>Bareground</v>
      </c>
      <c r="M518" s="7" t="str">
        <f>VLOOKUP(L518, 'Alphabetical by species code'!B:C, 2, FALSE)</f>
        <v>Ground Cover</v>
      </c>
    </row>
    <row r="519" spans="1:13" ht="15.75" customHeight="1" x14ac:dyDescent="0.25">
      <c r="A519" s="5">
        <v>11</v>
      </c>
      <c r="B519" s="5">
        <v>2023</v>
      </c>
      <c r="C519" s="63">
        <v>45197</v>
      </c>
      <c r="D519" s="14" t="s">
        <v>62</v>
      </c>
      <c r="E519" s="5" t="s">
        <v>63</v>
      </c>
      <c r="F519" s="5">
        <v>1</v>
      </c>
      <c r="G519" s="5" t="s">
        <v>46</v>
      </c>
      <c r="H519" s="5">
        <v>6</v>
      </c>
      <c r="I519" s="5">
        <v>1</v>
      </c>
      <c r="J519" s="5">
        <v>2.5</v>
      </c>
      <c r="K519" s="5" t="s">
        <v>54</v>
      </c>
      <c r="L519" s="7" t="str">
        <f>VLOOKUP(K519, 'Alphabetical by species code'!A:B, 2, FALSE)</f>
        <v>Erodium cicutarium</v>
      </c>
      <c r="M519" s="7" t="str">
        <f>VLOOKUP(L519, 'Alphabetical by species code'!B:C, 2, FALSE)</f>
        <v>Non-Native</v>
      </c>
    </row>
    <row r="520" spans="1:13" ht="15.75" customHeight="1" x14ac:dyDescent="0.25">
      <c r="A520" s="5">
        <v>11</v>
      </c>
      <c r="B520" s="5">
        <v>2023</v>
      </c>
      <c r="C520" s="63">
        <v>45197</v>
      </c>
      <c r="D520" s="14" t="s">
        <v>62</v>
      </c>
      <c r="E520" s="5" t="s">
        <v>63</v>
      </c>
      <c r="F520" s="5">
        <v>1</v>
      </c>
      <c r="G520" s="5" t="s">
        <v>46</v>
      </c>
      <c r="H520" s="5">
        <v>6</v>
      </c>
      <c r="I520" s="5">
        <v>1</v>
      </c>
      <c r="J520" s="5">
        <v>2.5</v>
      </c>
      <c r="K520" s="5" t="s">
        <v>29</v>
      </c>
      <c r="L520" s="7" t="str">
        <f>VLOOKUP(K520, 'Alphabetical by species code'!A:B, 2, FALSE)</f>
        <v>Opuntia littoralis</v>
      </c>
      <c r="M520" s="7" t="str">
        <f>VLOOKUP(L520, 'Alphabetical by species code'!B:C, 2, FALSE)</f>
        <v>Native</v>
      </c>
    </row>
    <row r="521" spans="1:13" ht="15.75" customHeight="1" x14ac:dyDescent="0.25">
      <c r="A521" s="5">
        <v>11</v>
      </c>
      <c r="B521" s="5">
        <v>2023</v>
      </c>
      <c r="C521" s="63">
        <v>45197</v>
      </c>
      <c r="D521" s="14" t="s">
        <v>62</v>
      </c>
      <c r="E521" s="5" t="s">
        <v>63</v>
      </c>
      <c r="F521" s="5">
        <v>1</v>
      </c>
      <c r="G521" s="5" t="s">
        <v>46</v>
      </c>
      <c r="H521" s="5">
        <v>6</v>
      </c>
      <c r="I521" s="5">
        <v>1</v>
      </c>
      <c r="J521" s="5">
        <v>2.5</v>
      </c>
      <c r="K521" s="5" t="s">
        <v>30</v>
      </c>
      <c r="L521" s="7" t="str">
        <f>VLOOKUP(K521, 'Alphabetical by species code'!A:B, 2, FALSE)</f>
        <v>Non Native Grass</v>
      </c>
      <c r="M521" s="7" t="str">
        <f>VLOOKUP(L521, 'Alphabetical by species code'!B:C, 2, FALSE)</f>
        <v>Non-Native</v>
      </c>
    </row>
    <row r="522" spans="1:13" ht="15.75" customHeight="1" x14ac:dyDescent="0.25">
      <c r="A522" s="5">
        <v>11</v>
      </c>
      <c r="B522" s="5">
        <v>2023</v>
      </c>
      <c r="C522" s="63">
        <v>45197</v>
      </c>
      <c r="D522" s="14" t="s">
        <v>62</v>
      </c>
      <c r="E522" s="5" t="s">
        <v>63</v>
      </c>
      <c r="F522" s="5">
        <v>1</v>
      </c>
      <c r="G522" s="5" t="s">
        <v>46</v>
      </c>
      <c r="H522" s="5">
        <v>7</v>
      </c>
      <c r="I522" s="5">
        <v>1</v>
      </c>
      <c r="J522" s="5">
        <v>3</v>
      </c>
      <c r="K522" s="5" t="s">
        <v>27</v>
      </c>
      <c r="L522" s="7" t="str">
        <f>VLOOKUP(K522, 'Alphabetical by species code'!A:B, 2, FALSE)</f>
        <v>Litter</v>
      </c>
      <c r="M522" s="7" t="str">
        <f>VLOOKUP(L522, 'Alphabetical by species code'!B:C, 2, FALSE)</f>
        <v>Ground Cover</v>
      </c>
    </row>
    <row r="523" spans="1:13" ht="15.75" customHeight="1" x14ac:dyDescent="0.25">
      <c r="A523" s="5">
        <v>11</v>
      </c>
      <c r="B523" s="5">
        <v>2023</v>
      </c>
      <c r="C523" s="63">
        <v>45197</v>
      </c>
      <c r="D523" s="14" t="s">
        <v>62</v>
      </c>
      <c r="E523" s="5" t="s">
        <v>63</v>
      </c>
      <c r="F523" s="5">
        <v>1</v>
      </c>
      <c r="G523" s="5" t="s">
        <v>46</v>
      </c>
      <c r="H523" s="5">
        <v>8</v>
      </c>
      <c r="I523" s="5">
        <v>1</v>
      </c>
      <c r="J523" s="5">
        <v>3.5</v>
      </c>
      <c r="K523" s="5" t="s">
        <v>27</v>
      </c>
      <c r="L523" s="7" t="str">
        <f>VLOOKUP(K523, 'Alphabetical by species code'!A:B, 2, FALSE)</f>
        <v>Litter</v>
      </c>
      <c r="M523" s="7" t="str">
        <f>VLOOKUP(L523, 'Alphabetical by species code'!B:C, 2, FALSE)</f>
        <v>Ground Cover</v>
      </c>
    </row>
    <row r="524" spans="1:13" ht="15.75" customHeight="1" x14ac:dyDescent="0.25">
      <c r="A524" s="5">
        <v>11</v>
      </c>
      <c r="B524" s="5">
        <v>2023</v>
      </c>
      <c r="C524" s="63">
        <v>45197</v>
      </c>
      <c r="D524" s="14" t="s">
        <v>62</v>
      </c>
      <c r="E524" s="5" t="s">
        <v>63</v>
      </c>
      <c r="F524" s="5">
        <v>1</v>
      </c>
      <c r="G524" s="5" t="s">
        <v>46</v>
      </c>
      <c r="H524" s="5">
        <v>9</v>
      </c>
      <c r="I524" s="5">
        <v>1</v>
      </c>
      <c r="J524" s="5">
        <v>4</v>
      </c>
      <c r="K524" s="5" t="s">
        <v>58</v>
      </c>
      <c r="L524" s="7" t="str">
        <f>VLOOKUP(K524, 'Alphabetical by species code'!A:B, 2, FALSE)</f>
        <v>Stem</v>
      </c>
      <c r="M524" s="7" t="str">
        <f>VLOOKUP(L524, 'Alphabetical by species code'!B:C, 2, FALSE)</f>
        <v>Ground Cover</v>
      </c>
    </row>
    <row r="525" spans="1:13" ht="15.75" customHeight="1" x14ac:dyDescent="0.25">
      <c r="A525" s="5">
        <v>11</v>
      </c>
      <c r="B525" s="5">
        <v>2023</v>
      </c>
      <c r="C525" s="63">
        <v>45197</v>
      </c>
      <c r="D525" s="14" t="s">
        <v>62</v>
      </c>
      <c r="E525" s="5" t="s">
        <v>63</v>
      </c>
      <c r="F525" s="5">
        <v>1</v>
      </c>
      <c r="G525" s="5" t="s">
        <v>46</v>
      </c>
      <c r="H525" s="5">
        <v>9</v>
      </c>
      <c r="I525" s="5">
        <v>1</v>
      </c>
      <c r="J525" s="5">
        <v>4</v>
      </c>
      <c r="K525" s="5" t="s">
        <v>48</v>
      </c>
      <c r="L525" s="7" t="str">
        <f>VLOOKUP(K525, 'Alphabetical by species code'!A:B, 2, FALSE)</f>
        <v>Deinandra fasciculata</v>
      </c>
      <c r="M525" s="7" t="str">
        <f>VLOOKUP(L525, 'Alphabetical by species code'!B:C, 2, FALSE)</f>
        <v>Native</v>
      </c>
    </row>
    <row r="526" spans="1:13" ht="15.75" customHeight="1" x14ac:dyDescent="0.25">
      <c r="A526" s="5">
        <v>11</v>
      </c>
      <c r="B526" s="5">
        <v>2023</v>
      </c>
      <c r="C526" s="63">
        <v>45197</v>
      </c>
      <c r="D526" s="14" t="s">
        <v>62</v>
      </c>
      <c r="E526" s="5" t="s">
        <v>63</v>
      </c>
      <c r="F526" s="5">
        <v>1</v>
      </c>
      <c r="G526" s="5" t="s">
        <v>46</v>
      </c>
      <c r="H526" s="5">
        <v>10</v>
      </c>
      <c r="I526" s="5">
        <v>1</v>
      </c>
      <c r="J526" s="5">
        <v>4.5</v>
      </c>
      <c r="K526" s="5" t="s">
        <v>27</v>
      </c>
      <c r="L526" s="7" t="str">
        <f>VLOOKUP(K526, 'Alphabetical by species code'!A:B, 2, FALSE)</f>
        <v>Litter</v>
      </c>
      <c r="M526" s="7" t="str">
        <f>VLOOKUP(L526, 'Alphabetical by species code'!B:C, 2, FALSE)</f>
        <v>Ground Cover</v>
      </c>
    </row>
    <row r="527" spans="1:13" ht="15.75" customHeight="1" x14ac:dyDescent="0.25">
      <c r="A527" s="5">
        <v>11</v>
      </c>
      <c r="B527" s="5">
        <v>2023</v>
      </c>
      <c r="C527" s="63">
        <v>45197</v>
      </c>
      <c r="D527" s="5" t="s">
        <v>62</v>
      </c>
      <c r="E527" s="5" t="s">
        <v>63</v>
      </c>
      <c r="F527" s="5">
        <v>1</v>
      </c>
      <c r="G527" s="5" t="s">
        <v>46</v>
      </c>
      <c r="H527" s="5">
        <v>10</v>
      </c>
      <c r="I527" s="5">
        <v>1</v>
      </c>
      <c r="J527" s="5">
        <v>4.5</v>
      </c>
      <c r="K527" s="5" t="s">
        <v>29</v>
      </c>
      <c r="L527" s="7" t="str">
        <f>VLOOKUP(K527, 'Alphabetical by species code'!A:B, 2, FALSE)</f>
        <v>Opuntia littoralis</v>
      </c>
      <c r="M527" s="7" t="str">
        <f>VLOOKUP(L527, 'Alphabetical by species code'!B:C, 2, FALSE)</f>
        <v>Native</v>
      </c>
    </row>
    <row r="528" spans="1:13" ht="15.75" customHeight="1" x14ac:dyDescent="0.25">
      <c r="A528" s="5">
        <v>11</v>
      </c>
      <c r="B528" s="5">
        <v>2023</v>
      </c>
      <c r="C528" s="63">
        <v>45197</v>
      </c>
      <c r="D528" s="5" t="s">
        <v>62</v>
      </c>
      <c r="E528" s="5" t="s">
        <v>63</v>
      </c>
      <c r="F528" s="5">
        <v>1</v>
      </c>
      <c r="G528" s="5" t="s">
        <v>46</v>
      </c>
      <c r="H528" s="5">
        <v>10</v>
      </c>
      <c r="I528" s="5">
        <v>1</v>
      </c>
      <c r="J528" s="5">
        <v>4.5</v>
      </c>
      <c r="K528" s="5" t="s">
        <v>64</v>
      </c>
      <c r="L528" s="7" t="str">
        <f>VLOOKUP(K528, 'Alphabetical by species code'!A:B, 2, FALSE)</f>
        <v>Convolvulus arvensis</v>
      </c>
      <c r="M528" s="7" t="str">
        <f>VLOOKUP(L528, 'Alphabetical by species code'!B:C, 2, FALSE)</f>
        <v>Non-Native</v>
      </c>
    </row>
    <row r="529" spans="1:13" ht="15.75" customHeight="1" x14ac:dyDescent="0.25">
      <c r="A529" s="5">
        <v>11</v>
      </c>
      <c r="B529" s="5">
        <v>2023</v>
      </c>
      <c r="C529" s="63">
        <v>45197</v>
      </c>
      <c r="D529" s="14" t="s">
        <v>62</v>
      </c>
      <c r="E529" s="5" t="s">
        <v>63</v>
      </c>
      <c r="F529" s="5">
        <v>1</v>
      </c>
      <c r="G529" s="5" t="s">
        <v>46</v>
      </c>
      <c r="H529" s="5">
        <v>11</v>
      </c>
      <c r="I529" s="5">
        <v>1</v>
      </c>
      <c r="J529" s="5">
        <v>5</v>
      </c>
      <c r="K529" s="5" t="s">
        <v>27</v>
      </c>
      <c r="L529" s="7" t="str">
        <f>VLOOKUP(K529, 'Alphabetical by species code'!A:B, 2, FALSE)</f>
        <v>Litter</v>
      </c>
      <c r="M529" s="7" t="str">
        <f>VLOOKUP(L529, 'Alphabetical by species code'!B:C, 2, FALSE)</f>
        <v>Ground Cover</v>
      </c>
    </row>
    <row r="530" spans="1:13" ht="15.75" customHeight="1" x14ac:dyDescent="0.25">
      <c r="A530" s="5">
        <v>11</v>
      </c>
      <c r="B530" s="5">
        <v>2023</v>
      </c>
      <c r="C530" s="63">
        <v>45197</v>
      </c>
      <c r="D530" s="14" t="s">
        <v>62</v>
      </c>
      <c r="E530" s="5" t="s">
        <v>63</v>
      </c>
      <c r="F530" s="5">
        <v>1</v>
      </c>
      <c r="G530" s="5" t="s">
        <v>46</v>
      </c>
      <c r="H530" s="5">
        <v>11</v>
      </c>
      <c r="I530" s="5">
        <v>1</v>
      </c>
      <c r="J530" s="5">
        <v>5</v>
      </c>
      <c r="K530" s="5" t="s">
        <v>64</v>
      </c>
      <c r="L530" s="7" t="str">
        <f>VLOOKUP(K530, 'Alphabetical by species code'!A:B, 2, FALSE)</f>
        <v>Convolvulus arvensis</v>
      </c>
      <c r="M530" s="7" t="str">
        <f>VLOOKUP(L530, 'Alphabetical by species code'!B:C, 2, FALSE)</f>
        <v>Non-Native</v>
      </c>
    </row>
    <row r="531" spans="1:13" ht="15.75" customHeight="1" x14ac:dyDescent="0.25">
      <c r="A531" s="5">
        <v>11</v>
      </c>
      <c r="B531" s="5">
        <v>2023</v>
      </c>
      <c r="C531" s="63">
        <v>45197</v>
      </c>
      <c r="D531" s="14" t="s">
        <v>62</v>
      </c>
      <c r="E531" s="5" t="s">
        <v>63</v>
      </c>
      <c r="F531" s="5">
        <v>1</v>
      </c>
      <c r="G531" s="5" t="s">
        <v>46</v>
      </c>
      <c r="H531" s="5">
        <v>12</v>
      </c>
      <c r="I531" s="5">
        <v>1</v>
      </c>
      <c r="J531" s="5">
        <v>5.5</v>
      </c>
      <c r="K531" s="5" t="s">
        <v>35</v>
      </c>
      <c r="L531" s="7" t="str">
        <f>VLOOKUP(K531, 'Alphabetical by species code'!A:B, 2, FALSE)</f>
        <v>Bareground</v>
      </c>
      <c r="M531" s="7" t="str">
        <f>VLOOKUP(L531, 'Alphabetical by species code'!B:C, 2, FALSE)</f>
        <v>Ground Cover</v>
      </c>
    </row>
    <row r="532" spans="1:13" ht="15.75" customHeight="1" x14ac:dyDescent="0.25">
      <c r="A532" s="5">
        <v>11</v>
      </c>
      <c r="B532" s="5">
        <v>2023</v>
      </c>
      <c r="C532" s="63">
        <v>45197</v>
      </c>
      <c r="D532" s="5" t="s">
        <v>62</v>
      </c>
      <c r="E532" s="5" t="s">
        <v>63</v>
      </c>
      <c r="F532" s="5">
        <v>1</v>
      </c>
      <c r="G532" s="5" t="s">
        <v>46</v>
      </c>
      <c r="H532" s="5">
        <v>12</v>
      </c>
      <c r="I532" s="5">
        <v>1</v>
      </c>
      <c r="J532" s="5">
        <v>5.5</v>
      </c>
      <c r="K532" s="5" t="s">
        <v>64</v>
      </c>
      <c r="L532" s="7" t="str">
        <f>VLOOKUP(K532, 'Alphabetical by species code'!A:B, 2, FALSE)</f>
        <v>Convolvulus arvensis</v>
      </c>
      <c r="M532" s="7" t="str">
        <f>VLOOKUP(L532, 'Alphabetical by species code'!B:C, 2, FALSE)</f>
        <v>Non-Native</v>
      </c>
    </row>
    <row r="533" spans="1:13" ht="15.75" customHeight="1" x14ac:dyDescent="0.25">
      <c r="A533" s="5">
        <v>11</v>
      </c>
      <c r="B533" s="5">
        <v>2023</v>
      </c>
      <c r="C533" s="63">
        <v>45197</v>
      </c>
      <c r="D533" s="5" t="s">
        <v>62</v>
      </c>
      <c r="E533" s="5" t="s">
        <v>63</v>
      </c>
      <c r="F533" s="5">
        <v>1</v>
      </c>
      <c r="G533" s="5" t="s">
        <v>46</v>
      </c>
      <c r="H533" s="5">
        <v>13</v>
      </c>
      <c r="I533" s="5">
        <v>1</v>
      </c>
      <c r="J533" s="5">
        <v>6.5</v>
      </c>
      <c r="K533" s="5" t="s">
        <v>35</v>
      </c>
      <c r="L533" s="7" t="str">
        <f>VLOOKUP(K533, 'Alphabetical by species code'!A:B, 2, FALSE)</f>
        <v>Bareground</v>
      </c>
      <c r="M533" s="7" t="str">
        <f>VLOOKUP(L533, 'Alphabetical by species code'!B:C, 2, FALSE)</f>
        <v>Ground Cover</v>
      </c>
    </row>
    <row r="534" spans="1:13" ht="15.75" customHeight="1" x14ac:dyDescent="0.25">
      <c r="A534" s="5">
        <v>11</v>
      </c>
      <c r="B534" s="5">
        <v>2023</v>
      </c>
      <c r="C534" s="63">
        <v>45197</v>
      </c>
      <c r="D534" s="14" t="s">
        <v>62</v>
      </c>
      <c r="E534" s="5" t="s">
        <v>63</v>
      </c>
      <c r="F534" s="5">
        <v>1</v>
      </c>
      <c r="G534" s="5" t="s">
        <v>46</v>
      </c>
      <c r="H534" s="5">
        <v>13</v>
      </c>
      <c r="I534" s="5">
        <v>1</v>
      </c>
      <c r="J534" s="5">
        <v>6.5</v>
      </c>
      <c r="K534" s="5" t="s">
        <v>48</v>
      </c>
      <c r="L534" s="7" t="str">
        <f>VLOOKUP(K534, 'Alphabetical by species code'!A:B, 2, FALSE)</f>
        <v>Deinandra fasciculata</v>
      </c>
      <c r="M534" s="7" t="str">
        <f>VLOOKUP(L534, 'Alphabetical by species code'!B:C, 2, FALSE)</f>
        <v>Native</v>
      </c>
    </row>
    <row r="535" spans="1:13" ht="15.75" customHeight="1" x14ac:dyDescent="0.25">
      <c r="A535" s="5">
        <v>11</v>
      </c>
      <c r="B535" s="5">
        <v>2023</v>
      </c>
      <c r="C535" s="63">
        <v>45197</v>
      </c>
      <c r="D535" s="5" t="s">
        <v>62</v>
      </c>
      <c r="E535" s="5" t="s">
        <v>63</v>
      </c>
      <c r="F535" s="5">
        <v>1</v>
      </c>
      <c r="G535" s="5" t="s">
        <v>46</v>
      </c>
      <c r="H535" s="5">
        <v>13</v>
      </c>
      <c r="I535" s="5">
        <v>1</v>
      </c>
      <c r="J535" s="5">
        <v>6.5</v>
      </c>
      <c r="K535" s="5" t="s">
        <v>29</v>
      </c>
      <c r="L535" s="7" t="str">
        <f>VLOOKUP(K535, 'Alphabetical by species code'!A:B, 2, FALSE)</f>
        <v>Opuntia littoralis</v>
      </c>
      <c r="M535" s="7" t="str">
        <f>VLOOKUP(L535, 'Alphabetical by species code'!B:C, 2, FALSE)</f>
        <v>Native</v>
      </c>
    </row>
    <row r="536" spans="1:13" ht="15.75" customHeight="1" x14ac:dyDescent="0.25">
      <c r="A536" s="5">
        <v>11</v>
      </c>
      <c r="B536" s="5">
        <v>2023</v>
      </c>
      <c r="C536" s="63">
        <v>45197</v>
      </c>
      <c r="D536" s="5" t="s">
        <v>62</v>
      </c>
      <c r="E536" s="5" t="s">
        <v>63</v>
      </c>
      <c r="F536" s="5">
        <v>1</v>
      </c>
      <c r="G536" s="5" t="s">
        <v>46</v>
      </c>
      <c r="H536" s="5">
        <v>14</v>
      </c>
      <c r="I536" s="5">
        <v>1</v>
      </c>
      <c r="J536" s="5">
        <v>7</v>
      </c>
      <c r="K536" s="5" t="s">
        <v>27</v>
      </c>
      <c r="L536" s="7" t="str">
        <f>VLOOKUP(K536, 'Alphabetical by species code'!A:B, 2, FALSE)</f>
        <v>Litter</v>
      </c>
      <c r="M536" s="7" t="str">
        <f>VLOOKUP(L536, 'Alphabetical by species code'!B:C, 2, FALSE)</f>
        <v>Ground Cover</v>
      </c>
    </row>
    <row r="537" spans="1:13" ht="15.75" customHeight="1" x14ac:dyDescent="0.25">
      <c r="A537" s="5">
        <v>11</v>
      </c>
      <c r="B537" s="5">
        <v>2023</v>
      </c>
      <c r="C537" s="63">
        <v>45197</v>
      </c>
      <c r="D537" s="14" t="s">
        <v>62</v>
      </c>
      <c r="E537" s="5" t="s">
        <v>63</v>
      </c>
      <c r="F537" s="5">
        <v>1</v>
      </c>
      <c r="G537" s="5" t="s">
        <v>46</v>
      </c>
      <c r="H537" s="5">
        <v>15</v>
      </c>
      <c r="I537" s="5">
        <v>1</v>
      </c>
      <c r="J537" s="5">
        <v>7.5</v>
      </c>
      <c r="K537" s="5" t="s">
        <v>35</v>
      </c>
      <c r="L537" s="7" t="str">
        <f>VLOOKUP(K537, 'Alphabetical by species code'!A:B, 2, FALSE)</f>
        <v>Bareground</v>
      </c>
      <c r="M537" s="7" t="str">
        <f>VLOOKUP(L537, 'Alphabetical by species code'!B:C, 2, FALSE)</f>
        <v>Ground Cover</v>
      </c>
    </row>
    <row r="538" spans="1:13" ht="15.75" customHeight="1" x14ac:dyDescent="0.25">
      <c r="A538" s="5">
        <v>11</v>
      </c>
      <c r="B538" s="5">
        <v>2023</v>
      </c>
      <c r="C538" s="63">
        <v>45197</v>
      </c>
      <c r="D538" s="14" t="s">
        <v>62</v>
      </c>
      <c r="E538" s="5" t="s">
        <v>63</v>
      </c>
      <c r="F538" s="5">
        <v>1</v>
      </c>
      <c r="G538" s="5" t="s">
        <v>46</v>
      </c>
      <c r="H538" s="5">
        <v>1</v>
      </c>
      <c r="I538" s="5">
        <v>2</v>
      </c>
      <c r="J538" s="5">
        <v>0</v>
      </c>
      <c r="K538" s="5" t="s">
        <v>35</v>
      </c>
      <c r="L538" s="7" t="str">
        <f>VLOOKUP(K538, 'Alphabetical by species code'!A:B, 2, FALSE)</f>
        <v>Bareground</v>
      </c>
      <c r="M538" s="7" t="str">
        <f>VLOOKUP(L538, 'Alphabetical by species code'!B:C, 2, FALSE)</f>
        <v>Ground Cover</v>
      </c>
    </row>
    <row r="539" spans="1:13" ht="15.75" customHeight="1" x14ac:dyDescent="0.25">
      <c r="A539" s="5">
        <v>11</v>
      </c>
      <c r="B539" s="5">
        <v>2023</v>
      </c>
      <c r="C539" s="63">
        <v>45197</v>
      </c>
      <c r="D539" s="14" t="s">
        <v>62</v>
      </c>
      <c r="E539" s="5" t="s">
        <v>63</v>
      </c>
      <c r="F539" s="5">
        <v>1</v>
      </c>
      <c r="G539" s="5" t="s">
        <v>46</v>
      </c>
      <c r="H539" s="5">
        <v>2</v>
      </c>
      <c r="I539" s="5">
        <v>2</v>
      </c>
      <c r="J539" s="5">
        <v>0.5</v>
      </c>
      <c r="K539" s="5" t="s">
        <v>27</v>
      </c>
      <c r="L539" s="7" t="str">
        <f>VLOOKUP(K539, 'Alphabetical by species code'!A:B, 2, FALSE)</f>
        <v>Litter</v>
      </c>
      <c r="M539" s="7" t="str">
        <f>VLOOKUP(L539, 'Alphabetical by species code'!B:C, 2, FALSE)</f>
        <v>Ground Cover</v>
      </c>
    </row>
    <row r="540" spans="1:13" ht="15.75" customHeight="1" x14ac:dyDescent="0.25">
      <c r="A540" s="5">
        <v>11</v>
      </c>
      <c r="B540" s="5">
        <v>2023</v>
      </c>
      <c r="C540" s="63">
        <v>45197</v>
      </c>
      <c r="D540" s="5" t="s">
        <v>62</v>
      </c>
      <c r="E540" s="5" t="s">
        <v>63</v>
      </c>
      <c r="F540" s="5">
        <v>1</v>
      </c>
      <c r="G540" s="5" t="s">
        <v>46</v>
      </c>
      <c r="H540" s="5">
        <v>3</v>
      </c>
      <c r="I540" s="5">
        <v>2</v>
      </c>
      <c r="J540" s="5">
        <v>1</v>
      </c>
      <c r="K540" s="5" t="s">
        <v>27</v>
      </c>
      <c r="L540" s="7" t="str">
        <f>VLOOKUP(K540, 'Alphabetical by species code'!A:B, 2, FALSE)</f>
        <v>Litter</v>
      </c>
      <c r="M540" s="7" t="str">
        <f>VLOOKUP(L540, 'Alphabetical by species code'!B:C, 2, FALSE)</f>
        <v>Ground Cover</v>
      </c>
    </row>
    <row r="541" spans="1:13" ht="15.75" customHeight="1" x14ac:dyDescent="0.25">
      <c r="A541" s="5">
        <v>11</v>
      </c>
      <c r="B541" s="5">
        <v>2023</v>
      </c>
      <c r="C541" s="63">
        <v>45197</v>
      </c>
      <c r="D541" s="5" t="s">
        <v>62</v>
      </c>
      <c r="E541" s="5" t="s">
        <v>63</v>
      </c>
      <c r="F541" s="5">
        <v>1</v>
      </c>
      <c r="G541" s="5" t="s">
        <v>46</v>
      </c>
      <c r="H541" s="5">
        <v>3</v>
      </c>
      <c r="I541" s="5">
        <v>2</v>
      </c>
      <c r="J541" s="5">
        <v>1</v>
      </c>
      <c r="K541" s="5" t="s">
        <v>64</v>
      </c>
      <c r="L541" s="7" t="str">
        <f>VLOOKUP(K541, 'Alphabetical by species code'!A:B, 2, FALSE)</f>
        <v>Convolvulus arvensis</v>
      </c>
      <c r="M541" s="7" t="str">
        <f>VLOOKUP(L541, 'Alphabetical by species code'!B:C, 2, FALSE)</f>
        <v>Non-Native</v>
      </c>
    </row>
    <row r="542" spans="1:13" ht="15.75" customHeight="1" x14ac:dyDescent="0.25">
      <c r="A542" s="5">
        <v>11</v>
      </c>
      <c r="B542" s="5">
        <v>2023</v>
      </c>
      <c r="C542" s="63">
        <v>45197</v>
      </c>
      <c r="D542" s="14" t="s">
        <v>62</v>
      </c>
      <c r="E542" s="5" t="s">
        <v>63</v>
      </c>
      <c r="F542" s="5">
        <v>1</v>
      </c>
      <c r="G542" s="5" t="s">
        <v>46</v>
      </c>
      <c r="H542" s="5">
        <v>3</v>
      </c>
      <c r="I542" s="5">
        <v>2</v>
      </c>
      <c r="J542" s="5">
        <v>1</v>
      </c>
      <c r="K542" s="5" t="s">
        <v>29</v>
      </c>
      <c r="L542" s="7" t="str">
        <f>VLOOKUP(K542, 'Alphabetical by species code'!A:B, 2, FALSE)</f>
        <v>Opuntia littoralis</v>
      </c>
      <c r="M542" s="7" t="str">
        <f>VLOOKUP(L542, 'Alphabetical by species code'!B:C, 2, FALSE)</f>
        <v>Native</v>
      </c>
    </row>
    <row r="543" spans="1:13" ht="15.75" customHeight="1" x14ac:dyDescent="0.25">
      <c r="A543" s="5">
        <v>11</v>
      </c>
      <c r="B543" s="5">
        <v>2023</v>
      </c>
      <c r="C543" s="63">
        <v>45197</v>
      </c>
      <c r="D543" s="14" t="s">
        <v>62</v>
      </c>
      <c r="E543" s="5" t="s">
        <v>63</v>
      </c>
      <c r="F543" s="5">
        <v>1</v>
      </c>
      <c r="G543" s="5" t="s">
        <v>46</v>
      </c>
      <c r="H543" s="5">
        <v>4</v>
      </c>
      <c r="I543" s="5">
        <v>2</v>
      </c>
      <c r="J543" s="5">
        <v>1.5</v>
      </c>
      <c r="K543" s="5" t="s">
        <v>27</v>
      </c>
      <c r="L543" s="7" t="str">
        <f>VLOOKUP(K543, 'Alphabetical by species code'!A:B, 2, FALSE)</f>
        <v>Litter</v>
      </c>
      <c r="M543" s="7" t="str">
        <f>VLOOKUP(L543, 'Alphabetical by species code'!B:C, 2, FALSE)</f>
        <v>Ground Cover</v>
      </c>
    </row>
    <row r="544" spans="1:13" ht="15.75" customHeight="1" x14ac:dyDescent="0.25">
      <c r="A544" s="5">
        <v>11</v>
      </c>
      <c r="B544" s="5">
        <v>2023</v>
      </c>
      <c r="C544" s="63">
        <v>45197</v>
      </c>
      <c r="D544" s="14" t="s">
        <v>62</v>
      </c>
      <c r="E544" s="5" t="s">
        <v>63</v>
      </c>
      <c r="F544" s="5">
        <v>1</v>
      </c>
      <c r="G544" s="5" t="s">
        <v>46</v>
      </c>
      <c r="H544" s="5">
        <v>5</v>
      </c>
      <c r="I544" s="5">
        <v>2</v>
      </c>
      <c r="J544" s="5">
        <v>2.5</v>
      </c>
      <c r="K544" s="5" t="s">
        <v>27</v>
      </c>
      <c r="L544" s="7" t="str">
        <f>VLOOKUP(K544, 'Alphabetical by species code'!A:B, 2, FALSE)</f>
        <v>Litter</v>
      </c>
      <c r="M544" s="7" t="str">
        <f>VLOOKUP(L544, 'Alphabetical by species code'!B:C, 2, FALSE)</f>
        <v>Ground Cover</v>
      </c>
    </row>
    <row r="545" spans="1:13" ht="15.75" customHeight="1" x14ac:dyDescent="0.25">
      <c r="A545" s="5">
        <v>11</v>
      </c>
      <c r="B545" s="5">
        <v>2023</v>
      </c>
      <c r="C545" s="63">
        <v>45197</v>
      </c>
      <c r="D545" s="14" t="s">
        <v>62</v>
      </c>
      <c r="E545" s="5" t="s">
        <v>63</v>
      </c>
      <c r="F545" s="5">
        <v>1</v>
      </c>
      <c r="G545" s="5" t="s">
        <v>46</v>
      </c>
      <c r="H545" s="5">
        <v>5</v>
      </c>
      <c r="I545" s="5">
        <v>2</v>
      </c>
      <c r="J545" s="5">
        <v>2.5</v>
      </c>
      <c r="K545" s="5" t="s">
        <v>48</v>
      </c>
      <c r="L545" s="7" t="str">
        <f>VLOOKUP(K545, 'Alphabetical by species code'!A:B, 2, FALSE)</f>
        <v>Deinandra fasciculata</v>
      </c>
      <c r="M545" s="7" t="str">
        <f>VLOOKUP(L545, 'Alphabetical by species code'!B:C, 2, FALSE)</f>
        <v>Native</v>
      </c>
    </row>
    <row r="546" spans="1:13" ht="15.75" customHeight="1" x14ac:dyDescent="0.25">
      <c r="A546" s="5">
        <v>11</v>
      </c>
      <c r="B546" s="5">
        <v>2023</v>
      </c>
      <c r="C546" s="63">
        <v>45197</v>
      </c>
      <c r="D546" s="14" t="s">
        <v>62</v>
      </c>
      <c r="E546" s="5" t="s">
        <v>63</v>
      </c>
      <c r="F546" s="5">
        <v>1</v>
      </c>
      <c r="G546" s="5" t="s">
        <v>46</v>
      </c>
      <c r="H546" s="5">
        <v>6</v>
      </c>
      <c r="I546" s="5">
        <v>2</v>
      </c>
      <c r="J546" s="5">
        <v>3</v>
      </c>
      <c r="K546" s="5" t="s">
        <v>27</v>
      </c>
      <c r="L546" s="7" t="str">
        <f>VLOOKUP(K546, 'Alphabetical by species code'!A:B, 2, FALSE)</f>
        <v>Litter</v>
      </c>
      <c r="M546" s="7" t="str">
        <f>VLOOKUP(L546, 'Alphabetical by species code'!B:C, 2, FALSE)</f>
        <v>Ground Cover</v>
      </c>
    </row>
    <row r="547" spans="1:13" ht="15.75" customHeight="1" x14ac:dyDescent="0.25">
      <c r="A547" s="5">
        <v>11</v>
      </c>
      <c r="B547" s="5">
        <v>2023</v>
      </c>
      <c r="C547" s="63">
        <v>45197</v>
      </c>
      <c r="D547" s="5" t="s">
        <v>62</v>
      </c>
      <c r="E547" s="5" t="s">
        <v>63</v>
      </c>
      <c r="F547" s="5">
        <v>1</v>
      </c>
      <c r="G547" s="5" t="s">
        <v>46</v>
      </c>
      <c r="H547" s="5">
        <v>7</v>
      </c>
      <c r="I547" s="5">
        <v>2</v>
      </c>
      <c r="J547" s="5">
        <v>3.5</v>
      </c>
      <c r="K547" s="5" t="s">
        <v>27</v>
      </c>
      <c r="L547" s="7" t="str">
        <f>VLOOKUP(K547, 'Alphabetical by species code'!A:B, 2, FALSE)</f>
        <v>Litter</v>
      </c>
      <c r="M547" s="7" t="str">
        <f>VLOOKUP(L547, 'Alphabetical by species code'!B:C, 2, FALSE)</f>
        <v>Ground Cover</v>
      </c>
    </row>
    <row r="548" spans="1:13" ht="15.75" customHeight="1" x14ac:dyDescent="0.25">
      <c r="A548" s="5">
        <v>11</v>
      </c>
      <c r="B548" s="5">
        <v>2023</v>
      </c>
      <c r="C548" s="63">
        <v>45197</v>
      </c>
      <c r="D548" s="5" t="s">
        <v>62</v>
      </c>
      <c r="E548" s="5" t="s">
        <v>63</v>
      </c>
      <c r="F548" s="5">
        <v>1</v>
      </c>
      <c r="G548" s="5" t="s">
        <v>46</v>
      </c>
      <c r="H548" s="5">
        <v>7</v>
      </c>
      <c r="I548" s="5">
        <v>2</v>
      </c>
      <c r="J548" s="5">
        <v>3.5</v>
      </c>
      <c r="K548" s="5" t="s">
        <v>64</v>
      </c>
      <c r="L548" s="7" t="str">
        <f>VLOOKUP(K548, 'Alphabetical by species code'!A:B, 2, FALSE)</f>
        <v>Convolvulus arvensis</v>
      </c>
      <c r="M548" s="7" t="str">
        <f>VLOOKUP(L548, 'Alphabetical by species code'!B:C, 2, FALSE)</f>
        <v>Non-Native</v>
      </c>
    </row>
    <row r="549" spans="1:13" ht="15.75" customHeight="1" x14ac:dyDescent="0.25">
      <c r="A549" s="5">
        <v>11</v>
      </c>
      <c r="B549" s="5">
        <v>2023</v>
      </c>
      <c r="C549" s="63">
        <v>45197</v>
      </c>
      <c r="D549" s="14" t="s">
        <v>62</v>
      </c>
      <c r="E549" s="5" t="s">
        <v>63</v>
      </c>
      <c r="F549" s="5">
        <v>1</v>
      </c>
      <c r="G549" s="5" t="s">
        <v>46</v>
      </c>
      <c r="H549" s="5">
        <v>8</v>
      </c>
      <c r="I549" s="5">
        <v>2</v>
      </c>
      <c r="J549" s="5">
        <v>4</v>
      </c>
      <c r="K549" s="5" t="s">
        <v>27</v>
      </c>
      <c r="L549" s="7" t="str">
        <f>VLOOKUP(K549, 'Alphabetical by species code'!A:B, 2, FALSE)</f>
        <v>Litter</v>
      </c>
      <c r="M549" s="7" t="str">
        <f>VLOOKUP(L549, 'Alphabetical by species code'!B:C, 2, FALSE)</f>
        <v>Ground Cover</v>
      </c>
    </row>
    <row r="550" spans="1:13" ht="15.75" customHeight="1" x14ac:dyDescent="0.25">
      <c r="A550" s="5">
        <v>11</v>
      </c>
      <c r="B550" s="5">
        <v>2023</v>
      </c>
      <c r="C550" s="63">
        <v>45197</v>
      </c>
      <c r="D550" s="14" t="s">
        <v>62</v>
      </c>
      <c r="E550" s="5" t="s">
        <v>63</v>
      </c>
      <c r="F550" s="5">
        <v>1</v>
      </c>
      <c r="G550" s="5" t="s">
        <v>46</v>
      </c>
      <c r="H550" s="5">
        <v>9</v>
      </c>
      <c r="I550" s="5">
        <v>2</v>
      </c>
      <c r="J550" s="5">
        <v>4.5</v>
      </c>
      <c r="K550" s="5" t="s">
        <v>27</v>
      </c>
      <c r="L550" s="7" t="str">
        <f>VLOOKUP(K550, 'Alphabetical by species code'!A:B, 2, FALSE)</f>
        <v>Litter</v>
      </c>
      <c r="M550" s="7" t="str">
        <f>VLOOKUP(L550, 'Alphabetical by species code'!B:C, 2, FALSE)</f>
        <v>Ground Cover</v>
      </c>
    </row>
    <row r="551" spans="1:13" ht="15.75" customHeight="1" x14ac:dyDescent="0.25">
      <c r="A551" s="5">
        <v>11</v>
      </c>
      <c r="B551" s="5">
        <v>2023</v>
      </c>
      <c r="C551" s="63">
        <v>45197</v>
      </c>
      <c r="D551" s="14" t="s">
        <v>62</v>
      </c>
      <c r="E551" s="5" t="s">
        <v>63</v>
      </c>
      <c r="F551" s="5">
        <v>1</v>
      </c>
      <c r="G551" s="5" t="s">
        <v>46</v>
      </c>
      <c r="H551" s="5">
        <v>10</v>
      </c>
      <c r="I551" s="5">
        <v>2</v>
      </c>
      <c r="J551" s="5">
        <v>5</v>
      </c>
      <c r="K551" s="5" t="s">
        <v>27</v>
      </c>
      <c r="L551" s="7" t="str">
        <f>VLOOKUP(K551, 'Alphabetical by species code'!A:B, 2, FALSE)</f>
        <v>Litter</v>
      </c>
      <c r="M551" s="7" t="str">
        <f>VLOOKUP(L551, 'Alphabetical by species code'!B:C, 2, FALSE)</f>
        <v>Ground Cover</v>
      </c>
    </row>
    <row r="552" spans="1:13" ht="15.75" customHeight="1" x14ac:dyDescent="0.25">
      <c r="A552" s="5">
        <v>11</v>
      </c>
      <c r="B552" s="5">
        <v>2023</v>
      </c>
      <c r="C552" s="63">
        <v>45197</v>
      </c>
      <c r="D552" s="5" t="s">
        <v>62</v>
      </c>
      <c r="E552" s="5" t="s">
        <v>63</v>
      </c>
      <c r="F552" s="5">
        <v>1</v>
      </c>
      <c r="G552" s="5" t="s">
        <v>46</v>
      </c>
      <c r="H552" s="5">
        <v>10</v>
      </c>
      <c r="I552" s="5">
        <v>2</v>
      </c>
      <c r="J552" s="5">
        <v>5</v>
      </c>
      <c r="K552" s="5" t="s">
        <v>64</v>
      </c>
      <c r="L552" s="7" t="str">
        <f>VLOOKUP(K552, 'Alphabetical by species code'!A:B, 2, FALSE)</f>
        <v>Convolvulus arvensis</v>
      </c>
      <c r="M552" s="7" t="str">
        <f>VLOOKUP(L552, 'Alphabetical by species code'!B:C, 2, FALSE)</f>
        <v>Non-Native</v>
      </c>
    </row>
    <row r="553" spans="1:13" ht="15.75" customHeight="1" x14ac:dyDescent="0.25">
      <c r="A553" s="5">
        <v>11</v>
      </c>
      <c r="B553" s="5">
        <v>2023</v>
      </c>
      <c r="C553" s="63">
        <v>45197</v>
      </c>
      <c r="D553" s="5" t="s">
        <v>62</v>
      </c>
      <c r="E553" s="5" t="s">
        <v>63</v>
      </c>
      <c r="F553" s="5">
        <v>1</v>
      </c>
      <c r="G553" s="5" t="s">
        <v>46</v>
      </c>
      <c r="H553" s="5">
        <v>11</v>
      </c>
      <c r="I553" s="5">
        <v>2</v>
      </c>
      <c r="J553" s="5">
        <v>5.5</v>
      </c>
      <c r="K553" s="5" t="s">
        <v>58</v>
      </c>
      <c r="L553" s="7" t="str">
        <f>VLOOKUP(K553, 'Alphabetical by species code'!A:B, 2, FALSE)</f>
        <v>Stem</v>
      </c>
      <c r="M553" s="7" t="str">
        <f>VLOOKUP(L553, 'Alphabetical by species code'!B:C, 2, FALSE)</f>
        <v>Ground Cover</v>
      </c>
    </row>
    <row r="554" spans="1:13" ht="15.75" customHeight="1" x14ac:dyDescent="0.25">
      <c r="A554" s="5">
        <v>11</v>
      </c>
      <c r="B554" s="5">
        <v>2023</v>
      </c>
      <c r="C554" s="63">
        <v>45197</v>
      </c>
      <c r="D554" s="14" t="s">
        <v>62</v>
      </c>
      <c r="E554" s="5" t="s">
        <v>63</v>
      </c>
      <c r="F554" s="5">
        <v>1</v>
      </c>
      <c r="G554" s="5" t="s">
        <v>46</v>
      </c>
      <c r="H554" s="5">
        <v>11</v>
      </c>
      <c r="I554" s="5">
        <v>2</v>
      </c>
      <c r="J554" s="5">
        <v>5.5</v>
      </c>
      <c r="K554" s="5" t="s">
        <v>29</v>
      </c>
      <c r="L554" s="7" t="str">
        <f>VLOOKUP(K554, 'Alphabetical by species code'!A:B, 2, FALSE)</f>
        <v>Opuntia littoralis</v>
      </c>
      <c r="M554" s="7" t="str">
        <f>VLOOKUP(L554, 'Alphabetical by species code'!B:C, 2, FALSE)</f>
        <v>Native</v>
      </c>
    </row>
    <row r="555" spans="1:13" ht="15.75" customHeight="1" x14ac:dyDescent="0.25">
      <c r="A555" s="5">
        <v>11</v>
      </c>
      <c r="B555" s="5">
        <v>2023</v>
      </c>
      <c r="C555" s="63">
        <v>45197</v>
      </c>
      <c r="D555" s="5" t="s">
        <v>62</v>
      </c>
      <c r="E555" s="5" t="s">
        <v>63</v>
      </c>
      <c r="F555" s="5">
        <v>1</v>
      </c>
      <c r="G555" s="5" t="s">
        <v>46</v>
      </c>
      <c r="H555" s="5">
        <v>11</v>
      </c>
      <c r="I555" s="5">
        <v>2</v>
      </c>
      <c r="J555" s="5">
        <v>5.5</v>
      </c>
      <c r="K555" s="5" t="s">
        <v>64</v>
      </c>
      <c r="L555" s="7" t="str">
        <f>VLOOKUP(K555, 'Alphabetical by species code'!A:B, 2, FALSE)</f>
        <v>Convolvulus arvensis</v>
      </c>
      <c r="M555" s="7" t="str">
        <f>VLOOKUP(L555, 'Alphabetical by species code'!B:C, 2, FALSE)</f>
        <v>Non-Native</v>
      </c>
    </row>
    <row r="556" spans="1:13" ht="15.75" customHeight="1" x14ac:dyDescent="0.25">
      <c r="A556" s="5">
        <v>11</v>
      </c>
      <c r="B556" s="5">
        <v>2023</v>
      </c>
      <c r="C556" s="63">
        <v>45197</v>
      </c>
      <c r="D556" s="5" t="s">
        <v>62</v>
      </c>
      <c r="E556" s="5" t="s">
        <v>63</v>
      </c>
      <c r="F556" s="5">
        <v>1</v>
      </c>
      <c r="G556" s="5" t="s">
        <v>46</v>
      </c>
      <c r="H556" s="5">
        <v>12</v>
      </c>
      <c r="I556" s="5">
        <v>2</v>
      </c>
      <c r="J556" s="5">
        <v>6</v>
      </c>
      <c r="K556" s="5" t="s">
        <v>35</v>
      </c>
      <c r="L556" s="7" t="str">
        <f>VLOOKUP(K556, 'Alphabetical by species code'!A:B, 2, FALSE)</f>
        <v>Bareground</v>
      </c>
      <c r="M556" s="7" t="str">
        <f>VLOOKUP(L556, 'Alphabetical by species code'!B:C, 2, FALSE)</f>
        <v>Ground Cover</v>
      </c>
    </row>
    <row r="557" spans="1:13" ht="15.75" customHeight="1" x14ac:dyDescent="0.25">
      <c r="A557" s="5">
        <v>11</v>
      </c>
      <c r="B557" s="5">
        <v>2023</v>
      </c>
      <c r="C557" s="63">
        <v>45197</v>
      </c>
      <c r="D557" s="14" t="s">
        <v>62</v>
      </c>
      <c r="E557" s="5" t="s">
        <v>63</v>
      </c>
      <c r="F557" s="5">
        <v>1</v>
      </c>
      <c r="G557" s="5" t="s">
        <v>46</v>
      </c>
      <c r="H557" s="5">
        <v>13</v>
      </c>
      <c r="I557" s="5">
        <v>2</v>
      </c>
      <c r="J557" s="5">
        <v>6.5</v>
      </c>
      <c r="K557" s="5" t="s">
        <v>35</v>
      </c>
      <c r="L557" s="7" t="str">
        <f>VLOOKUP(K557, 'Alphabetical by species code'!A:B, 2, FALSE)</f>
        <v>Bareground</v>
      </c>
      <c r="M557" s="7" t="str">
        <f>VLOOKUP(L557, 'Alphabetical by species code'!B:C, 2, FALSE)</f>
        <v>Ground Cover</v>
      </c>
    </row>
    <row r="558" spans="1:13" ht="15.75" customHeight="1" x14ac:dyDescent="0.25">
      <c r="A558" s="5">
        <v>11</v>
      </c>
      <c r="B558" s="5">
        <v>2023</v>
      </c>
      <c r="C558" s="63">
        <v>45197</v>
      </c>
      <c r="D558" s="14" t="s">
        <v>62</v>
      </c>
      <c r="E558" s="5" t="s">
        <v>63</v>
      </c>
      <c r="F558" s="5">
        <v>1</v>
      </c>
      <c r="G558" s="5" t="s">
        <v>46</v>
      </c>
      <c r="H558" s="5">
        <v>14</v>
      </c>
      <c r="I558" s="5">
        <v>2</v>
      </c>
      <c r="J558" s="5">
        <v>7</v>
      </c>
      <c r="K558" s="5" t="s">
        <v>27</v>
      </c>
      <c r="L558" s="7" t="str">
        <f>VLOOKUP(K558, 'Alphabetical by species code'!A:B, 2, FALSE)</f>
        <v>Litter</v>
      </c>
      <c r="M558" s="7" t="str">
        <f>VLOOKUP(L558, 'Alphabetical by species code'!B:C, 2, FALSE)</f>
        <v>Ground Cover</v>
      </c>
    </row>
    <row r="559" spans="1:13" ht="15.75" customHeight="1" x14ac:dyDescent="0.25">
      <c r="A559" s="5">
        <v>11</v>
      </c>
      <c r="B559" s="5">
        <v>2023</v>
      </c>
      <c r="C559" s="63">
        <v>45197</v>
      </c>
      <c r="D559" s="14" t="s">
        <v>62</v>
      </c>
      <c r="E559" s="5" t="s">
        <v>63</v>
      </c>
      <c r="F559" s="5">
        <v>1</v>
      </c>
      <c r="G559" s="5" t="s">
        <v>46</v>
      </c>
      <c r="H559" s="5">
        <v>15</v>
      </c>
      <c r="I559" s="5">
        <v>2</v>
      </c>
      <c r="J559" s="5">
        <v>7.5</v>
      </c>
      <c r="K559" s="5" t="s">
        <v>27</v>
      </c>
      <c r="L559" s="7" t="str">
        <f>VLOOKUP(K559, 'Alphabetical by species code'!A:B, 2, FALSE)</f>
        <v>Litter</v>
      </c>
      <c r="M559" s="7" t="str">
        <f>VLOOKUP(L559, 'Alphabetical by species code'!B:C, 2, FALSE)</f>
        <v>Ground Cover</v>
      </c>
    </row>
    <row r="560" spans="1:13" ht="15.75" customHeight="1" x14ac:dyDescent="0.25">
      <c r="A560" s="5">
        <v>12</v>
      </c>
      <c r="B560" s="5">
        <v>2023</v>
      </c>
      <c r="C560" s="63">
        <v>45197</v>
      </c>
      <c r="D560" s="5" t="s">
        <v>62</v>
      </c>
      <c r="E560" s="5" t="s">
        <v>63</v>
      </c>
      <c r="F560" s="5">
        <v>1</v>
      </c>
      <c r="G560" s="5" t="s">
        <v>51</v>
      </c>
      <c r="H560" s="5">
        <v>1</v>
      </c>
      <c r="I560" s="5">
        <v>1</v>
      </c>
      <c r="J560" s="5">
        <v>0</v>
      </c>
      <c r="K560" s="5" t="s">
        <v>35</v>
      </c>
      <c r="L560" s="7" t="str">
        <f>VLOOKUP(K560, 'Alphabetical by species code'!A:B, 2, FALSE)</f>
        <v>Bareground</v>
      </c>
      <c r="M560" s="7" t="str">
        <f>VLOOKUP(L560, 'Alphabetical by species code'!B:C, 2, FALSE)</f>
        <v>Ground Cover</v>
      </c>
    </row>
    <row r="561" spans="1:14" ht="15.75" customHeight="1" x14ac:dyDescent="0.25">
      <c r="A561" s="5">
        <v>12</v>
      </c>
      <c r="B561" s="5">
        <v>2023</v>
      </c>
      <c r="C561" s="63">
        <v>45197</v>
      </c>
      <c r="D561" s="5" t="s">
        <v>62</v>
      </c>
      <c r="E561" s="5" t="s">
        <v>63</v>
      </c>
      <c r="F561" s="5">
        <v>1</v>
      </c>
      <c r="G561" s="5" t="s">
        <v>51</v>
      </c>
      <c r="H561" s="5">
        <v>1</v>
      </c>
      <c r="I561" s="5">
        <v>1</v>
      </c>
      <c r="J561" s="5">
        <v>0</v>
      </c>
      <c r="K561" s="5" t="s">
        <v>66</v>
      </c>
      <c r="L561" s="7" t="str">
        <f>VLOOKUP(K561, 'Alphabetical by species code'!A:B, 2, FALSE)</f>
        <v>Stipa pulchra</v>
      </c>
      <c r="M561" s="7" t="str">
        <f>VLOOKUP(L561, 'Alphabetical by species code'!B:C, 2, FALSE)</f>
        <v>Native</v>
      </c>
      <c r="N561" s="7" t="s">
        <v>65</v>
      </c>
    </row>
    <row r="562" spans="1:14" ht="15.75" customHeight="1" x14ac:dyDescent="0.25">
      <c r="A562" s="5">
        <v>12</v>
      </c>
      <c r="B562" s="5">
        <v>2023</v>
      </c>
      <c r="C562" s="63">
        <v>45197</v>
      </c>
      <c r="D562" s="14" t="s">
        <v>62</v>
      </c>
      <c r="E562" s="5" t="s">
        <v>63</v>
      </c>
      <c r="F562" s="5">
        <v>1</v>
      </c>
      <c r="G562" s="5" t="s">
        <v>51</v>
      </c>
      <c r="H562" s="5">
        <v>2</v>
      </c>
      <c r="I562" s="5">
        <v>1</v>
      </c>
      <c r="J562" s="5">
        <v>0.5</v>
      </c>
      <c r="K562" s="5" t="s">
        <v>35</v>
      </c>
      <c r="L562" s="7" t="str">
        <f>VLOOKUP(K562, 'Alphabetical by species code'!A:B, 2, FALSE)</f>
        <v>Bareground</v>
      </c>
      <c r="M562" s="7" t="str">
        <f>VLOOKUP(L562, 'Alphabetical by species code'!B:C, 2, FALSE)</f>
        <v>Ground Cover</v>
      </c>
    </row>
    <row r="563" spans="1:14" ht="15.75" customHeight="1" x14ac:dyDescent="0.25">
      <c r="A563" s="5">
        <v>12</v>
      </c>
      <c r="B563" s="5">
        <v>2023</v>
      </c>
      <c r="C563" s="63">
        <v>45197</v>
      </c>
      <c r="D563" s="5" t="s">
        <v>62</v>
      </c>
      <c r="E563" s="5" t="s">
        <v>63</v>
      </c>
      <c r="F563" s="5">
        <v>1</v>
      </c>
      <c r="G563" s="5" t="s">
        <v>51</v>
      </c>
      <c r="H563" s="5">
        <v>3</v>
      </c>
      <c r="I563" s="5">
        <v>1</v>
      </c>
      <c r="J563" s="5">
        <v>1</v>
      </c>
      <c r="K563" s="5" t="s">
        <v>27</v>
      </c>
      <c r="L563" s="7" t="str">
        <f>VLOOKUP(K563, 'Alphabetical by species code'!A:B, 2, FALSE)</f>
        <v>Litter</v>
      </c>
      <c r="M563" s="7" t="str">
        <f>VLOOKUP(L563, 'Alphabetical by species code'!B:C, 2, FALSE)</f>
        <v>Ground Cover</v>
      </c>
    </row>
    <row r="564" spans="1:14" ht="15.75" customHeight="1" x14ac:dyDescent="0.25">
      <c r="A564" s="5">
        <v>12</v>
      </c>
      <c r="B564" s="5">
        <v>2023</v>
      </c>
      <c r="C564" s="63">
        <v>45197</v>
      </c>
      <c r="D564" s="5" t="s">
        <v>62</v>
      </c>
      <c r="E564" s="5" t="s">
        <v>63</v>
      </c>
      <c r="F564" s="5">
        <v>1</v>
      </c>
      <c r="G564" s="5" t="s">
        <v>51</v>
      </c>
      <c r="H564" s="5">
        <v>3</v>
      </c>
      <c r="I564" s="5">
        <v>1</v>
      </c>
      <c r="J564" s="5">
        <v>1</v>
      </c>
      <c r="K564" s="5" t="s">
        <v>30</v>
      </c>
      <c r="L564" s="7" t="str">
        <f>VLOOKUP(K564, 'Alphabetical by species code'!A:B, 2, FALSE)</f>
        <v>Non Native Grass</v>
      </c>
      <c r="M564" s="7" t="str">
        <f>VLOOKUP(L564, 'Alphabetical by species code'!B:C, 2, FALSE)</f>
        <v>Non-Native</v>
      </c>
    </row>
    <row r="565" spans="1:14" ht="15.75" customHeight="1" x14ac:dyDescent="0.25">
      <c r="A565" s="5">
        <v>12</v>
      </c>
      <c r="B565" s="5">
        <v>2023</v>
      </c>
      <c r="C565" s="63">
        <v>45197</v>
      </c>
      <c r="D565" s="14" t="s">
        <v>62</v>
      </c>
      <c r="E565" s="5" t="s">
        <v>63</v>
      </c>
      <c r="F565" s="5">
        <v>1</v>
      </c>
      <c r="G565" s="5" t="s">
        <v>51</v>
      </c>
      <c r="H565" s="5">
        <v>3</v>
      </c>
      <c r="I565" s="5">
        <v>1</v>
      </c>
      <c r="J565" s="5">
        <v>1</v>
      </c>
      <c r="K565" s="5" t="s">
        <v>34</v>
      </c>
      <c r="L565" s="7" t="str">
        <f>VLOOKUP(K565, 'Alphabetical by species code'!A:B, 2, FALSE)</f>
        <v>Centaurea melitensis</v>
      </c>
      <c r="M565" s="7" t="str">
        <f>VLOOKUP(L565, 'Alphabetical by species code'!B:C, 2, FALSE)</f>
        <v>Non-Native</v>
      </c>
    </row>
    <row r="566" spans="1:14" ht="15.75" customHeight="1" x14ac:dyDescent="0.25">
      <c r="A566" s="5">
        <v>12</v>
      </c>
      <c r="B566" s="5">
        <v>2023</v>
      </c>
      <c r="C566" s="63">
        <v>45197</v>
      </c>
      <c r="D566" s="14" t="s">
        <v>62</v>
      </c>
      <c r="E566" s="5" t="s">
        <v>63</v>
      </c>
      <c r="F566" s="5">
        <v>1</v>
      </c>
      <c r="G566" s="5" t="s">
        <v>51</v>
      </c>
      <c r="H566" s="5">
        <v>4</v>
      </c>
      <c r="I566" s="5">
        <v>1</v>
      </c>
      <c r="J566" s="5">
        <v>1.5</v>
      </c>
      <c r="K566" s="5" t="s">
        <v>27</v>
      </c>
      <c r="L566" s="7" t="str">
        <f>VLOOKUP(K566, 'Alphabetical by species code'!A:B, 2, FALSE)</f>
        <v>Litter</v>
      </c>
      <c r="M566" s="7" t="str">
        <f>VLOOKUP(L566, 'Alphabetical by species code'!B:C, 2, FALSE)</f>
        <v>Ground Cover</v>
      </c>
    </row>
    <row r="567" spans="1:14" ht="15.75" customHeight="1" x14ac:dyDescent="0.25">
      <c r="A567" s="5">
        <v>12</v>
      </c>
      <c r="B567" s="5">
        <v>2023</v>
      </c>
      <c r="C567" s="63">
        <v>45197</v>
      </c>
      <c r="D567" s="14" t="s">
        <v>62</v>
      </c>
      <c r="E567" s="5" t="s">
        <v>63</v>
      </c>
      <c r="F567" s="5">
        <v>1</v>
      </c>
      <c r="G567" s="5" t="s">
        <v>51</v>
      </c>
      <c r="H567" s="5">
        <v>5</v>
      </c>
      <c r="I567" s="5">
        <v>1</v>
      </c>
      <c r="J567" s="5">
        <v>2</v>
      </c>
      <c r="K567" s="5" t="s">
        <v>35</v>
      </c>
      <c r="L567" s="7" t="str">
        <f>VLOOKUP(K567, 'Alphabetical by species code'!A:B, 2, FALSE)</f>
        <v>Bareground</v>
      </c>
      <c r="M567" s="7" t="str">
        <f>VLOOKUP(L567, 'Alphabetical by species code'!B:C, 2, FALSE)</f>
        <v>Ground Cover</v>
      </c>
    </row>
    <row r="568" spans="1:14" ht="15.75" customHeight="1" x14ac:dyDescent="0.25">
      <c r="A568" s="5">
        <v>12</v>
      </c>
      <c r="B568" s="5">
        <v>2023</v>
      </c>
      <c r="C568" s="63">
        <v>45197</v>
      </c>
      <c r="D568" s="5" t="s">
        <v>62</v>
      </c>
      <c r="E568" s="5" t="s">
        <v>63</v>
      </c>
      <c r="F568" s="5">
        <v>1</v>
      </c>
      <c r="G568" s="5" t="s">
        <v>51</v>
      </c>
      <c r="H568" s="5">
        <v>6</v>
      </c>
      <c r="I568" s="5">
        <v>1</v>
      </c>
      <c r="J568" s="5">
        <v>2.5</v>
      </c>
      <c r="K568" s="5" t="s">
        <v>35</v>
      </c>
      <c r="L568" s="7" t="str">
        <f>VLOOKUP(K568, 'Alphabetical by species code'!A:B, 2, FALSE)</f>
        <v>Bareground</v>
      </c>
      <c r="M568" s="7" t="str">
        <f>VLOOKUP(L568, 'Alphabetical by species code'!B:C, 2, FALSE)</f>
        <v>Ground Cover</v>
      </c>
    </row>
    <row r="569" spans="1:14" ht="15.75" customHeight="1" x14ac:dyDescent="0.25">
      <c r="A569" s="5">
        <v>12</v>
      </c>
      <c r="B569" s="5">
        <v>2023</v>
      </c>
      <c r="C569" s="63">
        <v>45197</v>
      </c>
      <c r="D569" s="5" t="s">
        <v>62</v>
      </c>
      <c r="E569" s="5" t="s">
        <v>63</v>
      </c>
      <c r="F569" s="5">
        <v>1</v>
      </c>
      <c r="G569" s="5" t="s">
        <v>51</v>
      </c>
      <c r="H569" s="5">
        <v>7</v>
      </c>
      <c r="I569" s="5">
        <v>1</v>
      </c>
      <c r="J569" s="5">
        <v>3</v>
      </c>
      <c r="K569" s="5" t="s">
        <v>35</v>
      </c>
      <c r="L569" s="7" t="str">
        <f>VLOOKUP(K569, 'Alphabetical by species code'!A:B, 2, FALSE)</f>
        <v>Bareground</v>
      </c>
      <c r="M569" s="7" t="str">
        <f>VLOOKUP(L569, 'Alphabetical by species code'!B:C, 2, FALSE)</f>
        <v>Ground Cover</v>
      </c>
    </row>
    <row r="570" spans="1:14" ht="15.75" customHeight="1" x14ac:dyDescent="0.25">
      <c r="A570" s="5">
        <v>12</v>
      </c>
      <c r="B570" s="5">
        <v>2023</v>
      </c>
      <c r="C570" s="63">
        <v>45197</v>
      </c>
      <c r="D570" s="14" t="s">
        <v>62</v>
      </c>
      <c r="E570" s="5" t="s">
        <v>63</v>
      </c>
      <c r="F570" s="5">
        <v>1</v>
      </c>
      <c r="G570" s="5" t="s">
        <v>51</v>
      </c>
      <c r="H570" s="5">
        <v>7</v>
      </c>
      <c r="I570" s="5">
        <v>1</v>
      </c>
      <c r="J570" s="5">
        <v>3</v>
      </c>
      <c r="K570" s="5" t="s">
        <v>30</v>
      </c>
      <c r="L570" s="7" t="str">
        <f>VLOOKUP(K570, 'Alphabetical by species code'!A:B, 2, FALSE)</f>
        <v>Non Native Grass</v>
      </c>
      <c r="M570" s="7" t="str">
        <f>VLOOKUP(L570, 'Alphabetical by species code'!B:C, 2, FALSE)</f>
        <v>Non-Native</v>
      </c>
    </row>
    <row r="571" spans="1:14" ht="15.75" customHeight="1" x14ac:dyDescent="0.25">
      <c r="A571" s="5">
        <v>12</v>
      </c>
      <c r="B571" s="5">
        <v>2023</v>
      </c>
      <c r="C571" s="63">
        <v>45197</v>
      </c>
      <c r="D571" s="14" t="s">
        <v>62</v>
      </c>
      <c r="E571" s="5" t="s">
        <v>63</v>
      </c>
      <c r="F571" s="5">
        <v>1</v>
      </c>
      <c r="G571" s="5" t="s">
        <v>51</v>
      </c>
      <c r="H571" s="5">
        <v>7</v>
      </c>
      <c r="I571" s="5">
        <v>1</v>
      </c>
      <c r="J571" s="5">
        <v>3</v>
      </c>
      <c r="K571" s="5" t="s">
        <v>34</v>
      </c>
      <c r="L571" s="7" t="str">
        <f>VLOOKUP(K571, 'Alphabetical by species code'!A:B, 2, FALSE)</f>
        <v>Centaurea melitensis</v>
      </c>
      <c r="M571" s="7" t="str">
        <f>VLOOKUP(L571, 'Alphabetical by species code'!B:C, 2, FALSE)</f>
        <v>Non-Native</v>
      </c>
    </row>
    <row r="572" spans="1:14" ht="15.75" customHeight="1" x14ac:dyDescent="0.25">
      <c r="A572" s="5">
        <v>12</v>
      </c>
      <c r="B572" s="5">
        <v>2023</v>
      </c>
      <c r="C572" s="63">
        <v>45197</v>
      </c>
      <c r="D572" s="14" t="s">
        <v>62</v>
      </c>
      <c r="E572" s="5" t="s">
        <v>63</v>
      </c>
      <c r="F572" s="5">
        <v>1</v>
      </c>
      <c r="G572" s="5" t="s">
        <v>51</v>
      </c>
      <c r="H572" s="5">
        <v>7</v>
      </c>
      <c r="I572" s="5">
        <v>1</v>
      </c>
      <c r="J572" s="5">
        <v>3</v>
      </c>
      <c r="K572" s="5" t="s">
        <v>29</v>
      </c>
      <c r="L572" s="7" t="str">
        <f>VLOOKUP(K572, 'Alphabetical by species code'!A:B, 2, FALSE)</f>
        <v>Opuntia littoralis</v>
      </c>
      <c r="M572" s="7" t="str">
        <f>VLOOKUP(L572, 'Alphabetical by species code'!B:C, 2, FALSE)</f>
        <v>Native</v>
      </c>
    </row>
    <row r="573" spans="1:14" ht="15.75" customHeight="1" x14ac:dyDescent="0.25">
      <c r="A573" s="5">
        <v>12</v>
      </c>
      <c r="B573" s="5">
        <v>2023</v>
      </c>
      <c r="C573" s="63">
        <v>45197</v>
      </c>
      <c r="D573" s="14" t="s">
        <v>62</v>
      </c>
      <c r="E573" s="5" t="s">
        <v>63</v>
      </c>
      <c r="F573" s="5">
        <v>1</v>
      </c>
      <c r="G573" s="5" t="s">
        <v>51</v>
      </c>
      <c r="H573" s="5">
        <v>8</v>
      </c>
      <c r="I573" s="5">
        <v>1</v>
      </c>
      <c r="J573" s="5">
        <v>3.5</v>
      </c>
      <c r="K573" s="5" t="s">
        <v>27</v>
      </c>
      <c r="L573" s="7" t="str">
        <f>VLOOKUP(K573, 'Alphabetical by species code'!A:B, 2, FALSE)</f>
        <v>Litter</v>
      </c>
      <c r="M573" s="7" t="str">
        <f>VLOOKUP(L573, 'Alphabetical by species code'!B:C, 2, FALSE)</f>
        <v>Ground Cover</v>
      </c>
    </row>
    <row r="574" spans="1:14" ht="15.75" customHeight="1" x14ac:dyDescent="0.25">
      <c r="A574" s="5">
        <v>12</v>
      </c>
      <c r="B574" s="5">
        <v>2023</v>
      </c>
      <c r="C574" s="63">
        <v>45197</v>
      </c>
      <c r="D574" s="14" t="s">
        <v>62</v>
      </c>
      <c r="E574" s="5" t="s">
        <v>63</v>
      </c>
      <c r="F574" s="5">
        <v>1</v>
      </c>
      <c r="G574" s="5" t="s">
        <v>51</v>
      </c>
      <c r="H574" s="5">
        <v>9</v>
      </c>
      <c r="I574" s="5">
        <v>1</v>
      </c>
      <c r="J574" s="5">
        <v>4</v>
      </c>
      <c r="K574" s="5" t="s">
        <v>27</v>
      </c>
      <c r="L574" s="7" t="str">
        <f>VLOOKUP(K574, 'Alphabetical by species code'!A:B, 2, FALSE)</f>
        <v>Litter</v>
      </c>
      <c r="M574" s="7" t="str">
        <f>VLOOKUP(L574, 'Alphabetical by species code'!B:C, 2, FALSE)</f>
        <v>Ground Cover</v>
      </c>
    </row>
    <row r="575" spans="1:14" ht="15.75" customHeight="1" x14ac:dyDescent="0.25">
      <c r="A575" s="5">
        <v>12</v>
      </c>
      <c r="B575" s="5">
        <v>2023</v>
      </c>
      <c r="C575" s="63">
        <v>45197</v>
      </c>
      <c r="D575" s="5" t="s">
        <v>62</v>
      </c>
      <c r="E575" s="5" t="s">
        <v>63</v>
      </c>
      <c r="F575" s="5">
        <v>1</v>
      </c>
      <c r="G575" s="5" t="s">
        <v>51</v>
      </c>
      <c r="H575" s="5">
        <v>10</v>
      </c>
      <c r="I575" s="5">
        <v>1</v>
      </c>
      <c r="J575" s="5">
        <v>4.5</v>
      </c>
      <c r="K575" s="5" t="s">
        <v>35</v>
      </c>
      <c r="L575" s="7" t="str">
        <f>VLOOKUP(K575, 'Alphabetical by species code'!A:B, 2, FALSE)</f>
        <v>Bareground</v>
      </c>
      <c r="M575" s="7" t="str">
        <f>VLOOKUP(L575, 'Alphabetical by species code'!B:C, 2, FALSE)</f>
        <v>Ground Cover</v>
      </c>
    </row>
    <row r="576" spans="1:14" ht="15.75" customHeight="1" x14ac:dyDescent="0.25">
      <c r="A576" s="5">
        <v>12</v>
      </c>
      <c r="B576" s="5">
        <v>2023</v>
      </c>
      <c r="C576" s="63">
        <v>45197</v>
      </c>
      <c r="D576" s="5" t="s">
        <v>62</v>
      </c>
      <c r="E576" s="5" t="s">
        <v>63</v>
      </c>
      <c r="F576" s="5">
        <v>1</v>
      </c>
      <c r="G576" s="5" t="s">
        <v>51</v>
      </c>
      <c r="H576" s="5">
        <v>11</v>
      </c>
      <c r="I576" s="5">
        <v>1</v>
      </c>
      <c r="J576" s="5">
        <v>5</v>
      </c>
      <c r="K576" s="5" t="s">
        <v>32</v>
      </c>
      <c r="L576" s="7" t="str">
        <f>VLOOKUP(K576, 'Alphabetical by species code'!A:B, 2, FALSE)</f>
        <v>Rock</v>
      </c>
      <c r="M576" s="7" t="str">
        <f>VLOOKUP(L576, 'Alphabetical by species code'!B:C, 2, FALSE)</f>
        <v>Ground Cover</v>
      </c>
    </row>
    <row r="577" spans="1:13" ht="15.75" customHeight="1" x14ac:dyDescent="0.25">
      <c r="A577" s="5">
        <v>12</v>
      </c>
      <c r="B577" s="5">
        <v>2023</v>
      </c>
      <c r="C577" s="63">
        <v>45197</v>
      </c>
      <c r="D577" s="14" t="s">
        <v>62</v>
      </c>
      <c r="E577" s="5" t="s">
        <v>63</v>
      </c>
      <c r="F577" s="5">
        <v>1</v>
      </c>
      <c r="G577" s="5" t="s">
        <v>51</v>
      </c>
      <c r="H577" s="5">
        <v>12</v>
      </c>
      <c r="I577" s="5">
        <v>1</v>
      </c>
      <c r="J577" s="5">
        <v>5.5</v>
      </c>
      <c r="K577" s="5" t="s">
        <v>35</v>
      </c>
      <c r="L577" s="7" t="str">
        <f>VLOOKUP(K577, 'Alphabetical by species code'!A:B, 2, FALSE)</f>
        <v>Bareground</v>
      </c>
      <c r="M577" s="7" t="str">
        <f>VLOOKUP(L577, 'Alphabetical by species code'!B:C, 2, FALSE)</f>
        <v>Ground Cover</v>
      </c>
    </row>
    <row r="578" spans="1:13" ht="15.75" customHeight="1" x14ac:dyDescent="0.25">
      <c r="A578" s="5">
        <v>12</v>
      </c>
      <c r="B578" s="5">
        <v>2023</v>
      </c>
      <c r="C578" s="63">
        <v>45197</v>
      </c>
      <c r="D578" s="14" t="s">
        <v>62</v>
      </c>
      <c r="E578" s="5" t="s">
        <v>63</v>
      </c>
      <c r="F578" s="5">
        <v>1</v>
      </c>
      <c r="G578" s="5" t="s">
        <v>51</v>
      </c>
      <c r="H578" s="5">
        <v>13</v>
      </c>
      <c r="I578" s="5">
        <v>1</v>
      </c>
      <c r="J578" s="5">
        <v>6.5</v>
      </c>
      <c r="K578" s="5" t="s">
        <v>35</v>
      </c>
      <c r="L578" s="7" t="str">
        <f>VLOOKUP(K578, 'Alphabetical by species code'!A:B, 2, FALSE)</f>
        <v>Bareground</v>
      </c>
      <c r="M578" s="7" t="str">
        <f>VLOOKUP(L578, 'Alphabetical by species code'!B:C, 2, FALSE)</f>
        <v>Ground Cover</v>
      </c>
    </row>
    <row r="579" spans="1:13" ht="15.75" customHeight="1" x14ac:dyDescent="0.25">
      <c r="A579" s="5">
        <v>12</v>
      </c>
      <c r="B579" s="5">
        <v>2023</v>
      </c>
      <c r="C579" s="63">
        <v>45197</v>
      </c>
      <c r="D579" s="14" t="s">
        <v>62</v>
      </c>
      <c r="E579" s="5" t="s">
        <v>63</v>
      </c>
      <c r="F579" s="5">
        <v>1</v>
      </c>
      <c r="G579" s="5" t="s">
        <v>51</v>
      </c>
      <c r="H579" s="5">
        <v>14</v>
      </c>
      <c r="I579" s="5">
        <v>1</v>
      </c>
      <c r="J579" s="5">
        <v>7</v>
      </c>
      <c r="K579" s="5" t="s">
        <v>35</v>
      </c>
      <c r="L579" s="7" t="str">
        <f>VLOOKUP(K579, 'Alphabetical by species code'!A:B, 2, FALSE)</f>
        <v>Bareground</v>
      </c>
      <c r="M579" s="7" t="str">
        <f>VLOOKUP(L579, 'Alphabetical by species code'!B:C, 2, FALSE)</f>
        <v>Ground Cover</v>
      </c>
    </row>
    <row r="580" spans="1:13" ht="15.75" customHeight="1" x14ac:dyDescent="0.25">
      <c r="A580" s="5">
        <v>12</v>
      </c>
      <c r="B580" s="5">
        <v>2023</v>
      </c>
      <c r="C580" s="63">
        <v>45197</v>
      </c>
      <c r="D580" s="5" t="s">
        <v>62</v>
      </c>
      <c r="E580" s="5" t="s">
        <v>63</v>
      </c>
      <c r="F580" s="5">
        <v>1</v>
      </c>
      <c r="G580" s="5" t="s">
        <v>51</v>
      </c>
      <c r="H580" s="5">
        <v>15</v>
      </c>
      <c r="I580" s="5">
        <v>1</v>
      </c>
      <c r="J580" s="5">
        <v>7.5</v>
      </c>
      <c r="K580" s="5" t="s">
        <v>27</v>
      </c>
      <c r="L580" s="7" t="str">
        <f>VLOOKUP(K580, 'Alphabetical by species code'!A:B, 2, FALSE)</f>
        <v>Litter</v>
      </c>
      <c r="M580" s="7" t="str">
        <f>VLOOKUP(L580, 'Alphabetical by species code'!B:C, 2, FALSE)</f>
        <v>Ground Cover</v>
      </c>
    </row>
    <row r="581" spans="1:13" ht="15.75" customHeight="1" x14ac:dyDescent="0.25">
      <c r="A581" s="5">
        <v>12</v>
      </c>
      <c r="B581" s="5">
        <v>2023</v>
      </c>
      <c r="C581" s="63">
        <v>45197</v>
      </c>
      <c r="D581" s="5" t="s">
        <v>62</v>
      </c>
      <c r="E581" s="5" t="s">
        <v>63</v>
      </c>
      <c r="F581" s="5">
        <v>1</v>
      </c>
      <c r="G581" s="5" t="s">
        <v>51</v>
      </c>
      <c r="H581" s="5">
        <v>15</v>
      </c>
      <c r="I581" s="5">
        <v>1</v>
      </c>
      <c r="J581" s="5">
        <v>7.5</v>
      </c>
      <c r="K581" s="5" t="s">
        <v>29</v>
      </c>
      <c r="L581" s="7" t="str">
        <f>VLOOKUP(K581, 'Alphabetical by species code'!A:B, 2, FALSE)</f>
        <v>Opuntia littoralis</v>
      </c>
      <c r="M581" s="7" t="str">
        <f>VLOOKUP(L581, 'Alphabetical by species code'!B:C, 2, FALSE)</f>
        <v>Native</v>
      </c>
    </row>
    <row r="582" spans="1:13" ht="15.75" customHeight="1" x14ac:dyDescent="0.25">
      <c r="A582" s="5">
        <v>12</v>
      </c>
      <c r="B582" s="5">
        <v>2023</v>
      </c>
      <c r="C582" s="63">
        <v>45197</v>
      </c>
      <c r="D582" s="14" t="s">
        <v>62</v>
      </c>
      <c r="E582" s="5" t="s">
        <v>63</v>
      </c>
      <c r="F582" s="5">
        <v>1</v>
      </c>
      <c r="G582" s="5" t="s">
        <v>51</v>
      </c>
      <c r="H582" s="5">
        <v>1</v>
      </c>
      <c r="I582" s="5">
        <v>2</v>
      </c>
      <c r="J582" s="5">
        <v>0</v>
      </c>
      <c r="K582" s="5" t="s">
        <v>67</v>
      </c>
      <c r="L582" s="7" t="str">
        <f>VLOOKUP(K582, 'Alphabetical by species code'!A:B, 2, FALSE)</f>
        <v>Crypto-biotic Crust</v>
      </c>
      <c r="M582" s="7" t="str">
        <f>VLOOKUP(L582, 'Alphabetical by species code'!B:C, 2, FALSE)</f>
        <v>Ground Cover</v>
      </c>
    </row>
    <row r="583" spans="1:13" ht="15.75" customHeight="1" x14ac:dyDescent="0.25">
      <c r="A583" s="5">
        <v>12</v>
      </c>
      <c r="B583" s="5">
        <v>2023</v>
      </c>
      <c r="C583" s="63">
        <v>45197</v>
      </c>
      <c r="D583" s="5" t="s">
        <v>62</v>
      </c>
      <c r="E583" s="5" t="s">
        <v>63</v>
      </c>
      <c r="F583" s="5">
        <v>1</v>
      </c>
      <c r="G583" s="5" t="s">
        <v>51</v>
      </c>
      <c r="H583" s="5">
        <v>2</v>
      </c>
      <c r="I583" s="5">
        <v>2</v>
      </c>
      <c r="J583" s="5">
        <v>0.5</v>
      </c>
      <c r="K583" s="5" t="s">
        <v>35</v>
      </c>
      <c r="L583" s="7" t="str">
        <f>VLOOKUP(K583, 'Alphabetical by species code'!A:B, 2, FALSE)</f>
        <v>Bareground</v>
      </c>
      <c r="M583" s="7" t="str">
        <f>VLOOKUP(L583, 'Alphabetical by species code'!B:C, 2, FALSE)</f>
        <v>Ground Cover</v>
      </c>
    </row>
    <row r="584" spans="1:13" ht="15.75" customHeight="1" x14ac:dyDescent="0.25">
      <c r="A584" s="5">
        <v>12</v>
      </c>
      <c r="B584" s="5">
        <v>2023</v>
      </c>
      <c r="C584" s="63">
        <v>45197</v>
      </c>
      <c r="D584" s="5" t="s">
        <v>62</v>
      </c>
      <c r="E584" s="5" t="s">
        <v>63</v>
      </c>
      <c r="F584" s="5">
        <v>1</v>
      </c>
      <c r="G584" s="5" t="s">
        <v>51</v>
      </c>
      <c r="H584" s="5">
        <v>3</v>
      </c>
      <c r="I584" s="5">
        <v>2</v>
      </c>
      <c r="J584" s="5">
        <v>1</v>
      </c>
      <c r="K584" s="5" t="s">
        <v>27</v>
      </c>
      <c r="L584" s="7" t="str">
        <f>VLOOKUP(K584, 'Alphabetical by species code'!A:B, 2, FALSE)</f>
        <v>Litter</v>
      </c>
      <c r="M584" s="7" t="str">
        <f>VLOOKUP(L584, 'Alphabetical by species code'!B:C, 2, FALSE)</f>
        <v>Ground Cover</v>
      </c>
    </row>
    <row r="585" spans="1:13" ht="15.75" customHeight="1" x14ac:dyDescent="0.25">
      <c r="A585" s="5">
        <v>12</v>
      </c>
      <c r="B585" s="5">
        <v>2023</v>
      </c>
      <c r="C585" s="63">
        <v>45197</v>
      </c>
      <c r="D585" s="14" t="s">
        <v>62</v>
      </c>
      <c r="E585" s="5" t="s">
        <v>63</v>
      </c>
      <c r="F585" s="5">
        <v>1</v>
      </c>
      <c r="G585" s="5" t="s">
        <v>51</v>
      </c>
      <c r="H585" s="5">
        <v>3</v>
      </c>
      <c r="I585" s="5">
        <v>2</v>
      </c>
      <c r="J585" s="5">
        <v>1</v>
      </c>
      <c r="K585" s="5" t="s">
        <v>54</v>
      </c>
      <c r="L585" s="7" t="str">
        <f>VLOOKUP(K585, 'Alphabetical by species code'!A:B, 2, FALSE)</f>
        <v>Erodium cicutarium</v>
      </c>
      <c r="M585" s="7" t="str">
        <f>VLOOKUP(L585, 'Alphabetical by species code'!B:C, 2, FALSE)</f>
        <v>Non-Native</v>
      </c>
    </row>
    <row r="586" spans="1:13" ht="15.75" customHeight="1" x14ac:dyDescent="0.25">
      <c r="A586" s="5">
        <v>12</v>
      </c>
      <c r="B586" s="5">
        <v>2023</v>
      </c>
      <c r="C586" s="63">
        <v>45197</v>
      </c>
      <c r="D586" s="14" t="s">
        <v>62</v>
      </c>
      <c r="E586" s="5" t="s">
        <v>63</v>
      </c>
      <c r="F586" s="5">
        <v>1</v>
      </c>
      <c r="G586" s="5" t="s">
        <v>51</v>
      </c>
      <c r="H586" s="5">
        <v>4</v>
      </c>
      <c r="I586" s="5">
        <v>2</v>
      </c>
      <c r="J586" s="5">
        <v>1.5</v>
      </c>
      <c r="K586" s="5" t="s">
        <v>27</v>
      </c>
      <c r="L586" s="7" t="str">
        <f>VLOOKUP(K586, 'Alphabetical by species code'!A:B, 2, FALSE)</f>
        <v>Litter</v>
      </c>
      <c r="M586" s="7" t="str">
        <f>VLOOKUP(L586, 'Alphabetical by species code'!B:C, 2, FALSE)</f>
        <v>Ground Cover</v>
      </c>
    </row>
    <row r="587" spans="1:13" ht="15.75" customHeight="1" x14ac:dyDescent="0.25">
      <c r="A587" s="5">
        <v>12</v>
      </c>
      <c r="B587" s="5">
        <v>2023</v>
      </c>
      <c r="C587" s="63">
        <v>45197</v>
      </c>
      <c r="D587" s="14" t="s">
        <v>62</v>
      </c>
      <c r="E587" s="5" t="s">
        <v>63</v>
      </c>
      <c r="F587" s="5">
        <v>1</v>
      </c>
      <c r="G587" s="5" t="s">
        <v>51</v>
      </c>
      <c r="H587" s="5">
        <v>5</v>
      </c>
      <c r="I587" s="5">
        <v>2</v>
      </c>
      <c r="J587" s="5">
        <v>2.5</v>
      </c>
      <c r="K587" s="5" t="s">
        <v>35</v>
      </c>
      <c r="L587" s="7" t="str">
        <f>VLOOKUP(K587, 'Alphabetical by species code'!A:B, 2, FALSE)</f>
        <v>Bareground</v>
      </c>
      <c r="M587" s="7" t="str">
        <f>VLOOKUP(L587, 'Alphabetical by species code'!B:C, 2, FALSE)</f>
        <v>Ground Cover</v>
      </c>
    </row>
    <row r="588" spans="1:13" ht="15.75" customHeight="1" x14ac:dyDescent="0.25">
      <c r="A588" s="5">
        <v>12</v>
      </c>
      <c r="B588" s="5">
        <v>2023</v>
      </c>
      <c r="C588" s="63">
        <v>45197</v>
      </c>
      <c r="D588" s="14" t="s">
        <v>62</v>
      </c>
      <c r="E588" s="5" t="s">
        <v>63</v>
      </c>
      <c r="F588" s="5">
        <v>1</v>
      </c>
      <c r="G588" s="5" t="s">
        <v>51</v>
      </c>
      <c r="H588" s="5">
        <v>6</v>
      </c>
      <c r="I588" s="5">
        <v>2</v>
      </c>
      <c r="J588" s="5">
        <v>3</v>
      </c>
      <c r="K588" s="8" t="s">
        <v>35</v>
      </c>
      <c r="L588" s="7" t="str">
        <f>VLOOKUP(K588, 'Alphabetical by species code'!A:B, 2, FALSE)</f>
        <v>Bareground</v>
      </c>
      <c r="M588" s="7" t="str">
        <f>VLOOKUP(L588, 'Alphabetical by species code'!B:C, 2, FALSE)</f>
        <v>Ground Cover</v>
      </c>
    </row>
    <row r="589" spans="1:13" ht="15.75" customHeight="1" x14ac:dyDescent="0.25">
      <c r="A589" s="5">
        <v>12</v>
      </c>
      <c r="B589" s="5">
        <v>2023</v>
      </c>
      <c r="C589" s="63">
        <v>45197</v>
      </c>
      <c r="D589" s="5" t="s">
        <v>62</v>
      </c>
      <c r="E589" s="5" t="s">
        <v>63</v>
      </c>
      <c r="F589" s="5">
        <v>1</v>
      </c>
      <c r="G589" s="5" t="s">
        <v>51</v>
      </c>
      <c r="H589" s="5">
        <v>7</v>
      </c>
      <c r="I589" s="5">
        <v>2</v>
      </c>
      <c r="J589" s="5">
        <v>3.5</v>
      </c>
      <c r="K589" s="5" t="s">
        <v>35</v>
      </c>
      <c r="L589" s="7" t="str">
        <f>VLOOKUP(K589, 'Alphabetical by species code'!A:B, 2, FALSE)</f>
        <v>Bareground</v>
      </c>
      <c r="M589" s="7" t="str">
        <f>VLOOKUP(L589, 'Alphabetical by species code'!B:C, 2, FALSE)</f>
        <v>Ground Cover</v>
      </c>
    </row>
    <row r="590" spans="1:13" ht="15.75" customHeight="1" x14ac:dyDescent="0.25">
      <c r="A590" s="5">
        <v>12</v>
      </c>
      <c r="B590" s="5">
        <v>2023</v>
      </c>
      <c r="C590" s="63">
        <v>45197</v>
      </c>
      <c r="D590" s="5" t="s">
        <v>62</v>
      </c>
      <c r="E590" s="5" t="s">
        <v>63</v>
      </c>
      <c r="F590" s="5">
        <v>1</v>
      </c>
      <c r="G590" s="5" t="s">
        <v>51</v>
      </c>
      <c r="H590" s="5">
        <v>8</v>
      </c>
      <c r="I590" s="5">
        <v>2</v>
      </c>
      <c r="J590" s="5">
        <v>4</v>
      </c>
      <c r="K590" s="5" t="s">
        <v>35</v>
      </c>
      <c r="L590" s="7" t="str">
        <f>VLOOKUP(K590, 'Alphabetical by species code'!A:B, 2, FALSE)</f>
        <v>Bareground</v>
      </c>
      <c r="M590" s="7" t="str">
        <f>VLOOKUP(L590, 'Alphabetical by species code'!B:C, 2, FALSE)</f>
        <v>Ground Cover</v>
      </c>
    </row>
    <row r="591" spans="1:13" ht="15.75" customHeight="1" x14ac:dyDescent="0.25">
      <c r="A591" s="5">
        <v>12</v>
      </c>
      <c r="B591" s="5">
        <v>2023</v>
      </c>
      <c r="C591" s="63">
        <v>45197</v>
      </c>
      <c r="D591" s="14" t="s">
        <v>62</v>
      </c>
      <c r="E591" s="5" t="s">
        <v>63</v>
      </c>
      <c r="F591" s="5">
        <v>1</v>
      </c>
      <c r="G591" s="5" t="s">
        <v>51</v>
      </c>
      <c r="H591" s="5">
        <v>9</v>
      </c>
      <c r="I591" s="5">
        <v>2</v>
      </c>
      <c r="J591" s="5">
        <v>4.5</v>
      </c>
      <c r="K591" s="5" t="s">
        <v>35</v>
      </c>
      <c r="L591" s="7" t="str">
        <f>VLOOKUP(K591, 'Alphabetical by species code'!A:B, 2, FALSE)</f>
        <v>Bareground</v>
      </c>
      <c r="M591" s="7" t="str">
        <f>VLOOKUP(L591, 'Alphabetical by species code'!B:C, 2, FALSE)</f>
        <v>Ground Cover</v>
      </c>
    </row>
    <row r="592" spans="1:13" ht="15.75" customHeight="1" x14ac:dyDescent="0.25">
      <c r="A592" s="5">
        <v>12</v>
      </c>
      <c r="B592" s="5">
        <v>2023</v>
      </c>
      <c r="C592" s="63">
        <v>45197</v>
      </c>
      <c r="D592" s="14" t="s">
        <v>62</v>
      </c>
      <c r="E592" s="5" t="s">
        <v>63</v>
      </c>
      <c r="F592" s="5">
        <v>1</v>
      </c>
      <c r="G592" s="5" t="s">
        <v>51</v>
      </c>
      <c r="H592" s="5">
        <v>9</v>
      </c>
      <c r="I592" s="5">
        <v>2</v>
      </c>
      <c r="J592" s="5">
        <v>4.5</v>
      </c>
      <c r="K592" s="5" t="s">
        <v>64</v>
      </c>
      <c r="L592" s="7" t="str">
        <f>VLOOKUP(K592, 'Alphabetical by species code'!A:B, 2, FALSE)</f>
        <v>Convolvulus arvensis</v>
      </c>
      <c r="M592" s="7" t="str">
        <f>VLOOKUP(L592, 'Alphabetical by species code'!B:C, 2, FALSE)</f>
        <v>Non-Native</v>
      </c>
    </row>
    <row r="593" spans="1:13" ht="15.75" customHeight="1" x14ac:dyDescent="0.25">
      <c r="A593" s="5">
        <v>12</v>
      </c>
      <c r="B593" s="5">
        <v>2023</v>
      </c>
      <c r="C593" s="63">
        <v>45197</v>
      </c>
      <c r="D593" s="14" t="s">
        <v>62</v>
      </c>
      <c r="E593" s="5" t="s">
        <v>63</v>
      </c>
      <c r="F593" s="5">
        <v>1</v>
      </c>
      <c r="G593" s="5" t="s">
        <v>51</v>
      </c>
      <c r="H593" s="5">
        <v>10</v>
      </c>
      <c r="I593" s="5">
        <v>2</v>
      </c>
      <c r="J593" s="5">
        <v>5</v>
      </c>
      <c r="K593" s="5" t="s">
        <v>27</v>
      </c>
      <c r="L593" s="7" t="str">
        <f>VLOOKUP(K593, 'Alphabetical by species code'!A:B, 2, FALSE)</f>
        <v>Litter</v>
      </c>
      <c r="M593" s="7" t="str">
        <f>VLOOKUP(L593, 'Alphabetical by species code'!B:C, 2, FALSE)</f>
        <v>Ground Cover</v>
      </c>
    </row>
    <row r="594" spans="1:13" ht="15.75" customHeight="1" x14ac:dyDescent="0.25">
      <c r="A594" s="5">
        <v>12</v>
      </c>
      <c r="B594" s="5">
        <v>2023</v>
      </c>
      <c r="C594" s="63">
        <v>45197</v>
      </c>
      <c r="D594" s="14" t="s">
        <v>62</v>
      </c>
      <c r="E594" s="5" t="s">
        <v>63</v>
      </c>
      <c r="F594" s="5">
        <v>1</v>
      </c>
      <c r="G594" s="5" t="s">
        <v>51</v>
      </c>
      <c r="H594" s="5">
        <v>11</v>
      </c>
      <c r="I594" s="5">
        <v>2</v>
      </c>
      <c r="J594" s="5">
        <v>5.5</v>
      </c>
      <c r="K594" s="5" t="s">
        <v>35</v>
      </c>
      <c r="L594" s="7" t="str">
        <f>VLOOKUP(K594, 'Alphabetical by species code'!A:B, 2, FALSE)</f>
        <v>Bareground</v>
      </c>
      <c r="M594" s="7" t="str">
        <f>VLOOKUP(L594, 'Alphabetical by species code'!B:C, 2, FALSE)</f>
        <v>Ground Cover</v>
      </c>
    </row>
    <row r="595" spans="1:13" ht="15.75" customHeight="1" x14ac:dyDescent="0.25">
      <c r="A595" s="5">
        <v>12</v>
      </c>
      <c r="B595" s="5">
        <v>2023</v>
      </c>
      <c r="C595" s="63">
        <v>45197</v>
      </c>
      <c r="D595" s="14" t="s">
        <v>62</v>
      </c>
      <c r="E595" s="5" t="s">
        <v>63</v>
      </c>
      <c r="F595" s="5">
        <v>1</v>
      </c>
      <c r="G595" s="5" t="s">
        <v>51</v>
      </c>
      <c r="H595" s="5">
        <v>12</v>
      </c>
      <c r="I595" s="5">
        <v>2</v>
      </c>
      <c r="J595" s="5">
        <v>6</v>
      </c>
      <c r="K595" s="5" t="s">
        <v>27</v>
      </c>
      <c r="L595" s="7" t="str">
        <f>VLOOKUP(K595, 'Alphabetical by species code'!A:B, 2, FALSE)</f>
        <v>Litter</v>
      </c>
      <c r="M595" s="7" t="str">
        <f>VLOOKUP(L595, 'Alphabetical by species code'!B:C, 2, FALSE)</f>
        <v>Ground Cover</v>
      </c>
    </row>
    <row r="596" spans="1:13" ht="15.75" customHeight="1" x14ac:dyDescent="0.25">
      <c r="A596" s="5">
        <v>12</v>
      </c>
      <c r="B596" s="5">
        <v>2023</v>
      </c>
      <c r="C596" s="63">
        <v>45197</v>
      </c>
      <c r="D596" s="5" t="s">
        <v>62</v>
      </c>
      <c r="E596" s="5" t="s">
        <v>63</v>
      </c>
      <c r="F596" s="5">
        <v>1</v>
      </c>
      <c r="G596" s="5" t="s">
        <v>51</v>
      </c>
      <c r="H596" s="5">
        <v>13</v>
      </c>
      <c r="I596" s="5">
        <v>2</v>
      </c>
      <c r="J596" s="5">
        <v>6.5</v>
      </c>
      <c r="K596" s="5" t="s">
        <v>27</v>
      </c>
      <c r="L596" s="7" t="str">
        <f>VLOOKUP(K596, 'Alphabetical by species code'!A:B, 2, FALSE)</f>
        <v>Litter</v>
      </c>
      <c r="M596" s="7" t="str">
        <f>VLOOKUP(L596, 'Alphabetical by species code'!B:C, 2, FALSE)</f>
        <v>Ground Cover</v>
      </c>
    </row>
    <row r="597" spans="1:13" ht="15.75" customHeight="1" x14ac:dyDescent="0.25">
      <c r="A597" s="5">
        <v>12</v>
      </c>
      <c r="B597" s="5">
        <v>2023</v>
      </c>
      <c r="C597" s="63">
        <v>45197</v>
      </c>
      <c r="D597" s="5" t="s">
        <v>62</v>
      </c>
      <c r="E597" s="5" t="s">
        <v>63</v>
      </c>
      <c r="F597" s="5">
        <v>1</v>
      </c>
      <c r="G597" s="5" t="s">
        <v>51</v>
      </c>
      <c r="H597" s="5">
        <v>14</v>
      </c>
      <c r="I597" s="5">
        <v>2</v>
      </c>
      <c r="J597" s="5">
        <v>7</v>
      </c>
      <c r="K597" s="5" t="s">
        <v>27</v>
      </c>
      <c r="L597" s="7" t="str">
        <f>VLOOKUP(K597, 'Alphabetical by species code'!A:B, 2, FALSE)</f>
        <v>Litter</v>
      </c>
      <c r="M597" s="7" t="str">
        <f>VLOOKUP(L597, 'Alphabetical by species code'!B:C, 2, FALSE)</f>
        <v>Ground Cover</v>
      </c>
    </row>
    <row r="598" spans="1:13" ht="15.75" customHeight="1" x14ac:dyDescent="0.25">
      <c r="A598" s="5">
        <v>12</v>
      </c>
      <c r="B598" s="5">
        <v>2023</v>
      </c>
      <c r="C598" s="63">
        <v>45197</v>
      </c>
      <c r="D598" s="14" t="s">
        <v>62</v>
      </c>
      <c r="E598" s="5" t="s">
        <v>63</v>
      </c>
      <c r="F598" s="5">
        <v>1</v>
      </c>
      <c r="G598" s="5" t="s">
        <v>51</v>
      </c>
      <c r="H598" s="5">
        <v>15</v>
      </c>
      <c r="I598" s="5">
        <v>2</v>
      </c>
      <c r="J598" s="5">
        <v>7.5</v>
      </c>
      <c r="K598" s="5" t="s">
        <v>27</v>
      </c>
      <c r="L598" s="7" t="str">
        <f>VLOOKUP(K598, 'Alphabetical by species code'!A:B, 2, FALSE)</f>
        <v>Litter</v>
      </c>
      <c r="M598" s="7" t="str">
        <f>VLOOKUP(L598, 'Alphabetical by species code'!B:C, 2, FALSE)</f>
        <v>Ground Cover</v>
      </c>
    </row>
    <row r="599" spans="1:13" ht="15.75" customHeight="1" x14ac:dyDescent="0.25">
      <c r="A599" s="5">
        <v>13</v>
      </c>
      <c r="B599" s="5">
        <v>2023</v>
      </c>
      <c r="C599" s="63">
        <v>45197</v>
      </c>
      <c r="D599" s="14" t="s">
        <v>62</v>
      </c>
      <c r="E599" s="5" t="s">
        <v>68</v>
      </c>
      <c r="F599" s="5">
        <v>3</v>
      </c>
      <c r="G599" s="5" t="s">
        <v>26</v>
      </c>
      <c r="H599" s="5">
        <v>1</v>
      </c>
      <c r="I599" s="5">
        <v>1</v>
      </c>
      <c r="J599" s="5">
        <v>0</v>
      </c>
      <c r="K599" s="5" t="s">
        <v>27</v>
      </c>
      <c r="L599" s="7" t="str">
        <f>VLOOKUP(K599, 'Alphabetical by species code'!A:B, 2, FALSE)</f>
        <v>Litter</v>
      </c>
      <c r="M599" s="7" t="str">
        <f>VLOOKUP(L599, 'Alphabetical by species code'!B:C, 2, FALSE)</f>
        <v>Ground Cover</v>
      </c>
    </row>
    <row r="600" spans="1:13" ht="15.75" customHeight="1" x14ac:dyDescent="0.25">
      <c r="A600" s="5">
        <v>13</v>
      </c>
      <c r="B600" s="5">
        <v>2023</v>
      </c>
      <c r="C600" s="63">
        <v>45197</v>
      </c>
      <c r="D600" s="14" t="s">
        <v>62</v>
      </c>
      <c r="E600" s="5" t="s">
        <v>68</v>
      </c>
      <c r="F600" s="5">
        <v>3</v>
      </c>
      <c r="G600" s="5" t="s">
        <v>26</v>
      </c>
      <c r="H600" s="5">
        <v>2</v>
      </c>
      <c r="I600" s="5">
        <v>1</v>
      </c>
      <c r="J600" s="5">
        <v>1</v>
      </c>
      <c r="K600" s="5" t="s">
        <v>35</v>
      </c>
      <c r="L600" s="7" t="str">
        <f>VLOOKUP(K600, 'Alphabetical by species code'!A:B, 2, FALSE)</f>
        <v>Bareground</v>
      </c>
      <c r="M600" s="7" t="str">
        <f>VLOOKUP(L600, 'Alphabetical by species code'!B:C, 2, FALSE)</f>
        <v>Ground Cover</v>
      </c>
    </row>
    <row r="601" spans="1:13" ht="15.75" customHeight="1" x14ac:dyDescent="0.25">
      <c r="A601" s="5">
        <v>13</v>
      </c>
      <c r="B601" s="5">
        <v>2023</v>
      </c>
      <c r="C601" s="63">
        <v>45197</v>
      </c>
      <c r="D601" s="14" t="s">
        <v>62</v>
      </c>
      <c r="E601" s="5" t="s">
        <v>68</v>
      </c>
      <c r="F601" s="5">
        <v>3</v>
      </c>
      <c r="G601" s="5" t="s">
        <v>26</v>
      </c>
      <c r="H601" s="5">
        <v>3</v>
      </c>
      <c r="I601" s="5">
        <v>1</v>
      </c>
      <c r="J601" s="5">
        <v>1.5</v>
      </c>
      <c r="K601" s="5" t="s">
        <v>27</v>
      </c>
      <c r="L601" s="7" t="str">
        <f>VLOOKUP(K601, 'Alphabetical by species code'!A:B, 2, FALSE)</f>
        <v>Litter</v>
      </c>
      <c r="M601" s="7" t="str">
        <f>VLOOKUP(L601, 'Alphabetical by species code'!B:C, 2, FALSE)</f>
        <v>Ground Cover</v>
      </c>
    </row>
    <row r="602" spans="1:13" ht="15.75" customHeight="1" x14ac:dyDescent="0.25">
      <c r="A602" s="5">
        <v>13</v>
      </c>
      <c r="B602" s="5">
        <v>2023</v>
      </c>
      <c r="C602" s="63">
        <v>45197</v>
      </c>
      <c r="D602" s="14" t="s">
        <v>62</v>
      </c>
      <c r="E602" s="5" t="s">
        <v>68</v>
      </c>
      <c r="F602" s="5">
        <v>3</v>
      </c>
      <c r="G602" s="5" t="s">
        <v>26</v>
      </c>
      <c r="H602" s="5">
        <v>3</v>
      </c>
      <c r="I602" s="5">
        <v>1</v>
      </c>
      <c r="J602" s="5">
        <v>1.5</v>
      </c>
      <c r="K602" s="5" t="s">
        <v>34</v>
      </c>
      <c r="L602" s="7" t="str">
        <f>VLOOKUP(K602, 'Alphabetical by species code'!A:B, 2, FALSE)</f>
        <v>Centaurea melitensis</v>
      </c>
      <c r="M602" s="7" t="str">
        <f>VLOOKUP(L602, 'Alphabetical by species code'!B:C, 2, FALSE)</f>
        <v>Non-Native</v>
      </c>
    </row>
    <row r="603" spans="1:13" ht="15.75" customHeight="1" x14ac:dyDescent="0.25">
      <c r="A603" s="5">
        <v>13</v>
      </c>
      <c r="B603" s="5">
        <v>2023</v>
      </c>
      <c r="C603" s="63">
        <v>45197</v>
      </c>
      <c r="D603" s="14" t="s">
        <v>62</v>
      </c>
      <c r="E603" s="5" t="s">
        <v>68</v>
      </c>
      <c r="F603" s="5">
        <v>3</v>
      </c>
      <c r="G603" s="5" t="s">
        <v>26</v>
      </c>
      <c r="H603" s="5">
        <v>4</v>
      </c>
      <c r="I603" s="5">
        <v>1</v>
      </c>
      <c r="J603" s="5">
        <v>2</v>
      </c>
      <c r="K603" s="5" t="s">
        <v>35</v>
      </c>
      <c r="L603" s="7" t="str">
        <f>VLOOKUP(K603, 'Alphabetical by species code'!A:B, 2, FALSE)</f>
        <v>Bareground</v>
      </c>
      <c r="M603" s="7" t="str">
        <f>VLOOKUP(L603, 'Alphabetical by species code'!B:C, 2, FALSE)</f>
        <v>Ground Cover</v>
      </c>
    </row>
    <row r="604" spans="1:13" ht="15.75" customHeight="1" x14ac:dyDescent="0.25">
      <c r="A604" s="5">
        <v>13</v>
      </c>
      <c r="B604" s="5">
        <v>2023</v>
      </c>
      <c r="C604" s="63">
        <v>45197</v>
      </c>
      <c r="D604" s="14" t="s">
        <v>62</v>
      </c>
      <c r="E604" s="5" t="s">
        <v>68</v>
      </c>
      <c r="F604" s="5">
        <v>3</v>
      </c>
      <c r="G604" s="5" t="s">
        <v>26</v>
      </c>
      <c r="H604" s="5">
        <v>5</v>
      </c>
      <c r="I604" s="5">
        <v>1</v>
      </c>
      <c r="J604" s="5">
        <v>3</v>
      </c>
      <c r="K604" s="5" t="s">
        <v>35</v>
      </c>
      <c r="L604" s="7" t="str">
        <f>VLOOKUP(K604, 'Alphabetical by species code'!A:B, 2, FALSE)</f>
        <v>Bareground</v>
      </c>
      <c r="M604" s="7" t="str">
        <f>VLOOKUP(L604, 'Alphabetical by species code'!B:C, 2, FALSE)</f>
        <v>Ground Cover</v>
      </c>
    </row>
    <row r="605" spans="1:13" ht="15.75" customHeight="1" x14ac:dyDescent="0.25">
      <c r="A605" s="5">
        <v>13</v>
      </c>
      <c r="B605" s="5">
        <v>2023</v>
      </c>
      <c r="C605" s="63">
        <v>45197</v>
      </c>
      <c r="D605" s="14" t="s">
        <v>62</v>
      </c>
      <c r="E605" s="5" t="s">
        <v>68</v>
      </c>
      <c r="F605" s="5">
        <v>3</v>
      </c>
      <c r="G605" s="5" t="s">
        <v>26</v>
      </c>
      <c r="H605" s="5">
        <v>6</v>
      </c>
      <c r="I605" s="5">
        <v>1</v>
      </c>
      <c r="J605" s="5">
        <v>3.5</v>
      </c>
      <c r="K605" s="5" t="s">
        <v>35</v>
      </c>
      <c r="L605" s="7" t="str">
        <f>VLOOKUP(K605, 'Alphabetical by species code'!A:B, 2, FALSE)</f>
        <v>Bareground</v>
      </c>
      <c r="M605" s="7" t="str">
        <f>VLOOKUP(L605, 'Alphabetical by species code'!B:C, 2, FALSE)</f>
        <v>Ground Cover</v>
      </c>
    </row>
    <row r="606" spans="1:13" ht="15.75" customHeight="1" x14ac:dyDescent="0.25">
      <c r="A606" s="5">
        <v>13</v>
      </c>
      <c r="B606" s="5">
        <v>2023</v>
      </c>
      <c r="C606" s="63">
        <v>45197</v>
      </c>
      <c r="D606" s="14" t="s">
        <v>62</v>
      </c>
      <c r="E606" s="5" t="s">
        <v>68</v>
      </c>
      <c r="F606" s="5">
        <v>3</v>
      </c>
      <c r="G606" s="5" t="s">
        <v>26</v>
      </c>
      <c r="H606" s="5">
        <v>7</v>
      </c>
      <c r="I606" s="5">
        <v>1</v>
      </c>
      <c r="J606" s="5">
        <v>4</v>
      </c>
      <c r="K606" s="5" t="s">
        <v>35</v>
      </c>
      <c r="L606" s="7" t="str">
        <f>VLOOKUP(K606, 'Alphabetical by species code'!A:B, 2, FALSE)</f>
        <v>Bareground</v>
      </c>
      <c r="M606" s="7" t="str">
        <f>VLOOKUP(L606, 'Alphabetical by species code'!B:C, 2, FALSE)</f>
        <v>Ground Cover</v>
      </c>
    </row>
    <row r="607" spans="1:13" ht="15.75" customHeight="1" x14ac:dyDescent="0.25">
      <c r="A607" s="5">
        <v>13</v>
      </c>
      <c r="B607" s="5">
        <v>2023</v>
      </c>
      <c r="C607" s="63">
        <v>45197</v>
      </c>
      <c r="D607" s="14" t="s">
        <v>62</v>
      </c>
      <c r="E607" s="5" t="s">
        <v>68</v>
      </c>
      <c r="F607" s="5">
        <v>3</v>
      </c>
      <c r="G607" s="5" t="s">
        <v>26</v>
      </c>
      <c r="H607" s="5">
        <v>8</v>
      </c>
      <c r="I607" s="5">
        <v>1</v>
      </c>
      <c r="J607" s="5">
        <v>5</v>
      </c>
      <c r="K607" s="5" t="s">
        <v>35</v>
      </c>
      <c r="L607" s="7" t="str">
        <f>VLOOKUP(K607, 'Alphabetical by species code'!A:B, 2, FALSE)</f>
        <v>Bareground</v>
      </c>
      <c r="M607" s="7" t="str">
        <f>VLOOKUP(L607, 'Alphabetical by species code'!B:C, 2, FALSE)</f>
        <v>Ground Cover</v>
      </c>
    </row>
    <row r="608" spans="1:13" ht="15.75" customHeight="1" x14ac:dyDescent="0.25">
      <c r="A608" s="5">
        <v>13</v>
      </c>
      <c r="B608" s="5">
        <v>2023</v>
      </c>
      <c r="C608" s="63">
        <v>45197</v>
      </c>
      <c r="D608" s="14" t="s">
        <v>62</v>
      </c>
      <c r="E608" s="5" t="s">
        <v>68</v>
      </c>
      <c r="F608" s="5">
        <v>3</v>
      </c>
      <c r="G608" s="5" t="s">
        <v>26</v>
      </c>
      <c r="H608" s="5">
        <v>8</v>
      </c>
      <c r="I608" s="5">
        <v>1</v>
      </c>
      <c r="J608" s="5">
        <v>5</v>
      </c>
      <c r="K608" s="5" t="s">
        <v>54</v>
      </c>
      <c r="L608" s="7" t="str">
        <f>VLOOKUP(K608, 'Alphabetical by species code'!A:B, 2, FALSE)</f>
        <v>Erodium cicutarium</v>
      </c>
      <c r="M608" s="7" t="str">
        <f>VLOOKUP(L608, 'Alphabetical by species code'!B:C, 2, FALSE)</f>
        <v>Non-Native</v>
      </c>
    </row>
    <row r="609" spans="1:13" ht="15.75" customHeight="1" x14ac:dyDescent="0.25">
      <c r="A609" s="5">
        <v>13</v>
      </c>
      <c r="B609" s="5">
        <v>2023</v>
      </c>
      <c r="C609" s="63">
        <v>45197</v>
      </c>
      <c r="D609" s="14" t="s">
        <v>62</v>
      </c>
      <c r="E609" s="5" t="s">
        <v>68</v>
      </c>
      <c r="F609" s="5">
        <v>3</v>
      </c>
      <c r="G609" s="5" t="s">
        <v>26</v>
      </c>
      <c r="H609" s="5">
        <v>9</v>
      </c>
      <c r="I609" s="5">
        <v>1</v>
      </c>
      <c r="J609" s="5">
        <v>7</v>
      </c>
      <c r="K609" s="5" t="s">
        <v>27</v>
      </c>
      <c r="L609" s="7" t="str">
        <f>VLOOKUP(K609, 'Alphabetical by species code'!A:B, 2, FALSE)</f>
        <v>Litter</v>
      </c>
      <c r="M609" s="7" t="str">
        <f>VLOOKUP(L609, 'Alphabetical by species code'!B:C, 2, FALSE)</f>
        <v>Ground Cover</v>
      </c>
    </row>
    <row r="610" spans="1:13" ht="15.75" customHeight="1" x14ac:dyDescent="0.25">
      <c r="A610" s="5">
        <v>13</v>
      </c>
      <c r="B610" s="5">
        <v>2023</v>
      </c>
      <c r="C610" s="63">
        <v>45197</v>
      </c>
      <c r="D610" s="14" t="s">
        <v>62</v>
      </c>
      <c r="E610" s="5" t="s">
        <v>68</v>
      </c>
      <c r="F610" s="5">
        <v>3</v>
      </c>
      <c r="G610" s="5" t="s">
        <v>26</v>
      </c>
      <c r="H610" s="5">
        <v>10</v>
      </c>
      <c r="I610" s="5">
        <v>1</v>
      </c>
      <c r="J610" s="5">
        <v>8</v>
      </c>
      <c r="K610" s="5" t="s">
        <v>27</v>
      </c>
      <c r="L610" s="7" t="str">
        <f>VLOOKUP(K610, 'Alphabetical by species code'!A:B, 2, FALSE)</f>
        <v>Litter</v>
      </c>
      <c r="M610" s="7" t="str">
        <f>VLOOKUP(L610, 'Alphabetical by species code'!B:C, 2, FALSE)</f>
        <v>Ground Cover</v>
      </c>
    </row>
    <row r="611" spans="1:13" ht="15.75" customHeight="1" x14ac:dyDescent="0.25">
      <c r="A611" s="5">
        <v>13</v>
      </c>
      <c r="B611" s="5">
        <v>2023</v>
      </c>
      <c r="C611" s="63">
        <v>45197</v>
      </c>
      <c r="D611" s="14" t="s">
        <v>62</v>
      </c>
      <c r="E611" s="5" t="s">
        <v>68</v>
      </c>
      <c r="F611" s="5">
        <v>3</v>
      </c>
      <c r="G611" s="5" t="s">
        <v>26</v>
      </c>
      <c r="H611" s="5">
        <v>10</v>
      </c>
      <c r="I611" s="5">
        <v>1</v>
      </c>
      <c r="J611" s="5">
        <v>8</v>
      </c>
      <c r="K611" s="5" t="s">
        <v>48</v>
      </c>
      <c r="L611" s="7" t="str">
        <f>VLOOKUP(K611, 'Alphabetical by species code'!A:B, 2, FALSE)</f>
        <v>Deinandra fasciculata</v>
      </c>
      <c r="M611" s="7" t="str">
        <f>VLOOKUP(L611, 'Alphabetical by species code'!B:C, 2, FALSE)</f>
        <v>Native</v>
      </c>
    </row>
    <row r="612" spans="1:13" ht="15.75" customHeight="1" x14ac:dyDescent="0.25">
      <c r="A612" s="5">
        <v>13</v>
      </c>
      <c r="B612" s="5">
        <v>2023</v>
      </c>
      <c r="C612" s="61">
        <v>45197</v>
      </c>
      <c r="D612" s="14" t="s">
        <v>62</v>
      </c>
      <c r="E612" s="5" t="s">
        <v>68</v>
      </c>
      <c r="F612" s="5">
        <v>3</v>
      </c>
      <c r="G612" s="5" t="s">
        <v>26</v>
      </c>
      <c r="H612" s="5">
        <v>11</v>
      </c>
      <c r="I612" s="5">
        <v>1</v>
      </c>
      <c r="J612" s="5">
        <v>8.5</v>
      </c>
      <c r="K612" s="5" t="s">
        <v>32</v>
      </c>
      <c r="L612" s="7" t="str">
        <f>VLOOKUP(K612, 'Alphabetical by species code'!A:B, 2, FALSE)</f>
        <v>Rock</v>
      </c>
      <c r="M612" s="7" t="str">
        <f>VLOOKUP(L612, 'Alphabetical by species code'!B:C, 2, FALSE)</f>
        <v>Ground Cover</v>
      </c>
    </row>
    <row r="613" spans="1:13" ht="15.75" customHeight="1" x14ac:dyDescent="0.25">
      <c r="A613" s="5">
        <v>13</v>
      </c>
      <c r="B613" s="5">
        <v>2023</v>
      </c>
      <c r="C613" s="61">
        <v>45197</v>
      </c>
      <c r="D613" s="14" t="s">
        <v>62</v>
      </c>
      <c r="E613" s="5" t="s">
        <v>68</v>
      </c>
      <c r="F613" s="5">
        <v>3</v>
      </c>
      <c r="G613" s="5" t="s">
        <v>26</v>
      </c>
      <c r="H613" s="5">
        <v>11</v>
      </c>
      <c r="I613" s="5">
        <v>1</v>
      </c>
      <c r="J613" s="5">
        <v>8.5</v>
      </c>
      <c r="K613" s="5" t="s">
        <v>48</v>
      </c>
      <c r="L613" s="7" t="str">
        <f>VLOOKUP(K613, 'Alphabetical by species code'!A:B, 2, FALSE)</f>
        <v>Deinandra fasciculata</v>
      </c>
      <c r="M613" s="7" t="str">
        <f>VLOOKUP(L613, 'Alphabetical by species code'!B:C, 2, FALSE)</f>
        <v>Native</v>
      </c>
    </row>
    <row r="614" spans="1:13" ht="15.75" customHeight="1" x14ac:dyDescent="0.25">
      <c r="A614" s="5">
        <v>13</v>
      </c>
      <c r="B614" s="5">
        <v>2023</v>
      </c>
      <c r="C614" s="61">
        <v>45197</v>
      </c>
      <c r="D614" s="14" t="s">
        <v>62</v>
      </c>
      <c r="E614" s="5" t="s">
        <v>68</v>
      </c>
      <c r="F614" s="5">
        <v>3</v>
      </c>
      <c r="G614" s="5" t="s">
        <v>26</v>
      </c>
      <c r="H614" s="5">
        <v>12</v>
      </c>
      <c r="I614" s="5">
        <v>1</v>
      </c>
      <c r="J614" s="5">
        <v>9</v>
      </c>
      <c r="K614" s="5" t="s">
        <v>32</v>
      </c>
      <c r="L614" s="7" t="str">
        <f>VLOOKUP(K614, 'Alphabetical by species code'!A:B, 2, FALSE)</f>
        <v>Rock</v>
      </c>
      <c r="M614" s="7" t="str">
        <f>VLOOKUP(L614, 'Alphabetical by species code'!B:C, 2, FALSE)</f>
        <v>Ground Cover</v>
      </c>
    </row>
    <row r="615" spans="1:13" ht="15.75" customHeight="1" x14ac:dyDescent="0.25">
      <c r="A615" s="5">
        <v>13</v>
      </c>
      <c r="B615" s="5">
        <v>2023</v>
      </c>
      <c r="C615" s="61">
        <v>45197</v>
      </c>
      <c r="D615" s="14" t="s">
        <v>62</v>
      </c>
      <c r="E615" s="5" t="s">
        <v>68</v>
      </c>
      <c r="F615" s="5">
        <v>3</v>
      </c>
      <c r="G615" s="5" t="s">
        <v>26</v>
      </c>
      <c r="H615" s="5">
        <v>12</v>
      </c>
      <c r="I615" s="5">
        <v>1</v>
      </c>
      <c r="J615" s="5">
        <v>9</v>
      </c>
      <c r="K615" s="5" t="s">
        <v>48</v>
      </c>
      <c r="L615" s="7" t="str">
        <f>VLOOKUP(K615, 'Alphabetical by species code'!A:B, 2, FALSE)</f>
        <v>Deinandra fasciculata</v>
      </c>
      <c r="M615" s="7" t="str">
        <f>VLOOKUP(L615, 'Alphabetical by species code'!B:C, 2, FALSE)</f>
        <v>Native</v>
      </c>
    </row>
    <row r="616" spans="1:13" ht="15.75" customHeight="1" x14ac:dyDescent="0.25">
      <c r="A616" s="5">
        <v>13</v>
      </c>
      <c r="B616" s="5">
        <v>2023</v>
      </c>
      <c r="C616" s="61">
        <v>45197</v>
      </c>
      <c r="D616" s="14" t="s">
        <v>62</v>
      </c>
      <c r="E616" s="5" t="s">
        <v>68</v>
      </c>
      <c r="F616" s="5">
        <v>3</v>
      </c>
      <c r="G616" s="5" t="s">
        <v>26</v>
      </c>
      <c r="H616" s="5">
        <v>13</v>
      </c>
      <c r="I616" s="5">
        <v>1</v>
      </c>
      <c r="J616" s="5">
        <v>10</v>
      </c>
      <c r="K616" s="5" t="s">
        <v>27</v>
      </c>
      <c r="L616" s="7" t="str">
        <f>VLOOKUP(K616, 'Alphabetical by species code'!A:B, 2, FALSE)</f>
        <v>Litter</v>
      </c>
      <c r="M616" s="7" t="str">
        <f>VLOOKUP(L616, 'Alphabetical by species code'!B:C, 2, FALSE)</f>
        <v>Ground Cover</v>
      </c>
    </row>
    <row r="617" spans="1:13" ht="15.75" customHeight="1" x14ac:dyDescent="0.25">
      <c r="A617" s="5">
        <v>13</v>
      </c>
      <c r="B617" s="5">
        <v>2023</v>
      </c>
      <c r="C617" s="61">
        <v>45197</v>
      </c>
      <c r="D617" s="14" t="s">
        <v>62</v>
      </c>
      <c r="E617" s="5" t="s">
        <v>68</v>
      </c>
      <c r="F617" s="5">
        <v>3</v>
      </c>
      <c r="G617" s="5" t="s">
        <v>26</v>
      </c>
      <c r="H617" s="5">
        <v>13</v>
      </c>
      <c r="I617" s="5">
        <v>1</v>
      </c>
      <c r="J617" s="5">
        <v>10</v>
      </c>
      <c r="K617" s="5" t="s">
        <v>48</v>
      </c>
      <c r="L617" s="7" t="str">
        <f>VLOOKUP(K617, 'Alphabetical by species code'!A:B, 2, FALSE)</f>
        <v>Deinandra fasciculata</v>
      </c>
      <c r="M617" s="7" t="str">
        <f>VLOOKUP(L617, 'Alphabetical by species code'!B:C, 2, FALSE)</f>
        <v>Native</v>
      </c>
    </row>
    <row r="618" spans="1:13" ht="15.75" customHeight="1" x14ac:dyDescent="0.25">
      <c r="A618" s="5">
        <v>13</v>
      </c>
      <c r="B618" s="5">
        <v>2023</v>
      </c>
      <c r="C618" s="61">
        <v>45197</v>
      </c>
      <c r="D618" s="14" t="s">
        <v>62</v>
      </c>
      <c r="E618" s="5" t="s">
        <v>68</v>
      </c>
      <c r="F618" s="5">
        <v>3</v>
      </c>
      <c r="G618" s="5" t="s">
        <v>26</v>
      </c>
      <c r="H618" s="5">
        <v>13</v>
      </c>
      <c r="I618" s="5">
        <v>1</v>
      </c>
      <c r="J618" s="5">
        <v>10</v>
      </c>
      <c r="K618" s="5" t="s">
        <v>34</v>
      </c>
      <c r="L618" s="7" t="str">
        <f>VLOOKUP(K618, 'Alphabetical by species code'!A:B, 2, FALSE)</f>
        <v>Centaurea melitensis</v>
      </c>
      <c r="M618" s="7" t="str">
        <f>VLOOKUP(L618, 'Alphabetical by species code'!B:C, 2, FALSE)</f>
        <v>Non-Native</v>
      </c>
    </row>
    <row r="619" spans="1:13" ht="15.75" customHeight="1" x14ac:dyDescent="0.25">
      <c r="A619" s="5">
        <v>13</v>
      </c>
      <c r="B619" s="5">
        <v>2023</v>
      </c>
      <c r="C619" s="61">
        <v>45197</v>
      </c>
      <c r="D619" s="14" t="s">
        <v>62</v>
      </c>
      <c r="E619" s="5" t="s">
        <v>68</v>
      </c>
      <c r="F619" s="5">
        <v>3</v>
      </c>
      <c r="G619" s="5" t="s">
        <v>26</v>
      </c>
      <c r="H619" s="5">
        <v>14</v>
      </c>
      <c r="I619" s="5">
        <v>1</v>
      </c>
      <c r="J619" s="5">
        <v>11</v>
      </c>
      <c r="K619" s="5" t="s">
        <v>49</v>
      </c>
      <c r="L619" s="7" t="str">
        <f>VLOOKUP(K619, 'Alphabetical by species code'!A:B, 2, FALSE)</f>
        <v>Thatch</v>
      </c>
      <c r="M619" s="7" t="str">
        <f>VLOOKUP(L619, 'Alphabetical by species code'!B:C, 2, FALSE)</f>
        <v>Ground Cover</v>
      </c>
    </row>
    <row r="620" spans="1:13" ht="15.75" customHeight="1" x14ac:dyDescent="0.25">
      <c r="A620" s="5">
        <v>13</v>
      </c>
      <c r="B620" s="5">
        <v>2023</v>
      </c>
      <c r="C620" s="61">
        <v>45197</v>
      </c>
      <c r="D620" s="14" t="s">
        <v>62</v>
      </c>
      <c r="E620" s="5" t="s">
        <v>68</v>
      </c>
      <c r="F620" s="5">
        <v>3</v>
      </c>
      <c r="G620" s="5" t="s">
        <v>26</v>
      </c>
      <c r="H620" s="5">
        <v>14</v>
      </c>
      <c r="I620" s="5">
        <v>1</v>
      </c>
      <c r="J620" s="5">
        <v>11</v>
      </c>
      <c r="K620" s="5" t="s">
        <v>48</v>
      </c>
      <c r="L620" s="7" t="str">
        <f>VLOOKUP(K620, 'Alphabetical by species code'!A:B, 2, FALSE)</f>
        <v>Deinandra fasciculata</v>
      </c>
      <c r="M620" s="7" t="str">
        <f>VLOOKUP(L620, 'Alphabetical by species code'!B:C, 2, FALSE)</f>
        <v>Native</v>
      </c>
    </row>
    <row r="621" spans="1:13" ht="15.75" customHeight="1" x14ac:dyDescent="0.25">
      <c r="A621" s="5">
        <v>13</v>
      </c>
      <c r="B621" s="5">
        <v>2023</v>
      </c>
      <c r="C621" s="61">
        <v>45197</v>
      </c>
      <c r="D621" s="14" t="s">
        <v>62</v>
      </c>
      <c r="E621" s="5" t="s">
        <v>68</v>
      </c>
      <c r="F621" s="5">
        <v>3</v>
      </c>
      <c r="G621" s="5" t="s">
        <v>26</v>
      </c>
      <c r="H621" s="5">
        <v>14</v>
      </c>
      <c r="I621" s="5">
        <v>1</v>
      </c>
      <c r="J621" s="5">
        <v>11</v>
      </c>
      <c r="K621" s="5" t="s">
        <v>29</v>
      </c>
      <c r="L621" s="7" t="str">
        <f>VLOOKUP(K621, 'Alphabetical by species code'!A:B, 2, FALSE)</f>
        <v>Opuntia littoralis</v>
      </c>
      <c r="M621" s="7" t="str">
        <f>VLOOKUP(L621, 'Alphabetical by species code'!B:C, 2, FALSE)</f>
        <v>Native</v>
      </c>
    </row>
    <row r="622" spans="1:13" ht="15.75" customHeight="1" x14ac:dyDescent="0.25">
      <c r="A622" s="5">
        <v>13</v>
      </c>
      <c r="B622" s="5">
        <v>2023</v>
      </c>
      <c r="C622" s="61">
        <v>45197</v>
      </c>
      <c r="D622" s="14" t="s">
        <v>62</v>
      </c>
      <c r="E622" s="5" t="s">
        <v>68</v>
      </c>
      <c r="F622" s="5">
        <v>3</v>
      </c>
      <c r="G622" s="5" t="s">
        <v>26</v>
      </c>
      <c r="H622" s="5">
        <v>15</v>
      </c>
      <c r="I622" s="5">
        <v>1</v>
      </c>
      <c r="J622" s="5">
        <v>12</v>
      </c>
      <c r="K622" s="5" t="s">
        <v>27</v>
      </c>
      <c r="L622" s="7" t="str">
        <f>VLOOKUP(K622, 'Alphabetical by species code'!A:B, 2, FALSE)</f>
        <v>Litter</v>
      </c>
      <c r="M622" s="7" t="str">
        <f>VLOOKUP(L622, 'Alphabetical by species code'!B:C, 2, FALSE)</f>
        <v>Ground Cover</v>
      </c>
    </row>
    <row r="623" spans="1:13" ht="15.75" customHeight="1" x14ac:dyDescent="0.25">
      <c r="A623" s="5">
        <v>13</v>
      </c>
      <c r="B623" s="5">
        <v>2023</v>
      </c>
      <c r="C623" s="61">
        <v>45197</v>
      </c>
      <c r="D623" s="14" t="s">
        <v>62</v>
      </c>
      <c r="E623" s="5" t="s">
        <v>68</v>
      </c>
      <c r="F623" s="5">
        <v>3</v>
      </c>
      <c r="G623" s="5" t="s">
        <v>26</v>
      </c>
      <c r="H623" s="5">
        <v>15</v>
      </c>
      <c r="I623" s="5">
        <v>1</v>
      </c>
      <c r="J623" s="5">
        <v>12</v>
      </c>
      <c r="K623" s="5" t="s">
        <v>34</v>
      </c>
      <c r="L623" s="7" t="str">
        <f>VLOOKUP(K623, 'Alphabetical by species code'!A:B, 2, FALSE)</f>
        <v>Centaurea melitensis</v>
      </c>
      <c r="M623" s="7" t="str">
        <f>VLOOKUP(L623, 'Alphabetical by species code'!B:C, 2, FALSE)</f>
        <v>Non-Native</v>
      </c>
    </row>
    <row r="624" spans="1:13" ht="15.75" customHeight="1" x14ac:dyDescent="0.25">
      <c r="A624" s="5">
        <v>13</v>
      </c>
      <c r="B624" s="5">
        <v>2023</v>
      </c>
      <c r="C624" s="61">
        <v>45197</v>
      </c>
      <c r="D624" s="14" t="s">
        <v>62</v>
      </c>
      <c r="E624" s="5" t="s">
        <v>68</v>
      </c>
      <c r="F624" s="5">
        <v>3</v>
      </c>
      <c r="G624" s="5" t="s">
        <v>26</v>
      </c>
      <c r="H624" s="5">
        <v>15</v>
      </c>
      <c r="I624" s="5">
        <v>1</v>
      </c>
      <c r="J624" s="5">
        <v>12</v>
      </c>
      <c r="K624" s="5" t="s">
        <v>54</v>
      </c>
      <c r="L624" s="7" t="str">
        <f>VLOOKUP(K624, 'Alphabetical by species code'!A:B, 2, FALSE)</f>
        <v>Erodium cicutarium</v>
      </c>
      <c r="M624" s="7" t="str">
        <f>VLOOKUP(L624, 'Alphabetical by species code'!B:C, 2, FALSE)</f>
        <v>Non-Native</v>
      </c>
    </row>
    <row r="625" spans="1:13" ht="15.75" customHeight="1" x14ac:dyDescent="0.25">
      <c r="A625" s="5">
        <v>13</v>
      </c>
      <c r="B625" s="5">
        <v>2023</v>
      </c>
      <c r="C625" s="61">
        <v>45197</v>
      </c>
      <c r="D625" s="14" t="s">
        <v>62</v>
      </c>
      <c r="E625" s="5" t="s">
        <v>68</v>
      </c>
      <c r="F625" s="5">
        <v>3</v>
      </c>
      <c r="G625" s="5" t="s">
        <v>26</v>
      </c>
      <c r="H625" s="5">
        <v>15</v>
      </c>
      <c r="I625" s="5">
        <v>1</v>
      </c>
      <c r="J625" s="5">
        <v>12</v>
      </c>
      <c r="K625" s="5" t="s">
        <v>30</v>
      </c>
      <c r="L625" s="7" t="str">
        <f>VLOOKUP(K625, 'Alphabetical by species code'!A:B, 2, FALSE)</f>
        <v>Non Native Grass</v>
      </c>
      <c r="M625" s="7" t="str">
        <f>VLOOKUP(L625, 'Alphabetical by species code'!B:C, 2, FALSE)</f>
        <v>Non-Native</v>
      </c>
    </row>
    <row r="626" spans="1:13" ht="15.75" customHeight="1" x14ac:dyDescent="0.25">
      <c r="A626" s="5">
        <v>13</v>
      </c>
      <c r="B626" s="5">
        <v>2023</v>
      </c>
      <c r="C626" s="61">
        <v>45197</v>
      </c>
      <c r="D626" s="14" t="s">
        <v>62</v>
      </c>
      <c r="E626" s="5" t="s">
        <v>68</v>
      </c>
      <c r="F626" s="5">
        <v>3</v>
      </c>
      <c r="G626" s="5" t="s">
        <v>26</v>
      </c>
      <c r="H626" s="5">
        <v>1</v>
      </c>
      <c r="I626" s="5">
        <v>2</v>
      </c>
      <c r="J626" s="5">
        <v>0</v>
      </c>
      <c r="K626" s="5" t="s">
        <v>27</v>
      </c>
      <c r="L626" s="7" t="str">
        <f>VLOOKUP(K626, 'Alphabetical by species code'!A:B, 2, FALSE)</f>
        <v>Litter</v>
      </c>
      <c r="M626" s="7" t="str">
        <f>VLOOKUP(L626, 'Alphabetical by species code'!B:C, 2, FALSE)</f>
        <v>Ground Cover</v>
      </c>
    </row>
    <row r="627" spans="1:13" ht="15.75" customHeight="1" x14ac:dyDescent="0.25">
      <c r="A627" s="5">
        <v>13</v>
      </c>
      <c r="B627" s="5">
        <v>2023</v>
      </c>
      <c r="C627" s="61">
        <v>45197</v>
      </c>
      <c r="D627" s="14" t="s">
        <v>62</v>
      </c>
      <c r="E627" s="5" t="s">
        <v>68</v>
      </c>
      <c r="F627" s="5">
        <v>3</v>
      </c>
      <c r="G627" s="5" t="s">
        <v>26</v>
      </c>
      <c r="H627" s="5">
        <v>2</v>
      </c>
      <c r="I627" s="5">
        <v>2</v>
      </c>
      <c r="J627" s="5">
        <v>1</v>
      </c>
      <c r="K627" s="5" t="s">
        <v>27</v>
      </c>
      <c r="L627" s="7" t="str">
        <f>VLOOKUP(K627, 'Alphabetical by species code'!A:B, 2, FALSE)</f>
        <v>Litter</v>
      </c>
      <c r="M627" s="7" t="str">
        <f>VLOOKUP(L627, 'Alphabetical by species code'!B:C, 2, FALSE)</f>
        <v>Ground Cover</v>
      </c>
    </row>
    <row r="628" spans="1:13" ht="15.75" customHeight="1" x14ac:dyDescent="0.25">
      <c r="A628" s="5">
        <v>13</v>
      </c>
      <c r="B628" s="5">
        <v>2023</v>
      </c>
      <c r="C628" s="61">
        <v>45197</v>
      </c>
      <c r="D628" s="14" t="s">
        <v>62</v>
      </c>
      <c r="E628" s="5" t="s">
        <v>68</v>
      </c>
      <c r="F628" s="5">
        <v>3</v>
      </c>
      <c r="G628" s="5" t="s">
        <v>26</v>
      </c>
      <c r="H628" s="5">
        <v>3</v>
      </c>
      <c r="I628" s="5">
        <v>2</v>
      </c>
      <c r="J628" s="5">
        <v>1.5</v>
      </c>
      <c r="K628" s="5" t="s">
        <v>27</v>
      </c>
      <c r="L628" s="7" t="str">
        <f>VLOOKUP(K628, 'Alphabetical by species code'!A:B, 2, FALSE)</f>
        <v>Litter</v>
      </c>
      <c r="M628" s="7" t="str">
        <f>VLOOKUP(L628, 'Alphabetical by species code'!B:C, 2, FALSE)</f>
        <v>Ground Cover</v>
      </c>
    </row>
    <row r="629" spans="1:13" ht="15.75" customHeight="1" x14ac:dyDescent="0.25">
      <c r="A629" s="5">
        <v>13</v>
      </c>
      <c r="B629" s="5">
        <v>2023</v>
      </c>
      <c r="C629" s="61">
        <v>45197</v>
      </c>
      <c r="D629" s="14" t="s">
        <v>62</v>
      </c>
      <c r="E629" s="5" t="s">
        <v>68</v>
      </c>
      <c r="F629" s="5">
        <v>3</v>
      </c>
      <c r="G629" s="5" t="s">
        <v>26</v>
      </c>
      <c r="H629" s="5">
        <v>3</v>
      </c>
      <c r="I629" s="5">
        <v>2</v>
      </c>
      <c r="J629" s="5">
        <v>1.5</v>
      </c>
      <c r="K629" s="5" t="s">
        <v>30</v>
      </c>
      <c r="L629" s="7" t="str">
        <f>VLOOKUP(K629, 'Alphabetical by species code'!A:B, 2, FALSE)</f>
        <v>Non Native Grass</v>
      </c>
      <c r="M629" s="7" t="str">
        <f>VLOOKUP(L629, 'Alphabetical by species code'!B:C, 2, FALSE)</f>
        <v>Non-Native</v>
      </c>
    </row>
    <row r="630" spans="1:13" ht="15.75" customHeight="1" x14ac:dyDescent="0.25">
      <c r="A630" s="5">
        <v>13</v>
      </c>
      <c r="B630" s="5">
        <v>2023</v>
      </c>
      <c r="C630" s="61">
        <v>45197</v>
      </c>
      <c r="D630" s="14" t="s">
        <v>62</v>
      </c>
      <c r="E630" s="5" t="s">
        <v>68</v>
      </c>
      <c r="F630" s="5">
        <v>3</v>
      </c>
      <c r="G630" s="5" t="s">
        <v>26</v>
      </c>
      <c r="H630" s="5">
        <v>4</v>
      </c>
      <c r="I630" s="5">
        <v>2</v>
      </c>
      <c r="J630" s="5">
        <v>2</v>
      </c>
      <c r="K630" s="5" t="s">
        <v>32</v>
      </c>
      <c r="L630" s="7" t="str">
        <f>VLOOKUP(K630, 'Alphabetical by species code'!A:B, 2, FALSE)</f>
        <v>Rock</v>
      </c>
      <c r="M630" s="7" t="str">
        <f>VLOOKUP(L630, 'Alphabetical by species code'!B:C, 2, FALSE)</f>
        <v>Ground Cover</v>
      </c>
    </row>
    <row r="631" spans="1:13" ht="15.75" customHeight="1" x14ac:dyDescent="0.25">
      <c r="A631" s="5">
        <v>13</v>
      </c>
      <c r="B631" s="5">
        <v>2023</v>
      </c>
      <c r="C631" s="61">
        <v>45197</v>
      </c>
      <c r="D631" s="14" t="s">
        <v>62</v>
      </c>
      <c r="E631" s="5" t="s">
        <v>68</v>
      </c>
      <c r="F631" s="5">
        <v>3</v>
      </c>
      <c r="G631" s="5" t="s">
        <v>26</v>
      </c>
      <c r="H631" s="5">
        <v>4</v>
      </c>
      <c r="I631" s="5">
        <v>2</v>
      </c>
      <c r="J631" s="5">
        <v>2</v>
      </c>
      <c r="K631" s="5" t="s">
        <v>34</v>
      </c>
      <c r="L631" s="7" t="str">
        <f>VLOOKUP(K631, 'Alphabetical by species code'!A:B, 2, FALSE)</f>
        <v>Centaurea melitensis</v>
      </c>
      <c r="M631" s="7" t="str">
        <f>VLOOKUP(L631, 'Alphabetical by species code'!B:C, 2, FALSE)</f>
        <v>Non-Native</v>
      </c>
    </row>
    <row r="632" spans="1:13" ht="15.75" customHeight="1" x14ac:dyDescent="0.25">
      <c r="A632" s="5">
        <v>13</v>
      </c>
      <c r="B632" s="5">
        <v>2023</v>
      </c>
      <c r="C632" s="61">
        <v>45197</v>
      </c>
      <c r="D632" s="14" t="s">
        <v>62</v>
      </c>
      <c r="E632" s="5" t="s">
        <v>68</v>
      </c>
      <c r="F632" s="5">
        <v>3</v>
      </c>
      <c r="G632" s="5" t="s">
        <v>26</v>
      </c>
      <c r="H632" s="5">
        <v>5</v>
      </c>
      <c r="I632" s="5">
        <v>2</v>
      </c>
      <c r="J632" s="5">
        <v>3</v>
      </c>
      <c r="K632" s="5" t="s">
        <v>35</v>
      </c>
      <c r="L632" s="7" t="str">
        <f>VLOOKUP(K632, 'Alphabetical by species code'!A:B, 2, FALSE)</f>
        <v>Bareground</v>
      </c>
      <c r="M632" s="7" t="str">
        <f>VLOOKUP(L632, 'Alphabetical by species code'!B:C, 2, FALSE)</f>
        <v>Ground Cover</v>
      </c>
    </row>
    <row r="633" spans="1:13" ht="15.75" customHeight="1" x14ac:dyDescent="0.25">
      <c r="A633" s="5">
        <v>13</v>
      </c>
      <c r="B633" s="5">
        <v>2023</v>
      </c>
      <c r="C633" s="61">
        <v>45197</v>
      </c>
      <c r="D633" s="14" t="s">
        <v>62</v>
      </c>
      <c r="E633" s="5" t="s">
        <v>68</v>
      </c>
      <c r="F633" s="5">
        <v>3</v>
      </c>
      <c r="G633" s="5" t="s">
        <v>26</v>
      </c>
      <c r="H633" s="5">
        <v>6</v>
      </c>
      <c r="I633" s="5">
        <v>2</v>
      </c>
      <c r="J633" s="5">
        <v>3.5</v>
      </c>
      <c r="K633" s="5" t="s">
        <v>27</v>
      </c>
      <c r="L633" s="7" t="str">
        <f>VLOOKUP(K633, 'Alphabetical by species code'!A:B, 2, FALSE)</f>
        <v>Litter</v>
      </c>
      <c r="M633" s="7" t="str">
        <f>VLOOKUP(L633, 'Alphabetical by species code'!B:C, 2, FALSE)</f>
        <v>Ground Cover</v>
      </c>
    </row>
    <row r="634" spans="1:13" ht="15.75" customHeight="1" x14ac:dyDescent="0.25">
      <c r="A634" s="5">
        <v>13</v>
      </c>
      <c r="B634" s="5">
        <v>2023</v>
      </c>
      <c r="C634" s="61">
        <v>45197</v>
      </c>
      <c r="D634" s="14" t="s">
        <v>62</v>
      </c>
      <c r="E634" s="5" t="s">
        <v>68</v>
      </c>
      <c r="F634" s="5">
        <v>3</v>
      </c>
      <c r="G634" s="5" t="s">
        <v>26</v>
      </c>
      <c r="H634" s="5">
        <v>7</v>
      </c>
      <c r="I634" s="5">
        <v>2</v>
      </c>
      <c r="J634" s="5">
        <v>4</v>
      </c>
      <c r="K634" s="5" t="s">
        <v>35</v>
      </c>
      <c r="L634" s="7" t="str">
        <f>VLOOKUP(K634, 'Alphabetical by species code'!A:B, 2, FALSE)</f>
        <v>Bareground</v>
      </c>
      <c r="M634" s="7" t="str">
        <f>VLOOKUP(L634, 'Alphabetical by species code'!B:C, 2, FALSE)</f>
        <v>Ground Cover</v>
      </c>
    </row>
    <row r="635" spans="1:13" ht="15.75" customHeight="1" x14ac:dyDescent="0.25">
      <c r="A635" s="5">
        <v>13</v>
      </c>
      <c r="B635" s="5">
        <v>2023</v>
      </c>
      <c r="C635" s="61">
        <v>45197</v>
      </c>
      <c r="D635" s="14" t="s">
        <v>62</v>
      </c>
      <c r="E635" s="5" t="s">
        <v>68</v>
      </c>
      <c r="F635" s="5">
        <v>3</v>
      </c>
      <c r="G635" s="5" t="s">
        <v>26</v>
      </c>
      <c r="H635" s="5">
        <v>8</v>
      </c>
      <c r="I635" s="5">
        <v>2</v>
      </c>
      <c r="J635" s="5">
        <v>5</v>
      </c>
      <c r="K635" s="5" t="s">
        <v>35</v>
      </c>
      <c r="L635" s="7" t="str">
        <f>VLOOKUP(K635, 'Alphabetical by species code'!A:B, 2, FALSE)</f>
        <v>Bareground</v>
      </c>
      <c r="M635" s="7" t="str">
        <f>VLOOKUP(L635, 'Alphabetical by species code'!B:C, 2, FALSE)</f>
        <v>Ground Cover</v>
      </c>
    </row>
    <row r="636" spans="1:13" ht="15.75" customHeight="1" x14ac:dyDescent="0.25">
      <c r="A636" s="5">
        <v>13</v>
      </c>
      <c r="B636" s="5">
        <v>2023</v>
      </c>
      <c r="C636" s="61">
        <v>45197</v>
      </c>
      <c r="D636" s="14" t="s">
        <v>62</v>
      </c>
      <c r="E636" s="5" t="s">
        <v>68</v>
      </c>
      <c r="F636" s="5">
        <v>3</v>
      </c>
      <c r="G636" s="5" t="s">
        <v>26</v>
      </c>
      <c r="H636" s="5">
        <v>9</v>
      </c>
      <c r="I636" s="5">
        <v>2</v>
      </c>
      <c r="J636" s="5">
        <v>7</v>
      </c>
      <c r="K636" s="5" t="s">
        <v>27</v>
      </c>
      <c r="L636" s="7" t="str">
        <f>VLOOKUP(K636, 'Alphabetical by species code'!A:B, 2, FALSE)</f>
        <v>Litter</v>
      </c>
      <c r="M636" s="7" t="str">
        <f>VLOOKUP(L636, 'Alphabetical by species code'!B:C, 2, FALSE)</f>
        <v>Ground Cover</v>
      </c>
    </row>
    <row r="637" spans="1:13" ht="15.75" customHeight="1" x14ac:dyDescent="0.25">
      <c r="A637" s="5">
        <v>13</v>
      </c>
      <c r="B637" s="5">
        <v>2023</v>
      </c>
      <c r="C637" s="61">
        <v>45197</v>
      </c>
      <c r="D637" s="14" t="s">
        <v>62</v>
      </c>
      <c r="E637" s="5" t="s">
        <v>68</v>
      </c>
      <c r="F637" s="5">
        <v>3</v>
      </c>
      <c r="G637" s="5" t="s">
        <v>26</v>
      </c>
      <c r="H637" s="5">
        <v>10</v>
      </c>
      <c r="I637" s="5">
        <v>2</v>
      </c>
      <c r="J637" s="5">
        <v>8</v>
      </c>
      <c r="K637" s="5" t="s">
        <v>58</v>
      </c>
      <c r="L637" s="7" t="str">
        <f>VLOOKUP(K637, 'Alphabetical by species code'!A:B, 2, FALSE)</f>
        <v>Stem</v>
      </c>
      <c r="M637" s="7" t="str">
        <f>VLOOKUP(L637, 'Alphabetical by species code'!B:C, 2, FALSE)</f>
        <v>Ground Cover</v>
      </c>
    </row>
    <row r="638" spans="1:13" ht="15.75" customHeight="1" x14ac:dyDescent="0.25">
      <c r="A638" s="5">
        <v>13</v>
      </c>
      <c r="B638" s="5">
        <v>2023</v>
      </c>
      <c r="C638" s="61">
        <v>45197</v>
      </c>
      <c r="D638" s="14" t="s">
        <v>62</v>
      </c>
      <c r="E638" s="5" t="s">
        <v>68</v>
      </c>
      <c r="F638" s="5">
        <v>3</v>
      </c>
      <c r="G638" s="5" t="s">
        <v>26</v>
      </c>
      <c r="H638" s="5">
        <v>10</v>
      </c>
      <c r="I638" s="5">
        <v>2</v>
      </c>
      <c r="J638" s="5">
        <v>8</v>
      </c>
      <c r="K638" s="5" t="s">
        <v>54</v>
      </c>
      <c r="L638" s="7" t="str">
        <f>VLOOKUP(K638, 'Alphabetical by species code'!A:B, 2, FALSE)</f>
        <v>Erodium cicutarium</v>
      </c>
      <c r="M638" s="7" t="str">
        <f>VLOOKUP(L638, 'Alphabetical by species code'!B:C, 2, FALSE)</f>
        <v>Non-Native</v>
      </c>
    </row>
    <row r="639" spans="1:13" ht="15.75" customHeight="1" x14ac:dyDescent="0.25">
      <c r="A639" s="5">
        <v>13</v>
      </c>
      <c r="B639" s="5">
        <v>2023</v>
      </c>
      <c r="C639" s="61">
        <v>45197</v>
      </c>
      <c r="D639" s="14" t="s">
        <v>62</v>
      </c>
      <c r="E639" s="5" t="s">
        <v>68</v>
      </c>
      <c r="F639" s="5">
        <v>3</v>
      </c>
      <c r="G639" s="5" t="s">
        <v>26</v>
      </c>
      <c r="H639" s="5">
        <v>11</v>
      </c>
      <c r="I639" s="5">
        <v>2</v>
      </c>
      <c r="J639" s="5">
        <v>8.5</v>
      </c>
      <c r="K639" s="5" t="s">
        <v>35</v>
      </c>
      <c r="L639" s="7" t="str">
        <f>VLOOKUP(K639, 'Alphabetical by species code'!A:B, 2, FALSE)</f>
        <v>Bareground</v>
      </c>
      <c r="M639" s="7" t="str">
        <f>VLOOKUP(L639, 'Alphabetical by species code'!B:C, 2, FALSE)</f>
        <v>Ground Cover</v>
      </c>
    </row>
    <row r="640" spans="1:13" ht="15.75" customHeight="1" x14ac:dyDescent="0.25">
      <c r="A640" s="5">
        <v>13</v>
      </c>
      <c r="B640" s="5">
        <v>2023</v>
      </c>
      <c r="C640" s="61">
        <v>45197</v>
      </c>
      <c r="D640" s="14" t="s">
        <v>62</v>
      </c>
      <c r="E640" s="5" t="s">
        <v>68</v>
      </c>
      <c r="F640" s="5">
        <v>3</v>
      </c>
      <c r="G640" s="5" t="s">
        <v>26</v>
      </c>
      <c r="H640" s="5">
        <v>12</v>
      </c>
      <c r="I640" s="5">
        <v>2</v>
      </c>
      <c r="J640" s="5">
        <v>9</v>
      </c>
      <c r="K640" s="5" t="s">
        <v>35</v>
      </c>
      <c r="L640" s="7" t="str">
        <f>VLOOKUP(K640, 'Alphabetical by species code'!A:B, 2, FALSE)</f>
        <v>Bareground</v>
      </c>
      <c r="M640" s="7" t="str">
        <f>VLOOKUP(L640, 'Alphabetical by species code'!B:C, 2, FALSE)</f>
        <v>Ground Cover</v>
      </c>
    </row>
    <row r="641" spans="1:13" ht="15.75" customHeight="1" x14ac:dyDescent="0.25">
      <c r="A641" s="5">
        <v>13</v>
      </c>
      <c r="B641" s="5">
        <v>2023</v>
      </c>
      <c r="C641" s="61">
        <v>45197</v>
      </c>
      <c r="D641" s="14" t="s">
        <v>62</v>
      </c>
      <c r="E641" s="5" t="s">
        <v>68</v>
      </c>
      <c r="F641" s="5">
        <v>3</v>
      </c>
      <c r="G641" s="5" t="s">
        <v>26</v>
      </c>
      <c r="H641" s="5">
        <v>13</v>
      </c>
      <c r="I641" s="5">
        <v>2</v>
      </c>
      <c r="J641" s="5">
        <v>10</v>
      </c>
      <c r="K641" s="5" t="s">
        <v>27</v>
      </c>
      <c r="L641" s="7" t="str">
        <f>VLOOKUP(K641, 'Alphabetical by species code'!A:B, 2, FALSE)</f>
        <v>Litter</v>
      </c>
      <c r="M641" s="7" t="str">
        <f>VLOOKUP(L641, 'Alphabetical by species code'!B:C, 2, FALSE)</f>
        <v>Ground Cover</v>
      </c>
    </row>
    <row r="642" spans="1:13" ht="15.75" customHeight="1" x14ac:dyDescent="0.25">
      <c r="A642" s="5">
        <v>13</v>
      </c>
      <c r="B642" s="5">
        <v>2023</v>
      </c>
      <c r="C642" s="61">
        <v>45197</v>
      </c>
      <c r="D642" s="14" t="s">
        <v>62</v>
      </c>
      <c r="E642" s="5" t="s">
        <v>68</v>
      </c>
      <c r="F642" s="5">
        <v>3</v>
      </c>
      <c r="G642" s="5" t="s">
        <v>26</v>
      </c>
      <c r="H642" s="5">
        <v>14</v>
      </c>
      <c r="I642" s="5">
        <v>2</v>
      </c>
      <c r="J642" s="5">
        <v>11</v>
      </c>
      <c r="K642" s="5" t="s">
        <v>27</v>
      </c>
      <c r="L642" s="7" t="str">
        <f>VLOOKUP(K642, 'Alphabetical by species code'!A:B, 2, FALSE)</f>
        <v>Litter</v>
      </c>
      <c r="M642" s="7" t="str">
        <f>VLOOKUP(L642, 'Alphabetical by species code'!B:C, 2, FALSE)</f>
        <v>Ground Cover</v>
      </c>
    </row>
    <row r="643" spans="1:13" ht="15.75" customHeight="1" x14ac:dyDescent="0.25">
      <c r="A643" s="5">
        <v>13</v>
      </c>
      <c r="B643" s="5">
        <v>2023</v>
      </c>
      <c r="C643" s="61">
        <v>45197</v>
      </c>
      <c r="D643" s="14" t="s">
        <v>62</v>
      </c>
      <c r="E643" s="5" t="s">
        <v>68</v>
      </c>
      <c r="F643" s="5">
        <v>3</v>
      </c>
      <c r="G643" s="5" t="s">
        <v>26</v>
      </c>
      <c r="H643" s="5">
        <v>15</v>
      </c>
      <c r="I643" s="5">
        <v>2</v>
      </c>
      <c r="J643" s="5">
        <v>12</v>
      </c>
      <c r="K643" s="5" t="s">
        <v>27</v>
      </c>
      <c r="L643" s="7" t="str">
        <f>VLOOKUP(K643, 'Alphabetical by species code'!A:B, 2, FALSE)</f>
        <v>Litter</v>
      </c>
      <c r="M643" s="7" t="str">
        <f>VLOOKUP(L643, 'Alphabetical by species code'!B:C, 2, FALSE)</f>
        <v>Ground Cover</v>
      </c>
    </row>
    <row r="644" spans="1:13" ht="15.75" customHeight="1" x14ac:dyDescent="0.25">
      <c r="A644" s="5">
        <v>14</v>
      </c>
      <c r="B644" s="5">
        <v>2023</v>
      </c>
      <c r="C644" s="61">
        <v>45197</v>
      </c>
      <c r="D644" s="14" t="s">
        <v>62</v>
      </c>
      <c r="E644" s="5" t="s">
        <v>68</v>
      </c>
      <c r="F644" s="5">
        <v>3</v>
      </c>
      <c r="G644" s="5" t="s">
        <v>36</v>
      </c>
      <c r="H644" s="5">
        <v>1</v>
      </c>
      <c r="I644" s="5">
        <v>1</v>
      </c>
      <c r="J644" s="5">
        <v>0</v>
      </c>
      <c r="K644" s="5" t="s">
        <v>35</v>
      </c>
      <c r="L644" s="7" t="str">
        <f>VLOOKUP(K644, 'Alphabetical by species code'!A:B, 2, FALSE)</f>
        <v>Bareground</v>
      </c>
      <c r="M644" s="7" t="str">
        <f>VLOOKUP(L644, 'Alphabetical by species code'!B:C, 2, FALSE)</f>
        <v>Ground Cover</v>
      </c>
    </row>
    <row r="645" spans="1:13" ht="15.75" customHeight="1" x14ac:dyDescent="0.25">
      <c r="A645" s="5">
        <v>14</v>
      </c>
      <c r="B645" s="5">
        <v>2023</v>
      </c>
      <c r="C645" s="61">
        <v>45197</v>
      </c>
      <c r="D645" s="14" t="s">
        <v>62</v>
      </c>
      <c r="E645" s="5" t="s">
        <v>68</v>
      </c>
      <c r="F645" s="5">
        <v>3</v>
      </c>
      <c r="G645" s="5" t="s">
        <v>36</v>
      </c>
      <c r="H645" s="5">
        <v>2</v>
      </c>
      <c r="I645" s="5">
        <v>1</v>
      </c>
      <c r="J645" s="5">
        <v>1</v>
      </c>
      <c r="K645" s="5" t="s">
        <v>35</v>
      </c>
      <c r="L645" s="7" t="str">
        <f>VLOOKUP(K645, 'Alphabetical by species code'!A:B, 2, FALSE)</f>
        <v>Bareground</v>
      </c>
      <c r="M645" s="7" t="str">
        <f>VLOOKUP(L645, 'Alphabetical by species code'!B:C, 2, FALSE)</f>
        <v>Ground Cover</v>
      </c>
    </row>
    <row r="646" spans="1:13" ht="15.75" customHeight="1" x14ac:dyDescent="0.25">
      <c r="A646" s="5">
        <v>14</v>
      </c>
      <c r="B646" s="5">
        <v>2023</v>
      </c>
      <c r="C646" s="61">
        <v>45197</v>
      </c>
      <c r="D646" s="14" t="s">
        <v>62</v>
      </c>
      <c r="E646" s="5" t="s">
        <v>68</v>
      </c>
      <c r="F646" s="5">
        <v>3</v>
      </c>
      <c r="G646" s="5" t="s">
        <v>36</v>
      </c>
      <c r="H646" s="5">
        <v>3</v>
      </c>
      <c r="I646" s="5">
        <v>1</v>
      </c>
      <c r="J646" s="5">
        <v>1.5</v>
      </c>
      <c r="K646" s="5" t="s">
        <v>27</v>
      </c>
      <c r="L646" s="7" t="str">
        <f>VLOOKUP(K646, 'Alphabetical by species code'!A:B, 2, FALSE)</f>
        <v>Litter</v>
      </c>
      <c r="M646" s="7" t="str">
        <f>VLOOKUP(L646, 'Alphabetical by species code'!B:C, 2, FALSE)</f>
        <v>Ground Cover</v>
      </c>
    </row>
    <row r="647" spans="1:13" ht="15.75" customHeight="1" x14ac:dyDescent="0.25">
      <c r="A647" s="5">
        <v>14</v>
      </c>
      <c r="B647" s="5">
        <v>2023</v>
      </c>
      <c r="C647" s="61">
        <v>45197</v>
      </c>
      <c r="D647" s="14" t="s">
        <v>62</v>
      </c>
      <c r="E647" s="5" t="s">
        <v>68</v>
      </c>
      <c r="F647" s="5">
        <v>3</v>
      </c>
      <c r="G647" s="5" t="s">
        <v>36</v>
      </c>
      <c r="H647" s="5">
        <v>4</v>
      </c>
      <c r="I647" s="5">
        <v>1</v>
      </c>
      <c r="J647" s="5">
        <v>2</v>
      </c>
      <c r="K647" s="5" t="s">
        <v>27</v>
      </c>
      <c r="L647" s="7" t="str">
        <f>VLOOKUP(K647, 'Alphabetical by species code'!A:B, 2, FALSE)</f>
        <v>Litter</v>
      </c>
      <c r="M647" s="7" t="str">
        <f>VLOOKUP(L647, 'Alphabetical by species code'!B:C, 2, FALSE)</f>
        <v>Ground Cover</v>
      </c>
    </row>
    <row r="648" spans="1:13" ht="15.75" customHeight="1" x14ac:dyDescent="0.25">
      <c r="A648" s="5">
        <v>14</v>
      </c>
      <c r="B648" s="5">
        <v>2023</v>
      </c>
      <c r="C648" s="61">
        <v>45197</v>
      </c>
      <c r="D648" s="14" t="s">
        <v>62</v>
      </c>
      <c r="E648" s="5" t="s">
        <v>68</v>
      </c>
      <c r="F648" s="5">
        <v>3</v>
      </c>
      <c r="G648" s="5" t="s">
        <v>36</v>
      </c>
      <c r="H648" s="5">
        <v>5</v>
      </c>
      <c r="I648" s="5">
        <v>1</v>
      </c>
      <c r="J648" s="5">
        <v>3</v>
      </c>
      <c r="K648" s="5" t="s">
        <v>35</v>
      </c>
      <c r="L648" s="7" t="str">
        <f>VLOOKUP(K648, 'Alphabetical by species code'!A:B, 2, FALSE)</f>
        <v>Bareground</v>
      </c>
      <c r="M648" s="7" t="str">
        <f>VLOOKUP(L648, 'Alphabetical by species code'!B:C, 2, FALSE)</f>
        <v>Ground Cover</v>
      </c>
    </row>
    <row r="649" spans="1:13" ht="15.75" customHeight="1" x14ac:dyDescent="0.25">
      <c r="A649" s="5">
        <v>14</v>
      </c>
      <c r="B649" s="5">
        <v>2023</v>
      </c>
      <c r="C649" s="61">
        <v>45197</v>
      </c>
      <c r="D649" s="14" t="s">
        <v>62</v>
      </c>
      <c r="E649" s="5" t="s">
        <v>68</v>
      </c>
      <c r="F649" s="5">
        <v>3</v>
      </c>
      <c r="G649" s="5" t="s">
        <v>36</v>
      </c>
      <c r="H649" s="5">
        <v>6</v>
      </c>
      <c r="I649" s="5">
        <v>1</v>
      </c>
      <c r="J649" s="5">
        <v>3.5</v>
      </c>
      <c r="K649" s="5" t="s">
        <v>35</v>
      </c>
      <c r="L649" s="7" t="str">
        <f>VLOOKUP(K649, 'Alphabetical by species code'!A:B, 2, FALSE)</f>
        <v>Bareground</v>
      </c>
      <c r="M649" s="7" t="str">
        <f>VLOOKUP(L649, 'Alphabetical by species code'!B:C, 2, FALSE)</f>
        <v>Ground Cover</v>
      </c>
    </row>
    <row r="650" spans="1:13" ht="15.75" customHeight="1" x14ac:dyDescent="0.25">
      <c r="A650" s="5">
        <v>14</v>
      </c>
      <c r="B650" s="5">
        <v>2023</v>
      </c>
      <c r="C650" s="61">
        <v>45197</v>
      </c>
      <c r="D650" s="14" t="s">
        <v>62</v>
      </c>
      <c r="E650" s="5" t="s">
        <v>68</v>
      </c>
      <c r="F650" s="5">
        <v>3</v>
      </c>
      <c r="G650" s="5" t="s">
        <v>36</v>
      </c>
      <c r="H650" s="5">
        <v>7</v>
      </c>
      <c r="I650" s="5">
        <v>1</v>
      </c>
      <c r="J650" s="5">
        <v>4</v>
      </c>
      <c r="K650" s="5" t="s">
        <v>27</v>
      </c>
      <c r="L650" s="7" t="str">
        <f>VLOOKUP(K650, 'Alphabetical by species code'!A:B, 2, FALSE)</f>
        <v>Litter</v>
      </c>
      <c r="M650" s="7" t="str">
        <f>VLOOKUP(L650, 'Alphabetical by species code'!B:C, 2, FALSE)</f>
        <v>Ground Cover</v>
      </c>
    </row>
    <row r="651" spans="1:13" ht="15.75" customHeight="1" x14ac:dyDescent="0.25">
      <c r="A651" s="5">
        <v>14</v>
      </c>
      <c r="B651" s="5">
        <v>2023</v>
      </c>
      <c r="C651" s="61">
        <v>45197</v>
      </c>
      <c r="D651" s="14" t="s">
        <v>62</v>
      </c>
      <c r="E651" s="5" t="s">
        <v>68</v>
      </c>
      <c r="F651" s="5">
        <v>3</v>
      </c>
      <c r="G651" s="5" t="s">
        <v>36</v>
      </c>
      <c r="H651" s="5">
        <v>8</v>
      </c>
      <c r="I651" s="5">
        <v>1</v>
      </c>
      <c r="J651" s="5">
        <v>5</v>
      </c>
      <c r="K651" s="5" t="s">
        <v>35</v>
      </c>
      <c r="L651" s="7" t="str">
        <f>VLOOKUP(K651, 'Alphabetical by species code'!A:B, 2, FALSE)</f>
        <v>Bareground</v>
      </c>
      <c r="M651" s="7" t="str">
        <f>VLOOKUP(L651, 'Alphabetical by species code'!B:C, 2, FALSE)</f>
        <v>Ground Cover</v>
      </c>
    </row>
    <row r="652" spans="1:13" ht="15.75" customHeight="1" x14ac:dyDescent="0.25">
      <c r="A652" s="5">
        <v>14</v>
      </c>
      <c r="B652" s="5">
        <v>2023</v>
      </c>
      <c r="C652" s="61">
        <v>45197</v>
      </c>
      <c r="D652" s="14" t="s">
        <v>62</v>
      </c>
      <c r="E652" s="5" t="s">
        <v>68</v>
      </c>
      <c r="F652" s="5">
        <v>3</v>
      </c>
      <c r="G652" s="5" t="s">
        <v>36</v>
      </c>
      <c r="H652" s="5">
        <v>9</v>
      </c>
      <c r="I652" s="5">
        <v>1</v>
      </c>
      <c r="J652" s="5">
        <v>7</v>
      </c>
      <c r="K652" s="5" t="s">
        <v>35</v>
      </c>
      <c r="L652" s="7" t="str">
        <f>VLOOKUP(K652, 'Alphabetical by species code'!A:B, 2, FALSE)</f>
        <v>Bareground</v>
      </c>
      <c r="M652" s="7" t="str">
        <f>VLOOKUP(L652, 'Alphabetical by species code'!B:C, 2, FALSE)</f>
        <v>Ground Cover</v>
      </c>
    </row>
    <row r="653" spans="1:13" ht="15.75" customHeight="1" x14ac:dyDescent="0.25">
      <c r="A653" s="5">
        <v>14</v>
      </c>
      <c r="B653" s="5">
        <v>2023</v>
      </c>
      <c r="C653" s="61">
        <v>45197</v>
      </c>
      <c r="D653" s="14" t="s">
        <v>62</v>
      </c>
      <c r="E653" s="5" t="s">
        <v>68</v>
      </c>
      <c r="F653" s="5">
        <v>3</v>
      </c>
      <c r="G653" s="5" t="s">
        <v>36</v>
      </c>
      <c r="H653" s="5">
        <v>10</v>
      </c>
      <c r="I653" s="5">
        <v>1</v>
      </c>
      <c r="J653" s="5">
        <v>8</v>
      </c>
      <c r="K653" s="5" t="s">
        <v>27</v>
      </c>
      <c r="L653" s="7" t="str">
        <f>VLOOKUP(K653, 'Alphabetical by species code'!A:B, 2, FALSE)</f>
        <v>Litter</v>
      </c>
      <c r="M653" s="7" t="str">
        <f>VLOOKUP(L653, 'Alphabetical by species code'!B:C, 2, FALSE)</f>
        <v>Ground Cover</v>
      </c>
    </row>
    <row r="654" spans="1:13" ht="15.75" customHeight="1" x14ac:dyDescent="0.25">
      <c r="A654" s="5">
        <v>14</v>
      </c>
      <c r="B654" s="5">
        <v>2023</v>
      </c>
      <c r="C654" s="61">
        <v>45197</v>
      </c>
      <c r="D654" s="14" t="s">
        <v>62</v>
      </c>
      <c r="E654" s="5" t="s">
        <v>68</v>
      </c>
      <c r="F654" s="5">
        <v>3</v>
      </c>
      <c r="G654" s="5" t="s">
        <v>36</v>
      </c>
      <c r="H654" s="5">
        <v>11</v>
      </c>
      <c r="I654" s="5">
        <v>1</v>
      </c>
      <c r="J654" s="5">
        <v>8.5</v>
      </c>
      <c r="K654" s="5" t="s">
        <v>35</v>
      </c>
      <c r="L654" s="7" t="str">
        <f>VLOOKUP(K654, 'Alphabetical by species code'!A:B, 2, FALSE)</f>
        <v>Bareground</v>
      </c>
      <c r="M654" s="7" t="str">
        <f>VLOOKUP(L654, 'Alphabetical by species code'!B:C, 2, FALSE)</f>
        <v>Ground Cover</v>
      </c>
    </row>
    <row r="655" spans="1:13" ht="15.75" customHeight="1" x14ac:dyDescent="0.25">
      <c r="A655" s="5">
        <v>14</v>
      </c>
      <c r="B655" s="5">
        <v>2023</v>
      </c>
      <c r="C655" s="61">
        <v>45197</v>
      </c>
      <c r="D655" s="14" t="s">
        <v>62</v>
      </c>
      <c r="E655" s="5" t="s">
        <v>68</v>
      </c>
      <c r="F655" s="5">
        <v>3</v>
      </c>
      <c r="G655" s="5" t="s">
        <v>36</v>
      </c>
      <c r="H655" s="5">
        <v>12</v>
      </c>
      <c r="I655" s="5">
        <v>1</v>
      </c>
      <c r="J655" s="5">
        <v>9</v>
      </c>
      <c r="K655" s="5" t="s">
        <v>35</v>
      </c>
      <c r="L655" s="7" t="str">
        <f>VLOOKUP(K655, 'Alphabetical by species code'!A:B, 2, FALSE)</f>
        <v>Bareground</v>
      </c>
      <c r="M655" s="7" t="str">
        <f>VLOOKUP(L655, 'Alphabetical by species code'!B:C, 2, FALSE)</f>
        <v>Ground Cover</v>
      </c>
    </row>
    <row r="656" spans="1:13" ht="15.75" customHeight="1" x14ac:dyDescent="0.25">
      <c r="A656" s="5">
        <v>14</v>
      </c>
      <c r="B656" s="5">
        <v>2023</v>
      </c>
      <c r="C656" s="61">
        <v>45197</v>
      </c>
      <c r="D656" s="14" t="s">
        <v>62</v>
      </c>
      <c r="E656" s="5" t="s">
        <v>68</v>
      </c>
      <c r="F656" s="5">
        <v>3</v>
      </c>
      <c r="G656" s="5" t="s">
        <v>36</v>
      </c>
      <c r="H656" s="5">
        <v>13</v>
      </c>
      <c r="I656" s="5">
        <v>1</v>
      </c>
      <c r="J656" s="5">
        <v>10</v>
      </c>
      <c r="K656" s="5" t="s">
        <v>35</v>
      </c>
      <c r="L656" s="7" t="str">
        <f>VLOOKUP(K656, 'Alphabetical by species code'!A:B, 2, FALSE)</f>
        <v>Bareground</v>
      </c>
      <c r="M656" s="7" t="str">
        <f>VLOOKUP(L656, 'Alphabetical by species code'!B:C, 2, FALSE)</f>
        <v>Ground Cover</v>
      </c>
    </row>
    <row r="657" spans="1:13" ht="15.75" customHeight="1" x14ac:dyDescent="0.25">
      <c r="A657" s="5">
        <v>14</v>
      </c>
      <c r="B657" s="5">
        <v>2023</v>
      </c>
      <c r="C657" s="61">
        <v>45197</v>
      </c>
      <c r="D657" s="14" t="s">
        <v>62</v>
      </c>
      <c r="E657" s="5" t="s">
        <v>68</v>
      </c>
      <c r="F657" s="5">
        <v>3</v>
      </c>
      <c r="G657" s="5" t="s">
        <v>36</v>
      </c>
      <c r="H657" s="5">
        <v>13</v>
      </c>
      <c r="I657" s="5">
        <v>1</v>
      </c>
      <c r="J657" s="5">
        <v>10</v>
      </c>
      <c r="K657" s="5" t="s">
        <v>44</v>
      </c>
      <c r="L657" s="7" t="str">
        <f>VLOOKUP(K657, 'Alphabetical by species code'!A:B, 2, FALSE)</f>
        <v>Laennecia coulteri</v>
      </c>
      <c r="M657" s="7" t="str">
        <f>VLOOKUP(L657, 'Alphabetical by species code'!B:C, 2, FALSE)</f>
        <v>Native</v>
      </c>
    </row>
    <row r="658" spans="1:13" ht="15.75" customHeight="1" x14ac:dyDescent="0.25">
      <c r="A658" s="5">
        <v>14</v>
      </c>
      <c r="B658" s="5">
        <v>2023</v>
      </c>
      <c r="C658" s="61">
        <v>45197</v>
      </c>
      <c r="D658" s="14" t="s">
        <v>62</v>
      </c>
      <c r="E658" s="5" t="s">
        <v>68</v>
      </c>
      <c r="F658" s="5">
        <v>3</v>
      </c>
      <c r="G658" s="5" t="s">
        <v>36</v>
      </c>
      <c r="H658" s="5">
        <v>14</v>
      </c>
      <c r="I658" s="5">
        <v>1</v>
      </c>
      <c r="J658" s="5">
        <v>11</v>
      </c>
      <c r="K658" s="5" t="s">
        <v>49</v>
      </c>
      <c r="L658" s="7" t="str">
        <f>VLOOKUP(K658, 'Alphabetical by species code'!A:B, 2, FALSE)</f>
        <v>Thatch</v>
      </c>
      <c r="M658" s="7" t="str">
        <f>VLOOKUP(L658, 'Alphabetical by species code'!B:C, 2, FALSE)</f>
        <v>Ground Cover</v>
      </c>
    </row>
    <row r="659" spans="1:13" ht="15.75" customHeight="1" x14ac:dyDescent="0.25">
      <c r="A659" s="5">
        <v>14</v>
      </c>
      <c r="B659" s="5">
        <v>2023</v>
      </c>
      <c r="C659" s="61">
        <v>45197</v>
      </c>
      <c r="D659" s="14" t="s">
        <v>62</v>
      </c>
      <c r="E659" s="5" t="s">
        <v>68</v>
      </c>
      <c r="F659" s="5">
        <v>3</v>
      </c>
      <c r="G659" s="5" t="s">
        <v>36</v>
      </c>
      <c r="H659" s="5">
        <v>14</v>
      </c>
      <c r="I659" s="5">
        <v>1</v>
      </c>
      <c r="J659" s="5">
        <v>11</v>
      </c>
      <c r="K659" s="5" t="s">
        <v>30</v>
      </c>
      <c r="L659" s="7" t="str">
        <f>VLOOKUP(K659, 'Alphabetical by species code'!A:B, 2, FALSE)</f>
        <v>Non Native Grass</v>
      </c>
      <c r="M659" s="7" t="str">
        <f>VLOOKUP(L659, 'Alphabetical by species code'!B:C, 2, FALSE)</f>
        <v>Non-Native</v>
      </c>
    </row>
    <row r="660" spans="1:13" ht="15.75" customHeight="1" x14ac:dyDescent="0.25">
      <c r="A660" s="5">
        <v>14</v>
      </c>
      <c r="B660" s="5">
        <v>2023</v>
      </c>
      <c r="C660" s="61">
        <v>45197</v>
      </c>
      <c r="D660" s="14" t="s">
        <v>62</v>
      </c>
      <c r="E660" s="5" t="s">
        <v>68</v>
      </c>
      <c r="F660" s="5">
        <v>3</v>
      </c>
      <c r="G660" s="5" t="s">
        <v>36</v>
      </c>
      <c r="H660" s="5">
        <v>15</v>
      </c>
      <c r="I660" s="5">
        <v>1</v>
      </c>
      <c r="J660" s="5">
        <v>12</v>
      </c>
      <c r="K660" s="5" t="s">
        <v>35</v>
      </c>
      <c r="L660" s="7" t="str">
        <f>VLOOKUP(K660, 'Alphabetical by species code'!A:B, 2, FALSE)</f>
        <v>Bareground</v>
      </c>
      <c r="M660" s="7" t="str">
        <f>VLOOKUP(L660, 'Alphabetical by species code'!B:C, 2, FALSE)</f>
        <v>Ground Cover</v>
      </c>
    </row>
    <row r="661" spans="1:13" ht="15.75" customHeight="1" x14ac:dyDescent="0.25">
      <c r="A661" s="5">
        <v>14</v>
      </c>
      <c r="B661" s="5">
        <v>2023</v>
      </c>
      <c r="C661" s="61">
        <v>45197</v>
      </c>
      <c r="D661" s="14" t="s">
        <v>62</v>
      </c>
      <c r="E661" s="5" t="s">
        <v>68</v>
      </c>
      <c r="F661" s="5">
        <v>3</v>
      </c>
      <c r="G661" s="5" t="s">
        <v>36</v>
      </c>
      <c r="H661" s="5">
        <v>1</v>
      </c>
      <c r="I661" s="5">
        <v>2</v>
      </c>
      <c r="J661" s="5">
        <v>0</v>
      </c>
      <c r="K661" s="5" t="s">
        <v>35</v>
      </c>
      <c r="L661" s="7" t="str">
        <f>VLOOKUP(K661, 'Alphabetical by species code'!A:B, 2, FALSE)</f>
        <v>Bareground</v>
      </c>
      <c r="M661" s="7" t="str">
        <f>VLOOKUP(L661, 'Alphabetical by species code'!B:C, 2, FALSE)</f>
        <v>Ground Cover</v>
      </c>
    </row>
    <row r="662" spans="1:13" ht="15.75" customHeight="1" x14ac:dyDescent="0.25">
      <c r="A662" s="5">
        <v>14</v>
      </c>
      <c r="B662" s="5">
        <v>2023</v>
      </c>
      <c r="C662" s="61">
        <v>45197</v>
      </c>
      <c r="D662" s="14" t="s">
        <v>62</v>
      </c>
      <c r="E662" s="5" t="s">
        <v>68</v>
      </c>
      <c r="F662" s="5">
        <v>3</v>
      </c>
      <c r="G662" s="5" t="s">
        <v>36</v>
      </c>
      <c r="H662" s="5">
        <v>2</v>
      </c>
      <c r="I662" s="5">
        <v>2</v>
      </c>
      <c r="J662" s="5">
        <v>1</v>
      </c>
      <c r="K662" s="5" t="s">
        <v>27</v>
      </c>
      <c r="L662" s="7" t="str">
        <f>VLOOKUP(K662, 'Alphabetical by species code'!A:B, 2, FALSE)</f>
        <v>Litter</v>
      </c>
      <c r="M662" s="7" t="str">
        <f>VLOOKUP(L662, 'Alphabetical by species code'!B:C, 2, FALSE)</f>
        <v>Ground Cover</v>
      </c>
    </row>
    <row r="663" spans="1:13" ht="15.75" customHeight="1" x14ac:dyDescent="0.25">
      <c r="A663" s="5">
        <v>14</v>
      </c>
      <c r="B663" s="5">
        <v>2023</v>
      </c>
      <c r="C663" s="61">
        <v>45197</v>
      </c>
      <c r="D663" s="14" t="s">
        <v>62</v>
      </c>
      <c r="E663" s="5" t="s">
        <v>68</v>
      </c>
      <c r="F663" s="5">
        <v>3</v>
      </c>
      <c r="G663" s="5" t="s">
        <v>36</v>
      </c>
      <c r="H663" s="5">
        <v>2</v>
      </c>
      <c r="I663" s="5">
        <v>2</v>
      </c>
      <c r="J663" s="5">
        <v>1</v>
      </c>
      <c r="K663" s="5" t="s">
        <v>54</v>
      </c>
      <c r="L663" s="7" t="str">
        <f>VLOOKUP(K663, 'Alphabetical by species code'!A:B, 2, FALSE)</f>
        <v>Erodium cicutarium</v>
      </c>
      <c r="M663" s="7" t="str">
        <f>VLOOKUP(L663, 'Alphabetical by species code'!B:C, 2, FALSE)</f>
        <v>Non-Native</v>
      </c>
    </row>
    <row r="664" spans="1:13" ht="15.75" customHeight="1" x14ac:dyDescent="0.25">
      <c r="A664" s="5">
        <v>14</v>
      </c>
      <c r="B664" s="5">
        <v>2023</v>
      </c>
      <c r="C664" s="61">
        <v>45197</v>
      </c>
      <c r="D664" s="14" t="s">
        <v>62</v>
      </c>
      <c r="E664" s="5" t="s">
        <v>68</v>
      </c>
      <c r="F664" s="5">
        <v>3</v>
      </c>
      <c r="G664" s="5" t="s">
        <v>36</v>
      </c>
      <c r="H664" s="5">
        <v>3</v>
      </c>
      <c r="I664" s="5">
        <v>2</v>
      </c>
      <c r="J664" s="5">
        <v>1.5</v>
      </c>
      <c r="K664" s="5" t="s">
        <v>27</v>
      </c>
      <c r="L664" s="7" t="str">
        <f>VLOOKUP(K664, 'Alphabetical by species code'!A:B, 2, FALSE)</f>
        <v>Litter</v>
      </c>
      <c r="M664" s="7" t="str">
        <f>VLOOKUP(L664, 'Alphabetical by species code'!B:C, 2, FALSE)</f>
        <v>Ground Cover</v>
      </c>
    </row>
    <row r="665" spans="1:13" ht="15.75" customHeight="1" x14ac:dyDescent="0.25">
      <c r="A665" s="5">
        <v>14</v>
      </c>
      <c r="B665" s="5">
        <v>2023</v>
      </c>
      <c r="C665" s="61">
        <v>45197</v>
      </c>
      <c r="D665" s="14" t="s">
        <v>62</v>
      </c>
      <c r="E665" s="5" t="s">
        <v>68</v>
      </c>
      <c r="F665" s="5">
        <v>3</v>
      </c>
      <c r="G665" s="5" t="s">
        <v>36</v>
      </c>
      <c r="H665" s="5">
        <v>4</v>
      </c>
      <c r="I665" s="5">
        <v>2</v>
      </c>
      <c r="J665" s="5">
        <v>2</v>
      </c>
      <c r="K665" s="5" t="s">
        <v>27</v>
      </c>
      <c r="L665" s="7" t="str">
        <f>VLOOKUP(K665, 'Alphabetical by species code'!A:B, 2, FALSE)</f>
        <v>Litter</v>
      </c>
      <c r="M665" s="7" t="str">
        <f>VLOOKUP(L665, 'Alphabetical by species code'!B:C, 2, FALSE)</f>
        <v>Ground Cover</v>
      </c>
    </row>
    <row r="666" spans="1:13" ht="15.75" customHeight="1" x14ac:dyDescent="0.25">
      <c r="A666" s="5">
        <v>14</v>
      </c>
      <c r="B666" s="5">
        <v>2023</v>
      </c>
      <c r="C666" s="61">
        <v>45197</v>
      </c>
      <c r="D666" s="14" t="s">
        <v>62</v>
      </c>
      <c r="E666" s="5" t="s">
        <v>68</v>
      </c>
      <c r="F666" s="5">
        <v>3</v>
      </c>
      <c r="G666" s="5" t="s">
        <v>36</v>
      </c>
      <c r="H666" s="5">
        <v>5</v>
      </c>
      <c r="I666" s="5">
        <v>2</v>
      </c>
      <c r="J666" s="5">
        <v>3</v>
      </c>
      <c r="K666" s="5" t="s">
        <v>35</v>
      </c>
      <c r="L666" s="7" t="str">
        <f>VLOOKUP(K666, 'Alphabetical by species code'!A:B, 2, FALSE)</f>
        <v>Bareground</v>
      </c>
      <c r="M666" s="7" t="str">
        <f>VLOOKUP(L666, 'Alphabetical by species code'!B:C, 2, FALSE)</f>
        <v>Ground Cover</v>
      </c>
    </row>
    <row r="667" spans="1:13" ht="15.75" customHeight="1" x14ac:dyDescent="0.25">
      <c r="A667" s="5">
        <v>14</v>
      </c>
      <c r="B667" s="5">
        <v>2023</v>
      </c>
      <c r="C667" s="61">
        <v>45197</v>
      </c>
      <c r="D667" s="14" t="s">
        <v>62</v>
      </c>
      <c r="E667" s="5" t="s">
        <v>68</v>
      </c>
      <c r="F667" s="5">
        <v>3</v>
      </c>
      <c r="G667" s="5" t="s">
        <v>36</v>
      </c>
      <c r="H667" s="5">
        <v>6</v>
      </c>
      <c r="I667" s="5">
        <v>2</v>
      </c>
      <c r="J667" s="5">
        <v>3.5</v>
      </c>
      <c r="K667" s="5" t="s">
        <v>35</v>
      </c>
      <c r="L667" s="7" t="str">
        <f>VLOOKUP(K667, 'Alphabetical by species code'!A:B, 2, FALSE)</f>
        <v>Bareground</v>
      </c>
      <c r="M667" s="7" t="str">
        <f>VLOOKUP(L667, 'Alphabetical by species code'!B:C, 2, FALSE)</f>
        <v>Ground Cover</v>
      </c>
    </row>
    <row r="668" spans="1:13" ht="15.75" customHeight="1" x14ac:dyDescent="0.25">
      <c r="A668" s="5">
        <v>14</v>
      </c>
      <c r="B668" s="5">
        <v>2023</v>
      </c>
      <c r="C668" s="61">
        <v>45197</v>
      </c>
      <c r="D668" s="14" t="s">
        <v>62</v>
      </c>
      <c r="E668" s="5" t="s">
        <v>68</v>
      </c>
      <c r="F668" s="5">
        <v>3</v>
      </c>
      <c r="G668" s="5" t="s">
        <v>36</v>
      </c>
      <c r="H668" s="5">
        <v>7</v>
      </c>
      <c r="I668" s="5">
        <v>2</v>
      </c>
      <c r="J668" s="5">
        <v>4</v>
      </c>
      <c r="K668" s="5" t="s">
        <v>27</v>
      </c>
      <c r="L668" s="7" t="str">
        <f>VLOOKUP(K668, 'Alphabetical by species code'!A:B, 2, FALSE)</f>
        <v>Litter</v>
      </c>
      <c r="M668" s="7" t="str">
        <f>VLOOKUP(L668, 'Alphabetical by species code'!B:C, 2, FALSE)</f>
        <v>Ground Cover</v>
      </c>
    </row>
    <row r="669" spans="1:13" ht="15.75" customHeight="1" x14ac:dyDescent="0.25">
      <c r="A669" s="5">
        <v>14</v>
      </c>
      <c r="B669" s="5">
        <v>2023</v>
      </c>
      <c r="C669" s="61">
        <v>45197</v>
      </c>
      <c r="D669" s="14" t="s">
        <v>62</v>
      </c>
      <c r="E669" s="5" t="s">
        <v>68</v>
      </c>
      <c r="F669" s="5">
        <v>3</v>
      </c>
      <c r="G669" s="5" t="s">
        <v>36</v>
      </c>
      <c r="H669" s="5">
        <v>7</v>
      </c>
      <c r="I669" s="5">
        <v>2</v>
      </c>
      <c r="J669" s="5">
        <v>4</v>
      </c>
      <c r="K669" s="5" t="s">
        <v>44</v>
      </c>
      <c r="L669" s="7" t="str">
        <f>VLOOKUP(K669, 'Alphabetical by species code'!A:B, 2, FALSE)</f>
        <v>Laennecia coulteri</v>
      </c>
      <c r="M669" s="7" t="str">
        <f>VLOOKUP(L669, 'Alphabetical by species code'!B:C, 2, FALSE)</f>
        <v>Native</v>
      </c>
    </row>
    <row r="670" spans="1:13" ht="15.75" customHeight="1" x14ac:dyDescent="0.25">
      <c r="A670" s="5">
        <v>14</v>
      </c>
      <c r="B670" s="5">
        <v>2023</v>
      </c>
      <c r="C670" s="61">
        <v>45197</v>
      </c>
      <c r="D670" s="14" t="s">
        <v>62</v>
      </c>
      <c r="E670" s="5" t="s">
        <v>68</v>
      </c>
      <c r="F670" s="5">
        <v>3</v>
      </c>
      <c r="G670" s="5" t="s">
        <v>36</v>
      </c>
      <c r="H670" s="5">
        <v>8</v>
      </c>
      <c r="I670" s="5">
        <v>2</v>
      </c>
      <c r="J670" s="5">
        <v>5</v>
      </c>
      <c r="K670" s="5" t="s">
        <v>27</v>
      </c>
      <c r="L670" s="7" t="str">
        <f>VLOOKUP(K670, 'Alphabetical by species code'!A:B, 2, FALSE)</f>
        <v>Litter</v>
      </c>
      <c r="M670" s="7" t="str">
        <f>VLOOKUP(L670, 'Alphabetical by species code'!B:C, 2, FALSE)</f>
        <v>Ground Cover</v>
      </c>
    </row>
    <row r="671" spans="1:13" ht="15.75" customHeight="1" x14ac:dyDescent="0.25">
      <c r="A671" s="5">
        <v>14</v>
      </c>
      <c r="B671" s="5">
        <v>2023</v>
      </c>
      <c r="C671" s="61">
        <v>45197</v>
      </c>
      <c r="D671" s="14" t="s">
        <v>62</v>
      </c>
      <c r="E671" s="5" t="s">
        <v>68</v>
      </c>
      <c r="F671" s="5">
        <v>3</v>
      </c>
      <c r="G671" s="5" t="s">
        <v>36</v>
      </c>
      <c r="H671" s="5">
        <v>9</v>
      </c>
      <c r="I671" s="5">
        <v>2</v>
      </c>
      <c r="J671" s="5">
        <v>7</v>
      </c>
      <c r="K671" s="5" t="s">
        <v>35</v>
      </c>
      <c r="L671" s="7" t="str">
        <f>VLOOKUP(K671, 'Alphabetical by species code'!A:B, 2, FALSE)</f>
        <v>Bareground</v>
      </c>
      <c r="M671" s="7" t="str">
        <f>VLOOKUP(L671, 'Alphabetical by species code'!B:C, 2, FALSE)</f>
        <v>Ground Cover</v>
      </c>
    </row>
    <row r="672" spans="1:13" ht="15.75" customHeight="1" x14ac:dyDescent="0.25">
      <c r="A672" s="5">
        <v>14</v>
      </c>
      <c r="B672" s="5">
        <v>2023</v>
      </c>
      <c r="C672" s="61">
        <v>45197</v>
      </c>
      <c r="D672" s="14" t="s">
        <v>62</v>
      </c>
      <c r="E672" s="5" t="s">
        <v>68</v>
      </c>
      <c r="F672" s="5">
        <v>3</v>
      </c>
      <c r="G672" s="5" t="s">
        <v>36</v>
      </c>
      <c r="H672" s="5">
        <v>10</v>
      </c>
      <c r="I672" s="5">
        <v>2</v>
      </c>
      <c r="J672" s="5">
        <v>8</v>
      </c>
      <c r="K672" s="5" t="s">
        <v>27</v>
      </c>
      <c r="L672" s="7" t="str">
        <f>VLOOKUP(K672, 'Alphabetical by species code'!A:B, 2, FALSE)</f>
        <v>Litter</v>
      </c>
      <c r="M672" s="7" t="str">
        <f>VLOOKUP(L672, 'Alphabetical by species code'!B:C, 2, FALSE)</f>
        <v>Ground Cover</v>
      </c>
    </row>
    <row r="673" spans="1:13" ht="15.75" customHeight="1" x14ac:dyDescent="0.25">
      <c r="A673" s="5">
        <v>14</v>
      </c>
      <c r="B673" s="5">
        <v>2023</v>
      </c>
      <c r="C673" s="61">
        <v>45197</v>
      </c>
      <c r="D673" s="14" t="s">
        <v>62</v>
      </c>
      <c r="E673" s="5" t="s">
        <v>68</v>
      </c>
      <c r="F673" s="5">
        <v>3</v>
      </c>
      <c r="G673" s="5" t="s">
        <v>36</v>
      </c>
      <c r="H673" s="5">
        <v>11</v>
      </c>
      <c r="I673" s="5">
        <v>2</v>
      </c>
      <c r="J673" s="5">
        <v>8.5</v>
      </c>
      <c r="K673" s="5" t="s">
        <v>35</v>
      </c>
      <c r="L673" s="7" t="str">
        <f>VLOOKUP(K673, 'Alphabetical by species code'!A:B, 2, FALSE)</f>
        <v>Bareground</v>
      </c>
      <c r="M673" s="7" t="str">
        <f>VLOOKUP(L673, 'Alphabetical by species code'!B:C, 2, FALSE)</f>
        <v>Ground Cover</v>
      </c>
    </row>
    <row r="674" spans="1:13" ht="15.75" customHeight="1" x14ac:dyDescent="0.25">
      <c r="A674" s="5">
        <v>14</v>
      </c>
      <c r="B674" s="5">
        <v>2023</v>
      </c>
      <c r="C674" s="61">
        <v>45197</v>
      </c>
      <c r="D674" s="14" t="s">
        <v>62</v>
      </c>
      <c r="E674" s="5" t="s">
        <v>68</v>
      </c>
      <c r="F674" s="5">
        <v>3</v>
      </c>
      <c r="G674" s="5" t="s">
        <v>36</v>
      </c>
      <c r="H674" s="5">
        <v>12</v>
      </c>
      <c r="I674" s="5">
        <v>2</v>
      </c>
      <c r="J674" s="5">
        <v>9</v>
      </c>
      <c r="K674" s="5" t="s">
        <v>27</v>
      </c>
      <c r="L674" s="7" t="str">
        <f>VLOOKUP(K674, 'Alphabetical by species code'!A:B, 2, FALSE)</f>
        <v>Litter</v>
      </c>
      <c r="M674" s="7" t="str">
        <f>VLOOKUP(L674, 'Alphabetical by species code'!B:C, 2, FALSE)</f>
        <v>Ground Cover</v>
      </c>
    </row>
    <row r="675" spans="1:13" ht="15.75" customHeight="1" x14ac:dyDescent="0.25">
      <c r="A675" s="5">
        <v>14</v>
      </c>
      <c r="B675" s="5">
        <v>2023</v>
      </c>
      <c r="C675" s="61">
        <v>45197</v>
      </c>
      <c r="D675" s="14" t="s">
        <v>62</v>
      </c>
      <c r="E675" s="5" t="s">
        <v>68</v>
      </c>
      <c r="F675" s="5">
        <v>3</v>
      </c>
      <c r="G675" s="5" t="s">
        <v>36</v>
      </c>
      <c r="H675" s="5">
        <v>13</v>
      </c>
      <c r="I675" s="5">
        <v>2</v>
      </c>
      <c r="J675" s="5">
        <v>10</v>
      </c>
      <c r="K675" s="5" t="s">
        <v>27</v>
      </c>
      <c r="L675" s="7" t="str">
        <f>VLOOKUP(K675, 'Alphabetical by species code'!A:B, 2, FALSE)</f>
        <v>Litter</v>
      </c>
      <c r="M675" s="7" t="str">
        <f>VLOOKUP(L675, 'Alphabetical by species code'!B:C, 2, FALSE)</f>
        <v>Ground Cover</v>
      </c>
    </row>
    <row r="676" spans="1:13" ht="15.75" customHeight="1" x14ac:dyDescent="0.25">
      <c r="A676" s="5">
        <v>14</v>
      </c>
      <c r="B676" s="5">
        <v>2023</v>
      </c>
      <c r="C676" s="61">
        <v>45197</v>
      </c>
      <c r="D676" s="14" t="s">
        <v>62</v>
      </c>
      <c r="E676" s="5" t="s">
        <v>68</v>
      </c>
      <c r="F676" s="5">
        <v>3</v>
      </c>
      <c r="G676" s="5" t="s">
        <v>36</v>
      </c>
      <c r="H676" s="5">
        <v>14</v>
      </c>
      <c r="I676" s="5">
        <v>2</v>
      </c>
      <c r="J676" s="5">
        <v>11</v>
      </c>
      <c r="K676" s="5" t="s">
        <v>58</v>
      </c>
      <c r="L676" s="7" t="str">
        <f>VLOOKUP(K676, 'Alphabetical by species code'!A:B, 2, FALSE)</f>
        <v>Stem</v>
      </c>
      <c r="M676" s="7" t="str">
        <f>VLOOKUP(L676, 'Alphabetical by species code'!B:C, 2, FALSE)</f>
        <v>Ground Cover</v>
      </c>
    </row>
    <row r="677" spans="1:13" ht="15.75" customHeight="1" x14ac:dyDescent="0.25">
      <c r="A677" s="5">
        <v>14</v>
      </c>
      <c r="B677" s="5">
        <v>2023</v>
      </c>
      <c r="C677" s="61">
        <v>45197</v>
      </c>
      <c r="D677" s="14" t="s">
        <v>62</v>
      </c>
      <c r="E677" s="5" t="s">
        <v>68</v>
      </c>
      <c r="F677" s="5">
        <v>3</v>
      </c>
      <c r="G677" s="5" t="s">
        <v>36</v>
      </c>
      <c r="H677" s="5">
        <v>14</v>
      </c>
      <c r="I677" s="5">
        <v>2</v>
      </c>
      <c r="J677" s="5">
        <v>11</v>
      </c>
      <c r="K677" s="5" t="s">
        <v>34</v>
      </c>
      <c r="L677" s="7" t="str">
        <f>VLOOKUP(K677, 'Alphabetical by species code'!A:B, 2, FALSE)</f>
        <v>Centaurea melitensis</v>
      </c>
      <c r="M677" s="7" t="str">
        <f>VLOOKUP(L677, 'Alphabetical by species code'!B:C, 2, FALSE)</f>
        <v>Non-Native</v>
      </c>
    </row>
    <row r="678" spans="1:13" ht="15.75" customHeight="1" x14ac:dyDescent="0.25">
      <c r="A678" s="5">
        <v>14</v>
      </c>
      <c r="B678" s="5">
        <v>2023</v>
      </c>
      <c r="C678" s="61">
        <v>45197</v>
      </c>
      <c r="D678" s="14" t="s">
        <v>62</v>
      </c>
      <c r="E678" s="5" t="s">
        <v>68</v>
      </c>
      <c r="F678" s="5">
        <v>3</v>
      </c>
      <c r="G678" s="5" t="s">
        <v>36</v>
      </c>
      <c r="H678" s="5">
        <v>15</v>
      </c>
      <c r="I678" s="5">
        <v>2</v>
      </c>
      <c r="J678" s="5">
        <v>12</v>
      </c>
      <c r="K678" s="5" t="s">
        <v>35</v>
      </c>
      <c r="L678" s="7" t="str">
        <f>VLOOKUP(K678, 'Alphabetical by species code'!A:B, 2, FALSE)</f>
        <v>Bareground</v>
      </c>
      <c r="M678" s="7" t="str">
        <f>VLOOKUP(L678, 'Alphabetical by species code'!B:C, 2, FALSE)</f>
        <v>Ground Cover</v>
      </c>
    </row>
    <row r="679" spans="1:13" ht="15.75" customHeight="1" x14ac:dyDescent="0.25">
      <c r="A679" s="5">
        <v>15</v>
      </c>
      <c r="B679" s="5">
        <v>2023</v>
      </c>
      <c r="C679" s="61">
        <v>45197</v>
      </c>
      <c r="D679" s="14" t="s">
        <v>62</v>
      </c>
      <c r="E679" s="5" t="s">
        <v>68</v>
      </c>
      <c r="F679" s="5">
        <v>3</v>
      </c>
      <c r="G679" s="5" t="s">
        <v>46</v>
      </c>
      <c r="H679" s="5">
        <v>1</v>
      </c>
      <c r="I679" s="5">
        <v>1</v>
      </c>
      <c r="J679" s="5">
        <v>0</v>
      </c>
      <c r="K679" s="5" t="s">
        <v>35</v>
      </c>
      <c r="L679" s="7" t="str">
        <f>VLOOKUP(K679, 'Alphabetical by species code'!A:B, 2, FALSE)</f>
        <v>Bareground</v>
      </c>
      <c r="M679" s="7" t="str">
        <f>VLOOKUP(L679, 'Alphabetical by species code'!B:C, 2, FALSE)</f>
        <v>Ground Cover</v>
      </c>
    </row>
    <row r="680" spans="1:13" ht="15.75" customHeight="1" x14ac:dyDescent="0.25">
      <c r="A680" s="5">
        <v>15</v>
      </c>
      <c r="B680" s="5">
        <v>2023</v>
      </c>
      <c r="C680" s="61">
        <v>45197</v>
      </c>
      <c r="D680" s="14" t="s">
        <v>62</v>
      </c>
      <c r="E680" s="5" t="s">
        <v>68</v>
      </c>
      <c r="F680" s="5">
        <v>3</v>
      </c>
      <c r="G680" s="5" t="s">
        <v>46</v>
      </c>
      <c r="H680" s="5">
        <v>1</v>
      </c>
      <c r="I680" s="5">
        <v>1</v>
      </c>
      <c r="J680" s="5">
        <v>0</v>
      </c>
      <c r="K680" s="5" t="s">
        <v>44</v>
      </c>
      <c r="L680" s="7" t="str">
        <f>VLOOKUP(K680, 'Alphabetical by species code'!A:B, 2, FALSE)</f>
        <v>Laennecia coulteri</v>
      </c>
      <c r="M680" s="7" t="str">
        <f>VLOOKUP(L680, 'Alphabetical by species code'!B:C, 2, FALSE)</f>
        <v>Native</v>
      </c>
    </row>
    <row r="681" spans="1:13" ht="15.75" customHeight="1" x14ac:dyDescent="0.25">
      <c r="A681" s="5">
        <v>15</v>
      </c>
      <c r="B681" s="5">
        <v>2023</v>
      </c>
      <c r="C681" s="61">
        <v>45197</v>
      </c>
      <c r="D681" s="14" t="s">
        <v>62</v>
      </c>
      <c r="E681" s="5" t="s">
        <v>68</v>
      </c>
      <c r="F681" s="5">
        <v>3</v>
      </c>
      <c r="G681" s="5" t="s">
        <v>46</v>
      </c>
      <c r="H681" s="5">
        <v>2</v>
      </c>
      <c r="I681" s="5">
        <v>1</v>
      </c>
      <c r="J681" s="5">
        <v>0.5</v>
      </c>
      <c r="K681" s="5" t="s">
        <v>27</v>
      </c>
      <c r="L681" s="7" t="str">
        <f>VLOOKUP(K681, 'Alphabetical by species code'!A:B, 2, FALSE)</f>
        <v>Litter</v>
      </c>
      <c r="M681" s="7" t="str">
        <f>VLOOKUP(L681, 'Alphabetical by species code'!B:C, 2, FALSE)</f>
        <v>Ground Cover</v>
      </c>
    </row>
    <row r="682" spans="1:13" ht="15.75" customHeight="1" x14ac:dyDescent="0.25">
      <c r="A682" s="5">
        <v>15</v>
      </c>
      <c r="B682" s="5">
        <v>2023</v>
      </c>
      <c r="C682" s="61">
        <v>45197</v>
      </c>
      <c r="D682" s="14" t="s">
        <v>62</v>
      </c>
      <c r="E682" s="5" t="s">
        <v>68</v>
      </c>
      <c r="F682" s="5">
        <v>3</v>
      </c>
      <c r="G682" s="5" t="s">
        <v>46</v>
      </c>
      <c r="H682" s="5">
        <v>2</v>
      </c>
      <c r="I682" s="5">
        <v>1</v>
      </c>
      <c r="J682" s="5">
        <v>0.5</v>
      </c>
      <c r="K682" s="5" t="s">
        <v>44</v>
      </c>
      <c r="L682" s="7" t="str">
        <f>VLOOKUP(K682, 'Alphabetical by species code'!A:B, 2, FALSE)</f>
        <v>Laennecia coulteri</v>
      </c>
      <c r="M682" s="7" t="str">
        <f>VLOOKUP(L682, 'Alphabetical by species code'!B:C, 2, FALSE)</f>
        <v>Native</v>
      </c>
    </row>
    <row r="683" spans="1:13" ht="15.75" customHeight="1" x14ac:dyDescent="0.25">
      <c r="A683" s="5">
        <v>15</v>
      </c>
      <c r="B683" s="5">
        <v>2023</v>
      </c>
      <c r="C683" s="61">
        <v>45197</v>
      </c>
      <c r="D683" s="14" t="s">
        <v>62</v>
      </c>
      <c r="E683" s="5" t="s">
        <v>68</v>
      </c>
      <c r="F683" s="5">
        <v>3</v>
      </c>
      <c r="G683" s="5" t="s">
        <v>46</v>
      </c>
      <c r="H683" s="5">
        <v>3</v>
      </c>
      <c r="I683" s="5">
        <v>1</v>
      </c>
      <c r="J683" s="5">
        <v>1</v>
      </c>
      <c r="K683" s="5" t="s">
        <v>35</v>
      </c>
      <c r="L683" s="7" t="str">
        <f>VLOOKUP(K683, 'Alphabetical by species code'!A:B, 2, FALSE)</f>
        <v>Bareground</v>
      </c>
      <c r="M683" s="7" t="str">
        <f>VLOOKUP(L683, 'Alphabetical by species code'!B:C, 2, FALSE)</f>
        <v>Ground Cover</v>
      </c>
    </row>
    <row r="684" spans="1:13" ht="15.75" customHeight="1" x14ac:dyDescent="0.25">
      <c r="A684" s="5">
        <v>15</v>
      </c>
      <c r="B684" s="5">
        <v>2023</v>
      </c>
      <c r="C684" s="61">
        <v>45197</v>
      </c>
      <c r="D684" s="14" t="s">
        <v>62</v>
      </c>
      <c r="E684" s="5" t="s">
        <v>68</v>
      </c>
      <c r="F684" s="5">
        <v>3</v>
      </c>
      <c r="G684" s="5" t="s">
        <v>46</v>
      </c>
      <c r="H684" s="5">
        <v>3</v>
      </c>
      <c r="I684" s="5">
        <v>1</v>
      </c>
      <c r="J684" s="5">
        <v>1</v>
      </c>
      <c r="K684" s="5" t="s">
        <v>34</v>
      </c>
      <c r="L684" s="7" t="str">
        <f>VLOOKUP(K684, 'Alphabetical by species code'!A:B, 2, FALSE)</f>
        <v>Centaurea melitensis</v>
      </c>
      <c r="M684" s="7" t="str">
        <f>VLOOKUP(L684, 'Alphabetical by species code'!B:C, 2, FALSE)</f>
        <v>Non-Native</v>
      </c>
    </row>
    <row r="685" spans="1:13" ht="15.75" customHeight="1" x14ac:dyDescent="0.25">
      <c r="A685" s="5">
        <v>15</v>
      </c>
      <c r="B685" s="5">
        <v>2023</v>
      </c>
      <c r="C685" s="61">
        <v>45197</v>
      </c>
      <c r="D685" s="14" t="s">
        <v>62</v>
      </c>
      <c r="E685" s="5" t="s">
        <v>68</v>
      </c>
      <c r="F685" s="5">
        <v>3</v>
      </c>
      <c r="G685" s="5" t="s">
        <v>46</v>
      </c>
      <c r="H685" s="5">
        <v>4</v>
      </c>
      <c r="I685" s="5">
        <v>1</v>
      </c>
      <c r="J685" s="5">
        <v>1.5</v>
      </c>
      <c r="K685" s="5" t="s">
        <v>35</v>
      </c>
      <c r="L685" s="7" t="str">
        <f>VLOOKUP(K685, 'Alphabetical by species code'!A:B, 2, FALSE)</f>
        <v>Bareground</v>
      </c>
      <c r="M685" s="7" t="str">
        <f>VLOOKUP(L685, 'Alphabetical by species code'!B:C, 2, FALSE)</f>
        <v>Ground Cover</v>
      </c>
    </row>
    <row r="686" spans="1:13" ht="15.75" customHeight="1" x14ac:dyDescent="0.25">
      <c r="A686" s="5">
        <v>15</v>
      </c>
      <c r="B686" s="5">
        <v>2023</v>
      </c>
      <c r="C686" s="61">
        <v>45197</v>
      </c>
      <c r="D686" s="14" t="s">
        <v>62</v>
      </c>
      <c r="E686" s="5" t="s">
        <v>68</v>
      </c>
      <c r="F686" s="5">
        <v>3</v>
      </c>
      <c r="G686" s="5" t="s">
        <v>46</v>
      </c>
      <c r="H686" s="5">
        <v>5</v>
      </c>
      <c r="I686" s="5">
        <v>1</v>
      </c>
      <c r="J686" s="5">
        <v>2</v>
      </c>
      <c r="K686" s="5" t="s">
        <v>27</v>
      </c>
      <c r="L686" s="7" t="str">
        <f>VLOOKUP(K686, 'Alphabetical by species code'!A:B, 2, FALSE)</f>
        <v>Litter</v>
      </c>
      <c r="M686" s="7" t="str">
        <f>VLOOKUP(L686, 'Alphabetical by species code'!B:C, 2, FALSE)</f>
        <v>Ground Cover</v>
      </c>
    </row>
    <row r="687" spans="1:13" ht="15.75" customHeight="1" x14ac:dyDescent="0.25">
      <c r="A687" s="5">
        <v>15</v>
      </c>
      <c r="B687" s="5">
        <v>2023</v>
      </c>
      <c r="C687" s="61">
        <v>45197</v>
      </c>
      <c r="D687" s="14" t="s">
        <v>62</v>
      </c>
      <c r="E687" s="5" t="s">
        <v>68</v>
      </c>
      <c r="F687" s="5">
        <v>3</v>
      </c>
      <c r="G687" s="5" t="s">
        <v>46</v>
      </c>
      <c r="H687" s="5">
        <v>6</v>
      </c>
      <c r="I687" s="5">
        <v>1</v>
      </c>
      <c r="J687" s="5">
        <v>2.5</v>
      </c>
      <c r="K687" s="5" t="s">
        <v>27</v>
      </c>
      <c r="L687" s="7" t="str">
        <f>VLOOKUP(K687, 'Alphabetical by species code'!A:B, 2, FALSE)</f>
        <v>Litter</v>
      </c>
      <c r="M687" s="7" t="str">
        <f>VLOOKUP(L687, 'Alphabetical by species code'!B:C, 2, FALSE)</f>
        <v>Ground Cover</v>
      </c>
    </row>
    <row r="688" spans="1:13" ht="15.75" customHeight="1" x14ac:dyDescent="0.25">
      <c r="A688" s="5">
        <v>15</v>
      </c>
      <c r="B688" s="5">
        <v>2023</v>
      </c>
      <c r="C688" s="61">
        <v>45197</v>
      </c>
      <c r="D688" s="14" t="s">
        <v>62</v>
      </c>
      <c r="E688" s="5" t="s">
        <v>68</v>
      </c>
      <c r="F688" s="5">
        <v>3</v>
      </c>
      <c r="G688" s="5" t="s">
        <v>46</v>
      </c>
      <c r="H688" s="5">
        <v>6</v>
      </c>
      <c r="I688" s="5">
        <v>1</v>
      </c>
      <c r="J688" s="5">
        <v>2.5</v>
      </c>
      <c r="K688" s="5" t="s">
        <v>29</v>
      </c>
      <c r="L688" s="7" t="str">
        <f>VLOOKUP(K688, 'Alphabetical by species code'!A:B, 2, FALSE)</f>
        <v>Opuntia littoralis</v>
      </c>
      <c r="M688" s="7" t="str">
        <f>VLOOKUP(L688, 'Alphabetical by species code'!B:C, 2, FALSE)</f>
        <v>Native</v>
      </c>
    </row>
    <row r="689" spans="1:13" ht="15.75" customHeight="1" x14ac:dyDescent="0.25">
      <c r="A689" s="5">
        <v>15</v>
      </c>
      <c r="B689" s="5">
        <v>2023</v>
      </c>
      <c r="C689" s="61">
        <v>45197</v>
      </c>
      <c r="D689" s="14" t="s">
        <v>62</v>
      </c>
      <c r="E689" s="5" t="s">
        <v>68</v>
      </c>
      <c r="F689" s="5">
        <v>3</v>
      </c>
      <c r="G689" s="5" t="s">
        <v>46</v>
      </c>
      <c r="H689" s="5">
        <v>6</v>
      </c>
      <c r="I689" s="5">
        <v>1</v>
      </c>
      <c r="J689" s="5">
        <v>2.5</v>
      </c>
      <c r="K689" s="5" t="s">
        <v>30</v>
      </c>
      <c r="L689" s="7" t="str">
        <f>VLOOKUP(K689, 'Alphabetical by species code'!A:B, 2, FALSE)</f>
        <v>Non Native Grass</v>
      </c>
      <c r="M689" s="7" t="str">
        <f>VLOOKUP(L689, 'Alphabetical by species code'!B:C, 2, FALSE)</f>
        <v>Non-Native</v>
      </c>
    </row>
    <row r="690" spans="1:13" ht="15.75" customHeight="1" x14ac:dyDescent="0.25">
      <c r="A690" s="5">
        <v>15</v>
      </c>
      <c r="B690" s="5">
        <v>2023</v>
      </c>
      <c r="C690" s="61">
        <v>45197</v>
      </c>
      <c r="D690" s="14" t="s">
        <v>62</v>
      </c>
      <c r="E690" s="5" t="s">
        <v>68</v>
      </c>
      <c r="F690" s="5">
        <v>3</v>
      </c>
      <c r="G690" s="5" t="s">
        <v>46</v>
      </c>
      <c r="H690" s="5">
        <v>7</v>
      </c>
      <c r="I690" s="5">
        <v>1</v>
      </c>
      <c r="J690" s="5">
        <v>3</v>
      </c>
      <c r="K690" s="5" t="s">
        <v>35</v>
      </c>
      <c r="L690" s="7" t="str">
        <f>VLOOKUP(K690, 'Alphabetical by species code'!A:B, 2, FALSE)</f>
        <v>Bareground</v>
      </c>
      <c r="M690" s="7" t="str">
        <f>VLOOKUP(L690, 'Alphabetical by species code'!B:C, 2, FALSE)</f>
        <v>Ground Cover</v>
      </c>
    </row>
    <row r="691" spans="1:13" ht="15.75" customHeight="1" x14ac:dyDescent="0.25">
      <c r="A691" s="5">
        <v>15</v>
      </c>
      <c r="B691" s="5">
        <v>2023</v>
      </c>
      <c r="C691" s="61">
        <v>45197</v>
      </c>
      <c r="D691" s="14" t="s">
        <v>62</v>
      </c>
      <c r="E691" s="5" t="s">
        <v>68</v>
      </c>
      <c r="F691" s="5">
        <v>3</v>
      </c>
      <c r="G691" s="5" t="s">
        <v>46</v>
      </c>
      <c r="H691" s="5">
        <v>8</v>
      </c>
      <c r="I691" s="5">
        <v>1</v>
      </c>
      <c r="J691" s="5">
        <v>3.5</v>
      </c>
      <c r="K691" s="5" t="s">
        <v>27</v>
      </c>
      <c r="L691" s="7" t="str">
        <f>VLOOKUP(K691, 'Alphabetical by species code'!A:B, 2, FALSE)</f>
        <v>Litter</v>
      </c>
      <c r="M691" s="7" t="str">
        <f>VLOOKUP(L691, 'Alphabetical by species code'!B:C, 2, FALSE)</f>
        <v>Ground Cover</v>
      </c>
    </row>
    <row r="692" spans="1:13" ht="15.75" customHeight="1" x14ac:dyDescent="0.25">
      <c r="A692" s="5">
        <v>15</v>
      </c>
      <c r="B692" s="5">
        <v>2023</v>
      </c>
      <c r="C692" s="61">
        <v>45197</v>
      </c>
      <c r="D692" s="14" t="s">
        <v>62</v>
      </c>
      <c r="E692" s="5" t="s">
        <v>68</v>
      </c>
      <c r="F692" s="5">
        <v>3</v>
      </c>
      <c r="G692" s="5" t="s">
        <v>46</v>
      </c>
      <c r="H692" s="5">
        <v>8</v>
      </c>
      <c r="I692" s="5">
        <v>1</v>
      </c>
      <c r="J692" s="5">
        <v>3.5</v>
      </c>
      <c r="K692" s="5" t="s">
        <v>55</v>
      </c>
      <c r="L692" s="7" t="str">
        <f>VLOOKUP(K692, 'Alphabetical by species code'!A:B, 2, FALSE)</f>
        <v>Brassica nigra</v>
      </c>
      <c r="M692" s="7" t="str">
        <f>VLOOKUP(L692, 'Alphabetical by species code'!B:C, 2, FALSE)</f>
        <v>Non-Native</v>
      </c>
    </row>
    <row r="693" spans="1:13" ht="15.75" customHeight="1" x14ac:dyDescent="0.25">
      <c r="A693" s="5">
        <v>15</v>
      </c>
      <c r="B693" s="5">
        <v>2023</v>
      </c>
      <c r="C693" s="61">
        <v>45197</v>
      </c>
      <c r="D693" s="14" t="s">
        <v>62</v>
      </c>
      <c r="E693" s="5" t="s">
        <v>68</v>
      </c>
      <c r="F693" s="5">
        <v>3</v>
      </c>
      <c r="G693" s="5" t="s">
        <v>46</v>
      </c>
      <c r="H693" s="5">
        <v>9</v>
      </c>
      <c r="I693" s="5">
        <v>1</v>
      </c>
      <c r="J693" s="5">
        <v>4</v>
      </c>
      <c r="K693" s="5" t="s">
        <v>27</v>
      </c>
      <c r="L693" s="7" t="str">
        <f>VLOOKUP(K693, 'Alphabetical by species code'!A:B, 2, FALSE)</f>
        <v>Litter</v>
      </c>
      <c r="M693" s="7" t="str">
        <f>VLOOKUP(L693, 'Alphabetical by species code'!B:C, 2, FALSE)</f>
        <v>Ground Cover</v>
      </c>
    </row>
    <row r="694" spans="1:13" ht="15.75" customHeight="1" x14ac:dyDescent="0.25">
      <c r="A694" s="5">
        <v>15</v>
      </c>
      <c r="B694" s="5">
        <v>2023</v>
      </c>
      <c r="C694" s="61">
        <v>45197</v>
      </c>
      <c r="D694" s="14" t="s">
        <v>62</v>
      </c>
      <c r="E694" s="5" t="s">
        <v>68</v>
      </c>
      <c r="F694" s="5">
        <v>3</v>
      </c>
      <c r="G694" s="5" t="s">
        <v>46</v>
      </c>
      <c r="H694" s="5">
        <v>9</v>
      </c>
      <c r="I694" s="5">
        <v>1</v>
      </c>
      <c r="J694" s="5">
        <v>4</v>
      </c>
      <c r="K694" s="5" t="s">
        <v>30</v>
      </c>
      <c r="L694" s="7" t="str">
        <f>VLOOKUP(K694, 'Alphabetical by species code'!A:B, 2, FALSE)</f>
        <v>Non Native Grass</v>
      </c>
      <c r="M694" s="7" t="str">
        <f>VLOOKUP(L694, 'Alphabetical by species code'!B:C, 2, FALSE)</f>
        <v>Non-Native</v>
      </c>
    </row>
    <row r="695" spans="1:13" ht="15.75" customHeight="1" x14ac:dyDescent="0.25">
      <c r="A695" s="5">
        <v>15</v>
      </c>
      <c r="B695" s="5">
        <v>2023</v>
      </c>
      <c r="C695" s="61">
        <v>45197</v>
      </c>
      <c r="D695" s="14" t="s">
        <v>62</v>
      </c>
      <c r="E695" s="5" t="s">
        <v>68</v>
      </c>
      <c r="F695" s="5">
        <v>3</v>
      </c>
      <c r="G695" s="5" t="s">
        <v>46</v>
      </c>
      <c r="H695" s="5">
        <v>10</v>
      </c>
      <c r="I695" s="5">
        <v>1</v>
      </c>
      <c r="J695" s="5">
        <v>4.5</v>
      </c>
      <c r="K695" s="5" t="s">
        <v>27</v>
      </c>
      <c r="L695" s="7" t="str">
        <f>VLOOKUP(K695, 'Alphabetical by species code'!A:B, 2, FALSE)</f>
        <v>Litter</v>
      </c>
      <c r="M695" s="7" t="str">
        <f>VLOOKUP(L695, 'Alphabetical by species code'!B:C, 2, FALSE)</f>
        <v>Ground Cover</v>
      </c>
    </row>
    <row r="696" spans="1:13" ht="15.75" customHeight="1" x14ac:dyDescent="0.25">
      <c r="A696" s="5">
        <v>15</v>
      </c>
      <c r="B696" s="5">
        <v>2023</v>
      </c>
      <c r="C696" s="61">
        <v>45197</v>
      </c>
      <c r="D696" s="14" t="s">
        <v>62</v>
      </c>
      <c r="E696" s="5" t="s">
        <v>68</v>
      </c>
      <c r="F696" s="5">
        <v>3</v>
      </c>
      <c r="G696" s="5" t="s">
        <v>46</v>
      </c>
      <c r="H696" s="5">
        <v>10</v>
      </c>
      <c r="I696" s="5">
        <v>1</v>
      </c>
      <c r="J696" s="5">
        <v>4.5</v>
      </c>
      <c r="K696" s="5" t="s">
        <v>48</v>
      </c>
      <c r="L696" s="7" t="str">
        <f>VLOOKUP(K696, 'Alphabetical by species code'!A:B, 2, FALSE)</f>
        <v>Deinandra fasciculata</v>
      </c>
      <c r="M696" s="7" t="str">
        <f>VLOOKUP(L696, 'Alphabetical by species code'!B:C, 2, FALSE)</f>
        <v>Native</v>
      </c>
    </row>
    <row r="697" spans="1:13" ht="15.75" customHeight="1" x14ac:dyDescent="0.25">
      <c r="A697" s="5">
        <v>15</v>
      </c>
      <c r="B697" s="5">
        <v>2023</v>
      </c>
      <c r="C697" s="61">
        <v>45197</v>
      </c>
      <c r="D697" s="14" t="s">
        <v>62</v>
      </c>
      <c r="E697" s="5" t="s">
        <v>68</v>
      </c>
      <c r="F697" s="5">
        <v>3</v>
      </c>
      <c r="G697" s="5" t="s">
        <v>46</v>
      </c>
      <c r="H697" s="5">
        <v>10</v>
      </c>
      <c r="I697" s="5">
        <v>1</v>
      </c>
      <c r="J697" s="5">
        <v>4.5</v>
      </c>
      <c r="K697" s="5" t="s">
        <v>30</v>
      </c>
      <c r="L697" s="7" t="str">
        <f>VLOOKUP(K697, 'Alphabetical by species code'!A:B, 2, FALSE)</f>
        <v>Non Native Grass</v>
      </c>
      <c r="M697" s="7" t="str">
        <f>VLOOKUP(L697, 'Alphabetical by species code'!B:C, 2, FALSE)</f>
        <v>Non-Native</v>
      </c>
    </row>
    <row r="698" spans="1:13" ht="15.75" customHeight="1" x14ac:dyDescent="0.25">
      <c r="A698" s="5">
        <v>15</v>
      </c>
      <c r="B698" s="5">
        <v>2023</v>
      </c>
      <c r="C698" s="61">
        <v>45197</v>
      </c>
      <c r="D698" s="14" t="s">
        <v>62</v>
      </c>
      <c r="E698" s="5" t="s">
        <v>68</v>
      </c>
      <c r="F698" s="5">
        <v>3</v>
      </c>
      <c r="G698" s="5" t="s">
        <v>46</v>
      </c>
      <c r="H698" s="5">
        <v>11</v>
      </c>
      <c r="I698" s="5">
        <v>1</v>
      </c>
      <c r="J698" s="5">
        <v>5</v>
      </c>
      <c r="K698" s="5" t="s">
        <v>27</v>
      </c>
      <c r="L698" s="7" t="str">
        <f>VLOOKUP(K698, 'Alphabetical by species code'!A:B, 2, FALSE)</f>
        <v>Litter</v>
      </c>
      <c r="M698" s="7" t="str">
        <f>VLOOKUP(L698, 'Alphabetical by species code'!B:C, 2, FALSE)</f>
        <v>Ground Cover</v>
      </c>
    </row>
    <row r="699" spans="1:13" ht="15.75" customHeight="1" x14ac:dyDescent="0.25">
      <c r="A699" s="5">
        <v>15</v>
      </c>
      <c r="B699" s="5">
        <v>2023</v>
      </c>
      <c r="C699" s="61">
        <v>45197</v>
      </c>
      <c r="D699" s="14" t="s">
        <v>62</v>
      </c>
      <c r="E699" s="5" t="s">
        <v>68</v>
      </c>
      <c r="F699" s="5">
        <v>3</v>
      </c>
      <c r="G699" s="5" t="s">
        <v>46</v>
      </c>
      <c r="H699" s="5">
        <v>11</v>
      </c>
      <c r="I699" s="5">
        <v>1</v>
      </c>
      <c r="J699" s="5">
        <v>5</v>
      </c>
      <c r="K699" s="5" t="s">
        <v>48</v>
      </c>
      <c r="L699" s="7" t="str">
        <f>VLOOKUP(K699, 'Alphabetical by species code'!A:B, 2, FALSE)</f>
        <v>Deinandra fasciculata</v>
      </c>
      <c r="M699" s="7" t="str">
        <f>VLOOKUP(L699, 'Alphabetical by species code'!B:C, 2, FALSE)</f>
        <v>Native</v>
      </c>
    </row>
    <row r="700" spans="1:13" ht="15.75" customHeight="1" x14ac:dyDescent="0.25">
      <c r="A700" s="5">
        <v>15</v>
      </c>
      <c r="B700" s="5">
        <v>2023</v>
      </c>
      <c r="C700" s="61">
        <v>45197</v>
      </c>
      <c r="D700" s="14" t="s">
        <v>62</v>
      </c>
      <c r="E700" s="5" t="s">
        <v>68</v>
      </c>
      <c r="F700" s="5">
        <v>3</v>
      </c>
      <c r="G700" s="5" t="s">
        <v>46</v>
      </c>
      <c r="H700" s="5">
        <v>12</v>
      </c>
      <c r="I700" s="5">
        <v>1</v>
      </c>
      <c r="J700" s="5">
        <v>5.5</v>
      </c>
      <c r="K700" s="5" t="s">
        <v>27</v>
      </c>
      <c r="L700" s="7" t="str">
        <f>VLOOKUP(K700, 'Alphabetical by species code'!A:B, 2, FALSE)</f>
        <v>Litter</v>
      </c>
      <c r="M700" s="7" t="str">
        <f>VLOOKUP(L700, 'Alphabetical by species code'!B:C, 2, FALSE)</f>
        <v>Ground Cover</v>
      </c>
    </row>
    <row r="701" spans="1:13" ht="15.75" customHeight="1" x14ac:dyDescent="0.25">
      <c r="A701" s="5">
        <v>15</v>
      </c>
      <c r="B701" s="5">
        <v>2023</v>
      </c>
      <c r="C701" s="61">
        <v>45197</v>
      </c>
      <c r="D701" s="14" t="s">
        <v>62</v>
      </c>
      <c r="E701" s="5" t="s">
        <v>68</v>
      </c>
      <c r="F701" s="5">
        <v>3</v>
      </c>
      <c r="G701" s="5" t="s">
        <v>46</v>
      </c>
      <c r="H701" s="5">
        <v>12</v>
      </c>
      <c r="I701" s="5">
        <v>1</v>
      </c>
      <c r="J701" s="5">
        <v>5.5</v>
      </c>
      <c r="K701" s="5" t="s">
        <v>48</v>
      </c>
      <c r="L701" s="7" t="str">
        <f>VLOOKUP(K701, 'Alphabetical by species code'!A:B, 2, FALSE)</f>
        <v>Deinandra fasciculata</v>
      </c>
      <c r="M701" s="7" t="str">
        <f>VLOOKUP(L701, 'Alphabetical by species code'!B:C, 2, FALSE)</f>
        <v>Native</v>
      </c>
    </row>
    <row r="702" spans="1:13" ht="15.75" customHeight="1" x14ac:dyDescent="0.25">
      <c r="A702" s="5">
        <v>15</v>
      </c>
      <c r="B702" s="5">
        <v>2023</v>
      </c>
      <c r="C702" s="61">
        <v>45197</v>
      </c>
      <c r="D702" s="14" t="s">
        <v>62</v>
      </c>
      <c r="E702" s="5" t="s">
        <v>68</v>
      </c>
      <c r="F702" s="5">
        <v>3</v>
      </c>
      <c r="G702" s="5" t="s">
        <v>46</v>
      </c>
      <c r="H702" s="5">
        <v>12</v>
      </c>
      <c r="I702" s="5">
        <v>1</v>
      </c>
      <c r="J702" s="5">
        <v>5.5</v>
      </c>
      <c r="K702" s="5" t="s">
        <v>34</v>
      </c>
      <c r="L702" s="7" t="str">
        <f>VLOOKUP(K702, 'Alphabetical by species code'!A:B, 2, FALSE)</f>
        <v>Centaurea melitensis</v>
      </c>
      <c r="M702" s="7" t="str">
        <f>VLOOKUP(L702, 'Alphabetical by species code'!B:C, 2, FALSE)</f>
        <v>Non-Native</v>
      </c>
    </row>
    <row r="703" spans="1:13" ht="15.75" customHeight="1" x14ac:dyDescent="0.25">
      <c r="A703" s="5">
        <v>15</v>
      </c>
      <c r="B703" s="5">
        <v>2023</v>
      </c>
      <c r="C703" s="61">
        <v>45197</v>
      </c>
      <c r="D703" s="14" t="s">
        <v>62</v>
      </c>
      <c r="E703" s="5" t="s">
        <v>68</v>
      </c>
      <c r="F703" s="5">
        <v>3</v>
      </c>
      <c r="G703" s="5" t="s">
        <v>46</v>
      </c>
      <c r="H703" s="5">
        <v>13</v>
      </c>
      <c r="I703" s="5">
        <v>1</v>
      </c>
      <c r="J703" s="5">
        <v>6.5</v>
      </c>
      <c r="K703" s="5" t="s">
        <v>27</v>
      </c>
      <c r="L703" s="7" t="str">
        <f>VLOOKUP(K703, 'Alphabetical by species code'!A:B, 2, FALSE)</f>
        <v>Litter</v>
      </c>
      <c r="M703" s="7" t="str">
        <f>VLOOKUP(L703, 'Alphabetical by species code'!B:C, 2, FALSE)</f>
        <v>Ground Cover</v>
      </c>
    </row>
    <row r="704" spans="1:13" ht="15.75" customHeight="1" x14ac:dyDescent="0.25">
      <c r="A704" s="5">
        <v>15</v>
      </c>
      <c r="B704" s="5">
        <v>2023</v>
      </c>
      <c r="C704" s="61">
        <v>45197</v>
      </c>
      <c r="D704" s="14" t="s">
        <v>62</v>
      </c>
      <c r="E704" s="5" t="s">
        <v>68</v>
      </c>
      <c r="F704" s="5">
        <v>3</v>
      </c>
      <c r="G704" s="5" t="s">
        <v>46</v>
      </c>
      <c r="H704" s="5">
        <v>14</v>
      </c>
      <c r="I704" s="5">
        <v>1</v>
      </c>
      <c r="J704" s="5">
        <v>7</v>
      </c>
      <c r="K704" s="5" t="s">
        <v>27</v>
      </c>
      <c r="L704" s="7" t="str">
        <f>VLOOKUP(K704, 'Alphabetical by species code'!A:B, 2, FALSE)</f>
        <v>Litter</v>
      </c>
      <c r="M704" s="7" t="str">
        <f>VLOOKUP(L704, 'Alphabetical by species code'!B:C, 2, FALSE)</f>
        <v>Ground Cover</v>
      </c>
    </row>
    <row r="705" spans="1:13" ht="15.75" customHeight="1" x14ac:dyDescent="0.25">
      <c r="A705" s="5">
        <v>15</v>
      </c>
      <c r="B705" s="5">
        <v>2023</v>
      </c>
      <c r="C705" s="61">
        <v>45197</v>
      </c>
      <c r="D705" s="14" t="s">
        <v>62</v>
      </c>
      <c r="E705" s="5" t="s">
        <v>68</v>
      </c>
      <c r="F705" s="5">
        <v>3</v>
      </c>
      <c r="G705" s="5" t="s">
        <v>46</v>
      </c>
      <c r="H705" s="5">
        <v>15</v>
      </c>
      <c r="I705" s="5">
        <v>1</v>
      </c>
      <c r="J705" s="5">
        <v>7.5</v>
      </c>
      <c r="K705" s="5" t="s">
        <v>35</v>
      </c>
      <c r="L705" s="7" t="str">
        <f>VLOOKUP(K705, 'Alphabetical by species code'!A:B, 2, FALSE)</f>
        <v>Bareground</v>
      </c>
      <c r="M705" s="7" t="str">
        <f>VLOOKUP(L705, 'Alphabetical by species code'!B:C, 2, FALSE)</f>
        <v>Ground Cover</v>
      </c>
    </row>
    <row r="706" spans="1:13" ht="15.75" customHeight="1" x14ac:dyDescent="0.25">
      <c r="A706" s="5">
        <v>15</v>
      </c>
      <c r="B706" s="5">
        <v>2023</v>
      </c>
      <c r="C706" s="61">
        <v>45197</v>
      </c>
      <c r="D706" s="14" t="s">
        <v>62</v>
      </c>
      <c r="E706" s="5" t="s">
        <v>68</v>
      </c>
      <c r="F706" s="5">
        <v>3</v>
      </c>
      <c r="G706" s="5" t="s">
        <v>46</v>
      </c>
      <c r="H706" s="5">
        <v>15</v>
      </c>
      <c r="I706" s="5">
        <v>1</v>
      </c>
      <c r="J706" s="5">
        <v>7.5</v>
      </c>
      <c r="K706" s="5" t="s">
        <v>29</v>
      </c>
      <c r="L706" s="7" t="str">
        <f>VLOOKUP(K706, 'Alphabetical by species code'!A:B, 2, FALSE)</f>
        <v>Opuntia littoralis</v>
      </c>
      <c r="M706" s="7" t="str">
        <f>VLOOKUP(L706, 'Alphabetical by species code'!B:C, 2, FALSE)</f>
        <v>Native</v>
      </c>
    </row>
    <row r="707" spans="1:13" ht="15.75" customHeight="1" x14ac:dyDescent="0.25">
      <c r="A707" s="5">
        <v>15</v>
      </c>
      <c r="B707" s="5">
        <v>2023</v>
      </c>
      <c r="C707" s="61">
        <v>45197</v>
      </c>
      <c r="D707" s="14" t="s">
        <v>62</v>
      </c>
      <c r="E707" s="5" t="s">
        <v>68</v>
      </c>
      <c r="F707" s="5">
        <v>3</v>
      </c>
      <c r="G707" s="5" t="s">
        <v>46</v>
      </c>
      <c r="H707" s="5">
        <v>1</v>
      </c>
      <c r="I707" s="5">
        <v>2</v>
      </c>
      <c r="J707" s="5">
        <v>0</v>
      </c>
      <c r="K707" s="5" t="s">
        <v>27</v>
      </c>
      <c r="L707" s="7" t="str">
        <f>VLOOKUP(K707, 'Alphabetical by species code'!A:B, 2, FALSE)</f>
        <v>Litter</v>
      </c>
      <c r="M707" s="7" t="str">
        <f>VLOOKUP(L707, 'Alphabetical by species code'!B:C, 2, FALSE)</f>
        <v>Ground Cover</v>
      </c>
    </row>
    <row r="708" spans="1:13" ht="15.75" customHeight="1" x14ac:dyDescent="0.25">
      <c r="A708" s="5">
        <v>15</v>
      </c>
      <c r="B708" s="5">
        <v>2023</v>
      </c>
      <c r="C708" s="61">
        <v>45197</v>
      </c>
      <c r="D708" s="14" t="s">
        <v>62</v>
      </c>
      <c r="E708" s="5" t="s">
        <v>68</v>
      </c>
      <c r="F708" s="5">
        <v>3</v>
      </c>
      <c r="G708" s="5" t="s">
        <v>46</v>
      </c>
      <c r="H708" s="5">
        <v>1</v>
      </c>
      <c r="I708" s="5">
        <v>2</v>
      </c>
      <c r="J708" s="5">
        <v>0</v>
      </c>
      <c r="K708" s="5" t="s">
        <v>30</v>
      </c>
      <c r="L708" s="7" t="str">
        <f>VLOOKUP(K708, 'Alphabetical by species code'!A:B, 2, FALSE)</f>
        <v>Non Native Grass</v>
      </c>
      <c r="M708" s="7" t="str">
        <f>VLOOKUP(L708, 'Alphabetical by species code'!B:C, 2, FALSE)</f>
        <v>Non-Native</v>
      </c>
    </row>
    <row r="709" spans="1:13" ht="15.75" customHeight="1" x14ac:dyDescent="0.25">
      <c r="A709" s="5">
        <v>15</v>
      </c>
      <c r="B709" s="5">
        <v>2023</v>
      </c>
      <c r="C709" s="61">
        <v>45197</v>
      </c>
      <c r="D709" s="14" t="s">
        <v>62</v>
      </c>
      <c r="E709" s="5" t="s">
        <v>68</v>
      </c>
      <c r="F709" s="5">
        <v>3</v>
      </c>
      <c r="G709" s="5" t="s">
        <v>46</v>
      </c>
      <c r="H709" s="5">
        <v>2</v>
      </c>
      <c r="I709" s="5">
        <v>2</v>
      </c>
      <c r="J709" s="5">
        <v>0.5</v>
      </c>
      <c r="K709" s="5" t="s">
        <v>27</v>
      </c>
      <c r="L709" s="7" t="str">
        <f>VLOOKUP(K709, 'Alphabetical by species code'!A:B, 2, FALSE)</f>
        <v>Litter</v>
      </c>
      <c r="M709" s="7" t="str">
        <f>VLOOKUP(L709, 'Alphabetical by species code'!B:C, 2, FALSE)</f>
        <v>Ground Cover</v>
      </c>
    </row>
    <row r="710" spans="1:13" ht="15.75" customHeight="1" x14ac:dyDescent="0.25">
      <c r="A710" s="5">
        <v>15</v>
      </c>
      <c r="B710" s="5">
        <v>2023</v>
      </c>
      <c r="C710" s="61">
        <v>45197</v>
      </c>
      <c r="D710" s="14" t="s">
        <v>62</v>
      </c>
      <c r="E710" s="5" t="s">
        <v>68</v>
      </c>
      <c r="F710" s="5">
        <v>3</v>
      </c>
      <c r="G710" s="5" t="s">
        <v>46</v>
      </c>
      <c r="H710" s="5">
        <v>2</v>
      </c>
      <c r="I710" s="5">
        <v>2</v>
      </c>
      <c r="J710" s="5">
        <v>0.5</v>
      </c>
      <c r="K710" s="5" t="s">
        <v>69</v>
      </c>
      <c r="L710" s="7" t="e">
        <f>VLOOKUP(K710, 'Alphabetical by species code'!A:B, 2, FALSE)</f>
        <v>#N/A</v>
      </c>
      <c r="M710" s="7" t="e">
        <f>VLOOKUP(L710, 'Alphabetical by species code'!B:C, 2, FALSE)</f>
        <v>#N/A</v>
      </c>
    </row>
    <row r="711" spans="1:13" ht="15.75" customHeight="1" x14ac:dyDescent="0.25">
      <c r="A711" s="5">
        <v>15</v>
      </c>
      <c r="B711" s="5">
        <v>2023</v>
      </c>
      <c r="C711" s="61">
        <v>45197</v>
      </c>
      <c r="D711" s="14" t="s">
        <v>62</v>
      </c>
      <c r="E711" s="5" t="s">
        <v>68</v>
      </c>
      <c r="F711" s="5">
        <v>3</v>
      </c>
      <c r="G711" s="5" t="s">
        <v>46</v>
      </c>
      <c r="H711" s="5">
        <v>2</v>
      </c>
      <c r="I711" s="5">
        <v>2</v>
      </c>
      <c r="J711" s="5">
        <v>0.5</v>
      </c>
      <c r="K711" s="5" t="s">
        <v>29</v>
      </c>
      <c r="L711" s="7" t="str">
        <f>VLOOKUP(K711, 'Alphabetical by species code'!A:B, 2, FALSE)</f>
        <v>Opuntia littoralis</v>
      </c>
      <c r="M711" s="7" t="str">
        <f>VLOOKUP(L711, 'Alphabetical by species code'!B:C, 2, FALSE)</f>
        <v>Native</v>
      </c>
    </row>
    <row r="712" spans="1:13" ht="15.75" customHeight="1" x14ac:dyDescent="0.25">
      <c r="A712" s="5">
        <v>15</v>
      </c>
      <c r="B712" s="5">
        <v>2023</v>
      </c>
      <c r="C712" s="61">
        <v>45197</v>
      </c>
      <c r="D712" s="14" t="s">
        <v>62</v>
      </c>
      <c r="E712" s="5" t="s">
        <v>68</v>
      </c>
      <c r="F712" s="5">
        <v>3</v>
      </c>
      <c r="G712" s="5" t="s">
        <v>46</v>
      </c>
      <c r="H712" s="5">
        <v>3</v>
      </c>
      <c r="I712" s="5">
        <v>2</v>
      </c>
      <c r="J712" s="5">
        <v>1</v>
      </c>
      <c r="K712" s="5" t="s">
        <v>27</v>
      </c>
      <c r="L712" s="7" t="str">
        <f>VLOOKUP(K712, 'Alphabetical by species code'!A:B, 2, FALSE)</f>
        <v>Litter</v>
      </c>
      <c r="M712" s="7" t="str">
        <f>VLOOKUP(L712, 'Alphabetical by species code'!B:C, 2, FALSE)</f>
        <v>Ground Cover</v>
      </c>
    </row>
    <row r="713" spans="1:13" ht="15.75" customHeight="1" x14ac:dyDescent="0.25">
      <c r="A713" s="5">
        <v>15</v>
      </c>
      <c r="B713" s="5">
        <v>2023</v>
      </c>
      <c r="C713" s="61">
        <v>45197</v>
      </c>
      <c r="D713" s="14" t="s">
        <v>62</v>
      </c>
      <c r="E713" s="5" t="s">
        <v>68</v>
      </c>
      <c r="F713" s="5">
        <v>3</v>
      </c>
      <c r="G713" s="5" t="s">
        <v>46</v>
      </c>
      <c r="H713" s="5">
        <v>3</v>
      </c>
      <c r="I713" s="5">
        <v>2</v>
      </c>
      <c r="J713" s="5">
        <v>1</v>
      </c>
      <c r="K713" s="5" t="s">
        <v>29</v>
      </c>
      <c r="L713" s="7" t="str">
        <f>VLOOKUP(K713, 'Alphabetical by species code'!A:B, 2, FALSE)</f>
        <v>Opuntia littoralis</v>
      </c>
      <c r="M713" s="7" t="str">
        <f>VLOOKUP(L713, 'Alphabetical by species code'!B:C, 2, FALSE)</f>
        <v>Native</v>
      </c>
    </row>
    <row r="714" spans="1:13" ht="15.75" customHeight="1" x14ac:dyDescent="0.25">
      <c r="A714" s="5">
        <v>15</v>
      </c>
      <c r="B714" s="5">
        <v>2023</v>
      </c>
      <c r="C714" s="61">
        <v>45197</v>
      </c>
      <c r="D714" s="14" t="s">
        <v>62</v>
      </c>
      <c r="E714" s="5" t="s">
        <v>68</v>
      </c>
      <c r="F714" s="5">
        <v>3</v>
      </c>
      <c r="G714" s="5" t="s">
        <v>46</v>
      </c>
      <c r="H714" s="5">
        <v>3</v>
      </c>
      <c r="I714" s="5">
        <v>2</v>
      </c>
      <c r="J714" s="5">
        <v>1</v>
      </c>
      <c r="K714" s="5" t="s">
        <v>48</v>
      </c>
      <c r="L714" s="7" t="str">
        <f>VLOOKUP(K714, 'Alphabetical by species code'!A:B, 2, FALSE)</f>
        <v>Deinandra fasciculata</v>
      </c>
      <c r="M714" s="7" t="str">
        <f>VLOOKUP(L714, 'Alphabetical by species code'!B:C, 2, FALSE)</f>
        <v>Native</v>
      </c>
    </row>
    <row r="715" spans="1:13" ht="15.75" customHeight="1" x14ac:dyDescent="0.25">
      <c r="A715" s="5">
        <v>15</v>
      </c>
      <c r="B715" s="5">
        <v>2023</v>
      </c>
      <c r="C715" s="61">
        <v>45197</v>
      </c>
      <c r="D715" s="14" t="s">
        <v>62</v>
      </c>
      <c r="E715" s="5" t="s">
        <v>68</v>
      </c>
      <c r="F715" s="5">
        <v>3</v>
      </c>
      <c r="G715" s="5" t="s">
        <v>46</v>
      </c>
      <c r="H715" s="5">
        <v>4</v>
      </c>
      <c r="I715" s="5">
        <v>2</v>
      </c>
      <c r="J715" s="5">
        <v>1.5</v>
      </c>
      <c r="K715" s="5" t="s">
        <v>27</v>
      </c>
      <c r="L715" s="7" t="str">
        <f>VLOOKUP(K715, 'Alphabetical by species code'!A:B, 2, FALSE)</f>
        <v>Litter</v>
      </c>
      <c r="M715" s="7" t="str">
        <f>VLOOKUP(L715, 'Alphabetical by species code'!B:C, 2, FALSE)</f>
        <v>Ground Cover</v>
      </c>
    </row>
    <row r="716" spans="1:13" ht="15.75" customHeight="1" x14ac:dyDescent="0.25">
      <c r="A716" s="5">
        <v>15</v>
      </c>
      <c r="B716" s="5">
        <v>2023</v>
      </c>
      <c r="C716" s="61">
        <v>45197</v>
      </c>
      <c r="D716" s="14" t="s">
        <v>62</v>
      </c>
      <c r="E716" s="5" t="s">
        <v>68</v>
      </c>
      <c r="F716" s="5">
        <v>3</v>
      </c>
      <c r="G716" s="5" t="s">
        <v>46</v>
      </c>
      <c r="H716" s="5">
        <v>4</v>
      </c>
      <c r="I716" s="5">
        <v>2</v>
      </c>
      <c r="J716" s="5">
        <v>1.5</v>
      </c>
      <c r="K716" s="5" t="s">
        <v>48</v>
      </c>
      <c r="L716" s="7" t="str">
        <f>VLOOKUP(K716, 'Alphabetical by species code'!A:B, 2, FALSE)</f>
        <v>Deinandra fasciculata</v>
      </c>
      <c r="M716" s="7" t="str">
        <f>VLOOKUP(L716, 'Alphabetical by species code'!B:C, 2, FALSE)</f>
        <v>Native</v>
      </c>
    </row>
    <row r="717" spans="1:13" ht="15.75" customHeight="1" x14ac:dyDescent="0.25">
      <c r="A717" s="5">
        <v>15</v>
      </c>
      <c r="B717" s="5">
        <v>2023</v>
      </c>
      <c r="C717" s="61">
        <v>45197</v>
      </c>
      <c r="D717" s="14" t="s">
        <v>62</v>
      </c>
      <c r="E717" s="5" t="s">
        <v>68</v>
      </c>
      <c r="F717" s="5">
        <v>3</v>
      </c>
      <c r="G717" s="5" t="s">
        <v>46</v>
      </c>
      <c r="H717" s="5">
        <v>5</v>
      </c>
      <c r="I717" s="5">
        <v>2</v>
      </c>
      <c r="J717" s="5">
        <v>2.5</v>
      </c>
      <c r="K717" s="5" t="s">
        <v>27</v>
      </c>
      <c r="L717" s="7" t="str">
        <f>VLOOKUP(K717, 'Alphabetical by species code'!A:B, 2, FALSE)</f>
        <v>Litter</v>
      </c>
      <c r="M717" s="7" t="str">
        <f>VLOOKUP(L717, 'Alphabetical by species code'!B:C, 2, FALSE)</f>
        <v>Ground Cover</v>
      </c>
    </row>
    <row r="718" spans="1:13" ht="15.75" customHeight="1" x14ac:dyDescent="0.25">
      <c r="A718" s="5">
        <v>15</v>
      </c>
      <c r="B718" s="5">
        <v>2023</v>
      </c>
      <c r="C718" s="61">
        <v>45197</v>
      </c>
      <c r="D718" s="14" t="s">
        <v>62</v>
      </c>
      <c r="E718" s="5" t="s">
        <v>68</v>
      </c>
      <c r="F718" s="5">
        <v>3</v>
      </c>
      <c r="G718" s="5" t="s">
        <v>46</v>
      </c>
      <c r="H718" s="5">
        <v>5</v>
      </c>
      <c r="I718" s="5">
        <v>2</v>
      </c>
      <c r="J718" s="5">
        <v>2.5</v>
      </c>
      <c r="K718" s="5" t="s">
        <v>48</v>
      </c>
      <c r="L718" s="7" t="str">
        <f>VLOOKUP(K718, 'Alphabetical by species code'!A:B, 2, FALSE)</f>
        <v>Deinandra fasciculata</v>
      </c>
      <c r="M718" s="7" t="str">
        <f>VLOOKUP(L718, 'Alphabetical by species code'!B:C, 2, FALSE)</f>
        <v>Native</v>
      </c>
    </row>
    <row r="719" spans="1:13" ht="15.75" customHeight="1" x14ac:dyDescent="0.25">
      <c r="A719" s="5">
        <v>15</v>
      </c>
      <c r="B719" s="5">
        <v>2023</v>
      </c>
      <c r="C719" s="61">
        <v>45197</v>
      </c>
      <c r="D719" s="14" t="s">
        <v>62</v>
      </c>
      <c r="E719" s="5" t="s">
        <v>68</v>
      </c>
      <c r="F719" s="5">
        <v>3</v>
      </c>
      <c r="G719" s="5" t="s">
        <v>46</v>
      </c>
      <c r="H719" s="5">
        <v>5</v>
      </c>
      <c r="I719" s="5">
        <v>2</v>
      </c>
      <c r="J719" s="5">
        <v>2.5</v>
      </c>
      <c r="K719" s="5" t="s">
        <v>47</v>
      </c>
      <c r="L719" s="7" t="str">
        <f>VLOOKUP(K719, 'Alphabetical by species code'!A:B, 2, FALSE)</f>
        <v>Anagallis arvensis</v>
      </c>
      <c r="M719" s="7" t="str">
        <f>VLOOKUP(L719, 'Alphabetical by species code'!B:C, 2, FALSE)</f>
        <v>Non-Native</v>
      </c>
    </row>
    <row r="720" spans="1:13" ht="15.75" customHeight="1" x14ac:dyDescent="0.25">
      <c r="A720" s="5">
        <v>15</v>
      </c>
      <c r="B720" s="5">
        <v>2023</v>
      </c>
      <c r="C720" s="61">
        <v>45197</v>
      </c>
      <c r="D720" s="14" t="s">
        <v>62</v>
      </c>
      <c r="E720" s="5" t="s">
        <v>68</v>
      </c>
      <c r="F720" s="5">
        <v>3</v>
      </c>
      <c r="G720" s="5" t="s">
        <v>46</v>
      </c>
      <c r="H720" s="5">
        <v>6</v>
      </c>
      <c r="I720" s="5">
        <v>2</v>
      </c>
      <c r="J720" s="5">
        <v>3</v>
      </c>
      <c r="K720" s="5" t="s">
        <v>27</v>
      </c>
      <c r="L720" s="7" t="str">
        <f>VLOOKUP(K720, 'Alphabetical by species code'!A:B, 2, FALSE)</f>
        <v>Litter</v>
      </c>
      <c r="M720" s="7" t="str">
        <f>VLOOKUP(L720, 'Alphabetical by species code'!B:C, 2, FALSE)</f>
        <v>Ground Cover</v>
      </c>
    </row>
    <row r="721" spans="1:13" ht="15.75" customHeight="1" x14ac:dyDescent="0.25">
      <c r="A721" s="5">
        <v>15</v>
      </c>
      <c r="B721" s="5">
        <v>2023</v>
      </c>
      <c r="C721" s="61">
        <v>45197</v>
      </c>
      <c r="D721" s="14" t="s">
        <v>62</v>
      </c>
      <c r="E721" s="5" t="s">
        <v>68</v>
      </c>
      <c r="F721" s="5">
        <v>3</v>
      </c>
      <c r="G721" s="5" t="s">
        <v>46</v>
      </c>
      <c r="H721" s="5">
        <v>6</v>
      </c>
      <c r="I721" s="5">
        <v>2</v>
      </c>
      <c r="J721" s="5">
        <v>3</v>
      </c>
      <c r="K721" s="5" t="s">
        <v>30</v>
      </c>
      <c r="L721" s="7" t="str">
        <f>VLOOKUP(K721, 'Alphabetical by species code'!A:B, 2, FALSE)</f>
        <v>Non Native Grass</v>
      </c>
      <c r="M721" s="7" t="str">
        <f>VLOOKUP(L721, 'Alphabetical by species code'!B:C, 2, FALSE)</f>
        <v>Non-Native</v>
      </c>
    </row>
    <row r="722" spans="1:13" ht="15.75" customHeight="1" x14ac:dyDescent="0.25">
      <c r="A722" s="5">
        <v>15</v>
      </c>
      <c r="B722" s="5">
        <v>2023</v>
      </c>
      <c r="C722" s="61">
        <v>45197</v>
      </c>
      <c r="D722" s="14" t="s">
        <v>62</v>
      </c>
      <c r="E722" s="5" t="s">
        <v>68</v>
      </c>
      <c r="F722" s="5">
        <v>3</v>
      </c>
      <c r="G722" s="5" t="s">
        <v>46</v>
      </c>
      <c r="H722" s="5">
        <v>7</v>
      </c>
      <c r="I722" s="5">
        <v>2</v>
      </c>
      <c r="J722" s="5">
        <v>3.5</v>
      </c>
      <c r="K722" s="5" t="s">
        <v>27</v>
      </c>
      <c r="L722" s="7" t="str">
        <f>VLOOKUP(K722, 'Alphabetical by species code'!A:B, 2, FALSE)</f>
        <v>Litter</v>
      </c>
      <c r="M722" s="7" t="str">
        <f>VLOOKUP(L722, 'Alphabetical by species code'!B:C, 2, FALSE)</f>
        <v>Ground Cover</v>
      </c>
    </row>
    <row r="723" spans="1:13" ht="15.75" customHeight="1" x14ac:dyDescent="0.25">
      <c r="A723" s="5">
        <v>15</v>
      </c>
      <c r="B723" s="5">
        <v>2023</v>
      </c>
      <c r="C723" s="61">
        <v>45197</v>
      </c>
      <c r="D723" s="14" t="s">
        <v>62</v>
      </c>
      <c r="E723" s="5" t="s">
        <v>68</v>
      </c>
      <c r="F723" s="5">
        <v>3</v>
      </c>
      <c r="G723" s="5" t="s">
        <v>46</v>
      </c>
      <c r="H723" s="5">
        <v>8</v>
      </c>
      <c r="I723" s="5">
        <v>2</v>
      </c>
      <c r="J723" s="5">
        <v>4</v>
      </c>
      <c r="K723" s="5" t="s">
        <v>27</v>
      </c>
      <c r="L723" s="7" t="str">
        <f>VLOOKUP(K723, 'Alphabetical by species code'!A:B, 2, FALSE)</f>
        <v>Litter</v>
      </c>
      <c r="M723" s="7" t="str">
        <f>VLOOKUP(L723, 'Alphabetical by species code'!B:C, 2, FALSE)</f>
        <v>Ground Cover</v>
      </c>
    </row>
    <row r="724" spans="1:13" ht="15.75" customHeight="1" x14ac:dyDescent="0.25">
      <c r="A724" s="5">
        <v>15</v>
      </c>
      <c r="B724" s="5">
        <v>2023</v>
      </c>
      <c r="C724" s="61">
        <v>45197</v>
      </c>
      <c r="D724" s="14" t="s">
        <v>62</v>
      </c>
      <c r="E724" s="5" t="s">
        <v>68</v>
      </c>
      <c r="F724" s="5">
        <v>3</v>
      </c>
      <c r="G724" s="5" t="s">
        <v>46</v>
      </c>
      <c r="H724" s="5">
        <v>9</v>
      </c>
      <c r="I724" s="5">
        <v>2</v>
      </c>
      <c r="J724" s="5">
        <v>4.5</v>
      </c>
      <c r="K724" s="5" t="s">
        <v>27</v>
      </c>
      <c r="L724" s="7" t="str">
        <f>VLOOKUP(K724, 'Alphabetical by species code'!A:B, 2, FALSE)</f>
        <v>Litter</v>
      </c>
      <c r="M724" s="7" t="str">
        <f>VLOOKUP(L724, 'Alphabetical by species code'!B:C, 2, FALSE)</f>
        <v>Ground Cover</v>
      </c>
    </row>
    <row r="725" spans="1:13" ht="15.75" customHeight="1" x14ac:dyDescent="0.25">
      <c r="A725" s="5">
        <v>15</v>
      </c>
      <c r="B725" s="5">
        <v>2023</v>
      </c>
      <c r="C725" s="61">
        <v>45197</v>
      </c>
      <c r="D725" s="14" t="s">
        <v>62</v>
      </c>
      <c r="E725" s="5" t="s">
        <v>68</v>
      </c>
      <c r="F725" s="5">
        <v>3</v>
      </c>
      <c r="G725" s="5" t="s">
        <v>46</v>
      </c>
      <c r="H725" s="5">
        <v>9</v>
      </c>
      <c r="I725" s="5">
        <v>2</v>
      </c>
      <c r="J725" s="5">
        <v>4.5</v>
      </c>
      <c r="K725" s="5" t="s">
        <v>48</v>
      </c>
      <c r="L725" s="7" t="str">
        <f>VLOOKUP(K725, 'Alphabetical by species code'!A:B, 2, FALSE)</f>
        <v>Deinandra fasciculata</v>
      </c>
      <c r="M725" s="7" t="str">
        <f>VLOOKUP(L725, 'Alphabetical by species code'!B:C, 2, FALSE)</f>
        <v>Native</v>
      </c>
    </row>
    <row r="726" spans="1:13" ht="15.75" customHeight="1" x14ac:dyDescent="0.25">
      <c r="A726" s="5">
        <v>15</v>
      </c>
      <c r="B726" s="5">
        <v>2023</v>
      </c>
      <c r="C726" s="61">
        <v>45197</v>
      </c>
      <c r="D726" s="14" t="s">
        <v>62</v>
      </c>
      <c r="E726" s="5" t="s">
        <v>68</v>
      </c>
      <c r="F726" s="5">
        <v>3</v>
      </c>
      <c r="G726" s="5" t="s">
        <v>46</v>
      </c>
      <c r="H726" s="5">
        <v>10</v>
      </c>
      <c r="I726" s="5">
        <v>2</v>
      </c>
      <c r="J726" s="5">
        <v>5</v>
      </c>
      <c r="K726" s="5" t="s">
        <v>27</v>
      </c>
      <c r="L726" s="7" t="str">
        <f>VLOOKUP(K726, 'Alphabetical by species code'!A:B, 2, FALSE)</f>
        <v>Litter</v>
      </c>
      <c r="M726" s="7" t="str">
        <f>VLOOKUP(L726, 'Alphabetical by species code'!B:C, 2, FALSE)</f>
        <v>Ground Cover</v>
      </c>
    </row>
    <row r="727" spans="1:13" ht="15.75" customHeight="1" x14ac:dyDescent="0.25">
      <c r="A727" s="5">
        <v>15</v>
      </c>
      <c r="B727" s="5">
        <v>2023</v>
      </c>
      <c r="C727" s="61">
        <v>45197</v>
      </c>
      <c r="D727" s="14" t="s">
        <v>62</v>
      </c>
      <c r="E727" s="5" t="s">
        <v>68</v>
      </c>
      <c r="F727" s="5">
        <v>3</v>
      </c>
      <c r="G727" s="5" t="s">
        <v>46</v>
      </c>
      <c r="H727" s="5">
        <v>11</v>
      </c>
      <c r="I727" s="5">
        <v>2</v>
      </c>
      <c r="J727" s="5">
        <v>5.5</v>
      </c>
      <c r="K727" s="5" t="s">
        <v>27</v>
      </c>
      <c r="L727" s="7" t="str">
        <f>VLOOKUP(K727, 'Alphabetical by species code'!A:B, 2, FALSE)</f>
        <v>Litter</v>
      </c>
      <c r="M727" s="7" t="str">
        <f>VLOOKUP(L727, 'Alphabetical by species code'!B:C, 2, FALSE)</f>
        <v>Ground Cover</v>
      </c>
    </row>
    <row r="728" spans="1:13" ht="15.75" customHeight="1" x14ac:dyDescent="0.25">
      <c r="A728" s="5">
        <v>15</v>
      </c>
      <c r="B728" s="5">
        <v>2023</v>
      </c>
      <c r="C728" s="61">
        <v>45197</v>
      </c>
      <c r="D728" s="14" t="s">
        <v>62</v>
      </c>
      <c r="E728" s="5" t="s">
        <v>68</v>
      </c>
      <c r="F728" s="5">
        <v>3</v>
      </c>
      <c r="G728" s="5" t="s">
        <v>46</v>
      </c>
      <c r="H728" s="5">
        <v>12</v>
      </c>
      <c r="I728" s="5">
        <v>2</v>
      </c>
      <c r="J728" s="5">
        <v>6</v>
      </c>
      <c r="K728" s="5" t="s">
        <v>27</v>
      </c>
      <c r="L728" s="7" t="str">
        <f>VLOOKUP(K728, 'Alphabetical by species code'!A:B, 2, FALSE)</f>
        <v>Litter</v>
      </c>
      <c r="M728" s="7" t="str">
        <f>VLOOKUP(L728, 'Alphabetical by species code'!B:C, 2, FALSE)</f>
        <v>Ground Cover</v>
      </c>
    </row>
    <row r="729" spans="1:13" ht="15.75" customHeight="1" x14ac:dyDescent="0.25">
      <c r="A729" s="5">
        <v>15</v>
      </c>
      <c r="B729" s="5">
        <v>2023</v>
      </c>
      <c r="C729" s="61">
        <v>45197</v>
      </c>
      <c r="D729" s="14" t="s">
        <v>62</v>
      </c>
      <c r="E729" s="5" t="s">
        <v>68</v>
      </c>
      <c r="F729" s="5">
        <v>3</v>
      </c>
      <c r="G729" s="5" t="s">
        <v>46</v>
      </c>
      <c r="H729" s="5">
        <v>12</v>
      </c>
      <c r="I729" s="5">
        <v>2</v>
      </c>
      <c r="J729" s="5">
        <v>6</v>
      </c>
      <c r="K729" s="5" t="s">
        <v>30</v>
      </c>
      <c r="L729" s="7" t="str">
        <f>VLOOKUP(K729, 'Alphabetical by species code'!A:B, 2, FALSE)</f>
        <v>Non Native Grass</v>
      </c>
      <c r="M729" s="7" t="str">
        <f>VLOOKUP(L729, 'Alphabetical by species code'!B:C, 2, FALSE)</f>
        <v>Non-Native</v>
      </c>
    </row>
    <row r="730" spans="1:13" ht="15.75" customHeight="1" x14ac:dyDescent="0.25">
      <c r="A730" s="5">
        <v>15</v>
      </c>
      <c r="B730" s="5">
        <v>2023</v>
      </c>
      <c r="C730" s="61">
        <v>45197</v>
      </c>
      <c r="D730" s="14" t="s">
        <v>62</v>
      </c>
      <c r="E730" s="5" t="s">
        <v>68</v>
      </c>
      <c r="F730" s="5">
        <v>3</v>
      </c>
      <c r="G730" s="5" t="s">
        <v>46</v>
      </c>
      <c r="H730" s="5">
        <v>13</v>
      </c>
      <c r="I730" s="5">
        <v>2</v>
      </c>
      <c r="J730" s="5">
        <v>6.5</v>
      </c>
      <c r="K730" s="5" t="s">
        <v>27</v>
      </c>
      <c r="L730" s="7" t="str">
        <f>VLOOKUP(K730, 'Alphabetical by species code'!A:B, 2, FALSE)</f>
        <v>Litter</v>
      </c>
      <c r="M730" s="7" t="str">
        <f>VLOOKUP(L730, 'Alphabetical by species code'!B:C, 2, FALSE)</f>
        <v>Ground Cover</v>
      </c>
    </row>
    <row r="731" spans="1:13" ht="15.75" customHeight="1" x14ac:dyDescent="0.25">
      <c r="A731" s="5">
        <v>15</v>
      </c>
      <c r="B731" s="5">
        <v>2023</v>
      </c>
      <c r="C731" s="61">
        <v>45197</v>
      </c>
      <c r="D731" s="14" t="s">
        <v>62</v>
      </c>
      <c r="E731" s="5" t="s">
        <v>68</v>
      </c>
      <c r="F731" s="5">
        <v>3</v>
      </c>
      <c r="G731" s="5" t="s">
        <v>46</v>
      </c>
      <c r="H731" s="5">
        <v>13</v>
      </c>
      <c r="I731" s="5">
        <v>2</v>
      </c>
      <c r="J731" s="5">
        <v>6.5</v>
      </c>
      <c r="K731" s="5" t="s">
        <v>29</v>
      </c>
      <c r="L731" s="7" t="str">
        <f>VLOOKUP(K731, 'Alphabetical by species code'!A:B, 2, FALSE)</f>
        <v>Opuntia littoralis</v>
      </c>
      <c r="M731" s="7" t="str">
        <f>VLOOKUP(L731, 'Alphabetical by species code'!B:C, 2, FALSE)</f>
        <v>Native</v>
      </c>
    </row>
    <row r="732" spans="1:13" ht="15.75" customHeight="1" x14ac:dyDescent="0.25">
      <c r="A732" s="5">
        <v>15</v>
      </c>
      <c r="B732" s="5">
        <v>2023</v>
      </c>
      <c r="C732" s="61">
        <v>45197</v>
      </c>
      <c r="D732" s="14" t="s">
        <v>62</v>
      </c>
      <c r="E732" s="5" t="s">
        <v>68</v>
      </c>
      <c r="F732" s="5">
        <v>3</v>
      </c>
      <c r="G732" s="5" t="s">
        <v>46</v>
      </c>
      <c r="H732" s="5">
        <v>14</v>
      </c>
      <c r="I732" s="5">
        <v>2</v>
      </c>
      <c r="J732" s="5">
        <v>7</v>
      </c>
      <c r="K732" s="5" t="s">
        <v>27</v>
      </c>
      <c r="L732" s="7" t="str">
        <f>VLOOKUP(K732, 'Alphabetical by species code'!A:B, 2, FALSE)</f>
        <v>Litter</v>
      </c>
      <c r="M732" s="7" t="str">
        <f>VLOOKUP(L732, 'Alphabetical by species code'!B:C, 2, FALSE)</f>
        <v>Ground Cover</v>
      </c>
    </row>
    <row r="733" spans="1:13" ht="15.75" customHeight="1" x14ac:dyDescent="0.25">
      <c r="A733" s="5">
        <v>15</v>
      </c>
      <c r="B733" s="5">
        <v>2023</v>
      </c>
      <c r="C733" s="61">
        <v>45197</v>
      </c>
      <c r="D733" s="14" t="s">
        <v>62</v>
      </c>
      <c r="E733" s="5" t="s">
        <v>68</v>
      </c>
      <c r="F733" s="5">
        <v>3</v>
      </c>
      <c r="G733" s="5" t="s">
        <v>46</v>
      </c>
      <c r="H733" s="5">
        <v>15</v>
      </c>
      <c r="I733" s="5">
        <v>2</v>
      </c>
      <c r="J733" s="5">
        <v>7.5</v>
      </c>
      <c r="K733" s="5" t="s">
        <v>27</v>
      </c>
      <c r="L733" s="7" t="str">
        <f>VLOOKUP(K733, 'Alphabetical by species code'!A:B, 2, FALSE)</f>
        <v>Litter</v>
      </c>
      <c r="M733" s="7" t="str">
        <f>VLOOKUP(L733, 'Alphabetical by species code'!B:C, 2, FALSE)</f>
        <v>Ground Cover</v>
      </c>
    </row>
    <row r="734" spans="1:13" ht="15.75" customHeight="1" x14ac:dyDescent="0.25">
      <c r="A734" s="5">
        <v>16</v>
      </c>
      <c r="B734" s="5">
        <v>2023</v>
      </c>
      <c r="C734" s="61">
        <v>45197</v>
      </c>
      <c r="D734" s="14" t="s">
        <v>62</v>
      </c>
      <c r="E734" s="5" t="s">
        <v>68</v>
      </c>
      <c r="F734" s="5">
        <v>3</v>
      </c>
      <c r="G734" s="5" t="s">
        <v>51</v>
      </c>
      <c r="H734" s="5">
        <v>1</v>
      </c>
      <c r="I734" s="5">
        <v>1</v>
      </c>
      <c r="J734" s="5">
        <v>0</v>
      </c>
      <c r="K734" s="5" t="s">
        <v>27</v>
      </c>
      <c r="L734" s="7" t="str">
        <f>VLOOKUP(K734, 'Alphabetical by species code'!A:B, 2, FALSE)</f>
        <v>Litter</v>
      </c>
      <c r="M734" s="7" t="str">
        <f>VLOOKUP(L734, 'Alphabetical by species code'!B:C, 2, FALSE)</f>
        <v>Ground Cover</v>
      </c>
    </row>
    <row r="735" spans="1:13" ht="15.75" customHeight="1" x14ac:dyDescent="0.25">
      <c r="A735" s="5">
        <v>16</v>
      </c>
      <c r="B735" s="5">
        <v>2023</v>
      </c>
      <c r="C735" s="61">
        <v>45197</v>
      </c>
      <c r="D735" s="14" t="s">
        <v>62</v>
      </c>
      <c r="E735" s="5" t="s">
        <v>68</v>
      </c>
      <c r="F735" s="5">
        <v>3</v>
      </c>
      <c r="G735" s="5" t="s">
        <v>51</v>
      </c>
      <c r="H735" s="5">
        <v>2</v>
      </c>
      <c r="I735" s="5">
        <v>1</v>
      </c>
      <c r="J735" s="5">
        <v>0.5</v>
      </c>
      <c r="K735" s="5" t="s">
        <v>35</v>
      </c>
      <c r="L735" s="7" t="str">
        <f>VLOOKUP(K735, 'Alphabetical by species code'!A:B, 2, FALSE)</f>
        <v>Bareground</v>
      </c>
      <c r="M735" s="7" t="str">
        <f>VLOOKUP(L735, 'Alphabetical by species code'!B:C, 2, FALSE)</f>
        <v>Ground Cover</v>
      </c>
    </row>
    <row r="736" spans="1:13" ht="15.75" customHeight="1" x14ac:dyDescent="0.25">
      <c r="A736" s="5">
        <v>16</v>
      </c>
      <c r="B736" s="5">
        <v>2023</v>
      </c>
      <c r="C736" s="61">
        <v>45197</v>
      </c>
      <c r="D736" s="14" t="s">
        <v>62</v>
      </c>
      <c r="E736" s="5" t="s">
        <v>68</v>
      </c>
      <c r="F736" s="5">
        <v>3</v>
      </c>
      <c r="G736" s="5" t="s">
        <v>51</v>
      </c>
      <c r="H736" s="5">
        <v>3</v>
      </c>
      <c r="I736" s="5">
        <v>1</v>
      </c>
      <c r="J736" s="5">
        <v>1</v>
      </c>
      <c r="K736" s="5" t="s">
        <v>27</v>
      </c>
      <c r="L736" s="7" t="str">
        <f>VLOOKUP(K736, 'Alphabetical by species code'!A:B, 2, FALSE)</f>
        <v>Litter</v>
      </c>
      <c r="M736" s="7" t="str">
        <f>VLOOKUP(L736, 'Alphabetical by species code'!B:C, 2, FALSE)</f>
        <v>Ground Cover</v>
      </c>
    </row>
    <row r="737" spans="1:13" ht="15.75" customHeight="1" x14ac:dyDescent="0.25">
      <c r="A737" s="5">
        <v>16</v>
      </c>
      <c r="B737" s="5">
        <v>2023</v>
      </c>
      <c r="C737" s="61">
        <v>45197</v>
      </c>
      <c r="D737" s="14" t="s">
        <v>62</v>
      </c>
      <c r="E737" s="5" t="s">
        <v>68</v>
      </c>
      <c r="F737" s="5">
        <v>3</v>
      </c>
      <c r="G737" s="5" t="s">
        <v>51</v>
      </c>
      <c r="H737" s="5">
        <v>4</v>
      </c>
      <c r="I737" s="5">
        <v>1</v>
      </c>
      <c r="J737" s="5">
        <v>1.5</v>
      </c>
      <c r="K737" s="5" t="s">
        <v>58</v>
      </c>
      <c r="L737" s="7" t="str">
        <f>VLOOKUP(K737, 'Alphabetical by species code'!A:B, 2, FALSE)</f>
        <v>Stem</v>
      </c>
      <c r="M737" s="7" t="str">
        <f>VLOOKUP(L737, 'Alphabetical by species code'!B:C, 2, FALSE)</f>
        <v>Ground Cover</v>
      </c>
    </row>
    <row r="738" spans="1:13" ht="15.75" customHeight="1" x14ac:dyDescent="0.25">
      <c r="A738" s="5">
        <v>16</v>
      </c>
      <c r="B738" s="5">
        <v>2023</v>
      </c>
      <c r="C738" s="61">
        <v>45197</v>
      </c>
      <c r="D738" s="14" t="s">
        <v>62</v>
      </c>
      <c r="E738" s="5" t="s">
        <v>68</v>
      </c>
      <c r="F738" s="5">
        <v>3</v>
      </c>
      <c r="G738" s="5" t="s">
        <v>51</v>
      </c>
      <c r="H738" s="5">
        <v>4</v>
      </c>
      <c r="I738" s="5">
        <v>1</v>
      </c>
      <c r="J738" s="5">
        <v>1.5</v>
      </c>
      <c r="K738" s="5" t="s">
        <v>54</v>
      </c>
      <c r="L738" s="7" t="str">
        <f>VLOOKUP(K738, 'Alphabetical by species code'!A:B, 2, FALSE)</f>
        <v>Erodium cicutarium</v>
      </c>
      <c r="M738" s="7" t="str">
        <f>VLOOKUP(L738, 'Alphabetical by species code'!B:C, 2, FALSE)</f>
        <v>Non-Native</v>
      </c>
    </row>
    <row r="739" spans="1:13" ht="15.75" customHeight="1" x14ac:dyDescent="0.25">
      <c r="A739" s="5">
        <v>16</v>
      </c>
      <c r="B739" s="5">
        <v>2023</v>
      </c>
      <c r="C739" s="61">
        <v>45197</v>
      </c>
      <c r="D739" s="14" t="s">
        <v>62</v>
      </c>
      <c r="E739" s="5" t="s">
        <v>68</v>
      </c>
      <c r="F739" s="5">
        <v>3</v>
      </c>
      <c r="G739" s="5" t="s">
        <v>51</v>
      </c>
      <c r="H739" s="5">
        <v>5</v>
      </c>
      <c r="I739" s="5">
        <v>1</v>
      </c>
      <c r="J739" s="5">
        <v>2</v>
      </c>
      <c r="K739" s="5" t="s">
        <v>35</v>
      </c>
      <c r="L739" s="7" t="str">
        <f>VLOOKUP(K739, 'Alphabetical by species code'!A:B, 2, FALSE)</f>
        <v>Bareground</v>
      </c>
      <c r="M739" s="7" t="str">
        <f>VLOOKUP(L739, 'Alphabetical by species code'!B:C, 2, FALSE)</f>
        <v>Ground Cover</v>
      </c>
    </row>
    <row r="740" spans="1:13" ht="15.75" customHeight="1" x14ac:dyDescent="0.25">
      <c r="A740" s="5">
        <v>16</v>
      </c>
      <c r="B740" s="5">
        <v>2023</v>
      </c>
      <c r="C740" s="61">
        <v>45197</v>
      </c>
      <c r="D740" s="14" t="s">
        <v>62</v>
      </c>
      <c r="E740" s="5" t="s">
        <v>68</v>
      </c>
      <c r="F740" s="5">
        <v>3</v>
      </c>
      <c r="G740" s="5" t="s">
        <v>51</v>
      </c>
      <c r="H740" s="5">
        <v>5</v>
      </c>
      <c r="I740" s="5">
        <v>1</v>
      </c>
      <c r="J740" s="5">
        <v>2</v>
      </c>
      <c r="K740" s="5" t="s">
        <v>34</v>
      </c>
      <c r="L740" s="7" t="str">
        <f>VLOOKUP(K740, 'Alphabetical by species code'!A:B, 2, FALSE)</f>
        <v>Centaurea melitensis</v>
      </c>
      <c r="M740" s="7" t="str">
        <f>VLOOKUP(L740, 'Alphabetical by species code'!B:C, 2, FALSE)</f>
        <v>Non-Native</v>
      </c>
    </row>
    <row r="741" spans="1:13" ht="15.75" customHeight="1" x14ac:dyDescent="0.25">
      <c r="A741" s="5">
        <v>16</v>
      </c>
      <c r="B741" s="5">
        <v>2023</v>
      </c>
      <c r="C741" s="61">
        <v>45197</v>
      </c>
      <c r="D741" s="14" t="s">
        <v>62</v>
      </c>
      <c r="E741" s="5" t="s">
        <v>68</v>
      </c>
      <c r="F741" s="5">
        <v>3</v>
      </c>
      <c r="G741" s="5" t="s">
        <v>51</v>
      </c>
      <c r="H741" s="5">
        <v>6</v>
      </c>
      <c r="I741" s="5">
        <v>1</v>
      </c>
      <c r="J741" s="5">
        <v>2.5</v>
      </c>
      <c r="K741" s="5" t="s">
        <v>35</v>
      </c>
      <c r="L741" s="7" t="str">
        <f>VLOOKUP(K741, 'Alphabetical by species code'!A:B, 2, FALSE)</f>
        <v>Bareground</v>
      </c>
      <c r="M741" s="7" t="str">
        <f>VLOOKUP(L741, 'Alphabetical by species code'!B:C, 2, FALSE)</f>
        <v>Ground Cover</v>
      </c>
    </row>
    <row r="742" spans="1:13" ht="15.75" customHeight="1" x14ac:dyDescent="0.25">
      <c r="A742" s="5">
        <v>16</v>
      </c>
      <c r="B742" s="5">
        <v>2023</v>
      </c>
      <c r="C742" s="61">
        <v>45197</v>
      </c>
      <c r="D742" s="14" t="s">
        <v>62</v>
      </c>
      <c r="E742" s="5" t="s">
        <v>68</v>
      </c>
      <c r="F742" s="5">
        <v>3</v>
      </c>
      <c r="G742" s="5" t="s">
        <v>51</v>
      </c>
      <c r="H742" s="5">
        <v>7</v>
      </c>
      <c r="I742" s="5">
        <v>1</v>
      </c>
      <c r="J742" s="5">
        <v>3</v>
      </c>
      <c r="K742" s="5" t="s">
        <v>58</v>
      </c>
      <c r="L742" s="7" t="str">
        <f>VLOOKUP(K742, 'Alphabetical by species code'!A:B, 2, FALSE)</f>
        <v>Stem</v>
      </c>
      <c r="M742" s="7" t="str">
        <f>VLOOKUP(L742, 'Alphabetical by species code'!B:C, 2, FALSE)</f>
        <v>Ground Cover</v>
      </c>
    </row>
    <row r="743" spans="1:13" ht="15.75" customHeight="1" x14ac:dyDescent="0.25">
      <c r="A743" s="5">
        <v>16</v>
      </c>
      <c r="B743" s="5">
        <v>2023</v>
      </c>
      <c r="C743" s="61">
        <v>45197</v>
      </c>
      <c r="D743" s="14" t="s">
        <v>62</v>
      </c>
      <c r="E743" s="5" t="s">
        <v>68</v>
      </c>
      <c r="F743" s="5">
        <v>3</v>
      </c>
      <c r="G743" s="5" t="s">
        <v>51</v>
      </c>
      <c r="H743" s="5">
        <v>7</v>
      </c>
      <c r="I743" s="5">
        <v>1</v>
      </c>
      <c r="J743" s="5">
        <v>3</v>
      </c>
      <c r="K743" s="5" t="s">
        <v>29</v>
      </c>
      <c r="L743" s="7" t="str">
        <f>VLOOKUP(K743, 'Alphabetical by species code'!A:B, 2, FALSE)</f>
        <v>Opuntia littoralis</v>
      </c>
      <c r="M743" s="7" t="str">
        <f>VLOOKUP(L743, 'Alphabetical by species code'!B:C, 2, FALSE)</f>
        <v>Native</v>
      </c>
    </row>
    <row r="744" spans="1:13" ht="15.75" customHeight="1" x14ac:dyDescent="0.25">
      <c r="A744" s="5">
        <v>16</v>
      </c>
      <c r="B744" s="5">
        <v>2023</v>
      </c>
      <c r="C744" s="61">
        <v>45197</v>
      </c>
      <c r="D744" s="14" t="s">
        <v>62</v>
      </c>
      <c r="E744" s="5" t="s">
        <v>68</v>
      </c>
      <c r="F744" s="5">
        <v>3</v>
      </c>
      <c r="G744" s="5" t="s">
        <v>51</v>
      </c>
      <c r="H744" s="5">
        <v>8</v>
      </c>
      <c r="I744" s="5">
        <v>1</v>
      </c>
      <c r="J744" s="5">
        <v>3.5</v>
      </c>
      <c r="K744" s="5" t="s">
        <v>35</v>
      </c>
      <c r="L744" s="7" t="str">
        <f>VLOOKUP(K744, 'Alphabetical by species code'!A:B, 2, FALSE)</f>
        <v>Bareground</v>
      </c>
      <c r="M744" s="7" t="str">
        <f>VLOOKUP(L744, 'Alphabetical by species code'!B:C, 2, FALSE)</f>
        <v>Ground Cover</v>
      </c>
    </row>
    <row r="745" spans="1:13" ht="15.75" customHeight="1" x14ac:dyDescent="0.25">
      <c r="A745" s="5">
        <v>16</v>
      </c>
      <c r="B745" s="5">
        <v>2023</v>
      </c>
      <c r="C745" s="61">
        <v>45197</v>
      </c>
      <c r="D745" s="14" t="s">
        <v>62</v>
      </c>
      <c r="E745" s="5" t="s">
        <v>68</v>
      </c>
      <c r="F745" s="5">
        <v>3</v>
      </c>
      <c r="G745" s="5" t="s">
        <v>51</v>
      </c>
      <c r="H745" s="5">
        <v>9</v>
      </c>
      <c r="I745" s="5">
        <v>1</v>
      </c>
      <c r="J745" s="5">
        <v>4</v>
      </c>
      <c r="K745" s="5" t="s">
        <v>35</v>
      </c>
      <c r="L745" s="7" t="str">
        <f>VLOOKUP(K745, 'Alphabetical by species code'!A:B, 2, FALSE)</f>
        <v>Bareground</v>
      </c>
      <c r="M745" s="7" t="str">
        <f>VLOOKUP(L745, 'Alphabetical by species code'!B:C, 2, FALSE)</f>
        <v>Ground Cover</v>
      </c>
    </row>
    <row r="746" spans="1:13" ht="15.75" customHeight="1" x14ac:dyDescent="0.25">
      <c r="A746" s="5">
        <v>16</v>
      </c>
      <c r="B746" s="5">
        <v>2023</v>
      </c>
      <c r="C746" s="61">
        <v>45197</v>
      </c>
      <c r="D746" s="14" t="s">
        <v>62</v>
      </c>
      <c r="E746" s="5" t="s">
        <v>68</v>
      </c>
      <c r="F746" s="5">
        <v>3</v>
      </c>
      <c r="G746" s="5" t="s">
        <v>51</v>
      </c>
      <c r="H746" s="5">
        <v>10</v>
      </c>
      <c r="I746" s="5">
        <v>1</v>
      </c>
      <c r="J746" s="5">
        <v>4.5</v>
      </c>
      <c r="K746" s="5" t="s">
        <v>35</v>
      </c>
      <c r="L746" s="7" t="str">
        <f>VLOOKUP(K746, 'Alphabetical by species code'!A:B, 2, FALSE)</f>
        <v>Bareground</v>
      </c>
      <c r="M746" s="7" t="str">
        <f>VLOOKUP(L746, 'Alphabetical by species code'!B:C, 2, FALSE)</f>
        <v>Ground Cover</v>
      </c>
    </row>
    <row r="747" spans="1:13" ht="15.75" customHeight="1" x14ac:dyDescent="0.25">
      <c r="A747" s="5">
        <v>16</v>
      </c>
      <c r="B747" s="5">
        <v>2023</v>
      </c>
      <c r="C747" s="61">
        <v>45197</v>
      </c>
      <c r="D747" s="14" t="s">
        <v>62</v>
      </c>
      <c r="E747" s="5" t="s">
        <v>68</v>
      </c>
      <c r="F747" s="5">
        <v>3</v>
      </c>
      <c r="G747" s="5" t="s">
        <v>51</v>
      </c>
      <c r="H747" s="5">
        <v>11</v>
      </c>
      <c r="I747" s="5">
        <v>1</v>
      </c>
      <c r="J747" s="5">
        <v>5</v>
      </c>
      <c r="K747" s="5" t="s">
        <v>35</v>
      </c>
      <c r="L747" s="7" t="str">
        <f>VLOOKUP(K747, 'Alphabetical by species code'!A:B, 2, FALSE)</f>
        <v>Bareground</v>
      </c>
      <c r="M747" s="7" t="str">
        <f>VLOOKUP(L747, 'Alphabetical by species code'!B:C, 2, FALSE)</f>
        <v>Ground Cover</v>
      </c>
    </row>
    <row r="748" spans="1:13" ht="15.75" customHeight="1" x14ac:dyDescent="0.25">
      <c r="A748" s="5">
        <v>16</v>
      </c>
      <c r="B748" s="5">
        <v>2023</v>
      </c>
      <c r="C748" s="61">
        <v>45197</v>
      </c>
      <c r="D748" s="14" t="s">
        <v>62</v>
      </c>
      <c r="E748" s="5" t="s">
        <v>68</v>
      </c>
      <c r="F748" s="5">
        <v>3</v>
      </c>
      <c r="G748" s="5" t="s">
        <v>51</v>
      </c>
      <c r="H748" s="5">
        <v>12</v>
      </c>
      <c r="I748" s="5">
        <v>1</v>
      </c>
      <c r="J748" s="5">
        <v>5.5</v>
      </c>
      <c r="K748" s="5" t="s">
        <v>35</v>
      </c>
      <c r="L748" s="7" t="str">
        <f>VLOOKUP(K748, 'Alphabetical by species code'!A:B, 2, FALSE)</f>
        <v>Bareground</v>
      </c>
      <c r="M748" s="7" t="str">
        <f>VLOOKUP(L748, 'Alphabetical by species code'!B:C, 2, FALSE)</f>
        <v>Ground Cover</v>
      </c>
    </row>
    <row r="749" spans="1:13" ht="15.75" customHeight="1" x14ac:dyDescent="0.25">
      <c r="A749" s="5">
        <v>16</v>
      </c>
      <c r="B749" s="5">
        <v>2023</v>
      </c>
      <c r="C749" s="61">
        <v>45197</v>
      </c>
      <c r="D749" s="14" t="s">
        <v>62</v>
      </c>
      <c r="E749" s="5" t="s">
        <v>68</v>
      </c>
      <c r="F749" s="5">
        <v>3</v>
      </c>
      <c r="G749" s="5" t="s">
        <v>51</v>
      </c>
      <c r="H749" s="5">
        <v>13</v>
      </c>
      <c r="I749" s="5">
        <v>1</v>
      </c>
      <c r="J749" s="5">
        <v>6.5</v>
      </c>
      <c r="K749" s="5" t="s">
        <v>35</v>
      </c>
      <c r="L749" s="7" t="str">
        <f>VLOOKUP(K749, 'Alphabetical by species code'!A:B, 2, FALSE)</f>
        <v>Bareground</v>
      </c>
      <c r="M749" s="7" t="str">
        <f>VLOOKUP(L749, 'Alphabetical by species code'!B:C, 2, FALSE)</f>
        <v>Ground Cover</v>
      </c>
    </row>
    <row r="750" spans="1:13" ht="15.75" customHeight="1" x14ac:dyDescent="0.25">
      <c r="A750" s="5">
        <v>16</v>
      </c>
      <c r="B750" s="5">
        <v>2023</v>
      </c>
      <c r="C750" s="61">
        <v>45197</v>
      </c>
      <c r="D750" s="14" t="s">
        <v>62</v>
      </c>
      <c r="E750" s="5" t="s">
        <v>68</v>
      </c>
      <c r="F750" s="5">
        <v>3</v>
      </c>
      <c r="G750" s="5" t="s">
        <v>51</v>
      </c>
      <c r="H750" s="5">
        <v>13</v>
      </c>
      <c r="I750" s="5">
        <v>1</v>
      </c>
      <c r="J750" s="5">
        <v>6.5</v>
      </c>
      <c r="K750" s="5" t="s">
        <v>29</v>
      </c>
      <c r="L750" s="7" t="str">
        <f>VLOOKUP(K750, 'Alphabetical by species code'!A:B, 2, FALSE)</f>
        <v>Opuntia littoralis</v>
      </c>
      <c r="M750" s="7" t="str">
        <f>VLOOKUP(L750, 'Alphabetical by species code'!B:C, 2, FALSE)</f>
        <v>Native</v>
      </c>
    </row>
    <row r="751" spans="1:13" ht="15.75" customHeight="1" x14ac:dyDescent="0.25">
      <c r="A751" s="5">
        <v>16</v>
      </c>
      <c r="B751" s="5">
        <v>2023</v>
      </c>
      <c r="C751" s="61">
        <v>45197</v>
      </c>
      <c r="D751" s="14" t="s">
        <v>62</v>
      </c>
      <c r="E751" s="5" t="s">
        <v>68</v>
      </c>
      <c r="F751" s="5">
        <v>3</v>
      </c>
      <c r="G751" s="5" t="s">
        <v>51</v>
      </c>
      <c r="H751" s="5">
        <v>14</v>
      </c>
      <c r="I751" s="5">
        <v>1</v>
      </c>
      <c r="J751" s="5">
        <v>7</v>
      </c>
      <c r="K751" s="5" t="s">
        <v>35</v>
      </c>
      <c r="L751" s="7" t="str">
        <f>VLOOKUP(K751, 'Alphabetical by species code'!A:B, 2, FALSE)</f>
        <v>Bareground</v>
      </c>
      <c r="M751" s="7" t="str">
        <f>VLOOKUP(L751, 'Alphabetical by species code'!B:C, 2, FALSE)</f>
        <v>Ground Cover</v>
      </c>
    </row>
    <row r="752" spans="1:13" ht="15.75" customHeight="1" x14ac:dyDescent="0.25">
      <c r="A752" s="5">
        <v>16</v>
      </c>
      <c r="B752" s="5">
        <v>2023</v>
      </c>
      <c r="C752" s="61">
        <v>45197</v>
      </c>
      <c r="D752" s="14" t="s">
        <v>62</v>
      </c>
      <c r="E752" s="5" t="s">
        <v>68</v>
      </c>
      <c r="F752" s="5">
        <v>3</v>
      </c>
      <c r="G752" s="5" t="s">
        <v>51</v>
      </c>
      <c r="H752" s="5">
        <v>15</v>
      </c>
      <c r="I752" s="5">
        <v>1</v>
      </c>
      <c r="J752" s="5">
        <v>7.5</v>
      </c>
      <c r="K752" s="5" t="s">
        <v>35</v>
      </c>
      <c r="L752" s="7" t="str">
        <f>VLOOKUP(K752, 'Alphabetical by species code'!A:B, 2, FALSE)</f>
        <v>Bareground</v>
      </c>
      <c r="M752" s="7" t="str">
        <f>VLOOKUP(L752, 'Alphabetical by species code'!B:C, 2, FALSE)</f>
        <v>Ground Cover</v>
      </c>
    </row>
    <row r="753" spans="1:13" ht="15.75" customHeight="1" x14ac:dyDescent="0.25">
      <c r="A753" s="5">
        <v>16</v>
      </c>
      <c r="B753" s="5">
        <v>2023</v>
      </c>
      <c r="C753" s="61">
        <v>45197</v>
      </c>
      <c r="D753" s="14" t="s">
        <v>62</v>
      </c>
      <c r="E753" s="5" t="s">
        <v>68</v>
      </c>
      <c r="F753" s="5">
        <v>3</v>
      </c>
      <c r="G753" s="5" t="s">
        <v>51</v>
      </c>
      <c r="H753" s="5">
        <v>1</v>
      </c>
      <c r="I753" s="5">
        <v>2</v>
      </c>
      <c r="J753" s="5">
        <v>0</v>
      </c>
      <c r="K753" s="5" t="s">
        <v>27</v>
      </c>
      <c r="L753" s="7" t="str">
        <f>VLOOKUP(K753, 'Alphabetical by species code'!A:B, 2, FALSE)</f>
        <v>Litter</v>
      </c>
      <c r="M753" s="7" t="str">
        <f>VLOOKUP(L753, 'Alphabetical by species code'!B:C, 2, FALSE)</f>
        <v>Ground Cover</v>
      </c>
    </row>
    <row r="754" spans="1:13" ht="15.75" customHeight="1" x14ac:dyDescent="0.25">
      <c r="A754" s="5">
        <v>16</v>
      </c>
      <c r="B754" s="5">
        <v>2023</v>
      </c>
      <c r="C754" s="61">
        <v>45197</v>
      </c>
      <c r="D754" s="14" t="s">
        <v>62</v>
      </c>
      <c r="E754" s="5" t="s">
        <v>68</v>
      </c>
      <c r="F754" s="5">
        <v>3</v>
      </c>
      <c r="G754" s="5" t="s">
        <v>51</v>
      </c>
      <c r="H754" s="5">
        <v>1</v>
      </c>
      <c r="I754" s="5">
        <v>2</v>
      </c>
      <c r="J754" s="5">
        <v>0</v>
      </c>
      <c r="K754" s="5" t="s">
        <v>29</v>
      </c>
      <c r="L754" s="7" t="str">
        <f>VLOOKUP(K754, 'Alphabetical by species code'!A:B, 2, FALSE)</f>
        <v>Opuntia littoralis</v>
      </c>
      <c r="M754" s="7" t="str">
        <f>VLOOKUP(L754, 'Alphabetical by species code'!B:C, 2, FALSE)</f>
        <v>Native</v>
      </c>
    </row>
    <row r="755" spans="1:13" ht="15.75" customHeight="1" x14ac:dyDescent="0.25">
      <c r="A755" s="5">
        <v>16</v>
      </c>
      <c r="B755" s="5">
        <v>2023</v>
      </c>
      <c r="C755" s="61">
        <v>45197</v>
      </c>
      <c r="D755" s="14" t="s">
        <v>62</v>
      </c>
      <c r="E755" s="5" t="s">
        <v>68</v>
      </c>
      <c r="F755" s="5">
        <v>3</v>
      </c>
      <c r="G755" s="5" t="s">
        <v>51</v>
      </c>
      <c r="H755" s="5">
        <v>2</v>
      </c>
      <c r="I755" s="5">
        <v>2</v>
      </c>
      <c r="J755" s="5">
        <v>0.5</v>
      </c>
      <c r="K755" s="5" t="s">
        <v>27</v>
      </c>
      <c r="L755" s="7" t="str">
        <f>VLOOKUP(K755, 'Alphabetical by species code'!A:B, 2, FALSE)</f>
        <v>Litter</v>
      </c>
      <c r="M755" s="7" t="str">
        <f>VLOOKUP(L755, 'Alphabetical by species code'!B:C, 2, FALSE)</f>
        <v>Ground Cover</v>
      </c>
    </row>
    <row r="756" spans="1:13" ht="15.75" customHeight="1" x14ac:dyDescent="0.25">
      <c r="A756" s="5">
        <v>16</v>
      </c>
      <c r="B756" s="5">
        <v>2023</v>
      </c>
      <c r="C756" s="61">
        <v>45197</v>
      </c>
      <c r="D756" s="14" t="s">
        <v>62</v>
      </c>
      <c r="E756" s="5" t="s">
        <v>68</v>
      </c>
      <c r="F756" s="5">
        <v>3</v>
      </c>
      <c r="G756" s="5" t="s">
        <v>51</v>
      </c>
      <c r="H756" s="5">
        <v>2</v>
      </c>
      <c r="I756" s="5">
        <v>2</v>
      </c>
      <c r="J756" s="5">
        <v>0.5</v>
      </c>
      <c r="K756" s="5" t="s">
        <v>29</v>
      </c>
      <c r="L756" s="7" t="str">
        <f>VLOOKUP(K756, 'Alphabetical by species code'!A:B, 2, FALSE)</f>
        <v>Opuntia littoralis</v>
      </c>
      <c r="M756" s="7" t="str">
        <f>VLOOKUP(L756, 'Alphabetical by species code'!B:C, 2, FALSE)</f>
        <v>Native</v>
      </c>
    </row>
    <row r="757" spans="1:13" ht="15.75" customHeight="1" x14ac:dyDescent="0.25">
      <c r="A757" s="5">
        <v>16</v>
      </c>
      <c r="B757" s="5">
        <v>2023</v>
      </c>
      <c r="C757" s="61">
        <v>45197</v>
      </c>
      <c r="D757" s="14" t="s">
        <v>62</v>
      </c>
      <c r="E757" s="5" t="s">
        <v>68</v>
      </c>
      <c r="F757" s="5">
        <v>3</v>
      </c>
      <c r="G757" s="5" t="s">
        <v>51</v>
      </c>
      <c r="H757" s="5">
        <v>3</v>
      </c>
      <c r="I757" s="5">
        <v>2</v>
      </c>
      <c r="J757" s="5">
        <v>1</v>
      </c>
      <c r="K757" s="5" t="s">
        <v>27</v>
      </c>
      <c r="L757" s="7" t="str">
        <f>VLOOKUP(K757, 'Alphabetical by species code'!A:B, 2, FALSE)</f>
        <v>Litter</v>
      </c>
      <c r="M757" s="7" t="str">
        <f>VLOOKUP(L757, 'Alphabetical by species code'!B:C, 2, FALSE)</f>
        <v>Ground Cover</v>
      </c>
    </row>
    <row r="758" spans="1:13" ht="15.75" customHeight="1" x14ac:dyDescent="0.25">
      <c r="A758" s="5">
        <v>16</v>
      </c>
      <c r="B758" s="5">
        <v>2023</v>
      </c>
      <c r="C758" s="61">
        <v>45197</v>
      </c>
      <c r="D758" s="14" t="s">
        <v>62</v>
      </c>
      <c r="E758" s="5" t="s">
        <v>68</v>
      </c>
      <c r="F758" s="5">
        <v>3</v>
      </c>
      <c r="G758" s="5" t="s">
        <v>51</v>
      </c>
      <c r="H758" s="5">
        <v>3</v>
      </c>
      <c r="I758" s="5">
        <v>2</v>
      </c>
      <c r="J758" s="5">
        <v>1</v>
      </c>
      <c r="K758" s="5" t="s">
        <v>48</v>
      </c>
      <c r="L758" s="7" t="str">
        <f>VLOOKUP(K758, 'Alphabetical by species code'!A:B, 2, FALSE)</f>
        <v>Deinandra fasciculata</v>
      </c>
      <c r="M758" s="7" t="str">
        <f>VLOOKUP(L758, 'Alphabetical by species code'!B:C, 2, FALSE)</f>
        <v>Native</v>
      </c>
    </row>
    <row r="759" spans="1:13" ht="15.75" customHeight="1" x14ac:dyDescent="0.25">
      <c r="A759" s="5">
        <v>16</v>
      </c>
      <c r="B759" s="5">
        <v>2023</v>
      </c>
      <c r="C759" s="61">
        <v>45197</v>
      </c>
      <c r="D759" s="14" t="s">
        <v>62</v>
      </c>
      <c r="E759" s="5" t="s">
        <v>68</v>
      </c>
      <c r="F759" s="5">
        <v>3</v>
      </c>
      <c r="G759" s="5" t="s">
        <v>51</v>
      </c>
      <c r="H759" s="5">
        <v>4</v>
      </c>
      <c r="I759" s="5">
        <v>2</v>
      </c>
      <c r="J759" s="5">
        <v>1.5</v>
      </c>
      <c r="K759" s="5" t="s">
        <v>35</v>
      </c>
      <c r="L759" s="7" t="str">
        <f>VLOOKUP(K759, 'Alphabetical by species code'!A:B, 2, FALSE)</f>
        <v>Bareground</v>
      </c>
      <c r="M759" s="7" t="str">
        <f>VLOOKUP(L759, 'Alphabetical by species code'!B:C, 2, FALSE)</f>
        <v>Ground Cover</v>
      </c>
    </row>
    <row r="760" spans="1:13" ht="15.75" customHeight="1" x14ac:dyDescent="0.25">
      <c r="A760" s="5">
        <v>16</v>
      </c>
      <c r="B760" s="5">
        <v>2023</v>
      </c>
      <c r="C760" s="61">
        <v>45197</v>
      </c>
      <c r="D760" s="14" t="s">
        <v>62</v>
      </c>
      <c r="E760" s="5" t="s">
        <v>68</v>
      </c>
      <c r="F760" s="5">
        <v>3</v>
      </c>
      <c r="G760" s="5" t="s">
        <v>51</v>
      </c>
      <c r="H760" s="5">
        <v>5</v>
      </c>
      <c r="I760" s="5">
        <v>2</v>
      </c>
      <c r="J760" s="5">
        <v>2.5</v>
      </c>
      <c r="K760" s="5" t="s">
        <v>35</v>
      </c>
      <c r="L760" s="7" t="str">
        <f>VLOOKUP(K760, 'Alphabetical by species code'!A:B, 2, FALSE)</f>
        <v>Bareground</v>
      </c>
      <c r="M760" s="7" t="str">
        <f>VLOOKUP(L760, 'Alphabetical by species code'!B:C, 2, FALSE)</f>
        <v>Ground Cover</v>
      </c>
    </row>
    <row r="761" spans="1:13" ht="15.75" customHeight="1" x14ac:dyDescent="0.25">
      <c r="A761" s="5">
        <v>16</v>
      </c>
      <c r="B761" s="5">
        <v>2023</v>
      </c>
      <c r="C761" s="61">
        <v>45197</v>
      </c>
      <c r="D761" s="14" t="s">
        <v>62</v>
      </c>
      <c r="E761" s="5" t="s">
        <v>68</v>
      </c>
      <c r="F761" s="5">
        <v>3</v>
      </c>
      <c r="G761" s="5" t="s">
        <v>51</v>
      </c>
      <c r="H761" s="5">
        <v>6</v>
      </c>
      <c r="I761" s="5">
        <v>2</v>
      </c>
      <c r="J761" s="5">
        <v>3</v>
      </c>
      <c r="K761" s="5" t="s">
        <v>35</v>
      </c>
      <c r="L761" s="7" t="str">
        <f>VLOOKUP(K761, 'Alphabetical by species code'!A:B, 2, FALSE)</f>
        <v>Bareground</v>
      </c>
      <c r="M761" s="7" t="str">
        <f>VLOOKUP(L761, 'Alphabetical by species code'!B:C, 2, FALSE)</f>
        <v>Ground Cover</v>
      </c>
    </row>
    <row r="762" spans="1:13" ht="15.75" customHeight="1" x14ac:dyDescent="0.25">
      <c r="A762" s="5">
        <v>16</v>
      </c>
      <c r="B762" s="5">
        <v>2023</v>
      </c>
      <c r="C762" s="61">
        <v>45197</v>
      </c>
      <c r="D762" s="14" t="s">
        <v>62</v>
      </c>
      <c r="E762" s="5" t="s">
        <v>68</v>
      </c>
      <c r="F762" s="5">
        <v>3</v>
      </c>
      <c r="G762" s="5" t="s">
        <v>51</v>
      </c>
      <c r="H762" s="5">
        <v>7</v>
      </c>
      <c r="I762" s="5">
        <v>2</v>
      </c>
      <c r="J762" s="5">
        <v>3.5</v>
      </c>
      <c r="K762" s="5" t="s">
        <v>27</v>
      </c>
      <c r="L762" s="7" t="str">
        <f>VLOOKUP(K762, 'Alphabetical by species code'!A:B, 2, FALSE)</f>
        <v>Litter</v>
      </c>
      <c r="M762" s="7" t="str">
        <f>VLOOKUP(L762, 'Alphabetical by species code'!B:C, 2, FALSE)</f>
        <v>Ground Cover</v>
      </c>
    </row>
    <row r="763" spans="1:13" ht="15.75" customHeight="1" x14ac:dyDescent="0.25">
      <c r="A763" s="5">
        <v>16</v>
      </c>
      <c r="B763" s="5">
        <v>2023</v>
      </c>
      <c r="C763" s="61">
        <v>45197</v>
      </c>
      <c r="D763" s="14" t="s">
        <v>62</v>
      </c>
      <c r="E763" s="5" t="s">
        <v>68</v>
      </c>
      <c r="F763" s="5">
        <v>3</v>
      </c>
      <c r="G763" s="5" t="s">
        <v>51</v>
      </c>
      <c r="H763" s="5">
        <v>7</v>
      </c>
      <c r="I763" s="5">
        <v>2</v>
      </c>
      <c r="J763" s="5">
        <v>3.5</v>
      </c>
      <c r="K763" s="5" t="s">
        <v>54</v>
      </c>
      <c r="L763" s="7" t="str">
        <f>VLOOKUP(K763, 'Alphabetical by species code'!A:B, 2, FALSE)</f>
        <v>Erodium cicutarium</v>
      </c>
      <c r="M763" s="7" t="str">
        <f>VLOOKUP(L763, 'Alphabetical by species code'!B:C, 2, FALSE)</f>
        <v>Non-Native</v>
      </c>
    </row>
    <row r="764" spans="1:13" ht="15.75" customHeight="1" x14ac:dyDescent="0.25">
      <c r="A764" s="5">
        <v>16</v>
      </c>
      <c r="B764" s="5">
        <v>2023</v>
      </c>
      <c r="C764" s="61">
        <v>45197</v>
      </c>
      <c r="D764" s="14" t="s">
        <v>62</v>
      </c>
      <c r="E764" s="5" t="s">
        <v>68</v>
      </c>
      <c r="F764" s="5">
        <v>3</v>
      </c>
      <c r="G764" s="5" t="s">
        <v>51</v>
      </c>
      <c r="H764" s="5">
        <v>8</v>
      </c>
      <c r="I764" s="5">
        <v>2</v>
      </c>
      <c r="J764" s="5">
        <v>4</v>
      </c>
      <c r="K764" s="5" t="s">
        <v>27</v>
      </c>
      <c r="L764" s="7" t="str">
        <f>VLOOKUP(K764, 'Alphabetical by species code'!A:B, 2, FALSE)</f>
        <v>Litter</v>
      </c>
      <c r="M764" s="7" t="str">
        <f>VLOOKUP(L764, 'Alphabetical by species code'!B:C, 2, FALSE)</f>
        <v>Ground Cover</v>
      </c>
    </row>
    <row r="765" spans="1:13" ht="15.75" customHeight="1" x14ac:dyDescent="0.25">
      <c r="A765" s="5">
        <v>16</v>
      </c>
      <c r="B765" s="5">
        <v>2023</v>
      </c>
      <c r="C765" s="61">
        <v>45197</v>
      </c>
      <c r="D765" s="14" t="s">
        <v>62</v>
      </c>
      <c r="E765" s="5" t="s">
        <v>68</v>
      </c>
      <c r="F765" s="5">
        <v>3</v>
      </c>
      <c r="G765" s="5" t="s">
        <v>51</v>
      </c>
      <c r="H765" s="5">
        <v>8</v>
      </c>
      <c r="I765" s="5">
        <v>2</v>
      </c>
      <c r="J765" s="5">
        <v>4</v>
      </c>
      <c r="K765" s="5" t="s">
        <v>48</v>
      </c>
      <c r="L765" s="7" t="str">
        <f>VLOOKUP(K765, 'Alphabetical by species code'!A:B, 2, FALSE)</f>
        <v>Deinandra fasciculata</v>
      </c>
      <c r="M765" s="7" t="str">
        <f>VLOOKUP(L765, 'Alphabetical by species code'!B:C, 2, FALSE)</f>
        <v>Native</v>
      </c>
    </row>
    <row r="766" spans="1:13" ht="15.75" customHeight="1" x14ac:dyDescent="0.25">
      <c r="A766" s="5">
        <v>16</v>
      </c>
      <c r="B766" s="5">
        <v>2023</v>
      </c>
      <c r="C766" s="61">
        <v>45197</v>
      </c>
      <c r="D766" s="14" t="s">
        <v>62</v>
      </c>
      <c r="E766" s="5" t="s">
        <v>68</v>
      </c>
      <c r="F766" s="5">
        <v>3</v>
      </c>
      <c r="G766" s="5" t="s">
        <v>51</v>
      </c>
      <c r="H766" s="5">
        <v>9</v>
      </c>
      <c r="I766" s="5">
        <v>2</v>
      </c>
      <c r="J766" s="5">
        <v>4.5</v>
      </c>
      <c r="K766" s="5" t="s">
        <v>27</v>
      </c>
      <c r="L766" s="7" t="str">
        <f>VLOOKUP(K766, 'Alphabetical by species code'!A:B, 2, FALSE)</f>
        <v>Litter</v>
      </c>
      <c r="M766" s="7" t="str">
        <f>VLOOKUP(L766, 'Alphabetical by species code'!B:C, 2, FALSE)</f>
        <v>Ground Cover</v>
      </c>
    </row>
    <row r="767" spans="1:13" ht="15.75" customHeight="1" x14ac:dyDescent="0.25">
      <c r="A767" s="5">
        <v>16</v>
      </c>
      <c r="B767" s="5">
        <v>2023</v>
      </c>
      <c r="C767" s="61">
        <v>45197</v>
      </c>
      <c r="D767" s="14" t="s">
        <v>62</v>
      </c>
      <c r="E767" s="5" t="s">
        <v>68</v>
      </c>
      <c r="F767" s="5">
        <v>3</v>
      </c>
      <c r="G767" s="5" t="s">
        <v>51</v>
      </c>
      <c r="H767" s="5">
        <v>9</v>
      </c>
      <c r="I767" s="5">
        <v>2</v>
      </c>
      <c r="J767" s="5">
        <v>4.5</v>
      </c>
      <c r="K767" s="5" t="s">
        <v>48</v>
      </c>
      <c r="L767" s="7" t="str">
        <f>VLOOKUP(K767, 'Alphabetical by species code'!A:B, 2, FALSE)</f>
        <v>Deinandra fasciculata</v>
      </c>
      <c r="M767" s="7" t="str">
        <f>VLOOKUP(L767, 'Alphabetical by species code'!B:C, 2, FALSE)</f>
        <v>Native</v>
      </c>
    </row>
    <row r="768" spans="1:13" ht="15.75" customHeight="1" x14ac:dyDescent="0.25">
      <c r="A768" s="5">
        <v>16</v>
      </c>
      <c r="B768" s="5">
        <v>2023</v>
      </c>
      <c r="C768" s="61">
        <v>45197</v>
      </c>
      <c r="D768" s="14" t="s">
        <v>62</v>
      </c>
      <c r="E768" s="5" t="s">
        <v>68</v>
      </c>
      <c r="F768" s="5">
        <v>3</v>
      </c>
      <c r="G768" s="5" t="s">
        <v>51</v>
      </c>
      <c r="H768" s="5">
        <v>10</v>
      </c>
      <c r="I768" s="5">
        <v>2</v>
      </c>
      <c r="J768" s="5">
        <v>5</v>
      </c>
      <c r="K768" s="5" t="s">
        <v>35</v>
      </c>
      <c r="L768" s="7" t="str">
        <f>VLOOKUP(K768, 'Alphabetical by species code'!A:B, 2, FALSE)</f>
        <v>Bareground</v>
      </c>
      <c r="M768" s="7" t="str">
        <f>VLOOKUP(L768, 'Alphabetical by species code'!B:C, 2, FALSE)</f>
        <v>Ground Cover</v>
      </c>
    </row>
    <row r="769" spans="1:13" ht="15.75" customHeight="1" x14ac:dyDescent="0.25">
      <c r="A769" s="5">
        <v>16</v>
      </c>
      <c r="B769" s="5">
        <v>2023</v>
      </c>
      <c r="C769" s="61">
        <v>45197</v>
      </c>
      <c r="D769" s="14" t="s">
        <v>62</v>
      </c>
      <c r="E769" s="5" t="s">
        <v>68</v>
      </c>
      <c r="F769" s="5">
        <v>3</v>
      </c>
      <c r="G769" s="5" t="s">
        <v>51</v>
      </c>
      <c r="H769" s="5">
        <v>11</v>
      </c>
      <c r="I769" s="5">
        <v>2</v>
      </c>
      <c r="J769" s="5">
        <v>5.5</v>
      </c>
      <c r="K769" s="5" t="s">
        <v>27</v>
      </c>
      <c r="L769" s="7" t="str">
        <f>VLOOKUP(K769, 'Alphabetical by species code'!A:B, 2, FALSE)</f>
        <v>Litter</v>
      </c>
      <c r="M769" s="7" t="str">
        <f>VLOOKUP(L769, 'Alphabetical by species code'!B:C, 2, FALSE)</f>
        <v>Ground Cover</v>
      </c>
    </row>
    <row r="770" spans="1:13" ht="15.75" customHeight="1" x14ac:dyDescent="0.25">
      <c r="A770" s="5">
        <v>16</v>
      </c>
      <c r="B770" s="5">
        <v>2023</v>
      </c>
      <c r="C770" s="61">
        <v>45197</v>
      </c>
      <c r="D770" s="14" t="s">
        <v>62</v>
      </c>
      <c r="E770" s="5" t="s">
        <v>68</v>
      </c>
      <c r="F770" s="5">
        <v>3</v>
      </c>
      <c r="G770" s="5" t="s">
        <v>51</v>
      </c>
      <c r="H770" s="5">
        <v>12</v>
      </c>
      <c r="I770" s="5">
        <v>2</v>
      </c>
      <c r="J770" s="5">
        <v>6</v>
      </c>
      <c r="K770" s="5" t="s">
        <v>58</v>
      </c>
      <c r="L770" s="7" t="str">
        <f>VLOOKUP(K770, 'Alphabetical by species code'!A:B, 2, FALSE)</f>
        <v>Stem</v>
      </c>
      <c r="M770" s="7" t="str">
        <f>VLOOKUP(L770, 'Alphabetical by species code'!B:C, 2, FALSE)</f>
        <v>Ground Cover</v>
      </c>
    </row>
    <row r="771" spans="1:13" ht="15.75" customHeight="1" x14ac:dyDescent="0.25">
      <c r="A771" s="5">
        <v>16</v>
      </c>
      <c r="B771" s="5">
        <v>2023</v>
      </c>
      <c r="C771" s="61">
        <v>45197</v>
      </c>
      <c r="D771" s="14" t="s">
        <v>62</v>
      </c>
      <c r="E771" s="5" t="s">
        <v>68</v>
      </c>
      <c r="F771" s="5">
        <v>3</v>
      </c>
      <c r="G771" s="5" t="s">
        <v>51</v>
      </c>
      <c r="H771" s="5">
        <v>12</v>
      </c>
      <c r="I771" s="5">
        <v>2</v>
      </c>
      <c r="J771" s="5">
        <v>6</v>
      </c>
      <c r="K771" s="5" t="s">
        <v>34</v>
      </c>
      <c r="L771" s="7" t="str">
        <f>VLOOKUP(K771, 'Alphabetical by species code'!A:B, 2, FALSE)</f>
        <v>Centaurea melitensis</v>
      </c>
      <c r="M771" s="7" t="str">
        <f>VLOOKUP(L771, 'Alphabetical by species code'!B:C, 2, FALSE)</f>
        <v>Non-Native</v>
      </c>
    </row>
    <row r="772" spans="1:13" ht="15.75" customHeight="1" x14ac:dyDescent="0.25">
      <c r="A772" s="5">
        <v>16</v>
      </c>
      <c r="B772" s="5">
        <v>2023</v>
      </c>
      <c r="C772" s="61">
        <v>45197</v>
      </c>
      <c r="D772" s="14" t="s">
        <v>62</v>
      </c>
      <c r="E772" s="5" t="s">
        <v>68</v>
      </c>
      <c r="F772" s="5">
        <v>3</v>
      </c>
      <c r="G772" s="5" t="s">
        <v>51</v>
      </c>
      <c r="H772" s="5">
        <v>12</v>
      </c>
      <c r="I772" s="5">
        <v>2</v>
      </c>
      <c r="J772" s="5">
        <v>6</v>
      </c>
      <c r="K772" s="5" t="s">
        <v>54</v>
      </c>
      <c r="L772" s="7" t="str">
        <f>VLOOKUP(K772, 'Alphabetical by species code'!A:B, 2, FALSE)</f>
        <v>Erodium cicutarium</v>
      </c>
      <c r="M772" s="7" t="str">
        <f>VLOOKUP(L772, 'Alphabetical by species code'!B:C, 2, FALSE)</f>
        <v>Non-Native</v>
      </c>
    </row>
    <row r="773" spans="1:13" ht="15.75" customHeight="1" x14ac:dyDescent="0.25">
      <c r="A773" s="5">
        <v>16</v>
      </c>
      <c r="B773" s="5">
        <v>2023</v>
      </c>
      <c r="C773" s="61">
        <v>45197</v>
      </c>
      <c r="D773" s="14" t="s">
        <v>62</v>
      </c>
      <c r="E773" s="5" t="s">
        <v>68</v>
      </c>
      <c r="F773" s="5">
        <v>3</v>
      </c>
      <c r="G773" s="5" t="s">
        <v>51</v>
      </c>
      <c r="H773" s="5">
        <v>13</v>
      </c>
      <c r="I773" s="5">
        <v>2</v>
      </c>
      <c r="J773" s="5">
        <v>6.5</v>
      </c>
      <c r="K773" s="5" t="s">
        <v>27</v>
      </c>
      <c r="L773" s="7" t="str">
        <f>VLOOKUP(K773, 'Alphabetical by species code'!A:B, 2, FALSE)</f>
        <v>Litter</v>
      </c>
      <c r="M773" s="7" t="str">
        <f>VLOOKUP(L773, 'Alphabetical by species code'!B:C, 2, FALSE)</f>
        <v>Ground Cover</v>
      </c>
    </row>
    <row r="774" spans="1:13" ht="15.75" customHeight="1" x14ac:dyDescent="0.25">
      <c r="A774" s="5">
        <v>16</v>
      </c>
      <c r="B774" s="5">
        <v>2023</v>
      </c>
      <c r="C774" s="61">
        <v>45197</v>
      </c>
      <c r="D774" s="14" t="s">
        <v>62</v>
      </c>
      <c r="E774" s="5" t="s">
        <v>68</v>
      </c>
      <c r="F774" s="5">
        <v>3</v>
      </c>
      <c r="G774" s="5" t="s">
        <v>51</v>
      </c>
      <c r="H774" s="5">
        <v>14</v>
      </c>
      <c r="I774" s="5">
        <v>2</v>
      </c>
      <c r="J774" s="5">
        <v>7</v>
      </c>
      <c r="K774" s="5" t="s">
        <v>58</v>
      </c>
      <c r="L774" s="7" t="str">
        <f>VLOOKUP(K774, 'Alphabetical by species code'!A:B, 2, FALSE)</f>
        <v>Stem</v>
      </c>
      <c r="M774" s="7" t="str">
        <f>VLOOKUP(L774, 'Alphabetical by species code'!B:C, 2, FALSE)</f>
        <v>Ground Cover</v>
      </c>
    </row>
    <row r="775" spans="1:13" ht="15.75" customHeight="1" x14ac:dyDescent="0.25">
      <c r="A775" s="5">
        <v>16</v>
      </c>
      <c r="B775" s="5">
        <v>2023</v>
      </c>
      <c r="C775" s="61">
        <v>45197</v>
      </c>
      <c r="D775" s="14" t="s">
        <v>62</v>
      </c>
      <c r="E775" s="5" t="s">
        <v>68</v>
      </c>
      <c r="F775" s="5">
        <v>3</v>
      </c>
      <c r="G775" s="5" t="s">
        <v>51</v>
      </c>
      <c r="H775" s="5">
        <v>14</v>
      </c>
      <c r="I775" s="5">
        <v>2</v>
      </c>
      <c r="J775" s="5">
        <v>7</v>
      </c>
      <c r="K775" s="5" t="s">
        <v>34</v>
      </c>
      <c r="L775" s="7" t="str">
        <f>VLOOKUP(K775, 'Alphabetical by species code'!A:B, 2, FALSE)</f>
        <v>Centaurea melitensis</v>
      </c>
      <c r="M775" s="7" t="str">
        <f>VLOOKUP(L775, 'Alphabetical by species code'!B:C, 2, FALSE)</f>
        <v>Non-Native</v>
      </c>
    </row>
    <row r="776" spans="1:13" ht="15.75" customHeight="1" x14ac:dyDescent="0.25">
      <c r="A776" s="5">
        <v>16</v>
      </c>
      <c r="B776" s="5">
        <v>2023</v>
      </c>
      <c r="C776" s="61">
        <v>45197</v>
      </c>
      <c r="D776" s="14" t="s">
        <v>62</v>
      </c>
      <c r="E776" s="5" t="s">
        <v>68</v>
      </c>
      <c r="F776" s="5">
        <v>3</v>
      </c>
      <c r="G776" s="5" t="s">
        <v>51</v>
      </c>
      <c r="H776" s="5">
        <v>15</v>
      </c>
      <c r="I776" s="5">
        <v>2</v>
      </c>
      <c r="J776" s="5">
        <v>7.5</v>
      </c>
      <c r="K776" s="5" t="s">
        <v>35</v>
      </c>
      <c r="L776" s="7" t="str">
        <f>VLOOKUP(K776, 'Alphabetical by species code'!A:B, 2, FALSE)</f>
        <v>Bareground</v>
      </c>
      <c r="M776" s="7" t="str">
        <f>VLOOKUP(L776, 'Alphabetical by species code'!B:C, 2, FALSE)</f>
        <v>Ground Cover</v>
      </c>
    </row>
    <row r="777" spans="1:13" ht="15.75" customHeight="1" x14ac:dyDescent="0.25">
      <c r="A777" s="5">
        <v>17</v>
      </c>
      <c r="B777" s="5">
        <v>2023</v>
      </c>
      <c r="C777" s="61">
        <v>45197</v>
      </c>
      <c r="D777" s="5" t="s">
        <v>70</v>
      </c>
      <c r="E777" s="5" t="s">
        <v>68</v>
      </c>
      <c r="F777" s="5">
        <v>1</v>
      </c>
      <c r="G777" s="5" t="s">
        <v>26</v>
      </c>
      <c r="H777" s="5">
        <v>1</v>
      </c>
      <c r="I777" s="5">
        <v>1</v>
      </c>
      <c r="J777" s="5">
        <v>0</v>
      </c>
      <c r="K777" s="5" t="s">
        <v>35</v>
      </c>
      <c r="L777" s="7" t="str">
        <f>VLOOKUP(K777, 'Alphabetical by species code'!A:B, 2, FALSE)</f>
        <v>Bareground</v>
      </c>
      <c r="M777" s="7" t="str">
        <f>VLOOKUP(L777, 'Alphabetical by species code'!B:C, 2, FALSE)</f>
        <v>Ground Cover</v>
      </c>
    </row>
    <row r="778" spans="1:13" ht="15.75" customHeight="1" x14ac:dyDescent="0.25">
      <c r="A778" s="5">
        <v>17</v>
      </c>
      <c r="B778" s="5">
        <v>2023</v>
      </c>
      <c r="C778" s="61">
        <v>45197</v>
      </c>
      <c r="D778" s="5" t="s">
        <v>70</v>
      </c>
      <c r="E778" s="5" t="s">
        <v>68</v>
      </c>
      <c r="F778" s="5">
        <v>1</v>
      </c>
      <c r="G778" s="5" t="s">
        <v>26</v>
      </c>
      <c r="H778" s="5">
        <v>1</v>
      </c>
      <c r="I778" s="5">
        <v>1</v>
      </c>
      <c r="J778" s="5">
        <v>0</v>
      </c>
      <c r="K778" s="5" t="s">
        <v>48</v>
      </c>
      <c r="L778" s="7" t="str">
        <f>VLOOKUP(K778, 'Alphabetical by species code'!A:B, 2, FALSE)</f>
        <v>Deinandra fasciculata</v>
      </c>
      <c r="M778" s="7" t="str">
        <f>VLOOKUP(L778, 'Alphabetical by species code'!B:C, 2, FALSE)</f>
        <v>Native</v>
      </c>
    </row>
    <row r="779" spans="1:13" ht="15.75" customHeight="1" x14ac:dyDescent="0.25">
      <c r="A779" s="5">
        <v>17</v>
      </c>
      <c r="B779" s="15">
        <v>2023</v>
      </c>
      <c r="C779" s="61">
        <v>45197</v>
      </c>
      <c r="D779" s="5" t="s">
        <v>70</v>
      </c>
      <c r="E779" s="5" t="s">
        <v>68</v>
      </c>
      <c r="F779" s="5">
        <v>1</v>
      </c>
      <c r="G779" s="5" t="s">
        <v>26</v>
      </c>
      <c r="H779" s="5">
        <v>2</v>
      </c>
      <c r="I779" s="5">
        <v>1</v>
      </c>
      <c r="J779" s="5">
        <v>1</v>
      </c>
      <c r="K779" s="5" t="s">
        <v>27</v>
      </c>
      <c r="L779" s="7" t="str">
        <f>VLOOKUP(K779, 'Alphabetical by species code'!A:B, 2, FALSE)</f>
        <v>Litter</v>
      </c>
      <c r="M779" s="7" t="str">
        <f>VLOOKUP(L779, 'Alphabetical by species code'!B:C, 2, FALSE)</f>
        <v>Ground Cover</v>
      </c>
    </row>
    <row r="780" spans="1:13" ht="15.75" customHeight="1" x14ac:dyDescent="0.25">
      <c r="A780" s="5">
        <v>17</v>
      </c>
      <c r="B780" s="15">
        <v>2023</v>
      </c>
      <c r="C780" s="61">
        <v>45197</v>
      </c>
      <c r="D780" s="5" t="s">
        <v>70</v>
      </c>
      <c r="E780" s="5" t="s">
        <v>68</v>
      </c>
      <c r="F780" s="5">
        <v>1</v>
      </c>
      <c r="G780" s="5" t="s">
        <v>26</v>
      </c>
      <c r="H780" s="5">
        <v>2</v>
      </c>
      <c r="I780" s="5">
        <v>1</v>
      </c>
      <c r="J780" s="5">
        <v>1</v>
      </c>
      <c r="K780" s="5" t="s">
        <v>30</v>
      </c>
      <c r="L780" s="7" t="str">
        <f>VLOOKUP(K780, 'Alphabetical by species code'!A:B, 2, FALSE)</f>
        <v>Non Native Grass</v>
      </c>
      <c r="M780" s="7" t="str">
        <f>VLOOKUP(L780, 'Alphabetical by species code'!B:C, 2, FALSE)</f>
        <v>Non-Native</v>
      </c>
    </row>
    <row r="781" spans="1:13" ht="15.75" customHeight="1" x14ac:dyDescent="0.25">
      <c r="A781" s="5">
        <v>17</v>
      </c>
      <c r="B781" s="15">
        <v>2023</v>
      </c>
      <c r="C781" s="61">
        <v>45197</v>
      </c>
      <c r="D781" s="5" t="s">
        <v>70</v>
      </c>
      <c r="E781" s="5" t="s">
        <v>68</v>
      </c>
      <c r="F781" s="5">
        <v>1</v>
      </c>
      <c r="G781" s="5" t="s">
        <v>26</v>
      </c>
      <c r="H781" s="5">
        <v>2</v>
      </c>
      <c r="I781" s="5">
        <v>1</v>
      </c>
      <c r="J781" s="5">
        <v>1</v>
      </c>
      <c r="K781" s="5" t="s">
        <v>48</v>
      </c>
      <c r="L781" s="7" t="str">
        <f>VLOOKUP(K781, 'Alphabetical by species code'!A:B, 2, FALSE)</f>
        <v>Deinandra fasciculata</v>
      </c>
      <c r="M781" s="7" t="str">
        <f>VLOOKUP(L781, 'Alphabetical by species code'!B:C, 2, FALSE)</f>
        <v>Native</v>
      </c>
    </row>
    <row r="782" spans="1:13" ht="15.75" customHeight="1" x14ac:dyDescent="0.25">
      <c r="A782" s="5">
        <v>17</v>
      </c>
      <c r="B782" s="15">
        <v>2023</v>
      </c>
      <c r="C782" s="61">
        <v>45197</v>
      </c>
      <c r="D782" s="14" t="s">
        <v>70</v>
      </c>
      <c r="E782" s="5" t="s">
        <v>68</v>
      </c>
      <c r="F782" s="5">
        <v>1</v>
      </c>
      <c r="G782" s="5" t="s">
        <v>26</v>
      </c>
      <c r="H782" s="5">
        <v>3</v>
      </c>
      <c r="I782" s="5">
        <v>1</v>
      </c>
      <c r="J782" s="5">
        <v>1.5</v>
      </c>
      <c r="K782" s="5" t="s">
        <v>27</v>
      </c>
      <c r="L782" s="7" t="str">
        <f>VLOOKUP(K782, 'Alphabetical by species code'!A:B, 2, FALSE)</f>
        <v>Litter</v>
      </c>
      <c r="M782" s="7" t="str">
        <f>VLOOKUP(L782, 'Alphabetical by species code'!B:C, 2, FALSE)</f>
        <v>Ground Cover</v>
      </c>
    </row>
    <row r="783" spans="1:13" ht="15.75" customHeight="1" x14ac:dyDescent="0.25">
      <c r="A783" s="5">
        <v>17</v>
      </c>
      <c r="B783" s="15">
        <v>2023</v>
      </c>
      <c r="C783" s="61">
        <v>45197</v>
      </c>
      <c r="D783" s="14" t="s">
        <v>70</v>
      </c>
      <c r="E783" s="5" t="s">
        <v>68</v>
      </c>
      <c r="F783" s="5">
        <v>1</v>
      </c>
      <c r="G783" s="5" t="s">
        <v>26</v>
      </c>
      <c r="H783" s="5">
        <v>3</v>
      </c>
      <c r="I783" s="5">
        <v>1</v>
      </c>
      <c r="J783" s="5">
        <v>1.5</v>
      </c>
      <c r="K783" s="5" t="s">
        <v>55</v>
      </c>
      <c r="L783" s="7" t="str">
        <f>VLOOKUP(K783, 'Alphabetical by species code'!A:B, 2, FALSE)</f>
        <v>Brassica nigra</v>
      </c>
      <c r="M783" s="7" t="str">
        <f>VLOOKUP(L783, 'Alphabetical by species code'!B:C, 2, FALSE)</f>
        <v>Non-Native</v>
      </c>
    </row>
    <row r="784" spans="1:13" ht="15.75" customHeight="1" x14ac:dyDescent="0.25">
      <c r="A784" s="5">
        <v>17</v>
      </c>
      <c r="B784" s="15">
        <v>2023</v>
      </c>
      <c r="C784" s="61">
        <v>45197</v>
      </c>
      <c r="D784" s="14" t="s">
        <v>70</v>
      </c>
      <c r="E784" s="5" t="s">
        <v>68</v>
      </c>
      <c r="F784" s="5">
        <v>1</v>
      </c>
      <c r="G784" s="5" t="s">
        <v>26</v>
      </c>
      <c r="H784" s="5">
        <v>3</v>
      </c>
      <c r="I784" s="5">
        <v>1</v>
      </c>
      <c r="J784" s="5">
        <v>1.5</v>
      </c>
      <c r="K784" s="5" t="s">
        <v>48</v>
      </c>
      <c r="L784" s="7" t="str">
        <f>VLOOKUP(K784, 'Alphabetical by species code'!A:B, 2, FALSE)</f>
        <v>Deinandra fasciculata</v>
      </c>
      <c r="M784" s="7" t="str">
        <f>VLOOKUP(L784, 'Alphabetical by species code'!B:C, 2, FALSE)</f>
        <v>Native</v>
      </c>
    </row>
    <row r="785" spans="1:13" ht="15.75" customHeight="1" x14ac:dyDescent="0.25">
      <c r="A785" s="5">
        <v>17</v>
      </c>
      <c r="B785" s="15">
        <v>2023</v>
      </c>
      <c r="C785" s="62">
        <v>45197</v>
      </c>
      <c r="D785" s="5" t="s">
        <v>70</v>
      </c>
      <c r="E785" s="5" t="s">
        <v>68</v>
      </c>
      <c r="F785" s="5">
        <v>1</v>
      </c>
      <c r="G785" s="5" t="s">
        <v>26</v>
      </c>
      <c r="H785" s="5">
        <v>4</v>
      </c>
      <c r="I785" s="5">
        <v>1</v>
      </c>
      <c r="J785" s="5">
        <v>2</v>
      </c>
      <c r="K785" s="5" t="s">
        <v>27</v>
      </c>
      <c r="L785" s="7" t="str">
        <f>VLOOKUP(K785, 'Alphabetical by species code'!A:B, 2, FALSE)</f>
        <v>Litter</v>
      </c>
      <c r="M785" s="7" t="str">
        <f>VLOOKUP(L785, 'Alphabetical by species code'!B:C, 2, FALSE)</f>
        <v>Ground Cover</v>
      </c>
    </row>
    <row r="786" spans="1:13" ht="15.75" customHeight="1" x14ac:dyDescent="0.25">
      <c r="A786" s="5">
        <v>17</v>
      </c>
      <c r="B786" s="15">
        <v>2023</v>
      </c>
      <c r="C786" s="62">
        <v>45197</v>
      </c>
      <c r="D786" s="5" t="s">
        <v>70</v>
      </c>
      <c r="E786" s="5" t="s">
        <v>68</v>
      </c>
      <c r="F786" s="5">
        <v>1</v>
      </c>
      <c r="G786" s="5" t="s">
        <v>26</v>
      </c>
      <c r="H786" s="5">
        <v>4</v>
      </c>
      <c r="I786" s="5">
        <v>1</v>
      </c>
      <c r="J786" s="5">
        <v>2</v>
      </c>
      <c r="K786" s="5" t="s">
        <v>30</v>
      </c>
      <c r="L786" s="7" t="str">
        <f>VLOOKUP(K786, 'Alphabetical by species code'!A:B, 2, FALSE)</f>
        <v>Non Native Grass</v>
      </c>
      <c r="M786" s="7" t="str">
        <f>VLOOKUP(L786, 'Alphabetical by species code'!B:C, 2, FALSE)</f>
        <v>Non-Native</v>
      </c>
    </row>
    <row r="787" spans="1:13" ht="15.75" customHeight="1" x14ac:dyDescent="0.25">
      <c r="A787" s="5">
        <v>17</v>
      </c>
      <c r="B787" s="15">
        <v>2023</v>
      </c>
      <c r="C787" s="62">
        <v>45197</v>
      </c>
      <c r="D787" s="5" t="s">
        <v>70</v>
      </c>
      <c r="E787" s="5" t="s">
        <v>68</v>
      </c>
      <c r="F787" s="5">
        <v>1</v>
      </c>
      <c r="G787" s="5" t="s">
        <v>26</v>
      </c>
      <c r="H787" s="5">
        <v>4</v>
      </c>
      <c r="I787" s="5">
        <v>1</v>
      </c>
      <c r="J787" s="5">
        <v>2</v>
      </c>
      <c r="K787" s="5" t="s">
        <v>48</v>
      </c>
      <c r="L787" s="7" t="str">
        <f>VLOOKUP(K787, 'Alphabetical by species code'!A:B, 2, FALSE)</f>
        <v>Deinandra fasciculata</v>
      </c>
      <c r="M787" s="7" t="str">
        <f>VLOOKUP(L787, 'Alphabetical by species code'!B:C, 2, FALSE)</f>
        <v>Native</v>
      </c>
    </row>
    <row r="788" spans="1:13" ht="15.75" customHeight="1" x14ac:dyDescent="0.25">
      <c r="A788" s="5">
        <v>17</v>
      </c>
      <c r="B788" s="15">
        <v>2023</v>
      </c>
      <c r="C788" s="62">
        <v>45197</v>
      </c>
      <c r="D788" s="5" t="s">
        <v>70</v>
      </c>
      <c r="E788" s="5" t="s">
        <v>68</v>
      </c>
      <c r="F788" s="5">
        <v>1</v>
      </c>
      <c r="G788" s="5" t="s">
        <v>26</v>
      </c>
      <c r="H788" s="5">
        <v>5</v>
      </c>
      <c r="I788" s="5">
        <v>1</v>
      </c>
      <c r="J788" s="5">
        <v>3</v>
      </c>
      <c r="K788" s="5" t="s">
        <v>35</v>
      </c>
      <c r="L788" s="7" t="str">
        <f>VLOOKUP(K788, 'Alphabetical by species code'!A:B, 2, FALSE)</f>
        <v>Bareground</v>
      </c>
      <c r="M788" s="7" t="str">
        <f>VLOOKUP(L788, 'Alphabetical by species code'!B:C, 2, FALSE)</f>
        <v>Ground Cover</v>
      </c>
    </row>
    <row r="789" spans="1:13" ht="15.75" customHeight="1" x14ac:dyDescent="0.25">
      <c r="A789" s="5">
        <v>17</v>
      </c>
      <c r="B789" s="15">
        <v>2023</v>
      </c>
      <c r="C789" s="62">
        <v>45197</v>
      </c>
      <c r="D789" s="5" t="s">
        <v>70</v>
      </c>
      <c r="E789" s="5" t="s">
        <v>68</v>
      </c>
      <c r="F789" s="5">
        <v>1</v>
      </c>
      <c r="G789" s="5" t="s">
        <v>26</v>
      </c>
      <c r="H789" s="5">
        <v>5</v>
      </c>
      <c r="I789" s="5">
        <v>1</v>
      </c>
      <c r="J789" s="5">
        <v>3</v>
      </c>
      <c r="K789" s="5" t="s">
        <v>48</v>
      </c>
      <c r="L789" s="7" t="str">
        <f>VLOOKUP(K789, 'Alphabetical by species code'!A:B, 2, FALSE)</f>
        <v>Deinandra fasciculata</v>
      </c>
      <c r="M789" s="7" t="str">
        <f>VLOOKUP(L789, 'Alphabetical by species code'!B:C, 2, FALSE)</f>
        <v>Native</v>
      </c>
    </row>
    <row r="790" spans="1:13" ht="15.75" customHeight="1" x14ac:dyDescent="0.25">
      <c r="A790" s="5">
        <v>17</v>
      </c>
      <c r="B790" s="15">
        <v>2023</v>
      </c>
      <c r="C790" s="62">
        <v>45197</v>
      </c>
      <c r="D790" s="5" t="s">
        <v>70</v>
      </c>
      <c r="E790" s="5" t="s">
        <v>68</v>
      </c>
      <c r="F790" s="5">
        <v>1</v>
      </c>
      <c r="G790" s="5" t="s">
        <v>26</v>
      </c>
      <c r="H790" s="5">
        <v>6</v>
      </c>
      <c r="I790" s="5">
        <v>1</v>
      </c>
      <c r="J790" s="5">
        <v>3.5</v>
      </c>
      <c r="K790" s="5" t="s">
        <v>35</v>
      </c>
      <c r="L790" s="7" t="str">
        <f>VLOOKUP(K790, 'Alphabetical by species code'!A:B, 2, FALSE)</f>
        <v>Bareground</v>
      </c>
      <c r="M790" s="7" t="str">
        <f>VLOOKUP(L790, 'Alphabetical by species code'!B:C, 2, FALSE)</f>
        <v>Ground Cover</v>
      </c>
    </row>
    <row r="791" spans="1:13" ht="15.75" customHeight="1" x14ac:dyDescent="0.25">
      <c r="A791" s="5">
        <v>17</v>
      </c>
      <c r="B791" s="15">
        <v>2023</v>
      </c>
      <c r="C791" s="62">
        <v>45197</v>
      </c>
      <c r="D791" s="5" t="s">
        <v>70</v>
      </c>
      <c r="E791" s="5" t="s">
        <v>68</v>
      </c>
      <c r="F791" s="5">
        <v>1</v>
      </c>
      <c r="G791" s="5" t="s">
        <v>26</v>
      </c>
      <c r="H791" s="5">
        <v>6</v>
      </c>
      <c r="I791" s="5">
        <v>1</v>
      </c>
      <c r="J791" s="5">
        <v>3.5</v>
      </c>
      <c r="K791" s="5" t="s">
        <v>48</v>
      </c>
      <c r="L791" s="7" t="str">
        <f>VLOOKUP(K791, 'Alphabetical by species code'!A:B, 2, FALSE)</f>
        <v>Deinandra fasciculata</v>
      </c>
      <c r="M791" s="7" t="str">
        <f>VLOOKUP(L791, 'Alphabetical by species code'!B:C, 2, FALSE)</f>
        <v>Native</v>
      </c>
    </row>
    <row r="792" spans="1:13" ht="15.75" customHeight="1" x14ac:dyDescent="0.25">
      <c r="A792" s="5">
        <v>17</v>
      </c>
      <c r="B792" s="15">
        <v>2023</v>
      </c>
      <c r="C792" s="62">
        <v>45197</v>
      </c>
      <c r="D792" s="5" t="s">
        <v>70</v>
      </c>
      <c r="E792" s="5" t="s">
        <v>68</v>
      </c>
      <c r="F792" s="5">
        <v>1</v>
      </c>
      <c r="G792" s="5" t="s">
        <v>26</v>
      </c>
      <c r="H792" s="5">
        <v>7</v>
      </c>
      <c r="I792" s="5">
        <v>1</v>
      </c>
      <c r="J792" s="5">
        <v>4</v>
      </c>
      <c r="K792" s="5" t="s">
        <v>27</v>
      </c>
      <c r="L792" s="7" t="str">
        <f>VLOOKUP(K792, 'Alphabetical by species code'!A:B, 2, FALSE)</f>
        <v>Litter</v>
      </c>
      <c r="M792" s="7" t="str">
        <f>VLOOKUP(L792, 'Alphabetical by species code'!B:C, 2, FALSE)</f>
        <v>Ground Cover</v>
      </c>
    </row>
    <row r="793" spans="1:13" ht="15.75" customHeight="1" x14ac:dyDescent="0.25">
      <c r="A793" s="5">
        <v>17</v>
      </c>
      <c r="B793" s="15">
        <v>2023</v>
      </c>
      <c r="C793" s="62">
        <v>45197</v>
      </c>
      <c r="D793" s="5" t="s">
        <v>70</v>
      </c>
      <c r="E793" s="5" t="s">
        <v>68</v>
      </c>
      <c r="F793" s="5">
        <v>1</v>
      </c>
      <c r="G793" s="5" t="s">
        <v>26</v>
      </c>
      <c r="H793" s="5">
        <v>7</v>
      </c>
      <c r="I793" s="5">
        <v>1</v>
      </c>
      <c r="J793" s="5">
        <v>4</v>
      </c>
      <c r="K793" s="5" t="s">
        <v>48</v>
      </c>
      <c r="L793" s="7" t="str">
        <f>VLOOKUP(K793, 'Alphabetical by species code'!A:B, 2, FALSE)</f>
        <v>Deinandra fasciculata</v>
      </c>
      <c r="M793" s="7" t="str">
        <f>VLOOKUP(L793, 'Alphabetical by species code'!B:C, 2, FALSE)</f>
        <v>Native</v>
      </c>
    </row>
    <row r="794" spans="1:13" ht="15.75" customHeight="1" x14ac:dyDescent="0.25">
      <c r="A794" s="5">
        <v>17</v>
      </c>
      <c r="B794" s="15">
        <v>2023</v>
      </c>
      <c r="C794" s="62">
        <v>45197</v>
      </c>
      <c r="D794" s="5" t="s">
        <v>70</v>
      </c>
      <c r="E794" s="5" t="s">
        <v>68</v>
      </c>
      <c r="F794" s="5">
        <v>1</v>
      </c>
      <c r="G794" s="5" t="s">
        <v>26</v>
      </c>
      <c r="H794" s="5">
        <v>8</v>
      </c>
      <c r="I794" s="5">
        <v>1</v>
      </c>
      <c r="J794" s="5">
        <v>5</v>
      </c>
      <c r="K794" s="5" t="s">
        <v>27</v>
      </c>
      <c r="L794" s="7" t="str">
        <f>VLOOKUP(K794, 'Alphabetical by species code'!A:B, 2, FALSE)</f>
        <v>Litter</v>
      </c>
      <c r="M794" s="7" t="str">
        <f>VLOOKUP(L794, 'Alphabetical by species code'!B:C, 2, FALSE)</f>
        <v>Ground Cover</v>
      </c>
    </row>
    <row r="795" spans="1:13" ht="15.75" customHeight="1" x14ac:dyDescent="0.25">
      <c r="A795" s="5">
        <v>17</v>
      </c>
      <c r="B795" s="15">
        <v>2023</v>
      </c>
      <c r="C795" s="62">
        <v>45197</v>
      </c>
      <c r="D795" s="5" t="s">
        <v>70</v>
      </c>
      <c r="E795" s="5" t="s">
        <v>68</v>
      </c>
      <c r="F795" s="5">
        <v>1</v>
      </c>
      <c r="G795" s="5" t="s">
        <v>26</v>
      </c>
      <c r="H795" s="5">
        <v>8</v>
      </c>
      <c r="I795" s="5">
        <v>1</v>
      </c>
      <c r="J795" s="5">
        <v>5</v>
      </c>
      <c r="K795" s="5" t="s">
        <v>48</v>
      </c>
      <c r="L795" s="7" t="str">
        <f>VLOOKUP(K795, 'Alphabetical by species code'!A:B, 2, FALSE)</f>
        <v>Deinandra fasciculata</v>
      </c>
      <c r="M795" s="7" t="str">
        <f>VLOOKUP(L795, 'Alphabetical by species code'!B:C, 2, FALSE)</f>
        <v>Native</v>
      </c>
    </row>
    <row r="796" spans="1:13" ht="15.75" customHeight="1" x14ac:dyDescent="0.25">
      <c r="A796" s="5">
        <v>17</v>
      </c>
      <c r="B796" s="15">
        <v>2023</v>
      </c>
      <c r="C796" s="62">
        <v>45197</v>
      </c>
      <c r="D796" s="5" t="s">
        <v>70</v>
      </c>
      <c r="E796" s="5" t="s">
        <v>68</v>
      </c>
      <c r="F796" s="5">
        <v>1</v>
      </c>
      <c r="G796" s="5" t="s">
        <v>26</v>
      </c>
      <c r="H796" s="5">
        <v>9</v>
      </c>
      <c r="I796" s="5">
        <v>1</v>
      </c>
      <c r="J796" s="5">
        <v>7</v>
      </c>
      <c r="K796" s="5" t="s">
        <v>35</v>
      </c>
      <c r="L796" s="7" t="str">
        <f>VLOOKUP(K796, 'Alphabetical by species code'!A:B, 2, FALSE)</f>
        <v>Bareground</v>
      </c>
      <c r="M796" s="7" t="str">
        <f>VLOOKUP(L796, 'Alphabetical by species code'!B:C, 2, FALSE)</f>
        <v>Ground Cover</v>
      </c>
    </row>
    <row r="797" spans="1:13" ht="15.75" customHeight="1" x14ac:dyDescent="0.25">
      <c r="A797" s="5">
        <v>17</v>
      </c>
      <c r="B797" s="15">
        <v>2023</v>
      </c>
      <c r="C797" s="62">
        <v>45197</v>
      </c>
      <c r="D797" s="5" t="s">
        <v>70</v>
      </c>
      <c r="E797" s="5" t="s">
        <v>68</v>
      </c>
      <c r="F797" s="5">
        <v>1</v>
      </c>
      <c r="G797" s="5" t="s">
        <v>26</v>
      </c>
      <c r="H797" s="5">
        <v>9</v>
      </c>
      <c r="I797" s="5">
        <v>1</v>
      </c>
      <c r="J797" s="5">
        <v>7</v>
      </c>
      <c r="K797" s="5" t="s">
        <v>48</v>
      </c>
      <c r="L797" s="7" t="str">
        <f>VLOOKUP(K797, 'Alphabetical by species code'!A:B, 2, FALSE)</f>
        <v>Deinandra fasciculata</v>
      </c>
      <c r="M797" s="7" t="str">
        <f>VLOOKUP(L797, 'Alphabetical by species code'!B:C, 2, FALSE)</f>
        <v>Native</v>
      </c>
    </row>
    <row r="798" spans="1:13" ht="15.75" customHeight="1" x14ac:dyDescent="0.25">
      <c r="A798" s="5">
        <v>17</v>
      </c>
      <c r="B798" s="15">
        <v>2023</v>
      </c>
      <c r="C798" s="62">
        <v>45197</v>
      </c>
      <c r="D798" s="5" t="s">
        <v>70</v>
      </c>
      <c r="E798" s="5" t="s">
        <v>68</v>
      </c>
      <c r="F798" s="5">
        <v>1</v>
      </c>
      <c r="G798" s="5" t="s">
        <v>26</v>
      </c>
      <c r="H798" s="5">
        <v>10</v>
      </c>
      <c r="I798" s="5">
        <v>1</v>
      </c>
      <c r="J798" s="5">
        <v>8</v>
      </c>
      <c r="K798" s="5" t="s">
        <v>35</v>
      </c>
      <c r="L798" s="7" t="str">
        <f>VLOOKUP(K798, 'Alphabetical by species code'!A:B, 2, FALSE)</f>
        <v>Bareground</v>
      </c>
      <c r="M798" s="7" t="str">
        <f>VLOOKUP(L798, 'Alphabetical by species code'!B:C, 2, FALSE)</f>
        <v>Ground Cover</v>
      </c>
    </row>
    <row r="799" spans="1:13" ht="15.75" customHeight="1" x14ac:dyDescent="0.25">
      <c r="A799" s="5">
        <v>17</v>
      </c>
      <c r="B799" s="15">
        <v>2023</v>
      </c>
      <c r="C799" s="62">
        <v>45197</v>
      </c>
      <c r="D799" s="5" t="s">
        <v>70</v>
      </c>
      <c r="E799" s="5" t="s">
        <v>68</v>
      </c>
      <c r="F799" s="5">
        <v>1</v>
      </c>
      <c r="G799" s="5" t="s">
        <v>26</v>
      </c>
      <c r="H799" s="5">
        <v>11</v>
      </c>
      <c r="I799" s="5">
        <v>1</v>
      </c>
      <c r="J799" s="5">
        <v>8.5</v>
      </c>
      <c r="K799" s="5" t="s">
        <v>35</v>
      </c>
      <c r="L799" s="7" t="str">
        <f>VLOOKUP(K799, 'Alphabetical by species code'!A:B, 2, FALSE)</f>
        <v>Bareground</v>
      </c>
      <c r="M799" s="7" t="str">
        <f>VLOOKUP(L799, 'Alphabetical by species code'!B:C, 2, FALSE)</f>
        <v>Ground Cover</v>
      </c>
    </row>
    <row r="800" spans="1:13" ht="15.75" customHeight="1" x14ac:dyDescent="0.25">
      <c r="A800" s="5">
        <v>17</v>
      </c>
      <c r="B800" s="15">
        <v>2023</v>
      </c>
      <c r="C800" s="62">
        <v>45197</v>
      </c>
      <c r="D800" s="5" t="s">
        <v>70</v>
      </c>
      <c r="E800" s="5" t="s">
        <v>68</v>
      </c>
      <c r="F800" s="5">
        <v>1</v>
      </c>
      <c r="G800" s="5" t="s">
        <v>26</v>
      </c>
      <c r="H800" s="5">
        <v>11</v>
      </c>
      <c r="I800" s="5">
        <v>1</v>
      </c>
      <c r="J800" s="5">
        <v>8.5</v>
      </c>
      <c r="K800" s="5" t="s">
        <v>48</v>
      </c>
      <c r="L800" s="7" t="str">
        <f>VLOOKUP(K800, 'Alphabetical by species code'!A:B, 2, FALSE)</f>
        <v>Deinandra fasciculata</v>
      </c>
      <c r="M800" s="7" t="str">
        <f>VLOOKUP(L800, 'Alphabetical by species code'!B:C, 2, FALSE)</f>
        <v>Native</v>
      </c>
    </row>
    <row r="801" spans="1:13" ht="15.75" customHeight="1" x14ac:dyDescent="0.25">
      <c r="A801" s="5">
        <v>17</v>
      </c>
      <c r="B801" s="15">
        <v>2023</v>
      </c>
      <c r="C801" s="62">
        <v>45197</v>
      </c>
      <c r="D801" s="5" t="s">
        <v>70</v>
      </c>
      <c r="E801" s="5" t="s">
        <v>68</v>
      </c>
      <c r="F801" s="5">
        <v>1</v>
      </c>
      <c r="G801" s="5" t="s">
        <v>26</v>
      </c>
      <c r="H801" s="5">
        <v>12</v>
      </c>
      <c r="I801" s="5">
        <v>1</v>
      </c>
      <c r="J801" s="5">
        <v>9</v>
      </c>
      <c r="K801" s="5" t="s">
        <v>27</v>
      </c>
      <c r="L801" s="7" t="str">
        <f>VLOOKUP(K801, 'Alphabetical by species code'!A:B, 2, FALSE)</f>
        <v>Litter</v>
      </c>
      <c r="M801" s="7" t="str">
        <f>VLOOKUP(L801, 'Alphabetical by species code'!B:C, 2, FALSE)</f>
        <v>Ground Cover</v>
      </c>
    </row>
    <row r="802" spans="1:13" ht="15.75" customHeight="1" x14ac:dyDescent="0.25">
      <c r="A802" s="5">
        <v>17</v>
      </c>
      <c r="B802" s="15">
        <v>2023</v>
      </c>
      <c r="C802" s="62">
        <v>45197</v>
      </c>
      <c r="D802" s="5" t="s">
        <v>70</v>
      </c>
      <c r="E802" s="5" t="s">
        <v>68</v>
      </c>
      <c r="F802" s="5">
        <v>1</v>
      </c>
      <c r="G802" s="5" t="s">
        <v>26</v>
      </c>
      <c r="H802" s="5">
        <v>12</v>
      </c>
      <c r="I802" s="5">
        <v>1</v>
      </c>
      <c r="J802" s="5">
        <v>9</v>
      </c>
      <c r="K802" s="5" t="s">
        <v>48</v>
      </c>
      <c r="L802" s="7" t="str">
        <f>VLOOKUP(K802, 'Alphabetical by species code'!A:B, 2, FALSE)</f>
        <v>Deinandra fasciculata</v>
      </c>
      <c r="M802" s="7" t="str">
        <f>VLOOKUP(L802, 'Alphabetical by species code'!B:C, 2, FALSE)</f>
        <v>Native</v>
      </c>
    </row>
    <row r="803" spans="1:13" ht="15.75" customHeight="1" x14ac:dyDescent="0.25">
      <c r="A803" s="5">
        <v>17</v>
      </c>
      <c r="B803" s="15">
        <v>2023</v>
      </c>
      <c r="C803" s="62">
        <v>45197</v>
      </c>
      <c r="D803" s="5" t="s">
        <v>70</v>
      </c>
      <c r="E803" s="5" t="s">
        <v>68</v>
      </c>
      <c r="F803" s="5">
        <v>1</v>
      </c>
      <c r="G803" s="5" t="s">
        <v>26</v>
      </c>
      <c r="H803" s="5">
        <v>13</v>
      </c>
      <c r="I803" s="5">
        <v>1</v>
      </c>
      <c r="J803" s="5">
        <v>10</v>
      </c>
      <c r="K803" s="5" t="s">
        <v>35</v>
      </c>
      <c r="L803" s="7" t="str">
        <f>VLOOKUP(K803, 'Alphabetical by species code'!A:B, 2, FALSE)</f>
        <v>Bareground</v>
      </c>
      <c r="M803" s="7" t="str">
        <f>VLOOKUP(L803, 'Alphabetical by species code'!B:C, 2, FALSE)</f>
        <v>Ground Cover</v>
      </c>
    </row>
    <row r="804" spans="1:13" ht="15.75" customHeight="1" x14ac:dyDescent="0.25">
      <c r="A804" s="5">
        <v>17</v>
      </c>
      <c r="B804" s="15">
        <v>2023</v>
      </c>
      <c r="C804" s="62">
        <v>45197</v>
      </c>
      <c r="D804" s="5" t="s">
        <v>70</v>
      </c>
      <c r="E804" s="5" t="s">
        <v>68</v>
      </c>
      <c r="F804" s="5">
        <v>1</v>
      </c>
      <c r="G804" s="5" t="s">
        <v>26</v>
      </c>
      <c r="H804" s="5">
        <v>13</v>
      </c>
      <c r="I804" s="5">
        <v>1</v>
      </c>
      <c r="J804" s="5">
        <v>10</v>
      </c>
      <c r="K804" s="5" t="s">
        <v>48</v>
      </c>
      <c r="L804" s="7" t="str">
        <f>VLOOKUP(K804, 'Alphabetical by species code'!A:B, 2, FALSE)</f>
        <v>Deinandra fasciculata</v>
      </c>
      <c r="M804" s="7" t="str">
        <f>VLOOKUP(L804, 'Alphabetical by species code'!B:C, 2, FALSE)</f>
        <v>Native</v>
      </c>
    </row>
    <row r="805" spans="1:13" ht="15.75" customHeight="1" x14ac:dyDescent="0.25">
      <c r="A805" s="5">
        <v>17</v>
      </c>
      <c r="B805" s="15">
        <v>2023</v>
      </c>
      <c r="C805" s="62">
        <v>45197</v>
      </c>
      <c r="D805" s="5" t="s">
        <v>70</v>
      </c>
      <c r="E805" s="5" t="s">
        <v>68</v>
      </c>
      <c r="F805" s="5">
        <v>1</v>
      </c>
      <c r="G805" s="5" t="s">
        <v>26</v>
      </c>
      <c r="H805" s="5">
        <v>14</v>
      </c>
      <c r="I805" s="5">
        <v>1</v>
      </c>
      <c r="J805" s="5">
        <v>11</v>
      </c>
      <c r="K805" s="5" t="s">
        <v>35</v>
      </c>
      <c r="L805" s="7" t="str">
        <f>VLOOKUP(K805, 'Alphabetical by species code'!A:B, 2, FALSE)</f>
        <v>Bareground</v>
      </c>
      <c r="M805" s="7" t="str">
        <f>VLOOKUP(L805, 'Alphabetical by species code'!B:C, 2, FALSE)</f>
        <v>Ground Cover</v>
      </c>
    </row>
    <row r="806" spans="1:13" ht="15.75" customHeight="1" x14ac:dyDescent="0.25">
      <c r="A806" s="5">
        <v>17</v>
      </c>
      <c r="B806" s="15">
        <v>2023</v>
      </c>
      <c r="C806" s="62">
        <v>45197</v>
      </c>
      <c r="D806" s="5" t="s">
        <v>70</v>
      </c>
      <c r="E806" s="5" t="s">
        <v>68</v>
      </c>
      <c r="F806" s="5">
        <v>1</v>
      </c>
      <c r="G806" s="5" t="s">
        <v>26</v>
      </c>
      <c r="H806" s="5">
        <v>14</v>
      </c>
      <c r="I806" s="5">
        <v>1</v>
      </c>
      <c r="J806" s="5">
        <v>11</v>
      </c>
      <c r="K806" s="5" t="s">
        <v>48</v>
      </c>
      <c r="L806" s="7" t="str">
        <f>VLOOKUP(K806, 'Alphabetical by species code'!A:B, 2, FALSE)</f>
        <v>Deinandra fasciculata</v>
      </c>
      <c r="M806" s="7" t="str">
        <f>VLOOKUP(L806, 'Alphabetical by species code'!B:C, 2, FALSE)</f>
        <v>Native</v>
      </c>
    </row>
    <row r="807" spans="1:13" ht="15.75" customHeight="1" x14ac:dyDescent="0.25">
      <c r="A807" s="5">
        <v>17</v>
      </c>
      <c r="B807" s="15">
        <v>2023</v>
      </c>
      <c r="C807" s="62">
        <v>45197</v>
      </c>
      <c r="D807" s="14" t="s">
        <v>70</v>
      </c>
      <c r="E807" s="5" t="s">
        <v>68</v>
      </c>
      <c r="F807" s="5">
        <v>1</v>
      </c>
      <c r="G807" s="5" t="s">
        <v>26</v>
      </c>
      <c r="H807" s="5">
        <v>15</v>
      </c>
      <c r="I807" s="5">
        <v>1</v>
      </c>
      <c r="J807" s="5">
        <v>12</v>
      </c>
      <c r="K807" s="5" t="s">
        <v>35</v>
      </c>
      <c r="L807" s="7" t="str">
        <f>VLOOKUP(K807, 'Alphabetical by species code'!A:B, 2, FALSE)</f>
        <v>Bareground</v>
      </c>
      <c r="M807" s="7" t="str">
        <f>VLOOKUP(L807, 'Alphabetical by species code'!B:C, 2, FALSE)</f>
        <v>Ground Cover</v>
      </c>
    </row>
    <row r="808" spans="1:13" ht="15.75" customHeight="1" x14ac:dyDescent="0.25">
      <c r="A808" s="5">
        <v>17</v>
      </c>
      <c r="B808" s="15">
        <v>2023</v>
      </c>
      <c r="C808" s="62">
        <v>45197</v>
      </c>
      <c r="D808" s="14" t="s">
        <v>70</v>
      </c>
      <c r="E808" s="5" t="s">
        <v>68</v>
      </c>
      <c r="F808" s="5">
        <v>1</v>
      </c>
      <c r="G808" s="5" t="s">
        <v>26</v>
      </c>
      <c r="H808" s="5">
        <v>1</v>
      </c>
      <c r="I808" s="5">
        <v>2</v>
      </c>
      <c r="J808" s="5">
        <v>0</v>
      </c>
      <c r="K808" s="5" t="s">
        <v>27</v>
      </c>
      <c r="L808" s="7" t="str">
        <f>VLOOKUP(K808, 'Alphabetical by species code'!A:B, 2, FALSE)</f>
        <v>Litter</v>
      </c>
      <c r="M808" s="7" t="str">
        <f>VLOOKUP(L808, 'Alphabetical by species code'!B:C, 2, FALSE)</f>
        <v>Ground Cover</v>
      </c>
    </row>
    <row r="809" spans="1:13" ht="15.75" customHeight="1" x14ac:dyDescent="0.25">
      <c r="A809" s="5">
        <v>17</v>
      </c>
      <c r="B809" s="15">
        <v>2023</v>
      </c>
      <c r="C809" s="62">
        <v>45197</v>
      </c>
      <c r="D809" s="14" t="s">
        <v>70</v>
      </c>
      <c r="E809" s="5" t="s">
        <v>68</v>
      </c>
      <c r="F809" s="5">
        <v>1</v>
      </c>
      <c r="G809" s="5" t="s">
        <v>26</v>
      </c>
      <c r="H809" s="5">
        <v>1</v>
      </c>
      <c r="I809" s="5">
        <v>2</v>
      </c>
      <c r="J809" s="5">
        <v>0</v>
      </c>
      <c r="K809" s="5" t="s">
        <v>56</v>
      </c>
      <c r="L809" s="7" t="str">
        <f>VLOOKUP(K809, 'Alphabetical by species code'!A:B, 2, FALSE)</f>
        <v>Eriogonum fasciculatum</v>
      </c>
      <c r="M809" s="7" t="str">
        <f>VLOOKUP(L809, 'Alphabetical by species code'!B:C, 2, FALSE)</f>
        <v>Native</v>
      </c>
    </row>
    <row r="810" spans="1:13" ht="15.75" customHeight="1" x14ac:dyDescent="0.25">
      <c r="A810" s="5">
        <v>17</v>
      </c>
      <c r="B810" s="15">
        <v>2023</v>
      </c>
      <c r="C810" s="62">
        <v>45197</v>
      </c>
      <c r="D810" s="14" t="s">
        <v>70</v>
      </c>
      <c r="E810" s="5" t="s">
        <v>68</v>
      </c>
      <c r="F810" s="5">
        <v>1</v>
      </c>
      <c r="G810" s="5" t="s">
        <v>26</v>
      </c>
      <c r="H810" s="5">
        <v>2</v>
      </c>
      <c r="I810" s="5">
        <v>2</v>
      </c>
      <c r="J810" s="5">
        <v>1</v>
      </c>
      <c r="K810" s="5" t="s">
        <v>35</v>
      </c>
      <c r="L810" s="7" t="str">
        <f>VLOOKUP(K810, 'Alphabetical by species code'!A:B, 2, FALSE)</f>
        <v>Bareground</v>
      </c>
      <c r="M810" s="7" t="str">
        <f>VLOOKUP(L810, 'Alphabetical by species code'!B:C, 2, FALSE)</f>
        <v>Ground Cover</v>
      </c>
    </row>
    <row r="811" spans="1:13" ht="15.75" customHeight="1" x14ac:dyDescent="0.25">
      <c r="A811" s="5">
        <v>17</v>
      </c>
      <c r="B811" s="15">
        <v>2023</v>
      </c>
      <c r="C811" s="62">
        <v>45197</v>
      </c>
      <c r="D811" s="14" t="s">
        <v>70</v>
      </c>
      <c r="E811" s="5" t="s">
        <v>68</v>
      </c>
      <c r="F811" s="5">
        <v>1</v>
      </c>
      <c r="G811" s="5" t="s">
        <v>26</v>
      </c>
      <c r="H811" s="5">
        <v>2</v>
      </c>
      <c r="I811" s="5">
        <v>2</v>
      </c>
      <c r="J811" s="5">
        <v>1</v>
      </c>
      <c r="K811" s="5" t="s">
        <v>37</v>
      </c>
      <c r="L811" s="7" t="e">
        <f>VLOOKUP(K811, 'Alphabetical by species code'!A:B, 2, FALSE)</f>
        <v>#N/A</v>
      </c>
      <c r="M811" s="7" t="e">
        <f>VLOOKUP(L811, 'Alphabetical by species code'!B:C, 2, FALSE)</f>
        <v>#N/A</v>
      </c>
    </row>
    <row r="812" spans="1:13" ht="15.75" customHeight="1" x14ac:dyDescent="0.25">
      <c r="A812" s="5">
        <v>17</v>
      </c>
      <c r="B812" s="15">
        <v>2023</v>
      </c>
      <c r="C812" s="62">
        <v>45197</v>
      </c>
      <c r="D812" s="14" t="s">
        <v>70</v>
      </c>
      <c r="E812" s="5" t="s">
        <v>68</v>
      </c>
      <c r="F812" s="5">
        <v>1</v>
      </c>
      <c r="G812" s="5" t="s">
        <v>26</v>
      </c>
      <c r="H812" s="5">
        <v>3</v>
      </c>
      <c r="I812" s="5">
        <v>2</v>
      </c>
      <c r="J812" s="5">
        <v>1.5</v>
      </c>
      <c r="K812" s="5" t="s">
        <v>35</v>
      </c>
      <c r="L812" s="7" t="str">
        <f>VLOOKUP(K812, 'Alphabetical by species code'!A:B, 2, FALSE)</f>
        <v>Bareground</v>
      </c>
      <c r="M812" s="7" t="str">
        <f>VLOOKUP(L812, 'Alphabetical by species code'!B:C, 2, FALSE)</f>
        <v>Ground Cover</v>
      </c>
    </row>
    <row r="813" spans="1:13" ht="15.75" customHeight="1" x14ac:dyDescent="0.25">
      <c r="A813" s="5">
        <v>17</v>
      </c>
      <c r="B813" s="15">
        <v>2023</v>
      </c>
      <c r="C813" s="62">
        <v>45197</v>
      </c>
      <c r="D813" s="14" t="s">
        <v>70</v>
      </c>
      <c r="E813" s="5" t="s">
        <v>68</v>
      </c>
      <c r="F813" s="5">
        <v>1</v>
      </c>
      <c r="G813" s="5" t="s">
        <v>26</v>
      </c>
      <c r="H813" s="5">
        <v>3</v>
      </c>
      <c r="I813" s="5">
        <v>2</v>
      </c>
      <c r="J813" s="5">
        <v>1.5</v>
      </c>
      <c r="K813" s="5" t="s">
        <v>37</v>
      </c>
      <c r="L813" s="7" t="e">
        <f>VLOOKUP(K813, 'Alphabetical by species code'!A:B, 2, FALSE)</f>
        <v>#N/A</v>
      </c>
      <c r="M813" s="7" t="e">
        <f>VLOOKUP(L813, 'Alphabetical by species code'!B:C, 2, FALSE)</f>
        <v>#N/A</v>
      </c>
    </row>
    <row r="814" spans="1:13" ht="15.75" customHeight="1" x14ac:dyDescent="0.25">
      <c r="A814" s="5">
        <v>17</v>
      </c>
      <c r="B814" s="15">
        <v>2023</v>
      </c>
      <c r="C814" s="62">
        <v>45197</v>
      </c>
      <c r="D814" s="14" t="s">
        <v>70</v>
      </c>
      <c r="E814" s="5" t="s">
        <v>68</v>
      </c>
      <c r="F814" s="5">
        <v>1</v>
      </c>
      <c r="G814" s="5" t="s">
        <v>26</v>
      </c>
      <c r="H814" s="5">
        <v>4</v>
      </c>
      <c r="I814" s="5">
        <v>2</v>
      </c>
      <c r="J814" s="5">
        <v>2</v>
      </c>
      <c r="K814" s="5" t="s">
        <v>35</v>
      </c>
      <c r="L814" s="7" t="str">
        <f>VLOOKUP(K814, 'Alphabetical by species code'!A:B, 2, FALSE)</f>
        <v>Bareground</v>
      </c>
      <c r="M814" s="7" t="str">
        <f>VLOOKUP(L814, 'Alphabetical by species code'!B:C, 2, FALSE)</f>
        <v>Ground Cover</v>
      </c>
    </row>
    <row r="815" spans="1:13" ht="15.75" customHeight="1" x14ac:dyDescent="0.25">
      <c r="A815" s="5">
        <v>17</v>
      </c>
      <c r="B815" s="15">
        <v>2023</v>
      </c>
      <c r="C815" s="62">
        <v>45197</v>
      </c>
      <c r="D815" s="14" t="s">
        <v>70</v>
      </c>
      <c r="E815" s="5" t="s">
        <v>68</v>
      </c>
      <c r="F815" s="5">
        <v>1</v>
      </c>
      <c r="G815" s="5" t="s">
        <v>26</v>
      </c>
      <c r="H815" s="5">
        <v>5</v>
      </c>
      <c r="I815" s="5">
        <v>2</v>
      </c>
      <c r="J815" s="5">
        <v>3</v>
      </c>
      <c r="K815" s="5" t="s">
        <v>27</v>
      </c>
      <c r="L815" s="7" t="str">
        <f>VLOOKUP(K815, 'Alphabetical by species code'!A:B, 2, FALSE)</f>
        <v>Litter</v>
      </c>
      <c r="M815" s="7" t="str">
        <f>VLOOKUP(L815, 'Alphabetical by species code'!B:C, 2, FALSE)</f>
        <v>Ground Cover</v>
      </c>
    </row>
    <row r="816" spans="1:13" ht="15.75" customHeight="1" x14ac:dyDescent="0.25">
      <c r="A816" s="5">
        <v>17</v>
      </c>
      <c r="B816" s="15">
        <v>2023</v>
      </c>
      <c r="C816" s="62">
        <v>45197</v>
      </c>
      <c r="D816" s="14" t="s">
        <v>70</v>
      </c>
      <c r="E816" s="5" t="s">
        <v>68</v>
      </c>
      <c r="F816" s="5">
        <v>1</v>
      </c>
      <c r="G816" s="5" t="s">
        <v>26</v>
      </c>
      <c r="H816" s="5">
        <v>6</v>
      </c>
      <c r="I816" s="5">
        <v>2</v>
      </c>
      <c r="J816" s="5">
        <v>3.5</v>
      </c>
      <c r="K816" s="5" t="s">
        <v>35</v>
      </c>
      <c r="L816" s="7" t="str">
        <f>VLOOKUP(K816, 'Alphabetical by species code'!A:B, 2, FALSE)</f>
        <v>Bareground</v>
      </c>
      <c r="M816" s="7" t="str">
        <f>VLOOKUP(L816, 'Alphabetical by species code'!B:C, 2, FALSE)</f>
        <v>Ground Cover</v>
      </c>
    </row>
    <row r="817" spans="1:13" ht="15.75" customHeight="1" x14ac:dyDescent="0.25">
      <c r="A817" s="5">
        <v>17</v>
      </c>
      <c r="B817" s="15">
        <v>2023</v>
      </c>
      <c r="C817" s="62">
        <v>45197</v>
      </c>
      <c r="D817" s="14" t="s">
        <v>70</v>
      </c>
      <c r="E817" s="5" t="s">
        <v>68</v>
      </c>
      <c r="F817" s="5">
        <v>1</v>
      </c>
      <c r="G817" s="5" t="s">
        <v>26</v>
      </c>
      <c r="H817" s="5">
        <v>7</v>
      </c>
      <c r="I817" s="5">
        <v>2</v>
      </c>
      <c r="J817" s="5">
        <v>4</v>
      </c>
      <c r="K817" s="5" t="s">
        <v>27</v>
      </c>
      <c r="L817" s="7" t="str">
        <f>VLOOKUP(K817, 'Alphabetical by species code'!A:B, 2, FALSE)</f>
        <v>Litter</v>
      </c>
      <c r="M817" s="7" t="str">
        <f>VLOOKUP(L817, 'Alphabetical by species code'!B:C, 2, FALSE)</f>
        <v>Ground Cover</v>
      </c>
    </row>
    <row r="818" spans="1:13" ht="15.75" customHeight="1" x14ac:dyDescent="0.25">
      <c r="A818" s="5">
        <v>17</v>
      </c>
      <c r="B818" s="15">
        <v>2023</v>
      </c>
      <c r="C818" s="62">
        <v>45197</v>
      </c>
      <c r="D818" s="14" t="s">
        <v>70</v>
      </c>
      <c r="E818" s="5" t="s">
        <v>68</v>
      </c>
      <c r="F818" s="5">
        <v>1</v>
      </c>
      <c r="G818" s="5" t="s">
        <v>26</v>
      </c>
      <c r="H818" s="5">
        <v>8</v>
      </c>
      <c r="I818" s="5">
        <v>2</v>
      </c>
      <c r="J818" s="5">
        <v>5</v>
      </c>
      <c r="K818" s="5" t="s">
        <v>27</v>
      </c>
      <c r="L818" s="7" t="str">
        <f>VLOOKUP(K818, 'Alphabetical by species code'!A:B, 2, FALSE)</f>
        <v>Litter</v>
      </c>
      <c r="M818" s="7" t="str">
        <f>VLOOKUP(L818, 'Alphabetical by species code'!B:C, 2, FALSE)</f>
        <v>Ground Cover</v>
      </c>
    </row>
    <row r="819" spans="1:13" ht="15.75" customHeight="1" x14ac:dyDescent="0.25">
      <c r="A819" s="5">
        <v>17</v>
      </c>
      <c r="B819" s="15">
        <v>2023</v>
      </c>
      <c r="C819" s="62">
        <v>45197</v>
      </c>
      <c r="D819" s="14" t="s">
        <v>70</v>
      </c>
      <c r="E819" s="5" t="s">
        <v>68</v>
      </c>
      <c r="F819" s="5">
        <v>1</v>
      </c>
      <c r="G819" s="5" t="s">
        <v>26</v>
      </c>
      <c r="H819" s="5">
        <v>9</v>
      </c>
      <c r="I819" s="5">
        <v>2</v>
      </c>
      <c r="J819" s="5">
        <v>7</v>
      </c>
      <c r="K819" s="5" t="s">
        <v>27</v>
      </c>
      <c r="L819" s="7" t="str">
        <f>VLOOKUP(K819, 'Alphabetical by species code'!A:B, 2, FALSE)</f>
        <v>Litter</v>
      </c>
      <c r="M819" s="7" t="str">
        <f>VLOOKUP(L819, 'Alphabetical by species code'!B:C, 2, FALSE)</f>
        <v>Ground Cover</v>
      </c>
    </row>
    <row r="820" spans="1:13" ht="15.75" customHeight="1" x14ac:dyDescent="0.25">
      <c r="A820" s="5">
        <v>17</v>
      </c>
      <c r="B820" s="15">
        <v>2023</v>
      </c>
      <c r="C820" s="62">
        <v>45197</v>
      </c>
      <c r="D820" s="14" t="s">
        <v>70</v>
      </c>
      <c r="E820" s="5" t="s">
        <v>68</v>
      </c>
      <c r="F820" s="5">
        <v>1</v>
      </c>
      <c r="G820" s="5" t="s">
        <v>26</v>
      </c>
      <c r="H820" s="5">
        <v>10</v>
      </c>
      <c r="I820" s="5">
        <v>2</v>
      </c>
      <c r="J820" s="5">
        <v>8</v>
      </c>
      <c r="K820" s="5" t="s">
        <v>35</v>
      </c>
      <c r="L820" s="7" t="str">
        <f>VLOOKUP(K820, 'Alphabetical by species code'!A:B, 2, FALSE)</f>
        <v>Bareground</v>
      </c>
      <c r="M820" s="7" t="str">
        <f>VLOOKUP(L820, 'Alphabetical by species code'!B:C, 2, FALSE)</f>
        <v>Ground Cover</v>
      </c>
    </row>
    <row r="821" spans="1:13" ht="15.75" customHeight="1" x14ac:dyDescent="0.25">
      <c r="A821" s="5">
        <v>17</v>
      </c>
      <c r="B821" s="15">
        <v>2023</v>
      </c>
      <c r="C821" s="62">
        <v>45197</v>
      </c>
      <c r="D821" s="14" t="s">
        <v>70</v>
      </c>
      <c r="E821" s="5" t="s">
        <v>68</v>
      </c>
      <c r="F821" s="5">
        <v>1</v>
      </c>
      <c r="G821" s="5" t="s">
        <v>26</v>
      </c>
      <c r="H821" s="5">
        <v>11</v>
      </c>
      <c r="I821" s="5">
        <v>2</v>
      </c>
      <c r="J821" s="5">
        <v>8.5</v>
      </c>
      <c r="K821" s="5" t="s">
        <v>35</v>
      </c>
      <c r="L821" s="7" t="str">
        <f>VLOOKUP(K821, 'Alphabetical by species code'!A:B, 2, FALSE)</f>
        <v>Bareground</v>
      </c>
      <c r="M821" s="7" t="str">
        <f>VLOOKUP(L821, 'Alphabetical by species code'!B:C, 2, FALSE)</f>
        <v>Ground Cover</v>
      </c>
    </row>
    <row r="822" spans="1:13" ht="15.75" customHeight="1" x14ac:dyDescent="0.25">
      <c r="A822" s="5">
        <v>17</v>
      </c>
      <c r="B822" s="15">
        <v>2023</v>
      </c>
      <c r="C822" s="62">
        <v>45197</v>
      </c>
      <c r="D822" s="14" t="s">
        <v>70</v>
      </c>
      <c r="E822" s="5" t="s">
        <v>68</v>
      </c>
      <c r="F822" s="5">
        <v>1</v>
      </c>
      <c r="G822" s="5" t="s">
        <v>26</v>
      </c>
      <c r="H822" s="5">
        <v>12</v>
      </c>
      <c r="I822" s="5">
        <v>2</v>
      </c>
      <c r="J822" s="5">
        <v>9</v>
      </c>
      <c r="K822" s="5" t="s">
        <v>71</v>
      </c>
      <c r="L822" s="7" t="str">
        <f>VLOOKUP(K822, 'Alphabetical by species code'!A:B, 2, FALSE)</f>
        <v>Litter</v>
      </c>
      <c r="M822" s="7" t="str">
        <f>VLOOKUP(L822, 'Alphabetical by species code'!B:C, 2, FALSE)</f>
        <v>Ground Cover</v>
      </c>
    </row>
    <row r="823" spans="1:13" ht="15.75" customHeight="1" x14ac:dyDescent="0.25">
      <c r="A823" s="5">
        <v>17</v>
      </c>
      <c r="B823" s="15">
        <v>2023</v>
      </c>
      <c r="C823" s="62">
        <v>45197</v>
      </c>
      <c r="D823" s="14" t="s">
        <v>70</v>
      </c>
      <c r="E823" s="5" t="s">
        <v>68</v>
      </c>
      <c r="F823" s="5">
        <v>1</v>
      </c>
      <c r="G823" s="5" t="s">
        <v>26</v>
      </c>
      <c r="H823" s="5">
        <v>13</v>
      </c>
      <c r="I823" s="5">
        <v>2</v>
      </c>
      <c r="J823" s="5">
        <v>10</v>
      </c>
      <c r="K823" s="5" t="s">
        <v>35</v>
      </c>
      <c r="L823" s="7" t="str">
        <f>VLOOKUP(K823, 'Alphabetical by species code'!A:B, 2, FALSE)</f>
        <v>Bareground</v>
      </c>
      <c r="M823" s="7" t="str">
        <f>VLOOKUP(L823, 'Alphabetical by species code'!B:C, 2, FALSE)</f>
        <v>Ground Cover</v>
      </c>
    </row>
    <row r="824" spans="1:13" ht="15.75" customHeight="1" x14ac:dyDescent="0.25">
      <c r="A824" s="5">
        <v>17</v>
      </c>
      <c r="B824" s="15">
        <v>2023</v>
      </c>
      <c r="C824" s="62">
        <v>45197</v>
      </c>
      <c r="D824" s="14" t="s">
        <v>70</v>
      </c>
      <c r="E824" s="5" t="s">
        <v>68</v>
      </c>
      <c r="F824" s="5">
        <v>1</v>
      </c>
      <c r="G824" s="5" t="s">
        <v>26</v>
      </c>
      <c r="H824" s="5">
        <v>14</v>
      </c>
      <c r="I824" s="5">
        <v>2</v>
      </c>
      <c r="J824" s="5">
        <v>11</v>
      </c>
      <c r="K824" s="5" t="s">
        <v>27</v>
      </c>
      <c r="L824" s="7" t="str">
        <f>VLOOKUP(K824, 'Alphabetical by species code'!A:B, 2, FALSE)</f>
        <v>Litter</v>
      </c>
      <c r="M824" s="7" t="str">
        <f>VLOOKUP(L824, 'Alphabetical by species code'!B:C, 2, FALSE)</f>
        <v>Ground Cover</v>
      </c>
    </row>
    <row r="825" spans="1:13" ht="15.75" customHeight="1" x14ac:dyDescent="0.25">
      <c r="A825" s="5">
        <v>17</v>
      </c>
      <c r="B825" s="15">
        <v>2023</v>
      </c>
      <c r="C825" s="62">
        <v>45197</v>
      </c>
      <c r="D825" s="14" t="s">
        <v>70</v>
      </c>
      <c r="E825" s="5" t="s">
        <v>68</v>
      </c>
      <c r="F825" s="5">
        <v>1</v>
      </c>
      <c r="G825" s="5" t="s">
        <v>26</v>
      </c>
      <c r="H825" s="5">
        <v>15</v>
      </c>
      <c r="I825" s="5">
        <v>2</v>
      </c>
      <c r="J825" s="5">
        <v>12</v>
      </c>
      <c r="K825" s="5" t="s">
        <v>35</v>
      </c>
      <c r="L825" s="7" t="str">
        <f>VLOOKUP(K825, 'Alphabetical by species code'!A:B, 2, FALSE)</f>
        <v>Bareground</v>
      </c>
      <c r="M825" s="7" t="str">
        <f>VLOOKUP(L825, 'Alphabetical by species code'!B:C, 2, FALSE)</f>
        <v>Ground Cover</v>
      </c>
    </row>
    <row r="826" spans="1:13" ht="15.75" customHeight="1" x14ac:dyDescent="0.25">
      <c r="A826" s="5">
        <v>18</v>
      </c>
      <c r="B826" s="15">
        <v>2023</v>
      </c>
      <c r="C826" s="62">
        <v>45197</v>
      </c>
      <c r="D826" s="5" t="s">
        <v>72</v>
      </c>
      <c r="E826" s="5" t="s">
        <v>68</v>
      </c>
      <c r="F826" s="5">
        <v>1</v>
      </c>
      <c r="G826" s="5" t="s">
        <v>36</v>
      </c>
      <c r="H826" s="5">
        <v>1</v>
      </c>
      <c r="I826" s="5">
        <v>1</v>
      </c>
      <c r="J826" s="5">
        <v>0</v>
      </c>
      <c r="K826" s="5" t="s">
        <v>27</v>
      </c>
      <c r="L826" s="7" t="str">
        <f>VLOOKUP(K826, 'Alphabetical by species code'!A:B, 2, FALSE)</f>
        <v>Litter</v>
      </c>
      <c r="M826" s="7" t="str">
        <f>VLOOKUP(L826, 'Alphabetical by species code'!B:C, 2, FALSE)</f>
        <v>Ground Cover</v>
      </c>
    </row>
    <row r="827" spans="1:13" ht="15.75" customHeight="1" x14ac:dyDescent="0.25">
      <c r="A827" s="5">
        <v>18</v>
      </c>
      <c r="B827" s="15">
        <v>2023</v>
      </c>
      <c r="C827" s="62">
        <v>45197</v>
      </c>
      <c r="D827" s="5" t="s">
        <v>72</v>
      </c>
      <c r="E827" s="5" t="s">
        <v>68</v>
      </c>
      <c r="F827" s="5">
        <v>1</v>
      </c>
      <c r="G827" s="5" t="s">
        <v>36</v>
      </c>
      <c r="H827" s="5">
        <v>1</v>
      </c>
      <c r="I827" s="5">
        <v>1</v>
      </c>
      <c r="J827" s="5">
        <v>0</v>
      </c>
      <c r="K827" s="5" t="s">
        <v>48</v>
      </c>
      <c r="L827" s="7" t="str">
        <f>VLOOKUP(K827, 'Alphabetical by species code'!A:B, 2, FALSE)</f>
        <v>Deinandra fasciculata</v>
      </c>
      <c r="M827" s="7" t="str">
        <f>VLOOKUP(L827, 'Alphabetical by species code'!B:C, 2, FALSE)</f>
        <v>Native</v>
      </c>
    </row>
    <row r="828" spans="1:13" ht="15.75" customHeight="1" x14ac:dyDescent="0.25">
      <c r="A828" s="5">
        <v>18</v>
      </c>
      <c r="B828" s="5">
        <v>2023</v>
      </c>
      <c r="C828" s="62">
        <v>45197</v>
      </c>
      <c r="D828" s="14" t="s">
        <v>72</v>
      </c>
      <c r="E828" s="5" t="s">
        <v>68</v>
      </c>
      <c r="F828" s="5">
        <v>1</v>
      </c>
      <c r="G828" s="5" t="s">
        <v>36</v>
      </c>
      <c r="H828" s="5">
        <v>2</v>
      </c>
      <c r="I828" s="5">
        <v>1</v>
      </c>
      <c r="J828" s="5">
        <v>1</v>
      </c>
      <c r="K828" s="5" t="s">
        <v>27</v>
      </c>
      <c r="L828" s="7" t="str">
        <f>VLOOKUP(K828, 'Alphabetical by species code'!A:B, 2, FALSE)</f>
        <v>Litter</v>
      </c>
      <c r="M828" s="7" t="str">
        <f>VLOOKUP(L828, 'Alphabetical by species code'!B:C, 2, FALSE)</f>
        <v>Ground Cover</v>
      </c>
    </row>
    <row r="829" spans="1:13" ht="15.75" customHeight="1" x14ac:dyDescent="0.25">
      <c r="A829" s="5">
        <v>18</v>
      </c>
      <c r="B829" s="5">
        <v>2023</v>
      </c>
      <c r="C829" s="62">
        <v>45197</v>
      </c>
      <c r="D829" s="5" t="s">
        <v>72</v>
      </c>
      <c r="E829" s="5" t="s">
        <v>68</v>
      </c>
      <c r="F829" s="5">
        <v>1</v>
      </c>
      <c r="G829" s="5" t="s">
        <v>36</v>
      </c>
      <c r="H829" s="5">
        <v>2</v>
      </c>
      <c r="I829" s="5">
        <v>1</v>
      </c>
      <c r="J829" s="5">
        <v>1</v>
      </c>
      <c r="K829" s="5" t="s">
        <v>48</v>
      </c>
      <c r="L829" s="7" t="str">
        <f>VLOOKUP(K829, 'Alphabetical by species code'!A:B, 2, FALSE)</f>
        <v>Deinandra fasciculata</v>
      </c>
      <c r="M829" s="7" t="str">
        <f>VLOOKUP(L829, 'Alphabetical by species code'!B:C, 2, FALSE)</f>
        <v>Native</v>
      </c>
    </row>
    <row r="830" spans="1:13" ht="15.75" customHeight="1" x14ac:dyDescent="0.25">
      <c r="A830" s="5">
        <v>18</v>
      </c>
      <c r="B830" s="5">
        <v>2023</v>
      </c>
      <c r="C830" s="62">
        <v>45197</v>
      </c>
      <c r="D830" s="5" t="s">
        <v>72</v>
      </c>
      <c r="E830" s="5" t="s">
        <v>68</v>
      </c>
      <c r="F830" s="5">
        <v>1</v>
      </c>
      <c r="G830" s="5" t="s">
        <v>36</v>
      </c>
      <c r="H830" s="5">
        <v>2</v>
      </c>
      <c r="I830" s="5">
        <v>1</v>
      </c>
      <c r="J830" s="5">
        <v>1</v>
      </c>
      <c r="K830" s="5" t="s">
        <v>30</v>
      </c>
      <c r="L830" s="7" t="str">
        <f>VLOOKUP(K830, 'Alphabetical by species code'!A:B, 2, FALSE)</f>
        <v>Non Native Grass</v>
      </c>
      <c r="M830" s="7" t="str">
        <f>VLOOKUP(L830, 'Alphabetical by species code'!B:C, 2, FALSE)</f>
        <v>Non-Native</v>
      </c>
    </row>
    <row r="831" spans="1:13" ht="15.75" customHeight="1" x14ac:dyDescent="0.25">
      <c r="A831" s="5">
        <v>18</v>
      </c>
      <c r="B831" s="5">
        <v>2023</v>
      </c>
      <c r="C831" s="62">
        <v>45197</v>
      </c>
      <c r="D831" s="5" t="s">
        <v>72</v>
      </c>
      <c r="E831" s="5" t="s">
        <v>68</v>
      </c>
      <c r="F831" s="5">
        <v>1</v>
      </c>
      <c r="G831" s="5" t="s">
        <v>36</v>
      </c>
      <c r="H831" s="5">
        <v>3</v>
      </c>
      <c r="I831" s="5">
        <v>1</v>
      </c>
      <c r="J831" s="5">
        <v>1.5</v>
      </c>
      <c r="K831" s="5" t="s">
        <v>27</v>
      </c>
      <c r="L831" s="7" t="str">
        <f>VLOOKUP(K831, 'Alphabetical by species code'!A:B, 2, FALSE)</f>
        <v>Litter</v>
      </c>
      <c r="M831" s="7" t="str">
        <f>VLOOKUP(L831, 'Alphabetical by species code'!B:C, 2, FALSE)</f>
        <v>Ground Cover</v>
      </c>
    </row>
    <row r="832" spans="1:13" ht="15.75" customHeight="1" x14ac:dyDescent="0.25">
      <c r="A832" s="5">
        <v>18</v>
      </c>
      <c r="B832" s="5">
        <v>2023</v>
      </c>
      <c r="C832" s="62">
        <v>45197</v>
      </c>
      <c r="D832" s="5" t="s">
        <v>72</v>
      </c>
      <c r="E832" s="5" t="s">
        <v>68</v>
      </c>
      <c r="F832" s="5">
        <v>1</v>
      </c>
      <c r="G832" s="5" t="s">
        <v>36</v>
      </c>
      <c r="H832" s="5">
        <v>3</v>
      </c>
      <c r="I832" s="5">
        <v>1</v>
      </c>
      <c r="J832" s="5">
        <v>1.5</v>
      </c>
      <c r="K832" s="5" t="s">
        <v>48</v>
      </c>
      <c r="L832" s="7" t="str">
        <f>VLOOKUP(K832, 'Alphabetical by species code'!A:B, 2, FALSE)</f>
        <v>Deinandra fasciculata</v>
      </c>
      <c r="M832" s="7" t="str">
        <f>VLOOKUP(L832, 'Alphabetical by species code'!B:C, 2, FALSE)</f>
        <v>Native</v>
      </c>
    </row>
    <row r="833" spans="1:13" ht="15.75" customHeight="1" x14ac:dyDescent="0.25">
      <c r="A833" s="5">
        <v>18</v>
      </c>
      <c r="B833" s="5">
        <v>2023</v>
      </c>
      <c r="C833" s="62">
        <v>45197</v>
      </c>
      <c r="D833" s="5" t="s">
        <v>72</v>
      </c>
      <c r="E833" s="5" t="s">
        <v>68</v>
      </c>
      <c r="F833" s="5">
        <v>1</v>
      </c>
      <c r="G833" s="5" t="s">
        <v>36</v>
      </c>
      <c r="H833" s="5">
        <v>4</v>
      </c>
      <c r="I833" s="5">
        <v>1</v>
      </c>
      <c r="J833" s="5">
        <v>2</v>
      </c>
      <c r="K833" s="5" t="s">
        <v>27</v>
      </c>
      <c r="L833" s="7" t="str">
        <f>VLOOKUP(K833, 'Alphabetical by species code'!A:B, 2, FALSE)</f>
        <v>Litter</v>
      </c>
      <c r="M833" s="7" t="str">
        <f>VLOOKUP(L833, 'Alphabetical by species code'!B:C, 2, FALSE)</f>
        <v>Ground Cover</v>
      </c>
    </row>
    <row r="834" spans="1:13" ht="15.75" customHeight="1" x14ac:dyDescent="0.25">
      <c r="A834" s="5">
        <v>18</v>
      </c>
      <c r="B834" s="5">
        <v>2023</v>
      </c>
      <c r="C834" s="62">
        <v>45197</v>
      </c>
      <c r="D834" s="5" t="s">
        <v>72</v>
      </c>
      <c r="E834" s="5" t="s">
        <v>68</v>
      </c>
      <c r="F834" s="5">
        <v>1</v>
      </c>
      <c r="G834" s="5" t="s">
        <v>36</v>
      </c>
      <c r="H834" s="5">
        <v>4</v>
      </c>
      <c r="I834" s="5">
        <v>1</v>
      </c>
      <c r="J834" s="5">
        <v>2</v>
      </c>
      <c r="K834" s="5" t="s">
        <v>48</v>
      </c>
      <c r="L834" s="7" t="str">
        <f>VLOOKUP(K834, 'Alphabetical by species code'!A:B, 2, FALSE)</f>
        <v>Deinandra fasciculata</v>
      </c>
      <c r="M834" s="7" t="str">
        <f>VLOOKUP(L834, 'Alphabetical by species code'!B:C, 2, FALSE)</f>
        <v>Native</v>
      </c>
    </row>
    <row r="835" spans="1:13" ht="15.75" customHeight="1" x14ac:dyDescent="0.25">
      <c r="A835" s="5">
        <v>18</v>
      </c>
      <c r="B835" s="5">
        <v>2023</v>
      </c>
      <c r="C835" s="62">
        <v>45197</v>
      </c>
      <c r="D835" s="5" t="s">
        <v>72</v>
      </c>
      <c r="E835" s="5" t="s">
        <v>68</v>
      </c>
      <c r="F835" s="5">
        <v>1</v>
      </c>
      <c r="G835" s="5" t="s">
        <v>36</v>
      </c>
      <c r="H835" s="5">
        <v>5</v>
      </c>
      <c r="I835" s="5">
        <v>1</v>
      </c>
      <c r="J835" s="5">
        <v>3</v>
      </c>
      <c r="K835" s="5" t="s">
        <v>35</v>
      </c>
      <c r="L835" s="7" t="str">
        <f>VLOOKUP(K835, 'Alphabetical by species code'!A:B, 2, FALSE)</f>
        <v>Bareground</v>
      </c>
      <c r="M835" s="7" t="str">
        <f>VLOOKUP(L835, 'Alphabetical by species code'!B:C, 2, FALSE)</f>
        <v>Ground Cover</v>
      </c>
    </row>
    <row r="836" spans="1:13" ht="15.75" customHeight="1" x14ac:dyDescent="0.25">
      <c r="A836" s="5">
        <v>18</v>
      </c>
      <c r="B836" s="5">
        <v>2023</v>
      </c>
      <c r="C836" s="62">
        <v>45197</v>
      </c>
      <c r="D836" s="5" t="s">
        <v>72</v>
      </c>
      <c r="E836" s="5" t="s">
        <v>68</v>
      </c>
      <c r="F836" s="5">
        <v>1</v>
      </c>
      <c r="G836" s="5" t="s">
        <v>36</v>
      </c>
      <c r="H836" s="5">
        <v>5</v>
      </c>
      <c r="I836" s="5">
        <v>1</v>
      </c>
      <c r="J836" s="5">
        <v>3</v>
      </c>
      <c r="K836" s="5" t="s">
        <v>48</v>
      </c>
      <c r="L836" s="7" t="str">
        <f>VLOOKUP(K836, 'Alphabetical by species code'!A:B, 2, FALSE)</f>
        <v>Deinandra fasciculata</v>
      </c>
      <c r="M836" s="7" t="str">
        <f>VLOOKUP(L836, 'Alphabetical by species code'!B:C, 2, FALSE)</f>
        <v>Native</v>
      </c>
    </row>
    <row r="837" spans="1:13" ht="15.75" customHeight="1" x14ac:dyDescent="0.25">
      <c r="A837" s="5">
        <v>18</v>
      </c>
      <c r="B837" s="5">
        <v>2023</v>
      </c>
      <c r="C837" s="62">
        <v>45197</v>
      </c>
      <c r="D837" s="14" t="s">
        <v>72</v>
      </c>
      <c r="E837" s="5" t="s">
        <v>68</v>
      </c>
      <c r="F837" s="5">
        <v>1</v>
      </c>
      <c r="G837" s="5" t="s">
        <v>36</v>
      </c>
      <c r="H837" s="5">
        <v>6</v>
      </c>
      <c r="I837" s="5">
        <v>1</v>
      </c>
      <c r="J837" s="5">
        <v>3.5</v>
      </c>
      <c r="K837" s="5" t="s">
        <v>35</v>
      </c>
      <c r="L837" s="7" t="str">
        <f>VLOOKUP(K837, 'Alphabetical by species code'!A:B, 2, FALSE)</f>
        <v>Bareground</v>
      </c>
      <c r="M837" s="7" t="str">
        <f>VLOOKUP(L837, 'Alphabetical by species code'!B:C, 2, FALSE)</f>
        <v>Ground Cover</v>
      </c>
    </row>
    <row r="838" spans="1:13" ht="15.75" customHeight="1" x14ac:dyDescent="0.25">
      <c r="A838" s="5">
        <v>18</v>
      </c>
      <c r="B838" s="5">
        <v>2023</v>
      </c>
      <c r="C838" s="62">
        <v>45197</v>
      </c>
      <c r="D838" s="5" t="s">
        <v>72</v>
      </c>
      <c r="E838" s="5" t="s">
        <v>68</v>
      </c>
      <c r="F838" s="5">
        <v>1</v>
      </c>
      <c r="G838" s="5" t="s">
        <v>36</v>
      </c>
      <c r="H838" s="5">
        <v>6</v>
      </c>
      <c r="I838" s="5">
        <v>1</v>
      </c>
      <c r="J838" s="5">
        <v>3.5</v>
      </c>
      <c r="K838" s="5" t="s">
        <v>48</v>
      </c>
      <c r="L838" s="7" t="str">
        <f>VLOOKUP(K838, 'Alphabetical by species code'!A:B, 2, FALSE)</f>
        <v>Deinandra fasciculata</v>
      </c>
      <c r="M838" s="7" t="str">
        <f>VLOOKUP(L838, 'Alphabetical by species code'!B:C, 2, FALSE)</f>
        <v>Native</v>
      </c>
    </row>
    <row r="839" spans="1:13" ht="15.75" customHeight="1" x14ac:dyDescent="0.25">
      <c r="A839" s="5">
        <v>18</v>
      </c>
      <c r="B839" s="5">
        <v>2023</v>
      </c>
      <c r="C839" s="61">
        <v>45197</v>
      </c>
      <c r="D839" s="5" t="s">
        <v>72</v>
      </c>
      <c r="E839" s="5" t="s">
        <v>68</v>
      </c>
      <c r="F839" s="5">
        <v>1</v>
      </c>
      <c r="G839" s="5" t="s">
        <v>36</v>
      </c>
      <c r="H839" s="5">
        <v>7</v>
      </c>
      <c r="I839" s="5">
        <v>1</v>
      </c>
      <c r="J839" s="5">
        <v>4</v>
      </c>
      <c r="K839" s="5" t="s">
        <v>35</v>
      </c>
      <c r="L839" s="7" t="str">
        <f>VLOOKUP(K839, 'Alphabetical by species code'!A:B, 2, FALSE)</f>
        <v>Bareground</v>
      </c>
      <c r="M839" s="7" t="str">
        <f>VLOOKUP(L839, 'Alphabetical by species code'!B:C, 2, FALSE)</f>
        <v>Ground Cover</v>
      </c>
    </row>
    <row r="840" spans="1:13" ht="15.75" customHeight="1" x14ac:dyDescent="0.25">
      <c r="A840" s="5">
        <v>18</v>
      </c>
      <c r="B840" s="5">
        <v>2023</v>
      </c>
      <c r="C840" s="61">
        <v>45197</v>
      </c>
      <c r="D840" s="5" t="s">
        <v>72</v>
      </c>
      <c r="E840" s="5" t="s">
        <v>68</v>
      </c>
      <c r="F840" s="5">
        <v>1</v>
      </c>
      <c r="G840" s="5" t="s">
        <v>36</v>
      </c>
      <c r="H840" s="5">
        <v>8</v>
      </c>
      <c r="I840" s="5">
        <v>1</v>
      </c>
      <c r="J840" s="5">
        <v>5</v>
      </c>
      <c r="K840" s="5" t="s">
        <v>27</v>
      </c>
      <c r="L840" s="7" t="str">
        <f>VLOOKUP(K840, 'Alphabetical by species code'!A:B, 2, FALSE)</f>
        <v>Litter</v>
      </c>
      <c r="M840" s="7" t="str">
        <f>VLOOKUP(L840, 'Alphabetical by species code'!B:C, 2, FALSE)</f>
        <v>Ground Cover</v>
      </c>
    </row>
    <row r="841" spans="1:13" ht="15.75" customHeight="1" x14ac:dyDescent="0.25">
      <c r="A841" s="5">
        <v>18</v>
      </c>
      <c r="B841" s="5">
        <v>2023</v>
      </c>
      <c r="C841" s="61">
        <v>45197</v>
      </c>
      <c r="D841" s="5" t="s">
        <v>72</v>
      </c>
      <c r="E841" s="5" t="s">
        <v>68</v>
      </c>
      <c r="F841" s="5">
        <v>1</v>
      </c>
      <c r="G841" s="5" t="s">
        <v>36</v>
      </c>
      <c r="H841" s="5">
        <v>9</v>
      </c>
      <c r="I841" s="5">
        <v>1</v>
      </c>
      <c r="J841" s="5">
        <v>7</v>
      </c>
      <c r="K841" s="5" t="s">
        <v>27</v>
      </c>
      <c r="L841" s="7" t="str">
        <f>VLOOKUP(K841, 'Alphabetical by species code'!A:B, 2, FALSE)</f>
        <v>Litter</v>
      </c>
      <c r="M841" s="7" t="str">
        <f>VLOOKUP(L841, 'Alphabetical by species code'!B:C, 2, FALSE)</f>
        <v>Ground Cover</v>
      </c>
    </row>
    <row r="842" spans="1:13" ht="15.75" customHeight="1" x14ac:dyDescent="0.25">
      <c r="A842" s="5">
        <v>18</v>
      </c>
      <c r="B842" s="5">
        <v>2023</v>
      </c>
      <c r="C842" s="61">
        <v>45197</v>
      </c>
      <c r="D842" s="5" t="s">
        <v>72</v>
      </c>
      <c r="E842" s="5" t="s">
        <v>68</v>
      </c>
      <c r="F842" s="5">
        <v>1</v>
      </c>
      <c r="G842" s="5" t="s">
        <v>36</v>
      </c>
      <c r="H842" s="5">
        <v>10</v>
      </c>
      <c r="I842" s="5">
        <v>1</v>
      </c>
      <c r="J842" s="5">
        <v>8</v>
      </c>
      <c r="K842" s="5" t="s">
        <v>27</v>
      </c>
      <c r="L842" s="7" t="str">
        <f>VLOOKUP(K842, 'Alphabetical by species code'!A:B, 2, FALSE)</f>
        <v>Litter</v>
      </c>
      <c r="M842" s="7" t="str">
        <f>VLOOKUP(L842, 'Alphabetical by species code'!B:C, 2, FALSE)</f>
        <v>Ground Cover</v>
      </c>
    </row>
    <row r="843" spans="1:13" ht="15.75" customHeight="1" x14ac:dyDescent="0.25">
      <c r="A843" s="5">
        <v>18</v>
      </c>
      <c r="B843" s="5">
        <v>2023</v>
      </c>
      <c r="C843" s="61">
        <v>45197</v>
      </c>
      <c r="D843" s="5" t="s">
        <v>72</v>
      </c>
      <c r="E843" s="5" t="s">
        <v>68</v>
      </c>
      <c r="F843" s="5">
        <v>1</v>
      </c>
      <c r="G843" s="5" t="s">
        <v>36</v>
      </c>
      <c r="H843" s="5">
        <v>10</v>
      </c>
      <c r="I843" s="5">
        <v>1</v>
      </c>
      <c r="J843" s="5">
        <v>8</v>
      </c>
      <c r="K843" s="5" t="s">
        <v>34</v>
      </c>
      <c r="L843" s="7" t="str">
        <f>VLOOKUP(K843, 'Alphabetical by species code'!A:B, 2, FALSE)</f>
        <v>Centaurea melitensis</v>
      </c>
      <c r="M843" s="7" t="str">
        <f>VLOOKUP(L843, 'Alphabetical by species code'!B:C, 2, FALSE)</f>
        <v>Non-Native</v>
      </c>
    </row>
    <row r="844" spans="1:13" ht="15.75" customHeight="1" x14ac:dyDescent="0.25">
      <c r="A844" s="5">
        <v>18</v>
      </c>
      <c r="B844" s="5">
        <v>2023</v>
      </c>
      <c r="C844" s="61">
        <v>45197</v>
      </c>
      <c r="D844" s="5" t="s">
        <v>72</v>
      </c>
      <c r="E844" s="5" t="s">
        <v>68</v>
      </c>
      <c r="F844" s="5">
        <v>1</v>
      </c>
      <c r="G844" s="5" t="s">
        <v>36</v>
      </c>
      <c r="H844" s="5">
        <v>11</v>
      </c>
      <c r="I844" s="5">
        <v>1</v>
      </c>
      <c r="J844" s="5">
        <v>8.5</v>
      </c>
      <c r="K844" s="5" t="s">
        <v>27</v>
      </c>
      <c r="L844" s="7" t="str">
        <f>VLOOKUP(K844, 'Alphabetical by species code'!A:B, 2, FALSE)</f>
        <v>Litter</v>
      </c>
      <c r="M844" s="7" t="str">
        <f>VLOOKUP(L844, 'Alphabetical by species code'!B:C, 2, FALSE)</f>
        <v>Ground Cover</v>
      </c>
    </row>
    <row r="845" spans="1:13" ht="15.75" customHeight="1" x14ac:dyDescent="0.25">
      <c r="A845" s="5">
        <v>18</v>
      </c>
      <c r="B845" s="5">
        <v>2023</v>
      </c>
      <c r="C845" s="61">
        <v>45197</v>
      </c>
      <c r="D845" s="5" t="s">
        <v>72</v>
      </c>
      <c r="E845" s="5" t="s">
        <v>68</v>
      </c>
      <c r="F845" s="5">
        <v>1</v>
      </c>
      <c r="G845" s="5" t="s">
        <v>36</v>
      </c>
      <c r="H845" s="5">
        <v>11</v>
      </c>
      <c r="I845" s="5">
        <v>1</v>
      </c>
      <c r="J845" s="5">
        <v>8.5</v>
      </c>
      <c r="K845" s="5" t="s">
        <v>48</v>
      </c>
      <c r="L845" s="7" t="str">
        <f>VLOOKUP(K845, 'Alphabetical by species code'!A:B, 2, FALSE)</f>
        <v>Deinandra fasciculata</v>
      </c>
      <c r="M845" s="7" t="str">
        <f>VLOOKUP(L845, 'Alphabetical by species code'!B:C, 2, FALSE)</f>
        <v>Native</v>
      </c>
    </row>
    <row r="846" spans="1:13" ht="15.75" customHeight="1" x14ac:dyDescent="0.25">
      <c r="A846" s="5">
        <v>18</v>
      </c>
      <c r="B846" s="5">
        <v>2023</v>
      </c>
      <c r="C846" s="61">
        <v>45197</v>
      </c>
      <c r="D846" s="5" t="s">
        <v>72</v>
      </c>
      <c r="E846" s="5" t="s">
        <v>68</v>
      </c>
      <c r="F846" s="5">
        <v>1</v>
      </c>
      <c r="G846" s="5" t="s">
        <v>36</v>
      </c>
      <c r="H846" s="5">
        <v>11</v>
      </c>
      <c r="I846" s="5">
        <v>1</v>
      </c>
      <c r="J846" s="5">
        <v>8.5</v>
      </c>
      <c r="K846" s="5" t="s">
        <v>54</v>
      </c>
      <c r="L846" s="7" t="str">
        <f>VLOOKUP(K846, 'Alphabetical by species code'!A:B, 2, FALSE)</f>
        <v>Erodium cicutarium</v>
      </c>
      <c r="M846" s="7" t="str">
        <f>VLOOKUP(L846, 'Alphabetical by species code'!B:C, 2, FALSE)</f>
        <v>Non-Native</v>
      </c>
    </row>
    <row r="847" spans="1:13" ht="15.75" customHeight="1" x14ac:dyDescent="0.25">
      <c r="A847" s="5">
        <v>18</v>
      </c>
      <c r="B847" s="5">
        <v>2023</v>
      </c>
      <c r="C847" s="61">
        <v>45197</v>
      </c>
      <c r="D847" s="5" t="s">
        <v>72</v>
      </c>
      <c r="E847" s="5" t="s">
        <v>68</v>
      </c>
      <c r="F847" s="5">
        <v>1</v>
      </c>
      <c r="G847" s="5" t="s">
        <v>36</v>
      </c>
      <c r="H847" s="5">
        <v>11</v>
      </c>
      <c r="I847" s="5">
        <v>1</v>
      </c>
      <c r="J847" s="5">
        <v>8.5</v>
      </c>
      <c r="K847" s="5" t="s">
        <v>73</v>
      </c>
      <c r="L847" s="7" t="str">
        <f>VLOOKUP(K847, 'Alphabetical by species code'!A:B, 2, FALSE)</f>
        <v>Erodium moschatum</v>
      </c>
      <c r="M847" s="7" t="str">
        <f>VLOOKUP(L847, 'Alphabetical by species code'!B:C, 2, FALSE)</f>
        <v>Non-Native</v>
      </c>
    </row>
    <row r="848" spans="1:13" ht="15.75" customHeight="1" x14ac:dyDescent="0.25">
      <c r="A848" s="5">
        <v>18</v>
      </c>
      <c r="B848" s="5">
        <v>2023</v>
      </c>
      <c r="C848" s="61">
        <v>45197</v>
      </c>
      <c r="D848" s="5" t="s">
        <v>72</v>
      </c>
      <c r="E848" s="5" t="s">
        <v>68</v>
      </c>
      <c r="F848" s="5">
        <v>1</v>
      </c>
      <c r="G848" s="5" t="s">
        <v>36</v>
      </c>
      <c r="H848" s="5">
        <v>11</v>
      </c>
      <c r="I848" s="5">
        <v>1</v>
      </c>
      <c r="J848" s="5">
        <v>8.5</v>
      </c>
      <c r="K848" s="5" t="s">
        <v>34</v>
      </c>
      <c r="L848" s="7" t="str">
        <f>VLOOKUP(K848, 'Alphabetical by species code'!A:B, 2, FALSE)</f>
        <v>Centaurea melitensis</v>
      </c>
      <c r="M848" s="7" t="str">
        <f>VLOOKUP(L848, 'Alphabetical by species code'!B:C, 2, FALSE)</f>
        <v>Non-Native</v>
      </c>
    </row>
    <row r="849" spans="1:13" ht="15.75" customHeight="1" x14ac:dyDescent="0.25">
      <c r="A849" s="5">
        <v>18</v>
      </c>
      <c r="B849" s="5">
        <v>2023</v>
      </c>
      <c r="C849" s="61">
        <v>45197</v>
      </c>
      <c r="D849" s="5" t="s">
        <v>72</v>
      </c>
      <c r="E849" s="5" t="s">
        <v>68</v>
      </c>
      <c r="F849" s="5">
        <v>1</v>
      </c>
      <c r="G849" s="5" t="s">
        <v>36</v>
      </c>
      <c r="H849" s="5">
        <v>12</v>
      </c>
      <c r="I849" s="5">
        <v>1</v>
      </c>
      <c r="J849" s="5">
        <v>9</v>
      </c>
      <c r="K849" s="5" t="s">
        <v>35</v>
      </c>
      <c r="L849" s="7" t="str">
        <f>VLOOKUP(K849, 'Alphabetical by species code'!A:B, 2, FALSE)</f>
        <v>Bareground</v>
      </c>
      <c r="M849" s="7" t="str">
        <f>VLOOKUP(L849, 'Alphabetical by species code'!B:C, 2, FALSE)</f>
        <v>Ground Cover</v>
      </c>
    </row>
    <row r="850" spans="1:13" ht="15.75" customHeight="1" x14ac:dyDescent="0.25">
      <c r="A850" s="5">
        <v>18</v>
      </c>
      <c r="B850" s="5">
        <v>2023</v>
      </c>
      <c r="C850" s="61">
        <v>45197</v>
      </c>
      <c r="D850" s="5" t="s">
        <v>72</v>
      </c>
      <c r="E850" s="5" t="s">
        <v>68</v>
      </c>
      <c r="F850" s="5">
        <v>1</v>
      </c>
      <c r="G850" s="5" t="s">
        <v>36</v>
      </c>
      <c r="H850" s="5">
        <v>13</v>
      </c>
      <c r="I850" s="5">
        <v>1</v>
      </c>
      <c r="J850" s="5">
        <v>10</v>
      </c>
      <c r="K850" s="5" t="s">
        <v>27</v>
      </c>
      <c r="L850" s="7" t="str">
        <f>VLOOKUP(K850, 'Alphabetical by species code'!A:B, 2, FALSE)</f>
        <v>Litter</v>
      </c>
      <c r="M850" s="7" t="str">
        <f>VLOOKUP(L850, 'Alphabetical by species code'!B:C, 2, FALSE)</f>
        <v>Ground Cover</v>
      </c>
    </row>
    <row r="851" spans="1:13" ht="15.75" customHeight="1" x14ac:dyDescent="0.25">
      <c r="A851" s="5">
        <v>18</v>
      </c>
      <c r="B851" s="5">
        <v>2023</v>
      </c>
      <c r="C851" s="61">
        <v>45197</v>
      </c>
      <c r="D851" s="5" t="s">
        <v>72</v>
      </c>
      <c r="E851" s="5" t="s">
        <v>68</v>
      </c>
      <c r="F851" s="5">
        <v>1</v>
      </c>
      <c r="G851" s="5" t="s">
        <v>36</v>
      </c>
      <c r="H851" s="5">
        <v>14</v>
      </c>
      <c r="I851" s="5">
        <v>1</v>
      </c>
      <c r="J851" s="5">
        <v>11</v>
      </c>
      <c r="K851" s="5" t="s">
        <v>27</v>
      </c>
      <c r="L851" s="7" t="str">
        <f>VLOOKUP(K851, 'Alphabetical by species code'!A:B, 2, FALSE)</f>
        <v>Litter</v>
      </c>
      <c r="M851" s="7" t="str">
        <f>VLOOKUP(L851, 'Alphabetical by species code'!B:C, 2, FALSE)</f>
        <v>Ground Cover</v>
      </c>
    </row>
    <row r="852" spans="1:13" ht="15.75" customHeight="1" x14ac:dyDescent="0.25">
      <c r="A852" s="5">
        <v>18</v>
      </c>
      <c r="B852" s="5">
        <v>2023</v>
      </c>
      <c r="C852" s="61">
        <v>45197</v>
      </c>
      <c r="D852" s="5" t="s">
        <v>72</v>
      </c>
      <c r="E852" s="5" t="s">
        <v>68</v>
      </c>
      <c r="F852" s="5">
        <v>1</v>
      </c>
      <c r="G852" s="5" t="s">
        <v>36</v>
      </c>
      <c r="H852" s="5">
        <v>14</v>
      </c>
      <c r="I852" s="5">
        <v>1</v>
      </c>
      <c r="J852" s="5">
        <v>11</v>
      </c>
      <c r="K852" s="5" t="s">
        <v>54</v>
      </c>
      <c r="L852" s="7" t="str">
        <f>VLOOKUP(K852, 'Alphabetical by species code'!A:B, 2, FALSE)</f>
        <v>Erodium cicutarium</v>
      </c>
      <c r="M852" s="7" t="str">
        <f>VLOOKUP(L852, 'Alphabetical by species code'!B:C, 2, FALSE)</f>
        <v>Non-Native</v>
      </c>
    </row>
    <row r="853" spans="1:13" ht="15.75" customHeight="1" x14ac:dyDescent="0.25">
      <c r="A853" s="5">
        <v>18</v>
      </c>
      <c r="B853" s="5">
        <v>2023</v>
      </c>
      <c r="C853" s="61">
        <v>45197</v>
      </c>
      <c r="D853" s="5" t="s">
        <v>72</v>
      </c>
      <c r="E853" s="5" t="s">
        <v>68</v>
      </c>
      <c r="F853" s="5">
        <v>1</v>
      </c>
      <c r="G853" s="5" t="s">
        <v>36</v>
      </c>
      <c r="H853" s="5">
        <v>15</v>
      </c>
      <c r="I853" s="5">
        <v>1</v>
      </c>
      <c r="J853" s="5">
        <v>12</v>
      </c>
      <c r="K853" s="5" t="s">
        <v>27</v>
      </c>
      <c r="L853" s="7" t="str">
        <f>VLOOKUP(K853, 'Alphabetical by species code'!A:B, 2, FALSE)</f>
        <v>Litter</v>
      </c>
      <c r="M853" s="7" t="str">
        <f>VLOOKUP(L853, 'Alphabetical by species code'!B:C, 2, FALSE)</f>
        <v>Ground Cover</v>
      </c>
    </row>
    <row r="854" spans="1:13" ht="15.75" customHeight="1" x14ac:dyDescent="0.25">
      <c r="A854" s="5">
        <v>18</v>
      </c>
      <c r="B854" s="5">
        <v>2023</v>
      </c>
      <c r="C854" s="61">
        <v>45197</v>
      </c>
      <c r="D854" s="5" t="s">
        <v>72</v>
      </c>
      <c r="E854" s="5" t="s">
        <v>68</v>
      </c>
      <c r="F854" s="5">
        <v>1</v>
      </c>
      <c r="G854" s="5" t="s">
        <v>36</v>
      </c>
      <c r="H854" s="5">
        <v>15</v>
      </c>
      <c r="I854" s="5">
        <v>1</v>
      </c>
      <c r="J854" s="5">
        <v>12</v>
      </c>
      <c r="K854" s="5" t="s">
        <v>34</v>
      </c>
      <c r="L854" s="7" t="str">
        <f>VLOOKUP(K854, 'Alphabetical by species code'!A:B, 2, FALSE)</f>
        <v>Centaurea melitensis</v>
      </c>
      <c r="M854" s="7" t="str">
        <f>VLOOKUP(L854, 'Alphabetical by species code'!B:C, 2, FALSE)</f>
        <v>Non-Native</v>
      </c>
    </row>
    <row r="855" spans="1:13" ht="15.75" customHeight="1" x14ac:dyDescent="0.25">
      <c r="A855" s="5">
        <v>18</v>
      </c>
      <c r="B855" s="5">
        <v>2023</v>
      </c>
      <c r="C855" s="61">
        <v>45197</v>
      </c>
      <c r="D855" s="5" t="s">
        <v>72</v>
      </c>
      <c r="E855" s="5" t="s">
        <v>68</v>
      </c>
      <c r="F855" s="5">
        <v>1</v>
      </c>
      <c r="G855" s="5" t="s">
        <v>36</v>
      </c>
      <c r="H855" s="5">
        <v>15</v>
      </c>
      <c r="I855" s="5">
        <v>1</v>
      </c>
      <c r="J855" s="5">
        <v>12</v>
      </c>
      <c r="K855" s="5" t="s">
        <v>33</v>
      </c>
      <c r="L855" s="7" t="str">
        <f>VLOOKUP(K855, 'Alphabetical by species code'!A:B, 2, FALSE)</f>
        <v>Cylindropuntia prolifera</v>
      </c>
      <c r="M855" s="7" t="str">
        <f>VLOOKUP(L855, 'Alphabetical by species code'!B:C, 2, FALSE)</f>
        <v>Native</v>
      </c>
    </row>
    <row r="856" spans="1:13" ht="15.75" customHeight="1" x14ac:dyDescent="0.25">
      <c r="A856" s="5">
        <v>18</v>
      </c>
      <c r="B856" s="5">
        <v>2023</v>
      </c>
      <c r="C856" s="61">
        <v>45197</v>
      </c>
      <c r="D856" s="5" t="s">
        <v>72</v>
      </c>
      <c r="E856" s="5" t="s">
        <v>68</v>
      </c>
      <c r="F856" s="5">
        <v>1</v>
      </c>
      <c r="G856" s="5" t="s">
        <v>36</v>
      </c>
      <c r="H856" s="5">
        <v>1</v>
      </c>
      <c r="I856" s="5">
        <v>2</v>
      </c>
      <c r="J856" s="5">
        <v>0</v>
      </c>
      <c r="K856" s="5" t="s">
        <v>35</v>
      </c>
      <c r="L856" s="7" t="str">
        <f>VLOOKUP(K856, 'Alphabetical by species code'!A:B, 2, FALSE)</f>
        <v>Bareground</v>
      </c>
      <c r="M856" s="7" t="str">
        <f>VLOOKUP(L856, 'Alphabetical by species code'!B:C, 2, FALSE)</f>
        <v>Ground Cover</v>
      </c>
    </row>
    <row r="857" spans="1:13" ht="15.75" customHeight="1" x14ac:dyDescent="0.25">
      <c r="A857" s="5">
        <v>18</v>
      </c>
      <c r="B857" s="5">
        <v>2023</v>
      </c>
      <c r="C857" s="61">
        <v>45197</v>
      </c>
      <c r="D857" s="5" t="s">
        <v>72</v>
      </c>
      <c r="E857" s="5" t="s">
        <v>68</v>
      </c>
      <c r="F857" s="5">
        <v>1</v>
      </c>
      <c r="G857" s="5" t="s">
        <v>36</v>
      </c>
      <c r="H857" s="5">
        <v>2</v>
      </c>
      <c r="I857" s="5">
        <v>2</v>
      </c>
      <c r="J857" s="5">
        <v>1</v>
      </c>
      <c r="K857" s="5" t="s">
        <v>27</v>
      </c>
      <c r="L857" s="7" t="str">
        <f>VLOOKUP(K857, 'Alphabetical by species code'!A:B, 2, FALSE)</f>
        <v>Litter</v>
      </c>
      <c r="M857" s="7" t="str">
        <f>VLOOKUP(L857, 'Alphabetical by species code'!B:C, 2, FALSE)</f>
        <v>Ground Cover</v>
      </c>
    </row>
    <row r="858" spans="1:13" ht="15.75" customHeight="1" x14ac:dyDescent="0.25">
      <c r="A858" s="5">
        <v>18</v>
      </c>
      <c r="B858" s="5">
        <v>2023</v>
      </c>
      <c r="C858" s="61">
        <v>45197</v>
      </c>
      <c r="D858" s="5" t="s">
        <v>72</v>
      </c>
      <c r="E858" s="5" t="s">
        <v>68</v>
      </c>
      <c r="F858" s="5">
        <v>1</v>
      </c>
      <c r="G858" s="5" t="s">
        <v>36</v>
      </c>
      <c r="H858" s="5">
        <v>3</v>
      </c>
      <c r="I858" s="5">
        <v>2</v>
      </c>
      <c r="J858" s="5">
        <v>1.5</v>
      </c>
      <c r="K858" s="5" t="s">
        <v>27</v>
      </c>
      <c r="L858" s="7" t="str">
        <f>VLOOKUP(K858, 'Alphabetical by species code'!A:B, 2, FALSE)</f>
        <v>Litter</v>
      </c>
      <c r="M858" s="7" t="str">
        <f>VLOOKUP(L858, 'Alphabetical by species code'!B:C, 2, FALSE)</f>
        <v>Ground Cover</v>
      </c>
    </row>
    <row r="859" spans="1:13" ht="15.75" customHeight="1" x14ac:dyDescent="0.25">
      <c r="A859" s="5">
        <v>18</v>
      </c>
      <c r="B859" s="5">
        <v>2023</v>
      </c>
      <c r="C859" s="61">
        <v>45197</v>
      </c>
      <c r="D859" s="5" t="s">
        <v>72</v>
      </c>
      <c r="E859" s="5" t="s">
        <v>68</v>
      </c>
      <c r="F859" s="5">
        <v>1</v>
      </c>
      <c r="G859" s="5" t="s">
        <v>36</v>
      </c>
      <c r="H859" s="5">
        <v>4</v>
      </c>
      <c r="I859" s="5">
        <v>2</v>
      </c>
      <c r="J859" s="5">
        <v>2</v>
      </c>
      <c r="K859" s="5" t="s">
        <v>27</v>
      </c>
      <c r="L859" s="7" t="str">
        <f>VLOOKUP(K859, 'Alphabetical by species code'!A:B, 2, FALSE)</f>
        <v>Litter</v>
      </c>
      <c r="M859" s="7" t="str">
        <f>VLOOKUP(L859, 'Alphabetical by species code'!B:C, 2, FALSE)</f>
        <v>Ground Cover</v>
      </c>
    </row>
    <row r="860" spans="1:13" ht="15.75" customHeight="1" x14ac:dyDescent="0.25">
      <c r="A860" s="5">
        <v>18</v>
      </c>
      <c r="B860" s="5">
        <v>2023</v>
      </c>
      <c r="C860" s="61">
        <v>45197</v>
      </c>
      <c r="D860" s="5" t="s">
        <v>72</v>
      </c>
      <c r="E860" s="5" t="s">
        <v>68</v>
      </c>
      <c r="F860" s="5">
        <v>1</v>
      </c>
      <c r="G860" s="5" t="s">
        <v>36</v>
      </c>
      <c r="H860" s="5">
        <v>4</v>
      </c>
      <c r="I860" s="5">
        <v>2</v>
      </c>
      <c r="J860" s="5">
        <v>2</v>
      </c>
      <c r="K860" s="5" t="s">
        <v>48</v>
      </c>
      <c r="L860" s="7" t="str">
        <f>VLOOKUP(K860, 'Alphabetical by species code'!A:B, 2, FALSE)</f>
        <v>Deinandra fasciculata</v>
      </c>
      <c r="M860" s="7" t="str">
        <f>VLOOKUP(L860, 'Alphabetical by species code'!B:C, 2, FALSE)</f>
        <v>Native</v>
      </c>
    </row>
    <row r="861" spans="1:13" ht="15.75" customHeight="1" x14ac:dyDescent="0.25">
      <c r="A861" s="5">
        <v>18</v>
      </c>
      <c r="B861" s="5">
        <v>2023</v>
      </c>
      <c r="C861" s="61">
        <v>45197</v>
      </c>
      <c r="D861" s="5" t="s">
        <v>72</v>
      </c>
      <c r="E861" s="5" t="s">
        <v>68</v>
      </c>
      <c r="F861" s="5">
        <v>1</v>
      </c>
      <c r="G861" s="5" t="s">
        <v>36</v>
      </c>
      <c r="H861" s="5">
        <v>5</v>
      </c>
      <c r="I861" s="5">
        <v>2</v>
      </c>
      <c r="J861" s="5">
        <v>3</v>
      </c>
      <c r="K861" s="5" t="s">
        <v>27</v>
      </c>
      <c r="L861" s="7" t="str">
        <f>VLOOKUP(K861, 'Alphabetical by species code'!A:B, 2, FALSE)</f>
        <v>Litter</v>
      </c>
      <c r="M861" s="7" t="str">
        <f>VLOOKUP(L861, 'Alphabetical by species code'!B:C, 2, FALSE)</f>
        <v>Ground Cover</v>
      </c>
    </row>
    <row r="862" spans="1:13" ht="15.75" customHeight="1" x14ac:dyDescent="0.25">
      <c r="A862" s="5">
        <v>18</v>
      </c>
      <c r="B862" s="5">
        <v>2023</v>
      </c>
      <c r="C862" s="61">
        <v>45197</v>
      </c>
      <c r="D862" s="5" t="s">
        <v>72</v>
      </c>
      <c r="E862" s="5" t="s">
        <v>68</v>
      </c>
      <c r="F862" s="5">
        <v>1</v>
      </c>
      <c r="G862" s="5" t="s">
        <v>36</v>
      </c>
      <c r="H862" s="5">
        <v>5</v>
      </c>
      <c r="I862" s="5">
        <v>2</v>
      </c>
      <c r="J862" s="5">
        <v>3</v>
      </c>
      <c r="K862" s="5" t="s">
        <v>48</v>
      </c>
      <c r="L862" s="7" t="str">
        <f>VLOOKUP(K862, 'Alphabetical by species code'!A:B, 2, FALSE)</f>
        <v>Deinandra fasciculata</v>
      </c>
      <c r="M862" s="7" t="str">
        <f>VLOOKUP(L862, 'Alphabetical by species code'!B:C, 2, FALSE)</f>
        <v>Native</v>
      </c>
    </row>
    <row r="863" spans="1:13" ht="15.75" customHeight="1" x14ac:dyDescent="0.25">
      <c r="A863" s="5">
        <v>18</v>
      </c>
      <c r="B863" s="5">
        <v>2023</v>
      </c>
      <c r="C863" s="61">
        <v>45197</v>
      </c>
      <c r="D863" s="5" t="s">
        <v>72</v>
      </c>
      <c r="E863" s="5" t="s">
        <v>68</v>
      </c>
      <c r="F863" s="5">
        <v>1</v>
      </c>
      <c r="G863" s="5" t="s">
        <v>36</v>
      </c>
      <c r="H863" s="5">
        <v>6</v>
      </c>
      <c r="I863" s="5">
        <v>2</v>
      </c>
      <c r="J863" s="5">
        <v>3.5</v>
      </c>
      <c r="K863" s="5" t="s">
        <v>27</v>
      </c>
      <c r="L863" s="7" t="str">
        <f>VLOOKUP(K863, 'Alphabetical by species code'!A:B, 2, FALSE)</f>
        <v>Litter</v>
      </c>
      <c r="M863" s="7" t="str">
        <f>VLOOKUP(L863, 'Alphabetical by species code'!B:C, 2, FALSE)</f>
        <v>Ground Cover</v>
      </c>
    </row>
    <row r="864" spans="1:13" ht="15.75" customHeight="1" x14ac:dyDescent="0.25">
      <c r="A864" s="5">
        <v>18</v>
      </c>
      <c r="B864" s="5">
        <v>2023</v>
      </c>
      <c r="C864" s="61">
        <v>45197</v>
      </c>
      <c r="D864" s="5" t="s">
        <v>72</v>
      </c>
      <c r="E864" s="5" t="s">
        <v>68</v>
      </c>
      <c r="F864" s="5">
        <v>1</v>
      </c>
      <c r="G864" s="5" t="s">
        <v>36</v>
      </c>
      <c r="H864" s="5">
        <v>6</v>
      </c>
      <c r="I864" s="5">
        <v>2</v>
      </c>
      <c r="J864" s="5">
        <v>3.5</v>
      </c>
      <c r="K864" s="5" t="s">
        <v>48</v>
      </c>
      <c r="L864" s="7" t="str">
        <f>VLOOKUP(K864, 'Alphabetical by species code'!A:B, 2, FALSE)</f>
        <v>Deinandra fasciculata</v>
      </c>
      <c r="M864" s="7" t="str">
        <f>VLOOKUP(L864, 'Alphabetical by species code'!B:C, 2, FALSE)</f>
        <v>Native</v>
      </c>
    </row>
    <row r="865" spans="1:13" ht="15.75" customHeight="1" x14ac:dyDescent="0.25">
      <c r="A865" s="5">
        <v>18</v>
      </c>
      <c r="B865" s="5">
        <v>2023</v>
      </c>
      <c r="C865" s="61">
        <v>45197</v>
      </c>
      <c r="D865" s="5" t="s">
        <v>72</v>
      </c>
      <c r="E865" s="5" t="s">
        <v>68</v>
      </c>
      <c r="F865" s="5">
        <v>1</v>
      </c>
      <c r="G865" s="5" t="s">
        <v>36</v>
      </c>
      <c r="H865" s="5">
        <v>7</v>
      </c>
      <c r="I865" s="5">
        <v>2</v>
      </c>
      <c r="J865" s="5">
        <v>4</v>
      </c>
      <c r="K865" s="5" t="s">
        <v>27</v>
      </c>
      <c r="L865" s="7" t="str">
        <f>VLOOKUP(K865, 'Alphabetical by species code'!A:B, 2, FALSE)</f>
        <v>Litter</v>
      </c>
      <c r="M865" s="7" t="str">
        <f>VLOOKUP(L865, 'Alphabetical by species code'!B:C, 2, FALSE)</f>
        <v>Ground Cover</v>
      </c>
    </row>
    <row r="866" spans="1:13" ht="15.75" customHeight="1" x14ac:dyDescent="0.25">
      <c r="A866" s="5">
        <v>18</v>
      </c>
      <c r="B866" s="5">
        <v>2023</v>
      </c>
      <c r="C866" s="61">
        <v>45197</v>
      </c>
      <c r="D866" s="5" t="s">
        <v>72</v>
      </c>
      <c r="E866" s="5" t="s">
        <v>68</v>
      </c>
      <c r="F866" s="5">
        <v>1</v>
      </c>
      <c r="G866" s="5" t="s">
        <v>36</v>
      </c>
      <c r="H866" s="5">
        <v>7</v>
      </c>
      <c r="I866" s="5">
        <v>2</v>
      </c>
      <c r="J866" s="5">
        <v>4</v>
      </c>
      <c r="K866" s="5" t="s">
        <v>48</v>
      </c>
      <c r="L866" s="7" t="str">
        <f>VLOOKUP(K866, 'Alphabetical by species code'!A:B, 2, FALSE)</f>
        <v>Deinandra fasciculata</v>
      </c>
      <c r="M866" s="7" t="str">
        <f>VLOOKUP(L866, 'Alphabetical by species code'!B:C, 2, FALSE)</f>
        <v>Native</v>
      </c>
    </row>
    <row r="867" spans="1:13" ht="15.75" customHeight="1" x14ac:dyDescent="0.25">
      <c r="A867" s="5">
        <v>18</v>
      </c>
      <c r="B867" s="5">
        <v>2023</v>
      </c>
      <c r="C867" s="61">
        <v>45197</v>
      </c>
      <c r="D867" s="5" t="s">
        <v>72</v>
      </c>
      <c r="E867" s="5" t="s">
        <v>68</v>
      </c>
      <c r="F867" s="5">
        <v>1</v>
      </c>
      <c r="G867" s="5" t="s">
        <v>36</v>
      </c>
      <c r="H867" s="5">
        <v>8</v>
      </c>
      <c r="I867" s="5">
        <v>2</v>
      </c>
      <c r="J867" s="5">
        <v>5</v>
      </c>
      <c r="K867" s="5" t="s">
        <v>27</v>
      </c>
      <c r="L867" s="7" t="str">
        <f>VLOOKUP(K867, 'Alphabetical by species code'!A:B, 2, FALSE)</f>
        <v>Litter</v>
      </c>
      <c r="M867" s="7" t="str">
        <f>VLOOKUP(L867, 'Alphabetical by species code'!B:C, 2, FALSE)</f>
        <v>Ground Cover</v>
      </c>
    </row>
    <row r="868" spans="1:13" ht="15.75" customHeight="1" x14ac:dyDescent="0.25">
      <c r="A868" s="5">
        <v>18</v>
      </c>
      <c r="B868" s="5">
        <v>2023</v>
      </c>
      <c r="C868" s="61">
        <v>45197</v>
      </c>
      <c r="D868" s="5" t="s">
        <v>72</v>
      </c>
      <c r="E868" s="5" t="s">
        <v>68</v>
      </c>
      <c r="F868" s="5">
        <v>1</v>
      </c>
      <c r="G868" s="5" t="s">
        <v>36</v>
      </c>
      <c r="H868" s="5">
        <v>8</v>
      </c>
      <c r="I868" s="5">
        <v>2</v>
      </c>
      <c r="J868" s="5">
        <v>5</v>
      </c>
      <c r="K868" s="5" t="s">
        <v>34</v>
      </c>
      <c r="L868" s="7" t="str">
        <f>VLOOKUP(K868, 'Alphabetical by species code'!A:B, 2, FALSE)</f>
        <v>Centaurea melitensis</v>
      </c>
      <c r="M868" s="7" t="str">
        <f>VLOOKUP(L868, 'Alphabetical by species code'!B:C, 2, FALSE)</f>
        <v>Non-Native</v>
      </c>
    </row>
    <row r="869" spans="1:13" ht="15.75" customHeight="1" x14ac:dyDescent="0.25">
      <c r="A869" s="5">
        <v>18</v>
      </c>
      <c r="B869" s="5">
        <v>2023</v>
      </c>
      <c r="C869" s="61">
        <v>45197</v>
      </c>
      <c r="D869" s="5" t="s">
        <v>72</v>
      </c>
      <c r="E869" s="5" t="s">
        <v>68</v>
      </c>
      <c r="F869" s="5">
        <v>1</v>
      </c>
      <c r="G869" s="5" t="s">
        <v>36</v>
      </c>
      <c r="H869" s="5">
        <v>9</v>
      </c>
      <c r="I869" s="5">
        <v>2</v>
      </c>
      <c r="J869" s="5">
        <v>7</v>
      </c>
      <c r="K869" s="5" t="s">
        <v>27</v>
      </c>
      <c r="L869" s="7" t="str">
        <f>VLOOKUP(K869, 'Alphabetical by species code'!A:B, 2, FALSE)</f>
        <v>Litter</v>
      </c>
      <c r="M869" s="7" t="str">
        <f>VLOOKUP(L869, 'Alphabetical by species code'!B:C, 2, FALSE)</f>
        <v>Ground Cover</v>
      </c>
    </row>
    <row r="870" spans="1:13" ht="15.75" customHeight="1" x14ac:dyDescent="0.25">
      <c r="A870" s="5">
        <v>18</v>
      </c>
      <c r="B870" s="5">
        <v>2023</v>
      </c>
      <c r="C870" s="61">
        <v>45197</v>
      </c>
      <c r="D870" s="5" t="s">
        <v>72</v>
      </c>
      <c r="E870" s="5" t="s">
        <v>68</v>
      </c>
      <c r="F870" s="5">
        <v>1</v>
      </c>
      <c r="G870" s="5" t="s">
        <v>36</v>
      </c>
      <c r="H870" s="5">
        <v>9</v>
      </c>
      <c r="I870" s="5">
        <v>2</v>
      </c>
      <c r="J870" s="5">
        <v>7</v>
      </c>
      <c r="K870" s="5" t="s">
        <v>48</v>
      </c>
      <c r="L870" s="7" t="str">
        <f>VLOOKUP(K870, 'Alphabetical by species code'!A:B, 2, FALSE)</f>
        <v>Deinandra fasciculata</v>
      </c>
      <c r="M870" s="7" t="str">
        <f>VLOOKUP(L870, 'Alphabetical by species code'!B:C, 2, FALSE)</f>
        <v>Native</v>
      </c>
    </row>
    <row r="871" spans="1:13" ht="15.75" customHeight="1" x14ac:dyDescent="0.25">
      <c r="A871" s="5">
        <v>18</v>
      </c>
      <c r="B871" s="5">
        <v>2023</v>
      </c>
      <c r="C871" s="61">
        <v>45197</v>
      </c>
      <c r="D871" s="5" t="s">
        <v>72</v>
      </c>
      <c r="E871" s="5" t="s">
        <v>68</v>
      </c>
      <c r="F871" s="5">
        <v>1</v>
      </c>
      <c r="G871" s="5" t="s">
        <v>36</v>
      </c>
      <c r="H871" s="5">
        <v>10</v>
      </c>
      <c r="I871" s="5">
        <v>2</v>
      </c>
      <c r="J871" s="5">
        <v>8</v>
      </c>
      <c r="K871" s="5" t="s">
        <v>27</v>
      </c>
      <c r="L871" s="7" t="str">
        <f>VLOOKUP(K871, 'Alphabetical by species code'!A:B, 2, FALSE)</f>
        <v>Litter</v>
      </c>
      <c r="M871" s="7" t="str">
        <f>VLOOKUP(L871, 'Alphabetical by species code'!B:C, 2, FALSE)</f>
        <v>Ground Cover</v>
      </c>
    </row>
    <row r="872" spans="1:13" ht="15.75" customHeight="1" x14ac:dyDescent="0.25">
      <c r="A872" s="5">
        <v>18</v>
      </c>
      <c r="B872" s="5">
        <v>2023</v>
      </c>
      <c r="C872" s="61">
        <v>45197</v>
      </c>
      <c r="D872" s="5" t="s">
        <v>72</v>
      </c>
      <c r="E872" s="5" t="s">
        <v>68</v>
      </c>
      <c r="F872" s="5">
        <v>1</v>
      </c>
      <c r="G872" s="5" t="s">
        <v>36</v>
      </c>
      <c r="H872" s="5">
        <v>10</v>
      </c>
      <c r="I872" s="5">
        <v>2</v>
      </c>
      <c r="J872" s="5">
        <v>8</v>
      </c>
      <c r="K872" s="5" t="s">
        <v>48</v>
      </c>
      <c r="L872" s="7" t="str">
        <f>VLOOKUP(K872, 'Alphabetical by species code'!A:B, 2, FALSE)</f>
        <v>Deinandra fasciculata</v>
      </c>
      <c r="M872" s="7" t="str">
        <f>VLOOKUP(L872, 'Alphabetical by species code'!B:C, 2, FALSE)</f>
        <v>Native</v>
      </c>
    </row>
    <row r="873" spans="1:13" ht="15.75" customHeight="1" x14ac:dyDescent="0.25">
      <c r="A873" s="5">
        <v>18</v>
      </c>
      <c r="B873" s="5">
        <v>2023</v>
      </c>
      <c r="C873" s="61">
        <v>45197</v>
      </c>
      <c r="D873" s="14" t="s">
        <v>72</v>
      </c>
      <c r="E873" s="5" t="s">
        <v>68</v>
      </c>
      <c r="F873" s="5">
        <v>1</v>
      </c>
      <c r="G873" s="5" t="s">
        <v>36</v>
      </c>
      <c r="H873" s="5">
        <v>11</v>
      </c>
      <c r="I873" s="5">
        <v>2</v>
      </c>
      <c r="J873" s="5">
        <v>8.5</v>
      </c>
      <c r="K873" s="5" t="s">
        <v>27</v>
      </c>
      <c r="L873" s="7" t="str">
        <f>VLOOKUP(K873, 'Alphabetical by species code'!A:B, 2, FALSE)</f>
        <v>Litter</v>
      </c>
      <c r="M873" s="7" t="str">
        <f>VLOOKUP(L873, 'Alphabetical by species code'!B:C, 2, FALSE)</f>
        <v>Ground Cover</v>
      </c>
    </row>
    <row r="874" spans="1:13" ht="15.75" customHeight="1" x14ac:dyDescent="0.25">
      <c r="A874" s="5">
        <v>18</v>
      </c>
      <c r="B874" s="5">
        <v>2023</v>
      </c>
      <c r="C874" s="61">
        <v>45197</v>
      </c>
      <c r="D874" s="5" t="s">
        <v>72</v>
      </c>
      <c r="E874" s="5" t="s">
        <v>68</v>
      </c>
      <c r="F874" s="5">
        <v>1</v>
      </c>
      <c r="G874" s="5" t="s">
        <v>36</v>
      </c>
      <c r="H874" s="5">
        <v>11</v>
      </c>
      <c r="I874" s="5">
        <v>2</v>
      </c>
      <c r="J874" s="5">
        <v>8.5</v>
      </c>
      <c r="K874" s="5" t="s">
        <v>48</v>
      </c>
      <c r="L874" s="7" t="str">
        <f>VLOOKUP(K874, 'Alphabetical by species code'!A:B, 2, FALSE)</f>
        <v>Deinandra fasciculata</v>
      </c>
      <c r="M874" s="7" t="str">
        <f>VLOOKUP(L874, 'Alphabetical by species code'!B:C, 2, FALSE)</f>
        <v>Native</v>
      </c>
    </row>
    <row r="875" spans="1:13" ht="15.75" customHeight="1" x14ac:dyDescent="0.25">
      <c r="A875" s="5">
        <v>18</v>
      </c>
      <c r="B875" s="5">
        <v>2023</v>
      </c>
      <c r="C875" s="61">
        <v>45197</v>
      </c>
      <c r="D875" s="5" t="s">
        <v>72</v>
      </c>
      <c r="E875" s="5" t="s">
        <v>68</v>
      </c>
      <c r="F875" s="5">
        <v>1</v>
      </c>
      <c r="G875" s="5" t="s">
        <v>36</v>
      </c>
      <c r="H875" s="5">
        <v>12</v>
      </c>
      <c r="I875" s="5">
        <v>2</v>
      </c>
      <c r="J875" s="5">
        <v>9</v>
      </c>
      <c r="K875" s="5" t="s">
        <v>27</v>
      </c>
      <c r="L875" s="7" t="str">
        <f>VLOOKUP(K875, 'Alphabetical by species code'!A:B, 2, FALSE)</f>
        <v>Litter</v>
      </c>
      <c r="M875" s="7" t="str">
        <f>VLOOKUP(L875, 'Alphabetical by species code'!B:C, 2, FALSE)</f>
        <v>Ground Cover</v>
      </c>
    </row>
    <row r="876" spans="1:13" ht="15.75" customHeight="1" x14ac:dyDescent="0.25">
      <c r="A876" s="5">
        <v>18</v>
      </c>
      <c r="B876" s="5">
        <v>2023</v>
      </c>
      <c r="C876" s="61">
        <v>45197</v>
      </c>
      <c r="D876" s="5" t="s">
        <v>72</v>
      </c>
      <c r="E876" s="5" t="s">
        <v>68</v>
      </c>
      <c r="F876" s="5">
        <v>1</v>
      </c>
      <c r="G876" s="5" t="s">
        <v>36</v>
      </c>
      <c r="H876" s="5">
        <v>12</v>
      </c>
      <c r="I876" s="5">
        <v>2</v>
      </c>
      <c r="J876" s="5">
        <v>9</v>
      </c>
      <c r="K876" s="5" t="s">
        <v>48</v>
      </c>
      <c r="L876" s="7" t="str">
        <f>VLOOKUP(K876, 'Alphabetical by species code'!A:B, 2, FALSE)</f>
        <v>Deinandra fasciculata</v>
      </c>
      <c r="M876" s="7" t="str">
        <f>VLOOKUP(L876, 'Alphabetical by species code'!B:C, 2, FALSE)</f>
        <v>Native</v>
      </c>
    </row>
    <row r="877" spans="1:13" ht="15.75" customHeight="1" x14ac:dyDescent="0.25">
      <c r="A877" s="5">
        <v>18</v>
      </c>
      <c r="B877" s="5">
        <v>2023</v>
      </c>
      <c r="C877" s="61">
        <v>45197</v>
      </c>
      <c r="D877" s="5" t="s">
        <v>72</v>
      </c>
      <c r="E877" s="5" t="s">
        <v>68</v>
      </c>
      <c r="F877" s="5">
        <v>1</v>
      </c>
      <c r="G877" s="5" t="s">
        <v>36</v>
      </c>
      <c r="H877" s="5">
        <v>13</v>
      </c>
      <c r="I877" s="5">
        <v>2</v>
      </c>
      <c r="J877" s="5">
        <v>10</v>
      </c>
      <c r="K877" s="5" t="s">
        <v>27</v>
      </c>
      <c r="L877" s="7" t="str">
        <f>VLOOKUP(K877, 'Alphabetical by species code'!A:B, 2, FALSE)</f>
        <v>Litter</v>
      </c>
      <c r="M877" s="7" t="str">
        <f>VLOOKUP(L877, 'Alphabetical by species code'!B:C, 2, FALSE)</f>
        <v>Ground Cover</v>
      </c>
    </row>
    <row r="878" spans="1:13" ht="15.75" customHeight="1" x14ac:dyDescent="0.25">
      <c r="A878" s="5">
        <v>18</v>
      </c>
      <c r="B878" s="5">
        <v>2023</v>
      </c>
      <c r="C878" s="61">
        <v>45197</v>
      </c>
      <c r="D878" s="5" t="s">
        <v>72</v>
      </c>
      <c r="E878" s="5" t="s">
        <v>68</v>
      </c>
      <c r="F878" s="5">
        <v>1</v>
      </c>
      <c r="G878" s="5" t="s">
        <v>36</v>
      </c>
      <c r="H878" s="5">
        <v>13</v>
      </c>
      <c r="I878" s="5">
        <v>2</v>
      </c>
      <c r="J878" s="5">
        <v>10</v>
      </c>
      <c r="K878" s="5" t="s">
        <v>48</v>
      </c>
      <c r="L878" s="7" t="str">
        <f>VLOOKUP(K878, 'Alphabetical by species code'!A:B, 2, FALSE)</f>
        <v>Deinandra fasciculata</v>
      </c>
      <c r="M878" s="7" t="str">
        <f>VLOOKUP(L878, 'Alphabetical by species code'!B:C, 2, FALSE)</f>
        <v>Native</v>
      </c>
    </row>
    <row r="879" spans="1:13" ht="15.75" customHeight="1" x14ac:dyDescent="0.25">
      <c r="A879" s="5">
        <v>18</v>
      </c>
      <c r="B879" s="5">
        <v>2023</v>
      </c>
      <c r="C879" s="61">
        <v>45197</v>
      </c>
      <c r="D879" s="5" t="s">
        <v>72</v>
      </c>
      <c r="E879" s="5" t="s">
        <v>68</v>
      </c>
      <c r="F879" s="5">
        <v>1</v>
      </c>
      <c r="G879" s="5" t="s">
        <v>36</v>
      </c>
      <c r="H879" s="5">
        <v>14</v>
      </c>
      <c r="I879" s="5">
        <v>2</v>
      </c>
      <c r="J879" s="5">
        <v>11</v>
      </c>
      <c r="K879" s="5" t="s">
        <v>35</v>
      </c>
      <c r="L879" s="7" t="str">
        <f>VLOOKUP(K879, 'Alphabetical by species code'!A:B, 2, FALSE)</f>
        <v>Bareground</v>
      </c>
      <c r="M879" s="7" t="str">
        <f>VLOOKUP(L879, 'Alphabetical by species code'!B:C, 2, FALSE)</f>
        <v>Ground Cover</v>
      </c>
    </row>
    <row r="880" spans="1:13" ht="15.75" customHeight="1" x14ac:dyDescent="0.25">
      <c r="A880" s="5">
        <v>18</v>
      </c>
      <c r="B880" s="5">
        <v>2023</v>
      </c>
      <c r="C880" s="61">
        <v>45197</v>
      </c>
      <c r="D880" s="5" t="s">
        <v>72</v>
      </c>
      <c r="E880" s="5" t="s">
        <v>68</v>
      </c>
      <c r="F880" s="5">
        <v>1</v>
      </c>
      <c r="G880" s="5" t="s">
        <v>36</v>
      </c>
      <c r="H880" s="5">
        <v>14</v>
      </c>
      <c r="I880" s="5">
        <v>2</v>
      </c>
      <c r="J880" s="5">
        <v>11</v>
      </c>
      <c r="K880" s="5" t="s">
        <v>54</v>
      </c>
      <c r="L880" s="7" t="str">
        <f>VLOOKUP(K880, 'Alphabetical by species code'!A:B, 2, FALSE)</f>
        <v>Erodium cicutarium</v>
      </c>
      <c r="M880" s="7" t="str">
        <f>VLOOKUP(L880, 'Alphabetical by species code'!B:C, 2, FALSE)</f>
        <v>Non-Native</v>
      </c>
    </row>
    <row r="881" spans="1:14" ht="15.75" customHeight="1" x14ac:dyDescent="0.25">
      <c r="A881" s="5">
        <v>18</v>
      </c>
      <c r="B881" s="5">
        <v>2023</v>
      </c>
      <c r="C881" s="61">
        <v>45197</v>
      </c>
      <c r="D881" s="5" t="s">
        <v>72</v>
      </c>
      <c r="E881" s="5" t="s">
        <v>68</v>
      </c>
      <c r="F881" s="5">
        <v>1</v>
      </c>
      <c r="G881" s="5" t="s">
        <v>36</v>
      </c>
      <c r="H881" s="5">
        <v>15</v>
      </c>
      <c r="I881" s="5">
        <v>2</v>
      </c>
      <c r="J881" s="5">
        <v>12</v>
      </c>
      <c r="K881" s="5" t="s">
        <v>27</v>
      </c>
      <c r="L881" s="7" t="str">
        <f>VLOOKUP(K881, 'Alphabetical by species code'!A:B, 2, FALSE)</f>
        <v>Litter</v>
      </c>
      <c r="M881" s="7" t="str">
        <f>VLOOKUP(L881, 'Alphabetical by species code'!B:C, 2, FALSE)</f>
        <v>Ground Cover</v>
      </c>
    </row>
    <row r="882" spans="1:14" ht="15.75" customHeight="1" x14ac:dyDescent="0.25">
      <c r="A882" s="5">
        <v>19</v>
      </c>
      <c r="B882" s="5">
        <v>2023</v>
      </c>
      <c r="C882" s="61">
        <v>45197</v>
      </c>
      <c r="D882" s="5" t="s">
        <v>72</v>
      </c>
      <c r="E882" s="5" t="s">
        <v>68</v>
      </c>
      <c r="F882" s="5">
        <v>1</v>
      </c>
      <c r="G882" s="5" t="s">
        <v>46</v>
      </c>
      <c r="H882" s="5">
        <v>1</v>
      </c>
      <c r="I882" s="5">
        <v>1</v>
      </c>
      <c r="J882" s="5">
        <v>0</v>
      </c>
      <c r="K882" s="5" t="s">
        <v>27</v>
      </c>
      <c r="L882" s="7" t="str">
        <f>VLOOKUP(K882, 'Alphabetical by species code'!A:B, 2, FALSE)</f>
        <v>Litter</v>
      </c>
      <c r="M882" s="7" t="str">
        <f>VLOOKUP(L882, 'Alphabetical by species code'!B:C, 2, FALSE)</f>
        <v>Ground Cover</v>
      </c>
      <c r="N882" s="7"/>
    </row>
    <row r="883" spans="1:14" ht="15.75" customHeight="1" x14ac:dyDescent="0.25">
      <c r="A883" s="5">
        <v>19</v>
      </c>
      <c r="B883" s="5">
        <v>2023</v>
      </c>
      <c r="C883" s="61">
        <v>45197</v>
      </c>
      <c r="D883" s="5" t="s">
        <v>72</v>
      </c>
      <c r="E883" s="5" t="s">
        <v>68</v>
      </c>
      <c r="F883" s="5">
        <v>1</v>
      </c>
      <c r="G883" s="5" t="s">
        <v>46</v>
      </c>
      <c r="H883" s="5">
        <v>1</v>
      </c>
      <c r="I883" s="5">
        <v>1</v>
      </c>
      <c r="J883" s="5">
        <v>0</v>
      </c>
      <c r="K883" s="5" t="s">
        <v>30</v>
      </c>
      <c r="L883" s="7" t="str">
        <f>VLOOKUP(K883, 'Alphabetical by species code'!A:B, 2, FALSE)</f>
        <v>Non Native Grass</v>
      </c>
      <c r="M883" s="7" t="str">
        <f>VLOOKUP(L883, 'Alphabetical by species code'!B:C, 2, FALSE)</f>
        <v>Non-Native</v>
      </c>
    </row>
    <row r="884" spans="1:14" ht="15.75" customHeight="1" x14ac:dyDescent="0.25">
      <c r="A884" s="5">
        <v>19</v>
      </c>
      <c r="B884" s="5">
        <v>2023</v>
      </c>
      <c r="C884" s="61">
        <v>45197</v>
      </c>
      <c r="D884" s="5" t="s">
        <v>72</v>
      </c>
      <c r="E884" s="5" t="s">
        <v>68</v>
      </c>
      <c r="F884" s="5">
        <v>1</v>
      </c>
      <c r="G884" s="5" t="s">
        <v>46</v>
      </c>
      <c r="H884" s="5">
        <v>1</v>
      </c>
      <c r="I884" s="5">
        <v>1</v>
      </c>
      <c r="J884" s="5">
        <v>0</v>
      </c>
      <c r="K884" s="5" t="s">
        <v>48</v>
      </c>
      <c r="L884" s="7" t="str">
        <f>VLOOKUP(K884, 'Alphabetical by species code'!A:B, 2, FALSE)</f>
        <v>Deinandra fasciculata</v>
      </c>
      <c r="M884" s="7" t="str">
        <f>VLOOKUP(L884, 'Alphabetical by species code'!B:C, 2, FALSE)</f>
        <v>Native</v>
      </c>
    </row>
    <row r="885" spans="1:14" ht="15.75" customHeight="1" x14ac:dyDescent="0.25">
      <c r="A885" s="15">
        <v>19</v>
      </c>
      <c r="B885" s="5">
        <v>2023</v>
      </c>
      <c r="C885" s="61">
        <v>45197</v>
      </c>
      <c r="D885" s="5" t="s">
        <v>72</v>
      </c>
      <c r="E885" s="5" t="s">
        <v>68</v>
      </c>
      <c r="F885" s="5">
        <v>1</v>
      </c>
      <c r="G885" s="5" t="s">
        <v>46</v>
      </c>
      <c r="H885" s="5">
        <v>2</v>
      </c>
      <c r="I885" s="5">
        <v>1</v>
      </c>
      <c r="J885" s="5">
        <v>0.5</v>
      </c>
      <c r="K885" s="5" t="s">
        <v>27</v>
      </c>
      <c r="L885" s="7" t="str">
        <f>VLOOKUP(K885, 'Alphabetical by species code'!A:B, 2, FALSE)</f>
        <v>Litter</v>
      </c>
      <c r="M885" s="7" t="str">
        <f>VLOOKUP(L885, 'Alphabetical by species code'!B:C, 2, FALSE)</f>
        <v>Ground Cover</v>
      </c>
    </row>
    <row r="886" spans="1:14" ht="15.75" customHeight="1" x14ac:dyDescent="0.25">
      <c r="A886" s="5">
        <v>19</v>
      </c>
      <c r="B886" s="5">
        <v>2023</v>
      </c>
      <c r="C886" s="61">
        <v>45197</v>
      </c>
      <c r="D886" s="5" t="s">
        <v>72</v>
      </c>
      <c r="E886" s="5" t="s">
        <v>68</v>
      </c>
      <c r="F886" s="5">
        <v>1</v>
      </c>
      <c r="G886" s="5" t="s">
        <v>46</v>
      </c>
      <c r="H886" s="5">
        <v>3</v>
      </c>
      <c r="I886" s="5">
        <v>1</v>
      </c>
      <c r="J886" s="5">
        <v>1</v>
      </c>
      <c r="K886" s="5" t="s">
        <v>27</v>
      </c>
      <c r="L886" s="7" t="str">
        <f>VLOOKUP(K886, 'Alphabetical by species code'!A:B, 2, FALSE)</f>
        <v>Litter</v>
      </c>
      <c r="M886" s="7" t="str">
        <f>VLOOKUP(L886, 'Alphabetical by species code'!B:C, 2, FALSE)</f>
        <v>Ground Cover</v>
      </c>
    </row>
    <row r="887" spans="1:14" ht="15.75" customHeight="1" x14ac:dyDescent="0.25">
      <c r="A887" s="15">
        <v>19</v>
      </c>
      <c r="B887" s="5">
        <v>2023</v>
      </c>
      <c r="C887" s="61">
        <v>45197</v>
      </c>
      <c r="D887" s="5" t="s">
        <v>72</v>
      </c>
      <c r="E887" s="5" t="s">
        <v>68</v>
      </c>
      <c r="F887" s="5">
        <v>1</v>
      </c>
      <c r="G887" s="5" t="s">
        <v>46</v>
      </c>
      <c r="H887" s="5">
        <v>3</v>
      </c>
      <c r="I887" s="5">
        <v>1</v>
      </c>
      <c r="J887" s="5">
        <v>1</v>
      </c>
      <c r="K887" s="5" t="s">
        <v>34</v>
      </c>
      <c r="L887" s="7" t="str">
        <f>VLOOKUP(K887, 'Alphabetical by species code'!A:B, 2, FALSE)</f>
        <v>Centaurea melitensis</v>
      </c>
      <c r="M887" s="7" t="str">
        <f>VLOOKUP(L887, 'Alphabetical by species code'!B:C, 2, FALSE)</f>
        <v>Non-Native</v>
      </c>
    </row>
    <row r="888" spans="1:14" ht="15.75" customHeight="1" x14ac:dyDescent="0.25">
      <c r="A888" s="5">
        <v>19</v>
      </c>
      <c r="B888" s="5">
        <v>2023</v>
      </c>
      <c r="C888" s="61">
        <v>45197</v>
      </c>
      <c r="D888" s="5" t="s">
        <v>72</v>
      </c>
      <c r="E888" s="5" t="s">
        <v>68</v>
      </c>
      <c r="F888" s="5">
        <v>1</v>
      </c>
      <c r="G888" s="5" t="s">
        <v>46</v>
      </c>
      <c r="H888" s="5">
        <v>3</v>
      </c>
      <c r="I888" s="5">
        <v>1</v>
      </c>
      <c r="J888" s="5">
        <v>1</v>
      </c>
      <c r="K888" s="5" t="s">
        <v>29</v>
      </c>
      <c r="L888" s="7" t="str">
        <f>VLOOKUP(K888, 'Alphabetical by species code'!A:B, 2, FALSE)</f>
        <v>Opuntia littoralis</v>
      </c>
      <c r="M888" s="7" t="str">
        <f>VLOOKUP(L888, 'Alphabetical by species code'!B:C, 2, FALSE)</f>
        <v>Native</v>
      </c>
    </row>
    <row r="889" spans="1:14" ht="15.75" customHeight="1" x14ac:dyDescent="0.25">
      <c r="A889" s="5">
        <v>19</v>
      </c>
      <c r="B889" s="5">
        <v>2023</v>
      </c>
      <c r="C889" s="61">
        <v>45197</v>
      </c>
      <c r="D889" s="5" t="s">
        <v>72</v>
      </c>
      <c r="E889" s="5" t="s">
        <v>68</v>
      </c>
      <c r="F889" s="5">
        <v>1</v>
      </c>
      <c r="G889" s="5" t="s">
        <v>46</v>
      </c>
      <c r="H889" s="5">
        <v>4</v>
      </c>
      <c r="I889" s="5">
        <v>1</v>
      </c>
      <c r="J889" s="5">
        <v>1.5</v>
      </c>
      <c r="K889" s="8" t="s">
        <v>27</v>
      </c>
      <c r="L889" s="7" t="str">
        <f>VLOOKUP(K889, 'Alphabetical by species code'!A:B, 2, FALSE)</f>
        <v>Litter</v>
      </c>
      <c r="M889" s="7" t="str">
        <f>VLOOKUP(L889, 'Alphabetical by species code'!B:C, 2, FALSE)</f>
        <v>Ground Cover</v>
      </c>
    </row>
    <row r="890" spans="1:14" ht="15.75" customHeight="1" x14ac:dyDescent="0.25">
      <c r="A890" s="5">
        <v>19</v>
      </c>
      <c r="B890" s="5">
        <v>2023</v>
      </c>
      <c r="C890" s="61">
        <v>45197</v>
      </c>
      <c r="D890" s="5" t="s">
        <v>72</v>
      </c>
      <c r="E890" s="5" t="s">
        <v>68</v>
      </c>
      <c r="F890" s="5">
        <v>1</v>
      </c>
      <c r="G890" s="5" t="s">
        <v>46</v>
      </c>
      <c r="H890" s="5">
        <v>4</v>
      </c>
      <c r="I890" s="5">
        <v>1</v>
      </c>
      <c r="J890" s="5">
        <v>1.5</v>
      </c>
      <c r="K890" s="5" t="s">
        <v>34</v>
      </c>
      <c r="L890" s="7" t="str">
        <f>VLOOKUP(K890, 'Alphabetical by species code'!A:B, 2, FALSE)</f>
        <v>Centaurea melitensis</v>
      </c>
      <c r="M890" s="7" t="str">
        <f>VLOOKUP(L890, 'Alphabetical by species code'!B:C, 2, FALSE)</f>
        <v>Non-Native</v>
      </c>
    </row>
    <row r="891" spans="1:14" ht="15.75" customHeight="1" x14ac:dyDescent="0.25">
      <c r="A891" s="5">
        <v>19</v>
      </c>
      <c r="B891" s="5">
        <v>2023</v>
      </c>
      <c r="C891" s="61">
        <v>45197</v>
      </c>
      <c r="D891" s="5" t="s">
        <v>72</v>
      </c>
      <c r="E891" s="5" t="s">
        <v>68</v>
      </c>
      <c r="F891" s="5">
        <v>1</v>
      </c>
      <c r="G891" s="5" t="s">
        <v>46</v>
      </c>
      <c r="H891" s="5">
        <v>4</v>
      </c>
      <c r="I891" s="5">
        <v>1</v>
      </c>
      <c r="J891" s="5">
        <v>1.5</v>
      </c>
      <c r="K891" s="5" t="s">
        <v>48</v>
      </c>
      <c r="L891" s="7" t="str">
        <f>VLOOKUP(K891, 'Alphabetical by species code'!A:B, 2, FALSE)</f>
        <v>Deinandra fasciculata</v>
      </c>
      <c r="M891" s="7" t="str">
        <f>VLOOKUP(L891, 'Alphabetical by species code'!B:C, 2, FALSE)</f>
        <v>Native</v>
      </c>
    </row>
    <row r="892" spans="1:14" ht="15.75" customHeight="1" x14ac:dyDescent="0.25">
      <c r="A892" s="5">
        <v>19</v>
      </c>
      <c r="B892" s="5">
        <v>2023</v>
      </c>
      <c r="C892" s="61">
        <v>45197</v>
      </c>
      <c r="D892" s="5" t="s">
        <v>72</v>
      </c>
      <c r="E892" s="5" t="s">
        <v>68</v>
      </c>
      <c r="F892" s="5">
        <v>1</v>
      </c>
      <c r="G892" s="5" t="s">
        <v>46</v>
      </c>
      <c r="H892" s="5">
        <v>5</v>
      </c>
      <c r="I892" s="5">
        <v>1</v>
      </c>
      <c r="J892" s="5">
        <v>2</v>
      </c>
      <c r="K892" s="5" t="s">
        <v>27</v>
      </c>
      <c r="L892" s="7" t="str">
        <f>VLOOKUP(K892, 'Alphabetical by species code'!A:B, 2, FALSE)</f>
        <v>Litter</v>
      </c>
      <c r="M892" s="7" t="str">
        <f>VLOOKUP(L892, 'Alphabetical by species code'!B:C, 2, FALSE)</f>
        <v>Ground Cover</v>
      </c>
    </row>
    <row r="893" spans="1:14" ht="15.75" customHeight="1" x14ac:dyDescent="0.25">
      <c r="A893" s="5">
        <v>19</v>
      </c>
      <c r="B893" s="5">
        <v>2023</v>
      </c>
      <c r="C893" s="61">
        <v>45197</v>
      </c>
      <c r="D893" s="5" t="s">
        <v>72</v>
      </c>
      <c r="E893" s="5" t="s">
        <v>68</v>
      </c>
      <c r="F893" s="5">
        <v>1</v>
      </c>
      <c r="G893" s="5" t="s">
        <v>46</v>
      </c>
      <c r="H893" s="5">
        <v>5</v>
      </c>
      <c r="I893" s="5">
        <v>1</v>
      </c>
      <c r="J893" s="5">
        <v>2</v>
      </c>
      <c r="K893" s="5" t="s">
        <v>48</v>
      </c>
      <c r="L893" s="7" t="str">
        <f>VLOOKUP(K893, 'Alphabetical by species code'!A:B, 2, FALSE)</f>
        <v>Deinandra fasciculata</v>
      </c>
      <c r="M893" s="7" t="str">
        <f>VLOOKUP(L893, 'Alphabetical by species code'!B:C, 2, FALSE)</f>
        <v>Native</v>
      </c>
    </row>
    <row r="894" spans="1:14" ht="15.75" customHeight="1" x14ac:dyDescent="0.25">
      <c r="A894" s="5">
        <v>19</v>
      </c>
      <c r="B894" s="5">
        <v>2023</v>
      </c>
      <c r="C894" s="61">
        <v>45197</v>
      </c>
      <c r="D894" s="5" t="s">
        <v>72</v>
      </c>
      <c r="E894" s="5" t="s">
        <v>68</v>
      </c>
      <c r="F894" s="5">
        <v>1</v>
      </c>
      <c r="G894" s="5" t="s">
        <v>46</v>
      </c>
      <c r="H894" s="5">
        <v>6</v>
      </c>
      <c r="I894" s="5">
        <v>1</v>
      </c>
      <c r="J894" s="5">
        <v>2.5</v>
      </c>
      <c r="K894" s="5" t="s">
        <v>27</v>
      </c>
      <c r="L894" s="7" t="str">
        <f>VLOOKUP(K894, 'Alphabetical by species code'!A:B, 2, FALSE)</f>
        <v>Litter</v>
      </c>
      <c r="M894" s="7" t="str">
        <f>VLOOKUP(L894, 'Alphabetical by species code'!B:C, 2, FALSE)</f>
        <v>Ground Cover</v>
      </c>
    </row>
    <row r="895" spans="1:14" ht="15.75" customHeight="1" x14ac:dyDescent="0.25">
      <c r="A895" s="5">
        <v>19</v>
      </c>
      <c r="B895" s="5">
        <v>2023</v>
      </c>
      <c r="C895" s="61">
        <v>45197</v>
      </c>
      <c r="D895" s="5" t="s">
        <v>72</v>
      </c>
      <c r="E895" s="5" t="s">
        <v>68</v>
      </c>
      <c r="F895" s="5">
        <v>1</v>
      </c>
      <c r="G895" s="5" t="s">
        <v>46</v>
      </c>
      <c r="H895" s="5">
        <v>6</v>
      </c>
      <c r="I895" s="5">
        <v>1</v>
      </c>
      <c r="J895" s="5">
        <v>2.5</v>
      </c>
      <c r="K895" s="5" t="s">
        <v>29</v>
      </c>
      <c r="L895" s="7" t="str">
        <f>VLOOKUP(K895, 'Alphabetical by species code'!A:B, 2, FALSE)</f>
        <v>Opuntia littoralis</v>
      </c>
      <c r="M895" s="7" t="str">
        <f>VLOOKUP(L895, 'Alphabetical by species code'!B:C, 2, FALSE)</f>
        <v>Native</v>
      </c>
    </row>
    <row r="896" spans="1:14" ht="15.75" customHeight="1" x14ac:dyDescent="0.25">
      <c r="A896" s="5">
        <v>19</v>
      </c>
      <c r="B896" s="5">
        <v>2023</v>
      </c>
      <c r="C896" s="61">
        <v>45197</v>
      </c>
      <c r="D896" s="5" t="s">
        <v>72</v>
      </c>
      <c r="E896" s="5" t="s">
        <v>68</v>
      </c>
      <c r="F896" s="5">
        <v>1</v>
      </c>
      <c r="G896" s="5" t="s">
        <v>46</v>
      </c>
      <c r="H896" s="5">
        <v>6</v>
      </c>
      <c r="I896" s="5">
        <v>1</v>
      </c>
      <c r="J896" s="5">
        <v>2.5</v>
      </c>
      <c r="K896" s="5" t="s">
        <v>48</v>
      </c>
      <c r="L896" s="7" t="str">
        <f>VLOOKUP(K896, 'Alphabetical by species code'!A:B, 2, FALSE)</f>
        <v>Deinandra fasciculata</v>
      </c>
      <c r="M896" s="7" t="str">
        <f>VLOOKUP(L896, 'Alphabetical by species code'!B:C, 2, FALSE)</f>
        <v>Native</v>
      </c>
    </row>
    <row r="897" spans="1:13" ht="15.75" customHeight="1" x14ac:dyDescent="0.25">
      <c r="A897" s="5">
        <v>19</v>
      </c>
      <c r="B897" s="5">
        <v>2023</v>
      </c>
      <c r="C897" s="61">
        <v>45197</v>
      </c>
      <c r="D897" s="5" t="s">
        <v>72</v>
      </c>
      <c r="E897" s="5" t="s">
        <v>68</v>
      </c>
      <c r="F897" s="5">
        <v>1</v>
      </c>
      <c r="G897" s="5" t="s">
        <v>46</v>
      </c>
      <c r="H897" s="5">
        <v>7</v>
      </c>
      <c r="I897" s="5">
        <v>1</v>
      </c>
      <c r="J897" s="5">
        <v>3</v>
      </c>
      <c r="K897" s="5" t="s">
        <v>27</v>
      </c>
      <c r="L897" s="7" t="str">
        <f>VLOOKUP(K897, 'Alphabetical by species code'!A:B, 2, FALSE)</f>
        <v>Litter</v>
      </c>
      <c r="M897" s="7" t="str">
        <f>VLOOKUP(L897, 'Alphabetical by species code'!B:C, 2, FALSE)</f>
        <v>Ground Cover</v>
      </c>
    </row>
    <row r="898" spans="1:13" ht="15.75" customHeight="1" x14ac:dyDescent="0.25">
      <c r="A898" s="5">
        <v>19</v>
      </c>
      <c r="B898" s="5">
        <v>2023</v>
      </c>
      <c r="C898" s="61">
        <v>45197</v>
      </c>
      <c r="D898" s="5" t="s">
        <v>72</v>
      </c>
      <c r="E898" s="5" t="s">
        <v>68</v>
      </c>
      <c r="F898" s="5">
        <v>1</v>
      </c>
      <c r="G898" s="5" t="s">
        <v>46</v>
      </c>
      <c r="H898" s="5">
        <v>7</v>
      </c>
      <c r="I898" s="5">
        <v>1</v>
      </c>
      <c r="J898" s="5">
        <v>3</v>
      </c>
      <c r="K898" s="5" t="s">
        <v>48</v>
      </c>
      <c r="L898" s="7" t="str">
        <f>VLOOKUP(K898, 'Alphabetical by species code'!A:B, 2, FALSE)</f>
        <v>Deinandra fasciculata</v>
      </c>
      <c r="M898" s="7" t="str">
        <f>VLOOKUP(L898, 'Alphabetical by species code'!B:C, 2, FALSE)</f>
        <v>Native</v>
      </c>
    </row>
    <row r="899" spans="1:13" ht="15.75" customHeight="1" x14ac:dyDescent="0.25">
      <c r="A899" s="5">
        <v>19</v>
      </c>
      <c r="B899" s="5">
        <v>2023</v>
      </c>
      <c r="C899" s="61">
        <v>45197</v>
      </c>
      <c r="D899" s="5" t="s">
        <v>72</v>
      </c>
      <c r="E899" s="5" t="s">
        <v>68</v>
      </c>
      <c r="F899" s="5">
        <v>1</v>
      </c>
      <c r="G899" s="5" t="s">
        <v>46</v>
      </c>
      <c r="H899" s="5">
        <v>8</v>
      </c>
      <c r="I899" s="5">
        <v>1</v>
      </c>
      <c r="J899" s="5">
        <v>3.5</v>
      </c>
      <c r="K899" s="5" t="s">
        <v>27</v>
      </c>
      <c r="L899" s="7" t="str">
        <f>VLOOKUP(K899, 'Alphabetical by species code'!A:B, 2, FALSE)</f>
        <v>Litter</v>
      </c>
      <c r="M899" s="7" t="str">
        <f>VLOOKUP(L899, 'Alphabetical by species code'!B:C, 2, FALSE)</f>
        <v>Ground Cover</v>
      </c>
    </row>
    <row r="900" spans="1:13" ht="15.75" customHeight="1" x14ac:dyDescent="0.25">
      <c r="A900" s="5">
        <v>19</v>
      </c>
      <c r="B900" s="5">
        <v>2023</v>
      </c>
      <c r="C900" s="61">
        <v>45197</v>
      </c>
      <c r="D900" s="5" t="s">
        <v>72</v>
      </c>
      <c r="E900" s="5" t="s">
        <v>68</v>
      </c>
      <c r="F900" s="5">
        <v>1</v>
      </c>
      <c r="G900" s="5" t="s">
        <v>46</v>
      </c>
      <c r="H900" s="5">
        <v>8</v>
      </c>
      <c r="I900" s="5">
        <v>1</v>
      </c>
      <c r="J900" s="5">
        <v>3.5</v>
      </c>
      <c r="K900" s="5" t="s">
        <v>48</v>
      </c>
      <c r="L900" s="7" t="str">
        <f>VLOOKUP(K900, 'Alphabetical by species code'!A:B, 2, FALSE)</f>
        <v>Deinandra fasciculata</v>
      </c>
      <c r="M900" s="7" t="str">
        <f>VLOOKUP(L900, 'Alphabetical by species code'!B:C, 2, FALSE)</f>
        <v>Native</v>
      </c>
    </row>
    <row r="901" spans="1:13" ht="15.75" customHeight="1" x14ac:dyDescent="0.25">
      <c r="A901" s="5">
        <v>19</v>
      </c>
      <c r="B901" s="5">
        <v>2023</v>
      </c>
      <c r="C901" s="61">
        <v>45197</v>
      </c>
      <c r="D901" s="5" t="s">
        <v>72</v>
      </c>
      <c r="E901" s="5" t="s">
        <v>68</v>
      </c>
      <c r="F901" s="5">
        <v>1</v>
      </c>
      <c r="G901" s="5" t="s">
        <v>46</v>
      </c>
      <c r="H901" s="5">
        <v>9</v>
      </c>
      <c r="I901" s="5">
        <v>1</v>
      </c>
      <c r="J901" s="5">
        <v>4</v>
      </c>
      <c r="K901" s="5" t="s">
        <v>27</v>
      </c>
      <c r="L901" s="7" t="str">
        <f>VLOOKUP(K901, 'Alphabetical by species code'!A:B, 2, FALSE)</f>
        <v>Litter</v>
      </c>
      <c r="M901" s="7" t="str">
        <f>VLOOKUP(L901, 'Alphabetical by species code'!B:C, 2, FALSE)</f>
        <v>Ground Cover</v>
      </c>
    </row>
    <row r="902" spans="1:13" ht="15.75" customHeight="1" x14ac:dyDescent="0.25">
      <c r="A902" s="5">
        <v>19</v>
      </c>
      <c r="B902" s="5">
        <v>2023</v>
      </c>
      <c r="C902" s="61">
        <v>45197</v>
      </c>
      <c r="D902" s="5" t="s">
        <v>72</v>
      </c>
      <c r="E902" s="5" t="s">
        <v>68</v>
      </c>
      <c r="F902" s="5">
        <v>1</v>
      </c>
      <c r="G902" s="5" t="s">
        <v>46</v>
      </c>
      <c r="H902" s="5">
        <v>9</v>
      </c>
      <c r="I902" s="5">
        <v>1</v>
      </c>
      <c r="J902" s="5">
        <v>4</v>
      </c>
      <c r="K902" s="5" t="s">
        <v>48</v>
      </c>
      <c r="L902" s="7" t="str">
        <f>VLOOKUP(K902, 'Alphabetical by species code'!A:B, 2, FALSE)</f>
        <v>Deinandra fasciculata</v>
      </c>
      <c r="M902" s="7" t="str">
        <f>VLOOKUP(L902, 'Alphabetical by species code'!B:C, 2, FALSE)</f>
        <v>Native</v>
      </c>
    </row>
    <row r="903" spans="1:13" ht="15.75" customHeight="1" x14ac:dyDescent="0.25">
      <c r="A903" s="5">
        <v>19</v>
      </c>
      <c r="B903" s="5">
        <v>2023</v>
      </c>
      <c r="C903" s="61">
        <v>45197</v>
      </c>
      <c r="D903" s="5" t="s">
        <v>72</v>
      </c>
      <c r="E903" s="5" t="s">
        <v>68</v>
      </c>
      <c r="F903" s="5">
        <v>1</v>
      </c>
      <c r="G903" s="5" t="s">
        <v>46</v>
      </c>
      <c r="H903" s="5">
        <v>10</v>
      </c>
      <c r="I903" s="5">
        <v>1</v>
      </c>
      <c r="J903" s="5">
        <v>4.5</v>
      </c>
      <c r="K903" s="5" t="s">
        <v>27</v>
      </c>
      <c r="L903" s="7" t="str">
        <f>VLOOKUP(K903, 'Alphabetical by species code'!A:B, 2, FALSE)</f>
        <v>Litter</v>
      </c>
      <c r="M903" s="7" t="str">
        <f>VLOOKUP(L903, 'Alphabetical by species code'!B:C, 2, FALSE)</f>
        <v>Ground Cover</v>
      </c>
    </row>
    <row r="904" spans="1:13" ht="15.75" customHeight="1" x14ac:dyDescent="0.25">
      <c r="A904" s="5">
        <v>19</v>
      </c>
      <c r="B904" s="5">
        <v>2023</v>
      </c>
      <c r="C904" s="61">
        <v>45197</v>
      </c>
      <c r="D904" s="5" t="s">
        <v>72</v>
      </c>
      <c r="E904" s="5" t="s">
        <v>68</v>
      </c>
      <c r="F904" s="5">
        <v>1</v>
      </c>
      <c r="G904" s="5" t="s">
        <v>46</v>
      </c>
      <c r="H904" s="5">
        <v>10</v>
      </c>
      <c r="I904" s="5">
        <v>1</v>
      </c>
      <c r="J904" s="5">
        <v>4.5</v>
      </c>
      <c r="K904" s="5" t="s">
        <v>48</v>
      </c>
      <c r="L904" s="7" t="str">
        <f>VLOOKUP(K904, 'Alphabetical by species code'!A:B, 2, FALSE)</f>
        <v>Deinandra fasciculata</v>
      </c>
      <c r="M904" s="7" t="str">
        <f>VLOOKUP(L904, 'Alphabetical by species code'!B:C, 2, FALSE)</f>
        <v>Native</v>
      </c>
    </row>
    <row r="905" spans="1:13" ht="15.75" customHeight="1" x14ac:dyDescent="0.25">
      <c r="A905" s="5">
        <v>19</v>
      </c>
      <c r="B905" s="5">
        <v>2023</v>
      </c>
      <c r="C905" s="61">
        <v>45197</v>
      </c>
      <c r="D905" s="5" t="s">
        <v>72</v>
      </c>
      <c r="E905" s="5" t="s">
        <v>68</v>
      </c>
      <c r="F905" s="5">
        <v>1</v>
      </c>
      <c r="G905" s="5" t="s">
        <v>46</v>
      </c>
      <c r="H905" s="5">
        <v>11</v>
      </c>
      <c r="I905" s="5">
        <v>1</v>
      </c>
      <c r="J905" s="5">
        <v>5</v>
      </c>
      <c r="K905" s="5" t="s">
        <v>27</v>
      </c>
      <c r="L905" s="7" t="str">
        <f>VLOOKUP(K905, 'Alphabetical by species code'!A:B, 2, FALSE)</f>
        <v>Litter</v>
      </c>
      <c r="M905" s="7" t="str">
        <f>VLOOKUP(L905, 'Alphabetical by species code'!B:C, 2, FALSE)</f>
        <v>Ground Cover</v>
      </c>
    </row>
    <row r="906" spans="1:13" ht="15.75" customHeight="1" x14ac:dyDescent="0.25">
      <c r="A906" s="5">
        <v>19</v>
      </c>
      <c r="B906" s="5">
        <v>2023</v>
      </c>
      <c r="C906" s="61">
        <v>45197</v>
      </c>
      <c r="D906" s="5" t="s">
        <v>72</v>
      </c>
      <c r="E906" s="5" t="s">
        <v>68</v>
      </c>
      <c r="F906" s="5">
        <v>1</v>
      </c>
      <c r="G906" s="5" t="s">
        <v>46</v>
      </c>
      <c r="H906" s="5">
        <v>12</v>
      </c>
      <c r="I906" s="5">
        <v>1</v>
      </c>
      <c r="J906" s="5">
        <v>5.5</v>
      </c>
      <c r="K906" s="5" t="s">
        <v>27</v>
      </c>
      <c r="L906" s="7" t="str">
        <f>VLOOKUP(K906, 'Alphabetical by species code'!A:B, 2, FALSE)</f>
        <v>Litter</v>
      </c>
      <c r="M906" s="7" t="str">
        <f>VLOOKUP(L906, 'Alphabetical by species code'!B:C, 2, FALSE)</f>
        <v>Ground Cover</v>
      </c>
    </row>
    <row r="907" spans="1:13" ht="15.75" customHeight="1" x14ac:dyDescent="0.25">
      <c r="A907" s="5">
        <v>19</v>
      </c>
      <c r="B907" s="5">
        <v>2023</v>
      </c>
      <c r="C907" s="61">
        <v>45197</v>
      </c>
      <c r="D907" s="5" t="s">
        <v>72</v>
      </c>
      <c r="E907" s="5" t="s">
        <v>68</v>
      </c>
      <c r="F907" s="5">
        <v>1</v>
      </c>
      <c r="G907" s="5" t="s">
        <v>46</v>
      </c>
      <c r="H907" s="5">
        <v>13</v>
      </c>
      <c r="I907" s="5">
        <v>1</v>
      </c>
      <c r="J907" s="5">
        <v>6.5</v>
      </c>
      <c r="K907" s="5" t="s">
        <v>27</v>
      </c>
      <c r="L907" s="7" t="str">
        <f>VLOOKUP(K907, 'Alphabetical by species code'!A:B, 2, FALSE)</f>
        <v>Litter</v>
      </c>
      <c r="M907" s="7" t="str">
        <f>VLOOKUP(L907, 'Alphabetical by species code'!B:C, 2, FALSE)</f>
        <v>Ground Cover</v>
      </c>
    </row>
    <row r="908" spans="1:13" ht="15.75" customHeight="1" x14ac:dyDescent="0.25">
      <c r="A908" s="15">
        <v>19</v>
      </c>
      <c r="B908" s="5">
        <v>2023</v>
      </c>
      <c r="C908" s="61">
        <v>45197</v>
      </c>
      <c r="D908" s="5" t="s">
        <v>72</v>
      </c>
      <c r="E908" s="5" t="s">
        <v>68</v>
      </c>
      <c r="F908" s="5">
        <v>1</v>
      </c>
      <c r="G908" s="5" t="s">
        <v>46</v>
      </c>
      <c r="H908" s="5">
        <v>13</v>
      </c>
      <c r="I908" s="5">
        <v>1</v>
      </c>
      <c r="J908" s="5">
        <v>6.5</v>
      </c>
      <c r="K908" s="5" t="s">
        <v>54</v>
      </c>
      <c r="L908" s="7" t="str">
        <f>VLOOKUP(K908, 'Alphabetical by species code'!A:B, 2, FALSE)</f>
        <v>Erodium cicutarium</v>
      </c>
      <c r="M908" s="7" t="str">
        <f>VLOOKUP(L908, 'Alphabetical by species code'!B:C, 2, FALSE)</f>
        <v>Non-Native</v>
      </c>
    </row>
    <row r="909" spans="1:13" ht="15.75" customHeight="1" x14ac:dyDescent="0.25">
      <c r="A909" s="15">
        <v>19</v>
      </c>
      <c r="B909" s="5">
        <v>2023</v>
      </c>
      <c r="C909" s="61">
        <v>45197</v>
      </c>
      <c r="D909" s="5" t="s">
        <v>72</v>
      </c>
      <c r="E909" s="5" t="s">
        <v>68</v>
      </c>
      <c r="F909" s="5">
        <v>1</v>
      </c>
      <c r="G909" s="5" t="s">
        <v>46</v>
      </c>
      <c r="H909" s="5">
        <v>13</v>
      </c>
      <c r="I909" s="5">
        <v>1</v>
      </c>
      <c r="J909" s="5">
        <v>6.5</v>
      </c>
      <c r="K909" s="5" t="s">
        <v>30</v>
      </c>
      <c r="L909" s="7" t="str">
        <f>VLOOKUP(K909, 'Alphabetical by species code'!A:B, 2, FALSE)</f>
        <v>Non Native Grass</v>
      </c>
      <c r="M909" s="7" t="str">
        <f>VLOOKUP(L909, 'Alphabetical by species code'!B:C, 2, FALSE)</f>
        <v>Non-Native</v>
      </c>
    </row>
    <row r="910" spans="1:13" ht="15.75" customHeight="1" x14ac:dyDescent="0.25">
      <c r="A910" s="15">
        <v>19</v>
      </c>
      <c r="B910" s="5">
        <v>2023</v>
      </c>
      <c r="C910" s="61">
        <v>45197</v>
      </c>
      <c r="D910" s="5" t="s">
        <v>72</v>
      </c>
      <c r="E910" s="5" t="s">
        <v>68</v>
      </c>
      <c r="F910" s="5">
        <v>1</v>
      </c>
      <c r="G910" s="5" t="s">
        <v>46</v>
      </c>
      <c r="H910" s="5">
        <v>13</v>
      </c>
      <c r="I910" s="5">
        <v>1</v>
      </c>
      <c r="J910" s="5">
        <v>6.5</v>
      </c>
      <c r="K910" s="5" t="s">
        <v>74</v>
      </c>
      <c r="L910" s="7" t="str">
        <f>VLOOKUP(K910, 'Alphabetical by species code'!A:B, 2, FALSE)</f>
        <v>Sonchus oleraceus</v>
      </c>
      <c r="M910" s="7" t="str">
        <f>VLOOKUP(L910, 'Alphabetical by species code'!B:C, 2, FALSE)</f>
        <v>Non-Native</v>
      </c>
    </row>
    <row r="911" spans="1:13" ht="15.75" customHeight="1" x14ac:dyDescent="0.25">
      <c r="A911" s="15">
        <v>19</v>
      </c>
      <c r="B911" s="5">
        <v>2023</v>
      </c>
      <c r="C911" s="61">
        <v>45197</v>
      </c>
      <c r="D911" s="5" t="s">
        <v>72</v>
      </c>
      <c r="E911" s="5" t="s">
        <v>68</v>
      </c>
      <c r="F911" s="5">
        <v>1</v>
      </c>
      <c r="G911" s="5" t="s">
        <v>46</v>
      </c>
      <c r="H911" s="5">
        <v>13</v>
      </c>
      <c r="I911" s="5">
        <v>1</v>
      </c>
      <c r="J911" s="5">
        <v>6.5</v>
      </c>
      <c r="K911" s="5" t="s">
        <v>29</v>
      </c>
      <c r="L911" s="7" t="str">
        <f>VLOOKUP(K911, 'Alphabetical by species code'!A:B, 2, FALSE)</f>
        <v>Opuntia littoralis</v>
      </c>
      <c r="M911" s="7" t="str">
        <f>VLOOKUP(L911, 'Alphabetical by species code'!B:C, 2, FALSE)</f>
        <v>Native</v>
      </c>
    </row>
    <row r="912" spans="1:13" ht="15.75" customHeight="1" x14ac:dyDescent="0.25">
      <c r="A912" s="15">
        <v>19</v>
      </c>
      <c r="B912" s="15">
        <v>2023</v>
      </c>
      <c r="C912" s="61">
        <v>45197</v>
      </c>
      <c r="D912" s="5" t="s">
        <v>72</v>
      </c>
      <c r="E912" s="5" t="s">
        <v>68</v>
      </c>
      <c r="F912" s="5">
        <v>1</v>
      </c>
      <c r="G912" s="5" t="s">
        <v>46</v>
      </c>
      <c r="H912" s="5">
        <v>14</v>
      </c>
      <c r="I912" s="5">
        <v>1</v>
      </c>
      <c r="J912" s="5">
        <v>7</v>
      </c>
      <c r="K912" s="5" t="s">
        <v>27</v>
      </c>
      <c r="L912" s="7" t="str">
        <f>VLOOKUP(K912, 'Alphabetical by species code'!A:B, 2, FALSE)</f>
        <v>Litter</v>
      </c>
      <c r="M912" s="7" t="str">
        <f>VLOOKUP(L912, 'Alphabetical by species code'!B:C, 2, FALSE)</f>
        <v>Ground Cover</v>
      </c>
    </row>
    <row r="913" spans="1:13" ht="15.75" customHeight="1" x14ac:dyDescent="0.25">
      <c r="A913" s="15">
        <v>19</v>
      </c>
      <c r="B913" s="15">
        <v>2023</v>
      </c>
      <c r="C913" s="61">
        <v>45197</v>
      </c>
      <c r="D913" s="5" t="s">
        <v>72</v>
      </c>
      <c r="E913" s="5" t="s">
        <v>68</v>
      </c>
      <c r="F913" s="5">
        <v>1</v>
      </c>
      <c r="G913" s="5" t="s">
        <v>46</v>
      </c>
      <c r="H913" s="5">
        <v>15</v>
      </c>
      <c r="I913" s="5">
        <v>1</v>
      </c>
      <c r="J913" s="5">
        <v>7.5</v>
      </c>
      <c r="K913" s="5" t="s">
        <v>27</v>
      </c>
      <c r="L913" s="7" t="str">
        <f>VLOOKUP(K913, 'Alphabetical by species code'!A:B, 2, FALSE)</f>
        <v>Litter</v>
      </c>
      <c r="M913" s="7" t="str">
        <f>VLOOKUP(L913, 'Alphabetical by species code'!B:C, 2, FALSE)</f>
        <v>Ground Cover</v>
      </c>
    </row>
    <row r="914" spans="1:13" ht="15.75" customHeight="1" x14ac:dyDescent="0.25">
      <c r="A914" s="15">
        <v>19</v>
      </c>
      <c r="B914" s="15">
        <v>2023</v>
      </c>
      <c r="C914" s="61">
        <v>45197</v>
      </c>
      <c r="D914" s="5" t="s">
        <v>72</v>
      </c>
      <c r="E914" s="5" t="s">
        <v>68</v>
      </c>
      <c r="F914" s="5">
        <v>1</v>
      </c>
      <c r="G914" s="5" t="s">
        <v>46</v>
      </c>
      <c r="H914" s="5">
        <v>15</v>
      </c>
      <c r="I914" s="5">
        <v>1</v>
      </c>
      <c r="J914" s="5">
        <v>7.5</v>
      </c>
      <c r="K914" s="5" t="s">
        <v>34</v>
      </c>
      <c r="L914" s="7" t="str">
        <f>VLOOKUP(K914, 'Alphabetical by species code'!A:B, 2, FALSE)</f>
        <v>Centaurea melitensis</v>
      </c>
      <c r="M914" s="7" t="str">
        <f>VLOOKUP(L914, 'Alphabetical by species code'!B:C, 2, FALSE)</f>
        <v>Non-Native</v>
      </c>
    </row>
    <row r="915" spans="1:13" ht="15.75" customHeight="1" x14ac:dyDescent="0.25">
      <c r="A915" s="15">
        <v>19</v>
      </c>
      <c r="B915" s="15">
        <v>2023</v>
      </c>
      <c r="C915" s="61">
        <v>45197</v>
      </c>
      <c r="D915" s="5" t="s">
        <v>72</v>
      </c>
      <c r="E915" s="5" t="s">
        <v>68</v>
      </c>
      <c r="F915" s="5">
        <v>1</v>
      </c>
      <c r="G915" s="5" t="s">
        <v>46</v>
      </c>
      <c r="H915" s="5">
        <v>15</v>
      </c>
      <c r="I915" s="5">
        <v>1</v>
      </c>
      <c r="J915" s="5">
        <v>7.5</v>
      </c>
      <c r="K915" s="5" t="s">
        <v>33</v>
      </c>
      <c r="L915" s="7" t="str">
        <f>VLOOKUP(K915, 'Alphabetical by species code'!A:B, 2, FALSE)</f>
        <v>Cylindropuntia prolifera</v>
      </c>
      <c r="M915" s="7" t="str">
        <f>VLOOKUP(L915, 'Alphabetical by species code'!B:C, 2, FALSE)</f>
        <v>Native</v>
      </c>
    </row>
    <row r="916" spans="1:13" ht="15.75" customHeight="1" x14ac:dyDescent="0.25">
      <c r="A916" s="15">
        <v>19</v>
      </c>
      <c r="B916" s="15">
        <v>2023</v>
      </c>
      <c r="C916" s="61">
        <v>45197</v>
      </c>
      <c r="D916" s="5" t="s">
        <v>72</v>
      </c>
      <c r="E916" s="5" t="s">
        <v>68</v>
      </c>
      <c r="F916" s="5">
        <v>1</v>
      </c>
      <c r="G916" s="5" t="s">
        <v>46</v>
      </c>
      <c r="H916" s="5">
        <v>1</v>
      </c>
      <c r="I916" s="5">
        <v>2</v>
      </c>
      <c r="J916" s="5">
        <v>0</v>
      </c>
      <c r="K916" s="5" t="s">
        <v>27</v>
      </c>
      <c r="L916" s="7" t="str">
        <f>VLOOKUP(K916, 'Alphabetical by species code'!A:B, 2, FALSE)</f>
        <v>Litter</v>
      </c>
      <c r="M916" s="7" t="str">
        <f>VLOOKUP(L916, 'Alphabetical by species code'!B:C, 2, FALSE)</f>
        <v>Ground Cover</v>
      </c>
    </row>
    <row r="917" spans="1:13" ht="15.75" customHeight="1" x14ac:dyDescent="0.25">
      <c r="A917" s="15">
        <v>19</v>
      </c>
      <c r="B917" s="15">
        <v>2023</v>
      </c>
      <c r="C917" s="61">
        <v>45197</v>
      </c>
      <c r="D917" s="5" t="s">
        <v>72</v>
      </c>
      <c r="E917" s="5" t="s">
        <v>68</v>
      </c>
      <c r="F917" s="5">
        <v>1</v>
      </c>
      <c r="G917" s="5" t="s">
        <v>46</v>
      </c>
      <c r="H917" s="5">
        <v>2</v>
      </c>
      <c r="I917" s="5">
        <v>2</v>
      </c>
      <c r="J917" s="5">
        <v>0.5</v>
      </c>
      <c r="K917" s="5" t="s">
        <v>27</v>
      </c>
      <c r="L917" s="7" t="str">
        <f>VLOOKUP(K917, 'Alphabetical by species code'!A:B, 2, FALSE)</f>
        <v>Litter</v>
      </c>
      <c r="M917" s="7" t="str">
        <f>VLOOKUP(L917, 'Alphabetical by species code'!B:C, 2, FALSE)</f>
        <v>Ground Cover</v>
      </c>
    </row>
    <row r="918" spans="1:13" ht="15.75" customHeight="1" x14ac:dyDescent="0.25">
      <c r="A918" s="15">
        <v>19</v>
      </c>
      <c r="B918" s="15">
        <v>2023</v>
      </c>
      <c r="C918" s="61">
        <v>45197</v>
      </c>
      <c r="D918" s="5" t="s">
        <v>72</v>
      </c>
      <c r="E918" s="5" t="s">
        <v>68</v>
      </c>
      <c r="F918" s="5">
        <v>1</v>
      </c>
      <c r="G918" s="5" t="s">
        <v>46</v>
      </c>
      <c r="H918" s="5">
        <v>3</v>
      </c>
      <c r="I918" s="5">
        <v>2</v>
      </c>
      <c r="J918" s="5">
        <v>1</v>
      </c>
      <c r="K918" s="5" t="s">
        <v>35</v>
      </c>
      <c r="L918" s="7" t="str">
        <f>VLOOKUP(K918, 'Alphabetical by species code'!A:B, 2, FALSE)</f>
        <v>Bareground</v>
      </c>
      <c r="M918" s="7" t="str">
        <f>VLOOKUP(L918, 'Alphabetical by species code'!B:C, 2, FALSE)</f>
        <v>Ground Cover</v>
      </c>
    </row>
    <row r="919" spans="1:13" ht="15.75" customHeight="1" x14ac:dyDescent="0.25">
      <c r="A919" s="5">
        <v>19</v>
      </c>
      <c r="B919" s="15">
        <v>2023</v>
      </c>
      <c r="C919" s="61">
        <v>45197</v>
      </c>
      <c r="D919" s="5" t="s">
        <v>72</v>
      </c>
      <c r="E919" s="5" t="s">
        <v>68</v>
      </c>
      <c r="F919" s="5">
        <v>1</v>
      </c>
      <c r="G919" s="5" t="s">
        <v>46</v>
      </c>
      <c r="H919" s="5">
        <v>4</v>
      </c>
      <c r="I919" s="5">
        <v>2</v>
      </c>
      <c r="J919" s="5">
        <v>1.5</v>
      </c>
      <c r="K919" s="5" t="s">
        <v>27</v>
      </c>
      <c r="L919" s="7" t="str">
        <f>VLOOKUP(K919, 'Alphabetical by species code'!A:B, 2, FALSE)</f>
        <v>Litter</v>
      </c>
      <c r="M919" s="7" t="str">
        <f>VLOOKUP(L919, 'Alphabetical by species code'!B:C, 2, FALSE)</f>
        <v>Ground Cover</v>
      </c>
    </row>
    <row r="920" spans="1:13" ht="15.75" customHeight="1" x14ac:dyDescent="0.25">
      <c r="A920" s="5">
        <v>19</v>
      </c>
      <c r="B920" s="15">
        <v>2023</v>
      </c>
      <c r="C920" s="61">
        <v>45197</v>
      </c>
      <c r="D920" s="5" t="s">
        <v>72</v>
      </c>
      <c r="E920" s="5" t="s">
        <v>68</v>
      </c>
      <c r="F920" s="5">
        <v>1</v>
      </c>
      <c r="G920" s="5" t="s">
        <v>46</v>
      </c>
      <c r="H920" s="5">
        <v>4</v>
      </c>
      <c r="I920" s="5">
        <v>2</v>
      </c>
      <c r="J920" s="5">
        <v>1.5</v>
      </c>
      <c r="K920" s="5" t="s">
        <v>29</v>
      </c>
      <c r="L920" s="7" t="str">
        <f>VLOOKUP(K920, 'Alphabetical by species code'!A:B, 2, FALSE)</f>
        <v>Opuntia littoralis</v>
      </c>
      <c r="M920" s="7" t="str">
        <f>VLOOKUP(L920, 'Alphabetical by species code'!B:C, 2, FALSE)</f>
        <v>Native</v>
      </c>
    </row>
    <row r="921" spans="1:13" ht="15.75" customHeight="1" x14ac:dyDescent="0.25">
      <c r="A921" s="5">
        <v>19</v>
      </c>
      <c r="B921" s="15">
        <v>2023</v>
      </c>
      <c r="C921" s="61">
        <v>45197</v>
      </c>
      <c r="D921" s="5" t="s">
        <v>72</v>
      </c>
      <c r="E921" s="5" t="s">
        <v>68</v>
      </c>
      <c r="F921" s="5">
        <v>1</v>
      </c>
      <c r="G921" s="5" t="s">
        <v>46</v>
      </c>
      <c r="H921" s="5">
        <v>5</v>
      </c>
      <c r="I921" s="5">
        <v>2</v>
      </c>
      <c r="J921" s="5">
        <v>2.5</v>
      </c>
      <c r="K921" s="5" t="s">
        <v>27</v>
      </c>
      <c r="L921" s="7" t="str">
        <f>VLOOKUP(K921, 'Alphabetical by species code'!A:B, 2, FALSE)</f>
        <v>Litter</v>
      </c>
      <c r="M921" s="7" t="str">
        <f>VLOOKUP(L921, 'Alphabetical by species code'!B:C, 2, FALSE)</f>
        <v>Ground Cover</v>
      </c>
    </row>
    <row r="922" spans="1:13" ht="15.75" customHeight="1" x14ac:dyDescent="0.25">
      <c r="A922" s="5">
        <v>19</v>
      </c>
      <c r="B922" s="15">
        <v>2023</v>
      </c>
      <c r="C922" s="61">
        <v>45197</v>
      </c>
      <c r="D922" s="5" t="s">
        <v>72</v>
      </c>
      <c r="E922" s="5" t="s">
        <v>68</v>
      </c>
      <c r="F922" s="5">
        <v>1</v>
      </c>
      <c r="G922" s="5" t="s">
        <v>46</v>
      </c>
      <c r="H922" s="5">
        <v>5</v>
      </c>
      <c r="I922" s="5">
        <v>2</v>
      </c>
      <c r="J922" s="5">
        <v>2.5</v>
      </c>
      <c r="K922" s="5" t="s">
        <v>34</v>
      </c>
      <c r="L922" s="7" t="str">
        <f>VLOOKUP(K922, 'Alphabetical by species code'!A:B, 2, FALSE)</f>
        <v>Centaurea melitensis</v>
      </c>
      <c r="M922" s="7" t="str">
        <f>VLOOKUP(L922, 'Alphabetical by species code'!B:C, 2, FALSE)</f>
        <v>Non-Native</v>
      </c>
    </row>
    <row r="923" spans="1:13" ht="15.75" customHeight="1" x14ac:dyDescent="0.25">
      <c r="A923" s="5">
        <v>19</v>
      </c>
      <c r="B923" s="15">
        <v>2023</v>
      </c>
      <c r="C923" s="61">
        <v>45197</v>
      </c>
      <c r="D923" s="5" t="s">
        <v>72</v>
      </c>
      <c r="E923" s="5" t="s">
        <v>68</v>
      </c>
      <c r="F923" s="5">
        <v>1</v>
      </c>
      <c r="G923" s="5" t="s">
        <v>46</v>
      </c>
      <c r="H923" s="5">
        <v>6</v>
      </c>
      <c r="I923" s="5">
        <v>2</v>
      </c>
      <c r="J923" s="5">
        <v>3</v>
      </c>
      <c r="K923" s="5" t="s">
        <v>27</v>
      </c>
      <c r="L923" s="7" t="str">
        <f>VLOOKUP(K923, 'Alphabetical by species code'!A:B, 2, FALSE)</f>
        <v>Litter</v>
      </c>
      <c r="M923" s="7" t="str">
        <f>VLOOKUP(L923, 'Alphabetical by species code'!B:C, 2, FALSE)</f>
        <v>Ground Cover</v>
      </c>
    </row>
    <row r="924" spans="1:13" ht="15.75" customHeight="1" x14ac:dyDescent="0.25">
      <c r="A924" s="5">
        <v>19</v>
      </c>
      <c r="B924" s="15">
        <v>2023</v>
      </c>
      <c r="C924" s="61">
        <v>45197</v>
      </c>
      <c r="D924" s="5" t="s">
        <v>72</v>
      </c>
      <c r="E924" s="5" t="s">
        <v>68</v>
      </c>
      <c r="F924" s="5">
        <v>1</v>
      </c>
      <c r="G924" s="5" t="s">
        <v>46</v>
      </c>
      <c r="H924" s="5">
        <v>6</v>
      </c>
      <c r="I924" s="5">
        <v>2</v>
      </c>
      <c r="J924" s="5">
        <v>3</v>
      </c>
      <c r="K924" s="5" t="s">
        <v>48</v>
      </c>
      <c r="L924" s="7" t="str">
        <f>VLOOKUP(K924, 'Alphabetical by species code'!A:B, 2, FALSE)</f>
        <v>Deinandra fasciculata</v>
      </c>
      <c r="M924" s="7" t="str">
        <f>VLOOKUP(L924, 'Alphabetical by species code'!B:C, 2, FALSE)</f>
        <v>Native</v>
      </c>
    </row>
    <row r="925" spans="1:13" ht="15.75" customHeight="1" x14ac:dyDescent="0.25">
      <c r="A925" s="5">
        <v>19</v>
      </c>
      <c r="B925" s="15">
        <v>2023</v>
      </c>
      <c r="C925" s="62">
        <v>45197</v>
      </c>
      <c r="D925" s="5" t="s">
        <v>72</v>
      </c>
      <c r="E925" s="5" t="s">
        <v>68</v>
      </c>
      <c r="F925" s="5">
        <v>1</v>
      </c>
      <c r="G925" s="5" t="s">
        <v>46</v>
      </c>
      <c r="H925" s="5">
        <v>6</v>
      </c>
      <c r="I925" s="5">
        <v>2</v>
      </c>
      <c r="J925" s="5">
        <v>3</v>
      </c>
      <c r="K925" s="5" t="s">
        <v>33</v>
      </c>
      <c r="L925" s="7" t="str">
        <f>VLOOKUP(K925, 'Alphabetical by species code'!A:B, 2, FALSE)</f>
        <v>Cylindropuntia prolifera</v>
      </c>
      <c r="M925" s="7" t="str">
        <f>VLOOKUP(L925, 'Alphabetical by species code'!B:C, 2, FALSE)</f>
        <v>Native</v>
      </c>
    </row>
    <row r="926" spans="1:13" ht="15.75" customHeight="1" x14ac:dyDescent="0.25">
      <c r="A926" s="5">
        <v>19</v>
      </c>
      <c r="B926" s="5">
        <v>2023</v>
      </c>
      <c r="C926" s="61">
        <v>45197</v>
      </c>
      <c r="D926" s="5" t="s">
        <v>72</v>
      </c>
      <c r="E926" s="5" t="s">
        <v>68</v>
      </c>
      <c r="F926" s="5">
        <v>1</v>
      </c>
      <c r="G926" s="5" t="s">
        <v>46</v>
      </c>
      <c r="H926" s="5">
        <v>7</v>
      </c>
      <c r="I926" s="5">
        <v>2</v>
      </c>
      <c r="J926" s="5">
        <v>3.5</v>
      </c>
      <c r="K926" s="5" t="s">
        <v>27</v>
      </c>
      <c r="L926" s="7" t="str">
        <f>VLOOKUP(K926, 'Alphabetical by species code'!A:B, 2, FALSE)</f>
        <v>Litter</v>
      </c>
      <c r="M926" s="7" t="str">
        <f>VLOOKUP(L926, 'Alphabetical by species code'!B:C, 2, FALSE)</f>
        <v>Ground Cover</v>
      </c>
    </row>
    <row r="927" spans="1:13" ht="15.75" customHeight="1" x14ac:dyDescent="0.25">
      <c r="A927" s="5">
        <v>19</v>
      </c>
      <c r="B927" s="5">
        <v>2023</v>
      </c>
      <c r="C927" s="61">
        <v>45197</v>
      </c>
      <c r="D927" s="5" t="s">
        <v>72</v>
      </c>
      <c r="E927" s="5" t="s">
        <v>68</v>
      </c>
      <c r="F927" s="5">
        <v>1</v>
      </c>
      <c r="G927" s="5" t="s">
        <v>46</v>
      </c>
      <c r="H927" s="5">
        <v>7</v>
      </c>
      <c r="I927" s="5">
        <v>2</v>
      </c>
      <c r="J927" s="5">
        <v>3.5</v>
      </c>
      <c r="K927" s="5" t="s">
        <v>54</v>
      </c>
      <c r="L927" s="7" t="str">
        <f>VLOOKUP(K927, 'Alphabetical by species code'!A:B, 2, FALSE)</f>
        <v>Erodium cicutarium</v>
      </c>
      <c r="M927" s="7" t="str">
        <f>VLOOKUP(L927, 'Alphabetical by species code'!B:C, 2, FALSE)</f>
        <v>Non-Native</v>
      </c>
    </row>
    <row r="928" spans="1:13" ht="15.75" customHeight="1" x14ac:dyDescent="0.25">
      <c r="A928" s="5">
        <v>19</v>
      </c>
      <c r="B928" s="5">
        <v>2023</v>
      </c>
      <c r="C928" s="64">
        <v>45197</v>
      </c>
      <c r="D928" s="5" t="s">
        <v>72</v>
      </c>
      <c r="E928" s="5" t="s">
        <v>68</v>
      </c>
      <c r="F928" s="5">
        <v>1</v>
      </c>
      <c r="G928" s="5" t="s">
        <v>46</v>
      </c>
      <c r="H928" s="5">
        <v>8</v>
      </c>
      <c r="I928" s="5">
        <v>2</v>
      </c>
      <c r="J928" s="5">
        <v>4</v>
      </c>
      <c r="K928" s="5" t="s">
        <v>27</v>
      </c>
      <c r="L928" s="7" t="str">
        <f>VLOOKUP(K928, 'Alphabetical by species code'!A:B, 2, FALSE)</f>
        <v>Litter</v>
      </c>
      <c r="M928" s="7" t="str">
        <f>VLOOKUP(L928, 'Alphabetical by species code'!B:C, 2, FALSE)</f>
        <v>Ground Cover</v>
      </c>
    </row>
    <row r="929" spans="1:14" ht="15.75" customHeight="1" x14ac:dyDescent="0.25">
      <c r="A929" s="5">
        <v>19</v>
      </c>
      <c r="B929" s="5">
        <v>2023</v>
      </c>
      <c r="C929" s="64">
        <v>45197</v>
      </c>
      <c r="D929" s="5" t="s">
        <v>72</v>
      </c>
      <c r="E929" s="5" t="s">
        <v>68</v>
      </c>
      <c r="F929" s="5">
        <v>1</v>
      </c>
      <c r="G929" s="5" t="s">
        <v>46</v>
      </c>
      <c r="H929" s="5">
        <v>9</v>
      </c>
      <c r="I929" s="5">
        <v>2</v>
      </c>
      <c r="J929" s="5">
        <v>4.5</v>
      </c>
      <c r="K929" s="5" t="s">
        <v>27</v>
      </c>
      <c r="L929" s="7" t="str">
        <f>VLOOKUP(K929, 'Alphabetical by species code'!A:B, 2, FALSE)</f>
        <v>Litter</v>
      </c>
      <c r="M929" s="7" t="str">
        <f>VLOOKUP(L929, 'Alphabetical by species code'!B:C, 2, FALSE)</f>
        <v>Ground Cover</v>
      </c>
    </row>
    <row r="930" spans="1:14" ht="15.75" customHeight="1" x14ac:dyDescent="0.25">
      <c r="A930" s="5">
        <v>19</v>
      </c>
      <c r="B930" s="5">
        <v>2023</v>
      </c>
      <c r="C930" s="64">
        <v>45197</v>
      </c>
      <c r="D930" s="5" t="s">
        <v>72</v>
      </c>
      <c r="E930" s="5" t="s">
        <v>68</v>
      </c>
      <c r="F930" s="5">
        <v>1</v>
      </c>
      <c r="G930" s="5" t="s">
        <v>46</v>
      </c>
      <c r="H930" s="5">
        <v>9</v>
      </c>
      <c r="I930" s="5">
        <v>2</v>
      </c>
      <c r="J930" s="5">
        <v>4.5</v>
      </c>
      <c r="K930" s="5" t="s">
        <v>48</v>
      </c>
      <c r="L930" s="7" t="str">
        <f>VLOOKUP(K930, 'Alphabetical by species code'!A:B, 2, FALSE)</f>
        <v>Deinandra fasciculata</v>
      </c>
      <c r="M930" s="7" t="str">
        <f>VLOOKUP(L930, 'Alphabetical by species code'!B:C, 2, FALSE)</f>
        <v>Native</v>
      </c>
    </row>
    <row r="931" spans="1:14" ht="15.75" customHeight="1" x14ac:dyDescent="0.25">
      <c r="A931" s="5">
        <v>19</v>
      </c>
      <c r="B931" s="5">
        <v>2023</v>
      </c>
      <c r="C931" s="64">
        <v>45197</v>
      </c>
      <c r="D931" s="5" t="s">
        <v>72</v>
      </c>
      <c r="E931" s="5" t="s">
        <v>68</v>
      </c>
      <c r="F931" s="5">
        <v>1</v>
      </c>
      <c r="G931" s="5" t="s">
        <v>46</v>
      </c>
      <c r="H931" s="5">
        <v>10</v>
      </c>
      <c r="I931" s="5">
        <v>2</v>
      </c>
      <c r="J931" s="5">
        <v>5</v>
      </c>
      <c r="K931" s="5" t="s">
        <v>27</v>
      </c>
      <c r="L931" s="7" t="str">
        <f>VLOOKUP(K931, 'Alphabetical by species code'!A:B, 2, FALSE)</f>
        <v>Litter</v>
      </c>
      <c r="M931" s="7" t="str">
        <f>VLOOKUP(L931, 'Alphabetical by species code'!B:C, 2, FALSE)</f>
        <v>Ground Cover</v>
      </c>
    </row>
    <row r="932" spans="1:14" ht="15.75" customHeight="1" x14ac:dyDescent="0.25">
      <c r="A932" s="5">
        <v>19</v>
      </c>
      <c r="B932" s="5">
        <v>2023</v>
      </c>
      <c r="C932" s="64">
        <v>45197</v>
      </c>
      <c r="D932" s="5" t="s">
        <v>72</v>
      </c>
      <c r="E932" s="5" t="s">
        <v>68</v>
      </c>
      <c r="F932" s="5">
        <v>1</v>
      </c>
      <c r="G932" s="5" t="s">
        <v>46</v>
      </c>
      <c r="H932" s="5">
        <v>10</v>
      </c>
      <c r="I932" s="5">
        <v>2</v>
      </c>
      <c r="J932" s="5">
        <v>5</v>
      </c>
      <c r="K932" s="5" t="s">
        <v>54</v>
      </c>
      <c r="L932" s="7" t="str">
        <f>VLOOKUP(K932, 'Alphabetical by species code'!A:B, 2, FALSE)</f>
        <v>Erodium cicutarium</v>
      </c>
      <c r="M932" s="7" t="str">
        <f>VLOOKUP(L932, 'Alphabetical by species code'!B:C, 2, FALSE)</f>
        <v>Non-Native</v>
      </c>
    </row>
    <row r="933" spans="1:14" ht="15.75" customHeight="1" x14ac:dyDescent="0.25">
      <c r="A933" s="5">
        <v>19</v>
      </c>
      <c r="B933" s="5">
        <v>2023</v>
      </c>
      <c r="C933" s="64">
        <v>45197</v>
      </c>
      <c r="D933" s="5" t="s">
        <v>72</v>
      </c>
      <c r="E933" s="5" t="s">
        <v>68</v>
      </c>
      <c r="F933" s="5">
        <v>1</v>
      </c>
      <c r="G933" s="5" t="s">
        <v>46</v>
      </c>
      <c r="H933" s="5">
        <v>10</v>
      </c>
      <c r="I933" s="5">
        <v>2</v>
      </c>
      <c r="J933" s="5">
        <v>5</v>
      </c>
      <c r="K933" s="5" t="s">
        <v>48</v>
      </c>
      <c r="L933" s="7" t="str">
        <f>VLOOKUP(K933, 'Alphabetical by species code'!A:B, 2, FALSE)</f>
        <v>Deinandra fasciculata</v>
      </c>
      <c r="M933" s="7" t="str">
        <f>VLOOKUP(L933, 'Alphabetical by species code'!B:C, 2, FALSE)</f>
        <v>Native</v>
      </c>
    </row>
    <row r="934" spans="1:14" ht="15.75" customHeight="1" x14ac:dyDescent="0.25">
      <c r="A934" s="5">
        <v>19</v>
      </c>
      <c r="B934" s="5">
        <v>2023</v>
      </c>
      <c r="C934" s="64">
        <v>45197</v>
      </c>
      <c r="D934" s="5" t="s">
        <v>72</v>
      </c>
      <c r="E934" s="5" t="s">
        <v>68</v>
      </c>
      <c r="F934" s="5">
        <v>1</v>
      </c>
      <c r="G934" s="5" t="s">
        <v>46</v>
      </c>
      <c r="H934" s="5">
        <v>11</v>
      </c>
      <c r="I934" s="5">
        <v>2</v>
      </c>
      <c r="J934" s="5">
        <v>5.5</v>
      </c>
      <c r="K934" s="5" t="s">
        <v>35</v>
      </c>
      <c r="L934" s="7" t="str">
        <f>VLOOKUP(K934, 'Alphabetical by species code'!A:B, 2, FALSE)</f>
        <v>Bareground</v>
      </c>
      <c r="M934" s="7" t="str">
        <f>VLOOKUP(L934, 'Alphabetical by species code'!B:C, 2, FALSE)</f>
        <v>Ground Cover</v>
      </c>
    </row>
    <row r="935" spans="1:14" ht="15.75" customHeight="1" x14ac:dyDescent="0.25">
      <c r="A935" s="5">
        <v>19</v>
      </c>
      <c r="B935" s="5">
        <v>2023</v>
      </c>
      <c r="C935" s="62">
        <v>45197</v>
      </c>
      <c r="D935" s="5" t="s">
        <v>72</v>
      </c>
      <c r="E935" s="5" t="s">
        <v>68</v>
      </c>
      <c r="F935" s="5">
        <v>1</v>
      </c>
      <c r="G935" s="5" t="s">
        <v>46</v>
      </c>
      <c r="H935" s="5">
        <v>12</v>
      </c>
      <c r="I935" s="5">
        <v>2</v>
      </c>
      <c r="J935" s="5">
        <v>6</v>
      </c>
      <c r="K935" s="5" t="s">
        <v>35</v>
      </c>
      <c r="L935" s="7" t="str">
        <f>VLOOKUP(K935, 'Alphabetical by species code'!A:B, 2, FALSE)</f>
        <v>Bareground</v>
      </c>
      <c r="M935" s="7" t="str">
        <f>VLOOKUP(L935, 'Alphabetical by species code'!B:C, 2, FALSE)</f>
        <v>Ground Cover</v>
      </c>
    </row>
    <row r="936" spans="1:14" ht="15.75" customHeight="1" x14ac:dyDescent="0.25">
      <c r="A936" s="5">
        <v>19</v>
      </c>
      <c r="B936" s="5">
        <v>2023</v>
      </c>
      <c r="C936" s="64">
        <v>45197</v>
      </c>
      <c r="D936" s="5" t="s">
        <v>72</v>
      </c>
      <c r="E936" s="5" t="s">
        <v>68</v>
      </c>
      <c r="F936" s="5">
        <v>1</v>
      </c>
      <c r="G936" s="5" t="s">
        <v>46</v>
      </c>
      <c r="H936" s="5">
        <v>12</v>
      </c>
      <c r="I936" s="5">
        <v>2</v>
      </c>
      <c r="J936" s="5">
        <v>6</v>
      </c>
      <c r="K936" s="5" t="s">
        <v>29</v>
      </c>
      <c r="L936" s="7" t="str">
        <f>VLOOKUP(K936, 'Alphabetical by species code'!A:B, 2, FALSE)</f>
        <v>Opuntia littoralis</v>
      </c>
      <c r="M936" s="7" t="str">
        <f>VLOOKUP(L936, 'Alphabetical by species code'!B:C, 2, FALSE)</f>
        <v>Native</v>
      </c>
    </row>
    <row r="937" spans="1:14" ht="15.75" customHeight="1" x14ac:dyDescent="0.25">
      <c r="A937" s="5">
        <v>19</v>
      </c>
      <c r="B937" s="5">
        <v>2023</v>
      </c>
      <c r="C937" s="64">
        <v>45197</v>
      </c>
      <c r="D937" s="5" t="s">
        <v>72</v>
      </c>
      <c r="E937" s="5" t="s">
        <v>68</v>
      </c>
      <c r="F937" s="5">
        <v>1</v>
      </c>
      <c r="G937" s="5" t="s">
        <v>46</v>
      </c>
      <c r="H937" s="5">
        <v>13</v>
      </c>
      <c r="I937" s="5">
        <v>2</v>
      </c>
      <c r="J937" s="5">
        <v>6.5</v>
      </c>
      <c r="K937" s="5" t="s">
        <v>27</v>
      </c>
      <c r="L937" s="7" t="str">
        <f>VLOOKUP(K937, 'Alphabetical by species code'!A:B, 2, FALSE)</f>
        <v>Litter</v>
      </c>
      <c r="M937" s="7" t="str">
        <f>VLOOKUP(L937, 'Alphabetical by species code'!B:C, 2, FALSE)</f>
        <v>Ground Cover</v>
      </c>
    </row>
    <row r="938" spans="1:14" ht="15.75" customHeight="1" x14ac:dyDescent="0.25">
      <c r="A938" s="5">
        <v>19</v>
      </c>
      <c r="B938" s="5">
        <v>2023</v>
      </c>
      <c r="C938" s="64">
        <v>45197</v>
      </c>
      <c r="D938" s="5" t="s">
        <v>72</v>
      </c>
      <c r="E938" s="5" t="s">
        <v>68</v>
      </c>
      <c r="F938" s="5">
        <v>1</v>
      </c>
      <c r="G938" s="5" t="s">
        <v>46</v>
      </c>
      <c r="H938" s="5">
        <v>13</v>
      </c>
      <c r="I938" s="5">
        <v>2</v>
      </c>
      <c r="J938" s="5">
        <v>6.5</v>
      </c>
      <c r="K938" s="5" t="s">
        <v>54</v>
      </c>
      <c r="L938" s="7" t="str">
        <f>VLOOKUP(K938, 'Alphabetical by species code'!A:B, 2, FALSE)</f>
        <v>Erodium cicutarium</v>
      </c>
      <c r="M938" s="7" t="str">
        <f>VLOOKUP(L938, 'Alphabetical by species code'!B:C, 2, FALSE)</f>
        <v>Non-Native</v>
      </c>
    </row>
    <row r="939" spans="1:14" ht="15.75" customHeight="1" x14ac:dyDescent="0.25">
      <c r="A939" s="5">
        <v>19</v>
      </c>
      <c r="B939" s="5">
        <v>2023</v>
      </c>
      <c r="C939" s="64">
        <v>45197</v>
      </c>
      <c r="D939" s="5" t="s">
        <v>72</v>
      </c>
      <c r="E939" s="5" t="s">
        <v>68</v>
      </c>
      <c r="F939" s="5">
        <v>1</v>
      </c>
      <c r="G939" s="5" t="s">
        <v>46</v>
      </c>
      <c r="H939" s="5">
        <v>14</v>
      </c>
      <c r="I939" s="5">
        <v>2</v>
      </c>
      <c r="J939" s="5">
        <v>7</v>
      </c>
      <c r="K939" s="5" t="s">
        <v>27</v>
      </c>
      <c r="L939" s="7" t="str">
        <f>VLOOKUP(K939, 'Alphabetical by species code'!A:B, 2, FALSE)</f>
        <v>Litter</v>
      </c>
      <c r="M939" s="7" t="str">
        <f>VLOOKUP(L939, 'Alphabetical by species code'!B:C, 2, FALSE)</f>
        <v>Ground Cover</v>
      </c>
    </row>
    <row r="940" spans="1:14" ht="15.75" customHeight="1" x14ac:dyDescent="0.25">
      <c r="A940" s="15">
        <v>19</v>
      </c>
      <c r="B940" s="5">
        <v>2023</v>
      </c>
      <c r="C940" s="64">
        <v>45197</v>
      </c>
      <c r="D940" s="5" t="s">
        <v>72</v>
      </c>
      <c r="E940" s="5" t="s">
        <v>68</v>
      </c>
      <c r="F940" s="5">
        <v>1</v>
      </c>
      <c r="G940" s="5" t="s">
        <v>46</v>
      </c>
      <c r="H940" s="5">
        <v>14</v>
      </c>
      <c r="I940" s="5">
        <v>2</v>
      </c>
      <c r="J940" s="5">
        <v>7</v>
      </c>
      <c r="K940" s="5" t="s">
        <v>34</v>
      </c>
      <c r="L940" s="7" t="str">
        <f>VLOOKUP(K940, 'Alphabetical by species code'!A:B, 2, FALSE)</f>
        <v>Centaurea melitensis</v>
      </c>
      <c r="M940" s="7" t="str">
        <f>VLOOKUP(L940, 'Alphabetical by species code'!B:C, 2, FALSE)</f>
        <v>Non-Native</v>
      </c>
    </row>
    <row r="941" spans="1:14" ht="15.75" customHeight="1" x14ac:dyDescent="0.25">
      <c r="A941" s="5">
        <v>19</v>
      </c>
      <c r="B941" s="5">
        <v>2023</v>
      </c>
      <c r="C941" s="64">
        <v>45197</v>
      </c>
      <c r="D941" s="5" t="s">
        <v>72</v>
      </c>
      <c r="E941" s="5" t="s">
        <v>68</v>
      </c>
      <c r="F941" s="5">
        <v>1</v>
      </c>
      <c r="G941" s="5" t="s">
        <v>46</v>
      </c>
      <c r="H941" s="5">
        <v>15</v>
      </c>
      <c r="I941" s="5">
        <v>2</v>
      </c>
      <c r="J941" s="5">
        <v>7.5</v>
      </c>
      <c r="K941" s="5" t="s">
        <v>35</v>
      </c>
      <c r="L941" s="7" t="str">
        <f>VLOOKUP(K941, 'Alphabetical by species code'!A:B, 2, FALSE)</f>
        <v>Bareground</v>
      </c>
      <c r="M941" s="7" t="str">
        <f>VLOOKUP(L941, 'Alphabetical by species code'!B:C, 2, FALSE)</f>
        <v>Ground Cover</v>
      </c>
    </row>
    <row r="942" spans="1:14" ht="15.75" customHeight="1" x14ac:dyDescent="0.25">
      <c r="A942" s="5">
        <v>20</v>
      </c>
      <c r="B942" s="5">
        <v>2023</v>
      </c>
      <c r="C942" s="64">
        <v>45197</v>
      </c>
      <c r="D942" s="5" t="s">
        <v>72</v>
      </c>
      <c r="E942" s="5" t="s">
        <v>68</v>
      </c>
      <c r="F942" s="5">
        <v>1</v>
      </c>
      <c r="G942" s="5" t="s">
        <v>51</v>
      </c>
      <c r="H942" s="5">
        <v>1</v>
      </c>
      <c r="I942" s="5">
        <v>1</v>
      </c>
      <c r="J942" s="5">
        <v>0</v>
      </c>
      <c r="K942" s="5" t="s">
        <v>35</v>
      </c>
      <c r="L942" s="7" t="str">
        <f>VLOOKUP(K942, 'Alphabetical by species code'!A:B, 2, FALSE)</f>
        <v>Bareground</v>
      </c>
      <c r="M942" s="7" t="str">
        <f>VLOOKUP(L942, 'Alphabetical by species code'!B:C, 2, FALSE)</f>
        <v>Ground Cover</v>
      </c>
      <c r="N942" s="7"/>
    </row>
    <row r="943" spans="1:14" ht="15.75" customHeight="1" x14ac:dyDescent="0.25">
      <c r="A943" s="5">
        <v>20</v>
      </c>
      <c r="B943" s="15">
        <v>2023</v>
      </c>
      <c r="C943" s="64">
        <v>45197</v>
      </c>
      <c r="D943" s="5" t="s">
        <v>72</v>
      </c>
      <c r="E943" s="5" t="s">
        <v>68</v>
      </c>
      <c r="F943" s="5">
        <v>1</v>
      </c>
      <c r="G943" s="5" t="s">
        <v>51</v>
      </c>
      <c r="H943" s="5">
        <v>2</v>
      </c>
      <c r="I943" s="5">
        <v>1</v>
      </c>
      <c r="J943" s="5">
        <v>0.5</v>
      </c>
      <c r="K943" s="5" t="s">
        <v>27</v>
      </c>
      <c r="L943" s="7" t="str">
        <f>VLOOKUP(K943, 'Alphabetical by species code'!A:B, 2, FALSE)</f>
        <v>Litter</v>
      </c>
      <c r="M943" s="7" t="str">
        <f>VLOOKUP(L943, 'Alphabetical by species code'!B:C, 2, FALSE)</f>
        <v>Ground Cover</v>
      </c>
    </row>
    <row r="944" spans="1:14" ht="15.75" customHeight="1" x14ac:dyDescent="0.25">
      <c r="A944" s="5">
        <v>20</v>
      </c>
      <c r="B944" s="5">
        <v>2023</v>
      </c>
      <c r="C944" s="64">
        <v>45197</v>
      </c>
      <c r="D944" s="5" t="s">
        <v>72</v>
      </c>
      <c r="E944" s="5" t="s">
        <v>68</v>
      </c>
      <c r="F944" s="5">
        <v>1</v>
      </c>
      <c r="G944" s="5" t="s">
        <v>51</v>
      </c>
      <c r="H944" s="5">
        <v>3</v>
      </c>
      <c r="I944" s="5">
        <v>1</v>
      </c>
      <c r="J944" s="5">
        <v>1</v>
      </c>
      <c r="K944" s="5" t="s">
        <v>27</v>
      </c>
      <c r="L944" s="7" t="str">
        <f>VLOOKUP(K944, 'Alphabetical by species code'!A:B, 2, FALSE)</f>
        <v>Litter</v>
      </c>
      <c r="M944" s="7" t="str">
        <f>VLOOKUP(L944, 'Alphabetical by species code'!B:C, 2, FALSE)</f>
        <v>Ground Cover</v>
      </c>
    </row>
    <row r="945" spans="1:13" ht="15.75" customHeight="1" x14ac:dyDescent="0.25">
      <c r="A945" s="5">
        <v>20</v>
      </c>
      <c r="B945" s="5">
        <v>2023</v>
      </c>
      <c r="C945" s="64">
        <v>45197</v>
      </c>
      <c r="D945" s="5" t="s">
        <v>72</v>
      </c>
      <c r="E945" s="5" t="s">
        <v>68</v>
      </c>
      <c r="F945" s="5">
        <v>1</v>
      </c>
      <c r="G945" s="5" t="s">
        <v>51</v>
      </c>
      <c r="H945" s="5">
        <v>4</v>
      </c>
      <c r="I945" s="5">
        <v>1</v>
      </c>
      <c r="J945" s="5">
        <v>1.5</v>
      </c>
      <c r="K945" s="5" t="s">
        <v>27</v>
      </c>
      <c r="L945" s="7" t="str">
        <f>VLOOKUP(K945, 'Alphabetical by species code'!A:B, 2, FALSE)</f>
        <v>Litter</v>
      </c>
      <c r="M945" s="7" t="str">
        <f>VLOOKUP(L945, 'Alphabetical by species code'!B:C, 2, FALSE)</f>
        <v>Ground Cover</v>
      </c>
    </row>
    <row r="946" spans="1:13" ht="15.75" customHeight="1" x14ac:dyDescent="0.25">
      <c r="A946" s="5">
        <v>20</v>
      </c>
      <c r="B946" s="5">
        <v>2023</v>
      </c>
      <c r="C946" s="64">
        <v>45197</v>
      </c>
      <c r="D946" s="5" t="s">
        <v>72</v>
      </c>
      <c r="E946" s="5" t="s">
        <v>68</v>
      </c>
      <c r="F946" s="5">
        <v>1</v>
      </c>
      <c r="G946" s="5" t="s">
        <v>51</v>
      </c>
      <c r="H946" s="5">
        <v>5</v>
      </c>
      <c r="I946" s="5">
        <v>1</v>
      </c>
      <c r="J946" s="5">
        <v>2</v>
      </c>
      <c r="K946" s="5" t="s">
        <v>27</v>
      </c>
      <c r="L946" s="7" t="str">
        <f>VLOOKUP(K946, 'Alphabetical by species code'!A:B, 2, FALSE)</f>
        <v>Litter</v>
      </c>
      <c r="M946" s="7" t="str">
        <f>VLOOKUP(L946, 'Alphabetical by species code'!B:C, 2, FALSE)</f>
        <v>Ground Cover</v>
      </c>
    </row>
    <row r="947" spans="1:13" ht="15.75" customHeight="1" x14ac:dyDescent="0.25">
      <c r="A947" s="5">
        <v>20</v>
      </c>
      <c r="B947" s="5">
        <v>2023</v>
      </c>
      <c r="C947" s="64">
        <v>45197</v>
      </c>
      <c r="D947" s="5" t="s">
        <v>72</v>
      </c>
      <c r="E947" s="5" t="s">
        <v>68</v>
      </c>
      <c r="F947" s="5">
        <v>1</v>
      </c>
      <c r="G947" s="5" t="s">
        <v>51</v>
      </c>
      <c r="H947" s="5">
        <v>6</v>
      </c>
      <c r="I947" s="5">
        <v>1</v>
      </c>
      <c r="J947" s="5">
        <v>2.5</v>
      </c>
      <c r="K947" s="5" t="s">
        <v>27</v>
      </c>
      <c r="L947" s="7" t="str">
        <f>VLOOKUP(K947, 'Alphabetical by species code'!A:B, 2, FALSE)</f>
        <v>Litter</v>
      </c>
      <c r="M947" s="7" t="str">
        <f>VLOOKUP(L947, 'Alphabetical by species code'!B:C, 2, FALSE)</f>
        <v>Ground Cover</v>
      </c>
    </row>
    <row r="948" spans="1:13" ht="15.75" customHeight="1" x14ac:dyDescent="0.25">
      <c r="A948" s="5">
        <v>20</v>
      </c>
      <c r="B948" s="5">
        <v>2023</v>
      </c>
      <c r="C948" s="64">
        <v>45197</v>
      </c>
      <c r="D948" s="5" t="s">
        <v>72</v>
      </c>
      <c r="E948" s="5" t="s">
        <v>68</v>
      </c>
      <c r="F948" s="5">
        <v>1</v>
      </c>
      <c r="G948" s="5" t="s">
        <v>51</v>
      </c>
      <c r="H948" s="5">
        <v>7</v>
      </c>
      <c r="I948" s="5">
        <v>1</v>
      </c>
      <c r="J948" s="5">
        <v>3</v>
      </c>
      <c r="K948" s="5" t="s">
        <v>27</v>
      </c>
      <c r="L948" s="7" t="str">
        <f>VLOOKUP(K948, 'Alphabetical by species code'!A:B, 2, FALSE)</f>
        <v>Litter</v>
      </c>
      <c r="M948" s="7" t="str">
        <f>VLOOKUP(L948, 'Alphabetical by species code'!B:C, 2, FALSE)</f>
        <v>Ground Cover</v>
      </c>
    </row>
    <row r="949" spans="1:13" ht="15.75" customHeight="1" x14ac:dyDescent="0.25">
      <c r="A949" s="5">
        <v>20</v>
      </c>
      <c r="B949" s="5">
        <v>2023</v>
      </c>
      <c r="C949" s="64">
        <v>45197</v>
      </c>
      <c r="D949" s="5" t="s">
        <v>72</v>
      </c>
      <c r="E949" s="5" t="s">
        <v>68</v>
      </c>
      <c r="F949" s="5">
        <v>1</v>
      </c>
      <c r="G949" s="5" t="s">
        <v>51</v>
      </c>
      <c r="H949" s="5">
        <v>8</v>
      </c>
      <c r="I949" s="5">
        <v>1</v>
      </c>
      <c r="J949" s="5">
        <v>3.5</v>
      </c>
      <c r="K949" s="5" t="s">
        <v>27</v>
      </c>
      <c r="L949" s="7" t="str">
        <f>VLOOKUP(K949, 'Alphabetical by species code'!A:B, 2, FALSE)</f>
        <v>Litter</v>
      </c>
      <c r="M949" s="7" t="str">
        <f>VLOOKUP(L949, 'Alphabetical by species code'!B:C, 2, FALSE)</f>
        <v>Ground Cover</v>
      </c>
    </row>
    <row r="950" spans="1:13" ht="15.75" customHeight="1" x14ac:dyDescent="0.25">
      <c r="A950" s="5">
        <v>20</v>
      </c>
      <c r="B950" s="5">
        <v>2023</v>
      </c>
      <c r="C950" s="64">
        <v>45197</v>
      </c>
      <c r="D950" s="5" t="s">
        <v>72</v>
      </c>
      <c r="E950" s="5" t="s">
        <v>68</v>
      </c>
      <c r="F950" s="5">
        <v>1</v>
      </c>
      <c r="G950" s="5" t="s">
        <v>51</v>
      </c>
      <c r="H950" s="5">
        <v>8</v>
      </c>
      <c r="I950" s="5">
        <v>1</v>
      </c>
      <c r="J950" s="5">
        <v>3.5</v>
      </c>
      <c r="K950" s="5" t="s">
        <v>48</v>
      </c>
      <c r="L950" s="7" t="str">
        <f>VLOOKUP(K950, 'Alphabetical by species code'!A:B, 2, FALSE)</f>
        <v>Deinandra fasciculata</v>
      </c>
      <c r="M950" s="7" t="str">
        <f>VLOOKUP(L950, 'Alphabetical by species code'!B:C, 2, FALSE)</f>
        <v>Native</v>
      </c>
    </row>
    <row r="951" spans="1:13" ht="15.75" customHeight="1" x14ac:dyDescent="0.25">
      <c r="A951" s="5">
        <v>20</v>
      </c>
      <c r="B951" s="5">
        <v>2023</v>
      </c>
      <c r="C951" s="64">
        <v>45197</v>
      </c>
      <c r="D951" s="5" t="s">
        <v>72</v>
      </c>
      <c r="E951" s="5" t="s">
        <v>68</v>
      </c>
      <c r="F951" s="5">
        <v>1</v>
      </c>
      <c r="G951" s="5" t="s">
        <v>51</v>
      </c>
      <c r="H951" s="5">
        <v>9</v>
      </c>
      <c r="I951" s="5">
        <v>1</v>
      </c>
      <c r="J951" s="5">
        <v>4</v>
      </c>
      <c r="K951" s="5" t="s">
        <v>27</v>
      </c>
      <c r="L951" s="7" t="str">
        <f>VLOOKUP(K951, 'Alphabetical by species code'!A:B, 2, FALSE)</f>
        <v>Litter</v>
      </c>
      <c r="M951" s="7" t="str">
        <f>VLOOKUP(L951, 'Alphabetical by species code'!B:C, 2, FALSE)</f>
        <v>Ground Cover</v>
      </c>
    </row>
    <row r="952" spans="1:13" ht="15.75" customHeight="1" x14ac:dyDescent="0.25">
      <c r="A952" s="5">
        <v>20</v>
      </c>
      <c r="B952" s="5">
        <v>2023</v>
      </c>
      <c r="C952" s="64">
        <v>45197</v>
      </c>
      <c r="D952" s="5" t="s">
        <v>72</v>
      </c>
      <c r="E952" s="5" t="s">
        <v>68</v>
      </c>
      <c r="F952" s="5">
        <v>1</v>
      </c>
      <c r="G952" s="5" t="s">
        <v>51</v>
      </c>
      <c r="H952" s="5">
        <v>9</v>
      </c>
      <c r="I952" s="5">
        <v>1</v>
      </c>
      <c r="J952" s="5">
        <v>4</v>
      </c>
      <c r="K952" s="5" t="s">
        <v>48</v>
      </c>
      <c r="L952" s="7" t="str">
        <f>VLOOKUP(K952, 'Alphabetical by species code'!A:B, 2, FALSE)</f>
        <v>Deinandra fasciculata</v>
      </c>
      <c r="M952" s="7" t="str">
        <f>VLOOKUP(L952, 'Alphabetical by species code'!B:C, 2, FALSE)</f>
        <v>Native</v>
      </c>
    </row>
    <row r="953" spans="1:13" ht="15.75" customHeight="1" x14ac:dyDescent="0.25">
      <c r="A953" s="5">
        <v>20</v>
      </c>
      <c r="B953" s="5">
        <v>2023</v>
      </c>
      <c r="C953" s="64">
        <v>45197</v>
      </c>
      <c r="D953" s="5" t="s">
        <v>72</v>
      </c>
      <c r="E953" s="5" t="s">
        <v>68</v>
      </c>
      <c r="F953" s="5">
        <v>1</v>
      </c>
      <c r="G953" s="5" t="s">
        <v>51</v>
      </c>
      <c r="H953" s="5">
        <v>10</v>
      </c>
      <c r="I953" s="5">
        <v>1</v>
      </c>
      <c r="J953" s="5">
        <v>4.5</v>
      </c>
      <c r="K953" s="5" t="s">
        <v>27</v>
      </c>
      <c r="L953" s="7" t="str">
        <f>VLOOKUP(K953, 'Alphabetical by species code'!A:B, 2, FALSE)</f>
        <v>Litter</v>
      </c>
      <c r="M953" s="7" t="str">
        <f>VLOOKUP(L953, 'Alphabetical by species code'!B:C, 2, FALSE)</f>
        <v>Ground Cover</v>
      </c>
    </row>
    <row r="954" spans="1:13" ht="15.75" customHeight="1" x14ac:dyDescent="0.25">
      <c r="A954" s="5">
        <v>20</v>
      </c>
      <c r="B954" s="5">
        <v>2023</v>
      </c>
      <c r="C954" s="64">
        <v>45197</v>
      </c>
      <c r="D954" s="5" t="s">
        <v>72</v>
      </c>
      <c r="E954" s="5" t="s">
        <v>68</v>
      </c>
      <c r="F954" s="5">
        <v>1</v>
      </c>
      <c r="G954" s="5" t="s">
        <v>51</v>
      </c>
      <c r="H954" s="5">
        <v>10</v>
      </c>
      <c r="I954" s="5">
        <v>1</v>
      </c>
      <c r="J954" s="5">
        <v>4.5</v>
      </c>
      <c r="K954" s="5" t="s">
        <v>48</v>
      </c>
      <c r="L954" s="7" t="str">
        <f>VLOOKUP(K954, 'Alphabetical by species code'!A:B, 2, FALSE)</f>
        <v>Deinandra fasciculata</v>
      </c>
      <c r="M954" s="7" t="str">
        <f>VLOOKUP(L954, 'Alphabetical by species code'!B:C, 2, FALSE)</f>
        <v>Native</v>
      </c>
    </row>
    <row r="955" spans="1:13" ht="15.75" customHeight="1" x14ac:dyDescent="0.25">
      <c r="A955" s="7">
        <v>20</v>
      </c>
      <c r="B955" s="5">
        <v>2023</v>
      </c>
      <c r="C955" s="64">
        <v>45197</v>
      </c>
      <c r="D955" s="5" t="s">
        <v>72</v>
      </c>
      <c r="E955" s="5" t="s">
        <v>68</v>
      </c>
      <c r="F955" s="5">
        <v>1</v>
      </c>
      <c r="G955" s="5" t="s">
        <v>51</v>
      </c>
      <c r="H955" s="8">
        <v>11</v>
      </c>
      <c r="I955" s="5">
        <v>1</v>
      </c>
      <c r="J955" s="8">
        <v>5</v>
      </c>
      <c r="K955" s="8" t="s">
        <v>27</v>
      </c>
      <c r="L955" s="7" t="str">
        <f>VLOOKUP(K955, 'Alphabetical by species code'!A:B, 2, FALSE)</f>
        <v>Litter</v>
      </c>
      <c r="M955" s="7" t="str">
        <f>VLOOKUP(L955, 'Alphabetical by species code'!B:C, 2, FALSE)</f>
        <v>Ground Cover</v>
      </c>
    </row>
    <row r="956" spans="1:13" ht="15.75" customHeight="1" x14ac:dyDescent="0.25">
      <c r="A956" s="7">
        <v>20</v>
      </c>
      <c r="B956" s="5">
        <v>2023</v>
      </c>
      <c r="C956" s="64">
        <v>45197</v>
      </c>
      <c r="D956" s="5" t="s">
        <v>72</v>
      </c>
      <c r="E956" s="5" t="s">
        <v>68</v>
      </c>
      <c r="F956" s="5">
        <v>1</v>
      </c>
      <c r="G956" s="5" t="s">
        <v>51</v>
      </c>
      <c r="H956" s="8">
        <v>11</v>
      </c>
      <c r="I956" s="5">
        <v>1</v>
      </c>
      <c r="J956" s="8">
        <v>5</v>
      </c>
      <c r="K956" s="8" t="s">
        <v>48</v>
      </c>
      <c r="L956" s="7" t="str">
        <f>VLOOKUP(K956, 'Alphabetical by species code'!A:B, 2, FALSE)</f>
        <v>Deinandra fasciculata</v>
      </c>
      <c r="M956" s="7" t="str">
        <f>VLOOKUP(L956, 'Alphabetical by species code'!B:C, 2, FALSE)</f>
        <v>Native</v>
      </c>
    </row>
    <row r="957" spans="1:13" ht="15.75" customHeight="1" x14ac:dyDescent="0.25">
      <c r="A957" s="7">
        <v>20</v>
      </c>
      <c r="B957" s="5">
        <v>2023</v>
      </c>
      <c r="C957" s="64">
        <v>45197</v>
      </c>
      <c r="D957" s="5" t="s">
        <v>72</v>
      </c>
      <c r="E957" s="5" t="s">
        <v>68</v>
      </c>
      <c r="F957" s="5">
        <v>1</v>
      </c>
      <c r="G957" s="5" t="s">
        <v>51</v>
      </c>
      <c r="H957" s="8">
        <v>12</v>
      </c>
      <c r="I957" s="5">
        <v>1</v>
      </c>
      <c r="J957" s="8">
        <v>5.5</v>
      </c>
      <c r="K957" s="8" t="s">
        <v>35</v>
      </c>
      <c r="L957" s="7" t="str">
        <f>VLOOKUP(K957, 'Alphabetical by species code'!A:B, 2, FALSE)</f>
        <v>Bareground</v>
      </c>
      <c r="M957" s="7" t="str">
        <f>VLOOKUP(L957, 'Alphabetical by species code'!B:C, 2, FALSE)</f>
        <v>Ground Cover</v>
      </c>
    </row>
    <row r="958" spans="1:13" ht="15.75" customHeight="1" x14ac:dyDescent="0.25">
      <c r="A958" s="7">
        <v>20</v>
      </c>
      <c r="B958" s="5">
        <v>2023</v>
      </c>
      <c r="C958" s="64">
        <v>45197</v>
      </c>
      <c r="D958" s="5" t="s">
        <v>72</v>
      </c>
      <c r="E958" s="5" t="s">
        <v>68</v>
      </c>
      <c r="F958" s="5">
        <v>1</v>
      </c>
      <c r="G958" s="5" t="s">
        <v>51</v>
      </c>
      <c r="H958" s="8">
        <v>13</v>
      </c>
      <c r="I958" s="5">
        <v>1</v>
      </c>
      <c r="J958" s="8">
        <v>6.5</v>
      </c>
      <c r="K958" s="8" t="s">
        <v>27</v>
      </c>
      <c r="L958" s="7" t="str">
        <f>VLOOKUP(K958, 'Alphabetical by species code'!A:B, 2, FALSE)</f>
        <v>Litter</v>
      </c>
      <c r="M958" s="7" t="str">
        <f>VLOOKUP(L958, 'Alphabetical by species code'!B:C, 2, FALSE)</f>
        <v>Ground Cover</v>
      </c>
    </row>
    <row r="959" spans="1:13" ht="15.75" customHeight="1" x14ac:dyDescent="0.25">
      <c r="A959" s="7">
        <v>20</v>
      </c>
      <c r="B959" s="5">
        <v>2023</v>
      </c>
      <c r="C959" s="64">
        <v>45197</v>
      </c>
      <c r="D959" s="5" t="s">
        <v>72</v>
      </c>
      <c r="E959" s="5" t="s">
        <v>68</v>
      </c>
      <c r="F959" s="5">
        <v>1</v>
      </c>
      <c r="G959" s="5" t="s">
        <v>51</v>
      </c>
      <c r="H959" s="8">
        <v>13</v>
      </c>
      <c r="I959" s="5">
        <v>1</v>
      </c>
      <c r="J959" s="8">
        <v>6.5</v>
      </c>
      <c r="K959" s="8" t="s">
        <v>48</v>
      </c>
      <c r="L959" s="7" t="str">
        <f>VLOOKUP(K959, 'Alphabetical by species code'!A:B, 2, FALSE)</f>
        <v>Deinandra fasciculata</v>
      </c>
      <c r="M959" s="7" t="str">
        <f>VLOOKUP(L959, 'Alphabetical by species code'!B:C, 2, FALSE)</f>
        <v>Native</v>
      </c>
    </row>
    <row r="960" spans="1:13" ht="15.75" customHeight="1" x14ac:dyDescent="0.25">
      <c r="A960" s="7">
        <v>20</v>
      </c>
      <c r="B960" s="5">
        <v>2023</v>
      </c>
      <c r="C960" s="64">
        <v>45197</v>
      </c>
      <c r="D960" s="5" t="s">
        <v>72</v>
      </c>
      <c r="E960" s="5" t="s">
        <v>68</v>
      </c>
      <c r="F960" s="5">
        <v>1</v>
      </c>
      <c r="G960" s="5" t="s">
        <v>51</v>
      </c>
      <c r="H960" s="8">
        <v>14</v>
      </c>
      <c r="I960" s="5">
        <v>1</v>
      </c>
      <c r="J960" s="8">
        <v>7</v>
      </c>
      <c r="K960" s="8" t="s">
        <v>27</v>
      </c>
      <c r="L960" s="7" t="str">
        <f>VLOOKUP(K960, 'Alphabetical by species code'!A:B, 2, FALSE)</f>
        <v>Litter</v>
      </c>
      <c r="M960" s="7" t="str">
        <f>VLOOKUP(L960, 'Alphabetical by species code'!B:C, 2, FALSE)</f>
        <v>Ground Cover</v>
      </c>
    </row>
    <row r="961" spans="1:13" ht="15.75" customHeight="1" x14ac:dyDescent="0.25">
      <c r="A961" s="7">
        <v>20</v>
      </c>
      <c r="B961" s="5">
        <v>2023</v>
      </c>
      <c r="C961" s="64">
        <v>45197</v>
      </c>
      <c r="D961" s="5" t="s">
        <v>72</v>
      </c>
      <c r="E961" s="5" t="s">
        <v>68</v>
      </c>
      <c r="F961" s="5">
        <v>1</v>
      </c>
      <c r="G961" s="5" t="s">
        <v>51</v>
      </c>
      <c r="H961" s="8">
        <v>14</v>
      </c>
      <c r="I961" s="5">
        <v>1</v>
      </c>
      <c r="J961" s="8">
        <v>7</v>
      </c>
      <c r="K961" s="8" t="s">
        <v>48</v>
      </c>
      <c r="L961" s="7" t="str">
        <f>VLOOKUP(K961, 'Alphabetical by species code'!A:B, 2, FALSE)</f>
        <v>Deinandra fasciculata</v>
      </c>
      <c r="M961" s="7" t="str">
        <f>VLOOKUP(L961, 'Alphabetical by species code'!B:C, 2, FALSE)</f>
        <v>Native</v>
      </c>
    </row>
    <row r="962" spans="1:13" ht="15.75" customHeight="1" x14ac:dyDescent="0.25">
      <c r="A962" s="7">
        <v>20</v>
      </c>
      <c r="B962" s="5">
        <v>2023</v>
      </c>
      <c r="C962" s="64">
        <v>45197</v>
      </c>
      <c r="D962" s="5" t="s">
        <v>72</v>
      </c>
      <c r="E962" s="5" t="s">
        <v>68</v>
      </c>
      <c r="F962" s="5">
        <v>1</v>
      </c>
      <c r="G962" s="5" t="s">
        <v>51</v>
      </c>
      <c r="H962" s="8">
        <v>15</v>
      </c>
      <c r="I962" s="5">
        <v>1</v>
      </c>
      <c r="J962" s="8">
        <v>7.5</v>
      </c>
      <c r="K962" s="8" t="s">
        <v>35</v>
      </c>
      <c r="L962" s="7" t="str">
        <f>VLOOKUP(K962, 'Alphabetical by species code'!A:B, 2, FALSE)</f>
        <v>Bareground</v>
      </c>
      <c r="M962" s="7" t="str">
        <f>VLOOKUP(L962, 'Alphabetical by species code'!B:C, 2, FALSE)</f>
        <v>Ground Cover</v>
      </c>
    </row>
    <row r="963" spans="1:13" ht="15.75" customHeight="1" x14ac:dyDescent="0.25">
      <c r="A963" s="7">
        <v>20</v>
      </c>
      <c r="B963" s="5">
        <v>2023</v>
      </c>
      <c r="C963" s="64">
        <v>45197</v>
      </c>
      <c r="D963" s="5" t="s">
        <v>72</v>
      </c>
      <c r="E963" s="5" t="s">
        <v>68</v>
      </c>
      <c r="F963" s="5">
        <v>1</v>
      </c>
      <c r="G963" s="5" t="s">
        <v>51</v>
      </c>
      <c r="H963" s="8">
        <v>15</v>
      </c>
      <c r="I963" s="5">
        <v>1</v>
      </c>
      <c r="J963" s="8">
        <v>7.5</v>
      </c>
      <c r="K963" s="8" t="s">
        <v>48</v>
      </c>
      <c r="L963" s="7" t="str">
        <f>VLOOKUP(K963, 'Alphabetical by species code'!A:B, 2, FALSE)</f>
        <v>Deinandra fasciculata</v>
      </c>
      <c r="M963" s="7" t="str">
        <f>VLOOKUP(L963, 'Alphabetical by species code'!B:C, 2, FALSE)</f>
        <v>Native</v>
      </c>
    </row>
    <row r="964" spans="1:13" ht="15.75" customHeight="1" x14ac:dyDescent="0.25">
      <c r="A964" s="7">
        <v>20</v>
      </c>
      <c r="B964" s="5">
        <v>2023</v>
      </c>
      <c r="C964" s="64">
        <v>45197</v>
      </c>
      <c r="D964" s="5" t="s">
        <v>72</v>
      </c>
      <c r="E964" s="5" t="s">
        <v>68</v>
      </c>
      <c r="F964" s="5">
        <v>1</v>
      </c>
      <c r="G964" s="5" t="s">
        <v>51</v>
      </c>
      <c r="H964" s="8">
        <v>1</v>
      </c>
      <c r="I964" s="8">
        <v>2</v>
      </c>
      <c r="J964" s="8">
        <v>0</v>
      </c>
      <c r="K964" s="8" t="s">
        <v>35</v>
      </c>
      <c r="L964" s="7" t="str">
        <f>VLOOKUP(K964, 'Alphabetical by species code'!A:B, 2, FALSE)</f>
        <v>Bareground</v>
      </c>
      <c r="M964" s="7" t="str">
        <f>VLOOKUP(L964, 'Alphabetical by species code'!B:C, 2, FALSE)</f>
        <v>Ground Cover</v>
      </c>
    </row>
    <row r="965" spans="1:13" ht="15.75" customHeight="1" x14ac:dyDescent="0.25">
      <c r="A965" s="7">
        <v>20</v>
      </c>
      <c r="B965" s="5">
        <v>2023</v>
      </c>
      <c r="C965" s="64">
        <v>45197</v>
      </c>
      <c r="D965" s="5" t="s">
        <v>72</v>
      </c>
      <c r="E965" s="5" t="s">
        <v>68</v>
      </c>
      <c r="F965" s="5">
        <v>1</v>
      </c>
      <c r="G965" s="5" t="s">
        <v>51</v>
      </c>
      <c r="H965" s="8">
        <v>2</v>
      </c>
      <c r="I965" s="8">
        <v>2</v>
      </c>
      <c r="J965" s="8">
        <v>0.5</v>
      </c>
      <c r="K965" s="8" t="s">
        <v>35</v>
      </c>
      <c r="L965" s="7" t="str">
        <f>VLOOKUP(K965, 'Alphabetical by species code'!A:B, 2, FALSE)</f>
        <v>Bareground</v>
      </c>
      <c r="M965" s="7" t="str">
        <f>VLOOKUP(L965, 'Alphabetical by species code'!B:C, 2, FALSE)</f>
        <v>Ground Cover</v>
      </c>
    </row>
    <row r="966" spans="1:13" ht="15.75" customHeight="1" x14ac:dyDescent="0.25">
      <c r="A966" s="7">
        <v>20</v>
      </c>
      <c r="B966" s="5">
        <v>2023</v>
      </c>
      <c r="C966" s="64">
        <v>45197</v>
      </c>
      <c r="D966" s="5" t="s">
        <v>72</v>
      </c>
      <c r="E966" s="5" t="s">
        <v>68</v>
      </c>
      <c r="F966" s="5">
        <v>1</v>
      </c>
      <c r="G966" s="5" t="s">
        <v>51</v>
      </c>
      <c r="H966" s="8">
        <v>2</v>
      </c>
      <c r="I966" s="8">
        <v>2</v>
      </c>
      <c r="J966" s="8">
        <v>0.5</v>
      </c>
      <c r="K966" s="8" t="s">
        <v>48</v>
      </c>
      <c r="L966" s="7" t="str">
        <f>VLOOKUP(K966, 'Alphabetical by species code'!A:B, 2, FALSE)</f>
        <v>Deinandra fasciculata</v>
      </c>
      <c r="M966" s="7" t="str">
        <f>VLOOKUP(L966, 'Alphabetical by species code'!B:C, 2, FALSE)</f>
        <v>Native</v>
      </c>
    </row>
    <row r="967" spans="1:13" ht="15.75" customHeight="1" x14ac:dyDescent="0.25">
      <c r="A967" s="7">
        <v>20</v>
      </c>
      <c r="B967" s="5">
        <v>2023</v>
      </c>
      <c r="C967" s="64">
        <v>45197</v>
      </c>
      <c r="D967" s="5" t="s">
        <v>72</v>
      </c>
      <c r="E967" s="5" t="s">
        <v>68</v>
      </c>
      <c r="F967" s="5">
        <v>1</v>
      </c>
      <c r="G967" s="5" t="s">
        <v>51</v>
      </c>
      <c r="H967" s="8">
        <v>3</v>
      </c>
      <c r="I967" s="8">
        <v>2</v>
      </c>
      <c r="J967" s="8">
        <v>1</v>
      </c>
      <c r="K967" s="8" t="s">
        <v>27</v>
      </c>
      <c r="L967" s="7" t="str">
        <f>VLOOKUP(K967, 'Alphabetical by species code'!A:B, 2, FALSE)</f>
        <v>Litter</v>
      </c>
      <c r="M967" s="7" t="str">
        <f>VLOOKUP(L967, 'Alphabetical by species code'!B:C, 2, FALSE)</f>
        <v>Ground Cover</v>
      </c>
    </row>
    <row r="968" spans="1:13" ht="15.75" customHeight="1" x14ac:dyDescent="0.25">
      <c r="A968" s="7">
        <v>20</v>
      </c>
      <c r="B968" s="5">
        <v>2023</v>
      </c>
      <c r="C968" s="64">
        <v>45197</v>
      </c>
      <c r="D968" s="5" t="s">
        <v>72</v>
      </c>
      <c r="E968" s="5" t="s">
        <v>68</v>
      </c>
      <c r="F968" s="5">
        <v>1</v>
      </c>
      <c r="G968" s="5" t="s">
        <v>51</v>
      </c>
      <c r="H968" s="8">
        <v>3</v>
      </c>
      <c r="I968" s="8">
        <v>2</v>
      </c>
      <c r="J968" s="8">
        <v>1</v>
      </c>
      <c r="K968" s="8" t="s">
        <v>50</v>
      </c>
      <c r="L968" s="7" t="e">
        <f>VLOOKUP(K968, 'Alphabetical by species code'!A:B, 2, FALSE)</f>
        <v>#N/A</v>
      </c>
      <c r="M968" s="7" t="e">
        <f>VLOOKUP(L968, 'Alphabetical by species code'!B:C, 2, FALSE)</f>
        <v>#N/A</v>
      </c>
    </row>
    <row r="969" spans="1:13" ht="15.75" customHeight="1" x14ac:dyDescent="0.25">
      <c r="A969" s="7">
        <v>20</v>
      </c>
      <c r="B969" s="7">
        <v>2023</v>
      </c>
      <c r="C969" s="65">
        <v>45197</v>
      </c>
      <c r="D969" s="5" t="s">
        <v>72</v>
      </c>
      <c r="E969" s="5" t="s">
        <v>68</v>
      </c>
      <c r="F969" s="5">
        <v>1</v>
      </c>
      <c r="G969" s="5" t="s">
        <v>51</v>
      </c>
      <c r="H969" s="7">
        <v>3</v>
      </c>
      <c r="I969" s="8">
        <v>2</v>
      </c>
      <c r="J969" s="7">
        <v>1</v>
      </c>
      <c r="K969" s="7" t="s">
        <v>48</v>
      </c>
      <c r="L969" s="7" t="str">
        <f>VLOOKUP(K969, 'Alphabetical by species code'!A:B, 2, FALSE)</f>
        <v>Deinandra fasciculata</v>
      </c>
      <c r="M969" s="7" t="str">
        <f>VLOOKUP(L969, 'Alphabetical by species code'!B:C, 2, FALSE)</f>
        <v>Native</v>
      </c>
    </row>
    <row r="970" spans="1:13" ht="15.75" customHeight="1" x14ac:dyDescent="0.25">
      <c r="A970" s="7">
        <v>20</v>
      </c>
      <c r="B970" s="7">
        <v>2023</v>
      </c>
      <c r="C970" s="65">
        <v>45197</v>
      </c>
      <c r="D970" s="5" t="s">
        <v>72</v>
      </c>
      <c r="E970" s="5" t="s">
        <v>68</v>
      </c>
      <c r="F970" s="5">
        <v>1</v>
      </c>
      <c r="G970" s="5" t="s">
        <v>51</v>
      </c>
      <c r="H970" s="7">
        <v>4</v>
      </c>
      <c r="I970" s="8">
        <v>2</v>
      </c>
      <c r="J970" s="7">
        <v>1.5</v>
      </c>
      <c r="K970" s="7" t="s">
        <v>27</v>
      </c>
      <c r="L970" s="7" t="str">
        <f>VLOOKUP(K970, 'Alphabetical by species code'!A:B, 2, FALSE)</f>
        <v>Litter</v>
      </c>
      <c r="M970" s="7" t="str">
        <f>VLOOKUP(L970, 'Alphabetical by species code'!B:C, 2, FALSE)</f>
        <v>Ground Cover</v>
      </c>
    </row>
    <row r="971" spans="1:13" ht="15.75" customHeight="1" x14ac:dyDescent="0.25">
      <c r="A971" s="7">
        <v>20</v>
      </c>
      <c r="B971" s="7">
        <v>2023</v>
      </c>
      <c r="C971" s="65">
        <v>45197</v>
      </c>
      <c r="D971" s="5" t="s">
        <v>72</v>
      </c>
      <c r="E971" s="5" t="s">
        <v>68</v>
      </c>
      <c r="F971" s="5">
        <v>1</v>
      </c>
      <c r="G971" s="5" t="s">
        <v>51</v>
      </c>
      <c r="H971" s="7">
        <v>4</v>
      </c>
      <c r="I971" s="8">
        <v>2</v>
      </c>
      <c r="J971" s="7">
        <v>1.5</v>
      </c>
      <c r="K971" s="7" t="s">
        <v>34</v>
      </c>
      <c r="L971" s="7" t="str">
        <f>VLOOKUP(K971, 'Alphabetical by species code'!A:B, 2, FALSE)</f>
        <v>Centaurea melitensis</v>
      </c>
      <c r="M971" s="7" t="str">
        <f>VLOOKUP(L971, 'Alphabetical by species code'!B:C, 2, FALSE)</f>
        <v>Non-Native</v>
      </c>
    </row>
    <row r="972" spans="1:13" ht="15.75" customHeight="1" x14ac:dyDescent="0.25">
      <c r="A972" s="7">
        <v>20</v>
      </c>
      <c r="B972" s="7">
        <v>2023</v>
      </c>
      <c r="C972" s="65">
        <v>45197</v>
      </c>
      <c r="D972" s="5" t="s">
        <v>72</v>
      </c>
      <c r="E972" s="5" t="s">
        <v>68</v>
      </c>
      <c r="F972" s="5">
        <v>1</v>
      </c>
      <c r="G972" s="5" t="s">
        <v>51</v>
      </c>
      <c r="H972" s="7">
        <v>5</v>
      </c>
      <c r="I972" s="8">
        <v>2</v>
      </c>
      <c r="J972" s="7">
        <v>2.5</v>
      </c>
      <c r="K972" s="7" t="s">
        <v>27</v>
      </c>
      <c r="L972" s="7" t="str">
        <f>VLOOKUP(K972, 'Alphabetical by species code'!A:B, 2, FALSE)</f>
        <v>Litter</v>
      </c>
      <c r="M972" s="7" t="str">
        <f>VLOOKUP(L972, 'Alphabetical by species code'!B:C, 2, FALSE)</f>
        <v>Ground Cover</v>
      </c>
    </row>
    <row r="973" spans="1:13" ht="15.75" customHeight="1" x14ac:dyDescent="0.25">
      <c r="A973" s="7">
        <v>20</v>
      </c>
      <c r="B973" s="7">
        <v>2023</v>
      </c>
      <c r="C973" s="65">
        <v>45197</v>
      </c>
      <c r="D973" s="5" t="s">
        <v>72</v>
      </c>
      <c r="E973" s="5" t="s">
        <v>68</v>
      </c>
      <c r="F973" s="5">
        <v>1</v>
      </c>
      <c r="G973" s="5" t="s">
        <v>51</v>
      </c>
      <c r="H973" s="7">
        <v>5</v>
      </c>
      <c r="I973" s="8">
        <v>2</v>
      </c>
      <c r="J973" s="7">
        <v>2.5</v>
      </c>
      <c r="K973" s="7" t="s">
        <v>48</v>
      </c>
      <c r="L973" s="7" t="str">
        <f>VLOOKUP(K973, 'Alphabetical by species code'!A:B, 2, FALSE)</f>
        <v>Deinandra fasciculata</v>
      </c>
      <c r="M973" s="7" t="str">
        <f>VLOOKUP(L973, 'Alphabetical by species code'!B:C, 2, FALSE)</f>
        <v>Native</v>
      </c>
    </row>
    <row r="974" spans="1:13" ht="15.75" customHeight="1" x14ac:dyDescent="0.25">
      <c r="A974" s="7">
        <v>20</v>
      </c>
      <c r="B974" s="7">
        <v>2023</v>
      </c>
      <c r="C974" s="65">
        <v>45197</v>
      </c>
      <c r="D974" s="5" t="s">
        <v>72</v>
      </c>
      <c r="E974" s="5" t="s">
        <v>68</v>
      </c>
      <c r="F974" s="5">
        <v>1</v>
      </c>
      <c r="G974" s="5" t="s">
        <v>51</v>
      </c>
      <c r="H974" s="7">
        <v>6</v>
      </c>
      <c r="I974" s="8">
        <v>2</v>
      </c>
      <c r="J974" s="7">
        <v>3</v>
      </c>
      <c r="K974" s="7" t="s">
        <v>27</v>
      </c>
      <c r="L974" s="7" t="str">
        <f>VLOOKUP(K974, 'Alphabetical by species code'!A:B, 2, FALSE)</f>
        <v>Litter</v>
      </c>
      <c r="M974" s="7" t="str">
        <f>VLOOKUP(L974, 'Alphabetical by species code'!B:C, 2, FALSE)</f>
        <v>Ground Cover</v>
      </c>
    </row>
    <row r="975" spans="1:13" ht="15.75" customHeight="1" x14ac:dyDescent="0.25">
      <c r="A975" s="7">
        <v>20</v>
      </c>
      <c r="B975" s="7">
        <v>2023</v>
      </c>
      <c r="C975" s="65">
        <v>45197</v>
      </c>
      <c r="D975" s="5" t="s">
        <v>72</v>
      </c>
      <c r="E975" s="5" t="s">
        <v>68</v>
      </c>
      <c r="F975" s="5">
        <v>1</v>
      </c>
      <c r="G975" s="5" t="s">
        <v>51</v>
      </c>
      <c r="H975" s="7">
        <v>6</v>
      </c>
      <c r="I975" s="8">
        <v>2</v>
      </c>
      <c r="J975" s="7">
        <v>3</v>
      </c>
      <c r="K975" s="7" t="s">
        <v>48</v>
      </c>
      <c r="L975" s="7" t="str">
        <f>VLOOKUP(K975, 'Alphabetical by species code'!A:B, 2, FALSE)</f>
        <v>Deinandra fasciculata</v>
      </c>
      <c r="M975" s="7" t="str">
        <f>VLOOKUP(L975, 'Alphabetical by species code'!B:C, 2, FALSE)</f>
        <v>Native</v>
      </c>
    </row>
    <row r="976" spans="1:13" ht="15.75" customHeight="1" x14ac:dyDescent="0.25">
      <c r="A976" s="7">
        <v>20</v>
      </c>
      <c r="B976" s="7">
        <v>2023</v>
      </c>
      <c r="C976" s="65">
        <v>45197</v>
      </c>
      <c r="D976" s="5" t="s">
        <v>72</v>
      </c>
      <c r="E976" s="5" t="s">
        <v>68</v>
      </c>
      <c r="F976" s="5">
        <v>1</v>
      </c>
      <c r="G976" s="5" t="s">
        <v>51</v>
      </c>
      <c r="H976" s="7">
        <v>7</v>
      </c>
      <c r="I976" s="8">
        <v>2</v>
      </c>
      <c r="J976" s="7">
        <v>3.5</v>
      </c>
      <c r="K976" s="7" t="s">
        <v>27</v>
      </c>
      <c r="L976" s="7" t="str">
        <f>VLOOKUP(K976, 'Alphabetical by species code'!A:B, 2, FALSE)</f>
        <v>Litter</v>
      </c>
      <c r="M976" s="7" t="str">
        <f>VLOOKUP(L976, 'Alphabetical by species code'!B:C, 2, FALSE)</f>
        <v>Ground Cover</v>
      </c>
    </row>
    <row r="977" spans="1:13" ht="15.75" customHeight="1" x14ac:dyDescent="0.25">
      <c r="A977" s="7">
        <v>20</v>
      </c>
      <c r="B977" s="7">
        <v>2023</v>
      </c>
      <c r="C977" s="65">
        <v>45197</v>
      </c>
      <c r="D977" s="5" t="s">
        <v>72</v>
      </c>
      <c r="E977" s="5" t="s">
        <v>68</v>
      </c>
      <c r="F977" s="5">
        <v>1</v>
      </c>
      <c r="G977" s="5" t="s">
        <v>51</v>
      </c>
      <c r="H977" s="7">
        <v>7</v>
      </c>
      <c r="I977" s="8">
        <v>2</v>
      </c>
      <c r="J977" s="7">
        <v>3.5</v>
      </c>
      <c r="K977" s="7" t="s">
        <v>48</v>
      </c>
      <c r="L977" s="7" t="str">
        <f>VLOOKUP(K977, 'Alphabetical by species code'!A:B, 2, FALSE)</f>
        <v>Deinandra fasciculata</v>
      </c>
      <c r="M977" s="7" t="str">
        <f>VLOOKUP(L977, 'Alphabetical by species code'!B:C, 2, FALSE)</f>
        <v>Native</v>
      </c>
    </row>
    <row r="978" spans="1:13" ht="15.75" customHeight="1" x14ac:dyDescent="0.25">
      <c r="A978" s="7">
        <v>20</v>
      </c>
      <c r="B978" s="7">
        <v>2023</v>
      </c>
      <c r="C978" s="65">
        <v>45197</v>
      </c>
      <c r="D978" s="5" t="s">
        <v>72</v>
      </c>
      <c r="E978" s="5" t="s">
        <v>68</v>
      </c>
      <c r="F978" s="5">
        <v>1</v>
      </c>
      <c r="G978" s="5" t="s">
        <v>51</v>
      </c>
      <c r="H978" s="7">
        <v>8</v>
      </c>
      <c r="I978" s="8">
        <v>2</v>
      </c>
      <c r="J978" s="7">
        <v>4</v>
      </c>
      <c r="K978" s="7" t="s">
        <v>27</v>
      </c>
      <c r="L978" s="7" t="str">
        <f>VLOOKUP(K978, 'Alphabetical by species code'!A:B, 2, FALSE)</f>
        <v>Litter</v>
      </c>
      <c r="M978" s="7" t="str">
        <f>VLOOKUP(L978, 'Alphabetical by species code'!B:C, 2, FALSE)</f>
        <v>Ground Cover</v>
      </c>
    </row>
    <row r="979" spans="1:13" ht="15.75" customHeight="1" x14ac:dyDescent="0.25">
      <c r="A979" s="7">
        <v>20</v>
      </c>
      <c r="B979" s="7">
        <v>2023</v>
      </c>
      <c r="C979" s="65">
        <v>45197</v>
      </c>
      <c r="D979" s="5" t="s">
        <v>72</v>
      </c>
      <c r="E979" s="5" t="s">
        <v>68</v>
      </c>
      <c r="F979" s="5">
        <v>1</v>
      </c>
      <c r="G979" s="5" t="s">
        <v>51</v>
      </c>
      <c r="H979" s="7">
        <v>9</v>
      </c>
      <c r="I979" s="8">
        <v>2</v>
      </c>
      <c r="J979" s="7">
        <v>4.5</v>
      </c>
      <c r="K979" s="7" t="s">
        <v>27</v>
      </c>
      <c r="L979" s="7" t="str">
        <f>VLOOKUP(K979, 'Alphabetical by species code'!A:B, 2, FALSE)</f>
        <v>Litter</v>
      </c>
      <c r="M979" s="7" t="str">
        <f>VLOOKUP(L979, 'Alphabetical by species code'!B:C, 2, FALSE)</f>
        <v>Ground Cover</v>
      </c>
    </row>
    <row r="980" spans="1:13" ht="15.75" customHeight="1" x14ac:dyDescent="0.25">
      <c r="A980" s="7">
        <v>20</v>
      </c>
      <c r="B980" s="7">
        <v>2023</v>
      </c>
      <c r="C980" s="65">
        <v>45197</v>
      </c>
      <c r="D980" s="5" t="s">
        <v>72</v>
      </c>
      <c r="E980" s="5" t="s">
        <v>68</v>
      </c>
      <c r="F980" s="5">
        <v>1</v>
      </c>
      <c r="G980" s="5" t="s">
        <v>51</v>
      </c>
      <c r="H980" s="7">
        <v>10</v>
      </c>
      <c r="I980" s="8">
        <v>2</v>
      </c>
      <c r="J980" s="7">
        <v>5</v>
      </c>
      <c r="K980" s="7" t="s">
        <v>35</v>
      </c>
      <c r="L980" s="7" t="str">
        <f>VLOOKUP(K980, 'Alphabetical by species code'!A:B, 2, FALSE)</f>
        <v>Bareground</v>
      </c>
      <c r="M980" s="7" t="str">
        <f>VLOOKUP(L980, 'Alphabetical by species code'!B:C, 2, FALSE)</f>
        <v>Ground Cover</v>
      </c>
    </row>
    <row r="981" spans="1:13" ht="15.75" customHeight="1" x14ac:dyDescent="0.25">
      <c r="A981" s="7">
        <v>20</v>
      </c>
      <c r="B981" s="7">
        <v>2023</v>
      </c>
      <c r="C981" s="65">
        <v>45197</v>
      </c>
      <c r="D981" s="5" t="s">
        <v>72</v>
      </c>
      <c r="E981" s="5" t="s">
        <v>68</v>
      </c>
      <c r="F981" s="5">
        <v>1</v>
      </c>
      <c r="G981" s="5" t="s">
        <v>51</v>
      </c>
      <c r="H981" s="7">
        <v>11</v>
      </c>
      <c r="I981" s="8">
        <v>2</v>
      </c>
      <c r="J981" s="7">
        <v>5.5</v>
      </c>
      <c r="K981" s="7" t="s">
        <v>27</v>
      </c>
      <c r="L981" s="7" t="str">
        <f>VLOOKUP(K981, 'Alphabetical by species code'!A:B, 2, FALSE)</f>
        <v>Litter</v>
      </c>
      <c r="M981" s="7" t="str">
        <f>VLOOKUP(L981, 'Alphabetical by species code'!B:C, 2, FALSE)</f>
        <v>Ground Cover</v>
      </c>
    </row>
    <row r="982" spans="1:13" ht="15.75" customHeight="1" x14ac:dyDescent="0.25">
      <c r="A982" s="7">
        <v>20</v>
      </c>
      <c r="B982" s="7">
        <v>2023</v>
      </c>
      <c r="C982" s="65">
        <v>45197</v>
      </c>
      <c r="D982" s="5" t="s">
        <v>72</v>
      </c>
      <c r="E982" s="5" t="s">
        <v>68</v>
      </c>
      <c r="F982" s="5">
        <v>1</v>
      </c>
      <c r="G982" s="5" t="s">
        <v>51</v>
      </c>
      <c r="H982" s="7">
        <v>12</v>
      </c>
      <c r="I982" s="8">
        <v>2</v>
      </c>
      <c r="J982" s="7">
        <v>6</v>
      </c>
      <c r="K982" s="7" t="s">
        <v>27</v>
      </c>
      <c r="L982" s="7" t="str">
        <f>VLOOKUP(K982, 'Alphabetical by species code'!A:B, 2, FALSE)</f>
        <v>Litter</v>
      </c>
      <c r="M982" s="7" t="str">
        <f>VLOOKUP(L982, 'Alphabetical by species code'!B:C, 2, FALSE)</f>
        <v>Ground Cover</v>
      </c>
    </row>
    <row r="983" spans="1:13" ht="15.75" customHeight="1" x14ac:dyDescent="0.25">
      <c r="A983" s="7">
        <v>20</v>
      </c>
      <c r="B983" s="7">
        <v>2023</v>
      </c>
      <c r="C983" s="65">
        <v>45197</v>
      </c>
      <c r="D983" s="5" t="s">
        <v>72</v>
      </c>
      <c r="E983" s="5" t="s">
        <v>68</v>
      </c>
      <c r="F983" s="5">
        <v>1</v>
      </c>
      <c r="G983" s="5" t="s">
        <v>51</v>
      </c>
      <c r="H983" s="7">
        <v>13</v>
      </c>
      <c r="I983" s="8">
        <v>2</v>
      </c>
      <c r="J983" s="7">
        <v>6.5</v>
      </c>
      <c r="K983" s="7" t="s">
        <v>27</v>
      </c>
      <c r="L983" s="7" t="str">
        <f>VLOOKUP(K983, 'Alphabetical by species code'!A:B, 2, FALSE)</f>
        <v>Litter</v>
      </c>
      <c r="M983" s="7" t="str">
        <f>VLOOKUP(L983, 'Alphabetical by species code'!B:C, 2, FALSE)</f>
        <v>Ground Cover</v>
      </c>
    </row>
    <row r="984" spans="1:13" ht="15.75" customHeight="1" x14ac:dyDescent="0.25">
      <c r="A984" s="7">
        <v>20</v>
      </c>
      <c r="B984" s="7">
        <v>2023</v>
      </c>
      <c r="C984" s="65">
        <v>45197</v>
      </c>
      <c r="D984" s="5" t="s">
        <v>72</v>
      </c>
      <c r="E984" s="5" t="s">
        <v>68</v>
      </c>
      <c r="F984" s="5">
        <v>1</v>
      </c>
      <c r="G984" s="5" t="s">
        <v>51</v>
      </c>
      <c r="H984" s="7">
        <v>14</v>
      </c>
      <c r="I984" s="8">
        <v>2</v>
      </c>
      <c r="J984" s="7">
        <v>7</v>
      </c>
      <c r="K984" s="7" t="s">
        <v>27</v>
      </c>
      <c r="L984" s="7" t="str">
        <f>VLOOKUP(K984, 'Alphabetical by species code'!A:B, 2, FALSE)</f>
        <v>Litter</v>
      </c>
      <c r="M984" s="7" t="str">
        <f>VLOOKUP(L984, 'Alphabetical by species code'!B:C, 2, FALSE)</f>
        <v>Ground Cover</v>
      </c>
    </row>
    <row r="985" spans="1:13" ht="15.75" customHeight="1" x14ac:dyDescent="0.25">
      <c r="A985" s="7">
        <v>20</v>
      </c>
      <c r="B985" s="7">
        <v>2023</v>
      </c>
      <c r="C985" s="65">
        <v>45197</v>
      </c>
      <c r="D985" s="5" t="s">
        <v>72</v>
      </c>
      <c r="E985" s="5" t="s">
        <v>68</v>
      </c>
      <c r="F985" s="5">
        <v>1</v>
      </c>
      <c r="G985" s="5" t="s">
        <v>51</v>
      </c>
      <c r="H985" s="7">
        <v>15</v>
      </c>
      <c r="I985" s="8">
        <v>2</v>
      </c>
      <c r="J985" s="7">
        <v>7.5</v>
      </c>
      <c r="K985" s="7" t="s">
        <v>27</v>
      </c>
      <c r="L985" s="7" t="str">
        <f>VLOOKUP(K985, 'Alphabetical by species code'!A:B, 2, FALSE)</f>
        <v>Litter</v>
      </c>
      <c r="M985" s="7" t="str">
        <f>VLOOKUP(L985, 'Alphabetical by species code'!B:C, 2, FALSE)</f>
        <v>Ground Cover</v>
      </c>
    </row>
    <row r="986" spans="1:13" ht="15.75" customHeight="1" x14ac:dyDescent="0.25">
      <c r="A986" s="7"/>
    </row>
    <row r="987" spans="1:13" ht="15.75" customHeight="1" x14ac:dyDescent="0.25"/>
    <row r="988" spans="1:13" ht="15.75" customHeight="1" x14ac:dyDescent="0.25"/>
    <row r="989" spans="1:13" ht="15.75" customHeight="1" x14ac:dyDescent="0.25"/>
    <row r="990" spans="1:13" ht="15.75" customHeight="1" x14ac:dyDescent="0.25"/>
    <row r="991" spans="1:13" ht="15.75" customHeight="1" x14ac:dyDescent="0.25"/>
    <row r="992" spans="1:13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</sheetData>
  <autoFilter ref="A1:N1779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95"/>
  <sheetViews>
    <sheetView workbookViewId="0">
      <pane ySplit="2" topLeftCell="A972" activePane="bottomLeft" state="frozen"/>
      <selection pane="bottomLeft" activeCell="B4" sqref="B4"/>
    </sheetView>
  </sheetViews>
  <sheetFormatPr defaultColWidth="12.6640625" defaultRowHeight="15" customHeight="1" x14ac:dyDescent="0.25"/>
  <cols>
    <col min="12" max="12" width="25.21875" hidden="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2" t="s">
        <v>13</v>
      </c>
      <c r="B2" s="2">
        <v>2023</v>
      </c>
      <c r="C2" s="2" t="s">
        <v>14</v>
      </c>
      <c r="D2" s="2" t="s">
        <v>15</v>
      </c>
      <c r="E2" s="2" t="s">
        <v>16</v>
      </c>
      <c r="F2" s="3">
        <v>43469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15.75" customHeight="1" x14ac:dyDescent="0.25">
      <c r="A3" s="5">
        <v>1</v>
      </c>
      <c r="B3" s="5">
        <v>2023</v>
      </c>
      <c r="C3" s="6">
        <v>45197</v>
      </c>
      <c r="D3" s="5" t="s">
        <v>24</v>
      </c>
      <c r="E3" s="5" t="s">
        <v>25</v>
      </c>
      <c r="F3" s="5">
        <v>1</v>
      </c>
      <c r="G3" s="5" t="s">
        <v>26</v>
      </c>
      <c r="H3" s="5">
        <v>1</v>
      </c>
      <c r="I3" s="5">
        <v>1</v>
      </c>
      <c r="J3" s="5">
        <v>0</v>
      </c>
      <c r="K3" s="5" t="s">
        <v>27</v>
      </c>
    </row>
    <row r="4" spans="1:13" ht="15.75" customHeight="1" x14ac:dyDescent="0.25">
      <c r="A4" s="5">
        <v>1</v>
      </c>
      <c r="B4" s="5">
        <v>2023</v>
      </c>
      <c r="C4" s="6">
        <v>45197</v>
      </c>
      <c r="D4" s="5" t="s">
        <v>24</v>
      </c>
      <c r="E4" s="5" t="s">
        <v>25</v>
      </c>
      <c r="F4" s="5">
        <v>1</v>
      </c>
      <c r="G4" s="5" t="s">
        <v>26</v>
      </c>
      <c r="H4" s="5">
        <v>1</v>
      </c>
      <c r="I4" s="5">
        <v>1</v>
      </c>
      <c r="J4" s="5">
        <v>0</v>
      </c>
      <c r="K4" s="5" t="s">
        <v>28</v>
      </c>
    </row>
    <row r="5" spans="1:13" ht="15.75" customHeight="1" x14ac:dyDescent="0.25">
      <c r="A5" s="5">
        <v>1</v>
      </c>
      <c r="B5" s="5">
        <v>2023</v>
      </c>
      <c r="C5" s="6">
        <v>45197</v>
      </c>
      <c r="D5" s="5" t="s">
        <v>24</v>
      </c>
      <c r="E5" s="5" t="s">
        <v>25</v>
      </c>
      <c r="F5" s="5">
        <v>1</v>
      </c>
      <c r="G5" s="5" t="s">
        <v>26</v>
      </c>
      <c r="H5" s="5">
        <v>2</v>
      </c>
      <c r="I5" s="5">
        <v>1</v>
      </c>
      <c r="J5" s="5">
        <v>1</v>
      </c>
      <c r="K5" s="5" t="s">
        <v>27</v>
      </c>
    </row>
    <row r="6" spans="1:13" ht="15.75" customHeight="1" x14ac:dyDescent="0.25">
      <c r="A6" s="5">
        <v>1</v>
      </c>
      <c r="B6" s="5">
        <v>2023</v>
      </c>
      <c r="C6" s="6">
        <v>45197</v>
      </c>
      <c r="D6" s="5" t="s">
        <v>24</v>
      </c>
      <c r="E6" s="5" t="s">
        <v>25</v>
      </c>
      <c r="F6" s="5">
        <v>1</v>
      </c>
      <c r="G6" s="5" t="s">
        <v>26</v>
      </c>
      <c r="H6" s="5">
        <v>2</v>
      </c>
      <c r="I6" s="5">
        <v>1</v>
      </c>
      <c r="J6" s="5">
        <v>1</v>
      </c>
      <c r="K6" s="5" t="s">
        <v>29</v>
      </c>
    </row>
    <row r="7" spans="1:13" ht="15.75" customHeight="1" x14ac:dyDescent="0.25">
      <c r="A7" s="5">
        <v>1</v>
      </c>
      <c r="B7" s="5">
        <v>2023</v>
      </c>
      <c r="C7" s="6">
        <v>45197</v>
      </c>
      <c r="D7" s="5" t="s">
        <v>24</v>
      </c>
      <c r="E7" s="5" t="s">
        <v>25</v>
      </c>
      <c r="F7" s="5">
        <v>1</v>
      </c>
      <c r="G7" s="5" t="s">
        <v>26</v>
      </c>
      <c r="H7" s="5">
        <v>2</v>
      </c>
      <c r="I7" s="5">
        <v>1</v>
      </c>
      <c r="J7" s="5">
        <v>1</v>
      </c>
      <c r="K7" s="5" t="s">
        <v>30</v>
      </c>
      <c r="M7" s="7" t="s">
        <v>31</v>
      </c>
    </row>
    <row r="8" spans="1:13" ht="15.75" customHeight="1" x14ac:dyDescent="0.25">
      <c r="A8" s="5">
        <v>1</v>
      </c>
      <c r="B8" s="5">
        <v>2023</v>
      </c>
      <c r="C8" s="6">
        <v>45197</v>
      </c>
      <c r="D8" s="5" t="s">
        <v>24</v>
      </c>
      <c r="E8" s="5" t="s">
        <v>25</v>
      </c>
      <c r="F8" s="5">
        <v>1</v>
      </c>
      <c r="G8" s="5" t="s">
        <v>26</v>
      </c>
      <c r="H8" s="5">
        <v>3</v>
      </c>
      <c r="I8" s="5">
        <v>1</v>
      </c>
      <c r="J8" s="5">
        <v>1.5</v>
      </c>
      <c r="K8" s="5" t="s">
        <v>32</v>
      </c>
    </row>
    <row r="9" spans="1:13" ht="15.75" customHeight="1" x14ac:dyDescent="0.25">
      <c r="A9" s="5">
        <v>1</v>
      </c>
      <c r="B9" s="5">
        <v>2023</v>
      </c>
      <c r="C9" s="6">
        <v>45197</v>
      </c>
      <c r="D9" s="5" t="s">
        <v>24</v>
      </c>
      <c r="E9" s="5" t="s">
        <v>25</v>
      </c>
      <c r="F9" s="5">
        <v>1</v>
      </c>
      <c r="G9" s="5" t="s">
        <v>26</v>
      </c>
      <c r="H9" s="5">
        <v>3</v>
      </c>
      <c r="I9" s="5">
        <v>1</v>
      </c>
      <c r="J9" s="5">
        <v>1.5</v>
      </c>
      <c r="K9" s="5" t="s">
        <v>28</v>
      </c>
    </row>
    <row r="10" spans="1:13" ht="15.75" customHeight="1" x14ac:dyDescent="0.25">
      <c r="A10" s="5">
        <v>1</v>
      </c>
      <c r="B10" s="5">
        <v>2023</v>
      </c>
      <c r="C10" s="6">
        <v>45197</v>
      </c>
      <c r="D10" s="5" t="s">
        <v>24</v>
      </c>
      <c r="E10" s="5" t="s">
        <v>25</v>
      </c>
      <c r="F10" s="5">
        <v>1</v>
      </c>
      <c r="G10" s="5" t="s">
        <v>26</v>
      </c>
      <c r="H10" s="5">
        <v>4</v>
      </c>
      <c r="I10" s="5">
        <v>1</v>
      </c>
      <c r="J10" s="5">
        <v>2</v>
      </c>
      <c r="K10" s="5" t="s">
        <v>27</v>
      </c>
    </row>
    <row r="11" spans="1:13" ht="15.75" customHeight="1" x14ac:dyDescent="0.25">
      <c r="A11" s="5">
        <v>1</v>
      </c>
      <c r="B11" s="5">
        <v>2023</v>
      </c>
      <c r="C11" s="6">
        <v>45197</v>
      </c>
      <c r="D11" s="5" t="s">
        <v>24</v>
      </c>
      <c r="E11" s="5" t="s">
        <v>25</v>
      </c>
      <c r="F11" s="5">
        <v>1</v>
      </c>
      <c r="G11" s="5" t="s">
        <v>26</v>
      </c>
      <c r="H11" s="5">
        <v>4</v>
      </c>
      <c r="I11" s="5">
        <v>1</v>
      </c>
      <c r="J11" s="5">
        <v>2</v>
      </c>
      <c r="K11" s="5" t="s">
        <v>28</v>
      </c>
    </row>
    <row r="12" spans="1:13" ht="15.75" customHeight="1" x14ac:dyDescent="0.25">
      <c r="A12" s="5">
        <v>1</v>
      </c>
      <c r="B12" s="5">
        <v>2023</v>
      </c>
      <c r="C12" s="6">
        <v>45197</v>
      </c>
      <c r="D12" s="5" t="s">
        <v>24</v>
      </c>
      <c r="E12" s="5" t="s">
        <v>25</v>
      </c>
      <c r="F12" s="5">
        <v>1</v>
      </c>
      <c r="G12" s="5" t="s">
        <v>26</v>
      </c>
      <c r="H12" s="5">
        <v>5</v>
      </c>
      <c r="I12" s="5">
        <v>1</v>
      </c>
      <c r="J12" s="5">
        <v>3</v>
      </c>
      <c r="K12" s="5" t="s">
        <v>32</v>
      </c>
    </row>
    <row r="13" spans="1:13" ht="15.75" customHeight="1" x14ac:dyDescent="0.25">
      <c r="A13" s="5">
        <v>1</v>
      </c>
      <c r="B13" s="5">
        <v>2023</v>
      </c>
      <c r="C13" s="6">
        <v>45197</v>
      </c>
      <c r="D13" s="5" t="s">
        <v>24</v>
      </c>
      <c r="E13" s="5" t="s">
        <v>25</v>
      </c>
      <c r="F13" s="5">
        <v>1</v>
      </c>
      <c r="G13" s="5" t="s">
        <v>26</v>
      </c>
      <c r="H13" s="5">
        <v>6</v>
      </c>
      <c r="I13" s="5">
        <v>1</v>
      </c>
      <c r="J13" s="5">
        <v>3.5</v>
      </c>
      <c r="K13" s="5" t="s">
        <v>32</v>
      </c>
    </row>
    <row r="14" spans="1:13" ht="15.75" customHeight="1" x14ac:dyDescent="0.25">
      <c r="A14" s="5">
        <v>1</v>
      </c>
      <c r="B14" s="5">
        <v>2023</v>
      </c>
      <c r="C14" s="6">
        <v>45197</v>
      </c>
      <c r="D14" s="5" t="s">
        <v>24</v>
      </c>
      <c r="E14" s="5" t="s">
        <v>25</v>
      </c>
      <c r="F14" s="5">
        <v>1</v>
      </c>
      <c r="G14" s="5" t="s">
        <v>26</v>
      </c>
      <c r="H14" s="5">
        <v>6</v>
      </c>
      <c r="I14" s="5">
        <v>1</v>
      </c>
      <c r="J14" s="5">
        <v>3.5</v>
      </c>
      <c r="K14" s="5" t="s">
        <v>30</v>
      </c>
    </row>
    <row r="15" spans="1:13" ht="15.75" customHeight="1" x14ac:dyDescent="0.25">
      <c r="A15" s="5">
        <v>1</v>
      </c>
      <c r="B15" s="5">
        <v>2023</v>
      </c>
      <c r="C15" s="6">
        <v>45197</v>
      </c>
      <c r="D15" s="5" t="s">
        <v>24</v>
      </c>
      <c r="E15" s="5" t="s">
        <v>25</v>
      </c>
      <c r="F15" s="5">
        <v>1</v>
      </c>
      <c r="G15" s="5" t="s">
        <v>26</v>
      </c>
      <c r="H15" s="5">
        <v>6</v>
      </c>
      <c r="I15" s="5">
        <v>1</v>
      </c>
      <c r="J15" s="5">
        <v>3.5</v>
      </c>
      <c r="K15" s="5" t="s">
        <v>28</v>
      </c>
    </row>
    <row r="16" spans="1:13" ht="15.75" customHeight="1" x14ac:dyDescent="0.25">
      <c r="A16" s="5">
        <v>1</v>
      </c>
      <c r="B16" s="5">
        <v>2023</v>
      </c>
      <c r="C16" s="6">
        <v>45197</v>
      </c>
      <c r="D16" s="5" t="s">
        <v>24</v>
      </c>
      <c r="E16" s="5" t="s">
        <v>25</v>
      </c>
      <c r="F16" s="5">
        <v>1</v>
      </c>
      <c r="G16" s="5" t="s">
        <v>26</v>
      </c>
      <c r="H16" s="5">
        <v>7</v>
      </c>
      <c r="I16" s="5">
        <v>1</v>
      </c>
      <c r="J16" s="5">
        <v>4</v>
      </c>
      <c r="K16" s="5" t="s">
        <v>27</v>
      </c>
    </row>
    <row r="17" spans="1:13" ht="15.75" customHeight="1" x14ac:dyDescent="0.25">
      <c r="A17" s="5">
        <v>1</v>
      </c>
      <c r="B17" s="5">
        <v>2023</v>
      </c>
      <c r="C17" s="6">
        <v>45197</v>
      </c>
      <c r="D17" s="5" t="s">
        <v>24</v>
      </c>
      <c r="E17" s="5" t="s">
        <v>25</v>
      </c>
      <c r="F17" s="5">
        <v>1</v>
      </c>
      <c r="G17" s="5" t="s">
        <v>26</v>
      </c>
      <c r="H17" s="5">
        <v>8</v>
      </c>
      <c r="I17" s="5">
        <v>1</v>
      </c>
      <c r="J17" s="5">
        <v>5</v>
      </c>
      <c r="K17" s="5" t="s">
        <v>27</v>
      </c>
    </row>
    <row r="18" spans="1:13" ht="15.75" customHeight="1" x14ac:dyDescent="0.25">
      <c r="A18" s="5">
        <v>1</v>
      </c>
      <c r="B18" s="5">
        <v>2023</v>
      </c>
      <c r="C18" s="6">
        <v>45197</v>
      </c>
      <c r="D18" s="5" t="s">
        <v>24</v>
      </c>
      <c r="E18" s="5" t="s">
        <v>25</v>
      </c>
      <c r="F18" s="5">
        <v>1</v>
      </c>
      <c r="G18" s="5" t="s">
        <v>26</v>
      </c>
      <c r="H18" s="5">
        <v>9</v>
      </c>
      <c r="I18" s="5">
        <v>1</v>
      </c>
      <c r="J18" s="5">
        <v>7</v>
      </c>
      <c r="K18" s="5" t="s">
        <v>27</v>
      </c>
    </row>
    <row r="19" spans="1:13" ht="15.75" customHeight="1" x14ac:dyDescent="0.25">
      <c r="A19" s="5">
        <v>1</v>
      </c>
      <c r="B19" s="5">
        <v>2023</v>
      </c>
      <c r="C19" s="6">
        <v>45197</v>
      </c>
      <c r="D19" s="5" t="s">
        <v>24</v>
      </c>
      <c r="E19" s="5" t="s">
        <v>25</v>
      </c>
      <c r="F19" s="5">
        <v>1</v>
      </c>
      <c r="G19" s="5" t="s">
        <v>26</v>
      </c>
      <c r="H19" s="5">
        <v>9</v>
      </c>
      <c r="I19" s="5">
        <v>1</v>
      </c>
      <c r="J19" s="5">
        <v>7</v>
      </c>
      <c r="K19" s="5" t="s">
        <v>28</v>
      </c>
    </row>
    <row r="20" spans="1:13" ht="15.75" customHeight="1" x14ac:dyDescent="0.25">
      <c r="A20" s="5">
        <v>1</v>
      </c>
      <c r="B20" s="5">
        <v>2023</v>
      </c>
      <c r="C20" s="6">
        <v>45197</v>
      </c>
      <c r="D20" s="5" t="s">
        <v>24</v>
      </c>
      <c r="E20" s="5" t="s">
        <v>25</v>
      </c>
      <c r="F20" s="5">
        <v>1</v>
      </c>
      <c r="G20" s="5" t="s">
        <v>26</v>
      </c>
      <c r="H20" s="5">
        <v>10</v>
      </c>
      <c r="I20" s="5">
        <v>1</v>
      </c>
      <c r="J20" s="5">
        <v>8</v>
      </c>
      <c r="K20" s="5" t="s">
        <v>27</v>
      </c>
      <c r="M20" s="5"/>
    </row>
    <row r="21" spans="1:13" ht="15.75" customHeight="1" x14ac:dyDescent="0.25">
      <c r="A21" s="5">
        <v>1</v>
      </c>
      <c r="B21" s="5">
        <v>2023</v>
      </c>
      <c r="C21" s="6">
        <v>45197</v>
      </c>
      <c r="D21" s="5" t="s">
        <v>24</v>
      </c>
      <c r="E21" s="5" t="s">
        <v>25</v>
      </c>
      <c r="F21" s="5">
        <v>1</v>
      </c>
      <c r="G21" s="5" t="s">
        <v>26</v>
      </c>
      <c r="H21" s="5">
        <v>10</v>
      </c>
      <c r="I21" s="5">
        <v>1</v>
      </c>
      <c r="J21" s="5">
        <v>8</v>
      </c>
      <c r="K21" s="5" t="s">
        <v>28</v>
      </c>
      <c r="M21" s="5"/>
    </row>
    <row r="22" spans="1:13" ht="15.75" customHeight="1" x14ac:dyDescent="0.25">
      <c r="A22" s="5">
        <v>1</v>
      </c>
      <c r="B22" s="5">
        <v>2023</v>
      </c>
      <c r="C22" s="6">
        <v>45197</v>
      </c>
      <c r="D22" s="5" t="s">
        <v>24</v>
      </c>
      <c r="E22" s="5" t="s">
        <v>25</v>
      </c>
      <c r="F22" s="5">
        <v>1</v>
      </c>
      <c r="G22" s="5" t="s">
        <v>26</v>
      </c>
      <c r="H22" s="5">
        <v>11</v>
      </c>
      <c r="I22" s="5">
        <v>1</v>
      </c>
      <c r="J22" s="5">
        <v>8.5</v>
      </c>
      <c r="K22" s="5" t="s">
        <v>27</v>
      </c>
    </row>
    <row r="23" spans="1:13" ht="15.75" customHeight="1" x14ac:dyDescent="0.25">
      <c r="A23" s="5">
        <v>1</v>
      </c>
      <c r="B23" s="5">
        <v>2023</v>
      </c>
      <c r="C23" s="6">
        <v>45197</v>
      </c>
      <c r="D23" s="5" t="s">
        <v>24</v>
      </c>
      <c r="E23" s="5" t="s">
        <v>25</v>
      </c>
      <c r="F23" s="5">
        <v>1</v>
      </c>
      <c r="G23" s="5" t="s">
        <v>26</v>
      </c>
      <c r="H23" s="5">
        <v>11</v>
      </c>
      <c r="I23" s="5">
        <v>1</v>
      </c>
      <c r="J23" s="5">
        <v>8.5</v>
      </c>
      <c r="K23" s="5" t="s">
        <v>28</v>
      </c>
    </row>
    <row r="24" spans="1:13" ht="15.75" customHeight="1" x14ac:dyDescent="0.25">
      <c r="A24" s="5">
        <v>1</v>
      </c>
      <c r="B24" s="5">
        <v>2023</v>
      </c>
      <c r="C24" s="6">
        <v>45197</v>
      </c>
      <c r="D24" s="5" t="s">
        <v>24</v>
      </c>
      <c r="E24" s="5" t="s">
        <v>25</v>
      </c>
      <c r="F24" s="5">
        <v>1</v>
      </c>
      <c r="G24" s="5" t="s">
        <v>26</v>
      </c>
      <c r="H24" s="5">
        <v>12</v>
      </c>
      <c r="I24" s="5">
        <v>1</v>
      </c>
      <c r="J24" s="5">
        <v>9</v>
      </c>
      <c r="K24" s="5" t="s">
        <v>27</v>
      </c>
    </row>
    <row r="25" spans="1:13" ht="15.75" customHeight="1" x14ac:dyDescent="0.25">
      <c r="A25" s="5">
        <v>1</v>
      </c>
      <c r="B25" s="5">
        <v>2023</v>
      </c>
      <c r="C25" s="6">
        <v>45197</v>
      </c>
      <c r="D25" s="5" t="s">
        <v>24</v>
      </c>
      <c r="E25" s="5" t="s">
        <v>25</v>
      </c>
      <c r="F25" s="5">
        <v>1</v>
      </c>
      <c r="G25" s="5" t="s">
        <v>26</v>
      </c>
      <c r="H25" s="5">
        <v>12</v>
      </c>
      <c r="I25" s="5">
        <v>1</v>
      </c>
      <c r="J25" s="5">
        <v>9</v>
      </c>
      <c r="K25" s="5" t="s">
        <v>28</v>
      </c>
    </row>
    <row r="26" spans="1:13" ht="15.75" customHeight="1" x14ac:dyDescent="0.25">
      <c r="A26" s="5">
        <v>1</v>
      </c>
      <c r="B26" s="5">
        <v>2023</v>
      </c>
      <c r="C26" s="6">
        <v>45197</v>
      </c>
      <c r="D26" s="5" t="s">
        <v>24</v>
      </c>
      <c r="E26" s="5" t="s">
        <v>25</v>
      </c>
      <c r="F26" s="5">
        <v>1</v>
      </c>
      <c r="G26" s="5" t="s">
        <v>26</v>
      </c>
      <c r="H26" s="5">
        <v>13</v>
      </c>
      <c r="I26" s="5">
        <v>1</v>
      </c>
      <c r="J26" s="5">
        <v>10</v>
      </c>
      <c r="K26" s="5" t="s">
        <v>27</v>
      </c>
    </row>
    <row r="27" spans="1:13" ht="15.75" customHeight="1" x14ac:dyDescent="0.25">
      <c r="A27" s="5">
        <v>1</v>
      </c>
      <c r="B27" s="5">
        <v>2023</v>
      </c>
      <c r="C27" s="6">
        <v>45197</v>
      </c>
      <c r="D27" s="5" t="s">
        <v>24</v>
      </c>
      <c r="E27" s="5" t="s">
        <v>25</v>
      </c>
      <c r="F27" s="5">
        <v>1</v>
      </c>
      <c r="G27" s="5" t="s">
        <v>26</v>
      </c>
      <c r="H27" s="5">
        <v>13</v>
      </c>
      <c r="I27" s="5">
        <v>1</v>
      </c>
      <c r="J27" s="5">
        <v>10</v>
      </c>
      <c r="K27" s="5" t="s">
        <v>28</v>
      </c>
    </row>
    <row r="28" spans="1:13" ht="15.75" customHeight="1" x14ac:dyDescent="0.25">
      <c r="A28" s="5">
        <v>1</v>
      </c>
      <c r="B28" s="5">
        <v>2023</v>
      </c>
      <c r="C28" s="6">
        <v>45197</v>
      </c>
      <c r="D28" s="5" t="s">
        <v>24</v>
      </c>
      <c r="E28" s="5" t="s">
        <v>25</v>
      </c>
      <c r="F28" s="5">
        <v>1</v>
      </c>
      <c r="G28" s="5" t="s">
        <v>26</v>
      </c>
      <c r="H28" s="5">
        <v>14</v>
      </c>
      <c r="I28" s="5">
        <v>1</v>
      </c>
      <c r="J28" s="5">
        <v>11</v>
      </c>
      <c r="K28" s="5" t="s">
        <v>27</v>
      </c>
    </row>
    <row r="29" spans="1:13" ht="15.75" customHeight="1" x14ac:dyDescent="0.25">
      <c r="A29" s="5">
        <v>1</v>
      </c>
      <c r="B29" s="5">
        <v>2023</v>
      </c>
      <c r="C29" s="6">
        <v>45197</v>
      </c>
      <c r="D29" s="5" t="s">
        <v>24</v>
      </c>
      <c r="E29" s="5" t="s">
        <v>25</v>
      </c>
      <c r="F29" s="5">
        <v>1</v>
      </c>
      <c r="G29" s="5" t="s">
        <v>26</v>
      </c>
      <c r="H29" s="5">
        <v>15</v>
      </c>
      <c r="I29" s="5">
        <v>1</v>
      </c>
      <c r="J29" s="5">
        <v>12</v>
      </c>
      <c r="K29" s="5" t="s">
        <v>27</v>
      </c>
    </row>
    <row r="30" spans="1:13" ht="15.75" customHeight="1" x14ac:dyDescent="0.25">
      <c r="A30" s="5">
        <v>1</v>
      </c>
      <c r="B30" s="5">
        <v>2023</v>
      </c>
      <c r="C30" s="6">
        <v>45197</v>
      </c>
      <c r="D30" s="5" t="s">
        <v>24</v>
      </c>
      <c r="E30" s="5" t="s">
        <v>25</v>
      </c>
      <c r="F30" s="5">
        <v>1</v>
      </c>
      <c r="G30" s="5" t="s">
        <v>26</v>
      </c>
      <c r="H30" s="5">
        <v>1</v>
      </c>
      <c r="I30" s="5">
        <v>2</v>
      </c>
      <c r="J30" s="5">
        <v>0</v>
      </c>
      <c r="K30" s="5" t="s">
        <v>27</v>
      </c>
    </row>
    <row r="31" spans="1:13" ht="15.75" customHeight="1" x14ac:dyDescent="0.25">
      <c r="A31" s="5">
        <v>1</v>
      </c>
      <c r="B31" s="5">
        <v>2023</v>
      </c>
      <c r="C31" s="6">
        <v>45197</v>
      </c>
      <c r="D31" s="5" t="s">
        <v>24</v>
      </c>
      <c r="E31" s="5" t="s">
        <v>25</v>
      </c>
      <c r="F31" s="5">
        <v>1</v>
      </c>
      <c r="G31" s="5" t="s">
        <v>26</v>
      </c>
      <c r="H31" s="5">
        <v>1</v>
      </c>
      <c r="I31" s="5">
        <v>2</v>
      </c>
      <c r="J31" s="5">
        <v>0</v>
      </c>
      <c r="K31" s="5" t="s">
        <v>33</v>
      </c>
    </row>
    <row r="32" spans="1:13" ht="15.75" customHeight="1" x14ac:dyDescent="0.25">
      <c r="A32" s="5">
        <v>1</v>
      </c>
      <c r="B32" s="5">
        <v>2023</v>
      </c>
      <c r="C32" s="6">
        <v>45197</v>
      </c>
      <c r="D32" s="5" t="s">
        <v>24</v>
      </c>
      <c r="E32" s="5" t="s">
        <v>25</v>
      </c>
      <c r="F32" s="5">
        <v>1</v>
      </c>
      <c r="G32" s="5" t="s">
        <v>26</v>
      </c>
      <c r="H32" s="5">
        <v>2</v>
      </c>
      <c r="I32" s="5">
        <v>2</v>
      </c>
      <c r="J32" s="5">
        <v>1</v>
      </c>
      <c r="K32" s="5" t="s">
        <v>27</v>
      </c>
    </row>
    <row r="33" spans="1:11" ht="15.75" customHeight="1" x14ac:dyDescent="0.25">
      <c r="A33" s="5">
        <v>1</v>
      </c>
      <c r="B33" s="5">
        <v>2023</v>
      </c>
      <c r="C33" s="6">
        <v>45197</v>
      </c>
      <c r="D33" s="5" t="s">
        <v>24</v>
      </c>
      <c r="E33" s="5" t="s">
        <v>25</v>
      </c>
      <c r="F33" s="5">
        <v>1</v>
      </c>
      <c r="G33" s="5" t="s">
        <v>26</v>
      </c>
      <c r="H33" s="5">
        <v>2</v>
      </c>
      <c r="I33" s="5">
        <v>2</v>
      </c>
      <c r="J33" s="5">
        <v>1</v>
      </c>
      <c r="K33" s="5" t="s">
        <v>33</v>
      </c>
    </row>
    <row r="34" spans="1:11" ht="15.75" customHeight="1" x14ac:dyDescent="0.25">
      <c r="A34" s="5">
        <v>1</v>
      </c>
      <c r="B34" s="5">
        <v>2023</v>
      </c>
      <c r="C34" s="6">
        <v>45197</v>
      </c>
      <c r="D34" s="5" t="s">
        <v>24</v>
      </c>
      <c r="E34" s="5" t="s">
        <v>25</v>
      </c>
      <c r="F34" s="5">
        <v>1</v>
      </c>
      <c r="G34" s="5" t="s">
        <v>26</v>
      </c>
      <c r="H34" s="5">
        <v>2</v>
      </c>
      <c r="I34" s="5">
        <v>2</v>
      </c>
      <c r="J34" s="5">
        <v>1</v>
      </c>
      <c r="K34" s="5" t="s">
        <v>28</v>
      </c>
    </row>
    <row r="35" spans="1:11" ht="15.75" customHeight="1" x14ac:dyDescent="0.25">
      <c r="A35" s="5">
        <v>1</v>
      </c>
      <c r="B35" s="5">
        <v>2023</v>
      </c>
      <c r="C35" s="6">
        <v>45197</v>
      </c>
      <c r="D35" s="5" t="s">
        <v>24</v>
      </c>
      <c r="E35" s="5" t="s">
        <v>25</v>
      </c>
      <c r="F35" s="5">
        <v>1</v>
      </c>
      <c r="G35" s="5" t="s">
        <v>26</v>
      </c>
      <c r="H35" s="5">
        <v>3</v>
      </c>
      <c r="I35" s="5">
        <v>2</v>
      </c>
      <c r="J35" s="5">
        <v>1.5</v>
      </c>
      <c r="K35" s="5" t="s">
        <v>27</v>
      </c>
    </row>
    <row r="36" spans="1:11" ht="15.75" customHeight="1" x14ac:dyDescent="0.25">
      <c r="A36" s="5">
        <v>1</v>
      </c>
      <c r="B36" s="5">
        <v>2023</v>
      </c>
      <c r="C36" s="6">
        <v>45197</v>
      </c>
      <c r="D36" s="5" t="s">
        <v>24</v>
      </c>
      <c r="E36" s="5" t="s">
        <v>25</v>
      </c>
      <c r="F36" s="5">
        <v>1</v>
      </c>
      <c r="G36" s="5" t="s">
        <v>26</v>
      </c>
      <c r="H36" s="5">
        <v>3</v>
      </c>
      <c r="I36" s="5">
        <v>2</v>
      </c>
      <c r="J36" s="5">
        <v>1.5</v>
      </c>
      <c r="K36" s="5" t="s">
        <v>28</v>
      </c>
    </row>
    <row r="37" spans="1:11" ht="15.75" customHeight="1" x14ac:dyDescent="0.25">
      <c r="A37" s="5">
        <v>1</v>
      </c>
      <c r="B37" s="5">
        <v>2023</v>
      </c>
      <c r="C37" s="6">
        <v>45197</v>
      </c>
      <c r="D37" s="5" t="s">
        <v>24</v>
      </c>
      <c r="E37" s="5" t="s">
        <v>25</v>
      </c>
      <c r="F37" s="5">
        <v>1</v>
      </c>
      <c r="G37" s="5" t="s">
        <v>26</v>
      </c>
      <c r="H37" s="5">
        <v>4</v>
      </c>
      <c r="I37" s="5">
        <v>2</v>
      </c>
      <c r="J37" s="5">
        <v>2</v>
      </c>
      <c r="K37" s="5" t="s">
        <v>27</v>
      </c>
    </row>
    <row r="38" spans="1:11" ht="15.75" customHeight="1" x14ac:dyDescent="0.25">
      <c r="A38" s="5">
        <v>1</v>
      </c>
      <c r="B38" s="5">
        <v>2023</v>
      </c>
      <c r="C38" s="6">
        <v>45197</v>
      </c>
      <c r="D38" s="5" t="s">
        <v>24</v>
      </c>
      <c r="E38" s="5" t="s">
        <v>25</v>
      </c>
      <c r="F38" s="5">
        <v>1</v>
      </c>
      <c r="G38" s="5" t="s">
        <v>26</v>
      </c>
      <c r="H38" s="5">
        <v>4</v>
      </c>
      <c r="I38" s="5">
        <v>2</v>
      </c>
      <c r="J38" s="5">
        <v>2</v>
      </c>
      <c r="K38" s="5" t="s">
        <v>28</v>
      </c>
    </row>
    <row r="39" spans="1:11" ht="15.75" customHeight="1" x14ac:dyDescent="0.25">
      <c r="A39" s="5">
        <v>1</v>
      </c>
      <c r="B39" s="5">
        <v>2023</v>
      </c>
      <c r="C39" s="6">
        <v>45197</v>
      </c>
      <c r="D39" s="5" t="s">
        <v>24</v>
      </c>
      <c r="E39" s="5" t="s">
        <v>25</v>
      </c>
      <c r="F39" s="5">
        <v>1</v>
      </c>
      <c r="G39" s="5" t="s">
        <v>26</v>
      </c>
      <c r="H39" s="5">
        <v>5</v>
      </c>
      <c r="I39" s="5">
        <v>2</v>
      </c>
      <c r="J39" s="5">
        <v>3</v>
      </c>
      <c r="K39" s="5" t="s">
        <v>27</v>
      </c>
    </row>
    <row r="40" spans="1:11" ht="15.75" customHeight="1" x14ac:dyDescent="0.25">
      <c r="A40" s="5">
        <v>1</v>
      </c>
      <c r="B40" s="5">
        <v>2023</v>
      </c>
      <c r="C40" s="6">
        <v>45197</v>
      </c>
      <c r="D40" s="5" t="s">
        <v>24</v>
      </c>
      <c r="E40" s="5" t="s">
        <v>25</v>
      </c>
      <c r="F40" s="5">
        <v>1</v>
      </c>
      <c r="G40" s="5" t="s">
        <v>26</v>
      </c>
      <c r="H40" s="5">
        <v>5</v>
      </c>
      <c r="I40" s="5">
        <v>2</v>
      </c>
      <c r="J40" s="5">
        <v>3</v>
      </c>
      <c r="K40" s="5" t="s">
        <v>28</v>
      </c>
    </row>
    <row r="41" spans="1:11" ht="15.75" customHeight="1" x14ac:dyDescent="0.25">
      <c r="A41" s="5">
        <v>1</v>
      </c>
      <c r="B41" s="5">
        <v>2023</v>
      </c>
      <c r="C41" s="6">
        <v>45197</v>
      </c>
      <c r="D41" s="5" t="s">
        <v>24</v>
      </c>
      <c r="E41" s="5" t="s">
        <v>25</v>
      </c>
      <c r="F41" s="5">
        <v>1</v>
      </c>
      <c r="G41" s="5" t="s">
        <v>26</v>
      </c>
      <c r="H41" s="5">
        <v>6</v>
      </c>
      <c r="I41" s="5">
        <v>2</v>
      </c>
      <c r="J41" s="5">
        <v>3.5</v>
      </c>
      <c r="K41" s="5" t="s">
        <v>27</v>
      </c>
    </row>
    <row r="42" spans="1:11" ht="15.75" customHeight="1" x14ac:dyDescent="0.25">
      <c r="A42" s="5">
        <v>1</v>
      </c>
      <c r="B42" s="5">
        <v>2023</v>
      </c>
      <c r="C42" s="6">
        <v>45197</v>
      </c>
      <c r="D42" s="5" t="s">
        <v>24</v>
      </c>
      <c r="E42" s="5" t="s">
        <v>25</v>
      </c>
      <c r="F42" s="5">
        <v>1</v>
      </c>
      <c r="G42" s="5" t="s">
        <v>26</v>
      </c>
      <c r="H42" s="5">
        <v>7</v>
      </c>
      <c r="I42" s="5">
        <v>2</v>
      </c>
      <c r="J42" s="5">
        <v>4</v>
      </c>
      <c r="K42" s="5" t="s">
        <v>27</v>
      </c>
    </row>
    <row r="43" spans="1:11" ht="15.75" customHeight="1" x14ac:dyDescent="0.25">
      <c r="A43" s="5">
        <v>1</v>
      </c>
      <c r="B43" s="5">
        <v>2023</v>
      </c>
      <c r="C43" s="6">
        <v>45197</v>
      </c>
      <c r="D43" s="5" t="s">
        <v>24</v>
      </c>
      <c r="E43" s="5" t="s">
        <v>25</v>
      </c>
      <c r="F43" s="5">
        <v>1</v>
      </c>
      <c r="G43" s="5" t="s">
        <v>26</v>
      </c>
      <c r="H43" s="5">
        <v>8</v>
      </c>
      <c r="I43" s="5">
        <v>2</v>
      </c>
      <c r="J43" s="5">
        <v>5</v>
      </c>
      <c r="K43" s="5" t="s">
        <v>27</v>
      </c>
    </row>
    <row r="44" spans="1:11" ht="15.75" customHeight="1" x14ac:dyDescent="0.25">
      <c r="A44" s="5">
        <v>1</v>
      </c>
      <c r="B44" s="5">
        <v>2023</v>
      </c>
      <c r="C44" s="6">
        <v>45197</v>
      </c>
      <c r="D44" s="5" t="s">
        <v>24</v>
      </c>
      <c r="E44" s="5" t="s">
        <v>25</v>
      </c>
      <c r="F44" s="5">
        <v>1</v>
      </c>
      <c r="G44" s="5" t="s">
        <v>26</v>
      </c>
      <c r="H44" s="5">
        <v>8</v>
      </c>
      <c r="I44" s="5">
        <v>2</v>
      </c>
      <c r="J44" s="5">
        <v>5</v>
      </c>
      <c r="K44" s="5" t="s">
        <v>34</v>
      </c>
    </row>
    <row r="45" spans="1:11" ht="15.75" customHeight="1" x14ac:dyDescent="0.25">
      <c r="A45" s="5">
        <v>1</v>
      </c>
      <c r="B45" s="5">
        <v>2023</v>
      </c>
      <c r="C45" s="6">
        <v>45197</v>
      </c>
      <c r="D45" s="5" t="s">
        <v>24</v>
      </c>
      <c r="E45" s="5" t="s">
        <v>25</v>
      </c>
      <c r="F45" s="5">
        <v>1</v>
      </c>
      <c r="G45" s="5" t="s">
        <v>26</v>
      </c>
      <c r="H45" s="5">
        <v>9</v>
      </c>
      <c r="I45" s="5">
        <v>2</v>
      </c>
      <c r="J45" s="5">
        <v>7</v>
      </c>
      <c r="K45" s="5" t="s">
        <v>27</v>
      </c>
    </row>
    <row r="46" spans="1:11" ht="15.75" customHeight="1" x14ac:dyDescent="0.25">
      <c r="A46" s="5">
        <v>1</v>
      </c>
      <c r="B46" s="5">
        <v>2023</v>
      </c>
      <c r="C46" s="6">
        <v>45197</v>
      </c>
      <c r="D46" s="5" t="s">
        <v>24</v>
      </c>
      <c r="E46" s="5" t="s">
        <v>25</v>
      </c>
      <c r="F46" s="5">
        <v>1</v>
      </c>
      <c r="G46" s="5" t="s">
        <v>26</v>
      </c>
      <c r="H46" s="5">
        <v>9</v>
      </c>
      <c r="I46" s="5">
        <v>2</v>
      </c>
      <c r="J46" s="5">
        <v>7</v>
      </c>
      <c r="K46" s="5" t="s">
        <v>28</v>
      </c>
    </row>
    <row r="47" spans="1:11" ht="15.75" customHeight="1" x14ac:dyDescent="0.25">
      <c r="A47" s="5">
        <v>1</v>
      </c>
      <c r="B47" s="5">
        <v>2023</v>
      </c>
      <c r="C47" s="6">
        <v>45197</v>
      </c>
      <c r="D47" s="5" t="s">
        <v>24</v>
      </c>
      <c r="E47" s="5" t="s">
        <v>25</v>
      </c>
      <c r="F47" s="5">
        <v>1</v>
      </c>
      <c r="G47" s="5" t="s">
        <v>26</v>
      </c>
      <c r="H47" s="5">
        <v>10</v>
      </c>
      <c r="I47" s="5">
        <v>2</v>
      </c>
      <c r="J47" s="5">
        <v>8</v>
      </c>
      <c r="K47" s="5" t="s">
        <v>27</v>
      </c>
    </row>
    <row r="48" spans="1:11" ht="15.75" customHeight="1" x14ac:dyDescent="0.25">
      <c r="A48" s="5">
        <v>1</v>
      </c>
      <c r="B48" s="5">
        <v>2023</v>
      </c>
      <c r="C48" s="6">
        <v>45197</v>
      </c>
      <c r="D48" s="5" t="s">
        <v>24</v>
      </c>
      <c r="E48" s="5" t="s">
        <v>25</v>
      </c>
      <c r="F48" s="5">
        <v>1</v>
      </c>
      <c r="G48" s="5" t="s">
        <v>26</v>
      </c>
      <c r="H48" s="5">
        <v>11</v>
      </c>
      <c r="I48" s="5">
        <v>2</v>
      </c>
      <c r="J48" s="5">
        <v>8.5</v>
      </c>
      <c r="K48" s="5" t="s">
        <v>35</v>
      </c>
    </row>
    <row r="49" spans="1:13" ht="15.75" customHeight="1" x14ac:dyDescent="0.25">
      <c r="A49" s="5">
        <v>1</v>
      </c>
      <c r="B49" s="5">
        <v>2023</v>
      </c>
      <c r="C49" s="6">
        <v>45197</v>
      </c>
      <c r="D49" s="5" t="s">
        <v>24</v>
      </c>
      <c r="E49" s="5" t="s">
        <v>25</v>
      </c>
      <c r="F49" s="5">
        <v>1</v>
      </c>
      <c r="G49" s="5" t="s">
        <v>26</v>
      </c>
      <c r="H49" s="5">
        <v>12</v>
      </c>
      <c r="I49" s="5">
        <v>2</v>
      </c>
      <c r="J49" s="5">
        <v>9</v>
      </c>
      <c r="K49" s="5" t="s">
        <v>35</v>
      </c>
    </row>
    <row r="50" spans="1:13" ht="15.75" customHeight="1" x14ac:dyDescent="0.25">
      <c r="A50" s="5">
        <v>1</v>
      </c>
      <c r="B50" s="5">
        <v>2023</v>
      </c>
      <c r="C50" s="6">
        <v>45197</v>
      </c>
      <c r="D50" s="5" t="s">
        <v>24</v>
      </c>
      <c r="E50" s="5" t="s">
        <v>25</v>
      </c>
      <c r="F50" s="5">
        <v>1</v>
      </c>
      <c r="G50" s="5" t="s">
        <v>26</v>
      </c>
      <c r="H50" s="5">
        <v>13</v>
      </c>
      <c r="I50" s="5">
        <v>2</v>
      </c>
      <c r="J50" s="5">
        <v>10</v>
      </c>
      <c r="K50" s="5" t="s">
        <v>27</v>
      </c>
    </row>
    <row r="51" spans="1:13" ht="15.75" customHeight="1" x14ac:dyDescent="0.25">
      <c r="A51" s="5">
        <v>1</v>
      </c>
      <c r="B51" s="5">
        <v>2023</v>
      </c>
      <c r="C51" s="6">
        <v>45197</v>
      </c>
      <c r="D51" s="5" t="s">
        <v>24</v>
      </c>
      <c r="E51" s="5" t="s">
        <v>25</v>
      </c>
      <c r="F51" s="5">
        <v>1</v>
      </c>
      <c r="G51" s="5" t="s">
        <v>26</v>
      </c>
      <c r="H51" s="5">
        <v>14</v>
      </c>
      <c r="I51" s="5">
        <v>2</v>
      </c>
      <c r="J51" s="5">
        <v>11</v>
      </c>
      <c r="K51" s="5" t="s">
        <v>27</v>
      </c>
    </row>
    <row r="52" spans="1:13" ht="15.75" customHeight="1" x14ac:dyDescent="0.25">
      <c r="A52" s="5">
        <v>1</v>
      </c>
      <c r="B52" s="5">
        <v>2023</v>
      </c>
      <c r="C52" s="6">
        <v>45197</v>
      </c>
      <c r="D52" s="5" t="s">
        <v>24</v>
      </c>
      <c r="E52" s="5" t="s">
        <v>25</v>
      </c>
      <c r="F52" s="5">
        <v>1</v>
      </c>
      <c r="G52" s="5" t="s">
        <v>26</v>
      </c>
      <c r="H52" s="5">
        <v>15</v>
      </c>
      <c r="I52" s="5">
        <v>2</v>
      </c>
      <c r="J52" s="5">
        <v>12</v>
      </c>
      <c r="K52" s="5" t="s">
        <v>27</v>
      </c>
    </row>
    <row r="53" spans="1:13" ht="15.75" customHeight="1" x14ac:dyDescent="0.25">
      <c r="A53" s="5">
        <v>2</v>
      </c>
      <c r="B53" s="5">
        <v>2023</v>
      </c>
      <c r="C53" s="6">
        <v>45197</v>
      </c>
      <c r="D53" s="5" t="s">
        <v>24</v>
      </c>
      <c r="E53" s="5" t="s">
        <v>25</v>
      </c>
      <c r="F53" s="5">
        <v>1</v>
      </c>
      <c r="G53" s="5" t="s">
        <v>36</v>
      </c>
      <c r="H53" s="5">
        <v>1</v>
      </c>
      <c r="I53" s="5">
        <v>1</v>
      </c>
      <c r="J53" s="5">
        <v>0</v>
      </c>
      <c r="K53" s="5" t="s">
        <v>27</v>
      </c>
    </row>
    <row r="54" spans="1:13" ht="15.75" customHeight="1" x14ac:dyDescent="0.25">
      <c r="A54" s="5">
        <v>2</v>
      </c>
      <c r="B54" s="5">
        <v>2023</v>
      </c>
      <c r="C54" s="6">
        <v>45197</v>
      </c>
      <c r="D54" s="5" t="s">
        <v>24</v>
      </c>
      <c r="E54" s="5" t="s">
        <v>25</v>
      </c>
      <c r="F54" s="5">
        <v>1</v>
      </c>
      <c r="G54" s="5" t="s">
        <v>36</v>
      </c>
      <c r="H54" s="5">
        <v>1</v>
      </c>
      <c r="I54" s="5">
        <v>1</v>
      </c>
      <c r="J54" s="5">
        <v>0</v>
      </c>
      <c r="K54" s="5" t="s">
        <v>28</v>
      </c>
    </row>
    <row r="55" spans="1:13" ht="15.75" customHeight="1" x14ac:dyDescent="0.25">
      <c r="A55" s="5">
        <v>2</v>
      </c>
      <c r="B55" s="5">
        <v>2023</v>
      </c>
      <c r="C55" s="6">
        <v>45197</v>
      </c>
      <c r="D55" s="5" t="s">
        <v>24</v>
      </c>
      <c r="E55" s="5" t="s">
        <v>25</v>
      </c>
      <c r="F55" s="5">
        <v>1</v>
      </c>
      <c r="G55" s="5" t="s">
        <v>36</v>
      </c>
      <c r="H55" s="5">
        <v>2</v>
      </c>
      <c r="I55" s="5">
        <v>1</v>
      </c>
      <c r="J55" s="5">
        <v>1</v>
      </c>
      <c r="K55" s="5" t="s">
        <v>27</v>
      </c>
    </row>
    <row r="56" spans="1:13" ht="15.75" customHeight="1" x14ac:dyDescent="0.25">
      <c r="A56" s="5">
        <v>2</v>
      </c>
      <c r="B56" s="5">
        <v>2023</v>
      </c>
      <c r="C56" s="6">
        <v>45197</v>
      </c>
      <c r="D56" s="5" t="s">
        <v>24</v>
      </c>
      <c r="E56" s="5" t="s">
        <v>25</v>
      </c>
      <c r="F56" s="5">
        <v>1</v>
      </c>
      <c r="G56" s="5" t="s">
        <v>36</v>
      </c>
      <c r="H56" s="5">
        <v>2</v>
      </c>
      <c r="I56" s="5">
        <v>1</v>
      </c>
      <c r="J56" s="5">
        <v>1</v>
      </c>
      <c r="K56" s="5" t="s">
        <v>28</v>
      </c>
    </row>
    <row r="57" spans="1:13" ht="15.75" customHeight="1" x14ac:dyDescent="0.25">
      <c r="A57" s="5">
        <v>2</v>
      </c>
      <c r="B57" s="5">
        <v>2023</v>
      </c>
      <c r="C57" s="6">
        <v>45197</v>
      </c>
      <c r="D57" s="5" t="s">
        <v>24</v>
      </c>
      <c r="E57" s="5" t="s">
        <v>25</v>
      </c>
      <c r="F57" s="5">
        <v>1</v>
      </c>
      <c r="G57" s="5" t="s">
        <v>36</v>
      </c>
      <c r="H57" s="5">
        <v>2</v>
      </c>
      <c r="I57" s="5">
        <v>1</v>
      </c>
      <c r="J57" s="5">
        <v>1</v>
      </c>
      <c r="K57" s="5" t="s">
        <v>34</v>
      </c>
    </row>
    <row r="58" spans="1:13" ht="15.75" customHeight="1" x14ac:dyDescent="0.25">
      <c r="A58" s="5">
        <v>2</v>
      </c>
      <c r="B58" s="5">
        <v>2023</v>
      </c>
      <c r="C58" s="6">
        <v>45197</v>
      </c>
      <c r="D58" s="5" t="s">
        <v>24</v>
      </c>
      <c r="E58" s="5" t="s">
        <v>25</v>
      </c>
      <c r="F58" s="5">
        <v>1</v>
      </c>
      <c r="G58" s="5" t="s">
        <v>36</v>
      </c>
      <c r="H58" s="5">
        <v>3</v>
      </c>
      <c r="I58" s="5">
        <v>1</v>
      </c>
      <c r="J58" s="5">
        <v>1.5</v>
      </c>
      <c r="K58" s="5" t="s">
        <v>27</v>
      </c>
    </row>
    <row r="59" spans="1:13" ht="15.75" customHeight="1" x14ac:dyDescent="0.25">
      <c r="A59" s="5">
        <v>2</v>
      </c>
      <c r="B59" s="5">
        <v>2023</v>
      </c>
      <c r="C59" s="6">
        <v>45197</v>
      </c>
      <c r="D59" s="5" t="s">
        <v>24</v>
      </c>
      <c r="E59" s="5" t="s">
        <v>25</v>
      </c>
      <c r="F59" s="5">
        <v>1</v>
      </c>
      <c r="G59" s="5" t="s">
        <v>36</v>
      </c>
      <c r="H59" s="5">
        <v>3</v>
      </c>
      <c r="I59" s="5">
        <v>1</v>
      </c>
      <c r="J59" s="5">
        <v>1.5</v>
      </c>
      <c r="K59" s="5" t="s">
        <v>28</v>
      </c>
    </row>
    <row r="60" spans="1:13" ht="15.75" customHeight="1" x14ac:dyDescent="0.25">
      <c r="A60" s="5">
        <v>2</v>
      </c>
      <c r="B60" s="5">
        <v>2023</v>
      </c>
      <c r="C60" s="6">
        <v>45197</v>
      </c>
      <c r="D60" s="5" t="s">
        <v>24</v>
      </c>
      <c r="E60" s="5" t="s">
        <v>25</v>
      </c>
      <c r="F60" s="5">
        <v>1</v>
      </c>
      <c r="G60" s="5" t="s">
        <v>36</v>
      </c>
      <c r="H60" s="5">
        <v>4</v>
      </c>
      <c r="I60" s="5">
        <v>1</v>
      </c>
      <c r="J60" s="5">
        <v>2</v>
      </c>
      <c r="K60" s="5" t="s">
        <v>27</v>
      </c>
    </row>
    <row r="61" spans="1:13" ht="15.75" customHeight="1" x14ac:dyDescent="0.25">
      <c r="A61" s="5">
        <v>2</v>
      </c>
      <c r="B61" s="5">
        <v>2023</v>
      </c>
      <c r="C61" s="6">
        <v>45197</v>
      </c>
      <c r="D61" s="5" t="s">
        <v>24</v>
      </c>
      <c r="E61" s="5" t="s">
        <v>25</v>
      </c>
      <c r="F61" s="5">
        <v>1</v>
      </c>
      <c r="G61" s="5" t="s">
        <v>36</v>
      </c>
      <c r="H61" s="5">
        <v>4</v>
      </c>
      <c r="I61" s="5">
        <v>1</v>
      </c>
      <c r="J61" s="5">
        <v>2</v>
      </c>
      <c r="K61" s="5" t="s">
        <v>28</v>
      </c>
    </row>
    <row r="62" spans="1:13" ht="15.75" customHeight="1" x14ac:dyDescent="0.25">
      <c r="A62" s="5">
        <v>2</v>
      </c>
      <c r="B62" s="5">
        <v>2023</v>
      </c>
      <c r="C62" s="6">
        <v>45197</v>
      </c>
      <c r="D62" s="5" t="s">
        <v>24</v>
      </c>
      <c r="E62" s="5" t="s">
        <v>25</v>
      </c>
      <c r="F62" s="5">
        <v>1</v>
      </c>
      <c r="G62" s="5" t="s">
        <v>36</v>
      </c>
      <c r="H62" s="5">
        <v>4</v>
      </c>
      <c r="I62" s="5">
        <v>1</v>
      </c>
      <c r="J62" s="5">
        <v>2</v>
      </c>
      <c r="K62" s="5" t="s">
        <v>37</v>
      </c>
      <c r="M62" s="7" t="s">
        <v>75</v>
      </c>
    </row>
    <row r="63" spans="1:13" ht="15.75" customHeight="1" x14ac:dyDescent="0.25">
      <c r="A63" s="5">
        <v>2</v>
      </c>
      <c r="B63" s="5">
        <v>2023</v>
      </c>
      <c r="C63" s="6">
        <v>45197</v>
      </c>
      <c r="D63" s="5" t="s">
        <v>24</v>
      </c>
      <c r="E63" s="5" t="s">
        <v>25</v>
      </c>
      <c r="F63" s="5">
        <v>1</v>
      </c>
      <c r="G63" s="5" t="s">
        <v>36</v>
      </c>
      <c r="H63" s="5">
        <v>5</v>
      </c>
      <c r="I63" s="5">
        <v>1</v>
      </c>
      <c r="J63" s="5">
        <v>3</v>
      </c>
      <c r="K63" s="5" t="s">
        <v>27</v>
      </c>
    </row>
    <row r="64" spans="1:13" ht="15.75" customHeight="1" x14ac:dyDescent="0.25">
      <c r="A64" s="5">
        <v>2</v>
      </c>
      <c r="B64" s="5">
        <v>2023</v>
      </c>
      <c r="C64" s="6">
        <v>45197</v>
      </c>
      <c r="D64" s="5" t="s">
        <v>24</v>
      </c>
      <c r="E64" s="5" t="s">
        <v>25</v>
      </c>
      <c r="F64" s="5">
        <v>1</v>
      </c>
      <c r="G64" s="5" t="s">
        <v>36</v>
      </c>
      <c r="H64" s="5">
        <v>5</v>
      </c>
      <c r="I64" s="5">
        <v>1</v>
      </c>
      <c r="J64" s="5">
        <v>3</v>
      </c>
      <c r="K64" s="5" t="s">
        <v>28</v>
      </c>
      <c r="M64" s="7"/>
    </row>
    <row r="65" spans="1:13" ht="15.75" customHeight="1" x14ac:dyDescent="0.25">
      <c r="A65" s="5">
        <v>2</v>
      </c>
      <c r="B65" s="5">
        <v>2023</v>
      </c>
      <c r="C65" s="6">
        <v>45197</v>
      </c>
      <c r="D65" s="5" t="s">
        <v>24</v>
      </c>
      <c r="E65" s="5" t="s">
        <v>25</v>
      </c>
      <c r="F65" s="5">
        <v>1</v>
      </c>
      <c r="G65" s="5" t="s">
        <v>36</v>
      </c>
      <c r="H65" s="5">
        <v>6</v>
      </c>
      <c r="I65" s="5">
        <v>1</v>
      </c>
      <c r="J65" s="5">
        <v>3.5</v>
      </c>
      <c r="K65" s="5" t="s">
        <v>27</v>
      </c>
    </row>
    <row r="66" spans="1:13" ht="15.75" customHeight="1" x14ac:dyDescent="0.25">
      <c r="A66" s="5">
        <v>2</v>
      </c>
      <c r="B66" s="5">
        <v>2023</v>
      </c>
      <c r="C66" s="6">
        <v>45197</v>
      </c>
      <c r="D66" s="5" t="s">
        <v>24</v>
      </c>
      <c r="E66" s="5" t="s">
        <v>25</v>
      </c>
      <c r="F66" s="5">
        <v>1</v>
      </c>
      <c r="G66" s="5" t="s">
        <v>36</v>
      </c>
      <c r="H66" s="5">
        <v>6</v>
      </c>
      <c r="I66" s="5">
        <v>1</v>
      </c>
      <c r="J66" s="5">
        <v>3.5</v>
      </c>
      <c r="K66" s="5" t="s">
        <v>37</v>
      </c>
    </row>
    <row r="67" spans="1:13" ht="15.75" customHeight="1" x14ac:dyDescent="0.25">
      <c r="A67" s="5">
        <v>2</v>
      </c>
      <c r="B67" s="5">
        <v>2023</v>
      </c>
      <c r="C67" s="6">
        <v>45197</v>
      </c>
      <c r="D67" s="5" t="s">
        <v>24</v>
      </c>
      <c r="E67" s="5" t="s">
        <v>25</v>
      </c>
      <c r="F67" s="5">
        <v>1</v>
      </c>
      <c r="G67" s="5" t="s">
        <v>36</v>
      </c>
      <c r="H67" s="5">
        <v>7</v>
      </c>
      <c r="I67" s="5">
        <v>1</v>
      </c>
      <c r="J67" s="5">
        <v>4</v>
      </c>
      <c r="K67" s="5" t="s">
        <v>35</v>
      </c>
    </row>
    <row r="68" spans="1:13" ht="15.75" customHeight="1" x14ac:dyDescent="0.25">
      <c r="A68" s="5">
        <v>2</v>
      </c>
      <c r="B68" s="5">
        <v>2023</v>
      </c>
      <c r="C68" s="6">
        <v>45197</v>
      </c>
      <c r="D68" s="5" t="s">
        <v>24</v>
      </c>
      <c r="E68" s="5" t="s">
        <v>25</v>
      </c>
      <c r="F68" s="5">
        <v>1</v>
      </c>
      <c r="G68" s="5" t="s">
        <v>36</v>
      </c>
      <c r="H68" s="5">
        <v>8</v>
      </c>
      <c r="I68" s="5">
        <v>1</v>
      </c>
      <c r="J68" s="5">
        <v>5</v>
      </c>
      <c r="K68" s="5" t="s">
        <v>27</v>
      </c>
    </row>
    <row r="69" spans="1:13" ht="15.75" customHeight="1" x14ac:dyDescent="0.25">
      <c r="A69" s="5">
        <v>2</v>
      </c>
      <c r="B69" s="5">
        <v>2023</v>
      </c>
      <c r="C69" s="6">
        <v>45197</v>
      </c>
      <c r="D69" s="5" t="s">
        <v>24</v>
      </c>
      <c r="E69" s="5" t="s">
        <v>25</v>
      </c>
      <c r="F69" s="5">
        <v>1</v>
      </c>
      <c r="G69" s="5" t="s">
        <v>36</v>
      </c>
      <c r="H69" s="5">
        <v>8</v>
      </c>
      <c r="I69" s="5">
        <v>1</v>
      </c>
      <c r="J69" s="5">
        <v>5</v>
      </c>
      <c r="K69" s="5" t="s">
        <v>30</v>
      </c>
      <c r="M69" s="7" t="s">
        <v>76</v>
      </c>
    </row>
    <row r="70" spans="1:13" ht="15.75" customHeight="1" x14ac:dyDescent="0.25">
      <c r="A70" s="5">
        <v>2</v>
      </c>
      <c r="B70" s="5">
        <v>2023</v>
      </c>
      <c r="C70" s="6">
        <v>45197</v>
      </c>
      <c r="D70" s="5" t="s">
        <v>24</v>
      </c>
      <c r="E70" s="5" t="s">
        <v>25</v>
      </c>
      <c r="F70" s="5">
        <v>1</v>
      </c>
      <c r="G70" s="5" t="s">
        <v>36</v>
      </c>
      <c r="H70" s="5">
        <v>9</v>
      </c>
      <c r="I70" s="5">
        <v>1</v>
      </c>
      <c r="J70" s="5">
        <v>7</v>
      </c>
      <c r="K70" s="5" t="s">
        <v>27</v>
      </c>
    </row>
    <row r="71" spans="1:13" ht="15.75" customHeight="1" x14ac:dyDescent="0.25">
      <c r="A71" s="5">
        <v>2</v>
      </c>
      <c r="B71" s="5">
        <v>2023</v>
      </c>
      <c r="C71" s="6">
        <v>45197</v>
      </c>
      <c r="D71" s="5" t="s">
        <v>24</v>
      </c>
      <c r="E71" s="5" t="s">
        <v>25</v>
      </c>
      <c r="F71" s="5">
        <v>1</v>
      </c>
      <c r="G71" s="5" t="s">
        <v>36</v>
      </c>
      <c r="H71" s="5">
        <v>9</v>
      </c>
      <c r="I71" s="5">
        <v>1</v>
      </c>
      <c r="J71" s="5">
        <v>7</v>
      </c>
      <c r="K71" s="5" t="s">
        <v>28</v>
      </c>
    </row>
    <row r="72" spans="1:13" ht="15.75" customHeight="1" x14ac:dyDescent="0.25">
      <c r="A72" s="5">
        <v>2</v>
      </c>
      <c r="B72" s="5">
        <v>2023</v>
      </c>
      <c r="C72" s="6">
        <v>45197</v>
      </c>
      <c r="D72" s="5" t="s">
        <v>24</v>
      </c>
      <c r="E72" s="5" t="s">
        <v>25</v>
      </c>
      <c r="F72" s="5">
        <v>1</v>
      </c>
      <c r="G72" s="5" t="s">
        <v>36</v>
      </c>
      <c r="H72" s="5">
        <v>10</v>
      </c>
      <c r="I72" s="5">
        <v>1</v>
      </c>
      <c r="J72" s="5">
        <v>8</v>
      </c>
      <c r="K72" s="5" t="s">
        <v>27</v>
      </c>
    </row>
    <row r="73" spans="1:13" ht="15.75" customHeight="1" x14ac:dyDescent="0.25">
      <c r="A73" s="5">
        <v>2</v>
      </c>
      <c r="B73" s="5">
        <v>2023</v>
      </c>
      <c r="C73" s="6">
        <v>45197</v>
      </c>
      <c r="D73" s="5" t="s">
        <v>24</v>
      </c>
      <c r="E73" s="5" t="s">
        <v>25</v>
      </c>
      <c r="F73" s="5">
        <v>1</v>
      </c>
      <c r="G73" s="5" t="s">
        <v>36</v>
      </c>
      <c r="H73" s="5">
        <v>11</v>
      </c>
      <c r="I73" s="5">
        <v>1</v>
      </c>
      <c r="J73" s="5">
        <v>8.5</v>
      </c>
      <c r="K73" s="5" t="s">
        <v>27</v>
      </c>
    </row>
    <row r="74" spans="1:13" ht="15.75" customHeight="1" x14ac:dyDescent="0.25">
      <c r="A74" s="5">
        <v>2</v>
      </c>
      <c r="B74" s="5">
        <v>2023</v>
      </c>
      <c r="C74" s="6">
        <v>45197</v>
      </c>
      <c r="D74" s="5" t="s">
        <v>24</v>
      </c>
      <c r="E74" s="5" t="s">
        <v>25</v>
      </c>
      <c r="F74" s="5">
        <v>1</v>
      </c>
      <c r="G74" s="5" t="s">
        <v>36</v>
      </c>
      <c r="H74" s="5">
        <v>11</v>
      </c>
      <c r="I74" s="5">
        <v>1</v>
      </c>
      <c r="J74" s="5">
        <v>8.5</v>
      </c>
      <c r="K74" s="5" t="s">
        <v>28</v>
      </c>
    </row>
    <row r="75" spans="1:13" ht="15.75" customHeight="1" x14ac:dyDescent="0.25">
      <c r="A75" s="5">
        <v>2</v>
      </c>
      <c r="B75" s="5">
        <v>2023</v>
      </c>
      <c r="C75" s="6">
        <v>45197</v>
      </c>
      <c r="D75" s="5" t="s">
        <v>24</v>
      </c>
      <c r="E75" s="5" t="s">
        <v>25</v>
      </c>
      <c r="F75" s="5">
        <v>1</v>
      </c>
      <c r="G75" s="5" t="s">
        <v>36</v>
      </c>
      <c r="H75" s="5">
        <v>12</v>
      </c>
      <c r="I75" s="5">
        <v>1</v>
      </c>
      <c r="J75" s="5">
        <v>9</v>
      </c>
      <c r="K75" s="5" t="s">
        <v>27</v>
      </c>
    </row>
    <row r="76" spans="1:13" ht="15.75" customHeight="1" x14ac:dyDescent="0.25">
      <c r="A76" s="5">
        <v>2</v>
      </c>
      <c r="B76" s="5">
        <v>2023</v>
      </c>
      <c r="C76" s="6">
        <v>45197</v>
      </c>
      <c r="D76" s="5" t="s">
        <v>24</v>
      </c>
      <c r="E76" s="5" t="s">
        <v>25</v>
      </c>
      <c r="F76" s="5">
        <v>1</v>
      </c>
      <c r="G76" s="5" t="s">
        <v>36</v>
      </c>
      <c r="H76" s="5">
        <v>12</v>
      </c>
      <c r="I76" s="5">
        <v>1</v>
      </c>
      <c r="J76" s="5">
        <v>9</v>
      </c>
      <c r="K76" s="5" t="s">
        <v>40</v>
      </c>
      <c r="M76" s="7" t="s">
        <v>77</v>
      </c>
    </row>
    <row r="77" spans="1:13" ht="15.75" customHeight="1" x14ac:dyDescent="0.25">
      <c r="A77" s="5">
        <v>2</v>
      </c>
      <c r="B77" s="5">
        <v>2023</v>
      </c>
      <c r="C77" s="6">
        <v>45197</v>
      </c>
      <c r="D77" s="5" t="s">
        <v>24</v>
      </c>
      <c r="E77" s="5" t="s">
        <v>25</v>
      </c>
      <c r="F77" s="5">
        <v>1</v>
      </c>
      <c r="G77" s="5" t="s">
        <v>36</v>
      </c>
      <c r="H77" s="5">
        <v>13</v>
      </c>
      <c r="I77" s="5">
        <v>1</v>
      </c>
      <c r="J77" s="5">
        <v>10</v>
      </c>
      <c r="K77" s="5" t="s">
        <v>35</v>
      </c>
    </row>
    <row r="78" spans="1:13" ht="15.75" customHeight="1" x14ac:dyDescent="0.25">
      <c r="A78" s="5">
        <v>2</v>
      </c>
      <c r="B78" s="5">
        <v>2023</v>
      </c>
      <c r="C78" s="6">
        <v>45197</v>
      </c>
      <c r="D78" s="5" t="s">
        <v>24</v>
      </c>
      <c r="E78" s="5" t="s">
        <v>25</v>
      </c>
      <c r="F78" s="5">
        <v>1</v>
      </c>
      <c r="G78" s="5" t="s">
        <v>36</v>
      </c>
      <c r="H78" s="5">
        <v>13</v>
      </c>
      <c r="I78" s="5">
        <v>1</v>
      </c>
      <c r="J78" s="5">
        <v>10</v>
      </c>
      <c r="K78" s="5" t="s">
        <v>42</v>
      </c>
    </row>
    <row r="79" spans="1:13" ht="15.75" customHeight="1" x14ac:dyDescent="0.25">
      <c r="A79" s="5">
        <v>2</v>
      </c>
      <c r="B79" s="5">
        <v>2023</v>
      </c>
      <c r="C79" s="6">
        <v>45197</v>
      </c>
      <c r="D79" s="5" t="s">
        <v>24</v>
      </c>
      <c r="E79" s="5" t="s">
        <v>25</v>
      </c>
      <c r="F79" s="5">
        <v>1</v>
      </c>
      <c r="G79" s="5" t="s">
        <v>36</v>
      </c>
      <c r="H79" s="5">
        <v>14</v>
      </c>
      <c r="I79" s="5">
        <v>1</v>
      </c>
      <c r="J79" s="5">
        <v>11</v>
      </c>
      <c r="K79" s="5" t="s">
        <v>35</v>
      </c>
    </row>
    <row r="80" spans="1:13" ht="15.75" customHeight="1" x14ac:dyDescent="0.25">
      <c r="A80" s="5">
        <v>2</v>
      </c>
      <c r="B80" s="5">
        <v>2023</v>
      </c>
      <c r="C80" s="6">
        <v>45197</v>
      </c>
      <c r="D80" s="5" t="s">
        <v>24</v>
      </c>
      <c r="E80" s="5" t="s">
        <v>25</v>
      </c>
      <c r="F80" s="5">
        <v>1</v>
      </c>
      <c r="G80" s="5" t="s">
        <v>36</v>
      </c>
      <c r="H80" s="5">
        <v>15</v>
      </c>
      <c r="I80" s="5">
        <v>1</v>
      </c>
      <c r="J80" s="5">
        <v>12</v>
      </c>
      <c r="K80" s="5" t="s">
        <v>27</v>
      </c>
    </row>
    <row r="81" spans="1:13" ht="15.75" customHeight="1" x14ac:dyDescent="0.25">
      <c r="A81" s="5">
        <v>2</v>
      </c>
      <c r="B81" s="5">
        <v>2023</v>
      </c>
      <c r="C81" s="6">
        <v>45197</v>
      </c>
      <c r="D81" s="5" t="s">
        <v>24</v>
      </c>
      <c r="E81" s="5" t="s">
        <v>25</v>
      </c>
      <c r="F81" s="5">
        <v>1</v>
      </c>
      <c r="G81" s="5" t="s">
        <v>36</v>
      </c>
      <c r="H81" s="5">
        <v>1</v>
      </c>
      <c r="I81" s="5">
        <v>2</v>
      </c>
      <c r="J81" s="5">
        <v>0</v>
      </c>
      <c r="K81" s="5" t="s">
        <v>35</v>
      </c>
    </row>
    <row r="82" spans="1:13" ht="15.75" customHeight="1" x14ac:dyDescent="0.25">
      <c r="A82" s="5">
        <v>2</v>
      </c>
      <c r="B82" s="5">
        <v>2023</v>
      </c>
      <c r="C82" s="6">
        <v>45197</v>
      </c>
      <c r="D82" s="5" t="s">
        <v>24</v>
      </c>
      <c r="E82" s="5" t="s">
        <v>25</v>
      </c>
      <c r="F82" s="5">
        <v>1</v>
      </c>
      <c r="G82" s="5" t="s">
        <v>36</v>
      </c>
      <c r="H82" s="5">
        <v>1</v>
      </c>
      <c r="I82" s="5">
        <v>2</v>
      </c>
      <c r="J82" s="5">
        <v>0</v>
      </c>
      <c r="K82" s="5" t="s">
        <v>28</v>
      </c>
    </row>
    <row r="83" spans="1:13" ht="15.75" customHeight="1" x14ac:dyDescent="0.25">
      <c r="A83" s="5">
        <v>2</v>
      </c>
      <c r="B83" s="5">
        <v>2023</v>
      </c>
      <c r="C83" s="6">
        <v>45197</v>
      </c>
      <c r="D83" s="5" t="s">
        <v>24</v>
      </c>
      <c r="E83" s="5" t="s">
        <v>25</v>
      </c>
      <c r="F83" s="5">
        <v>1</v>
      </c>
      <c r="G83" s="5" t="s">
        <v>36</v>
      </c>
      <c r="H83" s="5">
        <v>1</v>
      </c>
      <c r="I83" s="5">
        <v>2</v>
      </c>
      <c r="J83" s="5">
        <v>0</v>
      </c>
      <c r="K83" s="5" t="s">
        <v>37</v>
      </c>
    </row>
    <row r="84" spans="1:13" ht="15.75" customHeight="1" x14ac:dyDescent="0.25">
      <c r="A84" s="5">
        <v>2</v>
      </c>
      <c r="B84" s="5">
        <v>2023</v>
      </c>
      <c r="C84" s="6">
        <v>45197</v>
      </c>
      <c r="D84" s="5" t="s">
        <v>24</v>
      </c>
      <c r="E84" s="5" t="s">
        <v>25</v>
      </c>
      <c r="F84" s="5">
        <v>1</v>
      </c>
      <c r="G84" s="5" t="s">
        <v>36</v>
      </c>
      <c r="H84" s="5">
        <v>2</v>
      </c>
      <c r="I84" s="5">
        <v>2</v>
      </c>
      <c r="J84" s="5">
        <v>1</v>
      </c>
      <c r="K84" s="5" t="s">
        <v>32</v>
      </c>
      <c r="M84" s="5"/>
    </row>
    <row r="85" spans="1:13" ht="15.75" customHeight="1" x14ac:dyDescent="0.25">
      <c r="A85" s="5">
        <v>2</v>
      </c>
      <c r="B85" s="5">
        <v>2023</v>
      </c>
      <c r="C85" s="6">
        <v>45197</v>
      </c>
      <c r="D85" s="5" t="s">
        <v>24</v>
      </c>
      <c r="E85" s="5" t="s">
        <v>25</v>
      </c>
      <c r="F85" s="5">
        <v>1</v>
      </c>
      <c r="G85" s="5" t="s">
        <v>36</v>
      </c>
      <c r="H85" s="5">
        <v>2</v>
      </c>
      <c r="I85" s="5">
        <v>2</v>
      </c>
      <c r="J85" s="5">
        <v>1</v>
      </c>
      <c r="K85" s="5" t="s">
        <v>28</v>
      </c>
    </row>
    <row r="86" spans="1:13" ht="15.75" customHeight="1" x14ac:dyDescent="0.25">
      <c r="A86" s="5">
        <v>2</v>
      </c>
      <c r="B86" s="5">
        <v>2023</v>
      </c>
      <c r="C86" s="6">
        <v>45197</v>
      </c>
      <c r="D86" s="5" t="s">
        <v>24</v>
      </c>
      <c r="E86" s="5" t="s">
        <v>25</v>
      </c>
      <c r="F86" s="5">
        <v>1</v>
      </c>
      <c r="G86" s="5" t="s">
        <v>36</v>
      </c>
      <c r="H86" s="5">
        <v>3</v>
      </c>
      <c r="I86" s="5">
        <v>2</v>
      </c>
      <c r="J86" s="5">
        <v>1.5</v>
      </c>
      <c r="K86" s="5" t="s">
        <v>27</v>
      </c>
    </row>
    <row r="87" spans="1:13" ht="15.75" customHeight="1" x14ac:dyDescent="0.25">
      <c r="A87" s="5">
        <v>2</v>
      </c>
      <c r="B87" s="5">
        <v>2023</v>
      </c>
      <c r="C87" s="6">
        <v>45197</v>
      </c>
      <c r="D87" s="5" t="s">
        <v>24</v>
      </c>
      <c r="E87" s="5" t="s">
        <v>25</v>
      </c>
      <c r="F87" s="5">
        <v>1</v>
      </c>
      <c r="G87" s="5" t="s">
        <v>36</v>
      </c>
      <c r="H87" s="5">
        <v>4</v>
      </c>
      <c r="I87" s="5">
        <v>2</v>
      </c>
      <c r="J87" s="5">
        <v>2</v>
      </c>
      <c r="K87" s="5" t="s">
        <v>27</v>
      </c>
    </row>
    <row r="88" spans="1:13" ht="15.75" customHeight="1" x14ac:dyDescent="0.25">
      <c r="A88" s="5">
        <v>2</v>
      </c>
      <c r="B88" s="5">
        <v>2023</v>
      </c>
      <c r="C88" s="6">
        <v>45197</v>
      </c>
      <c r="D88" s="5" t="s">
        <v>24</v>
      </c>
      <c r="E88" s="5" t="s">
        <v>25</v>
      </c>
      <c r="F88" s="5">
        <v>1</v>
      </c>
      <c r="G88" s="5" t="s">
        <v>36</v>
      </c>
      <c r="H88" s="5">
        <v>4</v>
      </c>
      <c r="I88" s="5">
        <v>2</v>
      </c>
      <c r="J88" s="5">
        <v>2</v>
      </c>
      <c r="K88" s="5" t="s">
        <v>30</v>
      </c>
    </row>
    <row r="89" spans="1:13" ht="15.75" customHeight="1" x14ac:dyDescent="0.25">
      <c r="A89" s="5">
        <v>2</v>
      </c>
      <c r="B89" s="5">
        <v>2023</v>
      </c>
      <c r="C89" s="6">
        <v>45197</v>
      </c>
      <c r="D89" s="5" t="s">
        <v>24</v>
      </c>
      <c r="E89" s="5" t="s">
        <v>25</v>
      </c>
      <c r="F89" s="5">
        <v>1</v>
      </c>
      <c r="G89" s="5" t="s">
        <v>36</v>
      </c>
      <c r="H89" s="5">
        <v>5</v>
      </c>
      <c r="I89" s="5">
        <v>2</v>
      </c>
      <c r="J89" s="5">
        <v>3</v>
      </c>
      <c r="K89" s="5" t="s">
        <v>27</v>
      </c>
    </row>
    <row r="90" spans="1:13" ht="15.75" customHeight="1" x14ac:dyDescent="0.25">
      <c r="A90" s="5">
        <v>2</v>
      </c>
      <c r="B90" s="5">
        <v>2023</v>
      </c>
      <c r="C90" s="6">
        <v>45197</v>
      </c>
      <c r="D90" s="5" t="s">
        <v>24</v>
      </c>
      <c r="E90" s="5" t="s">
        <v>25</v>
      </c>
      <c r="F90" s="5">
        <v>1</v>
      </c>
      <c r="G90" s="5" t="s">
        <v>36</v>
      </c>
      <c r="H90" s="5">
        <v>5</v>
      </c>
      <c r="I90" s="5">
        <v>2</v>
      </c>
      <c r="J90" s="5">
        <v>3</v>
      </c>
      <c r="K90" s="5" t="s">
        <v>43</v>
      </c>
    </row>
    <row r="91" spans="1:13" ht="15.75" customHeight="1" x14ac:dyDescent="0.25">
      <c r="A91" s="5">
        <v>2</v>
      </c>
      <c r="B91" s="5">
        <v>2023</v>
      </c>
      <c r="C91" s="6">
        <v>45197</v>
      </c>
      <c r="D91" s="5" t="s">
        <v>24</v>
      </c>
      <c r="E91" s="5" t="s">
        <v>25</v>
      </c>
      <c r="F91" s="5">
        <v>1</v>
      </c>
      <c r="G91" s="5" t="s">
        <v>36</v>
      </c>
      <c r="H91" s="7">
        <v>6</v>
      </c>
      <c r="I91" s="5">
        <v>2</v>
      </c>
      <c r="J91" s="5">
        <v>3.5</v>
      </c>
      <c r="K91" s="5" t="s">
        <v>35</v>
      </c>
    </row>
    <row r="92" spans="1:13" ht="15.75" customHeight="1" x14ac:dyDescent="0.25">
      <c r="A92" s="5">
        <v>2</v>
      </c>
      <c r="B92" s="5">
        <v>2023</v>
      </c>
      <c r="C92" s="6">
        <v>45197</v>
      </c>
      <c r="D92" s="5" t="s">
        <v>24</v>
      </c>
      <c r="E92" s="5" t="s">
        <v>25</v>
      </c>
      <c r="F92" s="5">
        <v>1</v>
      </c>
      <c r="G92" s="5" t="s">
        <v>36</v>
      </c>
      <c r="H92" s="5">
        <v>6</v>
      </c>
      <c r="I92" s="5">
        <v>2</v>
      </c>
      <c r="J92" s="5">
        <v>3.5</v>
      </c>
      <c r="K92" s="5" t="s">
        <v>44</v>
      </c>
    </row>
    <row r="93" spans="1:13" ht="15.75" customHeight="1" x14ac:dyDescent="0.25">
      <c r="A93" s="5">
        <v>2</v>
      </c>
      <c r="B93" s="5">
        <v>2023</v>
      </c>
      <c r="C93" s="6">
        <v>45197</v>
      </c>
      <c r="D93" s="5" t="s">
        <v>24</v>
      </c>
      <c r="E93" s="5" t="s">
        <v>25</v>
      </c>
      <c r="F93" s="5">
        <v>1</v>
      </c>
      <c r="G93" s="5" t="s">
        <v>36</v>
      </c>
      <c r="H93" s="5">
        <v>7</v>
      </c>
      <c r="I93" s="5">
        <v>2</v>
      </c>
      <c r="J93" s="5">
        <v>4</v>
      </c>
      <c r="K93" s="5" t="s">
        <v>27</v>
      </c>
    </row>
    <row r="94" spans="1:13" ht="15.75" customHeight="1" x14ac:dyDescent="0.25">
      <c r="A94" s="5">
        <v>2</v>
      </c>
      <c r="B94" s="5">
        <v>2023</v>
      </c>
      <c r="C94" s="6">
        <v>45197</v>
      </c>
      <c r="D94" s="5" t="s">
        <v>24</v>
      </c>
      <c r="E94" s="5" t="s">
        <v>25</v>
      </c>
      <c r="F94" s="5">
        <v>1</v>
      </c>
      <c r="G94" s="5" t="s">
        <v>36</v>
      </c>
      <c r="H94" s="5">
        <v>7</v>
      </c>
      <c r="I94" s="5">
        <v>2</v>
      </c>
      <c r="J94" s="5">
        <v>4</v>
      </c>
      <c r="K94" s="5" t="s">
        <v>28</v>
      </c>
    </row>
    <row r="95" spans="1:13" ht="15.75" customHeight="1" x14ac:dyDescent="0.25">
      <c r="A95" s="5">
        <v>2</v>
      </c>
      <c r="B95" s="5">
        <v>2023</v>
      </c>
      <c r="C95" s="6">
        <v>45197</v>
      </c>
      <c r="D95" s="5" t="s">
        <v>24</v>
      </c>
      <c r="E95" s="5" t="s">
        <v>25</v>
      </c>
      <c r="F95" s="5">
        <v>1</v>
      </c>
      <c r="G95" s="5" t="s">
        <v>36</v>
      </c>
      <c r="H95" s="5">
        <v>8</v>
      </c>
      <c r="I95" s="5">
        <v>2</v>
      </c>
      <c r="J95" s="5">
        <v>5</v>
      </c>
      <c r="K95" s="5" t="s">
        <v>27</v>
      </c>
    </row>
    <row r="96" spans="1:13" ht="15.75" customHeight="1" x14ac:dyDescent="0.25">
      <c r="A96" s="5">
        <v>2</v>
      </c>
      <c r="B96" s="5">
        <v>2023</v>
      </c>
      <c r="C96" s="6">
        <v>45197</v>
      </c>
      <c r="D96" s="5" t="s">
        <v>24</v>
      </c>
      <c r="E96" s="5" t="s">
        <v>25</v>
      </c>
      <c r="F96" s="5">
        <v>1</v>
      </c>
      <c r="G96" s="5" t="s">
        <v>36</v>
      </c>
      <c r="H96" s="5">
        <v>8</v>
      </c>
      <c r="I96" s="5">
        <v>2</v>
      </c>
      <c r="J96" s="5">
        <v>5</v>
      </c>
      <c r="K96" s="5" t="s">
        <v>28</v>
      </c>
    </row>
    <row r="97" spans="1:13" ht="15.75" customHeight="1" x14ac:dyDescent="0.25">
      <c r="A97" s="5">
        <v>2</v>
      </c>
      <c r="B97" s="5">
        <v>2023</v>
      </c>
      <c r="C97" s="6">
        <v>45197</v>
      </c>
      <c r="D97" s="5" t="s">
        <v>24</v>
      </c>
      <c r="E97" s="5" t="s">
        <v>25</v>
      </c>
      <c r="F97" s="5">
        <v>1</v>
      </c>
      <c r="G97" s="5" t="s">
        <v>36</v>
      </c>
      <c r="H97" s="5">
        <v>9</v>
      </c>
      <c r="I97" s="5">
        <v>2</v>
      </c>
      <c r="J97" s="5">
        <v>7</v>
      </c>
      <c r="K97" s="5" t="s">
        <v>35</v>
      </c>
    </row>
    <row r="98" spans="1:13" ht="15.75" customHeight="1" x14ac:dyDescent="0.25">
      <c r="A98" s="5">
        <v>2</v>
      </c>
      <c r="B98" s="5">
        <v>2023</v>
      </c>
      <c r="C98" s="6">
        <v>45197</v>
      </c>
      <c r="D98" s="5" t="s">
        <v>24</v>
      </c>
      <c r="E98" s="5" t="s">
        <v>25</v>
      </c>
      <c r="F98" s="5">
        <v>1</v>
      </c>
      <c r="G98" s="5" t="s">
        <v>36</v>
      </c>
      <c r="H98" s="5">
        <v>10</v>
      </c>
      <c r="I98" s="5">
        <v>2</v>
      </c>
      <c r="J98" s="5">
        <v>8</v>
      </c>
      <c r="K98" s="5" t="s">
        <v>27</v>
      </c>
    </row>
    <row r="99" spans="1:13" ht="15.75" customHeight="1" x14ac:dyDescent="0.25">
      <c r="A99" s="5">
        <v>2</v>
      </c>
      <c r="B99" s="5">
        <v>2023</v>
      </c>
      <c r="C99" s="6">
        <v>45197</v>
      </c>
      <c r="D99" s="5" t="s">
        <v>24</v>
      </c>
      <c r="E99" s="5" t="s">
        <v>25</v>
      </c>
      <c r="F99" s="5">
        <v>1</v>
      </c>
      <c r="G99" s="5" t="s">
        <v>36</v>
      </c>
      <c r="H99" s="5">
        <v>11</v>
      </c>
      <c r="I99" s="5">
        <v>2</v>
      </c>
      <c r="J99" s="5">
        <v>8.5</v>
      </c>
      <c r="K99" s="5" t="s">
        <v>35</v>
      </c>
    </row>
    <row r="100" spans="1:13" ht="15.75" customHeight="1" x14ac:dyDescent="0.25">
      <c r="A100" s="5">
        <v>2</v>
      </c>
      <c r="B100" s="5">
        <v>2023</v>
      </c>
      <c r="C100" s="12">
        <v>45197</v>
      </c>
      <c r="D100" s="5" t="s">
        <v>24</v>
      </c>
      <c r="E100" s="5" t="s">
        <v>25</v>
      </c>
      <c r="F100" s="5">
        <v>1</v>
      </c>
      <c r="G100" s="5" t="s">
        <v>36</v>
      </c>
      <c r="H100" s="5">
        <v>11</v>
      </c>
      <c r="I100" s="5">
        <v>2</v>
      </c>
      <c r="J100" s="5">
        <v>8.5</v>
      </c>
      <c r="K100" s="5" t="s">
        <v>40</v>
      </c>
    </row>
    <row r="101" spans="1:13" ht="15.75" customHeight="1" x14ac:dyDescent="0.25">
      <c r="A101" s="5">
        <v>2</v>
      </c>
      <c r="B101" s="5">
        <v>2023</v>
      </c>
      <c r="C101" s="12">
        <v>45197</v>
      </c>
      <c r="D101" s="5" t="s">
        <v>24</v>
      </c>
      <c r="E101" s="5" t="s">
        <v>25</v>
      </c>
      <c r="F101" s="5">
        <v>1</v>
      </c>
      <c r="G101" s="5" t="s">
        <v>36</v>
      </c>
      <c r="H101" s="5">
        <v>12</v>
      </c>
      <c r="I101" s="5">
        <v>2</v>
      </c>
      <c r="J101" s="5">
        <v>9</v>
      </c>
      <c r="K101" s="5" t="s">
        <v>27</v>
      </c>
    </row>
    <row r="102" spans="1:13" ht="15.75" customHeight="1" x14ac:dyDescent="0.25">
      <c r="A102" s="5">
        <v>2</v>
      </c>
      <c r="B102" s="5">
        <v>2023</v>
      </c>
      <c r="C102" s="12">
        <v>45197</v>
      </c>
      <c r="D102" s="5" t="s">
        <v>24</v>
      </c>
      <c r="E102" s="5" t="s">
        <v>25</v>
      </c>
      <c r="F102" s="5">
        <v>1</v>
      </c>
      <c r="G102" s="5" t="s">
        <v>36</v>
      </c>
      <c r="H102" s="5">
        <v>12</v>
      </c>
      <c r="I102" s="5">
        <v>2</v>
      </c>
      <c r="J102" s="5">
        <v>9</v>
      </c>
      <c r="K102" s="5" t="s">
        <v>34</v>
      </c>
    </row>
    <row r="103" spans="1:13" ht="15.75" customHeight="1" x14ac:dyDescent="0.25">
      <c r="A103" s="5">
        <v>2</v>
      </c>
      <c r="B103" s="5">
        <v>2023</v>
      </c>
      <c r="C103" s="12">
        <v>45197</v>
      </c>
      <c r="D103" s="5" t="s">
        <v>24</v>
      </c>
      <c r="E103" s="5" t="s">
        <v>25</v>
      </c>
      <c r="F103" s="5">
        <v>1</v>
      </c>
      <c r="G103" s="5" t="s">
        <v>36</v>
      </c>
      <c r="H103" s="5">
        <v>12</v>
      </c>
      <c r="I103" s="5">
        <v>2</v>
      </c>
      <c r="J103" s="5">
        <v>9</v>
      </c>
      <c r="K103" s="5" t="s">
        <v>40</v>
      </c>
      <c r="M103" s="7" t="s">
        <v>78</v>
      </c>
    </row>
    <row r="104" spans="1:13" ht="15.75" customHeight="1" x14ac:dyDescent="0.25">
      <c r="A104" s="5">
        <v>2</v>
      </c>
      <c r="B104" s="5">
        <v>2023</v>
      </c>
      <c r="C104" s="12">
        <v>45197</v>
      </c>
      <c r="D104" s="5" t="s">
        <v>24</v>
      </c>
      <c r="E104" s="5" t="s">
        <v>25</v>
      </c>
      <c r="F104" s="5">
        <v>1</v>
      </c>
      <c r="G104" s="5" t="s">
        <v>36</v>
      </c>
      <c r="H104" s="5">
        <v>13</v>
      </c>
      <c r="I104" s="5">
        <v>2</v>
      </c>
      <c r="J104" s="5">
        <v>10</v>
      </c>
      <c r="K104" s="5" t="s">
        <v>35</v>
      </c>
    </row>
    <row r="105" spans="1:13" ht="15.75" customHeight="1" x14ac:dyDescent="0.25">
      <c r="A105" s="5">
        <v>2</v>
      </c>
      <c r="B105" s="5">
        <v>2023</v>
      </c>
      <c r="C105" s="12">
        <v>45197</v>
      </c>
      <c r="D105" s="5" t="s">
        <v>24</v>
      </c>
      <c r="E105" s="5" t="s">
        <v>25</v>
      </c>
      <c r="F105" s="5">
        <v>1</v>
      </c>
      <c r="G105" s="5" t="s">
        <v>36</v>
      </c>
      <c r="H105" s="5">
        <v>14</v>
      </c>
      <c r="I105" s="5">
        <v>2</v>
      </c>
      <c r="J105" s="5">
        <v>11</v>
      </c>
      <c r="K105" s="5" t="s">
        <v>27</v>
      </c>
    </row>
    <row r="106" spans="1:13" ht="15.75" customHeight="1" x14ac:dyDescent="0.25">
      <c r="A106" s="5">
        <v>2</v>
      </c>
      <c r="B106" s="5">
        <v>2023</v>
      </c>
      <c r="C106" s="12">
        <v>45197</v>
      </c>
      <c r="D106" s="5" t="s">
        <v>24</v>
      </c>
      <c r="E106" s="5" t="s">
        <v>25</v>
      </c>
      <c r="F106" s="5">
        <v>1</v>
      </c>
      <c r="G106" s="5" t="s">
        <v>36</v>
      </c>
      <c r="H106" s="5">
        <v>15</v>
      </c>
      <c r="I106" s="5">
        <v>2</v>
      </c>
      <c r="J106" s="5">
        <v>12</v>
      </c>
      <c r="K106" s="5" t="s">
        <v>27</v>
      </c>
    </row>
    <row r="107" spans="1:13" ht="15.75" customHeight="1" x14ac:dyDescent="0.25">
      <c r="A107" s="5">
        <v>2</v>
      </c>
      <c r="B107" s="5">
        <v>2023</v>
      </c>
      <c r="C107" s="12">
        <v>45197</v>
      </c>
      <c r="D107" s="5" t="s">
        <v>24</v>
      </c>
      <c r="E107" s="5" t="s">
        <v>25</v>
      </c>
      <c r="F107" s="5">
        <v>1</v>
      </c>
      <c r="G107" s="5" t="s">
        <v>36</v>
      </c>
      <c r="H107" s="5">
        <v>15</v>
      </c>
      <c r="I107" s="5">
        <v>2</v>
      </c>
      <c r="J107" s="5">
        <v>12</v>
      </c>
      <c r="K107" s="5" t="s">
        <v>29</v>
      </c>
    </row>
    <row r="108" spans="1:13" ht="15.75" customHeight="1" x14ac:dyDescent="0.25">
      <c r="A108" s="5">
        <v>3</v>
      </c>
      <c r="B108" s="5">
        <v>2023</v>
      </c>
      <c r="C108" s="6">
        <v>45203</v>
      </c>
      <c r="D108" s="5" t="s">
        <v>24</v>
      </c>
      <c r="E108" s="5" t="s">
        <v>25</v>
      </c>
      <c r="F108" s="5">
        <v>1</v>
      </c>
      <c r="G108" s="5" t="s">
        <v>46</v>
      </c>
      <c r="H108" s="5">
        <v>1</v>
      </c>
      <c r="I108" s="5">
        <v>1</v>
      </c>
      <c r="J108" s="5">
        <v>0</v>
      </c>
      <c r="K108" s="5" t="s">
        <v>35</v>
      </c>
    </row>
    <row r="109" spans="1:13" ht="15.75" customHeight="1" x14ac:dyDescent="0.25">
      <c r="A109" s="5">
        <v>3</v>
      </c>
      <c r="B109" s="5">
        <v>2023</v>
      </c>
      <c r="C109" s="6">
        <v>45203</v>
      </c>
      <c r="D109" s="5" t="s">
        <v>24</v>
      </c>
      <c r="E109" s="5" t="s">
        <v>25</v>
      </c>
      <c r="F109" s="5">
        <v>1</v>
      </c>
      <c r="G109" s="5" t="s">
        <v>46</v>
      </c>
      <c r="H109" s="5">
        <v>1</v>
      </c>
      <c r="I109" s="5">
        <v>1</v>
      </c>
      <c r="J109" s="5">
        <v>0</v>
      </c>
      <c r="K109" s="5" t="s">
        <v>28</v>
      </c>
    </row>
    <row r="110" spans="1:13" ht="15.75" customHeight="1" x14ac:dyDescent="0.25">
      <c r="A110" s="5">
        <v>3</v>
      </c>
      <c r="B110" s="5">
        <v>2023</v>
      </c>
      <c r="C110" s="6">
        <v>45203</v>
      </c>
      <c r="D110" s="5" t="s">
        <v>24</v>
      </c>
      <c r="E110" s="5" t="s">
        <v>25</v>
      </c>
      <c r="F110" s="5">
        <v>1</v>
      </c>
      <c r="G110" s="5" t="s">
        <v>46</v>
      </c>
      <c r="H110" s="5">
        <v>2</v>
      </c>
      <c r="I110" s="5">
        <v>1</v>
      </c>
      <c r="J110" s="5">
        <v>0.5</v>
      </c>
      <c r="K110" s="5" t="s">
        <v>27</v>
      </c>
    </row>
    <row r="111" spans="1:13" ht="15.75" customHeight="1" x14ac:dyDescent="0.25">
      <c r="A111" s="5">
        <v>3</v>
      </c>
      <c r="B111" s="5">
        <v>2023</v>
      </c>
      <c r="C111" s="6">
        <v>45203</v>
      </c>
      <c r="D111" s="5" t="s">
        <v>24</v>
      </c>
      <c r="E111" s="5" t="s">
        <v>25</v>
      </c>
      <c r="F111" s="5">
        <v>1</v>
      </c>
      <c r="G111" s="5" t="s">
        <v>46</v>
      </c>
      <c r="H111" s="5">
        <v>2</v>
      </c>
      <c r="I111" s="5">
        <v>1</v>
      </c>
      <c r="J111" s="5">
        <v>0.5</v>
      </c>
      <c r="K111" s="5" t="s">
        <v>28</v>
      </c>
    </row>
    <row r="112" spans="1:13" ht="15.75" customHeight="1" x14ac:dyDescent="0.25">
      <c r="A112" s="5">
        <v>3</v>
      </c>
      <c r="B112" s="5">
        <v>2023</v>
      </c>
      <c r="C112" s="6">
        <v>45203</v>
      </c>
      <c r="D112" s="5" t="s">
        <v>24</v>
      </c>
      <c r="E112" s="5" t="s">
        <v>25</v>
      </c>
      <c r="F112" s="5">
        <v>1</v>
      </c>
      <c r="G112" s="5" t="s">
        <v>46</v>
      </c>
      <c r="H112" s="5">
        <v>3</v>
      </c>
      <c r="I112" s="5">
        <v>1</v>
      </c>
      <c r="J112" s="5">
        <v>1</v>
      </c>
      <c r="K112" s="5" t="s">
        <v>27</v>
      </c>
    </row>
    <row r="113" spans="1:11" ht="15.75" customHeight="1" x14ac:dyDescent="0.25">
      <c r="A113" s="5">
        <v>3</v>
      </c>
      <c r="B113" s="5">
        <v>2023</v>
      </c>
      <c r="C113" s="6">
        <v>45203</v>
      </c>
      <c r="D113" s="5" t="s">
        <v>24</v>
      </c>
      <c r="E113" s="5" t="s">
        <v>25</v>
      </c>
      <c r="F113" s="5">
        <v>1</v>
      </c>
      <c r="G113" s="5" t="s">
        <v>46</v>
      </c>
      <c r="H113" s="5">
        <v>3</v>
      </c>
      <c r="I113" s="5">
        <v>1</v>
      </c>
      <c r="J113" s="5">
        <v>1</v>
      </c>
      <c r="K113" s="5" t="s">
        <v>28</v>
      </c>
    </row>
    <row r="114" spans="1:11" ht="15.75" customHeight="1" x14ac:dyDescent="0.25">
      <c r="A114" s="5">
        <v>3</v>
      </c>
      <c r="B114" s="5">
        <v>2023</v>
      </c>
      <c r="C114" s="6">
        <v>45203</v>
      </c>
      <c r="D114" s="5" t="s">
        <v>24</v>
      </c>
      <c r="E114" s="5" t="s">
        <v>25</v>
      </c>
      <c r="F114" s="5">
        <v>1</v>
      </c>
      <c r="G114" s="5" t="s">
        <v>46</v>
      </c>
      <c r="H114" s="5">
        <v>4</v>
      </c>
      <c r="I114" s="5">
        <v>1</v>
      </c>
      <c r="J114" s="5">
        <v>1.5</v>
      </c>
      <c r="K114" s="5" t="s">
        <v>27</v>
      </c>
    </row>
    <row r="115" spans="1:11" ht="15.75" customHeight="1" x14ac:dyDescent="0.25">
      <c r="A115" s="5">
        <v>3</v>
      </c>
      <c r="B115" s="5">
        <v>2023</v>
      </c>
      <c r="C115" s="6">
        <v>45203</v>
      </c>
      <c r="D115" s="5" t="s">
        <v>24</v>
      </c>
      <c r="E115" s="5" t="s">
        <v>25</v>
      </c>
      <c r="F115" s="5">
        <v>1</v>
      </c>
      <c r="G115" s="5" t="s">
        <v>46</v>
      </c>
      <c r="H115" s="5">
        <v>4</v>
      </c>
      <c r="I115" s="5">
        <v>1</v>
      </c>
      <c r="J115" s="5">
        <v>1.5</v>
      </c>
      <c r="K115" s="5" t="s">
        <v>28</v>
      </c>
    </row>
    <row r="116" spans="1:11" ht="15.75" customHeight="1" x14ac:dyDescent="0.25">
      <c r="A116" s="5">
        <v>3</v>
      </c>
      <c r="B116" s="5">
        <v>2023</v>
      </c>
      <c r="C116" s="6">
        <v>45203</v>
      </c>
      <c r="D116" s="5" t="s">
        <v>24</v>
      </c>
      <c r="E116" s="5" t="s">
        <v>25</v>
      </c>
      <c r="F116" s="5">
        <v>1</v>
      </c>
      <c r="G116" s="5" t="s">
        <v>46</v>
      </c>
      <c r="H116" s="5">
        <v>5</v>
      </c>
      <c r="I116" s="5">
        <v>1</v>
      </c>
      <c r="J116" s="5">
        <v>2</v>
      </c>
      <c r="K116" s="5" t="s">
        <v>27</v>
      </c>
    </row>
    <row r="117" spans="1:11" ht="15.75" customHeight="1" x14ac:dyDescent="0.25">
      <c r="A117" s="5">
        <v>3</v>
      </c>
      <c r="B117" s="5">
        <v>2023</v>
      </c>
      <c r="C117" s="6">
        <v>45203</v>
      </c>
      <c r="D117" s="5" t="s">
        <v>24</v>
      </c>
      <c r="E117" s="5" t="s">
        <v>25</v>
      </c>
      <c r="F117" s="5">
        <v>1</v>
      </c>
      <c r="G117" s="5" t="s">
        <v>46</v>
      </c>
      <c r="H117" s="5">
        <v>5</v>
      </c>
      <c r="I117" s="5">
        <v>1</v>
      </c>
      <c r="J117" s="5">
        <v>2</v>
      </c>
      <c r="K117" s="5" t="s">
        <v>28</v>
      </c>
    </row>
    <row r="118" spans="1:11" ht="15.75" customHeight="1" x14ac:dyDescent="0.25">
      <c r="A118" s="5">
        <v>3</v>
      </c>
      <c r="B118" s="5">
        <v>2023</v>
      </c>
      <c r="C118" s="6">
        <v>45203</v>
      </c>
      <c r="D118" s="5" t="s">
        <v>24</v>
      </c>
      <c r="E118" s="5" t="s">
        <v>25</v>
      </c>
      <c r="F118" s="5">
        <v>1</v>
      </c>
      <c r="G118" s="5" t="s">
        <v>46</v>
      </c>
      <c r="H118" s="5">
        <v>5</v>
      </c>
      <c r="I118" s="5">
        <v>1</v>
      </c>
      <c r="J118" s="5">
        <v>2</v>
      </c>
      <c r="K118" s="5" t="s">
        <v>34</v>
      </c>
    </row>
    <row r="119" spans="1:11" ht="15.75" customHeight="1" x14ac:dyDescent="0.25">
      <c r="A119" s="5">
        <v>3</v>
      </c>
      <c r="B119" s="5">
        <v>2023</v>
      </c>
      <c r="C119" s="6">
        <v>45203</v>
      </c>
      <c r="D119" s="5" t="s">
        <v>24</v>
      </c>
      <c r="E119" s="5" t="s">
        <v>25</v>
      </c>
      <c r="F119" s="5">
        <v>1</v>
      </c>
      <c r="G119" s="5" t="s">
        <v>46</v>
      </c>
      <c r="H119" s="5">
        <v>6</v>
      </c>
      <c r="I119" s="5">
        <v>1</v>
      </c>
      <c r="J119" s="5">
        <v>2.5</v>
      </c>
      <c r="K119" s="5" t="s">
        <v>27</v>
      </c>
    </row>
    <row r="120" spans="1:11" ht="15.75" customHeight="1" x14ac:dyDescent="0.25">
      <c r="A120" s="5">
        <v>3</v>
      </c>
      <c r="B120" s="5">
        <v>2023</v>
      </c>
      <c r="C120" s="6">
        <v>45203</v>
      </c>
      <c r="D120" s="5" t="s">
        <v>24</v>
      </c>
      <c r="E120" s="5" t="s">
        <v>25</v>
      </c>
      <c r="F120" s="5">
        <v>1</v>
      </c>
      <c r="G120" s="5" t="s">
        <v>46</v>
      </c>
      <c r="H120" s="5">
        <v>6</v>
      </c>
      <c r="I120" s="5">
        <v>1</v>
      </c>
      <c r="J120" s="5">
        <v>2.5</v>
      </c>
      <c r="K120" s="5" t="s">
        <v>28</v>
      </c>
    </row>
    <row r="121" spans="1:11" ht="15.75" customHeight="1" x14ac:dyDescent="0.25">
      <c r="A121" s="5">
        <v>3</v>
      </c>
      <c r="B121" s="5">
        <v>2023</v>
      </c>
      <c r="C121" s="6">
        <v>45203</v>
      </c>
      <c r="D121" s="5" t="s">
        <v>24</v>
      </c>
      <c r="E121" s="5" t="s">
        <v>25</v>
      </c>
      <c r="F121" s="5">
        <v>1</v>
      </c>
      <c r="G121" s="5" t="s">
        <v>46</v>
      </c>
      <c r="H121" s="5">
        <v>6</v>
      </c>
      <c r="I121" s="5">
        <v>1</v>
      </c>
      <c r="J121" s="5">
        <v>2.5</v>
      </c>
      <c r="K121" s="5" t="s">
        <v>29</v>
      </c>
    </row>
    <row r="122" spans="1:11" ht="15.75" customHeight="1" x14ac:dyDescent="0.25">
      <c r="A122" s="5">
        <v>3</v>
      </c>
      <c r="B122" s="5">
        <v>2023</v>
      </c>
      <c r="C122" s="6">
        <v>45203</v>
      </c>
      <c r="D122" s="5" t="s">
        <v>24</v>
      </c>
      <c r="E122" s="5" t="s">
        <v>25</v>
      </c>
      <c r="F122" s="5">
        <v>1</v>
      </c>
      <c r="G122" s="5" t="s">
        <v>46</v>
      </c>
      <c r="H122" s="5">
        <v>7</v>
      </c>
      <c r="I122" s="5">
        <v>1</v>
      </c>
      <c r="J122" s="5">
        <v>3</v>
      </c>
      <c r="K122" s="5" t="s">
        <v>27</v>
      </c>
    </row>
    <row r="123" spans="1:11" ht="15.75" customHeight="1" x14ac:dyDescent="0.25">
      <c r="A123" s="5">
        <v>3</v>
      </c>
      <c r="B123" s="5">
        <v>2023</v>
      </c>
      <c r="C123" s="6">
        <v>45203</v>
      </c>
      <c r="D123" s="5" t="s">
        <v>24</v>
      </c>
      <c r="E123" s="5" t="s">
        <v>25</v>
      </c>
      <c r="F123" s="5">
        <v>1</v>
      </c>
      <c r="G123" s="5" t="s">
        <v>46</v>
      </c>
      <c r="H123" s="5">
        <v>7</v>
      </c>
      <c r="I123" s="5">
        <v>1</v>
      </c>
      <c r="J123" s="5">
        <v>3</v>
      </c>
      <c r="K123" s="5" t="s">
        <v>29</v>
      </c>
    </row>
    <row r="124" spans="1:11" ht="15.75" customHeight="1" x14ac:dyDescent="0.25">
      <c r="A124" s="5">
        <v>3</v>
      </c>
      <c r="B124" s="5">
        <v>2023</v>
      </c>
      <c r="C124" s="6">
        <v>45203</v>
      </c>
      <c r="D124" s="5" t="s">
        <v>24</v>
      </c>
      <c r="E124" s="5" t="s">
        <v>25</v>
      </c>
      <c r="F124" s="5">
        <v>1</v>
      </c>
      <c r="G124" s="5" t="s">
        <v>46</v>
      </c>
      <c r="H124" s="5">
        <v>8</v>
      </c>
      <c r="I124" s="5">
        <v>1</v>
      </c>
      <c r="J124" s="5">
        <v>3.5</v>
      </c>
      <c r="K124" s="5" t="s">
        <v>32</v>
      </c>
    </row>
    <row r="125" spans="1:11" ht="15.75" customHeight="1" x14ac:dyDescent="0.25">
      <c r="A125" s="5">
        <v>3</v>
      </c>
      <c r="B125" s="5">
        <v>2023</v>
      </c>
      <c r="C125" s="6">
        <v>45203</v>
      </c>
      <c r="D125" s="5" t="s">
        <v>24</v>
      </c>
      <c r="E125" s="5" t="s">
        <v>25</v>
      </c>
      <c r="F125" s="5">
        <v>1</v>
      </c>
      <c r="G125" s="5" t="s">
        <v>46</v>
      </c>
      <c r="H125" s="5">
        <v>9</v>
      </c>
      <c r="I125" s="5">
        <v>1</v>
      </c>
      <c r="J125" s="5">
        <v>4</v>
      </c>
      <c r="K125" s="5" t="s">
        <v>27</v>
      </c>
    </row>
    <row r="126" spans="1:11" ht="15.75" customHeight="1" x14ac:dyDescent="0.25">
      <c r="A126" s="5">
        <v>3</v>
      </c>
      <c r="B126" s="5">
        <v>2023</v>
      </c>
      <c r="C126" s="6">
        <v>45203</v>
      </c>
      <c r="D126" s="5" t="s">
        <v>24</v>
      </c>
      <c r="E126" s="5" t="s">
        <v>25</v>
      </c>
      <c r="F126" s="5">
        <v>1</v>
      </c>
      <c r="G126" s="5" t="s">
        <v>46</v>
      </c>
      <c r="H126" s="5">
        <v>10</v>
      </c>
      <c r="I126" s="5">
        <v>1</v>
      </c>
      <c r="J126" s="5">
        <v>4.5</v>
      </c>
      <c r="K126" s="5" t="s">
        <v>27</v>
      </c>
    </row>
    <row r="127" spans="1:11" ht="15.75" customHeight="1" x14ac:dyDescent="0.25">
      <c r="A127" s="5">
        <v>3</v>
      </c>
      <c r="B127" s="5">
        <v>2023</v>
      </c>
      <c r="C127" s="6">
        <v>45203</v>
      </c>
      <c r="D127" s="5" t="s">
        <v>24</v>
      </c>
      <c r="E127" s="5" t="s">
        <v>25</v>
      </c>
      <c r="F127" s="5">
        <v>1</v>
      </c>
      <c r="G127" s="5" t="s">
        <v>46</v>
      </c>
      <c r="H127" s="5">
        <v>10</v>
      </c>
      <c r="I127" s="5">
        <v>1</v>
      </c>
      <c r="J127" s="5">
        <v>4.5</v>
      </c>
      <c r="K127" s="5" t="s">
        <v>47</v>
      </c>
    </row>
    <row r="128" spans="1:11" ht="15.75" customHeight="1" x14ac:dyDescent="0.25">
      <c r="A128" s="5">
        <v>3</v>
      </c>
      <c r="B128" s="5">
        <v>2023</v>
      </c>
      <c r="C128" s="6">
        <v>45203</v>
      </c>
      <c r="D128" s="5" t="s">
        <v>24</v>
      </c>
      <c r="E128" s="5" t="s">
        <v>25</v>
      </c>
      <c r="F128" s="5">
        <v>1</v>
      </c>
      <c r="G128" s="5" t="s">
        <v>46</v>
      </c>
      <c r="H128" s="5">
        <v>11</v>
      </c>
      <c r="I128" s="5">
        <v>1</v>
      </c>
      <c r="J128" s="5">
        <v>5</v>
      </c>
      <c r="K128" s="5" t="s">
        <v>27</v>
      </c>
    </row>
    <row r="129" spans="1:11" ht="15.75" customHeight="1" x14ac:dyDescent="0.25">
      <c r="A129" s="5">
        <v>3</v>
      </c>
      <c r="B129" s="5">
        <v>2023</v>
      </c>
      <c r="C129" s="6">
        <v>45203</v>
      </c>
      <c r="D129" s="5" t="s">
        <v>24</v>
      </c>
      <c r="E129" s="5" t="s">
        <v>25</v>
      </c>
      <c r="F129" s="5">
        <v>1</v>
      </c>
      <c r="G129" s="5" t="s">
        <v>46</v>
      </c>
      <c r="H129" s="5">
        <v>12</v>
      </c>
      <c r="I129" s="5">
        <v>1</v>
      </c>
      <c r="J129" s="5">
        <v>5.5</v>
      </c>
      <c r="K129" s="5" t="s">
        <v>27</v>
      </c>
    </row>
    <row r="130" spans="1:11" ht="15.75" customHeight="1" x14ac:dyDescent="0.25">
      <c r="A130" s="5">
        <v>3</v>
      </c>
      <c r="B130" s="5">
        <v>2023</v>
      </c>
      <c r="C130" s="6">
        <v>45203</v>
      </c>
      <c r="D130" s="5" t="s">
        <v>24</v>
      </c>
      <c r="E130" s="5" t="s">
        <v>25</v>
      </c>
      <c r="F130" s="5">
        <v>1</v>
      </c>
      <c r="G130" s="5" t="s">
        <v>46</v>
      </c>
      <c r="H130" s="8">
        <v>12</v>
      </c>
      <c r="I130" s="5">
        <v>1</v>
      </c>
      <c r="J130" s="5">
        <v>5.5</v>
      </c>
      <c r="K130" s="5" t="s">
        <v>44</v>
      </c>
    </row>
    <row r="131" spans="1:11" ht="15.75" customHeight="1" x14ac:dyDescent="0.25">
      <c r="A131" s="5">
        <v>3</v>
      </c>
      <c r="B131" s="5">
        <v>2023</v>
      </c>
      <c r="C131" s="6">
        <v>45203</v>
      </c>
      <c r="D131" s="5" t="s">
        <v>24</v>
      </c>
      <c r="E131" s="5" t="s">
        <v>25</v>
      </c>
      <c r="F131" s="5">
        <v>1</v>
      </c>
      <c r="G131" s="5" t="s">
        <v>46</v>
      </c>
      <c r="H131" s="5">
        <v>13</v>
      </c>
      <c r="I131" s="5">
        <v>1</v>
      </c>
      <c r="J131" s="5">
        <v>6.5</v>
      </c>
      <c r="K131" s="5" t="s">
        <v>27</v>
      </c>
    </row>
    <row r="132" spans="1:11" ht="15.75" customHeight="1" x14ac:dyDescent="0.25">
      <c r="A132" s="5">
        <v>3</v>
      </c>
      <c r="B132" s="5">
        <v>2023</v>
      </c>
      <c r="C132" s="6">
        <v>45203</v>
      </c>
      <c r="D132" s="5" t="s">
        <v>24</v>
      </c>
      <c r="E132" s="5" t="s">
        <v>25</v>
      </c>
      <c r="F132" s="5">
        <v>1</v>
      </c>
      <c r="G132" s="5" t="s">
        <v>46</v>
      </c>
      <c r="H132" s="5">
        <v>13</v>
      </c>
      <c r="I132" s="5">
        <v>1</v>
      </c>
      <c r="J132" s="5">
        <v>6.5</v>
      </c>
      <c r="K132" s="14" t="s">
        <v>48</v>
      </c>
    </row>
    <row r="133" spans="1:11" ht="15.75" customHeight="1" x14ac:dyDescent="0.25">
      <c r="A133" s="5">
        <v>3</v>
      </c>
      <c r="B133" s="5">
        <v>2023</v>
      </c>
      <c r="C133" s="6">
        <v>45203</v>
      </c>
      <c r="D133" s="5" t="s">
        <v>24</v>
      </c>
      <c r="E133" s="5" t="s">
        <v>25</v>
      </c>
      <c r="F133" s="5">
        <v>1</v>
      </c>
      <c r="G133" s="5" t="s">
        <v>46</v>
      </c>
      <c r="H133" s="5">
        <v>14</v>
      </c>
      <c r="I133" s="5">
        <v>1</v>
      </c>
      <c r="J133" s="5">
        <v>7</v>
      </c>
      <c r="K133" s="5" t="s">
        <v>27</v>
      </c>
    </row>
    <row r="134" spans="1:11" ht="15.75" customHeight="1" x14ac:dyDescent="0.25">
      <c r="A134" s="5">
        <v>3</v>
      </c>
      <c r="B134" s="5">
        <v>2023</v>
      </c>
      <c r="C134" s="6">
        <v>45203</v>
      </c>
      <c r="D134" s="5" t="s">
        <v>24</v>
      </c>
      <c r="E134" s="5" t="s">
        <v>25</v>
      </c>
      <c r="F134" s="5">
        <v>1</v>
      </c>
      <c r="G134" s="5" t="s">
        <v>46</v>
      </c>
      <c r="H134" s="5">
        <v>14</v>
      </c>
      <c r="I134" s="5">
        <v>1</v>
      </c>
      <c r="J134" s="5">
        <v>7</v>
      </c>
      <c r="K134" s="5" t="s">
        <v>48</v>
      </c>
    </row>
    <row r="135" spans="1:11" ht="15.75" customHeight="1" x14ac:dyDescent="0.25">
      <c r="A135" s="5">
        <v>3</v>
      </c>
      <c r="B135" s="5">
        <v>2023</v>
      </c>
      <c r="C135" s="6">
        <v>45203</v>
      </c>
      <c r="D135" s="5" t="s">
        <v>24</v>
      </c>
      <c r="E135" s="5" t="s">
        <v>25</v>
      </c>
      <c r="F135" s="5">
        <v>1</v>
      </c>
      <c r="G135" s="5" t="s">
        <v>46</v>
      </c>
      <c r="H135" s="5">
        <v>15</v>
      </c>
      <c r="I135" s="5">
        <v>1</v>
      </c>
      <c r="J135" s="5">
        <v>7.5</v>
      </c>
      <c r="K135" s="5" t="s">
        <v>27</v>
      </c>
    </row>
    <row r="136" spans="1:11" ht="15.75" customHeight="1" x14ac:dyDescent="0.25">
      <c r="A136" s="5">
        <v>3</v>
      </c>
      <c r="B136" s="5">
        <v>2023</v>
      </c>
      <c r="C136" s="6">
        <v>45203</v>
      </c>
      <c r="D136" s="5" t="s">
        <v>24</v>
      </c>
      <c r="E136" s="5" t="s">
        <v>25</v>
      </c>
      <c r="F136" s="5">
        <v>1</v>
      </c>
      <c r="G136" s="5" t="s">
        <v>46</v>
      </c>
      <c r="H136" s="5">
        <v>15</v>
      </c>
      <c r="I136" s="5">
        <v>1</v>
      </c>
      <c r="J136" s="5">
        <v>7.5</v>
      </c>
      <c r="K136" s="5" t="s">
        <v>48</v>
      </c>
    </row>
    <row r="137" spans="1:11" ht="15.75" customHeight="1" x14ac:dyDescent="0.25">
      <c r="A137" s="5">
        <v>3</v>
      </c>
      <c r="B137" s="5">
        <v>2023</v>
      </c>
      <c r="C137" s="6">
        <v>45203</v>
      </c>
      <c r="D137" s="5" t="s">
        <v>24</v>
      </c>
      <c r="E137" s="5" t="s">
        <v>25</v>
      </c>
      <c r="F137" s="5">
        <v>1</v>
      </c>
      <c r="G137" s="5" t="s">
        <v>46</v>
      </c>
      <c r="H137" s="5">
        <v>15</v>
      </c>
      <c r="I137" s="5">
        <v>1</v>
      </c>
      <c r="J137" s="5">
        <v>7.5</v>
      </c>
      <c r="K137" s="5" t="s">
        <v>29</v>
      </c>
    </row>
    <row r="138" spans="1:11" ht="15.75" customHeight="1" x14ac:dyDescent="0.25">
      <c r="A138" s="5">
        <v>3</v>
      </c>
      <c r="B138" s="5">
        <v>2023</v>
      </c>
      <c r="C138" s="6">
        <v>45203</v>
      </c>
      <c r="D138" s="5" t="s">
        <v>24</v>
      </c>
      <c r="E138" s="5" t="s">
        <v>25</v>
      </c>
      <c r="F138" s="5">
        <v>1</v>
      </c>
      <c r="G138" s="5" t="s">
        <v>46</v>
      </c>
      <c r="H138" s="5">
        <v>1</v>
      </c>
      <c r="I138" s="5">
        <v>2</v>
      </c>
      <c r="J138" s="5">
        <v>0</v>
      </c>
      <c r="K138" s="5" t="s">
        <v>49</v>
      </c>
    </row>
    <row r="139" spans="1:11" ht="15.75" customHeight="1" x14ac:dyDescent="0.25">
      <c r="A139" s="5">
        <v>3</v>
      </c>
      <c r="B139" s="5">
        <v>2023</v>
      </c>
      <c r="C139" s="6">
        <v>45203</v>
      </c>
      <c r="D139" s="5" t="s">
        <v>24</v>
      </c>
      <c r="E139" s="5" t="s">
        <v>25</v>
      </c>
      <c r="F139" s="5">
        <v>1</v>
      </c>
      <c r="G139" s="5" t="s">
        <v>46</v>
      </c>
      <c r="H139" s="5">
        <v>1</v>
      </c>
      <c r="I139" s="5">
        <v>2</v>
      </c>
      <c r="J139" s="5">
        <v>0</v>
      </c>
      <c r="K139" s="5" t="s">
        <v>30</v>
      </c>
    </row>
    <row r="140" spans="1:11" ht="15.75" customHeight="1" x14ac:dyDescent="0.25">
      <c r="A140" s="5">
        <v>3</v>
      </c>
      <c r="B140" s="5">
        <v>2023</v>
      </c>
      <c r="C140" s="6">
        <v>45203</v>
      </c>
      <c r="D140" s="5" t="s">
        <v>24</v>
      </c>
      <c r="E140" s="5" t="s">
        <v>25</v>
      </c>
      <c r="F140" s="5">
        <v>1</v>
      </c>
      <c r="G140" s="5" t="s">
        <v>46</v>
      </c>
      <c r="H140" s="5">
        <v>2</v>
      </c>
      <c r="I140" s="5">
        <v>2</v>
      </c>
      <c r="J140" s="5">
        <v>0.5</v>
      </c>
      <c r="K140" s="5" t="s">
        <v>49</v>
      </c>
    </row>
    <row r="141" spans="1:11" ht="15.75" customHeight="1" x14ac:dyDescent="0.25">
      <c r="A141" s="5">
        <v>3</v>
      </c>
      <c r="B141" s="5">
        <v>2023</v>
      </c>
      <c r="C141" s="6">
        <v>45203</v>
      </c>
      <c r="D141" s="5" t="s">
        <v>24</v>
      </c>
      <c r="E141" s="5" t="s">
        <v>25</v>
      </c>
      <c r="F141" s="5">
        <v>1</v>
      </c>
      <c r="G141" s="5" t="s">
        <v>46</v>
      </c>
      <c r="H141" s="5">
        <v>2</v>
      </c>
      <c r="I141" s="5">
        <v>2</v>
      </c>
      <c r="J141" s="5">
        <v>0.5</v>
      </c>
      <c r="K141" s="5" t="s">
        <v>30</v>
      </c>
    </row>
    <row r="142" spans="1:11" ht="15.75" customHeight="1" x14ac:dyDescent="0.25">
      <c r="A142" s="5">
        <v>3</v>
      </c>
      <c r="B142" s="5">
        <v>2023</v>
      </c>
      <c r="C142" s="6">
        <v>45203</v>
      </c>
      <c r="D142" s="5" t="s">
        <v>24</v>
      </c>
      <c r="E142" s="5" t="s">
        <v>25</v>
      </c>
      <c r="F142" s="5">
        <v>1</v>
      </c>
      <c r="G142" s="5" t="s">
        <v>46</v>
      </c>
      <c r="H142" s="5">
        <v>3</v>
      </c>
      <c r="I142" s="5">
        <v>2</v>
      </c>
      <c r="J142" s="5">
        <v>1</v>
      </c>
      <c r="K142" s="5" t="s">
        <v>27</v>
      </c>
    </row>
    <row r="143" spans="1:11" ht="15.75" customHeight="1" x14ac:dyDescent="0.25">
      <c r="A143" s="5">
        <v>3</v>
      </c>
      <c r="B143" s="5">
        <v>2023</v>
      </c>
      <c r="C143" s="6">
        <v>45203</v>
      </c>
      <c r="D143" s="5" t="s">
        <v>24</v>
      </c>
      <c r="E143" s="5" t="s">
        <v>25</v>
      </c>
      <c r="F143" s="5">
        <v>1</v>
      </c>
      <c r="G143" s="5" t="s">
        <v>46</v>
      </c>
      <c r="H143" s="5">
        <v>3</v>
      </c>
      <c r="I143" s="5">
        <v>2</v>
      </c>
      <c r="J143" s="5">
        <v>1</v>
      </c>
      <c r="K143" s="5" t="s">
        <v>48</v>
      </c>
    </row>
    <row r="144" spans="1:11" ht="15.75" customHeight="1" x14ac:dyDescent="0.25">
      <c r="A144" s="5">
        <v>3</v>
      </c>
      <c r="B144" s="5">
        <v>2023</v>
      </c>
      <c r="C144" s="6">
        <v>45203</v>
      </c>
      <c r="D144" s="5" t="s">
        <v>24</v>
      </c>
      <c r="E144" s="5" t="s">
        <v>25</v>
      </c>
      <c r="F144" s="5">
        <v>1</v>
      </c>
      <c r="G144" s="5" t="s">
        <v>46</v>
      </c>
      <c r="H144" s="5">
        <v>4</v>
      </c>
      <c r="I144" s="5">
        <v>2</v>
      </c>
      <c r="J144" s="5">
        <v>1.5</v>
      </c>
      <c r="K144" s="5" t="s">
        <v>27</v>
      </c>
    </row>
    <row r="145" spans="1:11" ht="15.75" customHeight="1" x14ac:dyDescent="0.25">
      <c r="A145" s="5">
        <v>3</v>
      </c>
      <c r="B145" s="5">
        <v>2023</v>
      </c>
      <c r="C145" s="6">
        <v>45203</v>
      </c>
      <c r="D145" s="5" t="s">
        <v>24</v>
      </c>
      <c r="E145" s="5" t="s">
        <v>25</v>
      </c>
      <c r="F145" s="5">
        <v>1</v>
      </c>
      <c r="G145" s="5" t="s">
        <v>46</v>
      </c>
      <c r="H145" s="5">
        <v>4</v>
      </c>
      <c r="I145" s="5">
        <v>2</v>
      </c>
      <c r="J145" s="5">
        <v>1.5</v>
      </c>
      <c r="K145" s="5" t="s">
        <v>48</v>
      </c>
    </row>
    <row r="146" spans="1:11" ht="15.75" customHeight="1" x14ac:dyDescent="0.25">
      <c r="A146" s="5">
        <v>3</v>
      </c>
      <c r="B146" s="5">
        <v>2023</v>
      </c>
      <c r="C146" s="6">
        <v>45203</v>
      </c>
      <c r="D146" s="5" t="s">
        <v>24</v>
      </c>
      <c r="E146" s="5" t="s">
        <v>25</v>
      </c>
      <c r="F146" s="5">
        <v>1</v>
      </c>
      <c r="G146" s="5" t="s">
        <v>46</v>
      </c>
      <c r="H146" s="5">
        <v>5</v>
      </c>
      <c r="I146" s="5">
        <v>2</v>
      </c>
      <c r="J146" s="5">
        <v>2.5</v>
      </c>
      <c r="K146" s="5" t="s">
        <v>49</v>
      </c>
    </row>
    <row r="147" spans="1:11" ht="15.75" customHeight="1" x14ac:dyDescent="0.25">
      <c r="A147" s="5">
        <v>3</v>
      </c>
      <c r="B147" s="5">
        <v>2023</v>
      </c>
      <c r="C147" s="6">
        <v>45203</v>
      </c>
      <c r="D147" s="5" t="s">
        <v>24</v>
      </c>
      <c r="E147" s="5" t="s">
        <v>25</v>
      </c>
      <c r="F147" s="5">
        <v>1</v>
      </c>
      <c r="G147" s="5" t="s">
        <v>46</v>
      </c>
      <c r="H147" s="5">
        <v>5</v>
      </c>
      <c r="I147" s="5">
        <v>2</v>
      </c>
      <c r="J147" s="5">
        <v>2.5</v>
      </c>
      <c r="K147" s="5" t="s">
        <v>48</v>
      </c>
    </row>
    <row r="148" spans="1:11" ht="15.75" customHeight="1" x14ac:dyDescent="0.25">
      <c r="A148" s="5">
        <v>3</v>
      </c>
      <c r="B148" s="5">
        <v>2023</v>
      </c>
      <c r="C148" s="6">
        <v>45203</v>
      </c>
      <c r="D148" s="5" t="s">
        <v>24</v>
      </c>
      <c r="E148" s="5" t="s">
        <v>25</v>
      </c>
      <c r="F148" s="5">
        <v>1</v>
      </c>
      <c r="G148" s="5" t="s">
        <v>46</v>
      </c>
      <c r="H148" s="5">
        <v>5</v>
      </c>
      <c r="I148" s="5">
        <v>2</v>
      </c>
      <c r="J148" s="5">
        <v>2.5</v>
      </c>
      <c r="K148" s="5" t="s">
        <v>50</v>
      </c>
    </row>
    <row r="149" spans="1:11" ht="15.75" customHeight="1" x14ac:dyDescent="0.25">
      <c r="A149" s="5">
        <v>3</v>
      </c>
      <c r="B149" s="5">
        <v>2023</v>
      </c>
      <c r="C149" s="6">
        <v>45203</v>
      </c>
      <c r="D149" s="5" t="s">
        <v>24</v>
      </c>
      <c r="E149" s="5" t="s">
        <v>25</v>
      </c>
      <c r="F149" s="5">
        <v>1</v>
      </c>
      <c r="G149" s="5" t="s">
        <v>46</v>
      </c>
      <c r="H149" s="5">
        <v>6</v>
      </c>
      <c r="I149" s="5">
        <v>2</v>
      </c>
      <c r="J149" s="5">
        <v>3</v>
      </c>
      <c r="K149" s="5" t="s">
        <v>27</v>
      </c>
    </row>
    <row r="150" spans="1:11" ht="15.75" customHeight="1" x14ac:dyDescent="0.25">
      <c r="A150" s="5">
        <v>3</v>
      </c>
      <c r="B150" s="5">
        <v>2023</v>
      </c>
      <c r="C150" s="6">
        <v>45203</v>
      </c>
      <c r="D150" s="5" t="s">
        <v>24</v>
      </c>
      <c r="E150" s="5" t="s">
        <v>25</v>
      </c>
      <c r="F150" s="5">
        <v>1</v>
      </c>
      <c r="G150" s="5" t="s">
        <v>46</v>
      </c>
      <c r="H150" s="5">
        <v>7</v>
      </c>
      <c r="I150" s="5">
        <v>2</v>
      </c>
      <c r="J150" s="5">
        <v>3.5</v>
      </c>
      <c r="K150" s="5" t="s">
        <v>27</v>
      </c>
    </row>
    <row r="151" spans="1:11" ht="15.75" customHeight="1" x14ac:dyDescent="0.25">
      <c r="A151" s="5">
        <v>3</v>
      </c>
      <c r="B151" s="5">
        <v>2023</v>
      </c>
      <c r="C151" s="6">
        <v>45203</v>
      </c>
      <c r="D151" s="5" t="s">
        <v>24</v>
      </c>
      <c r="E151" s="5" t="s">
        <v>25</v>
      </c>
      <c r="F151" s="5">
        <v>1</v>
      </c>
      <c r="G151" s="5" t="s">
        <v>46</v>
      </c>
      <c r="H151" s="5">
        <v>8</v>
      </c>
      <c r="I151" s="5">
        <v>2</v>
      </c>
      <c r="J151" s="5">
        <v>4</v>
      </c>
      <c r="K151" s="5" t="s">
        <v>27</v>
      </c>
    </row>
    <row r="152" spans="1:11" ht="15.75" customHeight="1" x14ac:dyDescent="0.25">
      <c r="A152" s="5">
        <v>3</v>
      </c>
      <c r="B152" s="5">
        <v>2023</v>
      </c>
      <c r="C152" s="6">
        <v>45203</v>
      </c>
      <c r="D152" s="5" t="s">
        <v>24</v>
      </c>
      <c r="E152" s="5" t="s">
        <v>25</v>
      </c>
      <c r="F152" s="5">
        <v>1</v>
      </c>
      <c r="G152" s="5" t="s">
        <v>46</v>
      </c>
      <c r="H152" s="5">
        <v>9</v>
      </c>
      <c r="I152" s="5">
        <v>2</v>
      </c>
      <c r="J152" s="5">
        <v>4.5</v>
      </c>
      <c r="K152" s="5" t="s">
        <v>27</v>
      </c>
    </row>
    <row r="153" spans="1:11" ht="15.75" customHeight="1" x14ac:dyDescent="0.25">
      <c r="A153" s="5">
        <v>3</v>
      </c>
      <c r="B153" s="5">
        <v>2023</v>
      </c>
      <c r="C153" s="6">
        <v>45203</v>
      </c>
      <c r="D153" s="5" t="s">
        <v>24</v>
      </c>
      <c r="E153" s="5" t="s">
        <v>25</v>
      </c>
      <c r="F153" s="5">
        <v>1</v>
      </c>
      <c r="G153" s="5" t="s">
        <v>46</v>
      </c>
      <c r="H153" s="5">
        <v>10</v>
      </c>
      <c r="I153" s="5">
        <v>2</v>
      </c>
      <c r="J153" s="5">
        <v>5</v>
      </c>
      <c r="K153" s="5" t="s">
        <v>27</v>
      </c>
    </row>
    <row r="154" spans="1:11" ht="15.75" customHeight="1" x14ac:dyDescent="0.25">
      <c r="A154" s="5">
        <v>3</v>
      </c>
      <c r="B154" s="5">
        <v>2023</v>
      </c>
      <c r="C154" s="6">
        <v>45203</v>
      </c>
      <c r="D154" s="5" t="s">
        <v>24</v>
      </c>
      <c r="E154" s="5" t="s">
        <v>25</v>
      </c>
      <c r="F154" s="5">
        <v>1</v>
      </c>
      <c r="G154" s="5" t="s">
        <v>46</v>
      </c>
      <c r="H154" s="5">
        <v>10</v>
      </c>
      <c r="I154" s="5">
        <v>2</v>
      </c>
      <c r="J154" s="5">
        <v>5</v>
      </c>
      <c r="K154" s="5" t="s">
        <v>48</v>
      </c>
    </row>
    <row r="155" spans="1:11" ht="15.75" customHeight="1" x14ac:dyDescent="0.25">
      <c r="A155" s="5">
        <v>3</v>
      </c>
      <c r="B155" s="5">
        <v>2023</v>
      </c>
      <c r="C155" s="6">
        <v>45203</v>
      </c>
      <c r="D155" s="5" t="s">
        <v>24</v>
      </c>
      <c r="E155" s="5" t="s">
        <v>25</v>
      </c>
      <c r="F155" s="5">
        <v>1</v>
      </c>
      <c r="G155" s="5" t="s">
        <v>46</v>
      </c>
      <c r="H155" s="5">
        <v>11</v>
      </c>
      <c r="I155" s="5">
        <v>2</v>
      </c>
      <c r="J155" s="5">
        <v>5.5</v>
      </c>
      <c r="K155" s="5" t="s">
        <v>27</v>
      </c>
    </row>
    <row r="156" spans="1:11" ht="15.75" customHeight="1" x14ac:dyDescent="0.25">
      <c r="A156" s="5">
        <v>3</v>
      </c>
      <c r="B156" s="5">
        <v>2023</v>
      </c>
      <c r="C156" s="6">
        <v>45203</v>
      </c>
      <c r="D156" s="5" t="s">
        <v>24</v>
      </c>
      <c r="E156" s="5" t="s">
        <v>25</v>
      </c>
      <c r="F156" s="5">
        <v>1</v>
      </c>
      <c r="G156" s="5" t="s">
        <v>46</v>
      </c>
      <c r="H156" s="5">
        <v>12</v>
      </c>
      <c r="I156" s="5">
        <v>2</v>
      </c>
      <c r="J156" s="5">
        <v>6</v>
      </c>
      <c r="K156" s="5" t="s">
        <v>35</v>
      </c>
    </row>
    <row r="157" spans="1:11" ht="15.75" customHeight="1" x14ac:dyDescent="0.25">
      <c r="A157" s="5">
        <v>3</v>
      </c>
      <c r="B157" s="5">
        <v>2023</v>
      </c>
      <c r="C157" s="6">
        <v>45203</v>
      </c>
      <c r="D157" s="5" t="s">
        <v>24</v>
      </c>
      <c r="E157" s="5" t="s">
        <v>25</v>
      </c>
      <c r="F157" s="5">
        <v>1</v>
      </c>
      <c r="G157" s="5" t="s">
        <v>46</v>
      </c>
      <c r="H157" s="5">
        <v>13</v>
      </c>
      <c r="I157" s="5">
        <v>2</v>
      </c>
      <c r="J157" s="5">
        <v>6.5</v>
      </c>
      <c r="K157" s="5" t="s">
        <v>49</v>
      </c>
    </row>
    <row r="158" spans="1:11" ht="15.75" customHeight="1" x14ac:dyDescent="0.25">
      <c r="A158" s="5">
        <v>3</v>
      </c>
      <c r="B158" s="5">
        <v>2023</v>
      </c>
      <c r="C158" s="6">
        <v>45203</v>
      </c>
      <c r="D158" s="5" t="s">
        <v>24</v>
      </c>
      <c r="E158" s="5" t="s">
        <v>25</v>
      </c>
      <c r="F158" s="5">
        <v>1</v>
      </c>
      <c r="G158" s="5" t="s">
        <v>46</v>
      </c>
      <c r="H158" s="5">
        <v>13</v>
      </c>
      <c r="I158" s="5">
        <v>2</v>
      </c>
      <c r="J158" s="5">
        <v>6.5</v>
      </c>
      <c r="K158" s="5" t="s">
        <v>30</v>
      </c>
    </row>
    <row r="159" spans="1:11" ht="15.75" customHeight="1" x14ac:dyDescent="0.25">
      <c r="A159" s="5">
        <v>3</v>
      </c>
      <c r="B159" s="5">
        <v>2023</v>
      </c>
      <c r="C159" s="6">
        <v>45203</v>
      </c>
      <c r="D159" s="5" t="s">
        <v>24</v>
      </c>
      <c r="E159" s="5" t="s">
        <v>25</v>
      </c>
      <c r="F159" s="5">
        <v>1</v>
      </c>
      <c r="G159" s="5" t="s">
        <v>46</v>
      </c>
      <c r="H159" s="5">
        <v>13</v>
      </c>
      <c r="I159" s="5">
        <v>2</v>
      </c>
      <c r="J159" s="5">
        <v>6.5</v>
      </c>
      <c r="K159" s="5" t="s">
        <v>34</v>
      </c>
    </row>
    <row r="160" spans="1:11" ht="15.75" customHeight="1" x14ac:dyDescent="0.25">
      <c r="A160" s="5">
        <v>3</v>
      </c>
      <c r="B160" s="5">
        <v>2023</v>
      </c>
      <c r="C160" s="6">
        <v>45203</v>
      </c>
      <c r="D160" s="5" t="s">
        <v>24</v>
      </c>
      <c r="E160" s="5" t="s">
        <v>25</v>
      </c>
      <c r="F160" s="5">
        <v>1</v>
      </c>
      <c r="G160" s="5" t="s">
        <v>46</v>
      </c>
      <c r="H160" s="5">
        <v>14</v>
      </c>
      <c r="I160" s="5">
        <v>2</v>
      </c>
      <c r="J160" s="5">
        <v>7</v>
      </c>
      <c r="K160" s="5" t="s">
        <v>27</v>
      </c>
    </row>
    <row r="161" spans="1:11" ht="15.75" customHeight="1" x14ac:dyDescent="0.25">
      <c r="A161" s="5">
        <v>3</v>
      </c>
      <c r="B161" s="5">
        <v>2023</v>
      </c>
      <c r="C161" s="6">
        <v>45203</v>
      </c>
      <c r="D161" s="5" t="s">
        <v>24</v>
      </c>
      <c r="E161" s="5" t="s">
        <v>25</v>
      </c>
      <c r="F161" s="5">
        <v>1</v>
      </c>
      <c r="G161" s="5" t="s">
        <v>46</v>
      </c>
      <c r="H161" s="5">
        <v>14</v>
      </c>
      <c r="I161" s="5">
        <v>2</v>
      </c>
      <c r="J161" s="5">
        <v>7</v>
      </c>
      <c r="K161" s="5" t="s">
        <v>28</v>
      </c>
    </row>
    <row r="162" spans="1:11" ht="15.75" customHeight="1" x14ac:dyDescent="0.25">
      <c r="A162" s="5">
        <v>3</v>
      </c>
      <c r="B162" s="5">
        <v>2023</v>
      </c>
      <c r="C162" s="6">
        <v>45203</v>
      </c>
      <c r="D162" s="5" t="s">
        <v>24</v>
      </c>
      <c r="E162" s="5" t="s">
        <v>25</v>
      </c>
      <c r="F162" s="5">
        <v>1</v>
      </c>
      <c r="G162" s="5" t="s">
        <v>46</v>
      </c>
      <c r="H162" s="5">
        <v>14</v>
      </c>
      <c r="I162" s="5">
        <v>2</v>
      </c>
      <c r="J162" s="5">
        <v>7</v>
      </c>
      <c r="K162" s="5" t="s">
        <v>34</v>
      </c>
    </row>
    <row r="163" spans="1:11" ht="15.75" customHeight="1" x14ac:dyDescent="0.25">
      <c r="A163" s="5">
        <v>3</v>
      </c>
      <c r="B163" s="5">
        <v>2023</v>
      </c>
      <c r="C163" s="6">
        <v>45203</v>
      </c>
      <c r="D163" s="5" t="s">
        <v>24</v>
      </c>
      <c r="E163" s="5" t="s">
        <v>25</v>
      </c>
      <c r="F163" s="5">
        <v>1</v>
      </c>
      <c r="G163" s="5" t="s">
        <v>46</v>
      </c>
      <c r="H163" s="5">
        <v>15</v>
      </c>
      <c r="I163" s="5">
        <v>2</v>
      </c>
      <c r="J163" s="5">
        <v>7.5</v>
      </c>
      <c r="K163" s="5" t="s">
        <v>27</v>
      </c>
    </row>
    <row r="164" spans="1:11" ht="15.75" customHeight="1" x14ac:dyDescent="0.25">
      <c r="A164" s="5">
        <v>3</v>
      </c>
      <c r="B164" s="5">
        <v>2023</v>
      </c>
      <c r="C164" s="6">
        <v>45203</v>
      </c>
      <c r="D164" s="5" t="s">
        <v>24</v>
      </c>
      <c r="E164" s="5" t="s">
        <v>25</v>
      </c>
      <c r="F164" s="5">
        <v>1</v>
      </c>
      <c r="G164" s="5" t="s">
        <v>46</v>
      </c>
      <c r="H164" s="5">
        <v>15</v>
      </c>
      <c r="I164" s="5">
        <v>2</v>
      </c>
      <c r="J164" s="5">
        <v>7.5</v>
      </c>
      <c r="K164" s="5" t="s">
        <v>48</v>
      </c>
    </row>
    <row r="165" spans="1:11" ht="15.75" customHeight="1" x14ac:dyDescent="0.25">
      <c r="A165" s="5">
        <v>3</v>
      </c>
      <c r="B165" s="5">
        <v>2023</v>
      </c>
      <c r="C165" s="6">
        <v>45203</v>
      </c>
      <c r="D165" s="5" t="s">
        <v>24</v>
      </c>
      <c r="E165" s="5" t="s">
        <v>25</v>
      </c>
      <c r="F165" s="5">
        <v>1</v>
      </c>
      <c r="G165" s="5" t="s">
        <v>46</v>
      </c>
      <c r="H165" s="5">
        <v>15</v>
      </c>
      <c r="I165" s="5">
        <v>2</v>
      </c>
      <c r="J165" s="5">
        <v>7.5</v>
      </c>
      <c r="K165" s="5" t="s">
        <v>28</v>
      </c>
    </row>
    <row r="166" spans="1:11" ht="15.75" customHeight="1" x14ac:dyDescent="0.25">
      <c r="A166" s="5">
        <v>3</v>
      </c>
      <c r="B166" s="5">
        <v>2023</v>
      </c>
      <c r="C166" s="6">
        <v>45203</v>
      </c>
      <c r="D166" s="5" t="s">
        <v>24</v>
      </c>
      <c r="E166" s="5" t="s">
        <v>25</v>
      </c>
      <c r="F166" s="5">
        <v>1</v>
      </c>
      <c r="G166" s="5" t="s">
        <v>46</v>
      </c>
      <c r="H166" s="5">
        <v>15</v>
      </c>
      <c r="I166" s="5">
        <v>2</v>
      </c>
      <c r="J166" s="5">
        <v>7.5</v>
      </c>
      <c r="K166" s="5" t="s">
        <v>29</v>
      </c>
    </row>
    <row r="167" spans="1:11" ht="15.75" customHeight="1" x14ac:dyDescent="0.25">
      <c r="A167" s="5">
        <v>4</v>
      </c>
      <c r="B167" s="5">
        <v>2023</v>
      </c>
      <c r="C167" s="6">
        <v>45203</v>
      </c>
      <c r="D167" s="5" t="s">
        <v>24</v>
      </c>
      <c r="E167" s="5" t="s">
        <v>25</v>
      </c>
      <c r="F167" s="5">
        <v>1</v>
      </c>
      <c r="G167" s="5" t="s">
        <v>51</v>
      </c>
      <c r="H167" s="5">
        <v>1</v>
      </c>
      <c r="I167" s="5">
        <v>1</v>
      </c>
      <c r="J167" s="5">
        <v>0</v>
      </c>
      <c r="K167" s="5" t="s">
        <v>27</v>
      </c>
    </row>
    <row r="168" spans="1:11" ht="15.75" customHeight="1" x14ac:dyDescent="0.25">
      <c r="A168" s="5">
        <v>4</v>
      </c>
      <c r="B168" s="5">
        <v>2023</v>
      </c>
      <c r="C168" s="6">
        <v>45203</v>
      </c>
      <c r="D168" s="5" t="s">
        <v>24</v>
      </c>
      <c r="E168" s="5" t="s">
        <v>25</v>
      </c>
      <c r="F168" s="5">
        <v>1</v>
      </c>
      <c r="G168" s="14" t="s">
        <v>51</v>
      </c>
      <c r="H168" s="5">
        <v>1</v>
      </c>
      <c r="I168" s="5">
        <v>1</v>
      </c>
      <c r="J168" s="5">
        <v>0</v>
      </c>
      <c r="K168" s="5" t="s">
        <v>43</v>
      </c>
    </row>
    <row r="169" spans="1:11" ht="15.75" customHeight="1" x14ac:dyDescent="0.25">
      <c r="A169" s="5">
        <v>4</v>
      </c>
      <c r="B169" s="5">
        <v>2023</v>
      </c>
      <c r="C169" s="6">
        <v>45203</v>
      </c>
      <c r="D169" s="5" t="s">
        <v>24</v>
      </c>
      <c r="E169" s="5" t="s">
        <v>25</v>
      </c>
      <c r="F169" s="5">
        <v>1</v>
      </c>
      <c r="G169" s="5" t="s">
        <v>51</v>
      </c>
      <c r="H169" s="5">
        <v>2</v>
      </c>
      <c r="I169" s="5">
        <v>1</v>
      </c>
      <c r="J169" s="5">
        <v>0.5</v>
      </c>
      <c r="K169" s="5" t="s">
        <v>27</v>
      </c>
    </row>
    <row r="170" spans="1:11" ht="15.75" customHeight="1" x14ac:dyDescent="0.25">
      <c r="A170" s="5">
        <v>4</v>
      </c>
      <c r="B170" s="5">
        <v>2023</v>
      </c>
      <c r="C170" s="6">
        <v>45203</v>
      </c>
      <c r="D170" s="5" t="s">
        <v>24</v>
      </c>
      <c r="E170" s="5" t="s">
        <v>25</v>
      </c>
      <c r="F170" s="5">
        <v>1</v>
      </c>
      <c r="G170" s="14" t="s">
        <v>51</v>
      </c>
      <c r="H170" s="5">
        <v>2</v>
      </c>
      <c r="I170" s="5">
        <v>1</v>
      </c>
      <c r="J170" s="5">
        <v>0.5</v>
      </c>
      <c r="K170" s="5" t="s">
        <v>29</v>
      </c>
    </row>
    <row r="171" spans="1:11" ht="15.75" customHeight="1" x14ac:dyDescent="0.25">
      <c r="A171" s="5">
        <v>4</v>
      </c>
      <c r="B171" s="5">
        <v>2023</v>
      </c>
      <c r="C171" s="6">
        <v>45203</v>
      </c>
      <c r="D171" s="5" t="s">
        <v>24</v>
      </c>
      <c r="E171" s="5" t="s">
        <v>25</v>
      </c>
      <c r="F171" s="5">
        <v>1</v>
      </c>
      <c r="G171" s="5" t="s">
        <v>51</v>
      </c>
      <c r="H171" s="5">
        <v>3</v>
      </c>
      <c r="I171" s="5">
        <v>1</v>
      </c>
      <c r="J171" s="5">
        <v>1</v>
      </c>
      <c r="K171" s="5" t="s">
        <v>27</v>
      </c>
    </row>
    <row r="172" spans="1:11" ht="15.75" customHeight="1" x14ac:dyDescent="0.25">
      <c r="A172" s="5">
        <v>4</v>
      </c>
      <c r="B172" s="5">
        <v>2023</v>
      </c>
      <c r="C172" s="6">
        <v>45203</v>
      </c>
      <c r="D172" s="5" t="s">
        <v>24</v>
      </c>
      <c r="E172" s="5" t="s">
        <v>25</v>
      </c>
      <c r="F172" s="5">
        <v>1</v>
      </c>
      <c r="G172" s="14" t="s">
        <v>51</v>
      </c>
      <c r="H172" s="5">
        <v>4</v>
      </c>
      <c r="I172" s="5">
        <v>1</v>
      </c>
      <c r="J172" s="5">
        <v>1.5</v>
      </c>
      <c r="K172" s="5" t="s">
        <v>32</v>
      </c>
    </row>
    <row r="173" spans="1:11" ht="15.75" customHeight="1" x14ac:dyDescent="0.25">
      <c r="A173" s="5">
        <v>4</v>
      </c>
      <c r="B173" s="5">
        <v>2023</v>
      </c>
      <c r="C173" s="6">
        <v>45203</v>
      </c>
      <c r="D173" s="5" t="s">
        <v>24</v>
      </c>
      <c r="E173" s="5" t="s">
        <v>25</v>
      </c>
      <c r="F173" s="5">
        <v>1</v>
      </c>
      <c r="G173" s="5" t="s">
        <v>51</v>
      </c>
      <c r="H173" s="5">
        <v>5</v>
      </c>
      <c r="I173" s="5">
        <v>1</v>
      </c>
      <c r="J173" s="5">
        <v>2</v>
      </c>
      <c r="K173" s="5" t="s">
        <v>32</v>
      </c>
    </row>
    <row r="174" spans="1:11" ht="15.75" customHeight="1" x14ac:dyDescent="0.25">
      <c r="A174" s="5">
        <v>4</v>
      </c>
      <c r="B174" s="5">
        <v>2023</v>
      </c>
      <c r="C174" s="6">
        <v>45203</v>
      </c>
      <c r="D174" s="5" t="s">
        <v>24</v>
      </c>
      <c r="E174" s="5" t="s">
        <v>25</v>
      </c>
      <c r="F174" s="5">
        <v>1</v>
      </c>
      <c r="G174" s="14" t="s">
        <v>51</v>
      </c>
      <c r="H174" s="5">
        <v>6</v>
      </c>
      <c r="I174" s="5">
        <v>1</v>
      </c>
      <c r="J174" s="5">
        <v>2.5</v>
      </c>
      <c r="K174" s="5" t="s">
        <v>27</v>
      </c>
    </row>
    <row r="175" spans="1:11" ht="15.75" customHeight="1" x14ac:dyDescent="0.25">
      <c r="A175" s="5">
        <v>4</v>
      </c>
      <c r="B175" s="5">
        <v>2023</v>
      </c>
      <c r="C175" s="6">
        <v>45203</v>
      </c>
      <c r="D175" s="5" t="s">
        <v>24</v>
      </c>
      <c r="E175" s="5" t="s">
        <v>25</v>
      </c>
      <c r="F175" s="5">
        <v>1</v>
      </c>
      <c r="G175" s="5" t="s">
        <v>51</v>
      </c>
      <c r="H175" s="5">
        <v>7</v>
      </c>
      <c r="I175" s="5">
        <v>1</v>
      </c>
      <c r="J175" s="5">
        <v>3</v>
      </c>
      <c r="K175" s="5" t="s">
        <v>27</v>
      </c>
    </row>
    <row r="176" spans="1:11" ht="15.75" customHeight="1" x14ac:dyDescent="0.25">
      <c r="A176" s="5">
        <v>4</v>
      </c>
      <c r="B176" s="5">
        <v>2023</v>
      </c>
      <c r="C176" s="6">
        <v>45203</v>
      </c>
      <c r="D176" s="5" t="s">
        <v>24</v>
      </c>
      <c r="E176" s="5" t="s">
        <v>25</v>
      </c>
      <c r="F176" s="5">
        <v>1</v>
      </c>
      <c r="G176" s="14" t="s">
        <v>51</v>
      </c>
      <c r="H176" s="5">
        <v>7</v>
      </c>
      <c r="I176" s="5">
        <v>1</v>
      </c>
      <c r="J176" s="5">
        <v>3</v>
      </c>
      <c r="K176" s="5" t="s">
        <v>47</v>
      </c>
    </row>
    <row r="177" spans="1:11" ht="15.75" customHeight="1" x14ac:dyDescent="0.25">
      <c r="A177" s="5">
        <v>4</v>
      </c>
      <c r="B177" s="5">
        <v>2023</v>
      </c>
      <c r="C177" s="6">
        <v>45203</v>
      </c>
      <c r="D177" s="5" t="s">
        <v>24</v>
      </c>
      <c r="E177" s="5" t="s">
        <v>25</v>
      </c>
      <c r="F177" s="5">
        <v>1</v>
      </c>
      <c r="G177" s="5" t="s">
        <v>51</v>
      </c>
      <c r="H177" s="5">
        <v>8</v>
      </c>
      <c r="I177" s="5">
        <v>1</v>
      </c>
      <c r="J177" s="5">
        <v>3.5</v>
      </c>
      <c r="K177" s="5" t="s">
        <v>27</v>
      </c>
    </row>
    <row r="178" spans="1:11" ht="15.75" customHeight="1" x14ac:dyDescent="0.25">
      <c r="A178" s="5">
        <v>4</v>
      </c>
      <c r="B178" s="5">
        <v>2023</v>
      </c>
      <c r="C178" s="6">
        <v>45203</v>
      </c>
      <c r="D178" s="5" t="s">
        <v>24</v>
      </c>
      <c r="E178" s="5" t="s">
        <v>25</v>
      </c>
      <c r="F178" s="5">
        <v>1</v>
      </c>
      <c r="G178" s="14" t="s">
        <v>51</v>
      </c>
      <c r="H178" s="5">
        <v>8</v>
      </c>
      <c r="I178" s="5">
        <v>1</v>
      </c>
      <c r="J178" s="5">
        <v>3.5</v>
      </c>
      <c r="K178" s="5" t="s">
        <v>47</v>
      </c>
    </row>
    <row r="179" spans="1:11" ht="15.75" customHeight="1" x14ac:dyDescent="0.25">
      <c r="A179" s="5">
        <v>4</v>
      </c>
      <c r="B179" s="5">
        <v>2023</v>
      </c>
      <c r="C179" s="6">
        <v>45203</v>
      </c>
      <c r="D179" s="5" t="s">
        <v>24</v>
      </c>
      <c r="E179" s="5" t="s">
        <v>25</v>
      </c>
      <c r="F179" s="5">
        <v>1</v>
      </c>
      <c r="G179" s="5" t="s">
        <v>51</v>
      </c>
      <c r="H179" s="5">
        <v>9</v>
      </c>
      <c r="I179" s="5">
        <v>1</v>
      </c>
      <c r="J179" s="5">
        <v>4</v>
      </c>
      <c r="K179" s="5" t="s">
        <v>27</v>
      </c>
    </row>
    <row r="180" spans="1:11" ht="15.75" customHeight="1" x14ac:dyDescent="0.25">
      <c r="A180" s="5">
        <v>4</v>
      </c>
      <c r="B180" s="5">
        <v>2023</v>
      </c>
      <c r="C180" s="6">
        <v>45203</v>
      </c>
      <c r="D180" s="5" t="s">
        <v>24</v>
      </c>
      <c r="E180" s="5" t="s">
        <v>25</v>
      </c>
      <c r="F180" s="5">
        <v>1</v>
      </c>
      <c r="G180" s="14" t="s">
        <v>51</v>
      </c>
      <c r="H180" s="5">
        <v>10</v>
      </c>
      <c r="I180" s="5">
        <v>1</v>
      </c>
      <c r="J180" s="5">
        <v>4.5</v>
      </c>
      <c r="K180" s="5" t="s">
        <v>27</v>
      </c>
    </row>
    <row r="181" spans="1:11" ht="15.75" customHeight="1" x14ac:dyDescent="0.25">
      <c r="A181" s="5">
        <v>4</v>
      </c>
      <c r="B181" s="5">
        <v>2023</v>
      </c>
      <c r="C181" s="6">
        <v>45203</v>
      </c>
      <c r="D181" s="5" t="s">
        <v>24</v>
      </c>
      <c r="E181" s="5" t="s">
        <v>25</v>
      </c>
      <c r="F181" s="5">
        <v>1</v>
      </c>
      <c r="G181" s="5" t="s">
        <v>51</v>
      </c>
      <c r="H181" s="5">
        <v>11</v>
      </c>
      <c r="I181" s="5">
        <v>1</v>
      </c>
      <c r="J181" s="5">
        <v>5</v>
      </c>
      <c r="K181" s="5" t="s">
        <v>35</v>
      </c>
    </row>
    <row r="182" spans="1:11" ht="15.75" customHeight="1" x14ac:dyDescent="0.25">
      <c r="A182" s="5">
        <v>4</v>
      </c>
      <c r="B182" s="5">
        <v>2023</v>
      </c>
      <c r="C182" s="6">
        <v>45203</v>
      </c>
      <c r="D182" s="5" t="s">
        <v>24</v>
      </c>
      <c r="E182" s="5" t="s">
        <v>25</v>
      </c>
      <c r="F182" s="5">
        <v>1</v>
      </c>
      <c r="G182" s="14" t="s">
        <v>51</v>
      </c>
      <c r="H182" s="5">
        <v>12</v>
      </c>
      <c r="I182" s="5">
        <v>1</v>
      </c>
      <c r="J182" s="5">
        <v>5.5</v>
      </c>
      <c r="K182" s="5" t="s">
        <v>35</v>
      </c>
    </row>
    <row r="183" spans="1:11" ht="15.75" customHeight="1" x14ac:dyDescent="0.25">
      <c r="A183" s="5">
        <v>4</v>
      </c>
      <c r="B183" s="5">
        <v>2023</v>
      </c>
      <c r="C183" s="6">
        <v>45203</v>
      </c>
      <c r="D183" s="5" t="s">
        <v>24</v>
      </c>
      <c r="E183" s="5" t="s">
        <v>25</v>
      </c>
      <c r="F183" s="5">
        <v>1</v>
      </c>
      <c r="G183" s="5" t="s">
        <v>51</v>
      </c>
      <c r="H183" s="5">
        <v>13</v>
      </c>
      <c r="I183" s="5">
        <v>1</v>
      </c>
      <c r="J183" s="5">
        <v>6.5</v>
      </c>
      <c r="K183" s="5" t="s">
        <v>35</v>
      </c>
    </row>
    <row r="184" spans="1:11" ht="15.75" customHeight="1" x14ac:dyDescent="0.25">
      <c r="A184" s="5">
        <v>4</v>
      </c>
      <c r="B184" s="5">
        <v>2023</v>
      </c>
      <c r="C184" s="6">
        <v>45203</v>
      </c>
      <c r="D184" s="5" t="s">
        <v>24</v>
      </c>
      <c r="E184" s="5" t="s">
        <v>25</v>
      </c>
      <c r="F184" s="5">
        <v>1</v>
      </c>
      <c r="G184" s="14" t="s">
        <v>51</v>
      </c>
      <c r="H184" s="5">
        <v>14</v>
      </c>
      <c r="I184" s="5">
        <v>1</v>
      </c>
      <c r="J184" s="5">
        <v>7</v>
      </c>
      <c r="K184" s="5" t="s">
        <v>27</v>
      </c>
    </row>
    <row r="185" spans="1:11" ht="15.75" customHeight="1" x14ac:dyDescent="0.25">
      <c r="A185" s="5">
        <v>4</v>
      </c>
      <c r="B185" s="5">
        <v>2023</v>
      </c>
      <c r="C185" s="6">
        <v>45203</v>
      </c>
      <c r="D185" s="5" t="s">
        <v>24</v>
      </c>
      <c r="E185" s="5" t="s">
        <v>25</v>
      </c>
      <c r="F185" s="5">
        <v>1</v>
      </c>
      <c r="G185" s="5" t="s">
        <v>51</v>
      </c>
      <c r="H185" s="5">
        <v>15</v>
      </c>
      <c r="I185" s="5">
        <v>1</v>
      </c>
      <c r="J185" s="5">
        <v>7.5</v>
      </c>
      <c r="K185" s="5" t="s">
        <v>35</v>
      </c>
    </row>
    <row r="186" spans="1:11" ht="15.75" customHeight="1" x14ac:dyDescent="0.25">
      <c r="A186" s="5">
        <v>4</v>
      </c>
      <c r="B186" s="5">
        <v>2023</v>
      </c>
      <c r="C186" s="6">
        <v>45203</v>
      </c>
      <c r="D186" s="5" t="s">
        <v>24</v>
      </c>
      <c r="E186" s="5" t="s">
        <v>25</v>
      </c>
      <c r="F186" s="5">
        <v>1</v>
      </c>
      <c r="G186" s="14" t="s">
        <v>51</v>
      </c>
      <c r="H186" s="5">
        <v>1</v>
      </c>
      <c r="I186" s="5">
        <v>2</v>
      </c>
      <c r="J186" s="5">
        <v>0</v>
      </c>
      <c r="K186" s="5" t="s">
        <v>35</v>
      </c>
    </row>
    <row r="187" spans="1:11" ht="15.75" customHeight="1" x14ac:dyDescent="0.25">
      <c r="A187" s="5">
        <v>4</v>
      </c>
      <c r="B187" s="5">
        <v>2023</v>
      </c>
      <c r="C187" s="6">
        <v>45203</v>
      </c>
      <c r="D187" s="5" t="s">
        <v>24</v>
      </c>
      <c r="E187" s="5" t="s">
        <v>25</v>
      </c>
      <c r="F187" s="5">
        <v>1</v>
      </c>
      <c r="G187" s="5" t="s">
        <v>51</v>
      </c>
      <c r="H187" s="5">
        <v>2</v>
      </c>
      <c r="I187" s="5">
        <v>2</v>
      </c>
      <c r="J187" s="5">
        <v>0.5</v>
      </c>
      <c r="K187" s="5" t="s">
        <v>35</v>
      </c>
    </row>
    <row r="188" spans="1:11" ht="15.75" customHeight="1" x14ac:dyDescent="0.25">
      <c r="A188" s="5">
        <v>4</v>
      </c>
      <c r="B188" s="5">
        <v>2023</v>
      </c>
      <c r="C188" s="6">
        <v>45203</v>
      </c>
      <c r="D188" s="5" t="s">
        <v>24</v>
      </c>
      <c r="E188" s="5" t="s">
        <v>25</v>
      </c>
      <c r="F188" s="5">
        <v>1</v>
      </c>
      <c r="G188" s="14" t="s">
        <v>51</v>
      </c>
      <c r="H188" s="5">
        <v>3</v>
      </c>
      <c r="I188" s="5">
        <v>2</v>
      </c>
      <c r="J188" s="5">
        <v>1</v>
      </c>
      <c r="K188" s="5" t="s">
        <v>35</v>
      </c>
    </row>
    <row r="189" spans="1:11" ht="15.75" customHeight="1" x14ac:dyDescent="0.25">
      <c r="A189" s="5">
        <v>4</v>
      </c>
      <c r="B189" s="5">
        <v>2023</v>
      </c>
      <c r="C189" s="6">
        <v>45203</v>
      </c>
      <c r="D189" s="5" t="s">
        <v>24</v>
      </c>
      <c r="E189" s="5" t="s">
        <v>25</v>
      </c>
      <c r="F189" s="5">
        <v>1</v>
      </c>
      <c r="G189" s="5" t="s">
        <v>51</v>
      </c>
      <c r="H189" s="5">
        <v>3</v>
      </c>
      <c r="I189" s="5">
        <v>2</v>
      </c>
      <c r="J189" s="5">
        <v>1</v>
      </c>
      <c r="K189" s="5" t="s">
        <v>52</v>
      </c>
    </row>
    <row r="190" spans="1:11" ht="15.75" customHeight="1" x14ac:dyDescent="0.25">
      <c r="A190" s="5">
        <v>4</v>
      </c>
      <c r="B190" s="5">
        <v>2023</v>
      </c>
      <c r="C190" s="6">
        <v>45203</v>
      </c>
      <c r="D190" s="5" t="s">
        <v>24</v>
      </c>
      <c r="E190" s="5" t="s">
        <v>25</v>
      </c>
      <c r="F190" s="5">
        <v>1</v>
      </c>
      <c r="G190" s="14" t="s">
        <v>51</v>
      </c>
      <c r="H190" s="5">
        <v>4</v>
      </c>
      <c r="I190" s="5">
        <v>2</v>
      </c>
      <c r="J190" s="5">
        <v>1.5</v>
      </c>
      <c r="K190" s="5" t="s">
        <v>35</v>
      </c>
    </row>
    <row r="191" spans="1:11" ht="15.75" customHeight="1" x14ac:dyDescent="0.25">
      <c r="A191" s="5">
        <v>4</v>
      </c>
      <c r="B191" s="5">
        <v>2023</v>
      </c>
      <c r="C191" s="6">
        <v>45203</v>
      </c>
      <c r="D191" s="5" t="s">
        <v>24</v>
      </c>
      <c r="E191" s="5" t="s">
        <v>25</v>
      </c>
      <c r="F191" s="5">
        <v>1</v>
      </c>
      <c r="G191" s="5" t="s">
        <v>51</v>
      </c>
      <c r="H191" s="5">
        <v>4</v>
      </c>
      <c r="I191" s="5">
        <v>2</v>
      </c>
      <c r="J191" s="5">
        <v>1.5</v>
      </c>
      <c r="K191" s="5" t="s">
        <v>52</v>
      </c>
    </row>
    <row r="192" spans="1:11" ht="15.75" customHeight="1" x14ac:dyDescent="0.25">
      <c r="A192" s="5">
        <v>4</v>
      </c>
      <c r="B192" s="5">
        <v>2023</v>
      </c>
      <c r="C192" s="6">
        <v>45203</v>
      </c>
      <c r="D192" s="5" t="s">
        <v>24</v>
      </c>
      <c r="E192" s="5" t="s">
        <v>25</v>
      </c>
      <c r="F192" s="5">
        <v>1</v>
      </c>
      <c r="G192" s="14" t="s">
        <v>51</v>
      </c>
      <c r="H192" s="5">
        <v>5</v>
      </c>
      <c r="I192" s="5">
        <v>2</v>
      </c>
      <c r="J192" s="5">
        <v>2.5</v>
      </c>
      <c r="K192" s="5" t="s">
        <v>27</v>
      </c>
    </row>
    <row r="193" spans="1:11" ht="15.75" customHeight="1" x14ac:dyDescent="0.25">
      <c r="A193" s="5">
        <v>4</v>
      </c>
      <c r="B193" s="5">
        <v>2023</v>
      </c>
      <c r="C193" s="6">
        <v>45203</v>
      </c>
      <c r="D193" s="5" t="s">
        <v>24</v>
      </c>
      <c r="E193" s="5" t="s">
        <v>25</v>
      </c>
      <c r="F193" s="5">
        <v>1</v>
      </c>
      <c r="G193" s="5" t="s">
        <v>51</v>
      </c>
      <c r="H193" s="5">
        <v>5</v>
      </c>
      <c r="I193" s="5">
        <v>2</v>
      </c>
      <c r="J193" s="5">
        <v>2.5</v>
      </c>
      <c r="K193" s="5" t="s">
        <v>29</v>
      </c>
    </row>
    <row r="194" spans="1:11" ht="15.75" customHeight="1" x14ac:dyDescent="0.25">
      <c r="A194" s="5">
        <v>4</v>
      </c>
      <c r="B194" s="5">
        <v>2023</v>
      </c>
      <c r="C194" s="6">
        <v>45203</v>
      </c>
      <c r="D194" s="5" t="s">
        <v>24</v>
      </c>
      <c r="E194" s="5" t="s">
        <v>25</v>
      </c>
      <c r="F194" s="5">
        <v>1</v>
      </c>
      <c r="G194" s="14" t="s">
        <v>51</v>
      </c>
      <c r="H194" s="5">
        <v>6</v>
      </c>
      <c r="I194" s="5">
        <v>2</v>
      </c>
      <c r="J194" s="5">
        <v>3</v>
      </c>
      <c r="K194" s="5" t="s">
        <v>35</v>
      </c>
    </row>
    <row r="195" spans="1:11" ht="15.75" customHeight="1" x14ac:dyDescent="0.25">
      <c r="A195" s="5">
        <v>4</v>
      </c>
      <c r="B195" s="5">
        <v>2023</v>
      </c>
      <c r="C195" s="6">
        <v>45203</v>
      </c>
      <c r="D195" s="5" t="s">
        <v>24</v>
      </c>
      <c r="E195" s="5" t="s">
        <v>25</v>
      </c>
      <c r="F195" s="5">
        <v>1</v>
      </c>
      <c r="G195" s="5" t="s">
        <v>51</v>
      </c>
      <c r="H195" s="5">
        <v>7</v>
      </c>
      <c r="I195" s="5">
        <v>2</v>
      </c>
      <c r="J195" s="5">
        <v>3.5</v>
      </c>
      <c r="K195" s="5" t="s">
        <v>35</v>
      </c>
    </row>
    <row r="196" spans="1:11" ht="15.75" customHeight="1" x14ac:dyDescent="0.25">
      <c r="A196" s="5">
        <v>4</v>
      </c>
      <c r="B196" s="5">
        <v>2023</v>
      </c>
      <c r="C196" s="6">
        <v>45203</v>
      </c>
      <c r="D196" s="5" t="s">
        <v>24</v>
      </c>
      <c r="E196" s="5" t="s">
        <v>25</v>
      </c>
      <c r="F196" s="5">
        <v>1</v>
      </c>
      <c r="G196" s="14" t="s">
        <v>51</v>
      </c>
      <c r="H196" s="5">
        <v>8</v>
      </c>
      <c r="I196" s="5">
        <v>2</v>
      </c>
      <c r="J196" s="5">
        <v>4</v>
      </c>
      <c r="K196" s="5" t="s">
        <v>27</v>
      </c>
    </row>
    <row r="197" spans="1:11" ht="15.75" customHeight="1" x14ac:dyDescent="0.25">
      <c r="A197" s="5">
        <v>4</v>
      </c>
      <c r="B197" s="5">
        <v>2023</v>
      </c>
      <c r="C197" s="6">
        <v>45203</v>
      </c>
      <c r="D197" s="5" t="s">
        <v>24</v>
      </c>
      <c r="E197" s="5" t="s">
        <v>25</v>
      </c>
      <c r="F197" s="5">
        <v>1</v>
      </c>
      <c r="G197" s="5" t="s">
        <v>51</v>
      </c>
      <c r="H197" s="5">
        <v>8</v>
      </c>
      <c r="I197" s="5">
        <v>2</v>
      </c>
      <c r="J197" s="5">
        <v>4</v>
      </c>
      <c r="K197" s="5" t="s">
        <v>52</v>
      </c>
    </row>
    <row r="198" spans="1:11" ht="15.75" customHeight="1" x14ac:dyDescent="0.25">
      <c r="A198" s="5">
        <v>4</v>
      </c>
      <c r="B198" s="5">
        <v>2023</v>
      </c>
      <c r="C198" s="6">
        <v>45203</v>
      </c>
      <c r="D198" s="5" t="s">
        <v>24</v>
      </c>
      <c r="E198" s="5" t="s">
        <v>25</v>
      </c>
      <c r="F198" s="5">
        <v>1</v>
      </c>
      <c r="G198" s="14" t="s">
        <v>51</v>
      </c>
      <c r="H198" s="5">
        <v>9</v>
      </c>
      <c r="I198" s="5">
        <v>2</v>
      </c>
      <c r="J198" s="5">
        <v>4.5</v>
      </c>
      <c r="K198" s="5" t="s">
        <v>27</v>
      </c>
    </row>
    <row r="199" spans="1:11" ht="15.75" customHeight="1" x14ac:dyDescent="0.25">
      <c r="A199" s="5">
        <v>4</v>
      </c>
      <c r="B199" s="5">
        <v>2023</v>
      </c>
      <c r="C199" s="6">
        <v>45203</v>
      </c>
      <c r="D199" s="5" t="s">
        <v>24</v>
      </c>
      <c r="E199" s="5" t="s">
        <v>25</v>
      </c>
      <c r="F199" s="5">
        <v>1</v>
      </c>
      <c r="G199" s="5" t="s">
        <v>51</v>
      </c>
      <c r="H199" s="5">
        <v>10</v>
      </c>
      <c r="I199" s="5">
        <v>2</v>
      </c>
      <c r="J199" s="5">
        <v>5</v>
      </c>
      <c r="K199" s="5" t="s">
        <v>35</v>
      </c>
    </row>
    <row r="200" spans="1:11" ht="15.75" customHeight="1" x14ac:dyDescent="0.25">
      <c r="A200" s="5">
        <v>4</v>
      </c>
      <c r="B200" s="5">
        <v>2023</v>
      </c>
      <c r="C200" s="6">
        <v>45203</v>
      </c>
      <c r="D200" s="5" t="s">
        <v>24</v>
      </c>
      <c r="E200" s="5" t="s">
        <v>25</v>
      </c>
      <c r="F200" s="5">
        <v>1</v>
      </c>
      <c r="G200" s="14" t="s">
        <v>51</v>
      </c>
      <c r="H200" s="5">
        <v>10</v>
      </c>
      <c r="I200" s="5">
        <v>2</v>
      </c>
      <c r="J200" s="5">
        <v>5</v>
      </c>
      <c r="K200" s="5" t="s">
        <v>52</v>
      </c>
    </row>
    <row r="201" spans="1:11" ht="15.75" customHeight="1" x14ac:dyDescent="0.25">
      <c r="A201" s="5">
        <v>4</v>
      </c>
      <c r="B201" s="5">
        <v>2023</v>
      </c>
      <c r="C201" s="6">
        <v>45203</v>
      </c>
      <c r="D201" s="5" t="s">
        <v>24</v>
      </c>
      <c r="E201" s="5" t="s">
        <v>25</v>
      </c>
      <c r="F201" s="5">
        <v>1</v>
      </c>
      <c r="G201" s="5" t="s">
        <v>51</v>
      </c>
      <c r="H201" s="5">
        <v>11</v>
      </c>
      <c r="I201" s="5">
        <v>2</v>
      </c>
      <c r="J201" s="5">
        <v>5.5</v>
      </c>
      <c r="K201" s="5" t="s">
        <v>35</v>
      </c>
    </row>
    <row r="202" spans="1:11" ht="15.75" customHeight="1" x14ac:dyDescent="0.25">
      <c r="A202" s="5">
        <v>4</v>
      </c>
      <c r="B202" s="5">
        <v>2023</v>
      </c>
      <c r="C202" s="6">
        <v>45203</v>
      </c>
      <c r="D202" s="5" t="s">
        <v>24</v>
      </c>
      <c r="E202" s="5" t="s">
        <v>25</v>
      </c>
      <c r="F202" s="5">
        <v>1</v>
      </c>
      <c r="G202" s="14" t="s">
        <v>51</v>
      </c>
      <c r="H202" s="5">
        <v>11</v>
      </c>
      <c r="I202" s="5">
        <v>2</v>
      </c>
      <c r="J202" s="5">
        <v>5.5</v>
      </c>
      <c r="K202" s="5" t="s">
        <v>52</v>
      </c>
    </row>
    <row r="203" spans="1:11" ht="15.75" customHeight="1" x14ac:dyDescent="0.25">
      <c r="A203" s="5">
        <v>4</v>
      </c>
      <c r="B203" s="5">
        <v>2023</v>
      </c>
      <c r="C203" s="6">
        <v>45203</v>
      </c>
      <c r="D203" s="5" t="s">
        <v>24</v>
      </c>
      <c r="E203" s="5" t="s">
        <v>25</v>
      </c>
      <c r="F203" s="5">
        <v>1</v>
      </c>
      <c r="G203" s="5" t="s">
        <v>51</v>
      </c>
      <c r="H203" s="5">
        <v>12</v>
      </c>
      <c r="I203" s="5">
        <v>2</v>
      </c>
      <c r="J203" s="5">
        <v>6</v>
      </c>
      <c r="K203" s="5" t="s">
        <v>35</v>
      </c>
    </row>
    <row r="204" spans="1:11" ht="15.75" customHeight="1" x14ac:dyDescent="0.25">
      <c r="A204" s="5">
        <v>4</v>
      </c>
      <c r="B204" s="5">
        <v>2023</v>
      </c>
      <c r="C204" s="6">
        <v>45203</v>
      </c>
      <c r="D204" s="5" t="s">
        <v>24</v>
      </c>
      <c r="E204" s="5" t="s">
        <v>25</v>
      </c>
      <c r="F204" s="5">
        <v>1</v>
      </c>
      <c r="G204" s="14" t="s">
        <v>51</v>
      </c>
      <c r="H204" s="5">
        <v>13</v>
      </c>
      <c r="I204" s="5">
        <v>2</v>
      </c>
      <c r="J204" s="5">
        <v>6.5</v>
      </c>
      <c r="K204" s="5" t="s">
        <v>27</v>
      </c>
    </row>
    <row r="205" spans="1:11" ht="15.75" customHeight="1" x14ac:dyDescent="0.25">
      <c r="A205" s="5">
        <v>4</v>
      </c>
      <c r="B205" s="5">
        <v>2023</v>
      </c>
      <c r="C205" s="6">
        <v>45203</v>
      </c>
      <c r="D205" s="5" t="s">
        <v>24</v>
      </c>
      <c r="E205" s="5" t="s">
        <v>25</v>
      </c>
      <c r="F205" s="5">
        <v>1</v>
      </c>
      <c r="G205" s="5" t="s">
        <v>51</v>
      </c>
      <c r="H205" s="5">
        <v>13</v>
      </c>
      <c r="I205" s="5">
        <v>2</v>
      </c>
      <c r="J205" s="5">
        <v>6.5</v>
      </c>
      <c r="K205" s="5" t="s">
        <v>48</v>
      </c>
    </row>
    <row r="206" spans="1:11" ht="15.75" customHeight="1" x14ac:dyDescent="0.25">
      <c r="A206" s="5">
        <v>4</v>
      </c>
      <c r="B206" s="5">
        <v>2023</v>
      </c>
      <c r="C206" s="6">
        <v>45203</v>
      </c>
      <c r="D206" s="5" t="s">
        <v>24</v>
      </c>
      <c r="E206" s="5" t="s">
        <v>25</v>
      </c>
      <c r="F206" s="5">
        <v>1</v>
      </c>
      <c r="G206" s="14" t="s">
        <v>51</v>
      </c>
      <c r="H206" s="5">
        <v>14</v>
      </c>
      <c r="I206" s="5">
        <v>2</v>
      </c>
      <c r="J206" s="5">
        <v>7</v>
      </c>
      <c r="K206" s="5" t="s">
        <v>27</v>
      </c>
    </row>
    <row r="207" spans="1:11" ht="15.75" customHeight="1" x14ac:dyDescent="0.25">
      <c r="A207" s="5">
        <v>4</v>
      </c>
      <c r="B207" s="5">
        <v>2023</v>
      </c>
      <c r="C207" s="6">
        <v>45203</v>
      </c>
      <c r="D207" s="5" t="s">
        <v>24</v>
      </c>
      <c r="E207" s="5" t="s">
        <v>25</v>
      </c>
      <c r="F207" s="5">
        <v>1</v>
      </c>
      <c r="G207" s="5" t="s">
        <v>51</v>
      </c>
      <c r="H207" s="5">
        <v>14</v>
      </c>
      <c r="I207" s="5">
        <v>2</v>
      </c>
      <c r="J207" s="5">
        <v>7</v>
      </c>
      <c r="K207" s="5" t="s">
        <v>48</v>
      </c>
    </row>
    <row r="208" spans="1:11" ht="15.75" customHeight="1" x14ac:dyDescent="0.25">
      <c r="A208" s="5">
        <v>4</v>
      </c>
      <c r="B208" s="5">
        <v>2023</v>
      </c>
      <c r="C208" s="6">
        <v>45203</v>
      </c>
      <c r="D208" s="5" t="s">
        <v>24</v>
      </c>
      <c r="E208" s="5" t="s">
        <v>25</v>
      </c>
      <c r="F208" s="5">
        <v>1</v>
      </c>
      <c r="G208" s="14" t="s">
        <v>51</v>
      </c>
      <c r="H208" s="5">
        <v>14</v>
      </c>
      <c r="I208" s="5">
        <v>2</v>
      </c>
      <c r="J208" s="5">
        <v>7</v>
      </c>
      <c r="K208" s="5" t="s">
        <v>29</v>
      </c>
    </row>
    <row r="209" spans="1:11" ht="15.75" customHeight="1" x14ac:dyDescent="0.25">
      <c r="A209" s="5">
        <v>4</v>
      </c>
      <c r="B209" s="5">
        <v>2023</v>
      </c>
      <c r="C209" s="6">
        <v>45203</v>
      </c>
      <c r="D209" s="5" t="s">
        <v>24</v>
      </c>
      <c r="E209" s="5" t="s">
        <v>25</v>
      </c>
      <c r="F209" s="5">
        <v>1</v>
      </c>
      <c r="G209" s="5" t="s">
        <v>51</v>
      </c>
      <c r="H209" s="5">
        <v>15</v>
      </c>
      <c r="I209" s="5">
        <v>2</v>
      </c>
      <c r="J209" s="5">
        <v>7.5</v>
      </c>
      <c r="K209" s="5" t="s">
        <v>27</v>
      </c>
    </row>
    <row r="210" spans="1:11" ht="15.75" customHeight="1" x14ac:dyDescent="0.25">
      <c r="A210" s="5">
        <v>4</v>
      </c>
      <c r="B210" s="5">
        <v>2023</v>
      </c>
      <c r="C210" s="6">
        <v>45203</v>
      </c>
      <c r="D210" s="5" t="s">
        <v>24</v>
      </c>
      <c r="E210" s="5" t="s">
        <v>25</v>
      </c>
      <c r="F210" s="5">
        <v>1</v>
      </c>
      <c r="G210" s="14" t="s">
        <v>51</v>
      </c>
      <c r="H210" s="5">
        <v>15</v>
      </c>
      <c r="I210" s="5">
        <v>2</v>
      </c>
      <c r="J210" s="5">
        <v>7.5</v>
      </c>
      <c r="K210" s="9" t="s">
        <v>48</v>
      </c>
    </row>
    <row r="211" spans="1:11" ht="15.75" customHeight="1" x14ac:dyDescent="0.25">
      <c r="A211" s="5">
        <v>5</v>
      </c>
      <c r="B211" s="5">
        <v>2023</v>
      </c>
      <c r="C211" s="6">
        <v>45203</v>
      </c>
      <c r="D211" s="5" t="s">
        <v>53</v>
      </c>
      <c r="E211" s="5" t="s">
        <v>25</v>
      </c>
      <c r="F211" s="5">
        <v>3</v>
      </c>
      <c r="G211" s="5" t="s">
        <v>26</v>
      </c>
      <c r="H211" s="5">
        <v>1</v>
      </c>
      <c r="I211" s="5">
        <v>1</v>
      </c>
      <c r="J211" s="5">
        <v>0</v>
      </c>
      <c r="K211" s="5" t="s">
        <v>27</v>
      </c>
    </row>
    <row r="212" spans="1:11" ht="15.75" customHeight="1" x14ac:dyDescent="0.25">
      <c r="A212" s="5">
        <v>5</v>
      </c>
      <c r="B212" s="5">
        <v>2023</v>
      </c>
      <c r="C212" s="6">
        <v>45203</v>
      </c>
      <c r="D212" s="5" t="s">
        <v>53</v>
      </c>
      <c r="E212" s="5" t="s">
        <v>25</v>
      </c>
      <c r="F212" s="5">
        <v>3</v>
      </c>
      <c r="G212" s="5" t="s">
        <v>26</v>
      </c>
      <c r="H212" s="5">
        <v>2</v>
      </c>
      <c r="I212" s="5">
        <v>1</v>
      </c>
      <c r="J212" s="5">
        <v>1</v>
      </c>
      <c r="K212" s="5" t="s">
        <v>35</v>
      </c>
    </row>
    <row r="213" spans="1:11" ht="15.75" customHeight="1" x14ac:dyDescent="0.25">
      <c r="A213" s="5">
        <v>5</v>
      </c>
      <c r="B213" s="5">
        <v>2023</v>
      </c>
      <c r="C213" s="6">
        <v>45203</v>
      </c>
      <c r="D213" s="5" t="s">
        <v>53</v>
      </c>
      <c r="E213" s="5" t="s">
        <v>25</v>
      </c>
      <c r="F213" s="5">
        <v>3</v>
      </c>
      <c r="G213" s="5" t="s">
        <v>26</v>
      </c>
      <c r="H213" s="5">
        <v>3</v>
      </c>
      <c r="I213" s="5">
        <v>1</v>
      </c>
      <c r="J213" s="5">
        <v>1.5</v>
      </c>
      <c r="K213" s="5" t="s">
        <v>35</v>
      </c>
    </row>
    <row r="214" spans="1:11" ht="15.75" customHeight="1" x14ac:dyDescent="0.25">
      <c r="A214" s="5">
        <v>5</v>
      </c>
      <c r="B214" s="5">
        <v>2023</v>
      </c>
      <c r="C214" s="6">
        <v>45203</v>
      </c>
      <c r="D214" s="5" t="s">
        <v>53</v>
      </c>
      <c r="E214" s="5" t="s">
        <v>25</v>
      </c>
      <c r="F214" s="5">
        <v>3</v>
      </c>
      <c r="G214" s="5" t="s">
        <v>26</v>
      </c>
      <c r="H214" s="5">
        <v>4</v>
      </c>
      <c r="I214" s="5">
        <v>1</v>
      </c>
      <c r="J214" s="5">
        <v>2</v>
      </c>
      <c r="K214" s="5" t="s">
        <v>35</v>
      </c>
    </row>
    <row r="215" spans="1:11" ht="15.75" customHeight="1" x14ac:dyDescent="0.25">
      <c r="A215" s="5">
        <v>5</v>
      </c>
      <c r="B215" s="5">
        <v>2023</v>
      </c>
      <c r="C215" s="6">
        <v>45203</v>
      </c>
      <c r="D215" s="5" t="s">
        <v>53</v>
      </c>
      <c r="E215" s="5" t="s">
        <v>25</v>
      </c>
      <c r="F215" s="5">
        <v>3</v>
      </c>
      <c r="G215" s="5" t="s">
        <v>26</v>
      </c>
      <c r="H215" s="5">
        <v>5</v>
      </c>
      <c r="I215" s="5">
        <v>1</v>
      </c>
      <c r="J215" s="5">
        <v>3</v>
      </c>
      <c r="K215" s="5" t="s">
        <v>27</v>
      </c>
    </row>
    <row r="216" spans="1:11" ht="15.75" customHeight="1" x14ac:dyDescent="0.25">
      <c r="A216" s="5">
        <v>5</v>
      </c>
      <c r="B216" s="5">
        <v>2023</v>
      </c>
      <c r="C216" s="6">
        <v>45203</v>
      </c>
      <c r="D216" s="5" t="s">
        <v>53</v>
      </c>
      <c r="E216" s="5" t="s">
        <v>25</v>
      </c>
      <c r="F216" s="5">
        <v>3</v>
      </c>
      <c r="G216" s="5" t="s">
        <v>26</v>
      </c>
      <c r="H216" s="5">
        <v>5</v>
      </c>
      <c r="I216" s="5">
        <v>1</v>
      </c>
      <c r="J216" s="5">
        <v>3</v>
      </c>
      <c r="K216" s="5" t="s">
        <v>28</v>
      </c>
    </row>
    <row r="217" spans="1:11" ht="15.75" customHeight="1" x14ac:dyDescent="0.25">
      <c r="A217" s="5">
        <v>5</v>
      </c>
      <c r="B217" s="5">
        <v>2023</v>
      </c>
      <c r="C217" s="6">
        <v>45203</v>
      </c>
      <c r="D217" s="5" t="s">
        <v>53</v>
      </c>
      <c r="E217" s="5" t="s">
        <v>25</v>
      </c>
      <c r="F217" s="5">
        <v>3</v>
      </c>
      <c r="G217" s="5" t="s">
        <v>26</v>
      </c>
      <c r="H217" s="5">
        <v>6</v>
      </c>
      <c r="I217" s="5">
        <v>1</v>
      </c>
      <c r="J217" s="5">
        <v>3.5</v>
      </c>
      <c r="K217" s="5" t="s">
        <v>27</v>
      </c>
    </row>
    <row r="218" spans="1:11" ht="15.75" customHeight="1" x14ac:dyDescent="0.25">
      <c r="A218" s="5">
        <v>5</v>
      </c>
      <c r="B218" s="5">
        <v>2023</v>
      </c>
      <c r="C218" s="6">
        <v>45203</v>
      </c>
      <c r="D218" s="5" t="s">
        <v>53</v>
      </c>
      <c r="E218" s="5" t="s">
        <v>25</v>
      </c>
      <c r="F218" s="5">
        <v>3</v>
      </c>
      <c r="G218" s="5" t="s">
        <v>26</v>
      </c>
      <c r="H218" s="5">
        <v>7</v>
      </c>
      <c r="I218" s="5">
        <v>1</v>
      </c>
      <c r="J218" s="5">
        <v>4</v>
      </c>
      <c r="K218" s="5" t="s">
        <v>32</v>
      </c>
    </row>
    <row r="219" spans="1:11" ht="15.75" customHeight="1" x14ac:dyDescent="0.25">
      <c r="A219" s="5">
        <v>5</v>
      </c>
      <c r="B219" s="5">
        <v>2023</v>
      </c>
      <c r="C219" s="6">
        <v>45203</v>
      </c>
      <c r="D219" s="5" t="s">
        <v>53</v>
      </c>
      <c r="E219" s="5" t="s">
        <v>25</v>
      </c>
      <c r="F219" s="5">
        <v>3</v>
      </c>
      <c r="G219" s="5" t="s">
        <v>26</v>
      </c>
      <c r="H219" s="5">
        <v>7</v>
      </c>
      <c r="I219" s="5">
        <v>1</v>
      </c>
      <c r="J219" s="5">
        <v>4</v>
      </c>
      <c r="K219" s="5" t="s">
        <v>34</v>
      </c>
    </row>
    <row r="220" spans="1:11" ht="15.75" customHeight="1" x14ac:dyDescent="0.25">
      <c r="A220" s="5">
        <v>5</v>
      </c>
      <c r="B220" s="5">
        <v>2023</v>
      </c>
      <c r="C220" s="6">
        <v>45203</v>
      </c>
      <c r="D220" s="5" t="s">
        <v>53</v>
      </c>
      <c r="E220" s="5" t="s">
        <v>25</v>
      </c>
      <c r="F220" s="5">
        <v>3</v>
      </c>
      <c r="G220" s="5" t="s">
        <v>26</v>
      </c>
      <c r="H220" s="5">
        <v>8</v>
      </c>
      <c r="I220" s="5">
        <v>1</v>
      </c>
      <c r="J220" s="5">
        <v>5</v>
      </c>
      <c r="K220" s="5" t="s">
        <v>35</v>
      </c>
    </row>
    <row r="221" spans="1:11" ht="15.75" customHeight="1" x14ac:dyDescent="0.25">
      <c r="A221" s="5">
        <v>5</v>
      </c>
      <c r="B221" s="5">
        <v>2023</v>
      </c>
      <c r="C221" s="6">
        <v>45203</v>
      </c>
      <c r="D221" s="5" t="s">
        <v>53</v>
      </c>
      <c r="E221" s="5" t="s">
        <v>25</v>
      </c>
      <c r="F221" s="5">
        <v>3</v>
      </c>
      <c r="G221" s="5" t="s">
        <v>26</v>
      </c>
      <c r="H221" s="5">
        <v>9</v>
      </c>
      <c r="I221" s="5">
        <v>1</v>
      </c>
      <c r="J221" s="5">
        <v>7</v>
      </c>
      <c r="K221" s="5" t="s">
        <v>35</v>
      </c>
    </row>
    <row r="222" spans="1:11" ht="15.75" customHeight="1" x14ac:dyDescent="0.25">
      <c r="A222" s="5">
        <v>5</v>
      </c>
      <c r="B222" s="5">
        <v>2023</v>
      </c>
      <c r="C222" s="6">
        <v>45203</v>
      </c>
      <c r="D222" s="5" t="s">
        <v>53</v>
      </c>
      <c r="E222" s="5" t="s">
        <v>25</v>
      </c>
      <c r="F222" s="5">
        <v>3</v>
      </c>
      <c r="G222" s="5" t="s">
        <v>26</v>
      </c>
      <c r="H222" s="5">
        <v>10</v>
      </c>
      <c r="I222" s="5">
        <v>1</v>
      </c>
      <c r="J222" s="5">
        <v>8</v>
      </c>
      <c r="K222" s="5" t="s">
        <v>32</v>
      </c>
    </row>
    <row r="223" spans="1:11" ht="15.75" customHeight="1" x14ac:dyDescent="0.25">
      <c r="A223" s="5">
        <v>5</v>
      </c>
      <c r="B223" s="5">
        <v>2023</v>
      </c>
      <c r="C223" s="6">
        <v>45203</v>
      </c>
      <c r="D223" s="5" t="s">
        <v>53</v>
      </c>
      <c r="E223" s="5" t="s">
        <v>25</v>
      </c>
      <c r="F223" s="5">
        <v>3</v>
      </c>
      <c r="G223" s="5" t="s">
        <v>26</v>
      </c>
      <c r="H223" s="5">
        <v>10</v>
      </c>
      <c r="I223" s="5">
        <v>1</v>
      </c>
      <c r="J223" s="5">
        <v>8</v>
      </c>
      <c r="K223" s="10" t="s">
        <v>28</v>
      </c>
    </row>
    <row r="224" spans="1:11" ht="15.75" customHeight="1" x14ac:dyDescent="0.25">
      <c r="A224" s="5">
        <v>5</v>
      </c>
      <c r="B224" s="5">
        <v>2023</v>
      </c>
      <c r="C224" s="6">
        <v>45203</v>
      </c>
      <c r="D224" s="5" t="s">
        <v>53</v>
      </c>
      <c r="E224" s="5" t="s">
        <v>25</v>
      </c>
      <c r="F224" s="5">
        <v>3</v>
      </c>
      <c r="G224" s="5" t="s">
        <v>26</v>
      </c>
      <c r="H224" s="5">
        <v>11</v>
      </c>
      <c r="I224" s="5">
        <v>1</v>
      </c>
      <c r="J224" s="5">
        <v>8.5</v>
      </c>
      <c r="K224" s="5" t="s">
        <v>35</v>
      </c>
    </row>
    <row r="225" spans="1:11" ht="15.75" customHeight="1" x14ac:dyDescent="0.25">
      <c r="A225" s="5">
        <v>5</v>
      </c>
      <c r="B225" s="5">
        <v>2023</v>
      </c>
      <c r="C225" s="6">
        <v>45203</v>
      </c>
      <c r="D225" s="5" t="s">
        <v>53</v>
      </c>
      <c r="E225" s="5" t="s">
        <v>25</v>
      </c>
      <c r="F225" s="5">
        <v>3</v>
      </c>
      <c r="G225" s="5" t="s">
        <v>26</v>
      </c>
      <c r="H225" s="5">
        <v>12</v>
      </c>
      <c r="I225" s="5">
        <v>1</v>
      </c>
      <c r="J225" s="5">
        <v>9</v>
      </c>
      <c r="K225" s="5" t="s">
        <v>27</v>
      </c>
    </row>
    <row r="226" spans="1:11" ht="15.75" customHeight="1" x14ac:dyDescent="0.25">
      <c r="A226" s="5">
        <v>5</v>
      </c>
      <c r="B226" s="5">
        <v>2023</v>
      </c>
      <c r="C226" s="6">
        <v>45203</v>
      </c>
      <c r="D226" s="5" t="s">
        <v>53</v>
      </c>
      <c r="E226" s="5" t="s">
        <v>25</v>
      </c>
      <c r="F226" s="5">
        <v>3</v>
      </c>
      <c r="G226" s="5" t="s">
        <v>26</v>
      </c>
      <c r="H226" s="5">
        <v>13</v>
      </c>
      <c r="I226" s="5">
        <v>1</v>
      </c>
      <c r="J226" s="5">
        <v>10</v>
      </c>
      <c r="K226" s="5" t="s">
        <v>27</v>
      </c>
    </row>
    <row r="227" spans="1:11" ht="15.75" customHeight="1" x14ac:dyDescent="0.25">
      <c r="A227" s="5">
        <v>5</v>
      </c>
      <c r="B227" s="5">
        <v>2023</v>
      </c>
      <c r="C227" s="6">
        <v>45203</v>
      </c>
      <c r="D227" s="5" t="s">
        <v>53</v>
      </c>
      <c r="E227" s="5" t="s">
        <v>25</v>
      </c>
      <c r="F227" s="5">
        <v>3</v>
      </c>
      <c r="G227" s="5" t="s">
        <v>26</v>
      </c>
      <c r="H227" s="5">
        <v>13</v>
      </c>
      <c r="I227" s="5">
        <v>1</v>
      </c>
      <c r="J227" s="5">
        <v>10</v>
      </c>
      <c r="K227" s="5" t="s">
        <v>54</v>
      </c>
    </row>
    <row r="228" spans="1:11" ht="15.75" customHeight="1" x14ac:dyDescent="0.25">
      <c r="A228" s="5">
        <v>5</v>
      </c>
      <c r="B228" s="5">
        <v>2023</v>
      </c>
      <c r="C228" s="6">
        <v>45203</v>
      </c>
      <c r="D228" s="5" t="s">
        <v>53</v>
      </c>
      <c r="E228" s="5" t="s">
        <v>25</v>
      </c>
      <c r="F228" s="5">
        <v>3</v>
      </c>
      <c r="G228" s="5" t="s">
        <v>26</v>
      </c>
      <c r="H228" s="5">
        <v>14</v>
      </c>
      <c r="I228" s="5">
        <v>1</v>
      </c>
      <c r="J228" s="5">
        <v>11</v>
      </c>
      <c r="K228" s="5" t="s">
        <v>35</v>
      </c>
    </row>
    <row r="229" spans="1:11" ht="15.75" customHeight="1" x14ac:dyDescent="0.25">
      <c r="A229" s="5">
        <v>5</v>
      </c>
      <c r="B229" s="5">
        <v>2023</v>
      </c>
      <c r="C229" s="6">
        <v>45203</v>
      </c>
      <c r="D229" s="5" t="s">
        <v>53</v>
      </c>
      <c r="E229" s="5" t="s">
        <v>25</v>
      </c>
      <c r="F229" s="5">
        <v>3</v>
      </c>
      <c r="G229" s="5" t="s">
        <v>26</v>
      </c>
      <c r="H229" s="5">
        <v>15</v>
      </c>
      <c r="I229" s="5">
        <v>1</v>
      </c>
      <c r="J229" s="5">
        <v>12</v>
      </c>
      <c r="K229" s="5" t="s">
        <v>27</v>
      </c>
    </row>
    <row r="230" spans="1:11" ht="15.75" customHeight="1" x14ac:dyDescent="0.25">
      <c r="A230" s="5">
        <v>5</v>
      </c>
      <c r="B230" s="5">
        <v>2023</v>
      </c>
      <c r="C230" s="6">
        <v>45203</v>
      </c>
      <c r="D230" s="5" t="s">
        <v>53</v>
      </c>
      <c r="E230" s="5" t="s">
        <v>25</v>
      </c>
      <c r="F230" s="5">
        <v>3</v>
      </c>
      <c r="G230" s="5" t="s">
        <v>26</v>
      </c>
      <c r="H230" s="5">
        <v>1</v>
      </c>
      <c r="I230" s="5">
        <v>2</v>
      </c>
      <c r="J230" s="5">
        <v>0</v>
      </c>
      <c r="K230" s="5" t="s">
        <v>27</v>
      </c>
    </row>
    <row r="231" spans="1:11" ht="15.75" customHeight="1" x14ac:dyDescent="0.25">
      <c r="A231" s="5">
        <v>5</v>
      </c>
      <c r="B231" s="5">
        <v>2023</v>
      </c>
      <c r="C231" s="6">
        <v>45203</v>
      </c>
      <c r="D231" s="5" t="s">
        <v>53</v>
      </c>
      <c r="E231" s="5" t="s">
        <v>25</v>
      </c>
      <c r="F231" s="5">
        <v>3</v>
      </c>
      <c r="G231" s="5" t="s">
        <v>26</v>
      </c>
      <c r="H231" s="5">
        <v>1</v>
      </c>
      <c r="I231" s="5">
        <v>2</v>
      </c>
      <c r="J231" s="5">
        <v>0</v>
      </c>
      <c r="K231" s="5" t="s">
        <v>34</v>
      </c>
    </row>
    <row r="232" spans="1:11" ht="15.75" customHeight="1" x14ac:dyDescent="0.25">
      <c r="A232" s="5">
        <v>5</v>
      </c>
      <c r="B232" s="5">
        <v>2023</v>
      </c>
      <c r="C232" s="6">
        <v>45203</v>
      </c>
      <c r="D232" s="5" t="s">
        <v>53</v>
      </c>
      <c r="E232" s="5" t="s">
        <v>25</v>
      </c>
      <c r="F232" s="5">
        <v>3</v>
      </c>
      <c r="G232" s="5" t="s">
        <v>26</v>
      </c>
      <c r="H232" s="5">
        <v>1</v>
      </c>
      <c r="I232" s="5">
        <v>2</v>
      </c>
      <c r="J232" s="5">
        <v>0</v>
      </c>
      <c r="K232" s="5" t="s">
        <v>30</v>
      </c>
    </row>
    <row r="233" spans="1:11" ht="15.75" customHeight="1" x14ac:dyDescent="0.25">
      <c r="A233" s="5">
        <v>5</v>
      </c>
      <c r="B233" s="5">
        <v>2023</v>
      </c>
      <c r="C233" s="6">
        <v>45203</v>
      </c>
      <c r="D233" s="5" t="s">
        <v>53</v>
      </c>
      <c r="E233" s="5" t="s">
        <v>25</v>
      </c>
      <c r="F233" s="5">
        <v>3</v>
      </c>
      <c r="G233" s="5" t="s">
        <v>26</v>
      </c>
      <c r="H233" s="5">
        <v>2</v>
      </c>
      <c r="I233" s="5">
        <v>2</v>
      </c>
      <c r="J233" s="5">
        <v>1</v>
      </c>
      <c r="K233" s="5" t="s">
        <v>27</v>
      </c>
    </row>
    <row r="234" spans="1:11" ht="15.75" customHeight="1" x14ac:dyDescent="0.25">
      <c r="A234" s="5">
        <v>5</v>
      </c>
      <c r="B234" s="5">
        <v>2023</v>
      </c>
      <c r="C234" s="6">
        <v>45203</v>
      </c>
      <c r="D234" s="5" t="s">
        <v>53</v>
      </c>
      <c r="E234" s="5" t="s">
        <v>25</v>
      </c>
      <c r="F234" s="5">
        <v>3</v>
      </c>
      <c r="G234" s="5" t="s">
        <v>26</v>
      </c>
      <c r="H234" s="5">
        <v>2</v>
      </c>
      <c r="I234" s="5">
        <v>2</v>
      </c>
      <c r="J234" s="5">
        <v>1</v>
      </c>
      <c r="K234" s="5" t="s">
        <v>34</v>
      </c>
    </row>
    <row r="235" spans="1:11" ht="15.75" customHeight="1" x14ac:dyDescent="0.25">
      <c r="A235" s="5">
        <v>5</v>
      </c>
      <c r="B235" s="5">
        <v>2023</v>
      </c>
      <c r="C235" s="6">
        <v>45203</v>
      </c>
      <c r="D235" s="5" t="s">
        <v>53</v>
      </c>
      <c r="E235" s="5" t="s">
        <v>25</v>
      </c>
      <c r="F235" s="5">
        <v>3</v>
      </c>
      <c r="G235" s="5" t="s">
        <v>26</v>
      </c>
      <c r="H235" s="5">
        <v>2</v>
      </c>
      <c r="I235" s="5">
        <v>2</v>
      </c>
      <c r="J235" s="5">
        <v>1</v>
      </c>
      <c r="K235" s="5" t="s">
        <v>28</v>
      </c>
    </row>
    <row r="236" spans="1:11" ht="15.75" customHeight="1" x14ac:dyDescent="0.25">
      <c r="A236" s="5">
        <v>5</v>
      </c>
      <c r="B236" s="5">
        <v>2023</v>
      </c>
      <c r="C236" s="6">
        <v>45203</v>
      </c>
      <c r="D236" s="5" t="s">
        <v>53</v>
      </c>
      <c r="E236" s="5" t="s">
        <v>25</v>
      </c>
      <c r="F236" s="5">
        <v>3</v>
      </c>
      <c r="G236" s="5" t="s">
        <v>26</v>
      </c>
      <c r="H236" s="5">
        <v>3</v>
      </c>
      <c r="I236" s="5">
        <v>2</v>
      </c>
      <c r="J236" s="5">
        <v>1.5</v>
      </c>
      <c r="K236" s="5" t="s">
        <v>32</v>
      </c>
    </row>
    <row r="237" spans="1:11" ht="15.75" customHeight="1" x14ac:dyDescent="0.25">
      <c r="A237" s="5">
        <v>5</v>
      </c>
      <c r="B237" s="5">
        <v>2023</v>
      </c>
      <c r="C237" s="6">
        <v>45203</v>
      </c>
      <c r="D237" s="5" t="s">
        <v>53</v>
      </c>
      <c r="E237" s="5" t="s">
        <v>25</v>
      </c>
      <c r="F237" s="5">
        <v>3</v>
      </c>
      <c r="G237" s="5" t="s">
        <v>26</v>
      </c>
      <c r="H237" s="5">
        <v>3</v>
      </c>
      <c r="I237" s="5">
        <v>2</v>
      </c>
      <c r="J237" s="5">
        <v>1.5</v>
      </c>
      <c r="K237" s="5" t="s">
        <v>30</v>
      </c>
    </row>
    <row r="238" spans="1:11" ht="15.75" customHeight="1" x14ac:dyDescent="0.25">
      <c r="A238" s="5">
        <v>5</v>
      </c>
      <c r="B238" s="5">
        <v>2023</v>
      </c>
      <c r="C238" s="6">
        <v>45203</v>
      </c>
      <c r="D238" s="5" t="s">
        <v>53</v>
      </c>
      <c r="E238" s="5" t="s">
        <v>25</v>
      </c>
      <c r="F238" s="5">
        <v>3</v>
      </c>
      <c r="G238" s="5" t="s">
        <v>26</v>
      </c>
      <c r="H238" s="5">
        <v>3</v>
      </c>
      <c r="I238" s="5">
        <v>2</v>
      </c>
      <c r="J238" s="5">
        <v>1.5</v>
      </c>
      <c r="K238" s="5" t="s">
        <v>28</v>
      </c>
    </row>
    <row r="239" spans="1:11" ht="15.75" customHeight="1" x14ac:dyDescent="0.25">
      <c r="A239" s="5">
        <v>5</v>
      </c>
      <c r="B239" s="5">
        <v>2023</v>
      </c>
      <c r="C239" s="6">
        <v>45203</v>
      </c>
      <c r="D239" s="5" t="s">
        <v>53</v>
      </c>
      <c r="E239" s="5" t="s">
        <v>25</v>
      </c>
      <c r="F239" s="5">
        <v>3</v>
      </c>
      <c r="G239" s="5" t="s">
        <v>26</v>
      </c>
      <c r="H239" s="5">
        <v>4</v>
      </c>
      <c r="I239" s="5">
        <v>2</v>
      </c>
      <c r="J239" s="5">
        <v>2</v>
      </c>
      <c r="K239" s="5" t="s">
        <v>32</v>
      </c>
    </row>
    <row r="240" spans="1:11" ht="15.75" customHeight="1" x14ac:dyDescent="0.25">
      <c r="A240" s="5">
        <v>5</v>
      </c>
      <c r="B240" s="5">
        <v>2023</v>
      </c>
      <c r="C240" s="6">
        <v>45203</v>
      </c>
      <c r="D240" s="5" t="s">
        <v>53</v>
      </c>
      <c r="E240" s="5" t="s">
        <v>25</v>
      </c>
      <c r="F240" s="5">
        <v>3</v>
      </c>
      <c r="G240" s="5" t="s">
        <v>26</v>
      </c>
      <c r="H240" s="5">
        <v>4</v>
      </c>
      <c r="I240" s="5">
        <v>2</v>
      </c>
      <c r="J240" s="5">
        <v>2</v>
      </c>
      <c r="K240" s="5" t="s">
        <v>28</v>
      </c>
    </row>
    <row r="241" spans="1:26" ht="15.75" customHeight="1" x14ac:dyDescent="0.25">
      <c r="A241" s="5">
        <v>5</v>
      </c>
      <c r="B241" s="5">
        <v>2023</v>
      </c>
      <c r="C241" s="6">
        <v>45203</v>
      </c>
      <c r="D241" s="5" t="s">
        <v>53</v>
      </c>
      <c r="E241" s="5" t="s">
        <v>25</v>
      </c>
      <c r="F241" s="5">
        <v>3</v>
      </c>
      <c r="G241" s="5" t="s">
        <v>26</v>
      </c>
      <c r="H241" s="5">
        <v>5</v>
      </c>
      <c r="I241" s="5">
        <v>2</v>
      </c>
      <c r="J241" s="5">
        <v>3</v>
      </c>
      <c r="K241" s="5" t="s">
        <v>27</v>
      </c>
    </row>
    <row r="242" spans="1:26" ht="15.75" customHeight="1" x14ac:dyDescent="0.25">
      <c r="A242" s="5">
        <v>5</v>
      </c>
      <c r="B242" s="5">
        <v>2023</v>
      </c>
      <c r="C242" s="6">
        <v>45203</v>
      </c>
      <c r="D242" s="5" t="s">
        <v>53</v>
      </c>
      <c r="E242" s="5" t="s">
        <v>25</v>
      </c>
      <c r="F242" s="5">
        <v>3</v>
      </c>
      <c r="G242" s="5" t="s">
        <v>26</v>
      </c>
      <c r="H242" s="5">
        <v>5</v>
      </c>
      <c r="I242" s="5">
        <v>2</v>
      </c>
      <c r="J242" s="5">
        <v>3</v>
      </c>
      <c r="K242" s="5" t="s">
        <v>28</v>
      </c>
    </row>
    <row r="243" spans="1:26" ht="15.75" customHeight="1" x14ac:dyDescent="0.25">
      <c r="A243" s="5">
        <v>5</v>
      </c>
      <c r="B243" s="5">
        <v>2023</v>
      </c>
      <c r="C243" s="6">
        <v>45203</v>
      </c>
      <c r="D243" s="5" t="s">
        <v>53</v>
      </c>
      <c r="E243" s="5" t="s">
        <v>25</v>
      </c>
      <c r="F243" s="5">
        <v>3</v>
      </c>
      <c r="G243" s="5" t="s">
        <v>26</v>
      </c>
      <c r="H243" s="5">
        <v>6</v>
      </c>
      <c r="I243" s="5">
        <v>2</v>
      </c>
      <c r="J243" s="5">
        <v>3.5</v>
      </c>
      <c r="K243" s="5" t="s">
        <v>32</v>
      </c>
    </row>
    <row r="244" spans="1:26" ht="15.75" customHeight="1" x14ac:dyDescent="0.25">
      <c r="A244" s="5">
        <v>5</v>
      </c>
      <c r="B244" s="5">
        <v>2023</v>
      </c>
      <c r="C244" s="6">
        <v>45203</v>
      </c>
      <c r="D244" s="5" t="s">
        <v>53</v>
      </c>
      <c r="E244" s="5" t="s">
        <v>25</v>
      </c>
      <c r="F244" s="5">
        <v>3</v>
      </c>
      <c r="G244" s="5" t="s">
        <v>26</v>
      </c>
      <c r="H244" s="5">
        <v>6</v>
      </c>
      <c r="I244" s="5">
        <v>2</v>
      </c>
      <c r="J244" s="5">
        <v>3.5</v>
      </c>
      <c r="K244" s="5" t="s">
        <v>28</v>
      </c>
    </row>
    <row r="245" spans="1:26" ht="15.75" customHeight="1" x14ac:dyDescent="0.25">
      <c r="A245" s="5">
        <v>5</v>
      </c>
      <c r="B245" s="5">
        <v>2023</v>
      </c>
      <c r="C245" s="6">
        <v>45203</v>
      </c>
      <c r="D245" s="5" t="s">
        <v>53</v>
      </c>
      <c r="E245" s="5" t="s">
        <v>25</v>
      </c>
      <c r="F245" s="5">
        <v>3</v>
      </c>
      <c r="G245" s="5" t="s">
        <v>26</v>
      </c>
      <c r="H245" s="5">
        <v>6</v>
      </c>
      <c r="I245" s="5">
        <v>2</v>
      </c>
      <c r="J245" s="5">
        <v>3.5</v>
      </c>
      <c r="K245" s="5" t="s">
        <v>55</v>
      </c>
    </row>
    <row r="246" spans="1:26" ht="15.75" customHeight="1" x14ac:dyDescent="0.25">
      <c r="A246" s="5">
        <v>5</v>
      </c>
      <c r="B246" s="5">
        <v>2023</v>
      </c>
      <c r="C246" s="6">
        <v>45203</v>
      </c>
      <c r="D246" s="5" t="s">
        <v>53</v>
      </c>
      <c r="E246" s="5" t="s">
        <v>25</v>
      </c>
      <c r="F246" s="5">
        <v>3</v>
      </c>
      <c r="G246" s="5" t="s">
        <v>26</v>
      </c>
      <c r="H246" s="5">
        <v>7</v>
      </c>
      <c r="I246" s="11">
        <v>2</v>
      </c>
      <c r="J246" s="5">
        <v>4</v>
      </c>
      <c r="K246" s="5" t="s">
        <v>27</v>
      </c>
    </row>
    <row r="247" spans="1:26" ht="15.75" customHeight="1" x14ac:dyDescent="0.25">
      <c r="A247" s="5">
        <v>5</v>
      </c>
      <c r="B247" s="5">
        <v>2023</v>
      </c>
      <c r="C247" s="6">
        <v>45203</v>
      </c>
      <c r="D247" s="5" t="s">
        <v>53</v>
      </c>
      <c r="E247" s="5" t="s">
        <v>25</v>
      </c>
      <c r="F247" s="5">
        <v>3</v>
      </c>
      <c r="G247" s="5" t="s">
        <v>26</v>
      </c>
      <c r="H247" s="5">
        <v>7</v>
      </c>
      <c r="I247" s="11">
        <v>2</v>
      </c>
      <c r="J247" s="5">
        <v>4</v>
      </c>
      <c r="K247" s="5" t="s">
        <v>28</v>
      </c>
    </row>
    <row r="248" spans="1:26" ht="15.75" customHeight="1" x14ac:dyDescent="0.25">
      <c r="A248" s="5">
        <v>5</v>
      </c>
      <c r="B248" s="5">
        <v>2023</v>
      </c>
      <c r="C248" s="6">
        <v>45203</v>
      </c>
      <c r="D248" s="5" t="s">
        <v>53</v>
      </c>
      <c r="E248" s="5" t="s">
        <v>25</v>
      </c>
      <c r="F248" s="5">
        <v>3</v>
      </c>
      <c r="G248" s="5" t="s">
        <v>26</v>
      </c>
      <c r="H248" s="5">
        <v>8</v>
      </c>
      <c r="I248" s="11">
        <v>2</v>
      </c>
      <c r="J248" s="5">
        <v>5</v>
      </c>
      <c r="K248" s="5" t="s">
        <v>32</v>
      </c>
    </row>
    <row r="249" spans="1:26" ht="15.75" customHeight="1" x14ac:dyDescent="0.25">
      <c r="A249" s="5">
        <v>5</v>
      </c>
      <c r="B249" s="5">
        <v>2023</v>
      </c>
      <c r="C249" s="6">
        <v>45203</v>
      </c>
      <c r="D249" s="5" t="s">
        <v>53</v>
      </c>
      <c r="E249" s="5" t="s">
        <v>25</v>
      </c>
      <c r="F249" s="5">
        <v>3</v>
      </c>
      <c r="G249" s="5" t="s">
        <v>26</v>
      </c>
      <c r="H249" s="5">
        <v>9</v>
      </c>
      <c r="I249" s="11">
        <v>2</v>
      </c>
      <c r="J249" s="5">
        <v>7</v>
      </c>
      <c r="K249" s="5" t="s">
        <v>27</v>
      </c>
    </row>
    <row r="250" spans="1:26" ht="15.75" customHeight="1" x14ac:dyDescent="0.25">
      <c r="A250" s="5">
        <v>5</v>
      </c>
      <c r="B250" s="5">
        <v>2023</v>
      </c>
      <c r="C250" s="6">
        <v>45203</v>
      </c>
      <c r="D250" s="5" t="s">
        <v>53</v>
      </c>
      <c r="E250" s="5" t="s">
        <v>25</v>
      </c>
      <c r="F250" s="5">
        <v>3</v>
      </c>
      <c r="G250" s="5" t="s">
        <v>26</v>
      </c>
      <c r="H250" s="5">
        <v>9</v>
      </c>
      <c r="I250" s="11">
        <v>2</v>
      </c>
      <c r="J250" s="5">
        <v>7</v>
      </c>
      <c r="K250" s="5" t="s">
        <v>28</v>
      </c>
    </row>
    <row r="251" spans="1:26" ht="15.75" customHeight="1" x14ac:dyDescent="0.25">
      <c r="A251" s="5">
        <v>5</v>
      </c>
      <c r="B251" s="5">
        <v>2023</v>
      </c>
      <c r="C251" s="6">
        <v>45203</v>
      </c>
      <c r="D251" s="5" t="s">
        <v>53</v>
      </c>
      <c r="E251" s="5" t="s">
        <v>25</v>
      </c>
      <c r="F251" s="5">
        <v>3</v>
      </c>
      <c r="G251" s="5" t="s">
        <v>26</v>
      </c>
      <c r="H251" s="5">
        <v>10</v>
      </c>
      <c r="I251" s="11">
        <v>2</v>
      </c>
      <c r="J251" s="5">
        <v>8</v>
      </c>
      <c r="K251" s="5" t="s">
        <v>27</v>
      </c>
    </row>
    <row r="252" spans="1:26" ht="15.75" customHeight="1" x14ac:dyDescent="0.25">
      <c r="A252" s="11">
        <v>5</v>
      </c>
      <c r="B252" s="11">
        <v>2023</v>
      </c>
      <c r="C252" s="18">
        <v>45203</v>
      </c>
      <c r="D252" s="8" t="s">
        <v>53</v>
      </c>
      <c r="E252" s="8" t="s">
        <v>25</v>
      </c>
      <c r="F252" s="11">
        <v>3</v>
      </c>
      <c r="G252" s="8" t="s">
        <v>26</v>
      </c>
      <c r="H252" s="11">
        <v>11</v>
      </c>
      <c r="I252" s="11">
        <v>2</v>
      </c>
      <c r="J252" s="11">
        <v>8.5</v>
      </c>
      <c r="K252" s="8" t="s">
        <v>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5">
        <v>5</v>
      </c>
      <c r="B253" s="5">
        <v>2023</v>
      </c>
      <c r="C253" s="6">
        <v>45203</v>
      </c>
      <c r="D253" s="5" t="s">
        <v>53</v>
      </c>
      <c r="E253" s="5" t="s">
        <v>25</v>
      </c>
      <c r="F253" s="5">
        <v>3</v>
      </c>
      <c r="G253" s="5" t="s">
        <v>26</v>
      </c>
      <c r="H253" s="5">
        <v>11</v>
      </c>
      <c r="I253" s="11">
        <v>2</v>
      </c>
      <c r="J253" s="5">
        <v>8.5</v>
      </c>
      <c r="K253" s="5" t="s">
        <v>48</v>
      </c>
    </row>
    <row r="254" spans="1:26" ht="15.75" customHeight="1" x14ac:dyDescent="0.25">
      <c r="A254" s="5">
        <v>5</v>
      </c>
      <c r="B254" s="5">
        <v>2023</v>
      </c>
      <c r="C254" s="6">
        <v>45203</v>
      </c>
      <c r="D254" s="5" t="s">
        <v>53</v>
      </c>
      <c r="E254" s="5" t="s">
        <v>25</v>
      </c>
      <c r="F254" s="5">
        <v>3</v>
      </c>
      <c r="G254" s="5" t="s">
        <v>26</v>
      </c>
      <c r="H254" s="5">
        <v>12</v>
      </c>
      <c r="I254" s="11">
        <v>2</v>
      </c>
      <c r="J254" s="5">
        <v>9</v>
      </c>
      <c r="K254" s="5" t="s">
        <v>32</v>
      </c>
    </row>
    <row r="255" spans="1:26" ht="15.75" customHeight="1" x14ac:dyDescent="0.25">
      <c r="A255" s="5">
        <v>5</v>
      </c>
      <c r="B255" s="5">
        <v>2023</v>
      </c>
      <c r="C255" s="6">
        <v>45203</v>
      </c>
      <c r="D255" s="5" t="s">
        <v>53</v>
      </c>
      <c r="E255" s="5" t="s">
        <v>25</v>
      </c>
      <c r="F255" s="5">
        <v>3</v>
      </c>
      <c r="G255" s="5" t="s">
        <v>26</v>
      </c>
      <c r="H255" s="5">
        <v>12</v>
      </c>
      <c r="I255" s="11">
        <v>2</v>
      </c>
      <c r="J255" s="5">
        <v>9</v>
      </c>
      <c r="K255" s="5" t="s">
        <v>48</v>
      </c>
    </row>
    <row r="256" spans="1:26" ht="15.75" customHeight="1" x14ac:dyDescent="0.25">
      <c r="A256" s="5">
        <v>5</v>
      </c>
      <c r="B256" s="5">
        <v>2023</v>
      </c>
      <c r="C256" s="6">
        <v>45203</v>
      </c>
      <c r="D256" s="5" t="s">
        <v>53</v>
      </c>
      <c r="E256" s="5" t="s">
        <v>25</v>
      </c>
      <c r="F256" s="5">
        <v>3</v>
      </c>
      <c r="G256" s="5" t="s">
        <v>26</v>
      </c>
      <c r="H256" s="5">
        <v>13</v>
      </c>
      <c r="I256" s="11">
        <v>2</v>
      </c>
      <c r="J256" s="5">
        <v>10</v>
      </c>
      <c r="K256" s="5" t="s">
        <v>27</v>
      </c>
    </row>
    <row r="257" spans="1:11" ht="15.75" customHeight="1" x14ac:dyDescent="0.25">
      <c r="A257" s="5">
        <v>5</v>
      </c>
      <c r="B257" s="5">
        <v>2023</v>
      </c>
      <c r="C257" s="6">
        <v>45203</v>
      </c>
      <c r="D257" s="5" t="s">
        <v>53</v>
      </c>
      <c r="E257" s="5" t="s">
        <v>25</v>
      </c>
      <c r="F257" s="5">
        <v>3</v>
      </c>
      <c r="G257" s="5" t="s">
        <v>26</v>
      </c>
      <c r="H257" s="5">
        <v>13</v>
      </c>
      <c r="I257" s="11">
        <v>2</v>
      </c>
      <c r="J257" s="5">
        <v>10</v>
      </c>
      <c r="K257" s="5" t="s">
        <v>48</v>
      </c>
    </row>
    <row r="258" spans="1:11" ht="15.75" customHeight="1" x14ac:dyDescent="0.25">
      <c r="A258" s="5">
        <v>5</v>
      </c>
      <c r="B258" s="5">
        <v>2023</v>
      </c>
      <c r="C258" s="6">
        <v>45203</v>
      </c>
      <c r="D258" s="5" t="s">
        <v>53</v>
      </c>
      <c r="E258" s="5" t="s">
        <v>25</v>
      </c>
      <c r="F258" s="5">
        <v>3</v>
      </c>
      <c r="G258" s="5" t="s">
        <v>26</v>
      </c>
      <c r="H258" s="5">
        <v>14</v>
      </c>
      <c r="I258" s="11">
        <v>2</v>
      </c>
      <c r="J258" s="5">
        <v>11</v>
      </c>
      <c r="K258" s="5" t="s">
        <v>35</v>
      </c>
    </row>
    <row r="259" spans="1:11" ht="15.75" customHeight="1" x14ac:dyDescent="0.25">
      <c r="A259" s="5">
        <v>5</v>
      </c>
      <c r="B259" s="5">
        <v>2023</v>
      </c>
      <c r="C259" s="6">
        <v>45203</v>
      </c>
      <c r="D259" s="5" t="s">
        <v>53</v>
      </c>
      <c r="E259" s="5" t="s">
        <v>25</v>
      </c>
      <c r="F259" s="5">
        <v>3</v>
      </c>
      <c r="G259" s="5" t="s">
        <v>26</v>
      </c>
      <c r="H259" s="5">
        <v>14</v>
      </c>
      <c r="I259" s="11">
        <v>2</v>
      </c>
      <c r="J259" s="5">
        <v>11</v>
      </c>
      <c r="K259" s="5" t="s">
        <v>48</v>
      </c>
    </row>
    <row r="260" spans="1:11" ht="15.75" customHeight="1" x14ac:dyDescent="0.25">
      <c r="A260" s="5">
        <v>5</v>
      </c>
      <c r="B260" s="5">
        <v>2023</v>
      </c>
      <c r="C260" s="6">
        <v>45203</v>
      </c>
      <c r="D260" s="5" t="s">
        <v>53</v>
      </c>
      <c r="E260" s="5" t="s">
        <v>25</v>
      </c>
      <c r="F260" s="5">
        <v>3</v>
      </c>
      <c r="G260" s="5" t="s">
        <v>26</v>
      </c>
      <c r="H260" s="5">
        <v>15</v>
      </c>
      <c r="I260" s="11">
        <v>2</v>
      </c>
      <c r="J260" s="5">
        <v>12</v>
      </c>
      <c r="K260" s="5" t="s">
        <v>27</v>
      </c>
    </row>
    <row r="261" spans="1:11" ht="15.75" customHeight="1" x14ac:dyDescent="0.25">
      <c r="A261" s="5">
        <v>5</v>
      </c>
      <c r="B261" s="5">
        <v>2023</v>
      </c>
      <c r="C261" s="6">
        <v>45203</v>
      </c>
      <c r="D261" s="5" t="s">
        <v>53</v>
      </c>
      <c r="E261" s="5" t="s">
        <v>25</v>
      </c>
      <c r="F261" s="5">
        <v>3</v>
      </c>
      <c r="G261" s="5" t="s">
        <v>26</v>
      </c>
      <c r="H261" s="5">
        <v>15</v>
      </c>
      <c r="I261" s="11">
        <v>2</v>
      </c>
      <c r="J261" s="5">
        <v>12</v>
      </c>
      <c r="K261" s="5" t="s">
        <v>56</v>
      </c>
    </row>
    <row r="262" spans="1:11" ht="15.75" customHeight="1" x14ac:dyDescent="0.25">
      <c r="A262" s="5">
        <v>6</v>
      </c>
      <c r="B262" s="5">
        <v>2023</v>
      </c>
      <c r="C262" s="6">
        <v>45203</v>
      </c>
      <c r="D262" s="5" t="s">
        <v>53</v>
      </c>
      <c r="E262" s="5" t="s">
        <v>25</v>
      </c>
      <c r="F262" s="5">
        <v>3</v>
      </c>
      <c r="G262" s="5" t="s">
        <v>36</v>
      </c>
      <c r="H262" s="5">
        <v>1</v>
      </c>
      <c r="I262" s="5">
        <v>1</v>
      </c>
      <c r="J262" s="5">
        <v>0</v>
      </c>
      <c r="K262" s="5" t="s">
        <v>35</v>
      </c>
    </row>
    <row r="263" spans="1:11" ht="15.75" customHeight="1" x14ac:dyDescent="0.25">
      <c r="A263" s="5">
        <v>6</v>
      </c>
      <c r="B263" s="5">
        <v>2023</v>
      </c>
      <c r="C263" s="6">
        <v>45203</v>
      </c>
      <c r="D263" s="5" t="s">
        <v>53</v>
      </c>
      <c r="E263" s="5" t="s">
        <v>25</v>
      </c>
      <c r="F263" s="5">
        <v>3</v>
      </c>
      <c r="G263" s="5" t="s">
        <v>36</v>
      </c>
      <c r="H263" s="5">
        <v>1</v>
      </c>
      <c r="I263" s="5">
        <v>1</v>
      </c>
      <c r="J263" s="5">
        <v>0</v>
      </c>
      <c r="K263" s="5" t="s">
        <v>57</v>
      </c>
    </row>
    <row r="264" spans="1:11" ht="15.75" customHeight="1" x14ac:dyDescent="0.25">
      <c r="A264" s="5">
        <v>6</v>
      </c>
      <c r="B264" s="5">
        <v>2023</v>
      </c>
      <c r="C264" s="6">
        <v>45203</v>
      </c>
      <c r="D264" s="5" t="s">
        <v>53</v>
      </c>
      <c r="E264" s="5" t="s">
        <v>25</v>
      </c>
      <c r="F264" s="5">
        <v>3</v>
      </c>
      <c r="G264" s="5" t="s">
        <v>36</v>
      </c>
      <c r="H264" s="5">
        <v>2</v>
      </c>
      <c r="I264" s="5">
        <v>1</v>
      </c>
      <c r="J264" s="5">
        <v>1</v>
      </c>
      <c r="K264" s="5" t="s">
        <v>35</v>
      </c>
    </row>
    <row r="265" spans="1:11" ht="15.75" customHeight="1" x14ac:dyDescent="0.25">
      <c r="A265" s="5">
        <v>6</v>
      </c>
      <c r="B265" s="5">
        <v>2023</v>
      </c>
      <c r="C265" s="6">
        <v>45203</v>
      </c>
      <c r="D265" s="5" t="s">
        <v>53</v>
      </c>
      <c r="E265" s="5" t="s">
        <v>25</v>
      </c>
      <c r="F265" s="5">
        <v>3</v>
      </c>
      <c r="G265" s="5" t="s">
        <v>36</v>
      </c>
      <c r="H265" s="5">
        <v>3</v>
      </c>
      <c r="I265" s="5">
        <v>1</v>
      </c>
      <c r="J265" s="5">
        <v>1.5</v>
      </c>
      <c r="K265" s="5" t="s">
        <v>27</v>
      </c>
    </row>
    <row r="266" spans="1:11" ht="15.75" customHeight="1" x14ac:dyDescent="0.25">
      <c r="A266" s="5">
        <v>6</v>
      </c>
      <c r="B266" s="5">
        <v>2023</v>
      </c>
      <c r="C266" s="6">
        <v>45203</v>
      </c>
      <c r="D266" s="5" t="s">
        <v>53</v>
      </c>
      <c r="E266" s="5" t="s">
        <v>25</v>
      </c>
      <c r="F266" s="5">
        <v>3</v>
      </c>
      <c r="G266" s="5" t="s">
        <v>36</v>
      </c>
      <c r="H266" s="5">
        <v>3</v>
      </c>
      <c r="I266" s="5">
        <v>1</v>
      </c>
      <c r="J266" s="5">
        <v>1.5</v>
      </c>
      <c r="K266" s="5" t="s">
        <v>28</v>
      </c>
    </row>
    <row r="267" spans="1:11" ht="15.75" customHeight="1" x14ac:dyDescent="0.25">
      <c r="A267" s="5">
        <v>6</v>
      </c>
      <c r="B267" s="5">
        <v>2023</v>
      </c>
      <c r="C267" s="6">
        <v>45203</v>
      </c>
      <c r="D267" s="5" t="s">
        <v>53</v>
      </c>
      <c r="E267" s="5" t="s">
        <v>25</v>
      </c>
      <c r="F267" s="5">
        <v>3</v>
      </c>
      <c r="G267" s="5" t="s">
        <v>36</v>
      </c>
      <c r="H267" s="5">
        <v>4</v>
      </c>
      <c r="I267" s="5">
        <v>1</v>
      </c>
      <c r="J267" s="5">
        <v>2</v>
      </c>
      <c r="K267" s="5" t="s">
        <v>32</v>
      </c>
    </row>
    <row r="268" spans="1:11" ht="15.75" customHeight="1" x14ac:dyDescent="0.25">
      <c r="A268" s="5">
        <v>6</v>
      </c>
      <c r="B268" s="5">
        <v>2023</v>
      </c>
      <c r="C268" s="6">
        <v>45203</v>
      </c>
      <c r="D268" s="5" t="s">
        <v>53</v>
      </c>
      <c r="E268" s="5" t="s">
        <v>25</v>
      </c>
      <c r="F268" s="5">
        <v>3</v>
      </c>
      <c r="G268" s="5" t="s">
        <v>36</v>
      </c>
      <c r="H268" s="5">
        <v>4</v>
      </c>
      <c r="I268" s="5">
        <v>1</v>
      </c>
      <c r="J268" s="5">
        <v>2</v>
      </c>
      <c r="K268" s="5" t="s">
        <v>28</v>
      </c>
    </row>
    <row r="269" spans="1:11" ht="15.75" customHeight="1" x14ac:dyDescent="0.25">
      <c r="A269" s="5">
        <v>6</v>
      </c>
      <c r="B269" s="5">
        <v>2023</v>
      </c>
      <c r="C269" s="6">
        <v>45203</v>
      </c>
      <c r="D269" s="5" t="s">
        <v>53</v>
      </c>
      <c r="E269" s="5" t="s">
        <v>25</v>
      </c>
      <c r="F269" s="5">
        <v>3</v>
      </c>
      <c r="G269" s="5" t="s">
        <v>36</v>
      </c>
      <c r="H269" s="5">
        <v>5</v>
      </c>
      <c r="I269" s="5">
        <v>1</v>
      </c>
      <c r="J269" s="5">
        <v>3</v>
      </c>
      <c r="K269" s="5" t="s">
        <v>35</v>
      </c>
    </row>
    <row r="270" spans="1:11" ht="15.75" customHeight="1" x14ac:dyDescent="0.25">
      <c r="A270" s="5">
        <v>6</v>
      </c>
      <c r="B270" s="5">
        <v>2023</v>
      </c>
      <c r="C270" s="6">
        <v>45203</v>
      </c>
      <c r="D270" s="5" t="s">
        <v>53</v>
      </c>
      <c r="E270" s="5" t="s">
        <v>25</v>
      </c>
      <c r="F270" s="5">
        <v>3</v>
      </c>
      <c r="G270" s="5" t="s">
        <v>36</v>
      </c>
      <c r="H270" s="5">
        <v>6</v>
      </c>
      <c r="I270" s="5">
        <v>1</v>
      </c>
      <c r="J270" s="5">
        <v>3.5</v>
      </c>
      <c r="K270" s="5" t="s">
        <v>35</v>
      </c>
    </row>
    <row r="271" spans="1:11" ht="15.75" customHeight="1" x14ac:dyDescent="0.25">
      <c r="A271" s="5">
        <v>6</v>
      </c>
      <c r="B271" s="5">
        <v>2023</v>
      </c>
      <c r="C271" s="6">
        <v>45203</v>
      </c>
      <c r="D271" s="5" t="s">
        <v>53</v>
      </c>
      <c r="E271" s="5" t="s">
        <v>25</v>
      </c>
      <c r="F271" s="5">
        <v>3</v>
      </c>
      <c r="G271" s="5" t="s">
        <v>36</v>
      </c>
      <c r="H271" s="5">
        <v>6</v>
      </c>
      <c r="I271" s="5">
        <v>1</v>
      </c>
      <c r="J271" s="5">
        <v>3.5</v>
      </c>
      <c r="K271" s="5" t="s">
        <v>44</v>
      </c>
    </row>
    <row r="272" spans="1:11" ht="15.75" customHeight="1" x14ac:dyDescent="0.25">
      <c r="A272" s="5">
        <v>6</v>
      </c>
      <c r="B272" s="5">
        <v>2023</v>
      </c>
      <c r="C272" s="6">
        <v>45203</v>
      </c>
      <c r="D272" s="5" t="s">
        <v>53</v>
      </c>
      <c r="E272" s="5" t="s">
        <v>25</v>
      </c>
      <c r="F272" s="5">
        <v>3</v>
      </c>
      <c r="G272" s="5" t="s">
        <v>36</v>
      </c>
      <c r="H272" s="5">
        <v>7</v>
      </c>
      <c r="I272" s="5">
        <v>1</v>
      </c>
      <c r="J272" s="5">
        <v>4</v>
      </c>
      <c r="K272" s="5" t="s">
        <v>35</v>
      </c>
    </row>
    <row r="273" spans="1:11" ht="15.75" customHeight="1" x14ac:dyDescent="0.25">
      <c r="A273" s="5">
        <v>6</v>
      </c>
      <c r="B273" s="5">
        <v>2023</v>
      </c>
      <c r="C273" s="6">
        <v>45203</v>
      </c>
      <c r="D273" s="5" t="s">
        <v>53</v>
      </c>
      <c r="E273" s="5" t="s">
        <v>25</v>
      </c>
      <c r="F273" s="5">
        <v>3</v>
      </c>
      <c r="G273" s="5" t="s">
        <v>36</v>
      </c>
      <c r="H273" s="5">
        <v>8</v>
      </c>
      <c r="I273" s="5">
        <v>1</v>
      </c>
      <c r="J273" s="5">
        <v>5</v>
      </c>
      <c r="K273" s="5" t="s">
        <v>27</v>
      </c>
    </row>
    <row r="274" spans="1:11" ht="15.75" customHeight="1" x14ac:dyDescent="0.25">
      <c r="A274" s="5">
        <v>6</v>
      </c>
      <c r="B274" s="5">
        <v>2023</v>
      </c>
      <c r="C274" s="6">
        <v>45203</v>
      </c>
      <c r="D274" s="5" t="s">
        <v>53</v>
      </c>
      <c r="E274" s="5" t="s">
        <v>25</v>
      </c>
      <c r="F274" s="5">
        <v>3</v>
      </c>
      <c r="G274" s="5" t="s">
        <v>36</v>
      </c>
      <c r="H274" s="5">
        <v>9</v>
      </c>
      <c r="I274" s="5">
        <v>1</v>
      </c>
      <c r="J274" s="5">
        <v>7</v>
      </c>
      <c r="K274" s="5" t="s">
        <v>27</v>
      </c>
    </row>
    <row r="275" spans="1:11" ht="15.75" customHeight="1" x14ac:dyDescent="0.25">
      <c r="A275" s="5">
        <v>6</v>
      </c>
      <c r="B275" s="5">
        <v>2023</v>
      </c>
      <c r="C275" s="6">
        <v>45203</v>
      </c>
      <c r="D275" s="5" t="s">
        <v>53</v>
      </c>
      <c r="E275" s="5" t="s">
        <v>25</v>
      </c>
      <c r="F275" s="5">
        <v>3</v>
      </c>
      <c r="G275" s="5" t="s">
        <v>36</v>
      </c>
      <c r="H275" s="5">
        <v>10</v>
      </c>
      <c r="I275" s="5">
        <v>1</v>
      </c>
      <c r="J275" s="5">
        <v>8</v>
      </c>
      <c r="K275" s="5" t="s">
        <v>35</v>
      </c>
    </row>
    <row r="276" spans="1:11" ht="15.75" customHeight="1" x14ac:dyDescent="0.25">
      <c r="A276" s="5">
        <v>6</v>
      </c>
      <c r="B276" s="5">
        <v>2023</v>
      </c>
      <c r="C276" s="6">
        <v>45203</v>
      </c>
      <c r="D276" s="5" t="s">
        <v>53</v>
      </c>
      <c r="E276" s="5" t="s">
        <v>25</v>
      </c>
      <c r="F276" s="5">
        <v>3</v>
      </c>
      <c r="G276" s="5" t="s">
        <v>36</v>
      </c>
      <c r="H276" s="5">
        <v>11</v>
      </c>
      <c r="I276" s="5">
        <v>1</v>
      </c>
      <c r="J276" s="5">
        <v>8.5</v>
      </c>
      <c r="K276" s="5" t="s">
        <v>27</v>
      </c>
    </row>
    <row r="277" spans="1:11" ht="15.75" customHeight="1" x14ac:dyDescent="0.25">
      <c r="A277" s="5">
        <v>6</v>
      </c>
      <c r="B277" s="5">
        <v>2023</v>
      </c>
      <c r="C277" s="6">
        <v>45203</v>
      </c>
      <c r="D277" s="5" t="s">
        <v>53</v>
      </c>
      <c r="E277" s="5" t="s">
        <v>25</v>
      </c>
      <c r="F277" s="5">
        <v>3</v>
      </c>
      <c r="G277" s="5" t="s">
        <v>36</v>
      </c>
      <c r="H277" s="5">
        <v>12</v>
      </c>
      <c r="I277" s="5">
        <v>1</v>
      </c>
      <c r="J277" s="5">
        <v>9</v>
      </c>
      <c r="K277" s="5" t="s">
        <v>27</v>
      </c>
    </row>
    <row r="278" spans="1:11" ht="15.75" customHeight="1" x14ac:dyDescent="0.25">
      <c r="A278" s="5">
        <v>6</v>
      </c>
      <c r="B278" s="5">
        <v>2023</v>
      </c>
      <c r="C278" s="6">
        <v>45203</v>
      </c>
      <c r="D278" s="5" t="s">
        <v>53</v>
      </c>
      <c r="E278" s="5" t="s">
        <v>25</v>
      </c>
      <c r="F278" s="5">
        <v>3</v>
      </c>
      <c r="G278" s="5" t="s">
        <v>36</v>
      </c>
      <c r="H278" s="5">
        <v>12</v>
      </c>
      <c r="I278" s="5">
        <v>1</v>
      </c>
      <c r="J278" s="5">
        <v>9</v>
      </c>
      <c r="K278" s="5" t="s">
        <v>28</v>
      </c>
    </row>
    <row r="279" spans="1:11" ht="15.75" customHeight="1" x14ac:dyDescent="0.25">
      <c r="A279" s="5">
        <v>6</v>
      </c>
      <c r="B279" s="5">
        <v>2023</v>
      </c>
      <c r="C279" s="6">
        <v>45203</v>
      </c>
      <c r="D279" s="5" t="s">
        <v>53</v>
      </c>
      <c r="E279" s="5" t="s">
        <v>25</v>
      </c>
      <c r="F279" s="5">
        <v>3</v>
      </c>
      <c r="G279" s="5" t="s">
        <v>36</v>
      </c>
      <c r="H279" s="5">
        <v>13</v>
      </c>
      <c r="I279" s="5">
        <v>1</v>
      </c>
      <c r="J279" s="5">
        <v>10</v>
      </c>
      <c r="K279" s="5" t="s">
        <v>27</v>
      </c>
    </row>
    <row r="280" spans="1:11" ht="15.75" customHeight="1" x14ac:dyDescent="0.25">
      <c r="A280" s="5">
        <v>6</v>
      </c>
      <c r="B280" s="5">
        <v>2023</v>
      </c>
      <c r="C280" s="6">
        <v>45203</v>
      </c>
      <c r="D280" s="5" t="s">
        <v>53</v>
      </c>
      <c r="E280" s="5" t="s">
        <v>25</v>
      </c>
      <c r="F280" s="5">
        <v>3</v>
      </c>
      <c r="G280" s="5" t="s">
        <v>36</v>
      </c>
      <c r="H280" s="5">
        <v>13</v>
      </c>
      <c r="I280" s="5">
        <v>1</v>
      </c>
      <c r="J280" s="5">
        <v>10</v>
      </c>
      <c r="K280" s="5" t="s">
        <v>48</v>
      </c>
    </row>
    <row r="281" spans="1:11" ht="15.75" customHeight="1" x14ac:dyDescent="0.25">
      <c r="A281" s="5">
        <v>6</v>
      </c>
      <c r="B281" s="5">
        <v>2023</v>
      </c>
      <c r="C281" s="6">
        <v>45203</v>
      </c>
      <c r="D281" s="5" t="s">
        <v>53</v>
      </c>
      <c r="E281" s="5" t="s">
        <v>25</v>
      </c>
      <c r="F281" s="5">
        <v>3</v>
      </c>
      <c r="G281" s="5" t="s">
        <v>36</v>
      </c>
      <c r="H281" s="5">
        <v>14</v>
      </c>
      <c r="I281" s="5">
        <v>1</v>
      </c>
      <c r="J281" s="5">
        <v>11</v>
      </c>
      <c r="K281" s="5" t="s">
        <v>35</v>
      </c>
    </row>
    <row r="282" spans="1:11" ht="15.75" customHeight="1" x14ac:dyDescent="0.25">
      <c r="A282" s="5">
        <v>6</v>
      </c>
      <c r="B282" s="5">
        <v>2023</v>
      </c>
      <c r="C282" s="6">
        <v>45203</v>
      </c>
      <c r="D282" s="5" t="s">
        <v>53</v>
      </c>
      <c r="E282" s="5" t="s">
        <v>25</v>
      </c>
      <c r="F282" s="5">
        <v>3</v>
      </c>
      <c r="G282" s="5" t="s">
        <v>36</v>
      </c>
      <c r="H282" s="5">
        <v>14</v>
      </c>
      <c r="I282" s="5">
        <v>1</v>
      </c>
      <c r="J282" s="5">
        <v>11</v>
      </c>
      <c r="K282" s="5" t="s">
        <v>48</v>
      </c>
    </row>
    <row r="283" spans="1:11" ht="15.75" customHeight="1" x14ac:dyDescent="0.25">
      <c r="A283" s="5">
        <v>6</v>
      </c>
      <c r="B283" s="5">
        <v>2023</v>
      </c>
      <c r="C283" s="6">
        <v>45203</v>
      </c>
      <c r="D283" s="5" t="s">
        <v>53</v>
      </c>
      <c r="E283" s="5" t="s">
        <v>25</v>
      </c>
      <c r="F283" s="5">
        <v>3</v>
      </c>
      <c r="G283" s="5" t="s">
        <v>36</v>
      </c>
      <c r="H283" s="5">
        <v>15</v>
      </c>
      <c r="I283" s="5">
        <v>1</v>
      </c>
      <c r="J283" s="5">
        <v>12</v>
      </c>
      <c r="K283" s="5" t="s">
        <v>35</v>
      </c>
    </row>
    <row r="284" spans="1:11" ht="15.75" customHeight="1" x14ac:dyDescent="0.25">
      <c r="A284" s="5">
        <v>6</v>
      </c>
      <c r="B284" s="5">
        <v>2023</v>
      </c>
      <c r="C284" s="6">
        <v>45203</v>
      </c>
      <c r="D284" s="5" t="s">
        <v>53</v>
      </c>
      <c r="E284" s="5" t="s">
        <v>25</v>
      </c>
      <c r="F284" s="5">
        <v>3</v>
      </c>
      <c r="G284" s="5" t="s">
        <v>36</v>
      </c>
      <c r="H284" s="5">
        <v>15</v>
      </c>
      <c r="I284" s="5">
        <v>1</v>
      </c>
      <c r="J284" s="5">
        <v>12</v>
      </c>
      <c r="K284" s="5" t="s">
        <v>34</v>
      </c>
    </row>
    <row r="285" spans="1:11" ht="15.75" customHeight="1" x14ac:dyDescent="0.25">
      <c r="A285" s="5">
        <v>6</v>
      </c>
      <c r="B285" s="5">
        <v>2023</v>
      </c>
      <c r="C285" s="6">
        <v>45203</v>
      </c>
      <c r="D285" s="5" t="s">
        <v>53</v>
      </c>
      <c r="E285" s="5" t="s">
        <v>25</v>
      </c>
      <c r="F285" s="5">
        <v>3</v>
      </c>
      <c r="G285" s="5" t="s">
        <v>36</v>
      </c>
      <c r="H285" s="5">
        <v>1</v>
      </c>
      <c r="I285" s="5">
        <v>2</v>
      </c>
      <c r="J285" s="5">
        <v>0</v>
      </c>
      <c r="K285" s="5" t="s">
        <v>27</v>
      </c>
    </row>
    <row r="286" spans="1:11" ht="15.75" customHeight="1" x14ac:dyDescent="0.25">
      <c r="A286" s="5">
        <v>6</v>
      </c>
      <c r="B286" s="5">
        <v>2023</v>
      </c>
      <c r="C286" s="6">
        <v>45203</v>
      </c>
      <c r="D286" s="5" t="s">
        <v>53</v>
      </c>
      <c r="E286" s="5" t="s">
        <v>25</v>
      </c>
      <c r="F286" s="5">
        <v>3</v>
      </c>
      <c r="G286" s="5" t="s">
        <v>36</v>
      </c>
      <c r="H286" s="5">
        <v>2</v>
      </c>
      <c r="I286" s="5">
        <v>2</v>
      </c>
      <c r="J286" s="5">
        <v>1</v>
      </c>
      <c r="K286" s="5" t="s">
        <v>27</v>
      </c>
    </row>
    <row r="287" spans="1:11" ht="15.75" customHeight="1" x14ac:dyDescent="0.25">
      <c r="A287" s="5">
        <v>6</v>
      </c>
      <c r="B287" s="5">
        <v>2023</v>
      </c>
      <c r="C287" s="6">
        <v>45203</v>
      </c>
      <c r="D287" s="5" t="s">
        <v>53</v>
      </c>
      <c r="E287" s="5" t="s">
        <v>25</v>
      </c>
      <c r="F287" s="5">
        <v>3</v>
      </c>
      <c r="G287" s="5" t="s">
        <v>36</v>
      </c>
      <c r="H287" s="5">
        <v>2</v>
      </c>
      <c r="I287" s="5">
        <v>2</v>
      </c>
      <c r="J287" s="5">
        <v>1</v>
      </c>
      <c r="K287" s="5" t="s">
        <v>30</v>
      </c>
    </row>
    <row r="288" spans="1:11" ht="15.75" customHeight="1" x14ac:dyDescent="0.25">
      <c r="A288" s="5">
        <v>6</v>
      </c>
      <c r="B288" s="5">
        <v>2023</v>
      </c>
      <c r="C288" s="6">
        <v>45203</v>
      </c>
      <c r="D288" s="5" t="s">
        <v>53</v>
      </c>
      <c r="E288" s="5" t="s">
        <v>25</v>
      </c>
      <c r="F288" s="5">
        <v>3</v>
      </c>
      <c r="G288" s="5" t="s">
        <v>36</v>
      </c>
      <c r="H288" s="5">
        <v>2</v>
      </c>
      <c r="I288" s="5">
        <v>2</v>
      </c>
      <c r="J288" s="5">
        <v>1</v>
      </c>
      <c r="K288" s="5" t="s">
        <v>48</v>
      </c>
    </row>
    <row r="289" spans="1:11" ht="15.75" customHeight="1" x14ac:dyDescent="0.25">
      <c r="A289" s="5">
        <v>6</v>
      </c>
      <c r="B289" s="5">
        <v>2023</v>
      </c>
      <c r="C289" s="6">
        <v>45203</v>
      </c>
      <c r="D289" s="5" t="s">
        <v>53</v>
      </c>
      <c r="E289" s="5" t="s">
        <v>25</v>
      </c>
      <c r="F289" s="5">
        <v>3</v>
      </c>
      <c r="G289" s="5" t="s">
        <v>36</v>
      </c>
      <c r="H289" s="5">
        <v>3</v>
      </c>
      <c r="I289" s="5">
        <v>2</v>
      </c>
      <c r="J289" s="5">
        <v>1.5</v>
      </c>
      <c r="K289" s="5" t="s">
        <v>27</v>
      </c>
    </row>
    <row r="290" spans="1:11" ht="15.75" customHeight="1" x14ac:dyDescent="0.25">
      <c r="A290" s="5">
        <v>6</v>
      </c>
      <c r="B290" s="5">
        <v>2023</v>
      </c>
      <c r="C290" s="6">
        <v>45203</v>
      </c>
      <c r="D290" s="5" t="s">
        <v>53</v>
      </c>
      <c r="E290" s="5" t="s">
        <v>25</v>
      </c>
      <c r="F290" s="5">
        <v>3</v>
      </c>
      <c r="G290" s="5" t="s">
        <v>36</v>
      </c>
      <c r="H290" s="5">
        <v>3</v>
      </c>
      <c r="I290" s="5">
        <v>2</v>
      </c>
      <c r="J290" s="5">
        <v>1.5</v>
      </c>
      <c r="K290" s="5" t="s">
        <v>48</v>
      </c>
    </row>
    <row r="291" spans="1:11" ht="15.75" customHeight="1" x14ac:dyDescent="0.25">
      <c r="A291" s="5">
        <v>6</v>
      </c>
      <c r="B291" s="5">
        <v>2023</v>
      </c>
      <c r="C291" s="6">
        <v>45203</v>
      </c>
      <c r="D291" s="5" t="s">
        <v>53</v>
      </c>
      <c r="E291" s="5" t="s">
        <v>25</v>
      </c>
      <c r="F291" s="5">
        <v>3</v>
      </c>
      <c r="G291" s="5" t="s">
        <v>36</v>
      </c>
      <c r="H291" s="5">
        <v>4</v>
      </c>
      <c r="I291" s="5">
        <v>2</v>
      </c>
      <c r="J291" s="5">
        <v>2</v>
      </c>
      <c r="K291" s="5" t="s">
        <v>27</v>
      </c>
    </row>
    <row r="292" spans="1:11" ht="15.75" customHeight="1" x14ac:dyDescent="0.25">
      <c r="A292" s="5">
        <v>6</v>
      </c>
      <c r="B292" s="5">
        <v>2023</v>
      </c>
      <c r="C292" s="6">
        <v>45203</v>
      </c>
      <c r="D292" s="5" t="s">
        <v>53</v>
      </c>
      <c r="E292" s="5" t="s">
        <v>25</v>
      </c>
      <c r="F292" s="5">
        <v>3</v>
      </c>
      <c r="G292" s="5" t="s">
        <v>36</v>
      </c>
      <c r="H292" s="5">
        <v>4</v>
      </c>
      <c r="I292" s="5">
        <v>2</v>
      </c>
      <c r="J292" s="5">
        <v>2</v>
      </c>
      <c r="K292" s="5" t="s">
        <v>48</v>
      </c>
    </row>
    <row r="293" spans="1:11" ht="15.75" customHeight="1" x14ac:dyDescent="0.25">
      <c r="A293" s="5">
        <v>6</v>
      </c>
      <c r="B293" s="5">
        <v>2023</v>
      </c>
      <c r="C293" s="6">
        <v>45203</v>
      </c>
      <c r="D293" s="5" t="s">
        <v>53</v>
      </c>
      <c r="E293" s="5" t="s">
        <v>25</v>
      </c>
      <c r="F293" s="5">
        <v>3</v>
      </c>
      <c r="G293" s="5" t="s">
        <v>36</v>
      </c>
      <c r="H293" s="5">
        <v>5</v>
      </c>
      <c r="I293" s="5">
        <v>2</v>
      </c>
      <c r="J293" s="5">
        <v>3</v>
      </c>
      <c r="K293" s="5" t="s">
        <v>27</v>
      </c>
    </row>
    <row r="294" spans="1:11" ht="15.75" customHeight="1" x14ac:dyDescent="0.25">
      <c r="A294" s="5">
        <v>6</v>
      </c>
      <c r="B294" s="5">
        <v>2023</v>
      </c>
      <c r="C294" s="6">
        <v>45203</v>
      </c>
      <c r="D294" s="5" t="s">
        <v>53</v>
      </c>
      <c r="E294" s="5" t="s">
        <v>25</v>
      </c>
      <c r="F294" s="5">
        <v>3</v>
      </c>
      <c r="G294" s="5" t="s">
        <v>36</v>
      </c>
      <c r="H294" s="5">
        <v>5</v>
      </c>
      <c r="I294" s="5">
        <v>2</v>
      </c>
      <c r="J294" s="5">
        <v>3</v>
      </c>
      <c r="K294" s="5" t="s">
        <v>48</v>
      </c>
    </row>
    <row r="295" spans="1:11" ht="15.75" customHeight="1" x14ac:dyDescent="0.25">
      <c r="A295" s="5">
        <v>6</v>
      </c>
      <c r="B295" s="5">
        <v>2023</v>
      </c>
      <c r="C295" s="6">
        <v>45203</v>
      </c>
      <c r="D295" s="5" t="s">
        <v>53</v>
      </c>
      <c r="E295" s="5" t="s">
        <v>25</v>
      </c>
      <c r="F295" s="5">
        <v>3</v>
      </c>
      <c r="G295" s="5" t="s">
        <v>36</v>
      </c>
      <c r="H295" s="5">
        <v>6</v>
      </c>
      <c r="I295" s="5">
        <v>2</v>
      </c>
      <c r="J295" s="5">
        <v>3.5</v>
      </c>
      <c r="K295" s="5" t="s">
        <v>27</v>
      </c>
    </row>
    <row r="296" spans="1:11" ht="15.75" customHeight="1" x14ac:dyDescent="0.25">
      <c r="A296" s="5">
        <v>6</v>
      </c>
      <c r="B296" s="5">
        <v>2023</v>
      </c>
      <c r="C296" s="6">
        <v>45203</v>
      </c>
      <c r="D296" s="5" t="s">
        <v>53</v>
      </c>
      <c r="E296" s="5" t="s">
        <v>25</v>
      </c>
      <c r="F296" s="5">
        <v>3</v>
      </c>
      <c r="G296" s="5" t="s">
        <v>36</v>
      </c>
      <c r="H296" s="5">
        <v>6</v>
      </c>
      <c r="I296" s="5">
        <v>2</v>
      </c>
      <c r="J296" s="5">
        <v>3.5</v>
      </c>
      <c r="K296" s="5" t="s">
        <v>48</v>
      </c>
    </row>
    <row r="297" spans="1:11" ht="15.75" customHeight="1" x14ac:dyDescent="0.25">
      <c r="A297" s="5">
        <v>6</v>
      </c>
      <c r="B297" s="5">
        <v>2023</v>
      </c>
      <c r="C297" s="6">
        <v>45203</v>
      </c>
      <c r="D297" s="5" t="s">
        <v>53</v>
      </c>
      <c r="E297" s="5" t="s">
        <v>25</v>
      </c>
      <c r="F297" s="5">
        <v>3</v>
      </c>
      <c r="G297" s="5" t="s">
        <v>36</v>
      </c>
      <c r="H297" s="5">
        <v>7</v>
      </c>
      <c r="I297" s="5">
        <v>2</v>
      </c>
      <c r="J297" s="5">
        <v>4</v>
      </c>
      <c r="K297" s="5" t="s">
        <v>35</v>
      </c>
    </row>
    <row r="298" spans="1:11" ht="15.75" customHeight="1" x14ac:dyDescent="0.25">
      <c r="A298" s="5">
        <v>6</v>
      </c>
      <c r="B298" s="5">
        <v>2023</v>
      </c>
      <c r="C298" s="6">
        <v>45203</v>
      </c>
      <c r="D298" s="5" t="s">
        <v>53</v>
      </c>
      <c r="E298" s="5" t="s">
        <v>25</v>
      </c>
      <c r="F298" s="5">
        <v>3</v>
      </c>
      <c r="G298" s="5" t="s">
        <v>36</v>
      </c>
      <c r="H298" s="5">
        <v>8</v>
      </c>
      <c r="I298" s="5">
        <v>2</v>
      </c>
      <c r="J298" s="5">
        <v>5</v>
      </c>
      <c r="K298" s="5" t="s">
        <v>35</v>
      </c>
    </row>
    <row r="299" spans="1:11" ht="15.75" customHeight="1" x14ac:dyDescent="0.25">
      <c r="A299" s="5">
        <v>6</v>
      </c>
      <c r="B299" s="5">
        <v>2023</v>
      </c>
      <c r="C299" s="6">
        <v>45203</v>
      </c>
      <c r="D299" s="5" t="s">
        <v>53</v>
      </c>
      <c r="E299" s="5" t="s">
        <v>25</v>
      </c>
      <c r="F299" s="5">
        <v>3</v>
      </c>
      <c r="G299" s="5" t="s">
        <v>36</v>
      </c>
      <c r="H299" s="5">
        <v>8</v>
      </c>
      <c r="I299" s="5">
        <v>2</v>
      </c>
      <c r="J299" s="5">
        <v>5</v>
      </c>
      <c r="K299" s="5" t="s">
        <v>48</v>
      </c>
    </row>
    <row r="300" spans="1:11" ht="15.75" customHeight="1" x14ac:dyDescent="0.25">
      <c r="A300" s="5">
        <v>6</v>
      </c>
      <c r="B300" s="5">
        <v>2023</v>
      </c>
      <c r="C300" s="6">
        <v>45203</v>
      </c>
      <c r="D300" s="5" t="s">
        <v>53</v>
      </c>
      <c r="E300" s="5" t="s">
        <v>25</v>
      </c>
      <c r="F300" s="5">
        <v>3</v>
      </c>
      <c r="G300" s="5" t="s">
        <v>36</v>
      </c>
      <c r="H300" s="5">
        <v>9</v>
      </c>
      <c r="I300" s="5">
        <v>2</v>
      </c>
      <c r="J300" s="5">
        <v>7</v>
      </c>
      <c r="K300" s="5" t="s">
        <v>35</v>
      </c>
    </row>
    <row r="301" spans="1:11" ht="15.75" customHeight="1" x14ac:dyDescent="0.25">
      <c r="A301" s="5">
        <v>6</v>
      </c>
      <c r="B301" s="5">
        <v>2023</v>
      </c>
      <c r="C301" s="6">
        <v>45203</v>
      </c>
      <c r="D301" s="5" t="s">
        <v>53</v>
      </c>
      <c r="E301" s="5" t="s">
        <v>25</v>
      </c>
      <c r="F301" s="5">
        <v>3</v>
      </c>
      <c r="G301" s="5" t="s">
        <v>36</v>
      </c>
      <c r="H301" s="5">
        <v>10</v>
      </c>
      <c r="I301" s="5">
        <v>2</v>
      </c>
      <c r="J301" s="5">
        <v>8</v>
      </c>
      <c r="K301" s="5" t="s">
        <v>35</v>
      </c>
    </row>
    <row r="302" spans="1:11" ht="15.75" customHeight="1" x14ac:dyDescent="0.25">
      <c r="A302" s="5">
        <v>6</v>
      </c>
      <c r="B302" s="5">
        <v>2023</v>
      </c>
      <c r="C302" s="6">
        <v>45203</v>
      </c>
      <c r="D302" s="5" t="s">
        <v>53</v>
      </c>
      <c r="E302" s="5" t="s">
        <v>25</v>
      </c>
      <c r="F302" s="5">
        <v>3</v>
      </c>
      <c r="G302" s="5" t="s">
        <v>36</v>
      </c>
      <c r="H302" s="5">
        <v>11</v>
      </c>
      <c r="I302" s="5">
        <v>2</v>
      </c>
      <c r="J302" s="5">
        <v>8.5</v>
      </c>
      <c r="K302" s="5" t="s">
        <v>35</v>
      </c>
    </row>
    <row r="303" spans="1:11" ht="15.75" customHeight="1" x14ac:dyDescent="0.25">
      <c r="A303" s="5">
        <v>6</v>
      </c>
      <c r="B303" s="5">
        <v>2023</v>
      </c>
      <c r="C303" s="6">
        <v>45203</v>
      </c>
      <c r="D303" s="5" t="s">
        <v>53</v>
      </c>
      <c r="E303" s="5" t="s">
        <v>25</v>
      </c>
      <c r="F303" s="5">
        <v>3</v>
      </c>
      <c r="G303" s="5" t="s">
        <v>36</v>
      </c>
      <c r="H303" s="5">
        <v>11</v>
      </c>
      <c r="I303" s="5">
        <v>2</v>
      </c>
      <c r="J303" s="5">
        <v>8.5</v>
      </c>
      <c r="K303" s="5" t="s">
        <v>48</v>
      </c>
    </row>
    <row r="304" spans="1:11" ht="15.75" customHeight="1" x14ac:dyDescent="0.25">
      <c r="A304" s="5">
        <v>6</v>
      </c>
      <c r="B304" s="5">
        <v>2023</v>
      </c>
      <c r="C304" s="6">
        <v>45203</v>
      </c>
      <c r="D304" s="5" t="s">
        <v>53</v>
      </c>
      <c r="E304" s="5" t="s">
        <v>25</v>
      </c>
      <c r="F304" s="5">
        <v>3</v>
      </c>
      <c r="G304" s="5" t="s">
        <v>36</v>
      </c>
      <c r="H304" s="5">
        <v>11</v>
      </c>
      <c r="I304" s="5">
        <v>2</v>
      </c>
      <c r="J304" s="5">
        <v>8.5</v>
      </c>
      <c r="K304" s="5" t="s">
        <v>44</v>
      </c>
    </row>
    <row r="305" spans="1:11" ht="15.75" customHeight="1" x14ac:dyDescent="0.25">
      <c r="A305" s="5">
        <v>6</v>
      </c>
      <c r="B305" s="5">
        <v>2023</v>
      </c>
      <c r="C305" s="6">
        <v>45203</v>
      </c>
      <c r="D305" s="5" t="s">
        <v>53</v>
      </c>
      <c r="E305" s="5" t="s">
        <v>25</v>
      </c>
      <c r="F305" s="5">
        <v>3</v>
      </c>
      <c r="G305" s="5" t="s">
        <v>36</v>
      </c>
      <c r="H305" s="5">
        <v>12</v>
      </c>
      <c r="I305" s="5">
        <v>2</v>
      </c>
      <c r="J305" s="5">
        <v>9</v>
      </c>
      <c r="K305" s="14" t="s">
        <v>27</v>
      </c>
    </row>
    <row r="306" spans="1:11" ht="15.75" customHeight="1" x14ac:dyDescent="0.25">
      <c r="A306" s="5">
        <v>6</v>
      </c>
      <c r="B306" s="5">
        <v>2023</v>
      </c>
      <c r="C306" s="6">
        <v>45203</v>
      </c>
      <c r="D306" s="5" t="s">
        <v>53</v>
      </c>
      <c r="E306" s="5" t="s">
        <v>25</v>
      </c>
      <c r="F306" s="5">
        <v>3</v>
      </c>
      <c r="G306" s="5" t="s">
        <v>36</v>
      </c>
      <c r="H306" s="5">
        <v>12</v>
      </c>
      <c r="I306" s="5">
        <v>2</v>
      </c>
      <c r="J306" s="5">
        <v>9</v>
      </c>
      <c r="K306" s="14" t="s">
        <v>48</v>
      </c>
    </row>
    <row r="307" spans="1:11" ht="15.75" customHeight="1" x14ac:dyDescent="0.25">
      <c r="A307" s="5">
        <v>6</v>
      </c>
      <c r="B307" s="5">
        <v>2023</v>
      </c>
      <c r="C307" s="6">
        <v>45203</v>
      </c>
      <c r="D307" s="5" t="s">
        <v>53</v>
      </c>
      <c r="E307" s="5" t="s">
        <v>25</v>
      </c>
      <c r="F307" s="5">
        <v>3</v>
      </c>
      <c r="G307" s="5" t="s">
        <v>36</v>
      </c>
      <c r="H307" s="5">
        <v>12</v>
      </c>
      <c r="I307" s="5">
        <v>2</v>
      </c>
      <c r="J307" s="5">
        <v>9</v>
      </c>
      <c r="K307" s="14" t="s">
        <v>44</v>
      </c>
    </row>
    <row r="308" spans="1:11" ht="15.75" customHeight="1" x14ac:dyDescent="0.25">
      <c r="A308" s="5">
        <v>6</v>
      </c>
      <c r="B308" s="5">
        <v>2023</v>
      </c>
      <c r="C308" s="6">
        <v>45203</v>
      </c>
      <c r="D308" s="5" t="s">
        <v>53</v>
      </c>
      <c r="E308" s="5" t="s">
        <v>25</v>
      </c>
      <c r="F308" s="5">
        <v>3</v>
      </c>
      <c r="G308" s="5" t="s">
        <v>36</v>
      </c>
      <c r="H308" s="5">
        <v>13</v>
      </c>
      <c r="I308" s="5">
        <v>2</v>
      </c>
      <c r="J308" s="5">
        <v>10</v>
      </c>
      <c r="K308" s="5" t="s">
        <v>35</v>
      </c>
    </row>
    <row r="309" spans="1:11" ht="15.75" customHeight="1" x14ac:dyDescent="0.25">
      <c r="A309" s="5">
        <v>6</v>
      </c>
      <c r="B309" s="5">
        <v>2023</v>
      </c>
      <c r="C309" s="6">
        <v>45203</v>
      </c>
      <c r="D309" s="5" t="s">
        <v>53</v>
      </c>
      <c r="E309" s="5" t="s">
        <v>25</v>
      </c>
      <c r="F309" s="5">
        <v>3</v>
      </c>
      <c r="G309" s="5" t="s">
        <v>36</v>
      </c>
      <c r="H309" s="5">
        <v>14</v>
      </c>
      <c r="I309" s="5">
        <v>2</v>
      </c>
      <c r="J309" s="5">
        <v>11</v>
      </c>
      <c r="K309" s="5" t="s">
        <v>27</v>
      </c>
    </row>
    <row r="310" spans="1:11" ht="15.75" customHeight="1" x14ac:dyDescent="0.25">
      <c r="A310" s="5">
        <v>6</v>
      </c>
      <c r="B310" s="5">
        <v>2023</v>
      </c>
      <c r="C310" s="6">
        <v>45203</v>
      </c>
      <c r="D310" s="5" t="s">
        <v>53</v>
      </c>
      <c r="E310" s="5" t="s">
        <v>25</v>
      </c>
      <c r="F310" s="5">
        <v>3</v>
      </c>
      <c r="G310" s="5" t="s">
        <v>36</v>
      </c>
      <c r="H310" s="5">
        <v>14</v>
      </c>
      <c r="I310" s="5">
        <v>2</v>
      </c>
      <c r="J310" s="5">
        <v>11</v>
      </c>
      <c r="K310" s="5" t="s">
        <v>44</v>
      </c>
    </row>
    <row r="311" spans="1:11" ht="15.75" customHeight="1" x14ac:dyDescent="0.25">
      <c r="A311" s="5">
        <v>6</v>
      </c>
      <c r="B311" s="5">
        <v>2023</v>
      </c>
      <c r="C311" s="6">
        <v>45203</v>
      </c>
      <c r="D311" s="5" t="s">
        <v>53</v>
      </c>
      <c r="E311" s="5" t="s">
        <v>25</v>
      </c>
      <c r="F311" s="5">
        <v>3</v>
      </c>
      <c r="G311" s="5" t="s">
        <v>36</v>
      </c>
      <c r="H311" s="5">
        <v>15</v>
      </c>
      <c r="I311" s="5">
        <v>2</v>
      </c>
      <c r="J311" s="5">
        <v>12</v>
      </c>
      <c r="K311" s="5" t="s">
        <v>27</v>
      </c>
    </row>
    <row r="312" spans="1:11" ht="15.75" customHeight="1" x14ac:dyDescent="0.25">
      <c r="A312" s="5">
        <v>7</v>
      </c>
      <c r="B312" s="5">
        <v>2023</v>
      </c>
      <c r="C312" s="6">
        <v>45203</v>
      </c>
      <c r="D312" s="5" t="s">
        <v>53</v>
      </c>
      <c r="E312" s="5" t="s">
        <v>25</v>
      </c>
      <c r="F312" s="5">
        <v>3</v>
      </c>
      <c r="G312" s="5" t="s">
        <v>46</v>
      </c>
      <c r="H312" s="5">
        <v>1</v>
      </c>
      <c r="I312" s="5">
        <v>1</v>
      </c>
      <c r="J312" s="5">
        <v>0</v>
      </c>
      <c r="K312" s="5" t="s">
        <v>27</v>
      </c>
    </row>
    <row r="313" spans="1:11" ht="15.75" customHeight="1" x14ac:dyDescent="0.25">
      <c r="A313" s="5">
        <v>7</v>
      </c>
      <c r="B313" s="5">
        <v>2023</v>
      </c>
      <c r="C313" s="6">
        <v>45203</v>
      </c>
      <c r="D313" s="5" t="s">
        <v>53</v>
      </c>
      <c r="E313" s="5" t="s">
        <v>25</v>
      </c>
      <c r="F313" s="5">
        <v>3</v>
      </c>
      <c r="G313" s="5" t="s">
        <v>46</v>
      </c>
      <c r="H313" s="5">
        <v>1</v>
      </c>
      <c r="I313" s="5">
        <v>1</v>
      </c>
      <c r="J313" s="5">
        <v>0</v>
      </c>
      <c r="K313" s="5" t="s">
        <v>48</v>
      </c>
    </row>
    <row r="314" spans="1:11" ht="15.75" customHeight="1" x14ac:dyDescent="0.25">
      <c r="A314" s="5">
        <v>7</v>
      </c>
      <c r="B314" s="5">
        <v>2023</v>
      </c>
      <c r="C314" s="6">
        <v>45203</v>
      </c>
      <c r="D314" s="5" t="s">
        <v>53</v>
      </c>
      <c r="E314" s="5" t="s">
        <v>25</v>
      </c>
      <c r="F314" s="5">
        <v>3</v>
      </c>
      <c r="G314" s="5" t="s">
        <v>46</v>
      </c>
      <c r="H314" s="5">
        <v>2</v>
      </c>
      <c r="I314" s="5">
        <v>1</v>
      </c>
      <c r="J314" s="5">
        <v>0.5</v>
      </c>
      <c r="K314" s="5" t="s">
        <v>27</v>
      </c>
    </row>
    <row r="315" spans="1:11" ht="15.75" customHeight="1" x14ac:dyDescent="0.25">
      <c r="A315" s="5">
        <v>7</v>
      </c>
      <c r="B315" s="5">
        <v>2023</v>
      </c>
      <c r="C315" s="6">
        <v>45203</v>
      </c>
      <c r="D315" s="5" t="s">
        <v>53</v>
      </c>
      <c r="E315" s="5" t="s">
        <v>25</v>
      </c>
      <c r="F315" s="5">
        <v>3</v>
      </c>
      <c r="G315" s="5" t="s">
        <v>46</v>
      </c>
      <c r="H315" s="5">
        <v>2</v>
      </c>
      <c r="I315" s="5">
        <v>1</v>
      </c>
      <c r="J315" s="5">
        <v>0.5</v>
      </c>
      <c r="K315" s="5" t="s">
        <v>30</v>
      </c>
    </row>
    <row r="316" spans="1:11" ht="15.75" customHeight="1" x14ac:dyDescent="0.25">
      <c r="A316" s="5">
        <v>7</v>
      </c>
      <c r="B316" s="5">
        <v>2023</v>
      </c>
      <c r="C316" s="6">
        <v>45203</v>
      </c>
      <c r="D316" s="5" t="s">
        <v>53</v>
      </c>
      <c r="E316" s="5" t="s">
        <v>25</v>
      </c>
      <c r="F316" s="5">
        <v>3</v>
      </c>
      <c r="G316" s="5" t="s">
        <v>46</v>
      </c>
      <c r="H316" s="5">
        <v>2</v>
      </c>
      <c r="I316" s="5">
        <v>1</v>
      </c>
      <c r="J316" s="5">
        <v>0.5</v>
      </c>
      <c r="K316" s="5" t="s">
        <v>48</v>
      </c>
    </row>
    <row r="317" spans="1:11" ht="15.75" customHeight="1" x14ac:dyDescent="0.25">
      <c r="A317" s="5">
        <v>7</v>
      </c>
      <c r="B317" s="5">
        <v>2023</v>
      </c>
      <c r="C317" s="6">
        <v>45203</v>
      </c>
      <c r="D317" s="5" t="s">
        <v>53</v>
      </c>
      <c r="E317" s="5" t="s">
        <v>25</v>
      </c>
      <c r="F317" s="5">
        <v>3</v>
      </c>
      <c r="G317" s="5" t="s">
        <v>46</v>
      </c>
      <c r="H317" s="5">
        <v>3</v>
      </c>
      <c r="I317" s="5">
        <v>1</v>
      </c>
      <c r="J317" s="5">
        <v>1</v>
      </c>
      <c r="K317" s="5" t="s">
        <v>58</v>
      </c>
    </row>
    <row r="318" spans="1:11" ht="15.75" customHeight="1" x14ac:dyDescent="0.25">
      <c r="A318" s="5">
        <v>7</v>
      </c>
      <c r="B318" s="5">
        <v>2023</v>
      </c>
      <c r="C318" s="6">
        <v>45203</v>
      </c>
      <c r="D318" s="5" t="s">
        <v>53</v>
      </c>
      <c r="E318" s="5" t="s">
        <v>25</v>
      </c>
      <c r="F318" s="5">
        <v>3</v>
      </c>
      <c r="G318" s="5" t="s">
        <v>46</v>
      </c>
      <c r="H318" s="5">
        <v>3</v>
      </c>
      <c r="I318" s="5">
        <v>1</v>
      </c>
      <c r="J318" s="5">
        <v>1</v>
      </c>
      <c r="K318" s="5" t="s">
        <v>29</v>
      </c>
    </row>
    <row r="319" spans="1:11" ht="15.75" customHeight="1" x14ac:dyDescent="0.25">
      <c r="A319" s="5">
        <v>7</v>
      </c>
      <c r="B319" s="5">
        <v>2023</v>
      </c>
      <c r="C319" s="6">
        <v>45203</v>
      </c>
      <c r="D319" s="5" t="s">
        <v>53</v>
      </c>
      <c r="E319" s="5" t="s">
        <v>25</v>
      </c>
      <c r="F319" s="5">
        <v>3</v>
      </c>
      <c r="G319" s="5" t="s">
        <v>46</v>
      </c>
      <c r="H319" s="5">
        <v>4</v>
      </c>
      <c r="I319" s="5">
        <v>1</v>
      </c>
      <c r="J319" s="5">
        <v>1.5</v>
      </c>
      <c r="K319" s="5" t="s">
        <v>27</v>
      </c>
    </row>
    <row r="320" spans="1:11" ht="15.75" customHeight="1" x14ac:dyDescent="0.25">
      <c r="A320" s="5">
        <v>7</v>
      </c>
      <c r="B320" s="5">
        <v>2023</v>
      </c>
      <c r="C320" s="6">
        <v>45203</v>
      </c>
      <c r="D320" s="5" t="s">
        <v>53</v>
      </c>
      <c r="E320" s="5" t="s">
        <v>25</v>
      </c>
      <c r="F320" s="5">
        <v>3</v>
      </c>
      <c r="G320" s="5" t="s">
        <v>46</v>
      </c>
      <c r="H320" s="5">
        <v>4</v>
      </c>
      <c r="I320" s="5">
        <v>1</v>
      </c>
      <c r="J320" s="5">
        <v>1.5</v>
      </c>
      <c r="K320" s="5" t="s">
        <v>30</v>
      </c>
    </row>
    <row r="321" spans="1:11" ht="15.75" customHeight="1" x14ac:dyDescent="0.25">
      <c r="A321" s="5">
        <v>7</v>
      </c>
      <c r="B321" s="5">
        <v>2023</v>
      </c>
      <c r="C321" s="6">
        <v>45203</v>
      </c>
      <c r="D321" s="5" t="s">
        <v>53</v>
      </c>
      <c r="E321" s="5" t="s">
        <v>25</v>
      </c>
      <c r="F321" s="5">
        <v>3</v>
      </c>
      <c r="G321" s="5" t="s">
        <v>46</v>
      </c>
      <c r="H321" s="5">
        <v>4</v>
      </c>
      <c r="I321" s="5">
        <v>1</v>
      </c>
      <c r="J321" s="5">
        <v>1.5</v>
      </c>
      <c r="K321" s="5" t="s">
        <v>48</v>
      </c>
    </row>
    <row r="322" spans="1:11" ht="15.75" customHeight="1" x14ac:dyDescent="0.25">
      <c r="A322" s="5">
        <v>7</v>
      </c>
      <c r="B322" s="5">
        <v>2023</v>
      </c>
      <c r="C322" s="6">
        <v>45203</v>
      </c>
      <c r="D322" s="5" t="s">
        <v>53</v>
      </c>
      <c r="E322" s="5" t="s">
        <v>25</v>
      </c>
      <c r="F322" s="5">
        <v>3</v>
      </c>
      <c r="G322" s="5" t="s">
        <v>46</v>
      </c>
      <c r="H322" s="5">
        <v>5</v>
      </c>
      <c r="I322" s="5">
        <v>1</v>
      </c>
      <c r="J322" s="5">
        <v>2</v>
      </c>
      <c r="K322" s="5" t="s">
        <v>27</v>
      </c>
    </row>
    <row r="323" spans="1:11" ht="15.75" customHeight="1" x14ac:dyDescent="0.25">
      <c r="A323" s="5">
        <v>7</v>
      </c>
      <c r="B323" s="5">
        <v>2023</v>
      </c>
      <c r="C323" s="6">
        <v>45203</v>
      </c>
      <c r="D323" s="5" t="s">
        <v>53</v>
      </c>
      <c r="E323" s="5" t="s">
        <v>25</v>
      </c>
      <c r="F323" s="5">
        <v>3</v>
      </c>
      <c r="G323" s="5" t="s">
        <v>46</v>
      </c>
      <c r="H323" s="5">
        <v>5</v>
      </c>
      <c r="I323" s="5">
        <v>1</v>
      </c>
      <c r="J323" s="5">
        <v>2</v>
      </c>
      <c r="K323" s="5" t="s">
        <v>30</v>
      </c>
    </row>
    <row r="324" spans="1:11" ht="15.75" customHeight="1" x14ac:dyDescent="0.25">
      <c r="A324" s="5">
        <v>7</v>
      </c>
      <c r="B324" s="5">
        <v>2023</v>
      </c>
      <c r="C324" s="6">
        <v>45203</v>
      </c>
      <c r="D324" s="5" t="s">
        <v>53</v>
      </c>
      <c r="E324" s="5" t="s">
        <v>25</v>
      </c>
      <c r="F324" s="5">
        <v>3</v>
      </c>
      <c r="G324" s="5" t="s">
        <v>46</v>
      </c>
      <c r="H324" s="5">
        <v>5</v>
      </c>
      <c r="I324" s="5">
        <v>1</v>
      </c>
      <c r="J324" s="5">
        <v>2</v>
      </c>
      <c r="K324" s="5" t="s">
        <v>48</v>
      </c>
    </row>
    <row r="325" spans="1:11" ht="15.75" customHeight="1" x14ac:dyDescent="0.25">
      <c r="A325" s="5">
        <v>7</v>
      </c>
      <c r="B325" s="5">
        <v>2023</v>
      </c>
      <c r="C325" s="6">
        <v>45203</v>
      </c>
      <c r="D325" s="5" t="s">
        <v>53</v>
      </c>
      <c r="E325" s="5" t="s">
        <v>25</v>
      </c>
      <c r="F325" s="5">
        <v>3</v>
      </c>
      <c r="G325" s="5" t="s">
        <v>46</v>
      </c>
      <c r="H325" s="5">
        <v>6</v>
      </c>
      <c r="I325" s="5">
        <v>1</v>
      </c>
      <c r="J325" s="5">
        <v>2.5</v>
      </c>
      <c r="K325" s="5" t="s">
        <v>27</v>
      </c>
    </row>
    <row r="326" spans="1:11" ht="15.75" customHeight="1" x14ac:dyDescent="0.25">
      <c r="A326" s="5">
        <v>7</v>
      </c>
      <c r="B326" s="5">
        <v>2023</v>
      </c>
      <c r="C326" s="6">
        <v>45203</v>
      </c>
      <c r="D326" s="5" t="s">
        <v>53</v>
      </c>
      <c r="E326" s="5" t="s">
        <v>25</v>
      </c>
      <c r="F326" s="5">
        <v>3</v>
      </c>
      <c r="G326" s="5" t="s">
        <v>46</v>
      </c>
      <c r="H326" s="5">
        <v>6</v>
      </c>
      <c r="I326" s="5">
        <v>1</v>
      </c>
      <c r="J326" s="5">
        <v>2.5</v>
      </c>
      <c r="K326" s="5" t="s">
        <v>30</v>
      </c>
    </row>
    <row r="327" spans="1:11" ht="15.75" customHeight="1" x14ac:dyDescent="0.25">
      <c r="A327" s="5">
        <v>7</v>
      </c>
      <c r="B327" s="5">
        <v>2023</v>
      </c>
      <c r="C327" s="6">
        <v>45203</v>
      </c>
      <c r="D327" s="5" t="s">
        <v>53</v>
      </c>
      <c r="E327" s="5" t="s">
        <v>25</v>
      </c>
      <c r="F327" s="5">
        <v>3</v>
      </c>
      <c r="G327" s="5" t="s">
        <v>46</v>
      </c>
      <c r="H327" s="5">
        <v>6</v>
      </c>
      <c r="I327" s="5">
        <v>1</v>
      </c>
      <c r="J327" s="5">
        <v>2.5</v>
      </c>
      <c r="K327" s="5" t="s">
        <v>48</v>
      </c>
    </row>
    <row r="328" spans="1:11" ht="15.75" customHeight="1" x14ac:dyDescent="0.25">
      <c r="A328" s="5">
        <v>7</v>
      </c>
      <c r="B328" s="5">
        <v>2023</v>
      </c>
      <c r="C328" s="6">
        <v>45203</v>
      </c>
      <c r="D328" s="5" t="s">
        <v>53</v>
      </c>
      <c r="E328" s="5" t="s">
        <v>25</v>
      </c>
      <c r="F328" s="5">
        <v>3</v>
      </c>
      <c r="G328" s="5" t="s">
        <v>46</v>
      </c>
      <c r="H328" s="5">
        <v>7</v>
      </c>
      <c r="I328" s="5">
        <v>1</v>
      </c>
      <c r="J328" s="5">
        <v>3</v>
      </c>
      <c r="K328" s="5" t="s">
        <v>27</v>
      </c>
    </row>
    <row r="329" spans="1:11" ht="15.75" customHeight="1" x14ac:dyDescent="0.25">
      <c r="A329" s="5">
        <v>7</v>
      </c>
      <c r="B329" s="5">
        <v>2023</v>
      </c>
      <c r="C329" s="6">
        <v>45203</v>
      </c>
      <c r="D329" s="5" t="s">
        <v>53</v>
      </c>
      <c r="E329" s="5" t="s">
        <v>25</v>
      </c>
      <c r="F329" s="5">
        <v>3</v>
      </c>
      <c r="G329" s="5" t="s">
        <v>46</v>
      </c>
      <c r="H329" s="5">
        <v>7</v>
      </c>
      <c r="I329" s="5">
        <v>1</v>
      </c>
      <c r="J329" s="5">
        <v>3</v>
      </c>
      <c r="K329" s="5" t="s">
        <v>48</v>
      </c>
    </row>
    <row r="330" spans="1:11" ht="15.75" customHeight="1" x14ac:dyDescent="0.25">
      <c r="A330" s="5">
        <v>7</v>
      </c>
      <c r="B330" s="5">
        <v>2023</v>
      </c>
      <c r="C330" s="6">
        <v>45203</v>
      </c>
      <c r="D330" s="5" t="s">
        <v>53</v>
      </c>
      <c r="E330" s="5" t="s">
        <v>25</v>
      </c>
      <c r="F330" s="5">
        <v>3</v>
      </c>
      <c r="G330" s="5" t="s">
        <v>46</v>
      </c>
      <c r="H330" s="5">
        <v>8</v>
      </c>
      <c r="I330" s="5">
        <v>1</v>
      </c>
      <c r="J330" s="5">
        <v>3.5</v>
      </c>
      <c r="K330" s="5" t="s">
        <v>35</v>
      </c>
    </row>
    <row r="331" spans="1:11" ht="15.75" customHeight="1" x14ac:dyDescent="0.25">
      <c r="A331" s="5">
        <v>7</v>
      </c>
      <c r="B331" s="5">
        <v>2023</v>
      </c>
      <c r="C331" s="6">
        <v>45203</v>
      </c>
      <c r="D331" s="5" t="s">
        <v>53</v>
      </c>
      <c r="E331" s="5" t="s">
        <v>25</v>
      </c>
      <c r="F331" s="5">
        <v>3</v>
      </c>
      <c r="G331" s="5" t="s">
        <v>46</v>
      </c>
      <c r="H331" s="5">
        <v>8</v>
      </c>
      <c r="I331" s="5">
        <v>1</v>
      </c>
      <c r="J331" s="5">
        <v>3.5</v>
      </c>
      <c r="K331" s="5" t="s">
        <v>34</v>
      </c>
    </row>
    <row r="332" spans="1:11" ht="15.75" customHeight="1" x14ac:dyDescent="0.25">
      <c r="A332" s="5">
        <v>7</v>
      </c>
      <c r="B332" s="5">
        <v>2023</v>
      </c>
      <c r="C332" s="6">
        <v>45203</v>
      </c>
      <c r="D332" s="5" t="s">
        <v>53</v>
      </c>
      <c r="E332" s="5" t="s">
        <v>25</v>
      </c>
      <c r="F332" s="5">
        <v>3</v>
      </c>
      <c r="G332" s="5" t="s">
        <v>46</v>
      </c>
      <c r="H332" s="5">
        <v>9</v>
      </c>
      <c r="I332" s="5">
        <v>1</v>
      </c>
      <c r="J332" s="5">
        <v>4</v>
      </c>
      <c r="K332" s="5" t="s">
        <v>35</v>
      </c>
    </row>
    <row r="333" spans="1:11" ht="15.75" customHeight="1" x14ac:dyDescent="0.25">
      <c r="A333" s="5">
        <v>7</v>
      </c>
      <c r="B333" s="5">
        <v>2023</v>
      </c>
      <c r="C333" s="6">
        <v>45203</v>
      </c>
      <c r="D333" s="5" t="s">
        <v>53</v>
      </c>
      <c r="E333" s="5" t="s">
        <v>25</v>
      </c>
      <c r="F333" s="5">
        <v>3</v>
      </c>
      <c r="G333" s="5" t="s">
        <v>46</v>
      </c>
      <c r="H333" s="5">
        <v>9</v>
      </c>
      <c r="I333" s="5">
        <v>1</v>
      </c>
      <c r="J333" s="5">
        <v>4</v>
      </c>
      <c r="K333" s="5" t="s">
        <v>59</v>
      </c>
    </row>
    <row r="334" spans="1:11" ht="15.75" customHeight="1" x14ac:dyDescent="0.25">
      <c r="A334" s="5">
        <v>7</v>
      </c>
      <c r="B334" s="5">
        <v>2023</v>
      </c>
      <c r="C334" s="6">
        <v>45203</v>
      </c>
      <c r="D334" s="5" t="s">
        <v>53</v>
      </c>
      <c r="E334" s="5" t="s">
        <v>25</v>
      </c>
      <c r="F334" s="5">
        <v>3</v>
      </c>
      <c r="G334" s="5" t="s">
        <v>46</v>
      </c>
      <c r="H334" s="5">
        <v>10</v>
      </c>
      <c r="I334" s="5">
        <v>1</v>
      </c>
      <c r="J334" s="5">
        <v>4.5</v>
      </c>
      <c r="K334" s="5" t="s">
        <v>27</v>
      </c>
    </row>
    <row r="335" spans="1:11" ht="15.75" customHeight="1" x14ac:dyDescent="0.25">
      <c r="A335" s="5">
        <v>7</v>
      </c>
      <c r="B335" s="5">
        <v>2023</v>
      </c>
      <c r="C335" s="6">
        <v>45203</v>
      </c>
      <c r="D335" s="5" t="s">
        <v>53</v>
      </c>
      <c r="E335" s="5" t="s">
        <v>25</v>
      </c>
      <c r="F335" s="5">
        <v>3</v>
      </c>
      <c r="G335" s="5" t="s">
        <v>46</v>
      </c>
      <c r="H335" s="5">
        <v>10</v>
      </c>
      <c r="I335" s="5">
        <v>1</v>
      </c>
      <c r="J335" s="5">
        <v>4.5</v>
      </c>
      <c r="K335" s="5" t="s">
        <v>61</v>
      </c>
    </row>
    <row r="336" spans="1:11" ht="15.75" customHeight="1" x14ac:dyDescent="0.25">
      <c r="A336" s="5">
        <v>7</v>
      </c>
      <c r="B336" s="5">
        <v>2023</v>
      </c>
      <c r="C336" s="6">
        <v>45203</v>
      </c>
      <c r="D336" s="5" t="s">
        <v>53</v>
      </c>
      <c r="E336" s="5" t="s">
        <v>25</v>
      </c>
      <c r="F336" s="5">
        <v>3</v>
      </c>
      <c r="G336" s="5" t="s">
        <v>46</v>
      </c>
      <c r="H336" s="5">
        <v>11</v>
      </c>
      <c r="I336" s="5">
        <v>1</v>
      </c>
      <c r="J336" s="5">
        <v>5</v>
      </c>
      <c r="K336" s="5" t="s">
        <v>35</v>
      </c>
    </row>
    <row r="337" spans="1:11" ht="15.75" customHeight="1" x14ac:dyDescent="0.25">
      <c r="A337" s="5">
        <v>7</v>
      </c>
      <c r="B337" s="5">
        <v>2023</v>
      </c>
      <c r="C337" s="6">
        <v>45203</v>
      </c>
      <c r="D337" s="5" t="s">
        <v>53</v>
      </c>
      <c r="E337" s="5" t="s">
        <v>25</v>
      </c>
      <c r="F337" s="5">
        <v>3</v>
      </c>
      <c r="G337" s="5" t="s">
        <v>46</v>
      </c>
      <c r="H337" s="5">
        <v>12</v>
      </c>
      <c r="I337" s="5">
        <v>1</v>
      </c>
      <c r="J337" s="5">
        <v>5.5</v>
      </c>
      <c r="K337" s="5" t="s">
        <v>27</v>
      </c>
    </row>
    <row r="338" spans="1:11" ht="15.75" customHeight="1" x14ac:dyDescent="0.25">
      <c r="A338" s="5">
        <v>7</v>
      </c>
      <c r="B338" s="5">
        <v>2023</v>
      </c>
      <c r="C338" s="6">
        <v>45203</v>
      </c>
      <c r="D338" s="5" t="s">
        <v>53</v>
      </c>
      <c r="E338" s="5" t="s">
        <v>25</v>
      </c>
      <c r="F338" s="5">
        <v>3</v>
      </c>
      <c r="G338" s="5" t="s">
        <v>46</v>
      </c>
      <c r="H338" s="5">
        <v>12</v>
      </c>
      <c r="I338" s="5">
        <v>1</v>
      </c>
      <c r="J338" s="5">
        <v>5.5</v>
      </c>
      <c r="K338" s="5" t="s">
        <v>34</v>
      </c>
    </row>
    <row r="339" spans="1:11" ht="15.75" customHeight="1" x14ac:dyDescent="0.25">
      <c r="A339" s="5">
        <v>7</v>
      </c>
      <c r="B339" s="5">
        <v>2023</v>
      </c>
      <c r="C339" s="6">
        <v>45203</v>
      </c>
      <c r="D339" s="5" t="s">
        <v>53</v>
      </c>
      <c r="E339" s="5" t="s">
        <v>25</v>
      </c>
      <c r="F339" s="5">
        <v>3</v>
      </c>
      <c r="G339" s="5" t="s">
        <v>46</v>
      </c>
      <c r="H339" s="5">
        <v>13</v>
      </c>
      <c r="I339" s="5">
        <v>1</v>
      </c>
      <c r="J339" s="5">
        <v>6.5</v>
      </c>
      <c r="K339" s="5" t="s">
        <v>27</v>
      </c>
    </row>
    <row r="340" spans="1:11" ht="15.75" customHeight="1" x14ac:dyDescent="0.25">
      <c r="A340" s="5">
        <v>7</v>
      </c>
      <c r="B340" s="5">
        <v>2023</v>
      </c>
      <c r="C340" s="6">
        <v>45203</v>
      </c>
      <c r="D340" s="5" t="s">
        <v>53</v>
      </c>
      <c r="E340" s="5" t="s">
        <v>25</v>
      </c>
      <c r="F340" s="5">
        <v>3</v>
      </c>
      <c r="G340" s="5" t="s">
        <v>46</v>
      </c>
      <c r="H340" s="5">
        <v>13</v>
      </c>
      <c r="I340" s="5">
        <v>1</v>
      </c>
      <c r="J340" s="5">
        <v>6.5</v>
      </c>
      <c r="K340" s="5" t="s">
        <v>30</v>
      </c>
    </row>
    <row r="341" spans="1:11" ht="15.75" customHeight="1" x14ac:dyDescent="0.25">
      <c r="A341" s="5">
        <v>7</v>
      </c>
      <c r="B341" s="5">
        <v>2023</v>
      </c>
      <c r="C341" s="6">
        <v>45203</v>
      </c>
      <c r="D341" s="5" t="s">
        <v>53</v>
      </c>
      <c r="E341" s="5" t="s">
        <v>25</v>
      </c>
      <c r="F341" s="5">
        <v>3</v>
      </c>
      <c r="G341" s="5" t="s">
        <v>46</v>
      </c>
      <c r="H341" s="5">
        <v>13</v>
      </c>
      <c r="I341" s="5">
        <v>1</v>
      </c>
      <c r="J341" s="5">
        <v>6.5</v>
      </c>
      <c r="K341" s="5" t="s">
        <v>48</v>
      </c>
    </row>
    <row r="342" spans="1:11" ht="15.75" customHeight="1" x14ac:dyDescent="0.25">
      <c r="A342" s="5">
        <v>7</v>
      </c>
      <c r="B342" s="5">
        <v>2023</v>
      </c>
      <c r="C342" s="6">
        <v>45203</v>
      </c>
      <c r="D342" s="5" t="s">
        <v>53</v>
      </c>
      <c r="E342" s="5" t="s">
        <v>25</v>
      </c>
      <c r="F342" s="5">
        <v>3</v>
      </c>
      <c r="G342" s="5" t="s">
        <v>46</v>
      </c>
      <c r="H342" s="5">
        <v>14</v>
      </c>
      <c r="I342" s="5">
        <v>1</v>
      </c>
      <c r="J342" s="5">
        <v>7</v>
      </c>
      <c r="K342" s="5" t="s">
        <v>35</v>
      </c>
    </row>
    <row r="343" spans="1:11" ht="15.75" customHeight="1" x14ac:dyDescent="0.25">
      <c r="A343" s="5">
        <v>7</v>
      </c>
      <c r="B343" s="5">
        <v>2023</v>
      </c>
      <c r="C343" s="6">
        <v>45203</v>
      </c>
      <c r="D343" s="5" t="s">
        <v>53</v>
      </c>
      <c r="E343" s="5" t="s">
        <v>25</v>
      </c>
      <c r="F343" s="5">
        <v>3</v>
      </c>
      <c r="G343" s="5" t="s">
        <v>46</v>
      </c>
      <c r="H343" s="5">
        <v>14</v>
      </c>
      <c r="I343" s="5">
        <v>1</v>
      </c>
      <c r="J343" s="5">
        <v>7</v>
      </c>
      <c r="K343" s="5" t="s">
        <v>34</v>
      </c>
    </row>
    <row r="344" spans="1:11" ht="15.75" customHeight="1" x14ac:dyDescent="0.25">
      <c r="A344" s="5">
        <v>7</v>
      </c>
      <c r="B344" s="5">
        <v>2023</v>
      </c>
      <c r="C344" s="6">
        <v>45203</v>
      </c>
      <c r="D344" s="5" t="s">
        <v>53</v>
      </c>
      <c r="E344" s="5" t="s">
        <v>25</v>
      </c>
      <c r="F344" s="5">
        <v>3</v>
      </c>
      <c r="G344" s="5" t="s">
        <v>46</v>
      </c>
      <c r="H344" s="5">
        <v>15</v>
      </c>
      <c r="I344" s="5">
        <v>1</v>
      </c>
      <c r="J344" s="5">
        <v>7.5</v>
      </c>
      <c r="K344" s="5" t="s">
        <v>27</v>
      </c>
    </row>
    <row r="345" spans="1:11" ht="15.75" customHeight="1" x14ac:dyDescent="0.25">
      <c r="A345" s="5">
        <v>7</v>
      </c>
      <c r="B345" s="5">
        <v>2023</v>
      </c>
      <c r="C345" s="6">
        <v>45203</v>
      </c>
      <c r="D345" s="5" t="s">
        <v>53</v>
      </c>
      <c r="E345" s="5" t="s">
        <v>25</v>
      </c>
      <c r="F345" s="5">
        <v>3</v>
      </c>
      <c r="G345" s="5" t="s">
        <v>46</v>
      </c>
      <c r="H345" s="5">
        <v>15</v>
      </c>
      <c r="I345" s="5">
        <v>1</v>
      </c>
      <c r="J345" s="5">
        <v>7.5</v>
      </c>
      <c r="K345" s="5" t="s">
        <v>34</v>
      </c>
    </row>
    <row r="346" spans="1:11" ht="15.75" customHeight="1" x14ac:dyDescent="0.25">
      <c r="A346" s="5">
        <v>7</v>
      </c>
      <c r="B346" s="5">
        <v>2023</v>
      </c>
      <c r="C346" s="6">
        <v>45203</v>
      </c>
      <c r="D346" s="5" t="s">
        <v>53</v>
      </c>
      <c r="E346" s="5" t="s">
        <v>25</v>
      </c>
      <c r="F346" s="5">
        <v>3</v>
      </c>
      <c r="G346" s="5" t="s">
        <v>46</v>
      </c>
      <c r="H346" s="5">
        <v>1</v>
      </c>
      <c r="I346" s="5">
        <v>2</v>
      </c>
      <c r="J346" s="5">
        <v>0</v>
      </c>
      <c r="K346" s="5" t="s">
        <v>27</v>
      </c>
    </row>
    <row r="347" spans="1:11" ht="15.75" customHeight="1" x14ac:dyDescent="0.25">
      <c r="A347" s="5">
        <v>7</v>
      </c>
      <c r="B347" s="5">
        <v>2023</v>
      </c>
      <c r="C347" s="6">
        <v>45203</v>
      </c>
      <c r="D347" s="5" t="s">
        <v>53</v>
      </c>
      <c r="E347" s="5" t="s">
        <v>25</v>
      </c>
      <c r="F347" s="5">
        <v>3</v>
      </c>
      <c r="G347" s="5" t="s">
        <v>46</v>
      </c>
      <c r="H347" s="5">
        <v>1</v>
      </c>
      <c r="I347" s="5">
        <v>2</v>
      </c>
      <c r="J347" s="5">
        <v>0</v>
      </c>
      <c r="K347" s="5" t="s">
        <v>30</v>
      </c>
    </row>
    <row r="348" spans="1:11" ht="15.75" customHeight="1" x14ac:dyDescent="0.25">
      <c r="A348" s="5">
        <v>7</v>
      </c>
      <c r="B348" s="5">
        <v>2023</v>
      </c>
      <c r="C348" s="6">
        <v>45203</v>
      </c>
      <c r="D348" s="5" t="s">
        <v>53</v>
      </c>
      <c r="E348" s="5" t="s">
        <v>25</v>
      </c>
      <c r="F348" s="5">
        <v>3</v>
      </c>
      <c r="G348" s="5" t="s">
        <v>46</v>
      </c>
      <c r="H348" s="5">
        <v>1</v>
      </c>
      <c r="I348" s="5">
        <v>2</v>
      </c>
      <c r="J348" s="5">
        <v>0</v>
      </c>
      <c r="K348" s="5" t="s">
        <v>34</v>
      </c>
    </row>
    <row r="349" spans="1:11" ht="15.75" customHeight="1" x14ac:dyDescent="0.25">
      <c r="A349" s="5">
        <v>7</v>
      </c>
      <c r="B349" s="5">
        <v>2023</v>
      </c>
      <c r="C349" s="6">
        <v>45203</v>
      </c>
      <c r="D349" s="5" t="s">
        <v>53</v>
      </c>
      <c r="E349" s="5" t="s">
        <v>25</v>
      </c>
      <c r="F349" s="5">
        <v>3</v>
      </c>
      <c r="G349" s="5" t="s">
        <v>46</v>
      </c>
      <c r="H349" s="5">
        <v>2</v>
      </c>
      <c r="I349" s="5">
        <v>2</v>
      </c>
      <c r="J349" s="5">
        <v>0.5</v>
      </c>
      <c r="K349" s="5" t="s">
        <v>27</v>
      </c>
    </row>
    <row r="350" spans="1:11" ht="15.75" customHeight="1" x14ac:dyDescent="0.25">
      <c r="A350" s="5">
        <v>7</v>
      </c>
      <c r="B350" s="5">
        <v>2023</v>
      </c>
      <c r="C350" s="6">
        <v>45203</v>
      </c>
      <c r="D350" s="5" t="s">
        <v>53</v>
      </c>
      <c r="E350" s="5" t="s">
        <v>25</v>
      </c>
      <c r="F350" s="5">
        <v>3</v>
      </c>
      <c r="G350" s="5" t="s">
        <v>46</v>
      </c>
      <c r="H350" s="5">
        <v>2</v>
      </c>
      <c r="I350" s="5">
        <v>2</v>
      </c>
      <c r="J350" s="5">
        <v>0.5</v>
      </c>
      <c r="K350" s="5" t="s">
        <v>30</v>
      </c>
    </row>
    <row r="351" spans="1:11" ht="15.75" customHeight="1" x14ac:dyDescent="0.25">
      <c r="A351" s="5">
        <v>7</v>
      </c>
      <c r="B351" s="5">
        <v>2023</v>
      </c>
      <c r="C351" s="6">
        <v>45203</v>
      </c>
      <c r="D351" s="5" t="s">
        <v>53</v>
      </c>
      <c r="E351" s="5" t="s">
        <v>25</v>
      </c>
      <c r="F351" s="5">
        <v>3</v>
      </c>
      <c r="G351" s="5" t="s">
        <v>46</v>
      </c>
      <c r="H351" s="5">
        <v>3</v>
      </c>
      <c r="I351" s="5">
        <v>2</v>
      </c>
      <c r="J351" s="5">
        <v>1</v>
      </c>
      <c r="K351" s="5" t="s">
        <v>27</v>
      </c>
    </row>
    <row r="352" spans="1:11" ht="15.75" customHeight="1" x14ac:dyDescent="0.25">
      <c r="A352" s="5">
        <v>7</v>
      </c>
      <c r="B352" s="5">
        <v>2023</v>
      </c>
      <c r="C352" s="6">
        <v>45203</v>
      </c>
      <c r="D352" s="5" t="s">
        <v>53</v>
      </c>
      <c r="E352" s="5" t="s">
        <v>25</v>
      </c>
      <c r="F352" s="5">
        <v>3</v>
      </c>
      <c r="G352" s="5" t="s">
        <v>46</v>
      </c>
      <c r="H352" s="5">
        <v>3</v>
      </c>
      <c r="I352" s="5">
        <v>2</v>
      </c>
      <c r="J352" s="5">
        <v>1</v>
      </c>
      <c r="K352" s="5" t="s">
        <v>30</v>
      </c>
    </row>
    <row r="353" spans="1:11" ht="15.75" customHeight="1" x14ac:dyDescent="0.25">
      <c r="A353" s="5">
        <v>7</v>
      </c>
      <c r="B353" s="5">
        <v>2023</v>
      </c>
      <c r="C353" s="6">
        <v>45203</v>
      </c>
      <c r="D353" s="5" t="s">
        <v>53</v>
      </c>
      <c r="E353" s="5" t="s">
        <v>25</v>
      </c>
      <c r="F353" s="5">
        <v>3</v>
      </c>
      <c r="G353" s="5" t="s">
        <v>46</v>
      </c>
      <c r="H353" s="5">
        <v>4</v>
      </c>
      <c r="I353" s="5">
        <v>2</v>
      </c>
      <c r="J353" s="5">
        <v>1.5</v>
      </c>
      <c r="K353" s="5" t="s">
        <v>27</v>
      </c>
    </row>
    <row r="354" spans="1:11" ht="15.75" customHeight="1" x14ac:dyDescent="0.25">
      <c r="A354" s="5">
        <v>7</v>
      </c>
      <c r="B354" s="5">
        <v>2023</v>
      </c>
      <c r="C354" s="6">
        <v>45203</v>
      </c>
      <c r="D354" s="5" t="s">
        <v>53</v>
      </c>
      <c r="E354" s="5" t="s">
        <v>25</v>
      </c>
      <c r="F354" s="5">
        <v>3</v>
      </c>
      <c r="G354" s="5" t="s">
        <v>46</v>
      </c>
      <c r="H354" s="5">
        <v>4</v>
      </c>
      <c r="I354" s="5">
        <v>2</v>
      </c>
      <c r="J354" s="5">
        <v>1.5</v>
      </c>
      <c r="K354" s="5" t="s">
        <v>30</v>
      </c>
    </row>
    <row r="355" spans="1:11" ht="15.75" customHeight="1" x14ac:dyDescent="0.25">
      <c r="A355" s="5">
        <v>7</v>
      </c>
      <c r="B355" s="5">
        <v>2023</v>
      </c>
      <c r="C355" s="6">
        <v>45203</v>
      </c>
      <c r="D355" s="5" t="s">
        <v>53</v>
      </c>
      <c r="E355" s="5" t="s">
        <v>25</v>
      </c>
      <c r="F355" s="5">
        <v>3</v>
      </c>
      <c r="G355" s="5" t="s">
        <v>46</v>
      </c>
      <c r="H355" s="5">
        <v>4</v>
      </c>
      <c r="I355" s="5">
        <v>2</v>
      </c>
      <c r="J355" s="5">
        <v>1.5</v>
      </c>
      <c r="K355" s="5" t="s">
        <v>48</v>
      </c>
    </row>
    <row r="356" spans="1:11" ht="15.75" customHeight="1" x14ac:dyDescent="0.25">
      <c r="A356" s="5">
        <v>7</v>
      </c>
      <c r="B356" s="5">
        <v>2023</v>
      </c>
      <c r="C356" s="6">
        <v>45203</v>
      </c>
      <c r="D356" s="5" t="s">
        <v>53</v>
      </c>
      <c r="E356" s="5" t="s">
        <v>25</v>
      </c>
      <c r="F356" s="5">
        <v>3</v>
      </c>
      <c r="G356" s="5" t="s">
        <v>46</v>
      </c>
      <c r="H356" s="5">
        <v>5</v>
      </c>
      <c r="I356" s="5">
        <v>2</v>
      </c>
      <c r="J356" s="5">
        <v>2.5</v>
      </c>
      <c r="K356" s="5" t="s">
        <v>27</v>
      </c>
    </row>
    <row r="357" spans="1:11" ht="15.75" customHeight="1" x14ac:dyDescent="0.25">
      <c r="A357" s="5">
        <v>7</v>
      </c>
      <c r="B357" s="5">
        <v>2023</v>
      </c>
      <c r="C357" s="6">
        <v>45203</v>
      </c>
      <c r="D357" s="5" t="s">
        <v>53</v>
      </c>
      <c r="E357" s="5" t="s">
        <v>25</v>
      </c>
      <c r="F357" s="5">
        <v>3</v>
      </c>
      <c r="G357" s="5" t="s">
        <v>46</v>
      </c>
      <c r="H357" s="5">
        <v>5</v>
      </c>
      <c r="I357" s="5">
        <v>2</v>
      </c>
      <c r="J357" s="5">
        <v>2.5</v>
      </c>
      <c r="K357" s="5" t="s">
        <v>30</v>
      </c>
    </row>
    <row r="358" spans="1:11" ht="15.75" customHeight="1" x14ac:dyDescent="0.25">
      <c r="A358" s="5">
        <v>7</v>
      </c>
      <c r="B358" s="5">
        <v>2023</v>
      </c>
      <c r="C358" s="6">
        <v>45203</v>
      </c>
      <c r="D358" s="5" t="s">
        <v>53</v>
      </c>
      <c r="E358" s="5" t="s">
        <v>25</v>
      </c>
      <c r="F358" s="5">
        <v>3</v>
      </c>
      <c r="G358" s="5" t="s">
        <v>46</v>
      </c>
      <c r="H358" s="5">
        <v>5</v>
      </c>
      <c r="I358" s="5">
        <v>2</v>
      </c>
      <c r="J358" s="5">
        <v>2.5</v>
      </c>
      <c r="K358" s="5" t="s">
        <v>48</v>
      </c>
    </row>
    <row r="359" spans="1:11" ht="15.75" customHeight="1" x14ac:dyDescent="0.25">
      <c r="A359" s="5">
        <v>7</v>
      </c>
      <c r="B359" s="5">
        <v>2023</v>
      </c>
      <c r="C359" s="6">
        <v>45203</v>
      </c>
      <c r="D359" s="5" t="s">
        <v>53</v>
      </c>
      <c r="E359" s="5" t="s">
        <v>25</v>
      </c>
      <c r="F359" s="5">
        <v>3</v>
      </c>
      <c r="G359" s="5" t="s">
        <v>46</v>
      </c>
      <c r="H359" s="5">
        <v>6</v>
      </c>
      <c r="I359" s="5">
        <v>2</v>
      </c>
      <c r="J359" s="5">
        <v>3</v>
      </c>
      <c r="K359" s="5" t="s">
        <v>27</v>
      </c>
    </row>
    <row r="360" spans="1:11" ht="15.75" customHeight="1" x14ac:dyDescent="0.25">
      <c r="A360" s="5">
        <v>7</v>
      </c>
      <c r="B360" s="5">
        <v>2023</v>
      </c>
      <c r="C360" s="6">
        <v>45203</v>
      </c>
      <c r="D360" s="5" t="s">
        <v>53</v>
      </c>
      <c r="E360" s="5" t="s">
        <v>25</v>
      </c>
      <c r="F360" s="5">
        <v>3</v>
      </c>
      <c r="G360" s="5" t="s">
        <v>46</v>
      </c>
      <c r="H360" s="5">
        <v>6</v>
      </c>
      <c r="I360" s="5">
        <v>2</v>
      </c>
      <c r="J360" s="5">
        <v>3</v>
      </c>
      <c r="K360" s="5" t="s">
        <v>48</v>
      </c>
    </row>
    <row r="361" spans="1:11" ht="15.75" customHeight="1" x14ac:dyDescent="0.25">
      <c r="A361" s="5">
        <v>7</v>
      </c>
      <c r="B361" s="5">
        <v>2023</v>
      </c>
      <c r="C361" s="6">
        <v>45203</v>
      </c>
      <c r="D361" s="5" t="s">
        <v>53</v>
      </c>
      <c r="E361" s="5" t="s">
        <v>25</v>
      </c>
      <c r="F361" s="5">
        <v>3</v>
      </c>
      <c r="G361" s="5" t="s">
        <v>46</v>
      </c>
      <c r="H361" s="5">
        <v>7</v>
      </c>
      <c r="I361" s="5">
        <v>2</v>
      </c>
      <c r="J361" s="5">
        <v>3.5</v>
      </c>
      <c r="K361" s="5" t="s">
        <v>27</v>
      </c>
    </row>
    <row r="362" spans="1:11" ht="15.75" customHeight="1" x14ac:dyDescent="0.25">
      <c r="A362" s="5">
        <v>7</v>
      </c>
      <c r="B362" s="5">
        <v>2023</v>
      </c>
      <c r="C362" s="6">
        <v>45203</v>
      </c>
      <c r="D362" s="5" t="s">
        <v>53</v>
      </c>
      <c r="E362" s="5" t="s">
        <v>25</v>
      </c>
      <c r="F362" s="5">
        <v>3</v>
      </c>
      <c r="G362" s="5" t="s">
        <v>46</v>
      </c>
      <c r="H362" s="5">
        <v>7</v>
      </c>
      <c r="I362" s="5">
        <v>2</v>
      </c>
      <c r="J362" s="5">
        <v>3.5</v>
      </c>
      <c r="K362" s="5" t="s">
        <v>48</v>
      </c>
    </row>
    <row r="363" spans="1:11" ht="15.75" customHeight="1" x14ac:dyDescent="0.25">
      <c r="A363" s="5">
        <v>7</v>
      </c>
      <c r="B363" s="5">
        <v>2023</v>
      </c>
      <c r="C363" s="6">
        <v>45203</v>
      </c>
      <c r="D363" s="5" t="s">
        <v>53</v>
      </c>
      <c r="E363" s="5" t="s">
        <v>25</v>
      </c>
      <c r="F363" s="5">
        <v>3</v>
      </c>
      <c r="G363" s="5" t="s">
        <v>46</v>
      </c>
      <c r="H363" s="5">
        <v>8</v>
      </c>
      <c r="I363" s="5">
        <v>2</v>
      </c>
      <c r="J363" s="5">
        <v>4</v>
      </c>
      <c r="K363" s="5" t="s">
        <v>35</v>
      </c>
    </row>
    <row r="364" spans="1:11" ht="15.75" customHeight="1" x14ac:dyDescent="0.25">
      <c r="A364" s="5">
        <v>7</v>
      </c>
      <c r="B364" s="5">
        <v>2023</v>
      </c>
      <c r="C364" s="6">
        <v>45203</v>
      </c>
      <c r="D364" s="5" t="s">
        <v>53</v>
      </c>
      <c r="E364" s="5" t="s">
        <v>25</v>
      </c>
      <c r="F364" s="5">
        <v>3</v>
      </c>
      <c r="G364" s="5" t="s">
        <v>46</v>
      </c>
      <c r="H364" s="5">
        <v>9</v>
      </c>
      <c r="I364" s="5">
        <v>2</v>
      </c>
      <c r="J364" s="5">
        <v>4.5</v>
      </c>
      <c r="K364" s="5" t="s">
        <v>35</v>
      </c>
    </row>
    <row r="365" spans="1:11" ht="15.75" customHeight="1" x14ac:dyDescent="0.25">
      <c r="A365" s="5">
        <v>7</v>
      </c>
      <c r="B365" s="5">
        <v>2023</v>
      </c>
      <c r="C365" s="6">
        <v>45203</v>
      </c>
      <c r="D365" s="5" t="s">
        <v>53</v>
      </c>
      <c r="E365" s="5" t="s">
        <v>25</v>
      </c>
      <c r="F365" s="5">
        <v>3</v>
      </c>
      <c r="G365" s="5" t="s">
        <v>46</v>
      </c>
      <c r="H365" s="5">
        <v>10</v>
      </c>
      <c r="I365" s="5">
        <v>2</v>
      </c>
      <c r="J365" s="5">
        <v>5</v>
      </c>
      <c r="K365" s="5" t="s">
        <v>27</v>
      </c>
    </row>
    <row r="366" spans="1:11" ht="15.75" customHeight="1" x14ac:dyDescent="0.25">
      <c r="A366" s="5">
        <v>7</v>
      </c>
      <c r="B366" s="5">
        <v>2023</v>
      </c>
      <c r="C366" s="6">
        <v>45203</v>
      </c>
      <c r="D366" s="5" t="s">
        <v>53</v>
      </c>
      <c r="E366" s="5" t="s">
        <v>25</v>
      </c>
      <c r="F366" s="5">
        <v>3</v>
      </c>
      <c r="G366" s="5" t="s">
        <v>46</v>
      </c>
      <c r="H366" s="5">
        <v>10</v>
      </c>
      <c r="I366" s="5">
        <v>2</v>
      </c>
      <c r="J366" s="5">
        <v>5</v>
      </c>
      <c r="K366" s="5" t="s">
        <v>30</v>
      </c>
    </row>
    <row r="367" spans="1:11" ht="15.75" customHeight="1" x14ac:dyDescent="0.25">
      <c r="A367" s="5">
        <v>7</v>
      </c>
      <c r="B367" s="5">
        <v>2023</v>
      </c>
      <c r="C367" s="6">
        <v>45203</v>
      </c>
      <c r="D367" s="5" t="s">
        <v>53</v>
      </c>
      <c r="E367" s="5" t="s">
        <v>25</v>
      </c>
      <c r="F367" s="5">
        <v>3</v>
      </c>
      <c r="G367" s="5" t="s">
        <v>46</v>
      </c>
      <c r="H367" s="5">
        <v>11</v>
      </c>
      <c r="I367" s="5">
        <v>2</v>
      </c>
      <c r="J367" s="5">
        <v>5.5</v>
      </c>
      <c r="K367" s="5" t="s">
        <v>35</v>
      </c>
    </row>
    <row r="368" spans="1:11" ht="15.75" customHeight="1" x14ac:dyDescent="0.25">
      <c r="A368" s="5">
        <v>7</v>
      </c>
      <c r="B368" s="5">
        <v>2023</v>
      </c>
      <c r="C368" s="6">
        <v>45203</v>
      </c>
      <c r="D368" s="5" t="s">
        <v>53</v>
      </c>
      <c r="E368" s="5" t="s">
        <v>25</v>
      </c>
      <c r="F368" s="5">
        <v>3</v>
      </c>
      <c r="G368" s="5" t="s">
        <v>46</v>
      </c>
      <c r="H368" s="5">
        <v>11</v>
      </c>
      <c r="I368" s="5">
        <v>2</v>
      </c>
      <c r="J368" s="5">
        <v>5.5</v>
      </c>
      <c r="K368" s="5" t="s">
        <v>34</v>
      </c>
    </row>
    <row r="369" spans="1:11" ht="15.75" customHeight="1" x14ac:dyDescent="0.25">
      <c r="A369" s="5">
        <v>7</v>
      </c>
      <c r="B369" s="5">
        <v>2023</v>
      </c>
      <c r="C369" s="6">
        <v>45203</v>
      </c>
      <c r="D369" s="5" t="s">
        <v>53</v>
      </c>
      <c r="E369" s="5" t="s">
        <v>25</v>
      </c>
      <c r="F369" s="5">
        <v>3</v>
      </c>
      <c r="G369" s="5" t="s">
        <v>46</v>
      </c>
      <c r="H369" s="5">
        <v>12</v>
      </c>
      <c r="I369" s="5">
        <v>2</v>
      </c>
      <c r="J369" s="5">
        <v>6</v>
      </c>
      <c r="K369" s="5" t="s">
        <v>35</v>
      </c>
    </row>
    <row r="370" spans="1:11" ht="15.75" customHeight="1" x14ac:dyDescent="0.25">
      <c r="A370" s="5">
        <v>7</v>
      </c>
      <c r="B370" s="5">
        <v>2023</v>
      </c>
      <c r="C370" s="6">
        <v>45203</v>
      </c>
      <c r="D370" s="5" t="s">
        <v>53</v>
      </c>
      <c r="E370" s="5" t="s">
        <v>25</v>
      </c>
      <c r="F370" s="5">
        <v>3</v>
      </c>
      <c r="G370" s="5" t="s">
        <v>46</v>
      </c>
      <c r="H370" s="5">
        <v>13</v>
      </c>
      <c r="I370" s="5">
        <v>2</v>
      </c>
      <c r="J370" s="5">
        <v>6.5</v>
      </c>
      <c r="K370" s="5" t="s">
        <v>35</v>
      </c>
    </row>
    <row r="371" spans="1:11" ht="15.75" customHeight="1" x14ac:dyDescent="0.25">
      <c r="A371" s="5">
        <v>7</v>
      </c>
      <c r="B371" s="5">
        <v>2023</v>
      </c>
      <c r="C371" s="6">
        <v>45203</v>
      </c>
      <c r="D371" s="5" t="s">
        <v>53</v>
      </c>
      <c r="E371" s="5" t="s">
        <v>25</v>
      </c>
      <c r="F371" s="5">
        <v>3</v>
      </c>
      <c r="G371" s="5" t="s">
        <v>46</v>
      </c>
      <c r="H371" s="5">
        <v>14</v>
      </c>
      <c r="I371" s="5">
        <v>2</v>
      </c>
      <c r="J371" s="5">
        <v>7</v>
      </c>
      <c r="K371" s="5" t="s">
        <v>27</v>
      </c>
    </row>
    <row r="372" spans="1:11" ht="15.75" customHeight="1" x14ac:dyDescent="0.25">
      <c r="A372" s="5">
        <v>7</v>
      </c>
      <c r="B372" s="5">
        <v>2023</v>
      </c>
      <c r="C372" s="6">
        <v>45203</v>
      </c>
      <c r="D372" s="5" t="s">
        <v>53</v>
      </c>
      <c r="E372" s="5" t="s">
        <v>25</v>
      </c>
      <c r="F372" s="5">
        <v>3</v>
      </c>
      <c r="G372" s="5" t="s">
        <v>46</v>
      </c>
      <c r="H372" s="5">
        <v>14</v>
      </c>
      <c r="I372" s="5">
        <v>2</v>
      </c>
      <c r="J372" s="5">
        <v>7</v>
      </c>
      <c r="K372" s="5" t="s">
        <v>34</v>
      </c>
    </row>
    <row r="373" spans="1:11" ht="15.75" customHeight="1" x14ac:dyDescent="0.25">
      <c r="A373" s="5">
        <v>7</v>
      </c>
      <c r="B373" s="5">
        <v>2023</v>
      </c>
      <c r="C373" s="6">
        <v>45203</v>
      </c>
      <c r="D373" s="5" t="s">
        <v>53</v>
      </c>
      <c r="E373" s="5" t="s">
        <v>25</v>
      </c>
      <c r="F373" s="5">
        <v>3</v>
      </c>
      <c r="G373" s="5" t="s">
        <v>46</v>
      </c>
      <c r="H373" s="5">
        <v>15</v>
      </c>
      <c r="I373" s="5">
        <v>2</v>
      </c>
      <c r="J373" s="5">
        <v>7.5</v>
      </c>
      <c r="K373" s="5" t="s">
        <v>27</v>
      </c>
    </row>
    <row r="374" spans="1:11" ht="15.75" customHeight="1" x14ac:dyDescent="0.25">
      <c r="A374" s="5">
        <v>7</v>
      </c>
      <c r="B374" s="5">
        <v>2023</v>
      </c>
      <c r="C374" s="6">
        <v>45203</v>
      </c>
      <c r="D374" s="5" t="s">
        <v>53</v>
      </c>
      <c r="E374" s="5" t="s">
        <v>25</v>
      </c>
      <c r="F374" s="5">
        <v>3</v>
      </c>
      <c r="G374" s="5" t="s">
        <v>46</v>
      </c>
      <c r="H374" s="5">
        <v>15</v>
      </c>
      <c r="I374" s="5">
        <v>2</v>
      </c>
      <c r="J374" s="5">
        <v>7.5</v>
      </c>
      <c r="K374" s="5" t="s">
        <v>30</v>
      </c>
    </row>
    <row r="375" spans="1:11" ht="15.75" customHeight="1" x14ac:dyDescent="0.25">
      <c r="A375" s="5">
        <v>8</v>
      </c>
      <c r="B375" s="5">
        <v>2023</v>
      </c>
      <c r="C375" s="6">
        <v>45203</v>
      </c>
      <c r="D375" s="5" t="s">
        <v>53</v>
      </c>
      <c r="E375" s="5" t="s">
        <v>25</v>
      </c>
      <c r="F375" s="5">
        <v>3</v>
      </c>
      <c r="G375" s="5" t="s">
        <v>51</v>
      </c>
      <c r="H375" s="5">
        <v>1</v>
      </c>
      <c r="I375" s="5">
        <v>1</v>
      </c>
      <c r="J375" s="5">
        <v>0</v>
      </c>
      <c r="K375" s="5" t="s">
        <v>27</v>
      </c>
    </row>
    <row r="376" spans="1:11" ht="15.75" customHeight="1" x14ac:dyDescent="0.25">
      <c r="A376" s="5">
        <v>8</v>
      </c>
      <c r="B376" s="5">
        <v>2023</v>
      </c>
      <c r="C376" s="6">
        <v>45203</v>
      </c>
      <c r="D376" s="5" t="s">
        <v>53</v>
      </c>
      <c r="E376" s="5" t="s">
        <v>25</v>
      </c>
      <c r="F376" s="5">
        <v>3</v>
      </c>
      <c r="G376" s="5" t="s">
        <v>51</v>
      </c>
      <c r="H376" s="5">
        <v>2</v>
      </c>
      <c r="I376" s="5">
        <v>1</v>
      </c>
      <c r="J376" s="5">
        <v>0.5</v>
      </c>
      <c r="K376" s="5" t="s">
        <v>27</v>
      </c>
    </row>
    <row r="377" spans="1:11" ht="15.75" customHeight="1" x14ac:dyDescent="0.25">
      <c r="A377" s="5">
        <v>8</v>
      </c>
      <c r="B377" s="5">
        <v>2023</v>
      </c>
      <c r="C377" s="6">
        <v>45203</v>
      </c>
      <c r="D377" s="5" t="s">
        <v>53</v>
      </c>
      <c r="E377" s="5" t="s">
        <v>25</v>
      </c>
      <c r="F377" s="5">
        <v>3</v>
      </c>
      <c r="G377" s="5" t="s">
        <v>51</v>
      </c>
      <c r="H377" s="5">
        <v>3</v>
      </c>
      <c r="I377" s="5">
        <v>1</v>
      </c>
      <c r="J377" s="5">
        <v>1</v>
      </c>
      <c r="K377" s="5" t="s">
        <v>27</v>
      </c>
    </row>
    <row r="378" spans="1:11" ht="15.75" customHeight="1" x14ac:dyDescent="0.25">
      <c r="A378" s="5">
        <v>8</v>
      </c>
      <c r="B378" s="5">
        <v>2023</v>
      </c>
      <c r="C378" s="6">
        <v>45203</v>
      </c>
      <c r="D378" s="5" t="s">
        <v>53</v>
      </c>
      <c r="E378" s="5" t="s">
        <v>25</v>
      </c>
      <c r="F378" s="5">
        <v>3</v>
      </c>
      <c r="G378" s="5" t="s">
        <v>51</v>
      </c>
      <c r="H378" s="5">
        <v>3</v>
      </c>
      <c r="I378" s="5">
        <v>1</v>
      </c>
      <c r="J378" s="5">
        <v>1</v>
      </c>
      <c r="K378" s="5" t="s">
        <v>30</v>
      </c>
    </row>
    <row r="379" spans="1:11" ht="15.75" customHeight="1" x14ac:dyDescent="0.25">
      <c r="A379" s="5">
        <v>8</v>
      </c>
      <c r="B379" s="5">
        <v>2023</v>
      </c>
      <c r="C379" s="6">
        <v>45203</v>
      </c>
      <c r="D379" s="5" t="s">
        <v>53</v>
      </c>
      <c r="E379" s="5" t="s">
        <v>25</v>
      </c>
      <c r="F379" s="5">
        <v>3</v>
      </c>
      <c r="G379" s="5" t="s">
        <v>51</v>
      </c>
      <c r="H379" s="5">
        <v>4</v>
      </c>
      <c r="I379" s="5">
        <v>1</v>
      </c>
      <c r="J379" s="5">
        <v>1.5</v>
      </c>
      <c r="K379" s="5" t="s">
        <v>35</v>
      </c>
    </row>
    <row r="380" spans="1:11" ht="15.75" customHeight="1" x14ac:dyDescent="0.25">
      <c r="A380" s="5">
        <v>8</v>
      </c>
      <c r="B380" s="5">
        <v>2023</v>
      </c>
      <c r="C380" s="6">
        <v>45203</v>
      </c>
      <c r="D380" s="5" t="s">
        <v>53</v>
      </c>
      <c r="E380" s="5" t="s">
        <v>25</v>
      </c>
      <c r="F380" s="5">
        <v>3</v>
      </c>
      <c r="G380" s="5" t="s">
        <v>51</v>
      </c>
      <c r="H380" s="5">
        <v>4</v>
      </c>
      <c r="I380" s="5">
        <v>1</v>
      </c>
      <c r="J380" s="5">
        <v>1.5</v>
      </c>
      <c r="K380" s="5" t="s">
        <v>30</v>
      </c>
    </row>
    <row r="381" spans="1:11" ht="15.75" customHeight="1" x14ac:dyDescent="0.25">
      <c r="A381" s="5">
        <v>8</v>
      </c>
      <c r="B381" s="5">
        <v>2023</v>
      </c>
      <c r="C381" s="6">
        <v>45203</v>
      </c>
      <c r="D381" s="5" t="s">
        <v>53</v>
      </c>
      <c r="E381" s="5" t="s">
        <v>25</v>
      </c>
      <c r="F381" s="5">
        <v>3</v>
      </c>
      <c r="G381" s="5" t="s">
        <v>51</v>
      </c>
      <c r="H381" s="5">
        <v>5</v>
      </c>
      <c r="I381" s="5">
        <v>1</v>
      </c>
      <c r="J381" s="5">
        <v>2</v>
      </c>
      <c r="K381" s="5" t="s">
        <v>32</v>
      </c>
    </row>
    <row r="382" spans="1:11" ht="15.75" customHeight="1" x14ac:dyDescent="0.25">
      <c r="A382" s="5">
        <v>8</v>
      </c>
      <c r="B382" s="5">
        <v>2023</v>
      </c>
      <c r="C382" s="6">
        <v>45203</v>
      </c>
      <c r="D382" s="5" t="s">
        <v>53</v>
      </c>
      <c r="E382" s="5" t="s">
        <v>25</v>
      </c>
      <c r="F382" s="5">
        <v>3</v>
      </c>
      <c r="G382" s="5" t="s">
        <v>51</v>
      </c>
      <c r="H382" s="5">
        <v>5</v>
      </c>
      <c r="I382" s="5">
        <v>1</v>
      </c>
      <c r="J382" s="5">
        <v>2</v>
      </c>
      <c r="K382" s="5" t="s">
        <v>30</v>
      </c>
    </row>
    <row r="383" spans="1:11" ht="15.75" customHeight="1" x14ac:dyDescent="0.25">
      <c r="A383" s="5">
        <v>8</v>
      </c>
      <c r="B383" s="5">
        <v>2023</v>
      </c>
      <c r="C383" s="6">
        <v>45203</v>
      </c>
      <c r="D383" s="5" t="s">
        <v>53</v>
      </c>
      <c r="E383" s="5" t="s">
        <v>25</v>
      </c>
      <c r="F383" s="5">
        <v>3</v>
      </c>
      <c r="G383" s="5" t="s">
        <v>51</v>
      </c>
      <c r="H383" s="5">
        <v>6</v>
      </c>
      <c r="I383" s="5">
        <v>1</v>
      </c>
      <c r="J383" s="5">
        <v>2.5</v>
      </c>
      <c r="K383" s="5" t="s">
        <v>27</v>
      </c>
    </row>
    <row r="384" spans="1:11" ht="15.75" customHeight="1" x14ac:dyDescent="0.25">
      <c r="A384" s="5">
        <v>8</v>
      </c>
      <c r="B384" s="5">
        <v>2023</v>
      </c>
      <c r="C384" s="6">
        <v>45203</v>
      </c>
      <c r="D384" s="5" t="s">
        <v>53</v>
      </c>
      <c r="E384" s="5" t="s">
        <v>25</v>
      </c>
      <c r="F384" s="5">
        <v>3</v>
      </c>
      <c r="G384" s="5" t="s">
        <v>51</v>
      </c>
      <c r="H384" s="5">
        <v>6</v>
      </c>
      <c r="I384" s="5">
        <v>1</v>
      </c>
      <c r="J384" s="5">
        <v>2.5</v>
      </c>
      <c r="K384" s="5" t="s">
        <v>30</v>
      </c>
    </row>
    <row r="385" spans="1:11" ht="15.75" customHeight="1" x14ac:dyDescent="0.25">
      <c r="A385" s="5">
        <v>8</v>
      </c>
      <c r="B385" s="5">
        <v>2023</v>
      </c>
      <c r="C385" s="6">
        <v>45203</v>
      </c>
      <c r="D385" s="5" t="s">
        <v>53</v>
      </c>
      <c r="E385" s="5" t="s">
        <v>25</v>
      </c>
      <c r="F385" s="5">
        <v>3</v>
      </c>
      <c r="G385" s="5" t="s">
        <v>51</v>
      </c>
      <c r="H385" s="5">
        <v>6</v>
      </c>
      <c r="I385" s="5">
        <v>1</v>
      </c>
      <c r="J385" s="5">
        <v>2.5</v>
      </c>
      <c r="K385" s="5" t="s">
        <v>48</v>
      </c>
    </row>
    <row r="386" spans="1:11" ht="15.75" customHeight="1" x14ac:dyDescent="0.25">
      <c r="A386" s="5">
        <v>8</v>
      </c>
      <c r="B386" s="5">
        <v>2023</v>
      </c>
      <c r="C386" s="6">
        <v>45203</v>
      </c>
      <c r="D386" s="5" t="s">
        <v>53</v>
      </c>
      <c r="E386" s="5" t="s">
        <v>25</v>
      </c>
      <c r="F386" s="5">
        <v>3</v>
      </c>
      <c r="G386" s="5" t="s">
        <v>51</v>
      </c>
      <c r="H386" s="5">
        <v>7</v>
      </c>
      <c r="I386" s="5">
        <v>1</v>
      </c>
      <c r="J386" s="5">
        <v>3</v>
      </c>
      <c r="K386" s="5" t="s">
        <v>27</v>
      </c>
    </row>
    <row r="387" spans="1:11" ht="15.75" customHeight="1" x14ac:dyDescent="0.25">
      <c r="A387" s="5">
        <v>8</v>
      </c>
      <c r="B387" s="5">
        <v>2023</v>
      </c>
      <c r="C387" s="6">
        <v>45203</v>
      </c>
      <c r="D387" s="5" t="s">
        <v>53</v>
      </c>
      <c r="E387" s="5" t="s">
        <v>25</v>
      </c>
      <c r="F387" s="5">
        <v>3</v>
      </c>
      <c r="G387" s="5" t="s">
        <v>51</v>
      </c>
      <c r="H387" s="5">
        <v>7</v>
      </c>
      <c r="I387" s="5">
        <v>1</v>
      </c>
      <c r="J387" s="5">
        <v>3</v>
      </c>
      <c r="K387" s="5" t="s">
        <v>30</v>
      </c>
    </row>
    <row r="388" spans="1:11" ht="15.75" customHeight="1" x14ac:dyDescent="0.25">
      <c r="A388" s="5">
        <v>8</v>
      </c>
      <c r="B388" s="5">
        <v>2023</v>
      </c>
      <c r="C388" s="6">
        <v>45203</v>
      </c>
      <c r="D388" s="5" t="s">
        <v>53</v>
      </c>
      <c r="E388" s="5" t="s">
        <v>25</v>
      </c>
      <c r="F388" s="5">
        <v>3</v>
      </c>
      <c r="G388" s="5" t="s">
        <v>51</v>
      </c>
      <c r="H388" s="5">
        <v>7</v>
      </c>
      <c r="I388" s="5">
        <v>1</v>
      </c>
      <c r="J388" s="5">
        <v>3</v>
      </c>
      <c r="K388" s="5" t="s">
        <v>59</v>
      </c>
    </row>
    <row r="389" spans="1:11" ht="15.75" customHeight="1" x14ac:dyDescent="0.25">
      <c r="A389" s="5">
        <v>8</v>
      </c>
      <c r="B389" s="5">
        <v>2023</v>
      </c>
      <c r="C389" s="6">
        <v>45203</v>
      </c>
      <c r="D389" s="5" t="s">
        <v>53</v>
      </c>
      <c r="E389" s="5" t="s">
        <v>25</v>
      </c>
      <c r="F389" s="5">
        <v>3</v>
      </c>
      <c r="G389" s="5" t="s">
        <v>51</v>
      </c>
      <c r="H389" s="5">
        <v>7</v>
      </c>
      <c r="I389" s="5">
        <v>1</v>
      </c>
      <c r="J389" s="5">
        <v>3</v>
      </c>
      <c r="K389" s="5" t="s">
        <v>29</v>
      </c>
    </row>
    <row r="390" spans="1:11" ht="15.75" customHeight="1" x14ac:dyDescent="0.25">
      <c r="A390" s="5">
        <v>8</v>
      </c>
      <c r="B390" s="5">
        <v>2023</v>
      </c>
      <c r="C390" s="6">
        <v>45203</v>
      </c>
      <c r="D390" s="5" t="s">
        <v>53</v>
      </c>
      <c r="E390" s="5" t="s">
        <v>25</v>
      </c>
      <c r="F390" s="5">
        <v>3</v>
      </c>
      <c r="G390" s="5" t="s">
        <v>51</v>
      </c>
      <c r="H390" s="5">
        <v>8</v>
      </c>
      <c r="I390" s="5">
        <v>1</v>
      </c>
      <c r="J390" s="5">
        <v>3.5</v>
      </c>
      <c r="K390" s="5" t="s">
        <v>27</v>
      </c>
    </row>
    <row r="391" spans="1:11" ht="15.75" customHeight="1" x14ac:dyDescent="0.25">
      <c r="A391" s="5">
        <v>8</v>
      </c>
      <c r="B391" s="5">
        <v>2023</v>
      </c>
      <c r="C391" s="6">
        <v>45203</v>
      </c>
      <c r="D391" s="5" t="s">
        <v>53</v>
      </c>
      <c r="E391" s="5" t="s">
        <v>25</v>
      </c>
      <c r="F391" s="5">
        <v>3</v>
      </c>
      <c r="G391" s="5" t="s">
        <v>51</v>
      </c>
      <c r="H391" s="5">
        <v>9</v>
      </c>
      <c r="I391" s="5">
        <v>1</v>
      </c>
      <c r="J391" s="5">
        <v>4</v>
      </c>
      <c r="K391" s="5" t="s">
        <v>27</v>
      </c>
    </row>
    <row r="392" spans="1:11" ht="15.75" customHeight="1" x14ac:dyDescent="0.25">
      <c r="A392" s="5">
        <v>8</v>
      </c>
      <c r="B392" s="5">
        <v>2023</v>
      </c>
      <c r="C392" s="6">
        <v>45203</v>
      </c>
      <c r="D392" s="5" t="s">
        <v>53</v>
      </c>
      <c r="E392" s="5" t="s">
        <v>25</v>
      </c>
      <c r="F392" s="5">
        <v>3</v>
      </c>
      <c r="G392" s="5" t="s">
        <v>51</v>
      </c>
      <c r="H392" s="5">
        <v>10</v>
      </c>
      <c r="I392" s="5">
        <v>1</v>
      </c>
      <c r="J392" s="5">
        <v>4.5</v>
      </c>
      <c r="K392" s="5" t="s">
        <v>27</v>
      </c>
    </row>
    <row r="393" spans="1:11" ht="15.75" customHeight="1" x14ac:dyDescent="0.25">
      <c r="A393" s="5">
        <v>8</v>
      </c>
      <c r="B393" s="5">
        <v>2023</v>
      </c>
      <c r="C393" s="6">
        <v>45203</v>
      </c>
      <c r="D393" s="5" t="s">
        <v>53</v>
      </c>
      <c r="E393" s="5" t="s">
        <v>25</v>
      </c>
      <c r="F393" s="5">
        <v>3</v>
      </c>
      <c r="G393" s="5" t="s">
        <v>51</v>
      </c>
      <c r="H393" s="5">
        <v>10</v>
      </c>
      <c r="I393" s="5">
        <v>1</v>
      </c>
      <c r="J393" s="5">
        <v>4.5</v>
      </c>
      <c r="K393" s="5" t="s">
        <v>30</v>
      </c>
    </row>
    <row r="394" spans="1:11" ht="15.75" customHeight="1" x14ac:dyDescent="0.25">
      <c r="A394" s="5">
        <v>8</v>
      </c>
      <c r="B394" s="5">
        <v>2023</v>
      </c>
      <c r="C394" s="6">
        <v>45203</v>
      </c>
      <c r="D394" s="5" t="s">
        <v>53</v>
      </c>
      <c r="E394" s="5" t="s">
        <v>25</v>
      </c>
      <c r="F394" s="5">
        <v>3</v>
      </c>
      <c r="G394" s="5" t="s">
        <v>51</v>
      </c>
      <c r="H394" s="5">
        <v>11</v>
      </c>
      <c r="I394" s="5">
        <v>1</v>
      </c>
      <c r="J394" s="5">
        <v>5</v>
      </c>
      <c r="K394" s="5" t="s">
        <v>27</v>
      </c>
    </row>
    <row r="395" spans="1:11" ht="15.75" customHeight="1" x14ac:dyDescent="0.25">
      <c r="A395" s="5">
        <v>8</v>
      </c>
      <c r="B395" s="5">
        <v>2023</v>
      </c>
      <c r="C395" s="6">
        <v>45203</v>
      </c>
      <c r="D395" s="5" t="s">
        <v>53</v>
      </c>
      <c r="E395" s="5" t="s">
        <v>25</v>
      </c>
      <c r="F395" s="5">
        <v>3</v>
      </c>
      <c r="G395" s="5" t="s">
        <v>51</v>
      </c>
      <c r="H395" s="5">
        <v>12</v>
      </c>
      <c r="I395" s="5">
        <v>1</v>
      </c>
      <c r="J395" s="5">
        <v>5.5</v>
      </c>
      <c r="K395" s="5" t="s">
        <v>27</v>
      </c>
    </row>
    <row r="396" spans="1:11" ht="15.75" customHeight="1" x14ac:dyDescent="0.25">
      <c r="A396" s="5">
        <v>8</v>
      </c>
      <c r="B396" s="5">
        <v>2023</v>
      </c>
      <c r="C396" s="6">
        <v>45203</v>
      </c>
      <c r="D396" s="5" t="s">
        <v>53</v>
      </c>
      <c r="E396" s="5" t="s">
        <v>25</v>
      </c>
      <c r="F396" s="5">
        <v>3</v>
      </c>
      <c r="G396" s="5" t="s">
        <v>51</v>
      </c>
      <c r="H396" s="5">
        <v>12</v>
      </c>
      <c r="I396" s="5">
        <v>1</v>
      </c>
      <c r="J396" s="5">
        <v>5.5</v>
      </c>
      <c r="K396" s="5" t="s">
        <v>48</v>
      </c>
    </row>
    <row r="397" spans="1:11" ht="15.75" customHeight="1" x14ac:dyDescent="0.25">
      <c r="A397" s="5">
        <v>8</v>
      </c>
      <c r="B397" s="5">
        <v>2023</v>
      </c>
      <c r="C397" s="6">
        <v>45203</v>
      </c>
      <c r="D397" s="5" t="s">
        <v>53</v>
      </c>
      <c r="E397" s="5" t="s">
        <v>25</v>
      </c>
      <c r="F397" s="5">
        <v>3</v>
      </c>
      <c r="G397" s="5" t="s">
        <v>51</v>
      </c>
      <c r="H397" s="5">
        <v>13</v>
      </c>
      <c r="I397" s="5">
        <v>1</v>
      </c>
      <c r="J397" s="5">
        <v>6.5</v>
      </c>
      <c r="K397" s="5" t="s">
        <v>27</v>
      </c>
    </row>
    <row r="398" spans="1:11" ht="15.75" customHeight="1" x14ac:dyDescent="0.25">
      <c r="A398" s="5">
        <v>8</v>
      </c>
      <c r="B398" s="5">
        <v>2023</v>
      </c>
      <c r="C398" s="6">
        <v>45203</v>
      </c>
      <c r="D398" s="5" t="s">
        <v>53</v>
      </c>
      <c r="E398" s="5" t="s">
        <v>25</v>
      </c>
      <c r="F398" s="5">
        <v>3</v>
      </c>
      <c r="G398" s="5" t="s">
        <v>51</v>
      </c>
      <c r="H398" s="5">
        <v>13</v>
      </c>
      <c r="I398" s="5">
        <v>1</v>
      </c>
      <c r="J398" s="5">
        <v>6.5</v>
      </c>
      <c r="K398" s="5" t="s">
        <v>34</v>
      </c>
    </row>
    <row r="399" spans="1:11" ht="15.75" customHeight="1" x14ac:dyDescent="0.25">
      <c r="A399" s="5">
        <v>8</v>
      </c>
      <c r="B399" s="5">
        <v>2023</v>
      </c>
      <c r="C399" s="6">
        <v>45203</v>
      </c>
      <c r="D399" s="5" t="s">
        <v>53</v>
      </c>
      <c r="E399" s="5" t="s">
        <v>25</v>
      </c>
      <c r="F399" s="5">
        <v>3</v>
      </c>
      <c r="G399" s="5" t="s">
        <v>51</v>
      </c>
      <c r="H399" s="5">
        <v>13</v>
      </c>
      <c r="I399" s="5">
        <v>1</v>
      </c>
      <c r="J399" s="5">
        <v>6.5</v>
      </c>
      <c r="K399" s="5" t="s">
        <v>48</v>
      </c>
    </row>
    <row r="400" spans="1:11" ht="15.75" customHeight="1" x14ac:dyDescent="0.25">
      <c r="A400" s="5">
        <v>8</v>
      </c>
      <c r="B400" s="5">
        <v>2023</v>
      </c>
      <c r="C400" s="6">
        <v>45203</v>
      </c>
      <c r="D400" s="5" t="s">
        <v>53</v>
      </c>
      <c r="E400" s="5" t="s">
        <v>25</v>
      </c>
      <c r="F400" s="5">
        <v>3</v>
      </c>
      <c r="G400" s="5" t="s">
        <v>51</v>
      </c>
      <c r="H400" s="5">
        <v>14</v>
      </c>
      <c r="I400" s="5">
        <v>1</v>
      </c>
      <c r="J400" s="5">
        <v>7</v>
      </c>
      <c r="K400" s="5" t="s">
        <v>27</v>
      </c>
    </row>
    <row r="401" spans="1:11" ht="15.75" customHeight="1" x14ac:dyDescent="0.25">
      <c r="A401" s="5">
        <v>8</v>
      </c>
      <c r="B401" s="5">
        <v>2023</v>
      </c>
      <c r="C401" s="6">
        <v>45203</v>
      </c>
      <c r="D401" s="5" t="s">
        <v>53</v>
      </c>
      <c r="E401" s="5" t="s">
        <v>25</v>
      </c>
      <c r="F401" s="5">
        <v>3</v>
      </c>
      <c r="G401" s="5" t="s">
        <v>51</v>
      </c>
      <c r="H401" s="5">
        <v>14</v>
      </c>
      <c r="I401" s="5">
        <v>1</v>
      </c>
      <c r="J401" s="5">
        <v>7</v>
      </c>
      <c r="K401" s="5" t="s">
        <v>30</v>
      </c>
    </row>
    <row r="402" spans="1:11" ht="15.75" customHeight="1" x14ac:dyDescent="0.25">
      <c r="A402" s="5">
        <v>8</v>
      </c>
      <c r="B402" s="5">
        <v>2023</v>
      </c>
      <c r="C402" s="6">
        <v>45203</v>
      </c>
      <c r="D402" s="5" t="s">
        <v>53</v>
      </c>
      <c r="E402" s="5" t="s">
        <v>25</v>
      </c>
      <c r="F402" s="5">
        <v>3</v>
      </c>
      <c r="G402" s="5" t="s">
        <v>51</v>
      </c>
      <c r="H402" s="5">
        <v>14</v>
      </c>
      <c r="I402" s="5">
        <v>1</v>
      </c>
      <c r="J402" s="5">
        <v>7</v>
      </c>
      <c r="K402" s="5" t="s">
        <v>28</v>
      </c>
    </row>
    <row r="403" spans="1:11" ht="15.75" customHeight="1" x14ac:dyDescent="0.25">
      <c r="A403" s="5">
        <v>8</v>
      </c>
      <c r="B403" s="5">
        <v>2023</v>
      </c>
      <c r="C403" s="6">
        <v>45203</v>
      </c>
      <c r="D403" s="5" t="s">
        <v>53</v>
      </c>
      <c r="E403" s="5" t="s">
        <v>25</v>
      </c>
      <c r="F403" s="5">
        <v>3</v>
      </c>
      <c r="G403" s="5" t="s">
        <v>51</v>
      </c>
      <c r="H403" s="5">
        <v>15</v>
      </c>
      <c r="I403" s="5">
        <v>1</v>
      </c>
      <c r="J403" s="5">
        <v>7.5</v>
      </c>
      <c r="K403" s="5" t="s">
        <v>35</v>
      </c>
    </row>
    <row r="404" spans="1:11" ht="15.75" customHeight="1" x14ac:dyDescent="0.25">
      <c r="A404" s="5">
        <v>8</v>
      </c>
      <c r="B404" s="5">
        <v>2023</v>
      </c>
      <c r="C404" s="6">
        <v>45203</v>
      </c>
      <c r="D404" s="5" t="s">
        <v>53</v>
      </c>
      <c r="E404" s="5" t="s">
        <v>25</v>
      </c>
      <c r="F404" s="5">
        <v>3</v>
      </c>
      <c r="G404" s="5" t="s">
        <v>51</v>
      </c>
      <c r="H404" s="5">
        <v>15</v>
      </c>
      <c r="I404" s="5">
        <v>1</v>
      </c>
      <c r="J404" s="5">
        <v>7.5</v>
      </c>
      <c r="K404" s="5" t="s">
        <v>30</v>
      </c>
    </row>
    <row r="405" spans="1:11" ht="15.75" customHeight="1" x14ac:dyDescent="0.25">
      <c r="A405" s="5">
        <v>8</v>
      </c>
      <c r="B405" s="5">
        <v>2023</v>
      </c>
      <c r="C405" s="6">
        <v>45203</v>
      </c>
      <c r="D405" s="5" t="s">
        <v>53</v>
      </c>
      <c r="E405" s="5" t="s">
        <v>25</v>
      </c>
      <c r="F405" s="5">
        <v>3</v>
      </c>
      <c r="G405" s="5" t="s">
        <v>51</v>
      </c>
      <c r="H405" s="5">
        <v>1</v>
      </c>
      <c r="I405" s="5">
        <v>2</v>
      </c>
      <c r="J405" s="5">
        <v>0</v>
      </c>
      <c r="K405" s="5" t="s">
        <v>27</v>
      </c>
    </row>
    <row r="406" spans="1:11" ht="15.75" customHeight="1" x14ac:dyDescent="0.25">
      <c r="A406" s="5">
        <v>8</v>
      </c>
      <c r="B406" s="5">
        <v>2023</v>
      </c>
      <c r="C406" s="6">
        <v>45203</v>
      </c>
      <c r="D406" s="5" t="s">
        <v>53</v>
      </c>
      <c r="E406" s="5" t="s">
        <v>25</v>
      </c>
      <c r="F406" s="5">
        <v>3</v>
      </c>
      <c r="G406" s="5" t="s">
        <v>51</v>
      </c>
      <c r="H406" s="5">
        <v>1</v>
      </c>
      <c r="I406" s="5">
        <v>2</v>
      </c>
      <c r="J406" s="5">
        <v>0</v>
      </c>
      <c r="K406" s="5" t="s">
        <v>30</v>
      </c>
    </row>
    <row r="407" spans="1:11" ht="15.75" customHeight="1" x14ac:dyDescent="0.25">
      <c r="A407" s="5">
        <v>8</v>
      </c>
      <c r="B407" s="5">
        <v>2023</v>
      </c>
      <c r="C407" s="6">
        <v>45203</v>
      </c>
      <c r="D407" s="5" t="s">
        <v>53</v>
      </c>
      <c r="E407" s="5" t="s">
        <v>25</v>
      </c>
      <c r="F407" s="5">
        <v>3</v>
      </c>
      <c r="G407" s="5" t="s">
        <v>51</v>
      </c>
      <c r="H407" s="5">
        <v>2</v>
      </c>
      <c r="I407" s="5">
        <v>2</v>
      </c>
      <c r="J407" s="5">
        <v>0.5</v>
      </c>
      <c r="K407" s="5" t="s">
        <v>35</v>
      </c>
    </row>
    <row r="408" spans="1:11" ht="15.75" customHeight="1" x14ac:dyDescent="0.25">
      <c r="A408" s="5">
        <v>8</v>
      </c>
      <c r="B408" s="5">
        <v>2023</v>
      </c>
      <c r="C408" s="6">
        <v>45203</v>
      </c>
      <c r="D408" s="5" t="s">
        <v>53</v>
      </c>
      <c r="E408" s="5" t="s">
        <v>25</v>
      </c>
      <c r="F408" s="5">
        <v>3</v>
      </c>
      <c r="G408" s="5" t="s">
        <v>51</v>
      </c>
      <c r="H408" s="5">
        <v>2</v>
      </c>
      <c r="I408" s="5">
        <v>2</v>
      </c>
      <c r="J408" s="5">
        <v>0.5</v>
      </c>
      <c r="K408" s="5" t="s">
        <v>29</v>
      </c>
    </row>
    <row r="409" spans="1:11" ht="15.75" customHeight="1" x14ac:dyDescent="0.25">
      <c r="A409" s="5">
        <v>8</v>
      </c>
      <c r="B409" s="5">
        <v>2023</v>
      </c>
      <c r="C409" s="6">
        <v>45203</v>
      </c>
      <c r="D409" s="5" t="s">
        <v>53</v>
      </c>
      <c r="E409" s="5" t="s">
        <v>25</v>
      </c>
      <c r="F409" s="5">
        <v>3</v>
      </c>
      <c r="G409" s="5" t="s">
        <v>51</v>
      </c>
      <c r="H409" s="5">
        <v>3</v>
      </c>
      <c r="I409" s="5">
        <v>2</v>
      </c>
      <c r="J409" s="5">
        <v>1</v>
      </c>
      <c r="K409" s="5" t="s">
        <v>35</v>
      </c>
    </row>
    <row r="410" spans="1:11" ht="15.75" customHeight="1" x14ac:dyDescent="0.25">
      <c r="A410" s="5">
        <v>8</v>
      </c>
      <c r="B410" s="5">
        <v>2023</v>
      </c>
      <c r="C410" s="6">
        <v>45203</v>
      </c>
      <c r="D410" s="5" t="s">
        <v>53</v>
      </c>
      <c r="E410" s="5" t="s">
        <v>25</v>
      </c>
      <c r="F410" s="5">
        <v>3</v>
      </c>
      <c r="G410" s="5" t="s">
        <v>51</v>
      </c>
      <c r="H410" s="5">
        <v>4</v>
      </c>
      <c r="I410" s="5">
        <v>2</v>
      </c>
      <c r="J410" s="5">
        <v>1.5</v>
      </c>
      <c r="K410" s="5" t="s">
        <v>35</v>
      </c>
    </row>
    <row r="411" spans="1:11" ht="15.75" customHeight="1" x14ac:dyDescent="0.25">
      <c r="A411" s="5">
        <v>8</v>
      </c>
      <c r="B411" s="5">
        <v>2023</v>
      </c>
      <c r="C411" s="6">
        <v>45203</v>
      </c>
      <c r="D411" s="5" t="s">
        <v>53</v>
      </c>
      <c r="E411" s="5" t="s">
        <v>25</v>
      </c>
      <c r="F411" s="5">
        <v>3</v>
      </c>
      <c r="G411" s="5" t="s">
        <v>51</v>
      </c>
      <c r="H411" s="5">
        <v>4</v>
      </c>
      <c r="I411" s="5">
        <v>2</v>
      </c>
      <c r="J411" s="5">
        <v>1.5</v>
      </c>
      <c r="K411" s="5" t="s">
        <v>55</v>
      </c>
    </row>
    <row r="412" spans="1:11" ht="15.75" customHeight="1" x14ac:dyDescent="0.25">
      <c r="A412" s="5">
        <v>8</v>
      </c>
      <c r="B412" s="5">
        <v>2023</v>
      </c>
      <c r="C412" s="6">
        <v>45203</v>
      </c>
      <c r="D412" s="5" t="s">
        <v>53</v>
      </c>
      <c r="E412" s="5" t="s">
        <v>25</v>
      </c>
      <c r="F412" s="5">
        <v>3</v>
      </c>
      <c r="G412" s="5" t="s">
        <v>51</v>
      </c>
      <c r="H412" s="5">
        <v>5</v>
      </c>
      <c r="I412" s="5">
        <v>2</v>
      </c>
      <c r="J412" s="5">
        <v>2.5</v>
      </c>
      <c r="K412" s="5" t="s">
        <v>35</v>
      </c>
    </row>
    <row r="413" spans="1:11" ht="15.75" customHeight="1" x14ac:dyDescent="0.25">
      <c r="A413" s="5">
        <v>8</v>
      </c>
      <c r="B413" s="5">
        <v>2023</v>
      </c>
      <c r="C413" s="6">
        <v>45203</v>
      </c>
      <c r="D413" s="5" t="s">
        <v>53</v>
      </c>
      <c r="E413" s="5" t="s">
        <v>25</v>
      </c>
      <c r="F413" s="5">
        <v>3</v>
      </c>
      <c r="G413" s="5" t="s">
        <v>51</v>
      </c>
      <c r="H413" s="5">
        <v>5</v>
      </c>
      <c r="I413" s="5">
        <v>2</v>
      </c>
      <c r="J413" s="5">
        <v>2.5</v>
      </c>
      <c r="K413" s="5" t="s">
        <v>30</v>
      </c>
    </row>
    <row r="414" spans="1:11" ht="15.75" customHeight="1" x14ac:dyDescent="0.25">
      <c r="A414" s="5">
        <v>8</v>
      </c>
      <c r="B414" s="5">
        <v>2023</v>
      </c>
      <c r="C414" s="6">
        <v>45203</v>
      </c>
      <c r="D414" s="5" t="s">
        <v>53</v>
      </c>
      <c r="E414" s="5" t="s">
        <v>25</v>
      </c>
      <c r="F414" s="5">
        <v>3</v>
      </c>
      <c r="G414" s="5" t="s">
        <v>51</v>
      </c>
      <c r="H414" s="5">
        <v>5</v>
      </c>
      <c r="I414" s="5">
        <v>2</v>
      </c>
      <c r="J414" s="5">
        <v>2.5</v>
      </c>
      <c r="K414" s="5" t="s">
        <v>48</v>
      </c>
    </row>
    <row r="415" spans="1:11" ht="15.75" customHeight="1" x14ac:dyDescent="0.25">
      <c r="A415" s="5">
        <v>8</v>
      </c>
      <c r="B415" s="5">
        <v>2023</v>
      </c>
      <c r="C415" s="6">
        <v>45203</v>
      </c>
      <c r="D415" s="5" t="s">
        <v>53</v>
      </c>
      <c r="E415" s="5" t="s">
        <v>25</v>
      </c>
      <c r="F415" s="5">
        <v>3</v>
      </c>
      <c r="G415" s="5" t="s">
        <v>51</v>
      </c>
      <c r="H415" s="5">
        <v>6</v>
      </c>
      <c r="I415" s="5">
        <v>2</v>
      </c>
      <c r="J415" s="5">
        <v>3</v>
      </c>
      <c r="K415" s="5" t="s">
        <v>27</v>
      </c>
    </row>
    <row r="416" spans="1:11" ht="15.75" customHeight="1" x14ac:dyDescent="0.25">
      <c r="A416" s="5">
        <v>8</v>
      </c>
      <c r="B416" s="5">
        <v>2023</v>
      </c>
      <c r="C416" s="6">
        <v>45203</v>
      </c>
      <c r="D416" s="5" t="s">
        <v>53</v>
      </c>
      <c r="E416" s="5" t="s">
        <v>25</v>
      </c>
      <c r="F416" s="5">
        <v>3</v>
      </c>
      <c r="G416" s="5" t="s">
        <v>51</v>
      </c>
      <c r="H416" s="5">
        <v>6</v>
      </c>
      <c r="I416" s="5">
        <v>2</v>
      </c>
      <c r="J416" s="5">
        <v>3</v>
      </c>
      <c r="K416" s="5" t="s">
        <v>55</v>
      </c>
    </row>
    <row r="417" spans="1:11" ht="15.75" customHeight="1" x14ac:dyDescent="0.25">
      <c r="A417" s="5">
        <v>8</v>
      </c>
      <c r="B417" s="5">
        <v>2023</v>
      </c>
      <c r="C417" s="6">
        <v>45203</v>
      </c>
      <c r="D417" s="5" t="s">
        <v>53</v>
      </c>
      <c r="E417" s="5" t="s">
        <v>25</v>
      </c>
      <c r="F417" s="5">
        <v>3</v>
      </c>
      <c r="G417" s="5" t="s">
        <v>51</v>
      </c>
      <c r="H417" s="5">
        <v>6</v>
      </c>
      <c r="I417" s="5">
        <v>2</v>
      </c>
      <c r="J417" s="5">
        <v>3</v>
      </c>
      <c r="K417" s="5" t="s">
        <v>48</v>
      </c>
    </row>
    <row r="418" spans="1:11" ht="15.75" customHeight="1" x14ac:dyDescent="0.25">
      <c r="A418" s="5">
        <v>8</v>
      </c>
      <c r="B418" s="5">
        <v>2023</v>
      </c>
      <c r="C418" s="6">
        <v>45203</v>
      </c>
      <c r="D418" s="5" t="s">
        <v>53</v>
      </c>
      <c r="E418" s="5" t="s">
        <v>25</v>
      </c>
      <c r="F418" s="5">
        <v>3</v>
      </c>
      <c r="G418" s="5" t="s">
        <v>51</v>
      </c>
      <c r="H418" s="5">
        <v>6</v>
      </c>
      <c r="I418" s="5">
        <v>2</v>
      </c>
      <c r="J418" s="5">
        <v>3</v>
      </c>
      <c r="K418" s="5" t="s">
        <v>30</v>
      </c>
    </row>
    <row r="419" spans="1:11" ht="15.75" customHeight="1" x14ac:dyDescent="0.25">
      <c r="A419" s="5">
        <v>8</v>
      </c>
      <c r="B419" s="5">
        <v>2023</v>
      </c>
      <c r="C419" s="6">
        <v>45203</v>
      </c>
      <c r="D419" s="5" t="s">
        <v>53</v>
      </c>
      <c r="E419" s="5" t="s">
        <v>25</v>
      </c>
      <c r="F419" s="5">
        <v>3</v>
      </c>
      <c r="G419" s="5" t="s">
        <v>51</v>
      </c>
      <c r="H419" s="5">
        <v>7</v>
      </c>
      <c r="I419" s="5">
        <v>2</v>
      </c>
      <c r="J419" s="5">
        <v>3.5</v>
      </c>
      <c r="K419" s="5" t="s">
        <v>27</v>
      </c>
    </row>
    <row r="420" spans="1:11" ht="15.75" customHeight="1" x14ac:dyDescent="0.25">
      <c r="A420" s="5">
        <v>8</v>
      </c>
      <c r="B420" s="5">
        <v>2023</v>
      </c>
      <c r="C420" s="6">
        <v>45203</v>
      </c>
      <c r="D420" s="5" t="s">
        <v>53</v>
      </c>
      <c r="E420" s="5" t="s">
        <v>25</v>
      </c>
      <c r="F420" s="5">
        <v>3</v>
      </c>
      <c r="G420" s="5" t="s">
        <v>51</v>
      </c>
      <c r="H420" s="5">
        <v>7</v>
      </c>
      <c r="I420" s="5">
        <v>2</v>
      </c>
      <c r="J420" s="5">
        <v>3.5</v>
      </c>
      <c r="K420" s="5" t="s">
        <v>30</v>
      </c>
    </row>
    <row r="421" spans="1:11" ht="15.75" customHeight="1" x14ac:dyDescent="0.25">
      <c r="A421" s="5">
        <v>8</v>
      </c>
      <c r="B421" s="5">
        <v>2023</v>
      </c>
      <c r="C421" s="6">
        <v>45203</v>
      </c>
      <c r="D421" s="5" t="s">
        <v>53</v>
      </c>
      <c r="E421" s="5" t="s">
        <v>25</v>
      </c>
      <c r="F421" s="5">
        <v>3</v>
      </c>
      <c r="G421" s="5" t="s">
        <v>51</v>
      </c>
      <c r="H421" s="5">
        <v>7</v>
      </c>
      <c r="I421" s="5">
        <v>2</v>
      </c>
      <c r="J421" s="5">
        <v>3.5</v>
      </c>
      <c r="K421" s="5" t="s">
        <v>48</v>
      </c>
    </row>
    <row r="422" spans="1:11" ht="15.75" customHeight="1" x14ac:dyDescent="0.25">
      <c r="A422" s="5">
        <v>8</v>
      </c>
      <c r="B422" s="5">
        <v>2023</v>
      </c>
      <c r="C422" s="6">
        <v>45203</v>
      </c>
      <c r="D422" s="5" t="s">
        <v>53</v>
      </c>
      <c r="E422" s="5" t="s">
        <v>25</v>
      </c>
      <c r="F422" s="5">
        <v>3</v>
      </c>
      <c r="G422" s="5" t="s">
        <v>51</v>
      </c>
      <c r="H422" s="5">
        <v>8</v>
      </c>
      <c r="I422" s="5">
        <v>2</v>
      </c>
      <c r="J422" s="5">
        <v>4</v>
      </c>
      <c r="K422" s="5" t="s">
        <v>27</v>
      </c>
    </row>
    <row r="423" spans="1:11" ht="15.75" customHeight="1" x14ac:dyDescent="0.25">
      <c r="A423" s="5">
        <v>8</v>
      </c>
      <c r="B423" s="5">
        <v>2023</v>
      </c>
      <c r="C423" s="6">
        <v>45203</v>
      </c>
      <c r="D423" s="5" t="s">
        <v>53</v>
      </c>
      <c r="E423" s="5" t="s">
        <v>25</v>
      </c>
      <c r="F423" s="5">
        <v>3</v>
      </c>
      <c r="G423" s="5" t="s">
        <v>51</v>
      </c>
      <c r="H423" s="5">
        <v>8</v>
      </c>
      <c r="I423" s="5">
        <v>2</v>
      </c>
      <c r="J423" s="5">
        <v>4</v>
      </c>
      <c r="K423" s="5" t="s">
        <v>30</v>
      </c>
    </row>
    <row r="424" spans="1:11" ht="15.75" customHeight="1" x14ac:dyDescent="0.25">
      <c r="A424" s="5">
        <v>8</v>
      </c>
      <c r="B424" s="5">
        <v>2023</v>
      </c>
      <c r="C424" s="6">
        <v>45203</v>
      </c>
      <c r="D424" s="5" t="s">
        <v>53</v>
      </c>
      <c r="E424" s="5" t="s">
        <v>25</v>
      </c>
      <c r="F424" s="5">
        <v>3</v>
      </c>
      <c r="G424" s="5" t="s">
        <v>51</v>
      </c>
      <c r="H424" s="5">
        <v>8</v>
      </c>
      <c r="I424" s="5">
        <v>2</v>
      </c>
      <c r="J424" s="5">
        <v>4</v>
      </c>
      <c r="K424" s="5" t="s">
        <v>48</v>
      </c>
    </row>
    <row r="425" spans="1:11" ht="15.75" customHeight="1" x14ac:dyDescent="0.25">
      <c r="A425" s="5">
        <v>8</v>
      </c>
      <c r="B425" s="5">
        <v>2023</v>
      </c>
      <c r="C425" s="6">
        <v>45203</v>
      </c>
      <c r="D425" s="5" t="s">
        <v>53</v>
      </c>
      <c r="E425" s="5" t="s">
        <v>25</v>
      </c>
      <c r="F425" s="5">
        <v>3</v>
      </c>
      <c r="G425" s="5" t="s">
        <v>51</v>
      </c>
      <c r="H425" s="5">
        <v>9</v>
      </c>
      <c r="I425" s="5">
        <v>2</v>
      </c>
      <c r="J425" s="5">
        <v>4.5</v>
      </c>
      <c r="K425" s="5" t="s">
        <v>27</v>
      </c>
    </row>
    <row r="426" spans="1:11" ht="15.75" customHeight="1" x14ac:dyDescent="0.25">
      <c r="A426" s="5">
        <v>8</v>
      </c>
      <c r="B426" s="5">
        <v>2023</v>
      </c>
      <c r="C426" s="6">
        <v>45203</v>
      </c>
      <c r="D426" s="5" t="s">
        <v>53</v>
      </c>
      <c r="E426" s="5" t="s">
        <v>25</v>
      </c>
      <c r="F426" s="5">
        <v>3</v>
      </c>
      <c r="G426" s="5" t="s">
        <v>51</v>
      </c>
      <c r="H426" s="5">
        <v>9</v>
      </c>
      <c r="I426" s="5">
        <v>2</v>
      </c>
      <c r="J426" s="5">
        <v>4.5</v>
      </c>
      <c r="K426" s="5" t="s">
        <v>48</v>
      </c>
    </row>
    <row r="427" spans="1:11" ht="15.75" customHeight="1" x14ac:dyDescent="0.25">
      <c r="A427" s="5">
        <v>8</v>
      </c>
      <c r="B427" s="5">
        <v>2023</v>
      </c>
      <c r="C427" s="6">
        <v>45203</v>
      </c>
      <c r="D427" s="5" t="s">
        <v>53</v>
      </c>
      <c r="E427" s="5" t="s">
        <v>25</v>
      </c>
      <c r="F427" s="5">
        <v>3</v>
      </c>
      <c r="G427" s="5" t="s">
        <v>51</v>
      </c>
      <c r="H427" s="5">
        <v>10</v>
      </c>
      <c r="I427" s="5">
        <v>2</v>
      </c>
      <c r="J427" s="5">
        <v>5</v>
      </c>
      <c r="K427" s="5" t="s">
        <v>27</v>
      </c>
    </row>
    <row r="428" spans="1:11" ht="15.75" customHeight="1" x14ac:dyDescent="0.25">
      <c r="A428" s="5">
        <v>8</v>
      </c>
      <c r="B428" s="5">
        <v>2023</v>
      </c>
      <c r="C428" s="6">
        <v>45203</v>
      </c>
      <c r="D428" s="5" t="s">
        <v>53</v>
      </c>
      <c r="E428" s="5" t="s">
        <v>25</v>
      </c>
      <c r="F428" s="5">
        <v>3</v>
      </c>
      <c r="G428" s="5" t="s">
        <v>51</v>
      </c>
      <c r="H428" s="5">
        <v>10</v>
      </c>
      <c r="I428" s="5">
        <v>2</v>
      </c>
      <c r="J428" s="5">
        <v>5</v>
      </c>
      <c r="K428" s="5" t="s">
        <v>48</v>
      </c>
    </row>
    <row r="429" spans="1:11" ht="15.75" customHeight="1" x14ac:dyDescent="0.25">
      <c r="A429" s="5">
        <v>8</v>
      </c>
      <c r="B429" s="5">
        <v>2023</v>
      </c>
      <c r="C429" s="6">
        <v>45203</v>
      </c>
      <c r="D429" s="5" t="s">
        <v>53</v>
      </c>
      <c r="E429" s="5" t="s">
        <v>25</v>
      </c>
      <c r="F429" s="5">
        <v>3</v>
      </c>
      <c r="G429" s="5" t="s">
        <v>51</v>
      </c>
      <c r="H429" s="5">
        <v>11</v>
      </c>
      <c r="I429" s="5">
        <v>2</v>
      </c>
      <c r="J429" s="5">
        <v>5.5</v>
      </c>
      <c r="K429" s="5" t="s">
        <v>35</v>
      </c>
    </row>
    <row r="430" spans="1:11" ht="15.75" customHeight="1" x14ac:dyDescent="0.25">
      <c r="A430" s="5">
        <v>8</v>
      </c>
      <c r="B430" s="5">
        <v>2023</v>
      </c>
      <c r="C430" s="6">
        <v>45203</v>
      </c>
      <c r="D430" s="5" t="s">
        <v>53</v>
      </c>
      <c r="E430" s="5" t="s">
        <v>25</v>
      </c>
      <c r="F430" s="5">
        <v>3</v>
      </c>
      <c r="G430" s="5" t="s">
        <v>51</v>
      </c>
      <c r="H430" s="5">
        <v>11</v>
      </c>
      <c r="I430" s="5">
        <v>2</v>
      </c>
      <c r="J430" s="5">
        <v>5.5</v>
      </c>
      <c r="K430" s="5" t="s">
        <v>34</v>
      </c>
    </row>
    <row r="431" spans="1:11" ht="15.75" customHeight="1" x14ac:dyDescent="0.25">
      <c r="A431" s="5">
        <v>8</v>
      </c>
      <c r="B431" s="5">
        <v>2023</v>
      </c>
      <c r="C431" s="6">
        <v>45203</v>
      </c>
      <c r="D431" s="5" t="s">
        <v>53</v>
      </c>
      <c r="E431" s="5" t="s">
        <v>25</v>
      </c>
      <c r="F431" s="5">
        <v>3</v>
      </c>
      <c r="G431" s="5" t="s">
        <v>51</v>
      </c>
      <c r="H431" s="5">
        <v>11</v>
      </c>
      <c r="I431" s="5">
        <v>2</v>
      </c>
      <c r="J431" s="5">
        <v>5.5</v>
      </c>
      <c r="K431" s="5" t="s">
        <v>48</v>
      </c>
    </row>
    <row r="432" spans="1:11" ht="15.75" customHeight="1" x14ac:dyDescent="0.25">
      <c r="A432" s="5">
        <v>8</v>
      </c>
      <c r="B432" s="5">
        <v>2023</v>
      </c>
      <c r="C432" s="6">
        <v>45203</v>
      </c>
      <c r="D432" s="5" t="s">
        <v>53</v>
      </c>
      <c r="E432" s="5" t="s">
        <v>25</v>
      </c>
      <c r="F432" s="5">
        <v>3</v>
      </c>
      <c r="G432" s="5" t="s">
        <v>51</v>
      </c>
      <c r="H432" s="5">
        <v>12</v>
      </c>
      <c r="I432" s="5">
        <v>2</v>
      </c>
      <c r="J432" s="5">
        <v>6</v>
      </c>
      <c r="K432" s="5" t="s">
        <v>35</v>
      </c>
    </row>
    <row r="433" spans="1:11" ht="15.75" customHeight="1" x14ac:dyDescent="0.25">
      <c r="A433" s="5">
        <v>8</v>
      </c>
      <c r="B433" s="5">
        <v>2023</v>
      </c>
      <c r="C433" s="6">
        <v>45203</v>
      </c>
      <c r="D433" s="5" t="s">
        <v>53</v>
      </c>
      <c r="E433" s="5" t="s">
        <v>25</v>
      </c>
      <c r="F433" s="5">
        <v>3</v>
      </c>
      <c r="G433" s="5" t="s">
        <v>51</v>
      </c>
      <c r="H433" s="5">
        <v>12</v>
      </c>
      <c r="I433" s="5">
        <v>2</v>
      </c>
      <c r="J433" s="5">
        <v>6</v>
      </c>
      <c r="K433" s="5" t="s">
        <v>34</v>
      </c>
    </row>
    <row r="434" spans="1:11" ht="15.75" customHeight="1" x14ac:dyDescent="0.25">
      <c r="A434" s="5">
        <v>8</v>
      </c>
      <c r="B434" s="5">
        <v>2023</v>
      </c>
      <c r="C434" s="6">
        <v>45203</v>
      </c>
      <c r="D434" s="5" t="s">
        <v>53</v>
      </c>
      <c r="E434" s="5" t="s">
        <v>25</v>
      </c>
      <c r="F434" s="5">
        <v>3</v>
      </c>
      <c r="G434" s="5" t="s">
        <v>51</v>
      </c>
      <c r="H434" s="5">
        <v>12</v>
      </c>
      <c r="I434" s="5">
        <v>2</v>
      </c>
      <c r="J434" s="5">
        <v>6</v>
      </c>
      <c r="K434" s="5" t="s">
        <v>55</v>
      </c>
    </row>
    <row r="435" spans="1:11" ht="15.75" customHeight="1" x14ac:dyDescent="0.25">
      <c r="A435" s="5">
        <v>8</v>
      </c>
      <c r="B435" s="5">
        <v>2023</v>
      </c>
      <c r="C435" s="6">
        <v>45203</v>
      </c>
      <c r="D435" s="5" t="s">
        <v>53</v>
      </c>
      <c r="E435" s="5" t="s">
        <v>25</v>
      </c>
      <c r="F435" s="5">
        <v>3</v>
      </c>
      <c r="G435" s="5" t="s">
        <v>51</v>
      </c>
      <c r="H435" s="5">
        <v>12</v>
      </c>
      <c r="I435" s="5">
        <v>2</v>
      </c>
      <c r="J435" s="5">
        <v>6</v>
      </c>
      <c r="K435" s="5" t="s">
        <v>48</v>
      </c>
    </row>
    <row r="436" spans="1:11" ht="15.75" customHeight="1" x14ac:dyDescent="0.25">
      <c r="A436" s="5">
        <v>8</v>
      </c>
      <c r="B436" s="5">
        <v>2023</v>
      </c>
      <c r="C436" s="6">
        <v>45203</v>
      </c>
      <c r="D436" s="5" t="s">
        <v>53</v>
      </c>
      <c r="E436" s="5" t="s">
        <v>25</v>
      </c>
      <c r="F436" s="5">
        <v>3</v>
      </c>
      <c r="G436" s="5" t="s">
        <v>51</v>
      </c>
      <c r="H436" s="5">
        <v>13</v>
      </c>
      <c r="I436" s="5">
        <v>2</v>
      </c>
      <c r="J436" s="5">
        <v>6.5</v>
      </c>
      <c r="K436" s="5" t="s">
        <v>35</v>
      </c>
    </row>
    <row r="437" spans="1:11" ht="15.75" customHeight="1" x14ac:dyDescent="0.25">
      <c r="A437" s="5">
        <v>8</v>
      </c>
      <c r="B437" s="5">
        <v>2023</v>
      </c>
      <c r="C437" s="6">
        <v>45203</v>
      </c>
      <c r="D437" s="5" t="s">
        <v>53</v>
      </c>
      <c r="E437" s="5" t="s">
        <v>25</v>
      </c>
      <c r="F437" s="5">
        <v>3</v>
      </c>
      <c r="G437" s="5" t="s">
        <v>51</v>
      </c>
      <c r="H437" s="5">
        <v>14</v>
      </c>
      <c r="I437" s="5">
        <v>2</v>
      </c>
      <c r="J437" s="5">
        <v>7</v>
      </c>
      <c r="K437" s="5" t="s">
        <v>35</v>
      </c>
    </row>
    <row r="438" spans="1:11" ht="15.75" customHeight="1" x14ac:dyDescent="0.25">
      <c r="A438" s="5">
        <v>8</v>
      </c>
      <c r="B438" s="5">
        <v>2023</v>
      </c>
      <c r="C438" s="6">
        <v>45203</v>
      </c>
      <c r="D438" s="5" t="s">
        <v>53</v>
      </c>
      <c r="E438" s="5" t="s">
        <v>25</v>
      </c>
      <c r="F438" s="5">
        <v>3</v>
      </c>
      <c r="G438" s="5" t="s">
        <v>51</v>
      </c>
      <c r="H438" s="5">
        <v>15</v>
      </c>
      <c r="I438" s="5">
        <v>2</v>
      </c>
      <c r="J438" s="5">
        <v>7.5</v>
      </c>
      <c r="K438" s="5" t="s">
        <v>27</v>
      </c>
    </row>
    <row r="439" spans="1:11" ht="15.75" customHeight="1" x14ac:dyDescent="0.25">
      <c r="A439" s="5">
        <v>9</v>
      </c>
      <c r="B439" s="5">
        <v>2023</v>
      </c>
      <c r="C439" s="12">
        <v>45197</v>
      </c>
      <c r="D439" s="5" t="s">
        <v>62</v>
      </c>
      <c r="E439" s="5" t="s">
        <v>63</v>
      </c>
      <c r="F439" s="5">
        <v>1</v>
      </c>
      <c r="G439" s="5" t="s">
        <v>26</v>
      </c>
      <c r="H439" s="5">
        <v>1</v>
      </c>
      <c r="I439" s="5">
        <v>1</v>
      </c>
      <c r="J439" s="5">
        <v>0</v>
      </c>
      <c r="K439" s="5" t="s">
        <v>35</v>
      </c>
    </row>
    <row r="440" spans="1:11" ht="15.75" customHeight="1" x14ac:dyDescent="0.25">
      <c r="A440" s="5">
        <v>9</v>
      </c>
      <c r="B440" s="5">
        <v>2023</v>
      </c>
      <c r="C440" s="12">
        <v>45197</v>
      </c>
      <c r="D440" s="5" t="s">
        <v>62</v>
      </c>
      <c r="E440" s="5" t="s">
        <v>63</v>
      </c>
      <c r="F440" s="5">
        <v>1</v>
      </c>
      <c r="G440" s="5" t="s">
        <v>26</v>
      </c>
      <c r="H440" s="5">
        <v>1</v>
      </c>
      <c r="I440" s="5">
        <v>1</v>
      </c>
      <c r="J440" s="5">
        <v>0</v>
      </c>
      <c r="K440" s="5" t="s">
        <v>34</v>
      </c>
    </row>
    <row r="441" spans="1:11" ht="15.75" customHeight="1" x14ac:dyDescent="0.25">
      <c r="A441" s="5">
        <v>9</v>
      </c>
      <c r="B441" s="5">
        <v>2023</v>
      </c>
      <c r="C441" s="12">
        <v>45197</v>
      </c>
      <c r="D441" s="5" t="s">
        <v>62</v>
      </c>
      <c r="E441" s="5" t="s">
        <v>63</v>
      </c>
      <c r="F441" s="5">
        <v>1</v>
      </c>
      <c r="G441" s="5" t="s">
        <v>26</v>
      </c>
      <c r="H441" s="5">
        <v>2</v>
      </c>
      <c r="I441" s="5">
        <v>1</v>
      </c>
      <c r="J441" s="5">
        <v>1</v>
      </c>
      <c r="K441" s="5" t="s">
        <v>35</v>
      </c>
    </row>
    <row r="442" spans="1:11" ht="15.75" customHeight="1" x14ac:dyDescent="0.25">
      <c r="A442" s="5">
        <v>9</v>
      </c>
      <c r="B442" s="5">
        <v>2023</v>
      </c>
      <c r="C442" s="12">
        <v>45197</v>
      </c>
      <c r="D442" s="5" t="s">
        <v>62</v>
      </c>
      <c r="E442" s="5" t="s">
        <v>63</v>
      </c>
      <c r="F442" s="5">
        <v>1</v>
      </c>
      <c r="G442" s="5" t="s">
        <v>26</v>
      </c>
      <c r="H442" s="5">
        <v>2</v>
      </c>
      <c r="I442" s="5">
        <v>1</v>
      </c>
      <c r="J442" s="5">
        <v>1</v>
      </c>
      <c r="K442" s="5" t="s">
        <v>29</v>
      </c>
    </row>
    <row r="443" spans="1:11" ht="15.75" customHeight="1" x14ac:dyDescent="0.25">
      <c r="A443" s="5">
        <v>9</v>
      </c>
      <c r="B443" s="5">
        <v>2023</v>
      </c>
      <c r="C443" s="12">
        <v>45197</v>
      </c>
      <c r="D443" s="5" t="s">
        <v>62</v>
      </c>
      <c r="E443" s="5" t="s">
        <v>63</v>
      </c>
      <c r="F443" s="5">
        <v>1</v>
      </c>
      <c r="G443" s="5" t="s">
        <v>26</v>
      </c>
      <c r="H443" s="5">
        <v>3</v>
      </c>
      <c r="I443" s="5">
        <v>1</v>
      </c>
      <c r="J443" s="5">
        <v>1.5</v>
      </c>
      <c r="K443" s="5" t="s">
        <v>35</v>
      </c>
    </row>
    <row r="444" spans="1:11" ht="15.75" customHeight="1" x14ac:dyDescent="0.25">
      <c r="A444" s="5">
        <v>9</v>
      </c>
      <c r="B444" s="5">
        <v>2023</v>
      </c>
      <c r="C444" s="12">
        <v>45197</v>
      </c>
      <c r="D444" s="5" t="s">
        <v>62</v>
      </c>
      <c r="E444" s="5" t="s">
        <v>63</v>
      </c>
      <c r="F444" s="5">
        <v>1</v>
      </c>
      <c r="G444" s="5" t="s">
        <v>26</v>
      </c>
      <c r="H444" s="5">
        <v>4</v>
      </c>
      <c r="I444" s="5">
        <v>1</v>
      </c>
      <c r="J444" s="5">
        <v>2</v>
      </c>
      <c r="K444" s="5" t="s">
        <v>27</v>
      </c>
    </row>
    <row r="445" spans="1:11" ht="15.75" customHeight="1" x14ac:dyDescent="0.25">
      <c r="A445" s="5">
        <v>9</v>
      </c>
      <c r="B445" s="5">
        <v>2023</v>
      </c>
      <c r="C445" s="12">
        <v>45197</v>
      </c>
      <c r="D445" s="5" t="s">
        <v>62</v>
      </c>
      <c r="E445" s="5" t="s">
        <v>63</v>
      </c>
      <c r="F445" s="5">
        <v>1</v>
      </c>
      <c r="G445" s="5" t="s">
        <v>26</v>
      </c>
      <c r="H445" s="5">
        <v>4</v>
      </c>
      <c r="I445" s="5">
        <v>1</v>
      </c>
      <c r="J445" s="5">
        <v>2</v>
      </c>
      <c r="K445" s="5" t="s">
        <v>55</v>
      </c>
    </row>
    <row r="446" spans="1:11" ht="15.75" customHeight="1" x14ac:dyDescent="0.25">
      <c r="A446" s="5">
        <v>9</v>
      </c>
      <c r="B446" s="5">
        <v>2023</v>
      </c>
      <c r="C446" s="12">
        <v>45197</v>
      </c>
      <c r="D446" s="5" t="s">
        <v>62</v>
      </c>
      <c r="E446" s="5" t="s">
        <v>63</v>
      </c>
      <c r="F446" s="5">
        <v>1</v>
      </c>
      <c r="G446" s="5" t="s">
        <v>26</v>
      </c>
      <c r="H446" s="5">
        <v>5</v>
      </c>
      <c r="I446" s="5">
        <v>1</v>
      </c>
      <c r="J446" s="5">
        <v>3</v>
      </c>
      <c r="K446" s="5" t="s">
        <v>27</v>
      </c>
    </row>
    <row r="447" spans="1:11" ht="15.75" customHeight="1" x14ac:dyDescent="0.25">
      <c r="A447" s="5">
        <v>9</v>
      </c>
      <c r="B447" s="5">
        <v>2023</v>
      </c>
      <c r="C447" s="12">
        <v>45197</v>
      </c>
      <c r="D447" s="5" t="s">
        <v>62</v>
      </c>
      <c r="E447" s="5" t="s">
        <v>63</v>
      </c>
      <c r="F447" s="5">
        <v>1</v>
      </c>
      <c r="G447" s="5" t="s">
        <v>26</v>
      </c>
      <c r="H447" s="5">
        <v>6</v>
      </c>
      <c r="I447" s="5">
        <v>1</v>
      </c>
      <c r="J447" s="5">
        <v>3.5</v>
      </c>
      <c r="K447" s="5" t="s">
        <v>27</v>
      </c>
    </row>
    <row r="448" spans="1:11" ht="15.75" customHeight="1" x14ac:dyDescent="0.25">
      <c r="A448" s="5">
        <v>9</v>
      </c>
      <c r="B448" s="5">
        <v>2023</v>
      </c>
      <c r="C448" s="12">
        <v>45197</v>
      </c>
      <c r="D448" s="5" t="s">
        <v>62</v>
      </c>
      <c r="E448" s="5" t="s">
        <v>63</v>
      </c>
      <c r="F448" s="5">
        <v>1</v>
      </c>
      <c r="G448" s="5" t="s">
        <v>26</v>
      </c>
      <c r="H448" s="5">
        <v>7</v>
      </c>
      <c r="I448" s="5">
        <v>1</v>
      </c>
      <c r="J448" s="5">
        <v>4</v>
      </c>
      <c r="K448" s="5" t="s">
        <v>27</v>
      </c>
    </row>
    <row r="449" spans="1:11" ht="15.75" customHeight="1" x14ac:dyDescent="0.25">
      <c r="A449" s="5">
        <v>9</v>
      </c>
      <c r="B449" s="5">
        <v>2023</v>
      </c>
      <c r="C449" s="12">
        <v>45197</v>
      </c>
      <c r="D449" s="5" t="s">
        <v>62</v>
      </c>
      <c r="E449" s="5" t="s">
        <v>63</v>
      </c>
      <c r="F449" s="5">
        <v>1</v>
      </c>
      <c r="G449" s="5" t="s">
        <v>26</v>
      </c>
      <c r="H449" s="5">
        <v>8</v>
      </c>
      <c r="I449" s="5">
        <v>1</v>
      </c>
      <c r="J449" s="5">
        <v>5</v>
      </c>
      <c r="K449" s="5" t="s">
        <v>27</v>
      </c>
    </row>
    <row r="450" spans="1:11" ht="15.75" customHeight="1" x14ac:dyDescent="0.25">
      <c r="A450" s="5">
        <v>9</v>
      </c>
      <c r="B450" s="5">
        <v>2023</v>
      </c>
      <c r="C450" s="12">
        <v>45197</v>
      </c>
      <c r="D450" s="5" t="s">
        <v>62</v>
      </c>
      <c r="E450" s="5" t="s">
        <v>63</v>
      </c>
      <c r="F450" s="5">
        <v>1</v>
      </c>
      <c r="G450" s="5" t="s">
        <v>26</v>
      </c>
      <c r="H450" s="5">
        <v>9</v>
      </c>
      <c r="I450" s="5">
        <v>1</v>
      </c>
      <c r="J450" s="5">
        <v>7</v>
      </c>
      <c r="K450" s="5" t="s">
        <v>35</v>
      </c>
    </row>
    <row r="451" spans="1:11" ht="15.75" customHeight="1" x14ac:dyDescent="0.25">
      <c r="A451" s="5">
        <v>9</v>
      </c>
      <c r="B451" s="5">
        <v>2023</v>
      </c>
      <c r="C451" s="12">
        <v>45197</v>
      </c>
      <c r="D451" s="5" t="s">
        <v>62</v>
      </c>
      <c r="E451" s="5" t="s">
        <v>63</v>
      </c>
      <c r="F451" s="5">
        <v>1</v>
      </c>
      <c r="G451" s="5" t="s">
        <v>26</v>
      </c>
      <c r="H451" s="5">
        <v>10</v>
      </c>
      <c r="I451" s="5">
        <v>1</v>
      </c>
      <c r="J451" s="5">
        <v>8</v>
      </c>
      <c r="K451" s="5" t="s">
        <v>35</v>
      </c>
    </row>
    <row r="452" spans="1:11" ht="15.75" customHeight="1" x14ac:dyDescent="0.25">
      <c r="A452" s="5">
        <v>9</v>
      </c>
      <c r="B452" s="5">
        <v>2023</v>
      </c>
      <c r="C452" s="12">
        <v>45197</v>
      </c>
      <c r="D452" s="5" t="s">
        <v>62</v>
      </c>
      <c r="E452" s="5" t="s">
        <v>63</v>
      </c>
      <c r="F452" s="5">
        <v>1</v>
      </c>
      <c r="G452" s="5" t="s">
        <v>26</v>
      </c>
      <c r="H452" s="5">
        <v>11</v>
      </c>
      <c r="I452" s="5">
        <v>1</v>
      </c>
      <c r="J452" s="5">
        <v>8.5</v>
      </c>
      <c r="K452" s="5" t="s">
        <v>27</v>
      </c>
    </row>
    <row r="453" spans="1:11" ht="15.75" customHeight="1" x14ac:dyDescent="0.25">
      <c r="A453" s="5">
        <v>9</v>
      </c>
      <c r="B453" s="5">
        <v>2023</v>
      </c>
      <c r="C453" s="12">
        <v>45197</v>
      </c>
      <c r="D453" s="5" t="s">
        <v>62</v>
      </c>
      <c r="E453" s="5" t="s">
        <v>63</v>
      </c>
      <c r="F453" s="5">
        <v>1</v>
      </c>
      <c r="G453" s="5" t="s">
        <v>26</v>
      </c>
      <c r="H453" s="5">
        <v>12</v>
      </c>
      <c r="I453" s="5">
        <v>1</v>
      </c>
      <c r="J453" s="5">
        <v>9</v>
      </c>
      <c r="K453" s="5" t="s">
        <v>35</v>
      </c>
    </row>
    <row r="454" spans="1:11" ht="15.75" customHeight="1" x14ac:dyDescent="0.25">
      <c r="A454" s="5">
        <v>9</v>
      </c>
      <c r="B454" s="5">
        <v>2023</v>
      </c>
      <c r="C454" s="12">
        <v>45197</v>
      </c>
      <c r="D454" s="5" t="s">
        <v>62</v>
      </c>
      <c r="E454" s="5" t="s">
        <v>63</v>
      </c>
      <c r="F454" s="5">
        <v>1</v>
      </c>
      <c r="G454" s="5" t="s">
        <v>26</v>
      </c>
      <c r="H454" s="5">
        <v>13</v>
      </c>
      <c r="I454" s="5">
        <v>1</v>
      </c>
      <c r="J454" s="5">
        <v>10</v>
      </c>
      <c r="K454" s="5" t="s">
        <v>27</v>
      </c>
    </row>
    <row r="455" spans="1:11" ht="15.75" customHeight="1" x14ac:dyDescent="0.25">
      <c r="A455" s="5">
        <v>9</v>
      </c>
      <c r="B455" s="5">
        <v>2023</v>
      </c>
      <c r="C455" s="12">
        <v>45197</v>
      </c>
      <c r="D455" s="5" t="s">
        <v>62</v>
      </c>
      <c r="E455" s="5" t="s">
        <v>63</v>
      </c>
      <c r="F455" s="5">
        <v>1</v>
      </c>
      <c r="G455" s="5" t="s">
        <v>26</v>
      </c>
      <c r="H455" s="5">
        <v>14</v>
      </c>
      <c r="I455" s="5">
        <v>1</v>
      </c>
      <c r="J455" s="5">
        <v>11</v>
      </c>
      <c r="K455" s="5" t="s">
        <v>27</v>
      </c>
    </row>
    <row r="456" spans="1:11" ht="15.75" customHeight="1" x14ac:dyDescent="0.25">
      <c r="A456" s="5">
        <v>9</v>
      </c>
      <c r="B456" s="5">
        <v>2023</v>
      </c>
      <c r="C456" s="12">
        <v>45197</v>
      </c>
      <c r="D456" s="5" t="s">
        <v>62</v>
      </c>
      <c r="E456" s="5" t="s">
        <v>63</v>
      </c>
      <c r="F456" s="5">
        <v>1</v>
      </c>
      <c r="G456" s="5" t="s">
        <v>26</v>
      </c>
      <c r="H456" s="5">
        <v>15</v>
      </c>
      <c r="I456" s="5">
        <v>1</v>
      </c>
      <c r="J456" s="5">
        <v>12</v>
      </c>
      <c r="K456" s="5" t="s">
        <v>27</v>
      </c>
    </row>
    <row r="457" spans="1:11" ht="15.75" customHeight="1" x14ac:dyDescent="0.25">
      <c r="A457" s="5">
        <v>9</v>
      </c>
      <c r="B457" s="5">
        <v>2023</v>
      </c>
      <c r="C457" s="12">
        <v>45197</v>
      </c>
      <c r="D457" s="5" t="s">
        <v>62</v>
      </c>
      <c r="E457" s="5" t="s">
        <v>63</v>
      </c>
      <c r="F457" s="5">
        <v>1</v>
      </c>
      <c r="G457" s="5" t="s">
        <v>26</v>
      </c>
      <c r="H457" s="5">
        <v>15</v>
      </c>
      <c r="I457" s="5">
        <v>1</v>
      </c>
      <c r="J457" s="5">
        <v>12</v>
      </c>
      <c r="K457" s="5" t="s">
        <v>29</v>
      </c>
    </row>
    <row r="458" spans="1:11" ht="15.75" customHeight="1" x14ac:dyDescent="0.25">
      <c r="A458" s="5">
        <v>9</v>
      </c>
      <c r="B458" s="5">
        <v>2023</v>
      </c>
      <c r="C458" s="12">
        <v>45197</v>
      </c>
      <c r="D458" s="5" t="s">
        <v>62</v>
      </c>
      <c r="E458" s="5" t="s">
        <v>63</v>
      </c>
      <c r="F458" s="5">
        <v>1</v>
      </c>
      <c r="G458" s="5" t="s">
        <v>26</v>
      </c>
      <c r="H458" s="5">
        <v>15</v>
      </c>
      <c r="I458" s="5">
        <v>1</v>
      </c>
      <c r="J458" s="5">
        <v>12</v>
      </c>
      <c r="K458" s="5" t="s">
        <v>64</v>
      </c>
    </row>
    <row r="459" spans="1:11" ht="15.75" customHeight="1" x14ac:dyDescent="0.25">
      <c r="A459" s="5">
        <v>9</v>
      </c>
      <c r="B459" s="5">
        <v>2023</v>
      </c>
      <c r="C459" s="12">
        <v>45197</v>
      </c>
      <c r="D459" s="5" t="s">
        <v>62</v>
      </c>
      <c r="E459" s="5" t="s">
        <v>63</v>
      </c>
      <c r="F459" s="5">
        <v>1</v>
      </c>
      <c r="G459" s="5" t="s">
        <v>26</v>
      </c>
      <c r="H459" s="5">
        <v>1</v>
      </c>
      <c r="I459" s="5">
        <v>2</v>
      </c>
      <c r="J459" s="5">
        <v>0</v>
      </c>
      <c r="K459" s="5" t="s">
        <v>27</v>
      </c>
    </row>
    <row r="460" spans="1:11" ht="15.75" customHeight="1" x14ac:dyDescent="0.25">
      <c r="A460" s="5">
        <v>9</v>
      </c>
      <c r="B460" s="5">
        <v>2023</v>
      </c>
      <c r="C460" s="12">
        <v>45197</v>
      </c>
      <c r="D460" s="5" t="s">
        <v>62</v>
      </c>
      <c r="E460" s="5" t="s">
        <v>63</v>
      </c>
      <c r="F460" s="5">
        <v>1</v>
      </c>
      <c r="G460" s="5" t="s">
        <v>26</v>
      </c>
      <c r="H460" s="5">
        <v>1</v>
      </c>
      <c r="I460" s="5">
        <v>2</v>
      </c>
      <c r="J460" s="5">
        <v>0</v>
      </c>
      <c r="K460" s="5" t="s">
        <v>29</v>
      </c>
    </row>
    <row r="461" spans="1:11" ht="15.75" customHeight="1" x14ac:dyDescent="0.25">
      <c r="A461" s="5">
        <v>9</v>
      </c>
      <c r="B461" s="5">
        <v>2023</v>
      </c>
      <c r="C461" s="12">
        <v>45197</v>
      </c>
      <c r="D461" s="5" t="s">
        <v>62</v>
      </c>
      <c r="E461" s="5" t="s">
        <v>63</v>
      </c>
      <c r="F461" s="5">
        <v>1</v>
      </c>
      <c r="G461" s="5" t="s">
        <v>26</v>
      </c>
      <c r="H461" s="5">
        <v>2</v>
      </c>
      <c r="I461" s="5">
        <v>2</v>
      </c>
      <c r="J461" s="5">
        <v>1</v>
      </c>
      <c r="K461" s="5" t="s">
        <v>27</v>
      </c>
    </row>
    <row r="462" spans="1:11" ht="15.75" customHeight="1" x14ac:dyDescent="0.25">
      <c r="A462" s="5">
        <v>9</v>
      </c>
      <c r="B462" s="5">
        <v>2023</v>
      </c>
      <c r="C462" s="12">
        <v>45197</v>
      </c>
      <c r="D462" s="5" t="s">
        <v>62</v>
      </c>
      <c r="E462" s="5" t="s">
        <v>63</v>
      </c>
      <c r="F462" s="5">
        <v>1</v>
      </c>
      <c r="G462" s="5" t="s">
        <v>26</v>
      </c>
      <c r="H462" s="5">
        <v>3</v>
      </c>
      <c r="I462" s="5">
        <v>2</v>
      </c>
      <c r="J462" s="5">
        <v>1.5</v>
      </c>
      <c r="K462" s="5" t="s">
        <v>32</v>
      </c>
    </row>
    <row r="463" spans="1:11" ht="15.75" customHeight="1" x14ac:dyDescent="0.25">
      <c r="A463" s="5">
        <v>9</v>
      </c>
      <c r="B463" s="5">
        <v>2023</v>
      </c>
      <c r="C463" s="12">
        <v>45197</v>
      </c>
      <c r="D463" s="5" t="s">
        <v>62</v>
      </c>
      <c r="E463" s="5" t="s">
        <v>63</v>
      </c>
      <c r="F463" s="5">
        <v>1</v>
      </c>
      <c r="G463" s="5" t="s">
        <v>26</v>
      </c>
      <c r="H463" s="5">
        <v>4</v>
      </c>
      <c r="I463" s="5">
        <v>2</v>
      </c>
      <c r="J463" s="5">
        <v>2</v>
      </c>
      <c r="K463" s="5" t="s">
        <v>35</v>
      </c>
    </row>
    <row r="464" spans="1:11" ht="15.75" customHeight="1" x14ac:dyDescent="0.25">
      <c r="A464" s="5">
        <v>9</v>
      </c>
      <c r="B464" s="5">
        <v>2023</v>
      </c>
      <c r="C464" s="12">
        <v>45197</v>
      </c>
      <c r="D464" s="5" t="s">
        <v>62</v>
      </c>
      <c r="E464" s="5" t="s">
        <v>63</v>
      </c>
      <c r="F464" s="5">
        <v>1</v>
      </c>
      <c r="G464" s="5" t="s">
        <v>26</v>
      </c>
      <c r="H464" s="5">
        <v>5</v>
      </c>
      <c r="I464" s="5">
        <v>2</v>
      </c>
      <c r="J464" s="5">
        <v>3</v>
      </c>
      <c r="K464" s="5" t="s">
        <v>27</v>
      </c>
    </row>
    <row r="465" spans="1:11" ht="15.75" customHeight="1" x14ac:dyDescent="0.25">
      <c r="A465" s="5">
        <v>9</v>
      </c>
      <c r="B465" s="5">
        <v>2023</v>
      </c>
      <c r="C465" s="12">
        <v>45197</v>
      </c>
      <c r="D465" s="5" t="s">
        <v>62</v>
      </c>
      <c r="E465" s="5" t="s">
        <v>63</v>
      </c>
      <c r="F465" s="5">
        <v>1</v>
      </c>
      <c r="G465" s="5" t="s">
        <v>26</v>
      </c>
      <c r="H465" s="5">
        <v>6</v>
      </c>
      <c r="I465" s="5">
        <v>2</v>
      </c>
      <c r="J465" s="5">
        <v>3.5</v>
      </c>
      <c r="K465" s="5" t="s">
        <v>35</v>
      </c>
    </row>
    <row r="466" spans="1:11" ht="15.75" customHeight="1" x14ac:dyDescent="0.25">
      <c r="A466" s="5">
        <v>9</v>
      </c>
      <c r="B466" s="5">
        <v>2023</v>
      </c>
      <c r="C466" s="12">
        <v>45197</v>
      </c>
      <c r="D466" s="5" t="s">
        <v>62</v>
      </c>
      <c r="E466" s="5" t="s">
        <v>63</v>
      </c>
      <c r="F466" s="5">
        <v>1</v>
      </c>
      <c r="G466" s="5" t="s">
        <v>26</v>
      </c>
      <c r="H466" s="5">
        <v>7</v>
      </c>
      <c r="I466" s="5">
        <v>2</v>
      </c>
      <c r="J466" s="5">
        <v>4</v>
      </c>
      <c r="K466" s="5" t="s">
        <v>27</v>
      </c>
    </row>
    <row r="467" spans="1:11" ht="15.75" customHeight="1" x14ac:dyDescent="0.25">
      <c r="A467" s="5">
        <v>9</v>
      </c>
      <c r="B467" s="5">
        <v>2023</v>
      </c>
      <c r="C467" s="12">
        <v>45197</v>
      </c>
      <c r="D467" s="5" t="s">
        <v>62</v>
      </c>
      <c r="E467" s="5" t="s">
        <v>63</v>
      </c>
      <c r="F467" s="5">
        <v>1</v>
      </c>
      <c r="G467" s="5" t="s">
        <v>26</v>
      </c>
      <c r="H467" s="5">
        <v>8</v>
      </c>
      <c r="I467" s="5">
        <v>2</v>
      </c>
      <c r="J467" s="5">
        <v>5</v>
      </c>
      <c r="K467" s="5" t="s">
        <v>35</v>
      </c>
    </row>
    <row r="468" spans="1:11" ht="15.75" customHeight="1" x14ac:dyDescent="0.25">
      <c r="A468" s="5">
        <v>9</v>
      </c>
      <c r="B468" s="5">
        <v>2023</v>
      </c>
      <c r="C468" s="12">
        <v>45197</v>
      </c>
      <c r="D468" s="5" t="s">
        <v>62</v>
      </c>
      <c r="E468" s="5" t="s">
        <v>63</v>
      </c>
      <c r="F468" s="5">
        <v>1</v>
      </c>
      <c r="G468" s="5" t="s">
        <v>26</v>
      </c>
      <c r="H468" s="5">
        <v>9</v>
      </c>
      <c r="I468" s="5">
        <v>2</v>
      </c>
      <c r="J468" s="5">
        <v>7</v>
      </c>
      <c r="K468" s="5" t="s">
        <v>27</v>
      </c>
    </row>
    <row r="469" spans="1:11" ht="15.75" customHeight="1" x14ac:dyDescent="0.25">
      <c r="A469" s="5">
        <v>9</v>
      </c>
      <c r="B469" s="5">
        <v>2023</v>
      </c>
      <c r="C469" s="12">
        <v>45197</v>
      </c>
      <c r="D469" s="5" t="s">
        <v>62</v>
      </c>
      <c r="E469" s="5" t="s">
        <v>63</v>
      </c>
      <c r="F469" s="5">
        <v>1</v>
      </c>
      <c r="G469" s="5" t="s">
        <v>26</v>
      </c>
      <c r="H469" s="5">
        <v>10</v>
      </c>
      <c r="I469" s="5">
        <v>2</v>
      </c>
      <c r="J469" s="5">
        <v>8</v>
      </c>
      <c r="K469" s="5" t="s">
        <v>27</v>
      </c>
    </row>
    <row r="470" spans="1:11" ht="15.75" customHeight="1" x14ac:dyDescent="0.25">
      <c r="A470" s="5">
        <v>9</v>
      </c>
      <c r="B470" s="5">
        <v>2023</v>
      </c>
      <c r="C470" s="12">
        <v>45197</v>
      </c>
      <c r="D470" s="5" t="s">
        <v>62</v>
      </c>
      <c r="E470" s="5" t="s">
        <v>63</v>
      </c>
      <c r="F470" s="5">
        <v>1</v>
      </c>
      <c r="G470" s="5" t="s">
        <v>26</v>
      </c>
      <c r="H470" s="5">
        <v>11</v>
      </c>
      <c r="I470" s="5">
        <v>2</v>
      </c>
      <c r="J470" s="5">
        <v>8.5</v>
      </c>
      <c r="K470" s="5" t="s">
        <v>35</v>
      </c>
    </row>
    <row r="471" spans="1:11" ht="15.75" customHeight="1" x14ac:dyDescent="0.25">
      <c r="A471" s="5">
        <v>9</v>
      </c>
      <c r="B471" s="5">
        <v>2023</v>
      </c>
      <c r="C471" s="12">
        <v>45197</v>
      </c>
      <c r="D471" s="5" t="s">
        <v>62</v>
      </c>
      <c r="E471" s="5" t="s">
        <v>63</v>
      </c>
      <c r="F471" s="5">
        <v>1</v>
      </c>
      <c r="G471" s="5" t="s">
        <v>26</v>
      </c>
      <c r="H471" s="5">
        <v>12</v>
      </c>
      <c r="I471" s="5">
        <v>2</v>
      </c>
      <c r="J471" s="5">
        <v>9</v>
      </c>
      <c r="K471" s="5" t="s">
        <v>35</v>
      </c>
    </row>
    <row r="472" spans="1:11" ht="15.75" customHeight="1" x14ac:dyDescent="0.25">
      <c r="A472" s="5">
        <v>9</v>
      </c>
      <c r="B472" s="5">
        <v>2023</v>
      </c>
      <c r="C472" s="12">
        <v>45197</v>
      </c>
      <c r="D472" s="5" t="s">
        <v>62</v>
      </c>
      <c r="E472" s="5" t="s">
        <v>63</v>
      </c>
      <c r="F472" s="5">
        <v>1</v>
      </c>
      <c r="G472" s="5" t="s">
        <v>26</v>
      </c>
      <c r="H472" s="5">
        <v>13</v>
      </c>
      <c r="I472" s="5">
        <v>2</v>
      </c>
      <c r="J472" s="5">
        <v>10</v>
      </c>
      <c r="K472" s="5" t="s">
        <v>35</v>
      </c>
    </row>
    <row r="473" spans="1:11" ht="15.75" customHeight="1" x14ac:dyDescent="0.25">
      <c r="A473" s="5">
        <v>9</v>
      </c>
      <c r="B473" s="5">
        <v>2023</v>
      </c>
      <c r="C473" s="12">
        <v>45197</v>
      </c>
      <c r="D473" s="5" t="s">
        <v>62</v>
      </c>
      <c r="E473" s="5" t="s">
        <v>63</v>
      </c>
      <c r="F473" s="5">
        <v>1</v>
      </c>
      <c r="G473" s="5" t="s">
        <v>26</v>
      </c>
      <c r="H473" s="5">
        <v>14</v>
      </c>
      <c r="I473" s="5">
        <v>2</v>
      </c>
      <c r="J473" s="5">
        <v>11</v>
      </c>
      <c r="K473" s="5" t="s">
        <v>27</v>
      </c>
    </row>
    <row r="474" spans="1:11" ht="15.75" customHeight="1" x14ac:dyDescent="0.25">
      <c r="A474" s="5">
        <v>9</v>
      </c>
      <c r="B474" s="5">
        <v>2023</v>
      </c>
      <c r="C474" s="12">
        <v>45197</v>
      </c>
      <c r="D474" s="5" t="s">
        <v>62</v>
      </c>
      <c r="E474" s="5" t="s">
        <v>63</v>
      </c>
      <c r="F474" s="5">
        <v>1</v>
      </c>
      <c r="G474" s="5" t="s">
        <v>26</v>
      </c>
      <c r="H474" s="5">
        <v>15</v>
      </c>
      <c r="I474" s="5">
        <v>2</v>
      </c>
      <c r="J474" s="5">
        <v>12</v>
      </c>
      <c r="K474" s="5" t="s">
        <v>35</v>
      </c>
    </row>
    <row r="475" spans="1:11" ht="15.75" customHeight="1" x14ac:dyDescent="0.25">
      <c r="A475" s="5">
        <v>9</v>
      </c>
      <c r="B475" s="5">
        <v>2023</v>
      </c>
      <c r="C475" s="12">
        <v>45197</v>
      </c>
      <c r="D475" s="5" t="s">
        <v>62</v>
      </c>
      <c r="E475" s="5" t="s">
        <v>63</v>
      </c>
      <c r="F475" s="5">
        <v>1</v>
      </c>
      <c r="G475" s="5" t="s">
        <v>26</v>
      </c>
      <c r="H475" s="5">
        <v>15</v>
      </c>
      <c r="I475" s="5">
        <v>2</v>
      </c>
      <c r="J475" s="5">
        <v>12</v>
      </c>
      <c r="K475" s="5" t="s">
        <v>33</v>
      </c>
    </row>
    <row r="476" spans="1:11" ht="15.75" customHeight="1" x14ac:dyDescent="0.25">
      <c r="A476" s="5">
        <v>10</v>
      </c>
      <c r="B476" s="5">
        <v>2023</v>
      </c>
      <c r="C476" s="12">
        <v>45197</v>
      </c>
      <c r="D476" s="5" t="s">
        <v>62</v>
      </c>
      <c r="E476" s="5" t="s">
        <v>63</v>
      </c>
      <c r="F476" s="5">
        <v>1</v>
      </c>
      <c r="G476" s="5" t="s">
        <v>36</v>
      </c>
      <c r="H476" s="5">
        <v>1</v>
      </c>
      <c r="I476" s="5">
        <v>1</v>
      </c>
      <c r="J476" s="5">
        <v>0</v>
      </c>
      <c r="K476" s="5" t="s">
        <v>35</v>
      </c>
    </row>
    <row r="477" spans="1:11" ht="15.75" customHeight="1" x14ac:dyDescent="0.25">
      <c r="A477" s="5">
        <v>10</v>
      </c>
      <c r="B477" s="5">
        <v>2023</v>
      </c>
      <c r="C477" s="12">
        <v>45197</v>
      </c>
      <c r="D477" s="5" t="s">
        <v>62</v>
      </c>
      <c r="E477" s="5" t="s">
        <v>63</v>
      </c>
      <c r="F477" s="5">
        <v>1</v>
      </c>
      <c r="G477" s="5" t="s">
        <v>36</v>
      </c>
      <c r="H477" s="5">
        <v>1</v>
      </c>
      <c r="I477" s="5">
        <v>1</v>
      </c>
      <c r="J477" s="5">
        <v>0</v>
      </c>
      <c r="K477" s="5" t="s">
        <v>55</v>
      </c>
    </row>
    <row r="478" spans="1:11" ht="15.75" customHeight="1" x14ac:dyDescent="0.25">
      <c r="A478" s="5">
        <v>10</v>
      </c>
      <c r="B478" s="5">
        <v>2023</v>
      </c>
      <c r="C478" s="12">
        <v>45197</v>
      </c>
      <c r="D478" s="5" t="s">
        <v>62</v>
      </c>
      <c r="E478" s="5" t="s">
        <v>63</v>
      </c>
      <c r="F478" s="5">
        <v>1</v>
      </c>
      <c r="G478" s="5" t="s">
        <v>36</v>
      </c>
      <c r="H478" s="5">
        <v>2</v>
      </c>
      <c r="I478" s="5">
        <v>1</v>
      </c>
      <c r="J478" s="5">
        <v>1</v>
      </c>
      <c r="K478" s="5" t="s">
        <v>35</v>
      </c>
    </row>
    <row r="479" spans="1:11" ht="15.75" customHeight="1" x14ac:dyDescent="0.25">
      <c r="A479" s="5">
        <v>10</v>
      </c>
      <c r="B479" s="5">
        <v>2023</v>
      </c>
      <c r="C479" s="12">
        <v>45197</v>
      </c>
      <c r="D479" s="5" t="s">
        <v>62</v>
      </c>
      <c r="E479" s="5" t="s">
        <v>63</v>
      </c>
      <c r="F479" s="5">
        <v>1</v>
      </c>
      <c r="G479" s="5" t="s">
        <v>36</v>
      </c>
      <c r="H479" s="5">
        <v>2</v>
      </c>
      <c r="I479" s="5">
        <v>1</v>
      </c>
      <c r="J479" s="5">
        <v>1</v>
      </c>
      <c r="K479" s="5" t="s">
        <v>33</v>
      </c>
    </row>
    <row r="480" spans="1:11" ht="15.75" customHeight="1" x14ac:dyDescent="0.25">
      <c r="A480" s="5">
        <v>10</v>
      </c>
      <c r="B480" s="5">
        <v>2023</v>
      </c>
      <c r="C480" s="12">
        <v>45197</v>
      </c>
      <c r="D480" s="5" t="s">
        <v>62</v>
      </c>
      <c r="E480" s="5" t="s">
        <v>63</v>
      </c>
      <c r="F480" s="5">
        <v>1</v>
      </c>
      <c r="G480" s="5" t="s">
        <v>36</v>
      </c>
      <c r="H480" s="5">
        <v>3</v>
      </c>
      <c r="I480" s="5">
        <v>1</v>
      </c>
      <c r="J480" s="5">
        <v>1.5</v>
      </c>
      <c r="K480" s="5" t="s">
        <v>27</v>
      </c>
    </row>
    <row r="481" spans="1:11" ht="15.75" customHeight="1" x14ac:dyDescent="0.25">
      <c r="A481" s="5">
        <v>10</v>
      </c>
      <c r="B481" s="5">
        <v>2023</v>
      </c>
      <c r="C481" s="12">
        <v>45197</v>
      </c>
      <c r="D481" s="5" t="s">
        <v>62</v>
      </c>
      <c r="E481" s="5" t="s">
        <v>63</v>
      </c>
      <c r="F481" s="5">
        <v>1</v>
      </c>
      <c r="G481" s="5" t="s">
        <v>36</v>
      </c>
      <c r="H481" s="5">
        <v>4</v>
      </c>
      <c r="I481" s="5">
        <v>1</v>
      </c>
      <c r="J481" s="5">
        <v>2</v>
      </c>
      <c r="K481" s="5" t="s">
        <v>35</v>
      </c>
    </row>
    <row r="482" spans="1:11" ht="15.75" customHeight="1" x14ac:dyDescent="0.25">
      <c r="A482" s="5">
        <v>10</v>
      </c>
      <c r="B482" s="5">
        <v>2023</v>
      </c>
      <c r="C482" s="12">
        <v>45197</v>
      </c>
      <c r="D482" s="5" t="s">
        <v>62</v>
      </c>
      <c r="E482" s="5" t="s">
        <v>63</v>
      </c>
      <c r="F482" s="5">
        <v>1</v>
      </c>
      <c r="G482" s="5" t="s">
        <v>36</v>
      </c>
      <c r="H482" s="5">
        <v>5</v>
      </c>
      <c r="I482" s="5">
        <v>1</v>
      </c>
      <c r="J482" s="5">
        <v>3</v>
      </c>
      <c r="K482" s="5" t="s">
        <v>35</v>
      </c>
    </row>
    <row r="483" spans="1:11" ht="15.75" customHeight="1" x14ac:dyDescent="0.25">
      <c r="A483" s="5">
        <v>10</v>
      </c>
      <c r="B483" s="5">
        <v>2023</v>
      </c>
      <c r="C483" s="12">
        <v>45197</v>
      </c>
      <c r="D483" s="5" t="s">
        <v>62</v>
      </c>
      <c r="E483" s="5" t="s">
        <v>63</v>
      </c>
      <c r="F483" s="5">
        <v>1</v>
      </c>
      <c r="G483" s="5" t="s">
        <v>36</v>
      </c>
      <c r="H483" s="5">
        <v>6</v>
      </c>
      <c r="I483" s="5">
        <v>1</v>
      </c>
      <c r="J483" s="5">
        <v>3.5</v>
      </c>
      <c r="K483" s="5" t="s">
        <v>35</v>
      </c>
    </row>
    <row r="484" spans="1:11" ht="15.75" customHeight="1" x14ac:dyDescent="0.25">
      <c r="A484" s="5">
        <v>10</v>
      </c>
      <c r="B484" s="5">
        <v>2023</v>
      </c>
      <c r="C484" s="12">
        <v>45197</v>
      </c>
      <c r="D484" s="5" t="s">
        <v>62</v>
      </c>
      <c r="E484" s="5" t="s">
        <v>63</v>
      </c>
      <c r="F484" s="5">
        <v>1</v>
      </c>
      <c r="G484" s="5" t="s">
        <v>36</v>
      </c>
      <c r="H484" s="5">
        <v>7</v>
      </c>
      <c r="I484" s="5">
        <v>1</v>
      </c>
      <c r="J484" s="5">
        <v>4</v>
      </c>
      <c r="K484" s="5" t="s">
        <v>35</v>
      </c>
    </row>
    <row r="485" spans="1:11" ht="15.75" customHeight="1" x14ac:dyDescent="0.25">
      <c r="A485" s="5">
        <v>10</v>
      </c>
      <c r="B485" s="5">
        <v>2023</v>
      </c>
      <c r="C485" s="12">
        <v>45197</v>
      </c>
      <c r="D485" s="5" t="s">
        <v>62</v>
      </c>
      <c r="E485" s="5" t="s">
        <v>63</v>
      </c>
      <c r="F485" s="5">
        <v>1</v>
      </c>
      <c r="G485" s="5" t="s">
        <v>36</v>
      </c>
      <c r="H485" s="5">
        <v>8</v>
      </c>
      <c r="I485" s="5">
        <v>1</v>
      </c>
      <c r="J485" s="5">
        <v>5</v>
      </c>
      <c r="K485" s="5" t="s">
        <v>27</v>
      </c>
    </row>
    <row r="486" spans="1:11" ht="15.75" customHeight="1" x14ac:dyDescent="0.25">
      <c r="A486" s="5">
        <v>10</v>
      </c>
      <c r="B486" s="5">
        <v>2023</v>
      </c>
      <c r="C486" s="12">
        <v>45197</v>
      </c>
      <c r="D486" s="5" t="s">
        <v>62</v>
      </c>
      <c r="E486" s="5" t="s">
        <v>63</v>
      </c>
      <c r="F486" s="5">
        <v>1</v>
      </c>
      <c r="G486" s="5" t="s">
        <v>36</v>
      </c>
      <c r="H486" s="5">
        <v>9</v>
      </c>
      <c r="I486" s="5">
        <v>1</v>
      </c>
      <c r="J486" s="5">
        <v>7</v>
      </c>
      <c r="K486" s="5" t="s">
        <v>27</v>
      </c>
    </row>
    <row r="487" spans="1:11" ht="15.75" customHeight="1" x14ac:dyDescent="0.25">
      <c r="A487" s="5">
        <v>10</v>
      </c>
      <c r="B487" s="5">
        <v>2023</v>
      </c>
      <c r="C487" s="12">
        <v>45197</v>
      </c>
      <c r="D487" s="5" t="s">
        <v>62</v>
      </c>
      <c r="E487" s="5" t="s">
        <v>63</v>
      </c>
      <c r="F487" s="5">
        <v>1</v>
      </c>
      <c r="G487" s="5" t="s">
        <v>36</v>
      </c>
      <c r="H487" s="5">
        <v>9</v>
      </c>
      <c r="I487" s="5">
        <v>1</v>
      </c>
      <c r="J487" s="5">
        <v>7</v>
      </c>
      <c r="K487" s="5" t="s">
        <v>48</v>
      </c>
    </row>
    <row r="488" spans="1:11" ht="15.75" customHeight="1" x14ac:dyDescent="0.25">
      <c r="A488" s="5">
        <v>10</v>
      </c>
      <c r="B488" s="5">
        <v>2023</v>
      </c>
      <c r="C488" s="12">
        <v>45197</v>
      </c>
      <c r="D488" s="5" t="s">
        <v>62</v>
      </c>
      <c r="E488" s="5" t="s">
        <v>63</v>
      </c>
      <c r="F488" s="5">
        <v>1</v>
      </c>
      <c r="G488" s="5" t="s">
        <v>36</v>
      </c>
      <c r="H488" s="5">
        <v>10</v>
      </c>
      <c r="I488" s="5">
        <v>1</v>
      </c>
      <c r="J488" s="5">
        <v>8</v>
      </c>
      <c r="K488" s="5" t="s">
        <v>27</v>
      </c>
    </row>
    <row r="489" spans="1:11" ht="15.75" customHeight="1" x14ac:dyDescent="0.25">
      <c r="A489" s="5">
        <v>10</v>
      </c>
      <c r="B489" s="5">
        <v>2023</v>
      </c>
      <c r="C489" s="12">
        <v>45197</v>
      </c>
      <c r="D489" s="5" t="s">
        <v>62</v>
      </c>
      <c r="E489" s="5" t="s">
        <v>63</v>
      </c>
      <c r="F489" s="5">
        <v>1</v>
      </c>
      <c r="G489" s="5" t="s">
        <v>36</v>
      </c>
      <c r="H489" s="5">
        <v>11</v>
      </c>
      <c r="I489" s="5">
        <v>1</v>
      </c>
      <c r="J489" s="5">
        <v>8.5</v>
      </c>
      <c r="K489" s="5" t="s">
        <v>35</v>
      </c>
    </row>
    <row r="490" spans="1:11" ht="15.75" customHeight="1" x14ac:dyDescent="0.25">
      <c r="A490" s="5">
        <v>10</v>
      </c>
      <c r="B490" s="5">
        <v>2023</v>
      </c>
      <c r="C490" s="12">
        <v>45197</v>
      </c>
      <c r="D490" s="5" t="s">
        <v>62</v>
      </c>
      <c r="E490" s="5" t="s">
        <v>63</v>
      </c>
      <c r="F490" s="5">
        <v>1</v>
      </c>
      <c r="G490" s="5" t="s">
        <v>36</v>
      </c>
      <c r="H490" s="5">
        <v>12</v>
      </c>
      <c r="I490" s="5">
        <v>1</v>
      </c>
      <c r="J490" s="5">
        <v>9</v>
      </c>
      <c r="K490" s="5" t="s">
        <v>32</v>
      </c>
    </row>
    <row r="491" spans="1:11" ht="15.75" customHeight="1" x14ac:dyDescent="0.25">
      <c r="A491" s="5">
        <v>10</v>
      </c>
      <c r="B491" s="5">
        <v>2023</v>
      </c>
      <c r="C491" s="12">
        <v>45197</v>
      </c>
      <c r="D491" s="5" t="s">
        <v>62</v>
      </c>
      <c r="E491" s="5" t="s">
        <v>63</v>
      </c>
      <c r="F491" s="5">
        <v>1</v>
      </c>
      <c r="G491" s="5" t="s">
        <v>36</v>
      </c>
      <c r="H491" s="5">
        <v>13</v>
      </c>
      <c r="I491" s="5">
        <v>1</v>
      </c>
      <c r="J491" s="5">
        <v>10</v>
      </c>
      <c r="K491" s="5" t="s">
        <v>35</v>
      </c>
    </row>
    <row r="492" spans="1:11" ht="15.75" customHeight="1" x14ac:dyDescent="0.25">
      <c r="A492" s="5">
        <v>10</v>
      </c>
      <c r="B492" s="5">
        <v>2023</v>
      </c>
      <c r="C492" s="12">
        <v>45197</v>
      </c>
      <c r="D492" s="5" t="s">
        <v>62</v>
      </c>
      <c r="E492" s="5" t="s">
        <v>63</v>
      </c>
      <c r="F492" s="5">
        <v>1</v>
      </c>
      <c r="G492" s="5" t="s">
        <v>36</v>
      </c>
      <c r="H492" s="5">
        <v>13</v>
      </c>
      <c r="I492" s="5">
        <v>1</v>
      </c>
      <c r="J492" s="5">
        <v>10</v>
      </c>
      <c r="K492" s="5" t="s">
        <v>64</v>
      </c>
    </row>
    <row r="493" spans="1:11" ht="15.75" customHeight="1" x14ac:dyDescent="0.25">
      <c r="A493" s="5">
        <v>10</v>
      </c>
      <c r="B493" s="5">
        <v>2023</v>
      </c>
      <c r="C493" s="12">
        <v>45197</v>
      </c>
      <c r="D493" s="5" t="s">
        <v>62</v>
      </c>
      <c r="E493" s="5" t="s">
        <v>63</v>
      </c>
      <c r="F493" s="5">
        <v>1</v>
      </c>
      <c r="G493" s="5" t="s">
        <v>36</v>
      </c>
      <c r="H493" s="5">
        <v>14</v>
      </c>
      <c r="I493" s="5">
        <v>1</v>
      </c>
      <c r="J493" s="5">
        <v>11</v>
      </c>
      <c r="K493" s="5" t="s">
        <v>32</v>
      </c>
    </row>
    <row r="494" spans="1:11" ht="15.75" customHeight="1" x14ac:dyDescent="0.25">
      <c r="A494" s="5">
        <v>10</v>
      </c>
      <c r="B494" s="5">
        <v>2023</v>
      </c>
      <c r="C494" s="12">
        <v>45197</v>
      </c>
      <c r="D494" s="5" t="s">
        <v>62</v>
      </c>
      <c r="E494" s="5" t="s">
        <v>63</v>
      </c>
      <c r="F494" s="5">
        <v>1</v>
      </c>
      <c r="G494" s="5" t="s">
        <v>36</v>
      </c>
      <c r="H494" s="5">
        <v>15</v>
      </c>
      <c r="I494" s="5">
        <v>1</v>
      </c>
      <c r="J494" s="5">
        <v>12</v>
      </c>
      <c r="K494" s="5" t="s">
        <v>35</v>
      </c>
    </row>
    <row r="495" spans="1:11" ht="15.75" customHeight="1" x14ac:dyDescent="0.25">
      <c r="A495" s="5">
        <v>10</v>
      </c>
      <c r="B495" s="5">
        <v>2023</v>
      </c>
      <c r="C495" s="12">
        <v>45197</v>
      </c>
      <c r="D495" s="5" t="s">
        <v>62</v>
      </c>
      <c r="E495" s="5" t="s">
        <v>63</v>
      </c>
      <c r="F495" s="5">
        <v>1</v>
      </c>
      <c r="G495" s="5" t="s">
        <v>36</v>
      </c>
      <c r="H495" s="5">
        <v>1</v>
      </c>
      <c r="I495" s="5">
        <v>2</v>
      </c>
      <c r="J495" s="5">
        <v>0</v>
      </c>
      <c r="K495" s="5" t="s">
        <v>32</v>
      </c>
    </row>
    <row r="496" spans="1:11" ht="15.75" customHeight="1" x14ac:dyDescent="0.25">
      <c r="A496" s="5">
        <v>10</v>
      </c>
      <c r="B496" s="5">
        <v>2023</v>
      </c>
      <c r="C496" s="12">
        <v>45197</v>
      </c>
      <c r="D496" s="5" t="s">
        <v>62</v>
      </c>
      <c r="E496" s="5" t="s">
        <v>63</v>
      </c>
      <c r="F496" s="5">
        <v>1</v>
      </c>
      <c r="G496" s="5" t="s">
        <v>36</v>
      </c>
      <c r="H496" s="5">
        <v>1</v>
      </c>
      <c r="I496" s="5">
        <v>2</v>
      </c>
      <c r="J496" s="5">
        <v>0</v>
      </c>
      <c r="K496" s="5" t="s">
        <v>28</v>
      </c>
    </row>
    <row r="497" spans="1:11" ht="15.75" customHeight="1" x14ac:dyDescent="0.25">
      <c r="A497" s="5">
        <v>10</v>
      </c>
      <c r="B497" s="5">
        <v>2023</v>
      </c>
      <c r="C497" s="12">
        <v>45197</v>
      </c>
      <c r="D497" s="5" t="s">
        <v>62</v>
      </c>
      <c r="E497" s="5" t="s">
        <v>63</v>
      </c>
      <c r="F497" s="5">
        <v>1</v>
      </c>
      <c r="G497" s="5" t="s">
        <v>36</v>
      </c>
      <c r="H497" s="5">
        <v>2</v>
      </c>
      <c r="I497" s="5">
        <v>2</v>
      </c>
      <c r="J497" s="5">
        <v>1</v>
      </c>
      <c r="K497" s="5" t="s">
        <v>35</v>
      </c>
    </row>
    <row r="498" spans="1:11" ht="15.75" customHeight="1" x14ac:dyDescent="0.25">
      <c r="A498" s="5">
        <v>10</v>
      </c>
      <c r="B498" s="5">
        <v>2023</v>
      </c>
      <c r="C498" s="12">
        <v>45197</v>
      </c>
      <c r="D498" s="5" t="s">
        <v>62</v>
      </c>
      <c r="E498" s="5" t="s">
        <v>63</v>
      </c>
      <c r="F498" s="5">
        <v>1</v>
      </c>
      <c r="G498" s="5" t="s">
        <v>36</v>
      </c>
      <c r="H498" s="5">
        <v>3</v>
      </c>
      <c r="I498" s="5">
        <v>2</v>
      </c>
      <c r="J498" s="5">
        <v>1.5</v>
      </c>
      <c r="K498" s="5" t="s">
        <v>35</v>
      </c>
    </row>
    <row r="499" spans="1:11" ht="15.75" customHeight="1" x14ac:dyDescent="0.25">
      <c r="A499" s="5">
        <v>10</v>
      </c>
      <c r="B499" s="5">
        <v>2023</v>
      </c>
      <c r="C499" s="12">
        <v>45197</v>
      </c>
      <c r="D499" s="5" t="s">
        <v>62</v>
      </c>
      <c r="E499" s="5" t="s">
        <v>63</v>
      </c>
      <c r="F499" s="5">
        <v>1</v>
      </c>
      <c r="G499" s="5" t="s">
        <v>36</v>
      </c>
      <c r="H499" s="5">
        <v>3</v>
      </c>
      <c r="I499" s="5">
        <v>2</v>
      </c>
      <c r="J499" s="5">
        <v>1.5</v>
      </c>
      <c r="K499" s="5" t="s">
        <v>54</v>
      </c>
    </row>
    <row r="500" spans="1:11" ht="15.75" customHeight="1" x14ac:dyDescent="0.25">
      <c r="A500" s="5">
        <v>10</v>
      </c>
      <c r="B500" s="5">
        <v>2023</v>
      </c>
      <c r="C500" s="12">
        <v>45197</v>
      </c>
      <c r="D500" s="5" t="s">
        <v>62</v>
      </c>
      <c r="E500" s="5" t="s">
        <v>63</v>
      </c>
      <c r="F500" s="5">
        <v>1</v>
      </c>
      <c r="G500" s="5" t="s">
        <v>36</v>
      </c>
      <c r="H500" s="5">
        <v>4</v>
      </c>
      <c r="I500" s="5">
        <v>2</v>
      </c>
      <c r="J500" s="5">
        <v>2</v>
      </c>
      <c r="K500" s="5" t="s">
        <v>35</v>
      </c>
    </row>
    <row r="501" spans="1:11" ht="15.75" customHeight="1" x14ac:dyDescent="0.25">
      <c r="A501" s="5">
        <v>10</v>
      </c>
      <c r="B501" s="5">
        <v>2023</v>
      </c>
      <c r="C501" s="12">
        <v>45197</v>
      </c>
      <c r="D501" s="5" t="s">
        <v>62</v>
      </c>
      <c r="E501" s="5" t="s">
        <v>63</v>
      </c>
      <c r="F501" s="5">
        <v>1</v>
      </c>
      <c r="G501" s="5" t="s">
        <v>36</v>
      </c>
      <c r="H501" s="5">
        <v>5</v>
      </c>
      <c r="I501" s="5">
        <v>2</v>
      </c>
      <c r="J501" s="5">
        <v>3</v>
      </c>
      <c r="K501" s="5" t="s">
        <v>27</v>
      </c>
    </row>
    <row r="502" spans="1:11" ht="15.75" customHeight="1" x14ac:dyDescent="0.25">
      <c r="A502" s="5">
        <v>10</v>
      </c>
      <c r="B502" s="5">
        <v>2023</v>
      </c>
      <c r="C502" s="12">
        <v>45197</v>
      </c>
      <c r="D502" s="5" t="s">
        <v>62</v>
      </c>
      <c r="E502" s="5" t="s">
        <v>63</v>
      </c>
      <c r="F502" s="5">
        <v>1</v>
      </c>
      <c r="G502" s="5" t="s">
        <v>36</v>
      </c>
      <c r="H502" s="5">
        <v>6</v>
      </c>
      <c r="I502" s="5">
        <v>2</v>
      </c>
      <c r="J502" s="5">
        <v>3.5</v>
      </c>
      <c r="K502" s="5" t="s">
        <v>35</v>
      </c>
    </row>
    <row r="503" spans="1:11" ht="15.75" customHeight="1" x14ac:dyDescent="0.25">
      <c r="A503" s="5">
        <v>10</v>
      </c>
      <c r="B503" s="5">
        <v>2023</v>
      </c>
      <c r="C503" s="12">
        <v>45197</v>
      </c>
      <c r="D503" s="5" t="s">
        <v>62</v>
      </c>
      <c r="E503" s="5" t="s">
        <v>63</v>
      </c>
      <c r="F503" s="5">
        <v>1</v>
      </c>
      <c r="G503" s="5" t="s">
        <v>36</v>
      </c>
      <c r="H503" s="5">
        <v>7</v>
      </c>
      <c r="I503" s="5">
        <v>2</v>
      </c>
      <c r="J503" s="5">
        <v>4</v>
      </c>
      <c r="K503" s="5" t="s">
        <v>35</v>
      </c>
    </row>
    <row r="504" spans="1:11" ht="15.75" customHeight="1" x14ac:dyDescent="0.25">
      <c r="A504" s="5">
        <v>10</v>
      </c>
      <c r="B504" s="5">
        <v>2023</v>
      </c>
      <c r="C504" s="12">
        <v>45197</v>
      </c>
      <c r="D504" s="5" t="s">
        <v>62</v>
      </c>
      <c r="E504" s="5" t="s">
        <v>63</v>
      </c>
      <c r="F504" s="5">
        <v>1</v>
      </c>
      <c r="G504" s="5" t="s">
        <v>36</v>
      </c>
      <c r="H504" s="5">
        <v>8</v>
      </c>
      <c r="I504" s="5">
        <v>2</v>
      </c>
      <c r="J504" s="5">
        <v>5</v>
      </c>
      <c r="K504" s="5" t="s">
        <v>27</v>
      </c>
    </row>
    <row r="505" spans="1:11" ht="15.75" customHeight="1" x14ac:dyDescent="0.25">
      <c r="A505" s="5">
        <v>10</v>
      </c>
      <c r="B505" s="5">
        <v>2023</v>
      </c>
      <c r="C505" s="12">
        <v>45197</v>
      </c>
      <c r="D505" s="5" t="s">
        <v>62</v>
      </c>
      <c r="E505" s="5" t="s">
        <v>63</v>
      </c>
      <c r="F505" s="5">
        <v>1</v>
      </c>
      <c r="G505" s="5" t="s">
        <v>36</v>
      </c>
      <c r="H505" s="5">
        <v>9</v>
      </c>
      <c r="I505" s="5">
        <v>2</v>
      </c>
      <c r="J505" s="5">
        <v>7</v>
      </c>
      <c r="K505" s="5" t="s">
        <v>27</v>
      </c>
    </row>
    <row r="506" spans="1:11" ht="15.75" customHeight="1" x14ac:dyDescent="0.25">
      <c r="A506" s="5">
        <v>10</v>
      </c>
      <c r="B506" s="5">
        <v>2023</v>
      </c>
      <c r="C506" s="12">
        <v>45197</v>
      </c>
      <c r="D506" s="5" t="s">
        <v>62</v>
      </c>
      <c r="E506" s="5" t="s">
        <v>63</v>
      </c>
      <c r="F506" s="5">
        <v>1</v>
      </c>
      <c r="G506" s="5" t="s">
        <v>36</v>
      </c>
      <c r="H506" s="5">
        <v>10</v>
      </c>
      <c r="I506" s="5">
        <v>2</v>
      </c>
      <c r="J506" s="5">
        <v>8</v>
      </c>
      <c r="K506" s="5" t="s">
        <v>27</v>
      </c>
    </row>
    <row r="507" spans="1:11" ht="15.75" customHeight="1" x14ac:dyDescent="0.25">
      <c r="A507" s="5">
        <v>10</v>
      </c>
      <c r="B507" s="5">
        <v>2023</v>
      </c>
      <c r="C507" s="12">
        <v>45197</v>
      </c>
      <c r="D507" s="5" t="s">
        <v>62</v>
      </c>
      <c r="E507" s="5" t="s">
        <v>63</v>
      </c>
      <c r="F507" s="5">
        <v>1</v>
      </c>
      <c r="G507" s="5" t="s">
        <v>36</v>
      </c>
      <c r="H507" s="5">
        <v>11</v>
      </c>
      <c r="I507" s="5">
        <v>2</v>
      </c>
      <c r="J507" s="5">
        <v>8.5</v>
      </c>
      <c r="K507" s="5" t="s">
        <v>27</v>
      </c>
    </row>
    <row r="508" spans="1:11" ht="15.75" customHeight="1" x14ac:dyDescent="0.25">
      <c r="A508" s="5">
        <v>10</v>
      </c>
      <c r="B508" s="5">
        <v>2023</v>
      </c>
      <c r="C508" s="12">
        <v>45197</v>
      </c>
      <c r="D508" s="5" t="s">
        <v>62</v>
      </c>
      <c r="E508" s="5" t="s">
        <v>63</v>
      </c>
      <c r="F508" s="5">
        <v>1</v>
      </c>
      <c r="G508" s="5" t="s">
        <v>36</v>
      </c>
      <c r="H508" s="5">
        <v>12</v>
      </c>
      <c r="I508" s="5">
        <v>2</v>
      </c>
      <c r="J508" s="5">
        <v>9</v>
      </c>
      <c r="K508" s="5" t="s">
        <v>27</v>
      </c>
    </row>
    <row r="509" spans="1:11" ht="15.75" customHeight="1" x14ac:dyDescent="0.25">
      <c r="A509" s="5">
        <v>10</v>
      </c>
      <c r="B509" s="5">
        <v>2023</v>
      </c>
      <c r="C509" s="12">
        <v>45197</v>
      </c>
      <c r="D509" s="5" t="s">
        <v>62</v>
      </c>
      <c r="E509" s="5" t="s">
        <v>63</v>
      </c>
      <c r="F509" s="5">
        <v>1</v>
      </c>
      <c r="G509" s="5" t="s">
        <v>36</v>
      </c>
      <c r="H509" s="5">
        <v>13</v>
      </c>
      <c r="I509" s="5">
        <v>2</v>
      </c>
      <c r="J509" s="5">
        <v>10</v>
      </c>
      <c r="K509" s="5" t="s">
        <v>32</v>
      </c>
    </row>
    <row r="510" spans="1:11" ht="15.75" customHeight="1" x14ac:dyDescent="0.25">
      <c r="A510" s="5">
        <v>10</v>
      </c>
      <c r="B510" s="5">
        <v>2023</v>
      </c>
      <c r="C510" s="12">
        <v>45197</v>
      </c>
      <c r="D510" s="5" t="s">
        <v>62</v>
      </c>
      <c r="E510" s="5" t="s">
        <v>63</v>
      </c>
      <c r="F510" s="5">
        <v>1</v>
      </c>
      <c r="G510" s="5" t="s">
        <v>36</v>
      </c>
      <c r="H510" s="5">
        <v>14</v>
      </c>
      <c r="I510" s="5">
        <v>2</v>
      </c>
      <c r="J510" s="5">
        <v>11</v>
      </c>
      <c r="K510" s="5" t="s">
        <v>35</v>
      </c>
    </row>
    <row r="511" spans="1:11" ht="15.75" customHeight="1" x14ac:dyDescent="0.25">
      <c r="A511" s="5">
        <v>10</v>
      </c>
      <c r="B511" s="5">
        <v>2023</v>
      </c>
      <c r="C511" s="12">
        <v>45197</v>
      </c>
      <c r="D511" s="5" t="s">
        <v>62</v>
      </c>
      <c r="E511" s="5" t="s">
        <v>63</v>
      </c>
      <c r="F511" s="5">
        <v>1</v>
      </c>
      <c r="G511" s="5" t="s">
        <v>36</v>
      </c>
      <c r="H511" s="5">
        <v>15</v>
      </c>
      <c r="I511" s="5">
        <v>2</v>
      </c>
      <c r="J511" s="5">
        <v>12</v>
      </c>
      <c r="K511" s="5" t="s">
        <v>27</v>
      </c>
    </row>
    <row r="512" spans="1:11" ht="15.75" customHeight="1" x14ac:dyDescent="0.25">
      <c r="A512" s="5">
        <v>11</v>
      </c>
      <c r="B512" s="5">
        <v>2023</v>
      </c>
      <c r="C512" s="12">
        <v>45197</v>
      </c>
      <c r="D512" s="5" t="s">
        <v>62</v>
      </c>
      <c r="E512" s="5" t="s">
        <v>63</v>
      </c>
      <c r="F512" s="5">
        <v>1</v>
      </c>
      <c r="G512" s="5" t="s">
        <v>46</v>
      </c>
      <c r="H512" s="5">
        <v>1</v>
      </c>
      <c r="I512" s="5">
        <v>1</v>
      </c>
      <c r="J512" s="5">
        <v>0</v>
      </c>
      <c r="K512" s="5" t="s">
        <v>32</v>
      </c>
    </row>
    <row r="513" spans="1:11" ht="15.75" customHeight="1" x14ac:dyDescent="0.25">
      <c r="A513" s="5">
        <v>11</v>
      </c>
      <c r="B513" s="5">
        <v>2023</v>
      </c>
      <c r="C513" s="12">
        <v>45197</v>
      </c>
      <c r="D513" s="5" t="s">
        <v>62</v>
      </c>
      <c r="E513" s="5" t="s">
        <v>63</v>
      </c>
      <c r="F513" s="5">
        <v>1</v>
      </c>
      <c r="G513" s="5" t="s">
        <v>46</v>
      </c>
      <c r="H513" s="5">
        <v>2</v>
      </c>
      <c r="I513" s="5">
        <v>1</v>
      </c>
      <c r="J513" s="5">
        <v>0.5</v>
      </c>
      <c r="K513" s="5" t="s">
        <v>35</v>
      </c>
    </row>
    <row r="514" spans="1:11" ht="15.75" customHeight="1" x14ac:dyDescent="0.25">
      <c r="A514" s="5">
        <v>11</v>
      </c>
      <c r="B514" s="5">
        <v>2023</v>
      </c>
      <c r="C514" s="12">
        <v>45197</v>
      </c>
      <c r="D514" s="5" t="s">
        <v>62</v>
      </c>
      <c r="E514" s="5" t="s">
        <v>63</v>
      </c>
      <c r="F514" s="5">
        <v>1</v>
      </c>
      <c r="G514" s="5" t="s">
        <v>46</v>
      </c>
      <c r="H514" s="5">
        <v>3</v>
      </c>
      <c r="I514" s="5">
        <v>1</v>
      </c>
      <c r="J514" s="5">
        <v>1</v>
      </c>
      <c r="K514" s="5" t="s">
        <v>35</v>
      </c>
    </row>
    <row r="515" spans="1:11" ht="15.75" customHeight="1" x14ac:dyDescent="0.25">
      <c r="A515" s="5">
        <v>11</v>
      </c>
      <c r="B515" s="5">
        <v>2023</v>
      </c>
      <c r="C515" s="12">
        <v>45197</v>
      </c>
      <c r="D515" s="5" t="s">
        <v>62</v>
      </c>
      <c r="E515" s="5" t="s">
        <v>63</v>
      </c>
      <c r="F515" s="5">
        <v>1</v>
      </c>
      <c r="G515" s="5" t="s">
        <v>46</v>
      </c>
      <c r="H515" s="5">
        <v>4</v>
      </c>
      <c r="I515" s="5">
        <v>1</v>
      </c>
      <c r="J515" s="5">
        <v>1.5</v>
      </c>
      <c r="K515" s="8" t="s">
        <v>35</v>
      </c>
    </row>
    <row r="516" spans="1:11" ht="15.75" customHeight="1" x14ac:dyDescent="0.25">
      <c r="A516" s="5">
        <v>11</v>
      </c>
      <c r="B516" s="5">
        <v>2023</v>
      </c>
      <c r="C516" s="12">
        <v>45197</v>
      </c>
      <c r="D516" s="5" t="s">
        <v>62</v>
      </c>
      <c r="E516" s="5" t="s">
        <v>63</v>
      </c>
      <c r="F516" s="5">
        <v>1</v>
      </c>
      <c r="G516" s="5" t="s">
        <v>46</v>
      </c>
      <c r="H516" s="5">
        <v>5</v>
      </c>
      <c r="I516" s="5">
        <v>1</v>
      </c>
      <c r="J516" s="5">
        <v>2</v>
      </c>
      <c r="K516" s="8" t="s">
        <v>35</v>
      </c>
    </row>
    <row r="517" spans="1:11" ht="15.75" customHeight="1" x14ac:dyDescent="0.25">
      <c r="A517" s="5">
        <v>11</v>
      </c>
      <c r="B517" s="5">
        <v>2023</v>
      </c>
      <c r="C517" s="12">
        <v>45197</v>
      </c>
      <c r="D517" s="5" t="s">
        <v>62</v>
      </c>
      <c r="E517" s="5" t="s">
        <v>63</v>
      </c>
      <c r="F517" s="5">
        <v>1</v>
      </c>
      <c r="G517" s="5" t="s">
        <v>46</v>
      </c>
      <c r="H517" s="5">
        <v>5</v>
      </c>
      <c r="I517" s="5">
        <v>1</v>
      </c>
      <c r="J517" s="5">
        <v>2</v>
      </c>
      <c r="K517" s="8" t="s">
        <v>54</v>
      </c>
    </row>
    <row r="518" spans="1:11" ht="15.75" customHeight="1" x14ac:dyDescent="0.25">
      <c r="A518" s="5">
        <v>11</v>
      </c>
      <c r="B518" s="5">
        <v>2023</v>
      </c>
      <c r="C518" s="12">
        <v>45197</v>
      </c>
      <c r="D518" s="5" t="s">
        <v>62</v>
      </c>
      <c r="E518" s="5" t="s">
        <v>63</v>
      </c>
      <c r="F518" s="5">
        <v>1</v>
      </c>
      <c r="G518" s="5" t="s">
        <v>46</v>
      </c>
      <c r="H518" s="5">
        <v>6</v>
      </c>
      <c r="I518" s="5">
        <v>1</v>
      </c>
      <c r="J518" s="5">
        <v>2.5</v>
      </c>
      <c r="K518" s="8" t="s">
        <v>35</v>
      </c>
    </row>
    <row r="519" spans="1:11" ht="15.75" customHeight="1" x14ac:dyDescent="0.25">
      <c r="A519" s="5">
        <v>11</v>
      </c>
      <c r="B519" s="5">
        <v>2023</v>
      </c>
      <c r="C519" s="12">
        <v>45197</v>
      </c>
      <c r="D519" s="5" t="s">
        <v>62</v>
      </c>
      <c r="E519" s="5" t="s">
        <v>63</v>
      </c>
      <c r="F519" s="5">
        <v>1</v>
      </c>
      <c r="G519" s="5" t="s">
        <v>46</v>
      </c>
      <c r="H519" s="5">
        <v>6</v>
      </c>
      <c r="I519" s="5">
        <v>1</v>
      </c>
      <c r="J519" s="5">
        <v>2.5</v>
      </c>
      <c r="K519" s="8" t="s">
        <v>54</v>
      </c>
    </row>
    <row r="520" spans="1:11" ht="15.75" customHeight="1" x14ac:dyDescent="0.25">
      <c r="A520" s="5">
        <v>11</v>
      </c>
      <c r="B520" s="5">
        <v>2023</v>
      </c>
      <c r="C520" s="12">
        <v>45197</v>
      </c>
      <c r="D520" s="5" t="s">
        <v>62</v>
      </c>
      <c r="E520" s="5" t="s">
        <v>63</v>
      </c>
      <c r="F520" s="5">
        <v>1</v>
      </c>
      <c r="G520" s="5" t="s">
        <v>46</v>
      </c>
      <c r="H520" s="5">
        <v>6</v>
      </c>
      <c r="I520" s="5">
        <v>1</v>
      </c>
      <c r="J520" s="5">
        <v>2.5</v>
      </c>
      <c r="K520" s="8" t="s">
        <v>29</v>
      </c>
    </row>
    <row r="521" spans="1:11" ht="15.75" customHeight="1" x14ac:dyDescent="0.25">
      <c r="A521" s="5">
        <v>11</v>
      </c>
      <c r="B521" s="5">
        <v>2023</v>
      </c>
      <c r="C521" s="12">
        <v>45197</v>
      </c>
      <c r="D521" s="5" t="s">
        <v>62</v>
      </c>
      <c r="E521" s="5" t="s">
        <v>63</v>
      </c>
      <c r="F521" s="5">
        <v>1</v>
      </c>
      <c r="G521" s="5" t="s">
        <v>46</v>
      </c>
      <c r="H521" s="5">
        <v>6</v>
      </c>
      <c r="I521" s="5">
        <v>1</v>
      </c>
      <c r="J521" s="5">
        <v>2.5</v>
      </c>
      <c r="K521" s="8" t="s">
        <v>30</v>
      </c>
    </row>
    <row r="522" spans="1:11" ht="15.75" customHeight="1" x14ac:dyDescent="0.25">
      <c r="A522" s="5">
        <v>11</v>
      </c>
      <c r="B522" s="5">
        <v>2023</v>
      </c>
      <c r="C522" s="12">
        <v>45197</v>
      </c>
      <c r="D522" s="5" t="s">
        <v>62</v>
      </c>
      <c r="E522" s="5" t="s">
        <v>63</v>
      </c>
      <c r="F522" s="5">
        <v>1</v>
      </c>
      <c r="G522" s="5" t="s">
        <v>46</v>
      </c>
      <c r="H522" s="5">
        <v>7</v>
      </c>
      <c r="I522" s="5">
        <v>1</v>
      </c>
      <c r="J522" s="5">
        <v>3</v>
      </c>
      <c r="K522" s="8" t="s">
        <v>27</v>
      </c>
    </row>
    <row r="523" spans="1:11" ht="15.75" customHeight="1" x14ac:dyDescent="0.25">
      <c r="A523" s="5">
        <v>11</v>
      </c>
      <c r="B523" s="5">
        <v>2023</v>
      </c>
      <c r="C523" s="12">
        <v>45197</v>
      </c>
      <c r="D523" s="5" t="s">
        <v>62</v>
      </c>
      <c r="E523" s="5" t="s">
        <v>63</v>
      </c>
      <c r="F523" s="5">
        <v>1</v>
      </c>
      <c r="G523" s="5" t="s">
        <v>46</v>
      </c>
      <c r="H523" s="5">
        <v>8</v>
      </c>
      <c r="I523" s="5">
        <v>1</v>
      </c>
      <c r="J523" s="5">
        <v>3.5</v>
      </c>
      <c r="K523" s="8" t="s">
        <v>27</v>
      </c>
    </row>
    <row r="524" spans="1:11" ht="15.75" customHeight="1" x14ac:dyDescent="0.25">
      <c r="A524" s="5">
        <v>11</v>
      </c>
      <c r="B524" s="5">
        <v>2023</v>
      </c>
      <c r="C524" s="12">
        <v>45197</v>
      </c>
      <c r="D524" s="5" t="s">
        <v>62</v>
      </c>
      <c r="E524" s="5" t="s">
        <v>63</v>
      </c>
      <c r="F524" s="5">
        <v>1</v>
      </c>
      <c r="G524" s="5" t="s">
        <v>46</v>
      </c>
      <c r="H524" s="5">
        <v>9</v>
      </c>
      <c r="I524" s="5">
        <v>1</v>
      </c>
      <c r="J524" s="5">
        <v>4</v>
      </c>
      <c r="K524" s="8" t="s">
        <v>58</v>
      </c>
    </row>
    <row r="525" spans="1:11" ht="15.75" customHeight="1" x14ac:dyDescent="0.25">
      <c r="A525" s="5">
        <v>11</v>
      </c>
      <c r="B525" s="5">
        <v>2023</v>
      </c>
      <c r="C525" s="12">
        <v>45197</v>
      </c>
      <c r="D525" s="5" t="s">
        <v>62</v>
      </c>
      <c r="E525" s="5" t="s">
        <v>63</v>
      </c>
      <c r="F525" s="5">
        <v>1</v>
      </c>
      <c r="G525" s="5" t="s">
        <v>46</v>
      </c>
      <c r="H525" s="5">
        <v>9</v>
      </c>
      <c r="I525" s="5">
        <v>1</v>
      </c>
      <c r="J525" s="5">
        <v>4</v>
      </c>
      <c r="K525" s="8" t="s">
        <v>48</v>
      </c>
    </row>
    <row r="526" spans="1:11" ht="15.75" customHeight="1" x14ac:dyDescent="0.25">
      <c r="A526" s="5">
        <v>11</v>
      </c>
      <c r="B526" s="5">
        <v>2023</v>
      </c>
      <c r="C526" s="12">
        <v>45197</v>
      </c>
      <c r="D526" s="5" t="s">
        <v>62</v>
      </c>
      <c r="E526" s="5" t="s">
        <v>63</v>
      </c>
      <c r="F526" s="5">
        <v>1</v>
      </c>
      <c r="G526" s="5" t="s">
        <v>46</v>
      </c>
      <c r="H526" s="5">
        <v>10</v>
      </c>
      <c r="I526" s="5">
        <v>1</v>
      </c>
      <c r="J526" s="5">
        <v>4.5</v>
      </c>
      <c r="K526" s="8" t="s">
        <v>27</v>
      </c>
    </row>
    <row r="527" spans="1:11" ht="15.75" customHeight="1" x14ac:dyDescent="0.25">
      <c r="A527" s="5">
        <v>11</v>
      </c>
      <c r="B527" s="5">
        <v>2023</v>
      </c>
      <c r="C527" s="12">
        <v>45197</v>
      </c>
      <c r="D527" s="5" t="s">
        <v>62</v>
      </c>
      <c r="E527" s="5" t="s">
        <v>63</v>
      </c>
      <c r="F527" s="5">
        <v>1</v>
      </c>
      <c r="G527" s="5" t="s">
        <v>46</v>
      </c>
      <c r="H527" s="5">
        <v>10</v>
      </c>
      <c r="I527" s="5">
        <v>1</v>
      </c>
      <c r="J527" s="5">
        <v>4.5</v>
      </c>
      <c r="K527" s="8" t="s">
        <v>29</v>
      </c>
    </row>
    <row r="528" spans="1:11" ht="15.75" customHeight="1" x14ac:dyDescent="0.25">
      <c r="A528" s="5">
        <v>11</v>
      </c>
      <c r="B528" s="5">
        <v>2023</v>
      </c>
      <c r="C528" s="12">
        <v>45197</v>
      </c>
      <c r="D528" s="5" t="s">
        <v>62</v>
      </c>
      <c r="E528" s="5" t="s">
        <v>63</v>
      </c>
      <c r="F528" s="5">
        <v>1</v>
      </c>
      <c r="G528" s="5" t="s">
        <v>46</v>
      </c>
      <c r="H528" s="5">
        <v>10</v>
      </c>
      <c r="I528" s="5">
        <v>1</v>
      </c>
      <c r="J528" s="5">
        <v>4.5</v>
      </c>
      <c r="K528" s="8" t="s">
        <v>64</v>
      </c>
    </row>
    <row r="529" spans="1:11" ht="15.75" customHeight="1" x14ac:dyDescent="0.25">
      <c r="A529" s="5">
        <v>11</v>
      </c>
      <c r="B529" s="5">
        <v>2023</v>
      </c>
      <c r="C529" s="12">
        <v>45197</v>
      </c>
      <c r="D529" s="5" t="s">
        <v>62</v>
      </c>
      <c r="E529" s="5" t="s">
        <v>63</v>
      </c>
      <c r="F529" s="5">
        <v>1</v>
      </c>
      <c r="G529" s="5" t="s">
        <v>46</v>
      </c>
      <c r="H529" s="5">
        <v>11</v>
      </c>
      <c r="I529" s="5">
        <v>1</v>
      </c>
      <c r="J529" s="5">
        <v>5</v>
      </c>
      <c r="K529" s="8" t="s">
        <v>27</v>
      </c>
    </row>
    <row r="530" spans="1:11" ht="15.75" customHeight="1" x14ac:dyDescent="0.25">
      <c r="A530" s="5">
        <v>11</v>
      </c>
      <c r="B530" s="5">
        <v>2023</v>
      </c>
      <c r="C530" s="12">
        <v>45197</v>
      </c>
      <c r="D530" s="5" t="s">
        <v>62</v>
      </c>
      <c r="E530" s="5" t="s">
        <v>63</v>
      </c>
      <c r="F530" s="5">
        <v>1</v>
      </c>
      <c r="G530" s="5" t="s">
        <v>46</v>
      </c>
      <c r="H530" s="5">
        <v>11</v>
      </c>
      <c r="I530" s="5">
        <v>1</v>
      </c>
      <c r="J530" s="5">
        <v>5</v>
      </c>
      <c r="K530" s="8" t="s">
        <v>64</v>
      </c>
    </row>
    <row r="531" spans="1:11" ht="15.75" customHeight="1" x14ac:dyDescent="0.25">
      <c r="A531" s="5">
        <v>11</v>
      </c>
      <c r="B531" s="5">
        <v>2023</v>
      </c>
      <c r="C531" s="12">
        <v>45197</v>
      </c>
      <c r="D531" s="5" t="s">
        <v>62</v>
      </c>
      <c r="E531" s="5" t="s">
        <v>63</v>
      </c>
      <c r="F531" s="5">
        <v>1</v>
      </c>
      <c r="G531" s="5" t="s">
        <v>46</v>
      </c>
      <c r="H531" s="5">
        <v>12</v>
      </c>
      <c r="I531" s="5">
        <v>1</v>
      </c>
      <c r="J531" s="5">
        <v>5.5</v>
      </c>
      <c r="K531" s="8" t="s">
        <v>35</v>
      </c>
    </row>
    <row r="532" spans="1:11" ht="15.75" customHeight="1" x14ac:dyDescent="0.25">
      <c r="A532" s="5">
        <v>11</v>
      </c>
      <c r="B532" s="5">
        <v>2023</v>
      </c>
      <c r="C532" s="12">
        <v>45197</v>
      </c>
      <c r="D532" s="5" t="s">
        <v>62</v>
      </c>
      <c r="E532" s="5" t="s">
        <v>63</v>
      </c>
      <c r="F532" s="5">
        <v>1</v>
      </c>
      <c r="G532" s="5" t="s">
        <v>46</v>
      </c>
      <c r="H532" s="5">
        <v>12</v>
      </c>
      <c r="I532" s="5">
        <v>1</v>
      </c>
      <c r="J532" s="5">
        <v>5.5</v>
      </c>
      <c r="K532" s="8" t="s">
        <v>64</v>
      </c>
    </row>
    <row r="533" spans="1:11" ht="15.75" customHeight="1" x14ac:dyDescent="0.25">
      <c r="A533" s="5">
        <v>11</v>
      </c>
      <c r="B533" s="5">
        <v>2023</v>
      </c>
      <c r="C533" s="12">
        <v>45197</v>
      </c>
      <c r="D533" s="5" t="s">
        <v>62</v>
      </c>
      <c r="E533" s="5" t="s">
        <v>63</v>
      </c>
      <c r="F533" s="5">
        <v>1</v>
      </c>
      <c r="G533" s="5" t="s">
        <v>46</v>
      </c>
      <c r="H533" s="5">
        <v>13</v>
      </c>
      <c r="I533" s="5">
        <v>1</v>
      </c>
      <c r="J533" s="5">
        <v>6.5</v>
      </c>
      <c r="K533" s="8" t="s">
        <v>35</v>
      </c>
    </row>
    <row r="534" spans="1:11" ht="15.75" customHeight="1" x14ac:dyDescent="0.25">
      <c r="A534" s="5">
        <v>11</v>
      </c>
      <c r="B534" s="5">
        <v>2023</v>
      </c>
      <c r="C534" s="12">
        <v>45197</v>
      </c>
      <c r="D534" s="5" t="s">
        <v>62</v>
      </c>
      <c r="E534" s="5" t="s">
        <v>63</v>
      </c>
      <c r="F534" s="5">
        <v>1</v>
      </c>
      <c r="G534" s="5" t="s">
        <v>46</v>
      </c>
      <c r="H534" s="5">
        <v>13</v>
      </c>
      <c r="I534" s="5">
        <v>1</v>
      </c>
      <c r="J534" s="5">
        <v>6.5</v>
      </c>
      <c r="K534" s="8" t="s">
        <v>48</v>
      </c>
    </row>
    <row r="535" spans="1:11" ht="15.75" customHeight="1" x14ac:dyDescent="0.25">
      <c r="A535" s="5">
        <v>11</v>
      </c>
      <c r="B535" s="5">
        <v>2023</v>
      </c>
      <c r="C535" s="12">
        <v>45197</v>
      </c>
      <c r="D535" s="5" t="s">
        <v>62</v>
      </c>
      <c r="E535" s="5" t="s">
        <v>63</v>
      </c>
      <c r="F535" s="5">
        <v>1</v>
      </c>
      <c r="G535" s="5" t="s">
        <v>46</v>
      </c>
      <c r="H535" s="5">
        <v>13</v>
      </c>
      <c r="I535" s="5">
        <v>1</v>
      </c>
      <c r="J535" s="5">
        <v>6.5</v>
      </c>
      <c r="K535" s="8" t="s">
        <v>29</v>
      </c>
    </row>
    <row r="536" spans="1:11" ht="15.75" customHeight="1" x14ac:dyDescent="0.25">
      <c r="A536" s="5">
        <v>11</v>
      </c>
      <c r="B536" s="5">
        <v>2023</v>
      </c>
      <c r="C536" s="12">
        <v>45197</v>
      </c>
      <c r="D536" s="5" t="s">
        <v>62</v>
      </c>
      <c r="E536" s="5" t="s">
        <v>63</v>
      </c>
      <c r="F536" s="5">
        <v>1</v>
      </c>
      <c r="G536" s="5" t="s">
        <v>46</v>
      </c>
      <c r="H536" s="5">
        <v>14</v>
      </c>
      <c r="I536" s="5">
        <v>1</v>
      </c>
      <c r="J536" s="5">
        <v>7</v>
      </c>
      <c r="K536" s="8" t="s">
        <v>27</v>
      </c>
    </row>
    <row r="537" spans="1:11" ht="15.75" customHeight="1" x14ac:dyDescent="0.25">
      <c r="A537" s="5">
        <v>11</v>
      </c>
      <c r="B537" s="5">
        <v>2023</v>
      </c>
      <c r="C537" s="12">
        <v>45197</v>
      </c>
      <c r="D537" s="5" t="s">
        <v>62</v>
      </c>
      <c r="E537" s="5" t="s">
        <v>63</v>
      </c>
      <c r="F537" s="5">
        <v>1</v>
      </c>
      <c r="G537" s="5" t="s">
        <v>46</v>
      </c>
      <c r="H537" s="5">
        <v>15</v>
      </c>
      <c r="I537" s="5">
        <v>1</v>
      </c>
      <c r="J537" s="5">
        <v>7.5</v>
      </c>
      <c r="K537" s="8" t="s">
        <v>35</v>
      </c>
    </row>
    <row r="538" spans="1:11" ht="15.75" customHeight="1" x14ac:dyDescent="0.25">
      <c r="A538" s="5">
        <v>11</v>
      </c>
      <c r="B538" s="5">
        <v>2023</v>
      </c>
      <c r="C538" s="12">
        <v>45197</v>
      </c>
      <c r="D538" s="5" t="s">
        <v>62</v>
      </c>
      <c r="E538" s="5" t="s">
        <v>63</v>
      </c>
      <c r="F538" s="5">
        <v>1</v>
      </c>
      <c r="G538" s="5" t="s">
        <v>46</v>
      </c>
      <c r="H538" s="5">
        <v>1</v>
      </c>
      <c r="I538" s="5">
        <v>2</v>
      </c>
      <c r="J538" s="5">
        <v>0</v>
      </c>
      <c r="K538" s="8" t="s">
        <v>35</v>
      </c>
    </row>
    <row r="539" spans="1:11" ht="15.75" customHeight="1" x14ac:dyDescent="0.25">
      <c r="A539" s="5">
        <v>11</v>
      </c>
      <c r="B539" s="5">
        <v>2023</v>
      </c>
      <c r="C539" s="12">
        <v>45197</v>
      </c>
      <c r="D539" s="5" t="s">
        <v>62</v>
      </c>
      <c r="E539" s="5" t="s">
        <v>63</v>
      </c>
      <c r="F539" s="5">
        <v>1</v>
      </c>
      <c r="G539" s="5" t="s">
        <v>46</v>
      </c>
      <c r="H539" s="5">
        <v>2</v>
      </c>
      <c r="I539" s="5">
        <v>2</v>
      </c>
      <c r="J539" s="5">
        <v>0.5</v>
      </c>
      <c r="K539" s="8" t="s">
        <v>27</v>
      </c>
    </row>
    <row r="540" spans="1:11" ht="15.75" customHeight="1" x14ac:dyDescent="0.25">
      <c r="A540" s="5">
        <v>11</v>
      </c>
      <c r="B540" s="5">
        <v>2023</v>
      </c>
      <c r="C540" s="12">
        <v>45197</v>
      </c>
      <c r="D540" s="5" t="s">
        <v>62</v>
      </c>
      <c r="E540" s="5" t="s">
        <v>63</v>
      </c>
      <c r="F540" s="5">
        <v>1</v>
      </c>
      <c r="G540" s="5" t="s">
        <v>46</v>
      </c>
      <c r="H540" s="5">
        <v>3</v>
      </c>
      <c r="I540" s="5">
        <v>2</v>
      </c>
      <c r="J540" s="5">
        <v>1</v>
      </c>
      <c r="K540" s="8" t="s">
        <v>27</v>
      </c>
    </row>
    <row r="541" spans="1:11" ht="15.75" customHeight="1" x14ac:dyDescent="0.25">
      <c r="A541" s="5">
        <v>11</v>
      </c>
      <c r="B541" s="5">
        <v>2023</v>
      </c>
      <c r="C541" s="12">
        <v>45197</v>
      </c>
      <c r="D541" s="5" t="s">
        <v>62</v>
      </c>
      <c r="E541" s="5" t="s">
        <v>63</v>
      </c>
      <c r="F541" s="5">
        <v>1</v>
      </c>
      <c r="G541" s="5" t="s">
        <v>46</v>
      </c>
      <c r="H541" s="5">
        <v>3</v>
      </c>
      <c r="I541" s="5">
        <v>2</v>
      </c>
      <c r="J541" s="5">
        <v>1</v>
      </c>
      <c r="K541" s="8" t="s">
        <v>64</v>
      </c>
    </row>
    <row r="542" spans="1:11" ht="15.75" customHeight="1" x14ac:dyDescent="0.25">
      <c r="A542" s="5">
        <v>11</v>
      </c>
      <c r="B542" s="5">
        <v>2023</v>
      </c>
      <c r="C542" s="12">
        <v>45197</v>
      </c>
      <c r="D542" s="5" t="s">
        <v>62</v>
      </c>
      <c r="E542" s="5" t="s">
        <v>63</v>
      </c>
      <c r="F542" s="5">
        <v>1</v>
      </c>
      <c r="G542" s="5" t="s">
        <v>46</v>
      </c>
      <c r="H542" s="5">
        <v>3</v>
      </c>
      <c r="I542" s="5">
        <v>2</v>
      </c>
      <c r="J542" s="5">
        <v>1</v>
      </c>
      <c r="K542" s="8" t="s">
        <v>29</v>
      </c>
    </row>
    <row r="543" spans="1:11" ht="15.75" customHeight="1" x14ac:dyDescent="0.25">
      <c r="A543" s="5">
        <v>11</v>
      </c>
      <c r="B543" s="5">
        <v>2023</v>
      </c>
      <c r="C543" s="12">
        <v>45197</v>
      </c>
      <c r="D543" s="5" t="s">
        <v>62</v>
      </c>
      <c r="E543" s="5" t="s">
        <v>63</v>
      </c>
      <c r="F543" s="5">
        <v>1</v>
      </c>
      <c r="G543" s="5" t="s">
        <v>46</v>
      </c>
      <c r="H543" s="5">
        <v>4</v>
      </c>
      <c r="I543" s="5">
        <v>2</v>
      </c>
      <c r="J543" s="5">
        <v>1.5</v>
      </c>
      <c r="K543" s="8" t="s">
        <v>27</v>
      </c>
    </row>
    <row r="544" spans="1:11" ht="15.75" customHeight="1" x14ac:dyDescent="0.25">
      <c r="A544" s="5">
        <v>11</v>
      </c>
      <c r="B544" s="5">
        <v>2023</v>
      </c>
      <c r="C544" s="12">
        <v>45197</v>
      </c>
      <c r="D544" s="5" t="s">
        <v>62</v>
      </c>
      <c r="E544" s="5" t="s">
        <v>63</v>
      </c>
      <c r="F544" s="5">
        <v>1</v>
      </c>
      <c r="G544" s="5" t="s">
        <v>46</v>
      </c>
      <c r="H544" s="5">
        <v>5</v>
      </c>
      <c r="I544" s="5">
        <v>2</v>
      </c>
      <c r="J544" s="5">
        <v>2.5</v>
      </c>
      <c r="K544" s="8" t="s">
        <v>27</v>
      </c>
    </row>
    <row r="545" spans="1:11" ht="15.75" customHeight="1" x14ac:dyDescent="0.25">
      <c r="A545" s="5">
        <v>11</v>
      </c>
      <c r="B545" s="5">
        <v>2023</v>
      </c>
      <c r="C545" s="12">
        <v>45197</v>
      </c>
      <c r="D545" s="5" t="s">
        <v>62</v>
      </c>
      <c r="E545" s="5" t="s">
        <v>63</v>
      </c>
      <c r="F545" s="5">
        <v>1</v>
      </c>
      <c r="G545" s="5" t="s">
        <v>46</v>
      </c>
      <c r="H545" s="5">
        <v>5</v>
      </c>
      <c r="I545" s="5">
        <v>2</v>
      </c>
      <c r="J545" s="5">
        <v>2.5</v>
      </c>
      <c r="K545" s="8" t="s">
        <v>48</v>
      </c>
    </row>
    <row r="546" spans="1:11" ht="15.75" customHeight="1" x14ac:dyDescent="0.25">
      <c r="A546" s="5">
        <v>11</v>
      </c>
      <c r="B546" s="5">
        <v>2023</v>
      </c>
      <c r="C546" s="12">
        <v>45197</v>
      </c>
      <c r="D546" s="5" t="s">
        <v>62</v>
      </c>
      <c r="E546" s="5" t="s">
        <v>63</v>
      </c>
      <c r="F546" s="5">
        <v>1</v>
      </c>
      <c r="G546" s="5" t="s">
        <v>46</v>
      </c>
      <c r="H546" s="5">
        <v>6</v>
      </c>
      <c r="I546" s="5">
        <v>2</v>
      </c>
      <c r="J546" s="5">
        <v>3</v>
      </c>
      <c r="K546" s="8" t="s">
        <v>27</v>
      </c>
    </row>
    <row r="547" spans="1:11" ht="15.75" customHeight="1" x14ac:dyDescent="0.25">
      <c r="A547" s="5">
        <v>11</v>
      </c>
      <c r="B547" s="5">
        <v>2023</v>
      </c>
      <c r="C547" s="12">
        <v>45197</v>
      </c>
      <c r="D547" s="5" t="s">
        <v>62</v>
      </c>
      <c r="E547" s="5" t="s">
        <v>63</v>
      </c>
      <c r="F547" s="5">
        <v>1</v>
      </c>
      <c r="G547" s="5" t="s">
        <v>46</v>
      </c>
      <c r="H547" s="5">
        <v>7</v>
      </c>
      <c r="I547" s="5">
        <v>2</v>
      </c>
      <c r="J547" s="5">
        <v>3.5</v>
      </c>
      <c r="K547" s="8" t="s">
        <v>27</v>
      </c>
    </row>
    <row r="548" spans="1:11" ht="15.75" customHeight="1" x14ac:dyDescent="0.25">
      <c r="A548" s="5">
        <v>11</v>
      </c>
      <c r="B548" s="5">
        <v>2023</v>
      </c>
      <c r="C548" s="12">
        <v>45197</v>
      </c>
      <c r="D548" s="5" t="s">
        <v>62</v>
      </c>
      <c r="E548" s="5" t="s">
        <v>63</v>
      </c>
      <c r="F548" s="5">
        <v>1</v>
      </c>
      <c r="G548" s="5" t="s">
        <v>46</v>
      </c>
      <c r="H548" s="5">
        <v>7</v>
      </c>
      <c r="I548" s="5">
        <v>2</v>
      </c>
      <c r="J548" s="5">
        <v>3.5</v>
      </c>
      <c r="K548" s="8" t="s">
        <v>64</v>
      </c>
    </row>
    <row r="549" spans="1:11" ht="15.75" customHeight="1" x14ac:dyDescent="0.25">
      <c r="A549" s="5">
        <v>11</v>
      </c>
      <c r="B549" s="5">
        <v>2023</v>
      </c>
      <c r="C549" s="12">
        <v>45197</v>
      </c>
      <c r="D549" s="5" t="s">
        <v>62</v>
      </c>
      <c r="E549" s="5" t="s">
        <v>63</v>
      </c>
      <c r="F549" s="5">
        <v>1</v>
      </c>
      <c r="G549" s="5" t="s">
        <v>46</v>
      </c>
      <c r="H549" s="5">
        <v>8</v>
      </c>
      <c r="I549" s="5">
        <v>2</v>
      </c>
      <c r="J549" s="5">
        <v>4</v>
      </c>
      <c r="K549" s="8" t="s">
        <v>27</v>
      </c>
    </row>
    <row r="550" spans="1:11" ht="15.75" customHeight="1" x14ac:dyDescent="0.25">
      <c r="A550" s="5">
        <v>11</v>
      </c>
      <c r="B550" s="5">
        <v>2023</v>
      </c>
      <c r="C550" s="12">
        <v>45197</v>
      </c>
      <c r="D550" s="5" t="s">
        <v>62</v>
      </c>
      <c r="E550" s="5" t="s">
        <v>63</v>
      </c>
      <c r="F550" s="5">
        <v>1</v>
      </c>
      <c r="G550" s="5" t="s">
        <v>46</v>
      </c>
      <c r="H550" s="5">
        <v>9</v>
      </c>
      <c r="I550" s="5">
        <v>2</v>
      </c>
      <c r="J550" s="5">
        <v>4.5</v>
      </c>
      <c r="K550" s="8" t="s">
        <v>27</v>
      </c>
    </row>
    <row r="551" spans="1:11" ht="15.75" customHeight="1" x14ac:dyDescent="0.25">
      <c r="A551" s="5">
        <v>11</v>
      </c>
      <c r="B551" s="5">
        <v>2023</v>
      </c>
      <c r="C551" s="12">
        <v>45197</v>
      </c>
      <c r="D551" s="5" t="s">
        <v>62</v>
      </c>
      <c r="E551" s="5" t="s">
        <v>63</v>
      </c>
      <c r="F551" s="5">
        <v>1</v>
      </c>
      <c r="G551" s="5" t="s">
        <v>46</v>
      </c>
      <c r="H551" s="5">
        <v>10</v>
      </c>
      <c r="I551" s="5">
        <v>2</v>
      </c>
      <c r="J551" s="5">
        <v>5</v>
      </c>
      <c r="K551" s="8" t="s">
        <v>27</v>
      </c>
    </row>
    <row r="552" spans="1:11" ht="15.75" customHeight="1" x14ac:dyDescent="0.25">
      <c r="A552" s="5">
        <v>11</v>
      </c>
      <c r="B552" s="5">
        <v>2023</v>
      </c>
      <c r="C552" s="12">
        <v>45197</v>
      </c>
      <c r="D552" s="5" t="s">
        <v>62</v>
      </c>
      <c r="E552" s="5" t="s">
        <v>63</v>
      </c>
      <c r="F552" s="5">
        <v>1</v>
      </c>
      <c r="G552" s="5" t="s">
        <v>46</v>
      </c>
      <c r="H552" s="5">
        <v>10</v>
      </c>
      <c r="I552" s="5">
        <v>2</v>
      </c>
      <c r="J552" s="5">
        <v>5</v>
      </c>
      <c r="K552" s="8" t="s">
        <v>64</v>
      </c>
    </row>
    <row r="553" spans="1:11" ht="15.75" customHeight="1" x14ac:dyDescent="0.25">
      <c r="A553" s="5">
        <v>11</v>
      </c>
      <c r="B553" s="5">
        <v>2023</v>
      </c>
      <c r="C553" s="12">
        <v>45197</v>
      </c>
      <c r="D553" s="5" t="s">
        <v>62</v>
      </c>
      <c r="E553" s="5" t="s">
        <v>63</v>
      </c>
      <c r="F553" s="5">
        <v>1</v>
      </c>
      <c r="G553" s="5" t="s">
        <v>46</v>
      </c>
      <c r="H553" s="5">
        <v>11</v>
      </c>
      <c r="I553" s="5">
        <v>2</v>
      </c>
      <c r="J553" s="5">
        <v>5.5</v>
      </c>
      <c r="K553" s="8" t="s">
        <v>58</v>
      </c>
    </row>
    <row r="554" spans="1:11" ht="15.75" customHeight="1" x14ac:dyDescent="0.25">
      <c r="A554" s="5">
        <v>11</v>
      </c>
      <c r="B554" s="5">
        <v>2023</v>
      </c>
      <c r="C554" s="12">
        <v>45197</v>
      </c>
      <c r="D554" s="5" t="s">
        <v>62</v>
      </c>
      <c r="E554" s="5" t="s">
        <v>63</v>
      </c>
      <c r="F554" s="5">
        <v>1</v>
      </c>
      <c r="G554" s="5" t="s">
        <v>46</v>
      </c>
      <c r="H554" s="5">
        <v>11</v>
      </c>
      <c r="I554" s="5">
        <v>2</v>
      </c>
      <c r="J554" s="5">
        <v>5.5</v>
      </c>
      <c r="K554" s="8" t="s">
        <v>29</v>
      </c>
    </row>
    <row r="555" spans="1:11" ht="15.75" customHeight="1" x14ac:dyDescent="0.25">
      <c r="A555" s="5">
        <v>11</v>
      </c>
      <c r="B555" s="5">
        <v>2023</v>
      </c>
      <c r="C555" s="12">
        <v>45197</v>
      </c>
      <c r="D555" s="5" t="s">
        <v>62</v>
      </c>
      <c r="E555" s="5" t="s">
        <v>63</v>
      </c>
      <c r="F555" s="5">
        <v>1</v>
      </c>
      <c r="G555" s="5" t="s">
        <v>46</v>
      </c>
      <c r="H555" s="5">
        <v>11</v>
      </c>
      <c r="I555" s="5">
        <v>2</v>
      </c>
      <c r="J555" s="5">
        <v>5.5</v>
      </c>
      <c r="K555" s="8" t="s">
        <v>64</v>
      </c>
    </row>
    <row r="556" spans="1:11" ht="15.75" customHeight="1" x14ac:dyDescent="0.25">
      <c r="A556" s="5">
        <v>11</v>
      </c>
      <c r="B556" s="5">
        <v>2023</v>
      </c>
      <c r="C556" s="12">
        <v>45197</v>
      </c>
      <c r="D556" s="5" t="s">
        <v>62</v>
      </c>
      <c r="E556" s="5" t="s">
        <v>63</v>
      </c>
      <c r="F556" s="5">
        <v>1</v>
      </c>
      <c r="G556" s="5" t="s">
        <v>46</v>
      </c>
      <c r="H556" s="5">
        <v>12</v>
      </c>
      <c r="I556" s="5">
        <v>2</v>
      </c>
      <c r="J556" s="5">
        <v>6</v>
      </c>
      <c r="K556" s="8" t="s">
        <v>35</v>
      </c>
    </row>
    <row r="557" spans="1:11" ht="15.75" customHeight="1" x14ac:dyDescent="0.25">
      <c r="A557" s="5">
        <v>11</v>
      </c>
      <c r="B557" s="5">
        <v>2023</v>
      </c>
      <c r="C557" s="12">
        <v>45197</v>
      </c>
      <c r="D557" s="5" t="s">
        <v>62</v>
      </c>
      <c r="E557" s="5" t="s">
        <v>63</v>
      </c>
      <c r="F557" s="5">
        <v>1</v>
      </c>
      <c r="G557" s="5" t="s">
        <v>46</v>
      </c>
      <c r="H557" s="5">
        <v>13</v>
      </c>
      <c r="I557" s="5">
        <v>2</v>
      </c>
      <c r="J557" s="5">
        <v>6.5</v>
      </c>
      <c r="K557" s="8" t="s">
        <v>35</v>
      </c>
    </row>
    <row r="558" spans="1:11" ht="15.75" customHeight="1" x14ac:dyDescent="0.25">
      <c r="A558" s="5">
        <v>11</v>
      </c>
      <c r="B558" s="5">
        <v>2023</v>
      </c>
      <c r="C558" s="12">
        <v>45197</v>
      </c>
      <c r="D558" s="5" t="s">
        <v>62</v>
      </c>
      <c r="E558" s="5" t="s">
        <v>63</v>
      </c>
      <c r="F558" s="5">
        <v>1</v>
      </c>
      <c r="G558" s="5" t="s">
        <v>46</v>
      </c>
      <c r="H558" s="5">
        <v>14</v>
      </c>
      <c r="I558" s="5">
        <v>2</v>
      </c>
      <c r="J558" s="5">
        <v>7</v>
      </c>
      <c r="K558" s="8" t="s">
        <v>27</v>
      </c>
    </row>
    <row r="559" spans="1:11" ht="15.75" customHeight="1" x14ac:dyDescent="0.25">
      <c r="A559" s="5">
        <v>11</v>
      </c>
      <c r="B559" s="5">
        <v>2023</v>
      </c>
      <c r="C559" s="12">
        <v>45197</v>
      </c>
      <c r="D559" s="5" t="s">
        <v>62</v>
      </c>
      <c r="E559" s="5" t="s">
        <v>63</v>
      </c>
      <c r="F559" s="5">
        <v>1</v>
      </c>
      <c r="G559" s="5" t="s">
        <v>46</v>
      </c>
      <c r="H559" s="5">
        <v>15</v>
      </c>
      <c r="I559" s="5">
        <v>2</v>
      </c>
      <c r="J559" s="5">
        <v>7.5</v>
      </c>
      <c r="K559" s="8" t="s">
        <v>27</v>
      </c>
    </row>
    <row r="560" spans="1:11" ht="15.75" customHeight="1" x14ac:dyDescent="0.25">
      <c r="A560" s="5">
        <v>12</v>
      </c>
      <c r="B560" s="5">
        <v>2023</v>
      </c>
      <c r="C560" s="12">
        <v>45197</v>
      </c>
      <c r="D560" s="5" t="s">
        <v>62</v>
      </c>
      <c r="E560" s="5" t="s">
        <v>63</v>
      </c>
      <c r="F560" s="5">
        <v>1</v>
      </c>
      <c r="G560" s="5" t="s">
        <v>51</v>
      </c>
      <c r="H560" s="5">
        <v>1</v>
      </c>
      <c r="I560" s="5">
        <v>1</v>
      </c>
      <c r="J560" s="5">
        <v>0</v>
      </c>
      <c r="K560" s="8" t="s">
        <v>35</v>
      </c>
    </row>
    <row r="561" spans="1:11" ht="15.75" customHeight="1" x14ac:dyDescent="0.25">
      <c r="A561" s="5">
        <v>12</v>
      </c>
      <c r="B561" s="5">
        <v>2023</v>
      </c>
      <c r="C561" s="12">
        <v>45197</v>
      </c>
      <c r="D561" s="5" t="s">
        <v>62</v>
      </c>
      <c r="E561" s="5" t="s">
        <v>63</v>
      </c>
      <c r="F561" s="5">
        <v>1</v>
      </c>
      <c r="G561" s="5" t="s">
        <v>51</v>
      </c>
      <c r="H561" s="5">
        <v>1</v>
      </c>
      <c r="I561" s="5">
        <v>1</v>
      </c>
      <c r="J561" s="5">
        <v>0</v>
      </c>
      <c r="K561" s="8" t="s">
        <v>66</v>
      </c>
    </row>
    <row r="562" spans="1:11" ht="15.75" customHeight="1" x14ac:dyDescent="0.25">
      <c r="A562" s="5">
        <v>12</v>
      </c>
      <c r="B562" s="5">
        <v>2023</v>
      </c>
      <c r="C562" s="12">
        <v>45197</v>
      </c>
      <c r="D562" s="5" t="s">
        <v>62</v>
      </c>
      <c r="E562" s="5" t="s">
        <v>63</v>
      </c>
      <c r="F562" s="5">
        <v>1</v>
      </c>
      <c r="G562" s="5" t="s">
        <v>51</v>
      </c>
      <c r="H562" s="5">
        <v>2</v>
      </c>
      <c r="I562" s="5">
        <v>1</v>
      </c>
      <c r="J562" s="5">
        <v>0.5</v>
      </c>
      <c r="K562" s="8" t="s">
        <v>35</v>
      </c>
    </row>
    <row r="563" spans="1:11" ht="15.75" customHeight="1" x14ac:dyDescent="0.25">
      <c r="A563" s="5">
        <v>12</v>
      </c>
      <c r="B563" s="5">
        <v>2023</v>
      </c>
      <c r="C563" s="12">
        <v>45197</v>
      </c>
      <c r="D563" s="5" t="s">
        <v>62</v>
      </c>
      <c r="E563" s="5" t="s">
        <v>63</v>
      </c>
      <c r="F563" s="5">
        <v>1</v>
      </c>
      <c r="G563" s="5" t="s">
        <v>51</v>
      </c>
      <c r="H563" s="5">
        <v>3</v>
      </c>
      <c r="I563" s="5">
        <v>1</v>
      </c>
      <c r="J563" s="5">
        <v>1</v>
      </c>
      <c r="K563" s="5" t="s">
        <v>27</v>
      </c>
    </row>
    <row r="564" spans="1:11" ht="15.75" customHeight="1" x14ac:dyDescent="0.25">
      <c r="A564" s="5">
        <v>12</v>
      </c>
      <c r="B564" s="5">
        <v>2023</v>
      </c>
      <c r="C564" s="12">
        <v>45197</v>
      </c>
      <c r="D564" s="5" t="s">
        <v>62</v>
      </c>
      <c r="E564" s="5" t="s">
        <v>63</v>
      </c>
      <c r="F564" s="5">
        <v>1</v>
      </c>
      <c r="G564" s="5" t="s">
        <v>51</v>
      </c>
      <c r="H564" s="5">
        <v>3</v>
      </c>
      <c r="I564" s="5">
        <v>1</v>
      </c>
      <c r="J564" s="5">
        <v>1</v>
      </c>
      <c r="K564" s="8" t="s">
        <v>30</v>
      </c>
    </row>
    <row r="565" spans="1:11" ht="15.75" customHeight="1" x14ac:dyDescent="0.25">
      <c r="A565" s="5">
        <v>12</v>
      </c>
      <c r="B565" s="5">
        <v>2023</v>
      </c>
      <c r="C565" s="12">
        <v>45197</v>
      </c>
      <c r="D565" s="5" t="s">
        <v>62</v>
      </c>
      <c r="E565" s="5" t="s">
        <v>63</v>
      </c>
      <c r="F565" s="5">
        <v>1</v>
      </c>
      <c r="G565" s="5" t="s">
        <v>51</v>
      </c>
      <c r="H565" s="5">
        <v>3</v>
      </c>
      <c r="I565" s="5">
        <v>1</v>
      </c>
      <c r="J565" s="5">
        <v>1</v>
      </c>
      <c r="K565" s="8" t="s">
        <v>34</v>
      </c>
    </row>
    <row r="566" spans="1:11" ht="15.75" customHeight="1" x14ac:dyDescent="0.25">
      <c r="A566" s="5">
        <v>12</v>
      </c>
      <c r="B566" s="5">
        <v>2023</v>
      </c>
      <c r="C566" s="12">
        <v>45197</v>
      </c>
      <c r="D566" s="5" t="s">
        <v>62</v>
      </c>
      <c r="E566" s="5" t="s">
        <v>63</v>
      </c>
      <c r="F566" s="5">
        <v>1</v>
      </c>
      <c r="G566" s="5" t="s">
        <v>51</v>
      </c>
      <c r="H566" s="5">
        <v>4</v>
      </c>
      <c r="I566" s="5">
        <v>1</v>
      </c>
      <c r="J566" s="5">
        <v>1.5</v>
      </c>
      <c r="K566" s="5" t="s">
        <v>27</v>
      </c>
    </row>
    <row r="567" spans="1:11" ht="15.75" customHeight="1" x14ac:dyDescent="0.25">
      <c r="A567" s="5">
        <v>12</v>
      </c>
      <c r="B567" s="5">
        <v>2023</v>
      </c>
      <c r="C567" s="12">
        <v>45197</v>
      </c>
      <c r="D567" s="5" t="s">
        <v>62</v>
      </c>
      <c r="E567" s="5" t="s">
        <v>63</v>
      </c>
      <c r="F567" s="5">
        <v>1</v>
      </c>
      <c r="G567" s="5" t="s">
        <v>51</v>
      </c>
      <c r="H567" s="5">
        <v>5</v>
      </c>
      <c r="I567" s="5">
        <v>1</v>
      </c>
      <c r="J567" s="5">
        <v>2</v>
      </c>
      <c r="K567" s="8" t="s">
        <v>35</v>
      </c>
    </row>
    <row r="568" spans="1:11" ht="15.75" customHeight="1" x14ac:dyDescent="0.25">
      <c r="A568" s="5">
        <v>12</v>
      </c>
      <c r="B568" s="5">
        <v>2023</v>
      </c>
      <c r="C568" s="12">
        <v>45197</v>
      </c>
      <c r="D568" s="5" t="s">
        <v>62</v>
      </c>
      <c r="E568" s="5" t="s">
        <v>63</v>
      </c>
      <c r="F568" s="5">
        <v>1</v>
      </c>
      <c r="G568" s="5" t="s">
        <v>51</v>
      </c>
      <c r="H568" s="5">
        <v>6</v>
      </c>
      <c r="I568" s="5">
        <v>1</v>
      </c>
      <c r="J568" s="5">
        <v>2.5</v>
      </c>
      <c r="K568" s="5" t="s">
        <v>35</v>
      </c>
    </row>
    <row r="569" spans="1:11" ht="15.75" customHeight="1" x14ac:dyDescent="0.25">
      <c r="A569" s="5">
        <v>12</v>
      </c>
      <c r="B569" s="5">
        <v>2023</v>
      </c>
      <c r="C569" s="12">
        <v>45197</v>
      </c>
      <c r="D569" s="5" t="s">
        <v>62</v>
      </c>
      <c r="E569" s="5" t="s">
        <v>63</v>
      </c>
      <c r="F569" s="5">
        <v>1</v>
      </c>
      <c r="G569" s="5" t="s">
        <v>51</v>
      </c>
      <c r="H569" s="5">
        <v>7</v>
      </c>
      <c r="I569" s="5">
        <v>1</v>
      </c>
      <c r="J569" s="5">
        <v>3</v>
      </c>
      <c r="K569" s="5" t="s">
        <v>35</v>
      </c>
    </row>
    <row r="570" spans="1:11" ht="15.75" customHeight="1" x14ac:dyDescent="0.25">
      <c r="A570" s="5">
        <v>12</v>
      </c>
      <c r="B570" s="5">
        <v>2023</v>
      </c>
      <c r="C570" s="12">
        <v>45197</v>
      </c>
      <c r="D570" s="5" t="s">
        <v>62</v>
      </c>
      <c r="E570" s="5" t="s">
        <v>63</v>
      </c>
      <c r="F570" s="5">
        <v>1</v>
      </c>
      <c r="G570" s="5" t="s">
        <v>51</v>
      </c>
      <c r="H570" s="5">
        <v>7</v>
      </c>
      <c r="I570" s="5">
        <v>1</v>
      </c>
      <c r="J570" s="5">
        <v>3</v>
      </c>
      <c r="K570" s="5" t="s">
        <v>30</v>
      </c>
    </row>
    <row r="571" spans="1:11" ht="15.75" customHeight="1" x14ac:dyDescent="0.25">
      <c r="A571" s="5">
        <v>12</v>
      </c>
      <c r="B571" s="5">
        <v>2023</v>
      </c>
      <c r="C571" s="12">
        <v>45197</v>
      </c>
      <c r="D571" s="5" t="s">
        <v>62</v>
      </c>
      <c r="E571" s="5" t="s">
        <v>63</v>
      </c>
      <c r="F571" s="5">
        <v>1</v>
      </c>
      <c r="G571" s="5" t="s">
        <v>51</v>
      </c>
      <c r="H571" s="5">
        <v>7</v>
      </c>
      <c r="I571" s="5">
        <v>1</v>
      </c>
      <c r="J571" s="5">
        <v>3</v>
      </c>
      <c r="K571" s="5" t="s">
        <v>34</v>
      </c>
    </row>
    <row r="572" spans="1:11" ht="15.75" customHeight="1" x14ac:dyDescent="0.25">
      <c r="A572" s="5">
        <v>12</v>
      </c>
      <c r="B572" s="5">
        <v>2023</v>
      </c>
      <c r="C572" s="12">
        <v>45197</v>
      </c>
      <c r="D572" s="5" t="s">
        <v>62</v>
      </c>
      <c r="E572" s="5" t="s">
        <v>63</v>
      </c>
      <c r="F572" s="5">
        <v>1</v>
      </c>
      <c r="G572" s="5" t="s">
        <v>51</v>
      </c>
      <c r="H572" s="5">
        <v>7</v>
      </c>
      <c r="I572" s="5">
        <v>1</v>
      </c>
      <c r="J572" s="5">
        <v>3</v>
      </c>
      <c r="K572" s="5" t="s">
        <v>29</v>
      </c>
    </row>
    <row r="573" spans="1:11" ht="15.75" customHeight="1" x14ac:dyDescent="0.25">
      <c r="A573" s="5">
        <v>12</v>
      </c>
      <c r="B573" s="5">
        <v>2023</v>
      </c>
      <c r="C573" s="12">
        <v>45197</v>
      </c>
      <c r="D573" s="5" t="s">
        <v>62</v>
      </c>
      <c r="E573" s="5" t="s">
        <v>63</v>
      </c>
      <c r="F573" s="5">
        <v>1</v>
      </c>
      <c r="G573" s="5" t="s">
        <v>51</v>
      </c>
      <c r="H573" s="5">
        <v>8</v>
      </c>
      <c r="I573" s="5">
        <v>1</v>
      </c>
      <c r="J573" s="5">
        <v>3.5</v>
      </c>
      <c r="K573" s="5" t="s">
        <v>27</v>
      </c>
    </row>
    <row r="574" spans="1:11" ht="15.75" customHeight="1" x14ac:dyDescent="0.25">
      <c r="A574" s="5">
        <v>12</v>
      </c>
      <c r="B574" s="5">
        <v>2023</v>
      </c>
      <c r="C574" s="12">
        <v>45197</v>
      </c>
      <c r="D574" s="5" t="s">
        <v>62</v>
      </c>
      <c r="E574" s="5" t="s">
        <v>63</v>
      </c>
      <c r="F574" s="5">
        <v>1</v>
      </c>
      <c r="G574" s="5" t="s">
        <v>51</v>
      </c>
      <c r="H574" s="5">
        <v>9</v>
      </c>
      <c r="I574" s="5">
        <v>1</v>
      </c>
      <c r="J574" s="5">
        <v>4</v>
      </c>
      <c r="K574" s="5" t="s">
        <v>27</v>
      </c>
    </row>
    <row r="575" spans="1:11" ht="15.75" customHeight="1" x14ac:dyDescent="0.25">
      <c r="A575" s="5">
        <v>12</v>
      </c>
      <c r="B575" s="5">
        <v>2023</v>
      </c>
      <c r="C575" s="12">
        <v>45197</v>
      </c>
      <c r="D575" s="5" t="s">
        <v>62</v>
      </c>
      <c r="E575" s="5" t="s">
        <v>63</v>
      </c>
      <c r="F575" s="5">
        <v>1</v>
      </c>
      <c r="G575" s="5" t="s">
        <v>51</v>
      </c>
      <c r="H575" s="5">
        <v>10</v>
      </c>
      <c r="I575" s="5">
        <v>1</v>
      </c>
      <c r="J575" s="5">
        <v>4.5</v>
      </c>
      <c r="K575" s="5" t="s">
        <v>35</v>
      </c>
    </row>
    <row r="576" spans="1:11" ht="15.75" customHeight="1" x14ac:dyDescent="0.25">
      <c r="A576" s="5">
        <v>12</v>
      </c>
      <c r="B576" s="5">
        <v>2023</v>
      </c>
      <c r="C576" s="12">
        <v>45197</v>
      </c>
      <c r="D576" s="5" t="s">
        <v>62</v>
      </c>
      <c r="E576" s="5" t="s">
        <v>63</v>
      </c>
      <c r="F576" s="5">
        <v>1</v>
      </c>
      <c r="G576" s="5" t="s">
        <v>51</v>
      </c>
      <c r="H576" s="5">
        <v>11</v>
      </c>
      <c r="I576" s="5">
        <v>1</v>
      </c>
      <c r="J576" s="5">
        <v>5</v>
      </c>
      <c r="K576" s="5" t="s">
        <v>32</v>
      </c>
    </row>
    <row r="577" spans="1:11" ht="15.75" customHeight="1" x14ac:dyDescent="0.25">
      <c r="A577" s="5">
        <v>12</v>
      </c>
      <c r="B577" s="5">
        <v>2023</v>
      </c>
      <c r="C577" s="12">
        <v>45197</v>
      </c>
      <c r="D577" s="5" t="s">
        <v>62</v>
      </c>
      <c r="E577" s="5" t="s">
        <v>63</v>
      </c>
      <c r="F577" s="5">
        <v>1</v>
      </c>
      <c r="G577" s="5" t="s">
        <v>51</v>
      </c>
      <c r="H577" s="5">
        <v>12</v>
      </c>
      <c r="I577" s="5">
        <v>1</v>
      </c>
      <c r="J577" s="5">
        <v>5.5</v>
      </c>
      <c r="K577" s="5" t="s">
        <v>35</v>
      </c>
    </row>
    <row r="578" spans="1:11" ht="15.75" customHeight="1" x14ac:dyDescent="0.25">
      <c r="A578" s="5">
        <v>12</v>
      </c>
      <c r="B578" s="5">
        <v>2023</v>
      </c>
      <c r="C578" s="12">
        <v>45197</v>
      </c>
      <c r="D578" s="5" t="s">
        <v>62</v>
      </c>
      <c r="E578" s="5" t="s">
        <v>63</v>
      </c>
      <c r="F578" s="5">
        <v>1</v>
      </c>
      <c r="G578" s="5" t="s">
        <v>51</v>
      </c>
      <c r="H578" s="5">
        <v>13</v>
      </c>
      <c r="I578" s="5">
        <v>1</v>
      </c>
      <c r="J578" s="5">
        <v>6.5</v>
      </c>
      <c r="K578" s="5" t="s">
        <v>35</v>
      </c>
    </row>
    <row r="579" spans="1:11" ht="15.75" customHeight="1" x14ac:dyDescent="0.25">
      <c r="A579" s="5">
        <v>12</v>
      </c>
      <c r="B579" s="5">
        <v>2023</v>
      </c>
      <c r="C579" s="12">
        <v>45197</v>
      </c>
      <c r="D579" s="5" t="s">
        <v>62</v>
      </c>
      <c r="E579" s="5" t="s">
        <v>63</v>
      </c>
      <c r="F579" s="5">
        <v>1</v>
      </c>
      <c r="G579" s="5" t="s">
        <v>51</v>
      </c>
      <c r="H579" s="5">
        <v>14</v>
      </c>
      <c r="I579" s="5">
        <v>1</v>
      </c>
      <c r="J579" s="5">
        <v>7</v>
      </c>
      <c r="K579" s="5" t="s">
        <v>35</v>
      </c>
    </row>
    <row r="580" spans="1:11" ht="15.75" customHeight="1" x14ac:dyDescent="0.25">
      <c r="A580" s="5">
        <v>12</v>
      </c>
      <c r="B580" s="5">
        <v>2023</v>
      </c>
      <c r="C580" s="12">
        <v>45197</v>
      </c>
      <c r="D580" s="5" t="s">
        <v>62</v>
      </c>
      <c r="E580" s="5" t="s">
        <v>63</v>
      </c>
      <c r="F580" s="5">
        <v>1</v>
      </c>
      <c r="G580" s="5" t="s">
        <v>51</v>
      </c>
      <c r="H580" s="5">
        <v>15</v>
      </c>
      <c r="I580" s="5">
        <v>1</v>
      </c>
      <c r="J580" s="5">
        <v>7.5</v>
      </c>
      <c r="K580" s="5" t="s">
        <v>27</v>
      </c>
    </row>
    <row r="581" spans="1:11" ht="15.75" customHeight="1" x14ac:dyDescent="0.25">
      <c r="A581" s="5">
        <v>12</v>
      </c>
      <c r="B581" s="5">
        <v>2023</v>
      </c>
      <c r="C581" s="12">
        <v>45197</v>
      </c>
      <c r="D581" s="5" t="s">
        <v>62</v>
      </c>
      <c r="E581" s="5" t="s">
        <v>63</v>
      </c>
      <c r="F581" s="5">
        <v>1</v>
      </c>
      <c r="G581" s="5" t="s">
        <v>51</v>
      </c>
      <c r="H581" s="5">
        <v>15</v>
      </c>
      <c r="I581" s="5">
        <v>1</v>
      </c>
      <c r="J581" s="5">
        <v>7.5</v>
      </c>
      <c r="K581" s="5" t="s">
        <v>29</v>
      </c>
    </row>
    <row r="582" spans="1:11" ht="15.75" customHeight="1" x14ac:dyDescent="0.25">
      <c r="A582" s="5">
        <v>12</v>
      </c>
      <c r="B582" s="5">
        <v>2023</v>
      </c>
      <c r="C582" s="12">
        <v>45197</v>
      </c>
      <c r="D582" s="5" t="s">
        <v>62</v>
      </c>
      <c r="E582" s="5" t="s">
        <v>63</v>
      </c>
      <c r="F582" s="5">
        <v>1</v>
      </c>
      <c r="G582" s="5" t="s">
        <v>51</v>
      </c>
      <c r="H582" s="5">
        <v>1</v>
      </c>
      <c r="I582" s="5">
        <v>2</v>
      </c>
      <c r="J582" s="5">
        <v>0</v>
      </c>
      <c r="K582" s="5" t="s">
        <v>67</v>
      </c>
    </row>
    <row r="583" spans="1:11" ht="15.75" customHeight="1" x14ac:dyDescent="0.25">
      <c r="A583" s="5">
        <v>12</v>
      </c>
      <c r="B583" s="5">
        <v>2023</v>
      </c>
      <c r="C583" s="12">
        <v>45197</v>
      </c>
      <c r="D583" s="5" t="s">
        <v>62</v>
      </c>
      <c r="E583" s="5" t="s">
        <v>63</v>
      </c>
      <c r="F583" s="5">
        <v>1</v>
      </c>
      <c r="G583" s="5" t="s">
        <v>51</v>
      </c>
      <c r="H583" s="5">
        <v>2</v>
      </c>
      <c r="I583" s="5">
        <v>2</v>
      </c>
      <c r="J583" s="5">
        <v>0.5</v>
      </c>
      <c r="K583" s="5" t="s">
        <v>35</v>
      </c>
    </row>
    <row r="584" spans="1:11" ht="15.75" customHeight="1" x14ac:dyDescent="0.25">
      <c r="A584" s="5">
        <v>12</v>
      </c>
      <c r="B584" s="5">
        <v>2023</v>
      </c>
      <c r="C584" s="12">
        <v>45197</v>
      </c>
      <c r="D584" s="5" t="s">
        <v>62</v>
      </c>
      <c r="E584" s="5" t="s">
        <v>63</v>
      </c>
      <c r="F584" s="5">
        <v>1</v>
      </c>
      <c r="G584" s="5" t="s">
        <v>51</v>
      </c>
      <c r="H584" s="5">
        <v>3</v>
      </c>
      <c r="I584" s="5">
        <v>2</v>
      </c>
      <c r="J584" s="5">
        <v>1</v>
      </c>
      <c r="K584" s="5" t="s">
        <v>27</v>
      </c>
    </row>
    <row r="585" spans="1:11" ht="15.75" customHeight="1" x14ac:dyDescent="0.25">
      <c r="A585" s="5">
        <v>12</v>
      </c>
      <c r="B585" s="5">
        <v>2023</v>
      </c>
      <c r="C585" s="12">
        <v>45197</v>
      </c>
      <c r="D585" s="5" t="s">
        <v>62</v>
      </c>
      <c r="E585" s="5" t="s">
        <v>63</v>
      </c>
      <c r="F585" s="5">
        <v>1</v>
      </c>
      <c r="G585" s="5" t="s">
        <v>51</v>
      </c>
      <c r="H585" s="5">
        <v>3</v>
      </c>
      <c r="I585" s="5">
        <v>2</v>
      </c>
      <c r="J585" s="5">
        <v>1</v>
      </c>
      <c r="K585" s="5" t="s">
        <v>54</v>
      </c>
    </row>
    <row r="586" spans="1:11" ht="15.75" customHeight="1" x14ac:dyDescent="0.25">
      <c r="A586" s="5">
        <v>12</v>
      </c>
      <c r="B586" s="5">
        <v>2023</v>
      </c>
      <c r="C586" s="12">
        <v>45197</v>
      </c>
      <c r="D586" s="5" t="s">
        <v>62</v>
      </c>
      <c r="E586" s="5" t="s">
        <v>63</v>
      </c>
      <c r="F586" s="5">
        <v>1</v>
      </c>
      <c r="G586" s="5" t="s">
        <v>51</v>
      </c>
      <c r="H586" s="5">
        <v>4</v>
      </c>
      <c r="I586" s="5">
        <v>2</v>
      </c>
      <c r="J586" s="5">
        <v>1.5</v>
      </c>
      <c r="K586" s="5" t="s">
        <v>27</v>
      </c>
    </row>
    <row r="587" spans="1:11" ht="15.75" customHeight="1" x14ac:dyDescent="0.25">
      <c r="A587" s="5">
        <v>12</v>
      </c>
      <c r="B587" s="5">
        <v>2023</v>
      </c>
      <c r="C587" s="12">
        <v>45197</v>
      </c>
      <c r="D587" s="5" t="s">
        <v>62</v>
      </c>
      <c r="E587" s="5" t="s">
        <v>63</v>
      </c>
      <c r="F587" s="5">
        <v>1</v>
      </c>
      <c r="G587" s="5" t="s">
        <v>51</v>
      </c>
      <c r="H587" s="5">
        <v>5</v>
      </c>
      <c r="I587" s="5">
        <v>2</v>
      </c>
      <c r="J587" s="5">
        <v>2.5</v>
      </c>
      <c r="K587" s="5" t="s">
        <v>35</v>
      </c>
    </row>
    <row r="588" spans="1:11" ht="15.75" customHeight="1" x14ac:dyDescent="0.25">
      <c r="A588" s="5">
        <v>12</v>
      </c>
      <c r="B588" s="5">
        <v>2023</v>
      </c>
      <c r="C588" s="12">
        <v>45197</v>
      </c>
      <c r="D588" s="5" t="s">
        <v>62</v>
      </c>
      <c r="E588" s="5" t="s">
        <v>63</v>
      </c>
      <c r="F588" s="5">
        <v>1</v>
      </c>
      <c r="G588" s="5" t="s">
        <v>51</v>
      </c>
      <c r="H588" s="5">
        <v>6</v>
      </c>
      <c r="I588" s="5">
        <v>2</v>
      </c>
      <c r="J588" s="5">
        <v>3</v>
      </c>
      <c r="K588" s="5" t="s">
        <v>35</v>
      </c>
    </row>
    <row r="589" spans="1:11" ht="15.75" customHeight="1" x14ac:dyDescent="0.25">
      <c r="A589" s="5">
        <v>12</v>
      </c>
      <c r="B589" s="5">
        <v>2023</v>
      </c>
      <c r="C589" s="12">
        <v>45197</v>
      </c>
      <c r="D589" s="5" t="s">
        <v>62</v>
      </c>
      <c r="E589" s="5" t="s">
        <v>63</v>
      </c>
      <c r="F589" s="5">
        <v>1</v>
      </c>
      <c r="G589" s="5" t="s">
        <v>51</v>
      </c>
      <c r="H589" s="5">
        <v>7</v>
      </c>
      <c r="I589" s="5">
        <v>2</v>
      </c>
      <c r="J589" s="5">
        <v>3.5</v>
      </c>
      <c r="K589" s="5" t="s">
        <v>35</v>
      </c>
    </row>
    <row r="590" spans="1:11" ht="15.75" customHeight="1" x14ac:dyDescent="0.25">
      <c r="A590" s="5">
        <v>12</v>
      </c>
      <c r="B590" s="5">
        <v>2023</v>
      </c>
      <c r="C590" s="12">
        <v>45197</v>
      </c>
      <c r="D590" s="5" t="s">
        <v>62</v>
      </c>
      <c r="E590" s="5" t="s">
        <v>63</v>
      </c>
      <c r="F590" s="5">
        <v>1</v>
      </c>
      <c r="G590" s="5" t="s">
        <v>51</v>
      </c>
      <c r="H590" s="5">
        <v>8</v>
      </c>
      <c r="I590" s="5">
        <v>2</v>
      </c>
      <c r="J590" s="5">
        <v>4</v>
      </c>
      <c r="K590" s="5" t="s">
        <v>35</v>
      </c>
    </row>
    <row r="591" spans="1:11" ht="15.75" customHeight="1" x14ac:dyDescent="0.25">
      <c r="A591" s="5">
        <v>12</v>
      </c>
      <c r="B591" s="5">
        <v>2023</v>
      </c>
      <c r="C591" s="12">
        <v>45197</v>
      </c>
      <c r="D591" s="5" t="s">
        <v>62</v>
      </c>
      <c r="E591" s="5" t="s">
        <v>63</v>
      </c>
      <c r="F591" s="5">
        <v>1</v>
      </c>
      <c r="G591" s="5" t="s">
        <v>51</v>
      </c>
      <c r="H591" s="5">
        <v>9</v>
      </c>
      <c r="I591" s="5">
        <v>2</v>
      </c>
      <c r="J591" s="5">
        <v>4.5</v>
      </c>
      <c r="K591" s="5" t="s">
        <v>35</v>
      </c>
    </row>
    <row r="592" spans="1:11" ht="15.75" customHeight="1" x14ac:dyDescent="0.25">
      <c r="A592" s="5">
        <v>12</v>
      </c>
      <c r="B592" s="5">
        <v>2023</v>
      </c>
      <c r="C592" s="12">
        <v>45197</v>
      </c>
      <c r="D592" s="5" t="s">
        <v>62</v>
      </c>
      <c r="E592" s="5" t="s">
        <v>63</v>
      </c>
      <c r="F592" s="5">
        <v>1</v>
      </c>
      <c r="G592" s="5" t="s">
        <v>51</v>
      </c>
      <c r="H592" s="5">
        <v>9</v>
      </c>
      <c r="I592" s="5">
        <v>2</v>
      </c>
      <c r="J592" s="5">
        <v>4.5</v>
      </c>
      <c r="K592" s="5" t="s">
        <v>64</v>
      </c>
    </row>
    <row r="593" spans="1:11" ht="15.75" customHeight="1" x14ac:dyDescent="0.25">
      <c r="A593" s="5">
        <v>12</v>
      </c>
      <c r="B593" s="5">
        <v>2023</v>
      </c>
      <c r="C593" s="12">
        <v>45197</v>
      </c>
      <c r="D593" s="5" t="s">
        <v>62</v>
      </c>
      <c r="E593" s="5" t="s">
        <v>63</v>
      </c>
      <c r="F593" s="5">
        <v>1</v>
      </c>
      <c r="G593" s="5" t="s">
        <v>51</v>
      </c>
      <c r="H593" s="5">
        <v>10</v>
      </c>
      <c r="I593" s="5">
        <v>2</v>
      </c>
      <c r="J593" s="5">
        <v>5</v>
      </c>
      <c r="K593" s="5" t="s">
        <v>27</v>
      </c>
    </row>
    <row r="594" spans="1:11" ht="15.75" customHeight="1" x14ac:dyDescent="0.25">
      <c r="A594" s="5">
        <v>12</v>
      </c>
      <c r="B594" s="5">
        <v>2023</v>
      </c>
      <c r="C594" s="12">
        <v>45197</v>
      </c>
      <c r="D594" s="5" t="s">
        <v>62</v>
      </c>
      <c r="E594" s="5" t="s">
        <v>63</v>
      </c>
      <c r="F594" s="5">
        <v>1</v>
      </c>
      <c r="G594" s="5" t="s">
        <v>51</v>
      </c>
      <c r="H594" s="5">
        <v>11</v>
      </c>
      <c r="I594" s="5">
        <v>2</v>
      </c>
      <c r="J594" s="5">
        <v>5.5</v>
      </c>
      <c r="K594" s="5" t="s">
        <v>35</v>
      </c>
    </row>
    <row r="595" spans="1:11" ht="15.75" customHeight="1" x14ac:dyDescent="0.25">
      <c r="A595" s="5">
        <v>12</v>
      </c>
      <c r="B595" s="5">
        <v>2023</v>
      </c>
      <c r="C595" s="12">
        <v>45197</v>
      </c>
      <c r="D595" s="5" t="s">
        <v>62</v>
      </c>
      <c r="E595" s="5" t="s">
        <v>63</v>
      </c>
      <c r="F595" s="5">
        <v>1</v>
      </c>
      <c r="G595" s="5" t="s">
        <v>51</v>
      </c>
      <c r="H595" s="5">
        <v>12</v>
      </c>
      <c r="I595" s="5">
        <v>2</v>
      </c>
      <c r="J595" s="5">
        <v>6</v>
      </c>
      <c r="K595" s="5" t="s">
        <v>27</v>
      </c>
    </row>
    <row r="596" spans="1:11" ht="15.75" customHeight="1" x14ac:dyDescent="0.25">
      <c r="A596" s="5">
        <v>12</v>
      </c>
      <c r="B596" s="5">
        <v>2023</v>
      </c>
      <c r="C596" s="12">
        <v>45197</v>
      </c>
      <c r="D596" s="5" t="s">
        <v>62</v>
      </c>
      <c r="E596" s="5" t="s">
        <v>63</v>
      </c>
      <c r="F596" s="5">
        <v>1</v>
      </c>
      <c r="G596" s="5" t="s">
        <v>51</v>
      </c>
      <c r="H596" s="5">
        <v>13</v>
      </c>
      <c r="I596" s="5">
        <v>2</v>
      </c>
      <c r="J596" s="5">
        <v>6.5</v>
      </c>
      <c r="K596" s="5" t="s">
        <v>27</v>
      </c>
    </row>
    <row r="597" spans="1:11" ht="15.75" customHeight="1" x14ac:dyDescent="0.25">
      <c r="A597" s="5">
        <v>12</v>
      </c>
      <c r="B597" s="5">
        <v>2023</v>
      </c>
      <c r="C597" s="12">
        <v>45197</v>
      </c>
      <c r="D597" s="5" t="s">
        <v>62</v>
      </c>
      <c r="E597" s="5" t="s">
        <v>63</v>
      </c>
      <c r="F597" s="5">
        <v>1</v>
      </c>
      <c r="G597" s="5" t="s">
        <v>51</v>
      </c>
      <c r="H597" s="5">
        <v>14</v>
      </c>
      <c r="I597" s="5">
        <v>2</v>
      </c>
      <c r="J597" s="5">
        <v>7</v>
      </c>
      <c r="K597" s="5" t="s">
        <v>27</v>
      </c>
    </row>
    <row r="598" spans="1:11" ht="15.75" customHeight="1" x14ac:dyDescent="0.25">
      <c r="A598" s="5">
        <v>12</v>
      </c>
      <c r="B598" s="5">
        <v>2023</v>
      </c>
      <c r="C598" s="12">
        <v>45197</v>
      </c>
      <c r="D598" s="5" t="s">
        <v>62</v>
      </c>
      <c r="E598" s="5" t="s">
        <v>63</v>
      </c>
      <c r="F598" s="5">
        <v>1</v>
      </c>
      <c r="G598" s="5" t="s">
        <v>51</v>
      </c>
      <c r="H598" s="5">
        <v>15</v>
      </c>
      <c r="I598" s="5">
        <v>2</v>
      </c>
      <c r="J598" s="5">
        <v>7.5</v>
      </c>
      <c r="K598" s="5" t="s">
        <v>27</v>
      </c>
    </row>
    <row r="599" spans="1:11" ht="15.75" customHeight="1" x14ac:dyDescent="0.25">
      <c r="A599" s="5">
        <v>13</v>
      </c>
      <c r="B599" s="5">
        <v>2023</v>
      </c>
      <c r="C599" s="12">
        <v>45197</v>
      </c>
      <c r="D599" s="5" t="s">
        <v>62</v>
      </c>
      <c r="E599" s="5" t="s">
        <v>68</v>
      </c>
      <c r="F599" s="5">
        <v>3</v>
      </c>
      <c r="G599" s="5" t="s">
        <v>26</v>
      </c>
      <c r="H599" s="5">
        <v>1</v>
      </c>
      <c r="I599" s="5">
        <v>1</v>
      </c>
      <c r="J599" s="5">
        <v>0</v>
      </c>
      <c r="K599" s="5" t="s">
        <v>27</v>
      </c>
    </row>
    <row r="600" spans="1:11" ht="15.75" customHeight="1" x14ac:dyDescent="0.25">
      <c r="A600" s="5">
        <v>13</v>
      </c>
      <c r="B600" s="5">
        <v>2023</v>
      </c>
      <c r="C600" s="12">
        <v>45197</v>
      </c>
      <c r="D600" s="5" t="s">
        <v>62</v>
      </c>
      <c r="E600" s="5" t="s">
        <v>68</v>
      </c>
      <c r="F600" s="5">
        <v>3</v>
      </c>
      <c r="G600" s="5" t="s">
        <v>26</v>
      </c>
      <c r="H600" s="5">
        <v>2</v>
      </c>
      <c r="I600" s="5">
        <v>1</v>
      </c>
      <c r="J600" s="5">
        <v>1</v>
      </c>
      <c r="K600" s="5" t="s">
        <v>35</v>
      </c>
    </row>
    <row r="601" spans="1:11" ht="15.75" customHeight="1" x14ac:dyDescent="0.25">
      <c r="A601" s="5">
        <v>13</v>
      </c>
      <c r="B601" s="5">
        <v>2023</v>
      </c>
      <c r="C601" s="12">
        <v>45197</v>
      </c>
      <c r="D601" s="5" t="s">
        <v>62</v>
      </c>
      <c r="E601" s="5" t="s">
        <v>68</v>
      </c>
      <c r="F601" s="5">
        <v>3</v>
      </c>
      <c r="G601" s="5" t="s">
        <v>26</v>
      </c>
      <c r="H601" s="5">
        <v>3</v>
      </c>
      <c r="I601" s="5">
        <v>1</v>
      </c>
      <c r="J601" s="5">
        <v>1.5</v>
      </c>
      <c r="K601" s="5" t="s">
        <v>27</v>
      </c>
    </row>
    <row r="602" spans="1:11" ht="15.75" customHeight="1" x14ac:dyDescent="0.25">
      <c r="A602" s="5">
        <v>13</v>
      </c>
      <c r="B602" s="5">
        <v>2023</v>
      </c>
      <c r="C602" s="12">
        <v>45197</v>
      </c>
      <c r="D602" s="5" t="s">
        <v>62</v>
      </c>
      <c r="E602" s="5" t="s">
        <v>68</v>
      </c>
      <c r="F602" s="5">
        <v>3</v>
      </c>
      <c r="G602" s="5" t="s">
        <v>26</v>
      </c>
      <c r="H602" s="5">
        <v>3</v>
      </c>
      <c r="I602" s="5">
        <v>1</v>
      </c>
      <c r="J602" s="5">
        <v>1.5</v>
      </c>
      <c r="K602" s="5" t="s">
        <v>34</v>
      </c>
    </row>
    <row r="603" spans="1:11" ht="15.75" customHeight="1" x14ac:dyDescent="0.25">
      <c r="A603" s="5">
        <v>13</v>
      </c>
      <c r="B603" s="5">
        <v>2023</v>
      </c>
      <c r="C603" s="12">
        <v>45197</v>
      </c>
      <c r="D603" s="5" t="s">
        <v>62</v>
      </c>
      <c r="E603" s="5" t="s">
        <v>68</v>
      </c>
      <c r="F603" s="5">
        <v>3</v>
      </c>
      <c r="G603" s="5" t="s">
        <v>26</v>
      </c>
      <c r="H603" s="5">
        <v>4</v>
      </c>
      <c r="I603" s="5">
        <v>1</v>
      </c>
      <c r="J603" s="5">
        <v>2</v>
      </c>
      <c r="K603" s="5" t="s">
        <v>35</v>
      </c>
    </row>
    <row r="604" spans="1:11" ht="15.75" customHeight="1" x14ac:dyDescent="0.25">
      <c r="A604" s="5">
        <v>13</v>
      </c>
      <c r="B604" s="5">
        <v>2023</v>
      </c>
      <c r="C604" s="12">
        <v>45197</v>
      </c>
      <c r="D604" s="5" t="s">
        <v>62</v>
      </c>
      <c r="E604" s="5" t="s">
        <v>68</v>
      </c>
      <c r="F604" s="5">
        <v>3</v>
      </c>
      <c r="G604" s="5" t="s">
        <v>26</v>
      </c>
      <c r="H604" s="5">
        <v>5</v>
      </c>
      <c r="I604" s="5">
        <v>1</v>
      </c>
      <c r="J604" s="5">
        <v>3</v>
      </c>
      <c r="K604" s="5" t="s">
        <v>35</v>
      </c>
    </row>
    <row r="605" spans="1:11" ht="15.75" customHeight="1" x14ac:dyDescent="0.25">
      <c r="A605" s="5">
        <v>13</v>
      </c>
      <c r="B605" s="5">
        <v>2023</v>
      </c>
      <c r="C605" s="12">
        <v>45197</v>
      </c>
      <c r="D605" s="5" t="s">
        <v>62</v>
      </c>
      <c r="E605" s="5" t="s">
        <v>68</v>
      </c>
      <c r="F605" s="5">
        <v>3</v>
      </c>
      <c r="G605" s="5" t="s">
        <v>26</v>
      </c>
      <c r="H605" s="5">
        <v>6</v>
      </c>
      <c r="I605" s="5">
        <v>1</v>
      </c>
      <c r="J605" s="5">
        <v>3.5</v>
      </c>
      <c r="K605" s="5" t="s">
        <v>35</v>
      </c>
    </row>
    <row r="606" spans="1:11" ht="15.75" customHeight="1" x14ac:dyDescent="0.25">
      <c r="A606" s="5">
        <v>13</v>
      </c>
      <c r="B606" s="5">
        <v>2023</v>
      </c>
      <c r="C606" s="12">
        <v>45197</v>
      </c>
      <c r="D606" s="5" t="s">
        <v>62</v>
      </c>
      <c r="E606" s="5" t="s">
        <v>68</v>
      </c>
      <c r="F606" s="5">
        <v>3</v>
      </c>
      <c r="G606" s="5" t="s">
        <v>26</v>
      </c>
      <c r="H606" s="5">
        <v>7</v>
      </c>
      <c r="I606" s="5">
        <v>1</v>
      </c>
      <c r="J606" s="5">
        <v>4</v>
      </c>
      <c r="K606" s="5" t="s">
        <v>35</v>
      </c>
    </row>
    <row r="607" spans="1:11" ht="15.75" customHeight="1" x14ac:dyDescent="0.25">
      <c r="A607" s="5">
        <v>13</v>
      </c>
      <c r="B607" s="5">
        <v>2023</v>
      </c>
      <c r="C607" s="12">
        <v>45197</v>
      </c>
      <c r="D607" s="5" t="s">
        <v>62</v>
      </c>
      <c r="E607" s="5" t="s">
        <v>68</v>
      </c>
      <c r="F607" s="5">
        <v>3</v>
      </c>
      <c r="G607" s="5" t="s">
        <v>26</v>
      </c>
      <c r="H607" s="5">
        <v>8</v>
      </c>
      <c r="I607" s="5">
        <v>1</v>
      </c>
      <c r="J607" s="5">
        <v>5</v>
      </c>
      <c r="K607" s="5" t="s">
        <v>35</v>
      </c>
    </row>
    <row r="608" spans="1:11" ht="15.75" customHeight="1" x14ac:dyDescent="0.25">
      <c r="A608" s="5">
        <v>13</v>
      </c>
      <c r="B608" s="5">
        <v>2023</v>
      </c>
      <c r="C608" s="12">
        <v>45197</v>
      </c>
      <c r="D608" s="5" t="s">
        <v>62</v>
      </c>
      <c r="E608" s="5" t="s">
        <v>68</v>
      </c>
      <c r="F608" s="5">
        <v>3</v>
      </c>
      <c r="G608" s="5" t="s">
        <v>26</v>
      </c>
      <c r="H608" s="5">
        <v>8</v>
      </c>
      <c r="I608" s="5">
        <v>1</v>
      </c>
      <c r="J608" s="5">
        <v>5</v>
      </c>
      <c r="K608" s="5" t="s">
        <v>54</v>
      </c>
    </row>
    <row r="609" spans="1:11" ht="15.75" customHeight="1" x14ac:dyDescent="0.25">
      <c r="A609" s="5">
        <v>13</v>
      </c>
      <c r="B609" s="5">
        <v>2023</v>
      </c>
      <c r="C609" s="12">
        <v>45197</v>
      </c>
      <c r="D609" s="5" t="s">
        <v>62</v>
      </c>
      <c r="E609" s="5" t="s">
        <v>68</v>
      </c>
      <c r="F609" s="5">
        <v>3</v>
      </c>
      <c r="G609" s="5" t="s">
        <v>26</v>
      </c>
      <c r="H609" s="5">
        <v>9</v>
      </c>
      <c r="I609" s="5">
        <v>1</v>
      </c>
      <c r="J609" s="5">
        <v>7</v>
      </c>
      <c r="K609" s="5" t="s">
        <v>27</v>
      </c>
    </row>
    <row r="610" spans="1:11" ht="15.75" customHeight="1" x14ac:dyDescent="0.25">
      <c r="A610" s="5">
        <v>13</v>
      </c>
      <c r="B610" s="5">
        <v>2023</v>
      </c>
      <c r="C610" s="12">
        <v>45197</v>
      </c>
      <c r="D610" s="5" t="s">
        <v>62</v>
      </c>
      <c r="E610" s="5" t="s">
        <v>68</v>
      </c>
      <c r="F610" s="5">
        <v>3</v>
      </c>
      <c r="G610" s="5" t="s">
        <v>26</v>
      </c>
      <c r="H610" s="5">
        <v>10</v>
      </c>
      <c r="I610" s="5">
        <v>1</v>
      </c>
      <c r="J610" s="11">
        <v>8</v>
      </c>
      <c r="K610" s="5" t="s">
        <v>27</v>
      </c>
    </row>
    <row r="611" spans="1:11" ht="15.75" customHeight="1" x14ac:dyDescent="0.25">
      <c r="A611" s="5">
        <v>13</v>
      </c>
      <c r="B611" s="5">
        <v>2023</v>
      </c>
      <c r="C611" s="12">
        <v>45197</v>
      </c>
      <c r="D611" s="5" t="s">
        <v>62</v>
      </c>
      <c r="E611" s="5" t="s">
        <v>68</v>
      </c>
      <c r="F611" s="5">
        <v>3</v>
      </c>
      <c r="G611" s="5" t="s">
        <v>26</v>
      </c>
      <c r="H611" s="5">
        <v>10</v>
      </c>
      <c r="I611" s="5">
        <v>1</v>
      </c>
      <c r="J611" s="11">
        <v>8</v>
      </c>
      <c r="K611" s="8" t="s">
        <v>48</v>
      </c>
    </row>
    <row r="612" spans="1:11" ht="15.75" customHeight="1" x14ac:dyDescent="0.25">
      <c r="A612" s="5">
        <v>13</v>
      </c>
      <c r="B612" s="5">
        <v>2023</v>
      </c>
      <c r="C612" s="12">
        <v>45197</v>
      </c>
      <c r="D612" s="5" t="s">
        <v>62</v>
      </c>
      <c r="E612" s="5" t="s">
        <v>68</v>
      </c>
      <c r="F612" s="5">
        <v>3</v>
      </c>
      <c r="G612" s="5" t="s">
        <v>26</v>
      </c>
      <c r="H612" s="5">
        <v>11</v>
      </c>
      <c r="I612" s="5">
        <v>1</v>
      </c>
      <c r="J612" s="11">
        <v>8.5</v>
      </c>
      <c r="K612" s="5" t="s">
        <v>32</v>
      </c>
    </row>
    <row r="613" spans="1:11" ht="15.75" customHeight="1" x14ac:dyDescent="0.25">
      <c r="A613" s="5">
        <v>13</v>
      </c>
      <c r="B613" s="5">
        <v>2023</v>
      </c>
      <c r="C613" s="12">
        <v>45197</v>
      </c>
      <c r="D613" s="5" t="s">
        <v>62</v>
      </c>
      <c r="E613" s="5" t="s">
        <v>68</v>
      </c>
      <c r="F613" s="5">
        <v>3</v>
      </c>
      <c r="G613" s="5" t="s">
        <v>26</v>
      </c>
      <c r="H613" s="5">
        <v>11</v>
      </c>
      <c r="I613" s="5">
        <v>1</v>
      </c>
      <c r="J613" s="11">
        <v>8.5</v>
      </c>
      <c r="K613" s="8" t="s">
        <v>48</v>
      </c>
    </row>
    <row r="614" spans="1:11" ht="15.75" customHeight="1" x14ac:dyDescent="0.25">
      <c r="A614" s="11">
        <v>13</v>
      </c>
      <c r="B614" s="11">
        <v>2023</v>
      </c>
      <c r="C614" s="19">
        <v>45197</v>
      </c>
      <c r="D614" s="8" t="s">
        <v>62</v>
      </c>
      <c r="E614" s="8" t="s">
        <v>68</v>
      </c>
      <c r="F614" s="11">
        <v>3</v>
      </c>
      <c r="G614" s="8" t="s">
        <v>26</v>
      </c>
      <c r="H614" s="11">
        <v>12</v>
      </c>
      <c r="I614" s="11">
        <v>1</v>
      </c>
      <c r="J614" s="11">
        <v>9</v>
      </c>
      <c r="K614" s="5" t="s">
        <v>32</v>
      </c>
    </row>
    <row r="615" spans="1:11" ht="15.75" customHeight="1" x14ac:dyDescent="0.25">
      <c r="A615" s="5">
        <v>13</v>
      </c>
      <c r="B615" s="5">
        <v>2023</v>
      </c>
      <c r="C615" s="12">
        <v>45197</v>
      </c>
      <c r="D615" s="5" t="s">
        <v>62</v>
      </c>
      <c r="E615" s="5" t="s">
        <v>68</v>
      </c>
      <c r="F615" s="5">
        <v>3</v>
      </c>
      <c r="G615" s="5" t="s">
        <v>26</v>
      </c>
      <c r="H615" s="5">
        <v>12</v>
      </c>
      <c r="I615" s="5">
        <v>1</v>
      </c>
      <c r="J615" s="11">
        <v>9</v>
      </c>
      <c r="K615" s="8" t="s">
        <v>48</v>
      </c>
    </row>
    <row r="616" spans="1:11" ht="15.75" customHeight="1" x14ac:dyDescent="0.25">
      <c r="A616" s="5">
        <v>13</v>
      </c>
      <c r="B616" s="5">
        <v>2023</v>
      </c>
      <c r="C616" s="12">
        <v>45197</v>
      </c>
      <c r="D616" s="5" t="s">
        <v>62</v>
      </c>
      <c r="E616" s="5" t="s">
        <v>68</v>
      </c>
      <c r="F616" s="5">
        <v>3</v>
      </c>
      <c r="G616" s="5" t="s">
        <v>26</v>
      </c>
      <c r="H616" s="5">
        <v>13</v>
      </c>
      <c r="I616" s="5">
        <v>1</v>
      </c>
      <c r="J616" s="11">
        <v>10</v>
      </c>
      <c r="K616" s="5" t="s">
        <v>27</v>
      </c>
    </row>
    <row r="617" spans="1:11" ht="15.75" customHeight="1" x14ac:dyDescent="0.25">
      <c r="A617" s="5">
        <v>13</v>
      </c>
      <c r="B617" s="5">
        <v>2023</v>
      </c>
      <c r="C617" s="12">
        <v>45197</v>
      </c>
      <c r="D617" s="5" t="s">
        <v>62</v>
      </c>
      <c r="E617" s="5" t="s">
        <v>68</v>
      </c>
      <c r="F617" s="5">
        <v>3</v>
      </c>
      <c r="G617" s="5" t="s">
        <v>26</v>
      </c>
      <c r="H617" s="5">
        <v>13</v>
      </c>
      <c r="I617" s="5">
        <v>1</v>
      </c>
      <c r="J617" s="11">
        <v>10</v>
      </c>
      <c r="K617" s="5" t="s">
        <v>48</v>
      </c>
    </row>
    <row r="618" spans="1:11" ht="15.75" customHeight="1" x14ac:dyDescent="0.25">
      <c r="A618" s="5">
        <v>13</v>
      </c>
      <c r="B618" s="5">
        <v>2023</v>
      </c>
      <c r="C618" s="12">
        <v>45197</v>
      </c>
      <c r="D618" s="5" t="s">
        <v>62</v>
      </c>
      <c r="E618" s="5" t="s">
        <v>68</v>
      </c>
      <c r="F618" s="5">
        <v>3</v>
      </c>
      <c r="G618" s="5" t="s">
        <v>26</v>
      </c>
      <c r="H618" s="5">
        <v>13</v>
      </c>
      <c r="I618" s="5">
        <v>1</v>
      </c>
      <c r="J618" s="11">
        <v>10</v>
      </c>
      <c r="K618" s="8" t="s">
        <v>34</v>
      </c>
    </row>
    <row r="619" spans="1:11" ht="15.75" customHeight="1" x14ac:dyDescent="0.25">
      <c r="A619" s="5">
        <v>13</v>
      </c>
      <c r="B619" s="5">
        <v>2023</v>
      </c>
      <c r="C619" s="12">
        <v>45197</v>
      </c>
      <c r="D619" s="5" t="s">
        <v>62</v>
      </c>
      <c r="E619" s="5" t="s">
        <v>68</v>
      </c>
      <c r="F619" s="5">
        <v>3</v>
      </c>
      <c r="G619" s="5" t="s">
        <v>26</v>
      </c>
      <c r="H619" s="5">
        <v>14</v>
      </c>
      <c r="I619" s="5">
        <v>1</v>
      </c>
      <c r="J619" s="5">
        <v>11</v>
      </c>
      <c r="K619" s="5" t="s">
        <v>49</v>
      </c>
    </row>
    <row r="620" spans="1:11" ht="15.75" customHeight="1" x14ac:dyDescent="0.25">
      <c r="A620" s="5">
        <v>13</v>
      </c>
      <c r="B620" s="5">
        <v>2023</v>
      </c>
      <c r="C620" s="12">
        <v>45197</v>
      </c>
      <c r="D620" s="5" t="s">
        <v>62</v>
      </c>
      <c r="E620" s="5" t="s">
        <v>68</v>
      </c>
      <c r="F620" s="5">
        <v>3</v>
      </c>
      <c r="G620" s="5" t="s">
        <v>26</v>
      </c>
      <c r="H620" s="5">
        <v>14</v>
      </c>
      <c r="I620" s="5">
        <v>1</v>
      </c>
      <c r="J620" s="5">
        <v>11</v>
      </c>
      <c r="K620" s="5" t="s">
        <v>48</v>
      </c>
    </row>
    <row r="621" spans="1:11" ht="15.75" customHeight="1" x14ac:dyDescent="0.25">
      <c r="A621" s="5">
        <v>13</v>
      </c>
      <c r="B621" s="5">
        <v>2023</v>
      </c>
      <c r="C621" s="12">
        <v>45197</v>
      </c>
      <c r="D621" s="5" t="s">
        <v>62</v>
      </c>
      <c r="E621" s="5" t="s">
        <v>68</v>
      </c>
      <c r="F621" s="5">
        <v>3</v>
      </c>
      <c r="G621" s="5" t="s">
        <v>26</v>
      </c>
      <c r="H621" s="5">
        <v>14</v>
      </c>
      <c r="I621" s="5">
        <v>1</v>
      </c>
      <c r="J621" s="5">
        <v>11</v>
      </c>
      <c r="K621" s="5" t="s">
        <v>29</v>
      </c>
    </row>
    <row r="622" spans="1:11" ht="15.75" customHeight="1" x14ac:dyDescent="0.25">
      <c r="A622" s="5">
        <v>13</v>
      </c>
      <c r="B622" s="5">
        <v>2023</v>
      </c>
      <c r="C622" s="12">
        <v>45197</v>
      </c>
      <c r="D622" s="5" t="s">
        <v>62</v>
      </c>
      <c r="E622" s="5" t="s">
        <v>68</v>
      </c>
      <c r="F622" s="5">
        <v>3</v>
      </c>
      <c r="G622" s="5" t="s">
        <v>26</v>
      </c>
      <c r="H622" s="5">
        <v>15</v>
      </c>
      <c r="I622" s="5">
        <v>1</v>
      </c>
      <c r="J622" s="5">
        <v>12</v>
      </c>
      <c r="K622" s="5" t="s">
        <v>27</v>
      </c>
    </row>
    <row r="623" spans="1:11" ht="15.75" customHeight="1" x14ac:dyDescent="0.25">
      <c r="A623" s="5">
        <v>13</v>
      </c>
      <c r="B623" s="5">
        <v>2023</v>
      </c>
      <c r="C623" s="12">
        <v>45197</v>
      </c>
      <c r="D623" s="5" t="s">
        <v>62</v>
      </c>
      <c r="E623" s="5" t="s">
        <v>68</v>
      </c>
      <c r="F623" s="5">
        <v>3</v>
      </c>
      <c r="G623" s="5" t="s">
        <v>26</v>
      </c>
      <c r="H623" s="5">
        <v>15</v>
      </c>
      <c r="I623" s="5">
        <v>1</v>
      </c>
      <c r="J623" s="5">
        <v>12</v>
      </c>
      <c r="K623" s="5" t="s">
        <v>34</v>
      </c>
    </row>
    <row r="624" spans="1:11" ht="15.75" customHeight="1" x14ac:dyDescent="0.25">
      <c r="A624" s="5">
        <v>13</v>
      </c>
      <c r="B624" s="5">
        <v>2023</v>
      </c>
      <c r="C624" s="12">
        <v>45197</v>
      </c>
      <c r="D624" s="5" t="s">
        <v>62</v>
      </c>
      <c r="E624" s="5" t="s">
        <v>68</v>
      </c>
      <c r="F624" s="5">
        <v>3</v>
      </c>
      <c r="G624" s="5" t="s">
        <v>26</v>
      </c>
      <c r="H624" s="5">
        <v>15</v>
      </c>
      <c r="I624" s="5">
        <v>1</v>
      </c>
      <c r="J624" s="5">
        <v>12</v>
      </c>
      <c r="K624" s="5" t="s">
        <v>54</v>
      </c>
    </row>
    <row r="625" spans="1:11" ht="15.75" customHeight="1" x14ac:dyDescent="0.25">
      <c r="A625" s="5">
        <v>13</v>
      </c>
      <c r="B625" s="5">
        <v>2023</v>
      </c>
      <c r="C625" s="12">
        <v>45197</v>
      </c>
      <c r="D625" s="5" t="s">
        <v>62</v>
      </c>
      <c r="E625" s="5" t="s">
        <v>68</v>
      </c>
      <c r="F625" s="5">
        <v>3</v>
      </c>
      <c r="G625" s="5" t="s">
        <v>26</v>
      </c>
      <c r="H625" s="5">
        <v>15</v>
      </c>
      <c r="I625" s="5">
        <v>1</v>
      </c>
      <c r="J625" s="5">
        <v>12</v>
      </c>
      <c r="K625" s="5" t="s">
        <v>30</v>
      </c>
    </row>
    <row r="626" spans="1:11" ht="15.75" customHeight="1" x14ac:dyDescent="0.25">
      <c r="A626" s="5">
        <v>13</v>
      </c>
      <c r="B626" s="5">
        <v>2023</v>
      </c>
      <c r="C626" s="12">
        <v>45197</v>
      </c>
      <c r="D626" s="5" t="s">
        <v>62</v>
      </c>
      <c r="E626" s="5" t="s">
        <v>68</v>
      </c>
      <c r="F626" s="5">
        <v>3</v>
      </c>
      <c r="G626" s="5" t="s">
        <v>26</v>
      </c>
      <c r="H626" s="5">
        <v>1</v>
      </c>
      <c r="I626" s="5">
        <v>2</v>
      </c>
      <c r="J626" s="5">
        <v>0</v>
      </c>
      <c r="K626" s="5" t="s">
        <v>27</v>
      </c>
    </row>
    <row r="627" spans="1:11" ht="15.75" customHeight="1" x14ac:dyDescent="0.25">
      <c r="A627" s="5">
        <v>13</v>
      </c>
      <c r="B627" s="5">
        <v>2023</v>
      </c>
      <c r="C627" s="12">
        <v>45197</v>
      </c>
      <c r="D627" s="5" t="s">
        <v>62</v>
      </c>
      <c r="E627" s="5" t="s">
        <v>68</v>
      </c>
      <c r="F627" s="5">
        <v>3</v>
      </c>
      <c r="G627" s="5" t="s">
        <v>26</v>
      </c>
      <c r="H627" s="5">
        <v>2</v>
      </c>
      <c r="I627" s="5">
        <v>2</v>
      </c>
      <c r="J627" s="5">
        <v>1</v>
      </c>
      <c r="K627" s="5" t="s">
        <v>27</v>
      </c>
    </row>
    <row r="628" spans="1:11" ht="15.75" customHeight="1" x14ac:dyDescent="0.25">
      <c r="A628" s="5">
        <v>13</v>
      </c>
      <c r="B628" s="5">
        <v>2023</v>
      </c>
      <c r="C628" s="12">
        <v>45197</v>
      </c>
      <c r="D628" s="5" t="s">
        <v>62</v>
      </c>
      <c r="E628" s="5" t="s">
        <v>68</v>
      </c>
      <c r="F628" s="5">
        <v>3</v>
      </c>
      <c r="G628" s="5" t="s">
        <v>26</v>
      </c>
      <c r="H628" s="5">
        <v>3</v>
      </c>
      <c r="I628" s="5">
        <v>2</v>
      </c>
      <c r="J628" s="5">
        <v>1.5</v>
      </c>
      <c r="K628" s="5" t="s">
        <v>27</v>
      </c>
    </row>
    <row r="629" spans="1:11" ht="15.75" customHeight="1" x14ac:dyDescent="0.25">
      <c r="A629" s="5">
        <v>13</v>
      </c>
      <c r="B629" s="5">
        <v>2023</v>
      </c>
      <c r="C629" s="12">
        <v>45197</v>
      </c>
      <c r="D629" s="5" t="s">
        <v>62</v>
      </c>
      <c r="E629" s="5" t="s">
        <v>68</v>
      </c>
      <c r="F629" s="5">
        <v>3</v>
      </c>
      <c r="G629" s="5" t="s">
        <v>26</v>
      </c>
      <c r="H629" s="5">
        <v>3</v>
      </c>
      <c r="I629" s="5">
        <v>2</v>
      </c>
      <c r="J629" s="5">
        <v>1.5</v>
      </c>
      <c r="K629" s="5" t="s">
        <v>30</v>
      </c>
    </row>
    <row r="630" spans="1:11" ht="15.75" customHeight="1" x14ac:dyDescent="0.25">
      <c r="A630" s="5">
        <v>13</v>
      </c>
      <c r="B630" s="5">
        <v>2023</v>
      </c>
      <c r="C630" s="12">
        <v>45197</v>
      </c>
      <c r="D630" s="5" t="s">
        <v>62</v>
      </c>
      <c r="E630" s="5" t="s">
        <v>68</v>
      </c>
      <c r="F630" s="5">
        <v>3</v>
      </c>
      <c r="G630" s="5" t="s">
        <v>26</v>
      </c>
      <c r="H630" s="5">
        <v>4</v>
      </c>
      <c r="I630" s="5">
        <v>2</v>
      </c>
      <c r="J630" s="5">
        <v>2</v>
      </c>
      <c r="K630" s="5" t="s">
        <v>32</v>
      </c>
    </row>
    <row r="631" spans="1:11" ht="15.75" customHeight="1" x14ac:dyDescent="0.25">
      <c r="A631" s="5">
        <v>13</v>
      </c>
      <c r="B631" s="5">
        <v>2023</v>
      </c>
      <c r="C631" s="12">
        <v>45197</v>
      </c>
      <c r="D631" s="5" t="s">
        <v>62</v>
      </c>
      <c r="E631" s="5" t="s">
        <v>68</v>
      </c>
      <c r="F631" s="5">
        <v>3</v>
      </c>
      <c r="G631" s="5" t="s">
        <v>26</v>
      </c>
      <c r="H631" s="5">
        <v>4</v>
      </c>
      <c r="I631" s="5">
        <v>2</v>
      </c>
      <c r="J631" s="5">
        <v>2</v>
      </c>
      <c r="K631" s="5" t="s">
        <v>34</v>
      </c>
    </row>
    <row r="632" spans="1:11" ht="15.75" customHeight="1" x14ac:dyDescent="0.25">
      <c r="A632" s="5">
        <v>13</v>
      </c>
      <c r="B632" s="5">
        <v>2023</v>
      </c>
      <c r="C632" s="12">
        <v>45197</v>
      </c>
      <c r="D632" s="5" t="s">
        <v>62</v>
      </c>
      <c r="E632" s="5" t="s">
        <v>68</v>
      </c>
      <c r="F632" s="5">
        <v>3</v>
      </c>
      <c r="G632" s="5" t="s">
        <v>26</v>
      </c>
      <c r="H632" s="5">
        <v>5</v>
      </c>
      <c r="I632" s="5">
        <v>2</v>
      </c>
      <c r="J632" s="5">
        <v>3</v>
      </c>
      <c r="K632" s="5" t="s">
        <v>35</v>
      </c>
    </row>
    <row r="633" spans="1:11" ht="15.75" customHeight="1" x14ac:dyDescent="0.25">
      <c r="A633" s="5">
        <v>13</v>
      </c>
      <c r="B633" s="5">
        <v>2023</v>
      </c>
      <c r="C633" s="12">
        <v>45197</v>
      </c>
      <c r="D633" s="5" t="s">
        <v>62</v>
      </c>
      <c r="E633" s="5" t="s">
        <v>68</v>
      </c>
      <c r="F633" s="5">
        <v>3</v>
      </c>
      <c r="G633" s="5" t="s">
        <v>26</v>
      </c>
      <c r="H633" s="5">
        <v>6</v>
      </c>
      <c r="I633" s="5">
        <v>2</v>
      </c>
      <c r="J633" s="5">
        <v>3.5</v>
      </c>
      <c r="K633" s="5" t="s">
        <v>27</v>
      </c>
    </row>
    <row r="634" spans="1:11" ht="15.75" customHeight="1" x14ac:dyDescent="0.25">
      <c r="A634" s="5">
        <v>13</v>
      </c>
      <c r="B634" s="5">
        <v>2023</v>
      </c>
      <c r="C634" s="12">
        <v>45197</v>
      </c>
      <c r="D634" s="5" t="s">
        <v>62</v>
      </c>
      <c r="E634" s="5" t="s">
        <v>68</v>
      </c>
      <c r="F634" s="5">
        <v>3</v>
      </c>
      <c r="G634" s="5" t="s">
        <v>26</v>
      </c>
      <c r="H634" s="5">
        <v>7</v>
      </c>
      <c r="I634" s="5">
        <v>2</v>
      </c>
      <c r="J634" s="5">
        <v>4</v>
      </c>
      <c r="K634" s="5" t="s">
        <v>35</v>
      </c>
    </row>
    <row r="635" spans="1:11" ht="15.75" customHeight="1" x14ac:dyDescent="0.25">
      <c r="A635" s="5">
        <v>13</v>
      </c>
      <c r="B635" s="5">
        <v>2023</v>
      </c>
      <c r="C635" s="12">
        <v>45197</v>
      </c>
      <c r="D635" s="5" t="s">
        <v>62</v>
      </c>
      <c r="E635" s="5" t="s">
        <v>68</v>
      </c>
      <c r="F635" s="5">
        <v>3</v>
      </c>
      <c r="G635" s="5" t="s">
        <v>26</v>
      </c>
      <c r="H635" s="5">
        <v>8</v>
      </c>
      <c r="I635" s="5">
        <v>2</v>
      </c>
      <c r="J635" s="5">
        <v>5</v>
      </c>
      <c r="K635" s="5" t="s">
        <v>35</v>
      </c>
    </row>
    <row r="636" spans="1:11" ht="15.75" customHeight="1" x14ac:dyDescent="0.25">
      <c r="A636" s="5">
        <v>13</v>
      </c>
      <c r="B636" s="5">
        <v>2023</v>
      </c>
      <c r="C636" s="12">
        <v>45197</v>
      </c>
      <c r="D636" s="5" t="s">
        <v>62</v>
      </c>
      <c r="E636" s="5" t="s">
        <v>68</v>
      </c>
      <c r="F636" s="5">
        <v>3</v>
      </c>
      <c r="G636" s="5" t="s">
        <v>26</v>
      </c>
      <c r="H636" s="5">
        <v>9</v>
      </c>
      <c r="I636" s="5">
        <v>2</v>
      </c>
      <c r="J636" s="5">
        <v>7</v>
      </c>
      <c r="K636" s="5" t="s">
        <v>27</v>
      </c>
    </row>
    <row r="637" spans="1:11" ht="15.75" customHeight="1" x14ac:dyDescent="0.25">
      <c r="A637" s="5">
        <v>13</v>
      </c>
      <c r="B637" s="5">
        <v>2023</v>
      </c>
      <c r="C637" s="12">
        <v>45197</v>
      </c>
      <c r="D637" s="5" t="s">
        <v>62</v>
      </c>
      <c r="E637" s="5" t="s">
        <v>68</v>
      </c>
      <c r="F637" s="5">
        <v>3</v>
      </c>
      <c r="G637" s="5" t="s">
        <v>26</v>
      </c>
      <c r="H637" s="5">
        <v>10</v>
      </c>
      <c r="I637" s="5">
        <v>2</v>
      </c>
      <c r="J637" s="5">
        <v>8</v>
      </c>
      <c r="K637" s="5" t="s">
        <v>58</v>
      </c>
    </row>
    <row r="638" spans="1:11" ht="15.75" customHeight="1" x14ac:dyDescent="0.25">
      <c r="A638" s="5">
        <v>13</v>
      </c>
      <c r="B638" s="5">
        <v>2023</v>
      </c>
      <c r="C638" s="12">
        <v>45197</v>
      </c>
      <c r="D638" s="5" t="s">
        <v>62</v>
      </c>
      <c r="E638" s="5" t="s">
        <v>68</v>
      </c>
      <c r="F638" s="5">
        <v>3</v>
      </c>
      <c r="G638" s="5" t="s">
        <v>26</v>
      </c>
      <c r="H638" s="5">
        <v>10</v>
      </c>
      <c r="I638" s="5">
        <v>2</v>
      </c>
      <c r="J638" s="5">
        <v>8</v>
      </c>
      <c r="K638" s="5" t="s">
        <v>54</v>
      </c>
    </row>
    <row r="639" spans="1:11" ht="15.75" customHeight="1" x14ac:dyDescent="0.25">
      <c r="A639" s="5">
        <v>13</v>
      </c>
      <c r="B639" s="5">
        <v>2023</v>
      </c>
      <c r="C639" s="12">
        <v>45197</v>
      </c>
      <c r="D639" s="5" t="s">
        <v>62</v>
      </c>
      <c r="E639" s="5" t="s">
        <v>68</v>
      </c>
      <c r="F639" s="5">
        <v>3</v>
      </c>
      <c r="G639" s="5" t="s">
        <v>26</v>
      </c>
      <c r="H639" s="5">
        <v>11</v>
      </c>
      <c r="I639" s="5">
        <v>2</v>
      </c>
      <c r="J639" s="5">
        <v>8.5</v>
      </c>
      <c r="K639" s="5" t="s">
        <v>35</v>
      </c>
    </row>
    <row r="640" spans="1:11" ht="15.75" customHeight="1" x14ac:dyDescent="0.25">
      <c r="A640" s="5">
        <v>13</v>
      </c>
      <c r="B640" s="5">
        <v>2023</v>
      </c>
      <c r="C640" s="12">
        <v>45197</v>
      </c>
      <c r="D640" s="5" t="s">
        <v>62</v>
      </c>
      <c r="E640" s="5" t="s">
        <v>68</v>
      </c>
      <c r="F640" s="5">
        <v>3</v>
      </c>
      <c r="G640" s="5" t="s">
        <v>26</v>
      </c>
      <c r="H640" s="5">
        <v>12</v>
      </c>
      <c r="I640" s="5">
        <v>2</v>
      </c>
      <c r="J640" s="5">
        <v>9</v>
      </c>
      <c r="K640" s="5" t="s">
        <v>35</v>
      </c>
    </row>
    <row r="641" spans="1:11" ht="15.75" customHeight="1" x14ac:dyDescent="0.25">
      <c r="A641" s="5">
        <v>13</v>
      </c>
      <c r="B641" s="5">
        <v>2023</v>
      </c>
      <c r="C641" s="12">
        <v>45197</v>
      </c>
      <c r="D641" s="5" t="s">
        <v>62</v>
      </c>
      <c r="E641" s="5" t="s">
        <v>68</v>
      </c>
      <c r="F641" s="5">
        <v>3</v>
      </c>
      <c r="G641" s="5" t="s">
        <v>26</v>
      </c>
      <c r="H641" s="5">
        <v>13</v>
      </c>
      <c r="I641" s="5">
        <v>2</v>
      </c>
      <c r="J641" s="5">
        <v>10</v>
      </c>
      <c r="K641" s="5" t="s">
        <v>27</v>
      </c>
    </row>
    <row r="642" spans="1:11" ht="15.75" customHeight="1" x14ac:dyDescent="0.25">
      <c r="A642" s="5">
        <v>13</v>
      </c>
      <c r="B642" s="5">
        <v>2023</v>
      </c>
      <c r="C642" s="12">
        <v>45197</v>
      </c>
      <c r="D642" s="5" t="s">
        <v>62</v>
      </c>
      <c r="E642" s="5" t="s">
        <v>68</v>
      </c>
      <c r="F642" s="5">
        <v>3</v>
      </c>
      <c r="G642" s="5" t="s">
        <v>26</v>
      </c>
      <c r="H642" s="5">
        <v>14</v>
      </c>
      <c r="I642" s="5">
        <v>2</v>
      </c>
      <c r="J642" s="5">
        <v>11</v>
      </c>
      <c r="K642" s="5" t="s">
        <v>27</v>
      </c>
    </row>
    <row r="643" spans="1:11" ht="15.75" customHeight="1" x14ac:dyDescent="0.25">
      <c r="A643" s="5">
        <v>13</v>
      </c>
      <c r="B643" s="5">
        <v>2023</v>
      </c>
      <c r="C643" s="12">
        <v>45197</v>
      </c>
      <c r="D643" s="5" t="s">
        <v>62</v>
      </c>
      <c r="E643" s="5" t="s">
        <v>68</v>
      </c>
      <c r="F643" s="5">
        <v>3</v>
      </c>
      <c r="G643" s="5" t="s">
        <v>26</v>
      </c>
      <c r="H643" s="5">
        <v>15</v>
      </c>
      <c r="I643" s="5">
        <v>2</v>
      </c>
      <c r="J643" s="5">
        <v>12</v>
      </c>
      <c r="K643" s="5" t="s">
        <v>27</v>
      </c>
    </row>
    <row r="644" spans="1:11" ht="15.75" customHeight="1" x14ac:dyDescent="0.25">
      <c r="A644" s="5">
        <v>14</v>
      </c>
      <c r="B644" s="5">
        <v>2023</v>
      </c>
      <c r="C644" s="12">
        <v>45197</v>
      </c>
      <c r="D644" s="5" t="s">
        <v>62</v>
      </c>
      <c r="E644" s="5" t="s">
        <v>68</v>
      </c>
      <c r="F644" s="5">
        <v>3</v>
      </c>
      <c r="G644" s="5" t="s">
        <v>36</v>
      </c>
      <c r="H644" s="5">
        <v>1</v>
      </c>
      <c r="I644" s="5">
        <v>1</v>
      </c>
      <c r="J644" s="5">
        <v>0</v>
      </c>
      <c r="K644" s="5" t="s">
        <v>35</v>
      </c>
    </row>
    <row r="645" spans="1:11" ht="15.75" customHeight="1" x14ac:dyDescent="0.25">
      <c r="A645" s="5">
        <v>14</v>
      </c>
      <c r="B645" s="5">
        <v>2023</v>
      </c>
      <c r="C645" s="12">
        <v>45197</v>
      </c>
      <c r="D645" s="5" t="s">
        <v>62</v>
      </c>
      <c r="E645" s="5" t="s">
        <v>68</v>
      </c>
      <c r="F645" s="5">
        <v>3</v>
      </c>
      <c r="G645" s="5" t="s">
        <v>36</v>
      </c>
      <c r="H645" s="5">
        <v>2</v>
      </c>
      <c r="I645" s="5">
        <v>1</v>
      </c>
      <c r="J645" s="5">
        <v>1</v>
      </c>
      <c r="K645" s="5" t="s">
        <v>35</v>
      </c>
    </row>
    <row r="646" spans="1:11" ht="15.75" customHeight="1" x14ac:dyDescent="0.25">
      <c r="A646" s="5">
        <v>14</v>
      </c>
      <c r="B646" s="5">
        <v>2023</v>
      </c>
      <c r="C646" s="12">
        <v>45197</v>
      </c>
      <c r="D646" s="5" t="s">
        <v>62</v>
      </c>
      <c r="E646" s="5" t="s">
        <v>68</v>
      </c>
      <c r="F646" s="5">
        <v>3</v>
      </c>
      <c r="G646" s="5" t="s">
        <v>36</v>
      </c>
      <c r="H646" s="5">
        <v>3</v>
      </c>
      <c r="I646" s="5">
        <v>1</v>
      </c>
      <c r="J646" s="5">
        <v>1.5</v>
      </c>
      <c r="K646" s="5" t="s">
        <v>27</v>
      </c>
    </row>
    <row r="647" spans="1:11" ht="15.75" customHeight="1" x14ac:dyDescent="0.25">
      <c r="A647" s="5">
        <v>14</v>
      </c>
      <c r="B647" s="5">
        <v>2023</v>
      </c>
      <c r="C647" s="12">
        <v>45197</v>
      </c>
      <c r="D647" s="5" t="s">
        <v>62</v>
      </c>
      <c r="E647" s="5" t="s">
        <v>68</v>
      </c>
      <c r="F647" s="5">
        <v>3</v>
      </c>
      <c r="G647" s="5" t="s">
        <v>36</v>
      </c>
      <c r="H647" s="5">
        <v>4</v>
      </c>
      <c r="I647" s="5">
        <v>1</v>
      </c>
      <c r="J647" s="5">
        <v>2</v>
      </c>
      <c r="K647" s="5" t="s">
        <v>27</v>
      </c>
    </row>
    <row r="648" spans="1:11" ht="15.75" customHeight="1" x14ac:dyDescent="0.25">
      <c r="A648" s="5">
        <v>14</v>
      </c>
      <c r="B648" s="5">
        <v>2023</v>
      </c>
      <c r="C648" s="12">
        <v>45197</v>
      </c>
      <c r="D648" s="5" t="s">
        <v>62</v>
      </c>
      <c r="E648" s="5" t="s">
        <v>68</v>
      </c>
      <c r="F648" s="5">
        <v>3</v>
      </c>
      <c r="G648" s="5" t="s">
        <v>36</v>
      </c>
      <c r="H648" s="5">
        <v>5</v>
      </c>
      <c r="I648" s="5">
        <v>1</v>
      </c>
      <c r="J648" s="5">
        <v>3</v>
      </c>
      <c r="K648" s="5" t="s">
        <v>35</v>
      </c>
    </row>
    <row r="649" spans="1:11" ht="15.75" customHeight="1" x14ac:dyDescent="0.25">
      <c r="A649" s="5">
        <v>14</v>
      </c>
      <c r="B649" s="5">
        <v>2023</v>
      </c>
      <c r="C649" s="12">
        <v>45197</v>
      </c>
      <c r="D649" s="5" t="s">
        <v>62</v>
      </c>
      <c r="E649" s="5" t="s">
        <v>68</v>
      </c>
      <c r="F649" s="5">
        <v>3</v>
      </c>
      <c r="G649" s="5" t="s">
        <v>36</v>
      </c>
      <c r="H649" s="5">
        <v>6</v>
      </c>
      <c r="I649" s="5">
        <v>1</v>
      </c>
      <c r="J649" s="5">
        <v>3.5</v>
      </c>
      <c r="K649" s="5" t="s">
        <v>35</v>
      </c>
    </row>
    <row r="650" spans="1:11" ht="15.75" customHeight="1" x14ac:dyDescent="0.25">
      <c r="A650" s="5">
        <v>14</v>
      </c>
      <c r="B650" s="5">
        <v>2023</v>
      </c>
      <c r="C650" s="12">
        <v>45197</v>
      </c>
      <c r="D650" s="5" t="s">
        <v>62</v>
      </c>
      <c r="E650" s="5" t="s">
        <v>68</v>
      </c>
      <c r="F650" s="5">
        <v>3</v>
      </c>
      <c r="G650" s="5" t="s">
        <v>36</v>
      </c>
      <c r="H650" s="5">
        <v>7</v>
      </c>
      <c r="I650" s="5">
        <v>1</v>
      </c>
      <c r="J650" s="5">
        <v>4</v>
      </c>
      <c r="K650" s="5" t="s">
        <v>27</v>
      </c>
    </row>
    <row r="651" spans="1:11" ht="15.75" customHeight="1" x14ac:dyDescent="0.25">
      <c r="A651" s="5">
        <v>14</v>
      </c>
      <c r="B651" s="5">
        <v>2023</v>
      </c>
      <c r="C651" s="12">
        <v>45197</v>
      </c>
      <c r="D651" s="5" t="s">
        <v>62</v>
      </c>
      <c r="E651" s="5" t="s">
        <v>68</v>
      </c>
      <c r="F651" s="5">
        <v>3</v>
      </c>
      <c r="G651" s="5" t="s">
        <v>36</v>
      </c>
      <c r="H651" s="5">
        <v>8</v>
      </c>
      <c r="I651" s="5">
        <v>1</v>
      </c>
      <c r="J651" s="5">
        <v>5</v>
      </c>
      <c r="K651" s="5" t="s">
        <v>35</v>
      </c>
    </row>
    <row r="652" spans="1:11" ht="15.75" customHeight="1" x14ac:dyDescent="0.25">
      <c r="A652" s="5">
        <v>14</v>
      </c>
      <c r="B652" s="5">
        <v>2023</v>
      </c>
      <c r="C652" s="12">
        <v>45197</v>
      </c>
      <c r="D652" s="5" t="s">
        <v>62</v>
      </c>
      <c r="E652" s="5" t="s">
        <v>68</v>
      </c>
      <c r="F652" s="5">
        <v>3</v>
      </c>
      <c r="G652" s="5" t="s">
        <v>36</v>
      </c>
      <c r="H652" s="5">
        <v>9</v>
      </c>
      <c r="I652" s="5">
        <v>1</v>
      </c>
      <c r="J652" s="5">
        <v>7</v>
      </c>
      <c r="K652" s="5" t="s">
        <v>35</v>
      </c>
    </row>
    <row r="653" spans="1:11" ht="15.75" customHeight="1" x14ac:dyDescent="0.25">
      <c r="A653" s="5">
        <v>14</v>
      </c>
      <c r="B653" s="5">
        <v>2023</v>
      </c>
      <c r="C653" s="12">
        <v>45197</v>
      </c>
      <c r="D653" s="5" t="s">
        <v>62</v>
      </c>
      <c r="E653" s="5" t="s">
        <v>68</v>
      </c>
      <c r="F653" s="5">
        <v>3</v>
      </c>
      <c r="G653" s="5" t="s">
        <v>36</v>
      </c>
      <c r="H653" s="5">
        <v>10</v>
      </c>
      <c r="I653" s="5">
        <v>1</v>
      </c>
      <c r="J653" s="5">
        <v>8</v>
      </c>
      <c r="K653" s="5" t="s">
        <v>27</v>
      </c>
    </row>
    <row r="654" spans="1:11" ht="15.75" customHeight="1" x14ac:dyDescent="0.25">
      <c r="A654" s="5">
        <v>14</v>
      </c>
      <c r="B654" s="5">
        <v>2023</v>
      </c>
      <c r="C654" s="12">
        <v>45197</v>
      </c>
      <c r="D654" s="5" t="s">
        <v>62</v>
      </c>
      <c r="E654" s="5" t="s">
        <v>68</v>
      </c>
      <c r="F654" s="5">
        <v>3</v>
      </c>
      <c r="G654" s="5" t="s">
        <v>36</v>
      </c>
      <c r="H654" s="5">
        <v>11</v>
      </c>
      <c r="I654" s="5">
        <v>1</v>
      </c>
      <c r="J654" s="5">
        <v>8.5</v>
      </c>
      <c r="K654" s="5" t="s">
        <v>35</v>
      </c>
    </row>
    <row r="655" spans="1:11" ht="15.75" customHeight="1" x14ac:dyDescent="0.25">
      <c r="A655" s="5">
        <v>14</v>
      </c>
      <c r="B655" s="5">
        <v>2023</v>
      </c>
      <c r="C655" s="12">
        <v>45197</v>
      </c>
      <c r="D655" s="5" t="s">
        <v>62</v>
      </c>
      <c r="E655" s="5" t="s">
        <v>68</v>
      </c>
      <c r="F655" s="5">
        <v>3</v>
      </c>
      <c r="G655" s="5" t="s">
        <v>36</v>
      </c>
      <c r="H655" s="5">
        <v>12</v>
      </c>
      <c r="I655" s="5">
        <v>1</v>
      </c>
      <c r="J655" s="5">
        <v>9</v>
      </c>
      <c r="K655" s="5" t="s">
        <v>35</v>
      </c>
    </row>
    <row r="656" spans="1:11" ht="15.75" customHeight="1" x14ac:dyDescent="0.25">
      <c r="A656" s="5">
        <v>14</v>
      </c>
      <c r="B656" s="5">
        <v>2023</v>
      </c>
      <c r="C656" s="12">
        <v>45197</v>
      </c>
      <c r="D656" s="5" t="s">
        <v>62</v>
      </c>
      <c r="E656" s="5" t="s">
        <v>68</v>
      </c>
      <c r="F656" s="5">
        <v>3</v>
      </c>
      <c r="G656" s="5" t="s">
        <v>36</v>
      </c>
      <c r="H656" s="5">
        <v>13</v>
      </c>
      <c r="I656" s="5">
        <v>1</v>
      </c>
      <c r="J656" s="5">
        <v>10</v>
      </c>
      <c r="K656" s="5" t="s">
        <v>35</v>
      </c>
    </row>
    <row r="657" spans="1:11" ht="15.75" customHeight="1" x14ac:dyDescent="0.25">
      <c r="A657" s="5">
        <v>14</v>
      </c>
      <c r="B657" s="5">
        <v>2023</v>
      </c>
      <c r="C657" s="12">
        <v>45197</v>
      </c>
      <c r="D657" s="5" t="s">
        <v>62</v>
      </c>
      <c r="E657" s="5" t="s">
        <v>68</v>
      </c>
      <c r="F657" s="5">
        <v>3</v>
      </c>
      <c r="G657" s="5" t="s">
        <v>36</v>
      </c>
      <c r="H657" s="5">
        <v>13</v>
      </c>
      <c r="I657" s="5">
        <v>1</v>
      </c>
      <c r="J657" s="5">
        <v>10</v>
      </c>
      <c r="K657" s="5" t="s">
        <v>44</v>
      </c>
    </row>
    <row r="658" spans="1:11" ht="15.75" customHeight="1" x14ac:dyDescent="0.25">
      <c r="A658" s="5">
        <v>14</v>
      </c>
      <c r="B658" s="5">
        <v>2023</v>
      </c>
      <c r="C658" s="12">
        <v>45197</v>
      </c>
      <c r="D658" s="5" t="s">
        <v>62</v>
      </c>
      <c r="E658" s="5" t="s">
        <v>68</v>
      </c>
      <c r="F658" s="5">
        <v>3</v>
      </c>
      <c r="G658" s="5" t="s">
        <v>36</v>
      </c>
      <c r="H658" s="5">
        <v>14</v>
      </c>
      <c r="I658" s="5">
        <v>1</v>
      </c>
      <c r="J658" s="5">
        <v>11</v>
      </c>
      <c r="K658" s="5" t="s">
        <v>49</v>
      </c>
    </row>
    <row r="659" spans="1:11" ht="15.75" customHeight="1" x14ac:dyDescent="0.25">
      <c r="A659" s="5">
        <v>14</v>
      </c>
      <c r="B659" s="5">
        <v>2023</v>
      </c>
      <c r="C659" s="12">
        <v>45197</v>
      </c>
      <c r="D659" s="5" t="s">
        <v>62</v>
      </c>
      <c r="E659" s="5" t="s">
        <v>68</v>
      </c>
      <c r="F659" s="5">
        <v>3</v>
      </c>
      <c r="G659" s="5" t="s">
        <v>36</v>
      </c>
      <c r="H659" s="5">
        <v>14</v>
      </c>
      <c r="I659" s="5">
        <v>1</v>
      </c>
      <c r="J659" s="5">
        <v>11</v>
      </c>
      <c r="K659" s="5" t="s">
        <v>30</v>
      </c>
    </row>
    <row r="660" spans="1:11" ht="15.75" customHeight="1" x14ac:dyDescent="0.25">
      <c r="A660" s="5">
        <v>14</v>
      </c>
      <c r="B660" s="5">
        <v>2023</v>
      </c>
      <c r="C660" s="12">
        <v>45197</v>
      </c>
      <c r="D660" s="5" t="s">
        <v>62</v>
      </c>
      <c r="E660" s="5" t="s">
        <v>68</v>
      </c>
      <c r="F660" s="5">
        <v>3</v>
      </c>
      <c r="G660" s="5" t="s">
        <v>36</v>
      </c>
      <c r="H660" s="5">
        <v>15</v>
      </c>
      <c r="I660" s="5">
        <v>1</v>
      </c>
      <c r="J660" s="5">
        <v>12</v>
      </c>
      <c r="K660" s="5" t="s">
        <v>35</v>
      </c>
    </row>
    <row r="661" spans="1:11" ht="15.75" customHeight="1" x14ac:dyDescent="0.25">
      <c r="A661" s="5">
        <v>14</v>
      </c>
      <c r="B661" s="5">
        <v>2023</v>
      </c>
      <c r="C661" s="12">
        <v>45197</v>
      </c>
      <c r="D661" s="5" t="s">
        <v>62</v>
      </c>
      <c r="E661" s="5" t="s">
        <v>68</v>
      </c>
      <c r="F661" s="5">
        <v>3</v>
      </c>
      <c r="G661" s="5" t="s">
        <v>36</v>
      </c>
      <c r="H661" s="5">
        <v>1</v>
      </c>
      <c r="I661" s="5">
        <v>2</v>
      </c>
      <c r="J661" s="5">
        <v>0</v>
      </c>
      <c r="K661" s="5" t="s">
        <v>35</v>
      </c>
    </row>
    <row r="662" spans="1:11" ht="15.75" customHeight="1" x14ac:dyDescent="0.25">
      <c r="A662" s="5">
        <v>14</v>
      </c>
      <c r="B662" s="5">
        <v>2023</v>
      </c>
      <c r="C662" s="12">
        <v>45197</v>
      </c>
      <c r="D662" s="5" t="s">
        <v>62</v>
      </c>
      <c r="E662" s="5" t="s">
        <v>68</v>
      </c>
      <c r="F662" s="5">
        <v>3</v>
      </c>
      <c r="G662" s="5" t="s">
        <v>36</v>
      </c>
      <c r="H662" s="5">
        <v>2</v>
      </c>
      <c r="I662" s="5">
        <v>2</v>
      </c>
      <c r="J662" s="5">
        <v>1</v>
      </c>
      <c r="K662" s="5" t="s">
        <v>27</v>
      </c>
    </row>
    <row r="663" spans="1:11" ht="15.75" customHeight="1" x14ac:dyDescent="0.25">
      <c r="A663" s="5">
        <v>14</v>
      </c>
      <c r="B663" s="5">
        <v>2023</v>
      </c>
      <c r="C663" s="12">
        <v>45197</v>
      </c>
      <c r="D663" s="5" t="s">
        <v>62</v>
      </c>
      <c r="E663" s="5" t="s">
        <v>68</v>
      </c>
      <c r="F663" s="5">
        <v>3</v>
      </c>
      <c r="G663" s="5" t="s">
        <v>36</v>
      </c>
      <c r="H663" s="5">
        <v>2</v>
      </c>
      <c r="I663" s="5">
        <v>2</v>
      </c>
      <c r="J663" s="5">
        <v>1</v>
      </c>
      <c r="K663" s="5" t="s">
        <v>54</v>
      </c>
    </row>
    <row r="664" spans="1:11" ht="15.75" customHeight="1" x14ac:dyDescent="0.25">
      <c r="A664" s="5">
        <v>14</v>
      </c>
      <c r="B664" s="5">
        <v>2023</v>
      </c>
      <c r="C664" s="12">
        <v>45197</v>
      </c>
      <c r="D664" s="5" t="s">
        <v>62</v>
      </c>
      <c r="E664" s="5" t="s">
        <v>68</v>
      </c>
      <c r="F664" s="5">
        <v>3</v>
      </c>
      <c r="G664" s="5" t="s">
        <v>36</v>
      </c>
      <c r="H664" s="5">
        <v>3</v>
      </c>
      <c r="I664" s="5">
        <v>2</v>
      </c>
      <c r="J664" s="5">
        <v>1.5</v>
      </c>
      <c r="K664" s="5" t="s">
        <v>27</v>
      </c>
    </row>
    <row r="665" spans="1:11" ht="15.75" customHeight="1" x14ac:dyDescent="0.25">
      <c r="A665" s="5">
        <v>14</v>
      </c>
      <c r="B665" s="5">
        <v>2023</v>
      </c>
      <c r="C665" s="12">
        <v>45197</v>
      </c>
      <c r="D665" s="5" t="s">
        <v>62</v>
      </c>
      <c r="E665" s="5" t="s">
        <v>68</v>
      </c>
      <c r="F665" s="5">
        <v>3</v>
      </c>
      <c r="G665" s="5" t="s">
        <v>36</v>
      </c>
      <c r="H665" s="5">
        <v>4</v>
      </c>
      <c r="I665" s="5">
        <v>2</v>
      </c>
      <c r="J665" s="5">
        <v>2</v>
      </c>
      <c r="K665" s="5" t="s">
        <v>27</v>
      </c>
    </row>
    <row r="666" spans="1:11" ht="15.75" customHeight="1" x14ac:dyDescent="0.25">
      <c r="A666" s="5">
        <v>14</v>
      </c>
      <c r="B666" s="5">
        <v>2023</v>
      </c>
      <c r="C666" s="12">
        <v>45197</v>
      </c>
      <c r="D666" s="5" t="s">
        <v>62</v>
      </c>
      <c r="E666" s="5" t="s">
        <v>68</v>
      </c>
      <c r="F666" s="5">
        <v>3</v>
      </c>
      <c r="G666" s="5" t="s">
        <v>36</v>
      </c>
      <c r="H666" s="5">
        <v>5</v>
      </c>
      <c r="I666" s="5">
        <v>2</v>
      </c>
      <c r="J666" s="5">
        <v>3</v>
      </c>
      <c r="K666" s="5" t="s">
        <v>35</v>
      </c>
    </row>
    <row r="667" spans="1:11" ht="15.75" customHeight="1" x14ac:dyDescent="0.25">
      <c r="A667" s="5">
        <v>14</v>
      </c>
      <c r="B667" s="5">
        <v>2023</v>
      </c>
      <c r="C667" s="12">
        <v>45197</v>
      </c>
      <c r="D667" s="5" t="s">
        <v>62</v>
      </c>
      <c r="E667" s="5" t="s">
        <v>68</v>
      </c>
      <c r="F667" s="5">
        <v>3</v>
      </c>
      <c r="G667" s="5" t="s">
        <v>36</v>
      </c>
      <c r="H667" s="5">
        <v>6</v>
      </c>
      <c r="I667" s="5">
        <v>2</v>
      </c>
      <c r="J667" s="5">
        <v>3.5</v>
      </c>
      <c r="K667" s="5" t="s">
        <v>35</v>
      </c>
    </row>
    <row r="668" spans="1:11" ht="15.75" customHeight="1" x14ac:dyDescent="0.25">
      <c r="A668" s="5">
        <v>14</v>
      </c>
      <c r="B668" s="5">
        <v>2023</v>
      </c>
      <c r="C668" s="12">
        <v>45197</v>
      </c>
      <c r="D668" s="5" t="s">
        <v>62</v>
      </c>
      <c r="E668" s="5" t="s">
        <v>68</v>
      </c>
      <c r="F668" s="5">
        <v>3</v>
      </c>
      <c r="G668" s="5" t="s">
        <v>36</v>
      </c>
      <c r="H668" s="5">
        <v>7</v>
      </c>
      <c r="I668" s="5">
        <v>2</v>
      </c>
      <c r="J668" s="5">
        <v>4</v>
      </c>
      <c r="K668" s="5" t="s">
        <v>27</v>
      </c>
    </row>
    <row r="669" spans="1:11" ht="15.75" customHeight="1" x14ac:dyDescent="0.25">
      <c r="A669" s="5">
        <v>14</v>
      </c>
      <c r="B669" s="5">
        <v>2023</v>
      </c>
      <c r="C669" s="12">
        <v>45197</v>
      </c>
      <c r="D669" s="5" t="s">
        <v>62</v>
      </c>
      <c r="E669" s="5" t="s">
        <v>68</v>
      </c>
      <c r="F669" s="5">
        <v>3</v>
      </c>
      <c r="G669" s="5" t="s">
        <v>36</v>
      </c>
      <c r="H669" s="5">
        <v>7</v>
      </c>
      <c r="I669" s="5">
        <v>2</v>
      </c>
      <c r="J669" s="5">
        <v>4</v>
      </c>
      <c r="K669" s="5" t="s">
        <v>44</v>
      </c>
    </row>
    <row r="670" spans="1:11" ht="15.75" customHeight="1" x14ac:dyDescent="0.25">
      <c r="A670" s="5">
        <v>14</v>
      </c>
      <c r="B670" s="5">
        <v>2023</v>
      </c>
      <c r="C670" s="12">
        <v>45197</v>
      </c>
      <c r="D670" s="5" t="s">
        <v>62</v>
      </c>
      <c r="E670" s="5" t="s">
        <v>68</v>
      </c>
      <c r="F670" s="5">
        <v>3</v>
      </c>
      <c r="G670" s="5" t="s">
        <v>36</v>
      </c>
      <c r="H670" s="5">
        <v>8</v>
      </c>
      <c r="I670" s="5">
        <v>2</v>
      </c>
      <c r="J670" s="5">
        <v>5</v>
      </c>
      <c r="K670" s="5" t="s">
        <v>27</v>
      </c>
    </row>
    <row r="671" spans="1:11" ht="15.75" customHeight="1" x14ac:dyDescent="0.25">
      <c r="A671" s="5">
        <v>14</v>
      </c>
      <c r="B671" s="5">
        <v>2023</v>
      </c>
      <c r="C671" s="12">
        <v>45197</v>
      </c>
      <c r="D671" s="5" t="s">
        <v>62</v>
      </c>
      <c r="E671" s="5" t="s">
        <v>68</v>
      </c>
      <c r="F671" s="5">
        <v>3</v>
      </c>
      <c r="G671" s="5" t="s">
        <v>36</v>
      </c>
      <c r="H671" s="5">
        <v>9</v>
      </c>
      <c r="I671" s="5">
        <v>2</v>
      </c>
      <c r="J671" s="5">
        <v>7</v>
      </c>
      <c r="K671" s="5" t="s">
        <v>35</v>
      </c>
    </row>
    <row r="672" spans="1:11" ht="15.75" customHeight="1" x14ac:dyDescent="0.25">
      <c r="A672" s="5">
        <v>14</v>
      </c>
      <c r="B672" s="5">
        <v>2023</v>
      </c>
      <c r="C672" s="12">
        <v>45197</v>
      </c>
      <c r="D672" s="5" t="s">
        <v>62</v>
      </c>
      <c r="E672" s="5" t="s">
        <v>68</v>
      </c>
      <c r="F672" s="5">
        <v>3</v>
      </c>
      <c r="G672" s="5" t="s">
        <v>36</v>
      </c>
      <c r="H672" s="5">
        <v>10</v>
      </c>
      <c r="I672" s="5">
        <v>2</v>
      </c>
      <c r="J672" s="5">
        <v>8</v>
      </c>
      <c r="K672" s="5" t="s">
        <v>27</v>
      </c>
    </row>
    <row r="673" spans="1:11" ht="15.75" customHeight="1" x14ac:dyDescent="0.25">
      <c r="A673" s="5">
        <v>14</v>
      </c>
      <c r="B673" s="5">
        <v>2023</v>
      </c>
      <c r="C673" s="12">
        <v>45197</v>
      </c>
      <c r="D673" s="5" t="s">
        <v>62</v>
      </c>
      <c r="E673" s="5" t="s">
        <v>68</v>
      </c>
      <c r="F673" s="5">
        <v>3</v>
      </c>
      <c r="G673" s="5" t="s">
        <v>36</v>
      </c>
      <c r="H673" s="5">
        <v>11</v>
      </c>
      <c r="I673" s="5">
        <v>2</v>
      </c>
      <c r="J673" s="5">
        <v>8.5</v>
      </c>
      <c r="K673" s="5" t="s">
        <v>35</v>
      </c>
    </row>
    <row r="674" spans="1:11" ht="15.75" customHeight="1" x14ac:dyDescent="0.25">
      <c r="A674" s="5">
        <v>14</v>
      </c>
      <c r="B674" s="5">
        <v>2023</v>
      </c>
      <c r="C674" s="12">
        <v>45197</v>
      </c>
      <c r="D674" s="5" t="s">
        <v>62</v>
      </c>
      <c r="E674" s="5" t="s">
        <v>68</v>
      </c>
      <c r="F674" s="5">
        <v>3</v>
      </c>
      <c r="G674" s="5" t="s">
        <v>36</v>
      </c>
      <c r="H674" s="5">
        <v>12</v>
      </c>
      <c r="I674" s="5">
        <v>2</v>
      </c>
      <c r="J674" s="5">
        <v>9</v>
      </c>
      <c r="K674" s="5" t="s">
        <v>27</v>
      </c>
    </row>
    <row r="675" spans="1:11" ht="15.75" customHeight="1" x14ac:dyDescent="0.25">
      <c r="A675" s="5">
        <v>14</v>
      </c>
      <c r="B675" s="5">
        <v>2023</v>
      </c>
      <c r="C675" s="12">
        <v>45197</v>
      </c>
      <c r="D675" s="5" t="s">
        <v>62</v>
      </c>
      <c r="E675" s="5" t="s">
        <v>68</v>
      </c>
      <c r="F675" s="5">
        <v>3</v>
      </c>
      <c r="G675" s="5" t="s">
        <v>36</v>
      </c>
      <c r="H675" s="5">
        <v>13</v>
      </c>
      <c r="I675" s="5">
        <v>2</v>
      </c>
      <c r="J675" s="5">
        <v>10</v>
      </c>
      <c r="K675" s="5" t="s">
        <v>27</v>
      </c>
    </row>
    <row r="676" spans="1:11" ht="15.75" customHeight="1" x14ac:dyDescent="0.25">
      <c r="A676" s="5">
        <v>14</v>
      </c>
      <c r="B676" s="5">
        <v>2023</v>
      </c>
      <c r="C676" s="12">
        <v>45197</v>
      </c>
      <c r="D676" s="5" t="s">
        <v>62</v>
      </c>
      <c r="E676" s="5" t="s">
        <v>68</v>
      </c>
      <c r="F676" s="5">
        <v>3</v>
      </c>
      <c r="G676" s="5" t="s">
        <v>36</v>
      </c>
      <c r="H676" s="5">
        <v>14</v>
      </c>
      <c r="I676" s="5">
        <v>2</v>
      </c>
      <c r="J676" s="5">
        <v>11</v>
      </c>
      <c r="K676" s="5" t="s">
        <v>58</v>
      </c>
    </row>
    <row r="677" spans="1:11" ht="15.75" customHeight="1" x14ac:dyDescent="0.25">
      <c r="A677" s="5">
        <v>14</v>
      </c>
      <c r="B677" s="5">
        <v>2023</v>
      </c>
      <c r="C677" s="12">
        <v>45197</v>
      </c>
      <c r="D677" s="5" t="s">
        <v>62</v>
      </c>
      <c r="E677" s="5" t="s">
        <v>68</v>
      </c>
      <c r="F677" s="5">
        <v>3</v>
      </c>
      <c r="G677" s="5" t="s">
        <v>36</v>
      </c>
      <c r="H677" s="5">
        <v>14</v>
      </c>
      <c r="I677" s="5">
        <v>2</v>
      </c>
      <c r="J677" s="5">
        <v>11</v>
      </c>
      <c r="K677" s="5" t="s">
        <v>34</v>
      </c>
    </row>
    <row r="678" spans="1:11" ht="15.75" customHeight="1" x14ac:dyDescent="0.25">
      <c r="A678" s="5">
        <v>14</v>
      </c>
      <c r="B678" s="5">
        <v>2023</v>
      </c>
      <c r="C678" s="12">
        <v>45197</v>
      </c>
      <c r="D678" s="5" t="s">
        <v>62</v>
      </c>
      <c r="E678" s="5" t="s">
        <v>68</v>
      </c>
      <c r="F678" s="5">
        <v>3</v>
      </c>
      <c r="G678" s="5" t="s">
        <v>36</v>
      </c>
      <c r="H678" s="5">
        <v>15</v>
      </c>
      <c r="I678" s="5">
        <v>2</v>
      </c>
      <c r="J678" s="5">
        <v>12</v>
      </c>
      <c r="K678" s="5" t="s">
        <v>35</v>
      </c>
    </row>
    <row r="679" spans="1:11" ht="15.75" customHeight="1" x14ac:dyDescent="0.25">
      <c r="A679" s="5">
        <v>15</v>
      </c>
      <c r="B679" s="5">
        <v>2023</v>
      </c>
      <c r="C679" s="12">
        <v>45197</v>
      </c>
      <c r="D679" s="5" t="s">
        <v>62</v>
      </c>
      <c r="E679" s="5" t="s">
        <v>68</v>
      </c>
      <c r="F679" s="5">
        <v>3</v>
      </c>
      <c r="G679" s="5" t="s">
        <v>46</v>
      </c>
      <c r="H679" s="5">
        <v>1</v>
      </c>
      <c r="I679" s="5">
        <v>1</v>
      </c>
      <c r="J679" s="5">
        <v>0</v>
      </c>
      <c r="K679" s="5" t="s">
        <v>35</v>
      </c>
    </row>
    <row r="680" spans="1:11" ht="15.75" customHeight="1" x14ac:dyDescent="0.25">
      <c r="A680" s="5">
        <v>15</v>
      </c>
      <c r="B680" s="5">
        <v>2023</v>
      </c>
      <c r="C680" s="12">
        <v>45197</v>
      </c>
      <c r="D680" s="5" t="s">
        <v>62</v>
      </c>
      <c r="E680" s="5" t="s">
        <v>68</v>
      </c>
      <c r="F680" s="5">
        <v>3</v>
      </c>
      <c r="G680" s="5" t="s">
        <v>46</v>
      </c>
      <c r="H680" s="5">
        <v>1</v>
      </c>
      <c r="I680" s="5">
        <v>1</v>
      </c>
      <c r="J680" s="5">
        <v>0</v>
      </c>
      <c r="K680" s="5" t="s">
        <v>44</v>
      </c>
    </row>
    <row r="681" spans="1:11" ht="15.75" customHeight="1" x14ac:dyDescent="0.25">
      <c r="A681" s="5">
        <v>15</v>
      </c>
      <c r="B681" s="5">
        <v>2023</v>
      </c>
      <c r="C681" s="12">
        <v>45197</v>
      </c>
      <c r="D681" s="5" t="s">
        <v>62</v>
      </c>
      <c r="E681" s="5" t="s">
        <v>68</v>
      </c>
      <c r="F681" s="5">
        <v>3</v>
      </c>
      <c r="G681" s="5" t="s">
        <v>46</v>
      </c>
      <c r="H681" s="5">
        <v>2</v>
      </c>
      <c r="I681" s="5">
        <v>1</v>
      </c>
      <c r="J681" s="5">
        <v>0.5</v>
      </c>
      <c r="K681" s="5" t="s">
        <v>27</v>
      </c>
    </row>
    <row r="682" spans="1:11" ht="15.75" customHeight="1" x14ac:dyDescent="0.25">
      <c r="A682" s="5">
        <v>15</v>
      </c>
      <c r="B682" s="5">
        <v>2023</v>
      </c>
      <c r="C682" s="12">
        <v>45197</v>
      </c>
      <c r="D682" s="5" t="s">
        <v>62</v>
      </c>
      <c r="E682" s="5" t="s">
        <v>68</v>
      </c>
      <c r="F682" s="5">
        <v>3</v>
      </c>
      <c r="G682" s="5" t="s">
        <v>46</v>
      </c>
      <c r="H682" s="5">
        <v>2</v>
      </c>
      <c r="I682" s="5">
        <v>1</v>
      </c>
      <c r="J682" s="5">
        <v>0.5</v>
      </c>
      <c r="K682" s="5" t="s">
        <v>44</v>
      </c>
    </row>
    <row r="683" spans="1:11" ht="15.75" customHeight="1" x14ac:dyDescent="0.25">
      <c r="A683" s="5">
        <v>15</v>
      </c>
      <c r="B683" s="5">
        <v>2023</v>
      </c>
      <c r="C683" s="12">
        <v>45197</v>
      </c>
      <c r="D683" s="5" t="s">
        <v>62</v>
      </c>
      <c r="E683" s="5" t="s">
        <v>68</v>
      </c>
      <c r="F683" s="5">
        <v>3</v>
      </c>
      <c r="G683" s="5" t="s">
        <v>46</v>
      </c>
      <c r="H683" s="5">
        <v>3</v>
      </c>
      <c r="I683" s="5">
        <v>1</v>
      </c>
      <c r="J683" s="5">
        <v>1</v>
      </c>
      <c r="K683" s="5" t="s">
        <v>35</v>
      </c>
    </row>
    <row r="684" spans="1:11" ht="15.75" customHeight="1" x14ac:dyDescent="0.25">
      <c r="A684" s="5">
        <v>15</v>
      </c>
      <c r="B684" s="5">
        <v>2023</v>
      </c>
      <c r="C684" s="12">
        <v>45197</v>
      </c>
      <c r="D684" s="5" t="s">
        <v>62</v>
      </c>
      <c r="E684" s="5" t="s">
        <v>68</v>
      </c>
      <c r="F684" s="5">
        <v>3</v>
      </c>
      <c r="G684" s="5" t="s">
        <v>46</v>
      </c>
      <c r="H684" s="5">
        <v>3</v>
      </c>
      <c r="I684" s="5">
        <v>1</v>
      </c>
      <c r="J684" s="5">
        <v>1</v>
      </c>
      <c r="K684" s="5" t="s">
        <v>34</v>
      </c>
    </row>
    <row r="685" spans="1:11" ht="15.75" customHeight="1" x14ac:dyDescent="0.25">
      <c r="A685" s="5">
        <v>15</v>
      </c>
      <c r="B685" s="5">
        <v>2023</v>
      </c>
      <c r="C685" s="12">
        <v>45197</v>
      </c>
      <c r="D685" s="5" t="s">
        <v>62</v>
      </c>
      <c r="E685" s="5" t="s">
        <v>68</v>
      </c>
      <c r="F685" s="5">
        <v>3</v>
      </c>
      <c r="G685" s="5" t="s">
        <v>46</v>
      </c>
      <c r="H685" s="5">
        <v>4</v>
      </c>
      <c r="I685" s="5">
        <v>1</v>
      </c>
      <c r="J685" s="5">
        <v>1.5</v>
      </c>
      <c r="K685" s="5" t="s">
        <v>35</v>
      </c>
    </row>
    <row r="686" spans="1:11" ht="15.75" customHeight="1" x14ac:dyDescent="0.25">
      <c r="A686" s="5">
        <v>15</v>
      </c>
      <c r="B686" s="5">
        <v>2023</v>
      </c>
      <c r="C686" s="12">
        <v>45197</v>
      </c>
      <c r="D686" s="5" t="s">
        <v>62</v>
      </c>
      <c r="E686" s="5" t="s">
        <v>68</v>
      </c>
      <c r="F686" s="5">
        <v>3</v>
      </c>
      <c r="G686" s="5" t="s">
        <v>46</v>
      </c>
      <c r="H686" s="5">
        <v>5</v>
      </c>
      <c r="I686" s="5">
        <v>1</v>
      </c>
      <c r="J686" s="5">
        <v>2</v>
      </c>
      <c r="K686" s="5" t="s">
        <v>27</v>
      </c>
    </row>
    <row r="687" spans="1:11" ht="15.75" customHeight="1" x14ac:dyDescent="0.25">
      <c r="A687" s="5">
        <v>15</v>
      </c>
      <c r="B687" s="5">
        <v>2023</v>
      </c>
      <c r="C687" s="12">
        <v>45197</v>
      </c>
      <c r="D687" s="5" t="s">
        <v>62</v>
      </c>
      <c r="E687" s="5" t="s">
        <v>68</v>
      </c>
      <c r="F687" s="5">
        <v>3</v>
      </c>
      <c r="G687" s="5" t="s">
        <v>46</v>
      </c>
      <c r="H687" s="5">
        <v>6</v>
      </c>
      <c r="I687" s="5">
        <v>1</v>
      </c>
      <c r="J687" s="5">
        <v>2.5</v>
      </c>
      <c r="K687" s="5" t="s">
        <v>27</v>
      </c>
    </row>
    <row r="688" spans="1:11" ht="15.75" customHeight="1" x14ac:dyDescent="0.25">
      <c r="A688" s="5">
        <v>15</v>
      </c>
      <c r="B688" s="5">
        <v>2023</v>
      </c>
      <c r="C688" s="12">
        <v>45197</v>
      </c>
      <c r="D688" s="5" t="s">
        <v>62</v>
      </c>
      <c r="E688" s="5" t="s">
        <v>68</v>
      </c>
      <c r="F688" s="5">
        <v>3</v>
      </c>
      <c r="G688" s="5" t="s">
        <v>46</v>
      </c>
      <c r="H688" s="5">
        <v>6</v>
      </c>
      <c r="I688" s="5">
        <v>1</v>
      </c>
      <c r="J688" s="5">
        <v>2.5</v>
      </c>
      <c r="K688" s="5" t="s">
        <v>29</v>
      </c>
    </row>
    <row r="689" spans="1:11" ht="15.75" customHeight="1" x14ac:dyDescent="0.25">
      <c r="A689" s="5">
        <v>15</v>
      </c>
      <c r="B689" s="5">
        <v>2023</v>
      </c>
      <c r="C689" s="12">
        <v>45197</v>
      </c>
      <c r="D689" s="5" t="s">
        <v>62</v>
      </c>
      <c r="E689" s="5" t="s">
        <v>68</v>
      </c>
      <c r="F689" s="5">
        <v>3</v>
      </c>
      <c r="G689" s="5" t="s">
        <v>46</v>
      </c>
      <c r="H689" s="5">
        <v>6</v>
      </c>
      <c r="I689" s="5">
        <v>1</v>
      </c>
      <c r="J689" s="5">
        <v>2.5</v>
      </c>
      <c r="K689" s="5" t="s">
        <v>30</v>
      </c>
    </row>
    <row r="690" spans="1:11" ht="15.75" customHeight="1" x14ac:dyDescent="0.25">
      <c r="A690" s="5">
        <v>15</v>
      </c>
      <c r="B690" s="5">
        <v>2023</v>
      </c>
      <c r="C690" s="12">
        <v>45197</v>
      </c>
      <c r="D690" s="5" t="s">
        <v>62</v>
      </c>
      <c r="E690" s="5" t="s">
        <v>68</v>
      </c>
      <c r="F690" s="5">
        <v>3</v>
      </c>
      <c r="G690" s="5" t="s">
        <v>46</v>
      </c>
      <c r="H690" s="5">
        <v>7</v>
      </c>
      <c r="I690" s="5">
        <v>1</v>
      </c>
      <c r="J690" s="5">
        <v>3</v>
      </c>
      <c r="K690" s="5" t="s">
        <v>35</v>
      </c>
    </row>
    <row r="691" spans="1:11" ht="15.75" customHeight="1" x14ac:dyDescent="0.25">
      <c r="A691" s="5">
        <v>15</v>
      </c>
      <c r="B691" s="5">
        <v>2023</v>
      </c>
      <c r="C691" s="12">
        <v>45197</v>
      </c>
      <c r="D691" s="5" t="s">
        <v>62</v>
      </c>
      <c r="E691" s="5" t="s">
        <v>68</v>
      </c>
      <c r="F691" s="5">
        <v>3</v>
      </c>
      <c r="G691" s="5" t="s">
        <v>46</v>
      </c>
      <c r="H691" s="5">
        <v>8</v>
      </c>
      <c r="I691" s="5">
        <v>1</v>
      </c>
      <c r="J691" s="5">
        <v>3.5</v>
      </c>
      <c r="K691" s="5" t="s">
        <v>27</v>
      </c>
    </row>
    <row r="692" spans="1:11" ht="15.75" customHeight="1" x14ac:dyDescent="0.25">
      <c r="A692" s="5">
        <v>15</v>
      </c>
      <c r="B692" s="5">
        <v>2023</v>
      </c>
      <c r="C692" s="12">
        <v>45197</v>
      </c>
      <c r="D692" s="5" t="s">
        <v>62</v>
      </c>
      <c r="E692" s="5" t="s">
        <v>68</v>
      </c>
      <c r="F692" s="5">
        <v>3</v>
      </c>
      <c r="G692" s="5" t="s">
        <v>46</v>
      </c>
      <c r="H692" s="5">
        <v>8</v>
      </c>
      <c r="I692" s="5">
        <v>1</v>
      </c>
      <c r="J692" s="5">
        <v>3.5</v>
      </c>
      <c r="K692" s="5" t="s">
        <v>55</v>
      </c>
    </row>
    <row r="693" spans="1:11" ht="15.75" customHeight="1" x14ac:dyDescent="0.25">
      <c r="A693" s="5">
        <v>15</v>
      </c>
      <c r="B693" s="5">
        <v>2023</v>
      </c>
      <c r="C693" s="12">
        <v>45197</v>
      </c>
      <c r="D693" s="5" t="s">
        <v>62</v>
      </c>
      <c r="E693" s="5" t="s">
        <v>68</v>
      </c>
      <c r="F693" s="5">
        <v>3</v>
      </c>
      <c r="G693" s="5" t="s">
        <v>46</v>
      </c>
      <c r="H693" s="5">
        <v>9</v>
      </c>
      <c r="I693" s="5">
        <v>1</v>
      </c>
      <c r="J693" s="5">
        <v>4</v>
      </c>
      <c r="K693" s="5" t="s">
        <v>27</v>
      </c>
    </row>
    <row r="694" spans="1:11" ht="15.75" customHeight="1" x14ac:dyDescent="0.25">
      <c r="A694" s="5">
        <v>15</v>
      </c>
      <c r="B694" s="5">
        <v>2023</v>
      </c>
      <c r="C694" s="12">
        <v>45197</v>
      </c>
      <c r="D694" s="5" t="s">
        <v>62</v>
      </c>
      <c r="E694" s="5" t="s">
        <v>68</v>
      </c>
      <c r="F694" s="5">
        <v>3</v>
      </c>
      <c r="G694" s="5" t="s">
        <v>46</v>
      </c>
      <c r="H694" s="5">
        <v>9</v>
      </c>
      <c r="I694" s="5">
        <v>1</v>
      </c>
      <c r="J694" s="5">
        <v>4</v>
      </c>
      <c r="K694" s="5" t="s">
        <v>30</v>
      </c>
    </row>
    <row r="695" spans="1:11" ht="15.75" customHeight="1" x14ac:dyDescent="0.25">
      <c r="A695" s="5">
        <v>15</v>
      </c>
      <c r="B695" s="5">
        <v>2023</v>
      </c>
      <c r="C695" s="12">
        <v>45197</v>
      </c>
      <c r="D695" s="5" t="s">
        <v>62</v>
      </c>
      <c r="E695" s="5" t="s">
        <v>68</v>
      </c>
      <c r="F695" s="5">
        <v>3</v>
      </c>
      <c r="G695" s="5" t="s">
        <v>46</v>
      </c>
      <c r="H695" s="5">
        <v>10</v>
      </c>
      <c r="I695" s="5">
        <v>1</v>
      </c>
      <c r="J695" s="5">
        <v>4.5</v>
      </c>
      <c r="K695" s="5" t="s">
        <v>27</v>
      </c>
    </row>
    <row r="696" spans="1:11" ht="15.75" customHeight="1" x14ac:dyDescent="0.25">
      <c r="A696" s="5">
        <v>15</v>
      </c>
      <c r="B696" s="5">
        <v>2023</v>
      </c>
      <c r="C696" s="12">
        <v>45197</v>
      </c>
      <c r="D696" s="5" t="s">
        <v>62</v>
      </c>
      <c r="E696" s="5" t="s">
        <v>68</v>
      </c>
      <c r="F696" s="5">
        <v>3</v>
      </c>
      <c r="G696" s="5" t="s">
        <v>46</v>
      </c>
      <c r="H696" s="5">
        <v>10</v>
      </c>
      <c r="I696" s="5">
        <v>1</v>
      </c>
      <c r="J696" s="5">
        <v>4.5</v>
      </c>
      <c r="K696" s="5" t="s">
        <v>48</v>
      </c>
    </row>
    <row r="697" spans="1:11" ht="15.75" customHeight="1" x14ac:dyDescent="0.25">
      <c r="A697" s="5">
        <v>15</v>
      </c>
      <c r="B697" s="5">
        <v>2023</v>
      </c>
      <c r="C697" s="12">
        <v>45197</v>
      </c>
      <c r="D697" s="5" t="s">
        <v>62</v>
      </c>
      <c r="E697" s="5" t="s">
        <v>68</v>
      </c>
      <c r="F697" s="5">
        <v>3</v>
      </c>
      <c r="G697" s="5" t="s">
        <v>46</v>
      </c>
      <c r="H697" s="5">
        <v>10</v>
      </c>
      <c r="I697" s="5">
        <v>1</v>
      </c>
      <c r="J697" s="5">
        <v>4.5</v>
      </c>
      <c r="K697" s="5" t="s">
        <v>30</v>
      </c>
    </row>
    <row r="698" spans="1:11" ht="15.75" customHeight="1" x14ac:dyDescent="0.25">
      <c r="A698" s="5">
        <v>15</v>
      </c>
      <c r="B698" s="5">
        <v>2023</v>
      </c>
      <c r="C698" s="12">
        <v>45197</v>
      </c>
      <c r="D698" s="5" t="s">
        <v>62</v>
      </c>
      <c r="E698" s="5" t="s">
        <v>68</v>
      </c>
      <c r="F698" s="5">
        <v>3</v>
      </c>
      <c r="G698" s="5" t="s">
        <v>46</v>
      </c>
      <c r="H698" s="5">
        <v>11</v>
      </c>
      <c r="I698" s="5">
        <v>1</v>
      </c>
      <c r="J698" s="5">
        <v>5</v>
      </c>
      <c r="K698" s="5" t="s">
        <v>27</v>
      </c>
    </row>
    <row r="699" spans="1:11" ht="15.75" customHeight="1" x14ac:dyDescent="0.25">
      <c r="A699" s="5">
        <v>15</v>
      </c>
      <c r="B699" s="5">
        <v>2023</v>
      </c>
      <c r="C699" s="12">
        <v>45197</v>
      </c>
      <c r="D699" s="5" t="s">
        <v>62</v>
      </c>
      <c r="E699" s="5" t="s">
        <v>68</v>
      </c>
      <c r="F699" s="5">
        <v>3</v>
      </c>
      <c r="G699" s="5" t="s">
        <v>46</v>
      </c>
      <c r="H699" s="5">
        <v>11</v>
      </c>
      <c r="I699" s="5">
        <v>1</v>
      </c>
      <c r="J699" s="5">
        <v>5</v>
      </c>
      <c r="K699" s="5" t="s">
        <v>48</v>
      </c>
    </row>
    <row r="700" spans="1:11" ht="15.75" customHeight="1" x14ac:dyDescent="0.25">
      <c r="A700" s="5">
        <v>15</v>
      </c>
      <c r="B700" s="5">
        <v>2023</v>
      </c>
      <c r="C700" s="12">
        <v>45197</v>
      </c>
      <c r="D700" s="5" t="s">
        <v>62</v>
      </c>
      <c r="E700" s="5" t="s">
        <v>68</v>
      </c>
      <c r="F700" s="5">
        <v>3</v>
      </c>
      <c r="G700" s="5" t="s">
        <v>46</v>
      </c>
      <c r="H700" s="5">
        <v>12</v>
      </c>
      <c r="I700" s="5">
        <v>1</v>
      </c>
      <c r="J700" s="5">
        <v>5.5</v>
      </c>
      <c r="K700" s="5" t="s">
        <v>27</v>
      </c>
    </row>
    <row r="701" spans="1:11" ht="15.75" customHeight="1" x14ac:dyDescent="0.25">
      <c r="A701" s="5">
        <v>15</v>
      </c>
      <c r="B701" s="5">
        <v>2023</v>
      </c>
      <c r="C701" s="12">
        <v>45197</v>
      </c>
      <c r="D701" s="5" t="s">
        <v>62</v>
      </c>
      <c r="E701" s="5" t="s">
        <v>68</v>
      </c>
      <c r="F701" s="5">
        <v>3</v>
      </c>
      <c r="G701" s="5" t="s">
        <v>46</v>
      </c>
      <c r="H701" s="5">
        <v>12</v>
      </c>
      <c r="I701" s="5">
        <v>1</v>
      </c>
      <c r="J701" s="5">
        <v>5.5</v>
      </c>
      <c r="K701" s="5" t="s">
        <v>48</v>
      </c>
    </row>
    <row r="702" spans="1:11" ht="15.75" customHeight="1" x14ac:dyDescent="0.25">
      <c r="A702" s="5">
        <v>15</v>
      </c>
      <c r="B702" s="5">
        <v>2023</v>
      </c>
      <c r="C702" s="12">
        <v>45197</v>
      </c>
      <c r="D702" s="5" t="s">
        <v>62</v>
      </c>
      <c r="E702" s="5" t="s">
        <v>68</v>
      </c>
      <c r="F702" s="5">
        <v>3</v>
      </c>
      <c r="G702" s="5" t="s">
        <v>46</v>
      </c>
      <c r="H702" s="5">
        <v>12</v>
      </c>
      <c r="I702" s="5">
        <v>1</v>
      </c>
      <c r="J702" s="5">
        <v>5.5</v>
      </c>
      <c r="K702" s="5" t="s">
        <v>34</v>
      </c>
    </row>
    <row r="703" spans="1:11" ht="15.75" customHeight="1" x14ac:dyDescent="0.25">
      <c r="A703" s="5">
        <v>15</v>
      </c>
      <c r="B703" s="5">
        <v>2023</v>
      </c>
      <c r="C703" s="12">
        <v>45197</v>
      </c>
      <c r="D703" s="5" t="s">
        <v>62</v>
      </c>
      <c r="E703" s="5" t="s">
        <v>68</v>
      </c>
      <c r="F703" s="5">
        <v>3</v>
      </c>
      <c r="G703" s="5" t="s">
        <v>46</v>
      </c>
      <c r="H703" s="5">
        <v>13</v>
      </c>
      <c r="I703" s="5">
        <v>1</v>
      </c>
      <c r="J703" s="5">
        <v>6.5</v>
      </c>
      <c r="K703" s="5" t="s">
        <v>27</v>
      </c>
    </row>
    <row r="704" spans="1:11" ht="15.75" customHeight="1" x14ac:dyDescent="0.25">
      <c r="A704" s="5">
        <v>15</v>
      </c>
      <c r="B704" s="5">
        <v>2023</v>
      </c>
      <c r="C704" s="12">
        <v>45197</v>
      </c>
      <c r="D704" s="5" t="s">
        <v>62</v>
      </c>
      <c r="E704" s="5" t="s">
        <v>68</v>
      </c>
      <c r="F704" s="5">
        <v>3</v>
      </c>
      <c r="G704" s="5" t="s">
        <v>46</v>
      </c>
      <c r="H704" s="5">
        <v>14</v>
      </c>
      <c r="I704" s="5">
        <v>1</v>
      </c>
      <c r="J704" s="5">
        <v>7</v>
      </c>
      <c r="K704" s="5" t="s">
        <v>27</v>
      </c>
    </row>
    <row r="705" spans="1:11" ht="15.75" customHeight="1" x14ac:dyDescent="0.25">
      <c r="A705" s="5">
        <v>15</v>
      </c>
      <c r="B705" s="5">
        <v>2023</v>
      </c>
      <c r="C705" s="12">
        <v>45197</v>
      </c>
      <c r="D705" s="5" t="s">
        <v>62</v>
      </c>
      <c r="E705" s="5" t="s">
        <v>68</v>
      </c>
      <c r="F705" s="5">
        <v>3</v>
      </c>
      <c r="G705" s="5" t="s">
        <v>46</v>
      </c>
      <c r="H705" s="5">
        <v>15</v>
      </c>
      <c r="I705" s="5">
        <v>1</v>
      </c>
      <c r="J705" s="5">
        <v>7.5</v>
      </c>
      <c r="K705" s="5" t="s">
        <v>35</v>
      </c>
    </row>
    <row r="706" spans="1:11" ht="15.75" customHeight="1" x14ac:dyDescent="0.25">
      <c r="A706" s="5">
        <v>15</v>
      </c>
      <c r="B706" s="5">
        <v>2023</v>
      </c>
      <c r="C706" s="12">
        <v>45197</v>
      </c>
      <c r="D706" s="5" t="s">
        <v>62</v>
      </c>
      <c r="E706" s="5" t="s">
        <v>68</v>
      </c>
      <c r="F706" s="5">
        <v>3</v>
      </c>
      <c r="G706" s="5" t="s">
        <v>46</v>
      </c>
      <c r="H706" s="5">
        <v>15</v>
      </c>
      <c r="I706" s="5">
        <v>1</v>
      </c>
      <c r="J706" s="5">
        <v>7.5</v>
      </c>
      <c r="K706" s="5" t="s">
        <v>29</v>
      </c>
    </row>
    <row r="707" spans="1:11" ht="15.75" customHeight="1" x14ac:dyDescent="0.25">
      <c r="A707" s="5">
        <v>15</v>
      </c>
      <c r="B707" s="5">
        <v>2023</v>
      </c>
      <c r="C707" s="12">
        <v>45197</v>
      </c>
      <c r="D707" s="5" t="s">
        <v>62</v>
      </c>
      <c r="E707" s="5" t="s">
        <v>68</v>
      </c>
      <c r="F707" s="5">
        <v>3</v>
      </c>
      <c r="G707" s="5" t="s">
        <v>46</v>
      </c>
      <c r="H707" s="5">
        <v>1</v>
      </c>
      <c r="I707" s="5">
        <v>2</v>
      </c>
      <c r="J707" s="5">
        <v>0</v>
      </c>
      <c r="K707" s="5" t="s">
        <v>27</v>
      </c>
    </row>
    <row r="708" spans="1:11" ht="15.75" customHeight="1" x14ac:dyDescent="0.25">
      <c r="A708" s="5">
        <v>15</v>
      </c>
      <c r="B708" s="5">
        <v>2023</v>
      </c>
      <c r="C708" s="12">
        <v>45197</v>
      </c>
      <c r="D708" s="5" t="s">
        <v>62</v>
      </c>
      <c r="E708" s="5" t="s">
        <v>68</v>
      </c>
      <c r="F708" s="5">
        <v>3</v>
      </c>
      <c r="G708" s="5" t="s">
        <v>46</v>
      </c>
      <c r="H708" s="5">
        <v>1</v>
      </c>
      <c r="I708" s="5">
        <v>2</v>
      </c>
      <c r="J708" s="5">
        <v>0</v>
      </c>
      <c r="K708" s="5" t="s">
        <v>30</v>
      </c>
    </row>
    <row r="709" spans="1:11" ht="15.75" customHeight="1" x14ac:dyDescent="0.25">
      <c r="A709" s="5">
        <v>15</v>
      </c>
      <c r="B709" s="5">
        <v>2023</v>
      </c>
      <c r="C709" s="12">
        <v>45197</v>
      </c>
      <c r="D709" s="5" t="s">
        <v>62</v>
      </c>
      <c r="E709" s="5" t="s">
        <v>68</v>
      </c>
      <c r="F709" s="5">
        <v>3</v>
      </c>
      <c r="G709" s="5" t="s">
        <v>46</v>
      </c>
      <c r="H709" s="5">
        <v>2</v>
      </c>
      <c r="I709" s="5">
        <v>2</v>
      </c>
      <c r="J709" s="5">
        <v>0.5</v>
      </c>
      <c r="K709" s="5" t="s">
        <v>27</v>
      </c>
    </row>
    <row r="710" spans="1:11" ht="15.75" customHeight="1" x14ac:dyDescent="0.25">
      <c r="A710" s="5">
        <v>15</v>
      </c>
      <c r="B710" s="5">
        <v>2023</v>
      </c>
      <c r="C710" s="12">
        <v>45197</v>
      </c>
      <c r="D710" s="5" t="s">
        <v>62</v>
      </c>
      <c r="E710" s="5" t="s">
        <v>68</v>
      </c>
      <c r="F710" s="5">
        <v>3</v>
      </c>
      <c r="G710" s="5" t="s">
        <v>46</v>
      </c>
      <c r="H710" s="5">
        <v>2</v>
      </c>
      <c r="I710" s="5">
        <v>2</v>
      </c>
      <c r="J710" s="5">
        <v>0.5</v>
      </c>
      <c r="K710" s="5" t="s">
        <v>69</v>
      </c>
    </row>
    <row r="711" spans="1:11" ht="15.75" customHeight="1" x14ac:dyDescent="0.25">
      <c r="A711" s="5">
        <v>15</v>
      </c>
      <c r="B711" s="5">
        <v>2023</v>
      </c>
      <c r="C711" s="12">
        <v>45197</v>
      </c>
      <c r="D711" s="5" t="s">
        <v>62</v>
      </c>
      <c r="E711" s="5" t="s">
        <v>68</v>
      </c>
      <c r="F711" s="5">
        <v>3</v>
      </c>
      <c r="G711" s="5" t="s">
        <v>46</v>
      </c>
      <c r="H711" s="5">
        <v>2</v>
      </c>
      <c r="I711" s="5">
        <v>2</v>
      </c>
      <c r="J711" s="5">
        <v>0.5</v>
      </c>
      <c r="K711" s="5" t="s">
        <v>29</v>
      </c>
    </row>
    <row r="712" spans="1:11" ht="15.75" customHeight="1" x14ac:dyDescent="0.25">
      <c r="A712" s="5">
        <v>15</v>
      </c>
      <c r="B712" s="5">
        <v>2023</v>
      </c>
      <c r="C712" s="12">
        <v>45197</v>
      </c>
      <c r="D712" s="5" t="s">
        <v>62</v>
      </c>
      <c r="E712" s="5" t="s">
        <v>68</v>
      </c>
      <c r="F712" s="5">
        <v>3</v>
      </c>
      <c r="G712" s="5" t="s">
        <v>46</v>
      </c>
      <c r="H712" s="5">
        <v>3</v>
      </c>
      <c r="I712" s="5">
        <v>2</v>
      </c>
      <c r="J712" s="5">
        <v>1</v>
      </c>
      <c r="K712" s="5" t="s">
        <v>27</v>
      </c>
    </row>
    <row r="713" spans="1:11" ht="15.75" customHeight="1" x14ac:dyDescent="0.25">
      <c r="A713" s="5">
        <v>15</v>
      </c>
      <c r="B713" s="5">
        <v>2023</v>
      </c>
      <c r="C713" s="12">
        <v>45197</v>
      </c>
      <c r="D713" s="5" t="s">
        <v>62</v>
      </c>
      <c r="E713" s="5" t="s">
        <v>68</v>
      </c>
      <c r="F713" s="5">
        <v>3</v>
      </c>
      <c r="G713" s="5" t="s">
        <v>46</v>
      </c>
      <c r="H713" s="5">
        <v>3</v>
      </c>
      <c r="I713" s="5">
        <v>2</v>
      </c>
      <c r="J713" s="5">
        <v>1</v>
      </c>
      <c r="K713" s="5" t="s">
        <v>29</v>
      </c>
    </row>
    <row r="714" spans="1:11" ht="15.75" customHeight="1" x14ac:dyDescent="0.25">
      <c r="A714" s="5">
        <v>15</v>
      </c>
      <c r="B714" s="5">
        <v>2023</v>
      </c>
      <c r="C714" s="12">
        <v>45197</v>
      </c>
      <c r="D714" s="5" t="s">
        <v>62</v>
      </c>
      <c r="E714" s="5" t="s">
        <v>68</v>
      </c>
      <c r="F714" s="5">
        <v>3</v>
      </c>
      <c r="G714" s="5" t="s">
        <v>46</v>
      </c>
      <c r="H714" s="5">
        <v>3</v>
      </c>
      <c r="I714" s="5">
        <v>2</v>
      </c>
      <c r="J714" s="5">
        <v>1</v>
      </c>
      <c r="K714" s="5" t="s">
        <v>48</v>
      </c>
    </row>
    <row r="715" spans="1:11" ht="15.75" customHeight="1" x14ac:dyDescent="0.25">
      <c r="A715" s="5">
        <v>15</v>
      </c>
      <c r="B715" s="5">
        <v>2023</v>
      </c>
      <c r="C715" s="12">
        <v>45197</v>
      </c>
      <c r="D715" s="5" t="s">
        <v>62</v>
      </c>
      <c r="E715" s="5" t="s">
        <v>68</v>
      </c>
      <c r="F715" s="5">
        <v>3</v>
      </c>
      <c r="G715" s="5" t="s">
        <v>46</v>
      </c>
      <c r="H715" s="5">
        <v>4</v>
      </c>
      <c r="I715" s="5">
        <v>2</v>
      </c>
      <c r="J715" s="5">
        <v>1.5</v>
      </c>
      <c r="K715" s="5" t="s">
        <v>27</v>
      </c>
    </row>
    <row r="716" spans="1:11" ht="15.75" customHeight="1" x14ac:dyDescent="0.25">
      <c r="A716" s="5">
        <v>15</v>
      </c>
      <c r="B716" s="5">
        <v>2023</v>
      </c>
      <c r="C716" s="12">
        <v>45197</v>
      </c>
      <c r="D716" s="5" t="s">
        <v>62</v>
      </c>
      <c r="E716" s="5" t="s">
        <v>68</v>
      </c>
      <c r="F716" s="5">
        <v>3</v>
      </c>
      <c r="G716" s="5" t="s">
        <v>46</v>
      </c>
      <c r="H716" s="5">
        <v>4</v>
      </c>
      <c r="I716" s="5">
        <v>2</v>
      </c>
      <c r="J716" s="5">
        <v>1.5</v>
      </c>
      <c r="K716" s="5" t="s">
        <v>48</v>
      </c>
    </row>
    <row r="717" spans="1:11" ht="15.75" customHeight="1" x14ac:dyDescent="0.25">
      <c r="A717" s="5">
        <v>15</v>
      </c>
      <c r="B717" s="5">
        <v>2023</v>
      </c>
      <c r="C717" s="12">
        <v>45197</v>
      </c>
      <c r="D717" s="5" t="s">
        <v>62</v>
      </c>
      <c r="E717" s="5" t="s">
        <v>68</v>
      </c>
      <c r="F717" s="5">
        <v>3</v>
      </c>
      <c r="G717" s="5" t="s">
        <v>46</v>
      </c>
      <c r="H717" s="5">
        <v>5</v>
      </c>
      <c r="I717" s="5">
        <v>2</v>
      </c>
      <c r="J717" s="5">
        <v>2.5</v>
      </c>
      <c r="K717" s="5" t="s">
        <v>27</v>
      </c>
    </row>
    <row r="718" spans="1:11" ht="15.75" customHeight="1" x14ac:dyDescent="0.25">
      <c r="A718" s="5">
        <v>15</v>
      </c>
      <c r="B718" s="5">
        <v>2023</v>
      </c>
      <c r="C718" s="12">
        <v>45197</v>
      </c>
      <c r="D718" s="5" t="s">
        <v>62</v>
      </c>
      <c r="E718" s="5" t="s">
        <v>68</v>
      </c>
      <c r="F718" s="5">
        <v>3</v>
      </c>
      <c r="G718" s="5" t="s">
        <v>46</v>
      </c>
      <c r="H718" s="5">
        <v>5</v>
      </c>
      <c r="I718" s="5">
        <v>2</v>
      </c>
      <c r="J718" s="5">
        <v>2.5</v>
      </c>
      <c r="K718" s="5" t="s">
        <v>48</v>
      </c>
    </row>
    <row r="719" spans="1:11" ht="15.75" customHeight="1" x14ac:dyDescent="0.25">
      <c r="A719" s="5">
        <v>15</v>
      </c>
      <c r="B719" s="5">
        <v>2023</v>
      </c>
      <c r="C719" s="12">
        <v>45197</v>
      </c>
      <c r="D719" s="5" t="s">
        <v>62</v>
      </c>
      <c r="E719" s="5" t="s">
        <v>68</v>
      </c>
      <c r="F719" s="5">
        <v>3</v>
      </c>
      <c r="G719" s="5" t="s">
        <v>46</v>
      </c>
      <c r="H719" s="5">
        <v>5</v>
      </c>
      <c r="I719" s="5">
        <v>2</v>
      </c>
      <c r="J719" s="5">
        <v>2.5</v>
      </c>
      <c r="K719" s="5" t="s">
        <v>47</v>
      </c>
    </row>
    <row r="720" spans="1:11" ht="15.75" customHeight="1" x14ac:dyDescent="0.25">
      <c r="A720" s="5">
        <v>15</v>
      </c>
      <c r="B720" s="5">
        <v>2023</v>
      </c>
      <c r="C720" s="12">
        <v>45197</v>
      </c>
      <c r="D720" s="5" t="s">
        <v>62</v>
      </c>
      <c r="E720" s="5" t="s">
        <v>68</v>
      </c>
      <c r="F720" s="5">
        <v>3</v>
      </c>
      <c r="G720" s="5" t="s">
        <v>46</v>
      </c>
      <c r="H720" s="5">
        <v>6</v>
      </c>
      <c r="I720" s="5">
        <v>2</v>
      </c>
      <c r="J720" s="5">
        <v>3</v>
      </c>
      <c r="K720" s="5" t="s">
        <v>27</v>
      </c>
    </row>
    <row r="721" spans="1:11" ht="15.75" customHeight="1" x14ac:dyDescent="0.25">
      <c r="A721" s="5">
        <v>15</v>
      </c>
      <c r="B721" s="5">
        <v>2023</v>
      </c>
      <c r="C721" s="12">
        <v>45197</v>
      </c>
      <c r="D721" s="5" t="s">
        <v>62</v>
      </c>
      <c r="E721" s="5" t="s">
        <v>68</v>
      </c>
      <c r="F721" s="5">
        <v>3</v>
      </c>
      <c r="G721" s="5" t="s">
        <v>46</v>
      </c>
      <c r="H721" s="5">
        <v>6</v>
      </c>
      <c r="I721" s="5">
        <v>2</v>
      </c>
      <c r="J721" s="5">
        <v>3</v>
      </c>
      <c r="K721" s="5" t="s">
        <v>30</v>
      </c>
    </row>
    <row r="722" spans="1:11" ht="15.75" customHeight="1" x14ac:dyDescent="0.25">
      <c r="A722" s="5">
        <v>15</v>
      </c>
      <c r="B722" s="5">
        <v>2023</v>
      </c>
      <c r="C722" s="12">
        <v>45197</v>
      </c>
      <c r="D722" s="5" t="s">
        <v>62</v>
      </c>
      <c r="E722" s="5" t="s">
        <v>68</v>
      </c>
      <c r="F722" s="5">
        <v>3</v>
      </c>
      <c r="G722" s="5" t="s">
        <v>46</v>
      </c>
      <c r="H722" s="5">
        <v>7</v>
      </c>
      <c r="I722" s="5">
        <v>2</v>
      </c>
      <c r="J722" s="5">
        <v>3.5</v>
      </c>
      <c r="K722" s="5" t="s">
        <v>27</v>
      </c>
    </row>
    <row r="723" spans="1:11" ht="15.75" customHeight="1" x14ac:dyDescent="0.25">
      <c r="A723" s="5">
        <v>15</v>
      </c>
      <c r="B723" s="5">
        <v>2023</v>
      </c>
      <c r="C723" s="12">
        <v>45197</v>
      </c>
      <c r="D723" s="5" t="s">
        <v>62</v>
      </c>
      <c r="E723" s="5" t="s">
        <v>68</v>
      </c>
      <c r="F723" s="5">
        <v>3</v>
      </c>
      <c r="G723" s="5" t="s">
        <v>46</v>
      </c>
      <c r="H723" s="5">
        <v>8</v>
      </c>
      <c r="I723" s="5">
        <v>2</v>
      </c>
      <c r="J723" s="5">
        <v>4</v>
      </c>
      <c r="K723" s="5" t="s">
        <v>27</v>
      </c>
    </row>
    <row r="724" spans="1:11" ht="15.75" customHeight="1" x14ac:dyDescent="0.25">
      <c r="A724" s="5">
        <v>15</v>
      </c>
      <c r="B724" s="5">
        <v>2023</v>
      </c>
      <c r="C724" s="12">
        <v>45197</v>
      </c>
      <c r="D724" s="5" t="s">
        <v>62</v>
      </c>
      <c r="E724" s="5" t="s">
        <v>68</v>
      </c>
      <c r="F724" s="5">
        <v>3</v>
      </c>
      <c r="G724" s="5" t="s">
        <v>46</v>
      </c>
      <c r="H724" s="5">
        <v>9</v>
      </c>
      <c r="I724" s="5">
        <v>2</v>
      </c>
      <c r="J724" s="5">
        <v>4.5</v>
      </c>
      <c r="K724" s="5" t="s">
        <v>27</v>
      </c>
    </row>
    <row r="725" spans="1:11" ht="15.75" customHeight="1" x14ac:dyDescent="0.25">
      <c r="A725" s="5">
        <v>15</v>
      </c>
      <c r="B725" s="5">
        <v>2023</v>
      </c>
      <c r="C725" s="12">
        <v>45197</v>
      </c>
      <c r="D725" s="5" t="s">
        <v>62</v>
      </c>
      <c r="E725" s="5" t="s">
        <v>68</v>
      </c>
      <c r="F725" s="5">
        <v>3</v>
      </c>
      <c r="G725" s="5" t="s">
        <v>46</v>
      </c>
      <c r="H725" s="5">
        <v>9</v>
      </c>
      <c r="I725" s="5">
        <v>2</v>
      </c>
      <c r="J725" s="5">
        <v>4.5</v>
      </c>
      <c r="K725" s="5" t="s">
        <v>48</v>
      </c>
    </row>
    <row r="726" spans="1:11" ht="15.75" customHeight="1" x14ac:dyDescent="0.25">
      <c r="A726" s="5">
        <v>15</v>
      </c>
      <c r="B726" s="5">
        <v>2023</v>
      </c>
      <c r="C726" s="12">
        <v>45197</v>
      </c>
      <c r="D726" s="5" t="s">
        <v>62</v>
      </c>
      <c r="E726" s="5" t="s">
        <v>68</v>
      </c>
      <c r="F726" s="5">
        <v>3</v>
      </c>
      <c r="G726" s="5" t="s">
        <v>46</v>
      </c>
      <c r="H726" s="5">
        <v>10</v>
      </c>
      <c r="I726" s="5">
        <v>2</v>
      </c>
      <c r="J726" s="5">
        <v>5</v>
      </c>
      <c r="K726" s="5" t="s">
        <v>27</v>
      </c>
    </row>
    <row r="727" spans="1:11" ht="15.75" customHeight="1" x14ac:dyDescent="0.25">
      <c r="A727" s="5">
        <v>15</v>
      </c>
      <c r="B727" s="5">
        <v>2023</v>
      </c>
      <c r="C727" s="12">
        <v>45197</v>
      </c>
      <c r="D727" s="5" t="s">
        <v>62</v>
      </c>
      <c r="E727" s="5" t="s">
        <v>68</v>
      </c>
      <c r="F727" s="5">
        <v>3</v>
      </c>
      <c r="G727" s="5" t="s">
        <v>46</v>
      </c>
      <c r="H727" s="5">
        <v>11</v>
      </c>
      <c r="I727" s="5">
        <v>2</v>
      </c>
      <c r="J727" s="5">
        <v>5.5</v>
      </c>
      <c r="K727" s="5" t="s">
        <v>27</v>
      </c>
    </row>
    <row r="728" spans="1:11" ht="15.75" customHeight="1" x14ac:dyDescent="0.25">
      <c r="A728" s="5">
        <v>15</v>
      </c>
      <c r="B728" s="5">
        <v>2023</v>
      </c>
      <c r="C728" s="12">
        <v>45197</v>
      </c>
      <c r="D728" s="5" t="s">
        <v>62</v>
      </c>
      <c r="E728" s="5" t="s">
        <v>68</v>
      </c>
      <c r="F728" s="5">
        <v>3</v>
      </c>
      <c r="G728" s="5" t="s">
        <v>46</v>
      </c>
      <c r="H728" s="5">
        <v>12</v>
      </c>
      <c r="I728" s="5">
        <v>2</v>
      </c>
      <c r="J728" s="5">
        <v>6</v>
      </c>
      <c r="K728" s="5" t="s">
        <v>27</v>
      </c>
    </row>
    <row r="729" spans="1:11" ht="15.75" customHeight="1" x14ac:dyDescent="0.25">
      <c r="A729" s="5">
        <v>15</v>
      </c>
      <c r="B729" s="5">
        <v>2023</v>
      </c>
      <c r="C729" s="12">
        <v>45197</v>
      </c>
      <c r="D729" s="5" t="s">
        <v>62</v>
      </c>
      <c r="E729" s="5" t="s">
        <v>68</v>
      </c>
      <c r="F729" s="5">
        <v>3</v>
      </c>
      <c r="G729" s="5" t="s">
        <v>46</v>
      </c>
      <c r="H729" s="5">
        <v>12</v>
      </c>
      <c r="I729" s="5">
        <v>2</v>
      </c>
      <c r="J729" s="5">
        <v>6</v>
      </c>
      <c r="K729" s="5" t="s">
        <v>30</v>
      </c>
    </row>
    <row r="730" spans="1:11" ht="15.75" customHeight="1" x14ac:dyDescent="0.25">
      <c r="A730" s="5">
        <v>15</v>
      </c>
      <c r="B730" s="5">
        <v>2023</v>
      </c>
      <c r="C730" s="12">
        <v>45197</v>
      </c>
      <c r="D730" s="5" t="s">
        <v>62</v>
      </c>
      <c r="E730" s="5" t="s">
        <v>68</v>
      </c>
      <c r="F730" s="5">
        <v>3</v>
      </c>
      <c r="G730" s="5" t="s">
        <v>46</v>
      </c>
      <c r="H730" s="5">
        <v>13</v>
      </c>
      <c r="I730" s="5">
        <v>2</v>
      </c>
      <c r="J730" s="5">
        <v>6.5</v>
      </c>
      <c r="K730" s="5" t="s">
        <v>27</v>
      </c>
    </row>
    <row r="731" spans="1:11" ht="15.75" customHeight="1" x14ac:dyDescent="0.25">
      <c r="A731" s="5">
        <v>15</v>
      </c>
      <c r="B731" s="5">
        <v>2023</v>
      </c>
      <c r="C731" s="12">
        <v>45197</v>
      </c>
      <c r="D731" s="5" t="s">
        <v>62</v>
      </c>
      <c r="E731" s="5" t="s">
        <v>68</v>
      </c>
      <c r="F731" s="5">
        <v>3</v>
      </c>
      <c r="G731" s="5" t="s">
        <v>46</v>
      </c>
      <c r="H731" s="5">
        <v>13</v>
      </c>
      <c r="I731" s="5">
        <v>2</v>
      </c>
      <c r="J731" s="5">
        <v>6.5</v>
      </c>
      <c r="K731" s="5" t="s">
        <v>29</v>
      </c>
    </row>
    <row r="732" spans="1:11" ht="15.75" customHeight="1" x14ac:dyDescent="0.25">
      <c r="A732" s="5">
        <v>15</v>
      </c>
      <c r="B732" s="5">
        <v>2023</v>
      </c>
      <c r="C732" s="12">
        <v>45197</v>
      </c>
      <c r="D732" s="5" t="s">
        <v>62</v>
      </c>
      <c r="E732" s="5" t="s">
        <v>68</v>
      </c>
      <c r="F732" s="5">
        <v>3</v>
      </c>
      <c r="G732" s="5" t="s">
        <v>46</v>
      </c>
      <c r="H732" s="5">
        <v>14</v>
      </c>
      <c r="I732" s="5">
        <v>2</v>
      </c>
      <c r="J732" s="5">
        <v>7</v>
      </c>
      <c r="K732" s="5" t="s">
        <v>27</v>
      </c>
    </row>
    <row r="733" spans="1:11" ht="15.75" customHeight="1" x14ac:dyDescent="0.25">
      <c r="A733" s="5">
        <v>15</v>
      </c>
      <c r="B733" s="5">
        <v>2023</v>
      </c>
      <c r="C733" s="12">
        <v>45197</v>
      </c>
      <c r="D733" s="5" t="s">
        <v>62</v>
      </c>
      <c r="E733" s="5" t="s">
        <v>68</v>
      </c>
      <c r="F733" s="5">
        <v>3</v>
      </c>
      <c r="G733" s="5" t="s">
        <v>46</v>
      </c>
      <c r="H733" s="5">
        <v>15</v>
      </c>
      <c r="I733" s="5">
        <v>2</v>
      </c>
      <c r="J733" s="5">
        <v>7.5</v>
      </c>
      <c r="K733" s="5" t="s">
        <v>27</v>
      </c>
    </row>
    <row r="734" spans="1:11" ht="15.75" customHeight="1" x14ac:dyDescent="0.25">
      <c r="A734" s="5">
        <v>16</v>
      </c>
      <c r="B734" s="5">
        <v>2023</v>
      </c>
      <c r="C734" s="12">
        <v>45197</v>
      </c>
      <c r="D734" s="5" t="s">
        <v>62</v>
      </c>
      <c r="E734" s="5" t="s">
        <v>68</v>
      </c>
      <c r="F734" s="5">
        <v>3</v>
      </c>
      <c r="G734" s="5" t="s">
        <v>51</v>
      </c>
      <c r="H734" s="5">
        <v>1</v>
      </c>
      <c r="I734" s="5">
        <v>1</v>
      </c>
      <c r="J734" s="5">
        <v>0</v>
      </c>
      <c r="K734" s="5" t="s">
        <v>27</v>
      </c>
    </row>
    <row r="735" spans="1:11" ht="15.75" customHeight="1" x14ac:dyDescent="0.25">
      <c r="A735" s="5">
        <v>16</v>
      </c>
      <c r="B735" s="5">
        <v>2023</v>
      </c>
      <c r="C735" s="12">
        <v>45197</v>
      </c>
      <c r="D735" s="5" t="s">
        <v>62</v>
      </c>
      <c r="E735" s="5" t="s">
        <v>68</v>
      </c>
      <c r="F735" s="5">
        <v>3</v>
      </c>
      <c r="G735" s="5" t="s">
        <v>51</v>
      </c>
      <c r="H735" s="5">
        <v>2</v>
      </c>
      <c r="I735" s="5">
        <v>1</v>
      </c>
      <c r="J735" s="5">
        <v>0.5</v>
      </c>
      <c r="K735" s="5" t="s">
        <v>35</v>
      </c>
    </row>
    <row r="736" spans="1:11" ht="15.75" customHeight="1" x14ac:dyDescent="0.25">
      <c r="A736" s="5">
        <v>16</v>
      </c>
      <c r="B736" s="5">
        <v>2023</v>
      </c>
      <c r="C736" s="12">
        <v>45197</v>
      </c>
      <c r="D736" s="5" t="s">
        <v>62</v>
      </c>
      <c r="E736" s="5" t="s">
        <v>68</v>
      </c>
      <c r="F736" s="5">
        <v>3</v>
      </c>
      <c r="G736" s="5" t="s">
        <v>51</v>
      </c>
      <c r="H736" s="5">
        <v>3</v>
      </c>
      <c r="I736" s="5">
        <v>1</v>
      </c>
      <c r="J736" s="5">
        <v>1</v>
      </c>
      <c r="K736" s="5" t="s">
        <v>27</v>
      </c>
    </row>
    <row r="737" spans="1:11" ht="15.75" customHeight="1" x14ac:dyDescent="0.25">
      <c r="A737" s="5">
        <v>16</v>
      </c>
      <c r="B737" s="5">
        <v>2023</v>
      </c>
      <c r="C737" s="12">
        <v>45197</v>
      </c>
      <c r="D737" s="5" t="s">
        <v>62</v>
      </c>
      <c r="E737" s="5" t="s">
        <v>68</v>
      </c>
      <c r="F737" s="5">
        <v>3</v>
      </c>
      <c r="G737" s="5" t="s">
        <v>51</v>
      </c>
      <c r="H737" s="5">
        <v>4</v>
      </c>
      <c r="I737" s="5">
        <v>1</v>
      </c>
      <c r="J737" s="5">
        <v>1.5</v>
      </c>
      <c r="K737" s="5" t="s">
        <v>58</v>
      </c>
    </row>
    <row r="738" spans="1:11" ht="15.75" customHeight="1" x14ac:dyDescent="0.25">
      <c r="A738" s="5">
        <v>16</v>
      </c>
      <c r="B738" s="5">
        <v>2023</v>
      </c>
      <c r="C738" s="12">
        <v>45197</v>
      </c>
      <c r="D738" s="5" t="s">
        <v>62</v>
      </c>
      <c r="E738" s="5" t="s">
        <v>68</v>
      </c>
      <c r="F738" s="5">
        <v>3</v>
      </c>
      <c r="G738" s="5" t="s">
        <v>51</v>
      </c>
      <c r="H738" s="5">
        <v>4</v>
      </c>
      <c r="I738" s="5">
        <v>1</v>
      </c>
      <c r="J738" s="5">
        <v>1.5</v>
      </c>
      <c r="K738" s="5" t="s">
        <v>54</v>
      </c>
    </row>
    <row r="739" spans="1:11" ht="15.75" customHeight="1" x14ac:dyDescent="0.25">
      <c r="A739" s="5">
        <v>16</v>
      </c>
      <c r="B739" s="5">
        <v>2023</v>
      </c>
      <c r="C739" s="12">
        <v>45197</v>
      </c>
      <c r="D739" s="5" t="s">
        <v>62</v>
      </c>
      <c r="E739" s="5" t="s">
        <v>68</v>
      </c>
      <c r="F739" s="5">
        <v>3</v>
      </c>
      <c r="G739" s="5" t="s">
        <v>51</v>
      </c>
      <c r="H739" s="5">
        <v>5</v>
      </c>
      <c r="I739" s="5">
        <v>1</v>
      </c>
      <c r="J739" s="5">
        <v>2</v>
      </c>
      <c r="K739" s="5" t="s">
        <v>35</v>
      </c>
    </row>
    <row r="740" spans="1:11" ht="15.75" customHeight="1" x14ac:dyDescent="0.25">
      <c r="A740" s="5">
        <v>16</v>
      </c>
      <c r="B740" s="5">
        <v>2023</v>
      </c>
      <c r="C740" s="12">
        <v>45197</v>
      </c>
      <c r="D740" s="5" t="s">
        <v>62</v>
      </c>
      <c r="E740" s="5" t="s">
        <v>68</v>
      </c>
      <c r="F740" s="5">
        <v>3</v>
      </c>
      <c r="G740" s="5" t="s">
        <v>51</v>
      </c>
      <c r="H740" s="5">
        <v>5</v>
      </c>
      <c r="I740" s="5">
        <v>1</v>
      </c>
      <c r="J740" s="5">
        <v>2</v>
      </c>
      <c r="K740" s="5" t="s">
        <v>34</v>
      </c>
    </row>
    <row r="741" spans="1:11" ht="15.75" customHeight="1" x14ac:dyDescent="0.25">
      <c r="A741" s="5">
        <v>16</v>
      </c>
      <c r="B741" s="5">
        <v>2023</v>
      </c>
      <c r="C741" s="12">
        <v>45197</v>
      </c>
      <c r="D741" s="5" t="s">
        <v>62</v>
      </c>
      <c r="E741" s="5" t="s">
        <v>68</v>
      </c>
      <c r="F741" s="5">
        <v>3</v>
      </c>
      <c r="G741" s="5" t="s">
        <v>51</v>
      </c>
      <c r="H741" s="5">
        <v>6</v>
      </c>
      <c r="I741" s="5">
        <v>1</v>
      </c>
      <c r="J741" s="5">
        <v>2.5</v>
      </c>
      <c r="K741" s="5" t="s">
        <v>35</v>
      </c>
    </row>
    <row r="742" spans="1:11" ht="15.75" customHeight="1" x14ac:dyDescent="0.25">
      <c r="A742" s="5">
        <v>16</v>
      </c>
      <c r="B742" s="5">
        <v>2023</v>
      </c>
      <c r="C742" s="12">
        <v>45197</v>
      </c>
      <c r="D742" s="5" t="s">
        <v>62</v>
      </c>
      <c r="E742" s="5" t="s">
        <v>68</v>
      </c>
      <c r="F742" s="5">
        <v>3</v>
      </c>
      <c r="G742" s="5" t="s">
        <v>51</v>
      </c>
      <c r="H742" s="5">
        <v>7</v>
      </c>
      <c r="I742" s="5">
        <v>1</v>
      </c>
      <c r="J742" s="5">
        <v>3</v>
      </c>
      <c r="K742" s="5" t="s">
        <v>58</v>
      </c>
    </row>
    <row r="743" spans="1:11" ht="15.75" customHeight="1" x14ac:dyDescent="0.25">
      <c r="A743" s="5">
        <v>16</v>
      </c>
      <c r="B743" s="5">
        <v>2023</v>
      </c>
      <c r="C743" s="12">
        <v>45197</v>
      </c>
      <c r="D743" s="5" t="s">
        <v>62</v>
      </c>
      <c r="E743" s="5" t="s">
        <v>68</v>
      </c>
      <c r="F743" s="5">
        <v>3</v>
      </c>
      <c r="G743" s="5" t="s">
        <v>51</v>
      </c>
      <c r="H743" s="5">
        <v>7</v>
      </c>
      <c r="I743" s="5">
        <v>1</v>
      </c>
      <c r="J743" s="5">
        <v>3</v>
      </c>
      <c r="K743" s="5" t="s">
        <v>29</v>
      </c>
    </row>
    <row r="744" spans="1:11" ht="15.75" customHeight="1" x14ac:dyDescent="0.25">
      <c r="A744" s="5">
        <v>16</v>
      </c>
      <c r="B744" s="5">
        <v>2023</v>
      </c>
      <c r="C744" s="12">
        <v>45197</v>
      </c>
      <c r="D744" s="5" t="s">
        <v>62</v>
      </c>
      <c r="E744" s="5" t="s">
        <v>68</v>
      </c>
      <c r="F744" s="5">
        <v>3</v>
      </c>
      <c r="G744" s="5" t="s">
        <v>51</v>
      </c>
      <c r="H744" s="5">
        <v>8</v>
      </c>
      <c r="I744" s="5">
        <v>1</v>
      </c>
      <c r="J744" s="5">
        <v>3.5</v>
      </c>
      <c r="K744" s="5" t="s">
        <v>35</v>
      </c>
    </row>
    <row r="745" spans="1:11" ht="15.75" customHeight="1" x14ac:dyDescent="0.25">
      <c r="A745" s="5">
        <v>16</v>
      </c>
      <c r="B745" s="5">
        <v>2023</v>
      </c>
      <c r="C745" s="12">
        <v>45197</v>
      </c>
      <c r="D745" s="5" t="s">
        <v>62</v>
      </c>
      <c r="E745" s="5" t="s">
        <v>68</v>
      </c>
      <c r="F745" s="5">
        <v>3</v>
      </c>
      <c r="G745" s="5" t="s">
        <v>51</v>
      </c>
      <c r="H745" s="5">
        <v>9</v>
      </c>
      <c r="I745" s="5">
        <v>1</v>
      </c>
      <c r="J745" s="5">
        <v>4</v>
      </c>
      <c r="K745" s="5" t="s">
        <v>35</v>
      </c>
    </row>
    <row r="746" spans="1:11" ht="15.75" customHeight="1" x14ac:dyDescent="0.25">
      <c r="A746" s="5">
        <v>16</v>
      </c>
      <c r="B746" s="5">
        <v>2023</v>
      </c>
      <c r="C746" s="12">
        <v>45197</v>
      </c>
      <c r="D746" s="5" t="s">
        <v>62</v>
      </c>
      <c r="E746" s="5" t="s">
        <v>68</v>
      </c>
      <c r="F746" s="5">
        <v>3</v>
      </c>
      <c r="G746" s="5" t="s">
        <v>51</v>
      </c>
      <c r="H746" s="5">
        <v>10</v>
      </c>
      <c r="I746" s="5">
        <v>1</v>
      </c>
      <c r="J746" s="5">
        <v>4.5</v>
      </c>
      <c r="K746" s="5" t="s">
        <v>35</v>
      </c>
    </row>
    <row r="747" spans="1:11" ht="15.75" customHeight="1" x14ac:dyDescent="0.25">
      <c r="A747" s="5">
        <v>16</v>
      </c>
      <c r="B747" s="5">
        <v>2023</v>
      </c>
      <c r="C747" s="12">
        <v>45197</v>
      </c>
      <c r="D747" s="5" t="s">
        <v>62</v>
      </c>
      <c r="E747" s="5" t="s">
        <v>68</v>
      </c>
      <c r="F747" s="5">
        <v>3</v>
      </c>
      <c r="G747" s="5" t="s">
        <v>51</v>
      </c>
      <c r="H747" s="5">
        <v>11</v>
      </c>
      <c r="I747" s="5">
        <v>1</v>
      </c>
      <c r="J747" s="5">
        <v>5</v>
      </c>
      <c r="K747" s="5" t="s">
        <v>35</v>
      </c>
    </row>
    <row r="748" spans="1:11" ht="15.75" customHeight="1" x14ac:dyDescent="0.25">
      <c r="A748" s="5">
        <v>16</v>
      </c>
      <c r="B748" s="5">
        <v>2023</v>
      </c>
      <c r="C748" s="12">
        <v>45197</v>
      </c>
      <c r="D748" s="5" t="s">
        <v>62</v>
      </c>
      <c r="E748" s="5" t="s">
        <v>68</v>
      </c>
      <c r="F748" s="5">
        <v>3</v>
      </c>
      <c r="G748" s="5" t="s">
        <v>51</v>
      </c>
      <c r="H748" s="5">
        <v>12</v>
      </c>
      <c r="I748" s="5">
        <v>1</v>
      </c>
      <c r="J748" s="5">
        <v>5.5</v>
      </c>
      <c r="K748" s="5" t="s">
        <v>35</v>
      </c>
    </row>
    <row r="749" spans="1:11" ht="15.75" customHeight="1" x14ac:dyDescent="0.25">
      <c r="A749" s="5">
        <v>16</v>
      </c>
      <c r="B749" s="5">
        <v>2023</v>
      </c>
      <c r="C749" s="12">
        <v>45197</v>
      </c>
      <c r="D749" s="5" t="s">
        <v>62</v>
      </c>
      <c r="E749" s="5" t="s">
        <v>68</v>
      </c>
      <c r="F749" s="5">
        <v>3</v>
      </c>
      <c r="G749" s="5" t="s">
        <v>51</v>
      </c>
      <c r="H749" s="5">
        <v>13</v>
      </c>
      <c r="I749" s="5">
        <v>1</v>
      </c>
      <c r="J749" s="5">
        <v>6.5</v>
      </c>
      <c r="K749" s="5" t="s">
        <v>35</v>
      </c>
    </row>
    <row r="750" spans="1:11" ht="15.75" customHeight="1" x14ac:dyDescent="0.25">
      <c r="A750" s="5">
        <v>16</v>
      </c>
      <c r="B750" s="5">
        <v>2023</v>
      </c>
      <c r="C750" s="12">
        <v>45197</v>
      </c>
      <c r="D750" s="5" t="s">
        <v>62</v>
      </c>
      <c r="E750" s="5" t="s">
        <v>68</v>
      </c>
      <c r="F750" s="5">
        <v>3</v>
      </c>
      <c r="G750" s="5" t="s">
        <v>51</v>
      </c>
      <c r="H750" s="5">
        <v>13</v>
      </c>
      <c r="I750" s="5">
        <v>1</v>
      </c>
      <c r="J750" s="5">
        <v>6.5</v>
      </c>
      <c r="K750" s="5" t="s">
        <v>29</v>
      </c>
    </row>
    <row r="751" spans="1:11" ht="15.75" customHeight="1" x14ac:dyDescent="0.25">
      <c r="A751" s="5">
        <v>16</v>
      </c>
      <c r="B751" s="5">
        <v>2023</v>
      </c>
      <c r="C751" s="12">
        <v>45197</v>
      </c>
      <c r="D751" s="5" t="s">
        <v>62</v>
      </c>
      <c r="E751" s="5" t="s">
        <v>68</v>
      </c>
      <c r="F751" s="5">
        <v>3</v>
      </c>
      <c r="G751" s="5" t="s">
        <v>51</v>
      </c>
      <c r="H751" s="5">
        <v>14</v>
      </c>
      <c r="I751" s="5">
        <v>1</v>
      </c>
      <c r="J751" s="5">
        <v>7</v>
      </c>
      <c r="K751" s="5" t="s">
        <v>35</v>
      </c>
    </row>
    <row r="752" spans="1:11" ht="15.75" customHeight="1" x14ac:dyDescent="0.25">
      <c r="A752" s="5">
        <v>16</v>
      </c>
      <c r="B752" s="5">
        <v>2023</v>
      </c>
      <c r="C752" s="12">
        <v>45197</v>
      </c>
      <c r="D752" s="5" t="s">
        <v>62</v>
      </c>
      <c r="E752" s="5" t="s">
        <v>68</v>
      </c>
      <c r="F752" s="5">
        <v>3</v>
      </c>
      <c r="G752" s="5" t="s">
        <v>51</v>
      </c>
      <c r="H752" s="5">
        <v>15</v>
      </c>
      <c r="I752" s="5">
        <v>1</v>
      </c>
      <c r="J752" s="5">
        <v>7.5</v>
      </c>
      <c r="K752" s="5" t="s">
        <v>35</v>
      </c>
    </row>
    <row r="753" spans="1:11" ht="15.75" customHeight="1" x14ac:dyDescent="0.25">
      <c r="A753" s="5">
        <v>16</v>
      </c>
      <c r="B753" s="5">
        <v>2023</v>
      </c>
      <c r="C753" s="12">
        <v>45197</v>
      </c>
      <c r="D753" s="5" t="s">
        <v>62</v>
      </c>
      <c r="E753" s="5" t="s">
        <v>68</v>
      </c>
      <c r="F753" s="5">
        <v>3</v>
      </c>
      <c r="G753" s="5" t="s">
        <v>51</v>
      </c>
      <c r="H753" s="5">
        <v>1</v>
      </c>
      <c r="I753" s="5">
        <v>2</v>
      </c>
      <c r="J753" s="5">
        <v>0</v>
      </c>
      <c r="K753" s="5" t="s">
        <v>27</v>
      </c>
    </row>
    <row r="754" spans="1:11" ht="15.75" customHeight="1" x14ac:dyDescent="0.25">
      <c r="A754" s="5">
        <v>16</v>
      </c>
      <c r="B754" s="5">
        <v>2023</v>
      </c>
      <c r="C754" s="12">
        <v>45197</v>
      </c>
      <c r="D754" s="5" t="s">
        <v>62</v>
      </c>
      <c r="E754" s="5" t="s">
        <v>68</v>
      </c>
      <c r="F754" s="5">
        <v>3</v>
      </c>
      <c r="G754" s="5" t="s">
        <v>51</v>
      </c>
      <c r="H754" s="5">
        <v>1</v>
      </c>
      <c r="I754" s="5">
        <v>2</v>
      </c>
      <c r="J754" s="5">
        <v>0</v>
      </c>
      <c r="K754" s="5" t="s">
        <v>29</v>
      </c>
    </row>
    <row r="755" spans="1:11" ht="15.75" customHeight="1" x14ac:dyDescent="0.25">
      <c r="A755" s="5">
        <v>16</v>
      </c>
      <c r="B755" s="5">
        <v>2023</v>
      </c>
      <c r="C755" s="12">
        <v>45197</v>
      </c>
      <c r="D755" s="5" t="s">
        <v>62</v>
      </c>
      <c r="E755" s="5" t="s">
        <v>68</v>
      </c>
      <c r="F755" s="5">
        <v>3</v>
      </c>
      <c r="G755" s="5" t="s">
        <v>51</v>
      </c>
      <c r="H755" s="5">
        <v>2</v>
      </c>
      <c r="I755" s="5">
        <v>2</v>
      </c>
      <c r="J755" s="5">
        <v>0.5</v>
      </c>
      <c r="K755" s="5" t="s">
        <v>27</v>
      </c>
    </row>
    <row r="756" spans="1:11" ht="15.75" customHeight="1" x14ac:dyDescent="0.25">
      <c r="A756" s="5">
        <v>16</v>
      </c>
      <c r="B756" s="5">
        <v>2023</v>
      </c>
      <c r="C756" s="12">
        <v>45197</v>
      </c>
      <c r="D756" s="5" t="s">
        <v>62</v>
      </c>
      <c r="E756" s="5" t="s">
        <v>68</v>
      </c>
      <c r="F756" s="5">
        <v>3</v>
      </c>
      <c r="G756" s="5" t="s">
        <v>51</v>
      </c>
      <c r="H756" s="5">
        <v>2</v>
      </c>
      <c r="I756" s="5">
        <v>2</v>
      </c>
      <c r="J756" s="5">
        <v>0.5</v>
      </c>
      <c r="K756" s="5" t="s">
        <v>29</v>
      </c>
    </row>
    <row r="757" spans="1:11" ht="15.75" customHeight="1" x14ac:dyDescent="0.25">
      <c r="A757" s="5">
        <v>16</v>
      </c>
      <c r="B757" s="5">
        <v>2023</v>
      </c>
      <c r="C757" s="12">
        <v>45197</v>
      </c>
      <c r="D757" s="5" t="s">
        <v>62</v>
      </c>
      <c r="E757" s="5" t="s">
        <v>68</v>
      </c>
      <c r="F757" s="5">
        <v>3</v>
      </c>
      <c r="G757" s="5" t="s">
        <v>51</v>
      </c>
      <c r="H757" s="5">
        <v>3</v>
      </c>
      <c r="I757" s="5">
        <v>2</v>
      </c>
      <c r="J757" s="5">
        <v>1</v>
      </c>
      <c r="K757" s="5" t="s">
        <v>27</v>
      </c>
    </row>
    <row r="758" spans="1:11" ht="15.75" customHeight="1" x14ac:dyDescent="0.25">
      <c r="A758" s="5">
        <v>16</v>
      </c>
      <c r="B758" s="5">
        <v>2023</v>
      </c>
      <c r="C758" s="12">
        <v>45197</v>
      </c>
      <c r="D758" s="5" t="s">
        <v>62</v>
      </c>
      <c r="E758" s="5" t="s">
        <v>68</v>
      </c>
      <c r="F758" s="5">
        <v>3</v>
      </c>
      <c r="G758" s="5" t="s">
        <v>51</v>
      </c>
      <c r="H758" s="5">
        <v>3</v>
      </c>
      <c r="I758" s="5">
        <v>2</v>
      </c>
      <c r="J758" s="5">
        <v>1</v>
      </c>
      <c r="K758" s="5" t="s">
        <v>48</v>
      </c>
    </row>
    <row r="759" spans="1:11" ht="15.75" customHeight="1" x14ac:dyDescent="0.25">
      <c r="A759" s="5">
        <v>16</v>
      </c>
      <c r="B759" s="5">
        <v>2023</v>
      </c>
      <c r="C759" s="12">
        <v>45197</v>
      </c>
      <c r="D759" s="5" t="s">
        <v>62</v>
      </c>
      <c r="E759" s="5" t="s">
        <v>68</v>
      </c>
      <c r="F759" s="5">
        <v>3</v>
      </c>
      <c r="G759" s="5" t="s">
        <v>51</v>
      </c>
      <c r="H759" s="5">
        <v>4</v>
      </c>
      <c r="I759" s="5">
        <v>2</v>
      </c>
      <c r="J759" s="5">
        <v>1.5</v>
      </c>
      <c r="K759" s="5" t="s">
        <v>35</v>
      </c>
    </row>
    <row r="760" spans="1:11" ht="15.75" customHeight="1" x14ac:dyDescent="0.25">
      <c r="A760" s="5">
        <v>16</v>
      </c>
      <c r="B760" s="5">
        <v>2023</v>
      </c>
      <c r="C760" s="12">
        <v>45197</v>
      </c>
      <c r="D760" s="5" t="s">
        <v>62</v>
      </c>
      <c r="E760" s="5" t="s">
        <v>68</v>
      </c>
      <c r="F760" s="5">
        <v>3</v>
      </c>
      <c r="G760" s="5" t="s">
        <v>51</v>
      </c>
      <c r="H760" s="5">
        <v>5</v>
      </c>
      <c r="I760" s="5">
        <v>2</v>
      </c>
      <c r="J760" s="5">
        <v>2.5</v>
      </c>
      <c r="K760" s="5" t="s">
        <v>35</v>
      </c>
    </row>
    <row r="761" spans="1:11" ht="15.75" customHeight="1" x14ac:dyDescent="0.25">
      <c r="A761" s="5">
        <v>16</v>
      </c>
      <c r="B761" s="5">
        <v>2023</v>
      </c>
      <c r="C761" s="12">
        <v>45197</v>
      </c>
      <c r="D761" s="5" t="s">
        <v>62</v>
      </c>
      <c r="E761" s="5" t="s">
        <v>68</v>
      </c>
      <c r="F761" s="5">
        <v>3</v>
      </c>
      <c r="G761" s="5" t="s">
        <v>51</v>
      </c>
      <c r="H761" s="5">
        <v>6</v>
      </c>
      <c r="I761" s="5">
        <v>2</v>
      </c>
      <c r="J761" s="5">
        <v>3</v>
      </c>
      <c r="K761" s="5" t="s">
        <v>35</v>
      </c>
    </row>
    <row r="762" spans="1:11" ht="15.75" customHeight="1" x14ac:dyDescent="0.25">
      <c r="A762" s="5">
        <v>16</v>
      </c>
      <c r="B762" s="5">
        <v>2023</v>
      </c>
      <c r="C762" s="12">
        <v>45197</v>
      </c>
      <c r="D762" s="5" t="s">
        <v>62</v>
      </c>
      <c r="E762" s="5" t="s">
        <v>68</v>
      </c>
      <c r="F762" s="5">
        <v>3</v>
      </c>
      <c r="G762" s="5" t="s">
        <v>51</v>
      </c>
      <c r="H762" s="5">
        <v>7</v>
      </c>
      <c r="I762" s="5">
        <v>2</v>
      </c>
      <c r="J762" s="5">
        <v>3.5</v>
      </c>
      <c r="K762" s="5" t="s">
        <v>27</v>
      </c>
    </row>
    <row r="763" spans="1:11" ht="15.75" customHeight="1" x14ac:dyDescent="0.25">
      <c r="A763" s="5">
        <v>16</v>
      </c>
      <c r="B763" s="5">
        <v>2023</v>
      </c>
      <c r="C763" s="12">
        <v>45197</v>
      </c>
      <c r="D763" s="5" t="s">
        <v>62</v>
      </c>
      <c r="E763" s="5" t="s">
        <v>68</v>
      </c>
      <c r="F763" s="5">
        <v>3</v>
      </c>
      <c r="G763" s="5" t="s">
        <v>51</v>
      </c>
      <c r="H763" s="5">
        <v>7</v>
      </c>
      <c r="I763" s="5">
        <v>2</v>
      </c>
      <c r="J763" s="5">
        <v>3.5</v>
      </c>
      <c r="K763" s="5" t="s">
        <v>54</v>
      </c>
    </row>
    <row r="764" spans="1:11" ht="15.75" customHeight="1" x14ac:dyDescent="0.25">
      <c r="A764" s="5">
        <v>16</v>
      </c>
      <c r="B764" s="5">
        <v>2023</v>
      </c>
      <c r="C764" s="12">
        <v>45197</v>
      </c>
      <c r="D764" s="5" t="s">
        <v>62</v>
      </c>
      <c r="E764" s="5" t="s">
        <v>68</v>
      </c>
      <c r="F764" s="5">
        <v>3</v>
      </c>
      <c r="G764" s="5" t="s">
        <v>51</v>
      </c>
      <c r="H764" s="5">
        <v>8</v>
      </c>
      <c r="I764" s="5">
        <v>2</v>
      </c>
      <c r="J764" s="5">
        <v>4</v>
      </c>
      <c r="K764" s="5" t="s">
        <v>27</v>
      </c>
    </row>
    <row r="765" spans="1:11" ht="15.75" customHeight="1" x14ac:dyDescent="0.25">
      <c r="A765" s="5">
        <v>16</v>
      </c>
      <c r="B765" s="5">
        <v>2023</v>
      </c>
      <c r="C765" s="12">
        <v>45197</v>
      </c>
      <c r="D765" s="5" t="s">
        <v>62</v>
      </c>
      <c r="E765" s="5" t="s">
        <v>68</v>
      </c>
      <c r="F765" s="5">
        <v>3</v>
      </c>
      <c r="G765" s="5" t="s">
        <v>51</v>
      </c>
      <c r="H765" s="5">
        <v>8</v>
      </c>
      <c r="I765" s="5">
        <v>2</v>
      </c>
      <c r="J765" s="5">
        <v>4</v>
      </c>
      <c r="K765" s="5" t="s">
        <v>48</v>
      </c>
    </row>
    <row r="766" spans="1:11" ht="15.75" customHeight="1" x14ac:dyDescent="0.25">
      <c r="A766" s="5">
        <v>16</v>
      </c>
      <c r="B766" s="5">
        <v>2023</v>
      </c>
      <c r="C766" s="12">
        <v>45197</v>
      </c>
      <c r="D766" s="5" t="s">
        <v>62</v>
      </c>
      <c r="E766" s="5" t="s">
        <v>68</v>
      </c>
      <c r="F766" s="5">
        <v>3</v>
      </c>
      <c r="G766" s="5" t="s">
        <v>51</v>
      </c>
      <c r="H766" s="5">
        <v>9</v>
      </c>
      <c r="I766" s="5">
        <v>2</v>
      </c>
      <c r="J766" s="5">
        <v>4.5</v>
      </c>
      <c r="K766" s="5" t="s">
        <v>27</v>
      </c>
    </row>
    <row r="767" spans="1:11" ht="15.75" customHeight="1" x14ac:dyDescent="0.25">
      <c r="A767" s="5">
        <v>16</v>
      </c>
      <c r="B767" s="5">
        <v>2023</v>
      </c>
      <c r="C767" s="12">
        <v>45197</v>
      </c>
      <c r="D767" s="5" t="s">
        <v>62</v>
      </c>
      <c r="E767" s="5" t="s">
        <v>68</v>
      </c>
      <c r="F767" s="5">
        <v>3</v>
      </c>
      <c r="G767" s="5" t="s">
        <v>51</v>
      </c>
      <c r="H767" s="5">
        <v>9</v>
      </c>
      <c r="I767" s="5">
        <v>2</v>
      </c>
      <c r="J767" s="5">
        <v>4.5</v>
      </c>
      <c r="K767" s="5" t="s">
        <v>48</v>
      </c>
    </row>
    <row r="768" spans="1:11" ht="15.75" customHeight="1" x14ac:dyDescent="0.25">
      <c r="A768" s="5">
        <v>16</v>
      </c>
      <c r="B768" s="5">
        <v>2023</v>
      </c>
      <c r="C768" s="12">
        <v>45197</v>
      </c>
      <c r="D768" s="5" t="s">
        <v>62</v>
      </c>
      <c r="E768" s="5" t="s">
        <v>68</v>
      </c>
      <c r="F768" s="5">
        <v>3</v>
      </c>
      <c r="G768" s="5" t="s">
        <v>51</v>
      </c>
      <c r="H768" s="5">
        <v>10</v>
      </c>
      <c r="I768" s="5">
        <v>2</v>
      </c>
      <c r="J768" s="5">
        <v>5</v>
      </c>
      <c r="K768" s="5" t="s">
        <v>35</v>
      </c>
    </row>
    <row r="769" spans="1:11" ht="15.75" customHeight="1" x14ac:dyDescent="0.25">
      <c r="A769" s="5">
        <v>16</v>
      </c>
      <c r="B769" s="5">
        <v>2023</v>
      </c>
      <c r="C769" s="12">
        <v>45197</v>
      </c>
      <c r="D769" s="5" t="s">
        <v>62</v>
      </c>
      <c r="E769" s="5" t="s">
        <v>68</v>
      </c>
      <c r="F769" s="5">
        <v>3</v>
      </c>
      <c r="G769" s="5" t="s">
        <v>51</v>
      </c>
      <c r="H769" s="5">
        <v>11</v>
      </c>
      <c r="I769" s="5">
        <v>2</v>
      </c>
      <c r="J769" s="5">
        <v>5.5</v>
      </c>
      <c r="K769" s="5" t="s">
        <v>27</v>
      </c>
    </row>
    <row r="770" spans="1:11" ht="15.75" customHeight="1" x14ac:dyDescent="0.25">
      <c r="A770" s="5">
        <v>16</v>
      </c>
      <c r="B770" s="5">
        <v>2023</v>
      </c>
      <c r="C770" s="12">
        <v>45197</v>
      </c>
      <c r="D770" s="5" t="s">
        <v>62</v>
      </c>
      <c r="E770" s="5" t="s">
        <v>68</v>
      </c>
      <c r="F770" s="5">
        <v>3</v>
      </c>
      <c r="G770" s="5" t="s">
        <v>51</v>
      </c>
      <c r="H770" s="5">
        <v>12</v>
      </c>
      <c r="I770" s="5">
        <v>2</v>
      </c>
      <c r="J770" s="5">
        <v>6</v>
      </c>
      <c r="K770" s="5" t="s">
        <v>58</v>
      </c>
    </row>
    <row r="771" spans="1:11" ht="15.75" customHeight="1" x14ac:dyDescent="0.25">
      <c r="A771" s="5">
        <v>16</v>
      </c>
      <c r="B771" s="5">
        <v>2023</v>
      </c>
      <c r="C771" s="12">
        <v>45197</v>
      </c>
      <c r="D771" s="5" t="s">
        <v>62</v>
      </c>
      <c r="E771" s="5" t="s">
        <v>68</v>
      </c>
      <c r="F771" s="5">
        <v>3</v>
      </c>
      <c r="G771" s="5" t="s">
        <v>51</v>
      </c>
      <c r="H771" s="5">
        <v>12</v>
      </c>
      <c r="I771" s="5">
        <v>2</v>
      </c>
      <c r="J771" s="5">
        <v>6</v>
      </c>
      <c r="K771" s="5" t="s">
        <v>34</v>
      </c>
    </row>
    <row r="772" spans="1:11" ht="15.75" customHeight="1" x14ac:dyDescent="0.25">
      <c r="A772" s="5">
        <v>16</v>
      </c>
      <c r="B772" s="5">
        <v>2023</v>
      </c>
      <c r="C772" s="12">
        <v>45197</v>
      </c>
      <c r="D772" s="5" t="s">
        <v>62</v>
      </c>
      <c r="E772" s="5" t="s">
        <v>68</v>
      </c>
      <c r="F772" s="5">
        <v>3</v>
      </c>
      <c r="G772" s="5" t="s">
        <v>51</v>
      </c>
      <c r="H772" s="5">
        <v>12</v>
      </c>
      <c r="I772" s="5">
        <v>2</v>
      </c>
      <c r="J772" s="5">
        <v>6</v>
      </c>
      <c r="K772" s="5" t="s">
        <v>54</v>
      </c>
    </row>
    <row r="773" spans="1:11" ht="15.75" customHeight="1" x14ac:dyDescent="0.25">
      <c r="A773" s="5">
        <v>16</v>
      </c>
      <c r="B773" s="5">
        <v>2023</v>
      </c>
      <c r="C773" s="12">
        <v>45197</v>
      </c>
      <c r="D773" s="5" t="s">
        <v>62</v>
      </c>
      <c r="E773" s="5" t="s">
        <v>68</v>
      </c>
      <c r="F773" s="5">
        <v>3</v>
      </c>
      <c r="G773" s="5" t="s">
        <v>51</v>
      </c>
      <c r="H773" s="5">
        <v>13</v>
      </c>
      <c r="I773" s="5">
        <v>2</v>
      </c>
      <c r="J773" s="5">
        <v>6.5</v>
      </c>
      <c r="K773" s="5" t="s">
        <v>27</v>
      </c>
    </row>
    <row r="774" spans="1:11" ht="15.75" customHeight="1" x14ac:dyDescent="0.25">
      <c r="A774" s="5">
        <v>16</v>
      </c>
      <c r="B774" s="5">
        <v>2023</v>
      </c>
      <c r="C774" s="12">
        <v>45197</v>
      </c>
      <c r="D774" s="5" t="s">
        <v>62</v>
      </c>
      <c r="E774" s="5" t="s">
        <v>68</v>
      </c>
      <c r="F774" s="5">
        <v>3</v>
      </c>
      <c r="G774" s="5" t="s">
        <v>51</v>
      </c>
      <c r="H774" s="5">
        <v>14</v>
      </c>
      <c r="I774" s="5">
        <v>2</v>
      </c>
      <c r="J774" s="5">
        <v>7</v>
      </c>
      <c r="K774" s="5" t="s">
        <v>58</v>
      </c>
    </row>
    <row r="775" spans="1:11" ht="15.75" customHeight="1" x14ac:dyDescent="0.25">
      <c r="A775" s="5">
        <v>16</v>
      </c>
      <c r="B775" s="5">
        <v>2023</v>
      </c>
      <c r="C775" s="12">
        <v>45197</v>
      </c>
      <c r="D775" s="5" t="s">
        <v>62</v>
      </c>
      <c r="E775" s="5" t="s">
        <v>68</v>
      </c>
      <c r="F775" s="5">
        <v>3</v>
      </c>
      <c r="G775" s="5" t="s">
        <v>51</v>
      </c>
      <c r="H775" s="5">
        <v>14</v>
      </c>
      <c r="I775" s="5">
        <v>2</v>
      </c>
      <c r="J775" s="5">
        <v>7</v>
      </c>
      <c r="K775" s="5" t="s">
        <v>34</v>
      </c>
    </row>
    <row r="776" spans="1:11" ht="15.75" customHeight="1" x14ac:dyDescent="0.25">
      <c r="A776" s="5">
        <v>16</v>
      </c>
      <c r="B776" s="5">
        <v>2023</v>
      </c>
      <c r="C776" s="12">
        <v>45197</v>
      </c>
      <c r="D776" s="5" t="s">
        <v>62</v>
      </c>
      <c r="E776" s="5" t="s">
        <v>68</v>
      </c>
      <c r="F776" s="5">
        <v>3</v>
      </c>
      <c r="G776" s="5" t="s">
        <v>51</v>
      </c>
      <c r="H776" s="5">
        <v>15</v>
      </c>
      <c r="I776" s="5">
        <v>2</v>
      </c>
      <c r="J776" s="5">
        <v>7.5</v>
      </c>
      <c r="K776" s="5" t="s">
        <v>35</v>
      </c>
    </row>
    <row r="777" spans="1:11" ht="15.75" customHeight="1" x14ac:dyDescent="0.25">
      <c r="A777" s="5">
        <v>17</v>
      </c>
      <c r="B777" s="5">
        <v>2023</v>
      </c>
      <c r="C777" s="12">
        <v>45197</v>
      </c>
      <c r="D777" s="14" t="s">
        <v>70</v>
      </c>
      <c r="E777" s="5" t="s">
        <v>68</v>
      </c>
      <c r="F777" s="5">
        <v>1</v>
      </c>
      <c r="G777" s="5" t="s">
        <v>26</v>
      </c>
      <c r="H777" s="5">
        <v>1</v>
      </c>
      <c r="I777" s="5">
        <v>1</v>
      </c>
      <c r="J777" s="5">
        <v>0</v>
      </c>
      <c r="K777" s="5" t="s">
        <v>35</v>
      </c>
    </row>
    <row r="778" spans="1:11" ht="15.75" customHeight="1" x14ac:dyDescent="0.25">
      <c r="A778" s="5">
        <v>17</v>
      </c>
      <c r="B778" s="5">
        <v>2023</v>
      </c>
      <c r="C778" s="12">
        <v>45197</v>
      </c>
      <c r="D778" s="14" t="s">
        <v>70</v>
      </c>
      <c r="E778" s="5" t="s">
        <v>68</v>
      </c>
      <c r="F778" s="5">
        <v>1</v>
      </c>
      <c r="G778" s="5" t="s">
        <v>26</v>
      </c>
      <c r="H778" s="5">
        <v>1</v>
      </c>
      <c r="I778" s="5">
        <v>1</v>
      </c>
      <c r="J778" s="5">
        <v>0</v>
      </c>
      <c r="K778" s="5" t="s">
        <v>48</v>
      </c>
    </row>
    <row r="779" spans="1:11" ht="15.75" customHeight="1" x14ac:dyDescent="0.25">
      <c r="A779" s="5">
        <v>17</v>
      </c>
      <c r="B779" s="5">
        <v>2023</v>
      </c>
      <c r="C779" s="12">
        <v>45197</v>
      </c>
      <c r="D779" s="14" t="s">
        <v>70</v>
      </c>
      <c r="E779" s="5" t="s">
        <v>68</v>
      </c>
      <c r="F779" s="5">
        <v>1</v>
      </c>
      <c r="G779" s="5" t="s">
        <v>26</v>
      </c>
      <c r="H779" s="5">
        <v>2</v>
      </c>
      <c r="I779" s="5">
        <v>1</v>
      </c>
      <c r="J779" s="5">
        <v>1</v>
      </c>
      <c r="K779" s="5" t="s">
        <v>27</v>
      </c>
    </row>
    <row r="780" spans="1:11" ht="15.75" customHeight="1" x14ac:dyDescent="0.25">
      <c r="A780" s="5">
        <v>17</v>
      </c>
      <c r="B780" s="5">
        <v>2023</v>
      </c>
      <c r="C780" s="12">
        <v>45197</v>
      </c>
      <c r="D780" s="14" t="s">
        <v>70</v>
      </c>
      <c r="E780" s="5" t="s">
        <v>68</v>
      </c>
      <c r="F780" s="5">
        <v>1</v>
      </c>
      <c r="G780" s="5" t="s">
        <v>26</v>
      </c>
      <c r="H780" s="5">
        <v>2</v>
      </c>
      <c r="I780" s="5">
        <v>1</v>
      </c>
      <c r="J780" s="5">
        <v>1</v>
      </c>
      <c r="K780" s="5" t="s">
        <v>30</v>
      </c>
    </row>
    <row r="781" spans="1:11" ht="15.75" customHeight="1" x14ac:dyDescent="0.25">
      <c r="A781" s="5">
        <v>17</v>
      </c>
      <c r="B781" s="5">
        <v>2023</v>
      </c>
      <c r="C781" s="12">
        <v>45197</v>
      </c>
      <c r="D781" s="14" t="s">
        <v>70</v>
      </c>
      <c r="E781" s="5" t="s">
        <v>68</v>
      </c>
      <c r="F781" s="5">
        <v>1</v>
      </c>
      <c r="G781" s="5" t="s">
        <v>26</v>
      </c>
      <c r="H781" s="5">
        <v>2</v>
      </c>
      <c r="I781" s="5">
        <v>1</v>
      </c>
      <c r="J781" s="5">
        <v>1</v>
      </c>
      <c r="K781" s="5" t="s">
        <v>48</v>
      </c>
    </row>
    <row r="782" spans="1:11" ht="15.75" customHeight="1" x14ac:dyDescent="0.25">
      <c r="A782" s="5">
        <v>17</v>
      </c>
      <c r="B782" s="5">
        <v>2023</v>
      </c>
      <c r="C782" s="12">
        <v>45197</v>
      </c>
      <c r="D782" s="14" t="s">
        <v>70</v>
      </c>
      <c r="E782" s="5" t="s">
        <v>68</v>
      </c>
      <c r="F782" s="5">
        <v>1</v>
      </c>
      <c r="G782" s="5" t="s">
        <v>26</v>
      </c>
      <c r="H782" s="5">
        <v>3</v>
      </c>
      <c r="I782" s="5">
        <v>1</v>
      </c>
      <c r="J782" s="5">
        <v>1.5</v>
      </c>
      <c r="K782" s="5" t="s">
        <v>27</v>
      </c>
    </row>
    <row r="783" spans="1:11" ht="15.75" customHeight="1" x14ac:dyDescent="0.25">
      <c r="A783" s="5">
        <v>17</v>
      </c>
      <c r="B783" s="5">
        <v>2023</v>
      </c>
      <c r="C783" s="12">
        <v>45197</v>
      </c>
      <c r="D783" s="14" t="s">
        <v>70</v>
      </c>
      <c r="E783" s="5" t="s">
        <v>68</v>
      </c>
      <c r="F783" s="5">
        <v>1</v>
      </c>
      <c r="G783" s="5" t="s">
        <v>26</v>
      </c>
      <c r="H783" s="5">
        <v>3</v>
      </c>
      <c r="I783" s="5">
        <v>1</v>
      </c>
      <c r="J783" s="5">
        <v>1.5</v>
      </c>
      <c r="K783" s="5" t="s">
        <v>55</v>
      </c>
    </row>
    <row r="784" spans="1:11" ht="15.75" customHeight="1" x14ac:dyDescent="0.25">
      <c r="A784" s="5">
        <v>17</v>
      </c>
      <c r="B784" s="5">
        <v>2023</v>
      </c>
      <c r="C784" s="12">
        <v>45197</v>
      </c>
      <c r="D784" s="14" t="s">
        <v>70</v>
      </c>
      <c r="E784" s="5" t="s">
        <v>68</v>
      </c>
      <c r="F784" s="5">
        <v>1</v>
      </c>
      <c r="G784" s="5" t="s">
        <v>26</v>
      </c>
      <c r="H784" s="5">
        <v>3</v>
      </c>
      <c r="I784" s="5">
        <v>1</v>
      </c>
      <c r="J784" s="5">
        <v>1.5</v>
      </c>
      <c r="K784" s="5" t="s">
        <v>48</v>
      </c>
    </row>
    <row r="785" spans="1:11" ht="15.75" customHeight="1" x14ac:dyDescent="0.25">
      <c r="A785" s="5">
        <v>17</v>
      </c>
      <c r="B785" s="5">
        <v>2023</v>
      </c>
      <c r="C785" s="12">
        <v>45197</v>
      </c>
      <c r="D785" s="14" t="s">
        <v>70</v>
      </c>
      <c r="E785" s="5" t="s">
        <v>68</v>
      </c>
      <c r="F785" s="5">
        <v>1</v>
      </c>
      <c r="G785" s="5" t="s">
        <v>26</v>
      </c>
      <c r="H785" s="5">
        <v>4</v>
      </c>
      <c r="I785" s="5">
        <v>1</v>
      </c>
      <c r="J785" s="5">
        <v>2</v>
      </c>
      <c r="K785" s="5" t="s">
        <v>27</v>
      </c>
    </row>
    <row r="786" spans="1:11" ht="15.75" customHeight="1" x14ac:dyDescent="0.25">
      <c r="A786" s="5">
        <v>17</v>
      </c>
      <c r="B786" s="5">
        <v>2023</v>
      </c>
      <c r="C786" s="12">
        <v>45197</v>
      </c>
      <c r="D786" s="14" t="s">
        <v>70</v>
      </c>
      <c r="E786" s="5" t="s">
        <v>68</v>
      </c>
      <c r="F786" s="5">
        <v>1</v>
      </c>
      <c r="G786" s="5" t="s">
        <v>26</v>
      </c>
      <c r="H786" s="5">
        <v>4</v>
      </c>
      <c r="I786" s="5">
        <v>1</v>
      </c>
      <c r="J786" s="5">
        <v>2</v>
      </c>
      <c r="K786" s="5" t="s">
        <v>30</v>
      </c>
    </row>
    <row r="787" spans="1:11" ht="15.75" customHeight="1" x14ac:dyDescent="0.25">
      <c r="A787" s="5">
        <v>17</v>
      </c>
      <c r="B787" s="5">
        <v>2023</v>
      </c>
      <c r="C787" s="12">
        <v>45197</v>
      </c>
      <c r="D787" s="14" t="s">
        <v>70</v>
      </c>
      <c r="E787" s="5" t="s">
        <v>68</v>
      </c>
      <c r="F787" s="5">
        <v>1</v>
      </c>
      <c r="G787" s="5" t="s">
        <v>26</v>
      </c>
      <c r="H787" s="5">
        <v>4</v>
      </c>
      <c r="I787" s="5">
        <v>1</v>
      </c>
      <c r="J787" s="5">
        <v>2</v>
      </c>
      <c r="K787" s="5" t="s">
        <v>48</v>
      </c>
    </row>
    <row r="788" spans="1:11" ht="15.75" customHeight="1" x14ac:dyDescent="0.25">
      <c r="A788" s="5">
        <v>17</v>
      </c>
      <c r="B788" s="5">
        <v>2023</v>
      </c>
      <c r="C788" s="12">
        <v>45197</v>
      </c>
      <c r="D788" s="14" t="s">
        <v>70</v>
      </c>
      <c r="E788" s="5" t="s">
        <v>68</v>
      </c>
      <c r="F788" s="5">
        <v>1</v>
      </c>
      <c r="G788" s="5" t="s">
        <v>26</v>
      </c>
      <c r="H788" s="5">
        <v>5</v>
      </c>
      <c r="I788" s="5">
        <v>1</v>
      </c>
      <c r="J788" s="5">
        <v>3</v>
      </c>
      <c r="K788" s="5" t="s">
        <v>35</v>
      </c>
    </row>
    <row r="789" spans="1:11" ht="15.75" customHeight="1" x14ac:dyDescent="0.25">
      <c r="A789" s="5">
        <v>17</v>
      </c>
      <c r="B789" s="5">
        <v>2023</v>
      </c>
      <c r="C789" s="12">
        <v>45197</v>
      </c>
      <c r="D789" s="14" t="s">
        <v>70</v>
      </c>
      <c r="E789" s="5" t="s">
        <v>68</v>
      </c>
      <c r="F789" s="5">
        <v>1</v>
      </c>
      <c r="G789" s="5" t="s">
        <v>26</v>
      </c>
      <c r="H789" s="5">
        <v>5</v>
      </c>
      <c r="I789" s="5">
        <v>1</v>
      </c>
      <c r="J789" s="5">
        <v>3</v>
      </c>
      <c r="K789" s="5" t="s">
        <v>48</v>
      </c>
    </row>
    <row r="790" spans="1:11" ht="15.75" customHeight="1" x14ac:dyDescent="0.25">
      <c r="A790" s="5">
        <v>17</v>
      </c>
      <c r="B790" s="5">
        <v>2023</v>
      </c>
      <c r="C790" s="12">
        <v>45197</v>
      </c>
      <c r="D790" s="14" t="s">
        <v>70</v>
      </c>
      <c r="E790" s="5" t="s">
        <v>68</v>
      </c>
      <c r="F790" s="5">
        <v>1</v>
      </c>
      <c r="G790" s="5" t="s">
        <v>26</v>
      </c>
      <c r="H790" s="5">
        <v>6</v>
      </c>
      <c r="I790" s="5">
        <v>1</v>
      </c>
      <c r="J790" s="5">
        <v>3.5</v>
      </c>
      <c r="K790" s="5" t="s">
        <v>35</v>
      </c>
    </row>
    <row r="791" spans="1:11" ht="15.75" customHeight="1" x14ac:dyDescent="0.25">
      <c r="A791" s="5">
        <v>17</v>
      </c>
      <c r="B791" s="5">
        <v>2023</v>
      </c>
      <c r="C791" s="12">
        <v>45197</v>
      </c>
      <c r="D791" s="14" t="s">
        <v>70</v>
      </c>
      <c r="E791" s="5" t="s">
        <v>68</v>
      </c>
      <c r="F791" s="5">
        <v>1</v>
      </c>
      <c r="G791" s="5" t="s">
        <v>26</v>
      </c>
      <c r="H791" s="5">
        <v>6</v>
      </c>
      <c r="I791" s="5">
        <v>1</v>
      </c>
      <c r="J791" s="5">
        <v>3.5</v>
      </c>
      <c r="K791" s="5" t="s">
        <v>48</v>
      </c>
    </row>
    <row r="792" spans="1:11" ht="15.75" customHeight="1" x14ac:dyDescent="0.25">
      <c r="A792" s="5">
        <v>17</v>
      </c>
      <c r="B792" s="5">
        <v>2023</v>
      </c>
      <c r="C792" s="12">
        <v>45197</v>
      </c>
      <c r="D792" s="14" t="s">
        <v>70</v>
      </c>
      <c r="E792" s="5" t="s">
        <v>68</v>
      </c>
      <c r="F792" s="5">
        <v>1</v>
      </c>
      <c r="G792" s="5" t="s">
        <v>26</v>
      </c>
      <c r="H792" s="5">
        <v>7</v>
      </c>
      <c r="I792" s="5">
        <v>1</v>
      </c>
      <c r="J792" s="5">
        <v>4</v>
      </c>
      <c r="K792" s="5" t="s">
        <v>27</v>
      </c>
    </row>
    <row r="793" spans="1:11" ht="15.75" customHeight="1" x14ac:dyDescent="0.25">
      <c r="A793" s="5">
        <v>17</v>
      </c>
      <c r="B793" s="5">
        <v>2023</v>
      </c>
      <c r="C793" s="12">
        <v>45197</v>
      </c>
      <c r="D793" s="14" t="s">
        <v>70</v>
      </c>
      <c r="E793" s="5" t="s">
        <v>68</v>
      </c>
      <c r="F793" s="5">
        <v>1</v>
      </c>
      <c r="G793" s="5" t="s">
        <v>26</v>
      </c>
      <c r="H793" s="5">
        <v>7</v>
      </c>
      <c r="I793" s="5">
        <v>1</v>
      </c>
      <c r="J793" s="5">
        <v>4</v>
      </c>
      <c r="K793" s="5" t="s">
        <v>48</v>
      </c>
    </row>
    <row r="794" spans="1:11" ht="15.75" customHeight="1" x14ac:dyDescent="0.25">
      <c r="A794" s="5">
        <v>17</v>
      </c>
      <c r="B794" s="5">
        <v>2023</v>
      </c>
      <c r="C794" s="12">
        <v>45197</v>
      </c>
      <c r="D794" s="14" t="s">
        <v>70</v>
      </c>
      <c r="E794" s="5" t="s">
        <v>68</v>
      </c>
      <c r="F794" s="5">
        <v>1</v>
      </c>
      <c r="G794" s="5" t="s">
        <v>26</v>
      </c>
      <c r="H794" s="5">
        <v>8</v>
      </c>
      <c r="I794" s="5">
        <v>1</v>
      </c>
      <c r="J794" s="5">
        <v>5</v>
      </c>
      <c r="K794" s="5" t="s">
        <v>27</v>
      </c>
    </row>
    <row r="795" spans="1:11" ht="15.75" customHeight="1" x14ac:dyDescent="0.25">
      <c r="A795" s="5">
        <v>17</v>
      </c>
      <c r="B795" s="5">
        <v>2023</v>
      </c>
      <c r="C795" s="12">
        <v>45197</v>
      </c>
      <c r="D795" s="14" t="s">
        <v>70</v>
      </c>
      <c r="E795" s="5" t="s">
        <v>68</v>
      </c>
      <c r="F795" s="5">
        <v>1</v>
      </c>
      <c r="G795" s="5" t="s">
        <v>26</v>
      </c>
      <c r="H795" s="5">
        <v>8</v>
      </c>
      <c r="I795" s="5">
        <v>1</v>
      </c>
      <c r="J795" s="5">
        <v>5</v>
      </c>
      <c r="K795" s="5" t="s">
        <v>48</v>
      </c>
    </row>
    <row r="796" spans="1:11" ht="15.75" customHeight="1" x14ac:dyDescent="0.25">
      <c r="A796" s="5">
        <v>17</v>
      </c>
      <c r="B796" s="5">
        <v>2023</v>
      </c>
      <c r="C796" s="12">
        <v>45197</v>
      </c>
      <c r="D796" s="14" t="s">
        <v>70</v>
      </c>
      <c r="E796" s="5" t="s">
        <v>68</v>
      </c>
      <c r="F796" s="5">
        <v>1</v>
      </c>
      <c r="G796" s="5" t="s">
        <v>26</v>
      </c>
      <c r="H796" s="5">
        <v>9</v>
      </c>
      <c r="I796" s="5">
        <v>1</v>
      </c>
      <c r="J796" s="5">
        <v>7</v>
      </c>
      <c r="K796" s="5" t="s">
        <v>35</v>
      </c>
    </row>
    <row r="797" spans="1:11" ht="15.75" customHeight="1" x14ac:dyDescent="0.25">
      <c r="A797" s="5">
        <v>17</v>
      </c>
      <c r="B797" s="5">
        <v>2023</v>
      </c>
      <c r="C797" s="12">
        <v>45197</v>
      </c>
      <c r="D797" s="14" t="s">
        <v>70</v>
      </c>
      <c r="E797" s="5" t="s">
        <v>68</v>
      </c>
      <c r="F797" s="5">
        <v>1</v>
      </c>
      <c r="G797" s="5" t="s">
        <v>26</v>
      </c>
      <c r="H797" s="5">
        <v>9</v>
      </c>
      <c r="I797" s="5">
        <v>1</v>
      </c>
      <c r="J797" s="5">
        <v>7</v>
      </c>
      <c r="K797" s="5" t="s">
        <v>48</v>
      </c>
    </row>
    <row r="798" spans="1:11" ht="15.75" customHeight="1" x14ac:dyDescent="0.25">
      <c r="A798" s="5">
        <v>17</v>
      </c>
      <c r="B798" s="5">
        <v>2023</v>
      </c>
      <c r="C798" s="12">
        <v>45197</v>
      </c>
      <c r="D798" s="14" t="s">
        <v>70</v>
      </c>
      <c r="E798" s="5" t="s">
        <v>68</v>
      </c>
      <c r="F798" s="5">
        <v>1</v>
      </c>
      <c r="G798" s="5" t="s">
        <v>26</v>
      </c>
      <c r="H798" s="5">
        <v>10</v>
      </c>
      <c r="I798" s="5">
        <v>1</v>
      </c>
      <c r="J798" s="5">
        <v>8</v>
      </c>
      <c r="K798" s="5" t="s">
        <v>35</v>
      </c>
    </row>
    <row r="799" spans="1:11" ht="15.75" customHeight="1" x14ac:dyDescent="0.25">
      <c r="A799" s="5">
        <v>17</v>
      </c>
      <c r="B799" s="5">
        <v>2023</v>
      </c>
      <c r="C799" s="12">
        <v>45197</v>
      </c>
      <c r="D799" s="14" t="s">
        <v>70</v>
      </c>
      <c r="E799" s="5" t="s">
        <v>68</v>
      </c>
      <c r="F799" s="5">
        <v>1</v>
      </c>
      <c r="G799" s="5" t="s">
        <v>26</v>
      </c>
      <c r="H799" s="5">
        <v>11</v>
      </c>
      <c r="I799" s="5">
        <v>1</v>
      </c>
      <c r="J799" s="5">
        <v>8.5</v>
      </c>
      <c r="K799" s="5" t="s">
        <v>35</v>
      </c>
    </row>
    <row r="800" spans="1:11" ht="15.75" customHeight="1" x14ac:dyDescent="0.25">
      <c r="A800" s="5">
        <v>17</v>
      </c>
      <c r="B800" s="5">
        <v>2023</v>
      </c>
      <c r="C800" s="12">
        <v>45197</v>
      </c>
      <c r="D800" s="14" t="s">
        <v>70</v>
      </c>
      <c r="E800" s="5" t="s">
        <v>68</v>
      </c>
      <c r="F800" s="5">
        <v>1</v>
      </c>
      <c r="G800" s="5" t="s">
        <v>26</v>
      </c>
      <c r="H800" s="5">
        <v>11</v>
      </c>
      <c r="I800" s="5">
        <v>1</v>
      </c>
      <c r="J800" s="5">
        <v>8.5</v>
      </c>
      <c r="K800" s="5" t="s">
        <v>48</v>
      </c>
    </row>
    <row r="801" spans="1:11" ht="15.75" customHeight="1" x14ac:dyDescent="0.25">
      <c r="A801" s="5">
        <v>17</v>
      </c>
      <c r="B801" s="5">
        <v>2023</v>
      </c>
      <c r="C801" s="12">
        <v>45197</v>
      </c>
      <c r="D801" s="14" t="s">
        <v>70</v>
      </c>
      <c r="E801" s="5" t="s">
        <v>68</v>
      </c>
      <c r="F801" s="5">
        <v>1</v>
      </c>
      <c r="G801" s="5" t="s">
        <v>26</v>
      </c>
      <c r="H801" s="5">
        <v>12</v>
      </c>
      <c r="I801" s="5">
        <v>1</v>
      </c>
      <c r="J801" s="5">
        <v>9</v>
      </c>
      <c r="K801" s="5" t="s">
        <v>27</v>
      </c>
    </row>
    <row r="802" spans="1:11" ht="15.75" customHeight="1" x14ac:dyDescent="0.25">
      <c r="A802" s="5">
        <v>17</v>
      </c>
      <c r="B802" s="5">
        <v>2023</v>
      </c>
      <c r="C802" s="12">
        <v>45197</v>
      </c>
      <c r="D802" s="14" t="s">
        <v>70</v>
      </c>
      <c r="E802" s="5" t="s">
        <v>68</v>
      </c>
      <c r="F802" s="5">
        <v>1</v>
      </c>
      <c r="G802" s="5" t="s">
        <v>26</v>
      </c>
      <c r="H802" s="5">
        <v>12</v>
      </c>
      <c r="I802" s="5">
        <v>1</v>
      </c>
      <c r="J802" s="5">
        <v>9</v>
      </c>
      <c r="K802" s="5" t="s">
        <v>48</v>
      </c>
    </row>
    <row r="803" spans="1:11" ht="15.75" customHeight="1" x14ac:dyDescent="0.25">
      <c r="A803" s="5">
        <v>17</v>
      </c>
      <c r="B803" s="5">
        <v>2023</v>
      </c>
      <c r="C803" s="12">
        <v>45197</v>
      </c>
      <c r="D803" s="14" t="s">
        <v>70</v>
      </c>
      <c r="E803" s="5" t="s">
        <v>68</v>
      </c>
      <c r="F803" s="5">
        <v>1</v>
      </c>
      <c r="G803" s="5" t="s">
        <v>26</v>
      </c>
      <c r="H803" s="5">
        <v>13</v>
      </c>
      <c r="I803" s="5">
        <v>1</v>
      </c>
      <c r="J803" s="5">
        <v>10</v>
      </c>
      <c r="K803" s="5" t="s">
        <v>35</v>
      </c>
    </row>
    <row r="804" spans="1:11" ht="15.75" customHeight="1" x14ac:dyDescent="0.25">
      <c r="A804" s="5">
        <v>17</v>
      </c>
      <c r="B804" s="5">
        <v>2023</v>
      </c>
      <c r="C804" s="12">
        <v>45197</v>
      </c>
      <c r="D804" s="14" t="s">
        <v>70</v>
      </c>
      <c r="E804" s="5" t="s">
        <v>68</v>
      </c>
      <c r="F804" s="5">
        <v>1</v>
      </c>
      <c r="G804" s="5" t="s">
        <v>26</v>
      </c>
      <c r="H804" s="5">
        <v>13</v>
      </c>
      <c r="I804" s="5">
        <v>1</v>
      </c>
      <c r="J804" s="5">
        <v>10</v>
      </c>
      <c r="K804" s="5" t="s">
        <v>48</v>
      </c>
    </row>
    <row r="805" spans="1:11" ht="15.75" customHeight="1" x14ac:dyDescent="0.25">
      <c r="A805" s="5">
        <v>17</v>
      </c>
      <c r="B805" s="5">
        <v>2023</v>
      </c>
      <c r="C805" s="12">
        <v>45197</v>
      </c>
      <c r="D805" s="14" t="s">
        <v>70</v>
      </c>
      <c r="E805" s="5" t="s">
        <v>68</v>
      </c>
      <c r="F805" s="5">
        <v>1</v>
      </c>
      <c r="G805" s="5" t="s">
        <v>26</v>
      </c>
      <c r="H805" s="5">
        <v>14</v>
      </c>
      <c r="I805" s="5">
        <v>1</v>
      </c>
      <c r="J805" s="5">
        <v>11</v>
      </c>
      <c r="K805" s="5" t="s">
        <v>35</v>
      </c>
    </row>
    <row r="806" spans="1:11" ht="15.75" customHeight="1" x14ac:dyDescent="0.25">
      <c r="A806" s="5">
        <v>17</v>
      </c>
      <c r="B806" s="5">
        <v>2023</v>
      </c>
      <c r="C806" s="12">
        <v>45197</v>
      </c>
      <c r="D806" s="14" t="s">
        <v>70</v>
      </c>
      <c r="E806" s="5" t="s">
        <v>68</v>
      </c>
      <c r="F806" s="5">
        <v>1</v>
      </c>
      <c r="G806" s="5" t="s">
        <v>26</v>
      </c>
      <c r="H806" s="5">
        <v>14</v>
      </c>
      <c r="I806" s="5">
        <v>1</v>
      </c>
      <c r="J806" s="5">
        <v>11</v>
      </c>
      <c r="K806" s="5" t="s">
        <v>48</v>
      </c>
    </row>
    <row r="807" spans="1:11" ht="15.75" customHeight="1" x14ac:dyDescent="0.25">
      <c r="A807" s="5">
        <v>17</v>
      </c>
      <c r="B807" s="5">
        <v>2023</v>
      </c>
      <c r="C807" s="12">
        <v>45197</v>
      </c>
      <c r="D807" s="14" t="s">
        <v>70</v>
      </c>
      <c r="E807" s="5" t="s">
        <v>68</v>
      </c>
      <c r="F807" s="5">
        <v>1</v>
      </c>
      <c r="G807" s="5" t="s">
        <v>26</v>
      </c>
      <c r="H807" s="5">
        <v>15</v>
      </c>
      <c r="I807" s="5">
        <v>1</v>
      </c>
      <c r="J807" s="5">
        <v>12</v>
      </c>
      <c r="K807" s="5" t="s">
        <v>35</v>
      </c>
    </row>
    <row r="808" spans="1:11" ht="15.75" customHeight="1" x14ac:dyDescent="0.25">
      <c r="A808" s="5">
        <v>17</v>
      </c>
      <c r="B808" s="5">
        <v>2023</v>
      </c>
      <c r="C808" s="12">
        <v>45197</v>
      </c>
      <c r="D808" s="14" t="s">
        <v>70</v>
      </c>
      <c r="E808" s="5" t="s">
        <v>68</v>
      </c>
      <c r="F808" s="5">
        <v>1</v>
      </c>
      <c r="G808" s="5" t="s">
        <v>26</v>
      </c>
      <c r="H808" s="5">
        <v>1</v>
      </c>
      <c r="I808" s="5">
        <v>2</v>
      </c>
      <c r="J808" s="5">
        <v>0</v>
      </c>
      <c r="K808" s="8" t="s">
        <v>27</v>
      </c>
    </row>
    <row r="809" spans="1:11" ht="15.75" customHeight="1" x14ac:dyDescent="0.25">
      <c r="A809" s="5">
        <v>17</v>
      </c>
      <c r="B809" s="5">
        <v>2023</v>
      </c>
      <c r="C809" s="12">
        <v>45197</v>
      </c>
      <c r="D809" s="14" t="s">
        <v>70</v>
      </c>
      <c r="E809" s="5" t="s">
        <v>68</v>
      </c>
      <c r="F809" s="5">
        <v>1</v>
      </c>
      <c r="G809" s="5" t="s">
        <v>26</v>
      </c>
      <c r="H809" s="5">
        <v>1</v>
      </c>
      <c r="I809" s="5">
        <v>2</v>
      </c>
      <c r="J809" s="5">
        <v>0</v>
      </c>
      <c r="K809" s="8" t="s">
        <v>56</v>
      </c>
    </row>
    <row r="810" spans="1:11" ht="15.75" customHeight="1" x14ac:dyDescent="0.25">
      <c r="A810" s="5">
        <v>17</v>
      </c>
      <c r="B810" s="5">
        <v>2023</v>
      </c>
      <c r="C810" s="12">
        <v>45197</v>
      </c>
      <c r="D810" s="14" t="s">
        <v>70</v>
      </c>
      <c r="E810" s="5" t="s">
        <v>68</v>
      </c>
      <c r="F810" s="5">
        <v>1</v>
      </c>
      <c r="G810" s="5" t="s">
        <v>26</v>
      </c>
      <c r="H810" s="5">
        <v>2</v>
      </c>
      <c r="I810" s="5">
        <v>2</v>
      </c>
      <c r="J810" s="5">
        <v>1</v>
      </c>
      <c r="K810" s="5" t="s">
        <v>35</v>
      </c>
    </row>
    <row r="811" spans="1:11" ht="15.75" customHeight="1" x14ac:dyDescent="0.25">
      <c r="A811" s="5">
        <v>17</v>
      </c>
      <c r="B811" s="5">
        <v>2023</v>
      </c>
      <c r="C811" s="12">
        <v>45197</v>
      </c>
      <c r="D811" s="14" t="s">
        <v>70</v>
      </c>
      <c r="E811" s="5" t="s">
        <v>68</v>
      </c>
      <c r="F811" s="5">
        <v>1</v>
      </c>
      <c r="G811" s="5" t="s">
        <v>26</v>
      </c>
      <c r="H811" s="5">
        <v>2</v>
      </c>
      <c r="I811" s="5">
        <v>2</v>
      </c>
      <c r="J811" s="5">
        <v>1</v>
      </c>
      <c r="K811" s="5" t="s">
        <v>37</v>
      </c>
    </row>
    <row r="812" spans="1:11" ht="15.75" customHeight="1" x14ac:dyDescent="0.25">
      <c r="A812" s="5">
        <v>17</v>
      </c>
      <c r="B812" s="5">
        <v>2023</v>
      </c>
      <c r="C812" s="12">
        <v>45197</v>
      </c>
      <c r="D812" s="14" t="s">
        <v>70</v>
      </c>
      <c r="E812" s="5" t="s">
        <v>68</v>
      </c>
      <c r="F812" s="5">
        <v>1</v>
      </c>
      <c r="G812" s="5" t="s">
        <v>26</v>
      </c>
      <c r="H812" s="5">
        <v>3</v>
      </c>
      <c r="I812" s="5">
        <v>2</v>
      </c>
      <c r="J812" s="5">
        <v>1.5</v>
      </c>
      <c r="K812" s="5" t="s">
        <v>35</v>
      </c>
    </row>
    <row r="813" spans="1:11" ht="15.75" customHeight="1" x14ac:dyDescent="0.25">
      <c r="A813" s="5">
        <v>17</v>
      </c>
      <c r="B813" s="5">
        <v>2023</v>
      </c>
      <c r="C813" s="12">
        <v>45197</v>
      </c>
      <c r="D813" s="14" t="s">
        <v>70</v>
      </c>
      <c r="E813" s="5" t="s">
        <v>68</v>
      </c>
      <c r="F813" s="5">
        <v>1</v>
      </c>
      <c r="G813" s="5" t="s">
        <v>26</v>
      </c>
      <c r="H813" s="5">
        <v>3</v>
      </c>
      <c r="I813" s="5">
        <v>2</v>
      </c>
      <c r="J813" s="5">
        <v>1.5</v>
      </c>
      <c r="K813" s="5" t="s">
        <v>37</v>
      </c>
    </row>
    <row r="814" spans="1:11" ht="15.75" customHeight="1" x14ac:dyDescent="0.25">
      <c r="A814" s="5">
        <v>17</v>
      </c>
      <c r="B814" s="5">
        <v>2023</v>
      </c>
      <c r="C814" s="12">
        <v>45197</v>
      </c>
      <c r="D814" s="14" t="s">
        <v>70</v>
      </c>
      <c r="E814" s="5" t="s">
        <v>68</v>
      </c>
      <c r="F814" s="5">
        <v>1</v>
      </c>
      <c r="G814" s="5" t="s">
        <v>26</v>
      </c>
      <c r="H814" s="5">
        <v>4</v>
      </c>
      <c r="I814" s="5">
        <v>2</v>
      </c>
      <c r="J814" s="5">
        <v>2</v>
      </c>
      <c r="K814" s="5" t="s">
        <v>35</v>
      </c>
    </row>
    <row r="815" spans="1:11" ht="15.75" customHeight="1" x14ac:dyDescent="0.25">
      <c r="A815" s="5">
        <v>17</v>
      </c>
      <c r="B815" s="5">
        <v>2023</v>
      </c>
      <c r="C815" s="12">
        <v>45197</v>
      </c>
      <c r="D815" s="14" t="s">
        <v>70</v>
      </c>
      <c r="E815" s="5" t="s">
        <v>68</v>
      </c>
      <c r="F815" s="5">
        <v>1</v>
      </c>
      <c r="G815" s="5" t="s">
        <v>26</v>
      </c>
      <c r="H815" s="5">
        <v>5</v>
      </c>
      <c r="I815" s="5">
        <v>2</v>
      </c>
      <c r="J815" s="5">
        <v>3</v>
      </c>
      <c r="K815" s="5" t="s">
        <v>27</v>
      </c>
    </row>
    <row r="816" spans="1:11" ht="15.75" customHeight="1" x14ac:dyDescent="0.25">
      <c r="A816" s="5">
        <v>17</v>
      </c>
      <c r="B816" s="5">
        <v>2023</v>
      </c>
      <c r="C816" s="12">
        <v>45197</v>
      </c>
      <c r="D816" s="14" t="s">
        <v>70</v>
      </c>
      <c r="E816" s="5" t="s">
        <v>68</v>
      </c>
      <c r="F816" s="5">
        <v>1</v>
      </c>
      <c r="G816" s="5" t="s">
        <v>26</v>
      </c>
      <c r="H816" s="5">
        <v>6</v>
      </c>
      <c r="I816" s="5">
        <v>2</v>
      </c>
      <c r="J816" s="5">
        <v>3.5</v>
      </c>
      <c r="K816" s="5" t="s">
        <v>35</v>
      </c>
    </row>
    <row r="817" spans="1:11" ht="15.75" customHeight="1" x14ac:dyDescent="0.25">
      <c r="A817" s="5">
        <v>17</v>
      </c>
      <c r="B817" s="5">
        <v>2023</v>
      </c>
      <c r="C817" s="12">
        <v>45197</v>
      </c>
      <c r="D817" s="14" t="s">
        <v>70</v>
      </c>
      <c r="E817" s="5" t="s">
        <v>68</v>
      </c>
      <c r="F817" s="5">
        <v>1</v>
      </c>
      <c r="G817" s="5" t="s">
        <v>26</v>
      </c>
      <c r="H817" s="5">
        <v>7</v>
      </c>
      <c r="I817" s="5">
        <v>2</v>
      </c>
      <c r="J817" s="5">
        <v>4</v>
      </c>
      <c r="K817" s="5" t="s">
        <v>27</v>
      </c>
    </row>
    <row r="818" spans="1:11" ht="15.75" customHeight="1" x14ac:dyDescent="0.25">
      <c r="A818" s="5">
        <v>17</v>
      </c>
      <c r="B818" s="5">
        <v>2023</v>
      </c>
      <c r="C818" s="12">
        <v>45197</v>
      </c>
      <c r="D818" s="14" t="s">
        <v>70</v>
      </c>
      <c r="E818" s="5" t="s">
        <v>68</v>
      </c>
      <c r="F818" s="5">
        <v>1</v>
      </c>
      <c r="G818" s="5" t="s">
        <v>26</v>
      </c>
      <c r="H818" s="5">
        <v>8</v>
      </c>
      <c r="I818" s="5">
        <v>2</v>
      </c>
      <c r="J818" s="5">
        <v>5</v>
      </c>
      <c r="K818" s="5" t="s">
        <v>27</v>
      </c>
    </row>
    <row r="819" spans="1:11" ht="15.75" customHeight="1" x14ac:dyDescent="0.25">
      <c r="A819" s="5">
        <v>17</v>
      </c>
      <c r="B819" s="5">
        <v>2023</v>
      </c>
      <c r="C819" s="12">
        <v>45197</v>
      </c>
      <c r="D819" s="14" t="s">
        <v>70</v>
      </c>
      <c r="E819" s="5" t="s">
        <v>68</v>
      </c>
      <c r="F819" s="5">
        <v>1</v>
      </c>
      <c r="G819" s="5" t="s">
        <v>26</v>
      </c>
      <c r="H819" s="5">
        <v>9</v>
      </c>
      <c r="I819" s="5">
        <v>2</v>
      </c>
      <c r="J819" s="5">
        <v>7</v>
      </c>
      <c r="K819" s="5" t="s">
        <v>27</v>
      </c>
    </row>
    <row r="820" spans="1:11" ht="15.75" customHeight="1" x14ac:dyDescent="0.25">
      <c r="A820" s="5">
        <v>17</v>
      </c>
      <c r="B820" s="5">
        <v>2023</v>
      </c>
      <c r="C820" s="12">
        <v>45197</v>
      </c>
      <c r="D820" s="14" t="s">
        <v>70</v>
      </c>
      <c r="E820" s="5" t="s">
        <v>68</v>
      </c>
      <c r="F820" s="5">
        <v>1</v>
      </c>
      <c r="G820" s="5" t="s">
        <v>26</v>
      </c>
      <c r="H820" s="5">
        <v>10</v>
      </c>
      <c r="I820" s="5">
        <v>2</v>
      </c>
      <c r="J820" s="5">
        <v>8</v>
      </c>
      <c r="K820" s="5" t="s">
        <v>35</v>
      </c>
    </row>
    <row r="821" spans="1:11" ht="15.75" customHeight="1" x14ac:dyDescent="0.25">
      <c r="A821" s="5">
        <v>17</v>
      </c>
      <c r="B821" s="5">
        <v>2023</v>
      </c>
      <c r="C821" s="12">
        <v>45197</v>
      </c>
      <c r="D821" s="14" t="s">
        <v>70</v>
      </c>
      <c r="E821" s="5" t="s">
        <v>68</v>
      </c>
      <c r="F821" s="5">
        <v>1</v>
      </c>
      <c r="G821" s="5" t="s">
        <v>26</v>
      </c>
      <c r="H821" s="5">
        <v>11</v>
      </c>
      <c r="I821" s="5">
        <v>2</v>
      </c>
      <c r="J821" s="5">
        <v>8.5</v>
      </c>
      <c r="K821" s="5" t="s">
        <v>35</v>
      </c>
    </row>
    <row r="822" spans="1:11" ht="15.75" customHeight="1" x14ac:dyDescent="0.25">
      <c r="A822" s="5">
        <v>17</v>
      </c>
      <c r="B822" s="5">
        <v>2023</v>
      </c>
      <c r="C822" s="12">
        <v>45197</v>
      </c>
      <c r="D822" s="14" t="s">
        <v>70</v>
      </c>
      <c r="E822" s="5" t="s">
        <v>68</v>
      </c>
      <c r="F822" s="5">
        <v>1</v>
      </c>
      <c r="G822" s="5" t="s">
        <v>26</v>
      </c>
      <c r="H822" s="5">
        <v>12</v>
      </c>
      <c r="I822" s="5">
        <v>2</v>
      </c>
      <c r="J822" s="5">
        <v>9</v>
      </c>
      <c r="K822" s="5" t="s">
        <v>27</v>
      </c>
    </row>
    <row r="823" spans="1:11" ht="15.75" customHeight="1" x14ac:dyDescent="0.25">
      <c r="A823" s="5">
        <v>17</v>
      </c>
      <c r="B823" s="5">
        <v>2023</v>
      </c>
      <c r="C823" s="12">
        <v>45197</v>
      </c>
      <c r="D823" s="14" t="s">
        <v>70</v>
      </c>
      <c r="E823" s="5" t="s">
        <v>68</v>
      </c>
      <c r="F823" s="5">
        <v>1</v>
      </c>
      <c r="G823" s="5" t="s">
        <v>26</v>
      </c>
      <c r="H823" s="5">
        <v>13</v>
      </c>
      <c r="I823" s="5">
        <v>2</v>
      </c>
      <c r="J823" s="5">
        <v>10</v>
      </c>
      <c r="K823" s="5" t="s">
        <v>35</v>
      </c>
    </row>
    <row r="824" spans="1:11" ht="15.75" customHeight="1" x14ac:dyDescent="0.25">
      <c r="A824" s="5">
        <v>17</v>
      </c>
      <c r="B824" s="5">
        <v>2023</v>
      </c>
      <c r="C824" s="12">
        <v>45197</v>
      </c>
      <c r="D824" s="14" t="s">
        <v>70</v>
      </c>
      <c r="E824" s="5" t="s">
        <v>68</v>
      </c>
      <c r="F824" s="5">
        <v>1</v>
      </c>
      <c r="G824" s="5" t="s">
        <v>26</v>
      </c>
      <c r="H824" s="5">
        <v>14</v>
      </c>
      <c r="I824" s="5">
        <v>2</v>
      </c>
      <c r="J824" s="5">
        <v>11</v>
      </c>
      <c r="K824" s="5" t="s">
        <v>27</v>
      </c>
    </row>
    <row r="825" spans="1:11" ht="15.75" customHeight="1" x14ac:dyDescent="0.25">
      <c r="A825" s="5">
        <v>17</v>
      </c>
      <c r="B825" s="5">
        <v>2023</v>
      </c>
      <c r="C825" s="12">
        <v>45197</v>
      </c>
      <c r="D825" s="14" t="s">
        <v>70</v>
      </c>
      <c r="E825" s="5" t="s">
        <v>68</v>
      </c>
      <c r="F825" s="5">
        <v>1</v>
      </c>
      <c r="G825" s="5" t="s">
        <v>26</v>
      </c>
      <c r="H825" s="5">
        <v>15</v>
      </c>
      <c r="I825" s="5">
        <v>2</v>
      </c>
      <c r="J825" s="5">
        <v>12</v>
      </c>
      <c r="K825" s="5" t="s">
        <v>35</v>
      </c>
    </row>
    <row r="826" spans="1:11" ht="15.75" customHeight="1" x14ac:dyDescent="0.25">
      <c r="A826" s="5">
        <v>18</v>
      </c>
      <c r="B826" s="5">
        <v>2023</v>
      </c>
      <c r="C826" s="12">
        <v>45197</v>
      </c>
      <c r="D826" s="14" t="s">
        <v>72</v>
      </c>
      <c r="E826" s="5" t="s">
        <v>68</v>
      </c>
      <c r="F826" s="5">
        <v>1</v>
      </c>
      <c r="G826" s="5" t="s">
        <v>36</v>
      </c>
      <c r="H826" s="5">
        <v>1</v>
      </c>
      <c r="I826" s="5">
        <v>1</v>
      </c>
      <c r="J826" s="5">
        <v>0</v>
      </c>
      <c r="K826" s="5" t="s">
        <v>27</v>
      </c>
    </row>
    <row r="827" spans="1:11" ht="15.75" customHeight="1" x14ac:dyDescent="0.25">
      <c r="A827" s="5">
        <v>18</v>
      </c>
      <c r="B827" s="5">
        <v>2023</v>
      </c>
      <c r="C827" s="12">
        <v>45197</v>
      </c>
      <c r="D827" s="14" t="s">
        <v>72</v>
      </c>
      <c r="E827" s="5" t="s">
        <v>68</v>
      </c>
      <c r="F827" s="5">
        <v>1</v>
      </c>
      <c r="G827" s="5" t="s">
        <v>36</v>
      </c>
      <c r="H827" s="5">
        <v>1</v>
      </c>
      <c r="I827" s="5">
        <v>1</v>
      </c>
      <c r="J827" s="5">
        <v>0</v>
      </c>
      <c r="K827" s="5" t="s">
        <v>48</v>
      </c>
    </row>
    <row r="828" spans="1:11" ht="15.75" customHeight="1" x14ac:dyDescent="0.25">
      <c r="A828" s="5">
        <v>18</v>
      </c>
      <c r="B828" s="5">
        <v>2023</v>
      </c>
      <c r="C828" s="12">
        <v>45197</v>
      </c>
      <c r="D828" s="14" t="s">
        <v>72</v>
      </c>
      <c r="E828" s="5" t="s">
        <v>68</v>
      </c>
      <c r="F828" s="5">
        <v>1</v>
      </c>
      <c r="G828" s="5" t="s">
        <v>36</v>
      </c>
      <c r="H828" s="5">
        <v>2</v>
      </c>
      <c r="I828" s="5">
        <v>1</v>
      </c>
      <c r="J828" s="5">
        <v>1</v>
      </c>
      <c r="K828" s="5" t="s">
        <v>27</v>
      </c>
    </row>
    <row r="829" spans="1:11" ht="15.75" customHeight="1" x14ac:dyDescent="0.25">
      <c r="A829" s="5">
        <v>18</v>
      </c>
      <c r="B829" s="5">
        <v>2023</v>
      </c>
      <c r="C829" s="12">
        <v>45197</v>
      </c>
      <c r="D829" s="14" t="s">
        <v>72</v>
      </c>
      <c r="E829" s="5" t="s">
        <v>68</v>
      </c>
      <c r="F829" s="5">
        <v>1</v>
      </c>
      <c r="G829" s="5" t="s">
        <v>36</v>
      </c>
      <c r="H829" s="5">
        <v>2</v>
      </c>
      <c r="I829" s="5">
        <v>1</v>
      </c>
      <c r="J829" s="5">
        <v>1</v>
      </c>
      <c r="K829" s="5" t="s">
        <v>48</v>
      </c>
    </row>
    <row r="830" spans="1:11" ht="15.75" customHeight="1" x14ac:dyDescent="0.25">
      <c r="A830" s="5">
        <v>18</v>
      </c>
      <c r="B830" s="5">
        <v>2023</v>
      </c>
      <c r="C830" s="12">
        <v>45197</v>
      </c>
      <c r="D830" s="14" t="s">
        <v>72</v>
      </c>
      <c r="E830" s="5" t="s">
        <v>68</v>
      </c>
      <c r="F830" s="5">
        <v>1</v>
      </c>
      <c r="G830" s="5" t="s">
        <v>36</v>
      </c>
      <c r="H830" s="5">
        <v>2</v>
      </c>
      <c r="I830" s="5">
        <v>1</v>
      </c>
      <c r="J830" s="5">
        <v>1</v>
      </c>
      <c r="K830" s="5" t="s">
        <v>30</v>
      </c>
    </row>
    <row r="831" spans="1:11" ht="15.75" customHeight="1" x14ac:dyDescent="0.25">
      <c r="A831" s="5">
        <v>18</v>
      </c>
      <c r="B831" s="5">
        <v>2023</v>
      </c>
      <c r="C831" s="12">
        <v>45197</v>
      </c>
      <c r="D831" s="14" t="s">
        <v>72</v>
      </c>
      <c r="E831" s="5" t="s">
        <v>68</v>
      </c>
      <c r="F831" s="5">
        <v>1</v>
      </c>
      <c r="G831" s="5" t="s">
        <v>36</v>
      </c>
      <c r="H831" s="5">
        <v>3</v>
      </c>
      <c r="I831" s="5">
        <v>1</v>
      </c>
      <c r="J831" s="5">
        <v>1.5</v>
      </c>
      <c r="K831" s="5" t="s">
        <v>27</v>
      </c>
    </row>
    <row r="832" spans="1:11" ht="15.75" customHeight="1" x14ac:dyDescent="0.25">
      <c r="A832" s="5">
        <v>18</v>
      </c>
      <c r="B832" s="5">
        <v>2023</v>
      </c>
      <c r="C832" s="12">
        <v>45197</v>
      </c>
      <c r="D832" s="14" t="s">
        <v>72</v>
      </c>
      <c r="E832" s="5" t="s">
        <v>68</v>
      </c>
      <c r="F832" s="5">
        <v>1</v>
      </c>
      <c r="G832" s="5" t="s">
        <v>36</v>
      </c>
      <c r="H832" s="5">
        <v>3</v>
      </c>
      <c r="I832" s="5">
        <v>1</v>
      </c>
      <c r="J832" s="5">
        <v>1.5</v>
      </c>
      <c r="K832" s="5" t="s">
        <v>48</v>
      </c>
    </row>
    <row r="833" spans="1:11" ht="15.75" customHeight="1" x14ac:dyDescent="0.25">
      <c r="A833" s="5">
        <v>18</v>
      </c>
      <c r="B833" s="5">
        <v>2023</v>
      </c>
      <c r="C833" s="12">
        <v>45197</v>
      </c>
      <c r="D833" s="14" t="s">
        <v>72</v>
      </c>
      <c r="E833" s="5" t="s">
        <v>68</v>
      </c>
      <c r="F833" s="5">
        <v>1</v>
      </c>
      <c r="G833" s="5" t="s">
        <v>36</v>
      </c>
      <c r="H833" s="5">
        <v>4</v>
      </c>
      <c r="I833" s="5">
        <v>1</v>
      </c>
      <c r="J833" s="5">
        <v>2</v>
      </c>
      <c r="K833" s="5" t="s">
        <v>27</v>
      </c>
    </row>
    <row r="834" spans="1:11" ht="15.75" customHeight="1" x14ac:dyDescent="0.25">
      <c r="A834" s="5">
        <v>18</v>
      </c>
      <c r="B834" s="5">
        <v>2023</v>
      </c>
      <c r="C834" s="12">
        <v>45197</v>
      </c>
      <c r="D834" s="14" t="s">
        <v>72</v>
      </c>
      <c r="E834" s="5" t="s">
        <v>68</v>
      </c>
      <c r="F834" s="5">
        <v>1</v>
      </c>
      <c r="G834" s="5" t="s">
        <v>36</v>
      </c>
      <c r="H834" s="5">
        <v>4</v>
      </c>
      <c r="I834" s="5">
        <v>1</v>
      </c>
      <c r="J834" s="5">
        <v>2</v>
      </c>
      <c r="K834" s="5" t="s">
        <v>48</v>
      </c>
    </row>
    <row r="835" spans="1:11" ht="15.75" customHeight="1" x14ac:dyDescent="0.25">
      <c r="A835" s="5">
        <v>18</v>
      </c>
      <c r="B835" s="5">
        <v>2023</v>
      </c>
      <c r="C835" s="12">
        <v>45197</v>
      </c>
      <c r="D835" s="14" t="s">
        <v>72</v>
      </c>
      <c r="E835" s="5" t="s">
        <v>68</v>
      </c>
      <c r="F835" s="5">
        <v>1</v>
      </c>
      <c r="G835" s="5" t="s">
        <v>36</v>
      </c>
      <c r="H835" s="5">
        <v>5</v>
      </c>
      <c r="I835" s="5">
        <v>1</v>
      </c>
      <c r="J835" s="5">
        <v>3</v>
      </c>
      <c r="K835" s="5" t="s">
        <v>35</v>
      </c>
    </row>
    <row r="836" spans="1:11" ht="15.75" customHeight="1" x14ac:dyDescent="0.25">
      <c r="A836" s="5">
        <v>18</v>
      </c>
      <c r="B836" s="5">
        <v>2023</v>
      </c>
      <c r="C836" s="12">
        <v>45197</v>
      </c>
      <c r="D836" s="14" t="s">
        <v>72</v>
      </c>
      <c r="E836" s="5" t="s">
        <v>68</v>
      </c>
      <c r="F836" s="5">
        <v>1</v>
      </c>
      <c r="G836" s="5" t="s">
        <v>36</v>
      </c>
      <c r="H836" s="5">
        <v>5</v>
      </c>
      <c r="I836" s="5">
        <v>1</v>
      </c>
      <c r="J836" s="5">
        <v>3</v>
      </c>
      <c r="K836" s="5" t="s">
        <v>48</v>
      </c>
    </row>
    <row r="837" spans="1:11" ht="15.75" customHeight="1" x14ac:dyDescent="0.25">
      <c r="A837" s="5">
        <v>18</v>
      </c>
      <c r="B837" s="5">
        <v>2023</v>
      </c>
      <c r="C837" s="12">
        <v>45197</v>
      </c>
      <c r="D837" s="14" t="s">
        <v>72</v>
      </c>
      <c r="E837" s="5" t="s">
        <v>68</v>
      </c>
      <c r="F837" s="5">
        <v>1</v>
      </c>
      <c r="G837" s="5" t="s">
        <v>36</v>
      </c>
      <c r="H837" s="5">
        <v>6</v>
      </c>
      <c r="I837" s="5">
        <v>1</v>
      </c>
      <c r="J837" s="5">
        <v>3.5</v>
      </c>
      <c r="K837" s="5" t="s">
        <v>35</v>
      </c>
    </row>
    <row r="838" spans="1:11" ht="15.75" customHeight="1" x14ac:dyDescent="0.25">
      <c r="A838" s="5">
        <v>18</v>
      </c>
      <c r="B838" s="5">
        <v>2023</v>
      </c>
      <c r="C838" s="12">
        <v>45197</v>
      </c>
      <c r="D838" s="14" t="s">
        <v>72</v>
      </c>
      <c r="E838" s="5" t="s">
        <v>68</v>
      </c>
      <c r="F838" s="5">
        <v>1</v>
      </c>
      <c r="G838" s="5" t="s">
        <v>36</v>
      </c>
      <c r="H838" s="5">
        <v>6</v>
      </c>
      <c r="I838" s="5">
        <v>1</v>
      </c>
      <c r="J838" s="5">
        <v>3.5</v>
      </c>
      <c r="K838" s="5" t="s">
        <v>48</v>
      </c>
    </row>
    <row r="839" spans="1:11" ht="15.75" customHeight="1" x14ac:dyDescent="0.25">
      <c r="A839" s="5">
        <v>18</v>
      </c>
      <c r="B839" s="5">
        <v>2023</v>
      </c>
      <c r="C839" s="12">
        <v>45197</v>
      </c>
      <c r="D839" s="14" t="s">
        <v>72</v>
      </c>
      <c r="E839" s="5" t="s">
        <v>68</v>
      </c>
      <c r="F839" s="5">
        <v>1</v>
      </c>
      <c r="G839" s="5" t="s">
        <v>36</v>
      </c>
      <c r="H839" s="5">
        <v>7</v>
      </c>
      <c r="I839" s="5">
        <v>1</v>
      </c>
      <c r="J839" s="5">
        <v>4</v>
      </c>
      <c r="K839" s="5" t="s">
        <v>35</v>
      </c>
    </row>
    <row r="840" spans="1:11" ht="15.75" customHeight="1" x14ac:dyDescent="0.25">
      <c r="A840" s="5">
        <v>18</v>
      </c>
      <c r="B840" s="5">
        <v>2023</v>
      </c>
      <c r="C840" s="12">
        <v>45197</v>
      </c>
      <c r="D840" s="14" t="s">
        <v>72</v>
      </c>
      <c r="E840" s="5" t="s">
        <v>68</v>
      </c>
      <c r="F840" s="5">
        <v>1</v>
      </c>
      <c r="G840" s="5" t="s">
        <v>36</v>
      </c>
      <c r="H840" s="5">
        <v>8</v>
      </c>
      <c r="I840" s="5">
        <v>1</v>
      </c>
      <c r="J840" s="5">
        <v>5</v>
      </c>
      <c r="K840" s="5" t="s">
        <v>27</v>
      </c>
    </row>
    <row r="841" spans="1:11" ht="15.75" customHeight="1" x14ac:dyDescent="0.25">
      <c r="A841" s="5">
        <v>18</v>
      </c>
      <c r="B841" s="5">
        <v>2023</v>
      </c>
      <c r="C841" s="12">
        <v>45197</v>
      </c>
      <c r="D841" s="14" t="s">
        <v>72</v>
      </c>
      <c r="E841" s="5" t="s">
        <v>68</v>
      </c>
      <c r="F841" s="5">
        <v>1</v>
      </c>
      <c r="G841" s="5" t="s">
        <v>36</v>
      </c>
      <c r="H841" s="5">
        <v>9</v>
      </c>
      <c r="I841" s="5">
        <v>1</v>
      </c>
      <c r="J841" s="5">
        <v>7</v>
      </c>
      <c r="K841" s="5" t="s">
        <v>27</v>
      </c>
    </row>
    <row r="842" spans="1:11" ht="15.75" customHeight="1" x14ac:dyDescent="0.25">
      <c r="A842" s="5">
        <v>18</v>
      </c>
      <c r="B842" s="5">
        <v>2023</v>
      </c>
      <c r="C842" s="12">
        <v>45197</v>
      </c>
      <c r="D842" s="14" t="s">
        <v>72</v>
      </c>
      <c r="E842" s="5" t="s">
        <v>68</v>
      </c>
      <c r="F842" s="5">
        <v>1</v>
      </c>
      <c r="G842" s="5" t="s">
        <v>36</v>
      </c>
      <c r="H842" s="5">
        <v>10</v>
      </c>
      <c r="I842" s="5">
        <v>1</v>
      </c>
      <c r="J842" s="5">
        <v>8</v>
      </c>
      <c r="K842" s="5" t="s">
        <v>27</v>
      </c>
    </row>
    <row r="843" spans="1:11" ht="15.75" customHeight="1" x14ac:dyDescent="0.25">
      <c r="A843" s="5">
        <v>18</v>
      </c>
      <c r="B843" s="5">
        <v>2023</v>
      </c>
      <c r="C843" s="12">
        <v>45197</v>
      </c>
      <c r="D843" s="14" t="s">
        <v>72</v>
      </c>
      <c r="E843" s="5" t="s">
        <v>68</v>
      </c>
      <c r="F843" s="5">
        <v>1</v>
      </c>
      <c r="G843" s="5" t="s">
        <v>36</v>
      </c>
      <c r="H843" s="5">
        <v>10</v>
      </c>
      <c r="I843" s="5">
        <v>1</v>
      </c>
      <c r="J843" s="5">
        <v>8</v>
      </c>
      <c r="K843" s="5" t="s">
        <v>34</v>
      </c>
    </row>
    <row r="844" spans="1:11" ht="15.75" customHeight="1" x14ac:dyDescent="0.25">
      <c r="A844" s="5">
        <v>18</v>
      </c>
      <c r="B844" s="5">
        <v>2023</v>
      </c>
      <c r="C844" s="12">
        <v>45197</v>
      </c>
      <c r="D844" s="14" t="s">
        <v>72</v>
      </c>
      <c r="E844" s="5" t="s">
        <v>68</v>
      </c>
      <c r="F844" s="5">
        <v>1</v>
      </c>
      <c r="G844" s="5" t="s">
        <v>36</v>
      </c>
      <c r="H844" s="5">
        <v>11</v>
      </c>
      <c r="I844" s="5">
        <v>1</v>
      </c>
      <c r="J844" s="5">
        <v>8.5</v>
      </c>
      <c r="K844" s="5" t="s">
        <v>27</v>
      </c>
    </row>
    <row r="845" spans="1:11" ht="15.75" customHeight="1" x14ac:dyDescent="0.25">
      <c r="A845" s="5">
        <v>18</v>
      </c>
      <c r="B845" s="5">
        <v>2023</v>
      </c>
      <c r="C845" s="12">
        <v>45197</v>
      </c>
      <c r="D845" s="14" t="s">
        <v>72</v>
      </c>
      <c r="E845" s="5" t="s">
        <v>68</v>
      </c>
      <c r="F845" s="5">
        <v>1</v>
      </c>
      <c r="G845" s="5" t="s">
        <v>36</v>
      </c>
      <c r="H845" s="5">
        <v>11</v>
      </c>
      <c r="I845" s="5">
        <v>1</v>
      </c>
      <c r="J845" s="5">
        <v>8.5</v>
      </c>
      <c r="K845" s="5" t="s">
        <v>48</v>
      </c>
    </row>
    <row r="846" spans="1:11" ht="15.75" customHeight="1" x14ac:dyDescent="0.25">
      <c r="A846" s="5">
        <v>18</v>
      </c>
      <c r="B846" s="5">
        <v>2023</v>
      </c>
      <c r="C846" s="12">
        <v>45197</v>
      </c>
      <c r="D846" s="14" t="s">
        <v>72</v>
      </c>
      <c r="E846" s="5" t="s">
        <v>68</v>
      </c>
      <c r="F846" s="5">
        <v>1</v>
      </c>
      <c r="G846" s="5" t="s">
        <v>36</v>
      </c>
      <c r="H846" s="5">
        <v>11</v>
      </c>
      <c r="I846" s="5">
        <v>1</v>
      </c>
      <c r="J846" s="5">
        <v>8.5</v>
      </c>
      <c r="K846" s="5" t="s">
        <v>54</v>
      </c>
    </row>
    <row r="847" spans="1:11" ht="15.75" customHeight="1" x14ac:dyDescent="0.25">
      <c r="A847" s="5">
        <v>18</v>
      </c>
      <c r="B847" s="5">
        <v>2023</v>
      </c>
      <c r="C847" s="12">
        <v>45197</v>
      </c>
      <c r="D847" s="14" t="s">
        <v>72</v>
      </c>
      <c r="E847" s="5" t="s">
        <v>68</v>
      </c>
      <c r="F847" s="5">
        <v>1</v>
      </c>
      <c r="G847" s="5" t="s">
        <v>36</v>
      </c>
      <c r="H847" s="5">
        <v>11</v>
      </c>
      <c r="I847" s="5">
        <v>1</v>
      </c>
      <c r="J847" s="5">
        <v>8.5</v>
      </c>
      <c r="K847" s="5" t="s">
        <v>73</v>
      </c>
    </row>
    <row r="848" spans="1:11" ht="15.75" customHeight="1" x14ac:dyDescent="0.25">
      <c r="A848" s="5">
        <v>18</v>
      </c>
      <c r="B848" s="5">
        <v>2023</v>
      </c>
      <c r="C848" s="12">
        <v>45197</v>
      </c>
      <c r="D848" s="14" t="s">
        <v>72</v>
      </c>
      <c r="E848" s="5" t="s">
        <v>68</v>
      </c>
      <c r="F848" s="5">
        <v>1</v>
      </c>
      <c r="G848" s="5" t="s">
        <v>36</v>
      </c>
      <c r="H848" s="5">
        <v>11</v>
      </c>
      <c r="I848" s="5">
        <v>1</v>
      </c>
      <c r="J848" s="5">
        <v>8.5</v>
      </c>
      <c r="K848" s="5" t="s">
        <v>34</v>
      </c>
    </row>
    <row r="849" spans="1:11" ht="15.75" customHeight="1" x14ac:dyDescent="0.25">
      <c r="A849" s="5">
        <v>18</v>
      </c>
      <c r="B849" s="5">
        <v>2023</v>
      </c>
      <c r="C849" s="12">
        <v>45197</v>
      </c>
      <c r="D849" s="14" t="s">
        <v>72</v>
      </c>
      <c r="E849" s="5" t="s">
        <v>68</v>
      </c>
      <c r="F849" s="5">
        <v>1</v>
      </c>
      <c r="G849" s="5" t="s">
        <v>36</v>
      </c>
      <c r="H849" s="5">
        <v>12</v>
      </c>
      <c r="I849" s="5">
        <v>1</v>
      </c>
      <c r="J849" s="5">
        <v>9</v>
      </c>
      <c r="K849" s="5" t="s">
        <v>35</v>
      </c>
    </row>
    <row r="850" spans="1:11" ht="15.75" customHeight="1" x14ac:dyDescent="0.25">
      <c r="A850" s="5">
        <v>18</v>
      </c>
      <c r="B850" s="5">
        <v>2023</v>
      </c>
      <c r="C850" s="12">
        <v>45197</v>
      </c>
      <c r="D850" s="14" t="s">
        <v>72</v>
      </c>
      <c r="E850" s="5" t="s">
        <v>68</v>
      </c>
      <c r="F850" s="5">
        <v>1</v>
      </c>
      <c r="G850" s="5" t="s">
        <v>36</v>
      </c>
      <c r="H850" s="5">
        <v>13</v>
      </c>
      <c r="I850" s="5">
        <v>1</v>
      </c>
      <c r="J850" s="5">
        <v>10</v>
      </c>
      <c r="K850" s="5" t="s">
        <v>27</v>
      </c>
    </row>
    <row r="851" spans="1:11" ht="15.75" customHeight="1" x14ac:dyDescent="0.25">
      <c r="A851" s="5">
        <v>18</v>
      </c>
      <c r="B851" s="5">
        <v>2023</v>
      </c>
      <c r="C851" s="12">
        <v>45197</v>
      </c>
      <c r="D851" s="14" t="s">
        <v>72</v>
      </c>
      <c r="E851" s="5" t="s">
        <v>68</v>
      </c>
      <c r="F851" s="5">
        <v>1</v>
      </c>
      <c r="G851" s="5" t="s">
        <v>36</v>
      </c>
      <c r="H851" s="5">
        <v>14</v>
      </c>
      <c r="I851" s="5">
        <v>1</v>
      </c>
      <c r="J851" s="5">
        <v>11</v>
      </c>
      <c r="K851" s="5" t="s">
        <v>27</v>
      </c>
    </row>
    <row r="852" spans="1:11" ht="15.75" customHeight="1" x14ac:dyDescent="0.25">
      <c r="A852" s="5">
        <v>18</v>
      </c>
      <c r="B852" s="5">
        <v>2023</v>
      </c>
      <c r="C852" s="12">
        <v>45197</v>
      </c>
      <c r="D852" s="14" t="s">
        <v>72</v>
      </c>
      <c r="E852" s="5" t="s">
        <v>68</v>
      </c>
      <c r="F852" s="5">
        <v>1</v>
      </c>
      <c r="G852" s="5" t="s">
        <v>36</v>
      </c>
      <c r="H852" s="5">
        <v>14</v>
      </c>
      <c r="I852" s="5">
        <v>1</v>
      </c>
      <c r="J852" s="5">
        <v>11</v>
      </c>
      <c r="K852" s="5" t="s">
        <v>54</v>
      </c>
    </row>
    <row r="853" spans="1:11" ht="15.75" customHeight="1" x14ac:dyDescent="0.25">
      <c r="A853" s="5">
        <v>18</v>
      </c>
      <c r="B853" s="5">
        <v>2023</v>
      </c>
      <c r="C853" s="12">
        <v>45197</v>
      </c>
      <c r="D853" s="14" t="s">
        <v>72</v>
      </c>
      <c r="E853" s="5" t="s">
        <v>68</v>
      </c>
      <c r="F853" s="5">
        <v>1</v>
      </c>
      <c r="G853" s="5" t="s">
        <v>36</v>
      </c>
      <c r="H853" s="5">
        <v>15</v>
      </c>
      <c r="I853" s="5">
        <v>1</v>
      </c>
      <c r="J853" s="5">
        <v>12</v>
      </c>
      <c r="K853" s="5" t="s">
        <v>27</v>
      </c>
    </row>
    <row r="854" spans="1:11" ht="15.75" customHeight="1" x14ac:dyDescent="0.25">
      <c r="A854" s="5">
        <v>18</v>
      </c>
      <c r="B854" s="5">
        <v>2023</v>
      </c>
      <c r="C854" s="12">
        <v>45197</v>
      </c>
      <c r="D854" s="14" t="s">
        <v>72</v>
      </c>
      <c r="E854" s="5" t="s">
        <v>68</v>
      </c>
      <c r="F854" s="5">
        <v>1</v>
      </c>
      <c r="G854" s="5" t="s">
        <v>36</v>
      </c>
      <c r="H854" s="5">
        <v>15</v>
      </c>
      <c r="I854" s="5">
        <v>1</v>
      </c>
      <c r="J854" s="5">
        <v>12</v>
      </c>
      <c r="K854" s="5" t="s">
        <v>34</v>
      </c>
    </row>
    <row r="855" spans="1:11" ht="15.75" customHeight="1" x14ac:dyDescent="0.25">
      <c r="A855" s="5">
        <v>18</v>
      </c>
      <c r="B855" s="5">
        <v>2023</v>
      </c>
      <c r="C855" s="12">
        <v>45197</v>
      </c>
      <c r="D855" s="14" t="s">
        <v>72</v>
      </c>
      <c r="E855" s="5" t="s">
        <v>68</v>
      </c>
      <c r="F855" s="5">
        <v>1</v>
      </c>
      <c r="G855" s="5" t="s">
        <v>36</v>
      </c>
      <c r="H855" s="5">
        <v>15</v>
      </c>
      <c r="I855" s="5">
        <v>1</v>
      </c>
      <c r="J855" s="5">
        <v>12</v>
      </c>
      <c r="K855" s="5" t="s">
        <v>33</v>
      </c>
    </row>
    <row r="856" spans="1:11" ht="15.75" customHeight="1" x14ac:dyDescent="0.25">
      <c r="A856" s="5">
        <v>18</v>
      </c>
      <c r="B856" s="5">
        <v>2023</v>
      </c>
      <c r="C856" s="12">
        <v>45197</v>
      </c>
      <c r="D856" s="14" t="s">
        <v>72</v>
      </c>
      <c r="E856" s="5" t="s">
        <v>68</v>
      </c>
      <c r="F856" s="5">
        <v>1</v>
      </c>
      <c r="G856" s="5" t="s">
        <v>36</v>
      </c>
      <c r="H856" s="5">
        <v>1</v>
      </c>
      <c r="I856" s="5">
        <v>2</v>
      </c>
      <c r="J856" s="5">
        <v>0</v>
      </c>
      <c r="K856" s="5" t="s">
        <v>35</v>
      </c>
    </row>
    <row r="857" spans="1:11" ht="15.75" customHeight="1" x14ac:dyDescent="0.25">
      <c r="A857" s="5">
        <v>18</v>
      </c>
      <c r="B857" s="5">
        <v>2023</v>
      </c>
      <c r="C857" s="12">
        <v>45197</v>
      </c>
      <c r="D857" s="14" t="s">
        <v>72</v>
      </c>
      <c r="E857" s="5" t="s">
        <v>68</v>
      </c>
      <c r="F857" s="5">
        <v>1</v>
      </c>
      <c r="G857" s="5" t="s">
        <v>36</v>
      </c>
      <c r="H857" s="5">
        <v>2</v>
      </c>
      <c r="I857" s="5">
        <v>2</v>
      </c>
      <c r="J857" s="5">
        <v>1</v>
      </c>
      <c r="K857" s="5" t="s">
        <v>27</v>
      </c>
    </row>
    <row r="858" spans="1:11" ht="15.75" customHeight="1" x14ac:dyDescent="0.25">
      <c r="A858" s="5">
        <v>18</v>
      </c>
      <c r="B858" s="5">
        <v>2023</v>
      </c>
      <c r="C858" s="12">
        <v>45197</v>
      </c>
      <c r="D858" s="14" t="s">
        <v>72</v>
      </c>
      <c r="E858" s="5" t="s">
        <v>68</v>
      </c>
      <c r="F858" s="5">
        <v>1</v>
      </c>
      <c r="G858" s="5" t="s">
        <v>36</v>
      </c>
      <c r="H858" s="5">
        <v>3</v>
      </c>
      <c r="I858" s="5">
        <v>2</v>
      </c>
      <c r="J858" s="5">
        <v>1.5</v>
      </c>
      <c r="K858" s="5" t="s">
        <v>27</v>
      </c>
    </row>
    <row r="859" spans="1:11" ht="15.75" customHeight="1" x14ac:dyDescent="0.25">
      <c r="A859" s="5">
        <v>18</v>
      </c>
      <c r="B859" s="5">
        <v>2023</v>
      </c>
      <c r="C859" s="12">
        <v>45197</v>
      </c>
      <c r="D859" s="14" t="s">
        <v>72</v>
      </c>
      <c r="E859" s="5" t="s">
        <v>68</v>
      </c>
      <c r="F859" s="5">
        <v>1</v>
      </c>
      <c r="G859" s="5" t="s">
        <v>36</v>
      </c>
      <c r="H859" s="5">
        <v>4</v>
      </c>
      <c r="I859" s="5">
        <v>2</v>
      </c>
      <c r="J859" s="5">
        <v>2</v>
      </c>
      <c r="K859" s="5" t="s">
        <v>27</v>
      </c>
    </row>
    <row r="860" spans="1:11" ht="15.75" customHeight="1" x14ac:dyDescent="0.25">
      <c r="A860" s="5">
        <v>18</v>
      </c>
      <c r="B860" s="5">
        <v>2023</v>
      </c>
      <c r="C860" s="12">
        <v>45197</v>
      </c>
      <c r="D860" s="14" t="s">
        <v>72</v>
      </c>
      <c r="E860" s="5" t="s">
        <v>68</v>
      </c>
      <c r="F860" s="5">
        <v>1</v>
      </c>
      <c r="G860" s="5" t="s">
        <v>36</v>
      </c>
      <c r="H860" s="5">
        <v>4</v>
      </c>
      <c r="I860" s="5">
        <v>2</v>
      </c>
      <c r="J860" s="5">
        <v>2</v>
      </c>
      <c r="K860" s="5" t="s">
        <v>48</v>
      </c>
    </row>
    <row r="861" spans="1:11" ht="15.75" customHeight="1" x14ac:dyDescent="0.25">
      <c r="A861" s="5">
        <v>18</v>
      </c>
      <c r="B861" s="5">
        <v>2023</v>
      </c>
      <c r="C861" s="12">
        <v>45197</v>
      </c>
      <c r="D861" s="14" t="s">
        <v>72</v>
      </c>
      <c r="E861" s="5" t="s">
        <v>68</v>
      </c>
      <c r="F861" s="5">
        <v>1</v>
      </c>
      <c r="G861" s="5" t="s">
        <v>36</v>
      </c>
      <c r="H861" s="5">
        <v>5</v>
      </c>
      <c r="I861" s="5">
        <v>2</v>
      </c>
      <c r="J861" s="5">
        <v>3</v>
      </c>
      <c r="K861" s="5" t="s">
        <v>27</v>
      </c>
    </row>
    <row r="862" spans="1:11" ht="15.75" customHeight="1" x14ac:dyDescent="0.25">
      <c r="A862" s="5">
        <v>18</v>
      </c>
      <c r="B862" s="5">
        <v>2023</v>
      </c>
      <c r="C862" s="12">
        <v>45197</v>
      </c>
      <c r="D862" s="14" t="s">
        <v>72</v>
      </c>
      <c r="E862" s="5" t="s">
        <v>68</v>
      </c>
      <c r="F862" s="5">
        <v>1</v>
      </c>
      <c r="G862" s="5" t="s">
        <v>36</v>
      </c>
      <c r="H862" s="5">
        <v>5</v>
      </c>
      <c r="I862" s="5">
        <v>2</v>
      </c>
      <c r="J862" s="5">
        <v>3</v>
      </c>
      <c r="K862" s="5" t="s">
        <v>48</v>
      </c>
    </row>
    <row r="863" spans="1:11" ht="15.75" customHeight="1" x14ac:dyDescent="0.25">
      <c r="A863" s="5">
        <v>18</v>
      </c>
      <c r="B863" s="5">
        <v>2023</v>
      </c>
      <c r="C863" s="12">
        <v>45197</v>
      </c>
      <c r="D863" s="14" t="s">
        <v>72</v>
      </c>
      <c r="E863" s="5" t="s">
        <v>68</v>
      </c>
      <c r="F863" s="5">
        <v>1</v>
      </c>
      <c r="G863" s="5" t="s">
        <v>36</v>
      </c>
      <c r="H863" s="5">
        <v>6</v>
      </c>
      <c r="I863" s="5">
        <v>2</v>
      </c>
      <c r="J863" s="5">
        <v>3.5</v>
      </c>
      <c r="K863" s="5" t="s">
        <v>27</v>
      </c>
    </row>
    <row r="864" spans="1:11" ht="15.75" customHeight="1" x14ac:dyDescent="0.25">
      <c r="A864" s="5">
        <v>18</v>
      </c>
      <c r="B864" s="5">
        <v>2023</v>
      </c>
      <c r="C864" s="12">
        <v>45197</v>
      </c>
      <c r="D864" s="14" t="s">
        <v>72</v>
      </c>
      <c r="E864" s="5" t="s">
        <v>68</v>
      </c>
      <c r="F864" s="5">
        <v>1</v>
      </c>
      <c r="G864" s="5" t="s">
        <v>36</v>
      </c>
      <c r="H864" s="5">
        <v>6</v>
      </c>
      <c r="I864" s="5">
        <v>2</v>
      </c>
      <c r="J864" s="5">
        <v>3.5</v>
      </c>
      <c r="K864" s="5" t="s">
        <v>48</v>
      </c>
    </row>
    <row r="865" spans="1:11" ht="15.75" customHeight="1" x14ac:dyDescent="0.25">
      <c r="A865" s="5">
        <v>18</v>
      </c>
      <c r="B865" s="5">
        <v>2023</v>
      </c>
      <c r="C865" s="12">
        <v>45197</v>
      </c>
      <c r="D865" s="14" t="s">
        <v>72</v>
      </c>
      <c r="E865" s="5" t="s">
        <v>68</v>
      </c>
      <c r="F865" s="5">
        <v>1</v>
      </c>
      <c r="G865" s="5" t="s">
        <v>36</v>
      </c>
      <c r="H865" s="5">
        <v>7</v>
      </c>
      <c r="I865" s="5">
        <v>2</v>
      </c>
      <c r="J865" s="5">
        <v>4</v>
      </c>
      <c r="K865" s="5" t="s">
        <v>27</v>
      </c>
    </row>
    <row r="866" spans="1:11" ht="15.75" customHeight="1" x14ac:dyDescent="0.25">
      <c r="A866" s="5">
        <v>18</v>
      </c>
      <c r="B866" s="5">
        <v>2023</v>
      </c>
      <c r="C866" s="12">
        <v>45197</v>
      </c>
      <c r="D866" s="14" t="s">
        <v>72</v>
      </c>
      <c r="E866" s="5" t="s">
        <v>68</v>
      </c>
      <c r="F866" s="5">
        <v>1</v>
      </c>
      <c r="G866" s="5" t="s">
        <v>36</v>
      </c>
      <c r="H866" s="5">
        <v>7</v>
      </c>
      <c r="I866" s="5">
        <v>2</v>
      </c>
      <c r="J866" s="5">
        <v>4</v>
      </c>
      <c r="K866" s="5" t="s">
        <v>48</v>
      </c>
    </row>
    <row r="867" spans="1:11" ht="15.75" customHeight="1" x14ac:dyDescent="0.25">
      <c r="A867" s="5">
        <v>18</v>
      </c>
      <c r="B867" s="5">
        <v>2023</v>
      </c>
      <c r="C867" s="12">
        <v>45197</v>
      </c>
      <c r="D867" s="14" t="s">
        <v>72</v>
      </c>
      <c r="E867" s="5" t="s">
        <v>68</v>
      </c>
      <c r="F867" s="5">
        <v>1</v>
      </c>
      <c r="G867" s="5" t="s">
        <v>36</v>
      </c>
      <c r="H867" s="5">
        <v>8</v>
      </c>
      <c r="I867" s="5">
        <v>2</v>
      </c>
      <c r="J867" s="5">
        <v>5</v>
      </c>
      <c r="K867" s="5" t="s">
        <v>27</v>
      </c>
    </row>
    <row r="868" spans="1:11" ht="15.75" customHeight="1" x14ac:dyDescent="0.25">
      <c r="A868" s="5">
        <v>18</v>
      </c>
      <c r="B868" s="5">
        <v>2023</v>
      </c>
      <c r="C868" s="12">
        <v>45197</v>
      </c>
      <c r="D868" s="14" t="s">
        <v>72</v>
      </c>
      <c r="E868" s="5" t="s">
        <v>68</v>
      </c>
      <c r="F868" s="5">
        <v>1</v>
      </c>
      <c r="G868" s="5" t="s">
        <v>36</v>
      </c>
      <c r="H868" s="5">
        <v>8</v>
      </c>
      <c r="I868" s="5">
        <v>2</v>
      </c>
      <c r="J868" s="5">
        <v>5</v>
      </c>
      <c r="K868" s="5" t="s">
        <v>34</v>
      </c>
    </row>
    <row r="869" spans="1:11" ht="15.75" customHeight="1" x14ac:dyDescent="0.25">
      <c r="A869" s="5">
        <v>18</v>
      </c>
      <c r="B869" s="5">
        <v>2023</v>
      </c>
      <c r="C869" s="12">
        <v>45197</v>
      </c>
      <c r="D869" s="14" t="s">
        <v>72</v>
      </c>
      <c r="E869" s="5" t="s">
        <v>68</v>
      </c>
      <c r="F869" s="5">
        <v>1</v>
      </c>
      <c r="G869" s="5" t="s">
        <v>36</v>
      </c>
      <c r="H869" s="5">
        <v>9</v>
      </c>
      <c r="I869" s="5">
        <v>2</v>
      </c>
      <c r="J869" s="5">
        <v>7</v>
      </c>
      <c r="K869" s="5" t="s">
        <v>27</v>
      </c>
    </row>
    <row r="870" spans="1:11" ht="15.75" customHeight="1" x14ac:dyDescent="0.25">
      <c r="A870" s="5">
        <v>18</v>
      </c>
      <c r="B870" s="5">
        <v>2023</v>
      </c>
      <c r="C870" s="12">
        <v>45197</v>
      </c>
      <c r="D870" s="14" t="s">
        <v>72</v>
      </c>
      <c r="E870" s="5" t="s">
        <v>68</v>
      </c>
      <c r="F870" s="5">
        <v>1</v>
      </c>
      <c r="G870" s="5" t="s">
        <v>36</v>
      </c>
      <c r="H870" s="5">
        <v>9</v>
      </c>
      <c r="I870" s="5">
        <v>2</v>
      </c>
      <c r="J870" s="5">
        <v>7</v>
      </c>
      <c r="K870" s="5" t="s">
        <v>48</v>
      </c>
    </row>
    <row r="871" spans="1:11" ht="15.75" customHeight="1" x14ac:dyDescent="0.25">
      <c r="A871" s="5">
        <v>18</v>
      </c>
      <c r="B871" s="5">
        <v>2023</v>
      </c>
      <c r="C871" s="12">
        <v>45197</v>
      </c>
      <c r="D871" s="14" t="s">
        <v>72</v>
      </c>
      <c r="E871" s="5" t="s">
        <v>68</v>
      </c>
      <c r="F871" s="5">
        <v>1</v>
      </c>
      <c r="G871" s="5" t="s">
        <v>36</v>
      </c>
      <c r="H871" s="5">
        <v>10</v>
      </c>
      <c r="I871" s="5">
        <v>2</v>
      </c>
      <c r="J871" s="5">
        <v>8</v>
      </c>
      <c r="K871" s="5" t="s">
        <v>27</v>
      </c>
    </row>
    <row r="872" spans="1:11" ht="15.75" customHeight="1" x14ac:dyDescent="0.25">
      <c r="A872" s="5">
        <v>18</v>
      </c>
      <c r="B872" s="5">
        <v>2023</v>
      </c>
      <c r="C872" s="12">
        <v>45197</v>
      </c>
      <c r="D872" s="14" t="s">
        <v>72</v>
      </c>
      <c r="E872" s="5" t="s">
        <v>68</v>
      </c>
      <c r="F872" s="5">
        <v>1</v>
      </c>
      <c r="G872" s="5" t="s">
        <v>36</v>
      </c>
      <c r="H872" s="5">
        <v>10</v>
      </c>
      <c r="I872" s="5">
        <v>2</v>
      </c>
      <c r="J872" s="5">
        <v>8</v>
      </c>
      <c r="K872" s="5" t="s">
        <v>48</v>
      </c>
    </row>
    <row r="873" spans="1:11" ht="15.75" customHeight="1" x14ac:dyDescent="0.25">
      <c r="A873" s="5">
        <v>18</v>
      </c>
      <c r="B873" s="5">
        <v>2023</v>
      </c>
      <c r="C873" s="12">
        <v>45197</v>
      </c>
      <c r="D873" s="14" t="s">
        <v>72</v>
      </c>
      <c r="E873" s="5" t="s">
        <v>68</v>
      </c>
      <c r="F873" s="5">
        <v>1</v>
      </c>
      <c r="G873" s="5" t="s">
        <v>36</v>
      </c>
      <c r="H873" s="5">
        <v>11</v>
      </c>
      <c r="I873" s="5">
        <v>2</v>
      </c>
      <c r="J873" s="5">
        <v>8.5</v>
      </c>
      <c r="K873" s="5" t="s">
        <v>27</v>
      </c>
    </row>
    <row r="874" spans="1:11" ht="15.75" customHeight="1" x14ac:dyDescent="0.25">
      <c r="A874" s="5">
        <v>18</v>
      </c>
      <c r="B874" s="5">
        <v>2023</v>
      </c>
      <c r="C874" s="12">
        <v>45197</v>
      </c>
      <c r="D874" s="14" t="s">
        <v>72</v>
      </c>
      <c r="E874" s="5" t="s">
        <v>68</v>
      </c>
      <c r="F874" s="5">
        <v>1</v>
      </c>
      <c r="G874" s="5" t="s">
        <v>36</v>
      </c>
      <c r="H874" s="5">
        <v>11</v>
      </c>
      <c r="I874" s="5">
        <v>2</v>
      </c>
      <c r="J874" s="5">
        <v>8.5</v>
      </c>
      <c r="K874" s="5" t="s">
        <v>48</v>
      </c>
    </row>
    <row r="875" spans="1:11" ht="15.75" customHeight="1" x14ac:dyDescent="0.25">
      <c r="A875" s="5">
        <v>18</v>
      </c>
      <c r="B875" s="5">
        <v>2023</v>
      </c>
      <c r="C875" s="12">
        <v>45197</v>
      </c>
      <c r="D875" s="14" t="s">
        <v>72</v>
      </c>
      <c r="E875" s="5" t="s">
        <v>68</v>
      </c>
      <c r="F875" s="5">
        <v>1</v>
      </c>
      <c r="G875" s="5" t="s">
        <v>36</v>
      </c>
      <c r="H875" s="5">
        <v>12</v>
      </c>
      <c r="I875" s="5">
        <v>2</v>
      </c>
      <c r="J875" s="5">
        <v>9</v>
      </c>
      <c r="K875" s="5" t="s">
        <v>27</v>
      </c>
    </row>
    <row r="876" spans="1:11" ht="15.75" customHeight="1" x14ac:dyDescent="0.25">
      <c r="A876" s="5">
        <v>18</v>
      </c>
      <c r="B876" s="5">
        <v>2023</v>
      </c>
      <c r="C876" s="12">
        <v>45197</v>
      </c>
      <c r="D876" s="14" t="s">
        <v>72</v>
      </c>
      <c r="E876" s="5" t="s">
        <v>68</v>
      </c>
      <c r="F876" s="5">
        <v>1</v>
      </c>
      <c r="G876" s="5" t="s">
        <v>36</v>
      </c>
      <c r="H876" s="5">
        <v>12</v>
      </c>
      <c r="I876" s="5">
        <v>2</v>
      </c>
      <c r="J876" s="5">
        <v>9</v>
      </c>
      <c r="K876" s="5" t="s">
        <v>48</v>
      </c>
    </row>
    <row r="877" spans="1:11" ht="15.75" customHeight="1" x14ac:dyDescent="0.25">
      <c r="A877" s="5">
        <v>18</v>
      </c>
      <c r="B877" s="5">
        <v>2023</v>
      </c>
      <c r="C877" s="12">
        <v>45197</v>
      </c>
      <c r="D877" s="14" t="s">
        <v>72</v>
      </c>
      <c r="E877" s="5" t="s">
        <v>68</v>
      </c>
      <c r="F877" s="5">
        <v>1</v>
      </c>
      <c r="G877" s="5" t="s">
        <v>36</v>
      </c>
      <c r="H877" s="5">
        <v>13</v>
      </c>
      <c r="I877" s="5">
        <v>2</v>
      </c>
      <c r="J877" s="5">
        <v>10</v>
      </c>
      <c r="K877" s="5" t="s">
        <v>27</v>
      </c>
    </row>
    <row r="878" spans="1:11" ht="15.75" customHeight="1" x14ac:dyDescent="0.25">
      <c r="A878" s="5">
        <v>18</v>
      </c>
      <c r="B878" s="5">
        <v>2023</v>
      </c>
      <c r="C878" s="12">
        <v>45197</v>
      </c>
      <c r="D878" s="14" t="s">
        <v>72</v>
      </c>
      <c r="E878" s="5" t="s">
        <v>68</v>
      </c>
      <c r="F878" s="5">
        <v>1</v>
      </c>
      <c r="G878" s="5" t="s">
        <v>36</v>
      </c>
      <c r="H878" s="5">
        <v>13</v>
      </c>
      <c r="I878" s="5">
        <v>2</v>
      </c>
      <c r="J878" s="5">
        <v>10</v>
      </c>
      <c r="K878" s="5" t="s">
        <v>48</v>
      </c>
    </row>
    <row r="879" spans="1:11" ht="15.75" customHeight="1" x14ac:dyDescent="0.25">
      <c r="A879" s="5">
        <v>18</v>
      </c>
      <c r="B879" s="5">
        <v>2023</v>
      </c>
      <c r="C879" s="12">
        <v>45197</v>
      </c>
      <c r="D879" s="14" t="s">
        <v>72</v>
      </c>
      <c r="E879" s="5" t="s">
        <v>68</v>
      </c>
      <c r="F879" s="5">
        <v>1</v>
      </c>
      <c r="G879" s="5" t="s">
        <v>36</v>
      </c>
      <c r="H879" s="5">
        <v>14</v>
      </c>
      <c r="I879" s="5">
        <v>2</v>
      </c>
      <c r="J879" s="5">
        <v>11</v>
      </c>
      <c r="K879" s="5" t="s">
        <v>35</v>
      </c>
    </row>
    <row r="880" spans="1:11" ht="15.75" customHeight="1" x14ac:dyDescent="0.25">
      <c r="A880" s="5">
        <v>18</v>
      </c>
      <c r="B880" s="5">
        <v>2023</v>
      </c>
      <c r="C880" s="12">
        <v>45197</v>
      </c>
      <c r="D880" s="14" t="s">
        <v>72</v>
      </c>
      <c r="E880" s="5" t="s">
        <v>68</v>
      </c>
      <c r="F880" s="5">
        <v>1</v>
      </c>
      <c r="G880" s="5" t="s">
        <v>36</v>
      </c>
      <c r="H880" s="5">
        <v>14</v>
      </c>
      <c r="I880" s="5">
        <v>2</v>
      </c>
      <c r="J880" s="5">
        <v>11</v>
      </c>
      <c r="K880" s="5" t="s">
        <v>54</v>
      </c>
    </row>
    <row r="881" spans="1:11" ht="15.75" customHeight="1" x14ac:dyDescent="0.25">
      <c r="A881" s="5">
        <v>18</v>
      </c>
      <c r="B881" s="5">
        <v>2023</v>
      </c>
      <c r="C881" s="12">
        <v>45197</v>
      </c>
      <c r="D881" s="14" t="s">
        <v>72</v>
      </c>
      <c r="E881" s="5" t="s">
        <v>68</v>
      </c>
      <c r="F881" s="5">
        <v>1</v>
      </c>
      <c r="G881" s="5" t="s">
        <v>36</v>
      </c>
      <c r="H881" s="5">
        <v>15</v>
      </c>
      <c r="I881" s="5">
        <v>2</v>
      </c>
      <c r="J881" s="5">
        <v>12</v>
      </c>
      <c r="K881" s="5" t="s">
        <v>27</v>
      </c>
    </row>
    <row r="882" spans="1:11" ht="15.75" customHeight="1" x14ac:dyDescent="0.25">
      <c r="A882" s="5">
        <v>19</v>
      </c>
      <c r="B882" s="5">
        <v>2023</v>
      </c>
      <c r="C882" s="12">
        <v>45197</v>
      </c>
      <c r="D882" s="14" t="s">
        <v>72</v>
      </c>
      <c r="E882" s="5" t="s">
        <v>68</v>
      </c>
      <c r="F882" s="5">
        <v>1</v>
      </c>
      <c r="G882" s="5" t="s">
        <v>46</v>
      </c>
      <c r="H882" s="5">
        <v>1</v>
      </c>
      <c r="I882" s="5">
        <v>1</v>
      </c>
      <c r="J882" s="5">
        <v>0</v>
      </c>
      <c r="K882" s="5" t="s">
        <v>27</v>
      </c>
    </row>
    <row r="883" spans="1:11" ht="15.75" customHeight="1" x14ac:dyDescent="0.25">
      <c r="A883" s="5">
        <v>19</v>
      </c>
      <c r="B883" s="5">
        <v>2023</v>
      </c>
      <c r="C883" s="12">
        <v>45197</v>
      </c>
      <c r="D883" s="14" t="s">
        <v>72</v>
      </c>
      <c r="E883" s="5" t="s">
        <v>68</v>
      </c>
      <c r="F883" s="5">
        <v>1</v>
      </c>
      <c r="G883" s="5" t="s">
        <v>46</v>
      </c>
      <c r="H883" s="5">
        <v>1</v>
      </c>
      <c r="I883" s="5">
        <v>1</v>
      </c>
      <c r="J883" s="5">
        <v>0</v>
      </c>
      <c r="K883" s="5" t="s">
        <v>30</v>
      </c>
    </row>
    <row r="884" spans="1:11" ht="15.75" customHeight="1" x14ac:dyDescent="0.25">
      <c r="A884" s="5">
        <v>19</v>
      </c>
      <c r="B884" s="5">
        <v>2023</v>
      </c>
      <c r="C884" s="12">
        <v>45197</v>
      </c>
      <c r="D884" s="14" t="s">
        <v>72</v>
      </c>
      <c r="E884" s="5" t="s">
        <v>68</v>
      </c>
      <c r="F884" s="5">
        <v>1</v>
      </c>
      <c r="G884" s="5" t="s">
        <v>46</v>
      </c>
      <c r="H884" s="5">
        <v>1</v>
      </c>
      <c r="I884" s="5">
        <v>1</v>
      </c>
      <c r="J884" s="5">
        <v>0</v>
      </c>
      <c r="K884" s="5" t="s">
        <v>48</v>
      </c>
    </row>
    <row r="885" spans="1:11" ht="15.75" customHeight="1" x14ac:dyDescent="0.25">
      <c r="A885" s="5">
        <v>19</v>
      </c>
      <c r="B885" s="5">
        <v>2023</v>
      </c>
      <c r="C885" s="12">
        <v>45197</v>
      </c>
      <c r="D885" s="14" t="s">
        <v>72</v>
      </c>
      <c r="E885" s="5" t="s">
        <v>68</v>
      </c>
      <c r="F885" s="5">
        <v>1</v>
      </c>
      <c r="G885" s="5" t="s">
        <v>46</v>
      </c>
      <c r="H885" s="5">
        <v>2</v>
      </c>
      <c r="I885" s="5">
        <v>1</v>
      </c>
      <c r="J885" s="5">
        <v>0.5</v>
      </c>
      <c r="K885" s="5" t="s">
        <v>27</v>
      </c>
    </row>
    <row r="886" spans="1:11" ht="15.75" customHeight="1" x14ac:dyDescent="0.25">
      <c r="A886" s="5">
        <v>19</v>
      </c>
      <c r="B886" s="5">
        <v>2023</v>
      </c>
      <c r="C886" s="12">
        <v>45197</v>
      </c>
      <c r="D886" s="14" t="s">
        <v>72</v>
      </c>
      <c r="E886" s="5" t="s">
        <v>68</v>
      </c>
      <c r="F886" s="5">
        <v>1</v>
      </c>
      <c r="G886" s="5" t="s">
        <v>46</v>
      </c>
      <c r="H886" s="5">
        <v>3</v>
      </c>
      <c r="I886" s="5">
        <v>1</v>
      </c>
      <c r="J886" s="5">
        <v>1</v>
      </c>
      <c r="K886" s="5" t="s">
        <v>27</v>
      </c>
    </row>
    <row r="887" spans="1:11" ht="15.75" customHeight="1" x14ac:dyDescent="0.25">
      <c r="A887" s="5">
        <v>19</v>
      </c>
      <c r="B887" s="5">
        <v>2023</v>
      </c>
      <c r="C887" s="12">
        <v>45197</v>
      </c>
      <c r="D887" s="14" t="s">
        <v>72</v>
      </c>
      <c r="E887" s="5" t="s">
        <v>68</v>
      </c>
      <c r="F887" s="5">
        <v>1</v>
      </c>
      <c r="G887" s="5" t="s">
        <v>46</v>
      </c>
      <c r="H887" s="5">
        <v>3</v>
      </c>
      <c r="I887" s="5">
        <v>1</v>
      </c>
      <c r="J887" s="5">
        <v>1</v>
      </c>
      <c r="K887" s="5" t="s">
        <v>34</v>
      </c>
    </row>
    <row r="888" spans="1:11" ht="15.75" customHeight="1" x14ac:dyDescent="0.25">
      <c r="A888" s="5">
        <v>19</v>
      </c>
      <c r="B888" s="5">
        <v>2023</v>
      </c>
      <c r="C888" s="12">
        <v>45197</v>
      </c>
      <c r="D888" s="14" t="s">
        <v>72</v>
      </c>
      <c r="E888" s="5" t="s">
        <v>68</v>
      </c>
      <c r="F888" s="5">
        <v>1</v>
      </c>
      <c r="G888" s="5" t="s">
        <v>46</v>
      </c>
      <c r="H888" s="5">
        <v>3</v>
      </c>
      <c r="I888" s="5">
        <v>1</v>
      </c>
      <c r="J888" s="5">
        <v>1</v>
      </c>
      <c r="K888" s="5" t="s">
        <v>29</v>
      </c>
    </row>
    <row r="889" spans="1:11" ht="15.75" customHeight="1" x14ac:dyDescent="0.25">
      <c r="A889" s="5">
        <v>19</v>
      </c>
      <c r="B889" s="5">
        <v>2023</v>
      </c>
      <c r="C889" s="12">
        <v>45197</v>
      </c>
      <c r="D889" s="14" t="s">
        <v>72</v>
      </c>
      <c r="E889" s="5" t="s">
        <v>68</v>
      </c>
      <c r="F889" s="5">
        <v>1</v>
      </c>
      <c r="G889" s="5" t="s">
        <v>46</v>
      </c>
      <c r="H889" s="5">
        <v>4</v>
      </c>
      <c r="I889" s="5">
        <v>1</v>
      </c>
      <c r="J889" s="5">
        <v>1.5</v>
      </c>
      <c r="K889" s="5" t="s">
        <v>27</v>
      </c>
    </row>
    <row r="890" spans="1:11" ht="15.75" customHeight="1" x14ac:dyDescent="0.25">
      <c r="A890" s="5">
        <v>19</v>
      </c>
      <c r="B890" s="5">
        <v>2023</v>
      </c>
      <c r="C890" s="12">
        <v>45197</v>
      </c>
      <c r="D890" s="14" t="s">
        <v>72</v>
      </c>
      <c r="E890" s="5" t="s">
        <v>68</v>
      </c>
      <c r="F890" s="5">
        <v>1</v>
      </c>
      <c r="G890" s="5" t="s">
        <v>46</v>
      </c>
      <c r="H890" s="5">
        <v>4</v>
      </c>
      <c r="I890" s="5">
        <v>1</v>
      </c>
      <c r="J890" s="5">
        <v>1.5</v>
      </c>
      <c r="K890" s="5" t="s">
        <v>34</v>
      </c>
    </row>
    <row r="891" spans="1:11" ht="15.75" customHeight="1" x14ac:dyDescent="0.25">
      <c r="A891" s="5">
        <v>19</v>
      </c>
      <c r="B891" s="5">
        <v>2023</v>
      </c>
      <c r="C891" s="12">
        <v>45197</v>
      </c>
      <c r="D891" s="14" t="s">
        <v>72</v>
      </c>
      <c r="E891" s="5" t="s">
        <v>68</v>
      </c>
      <c r="F891" s="5">
        <v>1</v>
      </c>
      <c r="G891" s="5" t="s">
        <v>46</v>
      </c>
      <c r="H891" s="5">
        <v>4</v>
      </c>
      <c r="I891" s="5">
        <v>1</v>
      </c>
      <c r="J891" s="5">
        <v>1.5</v>
      </c>
      <c r="K891" s="5" t="s">
        <v>48</v>
      </c>
    </row>
    <row r="892" spans="1:11" ht="15.75" customHeight="1" x14ac:dyDescent="0.25">
      <c r="A892" s="5">
        <v>19</v>
      </c>
      <c r="B892" s="5">
        <v>2023</v>
      </c>
      <c r="C892" s="12">
        <v>45197</v>
      </c>
      <c r="D892" s="14" t="s">
        <v>72</v>
      </c>
      <c r="E892" s="5" t="s">
        <v>68</v>
      </c>
      <c r="F892" s="5">
        <v>1</v>
      </c>
      <c r="G892" s="5" t="s">
        <v>46</v>
      </c>
      <c r="H892" s="5">
        <v>5</v>
      </c>
      <c r="I892" s="5">
        <v>1</v>
      </c>
      <c r="J892" s="5">
        <v>2</v>
      </c>
      <c r="K892" s="5" t="s">
        <v>27</v>
      </c>
    </row>
    <row r="893" spans="1:11" ht="15.75" customHeight="1" x14ac:dyDescent="0.25">
      <c r="A893" s="5">
        <v>19</v>
      </c>
      <c r="B893" s="5">
        <v>2023</v>
      </c>
      <c r="C893" s="12">
        <v>45197</v>
      </c>
      <c r="D893" s="14" t="s">
        <v>72</v>
      </c>
      <c r="E893" s="5" t="s">
        <v>68</v>
      </c>
      <c r="F893" s="5">
        <v>1</v>
      </c>
      <c r="G893" s="5" t="s">
        <v>46</v>
      </c>
      <c r="H893" s="5">
        <v>5</v>
      </c>
      <c r="I893" s="5">
        <v>1</v>
      </c>
      <c r="J893" s="5">
        <v>2</v>
      </c>
      <c r="K893" s="5" t="s">
        <v>48</v>
      </c>
    </row>
    <row r="894" spans="1:11" ht="15.75" customHeight="1" x14ac:dyDescent="0.25">
      <c r="A894" s="5">
        <v>19</v>
      </c>
      <c r="B894" s="5">
        <v>2023</v>
      </c>
      <c r="C894" s="12">
        <v>45197</v>
      </c>
      <c r="D894" s="14" t="s">
        <v>72</v>
      </c>
      <c r="E894" s="5" t="s">
        <v>68</v>
      </c>
      <c r="F894" s="5">
        <v>1</v>
      </c>
      <c r="G894" s="5" t="s">
        <v>46</v>
      </c>
      <c r="H894" s="5">
        <v>6</v>
      </c>
      <c r="I894" s="5">
        <v>1</v>
      </c>
      <c r="J894" s="5">
        <v>2.5</v>
      </c>
      <c r="K894" s="5" t="s">
        <v>27</v>
      </c>
    </row>
    <row r="895" spans="1:11" ht="15.75" customHeight="1" x14ac:dyDescent="0.25">
      <c r="A895" s="5">
        <v>19</v>
      </c>
      <c r="B895" s="5">
        <v>2023</v>
      </c>
      <c r="C895" s="12">
        <v>45197</v>
      </c>
      <c r="D895" s="14" t="s">
        <v>72</v>
      </c>
      <c r="E895" s="5" t="s">
        <v>68</v>
      </c>
      <c r="F895" s="5">
        <v>1</v>
      </c>
      <c r="G895" s="5" t="s">
        <v>46</v>
      </c>
      <c r="H895" s="5">
        <v>6</v>
      </c>
      <c r="I895" s="5">
        <v>1</v>
      </c>
      <c r="J895" s="5">
        <v>2.5</v>
      </c>
      <c r="K895" s="5" t="s">
        <v>29</v>
      </c>
    </row>
    <row r="896" spans="1:11" ht="15.75" customHeight="1" x14ac:dyDescent="0.25">
      <c r="A896" s="5">
        <v>19</v>
      </c>
      <c r="B896" s="5">
        <v>2023</v>
      </c>
      <c r="C896" s="12">
        <v>45197</v>
      </c>
      <c r="D896" s="14" t="s">
        <v>72</v>
      </c>
      <c r="E896" s="5" t="s">
        <v>68</v>
      </c>
      <c r="F896" s="5">
        <v>1</v>
      </c>
      <c r="G896" s="5" t="s">
        <v>46</v>
      </c>
      <c r="H896" s="5">
        <v>6</v>
      </c>
      <c r="I896" s="5">
        <v>1</v>
      </c>
      <c r="J896" s="5">
        <v>2.5</v>
      </c>
      <c r="K896" s="5" t="s">
        <v>48</v>
      </c>
    </row>
    <row r="897" spans="1:11" ht="15.75" customHeight="1" x14ac:dyDescent="0.25">
      <c r="A897" s="5">
        <v>19</v>
      </c>
      <c r="B897" s="5">
        <v>2023</v>
      </c>
      <c r="C897" s="12">
        <v>45197</v>
      </c>
      <c r="D897" s="14" t="s">
        <v>72</v>
      </c>
      <c r="E897" s="5" t="s">
        <v>68</v>
      </c>
      <c r="F897" s="5">
        <v>1</v>
      </c>
      <c r="G897" s="5" t="s">
        <v>46</v>
      </c>
      <c r="H897" s="5">
        <v>7</v>
      </c>
      <c r="I897" s="5">
        <v>1</v>
      </c>
      <c r="J897" s="5">
        <v>3</v>
      </c>
      <c r="K897" s="5" t="s">
        <v>27</v>
      </c>
    </row>
    <row r="898" spans="1:11" ht="15.75" customHeight="1" x14ac:dyDescent="0.25">
      <c r="A898" s="5">
        <v>19</v>
      </c>
      <c r="B898" s="5">
        <v>2023</v>
      </c>
      <c r="C898" s="12">
        <v>45197</v>
      </c>
      <c r="D898" s="14" t="s">
        <v>72</v>
      </c>
      <c r="E898" s="5" t="s">
        <v>68</v>
      </c>
      <c r="F898" s="5">
        <v>1</v>
      </c>
      <c r="G898" s="5" t="s">
        <v>46</v>
      </c>
      <c r="H898" s="5">
        <v>7</v>
      </c>
      <c r="I898" s="5">
        <v>1</v>
      </c>
      <c r="J898" s="5">
        <v>3</v>
      </c>
      <c r="K898" s="5" t="s">
        <v>48</v>
      </c>
    </row>
    <row r="899" spans="1:11" ht="15.75" customHeight="1" x14ac:dyDescent="0.25">
      <c r="A899" s="5">
        <v>19</v>
      </c>
      <c r="B899" s="5">
        <v>2023</v>
      </c>
      <c r="C899" s="12">
        <v>45197</v>
      </c>
      <c r="D899" s="14" t="s">
        <v>72</v>
      </c>
      <c r="E899" s="5" t="s">
        <v>68</v>
      </c>
      <c r="F899" s="5">
        <v>1</v>
      </c>
      <c r="G899" s="5" t="s">
        <v>46</v>
      </c>
      <c r="H899" s="5">
        <v>8</v>
      </c>
      <c r="I899" s="5">
        <v>1</v>
      </c>
      <c r="J899" s="5">
        <v>3.5</v>
      </c>
      <c r="K899" s="5" t="s">
        <v>27</v>
      </c>
    </row>
    <row r="900" spans="1:11" ht="15.75" customHeight="1" x14ac:dyDescent="0.25">
      <c r="A900" s="5">
        <v>19</v>
      </c>
      <c r="B900" s="5">
        <v>2023</v>
      </c>
      <c r="C900" s="12">
        <v>45197</v>
      </c>
      <c r="D900" s="14" t="s">
        <v>72</v>
      </c>
      <c r="E900" s="5" t="s">
        <v>68</v>
      </c>
      <c r="F900" s="5">
        <v>1</v>
      </c>
      <c r="G900" s="5" t="s">
        <v>46</v>
      </c>
      <c r="H900" s="5">
        <v>8</v>
      </c>
      <c r="I900" s="5">
        <v>1</v>
      </c>
      <c r="J900" s="5">
        <v>3.5</v>
      </c>
      <c r="K900" s="5" t="s">
        <v>48</v>
      </c>
    </row>
    <row r="901" spans="1:11" ht="15.75" customHeight="1" x14ac:dyDescent="0.25">
      <c r="A901" s="5">
        <v>19</v>
      </c>
      <c r="B901" s="5">
        <v>2023</v>
      </c>
      <c r="C901" s="12">
        <v>45197</v>
      </c>
      <c r="D901" s="14" t="s">
        <v>72</v>
      </c>
      <c r="E901" s="5" t="s">
        <v>68</v>
      </c>
      <c r="F901" s="5">
        <v>1</v>
      </c>
      <c r="G901" s="5" t="s">
        <v>46</v>
      </c>
      <c r="H901" s="5">
        <v>9</v>
      </c>
      <c r="I901" s="5">
        <v>1</v>
      </c>
      <c r="J901" s="5">
        <v>4</v>
      </c>
      <c r="K901" s="5" t="s">
        <v>27</v>
      </c>
    </row>
    <row r="902" spans="1:11" ht="15.75" customHeight="1" x14ac:dyDescent="0.25">
      <c r="A902" s="5">
        <v>19</v>
      </c>
      <c r="B902" s="5">
        <v>2023</v>
      </c>
      <c r="C902" s="12">
        <v>45197</v>
      </c>
      <c r="D902" s="14" t="s">
        <v>72</v>
      </c>
      <c r="E902" s="5" t="s">
        <v>68</v>
      </c>
      <c r="F902" s="5">
        <v>1</v>
      </c>
      <c r="G902" s="5" t="s">
        <v>46</v>
      </c>
      <c r="H902" s="5">
        <v>9</v>
      </c>
      <c r="I902" s="5">
        <v>1</v>
      </c>
      <c r="J902" s="5">
        <v>4</v>
      </c>
      <c r="K902" s="5" t="s">
        <v>48</v>
      </c>
    </row>
    <row r="903" spans="1:11" ht="15.75" customHeight="1" x14ac:dyDescent="0.25">
      <c r="A903" s="5">
        <v>19</v>
      </c>
      <c r="B903" s="5">
        <v>2023</v>
      </c>
      <c r="C903" s="12">
        <v>45197</v>
      </c>
      <c r="D903" s="14" t="s">
        <v>72</v>
      </c>
      <c r="E903" s="5" t="s">
        <v>68</v>
      </c>
      <c r="F903" s="5">
        <v>1</v>
      </c>
      <c r="G903" s="5" t="s">
        <v>46</v>
      </c>
      <c r="H903" s="5">
        <v>10</v>
      </c>
      <c r="I903" s="5">
        <v>1</v>
      </c>
      <c r="J903" s="5">
        <v>4.5</v>
      </c>
      <c r="K903" s="5" t="s">
        <v>27</v>
      </c>
    </row>
    <row r="904" spans="1:11" ht="15.75" customHeight="1" x14ac:dyDescent="0.25">
      <c r="A904" s="5">
        <v>19</v>
      </c>
      <c r="B904" s="5">
        <v>2023</v>
      </c>
      <c r="C904" s="12">
        <v>45197</v>
      </c>
      <c r="D904" s="14" t="s">
        <v>72</v>
      </c>
      <c r="E904" s="5" t="s">
        <v>68</v>
      </c>
      <c r="F904" s="5">
        <v>1</v>
      </c>
      <c r="G904" s="5" t="s">
        <v>46</v>
      </c>
      <c r="H904" s="5">
        <v>10</v>
      </c>
      <c r="I904" s="5">
        <v>1</v>
      </c>
      <c r="J904" s="5">
        <v>4.5</v>
      </c>
      <c r="K904" s="5" t="s">
        <v>48</v>
      </c>
    </row>
    <row r="905" spans="1:11" ht="15.75" customHeight="1" x14ac:dyDescent="0.25">
      <c r="A905" s="5">
        <v>19</v>
      </c>
      <c r="B905" s="5">
        <v>2023</v>
      </c>
      <c r="C905" s="12">
        <v>45197</v>
      </c>
      <c r="D905" s="14" t="s">
        <v>72</v>
      </c>
      <c r="E905" s="5" t="s">
        <v>68</v>
      </c>
      <c r="F905" s="5">
        <v>1</v>
      </c>
      <c r="G905" s="5" t="s">
        <v>46</v>
      </c>
      <c r="H905" s="5">
        <v>11</v>
      </c>
      <c r="I905" s="5">
        <v>1</v>
      </c>
      <c r="J905" s="5">
        <v>5</v>
      </c>
      <c r="K905" s="5" t="s">
        <v>27</v>
      </c>
    </row>
    <row r="906" spans="1:11" ht="15.75" customHeight="1" x14ac:dyDescent="0.25">
      <c r="A906" s="5">
        <v>19</v>
      </c>
      <c r="B906" s="5">
        <v>2023</v>
      </c>
      <c r="C906" s="12">
        <v>45197</v>
      </c>
      <c r="D906" s="14" t="s">
        <v>72</v>
      </c>
      <c r="E906" s="5" t="s">
        <v>68</v>
      </c>
      <c r="F906" s="5">
        <v>1</v>
      </c>
      <c r="G906" s="5" t="s">
        <v>46</v>
      </c>
      <c r="H906" s="5">
        <v>12</v>
      </c>
      <c r="I906" s="5">
        <v>1</v>
      </c>
      <c r="J906" s="5">
        <v>5.5</v>
      </c>
      <c r="K906" s="5" t="s">
        <v>27</v>
      </c>
    </row>
    <row r="907" spans="1:11" ht="15.75" customHeight="1" x14ac:dyDescent="0.25">
      <c r="A907" s="5">
        <v>19</v>
      </c>
      <c r="B907" s="5">
        <v>2023</v>
      </c>
      <c r="C907" s="12">
        <v>45197</v>
      </c>
      <c r="D907" s="14" t="s">
        <v>72</v>
      </c>
      <c r="E907" s="5" t="s">
        <v>68</v>
      </c>
      <c r="F907" s="5">
        <v>1</v>
      </c>
      <c r="G907" s="5" t="s">
        <v>46</v>
      </c>
      <c r="H907" s="5">
        <v>13</v>
      </c>
      <c r="I907" s="5">
        <v>1</v>
      </c>
      <c r="J907" s="5">
        <v>6.5</v>
      </c>
      <c r="K907" s="5" t="s">
        <v>27</v>
      </c>
    </row>
    <row r="908" spans="1:11" ht="15.75" customHeight="1" x14ac:dyDescent="0.25">
      <c r="A908" s="5">
        <v>19</v>
      </c>
      <c r="B908" s="5">
        <v>2023</v>
      </c>
      <c r="C908" s="12">
        <v>45197</v>
      </c>
      <c r="D908" s="14" t="s">
        <v>72</v>
      </c>
      <c r="E908" s="5" t="s">
        <v>68</v>
      </c>
      <c r="F908" s="5">
        <v>1</v>
      </c>
      <c r="G908" s="5" t="s">
        <v>46</v>
      </c>
      <c r="H908" s="5">
        <v>13</v>
      </c>
      <c r="I908" s="5">
        <v>1</v>
      </c>
      <c r="J908" s="5">
        <v>6.5</v>
      </c>
      <c r="K908" s="5" t="s">
        <v>54</v>
      </c>
    </row>
    <row r="909" spans="1:11" ht="15.75" customHeight="1" x14ac:dyDescent="0.25">
      <c r="A909" s="5">
        <v>19</v>
      </c>
      <c r="B909" s="5">
        <v>2023</v>
      </c>
      <c r="C909" s="12">
        <v>45197</v>
      </c>
      <c r="D909" s="14" t="s">
        <v>72</v>
      </c>
      <c r="E909" s="5" t="s">
        <v>68</v>
      </c>
      <c r="F909" s="5">
        <v>1</v>
      </c>
      <c r="G909" s="5" t="s">
        <v>46</v>
      </c>
      <c r="H909" s="5">
        <v>13</v>
      </c>
      <c r="I909" s="5">
        <v>1</v>
      </c>
      <c r="J909" s="5">
        <v>6.5</v>
      </c>
      <c r="K909" s="5" t="s">
        <v>30</v>
      </c>
    </row>
    <row r="910" spans="1:11" ht="15.75" customHeight="1" x14ac:dyDescent="0.25">
      <c r="A910" s="5">
        <v>19</v>
      </c>
      <c r="B910" s="5">
        <v>2023</v>
      </c>
      <c r="C910" s="12">
        <v>45197</v>
      </c>
      <c r="D910" s="14" t="s">
        <v>72</v>
      </c>
      <c r="E910" s="5" t="s">
        <v>68</v>
      </c>
      <c r="F910" s="5">
        <v>1</v>
      </c>
      <c r="G910" s="5" t="s">
        <v>46</v>
      </c>
      <c r="H910" s="5">
        <v>13</v>
      </c>
      <c r="I910" s="5">
        <v>1</v>
      </c>
      <c r="J910" s="5">
        <v>6.5</v>
      </c>
      <c r="K910" s="5" t="s">
        <v>74</v>
      </c>
    </row>
    <row r="911" spans="1:11" ht="15.75" customHeight="1" x14ac:dyDescent="0.25">
      <c r="A911" s="5">
        <v>19</v>
      </c>
      <c r="B911" s="5">
        <v>2023</v>
      </c>
      <c r="C911" s="12">
        <v>45197</v>
      </c>
      <c r="D911" s="14" t="s">
        <v>72</v>
      </c>
      <c r="E911" s="5" t="s">
        <v>68</v>
      </c>
      <c r="F911" s="5">
        <v>1</v>
      </c>
      <c r="G911" s="5" t="s">
        <v>46</v>
      </c>
      <c r="H911" s="5">
        <v>13</v>
      </c>
      <c r="I911" s="5">
        <v>1</v>
      </c>
      <c r="J911" s="5">
        <v>6.5</v>
      </c>
      <c r="K911" s="5" t="s">
        <v>29</v>
      </c>
    </row>
    <row r="912" spans="1:11" ht="15.75" customHeight="1" x14ac:dyDescent="0.25">
      <c r="A912" s="5">
        <v>19</v>
      </c>
      <c r="B912" s="5">
        <v>2023</v>
      </c>
      <c r="C912" s="12">
        <v>45197</v>
      </c>
      <c r="D912" s="14" t="s">
        <v>72</v>
      </c>
      <c r="E912" s="5" t="s">
        <v>68</v>
      </c>
      <c r="F912" s="5">
        <v>1</v>
      </c>
      <c r="G912" s="5" t="s">
        <v>46</v>
      </c>
      <c r="H912" s="5">
        <v>14</v>
      </c>
      <c r="I912" s="5">
        <v>1</v>
      </c>
      <c r="J912" s="5">
        <v>7</v>
      </c>
      <c r="K912" s="5" t="s">
        <v>27</v>
      </c>
    </row>
    <row r="913" spans="1:11" ht="15.75" customHeight="1" x14ac:dyDescent="0.25">
      <c r="A913" s="5">
        <v>19</v>
      </c>
      <c r="B913" s="5">
        <v>2023</v>
      </c>
      <c r="C913" s="12">
        <v>45197</v>
      </c>
      <c r="D913" s="14" t="s">
        <v>72</v>
      </c>
      <c r="E913" s="5" t="s">
        <v>68</v>
      </c>
      <c r="F913" s="5">
        <v>1</v>
      </c>
      <c r="G913" s="5" t="s">
        <v>46</v>
      </c>
      <c r="H913" s="5">
        <v>15</v>
      </c>
      <c r="I913" s="5">
        <v>1</v>
      </c>
      <c r="J913" s="5">
        <v>7.5</v>
      </c>
      <c r="K913" s="5" t="s">
        <v>27</v>
      </c>
    </row>
    <row r="914" spans="1:11" ht="15.75" customHeight="1" x14ac:dyDescent="0.25">
      <c r="A914" s="5">
        <v>19</v>
      </c>
      <c r="B914" s="5">
        <v>2023</v>
      </c>
      <c r="C914" s="12">
        <v>45197</v>
      </c>
      <c r="D914" s="14" t="s">
        <v>72</v>
      </c>
      <c r="E914" s="5" t="s">
        <v>68</v>
      </c>
      <c r="F914" s="5">
        <v>1</v>
      </c>
      <c r="G914" s="5" t="s">
        <v>46</v>
      </c>
      <c r="H914" s="5">
        <v>15</v>
      </c>
      <c r="I914" s="5">
        <v>1</v>
      </c>
      <c r="J914" s="5">
        <v>7.5</v>
      </c>
      <c r="K914" s="5" t="s">
        <v>34</v>
      </c>
    </row>
    <row r="915" spans="1:11" ht="15.75" customHeight="1" x14ac:dyDescent="0.25">
      <c r="A915" s="5">
        <v>19</v>
      </c>
      <c r="B915" s="5">
        <v>2023</v>
      </c>
      <c r="C915" s="12">
        <v>45197</v>
      </c>
      <c r="D915" s="14" t="s">
        <v>72</v>
      </c>
      <c r="E915" s="5" t="s">
        <v>68</v>
      </c>
      <c r="F915" s="5">
        <v>1</v>
      </c>
      <c r="G915" s="5" t="s">
        <v>46</v>
      </c>
      <c r="H915" s="5">
        <v>15</v>
      </c>
      <c r="I915" s="5">
        <v>1</v>
      </c>
      <c r="J915" s="5">
        <v>7.5</v>
      </c>
      <c r="K915" s="5" t="s">
        <v>33</v>
      </c>
    </row>
    <row r="916" spans="1:11" ht="15.75" customHeight="1" x14ac:dyDescent="0.25">
      <c r="A916" s="5">
        <v>19</v>
      </c>
      <c r="B916" s="5">
        <v>2023</v>
      </c>
      <c r="C916" s="12">
        <v>45197</v>
      </c>
      <c r="D916" s="14" t="s">
        <v>72</v>
      </c>
      <c r="E916" s="5" t="s">
        <v>68</v>
      </c>
      <c r="F916" s="5">
        <v>1</v>
      </c>
      <c r="G916" s="5" t="s">
        <v>46</v>
      </c>
      <c r="H916" s="5">
        <v>1</v>
      </c>
      <c r="I916" s="5">
        <v>2</v>
      </c>
      <c r="J916" s="5">
        <v>0</v>
      </c>
      <c r="K916" s="5" t="s">
        <v>27</v>
      </c>
    </row>
    <row r="917" spans="1:11" ht="15.75" customHeight="1" x14ac:dyDescent="0.25">
      <c r="A917" s="5">
        <v>19</v>
      </c>
      <c r="B917" s="5">
        <v>2023</v>
      </c>
      <c r="C917" s="12">
        <v>45197</v>
      </c>
      <c r="D917" s="14" t="s">
        <v>72</v>
      </c>
      <c r="E917" s="5" t="s">
        <v>68</v>
      </c>
      <c r="F917" s="5">
        <v>1</v>
      </c>
      <c r="G917" s="5" t="s">
        <v>46</v>
      </c>
      <c r="H917" s="5">
        <v>2</v>
      </c>
      <c r="I917" s="5">
        <v>2</v>
      </c>
      <c r="J917" s="5">
        <v>0.5</v>
      </c>
      <c r="K917" s="5" t="s">
        <v>27</v>
      </c>
    </row>
    <row r="918" spans="1:11" ht="15.75" customHeight="1" x14ac:dyDescent="0.25">
      <c r="A918" s="5">
        <v>19</v>
      </c>
      <c r="B918" s="5">
        <v>2023</v>
      </c>
      <c r="C918" s="12">
        <v>45197</v>
      </c>
      <c r="D918" s="14" t="s">
        <v>72</v>
      </c>
      <c r="E918" s="5" t="s">
        <v>68</v>
      </c>
      <c r="F918" s="5">
        <v>1</v>
      </c>
      <c r="G918" s="5" t="s">
        <v>46</v>
      </c>
      <c r="H918" s="5">
        <v>3</v>
      </c>
      <c r="I918" s="5">
        <v>2</v>
      </c>
      <c r="J918" s="5">
        <v>1</v>
      </c>
      <c r="K918" s="5" t="s">
        <v>35</v>
      </c>
    </row>
    <row r="919" spans="1:11" ht="15.75" customHeight="1" x14ac:dyDescent="0.25">
      <c r="A919" s="5">
        <v>19</v>
      </c>
      <c r="B919" s="5">
        <v>2023</v>
      </c>
      <c r="C919" s="12">
        <v>45197</v>
      </c>
      <c r="D919" s="14" t="s">
        <v>72</v>
      </c>
      <c r="E919" s="5" t="s">
        <v>68</v>
      </c>
      <c r="F919" s="5">
        <v>1</v>
      </c>
      <c r="G919" s="5" t="s">
        <v>46</v>
      </c>
      <c r="H919" s="5">
        <v>4</v>
      </c>
      <c r="I919" s="5">
        <v>2</v>
      </c>
      <c r="J919" s="5">
        <v>1.5</v>
      </c>
      <c r="K919" s="5" t="s">
        <v>27</v>
      </c>
    </row>
    <row r="920" spans="1:11" ht="15.75" customHeight="1" x14ac:dyDescent="0.25">
      <c r="A920" s="5">
        <v>19</v>
      </c>
      <c r="B920" s="5">
        <v>2023</v>
      </c>
      <c r="C920" s="12">
        <v>45197</v>
      </c>
      <c r="D920" s="14" t="s">
        <v>72</v>
      </c>
      <c r="E920" s="5" t="s">
        <v>68</v>
      </c>
      <c r="F920" s="5">
        <v>1</v>
      </c>
      <c r="G920" s="5" t="s">
        <v>46</v>
      </c>
      <c r="H920" s="5">
        <v>4</v>
      </c>
      <c r="I920" s="5">
        <v>2</v>
      </c>
      <c r="J920" s="5">
        <v>1.5</v>
      </c>
      <c r="K920" s="5" t="s">
        <v>29</v>
      </c>
    </row>
    <row r="921" spans="1:11" ht="15.75" customHeight="1" x14ac:dyDescent="0.25">
      <c r="A921" s="5">
        <v>19</v>
      </c>
      <c r="B921" s="5">
        <v>2023</v>
      </c>
      <c r="C921" s="12">
        <v>45197</v>
      </c>
      <c r="D921" s="14" t="s">
        <v>72</v>
      </c>
      <c r="E921" s="5" t="s">
        <v>68</v>
      </c>
      <c r="F921" s="5">
        <v>1</v>
      </c>
      <c r="G921" s="5" t="s">
        <v>46</v>
      </c>
      <c r="H921" s="5">
        <v>5</v>
      </c>
      <c r="I921" s="5">
        <v>2</v>
      </c>
      <c r="J921" s="5">
        <v>2.5</v>
      </c>
      <c r="K921" s="5" t="s">
        <v>27</v>
      </c>
    </row>
    <row r="922" spans="1:11" ht="15.75" customHeight="1" x14ac:dyDescent="0.25">
      <c r="A922" s="5">
        <v>19</v>
      </c>
      <c r="B922" s="5">
        <v>2023</v>
      </c>
      <c r="C922" s="12">
        <v>45197</v>
      </c>
      <c r="D922" s="14" t="s">
        <v>72</v>
      </c>
      <c r="E922" s="5" t="s">
        <v>68</v>
      </c>
      <c r="F922" s="5">
        <v>1</v>
      </c>
      <c r="G922" s="5" t="s">
        <v>46</v>
      </c>
      <c r="H922" s="5">
        <v>5</v>
      </c>
      <c r="I922" s="5">
        <v>2</v>
      </c>
      <c r="J922" s="5">
        <v>2.5</v>
      </c>
      <c r="K922" s="5" t="s">
        <v>34</v>
      </c>
    </row>
    <row r="923" spans="1:11" ht="15.75" customHeight="1" x14ac:dyDescent="0.25">
      <c r="A923" s="5">
        <v>19</v>
      </c>
      <c r="B923" s="5">
        <v>2023</v>
      </c>
      <c r="C923" s="12">
        <v>45197</v>
      </c>
      <c r="D923" s="14" t="s">
        <v>72</v>
      </c>
      <c r="E923" s="5" t="s">
        <v>68</v>
      </c>
      <c r="F923" s="5">
        <v>1</v>
      </c>
      <c r="G923" s="5" t="s">
        <v>46</v>
      </c>
      <c r="H923" s="5">
        <v>6</v>
      </c>
      <c r="I923" s="5">
        <v>2</v>
      </c>
      <c r="J923" s="5">
        <v>3</v>
      </c>
      <c r="K923" s="5" t="s">
        <v>27</v>
      </c>
    </row>
    <row r="924" spans="1:11" ht="15.75" customHeight="1" x14ac:dyDescent="0.25">
      <c r="A924" s="5">
        <v>19</v>
      </c>
      <c r="B924" s="5">
        <v>2023</v>
      </c>
      <c r="C924" s="12">
        <v>45197</v>
      </c>
      <c r="D924" s="14" t="s">
        <v>72</v>
      </c>
      <c r="E924" s="5" t="s">
        <v>68</v>
      </c>
      <c r="F924" s="5">
        <v>1</v>
      </c>
      <c r="G924" s="5" t="s">
        <v>46</v>
      </c>
      <c r="H924" s="5">
        <v>6</v>
      </c>
      <c r="I924" s="5">
        <v>2</v>
      </c>
      <c r="J924" s="5">
        <v>3</v>
      </c>
      <c r="K924" s="5" t="s">
        <v>48</v>
      </c>
    </row>
    <row r="925" spans="1:11" ht="15.75" customHeight="1" x14ac:dyDescent="0.25">
      <c r="A925" s="5">
        <v>19</v>
      </c>
      <c r="B925" s="5">
        <v>2023</v>
      </c>
      <c r="C925" s="12">
        <v>45197</v>
      </c>
      <c r="D925" s="14" t="s">
        <v>72</v>
      </c>
      <c r="E925" s="5" t="s">
        <v>68</v>
      </c>
      <c r="F925" s="5">
        <v>1</v>
      </c>
      <c r="G925" s="5" t="s">
        <v>46</v>
      </c>
      <c r="H925" s="5">
        <v>6</v>
      </c>
      <c r="I925" s="5">
        <v>2</v>
      </c>
      <c r="J925" s="5">
        <v>3</v>
      </c>
      <c r="K925" s="5" t="s">
        <v>33</v>
      </c>
    </row>
    <row r="926" spans="1:11" ht="15.75" customHeight="1" x14ac:dyDescent="0.25">
      <c r="A926" s="5">
        <v>19</v>
      </c>
      <c r="B926" s="5">
        <v>2023</v>
      </c>
      <c r="C926" s="12">
        <v>45197</v>
      </c>
      <c r="D926" s="14" t="s">
        <v>72</v>
      </c>
      <c r="E926" s="5" t="s">
        <v>68</v>
      </c>
      <c r="F926" s="5">
        <v>1</v>
      </c>
      <c r="G926" s="5" t="s">
        <v>46</v>
      </c>
      <c r="H926" s="5">
        <v>7</v>
      </c>
      <c r="I926" s="5">
        <v>2</v>
      </c>
      <c r="J926" s="5">
        <v>3.5</v>
      </c>
      <c r="K926" s="5" t="s">
        <v>27</v>
      </c>
    </row>
    <row r="927" spans="1:11" ht="15.75" customHeight="1" x14ac:dyDescent="0.25">
      <c r="A927" s="5">
        <v>19</v>
      </c>
      <c r="B927" s="5">
        <v>2023</v>
      </c>
      <c r="C927" s="12">
        <v>45197</v>
      </c>
      <c r="D927" s="14" t="s">
        <v>72</v>
      </c>
      <c r="E927" s="5" t="s">
        <v>68</v>
      </c>
      <c r="F927" s="5">
        <v>1</v>
      </c>
      <c r="G927" s="5" t="s">
        <v>46</v>
      </c>
      <c r="H927" s="5">
        <v>7</v>
      </c>
      <c r="I927" s="5">
        <v>2</v>
      </c>
      <c r="J927" s="5">
        <v>3.5</v>
      </c>
      <c r="K927" s="5" t="s">
        <v>54</v>
      </c>
    </row>
    <row r="928" spans="1:11" ht="15.75" customHeight="1" x14ac:dyDescent="0.25">
      <c r="A928" s="5">
        <v>19</v>
      </c>
      <c r="B928" s="5">
        <v>2023</v>
      </c>
      <c r="C928" s="12">
        <v>45197</v>
      </c>
      <c r="D928" s="14" t="s">
        <v>72</v>
      </c>
      <c r="E928" s="5" t="s">
        <v>68</v>
      </c>
      <c r="F928" s="5">
        <v>1</v>
      </c>
      <c r="G928" s="5" t="s">
        <v>46</v>
      </c>
      <c r="H928" s="5">
        <v>8</v>
      </c>
      <c r="I928" s="5">
        <v>2</v>
      </c>
      <c r="J928" s="5">
        <v>4</v>
      </c>
      <c r="K928" s="5" t="s">
        <v>27</v>
      </c>
    </row>
    <row r="929" spans="1:11" ht="15.75" customHeight="1" x14ac:dyDescent="0.25">
      <c r="A929" s="5">
        <v>19</v>
      </c>
      <c r="B929" s="5">
        <v>2023</v>
      </c>
      <c r="C929" s="12">
        <v>45197</v>
      </c>
      <c r="D929" s="14" t="s">
        <v>72</v>
      </c>
      <c r="E929" s="5" t="s">
        <v>68</v>
      </c>
      <c r="F929" s="5">
        <v>1</v>
      </c>
      <c r="G929" s="5" t="s">
        <v>46</v>
      </c>
      <c r="H929" s="5">
        <v>9</v>
      </c>
      <c r="I929" s="5">
        <v>2</v>
      </c>
      <c r="J929" s="5">
        <v>4.5</v>
      </c>
      <c r="K929" s="5" t="s">
        <v>27</v>
      </c>
    </row>
    <row r="930" spans="1:11" ht="15.75" customHeight="1" x14ac:dyDescent="0.25">
      <c r="A930" s="5">
        <v>19</v>
      </c>
      <c r="B930" s="5">
        <v>2023</v>
      </c>
      <c r="C930" s="12">
        <v>45197</v>
      </c>
      <c r="D930" s="14" t="s">
        <v>72</v>
      </c>
      <c r="E930" s="5" t="s">
        <v>68</v>
      </c>
      <c r="F930" s="5">
        <v>1</v>
      </c>
      <c r="G930" s="5" t="s">
        <v>46</v>
      </c>
      <c r="H930" s="5">
        <v>9</v>
      </c>
      <c r="I930" s="5">
        <v>2</v>
      </c>
      <c r="J930" s="5">
        <v>4.5</v>
      </c>
      <c r="K930" s="5" t="s">
        <v>48</v>
      </c>
    </row>
    <row r="931" spans="1:11" ht="15.75" customHeight="1" x14ac:dyDescent="0.25">
      <c r="A931" s="5">
        <v>19</v>
      </c>
      <c r="B931" s="5">
        <v>2023</v>
      </c>
      <c r="C931" s="12">
        <v>45197</v>
      </c>
      <c r="D931" s="14" t="s">
        <v>72</v>
      </c>
      <c r="E931" s="5" t="s">
        <v>68</v>
      </c>
      <c r="F931" s="5">
        <v>1</v>
      </c>
      <c r="G931" s="5" t="s">
        <v>46</v>
      </c>
      <c r="H931" s="5">
        <v>10</v>
      </c>
      <c r="I931" s="5">
        <v>2</v>
      </c>
      <c r="J931" s="5">
        <v>5</v>
      </c>
      <c r="K931" s="5" t="s">
        <v>27</v>
      </c>
    </row>
    <row r="932" spans="1:11" ht="15.75" customHeight="1" x14ac:dyDescent="0.25">
      <c r="A932" s="5">
        <v>19</v>
      </c>
      <c r="B932" s="5">
        <v>2023</v>
      </c>
      <c r="C932" s="12">
        <v>45197</v>
      </c>
      <c r="D932" s="14" t="s">
        <v>72</v>
      </c>
      <c r="E932" s="5" t="s">
        <v>68</v>
      </c>
      <c r="F932" s="5">
        <v>1</v>
      </c>
      <c r="G932" s="5" t="s">
        <v>46</v>
      </c>
      <c r="H932" s="5">
        <v>10</v>
      </c>
      <c r="I932" s="5">
        <v>2</v>
      </c>
      <c r="J932" s="5">
        <v>5</v>
      </c>
      <c r="K932" s="5" t="s">
        <v>54</v>
      </c>
    </row>
    <row r="933" spans="1:11" ht="15.75" customHeight="1" x14ac:dyDescent="0.25">
      <c r="A933" s="5">
        <v>19</v>
      </c>
      <c r="B933" s="5">
        <v>2023</v>
      </c>
      <c r="C933" s="12">
        <v>45197</v>
      </c>
      <c r="D933" s="14" t="s">
        <v>72</v>
      </c>
      <c r="E933" s="5" t="s">
        <v>68</v>
      </c>
      <c r="F933" s="5">
        <v>1</v>
      </c>
      <c r="G933" s="5" t="s">
        <v>46</v>
      </c>
      <c r="H933" s="5">
        <v>10</v>
      </c>
      <c r="I933" s="5">
        <v>2</v>
      </c>
      <c r="J933" s="5">
        <v>5</v>
      </c>
      <c r="K933" s="5" t="s">
        <v>48</v>
      </c>
    </row>
    <row r="934" spans="1:11" ht="15.75" customHeight="1" x14ac:dyDescent="0.25">
      <c r="A934" s="5">
        <v>19</v>
      </c>
      <c r="B934" s="5">
        <v>2023</v>
      </c>
      <c r="C934" s="12">
        <v>45197</v>
      </c>
      <c r="D934" s="14" t="s">
        <v>72</v>
      </c>
      <c r="E934" s="5" t="s">
        <v>68</v>
      </c>
      <c r="F934" s="5">
        <v>1</v>
      </c>
      <c r="G934" s="5" t="s">
        <v>46</v>
      </c>
      <c r="H934" s="5">
        <v>11</v>
      </c>
      <c r="I934" s="5">
        <v>2</v>
      </c>
      <c r="J934" s="5">
        <v>5.5</v>
      </c>
      <c r="K934" s="5" t="s">
        <v>35</v>
      </c>
    </row>
    <row r="935" spans="1:11" ht="15.75" customHeight="1" x14ac:dyDescent="0.25">
      <c r="A935" s="5">
        <v>19</v>
      </c>
      <c r="B935" s="5">
        <v>2023</v>
      </c>
      <c r="C935" s="12">
        <v>45197</v>
      </c>
      <c r="D935" s="14" t="s">
        <v>72</v>
      </c>
      <c r="E935" s="5" t="s">
        <v>68</v>
      </c>
      <c r="F935" s="5">
        <v>1</v>
      </c>
      <c r="G935" s="5" t="s">
        <v>46</v>
      </c>
      <c r="H935" s="5">
        <v>12</v>
      </c>
      <c r="I935" s="5">
        <v>2</v>
      </c>
      <c r="J935" s="5">
        <v>6</v>
      </c>
      <c r="K935" s="5" t="s">
        <v>35</v>
      </c>
    </row>
    <row r="936" spans="1:11" ht="15.75" customHeight="1" x14ac:dyDescent="0.25">
      <c r="A936" s="5">
        <v>19</v>
      </c>
      <c r="B936" s="5">
        <v>2023</v>
      </c>
      <c r="C936" s="12">
        <v>45197</v>
      </c>
      <c r="D936" s="14" t="s">
        <v>72</v>
      </c>
      <c r="E936" s="5" t="s">
        <v>68</v>
      </c>
      <c r="F936" s="5">
        <v>1</v>
      </c>
      <c r="G936" s="5" t="s">
        <v>46</v>
      </c>
      <c r="H936" s="5">
        <v>12</v>
      </c>
      <c r="I936" s="5">
        <v>2</v>
      </c>
      <c r="J936" s="5">
        <v>6</v>
      </c>
      <c r="K936" s="5" t="s">
        <v>29</v>
      </c>
    </row>
    <row r="937" spans="1:11" ht="15.75" customHeight="1" x14ac:dyDescent="0.25">
      <c r="A937" s="5">
        <v>19</v>
      </c>
      <c r="B937" s="5">
        <v>2023</v>
      </c>
      <c r="C937" s="12">
        <v>45197</v>
      </c>
      <c r="D937" s="14" t="s">
        <v>72</v>
      </c>
      <c r="E937" s="5" t="s">
        <v>68</v>
      </c>
      <c r="F937" s="5">
        <v>1</v>
      </c>
      <c r="G937" s="5" t="s">
        <v>46</v>
      </c>
      <c r="H937" s="5">
        <v>13</v>
      </c>
      <c r="I937" s="5">
        <v>2</v>
      </c>
      <c r="J937" s="5">
        <v>6.5</v>
      </c>
      <c r="K937" s="5" t="s">
        <v>27</v>
      </c>
    </row>
    <row r="938" spans="1:11" ht="15.75" customHeight="1" x14ac:dyDescent="0.25">
      <c r="A938" s="5">
        <v>19</v>
      </c>
      <c r="B938" s="5">
        <v>2023</v>
      </c>
      <c r="C938" s="12">
        <v>45197</v>
      </c>
      <c r="D938" s="14" t="s">
        <v>72</v>
      </c>
      <c r="E938" s="5" t="s">
        <v>68</v>
      </c>
      <c r="F938" s="5">
        <v>1</v>
      </c>
      <c r="G938" s="5" t="s">
        <v>46</v>
      </c>
      <c r="H938" s="5">
        <v>13</v>
      </c>
      <c r="I938" s="5">
        <v>2</v>
      </c>
      <c r="J938" s="5">
        <v>6.5</v>
      </c>
      <c r="K938" s="5" t="s">
        <v>54</v>
      </c>
    </row>
    <row r="939" spans="1:11" ht="15.75" customHeight="1" x14ac:dyDescent="0.25">
      <c r="A939" s="5">
        <v>19</v>
      </c>
      <c r="B939" s="5">
        <v>2023</v>
      </c>
      <c r="C939" s="12">
        <v>45197</v>
      </c>
      <c r="D939" s="14" t="s">
        <v>72</v>
      </c>
      <c r="E939" s="5" t="s">
        <v>68</v>
      </c>
      <c r="F939" s="5">
        <v>1</v>
      </c>
      <c r="G939" s="5" t="s">
        <v>46</v>
      </c>
      <c r="H939" s="5">
        <v>14</v>
      </c>
      <c r="I939" s="5">
        <v>2</v>
      </c>
      <c r="J939" s="5">
        <v>7</v>
      </c>
      <c r="K939" s="5" t="s">
        <v>27</v>
      </c>
    </row>
    <row r="940" spans="1:11" ht="15.75" customHeight="1" x14ac:dyDescent="0.25">
      <c r="A940" s="5">
        <v>19</v>
      </c>
      <c r="B940" s="5">
        <v>2023</v>
      </c>
      <c r="C940" s="12">
        <v>45197</v>
      </c>
      <c r="D940" s="14" t="s">
        <v>72</v>
      </c>
      <c r="E940" s="5" t="s">
        <v>68</v>
      </c>
      <c r="F940" s="5">
        <v>1</v>
      </c>
      <c r="G940" s="5" t="s">
        <v>46</v>
      </c>
      <c r="H940" s="5">
        <v>14</v>
      </c>
      <c r="I940" s="5">
        <v>2</v>
      </c>
      <c r="J940" s="5">
        <v>7</v>
      </c>
      <c r="K940" s="5" t="s">
        <v>34</v>
      </c>
    </row>
    <row r="941" spans="1:11" ht="15.75" customHeight="1" x14ac:dyDescent="0.25">
      <c r="A941" s="5">
        <v>19</v>
      </c>
      <c r="B941" s="5">
        <v>2023</v>
      </c>
      <c r="C941" s="12">
        <v>45197</v>
      </c>
      <c r="D941" s="14" t="s">
        <v>72</v>
      </c>
      <c r="E941" s="5" t="s">
        <v>68</v>
      </c>
      <c r="F941" s="5">
        <v>1</v>
      </c>
      <c r="G941" s="5" t="s">
        <v>46</v>
      </c>
      <c r="H941" s="5">
        <v>15</v>
      </c>
      <c r="I941" s="5">
        <v>2</v>
      </c>
      <c r="J941" s="5">
        <v>7.5</v>
      </c>
      <c r="K941" s="5" t="s">
        <v>35</v>
      </c>
    </row>
    <row r="942" spans="1:11" ht="15.75" customHeight="1" x14ac:dyDescent="0.25">
      <c r="A942" s="5">
        <v>20</v>
      </c>
      <c r="B942" s="5">
        <v>2023</v>
      </c>
      <c r="C942" s="12">
        <v>45197</v>
      </c>
      <c r="D942" s="14" t="s">
        <v>72</v>
      </c>
      <c r="E942" s="5" t="s">
        <v>68</v>
      </c>
      <c r="F942" s="5">
        <v>1</v>
      </c>
      <c r="G942" s="5" t="s">
        <v>51</v>
      </c>
      <c r="H942" s="5">
        <v>1</v>
      </c>
      <c r="I942" s="5">
        <v>1</v>
      </c>
      <c r="J942" s="5">
        <v>0</v>
      </c>
      <c r="K942" s="5" t="s">
        <v>35</v>
      </c>
    </row>
    <row r="943" spans="1:11" ht="15.75" customHeight="1" x14ac:dyDescent="0.25">
      <c r="A943" s="5">
        <v>20</v>
      </c>
      <c r="B943" s="5">
        <v>2023</v>
      </c>
      <c r="C943" s="12">
        <v>45197</v>
      </c>
      <c r="D943" s="14" t="s">
        <v>72</v>
      </c>
      <c r="E943" s="5" t="s">
        <v>68</v>
      </c>
      <c r="F943" s="5">
        <v>1</v>
      </c>
      <c r="G943" s="5" t="s">
        <v>51</v>
      </c>
      <c r="H943" s="5">
        <v>2</v>
      </c>
      <c r="I943" s="5">
        <v>1</v>
      </c>
      <c r="J943" s="5">
        <v>0.5</v>
      </c>
      <c r="K943" s="5" t="s">
        <v>27</v>
      </c>
    </row>
    <row r="944" spans="1:11" ht="15.75" customHeight="1" x14ac:dyDescent="0.25">
      <c r="A944" s="5">
        <v>20</v>
      </c>
      <c r="B944" s="5">
        <v>2023</v>
      </c>
      <c r="C944" s="12">
        <v>45197</v>
      </c>
      <c r="D944" s="14" t="s">
        <v>72</v>
      </c>
      <c r="E944" s="5" t="s">
        <v>68</v>
      </c>
      <c r="F944" s="5">
        <v>1</v>
      </c>
      <c r="G944" s="5" t="s">
        <v>51</v>
      </c>
      <c r="H944" s="5">
        <v>3</v>
      </c>
      <c r="I944" s="5">
        <v>1</v>
      </c>
      <c r="J944" s="5">
        <v>1</v>
      </c>
      <c r="K944" s="5" t="s">
        <v>27</v>
      </c>
    </row>
    <row r="945" spans="1:11" ht="15.75" customHeight="1" x14ac:dyDescent="0.25">
      <c r="A945" s="5">
        <v>20</v>
      </c>
      <c r="B945" s="5">
        <v>2023</v>
      </c>
      <c r="C945" s="12">
        <v>45197</v>
      </c>
      <c r="D945" s="14" t="s">
        <v>72</v>
      </c>
      <c r="E945" s="5" t="s">
        <v>68</v>
      </c>
      <c r="F945" s="5">
        <v>1</v>
      </c>
      <c r="G945" s="5" t="s">
        <v>51</v>
      </c>
      <c r="H945" s="5">
        <v>4</v>
      </c>
      <c r="I945" s="5">
        <v>1</v>
      </c>
      <c r="J945" s="5">
        <v>1.5</v>
      </c>
      <c r="K945" s="5" t="s">
        <v>27</v>
      </c>
    </row>
    <row r="946" spans="1:11" ht="15.75" customHeight="1" x14ac:dyDescent="0.25">
      <c r="A946" s="5">
        <v>20</v>
      </c>
      <c r="B946" s="5">
        <v>2023</v>
      </c>
      <c r="C946" s="12">
        <v>45197</v>
      </c>
      <c r="D946" s="14" t="s">
        <v>72</v>
      </c>
      <c r="E946" s="5" t="s">
        <v>68</v>
      </c>
      <c r="F946" s="5">
        <v>1</v>
      </c>
      <c r="G946" s="5" t="s">
        <v>51</v>
      </c>
      <c r="H946" s="5">
        <v>5</v>
      </c>
      <c r="I946" s="5">
        <v>1</v>
      </c>
      <c r="J946" s="5">
        <v>2</v>
      </c>
      <c r="K946" s="5" t="s">
        <v>27</v>
      </c>
    </row>
    <row r="947" spans="1:11" ht="15.75" customHeight="1" x14ac:dyDescent="0.25">
      <c r="A947" s="5">
        <v>20</v>
      </c>
      <c r="B947" s="5">
        <v>2023</v>
      </c>
      <c r="C947" s="12">
        <v>45197</v>
      </c>
      <c r="D947" s="14" t="s">
        <v>72</v>
      </c>
      <c r="E947" s="5" t="s">
        <v>68</v>
      </c>
      <c r="F947" s="5">
        <v>1</v>
      </c>
      <c r="G947" s="5" t="s">
        <v>51</v>
      </c>
      <c r="H947" s="5">
        <v>6</v>
      </c>
      <c r="I947" s="5">
        <v>1</v>
      </c>
      <c r="J947" s="5">
        <v>2.5</v>
      </c>
      <c r="K947" s="5" t="s">
        <v>27</v>
      </c>
    </row>
    <row r="948" spans="1:11" ht="15.75" customHeight="1" x14ac:dyDescent="0.25">
      <c r="A948" s="5">
        <v>20</v>
      </c>
      <c r="B948" s="5">
        <v>2023</v>
      </c>
      <c r="C948" s="12">
        <v>45197</v>
      </c>
      <c r="D948" s="14" t="s">
        <v>72</v>
      </c>
      <c r="E948" s="5" t="s">
        <v>68</v>
      </c>
      <c r="F948" s="5">
        <v>1</v>
      </c>
      <c r="G948" s="5" t="s">
        <v>51</v>
      </c>
      <c r="H948" s="5">
        <v>7</v>
      </c>
      <c r="I948" s="5">
        <v>1</v>
      </c>
      <c r="J948" s="5">
        <v>3</v>
      </c>
      <c r="K948" s="5" t="s">
        <v>27</v>
      </c>
    </row>
    <row r="949" spans="1:11" ht="15.75" customHeight="1" x14ac:dyDescent="0.25">
      <c r="A949" s="5">
        <v>20</v>
      </c>
      <c r="B949" s="5">
        <v>2023</v>
      </c>
      <c r="C949" s="12">
        <v>45197</v>
      </c>
      <c r="D949" s="14" t="s">
        <v>72</v>
      </c>
      <c r="E949" s="5" t="s">
        <v>68</v>
      </c>
      <c r="F949" s="5">
        <v>1</v>
      </c>
      <c r="G949" s="5" t="s">
        <v>51</v>
      </c>
      <c r="H949" s="5">
        <v>8</v>
      </c>
      <c r="I949" s="5">
        <v>1</v>
      </c>
      <c r="J949" s="5">
        <v>3.5</v>
      </c>
      <c r="K949" s="5" t="s">
        <v>27</v>
      </c>
    </row>
    <row r="950" spans="1:11" ht="15.75" customHeight="1" x14ac:dyDescent="0.25">
      <c r="A950" s="5">
        <v>20</v>
      </c>
      <c r="B950" s="5">
        <v>2023</v>
      </c>
      <c r="C950" s="12">
        <v>45197</v>
      </c>
      <c r="D950" s="14" t="s">
        <v>72</v>
      </c>
      <c r="E950" s="5" t="s">
        <v>68</v>
      </c>
      <c r="F950" s="5">
        <v>1</v>
      </c>
      <c r="G950" s="5" t="s">
        <v>51</v>
      </c>
      <c r="H950" s="5">
        <v>8</v>
      </c>
      <c r="I950" s="5">
        <v>1</v>
      </c>
      <c r="J950" s="5">
        <v>3.5</v>
      </c>
      <c r="K950" s="5" t="s">
        <v>48</v>
      </c>
    </row>
    <row r="951" spans="1:11" ht="15.75" customHeight="1" x14ac:dyDescent="0.25">
      <c r="A951" s="5">
        <v>20</v>
      </c>
      <c r="B951" s="5">
        <v>2023</v>
      </c>
      <c r="C951" s="12">
        <v>45197</v>
      </c>
      <c r="D951" s="14" t="s">
        <v>72</v>
      </c>
      <c r="E951" s="5" t="s">
        <v>68</v>
      </c>
      <c r="F951" s="5">
        <v>1</v>
      </c>
      <c r="G951" s="5" t="s">
        <v>51</v>
      </c>
      <c r="H951" s="5">
        <v>9</v>
      </c>
      <c r="I951" s="5">
        <v>1</v>
      </c>
      <c r="J951" s="5">
        <v>4</v>
      </c>
      <c r="K951" s="5" t="s">
        <v>27</v>
      </c>
    </row>
    <row r="952" spans="1:11" ht="15.75" customHeight="1" x14ac:dyDescent="0.25">
      <c r="A952" s="5">
        <v>20</v>
      </c>
      <c r="B952" s="5">
        <v>2023</v>
      </c>
      <c r="C952" s="12">
        <v>45197</v>
      </c>
      <c r="D952" s="14" t="s">
        <v>72</v>
      </c>
      <c r="E952" s="5" t="s">
        <v>68</v>
      </c>
      <c r="F952" s="5">
        <v>1</v>
      </c>
      <c r="G952" s="5" t="s">
        <v>51</v>
      </c>
      <c r="H952" s="5">
        <v>9</v>
      </c>
      <c r="I952" s="5">
        <v>1</v>
      </c>
      <c r="J952" s="5">
        <v>4</v>
      </c>
      <c r="K952" s="5" t="s">
        <v>48</v>
      </c>
    </row>
    <row r="953" spans="1:11" ht="15.75" customHeight="1" x14ac:dyDescent="0.25">
      <c r="A953" s="5">
        <v>20</v>
      </c>
      <c r="B953" s="5">
        <v>2023</v>
      </c>
      <c r="C953" s="12">
        <v>45197</v>
      </c>
      <c r="D953" s="14" t="s">
        <v>72</v>
      </c>
      <c r="E953" s="5" t="s">
        <v>68</v>
      </c>
      <c r="F953" s="5">
        <v>1</v>
      </c>
      <c r="G953" s="5" t="s">
        <v>51</v>
      </c>
      <c r="H953" s="5">
        <v>10</v>
      </c>
      <c r="I953" s="5">
        <v>1</v>
      </c>
      <c r="J953" s="5">
        <v>4.5</v>
      </c>
      <c r="K953" s="5" t="s">
        <v>27</v>
      </c>
    </row>
    <row r="954" spans="1:11" ht="15.75" customHeight="1" x14ac:dyDescent="0.25">
      <c r="A954" s="5">
        <v>20</v>
      </c>
      <c r="B954" s="5">
        <v>2023</v>
      </c>
      <c r="C954" s="12">
        <v>45197</v>
      </c>
      <c r="D954" s="14" t="s">
        <v>72</v>
      </c>
      <c r="E954" s="5" t="s">
        <v>68</v>
      </c>
      <c r="F954" s="5">
        <v>1</v>
      </c>
      <c r="G954" s="5" t="s">
        <v>51</v>
      </c>
      <c r="H954" s="5">
        <v>10</v>
      </c>
      <c r="I954" s="5">
        <v>1</v>
      </c>
      <c r="J954" s="5">
        <v>4.5</v>
      </c>
      <c r="K954" s="5" t="s">
        <v>48</v>
      </c>
    </row>
    <row r="955" spans="1:11" ht="15.75" customHeight="1" x14ac:dyDescent="0.25">
      <c r="A955" s="5">
        <v>20</v>
      </c>
      <c r="B955" s="5">
        <v>2023</v>
      </c>
      <c r="C955" s="12">
        <v>45197</v>
      </c>
      <c r="D955" s="14" t="s">
        <v>72</v>
      </c>
      <c r="E955" s="5" t="s">
        <v>68</v>
      </c>
      <c r="F955" s="5">
        <v>1</v>
      </c>
      <c r="G955" s="5" t="s">
        <v>51</v>
      </c>
      <c r="H955" s="5">
        <v>11</v>
      </c>
      <c r="I955" s="5">
        <v>1</v>
      </c>
      <c r="J955" s="5">
        <v>5</v>
      </c>
      <c r="K955" s="5" t="s">
        <v>27</v>
      </c>
    </row>
    <row r="956" spans="1:11" ht="15.75" customHeight="1" x14ac:dyDescent="0.25">
      <c r="A956" s="5">
        <v>20</v>
      </c>
      <c r="B956" s="5">
        <v>2023</v>
      </c>
      <c r="C956" s="12">
        <v>45197</v>
      </c>
      <c r="D956" s="14" t="s">
        <v>72</v>
      </c>
      <c r="E956" s="5" t="s">
        <v>68</v>
      </c>
      <c r="F956" s="5">
        <v>1</v>
      </c>
      <c r="G956" s="5" t="s">
        <v>51</v>
      </c>
      <c r="H956" s="5">
        <v>11</v>
      </c>
      <c r="I956" s="5">
        <v>1</v>
      </c>
      <c r="J956" s="5">
        <v>5</v>
      </c>
      <c r="K956" s="5" t="s">
        <v>48</v>
      </c>
    </row>
    <row r="957" spans="1:11" ht="15.75" customHeight="1" x14ac:dyDescent="0.25">
      <c r="A957" s="5">
        <v>20</v>
      </c>
      <c r="B957" s="5">
        <v>2023</v>
      </c>
      <c r="C957" s="12">
        <v>45197</v>
      </c>
      <c r="D957" s="14" t="s">
        <v>72</v>
      </c>
      <c r="E957" s="5" t="s">
        <v>68</v>
      </c>
      <c r="F957" s="5">
        <v>1</v>
      </c>
      <c r="G957" s="5" t="s">
        <v>51</v>
      </c>
      <c r="H957" s="5">
        <v>12</v>
      </c>
      <c r="I957" s="5">
        <v>1</v>
      </c>
      <c r="J957" s="5">
        <v>5.5</v>
      </c>
      <c r="K957" s="5" t="s">
        <v>35</v>
      </c>
    </row>
    <row r="958" spans="1:11" ht="15.75" customHeight="1" x14ac:dyDescent="0.25">
      <c r="A958" s="5">
        <v>20</v>
      </c>
      <c r="B958" s="5">
        <v>2023</v>
      </c>
      <c r="C958" s="12">
        <v>45197</v>
      </c>
      <c r="D958" s="14" t="s">
        <v>72</v>
      </c>
      <c r="E958" s="5" t="s">
        <v>68</v>
      </c>
      <c r="F958" s="5">
        <v>1</v>
      </c>
      <c r="G958" s="5" t="s">
        <v>51</v>
      </c>
      <c r="H958" s="5">
        <v>13</v>
      </c>
      <c r="I958" s="5">
        <v>1</v>
      </c>
      <c r="J958" s="5">
        <v>6.5</v>
      </c>
      <c r="K958" s="5" t="s">
        <v>27</v>
      </c>
    </row>
    <row r="959" spans="1:11" ht="15.75" customHeight="1" x14ac:dyDescent="0.25">
      <c r="A959" s="5">
        <v>20</v>
      </c>
      <c r="B959" s="5">
        <v>2023</v>
      </c>
      <c r="C959" s="12">
        <v>45197</v>
      </c>
      <c r="D959" s="14" t="s">
        <v>72</v>
      </c>
      <c r="E959" s="5" t="s">
        <v>68</v>
      </c>
      <c r="F959" s="5">
        <v>1</v>
      </c>
      <c r="G959" s="5" t="s">
        <v>51</v>
      </c>
      <c r="H959" s="5">
        <v>13</v>
      </c>
      <c r="I959" s="5">
        <v>1</v>
      </c>
      <c r="J959" s="5">
        <v>6.5</v>
      </c>
      <c r="K959" s="5" t="s">
        <v>48</v>
      </c>
    </row>
    <row r="960" spans="1:11" ht="15.75" customHeight="1" x14ac:dyDescent="0.25">
      <c r="A960" s="5">
        <v>20</v>
      </c>
      <c r="B960" s="5">
        <v>2023</v>
      </c>
      <c r="C960" s="12">
        <v>45197</v>
      </c>
      <c r="D960" s="14" t="s">
        <v>72</v>
      </c>
      <c r="E960" s="5" t="s">
        <v>68</v>
      </c>
      <c r="F960" s="5">
        <v>1</v>
      </c>
      <c r="G960" s="5" t="s">
        <v>51</v>
      </c>
      <c r="H960" s="5">
        <v>14</v>
      </c>
      <c r="I960" s="5">
        <v>1</v>
      </c>
      <c r="J960" s="5">
        <v>7</v>
      </c>
      <c r="K960" s="5" t="s">
        <v>27</v>
      </c>
    </row>
    <row r="961" spans="1:11" ht="15.75" customHeight="1" x14ac:dyDescent="0.25">
      <c r="A961" s="5">
        <v>20</v>
      </c>
      <c r="B961" s="5">
        <v>2023</v>
      </c>
      <c r="C961" s="12">
        <v>45197</v>
      </c>
      <c r="D961" s="14" t="s">
        <v>72</v>
      </c>
      <c r="E961" s="5" t="s">
        <v>68</v>
      </c>
      <c r="F961" s="5">
        <v>1</v>
      </c>
      <c r="G961" s="5" t="s">
        <v>51</v>
      </c>
      <c r="H961" s="5">
        <v>14</v>
      </c>
      <c r="I961" s="5">
        <v>1</v>
      </c>
      <c r="J961" s="5">
        <v>7</v>
      </c>
      <c r="K961" s="5" t="s">
        <v>48</v>
      </c>
    </row>
    <row r="962" spans="1:11" ht="15.75" customHeight="1" x14ac:dyDescent="0.25">
      <c r="A962" s="5">
        <v>20</v>
      </c>
      <c r="B962" s="5">
        <v>2023</v>
      </c>
      <c r="C962" s="12">
        <v>45197</v>
      </c>
      <c r="D962" s="14" t="s">
        <v>72</v>
      </c>
      <c r="E962" s="5" t="s">
        <v>68</v>
      </c>
      <c r="F962" s="5">
        <v>1</v>
      </c>
      <c r="G962" s="5" t="s">
        <v>51</v>
      </c>
      <c r="H962" s="5">
        <v>15</v>
      </c>
      <c r="I962" s="5">
        <v>1</v>
      </c>
      <c r="J962" s="5">
        <v>7.5</v>
      </c>
      <c r="K962" s="5" t="s">
        <v>35</v>
      </c>
    </row>
    <row r="963" spans="1:11" ht="15.75" customHeight="1" x14ac:dyDescent="0.25">
      <c r="A963" s="5">
        <v>20</v>
      </c>
      <c r="B963" s="5">
        <v>2023</v>
      </c>
      <c r="C963" s="12">
        <v>45197</v>
      </c>
      <c r="D963" s="14" t="s">
        <v>72</v>
      </c>
      <c r="E963" s="5" t="s">
        <v>68</v>
      </c>
      <c r="F963" s="5">
        <v>1</v>
      </c>
      <c r="G963" s="5" t="s">
        <v>51</v>
      </c>
      <c r="H963" s="5">
        <v>15</v>
      </c>
      <c r="I963" s="5">
        <v>1</v>
      </c>
      <c r="J963" s="5">
        <v>7.5</v>
      </c>
      <c r="K963" s="5" t="s">
        <v>48</v>
      </c>
    </row>
    <row r="964" spans="1:11" ht="15.75" customHeight="1" x14ac:dyDescent="0.25">
      <c r="A964" s="5">
        <v>20</v>
      </c>
      <c r="B964" s="5">
        <v>2023</v>
      </c>
      <c r="C964" s="12">
        <v>45197</v>
      </c>
      <c r="D964" s="14" t="s">
        <v>72</v>
      </c>
      <c r="E964" s="5" t="s">
        <v>68</v>
      </c>
      <c r="F964" s="5">
        <v>1</v>
      </c>
      <c r="G964" s="5" t="s">
        <v>51</v>
      </c>
      <c r="H964" s="5">
        <v>1</v>
      </c>
      <c r="I964" s="5">
        <v>2</v>
      </c>
      <c r="J964" s="5">
        <v>0</v>
      </c>
      <c r="K964" s="5" t="s">
        <v>35</v>
      </c>
    </row>
    <row r="965" spans="1:11" ht="15.75" customHeight="1" x14ac:dyDescent="0.25">
      <c r="A965" s="5">
        <v>20</v>
      </c>
      <c r="B965" s="5">
        <v>2023</v>
      </c>
      <c r="C965" s="12">
        <v>45197</v>
      </c>
      <c r="D965" s="14" t="s">
        <v>72</v>
      </c>
      <c r="E965" s="5" t="s">
        <v>68</v>
      </c>
      <c r="F965" s="5">
        <v>1</v>
      </c>
      <c r="G965" s="5" t="s">
        <v>51</v>
      </c>
      <c r="H965" s="5">
        <v>2</v>
      </c>
      <c r="I965" s="5">
        <v>2</v>
      </c>
      <c r="J965" s="5">
        <v>0.5</v>
      </c>
      <c r="K965" s="5" t="s">
        <v>35</v>
      </c>
    </row>
    <row r="966" spans="1:11" ht="15.75" customHeight="1" x14ac:dyDescent="0.25">
      <c r="A966" s="5">
        <v>20</v>
      </c>
      <c r="B966" s="5">
        <v>2023</v>
      </c>
      <c r="C966" s="12">
        <v>45197</v>
      </c>
      <c r="D966" s="14" t="s">
        <v>72</v>
      </c>
      <c r="E966" s="5" t="s">
        <v>68</v>
      </c>
      <c r="F966" s="5">
        <v>1</v>
      </c>
      <c r="G966" s="5" t="s">
        <v>51</v>
      </c>
      <c r="H966" s="5">
        <v>2</v>
      </c>
      <c r="I966" s="5">
        <v>2</v>
      </c>
      <c r="J966" s="5">
        <v>0.5</v>
      </c>
      <c r="K966" s="5" t="s">
        <v>48</v>
      </c>
    </row>
    <row r="967" spans="1:11" ht="15.75" customHeight="1" x14ac:dyDescent="0.25">
      <c r="A967" s="5">
        <v>20</v>
      </c>
      <c r="B967" s="5">
        <v>2023</v>
      </c>
      <c r="C967" s="12">
        <v>45197</v>
      </c>
      <c r="D967" s="14" t="s">
        <v>72</v>
      </c>
      <c r="E967" s="5" t="s">
        <v>68</v>
      </c>
      <c r="F967" s="5">
        <v>1</v>
      </c>
      <c r="G967" s="5" t="s">
        <v>51</v>
      </c>
      <c r="H967" s="5">
        <v>3</v>
      </c>
      <c r="I967" s="5">
        <v>2</v>
      </c>
      <c r="J967" s="5">
        <v>1</v>
      </c>
      <c r="K967" s="5" t="s">
        <v>27</v>
      </c>
    </row>
    <row r="968" spans="1:11" ht="15.75" customHeight="1" x14ac:dyDescent="0.25">
      <c r="A968" s="5">
        <v>20</v>
      </c>
      <c r="B968" s="5">
        <v>2023</v>
      </c>
      <c r="C968" s="12">
        <v>45197</v>
      </c>
      <c r="D968" s="14" t="s">
        <v>72</v>
      </c>
      <c r="E968" s="5" t="s">
        <v>68</v>
      </c>
      <c r="F968" s="5">
        <v>1</v>
      </c>
      <c r="G968" s="5" t="s">
        <v>51</v>
      </c>
      <c r="H968" s="5">
        <v>3</v>
      </c>
      <c r="I968" s="5">
        <v>2</v>
      </c>
      <c r="J968" s="5">
        <v>1</v>
      </c>
      <c r="K968" s="5" t="s">
        <v>50</v>
      </c>
    </row>
    <row r="969" spans="1:11" ht="15.75" customHeight="1" x14ac:dyDescent="0.25">
      <c r="A969" s="5">
        <v>20</v>
      </c>
      <c r="B969" s="5">
        <v>2023</v>
      </c>
      <c r="C969" s="12">
        <v>45197</v>
      </c>
      <c r="D969" s="14" t="s">
        <v>72</v>
      </c>
      <c r="E969" s="5" t="s">
        <v>68</v>
      </c>
      <c r="F969" s="5">
        <v>1</v>
      </c>
      <c r="G969" s="5" t="s">
        <v>51</v>
      </c>
      <c r="H969" s="5">
        <v>3</v>
      </c>
      <c r="I969" s="5">
        <v>2</v>
      </c>
      <c r="J969" s="5">
        <v>1</v>
      </c>
      <c r="K969" s="5" t="s">
        <v>48</v>
      </c>
    </row>
    <row r="970" spans="1:11" ht="15.75" customHeight="1" x14ac:dyDescent="0.25">
      <c r="A970" s="5">
        <v>20</v>
      </c>
      <c r="B970" s="5">
        <v>2023</v>
      </c>
      <c r="C970" s="12">
        <v>45197</v>
      </c>
      <c r="D970" s="14" t="s">
        <v>72</v>
      </c>
      <c r="E970" s="5" t="s">
        <v>68</v>
      </c>
      <c r="F970" s="5">
        <v>1</v>
      </c>
      <c r="G970" s="5" t="s">
        <v>51</v>
      </c>
      <c r="H970" s="5">
        <v>4</v>
      </c>
      <c r="I970" s="5">
        <v>2</v>
      </c>
      <c r="J970" s="5">
        <v>1.5</v>
      </c>
      <c r="K970" s="5" t="s">
        <v>27</v>
      </c>
    </row>
    <row r="971" spans="1:11" ht="15.75" customHeight="1" x14ac:dyDescent="0.25">
      <c r="A971" s="5">
        <v>20</v>
      </c>
      <c r="B971" s="5">
        <v>2023</v>
      </c>
      <c r="C971" s="12">
        <v>45197</v>
      </c>
      <c r="D971" s="14" t="s">
        <v>72</v>
      </c>
      <c r="E971" s="5" t="s">
        <v>68</v>
      </c>
      <c r="F971" s="5">
        <v>1</v>
      </c>
      <c r="G971" s="5" t="s">
        <v>51</v>
      </c>
      <c r="H971" s="5">
        <v>4</v>
      </c>
      <c r="I971" s="5">
        <v>2</v>
      </c>
      <c r="J971" s="5">
        <v>1.5</v>
      </c>
      <c r="K971" s="5" t="s">
        <v>34</v>
      </c>
    </row>
    <row r="972" spans="1:11" ht="15.75" customHeight="1" x14ac:dyDescent="0.25">
      <c r="A972" s="5">
        <v>20</v>
      </c>
      <c r="B972" s="5">
        <v>2023</v>
      </c>
      <c r="C972" s="12">
        <v>45197</v>
      </c>
      <c r="D972" s="14" t="s">
        <v>72</v>
      </c>
      <c r="E972" s="5" t="s">
        <v>68</v>
      </c>
      <c r="F972" s="5">
        <v>1</v>
      </c>
      <c r="G972" s="5" t="s">
        <v>51</v>
      </c>
      <c r="H972" s="5">
        <v>5</v>
      </c>
      <c r="I972" s="5">
        <v>2</v>
      </c>
      <c r="J972" s="5">
        <v>2.5</v>
      </c>
      <c r="K972" s="5" t="s">
        <v>27</v>
      </c>
    </row>
    <row r="973" spans="1:11" ht="15.75" customHeight="1" x14ac:dyDescent="0.25">
      <c r="A973" s="5">
        <v>20</v>
      </c>
      <c r="B973" s="5">
        <v>2023</v>
      </c>
      <c r="C973" s="12">
        <v>45197</v>
      </c>
      <c r="D973" s="14" t="s">
        <v>72</v>
      </c>
      <c r="E973" s="5" t="s">
        <v>68</v>
      </c>
      <c r="F973" s="5">
        <v>1</v>
      </c>
      <c r="G973" s="5" t="s">
        <v>51</v>
      </c>
      <c r="H973" s="5">
        <v>5</v>
      </c>
      <c r="I973" s="5">
        <v>2</v>
      </c>
      <c r="J973" s="5">
        <v>2.5</v>
      </c>
      <c r="K973" s="5" t="s">
        <v>48</v>
      </c>
    </row>
    <row r="974" spans="1:11" ht="15.75" customHeight="1" x14ac:dyDescent="0.25">
      <c r="A974" s="5">
        <v>20</v>
      </c>
      <c r="B974" s="5">
        <v>2023</v>
      </c>
      <c r="C974" s="12">
        <v>45197</v>
      </c>
      <c r="D974" s="14" t="s">
        <v>72</v>
      </c>
      <c r="E974" s="5" t="s">
        <v>68</v>
      </c>
      <c r="F974" s="5">
        <v>1</v>
      </c>
      <c r="G974" s="5" t="s">
        <v>51</v>
      </c>
      <c r="H974" s="5">
        <v>6</v>
      </c>
      <c r="I974" s="5">
        <v>2</v>
      </c>
      <c r="J974" s="5">
        <v>3</v>
      </c>
      <c r="K974" s="5" t="s">
        <v>27</v>
      </c>
    </row>
    <row r="975" spans="1:11" ht="15.75" customHeight="1" x14ac:dyDescent="0.25">
      <c r="A975" s="5">
        <v>20</v>
      </c>
      <c r="B975" s="5">
        <v>2023</v>
      </c>
      <c r="C975" s="12">
        <v>45197</v>
      </c>
      <c r="D975" s="14" t="s">
        <v>72</v>
      </c>
      <c r="E975" s="5" t="s">
        <v>68</v>
      </c>
      <c r="F975" s="5">
        <v>1</v>
      </c>
      <c r="G975" s="5" t="s">
        <v>51</v>
      </c>
      <c r="H975" s="5">
        <v>6</v>
      </c>
      <c r="I975" s="5">
        <v>2</v>
      </c>
      <c r="J975" s="5">
        <v>3</v>
      </c>
      <c r="K975" s="5" t="s">
        <v>48</v>
      </c>
    </row>
    <row r="976" spans="1:11" ht="15.75" customHeight="1" x14ac:dyDescent="0.25">
      <c r="A976" s="5">
        <v>20</v>
      </c>
      <c r="B976" s="5">
        <v>2023</v>
      </c>
      <c r="C976" s="12">
        <v>45197</v>
      </c>
      <c r="D976" s="14" t="s">
        <v>72</v>
      </c>
      <c r="E976" s="5" t="s">
        <v>68</v>
      </c>
      <c r="F976" s="5">
        <v>1</v>
      </c>
      <c r="G976" s="5" t="s">
        <v>51</v>
      </c>
      <c r="H976" s="5">
        <v>7</v>
      </c>
      <c r="I976" s="5">
        <v>2</v>
      </c>
      <c r="J976" s="5">
        <v>3.5</v>
      </c>
      <c r="K976" s="5" t="s">
        <v>27</v>
      </c>
    </row>
    <row r="977" spans="1:11" ht="15.75" customHeight="1" x14ac:dyDescent="0.25">
      <c r="A977" s="5">
        <v>20</v>
      </c>
      <c r="B977" s="5">
        <v>2023</v>
      </c>
      <c r="C977" s="12">
        <v>45197</v>
      </c>
      <c r="D977" s="14" t="s">
        <v>72</v>
      </c>
      <c r="E977" s="5" t="s">
        <v>68</v>
      </c>
      <c r="F977" s="5">
        <v>1</v>
      </c>
      <c r="G977" s="5" t="s">
        <v>51</v>
      </c>
      <c r="H977" s="5">
        <v>7</v>
      </c>
      <c r="I977" s="5">
        <v>2</v>
      </c>
      <c r="J977" s="5">
        <v>3.5</v>
      </c>
      <c r="K977" s="5" t="s">
        <v>48</v>
      </c>
    </row>
    <row r="978" spans="1:11" ht="15.75" customHeight="1" x14ac:dyDescent="0.25">
      <c r="A978" s="5">
        <v>20</v>
      </c>
      <c r="B978" s="5">
        <v>2023</v>
      </c>
      <c r="C978" s="12">
        <v>45197</v>
      </c>
      <c r="D978" s="14" t="s">
        <v>72</v>
      </c>
      <c r="E978" s="5" t="s">
        <v>68</v>
      </c>
      <c r="F978" s="5">
        <v>1</v>
      </c>
      <c r="G978" s="5" t="s">
        <v>51</v>
      </c>
      <c r="H978" s="5">
        <v>8</v>
      </c>
      <c r="I978" s="5">
        <v>2</v>
      </c>
      <c r="J978" s="5">
        <v>4</v>
      </c>
      <c r="K978" s="5" t="s">
        <v>27</v>
      </c>
    </row>
    <row r="979" spans="1:11" ht="15.75" customHeight="1" x14ac:dyDescent="0.25">
      <c r="A979" s="5">
        <v>20</v>
      </c>
      <c r="B979" s="5">
        <v>2023</v>
      </c>
      <c r="C979" s="12">
        <v>45197</v>
      </c>
      <c r="D979" s="14" t="s">
        <v>72</v>
      </c>
      <c r="E979" s="5" t="s">
        <v>68</v>
      </c>
      <c r="F979" s="5">
        <v>1</v>
      </c>
      <c r="G979" s="5" t="s">
        <v>51</v>
      </c>
      <c r="H979" s="5">
        <v>9</v>
      </c>
      <c r="I979" s="5">
        <v>2</v>
      </c>
      <c r="J979" s="5">
        <v>4.5</v>
      </c>
      <c r="K979" s="5" t="s">
        <v>27</v>
      </c>
    </row>
    <row r="980" spans="1:11" ht="15.75" customHeight="1" x14ac:dyDescent="0.25">
      <c r="A980" s="5">
        <v>20</v>
      </c>
      <c r="B980" s="5">
        <v>2023</v>
      </c>
      <c r="C980" s="12">
        <v>45197</v>
      </c>
      <c r="D980" s="14" t="s">
        <v>72</v>
      </c>
      <c r="E980" s="5" t="s">
        <v>68</v>
      </c>
      <c r="F980" s="5">
        <v>1</v>
      </c>
      <c r="G980" s="5" t="s">
        <v>51</v>
      </c>
      <c r="H980" s="5">
        <v>10</v>
      </c>
      <c r="I980" s="5">
        <v>2</v>
      </c>
      <c r="J980" s="5">
        <v>5</v>
      </c>
      <c r="K980" s="5" t="s">
        <v>35</v>
      </c>
    </row>
    <row r="981" spans="1:11" ht="15.75" customHeight="1" x14ac:dyDescent="0.25">
      <c r="A981" s="5">
        <v>20</v>
      </c>
      <c r="B981" s="5">
        <v>2023</v>
      </c>
      <c r="C981" s="12">
        <v>45197</v>
      </c>
      <c r="D981" s="14" t="s">
        <v>72</v>
      </c>
      <c r="E981" s="5" t="s">
        <v>68</v>
      </c>
      <c r="F981" s="5">
        <v>1</v>
      </c>
      <c r="G981" s="5" t="s">
        <v>51</v>
      </c>
      <c r="H981" s="5">
        <v>11</v>
      </c>
      <c r="I981" s="5">
        <v>2</v>
      </c>
      <c r="J981" s="5">
        <v>5.5</v>
      </c>
      <c r="K981" s="5" t="s">
        <v>27</v>
      </c>
    </row>
    <row r="982" spans="1:11" ht="15.75" customHeight="1" x14ac:dyDescent="0.25">
      <c r="A982" s="5">
        <v>20</v>
      </c>
      <c r="B982" s="5">
        <v>2023</v>
      </c>
      <c r="C982" s="12">
        <v>45197</v>
      </c>
      <c r="D982" s="14" t="s">
        <v>72</v>
      </c>
      <c r="E982" s="5" t="s">
        <v>68</v>
      </c>
      <c r="F982" s="5">
        <v>1</v>
      </c>
      <c r="G982" s="5" t="s">
        <v>51</v>
      </c>
      <c r="H982" s="5">
        <v>12</v>
      </c>
      <c r="I982" s="5">
        <v>2</v>
      </c>
      <c r="J982" s="5">
        <v>6</v>
      </c>
      <c r="K982" s="5" t="s">
        <v>27</v>
      </c>
    </row>
    <row r="983" spans="1:11" ht="15.75" customHeight="1" x14ac:dyDescent="0.25">
      <c r="A983" s="5">
        <v>20</v>
      </c>
      <c r="B983" s="5">
        <v>2023</v>
      </c>
      <c r="C983" s="12">
        <v>45197</v>
      </c>
      <c r="D983" s="14" t="s">
        <v>72</v>
      </c>
      <c r="E983" s="5" t="s">
        <v>68</v>
      </c>
      <c r="F983" s="5">
        <v>1</v>
      </c>
      <c r="G983" s="5" t="s">
        <v>51</v>
      </c>
      <c r="H983" s="5">
        <v>13</v>
      </c>
      <c r="I983" s="5">
        <v>2</v>
      </c>
      <c r="J983" s="5">
        <v>6.5</v>
      </c>
      <c r="K983" s="5" t="s">
        <v>27</v>
      </c>
    </row>
    <row r="984" spans="1:11" ht="15.75" customHeight="1" x14ac:dyDescent="0.25">
      <c r="A984" s="5">
        <v>20</v>
      </c>
      <c r="B984" s="5">
        <v>2023</v>
      </c>
      <c r="C984" s="12">
        <v>45197</v>
      </c>
      <c r="D984" s="14" t="s">
        <v>72</v>
      </c>
      <c r="E984" s="5" t="s">
        <v>68</v>
      </c>
      <c r="F984" s="5">
        <v>1</v>
      </c>
      <c r="G984" s="5" t="s">
        <v>51</v>
      </c>
      <c r="H984" s="5">
        <v>14</v>
      </c>
      <c r="I984" s="5">
        <v>2</v>
      </c>
      <c r="J984" s="5">
        <v>7</v>
      </c>
      <c r="K984" s="5" t="s">
        <v>27</v>
      </c>
    </row>
    <row r="985" spans="1:11" ht="15.75" customHeight="1" x14ac:dyDescent="0.25">
      <c r="A985" s="5">
        <v>20</v>
      </c>
      <c r="B985" s="5">
        <v>2023</v>
      </c>
      <c r="C985" s="12">
        <v>45197</v>
      </c>
      <c r="D985" s="14" t="s">
        <v>72</v>
      </c>
      <c r="E985" s="5" t="s">
        <v>68</v>
      </c>
      <c r="F985" s="5">
        <v>1</v>
      </c>
      <c r="G985" s="5" t="s">
        <v>51</v>
      </c>
      <c r="H985" s="5">
        <v>15</v>
      </c>
      <c r="I985" s="5">
        <v>2</v>
      </c>
      <c r="J985" s="5">
        <v>7.5</v>
      </c>
      <c r="K985" s="5" t="s">
        <v>27</v>
      </c>
    </row>
    <row r="986" spans="1:11" ht="15.75" customHeight="1" x14ac:dyDescent="0.25">
      <c r="A986" s="5"/>
      <c r="B986" s="5"/>
      <c r="C986" s="6"/>
      <c r="D986" s="14"/>
      <c r="E986" s="5"/>
      <c r="F986" s="5"/>
      <c r="G986" s="5"/>
      <c r="H986" s="5"/>
      <c r="I986" s="5"/>
      <c r="J986" s="5"/>
      <c r="K986" s="5"/>
    </row>
    <row r="987" spans="1:11" ht="15.75" customHeight="1" x14ac:dyDescent="0.25">
      <c r="A987" s="5"/>
      <c r="B987" s="5"/>
      <c r="C987" s="6"/>
      <c r="D987" s="14"/>
      <c r="E987" s="5"/>
      <c r="F987" s="5"/>
      <c r="G987" s="5"/>
      <c r="H987" s="5"/>
      <c r="I987" s="5"/>
      <c r="J987" s="5"/>
      <c r="K987" s="5"/>
    </row>
    <row r="988" spans="1:11" ht="15.75" customHeight="1" x14ac:dyDescent="0.25">
      <c r="A988" s="5"/>
      <c r="B988" s="5"/>
      <c r="C988" s="6"/>
      <c r="D988" s="14"/>
      <c r="E988" s="5"/>
      <c r="F988" s="5"/>
      <c r="G988" s="5"/>
      <c r="H988" s="5"/>
      <c r="I988" s="5"/>
      <c r="J988" s="5"/>
      <c r="K988" s="5"/>
    </row>
    <row r="989" spans="1:11" ht="15.75" customHeight="1" x14ac:dyDescent="0.25">
      <c r="A989" s="5"/>
      <c r="B989" s="5"/>
      <c r="C989" s="6"/>
      <c r="D989" s="14"/>
      <c r="E989" s="5"/>
      <c r="F989" s="5"/>
      <c r="G989" s="5"/>
      <c r="H989" s="5"/>
      <c r="I989" s="5"/>
      <c r="J989" s="5"/>
      <c r="K989" s="5"/>
    </row>
    <row r="990" spans="1:11" ht="15.75" customHeight="1" x14ac:dyDescent="0.25">
      <c r="A990" s="5"/>
      <c r="B990" s="5"/>
      <c r="C990" s="6"/>
      <c r="D990" s="14"/>
      <c r="E990" s="5"/>
      <c r="F990" s="5"/>
      <c r="G990" s="5"/>
      <c r="H990" s="5"/>
      <c r="I990" s="5"/>
      <c r="J990" s="5"/>
      <c r="K990" s="5"/>
    </row>
    <row r="991" spans="1:11" ht="15.75" customHeight="1" x14ac:dyDescent="0.25">
      <c r="A991" s="5"/>
      <c r="B991" s="5"/>
      <c r="C991" s="6"/>
      <c r="D991" s="14"/>
      <c r="E991" s="5"/>
      <c r="F991" s="5"/>
      <c r="G991" s="5"/>
      <c r="H991" s="5"/>
      <c r="I991" s="5"/>
      <c r="J991" s="5"/>
      <c r="K991" s="5"/>
    </row>
    <row r="992" spans="1:11" ht="15.75" customHeight="1" x14ac:dyDescent="0.25">
      <c r="A992" s="5"/>
      <c r="B992" s="5"/>
      <c r="C992" s="6"/>
      <c r="D992" s="14"/>
      <c r="E992" s="5"/>
      <c r="F992" s="5"/>
      <c r="G992" s="5"/>
      <c r="H992" s="5"/>
      <c r="I992" s="5"/>
      <c r="J992" s="5"/>
      <c r="K992" s="5"/>
    </row>
    <row r="993" spans="1:11" ht="15.75" customHeight="1" x14ac:dyDescent="0.25">
      <c r="A993" s="5"/>
      <c r="B993" s="5"/>
      <c r="C993" s="6"/>
      <c r="D993" s="14"/>
      <c r="E993" s="5"/>
      <c r="F993" s="5"/>
      <c r="G993" s="5"/>
      <c r="H993" s="5"/>
      <c r="I993" s="5"/>
      <c r="J993" s="5"/>
      <c r="K993" s="5"/>
    </row>
    <row r="994" spans="1:11" ht="15.75" customHeight="1" x14ac:dyDescent="0.25">
      <c r="A994" s="5"/>
      <c r="B994" s="5"/>
      <c r="C994" s="6"/>
      <c r="D994" s="14"/>
      <c r="E994" s="5"/>
      <c r="F994" s="5"/>
      <c r="G994" s="5"/>
      <c r="H994" s="5"/>
      <c r="I994" s="5"/>
      <c r="J994" s="5"/>
      <c r="K994" s="5"/>
    </row>
    <row r="995" spans="1:11" ht="15.75" customHeight="1" x14ac:dyDescent="0.25">
      <c r="A995" s="5"/>
      <c r="B995" s="5"/>
      <c r="C995" s="6"/>
      <c r="D995" s="14"/>
      <c r="E995" s="5"/>
      <c r="F995" s="5"/>
      <c r="G995" s="5"/>
      <c r="H995" s="5"/>
      <c r="I995" s="5"/>
      <c r="J995" s="5"/>
      <c r="K995" s="5"/>
    </row>
    <row r="996" spans="1:11" ht="15.75" customHeight="1" x14ac:dyDescent="0.25">
      <c r="A996" s="5"/>
      <c r="B996" s="5"/>
      <c r="C996" s="6"/>
      <c r="D996" s="14"/>
      <c r="E996" s="5"/>
      <c r="F996" s="5"/>
      <c r="G996" s="5"/>
      <c r="H996" s="5"/>
      <c r="I996" s="5"/>
      <c r="J996" s="5"/>
      <c r="K996" s="5"/>
    </row>
    <row r="997" spans="1:11" ht="15.75" customHeight="1" x14ac:dyDescent="0.25">
      <c r="A997" s="5"/>
      <c r="B997" s="5"/>
      <c r="C997" s="6"/>
      <c r="D997" s="14"/>
      <c r="E997" s="5"/>
      <c r="F997" s="5"/>
      <c r="G997" s="5"/>
      <c r="H997" s="5"/>
      <c r="I997" s="5"/>
      <c r="J997" s="5"/>
      <c r="K997" s="5"/>
    </row>
    <row r="998" spans="1:11" ht="15.75" customHeight="1" x14ac:dyDescent="0.25">
      <c r="A998" s="5"/>
      <c r="B998" s="5"/>
      <c r="C998" s="6"/>
      <c r="D998" s="14"/>
      <c r="E998" s="5"/>
      <c r="F998" s="5"/>
      <c r="G998" s="5"/>
      <c r="H998" s="5"/>
      <c r="I998" s="5"/>
      <c r="J998" s="5"/>
      <c r="K998" s="5"/>
    </row>
    <row r="999" spans="1:11" ht="15.75" customHeight="1" x14ac:dyDescent="0.25">
      <c r="A999" s="5"/>
      <c r="B999" s="5"/>
      <c r="C999" s="6"/>
      <c r="D999" s="14"/>
      <c r="E999" s="5"/>
      <c r="F999" s="5"/>
      <c r="G999" s="5"/>
      <c r="H999" s="5"/>
      <c r="I999" s="5"/>
      <c r="J999" s="5"/>
      <c r="K999" s="5"/>
    </row>
    <row r="1000" spans="1:11" ht="15.75" customHeight="1" x14ac:dyDescent="0.25">
      <c r="A1000" s="5"/>
      <c r="B1000" s="5"/>
      <c r="C1000" s="6"/>
      <c r="D1000" s="14"/>
      <c r="E1000" s="5"/>
      <c r="F1000" s="5"/>
      <c r="G1000" s="5"/>
      <c r="H1000" s="5"/>
      <c r="I1000" s="5"/>
      <c r="J1000" s="5"/>
      <c r="K1000" s="5"/>
    </row>
    <row r="1001" spans="1:11" ht="15.75" customHeight="1" x14ac:dyDescent="0.25">
      <c r="A1001" s="5"/>
      <c r="B1001" s="5"/>
      <c r="C1001" s="6"/>
      <c r="D1001" s="14"/>
      <c r="E1001" s="5"/>
      <c r="F1001" s="5"/>
      <c r="G1001" s="5"/>
      <c r="H1001" s="5"/>
      <c r="I1001" s="5"/>
      <c r="J1001" s="5"/>
      <c r="K1001" s="5"/>
    </row>
    <row r="1002" spans="1:11" ht="15.75" customHeight="1" x14ac:dyDescent="0.25">
      <c r="A1002" s="5"/>
      <c r="B1002" s="5"/>
      <c r="C1002" s="6"/>
      <c r="D1002" s="14"/>
      <c r="E1002" s="5"/>
      <c r="F1002" s="5"/>
      <c r="G1002" s="5"/>
      <c r="H1002" s="5"/>
      <c r="I1002" s="5"/>
      <c r="J1002" s="5"/>
      <c r="K1002" s="5"/>
    </row>
    <row r="1003" spans="1:11" ht="15.75" customHeight="1" x14ac:dyDescent="0.25">
      <c r="A1003" s="5"/>
      <c r="B1003" s="5"/>
      <c r="C1003" s="6"/>
      <c r="D1003" s="14"/>
      <c r="E1003" s="5"/>
      <c r="F1003" s="5"/>
      <c r="G1003" s="5"/>
      <c r="H1003" s="5"/>
      <c r="I1003" s="5"/>
      <c r="J1003" s="5"/>
      <c r="K1003" s="5"/>
    </row>
    <row r="1004" spans="1:11" ht="15.75" customHeight="1" x14ac:dyDescent="0.25">
      <c r="A1004" s="5"/>
      <c r="B1004" s="5"/>
      <c r="C1004" s="6"/>
      <c r="D1004" s="14"/>
      <c r="E1004" s="5"/>
      <c r="F1004" s="5"/>
      <c r="G1004" s="5"/>
      <c r="H1004" s="5"/>
      <c r="I1004" s="5"/>
      <c r="J1004" s="5"/>
      <c r="K1004" s="5"/>
    </row>
    <row r="1005" spans="1:11" ht="15.75" customHeight="1" x14ac:dyDescent="0.25">
      <c r="A1005" s="5"/>
      <c r="B1005" s="5"/>
      <c r="C1005" s="6"/>
      <c r="D1005" s="14"/>
      <c r="E1005" s="5"/>
      <c r="F1005" s="5"/>
      <c r="G1005" s="5"/>
      <c r="H1005" s="5"/>
      <c r="I1005" s="5"/>
      <c r="J1005" s="5"/>
      <c r="K1005" s="5"/>
    </row>
    <row r="1006" spans="1:11" ht="15.75" customHeight="1" x14ac:dyDescent="0.25">
      <c r="A1006" s="5"/>
      <c r="B1006" s="5"/>
      <c r="C1006" s="6"/>
      <c r="D1006" s="14"/>
      <c r="E1006" s="5"/>
      <c r="F1006" s="5"/>
      <c r="G1006" s="5"/>
      <c r="H1006" s="5"/>
      <c r="I1006" s="5"/>
      <c r="J1006" s="5"/>
      <c r="K1006" s="5"/>
    </row>
    <row r="1007" spans="1:11" ht="15.75" customHeight="1" x14ac:dyDescent="0.25">
      <c r="A1007" s="5"/>
      <c r="B1007" s="5"/>
      <c r="C1007" s="6"/>
      <c r="D1007" s="14"/>
      <c r="E1007" s="5"/>
      <c r="F1007" s="5"/>
      <c r="G1007" s="5"/>
      <c r="H1007" s="5"/>
      <c r="I1007" s="5"/>
      <c r="J1007" s="5"/>
      <c r="K1007" s="5"/>
    </row>
    <row r="1008" spans="1:11" ht="15.75" customHeight="1" x14ac:dyDescent="0.25">
      <c r="A1008" s="5"/>
      <c r="B1008" s="5"/>
      <c r="C1008" s="6"/>
      <c r="D1008" s="14"/>
      <c r="E1008" s="5"/>
      <c r="F1008" s="5"/>
      <c r="G1008" s="5"/>
      <c r="H1008" s="5"/>
      <c r="I1008" s="5"/>
      <c r="J1008" s="5"/>
      <c r="K1008" s="5"/>
    </row>
    <row r="1009" spans="1:11" ht="15.75" customHeight="1" x14ac:dyDescent="0.25">
      <c r="A1009" s="5"/>
      <c r="B1009" s="5"/>
      <c r="C1009" s="6"/>
      <c r="D1009" s="14"/>
      <c r="E1009" s="5"/>
      <c r="F1009" s="5"/>
      <c r="G1009" s="5"/>
      <c r="H1009" s="5"/>
      <c r="I1009" s="5"/>
      <c r="J1009" s="5"/>
      <c r="K1009" s="5"/>
    </row>
    <row r="1010" spans="1:11" ht="15.75" customHeight="1" x14ac:dyDescent="0.25">
      <c r="A1010" s="5"/>
      <c r="B1010" s="5"/>
      <c r="C1010" s="6"/>
      <c r="D1010" s="14"/>
      <c r="E1010" s="5"/>
      <c r="F1010" s="5"/>
      <c r="G1010" s="5"/>
      <c r="H1010" s="5"/>
      <c r="I1010" s="5"/>
      <c r="J1010" s="5"/>
      <c r="K1010" s="5"/>
    </row>
    <row r="1011" spans="1:11" ht="15.75" customHeight="1" x14ac:dyDescent="0.25">
      <c r="A1011" s="5"/>
      <c r="B1011" s="5"/>
      <c r="C1011" s="6"/>
      <c r="D1011" s="14"/>
      <c r="E1011" s="5"/>
      <c r="F1011" s="5"/>
      <c r="G1011" s="5"/>
      <c r="H1011" s="5"/>
      <c r="I1011" s="5"/>
      <c r="J1011" s="5"/>
      <c r="K1011" s="5"/>
    </row>
    <row r="1012" spans="1:11" ht="15.75" customHeight="1" x14ac:dyDescent="0.25">
      <c r="A1012" s="5"/>
      <c r="B1012" s="5"/>
      <c r="C1012" s="6"/>
      <c r="D1012" s="5"/>
      <c r="E1012" s="5"/>
      <c r="F1012" s="5"/>
      <c r="G1012" s="5"/>
      <c r="H1012" s="5"/>
      <c r="I1012" s="5"/>
      <c r="J1012" s="5"/>
      <c r="K1012" s="5"/>
    </row>
    <row r="1013" spans="1:11" ht="15.75" customHeight="1" x14ac:dyDescent="0.25">
      <c r="A1013" s="5"/>
      <c r="B1013" s="5"/>
      <c r="C1013" s="6"/>
      <c r="D1013" s="5"/>
      <c r="E1013" s="5"/>
      <c r="F1013" s="5"/>
      <c r="G1013" s="5"/>
      <c r="H1013" s="5"/>
      <c r="I1013" s="5"/>
      <c r="J1013" s="5"/>
      <c r="K1013" s="5"/>
    </row>
    <row r="1014" spans="1:11" ht="15.75" customHeight="1" x14ac:dyDescent="0.25">
      <c r="A1014" s="5"/>
      <c r="B1014" s="5"/>
      <c r="C1014" s="6"/>
      <c r="D1014" s="5"/>
      <c r="E1014" s="5"/>
      <c r="F1014" s="5"/>
      <c r="G1014" s="5"/>
      <c r="H1014" s="5"/>
      <c r="I1014" s="5"/>
      <c r="J1014" s="5"/>
      <c r="K1014" s="5"/>
    </row>
    <row r="1015" spans="1:11" ht="15.75" customHeight="1" x14ac:dyDescent="0.25">
      <c r="A1015" s="5"/>
      <c r="B1015" s="5"/>
      <c r="C1015" s="6"/>
      <c r="D1015" s="5"/>
      <c r="E1015" s="5"/>
      <c r="F1015" s="5"/>
      <c r="G1015" s="5"/>
      <c r="H1015" s="5"/>
      <c r="I1015" s="5"/>
      <c r="J1015" s="5"/>
      <c r="K1015" s="5"/>
    </row>
    <row r="1016" spans="1:11" ht="15.75" customHeight="1" x14ac:dyDescent="0.25">
      <c r="A1016" s="5"/>
      <c r="B1016" s="5"/>
      <c r="C1016" s="6"/>
      <c r="D1016" s="5"/>
      <c r="E1016" s="5"/>
      <c r="F1016" s="5"/>
      <c r="G1016" s="5"/>
      <c r="H1016" s="5"/>
      <c r="I1016" s="5"/>
      <c r="J1016" s="5"/>
      <c r="K1016" s="5"/>
    </row>
    <row r="1017" spans="1:11" ht="15.75" customHeight="1" x14ac:dyDescent="0.25">
      <c r="A1017" s="5"/>
      <c r="B1017" s="5"/>
      <c r="C1017" s="6"/>
      <c r="D1017" s="5"/>
      <c r="E1017" s="5"/>
      <c r="F1017" s="5"/>
      <c r="G1017" s="5"/>
      <c r="H1017" s="5"/>
      <c r="I1017" s="5"/>
      <c r="J1017" s="5"/>
      <c r="K1017" s="5"/>
    </row>
    <row r="1018" spans="1:11" ht="15.75" customHeight="1" x14ac:dyDescent="0.25">
      <c r="A1018" s="5"/>
      <c r="B1018" s="5"/>
      <c r="C1018" s="6"/>
      <c r="D1018" s="5"/>
      <c r="E1018" s="5"/>
      <c r="F1018" s="5"/>
      <c r="G1018" s="5"/>
      <c r="H1018" s="5"/>
      <c r="I1018" s="5"/>
      <c r="J1018" s="5"/>
      <c r="K1018" s="5"/>
    </row>
    <row r="1019" spans="1:11" ht="15.75" customHeight="1" x14ac:dyDescent="0.25">
      <c r="A1019" s="5"/>
      <c r="B1019" s="5"/>
      <c r="C1019" s="6"/>
      <c r="D1019" s="5"/>
      <c r="E1019" s="5"/>
      <c r="F1019" s="5"/>
      <c r="G1019" s="5"/>
      <c r="H1019" s="5"/>
      <c r="I1019" s="5"/>
      <c r="J1019" s="5"/>
      <c r="K1019" s="5"/>
    </row>
    <row r="1020" spans="1:11" ht="15.75" customHeight="1" x14ac:dyDescent="0.25">
      <c r="A1020" s="5"/>
      <c r="B1020" s="5"/>
      <c r="C1020" s="6"/>
      <c r="D1020" s="5"/>
      <c r="E1020" s="5"/>
      <c r="F1020" s="5"/>
      <c r="G1020" s="5"/>
      <c r="H1020" s="5"/>
      <c r="I1020" s="5"/>
      <c r="J1020" s="5"/>
      <c r="K1020" s="5"/>
    </row>
    <row r="1021" spans="1:11" ht="15.75" customHeight="1" x14ac:dyDescent="0.25">
      <c r="A1021" s="5"/>
      <c r="B1021" s="5"/>
      <c r="C1021" s="6"/>
      <c r="D1021" s="5"/>
      <c r="E1021" s="5"/>
      <c r="F1021" s="5"/>
      <c r="G1021" s="5"/>
      <c r="H1021" s="5"/>
      <c r="I1021" s="5"/>
      <c r="J1021" s="5"/>
      <c r="K1021" s="5"/>
    </row>
    <row r="1022" spans="1:11" ht="15.75" customHeight="1" x14ac:dyDescent="0.25">
      <c r="A1022" s="5"/>
      <c r="B1022" s="5"/>
      <c r="C1022" s="6"/>
      <c r="D1022" s="5"/>
      <c r="E1022" s="5"/>
      <c r="F1022" s="5"/>
      <c r="G1022" s="5"/>
      <c r="H1022" s="5"/>
      <c r="I1022" s="5"/>
      <c r="J1022" s="5"/>
      <c r="K1022" s="5"/>
    </row>
    <row r="1023" spans="1:11" ht="15.75" customHeight="1" x14ac:dyDescent="0.25">
      <c r="A1023" s="5"/>
      <c r="B1023" s="5"/>
      <c r="C1023" s="6"/>
      <c r="D1023" s="5"/>
      <c r="E1023" s="5"/>
      <c r="F1023" s="5"/>
      <c r="G1023" s="5"/>
      <c r="H1023" s="5"/>
      <c r="I1023" s="5"/>
      <c r="J1023" s="5"/>
      <c r="K1023" s="5"/>
    </row>
    <row r="1024" spans="1:11" ht="15.75" customHeight="1" x14ac:dyDescent="0.25">
      <c r="A1024" s="5"/>
      <c r="B1024" s="5"/>
      <c r="C1024" s="6"/>
      <c r="D1024" s="5"/>
      <c r="E1024" s="5"/>
      <c r="F1024" s="5"/>
      <c r="G1024" s="5"/>
      <c r="H1024" s="5"/>
      <c r="I1024" s="5"/>
      <c r="J1024" s="5"/>
      <c r="K1024" s="5"/>
    </row>
    <row r="1025" spans="1:11" ht="15.75" customHeight="1" x14ac:dyDescent="0.25">
      <c r="A1025" s="5"/>
      <c r="B1025" s="5"/>
      <c r="C1025" s="6"/>
      <c r="D1025" s="5"/>
      <c r="E1025" s="5"/>
      <c r="F1025" s="5"/>
      <c r="G1025" s="5"/>
      <c r="H1025" s="5"/>
      <c r="I1025" s="5"/>
      <c r="J1025" s="5"/>
      <c r="K1025" s="5"/>
    </row>
    <row r="1026" spans="1:11" ht="15.75" customHeight="1" x14ac:dyDescent="0.25">
      <c r="A1026" s="5"/>
      <c r="B1026" s="5"/>
      <c r="C1026" s="6"/>
      <c r="D1026" s="5"/>
      <c r="E1026" s="5"/>
      <c r="F1026" s="5"/>
      <c r="G1026" s="5"/>
      <c r="H1026" s="5"/>
      <c r="I1026" s="5"/>
      <c r="J1026" s="5"/>
      <c r="K1026" s="5"/>
    </row>
    <row r="1027" spans="1:11" ht="15.75" customHeight="1" x14ac:dyDescent="0.25">
      <c r="A1027" s="5"/>
      <c r="B1027" s="5"/>
      <c r="C1027" s="6"/>
      <c r="D1027" s="5"/>
      <c r="E1027" s="5"/>
      <c r="F1027" s="5"/>
      <c r="G1027" s="5"/>
      <c r="H1027" s="5"/>
      <c r="I1027" s="5"/>
      <c r="J1027" s="5"/>
      <c r="K1027" s="5"/>
    </row>
    <row r="1028" spans="1:11" ht="15.75" customHeight="1" x14ac:dyDescent="0.25">
      <c r="A1028" s="5"/>
      <c r="B1028" s="5"/>
      <c r="C1028" s="6"/>
      <c r="D1028" s="5"/>
      <c r="E1028" s="5"/>
      <c r="F1028" s="5"/>
      <c r="G1028" s="5"/>
      <c r="H1028" s="5"/>
      <c r="I1028" s="5"/>
      <c r="J1028" s="5"/>
      <c r="K1028" s="5"/>
    </row>
    <row r="1029" spans="1:11" ht="15.75" customHeight="1" x14ac:dyDescent="0.25">
      <c r="A1029" s="5"/>
      <c r="B1029" s="5"/>
      <c r="C1029" s="6"/>
      <c r="D1029" s="5"/>
      <c r="E1029" s="5"/>
      <c r="F1029" s="5"/>
      <c r="G1029" s="5"/>
      <c r="H1029" s="5"/>
      <c r="I1029" s="5"/>
      <c r="J1029" s="5"/>
      <c r="K1029" s="5"/>
    </row>
    <row r="1030" spans="1:11" ht="15.75" customHeight="1" x14ac:dyDescent="0.25">
      <c r="A1030" s="5"/>
      <c r="B1030" s="5"/>
      <c r="C1030" s="6"/>
      <c r="D1030" s="5"/>
      <c r="E1030" s="5"/>
      <c r="F1030" s="5"/>
      <c r="G1030" s="5"/>
      <c r="H1030" s="5"/>
      <c r="I1030" s="5"/>
      <c r="J1030" s="5"/>
      <c r="K1030" s="5"/>
    </row>
    <row r="1031" spans="1:11" ht="15.75" customHeight="1" x14ac:dyDescent="0.25">
      <c r="A1031" s="5"/>
      <c r="B1031" s="5"/>
      <c r="C1031" s="6"/>
      <c r="D1031" s="5"/>
      <c r="E1031" s="5"/>
      <c r="F1031" s="5"/>
      <c r="G1031" s="5"/>
      <c r="H1031" s="5"/>
      <c r="I1031" s="5"/>
      <c r="J1031" s="5"/>
      <c r="K1031" s="5"/>
    </row>
    <row r="1032" spans="1:11" ht="15.75" customHeight="1" x14ac:dyDescent="0.25">
      <c r="A1032" s="5"/>
      <c r="B1032" s="5"/>
      <c r="C1032" s="6"/>
      <c r="D1032" s="5"/>
      <c r="E1032" s="5"/>
      <c r="F1032" s="5"/>
      <c r="G1032" s="5"/>
      <c r="H1032" s="5"/>
      <c r="I1032" s="5"/>
      <c r="J1032" s="5"/>
      <c r="K1032" s="5"/>
    </row>
    <row r="1033" spans="1:11" ht="15.75" customHeight="1" x14ac:dyDescent="0.25">
      <c r="A1033" s="5"/>
      <c r="B1033" s="5"/>
      <c r="C1033" s="6"/>
      <c r="D1033" s="5"/>
      <c r="E1033" s="5"/>
      <c r="F1033" s="5"/>
      <c r="G1033" s="5"/>
      <c r="H1033" s="5"/>
      <c r="I1033" s="5"/>
      <c r="J1033" s="5"/>
      <c r="K1033" s="5"/>
    </row>
    <row r="1034" spans="1:11" ht="15.75" customHeight="1" x14ac:dyDescent="0.25">
      <c r="A1034" s="5"/>
      <c r="B1034" s="5"/>
      <c r="C1034" s="6"/>
      <c r="D1034" s="5"/>
      <c r="E1034" s="5"/>
      <c r="F1034" s="5"/>
      <c r="G1034" s="5"/>
      <c r="H1034" s="5"/>
      <c r="I1034" s="5"/>
      <c r="J1034" s="5"/>
      <c r="K1034" s="5"/>
    </row>
    <row r="1035" spans="1:11" ht="15.75" customHeight="1" x14ac:dyDescent="0.25">
      <c r="A1035" s="5"/>
      <c r="B1035" s="5"/>
      <c r="C1035" s="6"/>
      <c r="D1035" s="5"/>
      <c r="E1035" s="5"/>
      <c r="F1035" s="5"/>
      <c r="G1035" s="5"/>
      <c r="H1035" s="5"/>
      <c r="I1035" s="5"/>
      <c r="J1035" s="5"/>
      <c r="K1035" s="5"/>
    </row>
    <row r="1036" spans="1:11" ht="15.75" customHeight="1" x14ac:dyDescent="0.25">
      <c r="A1036" s="5"/>
      <c r="B1036" s="5"/>
      <c r="C1036" s="6"/>
      <c r="D1036" s="5"/>
      <c r="E1036" s="5"/>
      <c r="F1036" s="5"/>
      <c r="G1036" s="5"/>
      <c r="H1036" s="5"/>
      <c r="I1036" s="5"/>
      <c r="J1036" s="5"/>
      <c r="K1036" s="5"/>
    </row>
    <row r="1037" spans="1:11" ht="15.75" customHeight="1" x14ac:dyDescent="0.25">
      <c r="A1037" s="5"/>
      <c r="B1037" s="5"/>
      <c r="C1037" s="6"/>
      <c r="D1037" s="5"/>
      <c r="E1037" s="5"/>
      <c r="F1037" s="5"/>
      <c r="G1037" s="5"/>
      <c r="H1037" s="5"/>
      <c r="I1037" s="5"/>
      <c r="J1037" s="5"/>
      <c r="K1037" s="5"/>
    </row>
    <row r="1038" spans="1:11" ht="15.75" customHeight="1" x14ac:dyDescent="0.25">
      <c r="A1038" s="5"/>
      <c r="B1038" s="5"/>
      <c r="C1038" s="6"/>
      <c r="D1038" s="5"/>
      <c r="E1038" s="5"/>
      <c r="F1038" s="5"/>
      <c r="G1038" s="5"/>
      <c r="H1038" s="5"/>
      <c r="I1038" s="5"/>
      <c r="J1038" s="5"/>
      <c r="K1038" s="5"/>
    </row>
    <row r="1039" spans="1:11" ht="15.75" customHeight="1" x14ac:dyDescent="0.25">
      <c r="A1039" s="5"/>
      <c r="B1039" s="5"/>
      <c r="C1039" s="6"/>
      <c r="D1039" s="5"/>
      <c r="E1039" s="5"/>
      <c r="F1039" s="5"/>
      <c r="G1039" s="5"/>
      <c r="H1039" s="5"/>
      <c r="I1039" s="5"/>
      <c r="J1039" s="5"/>
      <c r="K1039" s="5"/>
    </row>
    <row r="1040" spans="1:11" ht="15.75" customHeight="1" x14ac:dyDescent="0.25">
      <c r="A1040" s="5"/>
      <c r="B1040" s="5"/>
      <c r="C1040" s="6"/>
      <c r="D1040" s="5"/>
      <c r="E1040" s="5"/>
      <c r="F1040" s="5"/>
      <c r="G1040" s="5"/>
      <c r="H1040" s="5"/>
      <c r="I1040" s="5"/>
      <c r="J1040" s="5"/>
      <c r="K1040" s="5"/>
    </row>
    <row r="1041" spans="1:11" ht="15.75" customHeight="1" x14ac:dyDescent="0.25">
      <c r="A1041" s="5"/>
      <c r="B1041" s="5"/>
      <c r="C1041" s="6"/>
      <c r="D1041" s="5"/>
      <c r="E1041" s="5"/>
      <c r="F1041" s="5"/>
      <c r="G1041" s="5"/>
      <c r="H1041" s="5"/>
      <c r="I1041" s="5"/>
      <c r="J1041" s="5"/>
      <c r="K1041" s="5"/>
    </row>
    <row r="1042" spans="1:11" ht="15.75" customHeight="1" x14ac:dyDescent="0.25">
      <c r="A1042" s="5"/>
      <c r="B1042" s="5"/>
      <c r="C1042" s="6"/>
      <c r="D1042" s="5"/>
      <c r="E1042" s="5"/>
      <c r="F1042" s="5"/>
      <c r="G1042" s="5"/>
      <c r="H1042" s="5"/>
      <c r="I1042" s="5"/>
      <c r="J1042" s="5"/>
      <c r="K1042" s="5"/>
    </row>
    <row r="1043" spans="1:11" ht="15.75" customHeight="1" x14ac:dyDescent="0.25">
      <c r="A1043" s="5"/>
      <c r="B1043" s="5"/>
      <c r="C1043" s="6"/>
      <c r="D1043" s="5"/>
      <c r="E1043" s="5"/>
      <c r="F1043" s="5"/>
      <c r="G1043" s="5"/>
      <c r="H1043" s="5"/>
      <c r="I1043" s="5"/>
      <c r="J1043" s="5"/>
      <c r="K1043" s="5"/>
    </row>
    <row r="1044" spans="1:11" ht="15.75" customHeight="1" x14ac:dyDescent="0.25">
      <c r="A1044" s="5"/>
      <c r="B1044" s="5"/>
      <c r="C1044" s="6"/>
      <c r="D1044" s="5"/>
      <c r="E1044" s="5"/>
      <c r="F1044" s="5"/>
      <c r="G1044" s="5"/>
      <c r="H1044" s="5"/>
      <c r="I1044" s="5"/>
      <c r="J1044" s="5"/>
      <c r="K1044" s="5"/>
    </row>
    <row r="1045" spans="1:11" ht="15.75" customHeight="1" x14ac:dyDescent="0.25">
      <c r="A1045" s="5"/>
      <c r="B1045" s="5"/>
      <c r="C1045" s="6"/>
      <c r="D1045" s="5"/>
      <c r="E1045" s="5"/>
      <c r="F1045" s="5"/>
      <c r="G1045" s="5"/>
      <c r="H1045" s="5"/>
      <c r="I1045" s="5"/>
      <c r="J1045" s="5"/>
      <c r="K1045" s="5"/>
    </row>
    <row r="1046" spans="1:11" ht="15.75" customHeight="1" x14ac:dyDescent="0.25">
      <c r="A1046" s="5"/>
      <c r="B1046" s="5"/>
      <c r="C1046" s="6"/>
      <c r="D1046" s="5"/>
      <c r="E1046" s="5"/>
      <c r="F1046" s="5"/>
      <c r="G1046" s="5"/>
      <c r="H1046" s="5"/>
      <c r="I1046" s="5"/>
      <c r="J1046" s="5"/>
      <c r="K1046" s="5"/>
    </row>
    <row r="1047" spans="1:11" ht="15.75" customHeight="1" x14ac:dyDescent="0.25">
      <c r="A1047" s="5"/>
      <c r="B1047" s="5"/>
      <c r="C1047" s="6"/>
      <c r="D1047" s="5"/>
      <c r="E1047" s="5"/>
      <c r="F1047" s="5"/>
      <c r="G1047" s="5"/>
      <c r="H1047" s="5"/>
      <c r="I1047" s="5"/>
      <c r="J1047" s="5"/>
      <c r="K1047" s="5"/>
    </row>
    <row r="1048" spans="1:11" ht="15.75" customHeight="1" x14ac:dyDescent="0.25">
      <c r="A1048" s="5"/>
      <c r="B1048" s="5"/>
      <c r="C1048" s="6"/>
      <c r="D1048" s="5"/>
      <c r="E1048" s="5"/>
      <c r="F1048" s="5"/>
      <c r="G1048" s="5"/>
      <c r="H1048" s="5"/>
      <c r="I1048" s="5"/>
      <c r="J1048" s="5"/>
      <c r="K1048" s="5"/>
    </row>
    <row r="1049" spans="1:11" ht="15.75" customHeight="1" x14ac:dyDescent="0.25">
      <c r="A1049" s="5"/>
      <c r="B1049" s="5"/>
      <c r="C1049" s="6"/>
      <c r="D1049" s="5"/>
      <c r="E1049" s="5"/>
      <c r="F1049" s="5"/>
      <c r="G1049" s="5"/>
      <c r="H1049" s="5"/>
      <c r="I1049" s="5"/>
      <c r="J1049" s="5"/>
      <c r="K1049" s="5"/>
    </row>
    <row r="1050" spans="1:11" ht="15.75" customHeight="1" x14ac:dyDescent="0.25">
      <c r="A1050" s="5"/>
      <c r="B1050" s="5"/>
      <c r="C1050" s="6"/>
      <c r="D1050" s="5"/>
      <c r="E1050" s="5"/>
      <c r="F1050" s="5"/>
      <c r="G1050" s="5"/>
      <c r="H1050" s="5"/>
      <c r="I1050" s="5"/>
      <c r="J1050" s="5"/>
      <c r="K1050" s="5"/>
    </row>
    <row r="1051" spans="1:11" ht="15.75" customHeight="1" x14ac:dyDescent="0.25">
      <c r="A1051" s="5"/>
      <c r="B1051" s="5"/>
      <c r="C1051" s="6"/>
      <c r="D1051" s="5"/>
      <c r="E1051" s="5"/>
      <c r="F1051" s="5"/>
      <c r="G1051" s="5"/>
      <c r="H1051" s="5"/>
      <c r="I1051" s="5"/>
      <c r="J1051" s="5"/>
      <c r="K1051" s="5"/>
    </row>
    <row r="1052" spans="1:11" ht="15.75" customHeight="1" x14ac:dyDescent="0.25">
      <c r="A1052" s="5"/>
      <c r="B1052" s="5"/>
      <c r="C1052" s="6"/>
      <c r="D1052" s="5"/>
      <c r="E1052" s="5"/>
      <c r="F1052" s="5"/>
      <c r="G1052" s="5"/>
      <c r="H1052" s="5"/>
      <c r="I1052" s="5"/>
      <c r="J1052" s="5"/>
      <c r="K1052" s="5"/>
    </row>
    <row r="1053" spans="1:11" ht="15.75" customHeight="1" x14ac:dyDescent="0.25">
      <c r="A1053" s="5"/>
      <c r="B1053" s="5"/>
      <c r="C1053" s="6"/>
      <c r="D1053" s="5"/>
      <c r="E1053" s="5"/>
      <c r="F1053" s="5"/>
      <c r="G1053" s="5"/>
      <c r="H1053" s="5"/>
      <c r="I1053" s="5"/>
      <c r="J1053" s="5"/>
      <c r="K1053" s="5"/>
    </row>
    <row r="1054" spans="1:11" ht="15.75" customHeight="1" x14ac:dyDescent="0.25">
      <c r="A1054" s="5"/>
      <c r="B1054" s="5"/>
      <c r="C1054" s="6"/>
      <c r="D1054" s="5"/>
      <c r="E1054" s="5"/>
      <c r="F1054" s="5"/>
      <c r="G1054" s="5"/>
      <c r="H1054" s="5"/>
      <c r="I1054" s="5"/>
      <c r="J1054" s="5"/>
      <c r="K1054" s="5"/>
    </row>
    <row r="1055" spans="1:11" ht="15.75" customHeight="1" x14ac:dyDescent="0.25">
      <c r="A1055" s="5"/>
      <c r="B1055" s="5"/>
      <c r="C1055" s="6"/>
      <c r="D1055" s="5"/>
      <c r="E1055" s="5"/>
      <c r="F1055" s="5"/>
      <c r="G1055" s="5"/>
      <c r="H1055" s="5"/>
      <c r="I1055" s="5"/>
      <c r="J1055" s="5"/>
      <c r="K1055" s="5"/>
    </row>
    <row r="1056" spans="1:11" ht="15.75" customHeight="1" x14ac:dyDescent="0.25">
      <c r="A1056" s="5"/>
      <c r="B1056" s="5"/>
      <c r="C1056" s="6"/>
      <c r="D1056" s="5"/>
      <c r="E1056" s="5"/>
      <c r="F1056" s="5"/>
      <c r="G1056" s="5"/>
      <c r="H1056" s="5"/>
      <c r="I1056" s="5"/>
      <c r="J1056" s="5"/>
      <c r="K1056" s="5"/>
    </row>
    <row r="1057" spans="1:11" ht="15.75" customHeight="1" x14ac:dyDescent="0.25">
      <c r="A1057" s="5"/>
      <c r="B1057" s="5"/>
      <c r="C1057" s="6"/>
      <c r="D1057" s="5"/>
      <c r="E1057" s="5"/>
      <c r="F1057" s="5"/>
      <c r="G1057" s="5"/>
      <c r="H1057" s="5"/>
      <c r="I1057" s="5"/>
      <c r="J1057" s="5"/>
      <c r="K1057" s="5"/>
    </row>
    <row r="1058" spans="1:11" ht="15.75" customHeight="1" x14ac:dyDescent="0.25">
      <c r="A1058" s="5"/>
      <c r="B1058" s="5"/>
      <c r="C1058" s="6"/>
      <c r="D1058" s="5"/>
      <c r="E1058" s="5"/>
      <c r="F1058" s="5"/>
      <c r="G1058" s="5"/>
      <c r="H1058" s="5"/>
      <c r="I1058" s="5"/>
      <c r="J1058" s="5"/>
      <c r="K1058" s="5"/>
    </row>
    <row r="1059" spans="1:11" ht="15.75" customHeight="1" x14ac:dyDescent="0.25">
      <c r="A1059" s="5"/>
      <c r="B1059" s="5"/>
      <c r="C1059" s="6"/>
      <c r="D1059" s="5"/>
      <c r="E1059" s="5"/>
      <c r="F1059" s="5"/>
      <c r="G1059" s="5"/>
      <c r="H1059" s="5"/>
      <c r="I1059" s="5"/>
      <c r="J1059" s="5"/>
      <c r="K1059" s="5"/>
    </row>
    <row r="1060" spans="1:11" ht="15.75" customHeight="1" x14ac:dyDescent="0.25">
      <c r="A1060" s="5"/>
      <c r="B1060" s="5"/>
      <c r="C1060" s="6"/>
      <c r="D1060" s="5"/>
      <c r="E1060" s="5"/>
      <c r="F1060" s="5"/>
      <c r="G1060" s="5"/>
      <c r="H1060" s="5"/>
      <c r="I1060" s="5"/>
      <c r="J1060" s="5"/>
      <c r="K1060" s="5"/>
    </row>
    <row r="1061" spans="1:11" ht="15.75" customHeight="1" x14ac:dyDescent="0.25">
      <c r="A1061" s="5"/>
      <c r="B1061" s="5"/>
      <c r="C1061" s="6"/>
      <c r="D1061" s="5"/>
      <c r="E1061" s="5"/>
      <c r="F1061" s="5"/>
      <c r="G1061" s="5"/>
      <c r="H1061" s="5"/>
      <c r="I1061" s="5"/>
      <c r="J1061" s="5"/>
      <c r="K1061" s="5"/>
    </row>
    <row r="1062" spans="1:11" ht="15.75" customHeight="1" x14ac:dyDescent="0.25">
      <c r="A1062" s="5"/>
      <c r="B1062" s="5"/>
      <c r="C1062" s="6"/>
      <c r="D1062" s="5"/>
      <c r="E1062" s="5"/>
      <c r="F1062" s="5"/>
      <c r="G1062" s="5"/>
      <c r="H1062" s="5"/>
      <c r="I1062" s="5"/>
      <c r="J1062" s="5"/>
      <c r="K1062" s="5"/>
    </row>
    <row r="1063" spans="1:11" ht="15.75" customHeight="1" x14ac:dyDescent="0.25">
      <c r="A1063" s="5"/>
      <c r="B1063" s="5"/>
      <c r="C1063" s="6"/>
      <c r="D1063" s="5"/>
      <c r="E1063" s="5"/>
      <c r="F1063" s="5"/>
      <c r="G1063" s="5"/>
      <c r="H1063" s="5"/>
      <c r="I1063" s="5"/>
      <c r="J1063" s="5"/>
      <c r="K1063" s="5"/>
    </row>
    <row r="1064" spans="1:11" ht="15.75" customHeight="1" x14ac:dyDescent="0.25">
      <c r="A1064" s="5"/>
      <c r="B1064" s="5"/>
      <c r="C1064" s="6"/>
      <c r="D1064" s="5"/>
      <c r="E1064" s="5"/>
      <c r="F1064" s="5"/>
      <c r="G1064" s="5"/>
      <c r="H1064" s="5"/>
      <c r="I1064" s="5"/>
      <c r="J1064" s="5"/>
      <c r="K1064" s="5"/>
    </row>
    <row r="1065" spans="1:11" ht="15.75" customHeight="1" x14ac:dyDescent="0.25">
      <c r="A1065" s="5"/>
      <c r="B1065" s="5"/>
      <c r="C1065" s="6"/>
      <c r="D1065" s="5"/>
      <c r="E1065" s="5"/>
      <c r="F1065" s="5"/>
      <c r="G1065" s="5"/>
      <c r="H1065" s="5"/>
      <c r="I1065" s="5"/>
      <c r="J1065" s="5"/>
      <c r="K1065" s="5"/>
    </row>
    <row r="1066" spans="1:11" ht="15.75" customHeight="1" x14ac:dyDescent="0.25">
      <c r="A1066" s="5"/>
      <c r="B1066" s="5"/>
      <c r="C1066" s="6"/>
      <c r="D1066" s="5"/>
      <c r="E1066" s="5"/>
      <c r="F1066" s="5"/>
      <c r="G1066" s="5"/>
      <c r="H1066" s="5"/>
      <c r="I1066" s="5"/>
      <c r="J1066" s="5"/>
      <c r="K1066" s="5"/>
    </row>
    <row r="1067" spans="1:11" ht="15.75" customHeight="1" x14ac:dyDescent="0.25">
      <c r="A1067" s="5"/>
      <c r="B1067" s="5"/>
      <c r="C1067" s="6"/>
      <c r="D1067" s="5"/>
      <c r="E1067" s="5"/>
      <c r="F1067" s="5"/>
      <c r="G1067" s="5"/>
      <c r="H1067" s="5"/>
      <c r="I1067" s="5"/>
      <c r="J1067" s="5"/>
      <c r="K1067" s="5"/>
    </row>
    <row r="1068" spans="1:11" ht="15.75" customHeight="1" x14ac:dyDescent="0.25">
      <c r="A1068" s="5"/>
      <c r="B1068" s="5"/>
      <c r="C1068" s="6"/>
      <c r="D1068" s="5"/>
      <c r="E1068" s="5"/>
      <c r="F1068" s="5"/>
      <c r="G1068" s="5"/>
      <c r="H1068" s="5"/>
      <c r="I1068" s="5"/>
      <c r="J1068" s="5"/>
      <c r="K1068" s="5"/>
    </row>
    <row r="1069" spans="1:11" ht="15.75" customHeight="1" x14ac:dyDescent="0.25">
      <c r="A1069" s="5"/>
      <c r="B1069" s="5"/>
      <c r="C1069" s="6"/>
      <c r="D1069" s="5"/>
      <c r="E1069" s="5"/>
      <c r="F1069" s="5"/>
      <c r="G1069" s="5"/>
      <c r="H1069" s="5"/>
      <c r="I1069" s="5"/>
      <c r="J1069" s="5"/>
      <c r="K1069" s="5"/>
    </row>
    <row r="1070" spans="1:11" ht="15.75" customHeight="1" x14ac:dyDescent="0.25">
      <c r="A1070" s="5"/>
      <c r="B1070" s="5"/>
      <c r="C1070" s="6"/>
      <c r="D1070" s="5"/>
      <c r="E1070" s="5"/>
      <c r="F1070" s="5"/>
      <c r="G1070" s="5"/>
      <c r="H1070" s="5"/>
      <c r="I1070" s="5"/>
      <c r="J1070" s="5"/>
      <c r="K1070" s="5"/>
    </row>
    <row r="1071" spans="1:11" ht="15.75" customHeight="1" x14ac:dyDescent="0.25">
      <c r="A1071" s="5"/>
      <c r="B1071" s="5"/>
      <c r="C1071" s="6"/>
      <c r="D1071" s="5"/>
      <c r="E1071" s="5"/>
      <c r="F1071" s="5"/>
      <c r="G1071" s="5"/>
      <c r="H1071" s="5"/>
      <c r="I1071" s="5"/>
      <c r="J1071" s="5"/>
      <c r="K1071" s="5"/>
    </row>
    <row r="1072" spans="1:11" ht="15.75" customHeight="1" x14ac:dyDescent="0.25">
      <c r="A1072" s="5"/>
      <c r="B1072" s="5"/>
      <c r="C1072" s="6"/>
      <c r="D1072" s="5"/>
      <c r="E1072" s="5"/>
      <c r="F1072" s="5"/>
      <c r="G1072" s="5"/>
      <c r="H1072" s="5"/>
      <c r="I1072" s="5"/>
      <c r="J1072" s="5"/>
      <c r="K1072" s="5"/>
    </row>
    <row r="1073" spans="1:11" ht="15.75" customHeight="1" x14ac:dyDescent="0.25">
      <c r="A1073" s="5"/>
      <c r="B1073" s="5"/>
      <c r="C1073" s="6"/>
      <c r="D1073" s="5"/>
      <c r="E1073" s="5"/>
      <c r="F1073" s="5"/>
      <c r="G1073" s="5"/>
      <c r="H1073" s="5"/>
      <c r="I1073" s="5"/>
      <c r="J1073" s="5"/>
      <c r="K1073" s="5"/>
    </row>
    <row r="1074" spans="1:11" ht="15.75" customHeight="1" x14ac:dyDescent="0.25">
      <c r="A1074" s="5"/>
      <c r="B1074" s="5"/>
      <c r="C1074" s="6"/>
      <c r="D1074" s="5"/>
      <c r="E1074" s="5"/>
      <c r="F1074" s="5"/>
      <c r="G1074" s="5"/>
      <c r="H1074" s="5"/>
      <c r="I1074" s="5"/>
      <c r="J1074" s="5"/>
      <c r="K1074" s="5"/>
    </row>
    <row r="1075" spans="1:11" ht="15.75" customHeight="1" x14ac:dyDescent="0.25">
      <c r="A1075" s="5"/>
      <c r="B1075" s="5"/>
      <c r="C1075" s="6"/>
      <c r="D1075" s="5"/>
      <c r="E1075" s="5"/>
      <c r="F1075" s="5"/>
      <c r="G1075" s="5"/>
      <c r="H1075" s="5"/>
      <c r="I1075" s="5"/>
      <c r="J1075" s="5"/>
      <c r="K1075" s="5"/>
    </row>
    <row r="1076" spans="1:11" ht="15.75" customHeight="1" x14ac:dyDescent="0.25">
      <c r="A1076" s="5"/>
      <c r="B1076" s="5"/>
      <c r="C1076" s="6"/>
      <c r="D1076" s="5"/>
      <c r="E1076" s="5"/>
      <c r="F1076" s="5"/>
      <c r="G1076" s="5"/>
      <c r="H1076" s="5"/>
      <c r="I1076" s="5"/>
      <c r="J1076" s="5"/>
      <c r="K1076" s="5"/>
    </row>
    <row r="1077" spans="1:11" ht="15.75" customHeight="1" x14ac:dyDescent="0.25">
      <c r="A1077" s="5"/>
      <c r="B1077" s="5"/>
      <c r="C1077" s="6"/>
      <c r="D1077" s="5"/>
      <c r="E1077" s="5"/>
      <c r="F1077" s="5"/>
      <c r="G1077" s="5"/>
      <c r="H1077" s="5"/>
      <c r="I1077" s="5"/>
      <c r="J1077" s="5"/>
      <c r="K1077" s="5"/>
    </row>
    <row r="1078" spans="1:11" ht="15.75" customHeight="1" x14ac:dyDescent="0.25">
      <c r="A1078" s="5"/>
      <c r="B1078" s="5"/>
      <c r="C1078" s="6"/>
      <c r="D1078" s="5"/>
      <c r="E1078" s="5"/>
      <c r="F1078" s="5"/>
      <c r="G1078" s="5"/>
      <c r="H1078" s="5"/>
      <c r="I1078" s="5"/>
      <c r="J1078" s="5"/>
      <c r="K1078" s="5"/>
    </row>
    <row r="1079" spans="1:11" ht="15.75" customHeight="1" x14ac:dyDescent="0.25">
      <c r="A1079" s="5"/>
      <c r="B1079" s="5"/>
      <c r="C1079" s="6"/>
      <c r="D1079" s="5"/>
      <c r="E1079" s="5"/>
      <c r="F1079" s="5"/>
      <c r="G1079" s="5"/>
      <c r="H1079" s="5"/>
      <c r="I1079" s="5"/>
      <c r="J1079" s="5"/>
      <c r="K1079" s="5"/>
    </row>
    <row r="1080" spans="1:11" ht="15.75" customHeight="1" x14ac:dyDescent="0.25">
      <c r="A1080" s="5"/>
      <c r="B1080" s="5"/>
      <c r="C1080" s="6"/>
      <c r="D1080" s="5"/>
      <c r="E1080" s="5"/>
      <c r="F1080" s="5"/>
      <c r="G1080" s="5"/>
      <c r="H1080" s="5"/>
      <c r="I1080" s="5"/>
      <c r="J1080" s="5"/>
      <c r="K1080" s="5"/>
    </row>
    <row r="1081" spans="1:11" ht="15.75" customHeight="1" x14ac:dyDescent="0.25">
      <c r="A1081" s="5"/>
      <c r="B1081" s="5"/>
      <c r="C1081" s="6"/>
      <c r="D1081" s="5"/>
      <c r="E1081" s="5"/>
      <c r="F1081" s="5"/>
      <c r="G1081" s="5"/>
      <c r="H1081" s="5"/>
      <c r="I1081" s="5"/>
      <c r="J1081" s="5"/>
      <c r="K1081" s="5"/>
    </row>
    <row r="1082" spans="1:11" ht="15.75" customHeight="1" x14ac:dyDescent="0.25">
      <c r="A1082" s="5"/>
      <c r="B1082" s="5"/>
      <c r="C1082" s="6"/>
      <c r="D1082" s="5"/>
      <c r="E1082" s="5"/>
      <c r="F1082" s="5"/>
      <c r="G1082" s="5"/>
      <c r="H1082" s="5"/>
      <c r="I1082" s="5"/>
      <c r="J1082" s="5"/>
      <c r="K1082" s="5"/>
    </row>
    <row r="1083" spans="1:11" ht="15.75" customHeight="1" x14ac:dyDescent="0.25">
      <c r="A1083" s="5"/>
      <c r="B1083" s="5"/>
      <c r="C1083" s="6"/>
      <c r="D1083" s="5"/>
      <c r="E1083" s="5"/>
      <c r="F1083" s="5"/>
      <c r="G1083" s="5"/>
      <c r="H1083" s="5"/>
      <c r="I1083" s="5"/>
      <c r="J1083" s="5"/>
      <c r="K1083" s="5"/>
    </row>
    <row r="1084" spans="1:11" ht="15.75" customHeight="1" x14ac:dyDescent="0.25">
      <c r="A1084" s="5"/>
      <c r="B1084" s="5"/>
      <c r="C1084" s="6"/>
      <c r="D1084" s="5"/>
      <c r="E1084" s="5"/>
      <c r="F1084" s="5"/>
      <c r="G1084" s="5"/>
      <c r="H1084" s="5"/>
      <c r="I1084" s="5"/>
      <c r="J1084" s="5"/>
      <c r="K1084" s="5"/>
    </row>
    <row r="1085" spans="1:11" ht="15.75" customHeight="1" x14ac:dyDescent="0.25">
      <c r="A1085" s="5"/>
      <c r="B1085" s="5"/>
      <c r="C1085" s="6"/>
      <c r="D1085" s="5"/>
      <c r="E1085" s="5"/>
      <c r="F1085" s="5"/>
      <c r="G1085" s="5"/>
      <c r="H1085" s="5"/>
      <c r="I1085" s="5"/>
      <c r="J1085" s="5"/>
      <c r="K1085" s="5"/>
    </row>
    <row r="1086" spans="1:11" ht="15.75" customHeight="1" x14ac:dyDescent="0.25">
      <c r="A1086" s="5"/>
      <c r="B1086" s="5"/>
      <c r="C1086" s="6"/>
      <c r="D1086" s="5"/>
      <c r="E1086" s="5"/>
      <c r="F1086" s="5"/>
      <c r="G1086" s="5"/>
      <c r="H1086" s="5"/>
      <c r="I1086" s="5"/>
      <c r="J1086" s="5"/>
      <c r="K1086" s="5"/>
    </row>
    <row r="1087" spans="1:11" ht="15.75" customHeight="1" x14ac:dyDescent="0.25">
      <c r="A1087" s="5"/>
      <c r="B1087" s="5"/>
      <c r="C1087" s="6"/>
      <c r="D1087" s="5"/>
      <c r="E1087" s="5"/>
      <c r="F1087" s="5"/>
      <c r="G1087" s="5"/>
      <c r="H1087" s="5"/>
      <c r="I1087" s="5"/>
      <c r="J1087" s="5"/>
      <c r="K1087" s="5"/>
    </row>
    <row r="1088" spans="1:11" ht="15.75" customHeight="1" x14ac:dyDescent="0.25">
      <c r="A1088" s="5"/>
      <c r="B1088" s="5"/>
      <c r="C1088" s="6"/>
      <c r="D1088" s="5"/>
      <c r="E1088" s="5"/>
      <c r="F1088" s="5"/>
      <c r="G1088" s="5"/>
      <c r="H1088" s="5"/>
      <c r="I1088" s="5"/>
      <c r="J1088" s="5"/>
      <c r="K1088" s="5"/>
    </row>
    <row r="1089" spans="1:11" ht="15.75" customHeight="1" x14ac:dyDescent="0.25">
      <c r="A1089" s="5"/>
      <c r="B1089" s="5"/>
      <c r="C1089" s="6"/>
      <c r="D1089" s="5"/>
      <c r="E1089" s="5"/>
      <c r="F1089" s="5"/>
      <c r="G1089" s="5"/>
      <c r="H1089" s="5"/>
      <c r="I1089" s="5"/>
      <c r="J1089" s="5"/>
      <c r="K1089" s="5"/>
    </row>
    <row r="1090" spans="1:11" ht="15.75" customHeight="1" x14ac:dyDescent="0.25">
      <c r="A1090" s="5"/>
      <c r="B1090" s="5"/>
      <c r="C1090" s="6"/>
      <c r="D1090" s="5"/>
      <c r="E1090" s="5"/>
      <c r="F1090" s="5"/>
      <c r="G1090" s="5"/>
      <c r="H1090" s="5"/>
      <c r="I1090" s="5"/>
      <c r="J1090" s="5"/>
      <c r="K1090" s="5"/>
    </row>
    <row r="1091" spans="1:11" ht="15.75" customHeight="1" x14ac:dyDescent="0.25">
      <c r="A1091" s="5"/>
      <c r="B1091" s="5"/>
      <c r="C1091" s="6"/>
      <c r="D1091" s="5"/>
      <c r="E1091" s="5"/>
      <c r="F1091" s="5"/>
      <c r="G1091" s="5"/>
      <c r="H1091" s="5"/>
      <c r="I1091" s="5"/>
      <c r="J1091" s="5"/>
      <c r="K1091" s="5"/>
    </row>
    <row r="1092" spans="1:11" ht="15.75" customHeight="1" x14ac:dyDescent="0.25">
      <c r="A1092" s="5"/>
      <c r="B1092" s="5"/>
      <c r="C1092" s="6"/>
      <c r="D1092" s="5"/>
      <c r="E1092" s="5"/>
      <c r="F1092" s="5"/>
      <c r="G1092" s="5"/>
      <c r="H1092" s="5"/>
      <c r="I1092" s="5"/>
      <c r="J1092" s="5"/>
      <c r="K1092" s="5"/>
    </row>
    <row r="1093" spans="1:11" ht="15.75" customHeight="1" x14ac:dyDescent="0.25">
      <c r="A1093" s="5"/>
      <c r="B1093" s="5"/>
      <c r="C1093" s="6"/>
      <c r="D1093" s="5"/>
      <c r="E1093" s="5"/>
      <c r="F1093" s="5"/>
      <c r="G1093" s="5"/>
      <c r="H1093" s="5"/>
      <c r="I1093" s="5"/>
      <c r="J1093" s="5"/>
      <c r="K1093" s="5"/>
    </row>
    <row r="1094" spans="1:11" ht="15.75" customHeight="1" x14ac:dyDescent="0.25">
      <c r="A1094" s="5"/>
      <c r="B1094" s="5"/>
      <c r="C1094" s="6"/>
      <c r="D1094" s="5"/>
      <c r="E1094" s="5"/>
      <c r="F1094" s="5"/>
      <c r="G1094" s="5"/>
      <c r="H1094" s="5"/>
      <c r="I1094" s="5"/>
      <c r="J1094" s="5"/>
      <c r="K1094" s="5"/>
    </row>
    <row r="1095" spans="1:11" ht="15.75" customHeight="1" x14ac:dyDescent="0.25">
      <c r="A1095" s="5"/>
      <c r="B1095" s="5"/>
      <c r="C1095" s="6"/>
      <c r="D1095" s="5"/>
      <c r="E1095" s="5"/>
      <c r="F1095" s="5"/>
      <c r="G1095" s="5"/>
      <c r="H1095" s="5"/>
      <c r="I1095" s="5"/>
      <c r="J1095" s="5"/>
      <c r="K1095" s="5"/>
    </row>
    <row r="1096" spans="1:11" ht="15.75" customHeight="1" x14ac:dyDescent="0.25">
      <c r="A1096" s="5"/>
      <c r="B1096" s="5"/>
      <c r="C1096" s="6"/>
      <c r="D1096" s="5"/>
      <c r="E1096" s="5"/>
      <c r="F1096" s="5"/>
      <c r="G1096" s="5"/>
      <c r="H1096" s="5"/>
      <c r="I1096" s="5"/>
      <c r="J1096" s="5"/>
      <c r="K1096" s="5"/>
    </row>
    <row r="1097" spans="1:11" ht="15.75" customHeight="1" x14ac:dyDescent="0.25">
      <c r="A1097" s="5"/>
      <c r="B1097" s="5"/>
      <c r="C1097" s="6"/>
      <c r="D1097" s="5"/>
      <c r="E1097" s="5"/>
      <c r="F1097" s="5"/>
      <c r="G1097" s="5"/>
      <c r="H1097" s="5"/>
      <c r="I1097" s="5"/>
      <c r="J1097" s="5"/>
      <c r="K1097" s="5"/>
    </row>
    <row r="1098" spans="1:11" ht="15.75" customHeight="1" x14ac:dyDescent="0.25">
      <c r="A1098" s="5"/>
      <c r="B1098" s="5"/>
      <c r="C1098" s="6"/>
      <c r="D1098" s="5"/>
      <c r="E1098" s="5"/>
      <c r="F1098" s="5"/>
      <c r="G1098" s="5"/>
      <c r="H1098" s="5"/>
      <c r="I1098" s="5"/>
      <c r="J1098" s="5"/>
      <c r="K1098" s="5"/>
    </row>
    <row r="1099" spans="1:11" ht="15.75" customHeight="1" x14ac:dyDescent="0.25">
      <c r="A1099" s="5"/>
      <c r="B1099" s="5"/>
      <c r="C1099" s="6"/>
      <c r="D1099" s="5"/>
      <c r="E1099" s="5"/>
      <c r="F1099" s="5"/>
      <c r="G1099" s="5"/>
      <c r="H1099" s="5"/>
      <c r="I1099" s="5"/>
      <c r="J1099" s="5"/>
      <c r="K1099" s="5"/>
    </row>
    <row r="1100" spans="1:11" ht="15.75" customHeight="1" x14ac:dyDescent="0.25">
      <c r="A1100" s="5"/>
      <c r="B1100" s="5"/>
      <c r="C1100" s="6"/>
      <c r="D1100" s="5"/>
      <c r="E1100" s="5"/>
      <c r="F1100" s="5"/>
      <c r="G1100" s="5"/>
      <c r="H1100" s="5"/>
      <c r="I1100" s="5"/>
      <c r="J1100" s="5"/>
      <c r="K1100" s="5"/>
    </row>
    <row r="1101" spans="1:11" ht="15.75" customHeight="1" x14ac:dyDescent="0.25">
      <c r="A1101" s="5"/>
      <c r="B1101" s="5"/>
      <c r="C1101" s="6"/>
      <c r="D1101" s="5"/>
      <c r="E1101" s="5"/>
      <c r="F1101" s="5"/>
      <c r="G1101" s="5"/>
      <c r="H1101" s="5"/>
      <c r="I1101" s="5"/>
      <c r="J1101" s="5"/>
      <c r="K1101" s="5"/>
    </row>
    <row r="1102" spans="1:11" ht="15.75" customHeight="1" x14ac:dyDescent="0.25">
      <c r="A1102" s="5"/>
      <c r="B1102" s="5"/>
      <c r="C1102" s="6"/>
      <c r="D1102" s="5"/>
      <c r="E1102" s="5"/>
      <c r="F1102" s="5"/>
      <c r="G1102" s="5"/>
      <c r="H1102" s="5"/>
      <c r="I1102" s="5"/>
      <c r="J1102" s="5"/>
      <c r="K1102" s="5"/>
    </row>
    <row r="1103" spans="1:11" ht="15.75" customHeight="1" x14ac:dyDescent="0.25">
      <c r="A1103" s="5"/>
      <c r="B1103" s="5"/>
      <c r="C1103" s="6"/>
      <c r="D1103" s="5"/>
      <c r="E1103" s="5"/>
      <c r="F1103" s="5"/>
      <c r="G1103" s="5"/>
      <c r="H1103" s="5"/>
      <c r="I1103" s="5"/>
      <c r="J1103" s="5"/>
      <c r="K1103" s="5"/>
    </row>
    <row r="1104" spans="1:11" ht="15.75" customHeight="1" x14ac:dyDescent="0.25">
      <c r="A1104" s="5"/>
      <c r="B1104" s="5"/>
      <c r="C1104" s="6"/>
      <c r="D1104" s="5"/>
      <c r="E1104" s="5"/>
      <c r="F1104" s="5"/>
      <c r="G1104" s="5"/>
      <c r="H1104" s="5"/>
      <c r="I1104" s="5"/>
      <c r="J1104" s="5"/>
      <c r="K1104" s="5"/>
    </row>
    <row r="1105" spans="1:11" ht="15.75" customHeight="1" x14ac:dyDescent="0.25">
      <c r="A1105" s="5"/>
      <c r="B1105" s="5"/>
      <c r="C1105" s="6"/>
      <c r="D1105" s="5"/>
      <c r="E1105" s="5"/>
      <c r="F1105" s="5"/>
      <c r="G1105" s="5"/>
      <c r="H1105" s="5"/>
      <c r="I1105" s="5"/>
      <c r="J1105" s="5"/>
      <c r="K1105" s="8"/>
    </row>
    <row r="1106" spans="1:11" ht="15.75" customHeight="1" x14ac:dyDescent="0.25">
      <c r="A1106" s="5"/>
      <c r="B1106" s="5"/>
      <c r="C1106" s="6"/>
      <c r="D1106" s="5"/>
      <c r="E1106" s="5"/>
      <c r="F1106" s="5"/>
      <c r="G1106" s="5"/>
      <c r="H1106" s="5"/>
      <c r="I1106" s="5"/>
      <c r="J1106" s="5"/>
      <c r="K1106" s="5"/>
    </row>
    <row r="1107" spans="1:11" ht="15.75" customHeight="1" x14ac:dyDescent="0.25">
      <c r="A1107" s="5"/>
      <c r="B1107" s="5"/>
      <c r="C1107" s="6"/>
      <c r="D1107" s="5"/>
      <c r="E1107" s="5"/>
      <c r="F1107" s="5"/>
      <c r="G1107" s="5"/>
      <c r="H1107" s="5"/>
      <c r="I1107" s="5"/>
      <c r="J1107" s="5"/>
      <c r="K1107" s="5"/>
    </row>
    <row r="1108" spans="1:11" ht="15.75" customHeight="1" x14ac:dyDescent="0.25">
      <c r="A1108" s="5"/>
      <c r="B1108" s="5"/>
      <c r="C1108" s="6"/>
      <c r="D1108" s="5"/>
      <c r="E1108" s="5"/>
      <c r="F1108" s="5"/>
      <c r="G1108" s="5"/>
      <c r="H1108" s="5"/>
      <c r="I1108" s="5"/>
      <c r="J1108" s="5"/>
      <c r="K1108" s="5"/>
    </row>
    <row r="1109" spans="1:11" ht="15.75" customHeight="1" x14ac:dyDescent="0.25">
      <c r="A1109" s="5"/>
      <c r="B1109" s="5"/>
      <c r="C1109" s="6"/>
      <c r="D1109" s="5"/>
      <c r="E1109" s="5"/>
      <c r="F1109" s="5"/>
      <c r="G1109" s="5"/>
      <c r="H1109" s="5"/>
      <c r="I1109" s="5"/>
      <c r="J1109" s="5"/>
      <c r="K1109" s="5"/>
    </row>
    <row r="1110" spans="1:11" ht="15.75" customHeight="1" x14ac:dyDescent="0.25">
      <c r="A1110" s="5"/>
      <c r="B1110" s="5"/>
      <c r="C1110" s="6"/>
      <c r="D1110" s="5"/>
      <c r="E1110" s="5"/>
      <c r="F1110" s="5"/>
      <c r="G1110" s="5"/>
      <c r="H1110" s="5"/>
      <c r="I1110" s="5"/>
      <c r="J1110" s="5"/>
      <c r="K1110" s="5"/>
    </row>
    <row r="1111" spans="1:11" ht="15.75" customHeight="1" x14ac:dyDescent="0.25">
      <c r="A1111" s="5"/>
      <c r="B1111" s="5"/>
      <c r="C1111" s="6"/>
      <c r="D1111" s="5"/>
      <c r="E1111" s="5"/>
      <c r="F1111" s="5"/>
      <c r="G1111" s="5"/>
      <c r="H1111" s="5"/>
      <c r="I1111" s="5"/>
      <c r="J1111" s="5"/>
      <c r="K1111" s="5"/>
    </row>
    <row r="1112" spans="1:11" ht="15.75" customHeight="1" x14ac:dyDescent="0.25">
      <c r="A1112" s="5"/>
      <c r="B1112" s="5"/>
      <c r="C1112" s="6"/>
      <c r="D1112" s="5"/>
      <c r="E1112" s="5"/>
      <c r="F1112" s="5"/>
      <c r="G1112" s="5"/>
      <c r="H1112" s="5"/>
      <c r="I1112" s="5"/>
      <c r="J1112" s="5"/>
      <c r="K1112" s="5"/>
    </row>
    <row r="1113" spans="1:11" ht="15.75" customHeight="1" x14ac:dyDescent="0.25">
      <c r="A1113" s="5"/>
      <c r="B1113" s="5"/>
      <c r="C1113" s="6"/>
      <c r="D1113" s="5"/>
      <c r="E1113" s="5"/>
      <c r="F1113" s="5"/>
      <c r="G1113" s="5"/>
      <c r="H1113" s="5"/>
      <c r="I1113" s="5"/>
      <c r="J1113" s="5"/>
      <c r="K1113" s="5"/>
    </row>
    <row r="1114" spans="1:11" ht="15.75" customHeight="1" x14ac:dyDescent="0.25">
      <c r="A1114" s="5"/>
      <c r="B1114" s="5"/>
      <c r="C1114" s="6"/>
      <c r="D1114" s="5"/>
      <c r="E1114" s="5"/>
      <c r="F1114" s="5"/>
      <c r="G1114" s="5"/>
      <c r="H1114" s="5"/>
      <c r="I1114" s="5"/>
      <c r="J1114" s="5"/>
      <c r="K1114" s="5"/>
    </row>
    <row r="1115" spans="1:11" ht="15.75" customHeight="1" x14ac:dyDescent="0.25">
      <c r="A1115" s="5"/>
      <c r="B1115" s="5"/>
      <c r="C1115" s="6"/>
      <c r="D1115" s="5"/>
      <c r="E1115" s="5"/>
      <c r="F1115" s="5"/>
      <c r="G1115" s="5"/>
      <c r="H1115" s="5"/>
      <c r="I1115" s="5"/>
      <c r="J1115" s="5"/>
      <c r="K1115" s="5"/>
    </row>
    <row r="1116" spans="1:11" ht="15.75" customHeight="1" x14ac:dyDescent="0.25">
      <c r="A1116" s="5"/>
      <c r="B1116" s="5"/>
      <c r="C1116" s="6"/>
      <c r="D1116" s="5"/>
      <c r="E1116" s="5"/>
      <c r="F1116" s="5"/>
      <c r="G1116" s="5"/>
      <c r="H1116" s="5"/>
      <c r="I1116" s="5"/>
      <c r="J1116" s="5"/>
      <c r="K1116" s="5"/>
    </row>
    <row r="1117" spans="1:11" ht="15.75" customHeight="1" x14ac:dyDescent="0.25">
      <c r="A1117" s="5"/>
      <c r="B1117" s="5"/>
      <c r="C1117" s="6"/>
      <c r="D1117" s="5"/>
      <c r="E1117" s="5"/>
      <c r="F1117" s="5"/>
      <c r="G1117" s="5"/>
      <c r="H1117" s="5"/>
      <c r="I1117" s="5"/>
      <c r="J1117" s="5"/>
      <c r="K1117" s="5"/>
    </row>
    <row r="1118" spans="1:11" ht="15.75" customHeight="1" x14ac:dyDescent="0.25">
      <c r="A1118" s="5"/>
      <c r="B1118" s="5"/>
      <c r="C1118" s="6"/>
      <c r="D1118" s="5"/>
      <c r="E1118" s="5"/>
      <c r="F1118" s="5"/>
      <c r="G1118" s="5"/>
      <c r="H1118" s="5"/>
      <c r="I1118" s="5"/>
      <c r="J1118" s="5"/>
      <c r="K1118" s="5"/>
    </row>
    <row r="1119" spans="1:11" ht="15.75" customHeight="1" x14ac:dyDescent="0.25">
      <c r="A1119" s="5"/>
      <c r="B1119" s="5"/>
      <c r="C1119" s="6"/>
      <c r="D1119" s="5"/>
      <c r="E1119" s="5"/>
      <c r="F1119" s="5"/>
      <c r="G1119" s="5"/>
      <c r="H1119" s="5"/>
      <c r="I1119" s="5"/>
      <c r="J1119" s="5"/>
      <c r="K1119" s="5"/>
    </row>
    <row r="1120" spans="1:11" ht="15.75" customHeight="1" x14ac:dyDescent="0.25">
      <c r="A1120" s="5"/>
      <c r="B1120" s="5"/>
      <c r="C1120" s="6"/>
      <c r="D1120" s="5"/>
      <c r="E1120" s="5"/>
      <c r="F1120" s="5"/>
      <c r="G1120" s="5"/>
      <c r="H1120" s="5"/>
      <c r="I1120" s="5"/>
      <c r="J1120" s="5"/>
      <c r="K1120" s="5"/>
    </row>
    <row r="1121" spans="1:11" ht="15.75" customHeight="1" x14ac:dyDescent="0.25">
      <c r="A1121" s="5"/>
      <c r="B1121" s="5"/>
      <c r="C1121" s="6"/>
      <c r="D1121" s="5"/>
      <c r="E1121" s="5"/>
      <c r="F1121" s="5"/>
      <c r="G1121" s="5"/>
      <c r="H1121" s="5"/>
      <c r="I1121" s="5"/>
      <c r="J1121" s="5"/>
      <c r="K1121" s="5"/>
    </row>
    <row r="1122" spans="1:11" ht="15.75" customHeight="1" x14ac:dyDescent="0.25">
      <c r="A1122" s="5"/>
      <c r="B1122" s="5"/>
      <c r="C1122" s="6"/>
      <c r="D1122" s="5"/>
      <c r="E1122" s="5"/>
      <c r="F1122" s="5"/>
      <c r="G1122" s="5"/>
      <c r="H1122" s="5"/>
      <c r="I1122" s="5"/>
      <c r="J1122" s="5"/>
      <c r="K1122" s="5"/>
    </row>
    <row r="1123" spans="1:11" ht="15.75" customHeight="1" x14ac:dyDescent="0.25">
      <c r="A1123" s="5"/>
      <c r="B1123" s="5"/>
      <c r="C1123" s="6"/>
      <c r="D1123" s="5"/>
      <c r="E1123" s="5"/>
      <c r="F1123" s="5"/>
      <c r="G1123" s="5"/>
      <c r="H1123" s="5"/>
      <c r="I1123" s="5"/>
      <c r="J1123" s="5"/>
      <c r="K1123" s="5"/>
    </row>
    <row r="1124" spans="1:11" ht="15.75" customHeight="1" x14ac:dyDescent="0.25">
      <c r="A1124" s="5"/>
      <c r="B1124" s="5"/>
      <c r="C1124" s="6"/>
      <c r="D1124" s="5"/>
      <c r="E1124" s="5"/>
      <c r="F1124" s="5"/>
      <c r="G1124" s="5"/>
      <c r="H1124" s="5"/>
      <c r="I1124" s="5"/>
      <c r="J1124" s="5"/>
      <c r="K1124" s="5"/>
    </row>
    <row r="1125" spans="1:11" ht="15.75" customHeight="1" x14ac:dyDescent="0.25">
      <c r="A1125" s="5"/>
      <c r="B1125" s="5"/>
      <c r="C1125" s="6"/>
      <c r="D1125" s="5"/>
      <c r="E1125" s="5"/>
      <c r="F1125" s="5"/>
      <c r="G1125" s="5"/>
      <c r="H1125" s="5"/>
      <c r="I1125" s="5"/>
      <c r="J1125" s="5"/>
      <c r="K1125" s="5"/>
    </row>
    <row r="1126" spans="1:11" ht="15.75" customHeight="1" x14ac:dyDescent="0.25">
      <c r="A1126" s="5"/>
      <c r="B1126" s="5"/>
      <c r="C1126" s="6"/>
      <c r="D1126" s="5"/>
      <c r="E1126" s="5"/>
      <c r="F1126" s="5"/>
      <c r="G1126" s="5"/>
      <c r="H1126" s="5"/>
      <c r="I1126" s="5"/>
      <c r="J1126" s="5"/>
      <c r="K1126" s="5"/>
    </row>
    <row r="1127" spans="1:11" ht="15.75" customHeight="1" x14ac:dyDescent="0.25">
      <c r="A1127" s="5"/>
      <c r="B1127" s="5"/>
      <c r="C1127" s="6"/>
      <c r="D1127" s="5"/>
      <c r="E1127" s="5"/>
      <c r="F1127" s="5"/>
      <c r="G1127" s="5"/>
      <c r="H1127" s="5"/>
      <c r="I1127" s="5"/>
      <c r="J1127" s="5"/>
      <c r="K1127" s="5"/>
    </row>
    <row r="1128" spans="1:11" ht="15.75" customHeight="1" x14ac:dyDescent="0.25">
      <c r="A1128" s="5"/>
      <c r="B1128" s="5"/>
      <c r="C1128" s="6"/>
      <c r="D1128" s="5"/>
      <c r="E1128" s="5"/>
      <c r="F1128" s="5"/>
      <c r="G1128" s="5"/>
      <c r="H1128" s="5"/>
      <c r="I1128" s="5"/>
      <c r="J1128" s="5"/>
      <c r="K1128" s="5"/>
    </row>
    <row r="1129" spans="1:11" ht="15.75" customHeight="1" x14ac:dyDescent="0.25">
      <c r="A1129" s="5"/>
      <c r="B1129" s="5"/>
      <c r="C1129" s="6"/>
      <c r="D1129" s="5"/>
      <c r="E1129" s="5"/>
      <c r="F1129" s="5"/>
      <c r="G1129" s="5"/>
      <c r="H1129" s="5"/>
      <c r="I1129" s="5"/>
      <c r="J1129" s="5"/>
      <c r="K1129" s="5"/>
    </row>
    <row r="1130" spans="1:11" ht="15.75" customHeight="1" x14ac:dyDescent="0.25">
      <c r="A1130" s="5"/>
      <c r="B1130" s="5"/>
      <c r="C1130" s="6"/>
      <c r="D1130" s="5"/>
      <c r="E1130" s="5"/>
      <c r="F1130" s="5"/>
      <c r="G1130" s="5"/>
      <c r="H1130" s="5"/>
      <c r="I1130" s="5"/>
      <c r="J1130" s="5"/>
      <c r="K1130" s="5"/>
    </row>
    <row r="1131" spans="1:11" ht="15.75" customHeight="1" x14ac:dyDescent="0.25">
      <c r="A1131" s="5"/>
      <c r="B1131" s="5"/>
      <c r="C1131" s="6"/>
      <c r="D1131" s="5"/>
      <c r="E1131" s="5"/>
      <c r="F1131" s="5"/>
      <c r="G1131" s="5"/>
      <c r="H1131" s="5"/>
      <c r="I1131" s="5"/>
      <c r="J1131" s="5"/>
      <c r="K1131" s="5"/>
    </row>
    <row r="1132" spans="1:11" ht="15.75" customHeight="1" x14ac:dyDescent="0.25">
      <c r="A1132" s="5"/>
      <c r="B1132" s="5"/>
      <c r="C1132" s="6"/>
      <c r="D1132" s="5"/>
      <c r="E1132" s="5"/>
      <c r="F1132" s="5"/>
      <c r="G1132" s="5"/>
      <c r="H1132" s="5"/>
      <c r="I1132" s="5"/>
      <c r="J1132" s="5"/>
      <c r="K1132" s="5"/>
    </row>
    <row r="1133" spans="1:11" ht="15.75" customHeight="1" x14ac:dyDescent="0.25">
      <c r="A1133" s="5"/>
      <c r="B1133" s="5"/>
      <c r="C1133" s="6"/>
      <c r="D1133" s="5"/>
      <c r="E1133" s="5"/>
      <c r="F1133" s="5"/>
      <c r="G1133" s="5"/>
      <c r="H1133" s="5"/>
      <c r="I1133" s="5"/>
      <c r="J1133" s="5"/>
      <c r="K1133" s="5"/>
    </row>
    <row r="1134" spans="1:11" ht="15.75" customHeight="1" x14ac:dyDescent="0.25">
      <c r="A1134" s="5"/>
      <c r="B1134" s="5"/>
      <c r="C1134" s="6"/>
      <c r="D1134" s="5"/>
      <c r="E1134" s="5"/>
      <c r="F1134" s="5"/>
      <c r="G1134" s="5"/>
      <c r="H1134" s="5"/>
      <c r="I1134" s="5"/>
      <c r="J1134" s="5"/>
      <c r="K1134" s="5"/>
    </row>
    <row r="1135" spans="1:11" ht="15.75" customHeight="1" x14ac:dyDescent="0.25">
      <c r="A1135" s="5"/>
      <c r="B1135" s="5"/>
      <c r="C1135" s="6"/>
      <c r="D1135" s="5"/>
      <c r="E1135" s="5"/>
      <c r="F1135" s="5"/>
      <c r="G1135" s="5"/>
      <c r="H1135" s="5"/>
      <c r="I1135" s="5"/>
      <c r="J1135" s="5"/>
      <c r="K1135" s="5"/>
    </row>
    <row r="1136" spans="1:11" ht="15.75" customHeight="1" x14ac:dyDescent="0.25">
      <c r="A1136" s="5"/>
      <c r="B1136" s="5"/>
      <c r="C1136" s="6"/>
      <c r="D1136" s="5"/>
      <c r="E1136" s="5"/>
      <c r="F1136" s="5"/>
      <c r="G1136" s="5"/>
      <c r="H1136" s="5"/>
      <c r="I1136" s="5"/>
      <c r="J1136" s="5"/>
      <c r="K1136" s="5"/>
    </row>
    <row r="1137" spans="1:11" ht="15.75" customHeight="1" x14ac:dyDescent="0.25">
      <c r="A1137" s="5"/>
      <c r="B1137" s="5"/>
      <c r="C1137" s="6"/>
      <c r="D1137" s="5"/>
      <c r="E1137" s="5"/>
      <c r="F1137" s="5"/>
      <c r="G1137" s="5"/>
      <c r="H1137" s="5"/>
      <c r="I1137" s="5"/>
      <c r="J1137" s="5"/>
      <c r="K1137" s="5"/>
    </row>
    <row r="1138" spans="1:11" ht="15.75" customHeight="1" x14ac:dyDescent="0.25">
      <c r="A1138" s="5"/>
      <c r="B1138" s="5"/>
      <c r="C1138" s="6"/>
      <c r="D1138" s="5"/>
      <c r="E1138" s="5"/>
      <c r="F1138" s="5"/>
      <c r="G1138" s="5"/>
      <c r="H1138" s="5"/>
      <c r="I1138" s="5"/>
      <c r="J1138" s="5"/>
      <c r="K1138" s="5"/>
    </row>
    <row r="1139" spans="1:11" ht="15.75" customHeight="1" x14ac:dyDescent="0.25">
      <c r="A1139" s="5"/>
      <c r="B1139" s="5"/>
      <c r="C1139" s="6"/>
      <c r="D1139" s="5"/>
      <c r="E1139" s="5"/>
      <c r="F1139" s="5"/>
      <c r="G1139" s="5"/>
      <c r="H1139" s="5"/>
      <c r="I1139" s="5"/>
      <c r="J1139" s="5"/>
      <c r="K1139" s="5"/>
    </row>
    <row r="1140" spans="1:11" ht="15.75" customHeight="1" x14ac:dyDescent="0.25">
      <c r="A1140" s="5"/>
      <c r="B1140" s="5"/>
      <c r="C1140" s="6"/>
      <c r="D1140" s="5"/>
      <c r="E1140" s="5"/>
      <c r="F1140" s="5"/>
      <c r="G1140" s="5"/>
      <c r="H1140" s="5"/>
      <c r="I1140" s="5"/>
      <c r="J1140" s="5"/>
      <c r="K1140" s="5"/>
    </row>
    <row r="1141" spans="1:11" ht="15.75" customHeight="1" x14ac:dyDescent="0.25">
      <c r="A1141" s="5"/>
      <c r="B1141" s="5"/>
      <c r="C1141" s="6"/>
      <c r="D1141" s="5"/>
      <c r="E1141" s="5"/>
      <c r="F1141" s="5"/>
      <c r="G1141" s="5"/>
      <c r="H1141" s="5"/>
      <c r="I1141" s="5"/>
      <c r="J1141" s="5"/>
      <c r="K1141" s="5"/>
    </row>
    <row r="1142" spans="1:11" ht="15.75" customHeight="1" x14ac:dyDescent="0.25">
      <c r="A1142" s="5"/>
      <c r="B1142" s="5"/>
      <c r="C1142" s="6"/>
      <c r="D1142" s="5"/>
      <c r="E1142" s="5"/>
      <c r="F1142" s="5"/>
      <c r="G1142" s="5"/>
      <c r="H1142" s="5"/>
      <c r="I1142" s="5"/>
      <c r="J1142" s="5"/>
      <c r="K1142" s="5"/>
    </row>
    <row r="1143" spans="1:11" ht="15.75" customHeight="1" x14ac:dyDescent="0.25">
      <c r="A1143" s="5"/>
      <c r="B1143" s="5"/>
      <c r="C1143" s="6"/>
      <c r="D1143" s="5"/>
      <c r="E1143" s="5"/>
      <c r="F1143" s="5"/>
      <c r="G1143" s="5"/>
      <c r="H1143" s="5"/>
      <c r="I1143" s="5"/>
      <c r="J1143" s="5"/>
      <c r="K1143" s="5"/>
    </row>
    <row r="1144" spans="1:11" ht="15.75" customHeight="1" x14ac:dyDescent="0.25">
      <c r="A1144" s="5"/>
      <c r="B1144" s="5"/>
      <c r="C1144" s="16"/>
      <c r="D1144" s="5"/>
      <c r="E1144" s="5"/>
      <c r="F1144" s="5"/>
      <c r="G1144" s="5"/>
      <c r="H1144" s="5"/>
      <c r="I1144" s="5"/>
      <c r="J1144" s="5"/>
      <c r="K1144" s="5"/>
    </row>
    <row r="1145" spans="1:11" ht="15.75" customHeight="1" x14ac:dyDescent="0.25">
      <c r="A1145" s="5"/>
      <c r="B1145" s="5"/>
      <c r="C1145" s="16"/>
      <c r="D1145" s="5"/>
      <c r="E1145" s="5"/>
      <c r="F1145" s="5"/>
      <c r="G1145" s="5"/>
      <c r="H1145" s="5"/>
      <c r="I1145" s="5"/>
      <c r="J1145" s="5"/>
      <c r="K1145" s="5"/>
    </row>
    <row r="1146" spans="1:11" ht="15.75" customHeight="1" x14ac:dyDescent="0.25">
      <c r="A1146" s="5"/>
      <c r="B1146" s="5"/>
      <c r="C1146" s="16"/>
      <c r="D1146" s="5"/>
      <c r="E1146" s="5"/>
      <c r="F1146" s="5"/>
      <c r="G1146" s="5"/>
      <c r="H1146" s="5"/>
      <c r="I1146" s="5"/>
      <c r="J1146" s="5"/>
      <c r="K1146" s="5"/>
    </row>
    <row r="1147" spans="1:11" ht="15.75" customHeight="1" x14ac:dyDescent="0.25">
      <c r="A1147" s="5"/>
      <c r="B1147" s="5"/>
      <c r="C1147" s="16"/>
      <c r="D1147" s="5"/>
      <c r="E1147" s="5"/>
      <c r="F1147" s="5"/>
      <c r="G1147" s="5"/>
      <c r="H1147" s="5"/>
      <c r="I1147" s="5"/>
      <c r="J1147" s="5"/>
      <c r="K1147" s="5"/>
    </row>
    <row r="1148" spans="1:11" ht="15.75" customHeight="1" x14ac:dyDescent="0.25">
      <c r="A1148" s="5"/>
      <c r="B1148" s="5"/>
      <c r="C1148" s="16"/>
      <c r="D1148" s="5"/>
      <c r="E1148" s="5"/>
      <c r="F1148" s="5"/>
      <c r="G1148" s="5"/>
      <c r="H1148" s="5"/>
      <c r="I1148" s="5"/>
      <c r="J1148" s="5"/>
      <c r="K1148" s="5"/>
    </row>
    <row r="1149" spans="1:11" ht="15.75" customHeight="1" x14ac:dyDescent="0.25">
      <c r="A1149" s="5"/>
      <c r="B1149" s="5"/>
      <c r="C1149" s="16"/>
      <c r="D1149" s="5"/>
      <c r="E1149" s="5"/>
      <c r="F1149" s="5"/>
      <c r="G1149" s="5"/>
      <c r="H1149" s="5"/>
      <c r="I1149" s="5"/>
      <c r="J1149" s="5"/>
      <c r="K1149" s="5"/>
    </row>
    <row r="1150" spans="1:11" ht="15.75" customHeight="1" x14ac:dyDescent="0.25">
      <c r="A1150" s="5"/>
      <c r="B1150" s="5"/>
      <c r="C1150" s="16"/>
      <c r="D1150" s="5"/>
      <c r="E1150" s="5"/>
      <c r="F1150" s="5"/>
      <c r="G1150" s="5"/>
      <c r="H1150" s="5"/>
      <c r="I1150" s="5"/>
      <c r="J1150" s="5"/>
      <c r="K1150" s="5"/>
    </row>
    <row r="1151" spans="1:11" ht="15.75" customHeight="1" x14ac:dyDescent="0.25">
      <c r="A1151" s="5"/>
      <c r="B1151" s="5"/>
      <c r="C1151" s="16"/>
      <c r="D1151" s="5"/>
      <c r="E1151" s="5"/>
      <c r="F1151" s="5"/>
      <c r="G1151" s="5"/>
      <c r="H1151" s="5"/>
      <c r="I1151" s="5"/>
      <c r="J1151" s="5"/>
      <c r="K1151" s="5"/>
    </row>
    <row r="1152" spans="1:11" ht="15.75" customHeight="1" x14ac:dyDescent="0.25">
      <c r="A1152" s="5"/>
      <c r="B1152" s="5"/>
      <c r="C1152" s="16"/>
      <c r="D1152" s="5"/>
      <c r="E1152" s="5"/>
      <c r="F1152" s="5"/>
      <c r="G1152" s="5"/>
      <c r="H1152" s="5"/>
      <c r="I1152" s="5"/>
      <c r="J1152" s="5"/>
      <c r="K1152" s="5"/>
    </row>
    <row r="1153" spans="1:11" ht="15.75" customHeight="1" x14ac:dyDescent="0.25">
      <c r="A1153" s="5"/>
      <c r="B1153" s="5"/>
      <c r="C1153" s="16"/>
      <c r="D1153" s="5"/>
      <c r="E1153" s="5"/>
      <c r="F1153" s="5"/>
      <c r="G1153" s="5"/>
      <c r="H1153" s="5"/>
      <c r="I1153" s="5"/>
      <c r="J1153" s="5"/>
      <c r="K1153" s="5"/>
    </row>
    <row r="1154" spans="1:11" ht="15.75" customHeight="1" x14ac:dyDescent="0.25">
      <c r="A1154" s="5"/>
      <c r="B1154" s="5"/>
      <c r="C1154" s="16"/>
      <c r="D1154" s="5"/>
      <c r="E1154" s="5"/>
      <c r="F1154" s="5"/>
      <c r="G1154" s="5"/>
      <c r="H1154" s="5"/>
      <c r="I1154" s="5"/>
      <c r="J1154" s="5"/>
      <c r="K1154" s="5"/>
    </row>
    <row r="1155" spans="1:11" ht="15.75" customHeight="1" x14ac:dyDescent="0.25">
      <c r="A1155" s="5"/>
      <c r="B1155" s="5"/>
      <c r="C1155" s="16"/>
      <c r="D1155" s="5"/>
      <c r="E1155" s="5"/>
      <c r="F1155" s="5"/>
      <c r="G1155" s="5"/>
      <c r="H1155" s="5"/>
      <c r="I1155" s="5"/>
      <c r="J1155" s="5"/>
      <c r="K1155" s="5"/>
    </row>
    <row r="1156" spans="1:11" ht="15.75" customHeight="1" x14ac:dyDescent="0.25">
      <c r="A1156" s="5"/>
      <c r="B1156" s="5"/>
      <c r="C1156" s="16"/>
      <c r="D1156" s="5"/>
      <c r="E1156" s="5"/>
      <c r="F1156" s="5"/>
      <c r="G1156" s="5"/>
      <c r="H1156" s="5"/>
      <c r="I1156" s="5"/>
      <c r="J1156" s="5"/>
      <c r="K1156" s="5"/>
    </row>
    <row r="1157" spans="1:11" ht="15.75" customHeight="1" x14ac:dyDescent="0.25">
      <c r="A1157" s="5"/>
      <c r="B1157" s="5"/>
      <c r="C1157" s="16"/>
      <c r="D1157" s="5"/>
      <c r="E1157" s="5"/>
      <c r="F1157" s="5"/>
      <c r="G1157" s="5"/>
      <c r="H1157" s="5"/>
      <c r="I1157" s="5"/>
      <c r="J1157" s="5"/>
      <c r="K1157" s="5"/>
    </row>
    <row r="1158" spans="1:11" ht="15.75" customHeight="1" x14ac:dyDescent="0.25">
      <c r="A1158" s="5"/>
      <c r="B1158" s="5"/>
      <c r="C1158" s="16"/>
      <c r="D1158" s="5"/>
      <c r="E1158" s="5"/>
      <c r="F1158" s="5"/>
      <c r="G1158" s="5"/>
      <c r="H1158" s="5"/>
      <c r="I1158" s="5"/>
      <c r="J1158" s="5"/>
      <c r="K1158" s="5"/>
    </row>
    <row r="1159" spans="1:11" ht="15.75" customHeight="1" x14ac:dyDescent="0.25">
      <c r="A1159" s="5"/>
      <c r="B1159" s="5"/>
      <c r="C1159" s="16"/>
      <c r="D1159" s="5"/>
      <c r="E1159" s="5"/>
      <c r="F1159" s="5"/>
      <c r="G1159" s="5"/>
      <c r="H1159" s="5"/>
      <c r="I1159" s="5"/>
      <c r="J1159" s="5"/>
      <c r="K1159" s="5"/>
    </row>
    <row r="1160" spans="1:11" ht="15.75" customHeight="1" x14ac:dyDescent="0.25">
      <c r="A1160" s="5"/>
      <c r="B1160" s="5"/>
      <c r="C1160" s="16"/>
      <c r="D1160" s="5"/>
      <c r="E1160" s="5"/>
      <c r="F1160" s="5"/>
      <c r="G1160" s="5"/>
      <c r="H1160" s="5"/>
      <c r="I1160" s="5"/>
      <c r="J1160" s="5"/>
      <c r="K1160" s="5"/>
    </row>
    <row r="1161" spans="1:11" ht="15.75" customHeight="1" x14ac:dyDescent="0.25">
      <c r="A1161" s="5"/>
      <c r="B1161" s="5"/>
      <c r="C1161" s="16"/>
      <c r="D1161" s="5"/>
      <c r="E1161" s="5"/>
      <c r="F1161" s="5"/>
      <c r="G1161" s="5"/>
      <c r="H1161" s="5"/>
      <c r="I1161" s="5"/>
      <c r="J1161" s="5"/>
      <c r="K1161" s="5"/>
    </row>
    <row r="1162" spans="1:11" ht="15.75" customHeight="1" x14ac:dyDescent="0.25">
      <c r="A1162" s="5"/>
      <c r="B1162" s="5"/>
      <c r="C1162" s="16"/>
      <c r="D1162" s="5"/>
      <c r="E1162" s="5"/>
      <c r="F1162" s="5"/>
      <c r="G1162" s="5"/>
      <c r="H1162" s="5"/>
      <c r="I1162" s="5"/>
      <c r="J1162" s="5"/>
      <c r="K1162" s="5"/>
    </row>
    <row r="1163" spans="1:11" ht="15.75" customHeight="1" x14ac:dyDescent="0.25">
      <c r="A1163" s="5"/>
      <c r="B1163" s="5"/>
      <c r="C1163" s="16"/>
      <c r="D1163" s="5"/>
      <c r="E1163" s="5"/>
      <c r="F1163" s="5"/>
      <c r="G1163" s="5"/>
      <c r="H1163" s="5"/>
      <c r="I1163" s="5"/>
      <c r="J1163" s="5"/>
      <c r="K1163" s="5"/>
    </row>
    <row r="1164" spans="1:11" ht="15.75" customHeight="1" x14ac:dyDescent="0.25">
      <c r="A1164" s="5"/>
      <c r="B1164" s="5"/>
      <c r="C1164" s="16"/>
      <c r="D1164" s="5"/>
      <c r="E1164" s="5"/>
      <c r="F1164" s="5"/>
      <c r="G1164" s="5"/>
      <c r="H1164" s="5"/>
      <c r="I1164" s="5"/>
      <c r="J1164" s="5"/>
      <c r="K1164" s="5"/>
    </row>
    <row r="1165" spans="1:11" ht="15.75" customHeight="1" x14ac:dyDescent="0.25">
      <c r="A1165" s="5"/>
      <c r="B1165" s="5"/>
      <c r="C1165" s="16"/>
      <c r="D1165" s="5"/>
      <c r="E1165" s="5"/>
      <c r="F1165" s="5"/>
      <c r="G1165" s="5"/>
      <c r="H1165" s="5"/>
      <c r="I1165" s="5"/>
      <c r="J1165" s="5"/>
      <c r="K1165" s="5"/>
    </row>
    <row r="1166" spans="1:11" ht="15.75" customHeight="1" x14ac:dyDescent="0.25">
      <c r="A1166" s="5"/>
      <c r="B1166" s="5"/>
      <c r="C1166" s="16"/>
      <c r="D1166" s="5"/>
      <c r="E1166" s="5"/>
      <c r="F1166" s="5"/>
      <c r="G1166" s="5"/>
      <c r="H1166" s="5"/>
      <c r="I1166" s="5"/>
      <c r="J1166" s="5"/>
      <c r="K1166" s="5"/>
    </row>
    <row r="1167" spans="1:11" ht="15.75" customHeight="1" x14ac:dyDescent="0.25">
      <c r="A1167" s="5"/>
      <c r="B1167" s="5"/>
      <c r="C1167" s="16"/>
      <c r="D1167" s="5"/>
      <c r="E1167" s="5"/>
      <c r="F1167" s="5"/>
      <c r="G1167" s="5"/>
      <c r="H1167" s="5"/>
      <c r="I1167" s="5"/>
      <c r="J1167" s="5"/>
      <c r="K1167" s="5"/>
    </row>
    <row r="1168" spans="1:11" ht="15.75" customHeight="1" x14ac:dyDescent="0.25">
      <c r="A1168" s="5"/>
      <c r="B1168" s="5"/>
      <c r="C1168" s="16"/>
      <c r="D1168" s="5"/>
      <c r="E1168" s="5"/>
      <c r="F1168" s="5"/>
      <c r="G1168" s="5"/>
      <c r="H1168" s="5"/>
      <c r="I1168" s="5"/>
      <c r="J1168" s="5"/>
      <c r="K1168" s="5"/>
    </row>
    <row r="1169" spans="1:11" ht="15.75" customHeight="1" x14ac:dyDescent="0.25">
      <c r="A1169" s="5"/>
      <c r="B1169" s="5"/>
      <c r="C1169" s="16"/>
      <c r="D1169" s="5"/>
      <c r="E1169" s="5"/>
      <c r="F1169" s="5"/>
      <c r="G1169" s="5"/>
      <c r="H1169" s="5"/>
      <c r="I1169" s="5"/>
      <c r="J1169" s="5"/>
      <c r="K1169" s="5"/>
    </row>
    <row r="1170" spans="1:11" ht="15.75" customHeight="1" x14ac:dyDescent="0.25">
      <c r="A1170" s="5"/>
      <c r="B1170" s="5"/>
      <c r="C1170" s="16"/>
      <c r="D1170" s="5"/>
      <c r="E1170" s="5"/>
      <c r="F1170" s="5"/>
      <c r="G1170" s="5"/>
      <c r="H1170" s="5"/>
      <c r="I1170" s="5"/>
      <c r="J1170" s="5"/>
      <c r="K1170" s="5"/>
    </row>
    <row r="1171" spans="1:11" ht="15.75" customHeight="1" x14ac:dyDescent="0.25">
      <c r="B1171" s="5"/>
      <c r="C1171" s="16"/>
      <c r="D1171" s="5"/>
      <c r="E1171" s="5"/>
      <c r="F1171" s="5"/>
      <c r="G1171" s="5"/>
      <c r="H1171" s="8"/>
      <c r="I1171" s="8"/>
      <c r="J1171" s="8"/>
      <c r="K1171" s="8"/>
    </row>
    <row r="1172" spans="1:11" ht="15.75" customHeight="1" x14ac:dyDescent="0.25">
      <c r="B1172" s="5"/>
      <c r="C1172" s="16"/>
      <c r="D1172" s="5"/>
      <c r="E1172" s="5"/>
      <c r="F1172" s="5"/>
      <c r="G1172" s="5"/>
      <c r="H1172" s="8"/>
      <c r="I1172" s="8"/>
      <c r="J1172" s="8"/>
      <c r="K1172" s="8"/>
    </row>
    <row r="1173" spans="1:11" ht="15.75" customHeight="1" x14ac:dyDescent="0.25">
      <c r="B1173" s="5"/>
      <c r="C1173" s="16"/>
      <c r="D1173" s="5"/>
      <c r="E1173" s="5"/>
      <c r="F1173" s="5"/>
      <c r="G1173" s="5"/>
      <c r="H1173" s="8"/>
      <c r="I1173" s="8"/>
      <c r="J1173" s="8"/>
      <c r="K1173" s="8"/>
    </row>
    <row r="1174" spans="1:11" ht="15.75" customHeight="1" x14ac:dyDescent="0.25">
      <c r="B1174" s="5"/>
      <c r="C1174" s="16"/>
      <c r="D1174" s="5"/>
      <c r="E1174" s="5"/>
      <c r="F1174" s="5"/>
      <c r="G1174" s="5"/>
      <c r="H1174" s="8"/>
      <c r="I1174" s="8"/>
      <c r="J1174" s="8"/>
      <c r="K1174" s="8"/>
    </row>
    <row r="1175" spans="1:11" ht="15.75" customHeight="1" x14ac:dyDescent="0.25">
      <c r="B1175" s="5"/>
      <c r="C1175" s="16"/>
      <c r="D1175" s="5"/>
      <c r="E1175" s="5"/>
      <c r="F1175" s="5"/>
      <c r="G1175" s="5"/>
      <c r="H1175" s="8"/>
      <c r="I1175" s="8"/>
      <c r="J1175" s="8"/>
      <c r="K1175" s="8"/>
    </row>
    <row r="1176" spans="1:11" ht="15.75" customHeight="1" x14ac:dyDescent="0.25">
      <c r="B1176" s="5"/>
      <c r="C1176" s="16"/>
      <c r="D1176" s="5"/>
      <c r="E1176" s="5"/>
      <c r="F1176" s="5"/>
      <c r="G1176" s="5"/>
      <c r="H1176" s="8"/>
      <c r="I1176" s="8"/>
      <c r="J1176" s="8"/>
      <c r="K1176" s="8"/>
    </row>
    <row r="1177" spans="1:11" ht="15.75" customHeight="1" x14ac:dyDescent="0.25">
      <c r="B1177" s="5"/>
      <c r="C1177" s="16"/>
      <c r="D1177" s="5"/>
      <c r="E1177" s="5"/>
      <c r="F1177" s="5"/>
      <c r="G1177" s="5"/>
      <c r="H1177" s="8"/>
      <c r="I1177" s="8"/>
      <c r="J1177" s="8"/>
      <c r="K1177" s="8"/>
    </row>
    <row r="1178" spans="1:11" ht="15.75" customHeight="1" x14ac:dyDescent="0.25">
      <c r="B1178" s="5"/>
      <c r="C1178" s="16"/>
      <c r="D1178" s="5"/>
      <c r="E1178" s="5"/>
      <c r="F1178" s="5"/>
      <c r="G1178" s="5"/>
      <c r="H1178" s="8"/>
      <c r="I1178" s="8"/>
      <c r="J1178" s="8"/>
      <c r="K1178" s="8"/>
    </row>
    <row r="1179" spans="1:11" ht="15.75" customHeight="1" x14ac:dyDescent="0.25">
      <c r="B1179" s="5"/>
      <c r="C1179" s="16"/>
      <c r="D1179" s="5"/>
      <c r="E1179" s="5"/>
      <c r="F1179" s="5"/>
      <c r="G1179" s="5"/>
      <c r="H1179" s="8"/>
      <c r="I1179" s="8"/>
      <c r="J1179" s="8"/>
      <c r="K1179" s="8"/>
    </row>
    <row r="1180" spans="1:11" ht="15.75" customHeight="1" x14ac:dyDescent="0.25">
      <c r="B1180" s="5"/>
      <c r="C1180" s="16"/>
      <c r="D1180" s="5"/>
      <c r="E1180" s="5"/>
      <c r="F1180" s="5"/>
      <c r="G1180" s="5"/>
      <c r="H1180" s="8"/>
      <c r="I1180" s="8"/>
      <c r="J1180" s="8"/>
      <c r="K1180" s="8"/>
    </row>
    <row r="1181" spans="1:11" ht="15.75" customHeight="1" x14ac:dyDescent="0.25">
      <c r="B1181" s="5"/>
      <c r="C1181" s="16"/>
      <c r="D1181" s="5"/>
      <c r="E1181" s="5"/>
      <c r="F1181" s="5"/>
      <c r="G1181" s="5"/>
      <c r="H1181" s="8"/>
      <c r="I1181" s="8"/>
      <c r="J1181" s="8"/>
      <c r="K1181" s="8"/>
    </row>
    <row r="1182" spans="1:11" ht="15.75" customHeight="1" x14ac:dyDescent="0.25">
      <c r="B1182" s="5"/>
      <c r="C1182" s="16"/>
      <c r="D1182" s="5"/>
      <c r="E1182" s="5"/>
      <c r="F1182" s="5"/>
      <c r="G1182" s="5"/>
      <c r="H1182" s="8"/>
      <c r="I1182" s="8"/>
      <c r="J1182" s="8"/>
      <c r="K1182" s="8"/>
    </row>
    <row r="1183" spans="1:11" ht="15.75" customHeight="1" x14ac:dyDescent="0.25">
      <c r="B1183" s="5"/>
      <c r="C1183" s="16"/>
      <c r="D1183" s="5"/>
      <c r="E1183" s="5"/>
      <c r="F1183" s="5"/>
      <c r="G1183" s="5"/>
      <c r="H1183" s="8"/>
      <c r="I1183" s="8"/>
      <c r="J1183" s="8"/>
      <c r="K1183" s="8"/>
    </row>
    <row r="1184" spans="1:11" ht="15.75" customHeight="1" x14ac:dyDescent="0.25">
      <c r="B1184" s="5"/>
      <c r="C1184" s="16"/>
      <c r="D1184" s="5"/>
      <c r="E1184" s="5"/>
      <c r="F1184" s="5"/>
      <c r="G1184" s="5"/>
      <c r="H1184" s="8"/>
      <c r="I1184" s="8"/>
      <c r="J1184" s="8"/>
      <c r="K1184" s="8"/>
    </row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</sheetData>
  <autoFilter ref="A1:M985" xr:uid="{00000000-0009-0000-0000-000001000000}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M1000"/>
  <sheetViews>
    <sheetView workbookViewId="0"/>
  </sheetViews>
  <sheetFormatPr defaultColWidth="12.6640625" defaultRowHeight="15" customHeight="1" x14ac:dyDescent="0.25"/>
  <sheetData>
    <row r="1" spans="1:1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.2" hidden="1" x14ac:dyDescent="0.25">
      <c r="A2" s="2" t="s">
        <v>13</v>
      </c>
      <c r="B2" s="2">
        <v>2023</v>
      </c>
      <c r="C2" s="2" t="s">
        <v>14</v>
      </c>
      <c r="D2" s="2" t="s">
        <v>15</v>
      </c>
      <c r="E2" s="2" t="s">
        <v>16</v>
      </c>
      <c r="F2" s="3">
        <v>43469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13.2" hidden="1" x14ac:dyDescent="0.25">
      <c r="A3" s="7">
        <f>IF(Data!A3=Entry2!A3,Data!A3,"ERROR")</f>
        <v>1</v>
      </c>
      <c r="B3" s="7">
        <f>IF(Data!B3=Entry2!B3,Data!B3,"ERROR")</f>
        <v>2023</v>
      </c>
      <c r="C3" s="17">
        <f>IF(Data!C3=Entry2!C3,Data!C3,"ERROR")</f>
        <v>45197</v>
      </c>
      <c r="D3" s="7" t="str">
        <f>IF(Data!D3=Entry2!D3,Data!D3,"ERROR")</f>
        <v>MG, TL</v>
      </c>
      <c r="E3" s="7" t="str">
        <f>IF(Data!E3=Entry2!E3,Data!E3,"ERROR")</f>
        <v>GB</v>
      </c>
      <c r="F3" s="7">
        <f>IF(Data!F3=Entry2!F3,Data!F3,"ERROR")</f>
        <v>1</v>
      </c>
      <c r="G3" s="7" t="str">
        <f>IF(Data!G3=Entry2!G3,Data!G3,"ERROR")</f>
        <v>SS</v>
      </c>
      <c r="H3" s="7">
        <f>IF(Data!H3=Entry2!H3,Data!H3,"ERROR")</f>
        <v>1</v>
      </c>
      <c r="I3" s="7">
        <f>IF(Data!I3=Entry2!I3,Data!I3,"ERROR")</f>
        <v>1</v>
      </c>
      <c r="J3" s="7">
        <f>IF(Data!J3=Entry2!J3,Data!J3,"ERROR")</f>
        <v>0</v>
      </c>
      <c r="K3" s="7" t="str">
        <f>IF(Data!K3=Entry2!K3,Data!K3,"ERROR")</f>
        <v>L</v>
      </c>
      <c r="L3" s="7" t="str">
        <f>IF(Data!L3=Entry2!L3,Data!L3,"ERROR")</f>
        <v>ERROR</v>
      </c>
      <c r="M3" s="7">
        <f>IF(Data!N3=Entry2!M3,Data!N3,"ERROR")</f>
        <v>0</v>
      </c>
    </row>
    <row r="4" spans="1:13" ht="13.2" hidden="1" x14ac:dyDescent="0.25">
      <c r="A4" s="7">
        <f>IF(Data!A4=Entry2!A4,Data!A4,"ERROR")</f>
        <v>1</v>
      </c>
      <c r="B4" s="7">
        <f>IF(Data!B4=Entry2!B4,Data!B4,"ERROR")</f>
        <v>2023</v>
      </c>
      <c r="C4" s="17">
        <f>IF(Data!C4=Entry2!C4,Data!C4,"ERROR")</f>
        <v>45197</v>
      </c>
      <c r="D4" s="7" t="str">
        <f>IF(Data!D4=Entry2!D4,Data!D4,"ERROR")</f>
        <v>MG, TL</v>
      </c>
      <c r="E4" s="7" t="str">
        <f>IF(Data!E4=Entry2!E4,Data!E4,"ERROR")</f>
        <v>GB</v>
      </c>
      <c r="F4" s="7">
        <f>IF(Data!F4=Entry2!F4,Data!F4,"ERROR")</f>
        <v>1</v>
      </c>
      <c r="G4" s="7" t="str">
        <f>IF(Data!G4=Entry2!G4,Data!G4,"ERROR")</f>
        <v>SS</v>
      </c>
      <c r="H4" s="7">
        <f>IF(Data!H4=Entry2!H4,Data!H4,"ERROR")</f>
        <v>1</v>
      </c>
      <c r="I4" s="7">
        <f>IF(Data!I4=Entry2!I4,Data!I4,"ERROR")</f>
        <v>1</v>
      </c>
      <c r="J4" s="7">
        <f>IF(Data!J4=Entry2!J4,Data!J4,"ERROR")</f>
        <v>0</v>
      </c>
      <c r="K4" s="7" t="str">
        <f>IF(Data!K4=Entry2!K4,Data!K4,"ERROR")</f>
        <v>STEDIE</v>
      </c>
      <c r="L4" s="7" t="str">
        <f>IF(Data!L4=Entry2!L4,Data!L4,"ERROR")</f>
        <v>ERROR</v>
      </c>
      <c r="M4" s="7">
        <f>IF(Data!N4=Entry2!M4,Data!N4,"ERROR")</f>
        <v>0</v>
      </c>
    </row>
    <row r="5" spans="1:13" ht="13.2" hidden="1" x14ac:dyDescent="0.25">
      <c r="A5" s="7">
        <f>IF(Data!A5=Entry2!A5,Data!A5,"ERROR")</f>
        <v>1</v>
      </c>
      <c r="B5" s="7">
        <f>IF(Data!B5=Entry2!B5,Data!B5,"ERROR")</f>
        <v>2023</v>
      </c>
      <c r="C5" s="17">
        <f>IF(Data!C5=Entry2!C5,Data!C5,"ERROR")</f>
        <v>45197</v>
      </c>
      <c r="D5" s="7" t="str">
        <f>IF(Data!D5=Entry2!D5,Data!D5,"ERROR")</f>
        <v>MG, TL</v>
      </c>
      <c r="E5" s="7" t="str">
        <f>IF(Data!E5=Entry2!E5,Data!E5,"ERROR")</f>
        <v>GB</v>
      </c>
      <c r="F5" s="7">
        <f>IF(Data!F5=Entry2!F5,Data!F5,"ERROR")</f>
        <v>1</v>
      </c>
      <c r="G5" s="7" t="str">
        <f>IF(Data!G5=Entry2!G5,Data!G5,"ERROR")</f>
        <v>SS</v>
      </c>
      <c r="H5" s="7">
        <f>IF(Data!H5=Entry2!H5,Data!H5,"ERROR")</f>
        <v>2</v>
      </c>
      <c r="I5" s="7">
        <f>IF(Data!I5=Entry2!I5,Data!I5,"ERROR")</f>
        <v>1</v>
      </c>
      <c r="J5" s="7">
        <f>IF(Data!J5=Entry2!J5,Data!J5,"ERROR")</f>
        <v>1</v>
      </c>
      <c r="K5" s="7" t="str">
        <f>IF(Data!K5=Entry2!K5,Data!K5,"ERROR")</f>
        <v>L</v>
      </c>
      <c r="L5" s="7" t="str">
        <f>IF(Data!L5=Entry2!L5,Data!L5,"ERROR")</f>
        <v>ERROR</v>
      </c>
      <c r="M5" s="7">
        <f>IF(Data!N5=Entry2!M5,Data!N5,"ERROR")</f>
        <v>0</v>
      </c>
    </row>
    <row r="6" spans="1:13" ht="13.2" hidden="1" x14ac:dyDescent="0.25">
      <c r="A6" s="7">
        <f>IF(Data!A6=Entry2!A6,Data!A6,"ERROR")</f>
        <v>1</v>
      </c>
      <c r="B6" s="7">
        <f>IF(Data!B6=Entry2!B6,Data!B6,"ERROR")</f>
        <v>2023</v>
      </c>
      <c r="C6" s="17">
        <f>IF(Data!C6=Entry2!C6,Data!C6,"ERROR")</f>
        <v>45197</v>
      </c>
      <c r="D6" s="7" t="str">
        <f>IF(Data!D6=Entry2!D6,Data!D6,"ERROR")</f>
        <v>MG, TL</v>
      </c>
      <c r="E6" s="7" t="str">
        <f>IF(Data!E6=Entry2!E6,Data!E6,"ERROR")</f>
        <v>GB</v>
      </c>
      <c r="F6" s="7">
        <f>IF(Data!F6=Entry2!F6,Data!F6,"ERROR")</f>
        <v>1</v>
      </c>
      <c r="G6" s="7" t="str">
        <f>IF(Data!G6=Entry2!G6,Data!G6,"ERROR")</f>
        <v>SS</v>
      </c>
      <c r="H6" s="7">
        <f>IF(Data!H6=Entry2!H6,Data!H6,"ERROR")</f>
        <v>2</v>
      </c>
      <c r="I6" s="7">
        <f>IF(Data!I6=Entry2!I6,Data!I6,"ERROR")</f>
        <v>1</v>
      </c>
      <c r="J6" s="7">
        <f>IF(Data!J6=Entry2!J6,Data!J6,"ERROR")</f>
        <v>1</v>
      </c>
      <c r="K6" s="7" t="str">
        <f>IF(Data!K6=Entry2!K6,Data!K6,"ERROR")</f>
        <v>OPULIT</v>
      </c>
      <c r="L6" s="7" t="str">
        <f>IF(Data!L6=Entry2!L6,Data!L6,"ERROR")</f>
        <v>ERROR</v>
      </c>
      <c r="M6" s="7">
        <f>IF(Data!N6=Entry2!M6,Data!N6,"ERROR")</f>
        <v>0</v>
      </c>
    </row>
    <row r="7" spans="1:13" ht="13.2" hidden="1" x14ac:dyDescent="0.25">
      <c r="A7" s="7">
        <f>IF(Data!A7=Entry2!A7,Data!A7,"ERROR")</f>
        <v>1</v>
      </c>
      <c r="B7" s="7">
        <f>IF(Data!B7=Entry2!B7,Data!B7,"ERROR")</f>
        <v>2023</v>
      </c>
      <c r="C7" s="17">
        <f>IF(Data!C7=Entry2!C7,Data!C7,"ERROR")</f>
        <v>45197</v>
      </c>
      <c r="D7" s="7" t="str">
        <f>IF(Data!D7=Entry2!D7,Data!D7,"ERROR")</f>
        <v>MG, TL</v>
      </c>
      <c r="E7" s="7" t="str">
        <f>IF(Data!E7=Entry2!E7,Data!E7,"ERROR")</f>
        <v>GB</v>
      </c>
      <c r="F7" s="7">
        <f>IF(Data!F7=Entry2!F7,Data!F7,"ERROR")</f>
        <v>1</v>
      </c>
      <c r="G7" s="7" t="str">
        <f>IF(Data!G7=Entry2!G7,Data!G7,"ERROR")</f>
        <v>SS</v>
      </c>
      <c r="H7" s="7">
        <f>IF(Data!H7=Entry2!H7,Data!H7,"ERROR")</f>
        <v>2</v>
      </c>
      <c r="I7" s="7">
        <f>IF(Data!I7=Entry2!I7,Data!I7,"ERROR")</f>
        <v>1</v>
      </c>
      <c r="J7" s="7">
        <f>IF(Data!J7=Entry2!J7,Data!J7,"ERROR")</f>
        <v>1</v>
      </c>
      <c r="K7" s="7" t="str">
        <f>IF(Data!K7=Entry2!K7,Data!K7,"ERROR")</f>
        <v>NNG</v>
      </c>
      <c r="L7" s="7" t="str">
        <f>IF(Data!L7=Entry2!L7,Data!L7,"ERROR")</f>
        <v>ERROR</v>
      </c>
      <c r="M7" s="7" t="str">
        <f>IF(Data!N7=Entry2!M7,Data!N7,"ERROR")</f>
        <v>NNG - non-native grass</v>
      </c>
    </row>
    <row r="8" spans="1:13" ht="13.2" hidden="1" x14ac:dyDescent="0.25">
      <c r="A8" s="7">
        <f>IF(Data!A8=Entry2!A8,Data!A8,"ERROR")</f>
        <v>1</v>
      </c>
      <c r="B8" s="7">
        <f>IF(Data!B8=Entry2!B8,Data!B8,"ERROR")</f>
        <v>2023</v>
      </c>
      <c r="C8" s="17">
        <f>IF(Data!C8=Entry2!C8,Data!C8,"ERROR")</f>
        <v>45197</v>
      </c>
      <c r="D8" s="7" t="str">
        <f>IF(Data!D8=Entry2!D8,Data!D8,"ERROR")</f>
        <v>MG, TL</v>
      </c>
      <c r="E8" s="7" t="str">
        <f>IF(Data!E8=Entry2!E8,Data!E8,"ERROR")</f>
        <v>GB</v>
      </c>
      <c r="F8" s="7">
        <f>IF(Data!F8=Entry2!F8,Data!F8,"ERROR")</f>
        <v>1</v>
      </c>
      <c r="G8" s="7" t="str">
        <f>IF(Data!G8=Entry2!G8,Data!G8,"ERROR")</f>
        <v>SS</v>
      </c>
      <c r="H8" s="7">
        <f>IF(Data!H8=Entry2!H8,Data!H8,"ERROR")</f>
        <v>3</v>
      </c>
      <c r="I8" s="7">
        <f>IF(Data!I8=Entry2!I8,Data!I8,"ERROR")</f>
        <v>1</v>
      </c>
      <c r="J8" s="7">
        <f>IF(Data!J8=Entry2!J8,Data!J8,"ERROR")</f>
        <v>1.5</v>
      </c>
      <c r="K8" s="7" t="str">
        <f>IF(Data!K8=Entry2!K8,Data!K8,"ERROR")</f>
        <v>R</v>
      </c>
      <c r="L8" s="7" t="str">
        <f>IF(Data!L8=Entry2!L8,Data!L8,"ERROR")</f>
        <v>ERROR</v>
      </c>
      <c r="M8" s="7">
        <f>IF(Data!N8=Entry2!M8,Data!N8,"ERROR")</f>
        <v>0</v>
      </c>
    </row>
    <row r="9" spans="1:13" ht="13.2" hidden="1" x14ac:dyDescent="0.25">
      <c r="A9" s="7">
        <f>IF(Data!A9=Entry2!A9,Data!A9,"ERROR")</f>
        <v>1</v>
      </c>
      <c r="B9" s="7">
        <f>IF(Data!B9=Entry2!B9,Data!B9,"ERROR")</f>
        <v>2023</v>
      </c>
      <c r="C9" s="17">
        <f>IF(Data!C9=Entry2!C9,Data!C9,"ERROR")</f>
        <v>45197</v>
      </c>
      <c r="D9" s="7" t="str">
        <f>IF(Data!D9=Entry2!D9,Data!D9,"ERROR")</f>
        <v>MG, TL</v>
      </c>
      <c r="E9" s="7" t="str">
        <f>IF(Data!E9=Entry2!E9,Data!E9,"ERROR")</f>
        <v>GB</v>
      </c>
      <c r="F9" s="7">
        <f>IF(Data!F9=Entry2!F9,Data!F9,"ERROR")</f>
        <v>1</v>
      </c>
      <c r="G9" s="7" t="str">
        <f>IF(Data!G9=Entry2!G9,Data!G9,"ERROR")</f>
        <v>SS</v>
      </c>
      <c r="H9" s="7">
        <f>IF(Data!H9=Entry2!H9,Data!H9,"ERROR")</f>
        <v>3</v>
      </c>
      <c r="I9" s="7">
        <f>IF(Data!I9=Entry2!I9,Data!I9,"ERROR")</f>
        <v>1</v>
      </c>
      <c r="J9" s="7">
        <f>IF(Data!J9=Entry2!J9,Data!J9,"ERROR")</f>
        <v>1.5</v>
      </c>
      <c r="K9" s="7" t="str">
        <f>IF(Data!K9=Entry2!K9,Data!K9,"ERROR")</f>
        <v>STEDIE</v>
      </c>
      <c r="L9" s="7" t="str">
        <f>IF(Data!L9=Entry2!L9,Data!L9,"ERROR")</f>
        <v>ERROR</v>
      </c>
      <c r="M9" s="7">
        <f>IF(Data!N9=Entry2!M9,Data!N9,"ERROR")</f>
        <v>0</v>
      </c>
    </row>
    <row r="10" spans="1:13" ht="13.2" hidden="1" x14ac:dyDescent="0.25">
      <c r="A10" s="7">
        <f>IF(Data!A10=Entry2!A10,Data!A10,"ERROR")</f>
        <v>1</v>
      </c>
      <c r="B10" s="7">
        <f>IF(Data!B10=Entry2!B10,Data!B10,"ERROR")</f>
        <v>2023</v>
      </c>
      <c r="C10" s="17">
        <f>IF(Data!C10=Entry2!C10,Data!C10,"ERROR")</f>
        <v>45197</v>
      </c>
      <c r="D10" s="7" t="str">
        <f>IF(Data!D10=Entry2!D10,Data!D10,"ERROR")</f>
        <v>MG, TL</v>
      </c>
      <c r="E10" s="7" t="str">
        <f>IF(Data!E10=Entry2!E10,Data!E10,"ERROR")</f>
        <v>GB</v>
      </c>
      <c r="F10" s="7">
        <f>IF(Data!F10=Entry2!F10,Data!F10,"ERROR")</f>
        <v>1</v>
      </c>
      <c r="G10" s="7" t="str">
        <f>IF(Data!G10=Entry2!G10,Data!G10,"ERROR")</f>
        <v>SS</v>
      </c>
      <c r="H10" s="7">
        <f>IF(Data!H10=Entry2!H10,Data!H10,"ERROR")</f>
        <v>4</v>
      </c>
      <c r="I10" s="7">
        <f>IF(Data!I10=Entry2!I10,Data!I10,"ERROR")</f>
        <v>1</v>
      </c>
      <c r="J10" s="7">
        <f>IF(Data!J10=Entry2!J10,Data!J10,"ERROR")</f>
        <v>2</v>
      </c>
      <c r="K10" s="7" t="str">
        <f>IF(Data!K10=Entry2!K10,Data!K10,"ERROR")</f>
        <v>L</v>
      </c>
      <c r="L10" s="7" t="str">
        <f>IF(Data!L10=Entry2!L10,Data!L10,"ERROR")</f>
        <v>ERROR</v>
      </c>
      <c r="M10" s="7">
        <f>IF(Data!N10=Entry2!M10,Data!N10,"ERROR")</f>
        <v>0</v>
      </c>
    </row>
    <row r="11" spans="1:13" ht="13.2" hidden="1" x14ac:dyDescent="0.25">
      <c r="A11" s="7">
        <f>IF(Data!A11=Entry2!A11,Data!A11,"ERROR")</f>
        <v>1</v>
      </c>
      <c r="B11" s="7">
        <f>IF(Data!B11=Entry2!B11,Data!B11,"ERROR")</f>
        <v>2023</v>
      </c>
      <c r="C11" s="17">
        <f>IF(Data!C11=Entry2!C11,Data!C11,"ERROR")</f>
        <v>45197</v>
      </c>
      <c r="D11" s="7" t="str">
        <f>IF(Data!D11=Entry2!D11,Data!D11,"ERROR")</f>
        <v>MG, TL</v>
      </c>
      <c r="E11" s="7" t="str">
        <f>IF(Data!E11=Entry2!E11,Data!E11,"ERROR")</f>
        <v>GB</v>
      </c>
      <c r="F11" s="7">
        <f>IF(Data!F11=Entry2!F11,Data!F11,"ERROR")</f>
        <v>1</v>
      </c>
      <c r="G11" s="7" t="str">
        <f>IF(Data!G11=Entry2!G11,Data!G11,"ERROR")</f>
        <v>SS</v>
      </c>
      <c r="H11" s="7">
        <f>IF(Data!H11=Entry2!H11,Data!H11,"ERROR")</f>
        <v>4</v>
      </c>
      <c r="I11" s="7">
        <f>IF(Data!I11=Entry2!I11,Data!I11,"ERROR")</f>
        <v>1</v>
      </c>
      <c r="J11" s="7">
        <f>IF(Data!J11=Entry2!J11,Data!J11,"ERROR")</f>
        <v>2</v>
      </c>
      <c r="K11" s="7" t="str">
        <f>IF(Data!K11=Entry2!K11,Data!K11,"ERROR")</f>
        <v>STEDIE</v>
      </c>
      <c r="L11" s="7" t="str">
        <f>IF(Data!L11=Entry2!L11,Data!L11,"ERROR")</f>
        <v>ERROR</v>
      </c>
      <c r="M11" s="7">
        <f>IF(Data!N11=Entry2!M11,Data!N11,"ERROR")</f>
        <v>0</v>
      </c>
    </row>
    <row r="12" spans="1:13" ht="13.2" hidden="1" x14ac:dyDescent="0.25">
      <c r="A12" s="7">
        <f>IF(Data!A12=Entry2!A12,Data!A12,"ERROR")</f>
        <v>1</v>
      </c>
      <c r="B12" s="7">
        <f>IF(Data!B12=Entry2!B12,Data!B12,"ERROR")</f>
        <v>2023</v>
      </c>
      <c r="C12" s="17">
        <f>IF(Data!C12=Entry2!C12,Data!C12,"ERROR")</f>
        <v>45197</v>
      </c>
      <c r="D12" s="7" t="str">
        <f>IF(Data!D12=Entry2!D12,Data!D12,"ERROR")</f>
        <v>MG, TL</v>
      </c>
      <c r="E12" s="7" t="str">
        <f>IF(Data!E12=Entry2!E12,Data!E12,"ERROR")</f>
        <v>GB</v>
      </c>
      <c r="F12" s="7">
        <f>IF(Data!F12=Entry2!F12,Data!F12,"ERROR")</f>
        <v>1</v>
      </c>
      <c r="G12" s="7" t="str">
        <f>IF(Data!G12=Entry2!G12,Data!G12,"ERROR")</f>
        <v>SS</v>
      </c>
      <c r="H12" s="7">
        <f>IF(Data!H12=Entry2!H12,Data!H12,"ERROR")</f>
        <v>5</v>
      </c>
      <c r="I12" s="7">
        <f>IF(Data!I12=Entry2!I12,Data!I12,"ERROR")</f>
        <v>1</v>
      </c>
      <c r="J12" s="7">
        <f>IF(Data!J12=Entry2!J12,Data!J12,"ERROR")</f>
        <v>3</v>
      </c>
      <c r="K12" s="7" t="str">
        <f>IF(Data!K12=Entry2!K12,Data!K12,"ERROR")</f>
        <v>R</v>
      </c>
      <c r="L12" s="7" t="str">
        <f>IF(Data!L12=Entry2!L12,Data!L12,"ERROR")</f>
        <v>ERROR</v>
      </c>
      <c r="M12" s="7">
        <f>IF(Data!N12=Entry2!M12,Data!N12,"ERROR")</f>
        <v>0</v>
      </c>
    </row>
    <row r="13" spans="1:13" ht="13.2" hidden="1" x14ac:dyDescent="0.25">
      <c r="A13" s="7">
        <f>IF(Data!A13=Entry2!A13,Data!A13,"ERROR")</f>
        <v>1</v>
      </c>
      <c r="B13" s="7">
        <f>IF(Data!B13=Entry2!B13,Data!B13,"ERROR")</f>
        <v>2023</v>
      </c>
      <c r="C13" s="17">
        <f>IF(Data!C13=Entry2!C13,Data!C13,"ERROR")</f>
        <v>45197</v>
      </c>
      <c r="D13" s="7" t="str">
        <f>IF(Data!D13=Entry2!D13,Data!D13,"ERROR")</f>
        <v>MG, TL</v>
      </c>
      <c r="E13" s="7" t="str">
        <f>IF(Data!E13=Entry2!E13,Data!E13,"ERROR")</f>
        <v>GB</v>
      </c>
      <c r="F13" s="7">
        <f>IF(Data!F13=Entry2!F13,Data!F13,"ERROR")</f>
        <v>1</v>
      </c>
      <c r="G13" s="7" t="str">
        <f>IF(Data!G13=Entry2!G13,Data!G13,"ERROR")</f>
        <v>SS</v>
      </c>
      <c r="H13" s="7">
        <f>IF(Data!H13=Entry2!H13,Data!H13,"ERROR")</f>
        <v>6</v>
      </c>
      <c r="I13" s="7">
        <f>IF(Data!I13=Entry2!I13,Data!I13,"ERROR")</f>
        <v>1</v>
      </c>
      <c r="J13" s="7">
        <f>IF(Data!J13=Entry2!J13,Data!J13,"ERROR")</f>
        <v>3.5</v>
      </c>
      <c r="K13" s="7" t="str">
        <f>IF(Data!K13=Entry2!K13,Data!K13,"ERROR")</f>
        <v>R</v>
      </c>
      <c r="L13" s="7" t="str">
        <f>IF(Data!L13=Entry2!L13,Data!L13,"ERROR")</f>
        <v>ERROR</v>
      </c>
      <c r="M13" s="7">
        <f>IF(Data!N13=Entry2!M13,Data!N13,"ERROR")</f>
        <v>0</v>
      </c>
    </row>
    <row r="14" spans="1:13" ht="13.2" hidden="1" x14ac:dyDescent="0.25">
      <c r="A14" s="7">
        <f>IF(Data!A14=Entry2!A14,Data!A14,"ERROR")</f>
        <v>1</v>
      </c>
      <c r="B14" s="7">
        <f>IF(Data!B14=Entry2!B14,Data!B14,"ERROR")</f>
        <v>2023</v>
      </c>
      <c r="C14" s="17">
        <f>IF(Data!C14=Entry2!C14,Data!C14,"ERROR")</f>
        <v>45197</v>
      </c>
      <c r="D14" s="7" t="str">
        <f>IF(Data!D14=Entry2!D14,Data!D14,"ERROR")</f>
        <v>MG, TL</v>
      </c>
      <c r="E14" s="7" t="str">
        <f>IF(Data!E14=Entry2!E14,Data!E14,"ERROR")</f>
        <v>GB</v>
      </c>
      <c r="F14" s="7">
        <f>IF(Data!F14=Entry2!F14,Data!F14,"ERROR")</f>
        <v>1</v>
      </c>
      <c r="G14" s="7" t="str">
        <f>IF(Data!G14=Entry2!G14,Data!G14,"ERROR")</f>
        <v>SS</v>
      </c>
      <c r="H14" s="7">
        <f>IF(Data!H14=Entry2!H14,Data!H14,"ERROR")</f>
        <v>6</v>
      </c>
      <c r="I14" s="7">
        <f>IF(Data!I14=Entry2!I14,Data!I14,"ERROR")</f>
        <v>1</v>
      </c>
      <c r="J14" s="7">
        <f>IF(Data!J14=Entry2!J14,Data!J14,"ERROR")</f>
        <v>3.5</v>
      </c>
      <c r="K14" s="7" t="str">
        <f>IF(Data!K14=Entry2!K14,Data!K14,"ERROR")</f>
        <v>NNG</v>
      </c>
      <c r="L14" s="7" t="str">
        <f>IF(Data!L14=Entry2!L14,Data!L14,"ERROR")</f>
        <v>ERROR</v>
      </c>
      <c r="M14" s="7">
        <f>IF(Data!N14=Entry2!M14,Data!N14,"ERROR")</f>
        <v>0</v>
      </c>
    </row>
    <row r="15" spans="1:13" ht="13.2" hidden="1" x14ac:dyDescent="0.25">
      <c r="A15" s="7">
        <f>IF(Data!A15=Entry2!A15,Data!A15,"ERROR")</f>
        <v>1</v>
      </c>
      <c r="B15" s="7">
        <f>IF(Data!B15=Entry2!B15,Data!B15,"ERROR")</f>
        <v>2023</v>
      </c>
      <c r="C15" s="17">
        <f>IF(Data!C15=Entry2!C15,Data!C15,"ERROR")</f>
        <v>45197</v>
      </c>
      <c r="D15" s="7" t="str">
        <f>IF(Data!D15=Entry2!D15,Data!D15,"ERROR")</f>
        <v>MG, TL</v>
      </c>
      <c r="E15" s="7" t="str">
        <f>IF(Data!E15=Entry2!E15,Data!E15,"ERROR")</f>
        <v>GB</v>
      </c>
      <c r="F15" s="7">
        <f>IF(Data!F15=Entry2!F15,Data!F15,"ERROR")</f>
        <v>1</v>
      </c>
      <c r="G15" s="7" t="str">
        <f>IF(Data!G15=Entry2!G15,Data!G15,"ERROR")</f>
        <v>SS</v>
      </c>
      <c r="H15" s="7">
        <f>IF(Data!H15=Entry2!H15,Data!H15,"ERROR")</f>
        <v>6</v>
      </c>
      <c r="I15" s="7">
        <f>IF(Data!I15=Entry2!I15,Data!I15,"ERROR")</f>
        <v>1</v>
      </c>
      <c r="J15" s="7">
        <f>IF(Data!J15=Entry2!J15,Data!J15,"ERROR")</f>
        <v>3.5</v>
      </c>
      <c r="K15" s="7" t="str">
        <f>IF(Data!K15=Entry2!K15,Data!K15,"ERROR")</f>
        <v>STEDIE</v>
      </c>
      <c r="L15" s="7" t="str">
        <f>IF(Data!L15=Entry2!L15,Data!L15,"ERROR")</f>
        <v>ERROR</v>
      </c>
      <c r="M15" s="7">
        <f>IF(Data!N15=Entry2!M15,Data!N15,"ERROR")</f>
        <v>0</v>
      </c>
    </row>
    <row r="16" spans="1:13" ht="13.2" hidden="1" x14ac:dyDescent="0.25">
      <c r="A16" s="7">
        <f>IF(Data!A16=Entry2!A16,Data!A16,"ERROR")</f>
        <v>1</v>
      </c>
      <c r="B16" s="7">
        <f>IF(Data!B16=Entry2!B16,Data!B16,"ERROR")</f>
        <v>2023</v>
      </c>
      <c r="C16" s="17">
        <f>IF(Data!C16=Entry2!C16,Data!C16,"ERROR")</f>
        <v>45197</v>
      </c>
      <c r="D16" s="7" t="str">
        <f>IF(Data!D16=Entry2!D16,Data!D16,"ERROR")</f>
        <v>MG, TL</v>
      </c>
      <c r="E16" s="7" t="str">
        <f>IF(Data!E16=Entry2!E16,Data!E16,"ERROR")</f>
        <v>GB</v>
      </c>
      <c r="F16" s="7">
        <f>IF(Data!F16=Entry2!F16,Data!F16,"ERROR")</f>
        <v>1</v>
      </c>
      <c r="G16" s="7" t="str">
        <f>IF(Data!G16=Entry2!G16,Data!G16,"ERROR")</f>
        <v>SS</v>
      </c>
      <c r="H16" s="7">
        <f>IF(Data!H16=Entry2!H16,Data!H16,"ERROR")</f>
        <v>7</v>
      </c>
      <c r="I16" s="7">
        <f>IF(Data!I16=Entry2!I16,Data!I16,"ERROR")</f>
        <v>1</v>
      </c>
      <c r="J16" s="7">
        <f>IF(Data!J16=Entry2!J16,Data!J16,"ERROR")</f>
        <v>4</v>
      </c>
      <c r="K16" s="7" t="str">
        <f>IF(Data!K16=Entry2!K16,Data!K16,"ERROR")</f>
        <v>L</v>
      </c>
      <c r="L16" s="7" t="str">
        <f>IF(Data!L16=Entry2!L16,Data!L16,"ERROR")</f>
        <v>ERROR</v>
      </c>
      <c r="M16" s="7">
        <f>IF(Data!N16=Entry2!M16,Data!N16,"ERROR")</f>
        <v>0</v>
      </c>
    </row>
    <row r="17" spans="1:13" ht="13.2" hidden="1" x14ac:dyDescent="0.25">
      <c r="A17" s="7">
        <f>IF(Data!A17=Entry2!A17,Data!A17,"ERROR")</f>
        <v>1</v>
      </c>
      <c r="B17" s="7">
        <f>IF(Data!B17=Entry2!B17,Data!B17,"ERROR")</f>
        <v>2023</v>
      </c>
      <c r="C17" s="17">
        <f>IF(Data!C17=Entry2!C17,Data!C17,"ERROR")</f>
        <v>45197</v>
      </c>
      <c r="D17" s="7" t="str">
        <f>IF(Data!D17=Entry2!D17,Data!D17,"ERROR")</f>
        <v>MG, TL</v>
      </c>
      <c r="E17" s="7" t="str">
        <f>IF(Data!E17=Entry2!E17,Data!E17,"ERROR")</f>
        <v>GB</v>
      </c>
      <c r="F17" s="7">
        <f>IF(Data!F17=Entry2!F17,Data!F17,"ERROR")</f>
        <v>1</v>
      </c>
      <c r="G17" s="7" t="str">
        <f>IF(Data!G17=Entry2!G17,Data!G17,"ERROR")</f>
        <v>SS</v>
      </c>
      <c r="H17" s="7">
        <f>IF(Data!H17=Entry2!H17,Data!H17,"ERROR")</f>
        <v>8</v>
      </c>
      <c r="I17" s="7">
        <f>IF(Data!I17=Entry2!I17,Data!I17,"ERROR")</f>
        <v>1</v>
      </c>
      <c r="J17" s="7">
        <f>IF(Data!J17=Entry2!J17,Data!J17,"ERROR")</f>
        <v>5</v>
      </c>
      <c r="K17" s="7" t="str">
        <f>IF(Data!K17=Entry2!K17,Data!K17,"ERROR")</f>
        <v>L</v>
      </c>
      <c r="L17" s="7" t="str">
        <f>IF(Data!L17=Entry2!L17,Data!L17,"ERROR")</f>
        <v>ERROR</v>
      </c>
      <c r="M17" s="7">
        <f>IF(Data!N17=Entry2!M17,Data!N17,"ERROR")</f>
        <v>0</v>
      </c>
    </row>
    <row r="18" spans="1:13" ht="13.2" hidden="1" x14ac:dyDescent="0.25">
      <c r="A18" s="7">
        <f>IF(Data!A18=Entry2!A18,Data!A18,"ERROR")</f>
        <v>1</v>
      </c>
      <c r="B18" s="7">
        <f>IF(Data!B18=Entry2!B18,Data!B18,"ERROR")</f>
        <v>2023</v>
      </c>
      <c r="C18" s="17">
        <f>IF(Data!C18=Entry2!C18,Data!C18,"ERROR")</f>
        <v>45197</v>
      </c>
      <c r="D18" s="7" t="str">
        <f>IF(Data!D18=Entry2!D18,Data!D18,"ERROR")</f>
        <v>MG, TL</v>
      </c>
      <c r="E18" s="7" t="str">
        <f>IF(Data!E18=Entry2!E18,Data!E18,"ERROR")</f>
        <v>GB</v>
      </c>
      <c r="F18" s="7">
        <f>IF(Data!F18=Entry2!F18,Data!F18,"ERROR")</f>
        <v>1</v>
      </c>
      <c r="G18" s="7" t="str">
        <f>IF(Data!G18=Entry2!G18,Data!G18,"ERROR")</f>
        <v>SS</v>
      </c>
      <c r="H18" s="7">
        <f>IF(Data!H18=Entry2!H18,Data!H18,"ERROR")</f>
        <v>9</v>
      </c>
      <c r="I18" s="7">
        <f>IF(Data!I18=Entry2!I18,Data!I18,"ERROR")</f>
        <v>1</v>
      </c>
      <c r="J18" s="7">
        <f>IF(Data!J18=Entry2!J18,Data!J18,"ERROR")</f>
        <v>7</v>
      </c>
      <c r="K18" s="7" t="str">
        <f>IF(Data!K18=Entry2!K18,Data!K18,"ERROR")</f>
        <v>L</v>
      </c>
      <c r="L18" s="7" t="str">
        <f>IF(Data!L18=Entry2!L18,Data!L18,"ERROR")</f>
        <v>ERROR</v>
      </c>
      <c r="M18" s="7">
        <f>IF(Data!N18=Entry2!M18,Data!N18,"ERROR")</f>
        <v>0</v>
      </c>
    </row>
    <row r="19" spans="1:13" ht="13.2" hidden="1" x14ac:dyDescent="0.25">
      <c r="A19" s="7">
        <f>IF(Data!A19=Entry2!A19,Data!A19,"ERROR")</f>
        <v>1</v>
      </c>
      <c r="B19" s="7">
        <f>IF(Data!B19=Entry2!B19,Data!B19,"ERROR")</f>
        <v>2023</v>
      </c>
      <c r="C19" s="17">
        <f>IF(Data!C19=Entry2!C19,Data!C19,"ERROR")</f>
        <v>45197</v>
      </c>
      <c r="D19" s="7" t="str">
        <f>IF(Data!D19=Entry2!D19,Data!D19,"ERROR")</f>
        <v>MG, TL</v>
      </c>
      <c r="E19" s="7" t="str">
        <f>IF(Data!E19=Entry2!E19,Data!E19,"ERROR")</f>
        <v>GB</v>
      </c>
      <c r="F19" s="7">
        <f>IF(Data!F19=Entry2!F19,Data!F19,"ERROR")</f>
        <v>1</v>
      </c>
      <c r="G19" s="7" t="str">
        <f>IF(Data!G19=Entry2!G19,Data!G19,"ERROR")</f>
        <v>SS</v>
      </c>
      <c r="H19" s="7">
        <f>IF(Data!H19=Entry2!H19,Data!H19,"ERROR")</f>
        <v>9</v>
      </c>
      <c r="I19" s="7">
        <f>IF(Data!I19=Entry2!I19,Data!I19,"ERROR")</f>
        <v>1</v>
      </c>
      <c r="J19" s="7">
        <f>IF(Data!J19=Entry2!J19,Data!J19,"ERROR")</f>
        <v>7</v>
      </c>
      <c r="K19" s="7" t="str">
        <f>IF(Data!K19=Entry2!K19,Data!K19,"ERROR")</f>
        <v>STEDIE</v>
      </c>
      <c r="L19" s="7" t="str">
        <f>IF(Data!L19=Entry2!L19,Data!L19,"ERROR")</f>
        <v>ERROR</v>
      </c>
      <c r="M19" s="7">
        <f>IF(Data!N19=Entry2!M19,Data!N19,"ERROR")</f>
        <v>0</v>
      </c>
    </row>
    <row r="20" spans="1:13" ht="13.2" hidden="1" x14ac:dyDescent="0.25">
      <c r="A20" s="7">
        <f>IF(Data!A20=Entry2!A20,Data!A20,"ERROR")</f>
        <v>1</v>
      </c>
      <c r="B20" s="7">
        <f>IF(Data!B20=Entry2!B20,Data!B20,"ERROR")</f>
        <v>2023</v>
      </c>
      <c r="C20" s="17">
        <f>IF(Data!C20=Entry2!C20,Data!C20,"ERROR")</f>
        <v>45197</v>
      </c>
      <c r="D20" s="7" t="str">
        <f>IF(Data!D20=Entry2!D20,Data!D20,"ERROR")</f>
        <v>MG, TL</v>
      </c>
      <c r="E20" s="7" t="str">
        <f>IF(Data!E20=Entry2!E20,Data!E20,"ERROR")</f>
        <v>GB</v>
      </c>
      <c r="F20" s="7">
        <f>IF(Data!F20=Entry2!F20,Data!F20,"ERROR")</f>
        <v>1</v>
      </c>
      <c r="G20" s="7" t="str">
        <f>IF(Data!G20=Entry2!G20,Data!G20,"ERROR")</f>
        <v>SS</v>
      </c>
      <c r="H20" s="7">
        <f>IF(Data!H20=Entry2!H20,Data!H20,"ERROR")</f>
        <v>10</v>
      </c>
      <c r="I20" s="7">
        <f>IF(Data!I20=Entry2!I20,Data!I20,"ERROR")</f>
        <v>1</v>
      </c>
      <c r="J20" s="7">
        <f>IF(Data!J20=Entry2!J20,Data!J20,"ERROR")</f>
        <v>8</v>
      </c>
      <c r="K20" s="7" t="str">
        <f>IF(Data!K20=Entry2!K20,Data!K20,"ERROR")</f>
        <v>L</v>
      </c>
      <c r="L20" s="7" t="str">
        <f>IF(Data!L20=Entry2!L20,Data!L20,"ERROR")</f>
        <v>ERROR</v>
      </c>
      <c r="M20" s="7">
        <f>IF(Data!N20=Entry2!M20,Data!N20,"ERROR")</f>
        <v>0</v>
      </c>
    </row>
    <row r="21" spans="1:13" ht="13.2" hidden="1" x14ac:dyDescent="0.25">
      <c r="A21" s="7">
        <f>IF(Data!A21=Entry2!A21,Data!A21,"ERROR")</f>
        <v>1</v>
      </c>
      <c r="B21" s="7">
        <f>IF(Data!B21=Entry2!B21,Data!B21,"ERROR")</f>
        <v>2023</v>
      </c>
      <c r="C21" s="17">
        <f>IF(Data!C21=Entry2!C21,Data!C21,"ERROR")</f>
        <v>45197</v>
      </c>
      <c r="D21" s="7" t="str">
        <f>IF(Data!D21=Entry2!D21,Data!D21,"ERROR")</f>
        <v>MG, TL</v>
      </c>
      <c r="E21" s="7" t="str">
        <f>IF(Data!E21=Entry2!E21,Data!E21,"ERROR")</f>
        <v>GB</v>
      </c>
      <c r="F21" s="7">
        <f>IF(Data!F21=Entry2!F21,Data!F21,"ERROR")</f>
        <v>1</v>
      </c>
      <c r="G21" s="7" t="str">
        <f>IF(Data!G21=Entry2!G21,Data!G21,"ERROR")</f>
        <v>SS</v>
      </c>
      <c r="H21" s="7">
        <f>IF(Data!H21=Entry2!H21,Data!H21,"ERROR")</f>
        <v>10</v>
      </c>
      <c r="I21" s="7">
        <f>IF(Data!I21=Entry2!I21,Data!I21,"ERROR")</f>
        <v>1</v>
      </c>
      <c r="J21" s="7">
        <f>IF(Data!J21=Entry2!J21,Data!J21,"ERROR")</f>
        <v>8</v>
      </c>
      <c r="K21" s="7" t="str">
        <f>IF(Data!K21=Entry2!K21,Data!K21,"ERROR")</f>
        <v>STEDIE</v>
      </c>
      <c r="L21" s="7" t="str">
        <f>IF(Data!L21=Entry2!L21,Data!L21,"ERROR")</f>
        <v>ERROR</v>
      </c>
      <c r="M21" s="7">
        <f>IF(Data!N21=Entry2!M21,Data!N21,"ERROR")</f>
        <v>0</v>
      </c>
    </row>
    <row r="22" spans="1:13" ht="13.2" hidden="1" x14ac:dyDescent="0.25">
      <c r="A22" s="7">
        <f>IF(Data!A22=Entry2!A22,Data!A22,"ERROR")</f>
        <v>1</v>
      </c>
      <c r="B22" s="7">
        <f>IF(Data!B22=Entry2!B22,Data!B22,"ERROR")</f>
        <v>2023</v>
      </c>
      <c r="C22" s="17">
        <f>IF(Data!C22=Entry2!C22,Data!C22,"ERROR")</f>
        <v>45197</v>
      </c>
      <c r="D22" s="7" t="str">
        <f>IF(Data!D22=Entry2!D22,Data!D22,"ERROR")</f>
        <v>MG, TL</v>
      </c>
      <c r="E22" s="7" t="str">
        <f>IF(Data!E22=Entry2!E22,Data!E22,"ERROR")</f>
        <v>GB</v>
      </c>
      <c r="F22" s="7">
        <f>IF(Data!F22=Entry2!F22,Data!F22,"ERROR")</f>
        <v>1</v>
      </c>
      <c r="G22" s="7" t="str">
        <f>IF(Data!G22=Entry2!G22,Data!G22,"ERROR")</f>
        <v>SS</v>
      </c>
      <c r="H22" s="7">
        <f>IF(Data!H22=Entry2!H22,Data!H22,"ERROR")</f>
        <v>11</v>
      </c>
      <c r="I22" s="7">
        <f>IF(Data!I22=Entry2!I22,Data!I22,"ERROR")</f>
        <v>1</v>
      </c>
      <c r="J22" s="7">
        <f>IF(Data!J22=Entry2!J22,Data!J22,"ERROR")</f>
        <v>8.5</v>
      </c>
      <c r="K22" s="7" t="str">
        <f>IF(Data!K22=Entry2!K22,Data!K22,"ERROR")</f>
        <v>L</v>
      </c>
      <c r="L22" s="7" t="str">
        <f>IF(Data!L22=Entry2!L22,Data!L22,"ERROR")</f>
        <v>ERROR</v>
      </c>
      <c r="M22" s="7">
        <f>IF(Data!N22=Entry2!M22,Data!N22,"ERROR")</f>
        <v>0</v>
      </c>
    </row>
    <row r="23" spans="1:13" ht="13.2" hidden="1" x14ac:dyDescent="0.25">
      <c r="A23" s="7">
        <f>IF(Data!A23=Entry2!A23,Data!A23,"ERROR")</f>
        <v>1</v>
      </c>
      <c r="B23" s="7">
        <f>IF(Data!B23=Entry2!B23,Data!B23,"ERROR")</f>
        <v>2023</v>
      </c>
      <c r="C23" s="17">
        <f>IF(Data!C23=Entry2!C23,Data!C23,"ERROR")</f>
        <v>45197</v>
      </c>
      <c r="D23" s="7" t="str">
        <f>IF(Data!D23=Entry2!D23,Data!D23,"ERROR")</f>
        <v>MG, TL</v>
      </c>
      <c r="E23" s="7" t="str">
        <f>IF(Data!E23=Entry2!E23,Data!E23,"ERROR")</f>
        <v>GB</v>
      </c>
      <c r="F23" s="7">
        <f>IF(Data!F23=Entry2!F23,Data!F23,"ERROR")</f>
        <v>1</v>
      </c>
      <c r="G23" s="7" t="str">
        <f>IF(Data!G23=Entry2!G23,Data!G23,"ERROR")</f>
        <v>SS</v>
      </c>
      <c r="H23" s="7">
        <f>IF(Data!H23=Entry2!H23,Data!H23,"ERROR")</f>
        <v>11</v>
      </c>
      <c r="I23" s="7">
        <f>IF(Data!I23=Entry2!I23,Data!I23,"ERROR")</f>
        <v>1</v>
      </c>
      <c r="J23" s="7">
        <f>IF(Data!J23=Entry2!J23,Data!J23,"ERROR")</f>
        <v>8.5</v>
      </c>
      <c r="K23" s="7" t="str">
        <f>IF(Data!K23=Entry2!K23,Data!K23,"ERROR")</f>
        <v>STEDIE</v>
      </c>
      <c r="L23" s="7" t="str">
        <f>IF(Data!L23=Entry2!L23,Data!L23,"ERROR")</f>
        <v>ERROR</v>
      </c>
      <c r="M23" s="7">
        <f>IF(Data!N23=Entry2!M23,Data!N23,"ERROR")</f>
        <v>0</v>
      </c>
    </row>
    <row r="24" spans="1:13" ht="13.2" hidden="1" x14ac:dyDescent="0.25">
      <c r="A24" s="7">
        <f>IF(Data!A24=Entry2!A24,Data!A24,"ERROR")</f>
        <v>1</v>
      </c>
      <c r="B24" s="7">
        <f>IF(Data!B24=Entry2!B24,Data!B24,"ERROR")</f>
        <v>2023</v>
      </c>
      <c r="C24" s="17">
        <f>IF(Data!C24=Entry2!C24,Data!C24,"ERROR")</f>
        <v>45197</v>
      </c>
      <c r="D24" s="7" t="str">
        <f>IF(Data!D24=Entry2!D24,Data!D24,"ERROR")</f>
        <v>MG, TL</v>
      </c>
      <c r="E24" s="7" t="str">
        <f>IF(Data!E24=Entry2!E24,Data!E24,"ERROR")</f>
        <v>GB</v>
      </c>
      <c r="F24" s="7">
        <f>IF(Data!F24=Entry2!F24,Data!F24,"ERROR")</f>
        <v>1</v>
      </c>
      <c r="G24" s="7" t="str">
        <f>IF(Data!G24=Entry2!G24,Data!G24,"ERROR")</f>
        <v>SS</v>
      </c>
      <c r="H24" s="7">
        <f>IF(Data!H24=Entry2!H24,Data!H24,"ERROR")</f>
        <v>12</v>
      </c>
      <c r="I24" s="7">
        <f>IF(Data!I24=Entry2!I24,Data!I24,"ERROR")</f>
        <v>1</v>
      </c>
      <c r="J24" s="7">
        <f>IF(Data!J24=Entry2!J24,Data!J24,"ERROR")</f>
        <v>9</v>
      </c>
      <c r="K24" s="7" t="str">
        <f>IF(Data!K24=Entry2!K24,Data!K24,"ERROR")</f>
        <v>L</v>
      </c>
      <c r="L24" s="7" t="str">
        <f>IF(Data!L24=Entry2!L24,Data!L24,"ERROR")</f>
        <v>ERROR</v>
      </c>
      <c r="M24" s="7">
        <f>IF(Data!N24=Entry2!M24,Data!N24,"ERROR")</f>
        <v>0</v>
      </c>
    </row>
    <row r="25" spans="1:13" ht="13.2" hidden="1" x14ac:dyDescent="0.25">
      <c r="A25" s="7">
        <f>IF(Data!A25=Entry2!A25,Data!A25,"ERROR")</f>
        <v>1</v>
      </c>
      <c r="B25" s="7">
        <f>IF(Data!B25=Entry2!B25,Data!B25,"ERROR")</f>
        <v>2023</v>
      </c>
      <c r="C25" s="17">
        <f>IF(Data!C25=Entry2!C25,Data!C25,"ERROR")</f>
        <v>45197</v>
      </c>
      <c r="D25" s="7" t="str">
        <f>IF(Data!D25=Entry2!D25,Data!D25,"ERROR")</f>
        <v>MG, TL</v>
      </c>
      <c r="E25" s="7" t="str">
        <f>IF(Data!E25=Entry2!E25,Data!E25,"ERROR")</f>
        <v>GB</v>
      </c>
      <c r="F25" s="7">
        <f>IF(Data!F25=Entry2!F25,Data!F25,"ERROR")</f>
        <v>1</v>
      </c>
      <c r="G25" s="7" t="str">
        <f>IF(Data!G25=Entry2!G25,Data!G25,"ERROR")</f>
        <v>SS</v>
      </c>
      <c r="H25" s="7">
        <f>IF(Data!H25=Entry2!H25,Data!H25,"ERROR")</f>
        <v>12</v>
      </c>
      <c r="I25" s="7">
        <f>IF(Data!I25=Entry2!I25,Data!I25,"ERROR")</f>
        <v>1</v>
      </c>
      <c r="J25" s="7">
        <f>IF(Data!J25=Entry2!J25,Data!J25,"ERROR")</f>
        <v>9</v>
      </c>
      <c r="K25" s="7" t="str">
        <f>IF(Data!K25=Entry2!K25,Data!K25,"ERROR")</f>
        <v>STEDIE</v>
      </c>
      <c r="L25" s="7" t="str">
        <f>IF(Data!L25=Entry2!L25,Data!L25,"ERROR")</f>
        <v>ERROR</v>
      </c>
      <c r="M25" s="7">
        <f>IF(Data!N25=Entry2!M25,Data!N25,"ERROR")</f>
        <v>0</v>
      </c>
    </row>
    <row r="26" spans="1:13" ht="13.2" hidden="1" x14ac:dyDescent="0.25">
      <c r="A26" s="7">
        <f>IF(Data!A26=Entry2!A26,Data!A26,"ERROR")</f>
        <v>1</v>
      </c>
      <c r="B26" s="7">
        <f>IF(Data!B26=Entry2!B26,Data!B26,"ERROR")</f>
        <v>2023</v>
      </c>
      <c r="C26" s="17">
        <f>IF(Data!C26=Entry2!C26,Data!C26,"ERROR")</f>
        <v>45197</v>
      </c>
      <c r="D26" s="7" t="str">
        <f>IF(Data!D26=Entry2!D26,Data!D26,"ERROR")</f>
        <v>MG, TL</v>
      </c>
      <c r="E26" s="7" t="str">
        <f>IF(Data!E26=Entry2!E26,Data!E26,"ERROR")</f>
        <v>GB</v>
      </c>
      <c r="F26" s="7">
        <f>IF(Data!F26=Entry2!F26,Data!F26,"ERROR")</f>
        <v>1</v>
      </c>
      <c r="G26" s="7" t="str">
        <f>IF(Data!G26=Entry2!G26,Data!G26,"ERROR")</f>
        <v>SS</v>
      </c>
      <c r="H26" s="7">
        <f>IF(Data!H26=Entry2!H26,Data!H26,"ERROR")</f>
        <v>13</v>
      </c>
      <c r="I26" s="7">
        <f>IF(Data!I26=Entry2!I26,Data!I26,"ERROR")</f>
        <v>1</v>
      </c>
      <c r="J26" s="7">
        <f>IF(Data!J26=Entry2!J26,Data!J26,"ERROR")</f>
        <v>10</v>
      </c>
      <c r="K26" s="7" t="str">
        <f>IF(Data!K26=Entry2!K26,Data!K26,"ERROR")</f>
        <v>L</v>
      </c>
      <c r="L26" s="7" t="str">
        <f>IF(Data!L26=Entry2!L26,Data!L26,"ERROR")</f>
        <v>ERROR</v>
      </c>
      <c r="M26" s="7">
        <f>IF(Data!N26=Entry2!M26,Data!N26,"ERROR")</f>
        <v>0</v>
      </c>
    </row>
    <row r="27" spans="1:13" ht="13.2" hidden="1" x14ac:dyDescent="0.25">
      <c r="A27" s="7">
        <f>IF(Data!A27=Entry2!A27,Data!A27,"ERROR")</f>
        <v>1</v>
      </c>
      <c r="B27" s="7">
        <f>IF(Data!B27=Entry2!B27,Data!B27,"ERROR")</f>
        <v>2023</v>
      </c>
      <c r="C27" s="17">
        <f>IF(Data!C27=Entry2!C27,Data!C27,"ERROR")</f>
        <v>45197</v>
      </c>
      <c r="D27" s="7" t="str">
        <f>IF(Data!D27=Entry2!D27,Data!D27,"ERROR")</f>
        <v>MG, TL</v>
      </c>
      <c r="E27" s="7" t="str">
        <f>IF(Data!E27=Entry2!E27,Data!E27,"ERROR")</f>
        <v>GB</v>
      </c>
      <c r="F27" s="7">
        <f>IF(Data!F27=Entry2!F27,Data!F27,"ERROR")</f>
        <v>1</v>
      </c>
      <c r="G27" s="7" t="str">
        <f>IF(Data!G27=Entry2!G27,Data!G27,"ERROR")</f>
        <v>SS</v>
      </c>
      <c r="H27" s="7">
        <f>IF(Data!H27=Entry2!H27,Data!H27,"ERROR")</f>
        <v>13</v>
      </c>
      <c r="I27" s="7">
        <f>IF(Data!I27=Entry2!I27,Data!I27,"ERROR")</f>
        <v>1</v>
      </c>
      <c r="J27" s="7">
        <f>IF(Data!J27=Entry2!J27,Data!J27,"ERROR")</f>
        <v>10</v>
      </c>
      <c r="K27" s="7" t="str">
        <f>IF(Data!K27=Entry2!K27,Data!K27,"ERROR")</f>
        <v>STEDIE</v>
      </c>
      <c r="L27" s="7" t="str">
        <f>IF(Data!L27=Entry2!L27,Data!L27,"ERROR")</f>
        <v>ERROR</v>
      </c>
      <c r="M27" s="7">
        <f>IF(Data!N27=Entry2!M27,Data!N27,"ERROR")</f>
        <v>0</v>
      </c>
    </row>
    <row r="28" spans="1:13" ht="13.2" hidden="1" x14ac:dyDescent="0.25">
      <c r="A28" s="7">
        <f>IF(Data!A28=Entry2!A28,Data!A28,"ERROR")</f>
        <v>1</v>
      </c>
      <c r="B28" s="7">
        <f>IF(Data!B28=Entry2!B28,Data!B28,"ERROR")</f>
        <v>2023</v>
      </c>
      <c r="C28" s="17">
        <f>IF(Data!C28=Entry2!C28,Data!C28,"ERROR")</f>
        <v>45197</v>
      </c>
      <c r="D28" s="7" t="str">
        <f>IF(Data!D28=Entry2!D28,Data!D28,"ERROR")</f>
        <v>MG, TL</v>
      </c>
      <c r="E28" s="7" t="str">
        <f>IF(Data!E28=Entry2!E28,Data!E28,"ERROR")</f>
        <v>GB</v>
      </c>
      <c r="F28" s="7">
        <f>IF(Data!F28=Entry2!F28,Data!F28,"ERROR")</f>
        <v>1</v>
      </c>
      <c r="G28" s="7" t="str">
        <f>IF(Data!G28=Entry2!G28,Data!G28,"ERROR")</f>
        <v>SS</v>
      </c>
      <c r="H28" s="7">
        <f>IF(Data!H28=Entry2!H28,Data!H28,"ERROR")</f>
        <v>14</v>
      </c>
      <c r="I28" s="7">
        <f>IF(Data!I28=Entry2!I28,Data!I28,"ERROR")</f>
        <v>1</v>
      </c>
      <c r="J28" s="7">
        <f>IF(Data!J28=Entry2!J28,Data!J28,"ERROR")</f>
        <v>11</v>
      </c>
      <c r="K28" s="7" t="str">
        <f>IF(Data!K28=Entry2!K28,Data!K28,"ERROR")</f>
        <v>L</v>
      </c>
      <c r="L28" s="7" t="str">
        <f>IF(Data!L28=Entry2!L28,Data!L28,"ERROR")</f>
        <v>ERROR</v>
      </c>
      <c r="M28" s="7">
        <f>IF(Data!N28=Entry2!M28,Data!N28,"ERROR")</f>
        <v>0</v>
      </c>
    </row>
    <row r="29" spans="1:13" ht="13.2" hidden="1" x14ac:dyDescent="0.25">
      <c r="A29" s="7">
        <f>IF(Data!A29=Entry2!A29,Data!A29,"ERROR")</f>
        <v>1</v>
      </c>
      <c r="B29" s="7">
        <f>IF(Data!B29=Entry2!B29,Data!B29,"ERROR")</f>
        <v>2023</v>
      </c>
      <c r="C29" s="17">
        <f>IF(Data!C29=Entry2!C29,Data!C29,"ERROR")</f>
        <v>45197</v>
      </c>
      <c r="D29" s="7" t="str">
        <f>IF(Data!D29=Entry2!D29,Data!D29,"ERROR")</f>
        <v>MG, TL</v>
      </c>
      <c r="E29" s="7" t="str">
        <f>IF(Data!E29=Entry2!E29,Data!E29,"ERROR")</f>
        <v>GB</v>
      </c>
      <c r="F29" s="7">
        <f>IF(Data!F29=Entry2!F29,Data!F29,"ERROR")</f>
        <v>1</v>
      </c>
      <c r="G29" s="7" t="str">
        <f>IF(Data!G29=Entry2!G29,Data!G29,"ERROR")</f>
        <v>SS</v>
      </c>
      <c r="H29" s="7">
        <f>IF(Data!H29=Entry2!H29,Data!H29,"ERROR")</f>
        <v>15</v>
      </c>
      <c r="I29" s="7">
        <f>IF(Data!I29=Entry2!I29,Data!I29,"ERROR")</f>
        <v>1</v>
      </c>
      <c r="J29" s="7">
        <f>IF(Data!J29=Entry2!J29,Data!J29,"ERROR")</f>
        <v>12</v>
      </c>
      <c r="K29" s="7" t="str">
        <f>IF(Data!K29=Entry2!K29,Data!K29,"ERROR")</f>
        <v>L</v>
      </c>
      <c r="L29" s="7" t="str">
        <f>IF(Data!L29=Entry2!L29,Data!L29,"ERROR")</f>
        <v>ERROR</v>
      </c>
      <c r="M29" s="7">
        <f>IF(Data!N29=Entry2!M29,Data!N29,"ERROR")</f>
        <v>0</v>
      </c>
    </row>
    <row r="30" spans="1:13" ht="13.2" hidden="1" x14ac:dyDescent="0.25">
      <c r="A30" s="7">
        <f>IF(Data!A30=Entry2!A30,Data!A30,"ERROR")</f>
        <v>1</v>
      </c>
      <c r="B30" s="7">
        <f>IF(Data!B30=Entry2!B30,Data!B30,"ERROR")</f>
        <v>2023</v>
      </c>
      <c r="C30" s="17">
        <f>IF(Data!C30=Entry2!C30,Data!C30,"ERROR")</f>
        <v>45197</v>
      </c>
      <c r="D30" s="7" t="str">
        <f>IF(Data!D30=Entry2!D30,Data!D30,"ERROR")</f>
        <v>MG, TL</v>
      </c>
      <c r="E30" s="7" t="str">
        <f>IF(Data!E30=Entry2!E30,Data!E30,"ERROR")</f>
        <v>GB</v>
      </c>
      <c r="F30" s="7">
        <f>IF(Data!F30=Entry2!F30,Data!F30,"ERROR")</f>
        <v>1</v>
      </c>
      <c r="G30" s="7" t="str">
        <f>IF(Data!G30=Entry2!G30,Data!G30,"ERROR")</f>
        <v>SS</v>
      </c>
      <c r="H30" s="7">
        <f>IF(Data!H30=Entry2!H30,Data!H30,"ERROR")</f>
        <v>1</v>
      </c>
      <c r="I30" s="7">
        <f>IF(Data!I30=Entry2!I30,Data!I30,"ERROR")</f>
        <v>2</v>
      </c>
      <c r="J30" s="7">
        <f>IF(Data!J30=Entry2!J30,Data!J30,"ERROR")</f>
        <v>0</v>
      </c>
      <c r="K30" s="7" t="str">
        <f>IF(Data!K30=Entry2!K30,Data!K30,"ERROR")</f>
        <v>L</v>
      </c>
      <c r="L30" s="7" t="str">
        <f>IF(Data!L30=Entry2!L30,Data!L30,"ERROR")</f>
        <v>ERROR</v>
      </c>
      <c r="M30" s="7">
        <f>IF(Data!N30=Entry2!M30,Data!N30,"ERROR")</f>
        <v>0</v>
      </c>
    </row>
    <row r="31" spans="1:13" ht="13.2" hidden="1" x14ac:dyDescent="0.25">
      <c r="A31" s="7">
        <f>IF(Data!A31=Entry2!A31,Data!A31,"ERROR")</f>
        <v>1</v>
      </c>
      <c r="B31" s="7">
        <f>IF(Data!B31=Entry2!B31,Data!B31,"ERROR")</f>
        <v>2023</v>
      </c>
      <c r="C31" s="17">
        <f>IF(Data!C31=Entry2!C31,Data!C31,"ERROR")</f>
        <v>45197</v>
      </c>
      <c r="D31" s="7" t="str">
        <f>IF(Data!D31=Entry2!D31,Data!D31,"ERROR")</f>
        <v>MG, TL</v>
      </c>
      <c r="E31" s="7" t="str">
        <f>IF(Data!E31=Entry2!E31,Data!E31,"ERROR")</f>
        <v>GB</v>
      </c>
      <c r="F31" s="7">
        <f>IF(Data!F31=Entry2!F31,Data!F31,"ERROR")</f>
        <v>1</v>
      </c>
      <c r="G31" s="7" t="str">
        <f>IF(Data!G31=Entry2!G31,Data!G31,"ERROR")</f>
        <v>SS</v>
      </c>
      <c r="H31" s="7">
        <f>IF(Data!H31=Entry2!H31,Data!H31,"ERROR")</f>
        <v>1</v>
      </c>
      <c r="I31" s="7">
        <f>IF(Data!I31=Entry2!I31,Data!I31,"ERROR")</f>
        <v>2</v>
      </c>
      <c r="J31" s="7">
        <f>IF(Data!J31=Entry2!J31,Data!J31,"ERROR")</f>
        <v>0</v>
      </c>
      <c r="K31" s="7" t="str">
        <f>IF(Data!K31=Entry2!K31,Data!K31,"ERROR")</f>
        <v>CYLPRO</v>
      </c>
      <c r="L31" s="7" t="str">
        <f>IF(Data!L31=Entry2!L31,Data!L31,"ERROR")</f>
        <v>ERROR</v>
      </c>
      <c r="M31" s="7">
        <f>IF(Data!N31=Entry2!M31,Data!N31,"ERROR")</f>
        <v>0</v>
      </c>
    </row>
    <row r="32" spans="1:13" ht="13.2" hidden="1" x14ac:dyDescent="0.25">
      <c r="A32" s="7">
        <f>IF(Data!A32=Entry2!A32,Data!A32,"ERROR")</f>
        <v>1</v>
      </c>
      <c r="B32" s="7">
        <f>IF(Data!B32=Entry2!B32,Data!B32,"ERROR")</f>
        <v>2023</v>
      </c>
      <c r="C32" s="17">
        <f>IF(Data!C32=Entry2!C32,Data!C32,"ERROR")</f>
        <v>45197</v>
      </c>
      <c r="D32" s="7" t="str">
        <f>IF(Data!D32=Entry2!D32,Data!D32,"ERROR")</f>
        <v>MG, TL</v>
      </c>
      <c r="E32" s="7" t="str">
        <f>IF(Data!E32=Entry2!E32,Data!E32,"ERROR")</f>
        <v>GB</v>
      </c>
      <c r="F32" s="7">
        <f>IF(Data!F32=Entry2!F32,Data!F32,"ERROR")</f>
        <v>1</v>
      </c>
      <c r="G32" s="7" t="str">
        <f>IF(Data!G32=Entry2!G32,Data!G32,"ERROR")</f>
        <v>SS</v>
      </c>
      <c r="H32" s="7">
        <f>IF(Data!H32=Entry2!H32,Data!H32,"ERROR")</f>
        <v>2</v>
      </c>
      <c r="I32" s="7">
        <f>IF(Data!I32=Entry2!I32,Data!I32,"ERROR")</f>
        <v>2</v>
      </c>
      <c r="J32" s="7">
        <f>IF(Data!J32=Entry2!J32,Data!J32,"ERROR")</f>
        <v>1</v>
      </c>
      <c r="K32" s="7" t="str">
        <f>IF(Data!K32=Entry2!K32,Data!K32,"ERROR")</f>
        <v>L</v>
      </c>
      <c r="L32" s="7" t="str">
        <f>IF(Data!L32=Entry2!L32,Data!L32,"ERROR")</f>
        <v>ERROR</v>
      </c>
      <c r="M32" s="7">
        <f>IF(Data!N32=Entry2!M32,Data!N32,"ERROR")</f>
        <v>0</v>
      </c>
    </row>
    <row r="33" spans="1:13" ht="13.2" hidden="1" x14ac:dyDescent="0.25">
      <c r="A33" s="7">
        <f>IF(Data!A33=Entry2!A33,Data!A33,"ERROR")</f>
        <v>1</v>
      </c>
      <c r="B33" s="7">
        <f>IF(Data!B33=Entry2!B33,Data!B33,"ERROR")</f>
        <v>2023</v>
      </c>
      <c r="C33" s="17">
        <f>IF(Data!C33=Entry2!C33,Data!C33,"ERROR")</f>
        <v>45197</v>
      </c>
      <c r="D33" s="7" t="str">
        <f>IF(Data!D33=Entry2!D33,Data!D33,"ERROR")</f>
        <v>MG, TL</v>
      </c>
      <c r="E33" s="7" t="str">
        <f>IF(Data!E33=Entry2!E33,Data!E33,"ERROR")</f>
        <v>GB</v>
      </c>
      <c r="F33" s="7">
        <f>IF(Data!F33=Entry2!F33,Data!F33,"ERROR")</f>
        <v>1</v>
      </c>
      <c r="G33" s="7" t="str">
        <f>IF(Data!G33=Entry2!G33,Data!G33,"ERROR")</f>
        <v>SS</v>
      </c>
      <c r="H33" s="7">
        <f>IF(Data!H33=Entry2!H33,Data!H33,"ERROR")</f>
        <v>2</v>
      </c>
      <c r="I33" s="7">
        <f>IF(Data!I33=Entry2!I33,Data!I33,"ERROR")</f>
        <v>2</v>
      </c>
      <c r="J33" s="7">
        <f>IF(Data!J33=Entry2!J33,Data!J33,"ERROR")</f>
        <v>1</v>
      </c>
      <c r="K33" s="7" t="str">
        <f>IF(Data!K33=Entry2!K33,Data!K33,"ERROR")</f>
        <v>CYLPRO</v>
      </c>
      <c r="L33" s="7" t="str">
        <f>IF(Data!L33=Entry2!L33,Data!L33,"ERROR")</f>
        <v>ERROR</v>
      </c>
      <c r="M33" s="7">
        <f>IF(Data!N33=Entry2!M33,Data!N33,"ERROR")</f>
        <v>0</v>
      </c>
    </row>
    <row r="34" spans="1:13" ht="13.2" hidden="1" x14ac:dyDescent="0.25">
      <c r="A34" s="7">
        <f>IF(Data!A34=Entry2!A34,Data!A34,"ERROR")</f>
        <v>1</v>
      </c>
      <c r="B34" s="7">
        <f>IF(Data!B34=Entry2!B34,Data!B34,"ERROR")</f>
        <v>2023</v>
      </c>
      <c r="C34" s="17">
        <f>IF(Data!C34=Entry2!C34,Data!C34,"ERROR")</f>
        <v>45197</v>
      </c>
      <c r="D34" s="7" t="str">
        <f>IF(Data!D34=Entry2!D34,Data!D34,"ERROR")</f>
        <v>MG, TL</v>
      </c>
      <c r="E34" s="7" t="str">
        <f>IF(Data!E34=Entry2!E34,Data!E34,"ERROR")</f>
        <v>GB</v>
      </c>
      <c r="F34" s="7">
        <f>IF(Data!F34=Entry2!F34,Data!F34,"ERROR")</f>
        <v>1</v>
      </c>
      <c r="G34" s="7" t="str">
        <f>IF(Data!G34=Entry2!G34,Data!G34,"ERROR")</f>
        <v>SS</v>
      </c>
      <c r="H34" s="7">
        <f>IF(Data!H34=Entry2!H34,Data!H34,"ERROR")</f>
        <v>2</v>
      </c>
      <c r="I34" s="7">
        <f>IF(Data!I34=Entry2!I34,Data!I34,"ERROR")</f>
        <v>2</v>
      </c>
      <c r="J34" s="7">
        <f>IF(Data!J34=Entry2!J34,Data!J34,"ERROR")</f>
        <v>1</v>
      </c>
      <c r="K34" s="7" t="str">
        <f>IF(Data!K34=Entry2!K34,Data!K34,"ERROR")</f>
        <v>STEDIE</v>
      </c>
      <c r="L34" s="7" t="str">
        <f>IF(Data!L34=Entry2!L34,Data!L34,"ERROR")</f>
        <v>ERROR</v>
      </c>
      <c r="M34" s="7">
        <f>IF(Data!N34=Entry2!M34,Data!N34,"ERROR")</f>
        <v>0</v>
      </c>
    </row>
    <row r="35" spans="1:13" ht="13.2" hidden="1" x14ac:dyDescent="0.25">
      <c r="A35" s="7">
        <f>IF(Data!A35=Entry2!A35,Data!A35,"ERROR")</f>
        <v>1</v>
      </c>
      <c r="B35" s="7">
        <f>IF(Data!B35=Entry2!B35,Data!B35,"ERROR")</f>
        <v>2023</v>
      </c>
      <c r="C35" s="17">
        <f>IF(Data!C35=Entry2!C35,Data!C35,"ERROR")</f>
        <v>45197</v>
      </c>
      <c r="D35" s="7" t="str">
        <f>IF(Data!D35=Entry2!D35,Data!D35,"ERROR")</f>
        <v>MG, TL</v>
      </c>
      <c r="E35" s="7" t="str">
        <f>IF(Data!E35=Entry2!E35,Data!E35,"ERROR")</f>
        <v>GB</v>
      </c>
      <c r="F35" s="7">
        <f>IF(Data!F35=Entry2!F35,Data!F35,"ERROR")</f>
        <v>1</v>
      </c>
      <c r="G35" s="7" t="str">
        <f>IF(Data!G35=Entry2!G35,Data!G35,"ERROR")</f>
        <v>SS</v>
      </c>
      <c r="H35" s="7">
        <f>IF(Data!H35=Entry2!H35,Data!H35,"ERROR")</f>
        <v>3</v>
      </c>
      <c r="I35" s="7">
        <f>IF(Data!I35=Entry2!I35,Data!I35,"ERROR")</f>
        <v>2</v>
      </c>
      <c r="J35" s="7">
        <f>IF(Data!J35=Entry2!J35,Data!J35,"ERROR")</f>
        <v>1.5</v>
      </c>
      <c r="K35" s="7" t="str">
        <f>IF(Data!K35=Entry2!K35,Data!K35,"ERROR")</f>
        <v>L</v>
      </c>
      <c r="L35" s="7" t="str">
        <f>IF(Data!L35=Entry2!L35,Data!L35,"ERROR")</f>
        <v>ERROR</v>
      </c>
      <c r="M35" s="7">
        <f>IF(Data!N35=Entry2!M35,Data!N35,"ERROR")</f>
        <v>0</v>
      </c>
    </row>
    <row r="36" spans="1:13" ht="13.2" hidden="1" x14ac:dyDescent="0.25">
      <c r="A36" s="7">
        <f>IF(Data!A36=Entry2!A36,Data!A36,"ERROR")</f>
        <v>1</v>
      </c>
      <c r="B36" s="7">
        <f>IF(Data!B36=Entry2!B36,Data!B36,"ERROR")</f>
        <v>2023</v>
      </c>
      <c r="C36" s="17">
        <f>IF(Data!C36=Entry2!C36,Data!C36,"ERROR")</f>
        <v>45197</v>
      </c>
      <c r="D36" s="7" t="str">
        <f>IF(Data!D36=Entry2!D36,Data!D36,"ERROR")</f>
        <v>MG, TL</v>
      </c>
      <c r="E36" s="7" t="str">
        <f>IF(Data!E36=Entry2!E36,Data!E36,"ERROR")</f>
        <v>GB</v>
      </c>
      <c r="F36" s="7">
        <f>IF(Data!F36=Entry2!F36,Data!F36,"ERROR")</f>
        <v>1</v>
      </c>
      <c r="G36" s="7" t="str">
        <f>IF(Data!G36=Entry2!G36,Data!G36,"ERROR")</f>
        <v>SS</v>
      </c>
      <c r="H36" s="7">
        <f>IF(Data!H36=Entry2!H36,Data!H36,"ERROR")</f>
        <v>3</v>
      </c>
      <c r="I36" s="7">
        <f>IF(Data!I36=Entry2!I36,Data!I36,"ERROR")</f>
        <v>2</v>
      </c>
      <c r="J36" s="7">
        <f>IF(Data!J36=Entry2!J36,Data!J36,"ERROR")</f>
        <v>1.5</v>
      </c>
      <c r="K36" s="7" t="str">
        <f>IF(Data!K36=Entry2!K36,Data!K36,"ERROR")</f>
        <v>STEDIE</v>
      </c>
      <c r="L36" s="7" t="str">
        <f>IF(Data!L36=Entry2!L36,Data!L36,"ERROR")</f>
        <v>ERROR</v>
      </c>
      <c r="M36" s="7">
        <f>IF(Data!N36=Entry2!M36,Data!N36,"ERROR")</f>
        <v>0</v>
      </c>
    </row>
    <row r="37" spans="1:13" ht="13.2" hidden="1" x14ac:dyDescent="0.25">
      <c r="A37" s="7">
        <f>IF(Data!A37=Entry2!A37,Data!A37,"ERROR")</f>
        <v>1</v>
      </c>
      <c r="B37" s="7">
        <f>IF(Data!B37=Entry2!B37,Data!B37,"ERROR")</f>
        <v>2023</v>
      </c>
      <c r="C37" s="17">
        <f>IF(Data!C37=Entry2!C37,Data!C37,"ERROR")</f>
        <v>45197</v>
      </c>
      <c r="D37" s="7" t="str">
        <f>IF(Data!D37=Entry2!D37,Data!D37,"ERROR")</f>
        <v>MG, TL</v>
      </c>
      <c r="E37" s="7" t="str">
        <f>IF(Data!E37=Entry2!E37,Data!E37,"ERROR")</f>
        <v>GB</v>
      </c>
      <c r="F37" s="7">
        <f>IF(Data!F37=Entry2!F37,Data!F37,"ERROR")</f>
        <v>1</v>
      </c>
      <c r="G37" s="7" t="str">
        <f>IF(Data!G37=Entry2!G37,Data!G37,"ERROR")</f>
        <v>SS</v>
      </c>
      <c r="H37" s="7">
        <f>IF(Data!H37=Entry2!H37,Data!H37,"ERROR")</f>
        <v>4</v>
      </c>
      <c r="I37" s="7">
        <f>IF(Data!I37=Entry2!I37,Data!I37,"ERROR")</f>
        <v>2</v>
      </c>
      <c r="J37" s="7">
        <f>IF(Data!J37=Entry2!J37,Data!J37,"ERROR")</f>
        <v>2</v>
      </c>
      <c r="K37" s="7" t="str">
        <f>IF(Data!K37=Entry2!K37,Data!K37,"ERROR")</f>
        <v>L</v>
      </c>
      <c r="L37" s="7" t="str">
        <f>IF(Data!L37=Entry2!L37,Data!L37,"ERROR")</f>
        <v>ERROR</v>
      </c>
      <c r="M37" s="7">
        <f>IF(Data!N37=Entry2!M37,Data!N37,"ERROR")</f>
        <v>0</v>
      </c>
    </row>
    <row r="38" spans="1:13" ht="13.2" hidden="1" x14ac:dyDescent="0.25">
      <c r="A38" s="7">
        <f>IF(Data!A38=Entry2!A38,Data!A38,"ERROR")</f>
        <v>1</v>
      </c>
      <c r="B38" s="7">
        <f>IF(Data!B38=Entry2!B38,Data!B38,"ERROR")</f>
        <v>2023</v>
      </c>
      <c r="C38" s="17">
        <f>IF(Data!C38=Entry2!C38,Data!C38,"ERROR")</f>
        <v>45197</v>
      </c>
      <c r="D38" s="7" t="str">
        <f>IF(Data!D38=Entry2!D38,Data!D38,"ERROR")</f>
        <v>MG, TL</v>
      </c>
      <c r="E38" s="7" t="str">
        <f>IF(Data!E38=Entry2!E38,Data!E38,"ERROR")</f>
        <v>GB</v>
      </c>
      <c r="F38" s="7">
        <f>IF(Data!F38=Entry2!F38,Data!F38,"ERROR")</f>
        <v>1</v>
      </c>
      <c r="G38" s="7" t="str">
        <f>IF(Data!G38=Entry2!G38,Data!G38,"ERROR")</f>
        <v>SS</v>
      </c>
      <c r="H38" s="7">
        <f>IF(Data!H38=Entry2!H38,Data!H38,"ERROR")</f>
        <v>4</v>
      </c>
      <c r="I38" s="7">
        <f>IF(Data!I38=Entry2!I38,Data!I38,"ERROR")</f>
        <v>2</v>
      </c>
      <c r="J38" s="7">
        <f>IF(Data!J38=Entry2!J38,Data!J38,"ERROR")</f>
        <v>2</v>
      </c>
      <c r="K38" s="7" t="str">
        <f>IF(Data!K38=Entry2!K38,Data!K38,"ERROR")</f>
        <v>STEDIE</v>
      </c>
      <c r="L38" s="7" t="str">
        <f>IF(Data!L38=Entry2!L38,Data!L38,"ERROR")</f>
        <v>ERROR</v>
      </c>
      <c r="M38" s="7">
        <f>IF(Data!N38=Entry2!M38,Data!N38,"ERROR")</f>
        <v>0</v>
      </c>
    </row>
    <row r="39" spans="1:13" ht="13.2" hidden="1" x14ac:dyDescent="0.25">
      <c r="A39" s="7">
        <f>IF(Data!A39=Entry2!A39,Data!A39,"ERROR")</f>
        <v>1</v>
      </c>
      <c r="B39" s="7">
        <f>IF(Data!B39=Entry2!B39,Data!B39,"ERROR")</f>
        <v>2023</v>
      </c>
      <c r="C39" s="17">
        <f>IF(Data!C39=Entry2!C39,Data!C39,"ERROR")</f>
        <v>45197</v>
      </c>
      <c r="D39" s="7" t="str">
        <f>IF(Data!D39=Entry2!D39,Data!D39,"ERROR")</f>
        <v>MG, TL</v>
      </c>
      <c r="E39" s="7" t="str">
        <f>IF(Data!E39=Entry2!E39,Data!E39,"ERROR")</f>
        <v>GB</v>
      </c>
      <c r="F39" s="7">
        <f>IF(Data!F39=Entry2!F39,Data!F39,"ERROR")</f>
        <v>1</v>
      </c>
      <c r="G39" s="7" t="str">
        <f>IF(Data!G39=Entry2!G39,Data!G39,"ERROR")</f>
        <v>SS</v>
      </c>
      <c r="H39" s="7">
        <f>IF(Data!H39=Entry2!H39,Data!H39,"ERROR")</f>
        <v>5</v>
      </c>
      <c r="I39" s="7">
        <f>IF(Data!I39=Entry2!I39,Data!I39,"ERROR")</f>
        <v>2</v>
      </c>
      <c r="J39" s="7">
        <f>IF(Data!J39=Entry2!J39,Data!J39,"ERROR")</f>
        <v>3</v>
      </c>
      <c r="K39" s="7" t="str">
        <f>IF(Data!K39=Entry2!K39,Data!K39,"ERROR")</f>
        <v>L</v>
      </c>
      <c r="L39" s="7" t="str">
        <f>IF(Data!L39=Entry2!L39,Data!L39,"ERROR")</f>
        <v>ERROR</v>
      </c>
      <c r="M39" s="7">
        <f>IF(Data!N39=Entry2!M39,Data!N39,"ERROR")</f>
        <v>0</v>
      </c>
    </row>
    <row r="40" spans="1:13" ht="13.2" hidden="1" x14ac:dyDescent="0.25">
      <c r="A40" s="7">
        <f>IF(Data!A40=Entry2!A40,Data!A40,"ERROR")</f>
        <v>1</v>
      </c>
      <c r="B40" s="7">
        <f>IF(Data!B40=Entry2!B40,Data!B40,"ERROR")</f>
        <v>2023</v>
      </c>
      <c r="C40" s="17">
        <f>IF(Data!C40=Entry2!C40,Data!C40,"ERROR")</f>
        <v>45197</v>
      </c>
      <c r="D40" s="7" t="str">
        <f>IF(Data!D40=Entry2!D40,Data!D40,"ERROR")</f>
        <v>MG, TL</v>
      </c>
      <c r="E40" s="7" t="str">
        <f>IF(Data!E40=Entry2!E40,Data!E40,"ERROR")</f>
        <v>GB</v>
      </c>
      <c r="F40" s="7">
        <f>IF(Data!F40=Entry2!F40,Data!F40,"ERROR")</f>
        <v>1</v>
      </c>
      <c r="G40" s="7" t="str">
        <f>IF(Data!G40=Entry2!G40,Data!G40,"ERROR")</f>
        <v>SS</v>
      </c>
      <c r="H40" s="7">
        <f>IF(Data!H40=Entry2!H40,Data!H40,"ERROR")</f>
        <v>5</v>
      </c>
      <c r="I40" s="7">
        <f>IF(Data!I40=Entry2!I40,Data!I40,"ERROR")</f>
        <v>2</v>
      </c>
      <c r="J40" s="7">
        <f>IF(Data!J40=Entry2!J40,Data!J40,"ERROR")</f>
        <v>3</v>
      </c>
      <c r="K40" s="7" t="str">
        <f>IF(Data!K40=Entry2!K40,Data!K40,"ERROR")</f>
        <v>STEDIE</v>
      </c>
      <c r="L40" s="7" t="str">
        <f>IF(Data!L40=Entry2!L40,Data!L40,"ERROR")</f>
        <v>ERROR</v>
      </c>
      <c r="M40" s="7">
        <f>IF(Data!N40=Entry2!M40,Data!N40,"ERROR")</f>
        <v>0</v>
      </c>
    </row>
    <row r="41" spans="1:13" ht="13.2" hidden="1" x14ac:dyDescent="0.25">
      <c r="A41" s="7">
        <f>IF(Data!A41=Entry2!A41,Data!A41,"ERROR")</f>
        <v>1</v>
      </c>
      <c r="B41" s="7">
        <f>IF(Data!B41=Entry2!B41,Data!B41,"ERROR")</f>
        <v>2023</v>
      </c>
      <c r="C41" s="17">
        <f>IF(Data!C41=Entry2!C41,Data!C41,"ERROR")</f>
        <v>45197</v>
      </c>
      <c r="D41" s="7" t="str">
        <f>IF(Data!D41=Entry2!D41,Data!D41,"ERROR")</f>
        <v>MG, TL</v>
      </c>
      <c r="E41" s="7" t="str">
        <f>IF(Data!E41=Entry2!E41,Data!E41,"ERROR")</f>
        <v>GB</v>
      </c>
      <c r="F41" s="7">
        <f>IF(Data!F41=Entry2!F41,Data!F41,"ERROR")</f>
        <v>1</v>
      </c>
      <c r="G41" s="7" t="str">
        <f>IF(Data!G41=Entry2!G41,Data!G41,"ERROR")</f>
        <v>SS</v>
      </c>
      <c r="H41" s="7">
        <f>IF(Data!H41=Entry2!H41,Data!H41,"ERROR")</f>
        <v>6</v>
      </c>
      <c r="I41" s="7">
        <f>IF(Data!I41=Entry2!I41,Data!I41,"ERROR")</f>
        <v>2</v>
      </c>
      <c r="J41" s="7">
        <f>IF(Data!J41=Entry2!J41,Data!J41,"ERROR")</f>
        <v>3.5</v>
      </c>
      <c r="K41" s="7" t="str">
        <f>IF(Data!K41=Entry2!K41,Data!K41,"ERROR")</f>
        <v>L</v>
      </c>
      <c r="L41" s="7" t="str">
        <f>IF(Data!L41=Entry2!L41,Data!L41,"ERROR")</f>
        <v>ERROR</v>
      </c>
      <c r="M41" s="7">
        <f>IF(Data!N41=Entry2!M41,Data!N41,"ERROR")</f>
        <v>0</v>
      </c>
    </row>
    <row r="42" spans="1:13" ht="13.2" hidden="1" x14ac:dyDescent="0.25">
      <c r="A42" s="7">
        <f>IF(Data!A42=Entry2!A42,Data!A42,"ERROR")</f>
        <v>1</v>
      </c>
      <c r="B42" s="7">
        <f>IF(Data!B42=Entry2!B42,Data!B42,"ERROR")</f>
        <v>2023</v>
      </c>
      <c r="C42" s="17">
        <f>IF(Data!C42=Entry2!C42,Data!C42,"ERROR")</f>
        <v>45197</v>
      </c>
      <c r="D42" s="7" t="str">
        <f>IF(Data!D42=Entry2!D42,Data!D42,"ERROR")</f>
        <v>MG, TL</v>
      </c>
      <c r="E42" s="7" t="str">
        <f>IF(Data!E42=Entry2!E42,Data!E42,"ERROR")</f>
        <v>GB</v>
      </c>
      <c r="F42" s="7">
        <f>IF(Data!F42=Entry2!F42,Data!F42,"ERROR")</f>
        <v>1</v>
      </c>
      <c r="G42" s="7" t="str">
        <f>IF(Data!G42=Entry2!G42,Data!G42,"ERROR")</f>
        <v>SS</v>
      </c>
      <c r="H42" s="7">
        <f>IF(Data!H42=Entry2!H42,Data!H42,"ERROR")</f>
        <v>7</v>
      </c>
      <c r="I42" s="7">
        <f>IF(Data!I42=Entry2!I42,Data!I42,"ERROR")</f>
        <v>2</v>
      </c>
      <c r="J42" s="7">
        <f>IF(Data!J42=Entry2!J42,Data!J42,"ERROR")</f>
        <v>4</v>
      </c>
      <c r="K42" s="7" t="str">
        <f>IF(Data!K42=Entry2!K42,Data!K42,"ERROR")</f>
        <v>L</v>
      </c>
      <c r="L42" s="7" t="str">
        <f>IF(Data!L42=Entry2!L42,Data!L42,"ERROR")</f>
        <v>ERROR</v>
      </c>
      <c r="M42" s="7">
        <f>IF(Data!N42=Entry2!M42,Data!N42,"ERROR")</f>
        <v>0</v>
      </c>
    </row>
    <row r="43" spans="1:13" ht="13.2" hidden="1" x14ac:dyDescent="0.25">
      <c r="A43" s="7">
        <f>IF(Data!A43=Entry2!A43,Data!A43,"ERROR")</f>
        <v>1</v>
      </c>
      <c r="B43" s="7">
        <f>IF(Data!B43=Entry2!B43,Data!B43,"ERROR")</f>
        <v>2023</v>
      </c>
      <c r="C43" s="17">
        <f>IF(Data!C43=Entry2!C43,Data!C43,"ERROR")</f>
        <v>45197</v>
      </c>
      <c r="D43" s="7" t="str">
        <f>IF(Data!D43=Entry2!D43,Data!D43,"ERROR")</f>
        <v>MG, TL</v>
      </c>
      <c r="E43" s="7" t="str">
        <f>IF(Data!E43=Entry2!E43,Data!E43,"ERROR")</f>
        <v>GB</v>
      </c>
      <c r="F43" s="7">
        <f>IF(Data!F43=Entry2!F43,Data!F43,"ERROR")</f>
        <v>1</v>
      </c>
      <c r="G43" s="7" t="str">
        <f>IF(Data!G43=Entry2!G43,Data!G43,"ERROR")</f>
        <v>SS</v>
      </c>
      <c r="H43" s="7">
        <f>IF(Data!H43=Entry2!H43,Data!H43,"ERROR")</f>
        <v>8</v>
      </c>
      <c r="I43" s="7">
        <f>IF(Data!I43=Entry2!I43,Data!I43,"ERROR")</f>
        <v>2</v>
      </c>
      <c r="J43" s="7">
        <f>IF(Data!J43=Entry2!J43,Data!J43,"ERROR")</f>
        <v>5</v>
      </c>
      <c r="K43" s="7" t="str">
        <f>IF(Data!K43=Entry2!K43,Data!K43,"ERROR")</f>
        <v>L</v>
      </c>
      <c r="L43" s="7" t="str">
        <f>IF(Data!L43=Entry2!L43,Data!L43,"ERROR")</f>
        <v>ERROR</v>
      </c>
      <c r="M43" s="7">
        <f>IF(Data!N43=Entry2!M43,Data!N43,"ERROR")</f>
        <v>0</v>
      </c>
    </row>
    <row r="44" spans="1:13" ht="13.2" hidden="1" x14ac:dyDescent="0.25">
      <c r="A44" s="7">
        <f>IF(Data!A44=Entry2!A44,Data!A44,"ERROR")</f>
        <v>1</v>
      </c>
      <c r="B44" s="7">
        <f>IF(Data!B44=Entry2!B44,Data!B44,"ERROR")</f>
        <v>2023</v>
      </c>
      <c r="C44" s="17">
        <f>IF(Data!C44=Entry2!C44,Data!C44,"ERROR")</f>
        <v>45197</v>
      </c>
      <c r="D44" s="7" t="str">
        <f>IF(Data!D44=Entry2!D44,Data!D44,"ERROR")</f>
        <v>MG, TL</v>
      </c>
      <c r="E44" s="7" t="str">
        <f>IF(Data!E44=Entry2!E44,Data!E44,"ERROR")</f>
        <v>GB</v>
      </c>
      <c r="F44" s="7">
        <f>IF(Data!F44=Entry2!F44,Data!F44,"ERROR")</f>
        <v>1</v>
      </c>
      <c r="G44" s="7" t="str">
        <f>IF(Data!G44=Entry2!G44,Data!G44,"ERROR")</f>
        <v>SS</v>
      </c>
      <c r="H44" s="7">
        <f>IF(Data!H44=Entry2!H44,Data!H44,"ERROR")</f>
        <v>8</v>
      </c>
      <c r="I44" s="7">
        <f>IF(Data!I44=Entry2!I44,Data!I44,"ERROR")</f>
        <v>2</v>
      </c>
      <c r="J44" s="7">
        <f>IF(Data!J44=Entry2!J44,Data!J44,"ERROR")</f>
        <v>5</v>
      </c>
      <c r="K44" s="7" t="str">
        <f>IF(Data!K44=Entry2!K44,Data!K44,"ERROR")</f>
        <v>CENMEL</v>
      </c>
      <c r="L44" s="7" t="str">
        <f>IF(Data!L44=Entry2!L44,Data!L44,"ERROR")</f>
        <v>ERROR</v>
      </c>
      <c r="M44" s="7">
        <f>IF(Data!N44=Entry2!M44,Data!N44,"ERROR")</f>
        <v>0</v>
      </c>
    </row>
    <row r="45" spans="1:13" ht="13.2" hidden="1" x14ac:dyDescent="0.25">
      <c r="A45" s="7">
        <f>IF(Data!A45=Entry2!A45,Data!A45,"ERROR")</f>
        <v>1</v>
      </c>
      <c r="B45" s="7">
        <f>IF(Data!B45=Entry2!B45,Data!B45,"ERROR")</f>
        <v>2023</v>
      </c>
      <c r="C45" s="17">
        <f>IF(Data!C45=Entry2!C45,Data!C45,"ERROR")</f>
        <v>45197</v>
      </c>
      <c r="D45" s="7" t="str">
        <f>IF(Data!D45=Entry2!D45,Data!D45,"ERROR")</f>
        <v>MG, TL</v>
      </c>
      <c r="E45" s="7" t="str">
        <f>IF(Data!E45=Entry2!E45,Data!E45,"ERROR")</f>
        <v>GB</v>
      </c>
      <c r="F45" s="7">
        <f>IF(Data!F45=Entry2!F45,Data!F45,"ERROR")</f>
        <v>1</v>
      </c>
      <c r="G45" s="7" t="str">
        <f>IF(Data!G45=Entry2!G45,Data!G45,"ERROR")</f>
        <v>SS</v>
      </c>
      <c r="H45" s="7">
        <f>IF(Data!H45=Entry2!H45,Data!H45,"ERROR")</f>
        <v>9</v>
      </c>
      <c r="I45" s="7">
        <f>IF(Data!I45=Entry2!I45,Data!I45,"ERROR")</f>
        <v>2</v>
      </c>
      <c r="J45" s="7">
        <f>IF(Data!J45=Entry2!J45,Data!J45,"ERROR")</f>
        <v>7</v>
      </c>
      <c r="K45" s="7" t="str">
        <f>IF(Data!K45=Entry2!K45,Data!K45,"ERROR")</f>
        <v>L</v>
      </c>
      <c r="L45" s="7" t="str">
        <f>IF(Data!L45=Entry2!L45,Data!L45,"ERROR")</f>
        <v>ERROR</v>
      </c>
      <c r="M45" s="7">
        <f>IF(Data!N45=Entry2!M45,Data!N45,"ERROR")</f>
        <v>0</v>
      </c>
    </row>
    <row r="46" spans="1:13" ht="13.2" hidden="1" x14ac:dyDescent="0.25">
      <c r="A46" s="7">
        <f>IF(Data!A46=Entry2!A46,Data!A46,"ERROR")</f>
        <v>1</v>
      </c>
      <c r="B46" s="7">
        <f>IF(Data!B46=Entry2!B46,Data!B46,"ERROR")</f>
        <v>2023</v>
      </c>
      <c r="C46" s="17">
        <f>IF(Data!C46=Entry2!C46,Data!C46,"ERROR")</f>
        <v>45197</v>
      </c>
      <c r="D46" s="7" t="str">
        <f>IF(Data!D46=Entry2!D46,Data!D46,"ERROR")</f>
        <v>MG, TL</v>
      </c>
      <c r="E46" s="7" t="str">
        <f>IF(Data!E46=Entry2!E46,Data!E46,"ERROR")</f>
        <v>GB</v>
      </c>
      <c r="F46" s="7">
        <f>IF(Data!F46=Entry2!F46,Data!F46,"ERROR")</f>
        <v>1</v>
      </c>
      <c r="G46" s="7" t="str">
        <f>IF(Data!G46=Entry2!G46,Data!G46,"ERROR")</f>
        <v>SS</v>
      </c>
      <c r="H46" s="7">
        <f>IF(Data!H46=Entry2!H46,Data!H46,"ERROR")</f>
        <v>9</v>
      </c>
      <c r="I46" s="7">
        <f>IF(Data!I46=Entry2!I46,Data!I46,"ERROR")</f>
        <v>2</v>
      </c>
      <c r="J46" s="7">
        <f>IF(Data!J46=Entry2!J46,Data!J46,"ERROR")</f>
        <v>7</v>
      </c>
      <c r="K46" s="7" t="str">
        <f>IF(Data!K46=Entry2!K46,Data!K46,"ERROR")</f>
        <v>STEDIE</v>
      </c>
      <c r="L46" s="7" t="str">
        <f>IF(Data!L46=Entry2!L46,Data!L46,"ERROR")</f>
        <v>ERROR</v>
      </c>
      <c r="M46" s="7">
        <f>IF(Data!N46=Entry2!M46,Data!N46,"ERROR")</f>
        <v>0</v>
      </c>
    </row>
    <row r="47" spans="1:13" ht="13.2" hidden="1" x14ac:dyDescent="0.25">
      <c r="A47" s="7">
        <f>IF(Data!A47=Entry2!A47,Data!A47,"ERROR")</f>
        <v>1</v>
      </c>
      <c r="B47" s="7">
        <f>IF(Data!B47=Entry2!B47,Data!B47,"ERROR")</f>
        <v>2023</v>
      </c>
      <c r="C47" s="17">
        <f>IF(Data!C47=Entry2!C47,Data!C47,"ERROR")</f>
        <v>45197</v>
      </c>
      <c r="D47" s="7" t="str">
        <f>IF(Data!D47=Entry2!D47,Data!D47,"ERROR")</f>
        <v>MG, TL</v>
      </c>
      <c r="E47" s="7" t="str">
        <f>IF(Data!E47=Entry2!E47,Data!E47,"ERROR")</f>
        <v>GB</v>
      </c>
      <c r="F47" s="7">
        <f>IF(Data!F47=Entry2!F47,Data!F47,"ERROR")</f>
        <v>1</v>
      </c>
      <c r="G47" s="7" t="str">
        <f>IF(Data!G47=Entry2!G47,Data!G47,"ERROR")</f>
        <v>SS</v>
      </c>
      <c r="H47" s="7">
        <f>IF(Data!H47=Entry2!H47,Data!H47,"ERROR")</f>
        <v>10</v>
      </c>
      <c r="I47" s="7">
        <f>IF(Data!I47=Entry2!I47,Data!I47,"ERROR")</f>
        <v>2</v>
      </c>
      <c r="J47" s="7">
        <f>IF(Data!J47=Entry2!J47,Data!J47,"ERROR")</f>
        <v>8</v>
      </c>
      <c r="K47" s="7" t="str">
        <f>IF(Data!K47=Entry2!K47,Data!K47,"ERROR")</f>
        <v>L</v>
      </c>
      <c r="L47" s="7" t="str">
        <f>IF(Data!L47=Entry2!L47,Data!L47,"ERROR")</f>
        <v>ERROR</v>
      </c>
      <c r="M47" s="7">
        <f>IF(Data!N47=Entry2!M47,Data!N47,"ERROR")</f>
        <v>0</v>
      </c>
    </row>
    <row r="48" spans="1:13" ht="13.2" hidden="1" x14ac:dyDescent="0.25">
      <c r="A48" s="7">
        <f>IF(Data!A48=Entry2!A48,Data!A48,"ERROR")</f>
        <v>1</v>
      </c>
      <c r="B48" s="7">
        <f>IF(Data!B48=Entry2!B48,Data!B48,"ERROR")</f>
        <v>2023</v>
      </c>
      <c r="C48" s="17">
        <f>IF(Data!C48=Entry2!C48,Data!C48,"ERROR")</f>
        <v>45197</v>
      </c>
      <c r="D48" s="7" t="str">
        <f>IF(Data!D48=Entry2!D48,Data!D48,"ERROR")</f>
        <v>MG, TL</v>
      </c>
      <c r="E48" s="7" t="str">
        <f>IF(Data!E48=Entry2!E48,Data!E48,"ERROR")</f>
        <v>GB</v>
      </c>
      <c r="F48" s="7">
        <f>IF(Data!F48=Entry2!F48,Data!F48,"ERROR")</f>
        <v>1</v>
      </c>
      <c r="G48" s="7" t="str">
        <f>IF(Data!G48=Entry2!G48,Data!G48,"ERROR")</f>
        <v>SS</v>
      </c>
      <c r="H48" s="7">
        <f>IF(Data!H48=Entry2!H48,Data!H48,"ERROR")</f>
        <v>11</v>
      </c>
      <c r="I48" s="7">
        <f>IF(Data!I48=Entry2!I48,Data!I48,"ERROR")</f>
        <v>2</v>
      </c>
      <c r="J48" s="7">
        <f>IF(Data!J48=Entry2!J48,Data!J48,"ERROR")</f>
        <v>8.5</v>
      </c>
      <c r="K48" s="7" t="str">
        <f>IF(Data!K48=Entry2!K48,Data!K48,"ERROR")</f>
        <v>B</v>
      </c>
      <c r="L48" s="7" t="str">
        <f>IF(Data!L48=Entry2!L48,Data!L48,"ERROR")</f>
        <v>ERROR</v>
      </c>
      <c r="M48" s="7">
        <f>IF(Data!N48=Entry2!M48,Data!N48,"ERROR")</f>
        <v>0</v>
      </c>
    </row>
    <row r="49" spans="1:13" ht="13.2" hidden="1" x14ac:dyDescent="0.25">
      <c r="A49" s="7">
        <f>IF(Data!A49=Entry2!A49,Data!A49,"ERROR")</f>
        <v>1</v>
      </c>
      <c r="B49" s="7">
        <f>IF(Data!B49=Entry2!B49,Data!B49,"ERROR")</f>
        <v>2023</v>
      </c>
      <c r="C49" s="17">
        <f>IF(Data!C49=Entry2!C49,Data!C49,"ERROR")</f>
        <v>45197</v>
      </c>
      <c r="D49" s="7" t="str">
        <f>IF(Data!D49=Entry2!D49,Data!D49,"ERROR")</f>
        <v>MG, TL</v>
      </c>
      <c r="E49" s="7" t="str">
        <f>IF(Data!E49=Entry2!E49,Data!E49,"ERROR")</f>
        <v>GB</v>
      </c>
      <c r="F49" s="7">
        <f>IF(Data!F49=Entry2!F49,Data!F49,"ERROR")</f>
        <v>1</v>
      </c>
      <c r="G49" s="7" t="str">
        <f>IF(Data!G49=Entry2!G49,Data!G49,"ERROR")</f>
        <v>SS</v>
      </c>
      <c r="H49" s="7">
        <f>IF(Data!H49=Entry2!H49,Data!H49,"ERROR")</f>
        <v>12</v>
      </c>
      <c r="I49" s="7">
        <f>IF(Data!I49=Entry2!I49,Data!I49,"ERROR")</f>
        <v>2</v>
      </c>
      <c r="J49" s="7">
        <f>IF(Data!J49=Entry2!J49,Data!J49,"ERROR")</f>
        <v>9</v>
      </c>
      <c r="K49" s="7" t="str">
        <f>IF(Data!K49=Entry2!K49,Data!K49,"ERROR")</f>
        <v>B</v>
      </c>
      <c r="L49" s="7" t="str">
        <f>IF(Data!L49=Entry2!L49,Data!L49,"ERROR")</f>
        <v>ERROR</v>
      </c>
      <c r="M49" s="7">
        <f>IF(Data!N49=Entry2!M49,Data!N49,"ERROR")</f>
        <v>0</v>
      </c>
    </row>
    <row r="50" spans="1:13" ht="13.2" hidden="1" x14ac:dyDescent="0.25">
      <c r="A50" s="7">
        <f>IF(Data!A50=Entry2!A50,Data!A50,"ERROR")</f>
        <v>1</v>
      </c>
      <c r="B50" s="7">
        <f>IF(Data!B50=Entry2!B50,Data!B50,"ERROR")</f>
        <v>2023</v>
      </c>
      <c r="C50" s="17">
        <f>IF(Data!C50=Entry2!C50,Data!C50,"ERROR")</f>
        <v>45197</v>
      </c>
      <c r="D50" s="7" t="str">
        <f>IF(Data!D50=Entry2!D50,Data!D50,"ERROR")</f>
        <v>MG, TL</v>
      </c>
      <c r="E50" s="7" t="str">
        <f>IF(Data!E50=Entry2!E50,Data!E50,"ERROR")</f>
        <v>GB</v>
      </c>
      <c r="F50" s="7">
        <f>IF(Data!F50=Entry2!F50,Data!F50,"ERROR")</f>
        <v>1</v>
      </c>
      <c r="G50" s="7" t="str">
        <f>IF(Data!G50=Entry2!G50,Data!G50,"ERROR")</f>
        <v>SS</v>
      </c>
      <c r="H50" s="7">
        <f>IF(Data!H50=Entry2!H50,Data!H50,"ERROR")</f>
        <v>13</v>
      </c>
      <c r="I50" s="7">
        <f>IF(Data!I50=Entry2!I50,Data!I50,"ERROR")</f>
        <v>2</v>
      </c>
      <c r="J50" s="7">
        <f>IF(Data!J50=Entry2!J50,Data!J50,"ERROR")</f>
        <v>10</v>
      </c>
      <c r="K50" s="7" t="str">
        <f>IF(Data!K50=Entry2!K50,Data!K50,"ERROR")</f>
        <v>L</v>
      </c>
      <c r="L50" s="7" t="str">
        <f>IF(Data!L50=Entry2!L50,Data!L50,"ERROR")</f>
        <v>ERROR</v>
      </c>
      <c r="M50" s="7">
        <f>IF(Data!N50=Entry2!M50,Data!N50,"ERROR")</f>
        <v>0</v>
      </c>
    </row>
    <row r="51" spans="1:13" ht="13.2" hidden="1" x14ac:dyDescent="0.25">
      <c r="A51" s="7">
        <f>IF(Data!A51=Entry2!A51,Data!A51,"ERROR")</f>
        <v>1</v>
      </c>
      <c r="B51" s="7">
        <f>IF(Data!B51=Entry2!B51,Data!B51,"ERROR")</f>
        <v>2023</v>
      </c>
      <c r="C51" s="17">
        <f>IF(Data!C51=Entry2!C51,Data!C51,"ERROR")</f>
        <v>45197</v>
      </c>
      <c r="D51" s="7" t="str">
        <f>IF(Data!D51=Entry2!D51,Data!D51,"ERROR")</f>
        <v>MG, TL</v>
      </c>
      <c r="E51" s="7" t="str">
        <f>IF(Data!E51=Entry2!E51,Data!E51,"ERROR")</f>
        <v>GB</v>
      </c>
      <c r="F51" s="7">
        <f>IF(Data!F51=Entry2!F51,Data!F51,"ERROR")</f>
        <v>1</v>
      </c>
      <c r="G51" s="7" t="str">
        <f>IF(Data!G51=Entry2!G51,Data!G51,"ERROR")</f>
        <v>SS</v>
      </c>
      <c r="H51" s="7">
        <f>IF(Data!H51=Entry2!H51,Data!H51,"ERROR")</f>
        <v>14</v>
      </c>
      <c r="I51" s="7">
        <f>IF(Data!I51=Entry2!I51,Data!I51,"ERROR")</f>
        <v>2</v>
      </c>
      <c r="J51" s="7">
        <f>IF(Data!J51=Entry2!J51,Data!J51,"ERROR")</f>
        <v>11</v>
      </c>
      <c r="K51" s="7" t="str">
        <f>IF(Data!K51=Entry2!K51,Data!K51,"ERROR")</f>
        <v>L</v>
      </c>
      <c r="L51" s="7" t="str">
        <f>IF(Data!L51=Entry2!L51,Data!L51,"ERROR")</f>
        <v>ERROR</v>
      </c>
      <c r="M51" s="7">
        <f>IF(Data!N51=Entry2!M51,Data!N51,"ERROR")</f>
        <v>0</v>
      </c>
    </row>
    <row r="52" spans="1:13" ht="13.2" hidden="1" x14ac:dyDescent="0.25">
      <c r="A52" s="7">
        <f>IF(Data!A52=Entry2!A52,Data!A52,"ERROR")</f>
        <v>1</v>
      </c>
      <c r="B52" s="7">
        <f>IF(Data!B52=Entry2!B52,Data!B52,"ERROR")</f>
        <v>2023</v>
      </c>
      <c r="C52" s="17">
        <f>IF(Data!C52=Entry2!C52,Data!C52,"ERROR")</f>
        <v>45197</v>
      </c>
      <c r="D52" s="7" t="str">
        <f>IF(Data!D52=Entry2!D52,Data!D52,"ERROR")</f>
        <v>MG, TL</v>
      </c>
      <c r="E52" s="7" t="str">
        <f>IF(Data!E52=Entry2!E52,Data!E52,"ERROR")</f>
        <v>GB</v>
      </c>
      <c r="F52" s="7">
        <f>IF(Data!F52=Entry2!F52,Data!F52,"ERROR")</f>
        <v>1</v>
      </c>
      <c r="G52" s="7" t="str">
        <f>IF(Data!G52=Entry2!G52,Data!G52,"ERROR")</f>
        <v>SS</v>
      </c>
      <c r="H52" s="7">
        <f>IF(Data!H52=Entry2!H52,Data!H52,"ERROR")</f>
        <v>15</v>
      </c>
      <c r="I52" s="7">
        <f>IF(Data!I52=Entry2!I52,Data!I52,"ERROR")</f>
        <v>2</v>
      </c>
      <c r="J52" s="7">
        <f>IF(Data!J52=Entry2!J52,Data!J52,"ERROR")</f>
        <v>12</v>
      </c>
      <c r="K52" s="7" t="str">
        <f>IF(Data!K52=Entry2!K52,Data!K52,"ERROR")</f>
        <v>L</v>
      </c>
      <c r="L52" s="7" t="str">
        <f>IF(Data!L52=Entry2!L52,Data!L52,"ERROR")</f>
        <v>ERROR</v>
      </c>
      <c r="M52" s="7">
        <f>IF(Data!N52=Entry2!M52,Data!N52,"ERROR")</f>
        <v>0</v>
      </c>
    </row>
    <row r="53" spans="1:13" ht="13.2" hidden="1" x14ac:dyDescent="0.25">
      <c r="A53" s="7">
        <f>IF(Data!A53=Entry2!A53,Data!A53,"ERROR")</f>
        <v>2</v>
      </c>
      <c r="B53" s="7">
        <f>IF(Data!B53=Entry2!B53,Data!B53,"ERROR")</f>
        <v>2023</v>
      </c>
      <c r="C53" s="17">
        <f>IF(Data!C53=Entry2!C53,Data!C53,"ERROR")</f>
        <v>45197</v>
      </c>
      <c r="D53" s="7" t="str">
        <f>IF(Data!D53=Entry2!D53,Data!D53,"ERROR")</f>
        <v>MG, TL</v>
      </c>
      <c r="E53" s="7" t="str">
        <f>IF(Data!E53=Entry2!E53,Data!E53,"ERROR")</f>
        <v>GB</v>
      </c>
      <c r="F53" s="7">
        <f>IF(Data!F53=Entry2!F53,Data!F53,"ERROR")</f>
        <v>1</v>
      </c>
      <c r="G53" s="7" t="str">
        <f>IF(Data!G53=Entry2!G53,Data!G53,"ERROR")</f>
        <v>SU</v>
      </c>
      <c r="H53" s="7">
        <f>IF(Data!H53=Entry2!H53,Data!H53,"ERROR")</f>
        <v>1</v>
      </c>
      <c r="I53" s="7">
        <f>IF(Data!I53=Entry2!I53,Data!I53,"ERROR")</f>
        <v>1</v>
      </c>
      <c r="J53" s="7">
        <f>IF(Data!J53=Entry2!J53,Data!J53,"ERROR")</f>
        <v>0</v>
      </c>
      <c r="K53" s="7" t="str">
        <f>IF(Data!K53=Entry2!K53,Data!K53,"ERROR")</f>
        <v>L</v>
      </c>
      <c r="L53" s="7" t="str">
        <f>IF(Data!L53=Entry2!L53,Data!L53,"ERROR")</f>
        <v>ERROR</v>
      </c>
      <c r="M53" s="7">
        <f>IF(Data!N53=Entry2!M53,Data!N53,"ERROR")</f>
        <v>0</v>
      </c>
    </row>
    <row r="54" spans="1:13" ht="13.2" hidden="1" x14ac:dyDescent="0.25">
      <c r="A54" s="7">
        <f>IF(Data!A54=Entry2!A54,Data!A54,"ERROR")</f>
        <v>2</v>
      </c>
      <c r="B54" s="7">
        <f>IF(Data!B54=Entry2!B54,Data!B54,"ERROR")</f>
        <v>2023</v>
      </c>
      <c r="C54" s="17">
        <f>IF(Data!C54=Entry2!C54,Data!C54,"ERROR")</f>
        <v>45197</v>
      </c>
      <c r="D54" s="7" t="str">
        <f>IF(Data!D54=Entry2!D54,Data!D54,"ERROR")</f>
        <v>MG, TL</v>
      </c>
      <c r="E54" s="7" t="str">
        <f>IF(Data!E54=Entry2!E54,Data!E54,"ERROR")</f>
        <v>GB</v>
      </c>
      <c r="F54" s="7">
        <f>IF(Data!F54=Entry2!F54,Data!F54,"ERROR")</f>
        <v>1</v>
      </c>
      <c r="G54" s="7" t="str">
        <f>IF(Data!G54=Entry2!G54,Data!G54,"ERROR")</f>
        <v>SU</v>
      </c>
      <c r="H54" s="7">
        <f>IF(Data!H54=Entry2!H54,Data!H54,"ERROR")</f>
        <v>1</v>
      </c>
      <c r="I54" s="7">
        <f>IF(Data!I54=Entry2!I54,Data!I54,"ERROR")</f>
        <v>1</v>
      </c>
      <c r="J54" s="7">
        <f>IF(Data!J54=Entry2!J54,Data!J54,"ERROR")</f>
        <v>0</v>
      </c>
      <c r="K54" s="7" t="str">
        <f>IF(Data!K54=Entry2!K54,Data!K54,"ERROR")</f>
        <v>STEDIE</v>
      </c>
      <c r="L54" s="7" t="str">
        <f>IF(Data!L54=Entry2!L54,Data!L54,"ERROR")</f>
        <v>ERROR</v>
      </c>
      <c r="M54" s="7">
        <f>IF(Data!N54=Entry2!M54,Data!N54,"ERROR")</f>
        <v>0</v>
      </c>
    </row>
    <row r="55" spans="1:13" ht="13.2" hidden="1" x14ac:dyDescent="0.25">
      <c r="A55" s="7">
        <f>IF(Data!A55=Entry2!A55,Data!A55,"ERROR")</f>
        <v>2</v>
      </c>
      <c r="B55" s="7">
        <f>IF(Data!B55=Entry2!B55,Data!B55,"ERROR")</f>
        <v>2023</v>
      </c>
      <c r="C55" s="17">
        <f>IF(Data!C55=Entry2!C55,Data!C55,"ERROR")</f>
        <v>45197</v>
      </c>
      <c r="D55" s="7" t="str">
        <f>IF(Data!D55=Entry2!D55,Data!D55,"ERROR")</f>
        <v>MG, TL</v>
      </c>
      <c r="E55" s="7" t="str">
        <f>IF(Data!E55=Entry2!E55,Data!E55,"ERROR")</f>
        <v>GB</v>
      </c>
      <c r="F55" s="7">
        <f>IF(Data!F55=Entry2!F55,Data!F55,"ERROR")</f>
        <v>1</v>
      </c>
      <c r="G55" s="7" t="str">
        <f>IF(Data!G55=Entry2!G55,Data!G55,"ERROR")</f>
        <v>SU</v>
      </c>
      <c r="H55" s="7">
        <f>IF(Data!H55=Entry2!H55,Data!H55,"ERROR")</f>
        <v>2</v>
      </c>
      <c r="I55" s="7">
        <f>IF(Data!I55=Entry2!I55,Data!I55,"ERROR")</f>
        <v>1</v>
      </c>
      <c r="J55" s="7">
        <f>IF(Data!J55=Entry2!J55,Data!J55,"ERROR")</f>
        <v>1</v>
      </c>
      <c r="K55" s="7" t="str">
        <f>IF(Data!K55=Entry2!K55,Data!K55,"ERROR")</f>
        <v>L</v>
      </c>
      <c r="L55" s="7" t="str">
        <f>IF(Data!L55=Entry2!L55,Data!L55,"ERROR")</f>
        <v>ERROR</v>
      </c>
      <c r="M55" s="7">
        <f>IF(Data!N55=Entry2!M55,Data!N55,"ERROR")</f>
        <v>0</v>
      </c>
    </row>
    <row r="56" spans="1:13" ht="13.2" hidden="1" x14ac:dyDescent="0.25">
      <c r="A56" s="7">
        <f>IF(Data!A56=Entry2!A56,Data!A56,"ERROR")</f>
        <v>2</v>
      </c>
      <c r="B56" s="7">
        <f>IF(Data!B56=Entry2!B56,Data!B56,"ERROR")</f>
        <v>2023</v>
      </c>
      <c r="C56" s="17">
        <f>IF(Data!C56=Entry2!C56,Data!C56,"ERROR")</f>
        <v>45197</v>
      </c>
      <c r="D56" s="7" t="str">
        <f>IF(Data!D56=Entry2!D56,Data!D56,"ERROR")</f>
        <v>MG, TL</v>
      </c>
      <c r="E56" s="7" t="str">
        <f>IF(Data!E56=Entry2!E56,Data!E56,"ERROR")</f>
        <v>GB</v>
      </c>
      <c r="F56" s="7">
        <f>IF(Data!F56=Entry2!F56,Data!F56,"ERROR")</f>
        <v>1</v>
      </c>
      <c r="G56" s="7" t="str">
        <f>IF(Data!G56=Entry2!G56,Data!G56,"ERROR")</f>
        <v>SU</v>
      </c>
      <c r="H56" s="7">
        <f>IF(Data!H56=Entry2!H56,Data!H56,"ERROR")</f>
        <v>2</v>
      </c>
      <c r="I56" s="7">
        <f>IF(Data!I56=Entry2!I56,Data!I56,"ERROR")</f>
        <v>1</v>
      </c>
      <c r="J56" s="7">
        <f>IF(Data!J56=Entry2!J56,Data!J56,"ERROR")</f>
        <v>1</v>
      </c>
      <c r="K56" s="7" t="str">
        <f>IF(Data!K56=Entry2!K56,Data!K56,"ERROR")</f>
        <v>STEDIE</v>
      </c>
      <c r="L56" s="7" t="str">
        <f>IF(Data!L56=Entry2!L56,Data!L56,"ERROR")</f>
        <v>ERROR</v>
      </c>
      <c r="M56" s="7">
        <f>IF(Data!N56=Entry2!M56,Data!N56,"ERROR")</f>
        <v>0</v>
      </c>
    </row>
    <row r="57" spans="1:13" ht="13.2" hidden="1" x14ac:dyDescent="0.25">
      <c r="A57" s="7">
        <f>IF(Data!A57=Entry2!A57,Data!A57,"ERROR")</f>
        <v>2</v>
      </c>
      <c r="B57" s="7">
        <f>IF(Data!B57=Entry2!B57,Data!B57,"ERROR")</f>
        <v>2023</v>
      </c>
      <c r="C57" s="17">
        <f>IF(Data!C57=Entry2!C57,Data!C57,"ERROR")</f>
        <v>45197</v>
      </c>
      <c r="D57" s="7" t="str">
        <f>IF(Data!D57=Entry2!D57,Data!D57,"ERROR")</f>
        <v>MG, TL</v>
      </c>
      <c r="E57" s="7" t="str">
        <f>IF(Data!E57=Entry2!E57,Data!E57,"ERROR")</f>
        <v>GB</v>
      </c>
      <c r="F57" s="7">
        <f>IF(Data!F57=Entry2!F57,Data!F57,"ERROR")</f>
        <v>1</v>
      </c>
      <c r="G57" s="7" t="str">
        <f>IF(Data!G57=Entry2!G57,Data!G57,"ERROR")</f>
        <v>SU</v>
      </c>
      <c r="H57" s="7">
        <f>IF(Data!H57=Entry2!H57,Data!H57,"ERROR")</f>
        <v>2</v>
      </c>
      <c r="I57" s="7">
        <f>IF(Data!I57=Entry2!I57,Data!I57,"ERROR")</f>
        <v>1</v>
      </c>
      <c r="J57" s="7">
        <f>IF(Data!J57=Entry2!J57,Data!J57,"ERROR")</f>
        <v>1</v>
      </c>
      <c r="K57" s="7" t="str">
        <f>IF(Data!K57=Entry2!K57,Data!K57,"ERROR")</f>
        <v>CENMEL</v>
      </c>
      <c r="L57" s="7" t="str">
        <f>IF(Data!L57=Entry2!L57,Data!L57,"ERROR")</f>
        <v>ERROR</v>
      </c>
      <c r="M57" s="7">
        <f>IF(Data!N57=Entry2!M57,Data!N57,"ERROR")</f>
        <v>0</v>
      </c>
    </row>
    <row r="58" spans="1:13" ht="13.2" hidden="1" x14ac:dyDescent="0.25">
      <c r="A58" s="7">
        <f>IF(Data!A58=Entry2!A58,Data!A58,"ERROR")</f>
        <v>2</v>
      </c>
      <c r="B58" s="7">
        <f>IF(Data!B58=Entry2!B58,Data!B58,"ERROR")</f>
        <v>2023</v>
      </c>
      <c r="C58" s="17">
        <f>IF(Data!C58=Entry2!C58,Data!C58,"ERROR")</f>
        <v>45197</v>
      </c>
      <c r="D58" s="7" t="str">
        <f>IF(Data!D58=Entry2!D58,Data!D58,"ERROR")</f>
        <v>MG, TL</v>
      </c>
      <c r="E58" s="7" t="str">
        <f>IF(Data!E58=Entry2!E58,Data!E58,"ERROR")</f>
        <v>GB</v>
      </c>
      <c r="F58" s="7">
        <f>IF(Data!F58=Entry2!F58,Data!F58,"ERROR")</f>
        <v>1</v>
      </c>
      <c r="G58" s="7" t="str">
        <f>IF(Data!G58=Entry2!G58,Data!G58,"ERROR")</f>
        <v>SU</v>
      </c>
      <c r="H58" s="7">
        <f>IF(Data!H58=Entry2!H58,Data!H58,"ERROR")</f>
        <v>3</v>
      </c>
      <c r="I58" s="7">
        <f>IF(Data!I58=Entry2!I58,Data!I58,"ERROR")</f>
        <v>1</v>
      </c>
      <c r="J58" s="7">
        <f>IF(Data!J58=Entry2!J58,Data!J58,"ERROR")</f>
        <v>1.5</v>
      </c>
      <c r="K58" s="7" t="str">
        <f>IF(Data!K58=Entry2!K58,Data!K58,"ERROR")</f>
        <v>L</v>
      </c>
      <c r="L58" s="7" t="str">
        <f>IF(Data!L58=Entry2!L58,Data!L58,"ERROR")</f>
        <v>ERROR</v>
      </c>
      <c r="M58" s="7">
        <f>IF(Data!N58=Entry2!M58,Data!N58,"ERROR")</f>
        <v>0</v>
      </c>
    </row>
    <row r="59" spans="1:13" ht="13.2" hidden="1" x14ac:dyDescent="0.25">
      <c r="A59" s="7">
        <f>IF(Data!A59=Entry2!A59,Data!A59,"ERROR")</f>
        <v>2</v>
      </c>
      <c r="B59" s="7">
        <f>IF(Data!B59=Entry2!B59,Data!B59,"ERROR")</f>
        <v>2023</v>
      </c>
      <c r="C59" s="17">
        <f>IF(Data!C59=Entry2!C59,Data!C59,"ERROR")</f>
        <v>45197</v>
      </c>
      <c r="D59" s="7" t="str">
        <f>IF(Data!D59=Entry2!D59,Data!D59,"ERROR")</f>
        <v>MG, TL</v>
      </c>
      <c r="E59" s="7" t="str">
        <f>IF(Data!E59=Entry2!E59,Data!E59,"ERROR")</f>
        <v>GB</v>
      </c>
      <c r="F59" s="7">
        <f>IF(Data!F59=Entry2!F59,Data!F59,"ERROR")</f>
        <v>1</v>
      </c>
      <c r="G59" s="7" t="str">
        <f>IF(Data!G59=Entry2!G59,Data!G59,"ERROR")</f>
        <v>SU</v>
      </c>
      <c r="H59" s="7">
        <f>IF(Data!H59=Entry2!H59,Data!H59,"ERROR")</f>
        <v>3</v>
      </c>
      <c r="I59" s="7">
        <f>IF(Data!I59=Entry2!I59,Data!I59,"ERROR")</f>
        <v>1</v>
      </c>
      <c r="J59" s="7">
        <f>IF(Data!J59=Entry2!J59,Data!J59,"ERROR")</f>
        <v>1.5</v>
      </c>
      <c r="K59" s="7" t="str">
        <f>IF(Data!K59=Entry2!K59,Data!K59,"ERROR")</f>
        <v>STEDIE</v>
      </c>
      <c r="L59" s="7" t="str">
        <f>IF(Data!L59=Entry2!L59,Data!L59,"ERROR")</f>
        <v>ERROR</v>
      </c>
      <c r="M59" s="7">
        <f>IF(Data!N59=Entry2!M59,Data!N59,"ERROR")</f>
        <v>0</v>
      </c>
    </row>
    <row r="60" spans="1:13" ht="13.2" hidden="1" x14ac:dyDescent="0.25">
      <c r="A60" s="7">
        <f>IF(Data!A60=Entry2!A60,Data!A60,"ERROR")</f>
        <v>2</v>
      </c>
      <c r="B60" s="7">
        <f>IF(Data!B60=Entry2!B60,Data!B60,"ERROR")</f>
        <v>2023</v>
      </c>
      <c r="C60" s="17">
        <f>IF(Data!C60=Entry2!C60,Data!C60,"ERROR")</f>
        <v>45197</v>
      </c>
      <c r="D60" s="7" t="str">
        <f>IF(Data!D60=Entry2!D60,Data!D60,"ERROR")</f>
        <v>MG, TL</v>
      </c>
      <c r="E60" s="7" t="str">
        <f>IF(Data!E60=Entry2!E60,Data!E60,"ERROR")</f>
        <v>GB</v>
      </c>
      <c r="F60" s="7">
        <f>IF(Data!F60=Entry2!F60,Data!F60,"ERROR")</f>
        <v>1</v>
      </c>
      <c r="G60" s="7" t="str">
        <f>IF(Data!G60=Entry2!G60,Data!G60,"ERROR")</f>
        <v>SU</v>
      </c>
      <c r="H60" s="7">
        <f>IF(Data!H60=Entry2!H60,Data!H60,"ERROR")</f>
        <v>4</v>
      </c>
      <c r="I60" s="7">
        <f>IF(Data!I60=Entry2!I60,Data!I60,"ERROR")</f>
        <v>1</v>
      </c>
      <c r="J60" s="7">
        <f>IF(Data!J60=Entry2!J60,Data!J60,"ERROR")</f>
        <v>2</v>
      </c>
      <c r="K60" s="7" t="str">
        <f>IF(Data!K60=Entry2!K60,Data!K60,"ERROR")</f>
        <v>L</v>
      </c>
      <c r="L60" s="7" t="str">
        <f>IF(Data!L60=Entry2!L60,Data!L60,"ERROR")</f>
        <v>ERROR</v>
      </c>
      <c r="M60" s="7">
        <f>IF(Data!N60=Entry2!M60,Data!N60,"ERROR")</f>
        <v>0</v>
      </c>
    </row>
    <row r="61" spans="1:13" ht="13.2" hidden="1" x14ac:dyDescent="0.25">
      <c r="A61" s="7">
        <f>IF(Data!A61=Entry2!A61,Data!A61,"ERROR")</f>
        <v>2</v>
      </c>
      <c r="B61" s="7">
        <f>IF(Data!B61=Entry2!B61,Data!B61,"ERROR")</f>
        <v>2023</v>
      </c>
      <c r="C61" s="17">
        <f>IF(Data!C61=Entry2!C61,Data!C61,"ERROR")</f>
        <v>45197</v>
      </c>
      <c r="D61" s="7" t="str">
        <f>IF(Data!D61=Entry2!D61,Data!D61,"ERROR")</f>
        <v>MG, TL</v>
      </c>
      <c r="E61" s="7" t="str">
        <f>IF(Data!E61=Entry2!E61,Data!E61,"ERROR")</f>
        <v>GB</v>
      </c>
      <c r="F61" s="7">
        <f>IF(Data!F61=Entry2!F61,Data!F61,"ERROR")</f>
        <v>1</v>
      </c>
      <c r="G61" s="7" t="str">
        <f>IF(Data!G61=Entry2!G61,Data!G61,"ERROR")</f>
        <v>SU</v>
      </c>
      <c r="H61" s="7">
        <f>IF(Data!H61=Entry2!H61,Data!H61,"ERROR")</f>
        <v>4</v>
      </c>
      <c r="I61" s="7">
        <f>IF(Data!I61=Entry2!I61,Data!I61,"ERROR")</f>
        <v>1</v>
      </c>
      <c r="J61" s="7">
        <f>IF(Data!J61=Entry2!J61,Data!J61,"ERROR")</f>
        <v>2</v>
      </c>
      <c r="K61" s="7" t="str">
        <f>IF(Data!K61=Entry2!K61,Data!K61,"ERROR")</f>
        <v>STEDIE</v>
      </c>
      <c r="L61" s="7" t="str">
        <f>IF(Data!L61=Entry2!L61,Data!L61,"ERROR")</f>
        <v>ERROR</v>
      </c>
      <c r="M61" s="7">
        <f>IF(Data!N61=Entry2!M61,Data!N61,"ERROR")</f>
        <v>0</v>
      </c>
    </row>
    <row r="62" spans="1:13" ht="13.2" hidden="1" x14ac:dyDescent="0.25">
      <c r="A62" s="7">
        <f>IF(Data!A62=Entry2!A62,Data!A62,"ERROR")</f>
        <v>2</v>
      </c>
      <c r="B62" s="7">
        <f>IF(Data!B62=Entry2!B62,Data!B62,"ERROR")</f>
        <v>2023</v>
      </c>
      <c r="C62" s="17">
        <f>IF(Data!C62=Entry2!C62,Data!C62,"ERROR")</f>
        <v>45197</v>
      </c>
      <c r="D62" s="7" t="str">
        <f>IF(Data!D62=Entry2!D62,Data!D62,"ERROR")</f>
        <v>MG, TL</v>
      </c>
      <c r="E62" s="7" t="str">
        <f>IF(Data!E62=Entry2!E62,Data!E62,"ERROR")</f>
        <v>GB</v>
      </c>
      <c r="F62" s="7">
        <f>IF(Data!F62=Entry2!F62,Data!F62,"ERROR")</f>
        <v>1</v>
      </c>
      <c r="G62" s="7" t="str">
        <f>IF(Data!G62=Entry2!G62,Data!G62,"ERROR")</f>
        <v>SU</v>
      </c>
      <c r="H62" s="7">
        <f>IF(Data!H62=Entry2!H62,Data!H62,"ERROR")</f>
        <v>4</v>
      </c>
      <c r="I62" s="7">
        <f>IF(Data!I62=Entry2!I62,Data!I62,"ERROR")</f>
        <v>1</v>
      </c>
      <c r="J62" s="7">
        <f>IF(Data!J62=Entry2!J62,Data!J62,"ERROR")</f>
        <v>2</v>
      </c>
      <c r="K62" s="7" t="str">
        <f>IF(Data!K62=Entry2!K62,Data!K62,"ERROR")</f>
        <v>EUPFEN</v>
      </c>
      <c r="L62" s="7" t="e">
        <f>IF(Data!L62=Entry2!L62,Data!L62,"ERROR")</f>
        <v>#N/A</v>
      </c>
      <c r="M62" s="7" t="str">
        <f>IF(Data!N62=Entry2!M62,Data!N62,"ERROR")</f>
        <v>ERROR</v>
      </c>
    </row>
    <row r="63" spans="1:13" ht="13.2" hidden="1" x14ac:dyDescent="0.25">
      <c r="A63" s="7">
        <f>IF(Data!A63=Entry2!A63,Data!A63,"ERROR")</f>
        <v>2</v>
      </c>
      <c r="B63" s="7">
        <f>IF(Data!B63=Entry2!B63,Data!B63,"ERROR")</f>
        <v>2023</v>
      </c>
      <c r="C63" s="17">
        <f>IF(Data!C63=Entry2!C63,Data!C63,"ERROR")</f>
        <v>45197</v>
      </c>
      <c r="D63" s="7" t="str">
        <f>IF(Data!D63=Entry2!D63,Data!D63,"ERROR")</f>
        <v>MG, TL</v>
      </c>
      <c r="E63" s="7" t="str">
        <f>IF(Data!E63=Entry2!E63,Data!E63,"ERROR")</f>
        <v>GB</v>
      </c>
      <c r="F63" s="7">
        <f>IF(Data!F63=Entry2!F63,Data!F63,"ERROR")</f>
        <v>1</v>
      </c>
      <c r="G63" s="7" t="str">
        <f>IF(Data!G63=Entry2!G63,Data!G63,"ERROR")</f>
        <v>SU</v>
      </c>
      <c r="H63" s="7">
        <f>IF(Data!H63=Entry2!H63,Data!H63,"ERROR")</f>
        <v>5</v>
      </c>
      <c r="I63" s="7">
        <f>IF(Data!I63=Entry2!I63,Data!I63,"ERROR")</f>
        <v>1</v>
      </c>
      <c r="J63" s="7">
        <f>IF(Data!J63=Entry2!J63,Data!J63,"ERROR")</f>
        <v>3</v>
      </c>
      <c r="K63" s="7" t="str">
        <f>IF(Data!K63=Entry2!K63,Data!K63,"ERROR")</f>
        <v>L</v>
      </c>
      <c r="L63" s="7" t="str">
        <f>IF(Data!L63=Entry2!L63,Data!L63,"ERROR")</f>
        <v>ERROR</v>
      </c>
      <c r="M63" s="7">
        <f>IF(Data!N63=Entry2!M63,Data!N63,"ERROR")</f>
        <v>0</v>
      </c>
    </row>
    <row r="64" spans="1:13" ht="13.2" hidden="1" x14ac:dyDescent="0.25">
      <c r="A64" s="7">
        <f>IF(Data!A64=Entry2!A64,Data!A64,"ERROR")</f>
        <v>2</v>
      </c>
      <c r="B64" s="7">
        <f>IF(Data!B64=Entry2!B64,Data!B64,"ERROR")</f>
        <v>2023</v>
      </c>
      <c r="C64" s="17">
        <f>IF(Data!C64=Entry2!C64,Data!C64,"ERROR")</f>
        <v>45197</v>
      </c>
      <c r="D64" s="7" t="str">
        <f>IF(Data!D64=Entry2!D64,Data!D64,"ERROR")</f>
        <v>MG, TL</v>
      </c>
      <c r="E64" s="7" t="str">
        <f>IF(Data!E64=Entry2!E64,Data!E64,"ERROR")</f>
        <v>GB</v>
      </c>
      <c r="F64" s="7">
        <f>IF(Data!F64=Entry2!F64,Data!F64,"ERROR")</f>
        <v>1</v>
      </c>
      <c r="G64" s="7" t="str">
        <f>IF(Data!G64=Entry2!G64,Data!G64,"ERROR")</f>
        <v>SU</v>
      </c>
      <c r="H64" s="7">
        <f>IF(Data!H64=Entry2!H64,Data!H64,"ERROR")</f>
        <v>5</v>
      </c>
      <c r="I64" s="7">
        <f>IF(Data!I64=Entry2!I64,Data!I64,"ERROR")</f>
        <v>1</v>
      </c>
      <c r="J64" s="7">
        <f>IF(Data!J64=Entry2!J64,Data!J64,"ERROR")</f>
        <v>3</v>
      </c>
      <c r="K64" s="7" t="str">
        <f>IF(Data!K64=Entry2!K64,Data!K64,"ERROR")</f>
        <v>STEDIE</v>
      </c>
      <c r="L64" s="7" t="str">
        <f>IF(Data!L64=Entry2!L64,Data!L64,"ERROR")</f>
        <v>ERROR</v>
      </c>
      <c r="M64" s="7">
        <f>IF(Data!N64=Entry2!M64,Data!N64,"ERROR")</f>
        <v>0</v>
      </c>
    </row>
    <row r="65" spans="1:13" ht="13.2" hidden="1" x14ac:dyDescent="0.25">
      <c r="A65" s="7">
        <f>IF(Data!A65=Entry2!A65,Data!A65,"ERROR")</f>
        <v>2</v>
      </c>
      <c r="B65" s="7">
        <f>IF(Data!B65=Entry2!B65,Data!B65,"ERROR")</f>
        <v>2023</v>
      </c>
      <c r="C65" s="17">
        <f>IF(Data!C65=Entry2!C65,Data!C65,"ERROR")</f>
        <v>45197</v>
      </c>
      <c r="D65" s="7" t="str">
        <f>IF(Data!D65=Entry2!D65,Data!D65,"ERROR")</f>
        <v>MG, TL</v>
      </c>
      <c r="E65" s="7" t="str">
        <f>IF(Data!E65=Entry2!E65,Data!E65,"ERROR")</f>
        <v>GB</v>
      </c>
      <c r="F65" s="7">
        <f>IF(Data!F65=Entry2!F65,Data!F65,"ERROR")</f>
        <v>1</v>
      </c>
      <c r="G65" s="7" t="str">
        <f>IF(Data!G65=Entry2!G65,Data!G65,"ERROR")</f>
        <v>SU</v>
      </c>
      <c r="H65" s="7">
        <f>IF(Data!H65=Entry2!H65,Data!H65,"ERROR")</f>
        <v>6</v>
      </c>
      <c r="I65" s="7">
        <f>IF(Data!I65=Entry2!I65,Data!I65,"ERROR")</f>
        <v>1</v>
      </c>
      <c r="J65" s="7">
        <f>IF(Data!J65=Entry2!J65,Data!J65,"ERROR")</f>
        <v>3.5</v>
      </c>
      <c r="K65" s="7" t="str">
        <f>IF(Data!K65=Entry2!K65,Data!K65,"ERROR")</f>
        <v>L</v>
      </c>
      <c r="L65" s="7" t="str">
        <f>IF(Data!L65=Entry2!L65,Data!L65,"ERROR")</f>
        <v>ERROR</v>
      </c>
      <c r="M65" s="7">
        <f>IF(Data!N65=Entry2!M65,Data!N65,"ERROR")</f>
        <v>0</v>
      </c>
    </row>
    <row r="66" spans="1:13" ht="13.2" hidden="1" x14ac:dyDescent="0.25">
      <c r="A66" s="7">
        <f>IF(Data!A66=Entry2!A66,Data!A66,"ERROR")</f>
        <v>2</v>
      </c>
      <c r="B66" s="7">
        <f>IF(Data!B66=Entry2!B66,Data!B66,"ERROR")</f>
        <v>2023</v>
      </c>
      <c r="C66" s="17">
        <f>IF(Data!C66=Entry2!C66,Data!C66,"ERROR")</f>
        <v>45197</v>
      </c>
      <c r="D66" s="7" t="str">
        <f>IF(Data!D66=Entry2!D66,Data!D66,"ERROR")</f>
        <v>MG, TL</v>
      </c>
      <c r="E66" s="7" t="str">
        <f>IF(Data!E66=Entry2!E66,Data!E66,"ERROR")</f>
        <v>GB</v>
      </c>
      <c r="F66" s="7">
        <f>IF(Data!F66=Entry2!F66,Data!F66,"ERROR")</f>
        <v>1</v>
      </c>
      <c r="G66" s="7" t="str">
        <f>IF(Data!G66=Entry2!G66,Data!G66,"ERROR")</f>
        <v>SU</v>
      </c>
      <c r="H66" s="7">
        <f>IF(Data!H66=Entry2!H66,Data!H66,"ERROR")</f>
        <v>6</v>
      </c>
      <c r="I66" s="7">
        <f>IF(Data!I66=Entry2!I66,Data!I66,"ERROR")</f>
        <v>1</v>
      </c>
      <c r="J66" s="7">
        <f>IF(Data!J66=Entry2!J66,Data!J66,"ERROR")</f>
        <v>3.5</v>
      </c>
      <c r="K66" s="7" t="str">
        <f>IF(Data!K66=Entry2!K66,Data!K66,"ERROR")</f>
        <v>EUPFEN</v>
      </c>
      <c r="L66" s="7" t="e">
        <f>IF(Data!L66=Entry2!L66,Data!L66,"ERROR")</f>
        <v>#N/A</v>
      </c>
      <c r="M66" s="7">
        <f>IF(Data!N66=Entry2!M66,Data!N66,"ERROR")</f>
        <v>0</v>
      </c>
    </row>
    <row r="67" spans="1:13" ht="13.2" hidden="1" x14ac:dyDescent="0.25">
      <c r="A67" s="7">
        <f>IF(Data!A67=Entry2!A67,Data!A67,"ERROR")</f>
        <v>2</v>
      </c>
      <c r="B67" s="7">
        <f>IF(Data!B67=Entry2!B67,Data!B67,"ERROR")</f>
        <v>2023</v>
      </c>
      <c r="C67" s="17">
        <f>IF(Data!C67=Entry2!C67,Data!C67,"ERROR")</f>
        <v>45197</v>
      </c>
      <c r="D67" s="7" t="str">
        <f>IF(Data!D67=Entry2!D67,Data!D67,"ERROR")</f>
        <v>MG, TL</v>
      </c>
      <c r="E67" s="7" t="str">
        <f>IF(Data!E67=Entry2!E67,Data!E67,"ERROR")</f>
        <v>GB</v>
      </c>
      <c r="F67" s="7">
        <f>IF(Data!F67=Entry2!F67,Data!F67,"ERROR")</f>
        <v>1</v>
      </c>
      <c r="G67" s="7" t="str">
        <f>IF(Data!G67=Entry2!G67,Data!G67,"ERROR")</f>
        <v>SU</v>
      </c>
      <c r="H67" s="7">
        <f>IF(Data!H67=Entry2!H67,Data!H67,"ERROR")</f>
        <v>7</v>
      </c>
      <c r="I67" s="7">
        <f>IF(Data!I67=Entry2!I67,Data!I67,"ERROR")</f>
        <v>1</v>
      </c>
      <c r="J67" s="7">
        <f>IF(Data!J67=Entry2!J67,Data!J67,"ERROR")</f>
        <v>4</v>
      </c>
      <c r="K67" s="7" t="str">
        <f>IF(Data!K67=Entry2!K67,Data!K67,"ERROR")</f>
        <v>B</v>
      </c>
      <c r="L67" s="7" t="str">
        <f>IF(Data!L67=Entry2!L67,Data!L67,"ERROR")</f>
        <v>ERROR</v>
      </c>
      <c r="M67" s="7">
        <f>IF(Data!N67=Entry2!M67,Data!N67,"ERROR")</f>
        <v>0</v>
      </c>
    </row>
    <row r="68" spans="1:13" ht="13.2" hidden="1" x14ac:dyDescent="0.25">
      <c r="A68" s="7">
        <f>IF(Data!A68=Entry2!A68,Data!A68,"ERROR")</f>
        <v>2</v>
      </c>
      <c r="B68" s="7">
        <f>IF(Data!B68=Entry2!B68,Data!B68,"ERROR")</f>
        <v>2023</v>
      </c>
      <c r="C68" s="17">
        <f>IF(Data!C68=Entry2!C68,Data!C68,"ERROR")</f>
        <v>45197</v>
      </c>
      <c r="D68" s="7" t="str">
        <f>IF(Data!D68=Entry2!D68,Data!D68,"ERROR")</f>
        <v>MG, TL</v>
      </c>
      <c r="E68" s="7" t="str">
        <f>IF(Data!E68=Entry2!E68,Data!E68,"ERROR")</f>
        <v>GB</v>
      </c>
      <c r="F68" s="7">
        <f>IF(Data!F68=Entry2!F68,Data!F68,"ERROR")</f>
        <v>1</v>
      </c>
      <c r="G68" s="7" t="str">
        <f>IF(Data!G68=Entry2!G68,Data!G68,"ERROR")</f>
        <v>SU</v>
      </c>
      <c r="H68" s="7">
        <f>IF(Data!H68=Entry2!H68,Data!H68,"ERROR")</f>
        <v>8</v>
      </c>
      <c r="I68" s="7">
        <f>IF(Data!I68=Entry2!I68,Data!I68,"ERROR")</f>
        <v>1</v>
      </c>
      <c r="J68" s="7">
        <f>IF(Data!J68=Entry2!J68,Data!J68,"ERROR")</f>
        <v>5</v>
      </c>
      <c r="K68" s="7" t="str">
        <f>IF(Data!K68=Entry2!K68,Data!K68,"ERROR")</f>
        <v>L</v>
      </c>
      <c r="L68" s="7" t="str">
        <f>IF(Data!L68=Entry2!L68,Data!L68,"ERROR")</f>
        <v>ERROR</v>
      </c>
      <c r="M68" s="7">
        <f>IF(Data!N68=Entry2!M68,Data!N68,"ERROR")</f>
        <v>0</v>
      </c>
    </row>
    <row r="69" spans="1:13" ht="13.2" hidden="1" x14ac:dyDescent="0.25">
      <c r="A69" s="7">
        <f>IF(Data!A69=Entry2!A69,Data!A69,"ERROR")</f>
        <v>2</v>
      </c>
      <c r="B69" s="7">
        <f>IF(Data!B69=Entry2!B69,Data!B69,"ERROR")</f>
        <v>2023</v>
      </c>
      <c r="C69" s="17">
        <f>IF(Data!C69=Entry2!C69,Data!C69,"ERROR")</f>
        <v>45197</v>
      </c>
      <c r="D69" s="7" t="str">
        <f>IF(Data!D69=Entry2!D69,Data!D69,"ERROR")</f>
        <v>MG, TL</v>
      </c>
      <c r="E69" s="7" t="str">
        <f>IF(Data!E69=Entry2!E69,Data!E69,"ERROR")</f>
        <v>GB</v>
      </c>
      <c r="F69" s="7">
        <f>IF(Data!F69=Entry2!F69,Data!F69,"ERROR")</f>
        <v>1</v>
      </c>
      <c r="G69" s="7" t="str">
        <f>IF(Data!G69=Entry2!G69,Data!G69,"ERROR")</f>
        <v>SU</v>
      </c>
      <c r="H69" s="7">
        <f>IF(Data!H69=Entry2!H69,Data!H69,"ERROR")</f>
        <v>8</v>
      </c>
      <c r="I69" s="7">
        <f>IF(Data!I69=Entry2!I69,Data!I69,"ERROR")</f>
        <v>1</v>
      </c>
      <c r="J69" s="7">
        <f>IF(Data!J69=Entry2!J69,Data!J69,"ERROR")</f>
        <v>5</v>
      </c>
      <c r="K69" s="7" t="str">
        <f>IF(Data!K69=Entry2!K69,Data!K69,"ERROR")</f>
        <v>NNG</v>
      </c>
      <c r="L69" s="7" t="str">
        <f>IF(Data!L69=Entry2!L69,Data!L69,"ERROR")</f>
        <v>ERROR</v>
      </c>
      <c r="M69" s="7" t="str">
        <f>IF(Data!N69=Entry2!M69,Data!N69,"ERROR")</f>
        <v>ERROR</v>
      </c>
    </row>
    <row r="70" spans="1:13" ht="13.2" hidden="1" x14ac:dyDescent="0.25">
      <c r="A70" s="7">
        <f>IF(Data!A70=Entry2!A70,Data!A70,"ERROR")</f>
        <v>2</v>
      </c>
      <c r="B70" s="7">
        <f>IF(Data!B70=Entry2!B70,Data!B70,"ERROR")</f>
        <v>2023</v>
      </c>
      <c r="C70" s="17">
        <f>IF(Data!C70=Entry2!C70,Data!C70,"ERROR")</f>
        <v>45197</v>
      </c>
      <c r="D70" s="7" t="str">
        <f>IF(Data!D70=Entry2!D70,Data!D70,"ERROR")</f>
        <v>MG, TL</v>
      </c>
      <c r="E70" s="7" t="str">
        <f>IF(Data!E70=Entry2!E70,Data!E70,"ERROR")</f>
        <v>GB</v>
      </c>
      <c r="F70" s="7">
        <f>IF(Data!F70=Entry2!F70,Data!F70,"ERROR")</f>
        <v>1</v>
      </c>
      <c r="G70" s="7" t="str">
        <f>IF(Data!G70=Entry2!G70,Data!G70,"ERROR")</f>
        <v>SU</v>
      </c>
      <c r="H70" s="7">
        <f>IF(Data!H70=Entry2!H70,Data!H70,"ERROR")</f>
        <v>9</v>
      </c>
      <c r="I70" s="7">
        <f>IF(Data!I70=Entry2!I70,Data!I70,"ERROR")</f>
        <v>1</v>
      </c>
      <c r="J70" s="7">
        <f>IF(Data!J70=Entry2!J70,Data!J70,"ERROR")</f>
        <v>7</v>
      </c>
      <c r="K70" s="7" t="str">
        <f>IF(Data!K70=Entry2!K70,Data!K70,"ERROR")</f>
        <v>L</v>
      </c>
      <c r="L70" s="7" t="str">
        <f>IF(Data!L70=Entry2!L70,Data!L70,"ERROR")</f>
        <v>ERROR</v>
      </c>
      <c r="M70" s="7">
        <f>IF(Data!N70=Entry2!M70,Data!N70,"ERROR")</f>
        <v>0</v>
      </c>
    </row>
    <row r="71" spans="1:13" ht="13.2" hidden="1" x14ac:dyDescent="0.25">
      <c r="A71" s="7">
        <f>IF(Data!A71=Entry2!A71,Data!A71,"ERROR")</f>
        <v>2</v>
      </c>
      <c r="B71" s="7">
        <f>IF(Data!B71=Entry2!B71,Data!B71,"ERROR")</f>
        <v>2023</v>
      </c>
      <c r="C71" s="17">
        <f>IF(Data!C71=Entry2!C71,Data!C71,"ERROR")</f>
        <v>45197</v>
      </c>
      <c r="D71" s="7" t="str">
        <f>IF(Data!D71=Entry2!D71,Data!D71,"ERROR")</f>
        <v>MG, TL</v>
      </c>
      <c r="E71" s="7" t="str">
        <f>IF(Data!E71=Entry2!E71,Data!E71,"ERROR")</f>
        <v>GB</v>
      </c>
      <c r="F71" s="7">
        <f>IF(Data!F71=Entry2!F71,Data!F71,"ERROR")</f>
        <v>1</v>
      </c>
      <c r="G71" s="7" t="str">
        <f>IF(Data!G71=Entry2!G71,Data!G71,"ERROR")</f>
        <v>SU</v>
      </c>
      <c r="H71" s="7">
        <f>IF(Data!H71=Entry2!H71,Data!H71,"ERROR")</f>
        <v>9</v>
      </c>
      <c r="I71" s="7">
        <f>IF(Data!I71=Entry2!I71,Data!I71,"ERROR")</f>
        <v>1</v>
      </c>
      <c r="J71" s="7">
        <f>IF(Data!J71=Entry2!J71,Data!J71,"ERROR")</f>
        <v>7</v>
      </c>
      <c r="K71" s="7" t="str">
        <f>IF(Data!K71=Entry2!K71,Data!K71,"ERROR")</f>
        <v>STEDIE</v>
      </c>
      <c r="L71" s="7" t="str">
        <f>IF(Data!L71=Entry2!L71,Data!L71,"ERROR")</f>
        <v>ERROR</v>
      </c>
      <c r="M71" s="7">
        <f>IF(Data!N71=Entry2!M71,Data!N71,"ERROR")</f>
        <v>0</v>
      </c>
    </row>
    <row r="72" spans="1:13" ht="13.2" hidden="1" x14ac:dyDescent="0.25">
      <c r="A72" s="7">
        <f>IF(Data!A72=Entry2!A72,Data!A72,"ERROR")</f>
        <v>2</v>
      </c>
      <c r="B72" s="7">
        <f>IF(Data!B72=Entry2!B72,Data!B72,"ERROR")</f>
        <v>2023</v>
      </c>
      <c r="C72" s="17">
        <f>IF(Data!C72=Entry2!C72,Data!C72,"ERROR")</f>
        <v>45197</v>
      </c>
      <c r="D72" s="7" t="str">
        <f>IF(Data!D72=Entry2!D72,Data!D72,"ERROR")</f>
        <v>MG, TL</v>
      </c>
      <c r="E72" s="7" t="str">
        <f>IF(Data!E72=Entry2!E72,Data!E72,"ERROR")</f>
        <v>GB</v>
      </c>
      <c r="F72" s="7">
        <f>IF(Data!F72=Entry2!F72,Data!F72,"ERROR")</f>
        <v>1</v>
      </c>
      <c r="G72" s="7" t="str">
        <f>IF(Data!G72=Entry2!G72,Data!G72,"ERROR")</f>
        <v>SU</v>
      </c>
      <c r="H72" s="7">
        <f>IF(Data!H72=Entry2!H72,Data!H72,"ERROR")</f>
        <v>10</v>
      </c>
      <c r="I72" s="7">
        <f>IF(Data!I72=Entry2!I72,Data!I72,"ERROR")</f>
        <v>1</v>
      </c>
      <c r="J72" s="7">
        <f>IF(Data!J72=Entry2!J72,Data!J72,"ERROR")</f>
        <v>8</v>
      </c>
      <c r="K72" s="7" t="str">
        <f>IF(Data!K72=Entry2!K72,Data!K72,"ERROR")</f>
        <v>L</v>
      </c>
      <c r="L72" s="7" t="str">
        <f>IF(Data!L72=Entry2!L72,Data!L72,"ERROR")</f>
        <v>ERROR</v>
      </c>
      <c r="M72" s="7">
        <f>IF(Data!N72=Entry2!M72,Data!N72,"ERROR")</f>
        <v>0</v>
      </c>
    </row>
    <row r="73" spans="1:13" ht="13.2" hidden="1" x14ac:dyDescent="0.25">
      <c r="A73" s="7">
        <f>IF(Data!A73=Entry2!A73,Data!A73,"ERROR")</f>
        <v>2</v>
      </c>
      <c r="B73" s="7">
        <f>IF(Data!B73=Entry2!B73,Data!B73,"ERROR")</f>
        <v>2023</v>
      </c>
      <c r="C73" s="17">
        <f>IF(Data!C73=Entry2!C73,Data!C73,"ERROR")</f>
        <v>45197</v>
      </c>
      <c r="D73" s="7" t="str">
        <f>IF(Data!D73=Entry2!D73,Data!D73,"ERROR")</f>
        <v>MG, TL</v>
      </c>
      <c r="E73" s="7" t="str">
        <f>IF(Data!E73=Entry2!E73,Data!E73,"ERROR")</f>
        <v>GB</v>
      </c>
      <c r="F73" s="7">
        <f>IF(Data!F73=Entry2!F73,Data!F73,"ERROR")</f>
        <v>1</v>
      </c>
      <c r="G73" s="7" t="str">
        <f>IF(Data!G73=Entry2!G73,Data!G73,"ERROR")</f>
        <v>SU</v>
      </c>
      <c r="H73" s="7">
        <f>IF(Data!H73=Entry2!H73,Data!H73,"ERROR")</f>
        <v>11</v>
      </c>
      <c r="I73" s="7">
        <f>IF(Data!I73=Entry2!I73,Data!I73,"ERROR")</f>
        <v>1</v>
      </c>
      <c r="J73" s="7">
        <f>IF(Data!J73=Entry2!J73,Data!J73,"ERROR")</f>
        <v>8.5</v>
      </c>
      <c r="K73" s="7" t="str">
        <f>IF(Data!K73=Entry2!K73,Data!K73,"ERROR")</f>
        <v>L</v>
      </c>
      <c r="L73" s="7" t="str">
        <f>IF(Data!L73=Entry2!L73,Data!L73,"ERROR")</f>
        <v>ERROR</v>
      </c>
      <c r="M73" s="7">
        <f>IF(Data!N73=Entry2!M73,Data!N73,"ERROR")</f>
        <v>0</v>
      </c>
    </row>
    <row r="74" spans="1:13" ht="13.2" hidden="1" x14ac:dyDescent="0.25">
      <c r="A74" s="7">
        <f>IF(Data!A74=Entry2!A74,Data!A74,"ERROR")</f>
        <v>2</v>
      </c>
      <c r="B74" s="7">
        <f>IF(Data!B74=Entry2!B74,Data!B74,"ERROR")</f>
        <v>2023</v>
      </c>
      <c r="C74" s="17">
        <f>IF(Data!C74=Entry2!C74,Data!C74,"ERROR")</f>
        <v>45197</v>
      </c>
      <c r="D74" s="7" t="str">
        <f>IF(Data!D74=Entry2!D74,Data!D74,"ERROR")</f>
        <v>MG, TL</v>
      </c>
      <c r="E74" s="7" t="str">
        <f>IF(Data!E74=Entry2!E74,Data!E74,"ERROR")</f>
        <v>GB</v>
      </c>
      <c r="F74" s="7">
        <f>IF(Data!F74=Entry2!F74,Data!F74,"ERROR")</f>
        <v>1</v>
      </c>
      <c r="G74" s="7" t="str">
        <f>IF(Data!G74=Entry2!G74,Data!G74,"ERROR")</f>
        <v>SU</v>
      </c>
      <c r="H74" s="7">
        <f>IF(Data!H74=Entry2!H74,Data!H74,"ERROR")</f>
        <v>11</v>
      </c>
      <c r="I74" s="7">
        <f>IF(Data!I74=Entry2!I74,Data!I74,"ERROR")</f>
        <v>1</v>
      </c>
      <c r="J74" s="7">
        <f>IF(Data!J74=Entry2!J74,Data!J74,"ERROR")</f>
        <v>8.5</v>
      </c>
      <c r="K74" s="7" t="str">
        <f>IF(Data!K74=Entry2!K74,Data!K74,"ERROR")</f>
        <v>STEDIE</v>
      </c>
      <c r="L74" s="7" t="str">
        <f>IF(Data!L74=Entry2!L74,Data!L74,"ERROR")</f>
        <v>ERROR</v>
      </c>
      <c r="M74" s="7">
        <f>IF(Data!N74=Entry2!M74,Data!N74,"ERROR")</f>
        <v>0</v>
      </c>
    </row>
    <row r="75" spans="1:13" ht="13.2" hidden="1" x14ac:dyDescent="0.25">
      <c r="A75" s="7">
        <f>IF(Data!A75=Entry2!A75,Data!A75,"ERROR")</f>
        <v>2</v>
      </c>
      <c r="B75" s="7">
        <f>IF(Data!B75=Entry2!B75,Data!B75,"ERROR")</f>
        <v>2023</v>
      </c>
      <c r="C75" s="17">
        <f>IF(Data!C75=Entry2!C75,Data!C75,"ERROR")</f>
        <v>45197</v>
      </c>
      <c r="D75" s="7" t="str">
        <f>IF(Data!D75=Entry2!D75,Data!D75,"ERROR")</f>
        <v>MG, TL</v>
      </c>
      <c r="E75" s="7" t="str">
        <f>IF(Data!E75=Entry2!E75,Data!E75,"ERROR")</f>
        <v>GB</v>
      </c>
      <c r="F75" s="7">
        <f>IF(Data!F75=Entry2!F75,Data!F75,"ERROR")</f>
        <v>1</v>
      </c>
      <c r="G75" s="7" t="str">
        <f>IF(Data!G75=Entry2!G75,Data!G75,"ERROR")</f>
        <v>SU</v>
      </c>
      <c r="H75" s="7">
        <f>IF(Data!H75=Entry2!H75,Data!H75,"ERROR")</f>
        <v>12</v>
      </c>
      <c r="I75" s="7">
        <f>IF(Data!I75=Entry2!I75,Data!I75,"ERROR")</f>
        <v>1</v>
      </c>
      <c r="J75" s="7">
        <f>IF(Data!J75=Entry2!J75,Data!J75,"ERROR")</f>
        <v>9</v>
      </c>
      <c r="K75" s="7" t="str">
        <f>IF(Data!K75=Entry2!K75,Data!K75,"ERROR")</f>
        <v>L</v>
      </c>
      <c r="L75" s="7" t="str">
        <f>IF(Data!L75=Entry2!L75,Data!L75,"ERROR")</f>
        <v>ERROR</v>
      </c>
      <c r="M75" s="7">
        <f>IF(Data!N75=Entry2!M75,Data!N75,"ERROR")</f>
        <v>0</v>
      </c>
    </row>
    <row r="76" spans="1:13" ht="13.2" hidden="1" x14ac:dyDescent="0.25">
      <c r="A76" s="7">
        <f>IF(Data!A76=Entry2!A76,Data!A76,"ERROR")</f>
        <v>2</v>
      </c>
      <c r="B76" s="7">
        <f>IF(Data!B76=Entry2!B76,Data!B76,"ERROR")</f>
        <v>2023</v>
      </c>
      <c r="C76" s="17">
        <f>IF(Data!C76=Entry2!C76,Data!C76,"ERROR")</f>
        <v>45197</v>
      </c>
      <c r="D76" s="7" t="str">
        <f>IF(Data!D76=Entry2!D76,Data!D76,"ERROR")</f>
        <v>MG, TL</v>
      </c>
      <c r="E76" s="7" t="str">
        <f>IF(Data!E76=Entry2!E76,Data!E76,"ERROR")</f>
        <v>GB</v>
      </c>
      <c r="F76" s="7">
        <f>IF(Data!F76=Entry2!F76,Data!F76,"ERROR")</f>
        <v>1</v>
      </c>
      <c r="G76" s="7" t="str">
        <f>IF(Data!G76=Entry2!G76,Data!G76,"ERROR")</f>
        <v>SU</v>
      </c>
      <c r="H76" s="7">
        <f>IF(Data!H76=Entry2!H76,Data!H76,"ERROR")</f>
        <v>12</v>
      </c>
      <c r="I76" s="7">
        <f>IF(Data!I76=Entry2!I76,Data!I76,"ERROR")</f>
        <v>1</v>
      </c>
      <c r="J76" s="7">
        <f>IF(Data!J76=Entry2!J76,Data!J76,"ERROR")</f>
        <v>9</v>
      </c>
      <c r="K76" s="7" t="str">
        <f>IF(Data!K76=Entry2!K76,Data!K76,"ERROR")</f>
        <v>EUPMAC</v>
      </c>
      <c r="L76" s="7" t="e">
        <f>IF(Data!L76=Entry2!L76,Data!L76,"ERROR")</f>
        <v>#N/A</v>
      </c>
      <c r="M76" s="7" t="str">
        <f>IF(Data!N76=Entry2!M76,Data!N76,"ERROR")</f>
        <v>ERROR</v>
      </c>
    </row>
    <row r="77" spans="1:13" ht="13.2" hidden="1" x14ac:dyDescent="0.25">
      <c r="A77" s="7">
        <f>IF(Data!A77=Entry2!A77,Data!A77,"ERROR")</f>
        <v>2</v>
      </c>
      <c r="B77" s="7">
        <f>IF(Data!B77=Entry2!B77,Data!B77,"ERROR")</f>
        <v>2023</v>
      </c>
      <c r="C77" s="17">
        <f>IF(Data!C77=Entry2!C77,Data!C77,"ERROR")</f>
        <v>45197</v>
      </c>
      <c r="D77" s="7" t="str">
        <f>IF(Data!D77=Entry2!D77,Data!D77,"ERROR")</f>
        <v>MG, TL</v>
      </c>
      <c r="E77" s="7" t="str">
        <f>IF(Data!E77=Entry2!E77,Data!E77,"ERROR")</f>
        <v>GB</v>
      </c>
      <c r="F77" s="7">
        <f>IF(Data!F77=Entry2!F77,Data!F77,"ERROR")</f>
        <v>1</v>
      </c>
      <c r="G77" s="7" t="str">
        <f>IF(Data!G77=Entry2!G77,Data!G77,"ERROR")</f>
        <v>SU</v>
      </c>
      <c r="H77" s="7">
        <f>IF(Data!H77=Entry2!H77,Data!H77,"ERROR")</f>
        <v>13</v>
      </c>
      <c r="I77" s="7">
        <f>IF(Data!I77=Entry2!I77,Data!I77,"ERROR")</f>
        <v>1</v>
      </c>
      <c r="J77" s="7">
        <f>IF(Data!J77=Entry2!J77,Data!J77,"ERROR")</f>
        <v>10</v>
      </c>
      <c r="K77" s="7" t="str">
        <f>IF(Data!K77=Entry2!K77,Data!K77,"ERROR")</f>
        <v>B</v>
      </c>
      <c r="L77" s="7" t="str">
        <f>IF(Data!L77=Entry2!L77,Data!L77,"ERROR")</f>
        <v>ERROR</v>
      </c>
      <c r="M77" s="7">
        <f>IF(Data!N77=Entry2!M77,Data!N77,"ERROR")</f>
        <v>0</v>
      </c>
    </row>
    <row r="78" spans="1:13" ht="13.2" hidden="1" x14ac:dyDescent="0.25">
      <c r="A78" s="7">
        <f>IF(Data!A78=Entry2!A78,Data!A78,"ERROR")</f>
        <v>2</v>
      </c>
      <c r="B78" s="7">
        <f>IF(Data!B78=Entry2!B78,Data!B78,"ERROR")</f>
        <v>2023</v>
      </c>
      <c r="C78" s="17">
        <f>IF(Data!C78=Entry2!C78,Data!C78,"ERROR")</f>
        <v>45197</v>
      </c>
      <c r="D78" s="7" t="str">
        <f>IF(Data!D78=Entry2!D78,Data!D78,"ERROR")</f>
        <v>MG, TL</v>
      </c>
      <c r="E78" s="7" t="str">
        <f>IF(Data!E78=Entry2!E78,Data!E78,"ERROR")</f>
        <v>GB</v>
      </c>
      <c r="F78" s="7">
        <f>IF(Data!F78=Entry2!F78,Data!F78,"ERROR")</f>
        <v>1</v>
      </c>
      <c r="G78" s="7" t="str">
        <f>IF(Data!G78=Entry2!G78,Data!G78,"ERROR")</f>
        <v>SU</v>
      </c>
      <c r="H78" s="7">
        <f>IF(Data!H78=Entry2!H78,Data!H78,"ERROR")</f>
        <v>13</v>
      </c>
      <c r="I78" s="7">
        <f>IF(Data!I78=Entry2!I78,Data!I78,"ERROR")</f>
        <v>1</v>
      </c>
      <c r="J78" s="7">
        <f>IF(Data!J78=Entry2!J78,Data!J78,"ERROR")</f>
        <v>10</v>
      </c>
      <c r="K78" s="7" t="str">
        <f>IF(Data!K78=Entry2!K78,Data!K78,"ERROR")</f>
        <v>MALLAU</v>
      </c>
      <c r="L78" s="7" t="str">
        <f>IF(Data!L78=Entry2!L78,Data!L78,"ERROR")</f>
        <v>ERROR</v>
      </c>
      <c r="M78" s="7">
        <f>IF(Data!N78=Entry2!M78,Data!N78,"ERROR")</f>
        <v>0</v>
      </c>
    </row>
    <row r="79" spans="1:13" ht="13.2" hidden="1" x14ac:dyDescent="0.25">
      <c r="A79" s="7">
        <f>IF(Data!A79=Entry2!A79,Data!A79,"ERROR")</f>
        <v>2</v>
      </c>
      <c r="B79" s="7">
        <f>IF(Data!B79=Entry2!B79,Data!B79,"ERROR")</f>
        <v>2023</v>
      </c>
      <c r="C79" s="17">
        <f>IF(Data!C79=Entry2!C79,Data!C79,"ERROR")</f>
        <v>45197</v>
      </c>
      <c r="D79" s="7" t="str">
        <f>IF(Data!D79=Entry2!D79,Data!D79,"ERROR")</f>
        <v>MG, TL</v>
      </c>
      <c r="E79" s="7" t="str">
        <f>IF(Data!E79=Entry2!E79,Data!E79,"ERROR")</f>
        <v>GB</v>
      </c>
      <c r="F79" s="7">
        <f>IF(Data!F79=Entry2!F79,Data!F79,"ERROR")</f>
        <v>1</v>
      </c>
      <c r="G79" s="7" t="str">
        <f>IF(Data!G79=Entry2!G79,Data!G79,"ERROR")</f>
        <v>SU</v>
      </c>
      <c r="H79" s="7">
        <f>IF(Data!H79=Entry2!H79,Data!H79,"ERROR")</f>
        <v>14</v>
      </c>
      <c r="I79" s="7">
        <f>IF(Data!I79=Entry2!I79,Data!I79,"ERROR")</f>
        <v>1</v>
      </c>
      <c r="J79" s="7">
        <f>IF(Data!J79=Entry2!J79,Data!J79,"ERROR")</f>
        <v>11</v>
      </c>
      <c r="K79" s="7" t="str">
        <f>IF(Data!K79=Entry2!K79,Data!K79,"ERROR")</f>
        <v>B</v>
      </c>
      <c r="L79" s="7" t="str">
        <f>IF(Data!L79=Entry2!L79,Data!L79,"ERROR")</f>
        <v>ERROR</v>
      </c>
      <c r="M79" s="7">
        <f>IF(Data!N79=Entry2!M79,Data!N79,"ERROR")</f>
        <v>0</v>
      </c>
    </row>
    <row r="80" spans="1:13" ht="13.2" hidden="1" x14ac:dyDescent="0.25">
      <c r="A80" s="7">
        <f>IF(Data!A80=Entry2!A80,Data!A80,"ERROR")</f>
        <v>2</v>
      </c>
      <c r="B80" s="7">
        <f>IF(Data!B80=Entry2!B80,Data!B80,"ERROR")</f>
        <v>2023</v>
      </c>
      <c r="C80" s="17">
        <f>IF(Data!C80=Entry2!C80,Data!C80,"ERROR")</f>
        <v>45197</v>
      </c>
      <c r="D80" s="7" t="str">
        <f>IF(Data!D80=Entry2!D80,Data!D80,"ERROR")</f>
        <v>MG, TL</v>
      </c>
      <c r="E80" s="7" t="str">
        <f>IF(Data!E80=Entry2!E80,Data!E80,"ERROR")</f>
        <v>GB</v>
      </c>
      <c r="F80" s="7">
        <f>IF(Data!F80=Entry2!F80,Data!F80,"ERROR")</f>
        <v>1</v>
      </c>
      <c r="G80" s="7" t="str">
        <f>IF(Data!G80=Entry2!G80,Data!G80,"ERROR")</f>
        <v>SU</v>
      </c>
      <c r="H80" s="7">
        <f>IF(Data!H80=Entry2!H80,Data!H80,"ERROR")</f>
        <v>15</v>
      </c>
      <c r="I80" s="7">
        <f>IF(Data!I80=Entry2!I80,Data!I80,"ERROR")</f>
        <v>1</v>
      </c>
      <c r="J80" s="7">
        <f>IF(Data!J80=Entry2!J80,Data!J80,"ERROR")</f>
        <v>12</v>
      </c>
      <c r="K80" s="7" t="str">
        <f>IF(Data!K80=Entry2!K80,Data!K80,"ERROR")</f>
        <v>L</v>
      </c>
      <c r="L80" s="7" t="str">
        <f>IF(Data!L80=Entry2!L80,Data!L80,"ERROR")</f>
        <v>ERROR</v>
      </c>
      <c r="M80" s="7">
        <f>IF(Data!N80=Entry2!M80,Data!N80,"ERROR")</f>
        <v>0</v>
      </c>
    </row>
    <row r="81" spans="1:13" ht="13.2" hidden="1" x14ac:dyDescent="0.25">
      <c r="A81" s="7">
        <f>IF(Data!A81=Entry2!A81,Data!A81,"ERROR")</f>
        <v>2</v>
      </c>
      <c r="B81" s="7">
        <f>IF(Data!B81=Entry2!B81,Data!B81,"ERROR")</f>
        <v>2023</v>
      </c>
      <c r="C81" s="17">
        <f>IF(Data!C81=Entry2!C81,Data!C81,"ERROR")</f>
        <v>45197</v>
      </c>
      <c r="D81" s="7" t="str">
        <f>IF(Data!D81=Entry2!D81,Data!D81,"ERROR")</f>
        <v>MG, TL</v>
      </c>
      <c r="E81" s="7" t="str">
        <f>IF(Data!E81=Entry2!E81,Data!E81,"ERROR")</f>
        <v>GB</v>
      </c>
      <c r="F81" s="7">
        <f>IF(Data!F81=Entry2!F81,Data!F81,"ERROR")</f>
        <v>1</v>
      </c>
      <c r="G81" s="7" t="str">
        <f>IF(Data!G81=Entry2!G81,Data!G81,"ERROR")</f>
        <v>SU</v>
      </c>
      <c r="H81" s="7">
        <f>IF(Data!H81=Entry2!H81,Data!H81,"ERROR")</f>
        <v>1</v>
      </c>
      <c r="I81" s="7">
        <f>IF(Data!I81=Entry2!I81,Data!I81,"ERROR")</f>
        <v>2</v>
      </c>
      <c r="J81" s="7">
        <f>IF(Data!J81=Entry2!J81,Data!J81,"ERROR")</f>
        <v>0</v>
      </c>
      <c r="K81" s="7" t="str">
        <f>IF(Data!K81=Entry2!K81,Data!K81,"ERROR")</f>
        <v>B</v>
      </c>
      <c r="L81" s="7" t="str">
        <f>IF(Data!L81=Entry2!L81,Data!L81,"ERROR")</f>
        <v>ERROR</v>
      </c>
      <c r="M81" s="7">
        <f>IF(Data!N81=Entry2!M81,Data!N81,"ERROR")</f>
        <v>0</v>
      </c>
    </row>
    <row r="82" spans="1:13" ht="13.2" hidden="1" x14ac:dyDescent="0.25">
      <c r="A82" s="7">
        <f>IF(Data!A82=Entry2!A82,Data!A82,"ERROR")</f>
        <v>2</v>
      </c>
      <c r="B82" s="7">
        <f>IF(Data!B82=Entry2!B82,Data!B82,"ERROR")</f>
        <v>2023</v>
      </c>
      <c r="C82" s="17">
        <f>IF(Data!C82=Entry2!C82,Data!C82,"ERROR")</f>
        <v>45197</v>
      </c>
      <c r="D82" s="7" t="str">
        <f>IF(Data!D82=Entry2!D82,Data!D82,"ERROR")</f>
        <v>MG, TL</v>
      </c>
      <c r="E82" s="7" t="str">
        <f>IF(Data!E82=Entry2!E82,Data!E82,"ERROR")</f>
        <v>GB</v>
      </c>
      <c r="F82" s="7">
        <f>IF(Data!F82=Entry2!F82,Data!F82,"ERROR")</f>
        <v>1</v>
      </c>
      <c r="G82" s="7" t="str">
        <f>IF(Data!G82=Entry2!G82,Data!G82,"ERROR")</f>
        <v>SU</v>
      </c>
      <c r="H82" s="7">
        <f>IF(Data!H82=Entry2!H82,Data!H82,"ERROR")</f>
        <v>1</v>
      </c>
      <c r="I82" s="7">
        <f>IF(Data!I82=Entry2!I82,Data!I82,"ERROR")</f>
        <v>2</v>
      </c>
      <c r="J82" s="7">
        <f>IF(Data!J82=Entry2!J82,Data!J82,"ERROR")</f>
        <v>0</v>
      </c>
      <c r="K82" s="7" t="str">
        <f>IF(Data!K82=Entry2!K82,Data!K82,"ERROR")</f>
        <v>STEDIE</v>
      </c>
      <c r="L82" s="7" t="str">
        <f>IF(Data!L82=Entry2!L82,Data!L82,"ERROR")</f>
        <v>ERROR</v>
      </c>
      <c r="M82" s="7">
        <f>IF(Data!N82=Entry2!M82,Data!N82,"ERROR")</f>
        <v>0</v>
      </c>
    </row>
    <row r="83" spans="1:13" ht="13.2" hidden="1" x14ac:dyDescent="0.25">
      <c r="A83" s="7">
        <f>IF(Data!A83=Entry2!A83,Data!A83,"ERROR")</f>
        <v>2</v>
      </c>
      <c r="B83" s="7">
        <f>IF(Data!B83=Entry2!B83,Data!B83,"ERROR")</f>
        <v>2023</v>
      </c>
      <c r="C83" s="17">
        <f>IF(Data!C83=Entry2!C83,Data!C83,"ERROR")</f>
        <v>45197</v>
      </c>
      <c r="D83" s="7" t="str">
        <f>IF(Data!D83=Entry2!D83,Data!D83,"ERROR")</f>
        <v>MG, TL</v>
      </c>
      <c r="E83" s="7" t="str">
        <f>IF(Data!E83=Entry2!E83,Data!E83,"ERROR")</f>
        <v>GB</v>
      </c>
      <c r="F83" s="7">
        <f>IF(Data!F83=Entry2!F83,Data!F83,"ERROR")</f>
        <v>1</v>
      </c>
      <c r="G83" s="7" t="str">
        <f>IF(Data!G83=Entry2!G83,Data!G83,"ERROR")</f>
        <v>SU</v>
      </c>
      <c r="H83" s="7">
        <f>IF(Data!H83=Entry2!H83,Data!H83,"ERROR")</f>
        <v>1</v>
      </c>
      <c r="I83" s="7">
        <f>IF(Data!I83=Entry2!I83,Data!I83,"ERROR")</f>
        <v>2</v>
      </c>
      <c r="J83" s="7">
        <f>IF(Data!J83=Entry2!J83,Data!J83,"ERROR")</f>
        <v>0</v>
      </c>
      <c r="K83" s="7" t="str">
        <f>IF(Data!K83=Entry2!K83,Data!K83,"ERROR")</f>
        <v>EUPFEN</v>
      </c>
      <c r="L83" s="7" t="e">
        <f>IF(Data!L83=Entry2!L83,Data!L83,"ERROR")</f>
        <v>#N/A</v>
      </c>
      <c r="M83" s="7">
        <f>IF(Data!N83=Entry2!M83,Data!N83,"ERROR")</f>
        <v>0</v>
      </c>
    </row>
    <row r="84" spans="1:13" ht="13.2" hidden="1" x14ac:dyDescent="0.25">
      <c r="A84" s="7">
        <f>IF(Data!A84=Entry2!A84,Data!A84,"ERROR")</f>
        <v>2</v>
      </c>
      <c r="B84" s="7">
        <f>IF(Data!B84=Entry2!B84,Data!B84,"ERROR")</f>
        <v>2023</v>
      </c>
      <c r="C84" s="17">
        <f>IF(Data!C84=Entry2!C84,Data!C84,"ERROR")</f>
        <v>45197</v>
      </c>
      <c r="D84" s="7" t="str">
        <f>IF(Data!D84=Entry2!D84,Data!D84,"ERROR")</f>
        <v>MG, TL</v>
      </c>
      <c r="E84" s="7" t="str">
        <f>IF(Data!E84=Entry2!E84,Data!E84,"ERROR")</f>
        <v>GB</v>
      </c>
      <c r="F84" s="7">
        <f>IF(Data!F84=Entry2!F84,Data!F84,"ERROR")</f>
        <v>1</v>
      </c>
      <c r="G84" s="7" t="str">
        <f>IF(Data!G84=Entry2!G84,Data!G84,"ERROR")</f>
        <v>SU</v>
      </c>
      <c r="H84" s="7">
        <f>IF(Data!H84=Entry2!H84,Data!H84,"ERROR")</f>
        <v>2</v>
      </c>
      <c r="I84" s="7">
        <f>IF(Data!I84=Entry2!I84,Data!I84,"ERROR")</f>
        <v>2</v>
      </c>
      <c r="J84" s="7">
        <f>IF(Data!J84=Entry2!J84,Data!J84,"ERROR")</f>
        <v>1</v>
      </c>
      <c r="K84" s="7" t="str">
        <f>IF(Data!K84=Entry2!K84,Data!K84,"ERROR")</f>
        <v>R</v>
      </c>
      <c r="L84" s="7" t="str">
        <f>IF(Data!L84=Entry2!L84,Data!L84,"ERROR")</f>
        <v>ERROR</v>
      </c>
      <c r="M84" s="7">
        <f>IF(Data!N84=Entry2!M84,Data!N84,"ERROR")</f>
        <v>0</v>
      </c>
    </row>
    <row r="85" spans="1:13" ht="13.2" hidden="1" x14ac:dyDescent="0.25">
      <c r="A85" s="7">
        <f>IF(Data!A85=Entry2!A85,Data!A85,"ERROR")</f>
        <v>2</v>
      </c>
      <c r="B85" s="7">
        <f>IF(Data!B85=Entry2!B85,Data!B85,"ERROR")</f>
        <v>2023</v>
      </c>
      <c r="C85" s="17">
        <f>IF(Data!C85=Entry2!C85,Data!C85,"ERROR")</f>
        <v>45197</v>
      </c>
      <c r="D85" s="7" t="str">
        <f>IF(Data!D85=Entry2!D85,Data!D85,"ERROR")</f>
        <v>MG, TL</v>
      </c>
      <c r="E85" s="7" t="str">
        <f>IF(Data!E85=Entry2!E85,Data!E85,"ERROR")</f>
        <v>GB</v>
      </c>
      <c r="F85" s="7">
        <f>IF(Data!F85=Entry2!F85,Data!F85,"ERROR")</f>
        <v>1</v>
      </c>
      <c r="G85" s="7" t="str">
        <f>IF(Data!G85=Entry2!G85,Data!G85,"ERROR")</f>
        <v>SU</v>
      </c>
      <c r="H85" s="7">
        <f>IF(Data!H85=Entry2!H85,Data!H85,"ERROR")</f>
        <v>2</v>
      </c>
      <c r="I85" s="7">
        <f>IF(Data!I85=Entry2!I85,Data!I85,"ERROR")</f>
        <v>2</v>
      </c>
      <c r="J85" s="7">
        <f>IF(Data!J85=Entry2!J85,Data!J85,"ERROR")</f>
        <v>1</v>
      </c>
      <c r="K85" s="7" t="str">
        <f>IF(Data!K85=Entry2!K85,Data!K85,"ERROR")</f>
        <v>STEDIE</v>
      </c>
      <c r="L85" s="7" t="str">
        <f>IF(Data!L85=Entry2!L85,Data!L85,"ERROR")</f>
        <v>ERROR</v>
      </c>
      <c r="M85" s="7">
        <f>IF(Data!N85=Entry2!M85,Data!N85,"ERROR")</f>
        <v>0</v>
      </c>
    </row>
    <row r="86" spans="1:13" ht="13.2" hidden="1" x14ac:dyDescent="0.25">
      <c r="A86" s="7">
        <f>IF(Data!A86=Entry2!A86,Data!A86,"ERROR")</f>
        <v>2</v>
      </c>
      <c r="B86" s="7">
        <f>IF(Data!B86=Entry2!B86,Data!B86,"ERROR")</f>
        <v>2023</v>
      </c>
      <c r="C86" s="17">
        <f>IF(Data!C86=Entry2!C86,Data!C86,"ERROR")</f>
        <v>45197</v>
      </c>
      <c r="D86" s="7" t="str">
        <f>IF(Data!D86=Entry2!D86,Data!D86,"ERROR")</f>
        <v>MG, TL</v>
      </c>
      <c r="E86" s="7" t="str">
        <f>IF(Data!E86=Entry2!E86,Data!E86,"ERROR")</f>
        <v>GB</v>
      </c>
      <c r="F86" s="7">
        <f>IF(Data!F86=Entry2!F86,Data!F86,"ERROR")</f>
        <v>1</v>
      </c>
      <c r="G86" s="7" t="str">
        <f>IF(Data!G86=Entry2!G86,Data!G86,"ERROR")</f>
        <v>SU</v>
      </c>
      <c r="H86" s="7">
        <f>IF(Data!H86=Entry2!H86,Data!H86,"ERROR")</f>
        <v>3</v>
      </c>
      <c r="I86" s="7">
        <f>IF(Data!I86=Entry2!I86,Data!I86,"ERROR")</f>
        <v>2</v>
      </c>
      <c r="J86" s="7">
        <f>IF(Data!J86=Entry2!J86,Data!J86,"ERROR")</f>
        <v>1.5</v>
      </c>
      <c r="K86" s="7" t="str">
        <f>IF(Data!K86=Entry2!K86,Data!K86,"ERROR")</f>
        <v>L</v>
      </c>
      <c r="L86" s="7" t="str">
        <f>IF(Data!L86=Entry2!L86,Data!L86,"ERROR")</f>
        <v>ERROR</v>
      </c>
      <c r="M86" s="7">
        <f>IF(Data!N86=Entry2!M86,Data!N86,"ERROR")</f>
        <v>0</v>
      </c>
    </row>
    <row r="87" spans="1:13" ht="13.2" hidden="1" x14ac:dyDescent="0.25">
      <c r="A87" s="7">
        <f>IF(Data!A87=Entry2!A87,Data!A87,"ERROR")</f>
        <v>2</v>
      </c>
      <c r="B87" s="7">
        <f>IF(Data!B87=Entry2!B87,Data!B87,"ERROR")</f>
        <v>2023</v>
      </c>
      <c r="C87" s="17">
        <f>IF(Data!C87=Entry2!C87,Data!C87,"ERROR")</f>
        <v>45197</v>
      </c>
      <c r="D87" s="7" t="str">
        <f>IF(Data!D87=Entry2!D87,Data!D87,"ERROR")</f>
        <v>MG, TL</v>
      </c>
      <c r="E87" s="7" t="str">
        <f>IF(Data!E87=Entry2!E87,Data!E87,"ERROR")</f>
        <v>GB</v>
      </c>
      <c r="F87" s="7">
        <f>IF(Data!F87=Entry2!F87,Data!F87,"ERROR")</f>
        <v>1</v>
      </c>
      <c r="G87" s="7" t="str">
        <f>IF(Data!G87=Entry2!G87,Data!G87,"ERROR")</f>
        <v>SU</v>
      </c>
      <c r="H87" s="7">
        <f>IF(Data!H87=Entry2!H87,Data!H87,"ERROR")</f>
        <v>4</v>
      </c>
      <c r="I87" s="7">
        <f>IF(Data!I87=Entry2!I87,Data!I87,"ERROR")</f>
        <v>2</v>
      </c>
      <c r="J87" s="7">
        <f>IF(Data!J87=Entry2!J87,Data!J87,"ERROR")</f>
        <v>2</v>
      </c>
      <c r="K87" s="7" t="str">
        <f>IF(Data!K87=Entry2!K87,Data!K87,"ERROR")</f>
        <v>L</v>
      </c>
      <c r="L87" s="7" t="str">
        <f>IF(Data!L87=Entry2!L87,Data!L87,"ERROR")</f>
        <v>ERROR</v>
      </c>
      <c r="M87" s="7">
        <f>IF(Data!N87=Entry2!M87,Data!N87,"ERROR")</f>
        <v>0</v>
      </c>
    </row>
    <row r="88" spans="1:13" ht="13.2" hidden="1" x14ac:dyDescent="0.25">
      <c r="A88" s="7">
        <f>IF(Data!A88=Entry2!A88,Data!A88,"ERROR")</f>
        <v>2</v>
      </c>
      <c r="B88" s="7">
        <f>IF(Data!B88=Entry2!B88,Data!B88,"ERROR")</f>
        <v>2023</v>
      </c>
      <c r="C88" s="17">
        <f>IF(Data!C88=Entry2!C88,Data!C88,"ERROR")</f>
        <v>45197</v>
      </c>
      <c r="D88" s="7" t="str">
        <f>IF(Data!D88=Entry2!D88,Data!D88,"ERROR")</f>
        <v>MG, TL</v>
      </c>
      <c r="E88" s="7" t="str">
        <f>IF(Data!E88=Entry2!E88,Data!E88,"ERROR")</f>
        <v>GB</v>
      </c>
      <c r="F88" s="7">
        <f>IF(Data!F88=Entry2!F88,Data!F88,"ERROR")</f>
        <v>1</v>
      </c>
      <c r="G88" s="7" t="str">
        <f>IF(Data!G88=Entry2!G88,Data!G88,"ERROR")</f>
        <v>SU</v>
      </c>
      <c r="H88" s="7">
        <f>IF(Data!H88=Entry2!H88,Data!H88,"ERROR")</f>
        <v>4</v>
      </c>
      <c r="I88" s="7">
        <f>IF(Data!I88=Entry2!I88,Data!I88,"ERROR")</f>
        <v>2</v>
      </c>
      <c r="J88" s="7">
        <f>IF(Data!J88=Entry2!J88,Data!J88,"ERROR")</f>
        <v>2</v>
      </c>
      <c r="K88" s="7" t="str">
        <f>IF(Data!K88=Entry2!K88,Data!K88,"ERROR")</f>
        <v>NNG</v>
      </c>
      <c r="L88" s="7" t="str">
        <f>IF(Data!L88=Entry2!L88,Data!L88,"ERROR")</f>
        <v>ERROR</v>
      </c>
      <c r="M88" s="7">
        <f>IF(Data!N88=Entry2!M88,Data!N88,"ERROR")</f>
        <v>0</v>
      </c>
    </row>
    <row r="89" spans="1:13" ht="13.2" hidden="1" x14ac:dyDescent="0.25">
      <c r="A89" s="7">
        <f>IF(Data!A89=Entry2!A89,Data!A89,"ERROR")</f>
        <v>2</v>
      </c>
      <c r="B89" s="7">
        <f>IF(Data!B89=Entry2!B89,Data!B89,"ERROR")</f>
        <v>2023</v>
      </c>
      <c r="C89" s="17">
        <f>IF(Data!C89=Entry2!C89,Data!C89,"ERROR")</f>
        <v>45197</v>
      </c>
      <c r="D89" s="7" t="str">
        <f>IF(Data!D89=Entry2!D89,Data!D89,"ERROR")</f>
        <v>MG, TL</v>
      </c>
      <c r="E89" s="7" t="str">
        <f>IF(Data!E89=Entry2!E89,Data!E89,"ERROR")</f>
        <v>GB</v>
      </c>
      <c r="F89" s="7">
        <f>IF(Data!F89=Entry2!F89,Data!F89,"ERROR")</f>
        <v>1</v>
      </c>
      <c r="G89" s="7" t="str">
        <f>IF(Data!G89=Entry2!G89,Data!G89,"ERROR")</f>
        <v>SU</v>
      </c>
      <c r="H89" s="7">
        <f>IF(Data!H89=Entry2!H89,Data!H89,"ERROR")</f>
        <v>5</v>
      </c>
      <c r="I89" s="7">
        <f>IF(Data!I89=Entry2!I89,Data!I89,"ERROR")</f>
        <v>2</v>
      </c>
      <c r="J89" s="7">
        <f>IF(Data!J89=Entry2!J89,Data!J89,"ERROR")</f>
        <v>3</v>
      </c>
      <c r="K89" s="7" t="str">
        <f>IF(Data!K89=Entry2!K89,Data!K89,"ERROR")</f>
        <v>L</v>
      </c>
      <c r="L89" s="7" t="str">
        <f>IF(Data!L89=Entry2!L89,Data!L89,"ERROR")</f>
        <v>ERROR</v>
      </c>
      <c r="M89" s="7">
        <f>IF(Data!N89=Entry2!M89,Data!N89,"ERROR")</f>
        <v>0</v>
      </c>
    </row>
    <row r="90" spans="1:13" ht="13.2" hidden="1" x14ac:dyDescent="0.25">
      <c r="A90" s="7">
        <f>IF(Data!A90=Entry2!A90,Data!A90,"ERROR")</f>
        <v>2</v>
      </c>
      <c r="B90" s="7">
        <f>IF(Data!B90=Entry2!B90,Data!B90,"ERROR")</f>
        <v>2023</v>
      </c>
      <c r="C90" s="17">
        <f>IF(Data!C90=Entry2!C90,Data!C90,"ERROR")</f>
        <v>45197</v>
      </c>
      <c r="D90" s="7" t="str">
        <f>IF(Data!D90=Entry2!D90,Data!D90,"ERROR")</f>
        <v>MG, TL</v>
      </c>
      <c r="E90" s="7" t="str">
        <f>IF(Data!E90=Entry2!E90,Data!E90,"ERROR")</f>
        <v>GB</v>
      </c>
      <c r="F90" s="7">
        <f>IF(Data!F90=Entry2!F90,Data!F90,"ERROR")</f>
        <v>1</v>
      </c>
      <c r="G90" s="7" t="str">
        <f>IF(Data!G90=Entry2!G90,Data!G90,"ERROR")</f>
        <v>SU</v>
      </c>
      <c r="H90" s="7">
        <f>IF(Data!H90=Entry2!H90,Data!H90,"ERROR")</f>
        <v>5</v>
      </c>
      <c r="I90" s="7">
        <f>IF(Data!I90=Entry2!I90,Data!I90,"ERROR")</f>
        <v>2</v>
      </c>
      <c r="J90" s="7">
        <f>IF(Data!J90=Entry2!J90,Data!J90,"ERROR")</f>
        <v>3</v>
      </c>
      <c r="K90" s="7" t="str">
        <f>IF(Data!K90=Entry2!K90,Data!K90,"ERROR")</f>
        <v>CROSET</v>
      </c>
      <c r="L90" s="7" t="str">
        <f>IF(Data!L90=Entry2!L90,Data!L90,"ERROR")</f>
        <v>ERROR</v>
      </c>
      <c r="M90" s="7">
        <f>IF(Data!N90=Entry2!M90,Data!N90,"ERROR")</f>
        <v>0</v>
      </c>
    </row>
    <row r="91" spans="1:13" ht="13.2" hidden="1" x14ac:dyDescent="0.25">
      <c r="A91" s="7">
        <f>IF(Data!A91=Entry2!A91,Data!A91,"ERROR")</f>
        <v>2</v>
      </c>
      <c r="B91" s="7">
        <f>IF(Data!B91=Entry2!B91,Data!B91,"ERROR")</f>
        <v>2023</v>
      </c>
      <c r="C91" s="17">
        <f>IF(Data!C91=Entry2!C91,Data!C91,"ERROR")</f>
        <v>45197</v>
      </c>
      <c r="D91" s="7" t="str">
        <f>IF(Data!D91=Entry2!D91,Data!D91,"ERROR")</f>
        <v>MG, TL</v>
      </c>
      <c r="E91" s="7" t="str">
        <f>IF(Data!E91=Entry2!E91,Data!E91,"ERROR")</f>
        <v>GB</v>
      </c>
      <c r="F91" s="7">
        <f>IF(Data!F91=Entry2!F91,Data!F91,"ERROR")</f>
        <v>1</v>
      </c>
      <c r="G91" s="7" t="str">
        <f>IF(Data!G91=Entry2!G91,Data!G91,"ERROR")</f>
        <v>SU</v>
      </c>
      <c r="H91" s="7">
        <f>IF(Data!H91=Entry2!H91,Data!H91,"ERROR")</f>
        <v>6</v>
      </c>
      <c r="I91" s="7">
        <f>IF(Data!I91=Entry2!I91,Data!I91,"ERROR")</f>
        <v>2</v>
      </c>
      <c r="J91" s="7">
        <f>IF(Data!J91=Entry2!J91,Data!J91,"ERROR")</f>
        <v>3.5</v>
      </c>
      <c r="K91" s="7" t="str">
        <f>IF(Data!K91=Entry2!K91,Data!K91,"ERROR")</f>
        <v>B</v>
      </c>
      <c r="L91" s="7" t="str">
        <f>IF(Data!L91=Entry2!L91,Data!L91,"ERROR")</f>
        <v>ERROR</v>
      </c>
      <c r="M91" s="7">
        <f>IF(Data!N91=Entry2!M91,Data!N91,"ERROR")</f>
        <v>0</v>
      </c>
    </row>
    <row r="92" spans="1:13" ht="13.2" hidden="1" x14ac:dyDescent="0.25">
      <c r="A92" s="7">
        <f>IF(Data!A92=Entry2!A92,Data!A92,"ERROR")</f>
        <v>2</v>
      </c>
      <c r="B92" s="7">
        <f>IF(Data!B92=Entry2!B92,Data!B92,"ERROR")</f>
        <v>2023</v>
      </c>
      <c r="C92" s="17">
        <f>IF(Data!C92=Entry2!C92,Data!C92,"ERROR")</f>
        <v>45197</v>
      </c>
      <c r="D92" s="7" t="str">
        <f>IF(Data!D92=Entry2!D92,Data!D92,"ERROR")</f>
        <v>MG, TL</v>
      </c>
      <c r="E92" s="7" t="str">
        <f>IF(Data!E92=Entry2!E92,Data!E92,"ERROR")</f>
        <v>GB</v>
      </c>
      <c r="F92" s="7">
        <f>IF(Data!F92=Entry2!F92,Data!F92,"ERROR")</f>
        <v>1</v>
      </c>
      <c r="G92" s="7" t="str">
        <f>IF(Data!G92=Entry2!G92,Data!G92,"ERROR")</f>
        <v>SU</v>
      </c>
      <c r="H92" s="7">
        <f>IF(Data!H92=Entry2!H92,Data!H92,"ERROR")</f>
        <v>6</v>
      </c>
      <c r="I92" s="7">
        <f>IF(Data!I92=Entry2!I92,Data!I92,"ERROR")</f>
        <v>2</v>
      </c>
      <c r="J92" s="7">
        <f>IF(Data!J92=Entry2!J92,Data!J92,"ERROR")</f>
        <v>3.5</v>
      </c>
      <c r="K92" s="7" t="str">
        <f>IF(Data!K92=Entry2!K92,Data!K92,"ERROR")</f>
        <v>LAECOU</v>
      </c>
      <c r="L92" s="7" t="str">
        <f>IF(Data!L92=Entry2!L92,Data!L92,"ERROR")</f>
        <v>ERROR</v>
      </c>
      <c r="M92" s="7">
        <f>IF(Data!N92=Entry2!M92,Data!N92,"ERROR")</f>
        <v>0</v>
      </c>
    </row>
    <row r="93" spans="1:13" ht="13.2" hidden="1" x14ac:dyDescent="0.25">
      <c r="A93" s="7">
        <f>IF(Data!A93=Entry2!A93,Data!A93,"ERROR")</f>
        <v>2</v>
      </c>
      <c r="B93" s="7">
        <f>IF(Data!B93=Entry2!B93,Data!B93,"ERROR")</f>
        <v>2023</v>
      </c>
      <c r="C93" s="17">
        <f>IF(Data!C93=Entry2!C93,Data!C93,"ERROR")</f>
        <v>45197</v>
      </c>
      <c r="D93" s="7" t="str">
        <f>IF(Data!D93=Entry2!D93,Data!D93,"ERROR")</f>
        <v>MG, TL</v>
      </c>
      <c r="E93" s="7" t="str">
        <f>IF(Data!E93=Entry2!E93,Data!E93,"ERROR")</f>
        <v>GB</v>
      </c>
      <c r="F93" s="7">
        <f>IF(Data!F93=Entry2!F93,Data!F93,"ERROR")</f>
        <v>1</v>
      </c>
      <c r="G93" s="7" t="str">
        <f>IF(Data!G93=Entry2!G93,Data!G93,"ERROR")</f>
        <v>SU</v>
      </c>
      <c r="H93" s="7">
        <f>IF(Data!H93=Entry2!H93,Data!H93,"ERROR")</f>
        <v>7</v>
      </c>
      <c r="I93" s="7">
        <f>IF(Data!I93=Entry2!I93,Data!I93,"ERROR")</f>
        <v>2</v>
      </c>
      <c r="J93" s="7">
        <f>IF(Data!J93=Entry2!J93,Data!J93,"ERROR")</f>
        <v>4</v>
      </c>
      <c r="K93" s="7" t="str">
        <f>IF(Data!K93=Entry2!K93,Data!K93,"ERROR")</f>
        <v>L</v>
      </c>
      <c r="L93" s="7" t="str">
        <f>IF(Data!L93=Entry2!L93,Data!L93,"ERROR")</f>
        <v>ERROR</v>
      </c>
      <c r="M93" s="7">
        <f>IF(Data!N93=Entry2!M93,Data!N93,"ERROR")</f>
        <v>0</v>
      </c>
    </row>
    <row r="94" spans="1:13" ht="13.2" hidden="1" x14ac:dyDescent="0.25">
      <c r="A94" s="7">
        <f>IF(Data!A94=Entry2!A94,Data!A94,"ERROR")</f>
        <v>2</v>
      </c>
      <c r="B94" s="7">
        <f>IF(Data!B94=Entry2!B94,Data!B94,"ERROR")</f>
        <v>2023</v>
      </c>
      <c r="C94" s="17">
        <f>IF(Data!C94=Entry2!C94,Data!C94,"ERROR")</f>
        <v>45197</v>
      </c>
      <c r="D94" s="7" t="str">
        <f>IF(Data!D94=Entry2!D94,Data!D94,"ERROR")</f>
        <v>MG, TL</v>
      </c>
      <c r="E94" s="7" t="str">
        <f>IF(Data!E94=Entry2!E94,Data!E94,"ERROR")</f>
        <v>GB</v>
      </c>
      <c r="F94" s="7">
        <f>IF(Data!F94=Entry2!F94,Data!F94,"ERROR")</f>
        <v>1</v>
      </c>
      <c r="G94" s="7" t="str">
        <f>IF(Data!G94=Entry2!G94,Data!G94,"ERROR")</f>
        <v>SU</v>
      </c>
      <c r="H94" s="7">
        <f>IF(Data!H94=Entry2!H94,Data!H94,"ERROR")</f>
        <v>7</v>
      </c>
      <c r="I94" s="7">
        <f>IF(Data!I94=Entry2!I94,Data!I94,"ERROR")</f>
        <v>2</v>
      </c>
      <c r="J94" s="7">
        <f>IF(Data!J94=Entry2!J94,Data!J94,"ERROR")</f>
        <v>4</v>
      </c>
      <c r="K94" s="7" t="str">
        <f>IF(Data!K94=Entry2!K94,Data!K94,"ERROR")</f>
        <v>STEDIE</v>
      </c>
      <c r="L94" s="7" t="str">
        <f>IF(Data!L94=Entry2!L94,Data!L94,"ERROR")</f>
        <v>ERROR</v>
      </c>
      <c r="M94" s="7">
        <f>IF(Data!N94=Entry2!M94,Data!N94,"ERROR")</f>
        <v>0</v>
      </c>
    </row>
    <row r="95" spans="1:13" ht="13.2" hidden="1" x14ac:dyDescent="0.25">
      <c r="A95" s="7">
        <f>IF(Data!A95=Entry2!A95,Data!A95,"ERROR")</f>
        <v>2</v>
      </c>
      <c r="B95" s="7">
        <f>IF(Data!B95=Entry2!B95,Data!B95,"ERROR")</f>
        <v>2023</v>
      </c>
      <c r="C95" s="17">
        <f>IF(Data!C95=Entry2!C95,Data!C95,"ERROR")</f>
        <v>45197</v>
      </c>
      <c r="D95" s="7" t="str">
        <f>IF(Data!D95=Entry2!D95,Data!D95,"ERROR")</f>
        <v>MG, TL</v>
      </c>
      <c r="E95" s="7" t="str">
        <f>IF(Data!E95=Entry2!E95,Data!E95,"ERROR")</f>
        <v>GB</v>
      </c>
      <c r="F95" s="7">
        <f>IF(Data!F95=Entry2!F95,Data!F95,"ERROR")</f>
        <v>1</v>
      </c>
      <c r="G95" s="7" t="str">
        <f>IF(Data!G95=Entry2!G95,Data!G95,"ERROR")</f>
        <v>SU</v>
      </c>
      <c r="H95" s="7">
        <f>IF(Data!H95=Entry2!H95,Data!H95,"ERROR")</f>
        <v>8</v>
      </c>
      <c r="I95" s="7">
        <f>IF(Data!I95=Entry2!I95,Data!I95,"ERROR")</f>
        <v>2</v>
      </c>
      <c r="J95" s="7">
        <f>IF(Data!J95=Entry2!J95,Data!J95,"ERROR")</f>
        <v>5</v>
      </c>
      <c r="K95" s="7" t="str">
        <f>IF(Data!K95=Entry2!K95,Data!K95,"ERROR")</f>
        <v>L</v>
      </c>
      <c r="L95" s="7" t="str">
        <f>IF(Data!L95=Entry2!L95,Data!L95,"ERROR")</f>
        <v>ERROR</v>
      </c>
      <c r="M95" s="7">
        <f>IF(Data!N95=Entry2!M95,Data!N95,"ERROR")</f>
        <v>0</v>
      </c>
    </row>
    <row r="96" spans="1:13" ht="13.2" hidden="1" x14ac:dyDescent="0.25">
      <c r="A96" s="7">
        <f>IF(Data!A96=Entry2!A96,Data!A96,"ERROR")</f>
        <v>2</v>
      </c>
      <c r="B96" s="7">
        <f>IF(Data!B96=Entry2!B96,Data!B96,"ERROR")</f>
        <v>2023</v>
      </c>
      <c r="C96" s="17">
        <f>IF(Data!C96=Entry2!C96,Data!C96,"ERROR")</f>
        <v>45197</v>
      </c>
      <c r="D96" s="7" t="str">
        <f>IF(Data!D96=Entry2!D96,Data!D96,"ERROR")</f>
        <v>MG, TL</v>
      </c>
      <c r="E96" s="7" t="str">
        <f>IF(Data!E96=Entry2!E96,Data!E96,"ERROR")</f>
        <v>GB</v>
      </c>
      <c r="F96" s="7">
        <f>IF(Data!F96=Entry2!F96,Data!F96,"ERROR")</f>
        <v>1</v>
      </c>
      <c r="G96" s="7" t="str">
        <f>IF(Data!G96=Entry2!G96,Data!G96,"ERROR")</f>
        <v>SU</v>
      </c>
      <c r="H96" s="7">
        <f>IF(Data!H96=Entry2!H96,Data!H96,"ERROR")</f>
        <v>8</v>
      </c>
      <c r="I96" s="7">
        <f>IF(Data!I96=Entry2!I96,Data!I96,"ERROR")</f>
        <v>2</v>
      </c>
      <c r="J96" s="7">
        <f>IF(Data!J96=Entry2!J96,Data!J96,"ERROR")</f>
        <v>5</v>
      </c>
      <c r="K96" s="7" t="str">
        <f>IF(Data!K96=Entry2!K96,Data!K96,"ERROR")</f>
        <v>STEDIE</v>
      </c>
      <c r="L96" s="7" t="str">
        <f>IF(Data!L96=Entry2!L96,Data!L96,"ERROR")</f>
        <v>ERROR</v>
      </c>
      <c r="M96" s="7">
        <f>IF(Data!N96=Entry2!M96,Data!N96,"ERROR")</f>
        <v>0</v>
      </c>
    </row>
    <row r="97" spans="1:13" ht="13.2" hidden="1" x14ac:dyDescent="0.25">
      <c r="A97" s="7">
        <f>IF(Data!A97=Entry2!A97,Data!A97,"ERROR")</f>
        <v>2</v>
      </c>
      <c r="B97" s="7">
        <f>IF(Data!B97=Entry2!B97,Data!B97,"ERROR")</f>
        <v>2023</v>
      </c>
      <c r="C97" s="17">
        <f>IF(Data!C97=Entry2!C97,Data!C97,"ERROR")</f>
        <v>45197</v>
      </c>
      <c r="D97" s="7" t="str">
        <f>IF(Data!D97=Entry2!D97,Data!D97,"ERROR")</f>
        <v>MG, TL</v>
      </c>
      <c r="E97" s="7" t="str">
        <f>IF(Data!E97=Entry2!E97,Data!E97,"ERROR")</f>
        <v>GB</v>
      </c>
      <c r="F97" s="7">
        <f>IF(Data!F97=Entry2!F97,Data!F97,"ERROR")</f>
        <v>1</v>
      </c>
      <c r="G97" s="7" t="str">
        <f>IF(Data!G97=Entry2!G97,Data!G97,"ERROR")</f>
        <v>SU</v>
      </c>
      <c r="H97" s="7">
        <f>IF(Data!H97=Entry2!H97,Data!H97,"ERROR")</f>
        <v>9</v>
      </c>
      <c r="I97" s="7">
        <f>IF(Data!I97=Entry2!I97,Data!I97,"ERROR")</f>
        <v>2</v>
      </c>
      <c r="J97" s="7">
        <f>IF(Data!J97=Entry2!J97,Data!J97,"ERROR")</f>
        <v>7</v>
      </c>
      <c r="K97" s="7" t="str">
        <f>IF(Data!K97=Entry2!K97,Data!K97,"ERROR")</f>
        <v>B</v>
      </c>
      <c r="L97" s="7" t="str">
        <f>IF(Data!L97=Entry2!L97,Data!L97,"ERROR")</f>
        <v>ERROR</v>
      </c>
      <c r="M97" s="7">
        <f>IF(Data!N97=Entry2!M97,Data!N97,"ERROR")</f>
        <v>0</v>
      </c>
    </row>
    <row r="98" spans="1:13" ht="13.2" hidden="1" x14ac:dyDescent="0.25">
      <c r="A98" s="7">
        <f>IF(Data!A98=Entry2!A98,Data!A98,"ERROR")</f>
        <v>2</v>
      </c>
      <c r="B98" s="7">
        <f>IF(Data!B98=Entry2!B98,Data!B98,"ERROR")</f>
        <v>2023</v>
      </c>
      <c r="C98" s="17">
        <f>IF(Data!C98=Entry2!C98,Data!C98,"ERROR")</f>
        <v>45197</v>
      </c>
      <c r="D98" s="7" t="str">
        <f>IF(Data!D98=Entry2!D98,Data!D98,"ERROR")</f>
        <v>MG, TL</v>
      </c>
      <c r="E98" s="7" t="str">
        <f>IF(Data!E98=Entry2!E98,Data!E98,"ERROR")</f>
        <v>GB</v>
      </c>
      <c r="F98" s="7">
        <f>IF(Data!F98=Entry2!F98,Data!F98,"ERROR")</f>
        <v>1</v>
      </c>
      <c r="G98" s="7" t="str">
        <f>IF(Data!G98=Entry2!G98,Data!G98,"ERROR")</f>
        <v>SU</v>
      </c>
      <c r="H98" s="7">
        <f>IF(Data!H98=Entry2!H98,Data!H98,"ERROR")</f>
        <v>10</v>
      </c>
      <c r="I98" s="7">
        <f>IF(Data!I98=Entry2!I98,Data!I98,"ERROR")</f>
        <v>2</v>
      </c>
      <c r="J98" s="7">
        <f>IF(Data!J98=Entry2!J98,Data!J98,"ERROR")</f>
        <v>8</v>
      </c>
      <c r="K98" s="7" t="str">
        <f>IF(Data!K98=Entry2!K98,Data!K98,"ERROR")</f>
        <v>L</v>
      </c>
      <c r="L98" s="7" t="str">
        <f>IF(Data!L98=Entry2!L98,Data!L98,"ERROR")</f>
        <v>ERROR</v>
      </c>
      <c r="M98" s="7">
        <f>IF(Data!N98=Entry2!M98,Data!N98,"ERROR")</f>
        <v>0</v>
      </c>
    </row>
    <row r="99" spans="1:13" ht="13.2" hidden="1" x14ac:dyDescent="0.25">
      <c r="A99" s="7">
        <f>IF(Data!A99=Entry2!A99,Data!A99,"ERROR")</f>
        <v>2</v>
      </c>
      <c r="B99" s="7">
        <f>IF(Data!B99=Entry2!B99,Data!B99,"ERROR")</f>
        <v>2023</v>
      </c>
      <c r="C99" s="17">
        <f>IF(Data!C99=Entry2!C99,Data!C99,"ERROR")</f>
        <v>45197</v>
      </c>
      <c r="D99" s="7" t="str">
        <f>IF(Data!D99=Entry2!D99,Data!D99,"ERROR")</f>
        <v>MG, TL</v>
      </c>
      <c r="E99" s="7" t="str">
        <f>IF(Data!E99=Entry2!E99,Data!E99,"ERROR")</f>
        <v>GB</v>
      </c>
      <c r="F99" s="7">
        <f>IF(Data!F99=Entry2!F99,Data!F99,"ERROR")</f>
        <v>1</v>
      </c>
      <c r="G99" s="7" t="str">
        <f>IF(Data!G99=Entry2!G99,Data!G99,"ERROR")</f>
        <v>SU</v>
      </c>
      <c r="H99" s="7">
        <f>IF(Data!H99=Entry2!H99,Data!H99,"ERROR")</f>
        <v>11</v>
      </c>
      <c r="I99" s="7">
        <f>IF(Data!I99=Entry2!I99,Data!I99,"ERROR")</f>
        <v>2</v>
      </c>
      <c r="J99" s="7">
        <f>IF(Data!J99=Entry2!J99,Data!J99,"ERROR")</f>
        <v>8.5</v>
      </c>
      <c r="K99" s="7" t="str">
        <f>IF(Data!K99=Entry2!K99,Data!K99,"ERROR")</f>
        <v>B</v>
      </c>
      <c r="L99" s="7" t="str">
        <f>IF(Data!L99=Entry2!L99,Data!L99,"ERROR")</f>
        <v>ERROR</v>
      </c>
      <c r="M99" s="7">
        <f>IF(Data!N99=Entry2!M99,Data!N99,"ERROR")</f>
        <v>0</v>
      </c>
    </row>
    <row r="100" spans="1:13" ht="13.2" hidden="1" x14ac:dyDescent="0.25">
      <c r="A100" s="7">
        <f>IF(Data!A100=Entry2!A100,Data!A100,"ERROR")</f>
        <v>2</v>
      </c>
      <c r="B100" s="7">
        <f>IF(Data!B100=Entry2!B100,Data!B100,"ERROR")</f>
        <v>2023</v>
      </c>
      <c r="C100" s="17">
        <f>IF(Data!C100=Entry2!C100,Data!C100,"ERROR")</f>
        <v>45197</v>
      </c>
      <c r="D100" s="7" t="str">
        <f>IF(Data!D100=Entry2!D100,Data!D100,"ERROR")</f>
        <v>MG, TL</v>
      </c>
      <c r="E100" s="7" t="str">
        <f>IF(Data!E100=Entry2!E100,Data!E100,"ERROR")</f>
        <v>GB</v>
      </c>
      <c r="F100" s="7">
        <f>IF(Data!F100=Entry2!F100,Data!F100,"ERROR")</f>
        <v>1</v>
      </c>
      <c r="G100" s="7" t="str">
        <f>IF(Data!G100=Entry2!G100,Data!G100,"ERROR")</f>
        <v>SU</v>
      </c>
      <c r="H100" s="7">
        <f>IF(Data!H100=Entry2!H100,Data!H100,"ERROR")</f>
        <v>11</v>
      </c>
      <c r="I100" s="7">
        <f>IF(Data!I100=Entry2!I100,Data!I100,"ERROR")</f>
        <v>2</v>
      </c>
      <c r="J100" s="7">
        <f>IF(Data!J100=Entry2!J100,Data!J100,"ERROR")</f>
        <v>8.5</v>
      </c>
      <c r="K100" s="7" t="str">
        <f>IF(Data!K100=Entry2!K100,Data!K100,"ERROR")</f>
        <v>EUPMAC</v>
      </c>
      <c r="L100" s="7" t="e">
        <f>IF(Data!L100=Entry2!L100,Data!L100,"ERROR")</f>
        <v>#N/A</v>
      </c>
      <c r="M100" s="7" t="str">
        <f>IF(Data!N100=Entry2!M100,Data!N100,"ERROR")</f>
        <v>ERROR</v>
      </c>
    </row>
    <row r="101" spans="1:13" ht="13.2" hidden="1" x14ac:dyDescent="0.25">
      <c r="A101" s="7">
        <f>IF(Data!A101=Entry2!A101,Data!A101,"ERROR")</f>
        <v>2</v>
      </c>
      <c r="B101" s="7">
        <f>IF(Data!B101=Entry2!B101,Data!B101,"ERROR")</f>
        <v>2023</v>
      </c>
      <c r="C101" s="17">
        <f>IF(Data!C101=Entry2!C101,Data!C101,"ERROR")</f>
        <v>45197</v>
      </c>
      <c r="D101" s="7" t="str">
        <f>IF(Data!D101=Entry2!D101,Data!D101,"ERROR")</f>
        <v>MG, TL</v>
      </c>
      <c r="E101" s="7" t="str">
        <f>IF(Data!E101=Entry2!E101,Data!E101,"ERROR")</f>
        <v>GB</v>
      </c>
      <c r="F101" s="7">
        <f>IF(Data!F101=Entry2!F101,Data!F101,"ERROR")</f>
        <v>1</v>
      </c>
      <c r="G101" s="7" t="str">
        <f>IF(Data!G101=Entry2!G101,Data!G101,"ERROR")</f>
        <v>SU</v>
      </c>
      <c r="H101" s="7">
        <f>IF(Data!H101=Entry2!H101,Data!H101,"ERROR")</f>
        <v>12</v>
      </c>
      <c r="I101" s="7">
        <f>IF(Data!I101=Entry2!I101,Data!I101,"ERROR")</f>
        <v>2</v>
      </c>
      <c r="J101" s="7">
        <f>IF(Data!J101=Entry2!J101,Data!J101,"ERROR")</f>
        <v>9</v>
      </c>
      <c r="K101" s="7" t="str">
        <f>IF(Data!K101=Entry2!K101,Data!K101,"ERROR")</f>
        <v>L</v>
      </c>
      <c r="L101" s="7" t="str">
        <f>IF(Data!L101=Entry2!L101,Data!L101,"ERROR")</f>
        <v>ERROR</v>
      </c>
      <c r="M101" s="7">
        <f>IF(Data!N101=Entry2!M101,Data!N101,"ERROR")</f>
        <v>0</v>
      </c>
    </row>
    <row r="102" spans="1:13" ht="13.2" hidden="1" x14ac:dyDescent="0.25">
      <c r="A102" s="7">
        <f>IF(Data!A102=Entry2!A102,Data!A102,"ERROR")</f>
        <v>2</v>
      </c>
      <c r="B102" s="7">
        <f>IF(Data!B102=Entry2!B102,Data!B102,"ERROR")</f>
        <v>2023</v>
      </c>
      <c r="C102" s="17">
        <f>IF(Data!C102=Entry2!C102,Data!C102,"ERROR")</f>
        <v>45197</v>
      </c>
      <c r="D102" s="7" t="str">
        <f>IF(Data!D102=Entry2!D102,Data!D102,"ERROR")</f>
        <v>MG, TL</v>
      </c>
      <c r="E102" s="7" t="str">
        <f>IF(Data!E102=Entry2!E102,Data!E102,"ERROR")</f>
        <v>GB</v>
      </c>
      <c r="F102" s="7">
        <f>IF(Data!F102=Entry2!F102,Data!F102,"ERROR")</f>
        <v>1</v>
      </c>
      <c r="G102" s="7" t="str">
        <f>IF(Data!G102=Entry2!G102,Data!G102,"ERROR")</f>
        <v>SU</v>
      </c>
      <c r="H102" s="7">
        <f>IF(Data!H102=Entry2!H102,Data!H102,"ERROR")</f>
        <v>12</v>
      </c>
      <c r="I102" s="7">
        <f>IF(Data!I102=Entry2!I102,Data!I102,"ERROR")</f>
        <v>2</v>
      </c>
      <c r="J102" s="7">
        <f>IF(Data!J102=Entry2!J102,Data!J102,"ERROR")</f>
        <v>9</v>
      </c>
      <c r="K102" s="7" t="str">
        <f>IF(Data!K102=Entry2!K102,Data!K102,"ERROR")</f>
        <v>CENMEL</v>
      </c>
      <c r="L102" s="7" t="str">
        <f>IF(Data!L102=Entry2!L102,Data!L102,"ERROR")</f>
        <v>ERROR</v>
      </c>
      <c r="M102" s="7">
        <f>IF(Data!N102=Entry2!M102,Data!N102,"ERROR")</f>
        <v>0</v>
      </c>
    </row>
    <row r="103" spans="1:13" ht="13.2" hidden="1" x14ac:dyDescent="0.25">
      <c r="A103" s="7">
        <f>IF(Data!A103=Entry2!A103,Data!A103,"ERROR")</f>
        <v>2</v>
      </c>
      <c r="B103" s="7">
        <f>IF(Data!B103=Entry2!B103,Data!B103,"ERROR")</f>
        <v>2023</v>
      </c>
      <c r="C103" s="17">
        <f>IF(Data!C103=Entry2!C103,Data!C103,"ERROR")</f>
        <v>45197</v>
      </c>
      <c r="D103" s="7" t="str">
        <f>IF(Data!D103=Entry2!D103,Data!D103,"ERROR")</f>
        <v>MG, TL</v>
      </c>
      <c r="E103" s="7" t="str">
        <f>IF(Data!E103=Entry2!E103,Data!E103,"ERROR")</f>
        <v>GB</v>
      </c>
      <c r="F103" s="7">
        <f>IF(Data!F103=Entry2!F103,Data!F103,"ERROR")</f>
        <v>1</v>
      </c>
      <c r="G103" s="7" t="str">
        <f>IF(Data!G103=Entry2!G103,Data!G103,"ERROR")</f>
        <v>SU</v>
      </c>
      <c r="H103" s="7">
        <f>IF(Data!H103=Entry2!H103,Data!H103,"ERROR")</f>
        <v>12</v>
      </c>
      <c r="I103" s="7">
        <f>IF(Data!I103=Entry2!I103,Data!I103,"ERROR")</f>
        <v>2</v>
      </c>
      <c r="J103" s="7">
        <f>IF(Data!J103=Entry2!J103,Data!J103,"ERROR")</f>
        <v>9</v>
      </c>
      <c r="K103" s="7" t="str">
        <f>IF(Data!K103=Entry2!K103,Data!K103,"ERROR")</f>
        <v>EUPMAC</v>
      </c>
      <c r="L103" s="7" t="e">
        <f>IF(Data!L103=Entry2!L103,Data!L103,"ERROR")</f>
        <v>#N/A</v>
      </c>
      <c r="M103" s="7" t="str">
        <f>IF(Data!N103=Entry2!M103,Data!N103,"ERROR")</f>
        <v>ERROR</v>
      </c>
    </row>
    <row r="104" spans="1:13" ht="13.2" hidden="1" x14ac:dyDescent="0.25">
      <c r="A104" s="7">
        <f>IF(Data!A104=Entry2!A104,Data!A104,"ERROR")</f>
        <v>2</v>
      </c>
      <c r="B104" s="7">
        <f>IF(Data!B104=Entry2!B104,Data!B104,"ERROR")</f>
        <v>2023</v>
      </c>
      <c r="C104" s="17">
        <f>IF(Data!C104=Entry2!C104,Data!C104,"ERROR")</f>
        <v>45197</v>
      </c>
      <c r="D104" s="7" t="str">
        <f>IF(Data!D104=Entry2!D104,Data!D104,"ERROR")</f>
        <v>MG, TL</v>
      </c>
      <c r="E104" s="7" t="str">
        <f>IF(Data!E104=Entry2!E104,Data!E104,"ERROR")</f>
        <v>GB</v>
      </c>
      <c r="F104" s="7">
        <f>IF(Data!F104=Entry2!F104,Data!F104,"ERROR")</f>
        <v>1</v>
      </c>
      <c r="G104" s="7" t="str">
        <f>IF(Data!G104=Entry2!G104,Data!G104,"ERROR")</f>
        <v>SU</v>
      </c>
      <c r="H104" s="7">
        <f>IF(Data!H104=Entry2!H104,Data!H104,"ERROR")</f>
        <v>13</v>
      </c>
      <c r="I104" s="7">
        <f>IF(Data!I104=Entry2!I104,Data!I104,"ERROR")</f>
        <v>2</v>
      </c>
      <c r="J104" s="7">
        <f>IF(Data!J104=Entry2!J104,Data!J104,"ERROR")</f>
        <v>10</v>
      </c>
      <c r="K104" s="7" t="str">
        <f>IF(Data!K104=Entry2!K104,Data!K104,"ERROR")</f>
        <v>B</v>
      </c>
      <c r="L104" s="7" t="str">
        <f>IF(Data!L104=Entry2!L104,Data!L104,"ERROR")</f>
        <v>ERROR</v>
      </c>
      <c r="M104" s="7">
        <f>IF(Data!N104=Entry2!M104,Data!N104,"ERROR")</f>
        <v>0</v>
      </c>
    </row>
    <row r="105" spans="1:13" ht="13.2" hidden="1" x14ac:dyDescent="0.25">
      <c r="A105" s="7">
        <f>IF(Data!A105=Entry2!A105,Data!A105,"ERROR")</f>
        <v>2</v>
      </c>
      <c r="B105" s="7">
        <f>IF(Data!B105=Entry2!B105,Data!B105,"ERROR")</f>
        <v>2023</v>
      </c>
      <c r="C105" s="17">
        <f>IF(Data!C105=Entry2!C105,Data!C105,"ERROR")</f>
        <v>45197</v>
      </c>
      <c r="D105" s="7" t="str">
        <f>IF(Data!D105=Entry2!D105,Data!D105,"ERROR")</f>
        <v>MG, TL</v>
      </c>
      <c r="E105" s="7" t="str">
        <f>IF(Data!E105=Entry2!E105,Data!E105,"ERROR")</f>
        <v>GB</v>
      </c>
      <c r="F105" s="7">
        <f>IF(Data!F105=Entry2!F105,Data!F105,"ERROR")</f>
        <v>1</v>
      </c>
      <c r="G105" s="7" t="str">
        <f>IF(Data!G105=Entry2!G105,Data!G105,"ERROR")</f>
        <v>SU</v>
      </c>
      <c r="H105" s="7">
        <f>IF(Data!H105=Entry2!H105,Data!H105,"ERROR")</f>
        <v>14</v>
      </c>
      <c r="I105" s="7">
        <f>IF(Data!I105=Entry2!I105,Data!I105,"ERROR")</f>
        <v>2</v>
      </c>
      <c r="J105" s="7">
        <f>IF(Data!J105=Entry2!J105,Data!J105,"ERROR")</f>
        <v>11</v>
      </c>
      <c r="K105" s="7" t="str">
        <f>IF(Data!K105=Entry2!K105,Data!K105,"ERROR")</f>
        <v>L</v>
      </c>
      <c r="L105" s="7" t="str">
        <f>IF(Data!L105=Entry2!L105,Data!L105,"ERROR")</f>
        <v>ERROR</v>
      </c>
      <c r="M105" s="7">
        <f>IF(Data!N105=Entry2!M105,Data!N105,"ERROR")</f>
        <v>0</v>
      </c>
    </row>
    <row r="106" spans="1:13" ht="13.2" hidden="1" x14ac:dyDescent="0.25">
      <c r="A106" s="7">
        <f>IF(Data!A106=Entry2!A106,Data!A106,"ERROR")</f>
        <v>2</v>
      </c>
      <c r="B106" s="7">
        <f>IF(Data!B106=Entry2!B106,Data!B106,"ERROR")</f>
        <v>2023</v>
      </c>
      <c r="C106" s="17">
        <f>IF(Data!C106=Entry2!C106,Data!C106,"ERROR")</f>
        <v>45197</v>
      </c>
      <c r="D106" s="7" t="str">
        <f>IF(Data!D106=Entry2!D106,Data!D106,"ERROR")</f>
        <v>MG, TL</v>
      </c>
      <c r="E106" s="7" t="str">
        <f>IF(Data!E106=Entry2!E106,Data!E106,"ERROR")</f>
        <v>GB</v>
      </c>
      <c r="F106" s="7">
        <f>IF(Data!F106=Entry2!F106,Data!F106,"ERROR")</f>
        <v>1</v>
      </c>
      <c r="G106" s="7" t="str">
        <f>IF(Data!G106=Entry2!G106,Data!G106,"ERROR")</f>
        <v>SU</v>
      </c>
      <c r="H106" s="7">
        <f>IF(Data!H106=Entry2!H106,Data!H106,"ERROR")</f>
        <v>15</v>
      </c>
      <c r="I106" s="7">
        <f>IF(Data!I106=Entry2!I106,Data!I106,"ERROR")</f>
        <v>2</v>
      </c>
      <c r="J106" s="7">
        <f>IF(Data!J106=Entry2!J106,Data!J106,"ERROR")</f>
        <v>12</v>
      </c>
      <c r="K106" s="7" t="str">
        <f>IF(Data!K106=Entry2!K106,Data!K106,"ERROR")</f>
        <v>L</v>
      </c>
      <c r="L106" s="7" t="str">
        <f>IF(Data!L106=Entry2!L106,Data!L106,"ERROR")</f>
        <v>ERROR</v>
      </c>
      <c r="M106" s="7">
        <f>IF(Data!N106=Entry2!M106,Data!N106,"ERROR")</f>
        <v>0</v>
      </c>
    </row>
    <row r="107" spans="1:13" ht="13.2" hidden="1" x14ac:dyDescent="0.25">
      <c r="A107" s="7">
        <f>IF(Data!A107=Entry2!A107,Data!A107,"ERROR")</f>
        <v>2</v>
      </c>
      <c r="B107" s="7">
        <f>IF(Data!B107=Entry2!B107,Data!B107,"ERROR")</f>
        <v>2023</v>
      </c>
      <c r="C107" s="17">
        <f>IF(Data!C107=Entry2!C107,Data!C107,"ERROR")</f>
        <v>45197</v>
      </c>
      <c r="D107" s="7" t="str">
        <f>IF(Data!D107=Entry2!D107,Data!D107,"ERROR")</f>
        <v>MG, TL</v>
      </c>
      <c r="E107" s="7" t="str">
        <f>IF(Data!E107=Entry2!E107,Data!E107,"ERROR")</f>
        <v>GB</v>
      </c>
      <c r="F107" s="7">
        <f>IF(Data!F107=Entry2!F107,Data!F107,"ERROR")</f>
        <v>1</v>
      </c>
      <c r="G107" s="7" t="str">
        <f>IF(Data!G107=Entry2!G107,Data!G107,"ERROR")</f>
        <v>SU</v>
      </c>
      <c r="H107" s="7">
        <f>IF(Data!H107=Entry2!H107,Data!H107,"ERROR")</f>
        <v>15</v>
      </c>
      <c r="I107" s="7">
        <f>IF(Data!I107=Entry2!I107,Data!I107,"ERROR")</f>
        <v>2</v>
      </c>
      <c r="J107" s="7">
        <f>IF(Data!J107=Entry2!J107,Data!J107,"ERROR")</f>
        <v>12</v>
      </c>
      <c r="K107" s="7" t="str">
        <f>IF(Data!K107=Entry2!K107,Data!K107,"ERROR")</f>
        <v>OPULIT</v>
      </c>
      <c r="L107" s="7" t="str">
        <f>IF(Data!L107=Entry2!L107,Data!L107,"ERROR")</f>
        <v>ERROR</v>
      </c>
      <c r="M107" s="7">
        <f>IF(Data!N107=Entry2!M107,Data!N107,"ERROR")</f>
        <v>0</v>
      </c>
    </row>
    <row r="108" spans="1:13" ht="13.2" hidden="1" x14ac:dyDescent="0.25">
      <c r="A108" s="7">
        <f>IF(Data!A108=Entry2!A108,Data!A108,"ERROR")</f>
        <v>3</v>
      </c>
      <c r="B108" s="7">
        <f>IF(Data!B108=Entry2!B108,Data!B108,"ERROR")</f>
        <v>2023</v>
      </c>
      <c r="C108" s="17">
        <f>IF(Data!C108=Entry2!C108,Data!C108,"ERROR")</f>
        <v>45203</v>
      </c>
      <c r="D108" s="7" t="str">
        <f>IF(Data!D108=Entry2!D108,Data!D108,"ERROR")</f>
        <v>MG, TL</v>
      </c>
      <c r="E108" s="7" t="str">
        <f>IF(Data!E108=Entry2!E108,Data!E108,"ERROR")</f>
        <v>GB</v>
      </c>
      <c r="F108" s="7">
        <f>IF(Data!F108=Entry2!F108,Data!F108,"ERROR")</f>
        <v>1</v>
      </c>
      <c r="G108" s="7" t="str">
        <f>IF(Data!G108=Entry2!G108,Data!G108,"ERROR")</f>
        <v>LS</v>
      </c>
      <c r="H108" s="7">
        <f>IF(Data!H108=Entry2!H108,Data!H108,"ERROR")</f>
        <v>1</v>
      </c>
      <c r="I108" s="7">
        <f>IF(Data!I108=Entry2!I108,Data!I108,"ERROR")</f>
        <v>1</v>
      </c>
      <c r="J108" s="7">
        <f>IF(Data!J108=Entry2!J108,Data!J108,"ERROR")</f>
        <v>0</v>
      </c>
      <c r="K108" s="7" t="str">
        <f>IF(Data!K108=Entry2!K108,Data!K108,"ERROR")</f>
        <v>B</v>
      </c>
      <c r="L108" s="7" t="str">
        <f>IF(Data!L108=Entry2!L108,Data!L108,"ERROR")</f>
        <v>ERROR</v>
      </c>
      <c r="M108" s="7">
        <f>IF(Data!N108=Entry2!M108,Data!N108,"ERROR")</f>
        <v>0</v>
      </c>
    </row>
    <row r="109" spans="1:13" ht="13.2" hidden="1" x14ac:dyDescent="0.25">
      <c r="A109" s="7">
        <f>IF(Data!A109=Entry2!A109,Data!A109,"ERROR")</f>
        <v>3</v>
      </c>
      <c r="B109" s="7">
        <f>IF(Data!B109=Entry2!B109,Data!B109,"ERROR")</f>
        <v>2023</v>
      </c>
      <c r="C109" s="17">
        <f>IF(Data!C109=Entry2!C109,Data!C109,"ERROR")</f>
        <v>45203</v>
      </c>
      <c r="D109" s="7" t="str">
        <f>IF(Data!D109=Entry2!D109,Data!D109,"ERROR")</f>
        <v>MG, TL</v>
      </c>
      <c r="E109" s="7" t="str">
        <f>IF(Data!E109=Entry2!E109,Data!E109,"ERROR")</f>
        <v>GB</v>
      </c>
      <c r="F109" s="7">
        <f>IF(Data!F109=Entry2!F109,Data!F109,"ERROR")</f>
        <v>1</v>
      </c>
      <c r="G109" s="7" t="str">
        <f>IF(Data!G109=Entry2!G109,Data!G109,"ERROR")</f>
        <v>LS</v>
      </c>
      <c r="H109" s="7">
        <f>IF(Data!H109=Entry2!H109,Data!H109,"ERROR")</f>
        <v>1</v>
      </c>
      <c r="I109" s="7">
        <f>IF(Data!I109=Entry2!I109,Data!I109,"ERROR")</f>
        <v>1</v>
      </c>
      <c r="J109" s="7">
        <f>IF(Data!J109=Entry2!J109,Data!J109,"ERROR")</f>
        <v>0</v>
      </c>
      <c r="K109" s="7" t="str">
        <f>IF(Data!K109=Entry2!K109,Data!K109,"ERROR")</f>
        <v>STEDIE</v>
      </c>
      <c r="L109" s="7" t="str">
        <f>IF(Data!L109=Entry2!L109,Data!L109,"ERROR")</f>
        <v>ERROR</v>
      </c>
      <c r="M109" s="7">
        <f>IF(Data!N109=Entry2!M109,Data!N109,"ERROR")</f>
        <v>0</v>
      </c>
    </row>
    <row r="110" spans="1:13" ht="13.2" hidden="1" x14ac:dyDescent="0.25">
      <c r="A110" s="7">
        <f>IF(Data!A110=Entry2!A110,Data!A110,"ERROR")</f>
        <v>3</v>
      </c>
      <c r="B110" s="7">
        <f>IF(Data!B110=Entry2!B110,Data!B110,"ERROR")</f>
        <v>2023</v>
      </c>
      <c r="C110" s="17">
        <f>IF(Data!C110=Entry2!C110,Data!C110,"ERROR")</f>
        <v>45203</v>
      </c>
      <c r="D110" s="7" t="str">
        <f>IF(Data!D110=Entry2!D110,Data!D110,"ERROR")</f>
        <v>MG, TL</v>
      </c>
      <c r="E110" s="7" t="str">
        <f>IF(Data!E110=Entry2!E110,Data!E110,"ERROR")</f>
        <v>GB</v>
      </c>
      <c r="F110" s="7">
        <f>IF(Data!F110=Entry2!F110,Data!F110,"ERROR")</f>
        <v>1</v>
      </c>
      <c r="G110" s="7" t="str">
        <f>IF(Data!G110=Entry2!G110,Data!G110,"ERROR")</f>
        <v>LS</v>
      </c>
      <c r="H110" s="7">
        <f>IF(Data!H110=Entry2!H110,Data!H110,"ERROR")</f>
        <v>2</v>
      </c>
      <c r="I110" s="7">
        <f>IF(Data!I110=Entry2!I110,Data!I110,"ERROR")</f>
        <v>1</v>
      </c>
      <c r="J110" s="7">
        <f>IF(Data!J110=Entry2!J110,Data!J110,"ERROR")</f>
        <v>0.5</v>
      </c>
      <c r="K110" s="7" t="str">
        <f>IF(Data!K110=Entry2!K110,Data!K110,"ERROR")</f>
        <v>L</v>
      </c>
      <c r="L110" s="7" t="str">
        <f>IF(Data!L110=Entry2!L110,Data!L110,"ERROR")</f>
        <v>ERROR</v>
      </c>
      <c r="M110" s="7">
        <f>IF(Data!N110=Entry2!M110,Data!N110,"ERROR")</f>
        <v>0</v>
      </c>
    </row>
    <row r="111" spans="1:13" ht="13.2" hidden="1" x14ac:dyDescent="0.25">
      <c r="A111" s="7">
        <f>IF(Data!A111=Entry2!A111,Data!A111,"ERROR")</f>
        <v>3</v>
      </c>
      <c r="B111" s="7">
        <f>IF(Data!B111=Entry2!B111,Data!B111,"ERROR")</f>
        <v>2023</v>
      </c>
      <c r="C111" s="17">
        <f>IF(Data!C111=Entry2!C111,Data!C111,"ERROR")</f>
        <v>45203</v>
      </c>
      <c r="D111" s="7" t="str">
        <f>IF(Data!D111=Entry2!D111,Data!D111,"ERROR")</f>
        <v>MG, TL</v>
      </c>
      <c r="E111" s="7" t="str">
        <f>IF(Data!E111=Entry2!E111,Data!E111,"ERROR")</f>
        <v>GB</v>
      </c>
      <c r="F111" s="7">
        <f>IF(Data!F111=Entry2!F111,Data!F111,"ERROR")</f>
        <v>1</v>
      </c>
      <c r="G111" s="7" t="str">
        <f>IF(Data!G111=Entry2!G111,Data!G111,"ERROR")</f>
        <v>LS</v>
      </c>
      <c r="H111" s="7">
        <f>IF(Data!H111=Entry2!H111,Data!H111,"ERROR")</f>
        <v>2</v>
      </c>
      <c r="I111" s="7">
        <f>IF(Data!I111=Entry2!I111,Data!I111,"ERROR")</f>
        <v>1</v>
      </c>
      <c r="J111" s="7">
        <f>IF(Data!J111=Entry2!J111,Data!J111,"ERROR")</f>
        <v>0.5</v>
      </c>
      <c r="K111" s="7" t="str">
        <f>IF(Data!K111=Entry2!K111,Data!K111,"ERROR")</f>
        <v>STEDIE</v>
      </c>
      <c r="L111" s="7" t="str">
        <f>IF(Data!L111=Entry2!L111,Data!L111,"ERROR")</f>
        <v>ERROR</v>
      </c>
      <c r="M111" s="7">
        <f>IF(Data!N111=Entry2!M111,Data!N111,"ERROR")</f>
        <v>0</v>
      </c>
    </row>
    <row r="112" spans="1:13" ht="13.2" hidden="1" x14ac:dyDescent="0.25">
      <c r="A112" s="7">
        <f>IF(Data!A112=Entry2!A112,Data!A112,"ERROR")</f>
        <v>3</v>
      </c>
      <c r="B112" s="7">
        <f>IF(Data!B112=Entry2!B112,Data!B112,"ERROR")</f>
        <v>2023</v>
      </c>
      <c r="C112" s="17">
        <f>IF(Data!C112=Entry2!C112,Data!C112,"ERROR")</f>
        <v>45203</v>
      </c>
      <c r="D112" s="7" t="str">
        <f>IF(Data!D112=Entry2!D112,Data!D112,"ERROR")</f>
        <v>MG, TL</v>
      </c>
      <c r="E112" s="7" t="str">
        <f>IF(Data!E112=Entry2!E112,Data!E112,"ERROR")</f>
        <v>GB</v>
      </c>
      <c r="F112" s="7">
        <f>IF(Data!F112=Entry2!F112,Data!F112,"ERROR")</f>
        <v>1</v>
      </c>
      <c r="G112" s="7" t="str">
        <f>IF(Data!G112=Entry2!G112,Data!G112,"ERROR")</f>
        <v>LS</v>
      </c>
      <c r="H112" s="7">
        <f>IF(Data!H112=Entry2!H112,Data!H112,"ERROR")</f>
        <v>3</v>
      </c>
      <c r="I112" s="7">
        <f>IF(Data!I112=Entry2!I112,Data!I112,"ERROR")</f>
        <v>1</v>
      </c>
      <c r="J112" s="7">
        <f>IF(Data!J112=Entry2!J112,Data!J112,"ERROR")</f>
        <v>1</v>
      </c>
      <c r="K112" s="7" t="str">
        <f>IF(Data!K112=Entry2!K112,Data!K112,"ERROR")</f>
        <v>L</v>
      </c>
      <c r="L112" s="7" t="str">
        <f>IF(Data!L112=Entry2!L112,Data!L112,"ERROR")</f>
        <v>ERROR</v>
      </c>
      <c r="M112" s="7">
        <f>IF(Data!N112=Entry2!M112,Data!N112,"ERROR")</f>
        <v>0</v>
      </c>
    </row>
    <row r="113" spans="1:13" ht="13.2" hidden="1" x14ac:dyDescent="0.25">
      <c r="A113" s="7">
        <f>IF(Data!A113=Entry2!A113,Data!A113,"ERROR")</f>
        <v>3</v>
      </c>
      <c r="B113" s="7">
        <f>IF(Data!B113=Entry2!B113,Data!B113,"ERROR")</f>
        <v>2023</v>
      </c>
      <c r="C113" s="17">
        <f>IF(Data!C113=Entry2!C113,Data!C113,"ERROR")</f>
        <v>45203</v>
      </c>
      <c r="D113" s="7" t="str">
        <f>IF(Data!D113=Entry2!D113,Data!D113,"ERROR")</f>
        <v>MG, TL</v>
      </c>
      <c r="E113" s="7" t="str">
        <f>IF(Data!E113=Entry2!E113,Data!E113,"ERROR")</f>
        <v>GB</v>
      </c>
      <c r="F113" s="7">
        <f>IF(Data!F113=Entry2!F113,Data!F113,"ERROR")</f>
        <v>1</v>
      </c>
      <c r="G113" s="7" t="str">
        <f>IF(Data!G113=Entry2!G113,Data!G113,"ERROR")</f>
        <v>LS</v>
      </c>
      <c r="H113" s="7">
        <f>IF(Data!H113=Entry2!H113,Data!H113,"ERROR")</f>
        <v>3</v>
      </c>
      <c r="I113" s="7">
        <f>IF(Data!I113=Entry2!I113,Data!I113,"ERROR")</f>
        <v>1</v>
      </c>
      <c r="J113" s="7">
        <f>IF(Data!J113=Entry2!J113,Data!J113,"ERROR")</f>
        <v>1</v>
      </c>
      <c r="K113" s="7" t="str">
        <f>IF(Data!K113=Entry2!K113,Data!K113,"ERROR")</f>
        <v>STEDIE</v>
      </c>
      <c r="L113" s="7" t="str">
        <f>IF(Data!L113=Entry2!L113,Data!L113,"ERROR")</f>
        <v>ERROR</v>
      </c>
      <c r="M113" s="7">
        <f>IF(Data!N113=Entry2!M113,Data!N113,"ERROR")</f>
        <v>0</v>
      </c>
    </row>
    <row r="114" spans="1:13" ht="13.2" hidden="1" x14ac:dyDescent="0.25">
      <c r="A114" s="7">
        <f>IF(Data!A114=Entry2!A114,Data!A114,"ERROR")</f>
        <v>3</v>
      </c>
      <c r="B114" s="7">
        <f>IF(Data!B114=Entry2!B114,Data!B114,"ERROR")</f>
        <v>2023</v>
      </c>
      <c r="C114" s="17">
        <f>IF(Data!C114=Entry2!C114,Data!C114,"ERROR")</f>
        <v>45203</v>
      </c>
      <c r="D114" s="7" t="str">
        <f>IF(Data!D114=Entry2!D114,Data!D114,"ERROR")</f>
        <v>MG, TL</v>
      </c>
      <c r="E114" s="7" t="str">
        <f>IF(Data!E114=Entry2!E114,Data!E114,"ERROR")</f>
        <v>GB</v>
      </c>
      <c r="F114" s="7">
        <f>IF(Data!F114=Entry2!F114,Data!F114,"ERROR")</f>
        <v>1</v>
      </c>
      <c r="G114" s="7" t="str">
        <f>IF(Data!G114=Entry2!G114,Data!G114,"ERROR")</f>
        <v>LS</v>
      </c>
      <c r="H114" s="7">
        <f>IF(Data!H114=Entry2!H114,Data!H114,"ERROR")</f>
        <v>4</v>
      </c>
      <c r="I114" s="7">
        <f>IF(Data!I114=Entry2!I114,Data!I114,"ERROR")</f>
        <v>1</v>
      </c>
      <c r="J114" s="7">
        <f>IF(Data!J114=Entry2!J114,Data!J114,"ERROR")</f>
        <v>1.5</v>
      </c>
      <c r="K114" s="7" t="str">
        <f>IF(Data!K114=Entry2!K114,Data!K114,"ERROR")</f>
        <v>L</v>
      </c>
      <c r="L114" s="7" t="str">
        <f>IF(Data!L114=Entry2!L114,Data!L114,"ERROR")</f>
        <v>ERROR</v>
      </c>
      <c r="M114" s="7">
        <f>IF(Data!N114=Entry2!M114,Data!N114,"ERROR")</f>
        <v>0</v>
      </c>
    </row>
    <row r="115" spans="1:13" ht="13.2" hidden="1" x14ac:dyDescent="0.25">
      <c r="A115" s="7">
        <f>IF(Data!A115=Entry2!A115,Data!A115,"ERROR")</f>
        <v>3</v>
      </c>
      <c r="B115" s="7">
        <f>IF(Data!B115=Entry2!B115,Data!B115,"ERROR")</f>
        <v>2023</v>
      </c>
      <c r="C115" s="17">
        <f>IF(Data!C115=Entry2!C115,Data!C115,"ERROR")</f>
        <v>45203</v>
      </c>
      <c r="D115" s="7" t="str">
        <f>IF(Data!D115=Entry2!D115,Data!D115,"ERROR")</f>
        <v>MG, TL</v>
      </c>
      <c r="E115" s="7" t="str">
        <f>IF(Data!E115=Entry2!E115,Data!E115,"ERROR")</f>
        <v>GB</v>
      </c>
      <c r="F115" s="7">
        <f>IF(Data!F115=Entry2!F115,Data!F115,"ERROR")</f>
        <v>1</v>
      </c>
      <c r="G115" s="7" t="str">
        <f>IF(Data!G115=Entry2!G115,Data!G115,"ERROR")</f>
        <v>LS</v>
      </c>
      <c r="H115" s="7">
        <f>IF(Data!H115=Entry2!H115,Data!H115,"ERROR")</f>
        <v>4</v>
      </c>
      <c r="I115" s="7">
        <f>IF(Data!I115=Entry2!I115,Data!I115,"ERROR")</f>
        <v>1</v>
      </c>
      <c r="J115" s="7">
        <f>IF(Data!J115=Entry2!J115,Data!J115,"ERROR")</f>
        <v>1.5</v>
      </c>
      <c r="K115" s="7" t="str">
        <f>IF(Data!K115=Entry2!K115,Data!K115,"ERROR")</f>
        <v>STEDIE</v>
      </c>
      <c r="L115" s="7" t="str">
        <f>IF(Data!L115=Entry2!L115,Data!L115,"ERROR")</f>
        <v>ERROR</v>
      </c>
      <c r="M115" s="7">
        <f>IF(Data!N115=Entry2!M115,Data!N115,"ERROR")</f>
        <v>0</v>
      </c>
    </row>
    <row r="116" spans="1:13" ht="13.2" hidden="1" x14ac:dyDescent="0.25">
      <c r="A116" s="7">
        <f>IF(Data!A116=Entry2!A116,Data!A116,"ERROR")</f>
        <v>3</v>
      </c>
      <c r="B116" s="7">
        <f>IF(Data!B116=Entry2!B116,Data!B116,"ERROR")</f>
        <v>2023</v>
      </c>
      <c r="C116" s="17">
        <f>IF(Data!C116=Entry2!C116,Data!C116,"ERROR")</f>
        <v>45203</v>
      </c>
      <c r="D116" s="7" t="str">
        <f>IF(Data!D116=Entry2!D116,Data!D116,"ERROR")</f>
        <v>MG, TL</v>
      </c>
      <c r="E116" s="7" t="str">
        <f>IF(Data!E116=Entry2!E116,Data!E116,"ERROR")</f>
        <v>GB</v>
      </c>
      <c r="F116" s="7">
        <f>IF(Data!F116=Entry2!F116,Data!F116,"ERROR")</f>
        <v>1</v>
      </c>
      <c r="G116" s="7" t="str">
        <f>IF(Data!G116=Entry2!G116,Data!G116,"ERROR")</f>
        <v>LS</v>
      </c>
      <c r="H116" s="7">
        <f>IF(Data!H116=Entry2!H116,Data!H116,"ERROR")</f>
        <v>5</v>
      </c>
      <c r="I116" s="7">
        <f>IF(Data!I116=Entry2!I116,Data!I116,"ERROR")</f>
        <v>1</v>
      </c>
      <c r="J116" s="7">
        <f>IF(Data!J116=Entry2!J116,Data!J116,"ERROR")</f>
        <v>2</v>
      </c>
      <c r="K116" s="7" t="str">
        <f>IF(Data!K116=Entry2!K116,Data!K116,"ERROR")</f>
        <v>L</v>
      </c>
      <c r="L116" s="7" t="str">
        <f>IF(Data!L116=Entry2!L116,Data!L116,"ERROR")</f>
        <v>ERROR</v>
      </c>
      <c r="M116" s="7">
        <f>IF(Data!N116=Entry2!M116,Data!N116,"ERROR")</f>
        <v>0</v>
      </c>
    </row>
    <row r="117" spans="1:13" ht="13.2" hidden="1" x14ac:dyDescent="0.25">
      <c r="A117" s="7">
        <f>IF(Data!A117=Entry2!A117,Data!A117,"ERROR")</f>
        <v>3</v>
      </c>
      <c r="B117" s="7">
        <f>IF(Data!B117=Entry2!B117,Data!B117,"ERROR")</f>
        <v>2023</v>
      </c>
      <c r="C117" s="17">
        <f>IF(Data!C117=Entry2!C117,Data!C117,"ERROR")</f>
        <v>45203</v>
      </c>
      <c r="D117" s="7" t="str">
        <f>IF(Data!D117=Entry2!D117,Data!D117,"ERROR")</f>
        <v>MG, TL</v>
      </c>
      <c r="E117" s="7" t="str">
        <f>IF(Data!E117=Entry2!E117,Data!E117,"ERROR")</f>
        <v>GB</v>
      </c>
      <c r="F117" s="7">
        <f>IF(Data!F117=Entry2!F117,Data!F117,"ERROR")</f>
        <v>1</v>
      </c>
      <c r="G117" s="7" t="str">
        <f>IF(Data!G117=Entry2!G117,Data!G117,"ERROR")</f>
        <v>LS</v>
      </c>
      <c r="H117" s="7">
        <f>IF(Data!H117=Entry2!H117,Data!H117,"ERROR")</f>
        <v>5</v>
      </c>
      <c r="I117" s="7">
        <f>IF(Data!I117=Entry2!I117,Data!I117,"ERROR")</f>
        <v>1</v>
      </c>
      <c r="J117" s="7">
        <f>IF(Data!J117=Entry2!J117,Data!J117,"ERROR")</f>
        <v>2</v>
      </c>
      <c r="K117" s="7" t="str">
        <f>IF(Data!K117=Entry2!K117,Data!K117,"ERROR")</f>
        <v>STEDIE</v>
      </c>
      <c r="L117" s="7" t="str">
        <f>IF(Data!L117=Entry2!L117,Data!L117,"ERROR")</f>
        <v>ERROR</v>
      </c>
      <c r="M117" s="7">
        <f>IF(Data!N117=Entry2!M117,Data!N117,"ERROR")</f>
        <v>0</v>
      </c>
    </row>
    <row r="118" spans="1:13" ht="13.2" hidden="1" x14ac:dyDescent="0.25">
      <c r="A118" s="7">
        <f>IF(Data!A118=Entry2!A118,Data!A118,"ERROR")</f>
        <v>3</v>
      </c>
      <c r="B118" s="7">
        <f>IF(Data!B118=Entry2!B118,Data!B118,"ERROR")</f>
        <v>2023</v>
      </c>
      <c r="C118" s="17">
        <f>IF(Data!C118=Entry2!C118,Data!C118,"ERROR")</f>
        <v>45203</v>
      </c>
      <c r="D118" s="7" t="str">
        <f>IF(Data!D118=Entry2!D118,Data!D118,"ERROR")</f>
        <v>MG, TL</v>
      </c>
      <c r="E118" s="7" t="str">
        <f>IF(Data!E118=Entry2!E118,Data!E118,"ERROR")</f>
        <v>GB</v>
      </c>
      <c r="F118" s="7">
        <f>IF(Data!F118=Entry2!F118,Data!F118,"ERROR")</f>
        <v>1</v>
      </c>
      <c r="G118" s="7" t="str">
        <f>IF(Data!G118=Entry2!G118,Data!G118,"ERROR")</f>
        <v>LS</v>
      </c>
      <c r="H118" s="7">
        <f>IF(Data!H118=Entry2!H118,Data!H118,"ERROR")</f>
        <v>5</v>
      </c>
      <c r="I118" s="7">
        <f>IF(Data!I118=Entry2!I118,Data!I118,"ERROR")</f>
        <v>1</v>
      </c>
      <c r="J118" s="7">
        <f>IF(Data!J118=Entry2!J118,Data!J118,"ERROR")</f>
        <v>2</v>
      </c>
      <c r="K118" s="7" t="str">
        <f>IF(Data!K118=Entry2!K118,Data!K118,"ERROR")</f>
        <v>CENMEL</v>
      </c>
      <c r="L118" s="7" t="str">
        <f>IF(Data!L118=Entry2!L118,Data!L118,"ERROR")</f>
        <v>ERROR</v>
      </c>
      <c r="M118" s="7">
        <f>IF(Data!N118=Entry2!M118,Data!N118,"ERROR")</f>
        <v>0</v>
      </c>
    </row>
    <row r="119" spans="1:13" ht="13.2" hidden="1" x14ac:dyDescent="0.25">
      <c r="A119" s="7">
        <f>IF(Data!A119=Entry2!A119,Data!A119,"ERROR")</f>
        <v>3</v>
      </c>
      <c r="B119" s="7">
        <f>IF(Data!B119=Entry2!B119,Data!B119,"ERROR")</f>
        <v>2023</v>
      </c>
      <c r="C119" s="17">
        <f>IF(Data!C119=Entry2!C119,Data!C119,"ERROR")</f>
        <v>45203</v>
      </c>
      <c r="D119" s="7" t="str">
        <f>IF(Data!D119=Entry2!D119,Data!D119,"ERROR")</f>
        <v>MG, TL</v>
      </c>
      <c r="E119" s="7" t="str">
        <f>IF(Data!E119=Entry2!E119,Data!E119,"ERROR")</f>
        <v>GB</v>
      </c>
      <c r="F119" s="7">
        <f>IF(Data!F119=Entry2!F119,Data!F119,"ERROR")</f>
        <v>1</v>
      </c>
      <c r="G119" s="7" t="str">
        <f>IF(Data!G119=Entry2!G119,Data!G119,"ERROR")</f>
        <v>LS</v>
      </c>
      <c r="H119" s="7">
        <f>IF(Data!H119=Entry2!H119,Data!H119,"ERROR")</f>
        <v>6</v>
      </c>
      <c r="I119" s="7">
        <f>IF(Data!I119=Entry2!I119,Data!I119,"ERROR")</f>
        <v>1</v>
      </c>
      <c r="J119" s="7">
        <f>IF(Data!J119=Entry2!J119,Data!J119,"ERROR")</f>
        <v>2.5</v>
      </c>
      <c r="K119" s="7" t="str">
        <f>IF(Data!K119=Entry2!K119,Data!K119,"ERROR")</f>
        <v>L</v>
      </c>
      <c r="L119" s="7" t="str">
        <f>IF(Data!L119=Entry2!L119,Data!L119,"ERROR")</f>
        <v>ERROR</v>
      </c>
      <c r="M119" s="7">
        <f>IF(Data!N119=Entry2!M119,Data!N119,"ERROR")</f>
        <v>0</v>
      </c>
    </row>
    <row r="120" spans="1:13" ht="13.2" hidden="1" x14ac:dyDescent="0.25">
      <c r="A120" s="7">
        <f>IF(Data!A120=Entry2!A120,Data!A120,"ERROR")</f>
        <v>3</v>
      </c>
      <c r="B120" s="7">
        <f>IF(Data!B120=Entry2!B120,Data!B120,"ERROR")</f>
        <v>2023</v>
      </c>
      <c r="C120" s="17">
        <f>IF(Data!C120=Entry2!C120,Data!C120,"ERROR")</f>
        <v>45203</v>
      </c>
      <c r="D120" s="7" t="str">
        <f>IF(Data!D120=Entry2!D120,Data!D120,"ERROR")</f>
        <v>MG, TL</v>
      </c>
      <c r="E120" s="7" t="str">
        <f>IF(Data!E120=Entry2!E120,Data!E120,"ERROR")</f>
        <v>GB</v>
      </c>
      <c r="F120" s="7">
        <f>IF(Data!F120=Entry2!F120,Data!F120,"ERROR")</f>
        <v>1</v>
      </c>
      <c r="G120" s="7" t="str">
        <f>IF(Data!G120=Entry2!G120,Data!G120,"ERROR")</f>
        <v>LS</v>
      </c>
      <c r="H120" s="7">
        <f>IF(Data!H120=Entry2!H120,Data!H120,"ERROR")</f>
        <v>6</v>
      </c>
      <c r="I120" s="7">
        <f>IF(Data!I120=Entry2!I120,Data!I120,"ERROR")</f>
        <v>1</v>
      </c>
      <c r="J120" s="7">
        <f>IF(Data!J120=Entry2!J120,Data!J120,"ERROR")</f>
        <v>2.5</v>
      </c>
      <c r="K120" s="7" t="str">
        <f>IF(Data!K120=Entry2!K120,Data!K120,"ERROR")</f>
        <v>STEDIE</v>
      </c>
      <c r="L120" s="7" t="str">
        <f>IF(Data!L120=Entry2!L120,Data!L120,"ERROR")</f>
        <v>ERROR</v>
      </c>
      <c r="M120" s="7">
        <f>IF(Data!N120=Entry2!M120,Data!N120,"ERROR")</f>
        <v>0</v>
      </c>
    </row>
    <row r="121" spans="1:13" ht="13.2" hidden="1" x14ac:dyDescent="0.25">
      <c r="A121" s="7">
        <f>IF(Data!A121=Entry2!A121,Data!A121,"ERROR")</f>
        <v>3</v>
      </c>
      <c r="B121" s="7">
        <f>IF(Data!B121=Entry2!B121,Data!B121,"ERROR")</f>
        <v>2023</v>
      </c>
      <c r="C121" s="17">
        <f>IF(Data!C121=Entry2!C121,Data!C121,"ERROR")</f>
        <v>45203</v>
      </c>
      <c r="D121" s="7" t="str">
        <f>IF(Data!D121=Entry2!D121,Data!D121,"ERROR")</f>
        <v>MG, TL</v>
      </c>
      <c r="E121" s="7" t="str">
        <f>IF(Data!E121=Entry2!E121,Data!E121,"ERROR")</f>
        <v>GB</v>
      </c>
      <c r="F121" s="7">
        <f>IF(Data!F121=Entry2!F121,Data!F121,"ERROR")</f>
        <v>1</v>
      </c>
      <c r="G121" s="7" t="str">
        <f>IF(Data!G121=Entry2!G121,Data!G121,"ERROR")</f>
        <v>LS</v>
      </c>
      <c r="H121" s="7">
        <f>IF(Data!H121=Entry2!H121,Data!H121,"ERROR")</f>
        <v>6</v>
      </c>
      <c r="I121" s="7">
        <f>IF(Data!I121=Entry2!I121,Data!I121,"ERROR")</f>
        <v>1</v>
      </c>
      <c r="J121" s="7">
        <f>IF(Data!J121=Entry2!J121,Data!J121,"ERROR")</f>
        <v>2.5</v>
      </c>
      <c r="K121" s="7" t="str">
        <f>IF(Data!K121=Entry2!K121,Data!K121,"ERROR")</f>
        <v>OPULIT</v>
      </c>
      <c r="L121" s="7" t="str">
        <f>IF(Data!L121=Entry2!L121,Data!L121,"ERROR")</f>
        <v>ERROR</v>
      </c>
      <c r="M121" s="7">
        <f>IF(Data!N121=Entry2!M121,Data!N121,"ERROR")</f>
        <v>0</v>
      </c>
    </row>
    <row r="122" spans="1:13" ht="13.2" hidden="1" x14ac:dyDescent="0.25">
      <c r="A122" s="7">
        <f>IF(Data!A122=Entry2!A122,Data!A122,"ERROR")</f>
        <v>3</v>
      </c>
      <c r="B122" s="7">
        <f>IF(Data!B122=Entry2!B122,Data!B122,"ERROR")</f>
        <v>2023</v>
      </c>
      <c r="C122" s="17">
        <f>IF(Data!C122=Entry2!C122,Data!C122,"ERROR")</f>
        <v>45203</v>
      </c>
      <c r="D122" s="7" t="str">
        <f>IF(Data!D122=Entry2!D122,Data!D122,"ERROR")</f>
        <v>MG, TL</v>
      </c>
      <c r="E122" s="7" t="str">
        <f>IF(Data!E122=Entry2!E122,Data!E122,"ERROR")</f>
        <v>GB</v>
      </c>
      <c r="F122" s="7">
        <f>IF(Data!F122=Entry2!F122,Data!F122,"ERROR")</f>
        <v>1</v>
      </c>
      <c r="G122" s="7" t="str">
        <f>IF(Data!G122=Entry2!G122,Data!G122,"ERROR")</f>
        <v>LS</v>
      </c>
      <c r="H122" s="7">
        <f>IF(Data!H122=Entry2!H122,Data!H122,"ERROR")</f>
        <v>7</v>
      </c>
      <c r="I122" s="7">
        <f>IF(Data!I122=Entry2!I122,Data!I122,"ERROR")</f>
        <v>1</v>
      </c>
      <c r="J122" s="7">
        <f>IF(Data!J122=Entry2!J122,Data!J122,"ERROR")</f>
        <v>3</v>
      </c>
      <c r="K122" s="7" t="str">
        <f>IF(Data!K122=Entry2!K122,Data!K122,"ERROR")</f>
        <v>L</v>
      </c>
      <c r="L122" s="7" t="str">
        <f>IF(Data!L122=Entry2!L122,Data!L122,"ERROR")</f>
        <v>ERROR</v>
      </c>
      <c r="M122" s="7">
        <f>IF(Data!N122=Entry2!M122,Data!N122,"ERROR")</f>
        <v>0</v>
      </c>
    </row>
    <row r="123" spans="1:13" ht="13.2" hidden="1" x14ac:dyDescent="0.25">
      <c r="A123" s="7">
        <f>IF(Data!A123=Entry2!A123,Data!A123,"ERROR")</f>
        <v>3</v>
      </c>
      <c r="B123" s="7">
        <f>IF(Data!B123=Entry2!B123,Data!B123,"ERROR")</f>
        <v>2023</v>
      </c>
      <c r="C123" s="17">
        <f>IF(Data!C123=Entry2!C123,Data!C123,"ERROR")</f>
        <v>45203</v>
      </c>
      <c r="D123" s="7" t="str">
        <f>IF(Data!D123=Entry2!D123,Data!D123,"ERROR")</f>
        <v>MG, TL</v>
      </c>
      <c r="E123" s="7" t="str">
        <f>IF(Data!E123=Entry2!E123,Data!E123,"ERROR")</f>
        <v>GB</v>
      </c>
      <c r="F123" s="7">
        <f>IF(Data!F123=Entry2!F123,Data!F123,"ERROR")</f>
        <v>1</v>
      </c>
      <c r="G123" s="7" t="str">
        <f>IF(Data!G123=Entry2!G123,Data!G123,"ERROR")</f>
        <v>LS</v>
      </c>
      <c r="H123" s="7">
        <f>IF(Data!H123=Entry2!H123,Data!H123,"ERROR")</f>
        <v>7</v>
      </c>
      <c r="I123" s="7">
        <f>IF(Data!I123=Entry2!I123,Data!I123,"ERROR")</f>
        <v>1</v>
      </c>
      <c r="J123" s="7">
        <f>IF(Data!J123=Entry2!J123,Data!J123,"ERROR")</f>
        <v>3</v>
      </c>
      <c r="K123" s="7" t="str">
        <f>IF(Data!K123=Entry2!K123,Data!K123,"ERROR")</f>
        <v>OPULIT</v>
      </c>
      <c r="L123" s="7" t="str">
        <f>IF(Data!L123=Entry2!L123,Data!L123,"ERROR")</f>
        <v>ERROR</v>
      </c>
      <c r="M123" s="7">
        <f>IF(Data!N123=Entry2!M123,Data!N123,"ERROR")</f>
        <v>0</v>
      </c>
    </row>
    <row r="124" spans="1:13" ht="13.2" hidden="1" x14ac:dyDescent="0.25">
      <c r="A124" s="7">
        <f>IF(Data!A124=Entry2!A124,Data!A124,"ERROR")</f>
        <v>3</v>
      </c>
      <c r="B124" s="7">
        <f>IF(Data!B124=Entry2!B124,Data!B124,"ERROR")</f>
        <v>2023</v>
      </c>
      <c r="C124" s="17">
        <f>IF(Data!C124=Entry2!C124,Data!C124,"ERROR")</f>
        <v>45203</v>
      </c>
      <c r="D124" s="7" t="str">
        <f>IF(Data!D124=Entry2!D124,Data!D124,"ERROR")</f>
        <v>MG, TL</v>
      </c>
      <c r="E124" s="7" t="str">
        <f>IF(Data!E124=Entry2!E124,Data!E124,"ERROR")</f>
        <v>GB</v>
      </c>
      <c r="F124" s="7">
        <f>IF(Data!F124=Entry2!F124,Data!F124,"ERROR")</f>
        <v>1</v>
      </c>
      <c r="G124" s="7" t="str">
        <f>IF(Data!G124=Entry2!G124,Data!G124,"ERROR")</f>
        <v>LS</v>
      </c>
      <c r="H124" s="7">
        <f>IF(Data!H124=Entry2!H124,Data!H124,"ERROR")</f>
        <v>8</v>
      </c>
      <c r="I124" s="7">
        <f>IF(Data!I124=Entry2!I124,Data!I124,"ERROR")</f>
        <v>1</v>
      </c>
      <c r="J124" s="7">
        <f>IF(Data!J124=Entry2!J124,Data!J124,"ERROR")</f>
        <v>3.5</v>
      </c>
      <c r="K124" s="7" t="str">
        <f>IF(Data!K124=Entry2!K124,Data!K124,"ERROR")</f>
        <v>R</v>
      </c>
      <c r="L124" s="7" t="str">
        <f>IF(Data!L124=Entry2!L124,Data!L124,"ERROR")</f>
        <v>ERROR</v>
      </c>
      <c r="M124" s="7">
        <f>IF(Data!N124=Entry2!M124,Data!N124,"ERROR")</f>
        <v>0</v>
      </c>
    </row>
    <row r="125" spans="1:13" ht="13.2" hidden="1" x14ac:dyDescent="0.25">
      <c r="A125" s="7">
        <f>IF(Data!A125=Entry2!A125,Data!A125,"ERROR")</f>
        <v>3</v>
      </c>
      <c r="B125" s="7">
        <f>IF(Data!B125=Entry2!B125,Data!B125,"ERROR")</f>
        <v>2023</v>
      </c>
      <c r="C125" s="17">
        <f>IF(Data!C125=Entry2!C125,Data!C125,"ERROR")</f>
        <v>45203</v>
      </c>
      <c r="D125" s="7" t="str">
        <f>IF(Data!D125=Entry2!D125,Data!D125,"ERROR")</f>
        <v>MG, TL</v>
      </c>
      <c r="E125" s="7" t="str">
        <f>IF(Data!E125=Entry2!E125,Data!E125,"ERROR")</f>
        <v>GB</v>
      </c>
      <c r="F125" s="7">
        <f>IF(Data!F125=Entry2!F125,Data!F125,"ERROR")</f>
        <v>1</v>
      </c>
      <c r="G125" s="7" t="str">
        <f>IF(Data!G125=Entry2!G125,Data!G125,"ERROR")</f>
        <v>LS</v>
      </c>
      <c r="H125" s="7">
        <f>IF(Data!H125=Entry2!H125,Data!H125,"ERROR")</f>
        <v>9</v>
      </c>
      <c r="I125" s="7">
        <f>IF(Data!I125=Entry2!I125,Data!I125,"ERROR")</f>
        <v>1</v>
      </c>
      <c r="J125" s="7">
        <f>IF(Data!J125=Entry2!J125,Data!J125,"ERROR")</f>
        <v>4</v>
      </c>
      <c r="K125" s="7" t="str">
        <f>IF(Data!K125=Entry2!K125,Data!K125,"ERROR")</f>
        <v>L</v>
      </c>
      <c r="L125" s="7" t="str">
        <f>IF(Data!L125=Entry2!L125,Data!L125,"ERROR")</f>
        <v>ERROR</v>
      </c>
      <c r="M125" s="7">
        <f>IF(Data!N125=Entry2!M125,Data!N125,"ERROR")</f>
        <v>0</v>
      </c>
    </row>
    <row r="126" spans="1:13" ht="13.2" hidden="1" x14ac:dyDescent="0.25">
      <c r="A126" s="7">
        <f>IF(Data!A126=Entry2!A126,Data!A126,"ERROR")</f>
        <v>3</v>
      </c>
      <c r="B126" s="7">
        <f>IF(Data!B126=Entry2!B126,Data!B126,"ERROR")</f>
        <v>2023</v>
      </c>
      <c r="C126" s="17">
        <f>IF(Data!C126=Entry2!C126,Data!C126,"ERROR")</f>
        <v>45203</v>
      </c>
      <c r="D126" s="7" t="str">
        <f>IF(Data!D126=Entry2!D126,Data!D126,"ERROR")</f>
        <v>MG, TL</v>
      </c>
      <c r="E126" s="7" t="str">
        <f>IF(Data!E126=Entry2!E126,Data!E126,"ERROR")</f>
        <v>GB</v>
      </c>
      <c r="F126" s="7">
        <f>IF(Data!F126=Entry2!F126,Data!F126,"ERROR")</f>
        <v>1</v>
      </c>
      <c r="G126" s="7" t="str">
        <f>IF(Data!G126=Entry2!G126,Data!G126,"ERROR")</f>
        <v>LS</v>
      </c>
      <c r="H126" s="7">
        <f>IF(Data!H126=Entry2!H126,Data!H126,"ERROR")</f>
        <v>10</v>
      </c>
      <c r="I126" s="7">
        <f>IF(Data!I126=Entry2!I126,Data!I126,"ERROR")</f>
        <v>1</v>
      </c>
      <c r="J126" s="7">
        <f>IF(Data!J126=Entry2!J126,Data!J126,"ERROR")</f>
        <v>4.5</v>
      </c>
      <c r="K126" s="7" t="str">
        <f>IF(Data!K126=Entry2!K126,Data!K126,"ERROR")</f>
        <v>L</v>
      </c>
      <c r="L126" s="7" t="str">
        <f>IF(Data!L126=Entry2!L126,Data!L126,"ERROR")</f>
        <v>ERROR</v>
      </c>
      <c r="M126" s="7">
        <f>IF(Data!N126=Entry2!M126,Data!N126,"ERROR")</f>
        <v>0</v>
      </c>
    </row>
    <row r="127" spans="1:13" ht="13.2" hidden="1" x14ac:dyDescent="0.25">
      <c r="A127" s="7">
        <f>IF(Data!A127=Entry2!A127,Data!A127,"ERROR")</f>
        <v>3</v>
      </c>
      <c r="B127" s="7">
        <f>IF(Data!B127=Entry2!B127,Data!B127,"ERROR")</f>
        <v>2023</v>
      </c>
      <c r="C127" s="17">
        <f>IF(Data!C127=Entry2!C127,Data!C127,"ERROR")</f>
        <v>45203</v>
      </c>
      <c r="D127" s="7" t="str">
        <f>IF(Data!D127=Entry2!D127,Data!D127,"ERROR")</f>
        <v>MG, TL</v>
      </c>
      <c r="E127" s="7" t="str">
        <f>IF(Data!E127=Entry2!E127,Data!E127,"ERROR")</f>
        <v>GB</v>
      </c>
      <c r="F127" s="7">
        <f>IF(Data!F127=Entry2!F127,Data!F127,"ERROR")</f>
        <v>1</v>
      </c>
      <c r="G127" s="7" t="str">
        <f>IF(Data!G127=Entry2!G127,Data!G127,"ERROR")</f>
        <v>LS</v>
      </c>
      <c r="H127" s="7">
        <f>IF(Data!H127=Entry2!H127,Data!H127,"ERROR")</f>
        <v>10</v>
      </c>
      <c r="I127" s="7">
        <f>IF(Data!I127=Entry2!I127,Data!I127,"ERROR")</f>
        <v>1</v>
      </c>
      <c r="J127" s="7">
        <f>IF(Data!J127=Entry2!J127,Data!J127,"ERROR")</f>
        <v>4.5</v>
      </c>
      <c r="K127" s="7" t="str">
        <f>IF(Data!K127=Entry2!K127,Data!K127,"ERROR")</f>
        <v>ANAARV</v>
      </c>
      <c r="L127" s="7" t="str">
        <f>IF(Data!L127=Entry2!L127,Data!L127,"ERROR")</f>
        <v>ERROR</v>
      </c>
      <c r="M127" s="7">
        <f>IF(Data!N127=Entry2!M127,Data!N127,"ERROR")</f>
        <v>0</v>
      </c>
    </row>
    <row r="128" spans="1:13" ht="13.2" hidden="1" x14ac:dyDescent="0.25">
      <c r="A128" s="7">
        <f>IF(Data!A128=Entry2!A128,Data!A128,"ERROR")</f>
        <v>3</v>
      </c>
      <c r="B128" s="7">
        <f>IF(Data!B128=Entry2!B128,Data!B128,"ERROR")</f>
        <v>2023</v>
      </c>
      <c r="C128" s="17">
        <f>IF(Data!C128=Entry2!C128,Data!C128,"ERROR")</f>
        <v>45203</v>
      </c>
      <c r="D128" s="7" t="str">
        <f>IF(Data!D128=Entry2!D128,Data!D128,"ERROR")</f>
        <v>MG, TL</v>
      </c>
      <c r="E128" s="7" t="str">
        <f>IF(Data!E128=Entry2!E128,Data!E128,"ERROR")</f>
        <v>GB</v>
      </c>
      <c r="F128" s="7">
        <f>IF(Data!F128=Entry2!F128,Data!F128,"ERROR")</f>
        <v>1</v>
      </c>
      <c r="G128" s="7" t="str">
        <f>IF(Data!G128=Entry2!G128,Data!G128,"ERROR")</f>
        <v>LS</v>
      </c>
      <c r="H128" s="7">
        <f>IF(Data!H128=Entry2!H128,Data!H128,"ERROR")</f>
        <v>11</v>
      </c>
      <c r="I128" s="7">
        <f>IF(Data!I128=Entry2!I128,Data!I128,"ERROR")</f>
        <v>1</v>
      </c>
      <c r="J128" s="7">
        <f>IF(Data!J128=Entry2!J128,Data!J128,"ERROR")</f>
        <v>5</v>
      </c>
      <c r="K128" s="7" t="str">
        <f>IF(Data!K128=Entry2!K128,Data!K128,"ERROR")</f>
        <v>L</v>
      </c>
      <c r="L128" s="7" t="str">
        <f>IF(Data!L128=Entry2!L128,Data!L128,"ERROR")</f>
        <v>ERROR</v>
      </c>
      <c r="M128" s="7">
        <f>IF(Data!N128=Entry2!M128,Data!N128,"ERROR")</f>
        <v>0</v>
      </c>
    </row>
    <row r="129" spans="1:13" ht="13.2" hidden="1" x14ac:dyDescent="0.25">
      <c r="A129" s="7">
        <f>IF(Data!A129=Entry2!A129,Data!A129,"ERROR")</f>
        <v>3</v>
      </c>
      <c r="B129" s="7">
        <f>IF(Data!B129=Entry2!B129,Data!B129,"ERROR")</f>
        <v>2023</v>
      </c>
      <c r="C129" s="17">
        <f>IF(Data!C129=Entry2!C129,Data!C129,"ERROR")</f>
        <v>45203</v>
      </c>
      <c r="D129" s="7" t="str">
        <f>IF(Data!D129=Entry2!D129,Data!D129,"ERROR")</f>
        <v>MG, TL</v>
      </c>
      <c r="E129" s="7" t="str">
        <f>IF(Data!E129=Entry2!E129,Data!E129,"ERROR")</f>
        <v>GB</v>
      </c>
      <c r="F129" s="7">
        <f>IF(Data!F129=Entry2!F129,Data!F129,"ERROR")</f>
        <v>1</v>
      </c>
      <c r="G129" s="7" t="str">
        <f>IF(Data!G129=Entry2!G129,Data!G129,"ERROR")</f>
        <v>LS</v>
      </c>
      <c r="H129" s="7">
        <f>IF(Data!H129=Entry2!H129,Data!H129,"ERROR")</f>
        <v>12</v>
      </c>
      <c r="I129" s="7">
        <f>IF(Data!I129=Entry2!I129,Data!I129,"ERROR")</f>
        <v>1</v>
      </c>
      <c r="J129" s="7">
        <f>IF(Data!J129=Entry2!J129,Data!J129,"ERROR")</f>
        <v>5.5</v>
      </c>
      <c r="K129" s="7" t="str">
        <f>IF(Data!K129=Entry2!K129,Data!K129,"ERROR")</f>
        <v>L</v>
      </c>
      <c r="L129" s="7" t="str">
        <f>IF(Data!L129=Entry2!L129,Data!L129,"ERROR")</f>
        <v>ERROR</v>
      </c>
      <c r="M129" s="7">
        <f>IF(Data!N129=Entry2!M129,Data!N129,"ERROR")</f>
        <v>0</v>
      </c>
    </row>
    <row r="130" spans="1:13" ht="13.2" hidden="1" x14ac:dyDescent="0.25">
      <c r="A130" s="7">
        <f>IF(Data!A130=Entry2!A130,Data!A130,"ERROR")</f>
        <v>3</v>
      </c>
      <c r="B130" s="7">
        <f>IF(Data!B130=Entry2!B130,Data!B130,"ERROR")</f>
        <v>2023</v>
      </c>
      <c r="C130" s="17">
        <f>IF(Data!C130=Entry2!C130,Data!C130,"ERROR")</f>
        <v>45203</v>
      </c>
      <c r="D130" s="7" t="str">
        <f>IF(Data!D130=Entry2!D130,Data!D130,"ERROR")</f>
        <v>MG, TL</v>
      </c>
      <c r="E130" s="7" t="str">
        <f>IF(Data!E130=Entry2!E130,Data!E130,"ERROR")</f>
        <v>GB</v>
      </c>
      <c r="F130" s="7">
        <f>IF(Data!F130=Entry2!F130,Data!F130,"ERROR")</f>
        <v>1</v>
      </c>
      <c r="G130" s="7" t="str">
        <f>IF(Data!G130=Entry2!G130,Data!G130,"ERROR")</f>
        <v>LS</v>
      </c>
      <c r="H130" s="7">
        <f>IF(Data!H130=Entry2!H130,Data!H130,"ERROR")</f>
        <v>12</v>
      </c>
      <c r="I130" s="7">
        <f>IF(Data!I130=Entry2!I130,Data!I130,"ERROR")</f>
        <v>1</v>
      </c>
      <c r="J130" s="7">
        <f>IF(Data!J130=Entry2!J130,Data!J130,"ERROR")</f>
        <v>5.5</v>
      </c>
      <c r="K130" s="7" t="str">
        <f>IF(Data!K130=Entry2!K130,Data!K130,"ERROR")</f>
        <v>LAECOU</v>
      </c>
      <c r="L130" s="7" t="str">
        <f>IF(Data!L130=Entry2!L130,Data!L130,"ERROR")</f>
        <v>ERROR</v>
      </c>
      <c r="M130" s="7">
        <f>IF(Data!N130=Entry2!M130,Data!N130,"ERROR")</f>
        <v>0</v>
      </c>
    </row>
    <row r="131" spans="1:13" ht="13.2" hidden="1" x14ac:dyDescent="0.25">
      <c r="A131" s="7">
        <f>IF(Data!A131=Entry2!A131,Data!A131,"ERROR")</f>
        <v>3</v>
      </c>
      <c r="B131" s="7">
        <f>IF(Data!B131=Entry2!B131,Data!B131,"ERROR")</f>
        <v>2023</v>
      </c>
      <c r="C131" s="17">
        <f>IF(Data!C131=Entry2!C131,Data!C131,"ERROR")</f>
        <v>45203</v>
      </c>
      <c r="D131" s="7" t="str">
        <f>IF(Data!D131=Entry2!D131,Data!D131,"ERROR")</f>
        <v>MG, TL</v>
      </c>
      <c r="E131" s="7" t="str">
        <f>IF(Data!E131=Entry2!E131,Data!E131,"ERROR")</f>
        <v>GB</v>
      </c>
      <c r="F131" s="7">
        <f>IF(Data!F131=Entry2!F131,Data!F131,"ERROR")</f>
        <v>1</v>
      </c>
      <c r="G131" s="7" t="str">
        <f>IF(Data!G131=Entry2!G131,Data!G131,"ERROR")</f>
        <v>LS</v>
      </c>
      <c r="H131" s="7">
        <f>IF(Data!H131=Entry2!H131,Data!H131,"ERROR")</f>
        <v>13</v>
      </c>
      <c r="I131" s="7">
        <f>IF(Data!I131=Entry2!I131,Data!I131,"ERROR")</f>
        <v>1</v>
      </c>
      <c r="J131" s="7">
        <f>IF(Data!J131=Entry2!J131,Data!J131,"ERROR")</f>
        <v>6.5</v>
      </c>
      <c r="K131" s="7" t="str">
        <f>IF(Data!K131=Entry2!K131,Data!K131,"ERROR")</f>
        <v>L</v>
      </c>
      <c r="L131" s="7" t="str">
        <f>IF(Data!L131=Entry2!L131,Data!L131,"ERROR")</f>
        <v>ERROR</v>
      </c>
      <c r="M131" s="7">
        <f>IF(Data!N131=Entry2!M131,Data!N131,"ERROR")</f>
        <v>0</v>
      </c>
    </row>
    <row r="132" spans="1:13" ht="13.2" hidden="1" x14ac:dyDescent="0.25">
      <c r="A132" s="7">
        <f>IF(Data!A132=Entry2!A132,Data!A132,"ERROR")</f>
        <v>3</v>
      </c>
      <c r="B132" s="7">
        <f>IF(Data!B132=Entry2!B132,Data!B132,"ERROR")</f>
        <v>2023</v>
      </c>
      <c r="C132" s="17">
        <f>IF(Data!C132=Entry2!C132,Data!C132,"ERROR")</f>
        <v>45203</v>
      </c>
      <c r="D132" s="7" t="str">
        <f>IF(Data!D132=Entry2!D132,Data!D132,"ERROR")</f>
        <v>MG, TL</v>
      </c>
      <c r="E132" s="7" t="str">
        <f>IF(Data!E132=Entry2!E132,Data!E132,"ERROR")</f>
        <v>GB</v>
      </c>
      <c r="F132" s="7">
        <f>IF(Data!F132=Entry2!F132,Data!F132,"ERROR")</f>
        <v>1</v>
      </c>
      <c r="G132" s="7" t="str">
        <f>IF(Data!G132=Entry2!G132,Data!G132,"ERROR")</f>
        <v>LS</v>
      </c>
      <c r="H132" s="7">
        <f>IF(Data!H132=Entry2!H132,Data!H132,"ERROR")</f>
        <v>13</v>
      </c>
      <c r="I132" s="7">
        <f>IF(Data!I132=Entry2!I132,Data!I132,"ERROR")</f>
        <v>1</v>
      </c>
      <c r="J132" s="7">
        <f>IF(Data!J132=Entry2!J132,Data!J132,"ERROR")</f>
        <v>6.5</v>
      </c>
      <c r="K132" s="7" t="str">
        <f>IF(Data!K132=Entry2!K132,Data!K132,"ERROR")</f>
        <v>DEIFAS</v>
      </c>
      <c r="L132" s="7" t="str">
        <f>IF(Data!L132=Entry2!L132,Data!L132,"ERROR")</f>
        <v>ERROR</v>
      </c>
      <c r="M132" s="7">
        <f>IF(Data!N132=Entry2!M132,Data!N132,"ERROR")</f>
        <v>0</v>
      </c>
    </row>
    <row r="133" spans="1:13" ht="13.2" hidden="1" x14ac:dyDescent="0.25">
      <c r="A133" s="7">
        <f>IF(Data!A133=Entry2!A133,Data!A133,"ERROR")</f>
        <v>3</v>
      </c>
      <c r="B133" s="7">
        <f>IF(Data!B133=Entry2!B133,Data!B133,"ERROR")</f>
        <v>2023</v>
      </c>
      <c r="C133" s="17">
        <f>IF(Data!C133=Entry2!C133,Data!C133,"ERROR")</f>
        <v>45203</v>
      </c>
      <c r="D133" s="7" t="str">
        <f>IF(Data!D133=Entry2!D133,Data!D133,"ERROR")</f>
        <v>MG, TL</v>
      </c>
      <c r="E133" s="7" t="str">
        <f>IF(Data!E133=Entry2!E133,Data!E133,"ERROR")</f>
        <v>GB</v>
      </c>
      <c r="F133" s="7">
        <f>IF(Data!F133=Entry2!F133,Data!F133,"ERROR")</f>
        <v>1</v>
      </c>
      <c r="G133" s="7" t="str">
        <f>IF(Data!G133=Entry2!G133,Data!G133,"ERROR")</f>
        <v>LS</v>
      </c>
      <c r="H133" s="7">
        <f>IF(Data!H133=Entry2!H133,Data!H133,"ERROR")</f>
        <v>14</v>
      </c>
      <c r="I133" s="7">
        <f>IF(Data!I133=Entry2!I133,Data!I133,"ERROR")</f>
        <v>1</v>
      </c>
      <c r="J133" s="7">
        <f>IF(Data!J133=Entry2!J133,Data!J133,"ERROR")</f>
        <v>7</v>
      </c>
      <c r="K133" s="7" t="str">
        <f>IF(Data!K133=Entry2!K133,Data!K133,"ERROR")</f>
        <v>L</v>
      </c>
      <c r="L133" s="7" t="str">
        <f>IF(Data!L133=Entry2!L133,Data!L133,"ERROR")</f>
        <v>ERROR</v>
      </c>
      <c r="M133" s="7">
        <f>IF(Data!N133=Entry2!M133,Data!N133,"ERROR")</f>
        <v>0</v>
      </c>
    </row>
    <row r="134" spans="1:13" ht="13.2" hidden="1" x14ac:dyDescent="0.25">
      <c r="A134" s="7">
        <f>IF(Data!A134=Entry2!A134,Data!A134,"ERROR")</f>
        <v>3</v>
      </c>
      <c r="B134" s="7">
        <f>IF(Data!B134=Entry2!B134,Data!B134,"ERROR")</f>
        <v>2023</v>
      </c>
      <c r="C134" s="17">
        <f>IF(Data!C134=Entry2!C134,Data!C134,"ERROR")</f>
        <v>45203</v>
      </c>
      <c r="D134" s="7" t="str">
        <f>IF(Data!D134=Entry2!D134,Data!D134,"ERROR")</f>
        <v>MG, TL</v>
      </c>
      <c r="E134" s="7" t="str">
        <f>IF(Data!E134=Entry2!E134,Data!E134,"ERROR")</f>
        <v>GB</v>
      </c>
      <c r="F134" s="7">
        <f>IF(Data!F134=Entry2!F134,Data!F134,"ERROR")</f>
        <v>1</v>
      </c>
      <c r="G134" s="7" t="str">
        <f>IF(Data!G134=Entry2!G134,Data!G134,"ERROR")</f>
        <v>LS</v>
      </c>
      <c r="H134" s="7">
        <f>IF(Data!H134=Entry2!H134,Data!H134,"ERROR")</f>
        <v>14</v>
      </c>
      <c r="I134" s="7">
        <f>IF(Data!I134=Entry2!I134,Data!I134,"ERROR")</f>
        <v>1</v>
      </c>
      <c r="J134" s="7">
        <f>IF(Data!J134=Entry2!J134,Data!J134,"ERROR")</f>
        <v>7</v>
      </c>
      <c r="K134" s="7" t="str">
        <f>IF(Data!K134=Entry2!K134,Data!K134,"ERROR")</f>
        <v>DEIFAS</v>
      </c>
      <c r="L134" s="7" t="str">
        <f>IF(Data!L134=Entry2!L134,Data!L134,"ERROR")</f>
        <v>ERROR</v>
      </c>
      <c r="M134" s="7">
        <f>IF(Data!N134=Entry2!M134,Data!N134,"ERROR")</f>
        <v>0</v>
      </c>
    </row>
    <row r="135" spans="1:13" ht="13.2" hidden="1" x14ac:dyDescent="0.25">
      <c r="A135" s="7">
        <f>IF(Data!A135=Entry2!A135,Data!A135,"ERROR")</f>
        <v>3</v>
      </c>
      <c r="B135" s="7">
        <f>IF(Data!B135=Entry2!B135,Data!B135,"ERROR")</f>
        <v>2023</v>
      </c>
      <c r="C135" s="17">
        <f>IF(Data!C135=Entry2!C135,Data!C135,"ERROR")</f>
        <v>45203</v>
      </c>
      <c r="D135" s="7" t="str">
        <f>IF(Data!D135=Entry2!D135,Data!D135,"ERROR")</f>
        <v>MG, TL</v>
      </c>
      <c r="E135" s="7" t="str">
        <f>IF(Data!E135=Entry2!E135,Data!E135,"ERROR")</f>
        <v>GB</v>
      </c>
      <c r="F135" s="7">
        <f>IF(Data!F135=Entry2!F135,Data!F135,"ERROR")</f>
        <v>1</v>
      </c>
      <c r="G135" s="7" t="str">
        <f>IF(Data!G135=Entry2!G135,Data!G135,"ERROR")</f>
        <v>LS</v>
      </c>
      <c r="H135" s="7">
        <f>IF(Data!H135=Entry2!H135,Data!H135,"ERROR")</f>
        <v>15</v>
      </c>
      <c r="I135" s="7">
        <f>IF(Data!I135=Entry2!I135,Data!I135,"ERROR")</f>
        <v>1</v>
      </c>
      <c r="J135" s="7">
        <f>IF(Data!J135=Entry2!J135,Data!J135,"ERROR")</f>
        <v>7.5</v>
      </c>
      <c r="K135" s="7" t="str">
        <f>IF(Data!K135=Entry2!K135,Data!K135,"ERROR")</f>
        <v>L</v>
      </c>
      <c r="L135" s="7" t="str">
        <f>IF(Data!L135=Entry2!L135,Data!L135,"ERROR")</f>
        <v>ERROR</v>
      </c>
      <c r="M135" s="7">
        <f>IF(Data!N135=Entry2!M135,Data!N135,"ERROR")</f>
        <v>0</v>
      </c>
    </row>
    <row r="136" spans="1:13" ht="13.2" hidden="1" x14ac:dyDescent="0.25">
      <c r="A136" s="7">
        <f>IF(Data!A136=Entry2!A136,Data!A136,"ERROR")</f>
        <v>3</v>
      </c>
      <c r="B136" s="7">
        <f>IF(Data!B136=Entry2!B136,Data!B136,"ERROR")</f>
        <v>2023</v>
      </c>
      <c r="C136" s="17">
        <f>IF(Data!C136=Entry2!C136,Data!C136,"ERROR")</f>
        <v>45203</v>
      </c>
      <c r="D136" s="7" t="str">
        <f>IF(Data!D136=Entry2!D136,Data!D136,"ERROR")</f>
        <v>MG, TL</v>
      </c>
      <c r="E136" s="7" t="str">
        <f>IF(Data!E136=Entry2!E136,Data!E136,"ERROR")</f>
        <v>GB</v>
      </c>
      <c r="F136" s="7">
        <f>IF(Data!F136=Entry2!F136,Data!F136,"ERROR")</f>
        <v>1</v>
      </c>
      <c r="G136" s="7" t="str">
        <f>IF(Data!G136=Entry2!G136,Data!G136,"ERROR")</f>
        <v>LS</v>
      </c>
      <c r="H136" s="7">
        <f>IF(Data!H136=Entry2!H136,Data!H136,"ERROR")</f>
        <v>15</v>
      </c>
      <c r="I136" s="7">
        <f>IF(Data!I136=Entry2!I136,Data!I136,"ERROR")</f>
        <v>1</v>
      </c>
      <c r="J136" s="7">
        <f>IF(Data!J136=Entry2!J136,Data!J136,"ERROR")</f>
        <v>7.5</v>
      </c>
      <c r="K136" s="7" t="str">
        <f>IF(Data!K136=Entry2!K136,Data!K136,"ERROR")</f>
        <v>DEIFAS</v>
      </c>
      <c r="L136" s="7" t="str">
        <f>IF(Data!L136=Entry2!L136,Data!L136,"ERROR")</f>
        <v>ERROR</v>
      </c>
      <c r="M136" s="7">
        <f>IF(Data!N136=Entry2!M136,Data!N136,"ERROR")</f>
        <v>0</v>
      </c>
    </row>
    <row r="137" spans="1:13" ht="13.2" hidden="1" x14ac:dyDescent="0.25">
      <c r="A137" s="7">
        <f>IF(Data!A137=Entry2!A137,Data!A137,"ERROR")</f>
        <v>3</v>
      </c>
      <c r="B137" s="7">
        <f>IF(Data!B137=Entry2!B137,Data!B137,"ERROR")</f>
        <v>2023</v>
      </c>
      <c r="C137" s="17">
        <f>IF(Data!C137=Entry2!C137,Data!C137,"ERROR")</f>
        <v>45203</v>
      </c>
      <c r="D137" s="7" t="str">
        <f>IF(Data!D137=Entry2!D137,Data!D137,"ERROR")</f>
        <v>MG, TL</v>
      </c>
      <c r="E137" s="7" t="str">
        <f>IF(Data!E137=Entry2!E137,Data!E137,"ERROR")</f>
        <v>GB</v>
      </c>
      <c r="F137" s="7">
        <f>IF(Data!F137=Entry2!F137,Data!F137,"ERROR")</f>
        <v>1</v>
      </c>
      <c r="G137" s="7" t="str">
        <f>IF(Data!G137=Entry2!G137,Data!G137,"ERROR")</f>
        <v>LS</v>
      </c>
      <c r="H137" s="7">
        <f>IF(Data!H137=Entry2!H137,Data!H137,"ERROR")</f>
        <v>15</v>
      </c>
      <c r="I137" s="7">
        <f>IF(Data!I137=Entry2!I137,Data!I137,"ERROR")</f>
        <v>1</v>
      </c>
      <c r="J137" s="7">
        <f>IF(Data!J137=Entry2!J137,Data!J137,"ERROR")</f>
        <v>7.5</v>
      </c>
      <c r="K137" s="7" t="str">
        <f>IF(Data!K137=Entry2!K137,Data!K137,"ERROR")</f>
        <v>OPULIT</v>
      </c>
      <c r="L137" s="7" t="str">
        <f>IF(Data!L137=Entry2!L137,Data!L137,"ERROR")</f>
        <v>ERROR</v>
      </c>
      <c r="M137" s="7">
        <f>IF(Data!N137=Entry2!M137,Data!N137,"ERROR")</f>
        <v>0</v>
      </c>
    </row>
    <row r="138" spans="1:13" ht="13.2" hidden="1" x14ac:dyDescent="0.25">
      <c r="A138" s="7">
        <f>IF(Data!A138=Entry2!A138,Data!A138,"ERROR")</f>
        <v>3</v>
      </c>
      <c r="B138" s="7">
        <f>IF(Data!B138=Entry2!B138,Data!B138,"ERROR")</f>
        <v>2023</v>
      </c>
      <c r="C138" s="17">
        <f>IF(Data!C138=Entry2!C138,Data!C138,"ERROR")</f>
        <v>45203</v>
      </c>
      <c r="D138" s="7" t="str">
        <f>IF(Data!D138=Entry2!D138,Data!D138,"ERROR")</f>
        <v>MG, TL</v>
      </c>
      <c r="E138" s="7" t="str">
        <f>IF(Data!E138=Entry2!E138,Data!E138,"ERROR")</f>
        <v>GB</v>
      </c>
      <c r="F138" s="7">
        <f>IF(Data!F138=Entry2!F138,Data!F138,"ERROR")</f>
        <v>1</v>
      </c>
      <c r="G138" s="7" t="str">
        <f>IF(Data!G138=Entry2!G138,Data!G138,"ERROR")</f>
        <v>LS</v>
      </c>
      <c r="H138" s="7">
        <f>IF(Data!H138=Entry2!H138,Data!H138,"ERROR")</f>
        <v>1</v>
      </c>
      <c r="I138" s="7">
        <f>IF(Data!I138=Entry2!I138,Data!I138,"ERROR")</f>
        <v>2</v>
      </c>
      <c r="J138" s="7">
        <f>IF(Data!J138=Entry2!J138,Data!J138,"ERROR")</f>
        <v>0</v>
      </c>
      <c r="K138" s="7" t="str">
        <f>IF(Data!K138=Entry2!K138,Data!K138,"ERROR")</f>
        <v>TH</v>
      </c>
      <c r="L138" s="7" t="str">
        <f>IF(Data!L138=Entry2!L138,Data!L138,"ERROR")</f>
        <v>ERROR</v>
      </c>
      <c r="M138" s="7">
        <f>IF(Data!N138=Entry2!M138,Data!N138,"ERROR")</f>
        <v>0</v>
      </c>
    </row>
    <row r="139" spans="1:13" ht="13.2" hidden="1" x14ac:dyDescent="0.25">
      <c r="A139" s="7">
        <f>IF(Data!A139=Entry2!A139,Data!A139,"ERROR")</f>
        <v>3</v>
      </c>
      <c r="B139" s="7">
        <f>IF(Data!B139=Entry2!B139,Data!B139,"ERROR")</f>
        <v>2023</v>
      </c>
      <c r="C139" s="17">
        <f>IF(Data!C139=Entry2!C139,Data!C139,"ERROR")</f>
        <v>45203</v>
      </c>
      <c r="D139" s="7" t="str">
        <f>IF(Data!D139=Entry2!D139,Data!D139,"ERROR")</f>
        <v>MG, TL</v>
      </c>
      <c r="E139" s="7" t="str">
        <f>IF(Data!E139=Entry2!E139,Data!E139,"ERROR")</f>
        <v>GB</v>
      </c>
      <c r="F139" s="7">
        <f>IF(Data!F139=Entry2!F139,Data!F139,"ERROR")</f>
        <v>1</v>
      </c>
      <c r="G139" s="7" t="str">
        <f>IF(Data!G139=Entry2!G139,Data!G139,"ERROR")</f>
        <v>LS</v>
      </c>
      <c r="H139" s="7">
        <f>IF(Data!H139=Entry2!H139,Data!H139,"ERROR")</f>
        <v>1</v>
      </c>
      <c r="I139" s="7">
        <f>IF(Data!I139=Entry2!I139,Data!I139,"ERROR")</f>
        <v>2</v>
      </c>
      <c r="J139" s="7">
        <f>IF(Data!J139=Entry2!J139,Data!J139,"ERROR")</f>
        <v>0</v>
      </c>
      <c r="K139" s="7" t="str">
        <f>IF(Data!K139=Entry2!K139,Data!K139,"ERROR")</f>
        <v>NNG</v>
      </c>
      <c r="L139" s="7" t="str">
        <f>IF(Data!L139=Entry2!L139,Data!L139,"ERROR")</f>
        <v>ERROR</v>
      </c>
      <c r="M139" s="7">
        <f>IF(Data!N139=Entry2!M139,Data!N139,"ERROR")</f>
        <v>0</v>
      </c>
    </row>
    <row r="140" spans="1:13" ht="13.2" hidden="1" x14ac:dyDescent="0.25">
      <c r="A140" s="7">
        <f>IF(Data!A140=Entry2!A140,Data!A140,"ERROR")</f>
        <v>3</v>
      </c>
      <c r="B140" s="7">
        <f>IF(Data!B140=Entry2!B140,Data!B140,"ERROR")</f>
        <v>2023</v>
      </c>
      <c r="C140" s="17">
        <f>IF(Data!C140=Entry2!C140,Data!C140,"ERROR")</f>
        <v>45203</v>
      </c>
      <c r="D140" s="7" t="str">
        <f>IF(Data!D140=Entry2!D140,Data!D140,"ERROR")</f>
        <v>MG, TL</v>
      </c>
      <c r="E140" s="7" t="str">
        <f>IF(Data!E140=Entry2!E140,Data!E140,"ERROR")</f>
        <v>GB</v>
      </c>
      <c r="F140" s="7">
        <f>IF(Data!F140=Entry2!F140,Data!F140,"ERROR")</f>
        <v>1</v>
      </c>
      <c r="G140" s="7" t="str">
        <f>IF(Data!G140=Entry2!G140,Data!G140,"ERROR")</f>
        <v>LS</v>
      </c>
      <c r="H140" s="7">
        <f>IF(Data!H140=Entry2!H140,Data!H140,"ERROR")</f>
        <v>2</v>
      </c>
      <c r="I140" s="7">
        <f>IF(Data!I140=Entry2!I140,Data!I140,"ERROR")</f>
        <v>2</v>
      </c>
      <c r="J140" s="7">
        <f>IF(Data!J140=Entry2!J140,Data!J140,"ERROR")</f>
        <v>0.5</v>
      </c>
      <c r="K140" s="7" t="str">
        <f>IF(Data!K140=Entry2!K140,Data!K140,"ERROR")</f>
        <v>TH</v>
      </c>
      <c r="L140" s="7" t="str">
        <f>IF(Data!L140=Entry2!L140,Data!L140,"ERROR")</f>
        <v>ERROR</v>
      </c>
      <c r="M140" s="7">
        <f>IF(Data!N140=Entry2!M140,Data!N140,"ERROR")</f>
        <v>0</v>
      </c>
    </row>
    <row r="141" spans="1:13" ht="13.2" hidden="1" x14ac:dyDescent="0.25">
      <c r="A141" s="7">
        <f>IF(Data!A141=Entry2!A141,Data!A141,"ERROR")</f>
        <v>3</v>
      </c>
      <c r="B141" s="7">
        <f>IF(Data!B141=Entry2!B141,Data!B141,"ERROR")</f>
        <v>2023</v>
      </c>
      <c r="C141" s="17">
        <f>IF(Data!C141=Entry2!C141,Data!C141,"ERROR")</f>
        <v>45203</v>
      </c>
      <c r="D141" s="7" t="str">
        <f>IF(Data!D141=Entry2!D141,Data!D141,"ERROR")</f>
        <v>MG, TL</v>
      </c>
      <c r="E141" s="7" t="str">
        <f>IF(Data!E141=Entry2!E141,Data!E141,"ERROR")</f>
        <v>GB</v>
      </c>
      <c r="F141" s="7">
        <f>IF(Data!F141=Entry2!F141,Data!F141,"ERROR")</f>
        <v>1</v>
      </c>
      <c r="G141" s="7" t="str">
        <f>IF(Data!G141=Entry2!G141,Data!G141,"ERROR")</f>
        <v>LS</v>
      </c>
      <c r="H141" s="7">
        <f>IF(Data!H141=Entry2!H141,Data!H141,"ERROR")</f>
        <v>2</v>
      </c>
      <c r="I141" s="7">
        <f>IF(Data!I141=Entry2!I141,Data!I141,"ERROR")</f>
        <v>2</v>
      </c>
      <c r="J141" s="7">
        <f>IF(Data!J141=Entry2!J141,Data!J141,"ERROR")</f>
        <v>0.5</v>
      </c>
      <c r="K141" s="7" t="str">
        <f>IF(Data!K141=Entry2!K141,Data!K141,"ERROR")</f>
        <v>NNG</v>
      </c>
      <c r="L141" s="7" t="str">
        <f>IF(Data!L141=Entry2!L141,Data!L141,"ERROR")</f>
        <v>ERROR</v>
      </c>
      <c r="M141" s="7">
        <f>IF(Data!N141=Entry2!M141,Data!N141,"ERROR")</f>
        <v>0</v>
      </c>
    </row>
    <row r="142" spans="1:13" ht="13.2" hidden="1" x14ac:dyDescent="0.25">
      <c r="A142" s="7">
        <f>IF(Data!A142=Entry2!A142,Data!A142,"ERROR")</f>
        <v>3</v>
      </c>
      <c r="B142" s="7">
        <f>IF(Data!B142=Entry2!B142,Data!B142,"ERROR")</f>
        <v>2023</v>
      </c>
      <c r="C142" s="17">
        <f>IF(Data!C142=Entry2!C142,Data!C142,"ERROR")</f>
        <v>45203</v>
      </c>
      <c r="D142" s="7" t="str">
        <f>IF(Data!D142=Entry2!D142,Data!D142,"ERROR")</f>
        <v>MG, TL</v>
      </c>
      <c r="E142" s="7" t="str">
        <f>IF(Data!E142=Entry2!E142,Data!E142,"ERROR")</f>
        <v>GB</v>
      </c>
      <c r="F142" s="7">
        <f>IF(Data!F142=Entry2!F142,Data!F142,"ERROR")</f>
        <v>1</v>
      </c>
      <c r="G142" s="7" t="str">
        <f>IF(Data!G142=Entry2!G142,Data!G142,"ERROR")</f>
        <v>LS</v>
      </c>
      <c r="H142" s="7">
        <f>IF(Data!H142=Entry2!H142,Data!H142,"ERROR")</f>
        <v>3</v>
      </c>
      <c r="I142" s="7">
        <f>IF(Data!I142=Entry2!I142,Data!I142,"ERROR")</f>
        <v>2</v>
      </c>
      <c r="J142" s="7">
        <f>IF(Data!J142=Entry2!J142,Data!J142,"ERROR")</f>
        <v>1</v>
      </c>
      <c r="K142" s="7" t="str">
        <f>IF(Data!K142=Entry2!K142,Data!K142,"ERROR")</f>
        <v>L</v>
      </c>
      <c r="L142" s="7" t="str">
        <f>IF(Data!L142=Entry2!L142,Data!L142,"ERROR")</f>
        <v>ERROR</v>
      </c>
      <c r="M142" s="7">
        <f>IF(Data!N142=Entry2!M142,Data!N142,"ERROR")</f>
        <v>0</v>
      </c>
    </row>
    <row r="143" spans="1:13" ht="13.2" hidden="1" x14ac:dyDescent="0.25">
      <c r="A143" s="7">
        <f>IF(Data!A143=Entry2!A143,Data!A143,"ERROR")</f>
        <v>3</v>
      </c>
      <c r="B143" s="7">
        <f>IF(Data!B143=Entry2!B143,Data!B143,"ERROR")</f>
        <v>2023</v>
      </c>
      <c r="C143" s="17">
        <f>IF(Data!C143=Entry2!C143,Data!C143,"ERROR")</f>
        <v>45203</v>
      </c>
      <c r="D143" s="7" t="str">
        <f>IF(Data!D143=Entry2!D143,Data!D143,"ERROR")</f>
        <v>MG, TL</v>
      </c>
      <c r="E143" s="7" t="str">
        <f>IF(Data!E143=Entry2!E143,Data!E143,"ERROR")</f>
        <v>GB</v>
      </c>
      <c r="F143" s="7">
        <f>IF(Data!F143=Entry2!F143,Data!F143,"ERROR")</f>
        <v>1</v>
      </c>
      <c r="G143" s="7" t="str">
        <f>IF(Data!G143=Entry2!G143,Data!G143,"ERROR")</f>
        <v>LS</v>
      </c>
      <c r="H143" s="7">
        <f>IF(Data!H143=Entry2!H143,Data!H143,"ERROR")</f>
        <v>3</v>
      </c>
      <c r="I143" s="7">
        <f>IF(Data!I143=Entry2!I143,Data!I143,"ERROR")</f>
        <v>2</v>
      </c>
      <c r="J143" s="7">
        <f>IF(Data!J143=Entry2!J143,Data!J143,"ERROR")</f>
        <v>1</v>
      </c>
      <c r="K143" s="7" t="str">
        <f>IF(Data!K143=Entry2!K143,Data!K143,"ERROR")</f>
        <v>DEIFAS</v>
      </c>
      <c r="L143" s="7" t="str">
        <f>IF(Data!L143=Entry2!L143,Data!L143,"ERROR")</f>
        <v>ERROR</v>
      </c>
      <c r="M143" s="7">
        <f>IF(Data!N143=Entry2!M143,Data!N143,"ERROR")</f>
        <v>0</v>
      </c>
    </row>
    <row r="144" spans="1:13" ht="13.2" hidden="1" x14ac:dyDescent="0.25">
      <c r="A144" s="7">
        <f>IF(Data!A144=Entry2!A144,Data!A144,"ERROR")</f>
        <v>3</v>
      </c>
      <c r="B144" s="7">
        <f>IF(Data!B144=Entry2!B144,Data!B144,"ERROR")</f>
        <v>2023</v>
      </c>
      <c r="C144" s="17">
        <f>IF(Data!C144=Entry2!C144,Data!C144,"ERROR")</f>
        <v>45203</v>
      </c>
      <c r="D144" s="7" t="str">
        <f>IF(Data!D144=Entry2!D144,Data!D144,"ERROR")</f>
        <v>MG, TL</v>
      </c>
      <c r="E144" s="7" t="str">
        <f>IF(Data!E144=Entry2!E144,Data!E144,"ERROR")</f>
        <v>GB</v>
      </c>
      <c r="F144" s="7">
        <f>IF(Data!F144=Entry2!F144,Data!F144,"ERROR")</f>
        <v>1</v>
      </c>
      <c r="G144" s="7" t="str">
        <f>IF(Data!G144=Entry2!G144,Data!G144,"ERROR")</f>
        <v>LS</v>
      </c>
      <c r="H144" s="7">
        <f>IF(Data!H144=Entry2!H144,Data!H144,"ERROR")</f>
        <v>4</v>
      </c>
      <c r="I144" s="7">
        <f>IF(Data!I144=Entry2!I144,Data!I144,"ERROR")</f>
        <v>2</v>
      </c>
      <c r="J144" s="7">
        <f>IF(Data!J144=Entry2!J144,Data!J144,"ERROR")</f>
        <v>1.5</v>
      </c>
      <c r="K144" s="7" t="str">
        <f>IF(Data!K144=Entry2!K144,Data!K144,"ERROR")</f>
        <v>L</v>
      </c>
      <c r="L144" s="7" t="str">
        <f>IF(Data!L144=Entry2!L144,Data!L144,"ERROR")</f>
        <v>ERROR</v>
      </c>
      <c r="M144" s="7">
        <f>IF(Data!N144=Entry2!M144,Data!N144,"ERROR")</f>
        <v>0</v>
      </c>
    </row>
    <row r="145" spans="1:13" ht="13.2" hidden="1" x14ac:dyDescent="0.25">
      <c r="A145" s="7">
        <f>IF(Data!A145=Entry2!A145,Data!A145,"ERROR")</f>
        <v>3</v>
      </c>
      <c r="B145" s="7">
        <f>IF(Data!B145=Entry2!B145,Data!B145,"ERROR")</f>
        <v>2023</v>
      </c>
      <c r="C145" s="17">
        <f>IF(Data!C145=Entry2!C145,Data!C145,"ERROR")</f>
        <v>45203</v>
      </c>
      <c r="D145" s="7" t="str">
        <f>IF(Data!D145=Entry2!D145,Data!D145,"ERROR")</f>
        <v>MG, TL</v>
      </c>
      <c r="E145" s="7" t="str">
        <f>IF(Data!E145=Entry2!E145,Data!E145,"ERROR")</f>
        <v>GB</v>
      </c>
      <c r="F145" s="7">
        <f>IF(Data!F145=Entry2!F145,Data!F145,"ERROR")</f>
        <v>1</v>
      </c>
      <c r="G145" s="7" t="str">
        <f>IF(Data!G145=Entry2!G145,Data!G145,"ERROR")</f>
        <v>LS</v>
      </c>
      <c r="H145" s="7">
        <f>IF(Data!H145=Entry2!H145,Data!H145,"ERROR")</f>
        <v>4</v>
      </c>
      <c r="I145" s="7">
        <f>IF(Data!I145=Entry2!I145,Data!I145,"ERROR")</f>
        <v>2</v>
      </c>
      <c r="J145" s="7">
        <f>IF(Data!J145=Entry2!J145,Data!J145,"ERROR")</f>
        <v>1.5</v>
      </c>
      <c r="K145" s="7" t="str">
        <f>IF(Data!K145=Entry2!K145,Data!K145,"ERROR")</f>
        <v>DEIFAS</v>
      </c>
      <c r="L145" s="7" t="str">
        <f>IF(Data!L145=Entry2!L145,Data!L145,"ERROR")</f>
        <v>ERROR</v>
      </c>
      <c r="M145" s="7">
        <f>IF(Data!N145=Entry2!M145,Data!N145,"ERROR")</f>
        <v>0</v>
      </c>
    </row>
    <row r="146" spans="1:13" ht="13.2" hidden="1" x14ac:dyDescent="0.25">
      <c r="A146" s="7">
        <f>IF(Data!A146=Entry2!A146,Data!A146,"ERROR")</f>
        <v>3</v>
      </c>
      <c r="B146" s="7">
        <f>IF(Data!B146=Entry2!B146,Data!B146,"ERROR")</f>
        <v>2023</v>
      </c>
      <c r="C146" s="17">
        <f>IF(Data!C146=Entry2!C146,Data!C146,"ERROR")</f>
        <v>45203</v>
      </c>
      <c r="D146" s="7" t="str">
        <f>IF(Data!D146=Entry2!D146,Data!D146,"ERROR")</f>
        <v>MG, TL</v>
      </c>
      <c r="E146" s="7" t="str">
        <f>IF(Data!E146=Entry2!E146,Data!E146,"ERROR")</f>
        <v>GB</v>
      </c>
      <c r="F146" s="7">
        <f>IF(Data!F146=Entry2!F146,Data!F146,"ERROR")</f>
        <v>1</v>
      </c>
      <c r="G146" s="7" t="str">
        <f>IF(Data!G146=Entry2!G146,Data!G146,"ERROR")</f>
        <v>LS</v>
      </c>
      <c r="H146" s="7">
        <f>IF(Data!H146=Entry2!H146,Data!H146,"ERROR")</f>
        <v>5</v>
      </c>
      <c r="I146" s="7">
        <f>IF(Data!I146=Entry2!I146,Data!I146,"ERROR")</f>
        <v>2</v>
      </c>
      <c r="J146" s="7">
        <f>IF(Data!J146=Entry2!J146,Data!J146,"ERROR")</f>
        <v>2.5</v>
      </c>
      <c r="K146" s="7" t="str">
        <f>IF(Data!K146=Entry2!K146,Data!K146,"ERROR")</f>
        <v>TH</v>
      </c>
      <c r="L146" s="7" t="str">
        <f>IF(Data!L146=Entry2!L146,Data!L146,"ERROR")</f>
        <v>ERROR</v>
      </c>
      <c r="M146" s="7">
        <f>IF(Data!N146=Entry2!M146,Data!N146,"ERROR")</f>
        <v>0</v>
      </c>
    </row>
    <row r="147" spans="1:13" ht="13.2" hidden="1" x14ac:dyDescent="0.25">
      <c r="A147" s="7">
        <f>IF(Data!A147=Entry2!A147,Data!A147,"ERROR")</f>
        <v>3</v>
      </c>
      <c r="B147" s="7">
        <f>IF(Data!B147=Entry2!B147,Data!B147,"ERROR")</f>
        <v>2023</v>
      </c>
      <c r="C147" s="17">
        <f>IF(Data!C147=Entry2!C147,Data!C147,"ERROR")</f>
        <v>45203</v>
      </c>
      <c r="D147" s="7" t="str">
        <f>IF(Data!D147=Entry2!D147,Data!D147,"ERROR")</f>
        <v>MG, TL</v>
      </c>
      <c r="E147" s="7" t="str">
        <f>IF(Data!E147=Entry2!E147,Data!E147,"ERROR")</f>
        <v>GB</v>
      </c>
      <c r="F147" s="7">
        <f>IF(Data!F147=Entry2!F147,Data!F147,"ERROR")</f>
        <v>1</v>
      </c>
      <c r="G147" s="7" t="str">
        <f>IF(Data!G147=Entry2!G147,Data!G147,"ERROR")</f>
        <v>LS</v>
      </c>
      <c r="H147" s="7">
        <f>IF(Data!H147=Entry2!H147,Data!H147,"ERROR")</f>
        <v>5</v>
      </c>
      <c r="I147" s="7">
        <f>IF(Data!I147=Entry2!I147,Data!I147,"ERROR")</f>
        <v>2</v>
      </c>
      <c r="J147" s="7">
        <f>IF(Data!J147=Entry2!J147,Data!J147,"ERROR")</f>
        <v>2.5</v>
      </c>
      <c r="K147" s="7" t="str">
        <f>IF(Data!K147=Entry2!K147,Data!K147,"ERROR")</f>
        <v>DEIFAS</v>
      </c>
      <c r="L147" s="7" t="str">
        <f>IF(Data!L147=Entry2!L147,Data!L147,"ERROR")</f>
        <v>ERROR</v>
      </c>
      <c r="M147" s="7">
        <f>IF(Data!N147=Entry2!M147,Data!N147,"ERROR")</f>
        <v>0</v>
      </c>
    </row>
    <row r="148" spans="1:13" ht="13.2" hidden="1" x14ac:dyDescent="0.25">
      <c r="A148" s="7">
        <f>IF(Data!A148=Entry2!A148,Data!A148,"ERROR")</f>
        <v>3</v>
      </c>
      <c r="B148" s="7">
        <f>IF(Data!B148=Entry2!B148,Data!B148,"ERROR")</f>
        <v>2023</v>
      </c>
      <c r="C148" s="17">
        <f>IF(Data!C148=Entry2!C148,Data!C148,"ERROR")</f>
        <v>45203</v>
      </c>
      <c r="D148" s="7" t="str">
        <f>IF(Data!D148=Entry2!D148,Data!D148,"ERROR")</f>
        <v>MG, TL</v>
      </c>
      <c r="E148" s="7" t="str">
        <f>IF(Data!E148=Entry2!E148,Data!E148,"ERROR")</f>
        <v>GB</v>
      </c>
      <c r="F148" s="7">
        <f>IF(Data!F148=Entry2!F148,Data!F148,"ERROR")</f>
        <v>1</v>
      </c>
      <c r="G148" s="7" t="str">
        <f>IF(Data!G148=Entry2!G148,Data!G148,"ERROR")</f>
        <v>LS</v>
      </c>
      <c r="H148" s="7">
        <f>IF(Data!H148=Entry2!H148,Data!H148,"ERROR")</f>
        <v>5</v>
      </c>
      <c r="I148" s="7">
        <f>IF(Data!I148=Entry2!I148,Data!I148,"ERROR")</f>
        <v>2</v>
      </c>
      <c r="J148" s="7">
        <f>IF(Data!J148=Entry2!J148,Data!J148,"ERROR")</f>
        <v>2.5</v>
      </c>
      <c r="K148" s="7" t="str">
        <f>IF(Data!K148=Entry2!K148,Data!K148,"ERROR")</f>
        <v>SYLPRO</v>
      </c>
      <c r="L148" s="7" t="e">
        <f>IF(Data!L148=Entry2!L148,Data!L148,"ERROR")</f>
        <v>#N/A</v>
      </c>
      <c r="M148" s="7">
        <f>IF(Data!N148=Entry2!M148,Data!N148,"ERROR")</f>
        <v>0</v>
      </c>
    </row>
    <row r="149" spans="1:13" ht="13.2" hidden="1" x14ac:dyDescent="0.25">
      <c r="A149" s="7">
        <f>IF(Data!A149=Entry2!A149,Data!A149,"ERROR")</f>
        <v>3</v>
      </c>
      <c r="B149" s="7">
        <f>IF(Data!B149=Entry2!B149,Data!B149,"ERROR")</f>
        <v>2023</v>
      </c>
      <c r="C149" s="17">
        <f>IF(Data!C149=Entry2!C149,Data!C149,"ERROR")</f>
        <v>45203</v>
      </c>
      <c r="D149" s="7" t="str">
        <f>IF(Data!D149=Entry2!D149,Data!D149,"ERROR")</f>
        <v>MG, TL</v>
      </c>
      <c r="E149" s="7" t="str">
        <f>IF(Data!E149=Entry2!E149,Data!E149,"ERROR")</f>
        <v>GB</v>
      </c>
      <c r="F149" s="7">
        <f>IF(Data!F149=Entry2!F149,Data!F149,"ERROR")</f>
        <v>1</v>
      </c>
      <c r="G149" s="7" t="str">
        <f>IF(Data!G149=Entry2!G149,Data!G149,"ERROR")</f>
        <v>LS</v>
      </c>
      <c r="H149" s="7">
        <f>IF(Data!H149=Entry2!H149,Data!H149,"ERROR")</f>
        <v>6</v>
      </c>
      <c r="I149" s="7">
        <f>IF(Data!I149=Entry2!I149,Data!I149,"ERROR")</f>
        <v>2</v>
      </c>
      <c r="J149" s="7">
        <f>IF(Data!J149=Entry2!J149,Data!J149,"ERROR")</f>
        <v>3</v>
      </c>
      <c r="K149" s="7" t="str">
        <f>IF(Data!K149=Entry2!K149,Data!K149,"ERROR")</f>
        <v>L</v>
      </c>
      <c r="L149" s="7" t="str">
        <f>IF(Data!L149=Entry2!L149,Data!L149,"ERROR")</f>
        <v>ERROR</v>
      </c>
      <c r="M149" s="7">
        <f>IF(Data!N149=Entry2!M149,Data!N149,"ERROR")</f>
        <v>0</v>
      </c>
    </row>
    <row r="150" spans="1:13" ht="13.2" hidden="1" x14ac:dyDescent="0.25">
      <c r="A150" s="7">
        <f>IF(Data!A150=Entry2!A150,Data!A150,"ERROR")</f>
        <v>3</v>
      </c>
      <c r="B150" s="7">
        <f>IF(Data!B150=Entry2!B150,Data!B150,"ERROR")</f>
        <v>2023</v>
      </c>
      <c r="C150" s="17">
        <f>IF(Data!C150=Entry2!C150,Data!C150,"ERROR")</f>
        <v>45203</v>
      </c>
      <c r="D150" s="7" t="str">
        <f>IF(Data!D150=Entry2!D150,Data!D150,"ERROR")</f>
        <v>MG, TL</v>
      </c>
      <c r="E150" s="7" t="str">
        <f>IF(Data!E150=Entry2!E150,Data!E150,"ERROR")</f>
        <v>GB</v>
      </c>
      <c r="F150" s="7">
        <f>IF(Data!F150=Entry2!F150,Data!F150,"ERROR")</f>
        <v>1</v>
      </c>
      <c r="G150" s="7" t="str">
        <f>IF(Data!G150=Entry2!G150,Data!G150,"ERROR")</f>
        <v>LS</v>
      </c>
      <c r="H150" s="7">
        <f>IF(Data!H150=Entry2!H150,Data!H150,"ERROR")</f>
        <v>7</v>
      </c>
      <c r="I150" s="7">
        <f>IF(Data!I150=Entry2!I150,Data!I150,"ERROR")</f>
        <v>2</v>
      </c>
      <c r="J150" s="7">
        <f>IF(Data!J150=Entry2!J150,Data!J150,"ERROR")</f>
        <v>3.5</v>
      </c>
      <c r="K150" s="7" t="str">
        <f>IF(Data!K150=Entry2!K150,Data!K150,"ERROR")</f>
        <v>L</v>
      </c>
      <c r="L150" s="7" t="str">
        <f>IF(Data!L150=Entry2!L150,Data!L150,"ERROR")</f>
        <v>ERROR</v>
      </c>
      <c r="M150" s="7">
        <f>IF(Data!N150=Entry2!M150,Data!N150,"ERROR")</f>
        <v>0</v>
      </c>
    </row>
    <row r="151" spans="1:13" ht="13.2" hidden="1" x14ac:dyDescent="0.25">
      <c r="A151" s="7">
        <f>IF(Data!A151=Entry2!A151,Data!A151,"ERROR")</f>
        <v>3</v>
      </c>
      <c r="B151" s="7">
        <f>IF(Data!B151=Entry2!B151,Data!B151,"ERROR")</f>
        <v>2023</v>
      </c>
      <c r="C151" s="17">
        <f>IF(Data!C151=Entry2!C151,Data!C151,"ERROR")</f>
        <v>45203</v>
      </c>
      <c r="D151" s="7" t="str">
        <f>IF(Data!D151=Entry2!D151,Data!D151,"ERROR")</f>
        <v>MG, TL</v>
      </c>
      <c r="E151" s="7" t="str">
        <f>IF(Data!E151=Entry2!E151,Data!E151,"ERROR")</f>
        <v>GB</v>
      </c>
      <c r="F151" s="7">
        <f>IF(Data!F151=Entry2!F151,Data!F151,"ERROR")</f>
        <v>1</v>
      </c>
      <c r="G151" s="7" t="str">
        <f>IF(Data!G151=Entry2!G151,Data!G151,"ERROR")</f>
        <v>LS</v>
      </c>
      <c r="H151" s="7">
        <f>IF(Data!H151=Entry2!H151,Data!H151,"ERROR")</f>
        <v>8</v>
      </c>
      <c r="I151" s="7">
        <f>IF(Data!I151=Entry2!I151,Data!I151,"ERROR")</f>
        <v>2</v>
      </c>
      <c r="J151" s="7">
        <f>IF(Data!J151=Entry2!J151,Data!J151,"ERROR")</f>
        <v>4</v>
      </c>
      <c r="K151" s="7" t="str">
        <f>IF(Data!K151=Entry2!K151,Data!K151,"ERROR")</f>
        <v>L</v>
      </c>
      <c r="L151" s="7" t="str">
        <f>IF(Data!L151=Entry2!L151,Data!L151,"ERROR")</f>
        <v>ERROR</v>
      </c>
      <c r="M151" s="7">
        <f>IF(Data!N151=Entry2!M151,Data!N151,"ERROR")</f>
        <v>0</v>
      </c>
    </row>
    <row r="152" spans="1:13" ht="13.2" hidden="1" x14ac:dyDescent="0.25">
      <c r="A152" s="7">
        <f>IF(Data!A152=Entry2!A152,Data!A152,"ERROR")</f>
        <v>3</v>
      </c>
      <c r="B152" s="7">
        <f>IF(Data!B152=Entry2!B152,Data!B152,"ERROR")</f>
        <v>2023</v>
      </c>
      <c r="C152" s="17">
        <f>IF(Data!C152=Entry2!C152,Data!C152,"ERROR")</f>
        <v>45203</v>
      </c>
      <c r="D152" s="7" t="str">
        <f>IF(Data!D152=Entry2!D152,Data!D152,"ERROR")</f>
        <v>MG, TL</v>
      </c>
      <c r="E152" s="7" t="str">
        <f>IF(Data!E152=Entry2!E152,Data!E152,"ERROR")</f>
        <v>GB</v>
      </c>
      <c r="F152" s="7">
        <f>IF(Data!F152=Entry2!F152,Data!F152,"ERROR")</f>
        <v>1</v>
      </c>
      <c r="G152" s="7" t="str">
        <f>IF(Data!G152=Entry2!G152,Data!G152,"ERROR")</f>
        <v>LS</v>
      </c>
      <c r="H152" s="7">
        <f>IF(Data!H152=Entry2!H152,Data!H152,"ERROR")</f>
        <v>9</v>
      </c>
      <c r="I152" s="7">
        <f>IF(Data!I152=Entry2!I152,Data!I152,"ERROR")</f>
        <v>2</v>
      </c>
      <c r="J152" s="7">
        <f>IF(Data!J152=Entry2!J152,Data!J152,"ERROR")</f>
        <v>4.5</v>
      </c>
      <c r="K152" s="7" t="str">
        <f>IF(Data!K152=Entry2!K152,Data!K152,"ERROR")</f>
        <v>L</v>
      </c>
      <c r="L152" s="7" t="str">
        <f>IF(Data!L152=Entry2!L152,Data!L152,"ERROR")</f>
        <v>ERROR</v>
      </c>
      <c r="M152" s="7">
        <f>IF(Data!N152=Entry2!M152,Data!N152,"ERROR")</f>
        <v>0</v>
      </c>
    </row>
    <row r="153" spans="1:13" ht="13.2" hidden="1" x14ac:dyDescent="0.25">
      <c r="A153" s="7">
        <f>IF(Data!A153=Entry2!A153,Data!A153,"ERROR")</f>
        <v>3</v>
      </c>
      <c r="B153" s="7">
        <f>IF(Data!B153=Entry2!B153,Data!B153,"ERROR")</f>
        <v>2023</v>
      </c>
      <c r="C153" s="17">
        <f>IF(Data!C153=Entry2!C153,Data!C153,"ERROR")</f>
        <v>45203</v>
      </c>
      <c r="D153" s="7" t="str">
        <f>IF(Data!D153=Entry2!D153,Data!D153,"ERROR")</f>
        <v>MG, TL</v>
      </c>
      <c r="E153" s="7" t="str">
        <f>IF(Data!E153=Entry2!E153,Data!E153,"ERROR")</f>
        <v>GB</v>
      </c>
      <c r="F153" s="7">
        <f>IF(Data!F153=Entry2!F153,Data!F153,"ERROR")</f>
        <v>1</v>
      </c>
      <c r="G153" s="7" t="str">
        <f>IF(Data!G153=Entry2!G153,Data!G153,"ERROR")</f>
        <v>LS</v>
      </c>
      <c r="H153" s="7">
        <f>IF(Data!H153=Entry2!H153,Data!H153,"ERROR")</f>
        <v>10</v>
      </c>
      <c r="I153" s="7">
        <f>IF(Data!I153=Entry2!I153,Data!I153,"ERROR")</f>
        <v>2</v>
      </c>
      <c r="J153" s="7">
        <f>IF(Data!J153=Entry2!J153,Data!J153,"ERROR")</f>
        <v>5</v>
      </c>
      <c r="K153" s="7" t="str">
        <f>IF(Data!K153=Entry2!K153,Data!K153,"ERROR")</f>
        <v>L</v>
      </c>
      <c r="L153" s="7" t="str">
        <f>IF(Data!L153=Entry2!L153,Data!L153,"ERROR")</f>
        <v>ERROR</v>
      </c>
      <c r="M153" s="7">
        <f>IF(Data!N153=Entry2!M153,Data!N153,"ERROR")</f>
        <v>0</v>
      </c>
    </row>
    <row r="154" spans="1:13" ht="13.2" hidden="1" x14ac:dyDescent="0.25">
      <c r="A154" s="7">
        <f>IF(Data!A154=Entry2!A154,Data!A154,"ERROR")</f>
        <v>3</v>
      </c>
      <c r="B154" s="7">
        <f>IF(Data!B154=Entry2!B154,Data!B154,"ERROR")</f>
        <v>2023</v>
      </c>
      <c r="C154" s="17">
        <f>IF(Data!C154=Entry2!C154,Data!C154,"ERROR")</f>
        <v>45203</v>
      </c>
      <c r="D154" s="7" t="str">
        <f>IF(Data!D154=Entry2!D154,Data!D154,"ERROR")</f>
        <v>MG, TL</v>
      </c>
      <c r="E154" s="7" t="str">
        <f>IF(Data!E154=Entry2!E154,Data!E154,"ERROR")</f>
        <v>GB</v>
      </c>
      <c r="F154" s="7">
        <f>IF(Data!F154=Entry2!F154,Data!F154,"ERROR")</f>
        <v>1</v>
      </c>
      <c r="G154" s="7" t="str">
        <f>IF(Data!G154=Entry2!G154,Data!G154,"ERROR")</f>
        <v>LS</v>
      </c>
      <c r="H154" s="7">
        <f>IF(Data!H154=Entry2!H154,Data!H154,"ERROR")</f>
        <v>10</v>
      </c>
      <c r="I154" s="7">
        <f>IF(Data!I154=Entry2!I154,Data!I154,"ERROR")</f>
        <v>2</v>
      </c>
      <c r="J154" s="7">
        <f>IF(Data!J154=Entry2!J154,Data!J154,"ERROR")</f>
        <v>5</v>
      </c>
      <c r="K154" s="7" t="str">
        <f>IF(Data!K154=Entry2!K154,Data!K154,"ERROR")</f>
        <v>DEIFAS</v>
      </c>
      <c r="L154" s="7" t="str">
        <f>IF(Data!L154=Entry2!L154,Data!L154,"ERROR")</f>
        <v>ERROR</v>
      </c>
      <c r="M154" s="7">
        <f>IF(Data!N154=Entry2!M154,Data!N154,"ERROR")</f>
        <v>0</v>
      </c>
    </row>
    <row r="155" spans="1:13" ht="13.2" hidden="1" x14ac:dyDescent="0.25">
      <c r="A155" s="7">
        <f>IF(Data!A155=Entry2!A155,Data!A155,"ERROR")</f>
        <v>3</v>
      </c>
      <c r="B155" s="7">
        <f>IF(Data!B155=Entry2!B155,Data!B155,"ERROR")</f>
        <v>2023</v>
      </c>
      <c r="C155" s="17">
        <f>IF(Data!C155=Entry2!C155,Data!C155,"ERROR")</f>
        <v>45203</v>
      </c>
      <c r="D155" s="7" t="str">
        <f>IF(Data!D155=Entry2!D155,Data!D155,"ERROR")</f>
        <v>MG, TL</v>
      </c>
      <c r="E155" s="7" t="str">
        <f>IF(Data!E155=Entry2!E155,Data!E155,"ERROR")</f>
        <v>GB</v>
      </c>
      <c r="F155" s="7">
        <f>IF(Data!F155=Entry2!F155,Data!F155,"ERROR")</f>
        <v>1</v>
      </c>
      <c r="G155" s="7" t="str">
        <f>IF(Data!G155=Entry2!G155,Data!G155,"ERROR")</f>
        <v>LS</v>
      </c>
      <c r="H155" s="7">
        <f>IF(Data!H155=Entry2!H155,Data!H155,"ERROR")</f>
        <v>11</v>
      </c>
      <c r="I155" s="7">
        <f>IF(Data!I155=Entry2!I155,Data!I155,"ERROR")</f>
        <v>2</v>
      </c>
      <c r="J155" s="7">
        <f>IF(Data!J155=Entry2!J155,Data!J155,"ERROR")</f>
        <v>5.5</v>
      </c>
      <c r="K155" s="7" t="str">
        <f>IF(Data!K155=Entry2!K155,Data!K155,"ERROR")</f>
        <v>L</v>
      </c>
      <c r="L155" s="7" t="str">
        <f>IF(Data!L155=Entry2!L155,Data!L155,"ERROR")</f>
        <v>ERROR</v>
      </c>
      <c r="M155" s="7">
        <f>IF(Data!N155=Entry2!M155,Data!N155,"ERROR")</f>
        <v>0</v>
      </c>
    </row>
    <row r="156" spans="1:13" ht="13.2" hidden="1" x14ac:dyDescent="0.25">
      <c r="A156" s="7">
        <f>IF(Data!A156=Entry2!A156,Data!A156,"ERROR")</f>
        <v>3</v>
      </c>
      <c r="B156" s="7">
        <f>IF(Data!B156=Entry2!B156,Data!B156,"ERROR")</f>
        <v>2023</v>
      </c>
      <c r="C156" s="17">
        <f>IF(Data!C156=Entry2!C156,Data!C156,"ERROR")</f>
        <v>45203</v>
      </c>
      <c r="D156" s="7" t="str">
        <f>IF(Data!D156=Entry2!D156,Data!D156,"ERROR")</f>
        <v>MG, TL</v>
      </c>
      <c r="E156" s="7" t="str">
        <f>IF(Data!E156=Entry2!E156,Data!E156,"ERROR")</f>
        <v>GB</v>
      </c>
      <c r="F156" s="7">
        <f>IF(Data!F156=Entry2!F156,Data!F156,"ERROR")</f>
        <v>1</v>
      </c>
      <c r="G156" s="7" t="str">
        <f>IF(Data!G156=Entry2!G156,Data!G156,"ERROR")</f>
        <v>LS</v>
      </c>
      <c r="H156" s="7">
        <f>IF(Data!H156=Entry2!H156,Data!H156,"ERROR")</f>
        <v>12</v>
      </c>
      <c r="I156" s="7">
        <f>IF(Data!I156=Entry2!I156,Data!I156,"ERROR")</f>
        <v>2</v>
      </c>
      <c r="J156" s="7">
        <f>IF(Data!J156=Entry2!J156,Data!J156,"ERROR")</f>
        <v>6</v>
      </c>
      <c r="K156" s="7" t="str">
        <f>IF(Data!K156=Entry2!K156,Data!K156,"ERROR")</f>
        <v>B</v>
      </c>
      <c r="L156" s="7" t="str">
        <f>IF(Data!L156=Entry2!L156,Data!L156,"ERROR")</f>
        <v>ERROR</v>
      </c>
      <c r="M156" s="7">
        <f>IF(Data!N156=Entry2!M156,Data!N156,"ERROR")</f>
        <v>0</v>
      </c>
    </row>
    <row r="157" spans="1:13" ht="13.2" hidden="1" x14ac:dyDescent="0.25">
      <c r="A157" s="7">
        <f>IF(Data!A157=Entry2!A157,Data!A157,"ERROR")</f>
        <v>3</v>
      </c>
      <c r="B157" s="7">
        <f>IF(Data!B157=Entry2!B157,Data!B157,"ERROR")</f>
        <v>2023</v>
      </c>
      <c r="C157" s="17">
        <f>IF(Data!C157=Entry2!C157,Data!C157,"ERROR")</f>
        <v>45203</v>
      </c>
      <c r="D157" s="7" t="str">
        <f>IF(Data!D157=Entry2!D157,Data!D157,"ERROR")</f>
        <v>MG, TL</v>
      </c>
      <c r="E157" s="7" t="str">
        <f>IF(Data!E157=Entry2!E157,Data!E157,"ERROR")</f>
        <v>GB</v>
      </c>
      <c r="F157" s="7">
        <f>IF(Data!F157=Entry2!F157,Data!F157,"ERROR")</f>
        <v>1</v>
      </c>
      <c r="G157" s="7" t="str">
        <f>IF(Data!G157=Entry2!G157,Data!G157,"ERROR")</f>
        <v>LS</v>
      </c>
      <c r="H157" s="7">
        <f>IF(Data!H157=Entry2!H157,Data!H157,"ERROR")</f>
        <v>13</v>
      </c>
      <c r="I157" s="7">
        <f>IF(Data!I157=Entry2!I157,Data!I157,"ERROR")</f>
        <v>2</v>
      </c>
      <c r="J157" s="7">
        <f>IF(Data!J157=Entry2!J157,Data!J157,"ERROR")</f>
        <v>6.5</v>
      </c>
      <c r="K157" s="7" t="str">
        <f>IF(Data!K157=Entry2!K157,Data!K157,"ERROR")</f>
        <v>TH</v>
      </c>
      <c r="L157" s="7" t="str">
        <f>IF(Data!L157=Entry2!L157,Data!L157,"ERROR")</f>
        <v>ERROR</v>
      </c>
      <c r="M157" s="7">
        <f>IF(Data!N157=Entry2!M157,Data!N157,"ERROR")</f>
        <v>0</v>
      </c>
    </row>
    <row r="158" spans="1:13" ht="13.2" hidden="1" x14ac:dyDescent="0.25">
      <c r="A158" s="7">
        <f>IF(Data!A158=Entry2!A158,Data!A158,"ERROR")</f>
        <v>3</v>
      </c>
      <c r="B158" s="7">
        <f>IF(Data!B158=Entry2!B158,Data!B158,"ERROR")</f>
        <v>2023</v>
      </c>
      <c r="C158" s="17">
        <f>IF(Data!C158=Entry2!C158,Data!C158,"ERROR")</f>
        <v>45203</v>
      </c>
      <c r="D158" s="7" t="str">
        <f>IF(Data!D158=Entry2!D158,Data!D158,"ERROR")</f>
        <v>MG, TL</v>
      </c>
      <c r="E158" s="7" t="str">
        <f>IF(Data!E158=Entry2!E158,Data!E158,"ERROR")</f>
        <v>GB</v>
      </c>
      <c r="F158" s="7">
        <f>IF(Data!F158=Entry2!F158,Data!F158,"ERROR")</f>
        <v>1</v>
      </c>
      <c r="G158" s="7" t="str">
        <f>IF(Data!G158=Entry2!G158,Data!G158,"ERROR")</f>
        <v>LS</v>
      </c>
      <c r="H158" s="7">
        <f>IF(Data!H158=Entry2!H158,Data!H158,"ERROR")</f>
        <v>13</v>
      </c>
      <c r="I158" s="7">
        <f>IF(Data!I158=Entry2!I158,Data!I158,"ERROR")</f>
        <v>2</v>
      </c>
      <c r="J158" s="7">
        <f>IF(Data!J158=Entry2!J158,Data!J158,"ERROR")</f>
        <v>6.5</v>
      </c>
      <c r="K158" s="7" t="str">
        <f>IF(Data!K158=Entry2!K158,Data!K158,"ERROR")</f>
        <v>NNG</v>
      </c>
      <c r="L158" s="7" t="str">
        <f>IF(Data!L158=Entry2!L158,Data!L158,"ERROR")</f>
        <v>ERROR</v>
      </c>
      <c r="M158" s="7">
        <f>IF(Data!N158=Entry2!M158,Data!N158,"ERROR")</f>
        <v>0</v>
      </c>
    </row>
    <row r="159" spans="1:13" ht="13.2" hidden="1" x14ac:dyDescent="0.25">
      <c r="A159" s="7">
        <f>IF(Data!A159=Entry2!A159,Data!A159,"ERROR")</f>
        <v>3</v>
      </c>
      <c r="B159" s="7">
        <f>IF(Data!B159=Entry2!B159,Data!B159,"ERROR")</f>
        <v>2023</v>
      </c>
      <c r="C159" s="17">
        <f>IF(Data!C159=Entry2!C159,Data!C159,"ERROR")</f>
        <v>45203</v>
      </c>
      <c r="D159" s="7" t="str">
        <f>IF(Data!D159=Entry2!D159,Data!D159,"ERROR")</f>
        <v>MG, TL</v>
      </c>
      <c r="E159" s="7" t="str">
        <f>IF(Data!E159=Entry2!E159,Data!E159,"ERROR")</f>
        <v>GB</v>
      </c>
      <c r="F159" s="7">
        <f>IF(Data!F159=Entry2!F159,Data!F159,"ERROR")</f>
        <v>1</v>
      </c>
      <c r="G159" s="7" t="str">
        <f>IF(Data!G159=Entry2!G159,Data!G159,"ERROR")</f>
        <v>LS</v>
      </c>
      <c r="H159" s="7">
        <f>IF(Data!H159=Entry2!H159,Data!H159,"ERROR")</f>
        <v>13</v>
      </c>
      <c r="I159" s="7">
        <f>IF(Data!I159=Entry2!I159,Data!I159,"ERROR")</f>
        <v>2</v>
      </c>
      <c r="J159" s="7">
        <f>IF(Data!J159=Entry2!J159,Data!J159,"ERROR")</f>
        <v>6.5</v>
      </c>
      <c r="K159" s="7" t="str">
        <f>IF(Data!K159=Entry2!K159,Data!K159,"ERROR")</f>
        <v>CENMEL</v>
      </c>
      <c r="L159" s="7" t="str">
        <f>IF(Data!L159=Entry2!L159,Data!L159,"ERROR")</f>
        <v>ERROR</v>
      </c>
      <c r="M159" s="7">
        <f>IF(Data!N159=Entry2!M159,Data!N159,"ERROR")</f>
        <v>0</v>
      </c>
    </row>
    <row r="160" spans="1:13" ht="13.2" hidden="1" x14ac:dyDescent="0.25">
      <c r="A160" s="7">
        <f>IF(Data!A160=Entry2!A160,Data!A160,"ERROR")</f>
        <v>3</v>
      </c>
      <c r="B160" s="7">
        <f>IF(Data!B160=Entry2!B160,Data!B160,"ERROR")</f>
        <v>2023</v>
      </c>
      <c r="C160" s="17">
        <f>IF(Data!C160=Entry2!C160,Data!C160,"ERROR")</f>
        <v>45203</v>
      </c>
      <c r="D160" s="7" t="str">
        <f>IF(Data!D160=Entry2!D160,Data!D160,"ERROR")</f>
        <v>MG, TL</v>
      </c>
      <c r="E160" s="7" t="str">
        <f>IF(Data!E160=Entry2!E160,Data!E160,"ERROR")</f>
        <v>GB</v>
      </c>
      <c r="F160" s="7">
        <f>IF(Data!F160=Entry2!F160,Data!F160,"ERROR")</f>
        <v>1</v>
      </c>
      <c r="G160" s="7" t="str">
        <f>IF(Data!G160=Entry2!G160,Data!G160,"ERROR")</f>
        <v>LS</v>
      </c>
      <c r="H160" s="7">
        <f>IF(Data!H160=Entry2!H160,Data!H160,"ERROR")</f>
        <v>14</v>
      </c>
      <c r="I160" s="7">
        <f>IF(Data!I160=Entry2!I160,Data!I160,"ERROR")</f>
        <v>2</v>
      </c>
      <c r="J160" s="7">
        <f>IF(Data!J160=Entry2!J160,Data!J160,"ERROR")</f>
        <v>7</v>
      </c>
      <c r="K160" s="7" t="str">
        <f>IF(Data!K160=Entry2!K160,Data!K160,"ERROR")</f>
        <v>L</v>
      </c>
      <c r="L160" s="7" t="str">
        <f>IF(Data!L160=Entry2!L160,Data!L160,"ERROR")</f>
        <v>ERROR</v>
      </c>
      <c r="M160" s="7">
        <f>IF(Data!N160=Entry2!M160,Data!N160,"ERROR")</f>
        <v>0</v>
      </c>
    </row>
    <row r="161" spans="1:13" ht="13.2" hidden="1" x14ac:dyDescent="0.25">
      <c r="A161" s="7">
        <f>IF(Data!A161=Entry2!A161,Data!A161,"ERROR")</f>
        <v>3</v>
      </c>
      <c r="B161" s="7">
        <f>IF(Data!B161=Entry2!B161,Data!B161,"ERROR")</f>
        <v>2023</v>
      </c>
      <c r="C161" s="17">
        <f>IF(Data!C161=Entry2!C161,Data!C161,"ERROR")</f>
        <v>45203</v>
      </c>
      <c r="D161" s="7" t="str">
        <f>IF(Data!D161=Entry2!D161,Data!D161,"ERROR")</f>
        <v>MG, TL</v>
      </c>
      <c r="E161" s="7" t="str">
        <f>IF(Data!E161=Entry2!E161,Data!E161,"ERROR")</f>
        <v>GB</v>
      </c>
      <c r="F161" s="7">
        <f>IF(Data!F161=Entry2!F161,Data!F161,"ERROR")</f>
        <v>1</v>
      </c>
      <c r="G161" s="7" t="str">
        <f>IF(Data!G161=Entry2!G161,Data!G161,"ERROR")</f>
        <v>LS</v>
      </c>
      <c r="H161" s="7">
        <f>IF(Data!H161=Entry2!H161,Data!H161,"ERROR")</f>
        <v>14</v>
      </c>
      <c r="I161" s="7">
        <f>IF(Data!I161=Entry2!I161,Data!I161,"ERROR")</f>
        <v>2</v>
      </c>
      <c r="J161" s="7">
        <f>IF(Data!J161=Entry2!J161,Data!J161,"ERROR")</f>
        <v>7</v>
      </c>
      <c r="K161" s="7" t="str">
        <f>IF(Data!K161=Entry2!K161,Data!K161,"ERROR")</f>
        <v>STEDIE</v>
      </c>
      <c r="L161" s="7" t="str">
        <f>IF(Data!L161=Entry2!L161,Data!L161,"ERROR")</f>
        <v>ERROR</v>
      </c>
      <c r="M161" s="7">
        <f>IF(Data!N161=Entry2!M161,Data!N161,"ERROR")</f>
        <v>0</v>
      </c>
    </row>
    <row r="162" spans="1:13" ht="13.2" hidden="1" x14ac:dyDescent="0.25">
      <c r="A162" s="7">
        <f>IF(Data!A162=Entry2!A162,Data!A162,"ERROR")</f>
        <v>3</v>
      </c>
      <c r="B162" s="7">
        <f>IF(Data!B162=Entry2!B162,Data!B162,"ERROR")</f>
        <v>2023</v>
      </c>
      <c r="C162" s="17">
        <f>IF(Data!C162=Entry2!C162,Data!C162,"ERROR")</f>
        <v>45203</v>
      </c>
      <c r="D162" s="7" t="str">
        <f>IF(Data!D162=Entry2!D162,Data!D162,"ERROR")</f>
        <v>MG, TL</v>
      </c>
      <c r="E162" s="7" t="str">
        <f>IF(Data!E162=Entry2!E162,Data!E162,"ERROR")</f>
        <v>GB</v>
      </c>
      <c r="F162" s="7">
        <f>IF(Data!F162=Entry2!F162,Data!F162,"ERROR")</f>
        <v>1</v>
      </c>
      <c r="G162" s="7" t="str">
        <f>IF(Data!G162=Entry2!G162,Data!G162,"ERROR")</f>
        <v>LS</v>
      </c>
      <c r="H162" s="7">
        <f>IF(Data!H162=Entry2!H162,Data!H162,"ERROR")</f>
        <v>14</v>
      </c>
      <c r="I162" s="7">
        <f>IF(Data!I162=Entry2!I162,Data!I162,"ERROR")</f>
        <v>2</v>
      </c>
      <c r="J162" s="7">
        <f>IF(Data!J162=Entry2!J162,Data!J162,"ERROR")</f>
        <v>7</v>
      </c>
      <c r="K162" s="7" t="str">
        <f>IF(Data!K162=Entry2!K162,Data!K162,"ERROR")</f>
        <v>CENMEL</v>
      </c>
      <c r="L162" s="7" t="str">
        <f>IF(Data!L162=Entry2!L162,Data!L162,"ERROR")</f>
        <v>ERROR</v>
      </c>
      <c r="M162" s="7">
        <f>IF(Data!N162=Entry2!M162,Data!N162,"ERROR")</f>
        <v>0</v>
      </c>
    </row>
    <row r="163" spans="1:13" ht="13.2" hidden="1" x14ac:dyDescent="0.25">
      <c r="A163" s="7">
        <f>IF(Data!A163=Entry2!A163,Data!A163,"ERROR")</f>
        <v>3</v>
      </c>
      <c r="B163" s="7">
        <f>IF(Data!B163=Entry2!B163,Data!B163,"ERROR")</f>
        <v>2023</v>
      </c>
      <c r="C163" s="17">
        <f>IF(Data!C163=Entry2!C163,Data!C163,"ERROR")</f>
        <v>45203</v>
      </c>
      <c r="D163" s="7" t="str">
        <f>IF(Data!D163=Entry2!D163,Data!D163,"ERROR")</f>
        <v>MG, TL</v>
      </c>
      <c r="E163" s="7" t="str">
        <f>IF(Data!E163=Entry2!E163,Data!E163,"ERROR")</f>
        <v>GB</v>
      </c>
      <c r="F163" s="7">
        <f>IF(Data!F163=Entry2!F163,Data!F163,"ERROR")</f>
        <v>1</v>
      </c>
      <c r="G163" s="7" t="str">
        <f>IF(Data!G163=Entry2!G163,Data!G163,"ERROR")</f>
        <v>LS</v>
      </c>
      <c r="H163" s="7">
        <f>IF(Data!H163=Entry2!H163,Data!H163,"ERROR")</f>
        <v>15</v>
      </c>
      <c r="I163" s="7">
        <f>IF(Data!I163=Entry2!I163,Data!I163,"ERROR")</f>
        <v>2</v>
      </c>
      <c r="J163" s="7">
        <f>IF(Data!J163=Entry2!J163,Data!J163,"ERROR")</f>
        <v>7.5</v>
      </c>
      <c r="K163" s="7" t="str">
        <f>IF(Data!K163=Entry2!K163,Data!K163,"ERROR")</f>
        <v>L</v>
      </c>
      <c r="L163" s="7" t="str">
        <f>IF(Data!L163=Entry2!L163,Data!L163,"ERROR")</f>
        <v>ERROR</v>
      </c>
      <c r="M163" s="7">
        <f>IF(Data!N163=Entry2!M163,Data!N163,"ERROR")</f>
        <v>0</v>
      </c>
    </row>
    <row r="164" spans="1:13" ht="13.2" hidden="1" x14ac:dyDescent="0.25">
      <c r="A164" s="7">
        <f>IF(Data!A164=Entry2!A164,Data!A164,"ERROR")</f>
        <v>3</v>
      </c>
      <c r="B164" s="7">
        <f>IF(Data!B164=Entry2!B164,Data!B164,"ERROR")</f>
        <v>2023</v>
      </c>
      <c r="C164" s="17">
        <f>IF(Data!C164=Entry2!C164,Data!C164,"ERROR")</f>
        <v>45203</v>
      </c>
      <c r="D164" s="7" t="str">
        <f>IF(Data!D164=Entry2!D164,Data!D164,"ERROR")</f>
        <v>MG, TL</v>
      </c>
      <c r="E164" s="7" t="str">
        <f>IF(Data!E164=Entry2!E164,Data!E164,"ERROR")</f>
        <v>GB</v>
      </c>
      <c r="F164" s="7">
        <f>IF(Data!F164=Entry2!F164,Data!F164,"ERROR")</f>
        <v>1</v>
      </c>
      <c r="G164" s="7" t="str">
        <f>IF(Data!G164=Entry2!G164,Data!G164,"ERROR")</f>
        <v>LS</v>
      </c>
      <c r="H164" s="7">
        <f>IF(Data!H164=Entry2!H164,Data!H164,"ERROR")</f>
        <v>15</v>
      </c>
      <c r="I164" s="7">
        <f>IF(Data!I164=Entry2!I164,Data!I164,"ERROR")</f>
        <v>2</v>
      </c>
      <c r="J164" s="7">
        <f>IF(Data!J164=Entry2!J164,Data!J164,"ERROR")</f>
        <v>7.5</v>
      </c>
      <c r="K164" s="7" t="str">
        <f>IF(Data!K164=Entry2!K164,Data!K164,"ERROR")</f>
        <v>DEIFAS</v>
      </c>
      <c r="L164" s="7" t="str">
        <f>IF(Data!L164=Entry2!L164,Data!L164,"ERROR")</f>
        <v>ERROR</v>
      </c>
      <c r="M164" s="7">
        <f>IF(Data!N164=Entry2!M164,Data!N164,"ERROR")</f>
        <v>0</v>
      </c>
    </row>
    <row r="165" spans="1:13" ht="13.2" hidden="1" x14ac:dyDescent="0.25">
      <c r="A165" s="7">
        <f>IF(Data!A165=Entry2!A165,Data!A165,"ERROR")</f>
        <v>3</v>
      </c>
      <c r="B165" s="7">
        <f>IF(Data!B165=Entry2!B165,Data!B165,"ERROR")</f>
        <v>2023</v>
      </c>
      <c r="C165" s="17">
        <f>IF(Data!C165=Entry2!C165,Data!C165,"ERROR")</f>
        <v>45203</v>
      </c>
      <c r="D165" s="7" t="str">
        <f>IF(Data!D165=Entry2!D165,Data!D165,"ERROR")</f>
        <v>MG, TL</v>
      </c>
      <c r="E165" s="7" t="str">
        <f>IF(Data!E165=Entry2!E165,Data!E165,"ERROR")</f>
        <v>GB</v>
      </c>
      <c r="F165" s="7">
        <f>IF(Data!F165=Entry2!F165,Data!F165,"ERROR")</f>
        <v>1</v>
      </c>
      <c r="G165" s="7" t="str">
        <f>IF(Data!G165=Entry2!G165,Data!G165,"ERROR")</f>
        <v>LS</v>
      </c>
      <c r="H165" s="7">
        <f>IF(Data!H165=Entry2!H165,Data!H165,"ERROR")</f>
        <v>15</v>
      </c>
      <c r="I165" s="7">
        <f>IF(Data!I165=Entry2!I165,Data!I165,"ERROR")</f>
        <v>2</v>
      </c>
      <c r="J165" s="7">
        <f>IF(Data!J165=Entry2!J165,Data!J165,"ERROR")</f>
        <v>7.5</v>
      </c>
      <c r="K165" s="7" t="str">
        <f>IF(Data!K165=Entry2!K165,Data!K165,"ERROR")</f>
        <v>STEDIE</v>
      </c>
      <c r="L165" s="7" t="str">
        <f>IF(Data!L165=Entry2!L165,Data!L165,"ERROR")</f>
        <v>ERROR</v>
      </c>
      <c r="M165" s="7">
        <f>IF(Data!N165=Entry2!M165,Data!N165,"ERROR")</f>
        <v>0</v>
      </c>
    </row>
    <row r="166" spans="1:13" ht="13.2" hidden="1" x14ac:dyDescent="0.25">
      <c r="A166" s="7">
        <f>IF(Data!A166=Entry2!A166,Data!A166,"ERROR")</f>
        <v>3</v>
      </c>
      <c r="B166" s="7">
        <f>IF(Data!B166=Entry2!B166,Data!B166,"ERROR")</f>
        <v>2023</v>
      </c>
      <c r="C166" s="17">
        <f>IF(Data!C166=Entry2!C166,Data!C166,"ERROR")</f>
        <v>45203</v>
      </c>
      <c r="D166" s="7" t="str">
        <f>IF(Data!D166=Entry2!D166,Data!D166,"ERROR")</f>
        <v>MG, TL</v>
      </c>
      <c r="E166" s="7" t="str">
        <f>IF(Data!E166=Entry2!E166,Data!E166,"ERROR")</f>
        <v>GB</v>
      </c>
      <c r="F166" s="7">
        <f>IF(Data!F166=Entry2!F166,Data!F166,"ERROR")</f>
        <v>1</v>
      </c>
      <c r="G166" s="7" t="str">
        <f>IF(Data!G166=Entry2!G166,Data!G166,"ERROR")</f>
        <v>LS</v>
      </c>
      <c r="H166" s="7">
        <f>IF(Data!H166=Entry2!H166,Data!H166,"ERROR")</f>
        <v>15</v>
      </c>
      <c r="I166" s="7">
        <f>IF(Data!I166=Entry2!I166,Data!I166,"ERROR")</f>
        <v>2</v>
      </c>
      <c r="J166" s="7">
        <f>IF(Data!J166=Entry2!J166,Data!J166,"ERROR")</f>
        <v>7.5</v>
      </c>
      <c r="K166" s="7" t="str">
        <f>IF(Data!K166=Entry2!K166,Data!K166,"ERROR")</f>
        <v>OPULIT</v>
      </c>
      <c r="L166" s="7" t="str">
        <f>IF(Data!L166=Entry2!L166,Data!L166,"ERROR")</f>
        <v>ERROR</v>
      </c>
      <c r="M166" s="7">
        <f>IF(Data!N166=Entry2!M166,Data!N166,"ERROR")</f>
        <v>0</v>
      </c>
    </row>
    <row r="167" spans="1:13" ht="13.2" hidden="1" x14ac:dyDescent="0.25">
      <c r="A167" s="7">
        <f>IF(Data!A167=Entry2!A167,Data!A167,"ERROR")</f>
        <v>4</v>
      </c>
      <c r="B167" s="7">
        <f>IF(Data!B167=Entry2!B167,Data!B167,"ERROR")</f>
        <v>2023</v>
      </c>
      <c r="C167" s="17">
        <f>IF(Data!C167=Entry2!C167,Data!C167,"ERROR")</f>
        <v>45203</v>
      </c>
      <c r="D167" s="7" t="str">
        <f>IF(Data!D167=Entry2!D167,Data!D167,"ERROR")</f>
        <v>MG, TL</v>
      </c>
      <c r="E167" s="7" t="str">
        <f>IF(Data!E167=Entry2!E167,Data!E167,"ERROR")</f>
        <v>GB</v>
      </c>
      <c r="F167" s="7">
        <f>IF(Data!F167=Entry2!F167,Data!F167,"ERROR")</f>
        <v>1</v>
      </c>
      <c r="G167" s="7" t="str">
        <f>IF(Data!G167=Entry2!G167,Data!G167,"ERROR")</f>
        <v>LU</v>
      </c>
      <c r="H167" s="7">
        <f>IF(Data!H167=Entry2!H167,Data!H167,"ERROR")</f>
        <v>1</v>
      </c>
      <c r="I167" s="7">
        <f>IF(Data!I167=Entry2!I167,Data!I167,"ERROR")</f>
        <v>1</v>
      </c>
      <c r="J167" s="7">
        <f>IF(Data!J167=Entry2!J167,Data!J167,"ERROR")</f>
        <v>0</v>
      </c>
      <c r="K167" s="7" t="str">
        <f>IF(Data!K167=Entry2!K167,Data!K167,"ERROR")</f>
        <v>L</v>
      </c>
      <c r="L167" s="7" t="str">
        <f>IF(Data!L167=Entry2!L167,Data!L167,"ERROR")</f>
        <v>ERROR</v>
      </c>
      <c r="M167" s="7">
        <f>IF(Data!N167=Entry2!M167,Data!N167,"ERROR")</f>
        <v>0</v>
      </c>
    </row>
    <row r="168" spans="1:13" ht="13.2" hidden="1" x14ac:dyDescent="0.25">
      <c r="A168" s="7">
        <f>IF(Data!A168=Entry2!A168,Data!A168,"ERROR")</f>
        <v>4</v>
      </c>
      <c r="B168" s="7">
        <f>IF(Data!B168=Entry2!B168,Data!B168,"ERROR")</f>
        <v>2023</v>
      </c>
      <c r="C168" s="17">
        <f>IF(Data!C168=Entry2!C168,Data!C168,"ERROR")</f>
        <v>45203</v>
      </c>
      <c r="D168" s="7" t="str">
        <f>IF(Data!D168=Entry2!D168,Data!D168,"ERROR")</f>
        <v>MG, TL</v>
      </c>
      <c r="E168" s="7" t="str">
        <f>IF(Data!E168=Entry2!E168,Data!E168,"ERROR")</f>
        <v>GB</v>
      </c>
      <c r="F168" s="7">
        <f>IF(Data!F168=Entry2!F168,Data!F168,"ERROR")</f>
        <v>1</v>
      </c>
      <c r="G168" s="7" t="str">
        <f>IF(Data!G168=Entry2!G168,Data!G168,"ERROR")</f>
        <v>LU</v>
      </c>
      <c r="H168" s="7">
        <f>IF(Data!H168=Entry2!H168,Data!H168,"ERROR")</f>
        <v>1</v>
      </c>
      <c r="I168" s="7">
        <f>IF(Data!I168=Entry2!I168,Data!I168,"ERROR")</f>
        <v>1</v>
      </c>
      <c r="J168" s="7">
        <f>IF(Data!J168=Entry2!J168,Data!J168,"ERROR")</f>
        <v>0</v>
      </c>
      <c r="K168" s="7" t="str">
        <f>IF(Data!K168=Entry2!K168,Data!K168,"ERROR")</f>
        <v>CROSET</v>
      </c>
      <c r="L168" s="7" t="str">
        <f>IF(Data!L168=Entry2!L168,Data!L168,"ERROR")</f>
        <v>ERROR</v>
      </c>
      <c r="M168" s="7">
        <f>IF(Data!N168=Entry2!M168,Data!N168,"ERROR")</f>
        <v>0</v>
      </c>
    </row>
    <row r="169" spans="1:13" ht="13.2" hidden="1" x14ac:dyDescent="0.25">
      <c r="A169" s="7">
        <f>IF(Data!A169=Entry2!A169,Data!A169,"ERROR")</f>
        <v>4</v>
      </c>
      <c r="B169" s="7">
        <f>IF(Data!B169=Entry2!B169,Data!B169,"ERROR")</f>
        <v>2023</v>
      </c>
      <c r="C169" s="17">
        <f>IF(Data!C169=Entry2!C169,Data!C169,"ERROR")</f>
        <v>45203</v>
      </c>
      <c r="D169" s="7" t="str">
        <f>IF(Data!D169=Entry2!D169,Data!D169,"ERROR")</f>
        <v>MG, TL</v>
      </c>
      <c r="E169" s="7" t="str">
        <f>IF(Data!E169=Entry2!E169,Data!E169,"ERROR")</f>
        <v>GB</v>
      </c>
      <c r="F169" s="7">
        <f>IF(Data!F169=Entry2!F169,Data!F169,"ERROR")</f>
        <v>1</v>
      </c>
      <c r="G169" s="7" t="str">
        <f>IF(Data!G169=Entry2!G169,Data!G169,"ERROR")</f>
        <v>LU</v>
      </c>
      <c r="H169" s="7">
        <f>IF(Data!H169=Entry2!H169,Data!H169,"ERROR")</f>
        <v>2</v>
      </c>
      <c r="I169" s="7">
        <f>IF(Data!I169=Entry2!I169,Data!I169,"ERROR")</f>
        <v>1</v>
      </c>
      <c r="J169" s="7">
        <f>IF(Data!J169=Entry2!J169,Data!J169,"ERROR")</f>
        <v>0.5</v>
      </c>
      <c r="K169" s="7" t="str">
        <f>IF(Data!K169=Entry2!K169,Data!K169,"ERROR")</f>
        <v>L</v>
      </c>
      <c r="L169" s="7" t="str">
        <f>IF(Data!L169=Entry2!L169,Data!L169,"ERROR")</f>
        <v>ERROR</v>
      </c>
      <c r="M169" s="7">
        <f>IF(Data!N169=Entry2!M169,Data!N169,"ERROR")</f>
        <v>0</v>
      </c>
    </row>
    <row r="170" spans="1:13" ht="13.2" hidden="1" x14ac:dyDescent="0.25">
      <c r="A170" s="7">
        <f>IF(Data!A170=Entry2!A170,Data!A170,"ERROR")</f>
        <v>4</v>
      </c>
      <c r="B170" s="7">
        <f>IF(Data!B170=Entry2!B170,Data!B170,"ERROR")</f>
        <v>2023</v>
      </c>
      <c r="C170" s="17">
        <f>IF(Data!C170=Entry2!C170,Data!C170,"ERROR")</f>
        <v>45203</v>
      </c>
      <c r="D170" s="7" t="str">
        <f>IF(Data!D170=Entry2!D170,Data!D170,"ERROR")</f>
        <v>MG, TL</v>
      </c>
      <c r="E170" s="7" t="str">
        <f>IF(Data!E170=Entry2!E170,Data!E170,"ERROR")</f>
        <v>GB</v>
      </c>
      <c r="F170" s="7">
        <f>IF(Data!F170=Entry2!F170,Data!F170,"ERROR")</f>
        <v>1</v>
      </c>
      <c r="G170" s="7" t="str">
        <f>IF(Data!G170=Entry2!G170,Data!G170,"ERROR")</f>
        <v>LU</v>
      </c>
      <c r="H170" s="7">
        <f>IF(Data!H170=Entry2!H170,Data!H170,"ERROR")</f>
        <v>2</v>
      </c>
      <c r="I170" s="7">
        <f>IF(Data!I170=Entry2!I170,Data!I170,"ERROR")</f>
        <v>1</v>
      </c>
      <c r="J170" s="7">
        <f>IF(Data!J170=Entry2!J170,Data!J170,"ERROR")</f>
        <v>0.5</v>
      </c>
      <c r="K170" s="7" t="str">
        <f>IF(Data!K170=Entry2!K170,Data!K170,"ERROR")</f>
        <v>OPULIT</v>
      </c>
      <c r="L170" s="7" t="str">
        <f>IF(Data!L170=Entry2!L170,Data!L170,"ERROR")</f>
        <v>ERROR</v>
      </c>
      <c r="M170" s="7">
        <f>IF(Data!N170=Entry2!M170,Data!N170,"ERROR")</f>
        <v>0</v>
      </c>
    </row>
    <row r="171" spans="1:13" ht="13.2" hidden="1" x14ac:dyDescent="0.25">
      <c r="A171" s="7">
        <f>IF(Data!A171=Entry2!A171,Data!A171,"ERROR")</f>
        <v>4</v>
      </c>
      <c r="B171" s="7">
        <f>IF(Data!B171=Entry2!B171,Data!B171,"ERROR")</f>
        <v>2023</v>
      </c>
      <c r="C171" s="17">
        <f>IF(Data!C171=Entry2!C171,Data!C171,"ERROR")</f>
        <v>45203</v>
      </c>
      <c r="D171" s="7" t="str">
        <f>IF(Data!D171=Entry2!D171,Data!D171,"ERROR")</f>
        <v>MG, TL</v>
      </c>
      <c r="E171" s="7" t="str">
        <f>IF(Data!E171=Entry2!E171,Data!E171,"ERROR")</f>
        <v>GB</v>
      </c>
      <c r="F171" s="7">
        <f>IF(Data!F171=Entry2!F171,Data!F171,"ERROR")</f>
        <v>1</v>
      </c>
      <c r="G171" s="7" t="str">
        <f>IF(Data!G171=Entry2!G171,Data!G171,"ERROR")</f>
        <v>LU</v>
      </c>
      <c r="H171" s="7">
        <f>IF(Data!H171=Entry2!H171,Data!H171,"ERROR")</f>
        <v>3</v>
      </c>
      <c r="I171" s="7">
        <f>IF(Data!I171=Entry2!I171,Data!I171,"ERROR")</f>
        <v>1</v>
      </c>
      <c r="J171" s="7">
        <f>IF(Data!J171=Entry2!J171,Data!J171,"ERROR")</f>
        <v>1</v>
      </c>
      <c r="K171" s="7" t="str">
        <f>IF(Data!K171=Entry2!K171,Data!K171,"ERROR")</f>
        <v>L</v>
      </c>
      <c r="L171" s="7" t="str">
        <f>IF(Data!L171=Entry2!L171,Data!L171,"ERROR")</f>
        <v>ERROR</v>
      </c>
      <c r="M171" s="7">
        <f>IF(Data!N171=Entry2!M171,Data!N171,"ERROR")</f>
        <v>0</v>
      </c>
    </row>
    <row r="172" spans="1:13" ht="13.2" hidden="1" x14ac:dyDescent="0.25">
      <c r="A172" s="7">
        <f>IF(Data!A172=Entry2!A172,Data!A172,"ERROR")</f>
        <v>4</v>
      </c>
      <c r="B172" s="7">
        <f>IF(Data!B172=Entry2!B172,Data!B172,"ERROR")</f>
        <v>2023</v>
      </c>
      <c r="C172" s="17">
        <f>IF(Data!C172=Entry2!C172,Data!C172,"ERROR")</f>
        <v>45203</v>
      </c>
      <c r="D172" s="7" t="str">
        <f>IF(Data!D172=Entry2!D172,Data!D172,"ERROR")</f>
        <v>MG, TL</v>
      </c>
      <c r="E172" s="7" t="str">
        <f>IF(Data!E172=Entry2!E172,Data!E172,"ERROR")</f>
        <v>GB</v>
      </c>
      <c r="F172" s="7">
        <f>IF(Data!F172=Entry2!F172,Data!F172,"ERROR")</f>
        <v>1</v>
      </c>
      <c r="G172" s="7" t="str">
        <f>IF(Data!G172=Entry2!G172,Data!G172,"ERROR")</f>
        <v>LU</v>
      </c>
      <c r="H172" s="7">
        <f>IF(Data!H172=Entry2!H172,Data!H172,"ERROR")</f>
        <v>4</v>
      </c>
      <c r="I172" s="7">
        <f>IF(Data!I172=Entry2!I172,Data!I172,"ERROR")</f>
        <v>1</v>
      </c>
      <c r="J172" s="7">
        <f>IF(Data!J172=Entry2!J172,Data!J172,"ERROR")</f>
        <v>1.5</v>
      </c>
      <c r="K172" s="7" t="str">
        <f>IF(Data!K172=Entry2!K172,Data!K172,"ERROR")</f>
        <v>R</v>
      </c>
      <c r="L172" s="7" t="str">
        <f>IF(Data!L172=Entry2!L172,Data!L172,"ERROR")</f>
        <v>ERROR</v>
      </c>
      <c r="M172" s="7">
        <f>IF(Data!N172=Entry2!M172,Data!N172,"ERROR")</f>
        <v>0</v>
      </c>
    </row>
    <row r="173" spans="1:13" ht="13.2" hidden="1" x14ac:dyDescent="0.25">
      <c r="A173" s="7">
        <f>IF(Data!A173=Entry2!A173,Data!A173,"ERROR")</f>
        <v>4</v>
      </c>
      <c r="B173" s="7">
        <f>IF(Data!B173=Entry2!B173,Data!B173,"ERROR")</f>
        <v>2023</v>
      </c>
      <c r="C173" s="17">
        <f>IF(Data!C173=Entry2!C173,Data!C173,"ERROR")</f>
        <v>45203</v>
      </c>
      <c r="D173" s="7" t="str">
        <f>IF(Data!D173=Entry2!D173,Data!D173,"ERROR")</f>
        <v>MG, TL</v>
      </c>
      <c r="E173" s="7" t="str">
        <f>IF(Data!E173=Entry2!E173,Data!E173,"ERROR")</f>
        <v>GB</v>
      </c>
      <c r="F173" s="7">
        <f>IF(Data!F173=Entry2!F173,Data!F173,"ERROR")</f>
        <v>1</v>
      </c>
      <c r="G173" s="7" t="str">
        <f>IF(Data!G173=Entry2!G173,Data!G173,"ERROR")</f>
        <v>LU</v>
      </c>
      <c r="H173" s="7">
        <f>IF(Data!H173=Entry2!H173,Data!H173,"ERROR")</f>
        <v>5</v>
      </c>
      <c r="I173" s="7">
        <f>IF(Data!I173=Entry2!I173,Data!I173,"ERROR")</f>
        <v>1</v>
      </c>
      <c r="J173" s="7">
        <f>IF(Data!J173=Entry2!J173,Data!J173,"ERROR")</f>
        <v>2</v>
      </c>
      <c r="K173" s="7" t="str">
        <f>IF(Data!K173=Entry2!K173,Data!K173,"ERROR")</f>
        <v>R</v>
      </c>
      <c r="L173" s="7" t="str">
        <f>IF(Data!L173=Entry2!L173,Data!L173,"ERROR")</f>
        <v>ERROR</v>
      </c>
      <c r="M173" s="7">
        <f>IF(Data!N173=Entry2!M173,Data!N173,"ERROR")</f>
        <v>0</v>
      </c>
    </row>
    <row r="174" spans="1:13" ht="13.2" hidden="1" x14ac:dyDescent="0.25">
      <c r="A174" s="7">
        <f>IF(Data!A174=Entry2!A174,Data!A174,"ERROR")</f>
        <v>4</v>
      </c>
      <c r="B174" s="7">
        <f>IF(Data!B174=Entry2!B174,Data!B174,"ERROR")</f>
        <v>2023</v>
      </c>
      <c r="C174" s="17">
        <f>IF(Data!C174=Entry2!C174,Data!C174,"ERROR")</f>
        <v>45203</v>
      </c>
      <c r="D174" s="7" t="str">
        <f>IF(Data!D174=Entry2!D174,Data!D174,"ERROR")</f>
        <v>MG, TL</v>
      </c>
      <c r="E174" s="7" t="str">
        <f>IF(Data!E174=Entry2!E174,Data!E174,"ERROR")</f>
        <v>GB</v>
      </c>
      <c r="F174" s="7">
        <f>IF(Data!F174=Entry2!F174,Data!F174,"ERROR")</f>
        <v>1</v>
      </c>
      <c r="G174" s="7" t="str">
        <f>IF(Data!G174=Entry2!G174,Data!G174,"ERROR")</f>
        <v>LU</v>
      </c>
      <c r="H174" s="7">
        <f>IF(Data!H174=Entry2!H174,Data!H174,"ERROR")</f>
        <v>6</v>
      </c>
      <c r="I174" s="7">
        <f>IF(Data!I174=Entry2!I174,Data!I174,"ERROR")</f>
        <v>1</v>
      </c>
      <c r="J174" s="7">
        <f>IF(Data!J174=Entry2!J174,Data!J174,"ERROR")</f>
        <v>2.5</v>
      </c>
      <c r="K174" s="7" t="str">
        <f>IF(Data!K174=Entry2!K174,Data!K174,"ERROR")</f>
        <v>L</v>
      </c>
      <c r="L174" s="7" t="str">
        <f>IF(Data!L174=Entry2!L174,Data!L174,"ERROR")</f>
        <v>ERROR</v>
      </c>
      <c r="M174" s="7">
        <f>IF(Data!N174=Entry2!M174,Data!N174,"ERROR")</f>
        <v>0</v>
      </c>
    </row>
    <row r="175" spans="1:13" ht="13.2" hidden="1" x14ac:dyDescent="0.25">
      <c r="A175" s="7">
        <f>IF(Data!A175=Entry2!A175,Data!A175,"ERROR")</f>
        <v>4</v>
      </c>
      <c r="B175" s="7">
        <f>IF(Data!B175=Entry2!B175,Data!B175,"ERROR")</f>
        <v>2023</v>
      </c>
      <c r="C175" s="17">
        <f>IF(Data!C175=Entry2!C175,Data!C175,"ERROR")</f>
        <v>45203</v>
      </c>
      <c r="D175" s="7" t="str">
        <f>IF(Data!D175=Entry2!D175,Data!D175,"ERROR")</f>
        <v>MG, TL</v>
      </c>
      <c r="E175" s="7" t="str">
        <f>IF(Data!E175=Entry2!E175,Data!E175,"ERROR")</f>
        <v>GB</v>
      </c>
      <c r="F175" s="7">
        <f>IF(Data!F175=Entry2!F175,Data!F175,"ERROR")</f>
        <v>1</v>
      </c>
      <c r="G175" s="7" t="str">
        <f>IF(Data!G175=Entry2!G175,Data!G175,"ERROR")</f>
        <v>LU</v>
      </c>
      <c r="H175" s="7">
        <f>IF(Data!H175=Entry2!H175,Data!H175,"ERROR")</f>
        <v>7</v>
      </c>
      <c r="I175" s="7">
        <f>IF(Data!I175=Entry2!I175,Data!I175,"ERROR")</f>
        <v>1</v>
      </c>
      <c r="J175" s="7">
        <f>IF(Data!J175=Entry2!J175,Data!J175,"ERROR")</f>
        <v>3</v>
      </c>
      <c r="K175" s="7" t="str">
        <f>IF(Data!K175=Entry2!K175,Data!K175,"ERROR")</f>
        <v>L</v>
      </c>
      <c r="L175" s="7" t="str">
        <f>IF(Data!L175=Entry2!L175,Data!L175,"ERROR")</f>
        <v>ERROR</v>
      </c>
      <c r="M175" s="7">
        <f>IF(Data!N175=Entry2!M175,Data!N175,"ERROR")</f>
        <v>0</v>
      </c>
    </row>
    <row r="176" spans="1:13" ht="13.2" hidden="1" x14ac:dyDescent="0.25">
      <c r="A176" s="7">
        <f>IF(Data!A176=Entry2!A176,Data!A176,"ERROR")</f>
        <v>4</v>
      </c>
      <c r="B176" s="7">
        <f>IF(Data!B176=Entry2!B176,Data!B176,"ERROR")</f>
        <v>2023</v>
      </c>
      <c r="C176" s="17">
        <f>IF(Data!C176=Entry2!C176,Data!C176,"ERROR")</f>
        <v>45203</v>
      </c>
      <c r="D176" s="7" t="str">
        <f>IF(Data!D176=Entry2!D176,Data!D176,"ERROR")</f>
        <v>MG, TL</v>
      </c>
      <c r="E176" s="7" t="str">
        <f>IF(Data!E176=Entry2!E176,Data!E176,"ERROR")</f>
        <v>GB</v>
      </c>
      <c r="F176" s="7">
        <f>IF(Data!F176=Entry2!F176,Data!F176,"ERROR")</f>
        <v>1</v>
      </c>
      <c r="G176" s="7" t="str">
        <f>IF(Data!G176=Entry2!G176,Data!G176,"ERROR")</f>
        <v>LU</v>
      </c>
      <c r="H176" s="7">
        <f>IF(Data!H176=Entry2!H176,Data!H176,"ERROR")</f>
        <v>7</v>
      </c>
      <c r="I176" s="7">
        <f>IF(Data!I176=Entry2!I176,Data!I176,"ERROR")</f>
        <v>1</v>
      </c>
      <c r="J176" s="7">
        <f>IF(Data!J176=Entry2!J176,Data!J176,"ERROR")</f>
        <v>3</v>
      </c>
      <c r="K176" s="7" t="str">
        <f>IF(Data!K176=Entry2!K176,Data!K176,"ERROR")</f>
        <v>ANAARV</v>
      </c>
      <c r="L176" s="7" t="str">
        <f>IF(Data!L176=Entry2!L176,Data!L176,"ERROR")</f>
        <v>ERROR</v>
      </c>
      <c r="M176" s="7">
        <f>IF(Data!N176=Entry2!M176,Data!N176,"ERROR")</f>
        <v>0</v>
      </c>
    </row>
    <row r="177" spans="1:13" ht="13.2" hidden="1" x14ac:dyDescent="0.25">
      <c r="A177" s="7">
        <f>IF(Data!A177=Entry2!A177,Data!A177,"ERROR")</f>
        <v>4</v>
      </c>
      <c r="B177" s="7">
        <f>IF(Data!B177=Entry2!B177,Data!B177,"ERROR")</f>
        <v>2023</v>
      </c>
      <c r="C177" s="17">
        <f>IF(Data!C177=Entry2!C177,Data!C177,"ERROR")</f>
        <v>45203</v>
      </c>
      <c r="D177" s="7" t="str">
        <f>IF(Data!D177=Entry2!D177,Data!D177,"ERROR")</f>
        <v>MG, TL</v>
      </c>
      <c r="E177" s="7" t="str">
        <f>IF(Data!E177=Entry2!E177,Data!E177,"ERROR")</f>
        <v>GB</v>
      </c>
      <c r="F177" s="7">
        <f>IF(Data!F177=Entry2!F177,Data!F177,"ERROR")</f>
        <v>1</v>
      </c>
      <c r="G177" s="7" t="str">
        <f>IF(Data!G177=Entry2!G177,Data!G177,"ERROR")</f>
        <v>LU</v>
      </c>
      <c r="H177" s="7">
        <f>IF(Data!H177=Entry2!H177,Data!H177,"ERROR")</f>
        <v>8</v>
      </c>
      <c r="I177" s="7">
        <f>IF(Data!I177=Entry2!I177,Data!I177,"ERROR")</f>
        <v>1</v>
      </c>
      <c r="J177" s="7">
        <f>IF(Data!J177=Entry2!J177,Data!J177,"ERROR")</f>
        <v>3.5</v>
      </c>
      <c r="K177" s="7" t="str">
        <f>IF(Data!K177=Entry2!K177,Data!K177,"ERROR")</f>
        <v>L</v>
      </c>
      <c r="L177" s="7" t="str">
        <f>IF(Data!L177=Entry2!L177,Data!L177,"ERROR")</f>
        <v>ERROR</v>
      </c>
      <c r="M177" s="7">
        <f>IF(Data!N177=Entry2!M177,Data!N177,"ERROR")</f>
        <v>0</v>
      </c>
    </row>
    <row r="178" spans="1:13" ht="13.2" hidden="1" x14ac:dyDescent="0.25">
      <c r="A178" s="7">
        <f>IF(Data!A178=Entry2!A178,Data!A178,"ERROR")</f>
        <v>4</v>
      </c>
      <c r="B178" s="7">
        <f>IF(Data!B178=Entry2!B178,Data!B178,"ERROR")</f>
        <v>2023</v>
      </c>
      <c r="C178" s="17">
        <f>IF(Data!C178=Entry2!C178,Data!C178,"ERROR")</f>
        <v>45203</v>
      </c>
      <c r="D178" s="7" t="str">
        <f>IF(Data!D178=Entry2!D178,Data!D178,"ERROR")</f>
        <v>MG, TL</v>
      </c>
      <c r="E178" s="7" t="str">
        <f>IF(Data!E178=Entry2!E178,Data!E178,"ERROR")</f>
        <v>GB</v>
      </c>
      <c r="F178" s="7">
        <f>IF(Data!F178=Entry2!F178,Data!F178,"ERROR")</f>
        <v>1</v>
      </c>
      <c r="G178" s="7" t="str">
        <f>IF(Data!G178=Entry2!G178,Data!G178,"ERROR")</f>
        <v>LU</v>
      </c>
      <c r="H178" s="7">
        <f>IF(Data!H178=Entry2!H178,Data!H178,"ERROR")</f>
        <v>8</v>
      </c>
      <c r="I178" s="7">
        <f>IF(Data!I178=Entry2!I178,Data!I178,"ERROR")</f>
        <v>1</v>
      </c>
      <c r="J178" s="7">
        <f>IF(Data!J178=Entry2!J178,Data!J178,"ERROR")</f>
        <v>3.5</v>
      </c>
      <c r="K178" s="7" t="str">
        <f>IF(Data!K178=Entry2!K178,Data!K178,"ERROR")</f>
        <v>ANAARV</v>
      </c>
      <c r="L178" s="7" t="str">
        <f>IF(Data!L178=Entry2!L178,Data!L178,"ERROR")</f>
        <v>ERROR</v>
      </c>
      <c r="M178" s="7">
        <f>IF(Data!N178=Entry2!M178,Data!N178,"ERROR")</f>
        <v>0</v>
      </c>
    </row>
    <row r="179" spans="1:13" ht="13.2" hidden="1" x14ac:dyDescent="0.25">
      <c r="A179" s="7">
        <f>IF(Data!A179=Entry2!A179,Data!A179,"ERROR")</f>
        <v>4</v>
      </c>
      <c r="B179" s="7">
        <f>IF(Data!B179=Entry2!B179,Data!B179,"ERROR")</f>
        <v>2023</v>
      </c>
      <c r="C179" s="17">
        <f>IF(Data!C179=Entry2!C179,Data!C179,"ERROR")</f>
        <v>45203</v>
      </c>
      <c r="D179" s="7" t="str">
        <f>IF(Data!D179=Entry2!D179,Data!D179,"ERROR")</f>
        <v>MG, TL</v>
      </c>
      <c r="E179" s="7" t="str">
        <f>IF(Data!E179=Entry2!E179,Data!E179,"ERROR")</f>
        <v>GB</v>
      </c>
      <c r="F179" s="7">
        <f>IF(Data!F179=Entry2!F179,Data!F179,"ERROR")</f>
        <v>1</v>
      </c>
      <c r="G179" s="7" t="str">
        <f>IF(Data!G179=Entry2!G179,Data!G179,"ERROR")</f>
        <v>LU</v>
      </c>
      <c r="H179" s="7">
        <f>IF(Data!H179=Entry2!H179,Data!H179,"ERROR")</f>
        <v>9</v>
      </c>
      <c r="I179" s="7">
        <f>IF(Data!I179=Entry2!I179,Data!I179,"ERROR")</f>
        <v>1</v>
      </c>
      <c r="J179" s="7">
        <f>IF(Data!J179=Entry2!J179,Data!J179,"ERROR")</f>
        <v>4</v>
      </c>
      <c r="K179" s="7" t="str">
        <f>IF(Data!K179=Entry2!K179,Data!K179,"ERROR")</f>
        <v>L</v>
      </c>
      <c r="L179" s="7" t="str">
        <f>IF(Data!L179=Entry2!L179,Data!L179,"ERROR")</f>
        <v>ERROR</v>
      </c>
      <c r="M179" s="7">
        <f>IF(Data!N179=Entry2!M179,Data!N179,"ERROR")</f>
        <v>0</v>
      </c>
    </row>
    <row r="180" spans="1:13" ht="13.2" hidden="1" x14ac:dyDescent="0.25">
      <c r="A180" s="7">
        <f>IF(Data!A180=Entry2!A180,Data!A180,"ERROR")</f>
        <v>4</v>
      </c>
      <c r="B180" s="7">
        <f>IF(Data!B180=Entry2!B180,Data!B180,"ERROR")</f>
        <v>2023</v>
      </c>
      <c r="C180" s="17">
        <f>IF(Data!C180=Entry2!C180,Data!C180,"ERROR")</f>
        <v>45203</v>
      </c>
      <c r="D180" s="7" t="str">
        <f>IF(Data!D180=Entry2!D180,Data!D180,"ERROR")</f>
        <v>MG, TL</v>
      </c>
      <c r="E180" s="7" t="str">
        <f>IF(Data!E180=Entry2!E180,Data!E180,"ERROR")</f>
        <v>GB</v>
      </c>
      <c r="F180" s="7">
        <f>IF(Data!F180=Entry2!F180,Data!F180,"ERROR")</f>
        <v>1</v>
      </c>
      <c r="G180" s="7" t="str">
        <f>IF(Data!G180=Entry2!G180,Data!G180,"ERROR")</f>
        <v>LU</v>
      </c>
      <c r="H180" s="7">
        <f>IF(Data!H180=Entry2!H180,Data!H180,"ERROR")</f>
        <v>10</v>
      </c>
      <c r="I180" s="7">
        <f>IF(Data!I180=Entry2!I180,Data!I180,"ERROR")</f>
        <v>1</v>
      </c>
      <c r="J180" s="7">
        <f>IF(Data!J180=Entry2!J180,Data!J180,"ERROR")</f>
        <v>4.5</v>
      </c>
      <c r="K180" s="7" t="str">
        <f>IF(Data!K180=Entry2!K180,Data!K180,"ERROR")</f>
        <v>L</v>
      </c>
      <c r="L180" s="7" t="str">
        <f>IF(Data!L180=Entry2!L180,Data!L180,"ERROR")</f>
        <v>ERROR</v>
      </c>
      <c r="M180" s="7">
        <f>IF(Data!N180=Entry2!M180,Data!N180,"ERROR")</f>
        <v>0</v>
      </c>
    </row>
    <row r="181" spans="1:13" ht="13.2" hidden="1" x14ac:dyDescent="0.25">
      <c r="A181" s="7">
        <f>IF(Data!A181=Entry2!A181,Data!A181,"ERROR")</f>
        <v>4</v>
      </c>
      <c r="B181" s="7">
        <f>IF(Data!B181=Entry2!B181,Data!B181,"ERROR")</f>
        <v>2023</v>
      </c>
      <c r="C181" s="17">
        <f>IF(Data!C181=Entry2!C181,Data!C181,"ERROR")</f>
        <v>45203</v>
      </c>
      <c r="D181" s="7" t="str">
        <f>IF(Data!D181=Entry2!D181,Data!D181,"ERROR")</f>
        <v>MG, TL</v>
      </c>
      <c r="E181" s="7" t="str">
        <f>IF(Data!E181=Entry2!E181,Data!E181,"ERROR")</f>
        <v>GB</v>
      </c>
      <c r="F181" s="7">
        <f>IF(Data!F181=Entry2!F181,Data!F181,"ERROR")</f>
        <v>1</v>
      </c>
      <c r="G181" s="7" t="str">
        <f>IF(Data!G181=Entry2!G181,Data!G181,"ERROR")</f>
        <v>LU</v>
      </c>
      <c r="H181" s="7">
        <f>IF(Data!H181=Entry2!H181,Data!H181,"ERROR")</f>
        <v>11</v>
      </c>
      <c r="I181" s="7">
        <f>IF(Data!I181=Entry2!I181,Data!I181,"ERROR")</f>
        <v>1</v>
      </c>
      <c r="J181" s="7">
        <f>IF(Data!J181=Entry2!J181,Data!J181,"ERROR")</f>
        <v>5</v>
      </c>
      <c r="K181" s="7" t="str">
        <f>IF(Data!K181=Entry2!K181,Data!K181,"ERROR")</f>
        <v>B</v>
      </c>
      <c r="L181" s="7" t="str">
        <f>IF(Data!L181=Entry2!L181,Data!L181,"ERROR")</f>
        <v>ERROR</v>
      </c>
      <c r="M181" s="7">
        <f>IF(Data!N181=Entry2!M181,Data!N181,"ERROR")</f>
        <v>0</v>
      </c>
    </row>
    <row r="182" spans="1:13" ht="13.2" hidden="1" x14ac:dyDescent="0.25">
      <c r="A182" s="7">
        <f>IF(Data!A182=Entry2!A182,Data!A182,"ERROR")</f>
        <v>4</v>
      </c>
      <c r="B182" s="7">
        <f>IF(Data!B182=Entry2!B182,Data!B182,"ERROR")</f>
        <v>2023</v>
      </c>
      <c r="C182" s="17">
        <f>IF(Data!C182=Entry2!C182,Data!C182,"ERROR")</f>
        <v>45203</v>
      </c>
      <c r="D182" s="7" t="str">
        <f>IF(Data!D182=Entry2!D182,Data!D182,"ERROR")</f>
        <v>MG, TL</v>
      </c>
      <c r="E182" s="7" t="str">
        <f>IF(Data!E182=Entry2!E182,Data!E182,"ERROR")</f>
        <v>GB</v>
      </c>
      <c r="F182" s="7">
        <f>IF(Data!F182=Entry2!F182,Data!F182,"ERROR")</f>
        <v>1</v>
      </c>
      <c r="G182" s="7" t="str">
        <f>IF(Data!G182=Entry2!G182,Data!G182,"ERROR")</f>
        <v>LU</v>
      </c>
      <c r="H182" s="7">
        <f>IF(Data!H182=Entry2!H182,Data!H182,"ERROR")</f>
        <v>12</v>
      </c>
      <c r="I182" s="7">
        <f>IF(Data!I182=Entry2!I182,Data!I182,"ERROR")</f>
        <v>1</v>
      </c>
      <c r="J182" s="7">
        <f>IF(Data!J182=Entry2!J182,Data!J182,"ERROR")</f>
        <v>5.5</v>
      </c>
      <c r="K182" s="7" t="str">
        <f>IF(Data!K182=Entry2!K182,Data!K182,"ERROR")</f>
        <v>B</v>
      </c>
      <c r="L182" s="7" t="str">
        <f>IF(Data!L182=Entry2!L182,Data!L182,"ERROR")</f>
        <v>ERROR</v>
      </c>
      <c r="M182" s="7">
        <f>IF(Data!N182=Entry2!M182,Data!N182,"ERROR")</f>
        <v>0</v>
      </c>
    </row>
    <row r="183" spans="1:13" ht="13.2" hidden="1" x14ac:dyDescent="0.25">
      <c r="A183" s="7">
        <f>IF(Data!A183=Entry2!A183,Data!A183,"ERROR")</f>
        <v>4</v>
      </c>
      <c r="B183" s="7">
        <f>IF(Data!B183=Entry2!B183,Data!B183,"ERROR")</f>
        <v>2023</v>
      </c>
      <c r="C183" s="17">
        <f>IF(Data!C183=Entry2!C183,Data!C183,"ERROR")</f>
        <v>45203</v>
      </c>
      <c r="D183" s="7" t="str">
        <f>IF(Data!D183=Entry2!D183,Data!D183,"ERROR")</f>
        <v>MG, TL</v>
      </c>
      <c r="E183" s="7" t="str">
        <f>IF(Data!E183=Entry2!E183,Data!E183,"ERROR")</f>
        <v>GB</v>
      </c>
      <c r="F183" s="7">
        <f>IF(Data!F183=Entry2!F183,Data!F183,"ERROR")</f>
        <v>1</v>
      </c>
      <c r="G183" s="7" t="str">
        <f>IF(Data!G183=Entry2!G183,Data!G183,"ERROR")</f>
        <v>LU</v>
      </c>
      <c r="H183" s="7">
        <f>IF(Data!H183=Entry2!H183,Data!H183,"ERROR")</f>
        <v>13</v>
      </c>
      <c r="I183" s="7">
        <f>IF(Data!I183=Entry2!I183,Data!I183,"ERROR")</f>
        <v>1</v>
      </c>
      <c r="J183" s="7">
        <f>IF(Data!J183=Entry2!J183,Data!J183,"ERROR")</f>
        <v>6.5</v>
      </c>
      <c r="K183" s="7" t="str">
        <f>IF(Data!K183=Entry2!K183,Data!K183,"ERROR")</f>
        <v>B</v>
      </c>
      <c r="L183" s="7" t="str">
        <f>IF(Data!L183=Entry2!L183,Data!L183,"ERROR")</f>
        <v>ERROR</v>
      </c>
      <c r="M183" s="7">
        <f>IF(Data!N183=Entry2!M183,Data!N183,"ERROR")</f>
        <v>0</v>
      </c>
    </row>
    <row r="184" spans="1:13" ht="13.2" hidden="1" x14ac:dyDescent="0.25">
      <c r="A184" s="7">
        <f>IF(Data!A184=Entry2!A184,Data!A184,"ERROR")</f>
        <v>4</v>
      </c>
      <c r="B184" s="7">
        <f>IF(Data!B184=Entry2!B184,Data!B184,"ERROR")</f>
        <v>2023</v>
      </c>
      <c r="C184" s="17">
        <f>IF(Data!C184=Entry2!C184,Data!C184,"ERROR")</f>
        <v>45203</v>
      </c>
      <c r="D184" s="7" t="str">
        <f>IF(Data!D184=Entry2!D184,Data!D184,"ERROR")</f>
        <v>MG, TL</v>
      </c>
      <c r="E184" s="7" t="str">
        <f>IF(Data!E184=Entry2!E184,Data!E184,"ERROR")</f>
        <v>GB</v>
      </c>
      <c r="F184" s="7">
        <f>IF(Data!F184=Entry2!F184,Data!F184,"ERROR")</f>
        <v>1</v>
      </c>
      <c r="G184" s="7" t="str">
        <f>IF(Data!G184=Entry2!G184,Data!G184,"ERROR")</f>
        <v>LU</v>
      </c>
      <c r="H184" s="7">
        <f>IF(Data!H184=Entry2!H184,Data!H184,"ERROR")</f>
        <v>14</v>
      </c>
      <c r="I184" s="7">
        <f>IF(Data!I184=Entry2!I184,Data!I184,"ERROR")</f>
        <v>1</v>
      </c>
      <c r="J184" s="7">
        <f>IF(Data!J184=Entry2!J184,Data!J184,"ERROR")</f>
        <v>7</v>
      </c>
      <c r="K184" s="7" t="str">
        <f>IF(Data!K184=Entry2!K184,Data!K184,"ERROR")</f>
        <v>L</v>
      </c>
      <c r="L184" s="7" t="str">
        <f>IF(Data!L184=Entry2!L184,Data!L184,"ERROR")</f>
        <v>ERROR</v>
      </c>
      <c r="M184" s="7">
        <f>IF(Data!N184=Entry2!M184,Data!N184,"ERROR")</f>
        <v>0</v>
      </c>
    </row>
    <row r="185" spans="1:13" ht="13.2" hidden="1" x14ac:dyDescent="0.25">
      <c r="A185" s="7">
        <f>IF(Data!A185=Entry2!A185,Data!A185,"ERROR")</f>
        <v>4</v>
      </c>
      <c r="B185" s="7">
        <f>IF(Data!B185=Entry2!B185,Data!B185,"ERROR")</f>
        <v>2023</v>
      </c>
      <c r="C185" s="17">
        <f>IF(Data!C185=Entry2!C185,Data!C185,"ERROR")</f>
        <v>45203</v>
      </c>
      <c r="D185" s="7" t="str">
        <f>IF(Data!D185=Entry2!D185,Data!D185,"ERROR")</f>
        <v>MG, TL</v>
      </c>
      <c r="E185" s="7" t="str">
        <f>IF(Data!E185=Entry2!E185,Data!E185,"ERROR")</f>
        <v>GB</v>
      </c>
      <c r="F185" s="7">
        <f>IF(Data!F185=Entry2!F185,Data!F185,"ERROR")</f>
        <v>1</v>
      </c>
      <c r="G185" s="7" t="str">
        <f>IF(Data!G185=Entry2!G185,Data!G185,"ERROR")</f>
        <v>LU</v>
      </c>
      <c r="H185" s="7">
        <f>IF(Data!H185=Entry2!H185,Data!H185,"ERROR")</f>
        <v>15</v>
      </c>
      <c r="I185" s="7">
        <f>IF(Data!I185=Entry2!I185,Data!I185,"ERROR")</f>
        <v>1</v>
      </c>
      <c r="J185" s="7">
        <f>IF(Data!J185=Entry2!J185,Data!J185,"ERROR")</f>
        <v>7.5</v>
      </c>
      <c r="K185" s="7" t="str">
        <f>IF(Data!K185=Entry2!K185,Data!K185,"ERROR")</f>
        <v>B</v>
      </c>
      <c r="L185" s="7" t="str">
        <f>IF(Data!L185=Entry2!L185,Data!L185,"ERROR")</f>
        <v>ERROR</v>
      </c>
      <c r="M185" s="7">
        <f>IF(Data!N185=Entry2!M185,Data!N185,"ERROR")</f>
        <v>0</v>
      </c>
    </row>
    <row r="186" spans="1:13" ht="13.2" hidden="1" x14ac:dyDescent="0.25">
      <c r="A186" s="7">
        <f>IF(Data!A186=Entry2!A186,Data!A186,"ERROR")</f>
        <v>4</v>
      </c>
      <c r="B186" s="7">
        <f>IF(Data!B186=Entry2!B186,Data!B186,"ERROR")</f>
        <v>2023</v>
      </c>
      <c r="C186" s="17">
        <f>IF(Data!C186=Entry2!C186,Data!C186,"ERROR")</f>
        <v>45203</v>
      </c>
      <c r="D186" s="7" t="str">
        <f>IF(Data!D186=Entry2!D186,Data!D186,"ERROR")</f>
        <v>MG, TL</v>
      </c>
      <c r="E186" s="7" t="str">
        <f>IF(Data!E186=Entry2!E186,Data!E186,"ERROR")</f>
        <v>GB</v>
      </c>
      <c r="F186" s="7">
        <f>IF(Data!F186=Entry2!F186,Data!F186,"ERROR")</f>
        <v>1</v>
      </c>
      <c r="G186" s="7" t="str">
        <f>IF(Data!G186=Entry2!G186,Data!G186,"ERROR")</f>
        <v>LU</v>
      </c>
      <c r="H186" s="7">
        <f>IF(Data!H186=Entry2!H186,Data!H186,"ERROR")</f>
        <v>1</v>
      </c>
      <c r="I186" s="7">
        <f>IF(Data!I186=Entry2!I186,Data!I186,"ERROR")</f>
        <v>2</v>
      </c>
      <c r="J186" s="7">
        <f>IF(Data!J186=Entry2!J186,Data!J186,"ERROR")</f>
        <v>0</v>
      </c>
      <c r="K186" s="7" t="str">
        <f>IF(Data!K186=Entry2!K186,Data!K186,"ERROR")</f>
        <v>B</v>
      </c>
      <c r="L186" s="7" t="str">
        <f>IF(Data!L186=Entry2!L186,Data!L186,"ERROR")</f>
        <v>ERROR</v>
      </c>
      <c r="M186" s="7">
        <f>IF(Data!N186=Entry2!M186,Data!N186,"ERROR")</f>
        <v>0</v>
      </c>
    </row>
    <row r="187" spans="1:13" ht="13.2" hidden="1" x14ac:dyDescent="0.25">
      <c r="A187" s="7">
        <f>IF(Data!A187=Entry2!A187,Data!A187,"ERROR")</f>
        <v>4</v>
      </c>
      <c r="B187" s="7">
        <f>IF(Data!B187=Entry2!B187,Data!B187,"ERROR")</f>
        <v>2023</v>
      </c>
      <c r="C187" s="17">
        <f>IF(Data!C187=Entry2!C187,Data!C187,"ERROR")</f>
        <v>45203</v>
      </c>
      <c r="D187" s="7" t="str">
        <f>IF(Data!D187=Entry2!D187,Data!D187,"ERROR")</f>
        <v>MG, TL</v>
      </c>
      <c r="E187" s="7" t="str">
        <f>IF(Data!E187=Entry2!E187,Data!E187,"ERROR")</f>
        <v>GB</v>
      </c>
      <c r="F187" s="7">
        <f>IF(Data!F187=Entry2!F187,Data!F187,"ERROR")</f>
        <v>1</v>
      </c>
      <c r="G187" s="7" t="str">
        <f>IF(Data!G187=Entry2!G187,Data!G187,"ERROR")</f>
        <v>LU</v>
      </c>
      <c r="H187" s="7">
        <f>IF(Data!H187=Entry2!H187,Data!H187,"ERROR")</f>
        <v>2</v>
      </c>
      <c r="I187" s="7">
        <f>IF(Data!I187=Entry2!I187,Data!I187,"ERROR")</f>
        <v>2</v>
      </c>
      <c r="J187" s="7">
        <f>IF(Data!J187=Entry2!J187,Data!J187,"ERROR")</f>
        <v>0.5</v>
      </c>
      <c r="K187" s="7" t="str">
        <f>IF(Data!K187=Entry2!K187,Data!K187,"ERROR")</f>
        <v>B</v>
      </c>
      <c r="L187" s="7" t="str">
        <f>IF(Data!L187=Entry2!L187,Data!L187,"ERROR")</f>
        <v>ERROR</v>
      </c>
      <c r="M187" s="7">
        <f>IF(Data!N187=Entry2!M187,Data!N187,"ERROR")</f>
        <v>0</v>
      </c>
    </row>
    <row r="188" spans="1:13" ht="13.2" hidden="1" x14ac:dyDescent="0.25">
      <c r="A188" s="7">
        <f>IF(Data!A188=Entry2!A188,Data!A188,"ERROR")</f>
        <v>4</v>
      </c>
      <c r="B188" s="7">
        <f>IF(Data!B188=Entry2!B188,Data!B188,"ERROR")</f>
        <v>2023</v>
      </c>
      <c r="C188" s="17">
        <f>IF(Data!C188=Entry2!C188,Data!C188,"ERROR")</f>
        <v>45203</v>
      </c>
      <c r="D188" s="7" t="str">
        <f>IF(Data!D188=Entry2!D188,Data!D188,"ERROR")</f>
        <v>MG, TL</v>
      </c>
      <c r="E188" s="7" t="str">
        <f>IF(Data!E188=Entry2!E188,Data!E188,"ERROR")</f>
        <v>GB</v>
      </c>
      <c r="F188" s="7">
        <f>IF(Data!F188=Entry2!F188,Data!F188,"ERROR")</f>
        <v>1</v>
      </c>
      <c r="G188" s="7" t="str">
        <f>IF(Data!G188=Entry2!G188,Data!G188,"ERROR")</f>
        <v>LU</v>
      </c>
      <c r="H188" s="7">
        <f>IF(Data!H188=Entry2!H188,Data!H188,"ERROR")</f>
        <v>3</v>
      </c>
      <c r="I188" s="7">
        <f>IF(Data!I188=Entry2!I188,Data!I188,"ERROR")</f>
        <v>2</v>
      </c>
      <c r="J188" s="7">
        <f>IF(Data!J188=Entry2!J188,Data!J188,"ERROR")</f>
        <v>1</v>
      </c>
      <c r="K188" s="7" t="str">
        <f>IF(Data!K188=Entry2!K188,Data!K188,"ERROR")</f>
        <v>B</v>
      </c>
      <c r="L188" s="7" t="str">
        <f>IF(Data!L188=Entry2!L188,Data!L188,"ERROR")</f>
        <v>ERROR</v>
      </c>
      <c r="M188" s="7">
        <f>IF(Data!N188=Entry2!M188,Data!N188,"ERROR")</f>
        <v>0</v>
      </c>
    </row>
    <row r="189" spans="1:13" ht="13.2" hidden="1" x14ac:dyDescent="0.25">
      <c r="A189" s="7">
        <f>IF(Data!A189=Entry2!A189,Data!A189,"ERROR")</f>
        <v>4</v>
      </c>
      <c r="B189" s="7">
        <f>IF(Data!B189=Entry2!B189,Data!B189,"ERROR")</f>
        <v>2023</v>
      </c>
      <c r="C189" s="17">
        <f>IF(Data!C189=Entry2!C189,Data!C189,"ERROR")</f>
        <v>45203</v>
      </c>
      <c r="D189" s="7" t="str">
        <f>IF(Data!D189=Entry2!D189,Data!D189,"ERROR")</f>
        <v>MG, TL</v>
      </c>
      <c r="E189" s="7" t="str">
        <f>IF(Data!E189=Entry2!E189,Data!E189,"ERROR")</f>
        <v>GB</v>
      </c>
      <c r="F189" s="7">
        <f>IF(Data!F189=Entry2!F189,Data!F189,"ERROR")</f>
        <v>1</v>
      </c>
      <c r="G189" s="7" t="str">
        <f>IF(Data!G189=Entry2!G189,Data!G189,"ERROR")</f>
        <v>LU</v>
      </c>
      <c r="H189" s="7">
        <f>IF(Data!H189=Entry2!H189,Data!H189,"ERROR")</f>
        <v>3</v>
      </c>
      <c r="I189" s="7">
        <f>IF(Data!I189=Entry2!I189,Data!I189,"ERROR")</f>
        <v>2</v>
      </c>
      <c r="J189" s="7">
        <f>IF(Data!J189=Entry2!J189,Data!J189,"ERROR")</f>
        <v>1</v>
      </c>
      <c r="K189" s="7" t="str">
        <f>IF(Data!K189=Entry2!K189,Data!K189,"ERROR")</f>
        <v>EUPMAD</v>
      </c>
      <c r="L189" s="7" t="e">
        <f>IF(Data!L189=Entry2!L189,Data!L189,"ERROR")</f>
        <v>#N/A</v>
      </c>
      <c r="M189" s="7">
        <f>IF(Data!N189=Entry2!M189,Data!N189,"ERROR")</f>
        <v>0</v>
      </c>
    </row>
    <row r="190" spans="1:13" ht="13.2" hidden="1" x14ac:dyDescent="0.25">
      <c r="A190" s="7">
        <f>IF(Data!A190=Entry2!A190,Data!A190,"ERROR")</f>
        <v>4</v>
      </c>
      <c r="B190" s="7">
        <f>IF(Data!B190=Entry2!B190,Data!B190,"ERROR")</f>
        <v>2023</v>
      </c>
      <c r="C190" s="17">
        <f>IF(Data!C190=Entry2!C190,Data!C190,"ERROR")</f>
        <v>45203</v>
      </c>
      <c r="D190" s="7" t="str">
        <f>IF(Data!D190=Entry2!D190,Data!D190,"ERROR")</f>
        <v>MG, TL</v>
      </c>
      <c r="E190" s="7" t="str">
        <f>IF(Data!E190=Entry2!E190,Data!E190,"ERROR")</f>
        <v>GB</v>
      </c>
      <c r="F190" s="7">
        <f>IF(Data!F190=Entry2!F190,Data!F190,"ERROR")</f>
        <v>1</v>
      </c>
      <c r="G190" s="7" t="str">
        <f>IF(Data!G190=Entry2!G190,Data!G190,"ERROR")</f>
        <v>LU</v>
      </c>
      <c r="H190" s="7">
        <f>IF(Data!H190=Entry2!H190,Data!H190,"ERROR")</f>
        <v>4</v>
      </c>
      <c r="I190" s="7">
        <f>IF(Data!I190=Entry2!I190,Data!I190,"ERROR")</f>
        <v>2</v>
      </c>
      <c r="J190" s="7">
        <f>IF(Data!J190=Entry2!J190,Data!J190,"ERROR")</f>
        <v>1.5</v>
      </c>
      <c r="K190" s="7" t="str">
        <f>IF(Data!K190=Entry2!K190,Data!K190,"ERROR")</f>
        <v>B</v>
      </c>
      <c r="L190" s="7" t="str">
        <f>IF(Data!L190=Entry2!L190,Data!L190,"ERROR")</f>
        <v>ERROR</v>
      </c>
      <c r="M190" s="7">
        <f>IF(Data!N190=Entry2!M190,Data!N190,"ERROR")</f>
        <v>0</v>
      </c>
    </row>
    <row r="191" spans="1:13" ht="13.2" hidden="1" x14ac:dyDescent="0.25">
      <c r="A191" s="7">
        <f>IF(Data!A191=Entry2!A191,Data!A191,"ERROR")</f>
        <v>4</v>
      </c>
      <c r="B191" s="7">
        <f>IF(Data!B191=Entry2!B191,Data!B191,"ERROR")</f>
        <v>2023</v>
      </c>
      <c r="C191" s="17">
        <f>IF(Data!C191=Entry2!C191,Data!C191,"ERROR")</f>
        <v>45203</v>
      </c>
      <c r="D191" s="7" t="str">
        <f>IF(Data!D191=Entry2!D191,Data!D191,"ERROR")</f>
        <v>MG, TL</v>
      </c>
      <c r="E191" s="7" t="str">
        <f>IF(Data!E191=Entry2!E191,Data!E191,"ERROR")</f>
        <v>GB</v>
      </c>
      <c r="F191" s="7">
        <f>IF(Data!F191=Entry2!F191,Data!F191,"ERROR")</f>
        <v>1</v>
      </c>
      <c r="G191" s="7" t="str">
        <f>IF(Data!G191=Entry2!G191,Data!G191,"ERROR")</f>
        <v>LU</v>
      </c>
      <c r="H191" s="7">
        <f>IF(Data!H191=Entry2!H191,Data!H191,"ERROR")</f>
        <v>4</v>
      </c>
      <c r="I191" s="7">
        <f>IF(Data!I191=Entry2!I191,Data!I191,"ERROR")</f>
        <v>2</v>
      </c>
      <c r="J191" s="7">
        <f>IF(Data!J191=Entry2!J191,Data!J191,"ERROR")</f>
        <v>1.5</v>
      </c>
      <c r="K191" s="7" t="str">
        <f>IF(Data!K191=Entry2!K191,Data!K191,"ERROR")</f>
        <v>EUPMAD</v>
      </c>
      <c r="L191" s="7" t="e">
        <f>IF(Data!L191=Entry2!L191,Data!L191,"ERROR")</f>
        <v>#N/A</v>
      </c>
      <c r="M191" s="7">
        <f>IF(Data!N191=Entry2!M191,Data!N191,"ERROR")</f>
        <v>0</v>
      </c>
    </row>
    <row r="192" spans="1:13" ht="13.2" hidden="1" x14ac:dyDescent="0.25">
      <c r="A192" s="7">
        <f>IF(Data!A192=Entry2!A192,Data!A192,"ERROR")</f>
        <v>4</v>
      </c>
      <c r="B192" s="7">
        <f>IF(Data!B192=Entry2!B192,Data!B192,"ERROR")</f>
        <v>2023</v>
      </c>
      <c r="C192" s="17">
        <f>IF(Data!C192=Entry2!C192,Data!C192,"ERROR")</f>
        <v>45203</v>
      </c>
      <c r="D192" s="7" t="str">
        <f>IF(Data!D192=Entry2!D192,Data!D192,"ERROR")</f>
        <v>MG, TL</v>
      </c>
      <c r="E192" s="7" t="str">
        <f>IF(Data!E192=Entry2!E192,Data!E192,"ERROR")</f>
        <v>GB</v>
      </c>
      <c r="F192" s="7">
        <f>IF(Data!F192=Entry2!F192,Data!F192,"ERROR")</f>
        <v>1</v>
      </c>
      <c r="G192" s="7" t="str">
        <f>IF(Data!G192=Entry2!G192,Data!G192,"ERROR")</f>
        <v>LU</v>
      </c>
      <c r="H192" s="7">
        <f>IF(Data!H192=Entry2!H192,Data!H192,"ERROR")</f>
        <v>5</v>
      </c>
      <c r="I192" s="7">
        <f>IF(Data!I192=Entry2!I192,Data!I192,"ERROR")</f>
        <v>2</v>
      </c>
      <c r="J192" s="7">
        <f>IF(Data!J192=Entry2!J192,Data!J192,"ERROR")</f>
        <v>2.5</v>
      </c>
      <c r="K192" s="7" t="str">
        <f>IF(Data!K192=Entry2!K192,Data!K192,"ERROR")</f>
        <v>L</v>
      </c>
      <c r="L192" s="7" t="str">
        <f>IF(Data!L192=Entry2!L192,Data!L192,"ERROR")</f>
        <v>ERROR</v>
      </c>
      <c r="M192" s="7">
        <f>IF(Data!N192=Entry2!M192,Data!N192,"ERROR")</f>
        <v>0</v>
      </c>
    </row>
    <row r="193" spans="1:13" ht="13.2" hidden="1" x14ac:dyDescent="0.25">
      <c r="A193" s="7">
        <f>IF(Data!A193=Entry2!A193,Data!A193,"ERROR")</f>
        <v>4</v>
      </c>
      <c r="B193" s="7">
        <f>IF(Data!B193=Entry2!B193,Data!B193,"ERROR")</f>
        <v>2023</v>
      </c>
      <c r="C193" s="17">
        <f>IF(Data!C193=Entry2!C193,Data!C193,"ERROR")</f>
        <v>45203</v>
      </c>
      <c r="D193" s="7" t="str">
        <f>IF(Data!D193=Entry2!D193,Data!D193,"ERROR")</f>
        <v>MG, TL</v>
      </c>
      <c r="E193" s="7" t="str">
        <f>IF(Data!E193=Entry2!E193,Data!E193,"ERROR")</f>
        <v>GB</v>
      </c>
      <c r="F193" s="7">
        <f>IF(Data!F193=Entry2!F193,Data!F193,"ERROR")</f>
        <v>1</v>
      </c>
      <c r="G193" s="7" t="str">
        <f>IF(Data!G193=Entry2!G193,Data!G193,"ERROR")</f>
        <v>LU</v>
      </c>
      <c r="H193" s="7">
        <f>IF(Data!H193=Entry2!H193,Data!H193,"ERROR")</f>
        <v>5</v>
      </c>
      <c r="I193" s="7">
        <f>IF(Data!I193=Entry2!I193,Data!I193,"ERROR")</f>
        <v>2</v>
      </c>
      <c r="J193" s="7">
        <f>IF(Data!J193=Entry2!J193,Data!J193,"ERROR")</f>
        <v>2.5</v>
      </c>
      <c r="K193" s="7" t="str">
        <f>IF(Data!K193=Entry2!K193,Data!K193,"ERROR")</f>
        <v>OPULIT</v>
      </c>
      <c r="L193" s="7" t="str">
        <f>IF(Data!L193=Entry2!L193,Data!L193,"ERROR")</f>
        <v>ERROR</v>
      </c>
      <c r="M193" s="7">
        <f>IF(Data!N193=Entry2!M193,Data!N193,"ERROR")</f>
        <v>0</v>
      </c>
    </row>
    <row r="194" spans="1:13" ht="13.2" hidden="1" x14ac:dyDescent="0.25">
      <c r="A194" s="7">
        <f>IF(Data!A194=Entry2!A194,Data!A194,"ERROR")</f>
        <v>4</v>
      </c>
      <c r="B194" s="7">
        <f>IF(Data!B194=Entry2!B194,Data!B194,"ERROR")</f>
        <v>2023</v>
      </c>
      <c r="C194" s="17">
        <f>IF(Data!C194=Entry2!C194,Data!C194,"ERROR")</f>
        <v>45203</v>
      </c>
      <c r="D194" s="7" t="str">
        <f>IF(Data!D194=Entry2!D194,Data!D194,"ERROR")</f>
        <v>MG, TL</v>
      </c>
      <c r="E194" s="7" t="str">
        <f>IF(Data!E194=Entry2!E194,Data!E194,"ERROR")</f>
        <v>GB</v>
      </c>
      <c r="F194" s="7">
        <f>IF(Data!F194=Entry2!F194,Data!F194,"ERROR")</f>
        <v>1</v>
      </c>
      <c r="G194" s="7" t="str">
        <f>IF(Data!G194=Entry2!G194,Data!G194,"ERROR")</f>
        <v>LU</v>
      </c>
      <c r="H194" s="7">
        <f>IF(Data!H194=Entry2!H194,Data!H194,"ERROR")</f>
        <v>6</v>
      </c>
      <c r="I194" s="7">
        <f>IF(Data!I194=Entry2!I194,Data!I194,"ERROR")</f>
        <v>2</v>
      </c>
      <c r="J194" s="7">
        <f>IF(Data!J194=Entry2!J194,Data!J194,"ERROR")</f>
        <v>3</v>
      </c>
      <c r="K194" s="7" t="str">
        <f>IF(Data!K194=Entry2!K194,Data!K194,"ERROR")</f>
        <v>B</v>
      </c>
      <c r="L194" s="7" t="str">
        <f>IF(Data!L194=Entry2!L194,Data!L194,"ERROR")</f>
        <v>ERROR</v>
      </c>
      <c r="M194" s="7">
        <f>IF(Data!N194=Entry2!M194,Data!N194,"ERROR")</f>
        <v>0</v>
      </c>
    </row>
    <row r="195" spans="1:13" ht="13.2" hidden="1" x14ac:dyDescent="0.25">
      <c r="A195" s="7">
        <f>IF(Data!A195=Entry2!A195,Data!A195,"ERROR")</f>
        <v>4</v>
      </c>
      <c r="B195" s="7">
        <f>IF(Data!B195=Entry2!B195,Data!B195,"ERROR")</f>
        <v>2023</v>
      </c>
      <c r="C195" s="17">
        <f>IF(Data!C195=Entry2!C195,Data!C195,"ERROR")</f>
        <v>45203</v>
      </c>
      <c r="D195" s="7" t="str">
        <f>IF(Data!D195=Entry2!D195,Data!D195,"ERROR")</f>
        <v>MG, TL</v>
      </c>
      <c r="E195" s="7" t="str">
        <f>IF(Data!E195=Entry2!E195,Data!E195,"ERROR")</f>
        <v>GB</v>
      </c>
      <c r="F195" s="7">
        <f>IF(Data!F195=Entry2!F195,Data!F195,"ERROR")</f>
        <v>1</v>
      </c>
      <c r="G195" s="7" t="str">
        <f>IF(Data!G195=Entry2!G195,Data!G195,"ERROR")</f>
        <v>LU</v>
      </c>
      <c r="H195" s="7">
        <f>IF(Data!H195=Entry2!H195,Data!H195,"ERROR")</f>
        <v>7</v>
      </c>
      <c r="I195" s="7">
        <f>IF(Data!I195=Entry2!I195,Data!I195,"ERROR")</f>
        <v>2</v>
      </c>
      <c r="J195" s="7">
        <f>IF(Data!J195=Entry2!J195,Data!J195,"ERROR")</f>
        <v>3.5</v>
      </c>
      <c r="K195" s="7" t="str">
        <f>IF(Data!K195=Entry2!K195,Data!K195,"ERROR")</f>
        <v>B</v>
      </c>
      <c r="L195" s="7" t="str">
        <f>IF(Data!L195=Entry2!L195,Data!L195,"ERROR")</f>
        <v>ERROR</v>
      </c>
      <c r="M195" s="7">
        <f>IF(Data!N195=Entry2!M195,Data!N195,"ERROR")</f>
        <v>0</v>
      </c>
    </row>
    <row r="196" spans="1:13" ht="13.2" hidden="1" x14ac:dyDescent="0.25">
      <c r="A196" s="7">
        <f>IF(Data!A196=Entry2!A196,Data!A196,"ERROR")</f>
        <v>4</v>
      </c>
      <c r="B196" s="7">
        <f>IF(Data!B196=Entry2!B196,Data!B196,"ERROR")</f>
        <v>2023</v>
      </c>
      <c r="C196" s="17">
        <f>IF(Data!C196=Entry2!C196,Data!C196,"ERROR")</f>
        <v>45203</v>
      </c>
      <c r="D196" s="7" t="str">
        <f>IF(Data!D196=Entry2!D196,Data!D196,"ERROR")</f>
        <v>MG, TL</v>
      </c>
      <c r="E196" s="7" t="str">
        <f>IF(Data!E196=Entry2!E196,Data!E196,"ERROR")</f>
        <v>GB</v>
      </c>
      <c r="F196" s="7">
        <f>IF(Data!F196=Entry2!F196,Data!F196,"ERROR")</f>
        <v>1</v>
      </c>
      <c r="G196" s="7" t="str">
        <f>IF(Data!G196=Entry2!G196,Data!G196,"ERROR")</f>
        <v>LU</v>
      </c>
      <c r="H196" s="7">
        <f>IF(Data!H196=Entry2!H196,Data!H196,"ERROR")</f>
        <v>8</v>
      </c>
      <c r="I196" s="7">
        <f>IF(Data!I196=Entry2!I196,Data!I196,"ERROR")</f>
        <v>2</v>
      </c>
      <c r="J196" s="7">
        <f>IF(Data!J196=Entry2!J196,Data!J196,"ERROR")</f>
        <v>4</v>
      </c>
      <c r="K196" s="7" t="str">
        <f>IF(Data!K196=Entry2!K196,Data!K196,"ERROR")</f>
        <v>L</v>
      </c>
      <c r="L196" s="7" t="str">
        <f>IF(Data!L196=Entry2!L196,Data!L196,"ERROR")</f>
        <v>ERROR</v>
      </c>
      <c r="M196" s="7">
        <f>IF(Data!N196=Entry2!M196,Data!N196,"ERROR")</f>
        <v>0</v>
      </c>
    </row>
    <row r="197" spans="1:13" ht="13.2" hidden="1" x14ac:dyDescent="0.25">
      <c r="A197" s="7">
        <f>IF(Data!A197=Entry2!A197,Data!A197,"ERROR")</f>
        <v>4</v>
      </c>
      <c r="B197" s="7">
        <f>IF(Data!B197=Entry2!B197,Data!B197,"ERROR")</f>
        <v>2023</v>
      </c>
      <c r="C197" s="17">
        <f>IF(Data!C197=Entry2!C197,Data!C197,"ERROR")</f>
        <v>45203</v>
      </c>
      <c r="D197" s="7" t="str">
        <f>IF(Data!D197=Entry2!D197,Data!D197,"ERROR")</f>
        <v>MG, TL</v>
      </c>
      <c r="E197" s="7" t="str">
        <f>IF(Data!E197=Entry2!E197,Data!E197,"ERROR")</f>
        <v>GB</v>
      </c>
      <c r="F197" s="7">
        <f>IF(Data!F197=Entry2!F197,Data!F197,"ERROR")</f>
        <v>1</v>
      </c>
      <c r="G197" s="7" t="str">
        <f>IF(Data!G197=Entry2!G197,Data!G197,"ERROR")</f>
        <v>LU</v>
      </c>
      <c r="H197" s="7">
        <f>IF(Data!H197=Entry2!H197,Data!H197,"ERROR")</f>
        <v>8</v>
      </c>
      <c r="I197" s="7">
        <f>IF(Data!I197=Entry2!I197,Data!I197,"ERROR")</f>
        <v>2</v>
      </c>
      <c r="J197" s="7">
        <f>IF(Data!J197=Entry2!J197,Data!J197,"ERROR")</f>
        <v>4</v>
      </c>
      <c r="K197" s="7" t="str">
        <f>IF(Data!K197=Entry2!K197,Data!K197,"ERROR")</f>
        <v>EUPMAD</v>
      </c>
      <c r="L197" s="7" t="e">
        <f>IF(Data!L197=Entry2!L197,Data!L197,"ERROR")</f>
        <v>#N/A</v>
      </c>
      <c r="M197" s="7">
        <f>IF(Data!N197=Entry2!M197,Data!N197,"ERROR")</f>
        <v>0</v>
      </c>
    </row>
    <row r="198" spans="1:13" ht="13.2" hidden="1" x14ac:dyDescent="0.25">
      <c r="A198" s="7">
        <f>IF(Data!A198=Entry2!A198,Data!A198,"ERROR")</f>
        <v>4</v>
      </c>
      <c r="B198" s="7">
        <f>IF(Data!B198=Entry2!B198,Data!B198,"ERROR")</f>
        <v>2023</v>
      </c>
      <c r="C198" s="17">
        <f>IF(Data!C198=Entry2!C198,Data!C198,"ERROR")</f>
        <v>45203</v>
      </c>
      <c r="D198" s="7" t="str">
        <f>IF(Data!D198=Entry2!D198,Data!D198,"ERROR")</f>
        <v>MG, TL</v>
      </c>
      <c r="E198" s="7" t="str">
        <f>IF(Data!E198=Entry2!E198,Data!E198,"ERROR")</f>
        <v>GB</v>
      </c>
      <c r="F198" s="7">
        <f>IF(Data!F198=Entry2!F198,Data!F198,"ERROR")</f>
        <v>1</v>
      </c>
      <c r="G198" s="7" t="str">
        <f>IF(Data!G198=Entry2!G198,Data!G198,"ERROR")</f>
        <v>LU</v>
      </c>
      <c r="H198" s="7">
        <f>IF(Data!H198=Entry2!H198,Data!H198,"ERROR")</f>
        <v>9</v>
      </c>
      <c r="I198" s="7">
        <f>IF(Data!I198=Entry2!I198,Data!I198,"ERROR")</f>
        <v>2</v>
      </c>
      <c r="J198" s="7">
        <f>IF(Data!J198=Entry2!J198,Data!J198,"ERROR")</f>
        <v>4.5</v>
      </c>
      <c r="K198" s="7" t="str">
        <f>IF(Data!K198=Entry2!K198,Data!K198,"ERROR")</f>
        <v>L</v>
      </c>
      <c r="L198" s="7" t="str">
        <f>IF(Data!L198=Entry2!L198,Data!L198,"ERROR")</f>
        <v>ERROR</v>
      </c>
      <c r="M198" s="7">
        <f>IF(Data!N198=Entry2!M198,Data!N198,"ERROR")</f>
        <v>0</v>
      </c>
    </row>
    <row r="199" spans="1:13" ht="13.2" hidden="1" x14ac:dyDescent="0.25">
      <c r="A199" s="7">
        <f>IF(Data!A199=Entry2!A199,Data!A199,"ERROR")</f>
        <v>4</v>
      </c>
      <c r="B199" s="7">
        <f>IF(Data!B199=Entry2!B199,Data!B199,"ERROR")</f>
        <v>2023</v>
      </c>
      <c r="C199" s="17">
        <f>IF(Data!C199=Entry2!C199,Data!C199,"ERROR")</f>
        <v>45203</v>
      </c>
      <c r="D199" s="7" t="str">
        <f>IF(Data!D199=Entry2!D199,Data!D199,"ERROR")</f>
        <v>MG, TL</v>
      </c>
      <c r="E199" s="7" t="str">
        <f>IF(Data!E199=Entry2!E199,Data!E199,"ERROR")</f>
        <v>GB</v>
      </c>
      <c r="F199" s="7">
        <f>IF(Data!F199=Entry2!F199,Data!F199,"ERROR")</f>
        <v>1</v>
      </c>
      <c r="G199" s="7" t="str">
        <f>IF(Data!G199=Entry2!G199,Data!G199,"ERROR")</f>
        <v>LU</v>
      </c>
      <c r="H199" s="7">
        <f>IF(Data!H199=Entry2!H199,Data!H199,"ERROR")</f>
        <v>10</v>
      </c>
      <c r="I199" s="7">
        <f>IF(Data!I199=Entry2!I199,Data!I199,"ERROR")</f>
        <v>2</v>
      </c>
      <c r="J199" s="7">
        <f>IF(Data!J199=Entry2!J199,Data!J199,"ERROR")</f>
        <v>5</v>
      </c>
      <c r="K199" s="7" t="str">
        <f>IF(Data!K199=Entry2!K199,Data!K199,"ERROR")</f>
        <v>B</v>
      </c>
      <c r="L199" s="7" t="str">
        <f>IF(Data!L199=Entry2!L199,Data!L199,"ERROR")</f>
        <v>ERROR</v>
      </c>
      <c r="M199" s="7">
        <f>IF(Data!N199=Entry2!M199,Data!N199,"ERROR")</f>
        <v>0</v>
      </c>
    </row>
    <row r="200" spans="1:13" ht="13.2" hidden="1" x14ac:dyDescent="0.25">
      <c r="A200" s="7">
        <f>IF(Data!A200=Entry2!A200,Data!A200,"ERROR")</f>
        <v>4</v>
      </c>
      <c r="B200" s="7">
        <f>IF(Data!B200=Entry2!B200,Data!B200,"ERROR")</f>
        <v>2023</v>
      </c>
      <c r="C200" s="17">
        <f>IF(Data!C200=Entry2!C200,Data!C200,"ERROR")</f>
        <v>45203</v>
      </c>
      <c r="D200" s="7" t="str">
        <f>IF(Data!D200=Entry2!D200,Data!D200,"ERROR")</f>
        <v>MG, TL</v>
      </c>
      <c r="E200" s="7" t="str">
        <f>IF(Data!E200=Entry2!E200,Data!E200,"ERROR")</f>
        <v>GB</v>
      </c>
      <c r="F200" s="7">
        <f>IF(Data!F200=Entry2!F200,Data!F200,"ERROR")</f>
        <v>1</v>
      </c>
      <c r="G200" s="7" t="str">
        <f>IF(Data!G200=Entry2!G200,Data!G200,"ERROR")</f>
        <v>LU</v>
      </c>
      <c r="H200" s="7">
        <f>IF(Data!H200=Entry2!H200,Data!H200,"ERROR")</f>
        <v>10</v>
      </c>
      <c r="I200" s="7">
        <f>IF(Data!I200=Entry2!I200,Data!I200,"ERROR")</f>
        <v>2</v>
      </c>
      <c r="J200" s="7">
        <f>IF(Data!J200=Entry2!J200,Data!J200,"ERROR")</f>
        <v>5</v>
      </c>
      <c r="K200" s="7" t="str">
        <f>IF(Data!K200=Entry2!K200,Data!K200,"ERROR")</f>
        <v>EUPMAD</v>
      </c>
      <c r="L200" s="7" t="e">
        <f>IF(Data!L200=Entry2!L200,Data!L200,"ERROR")</f>
        <v>#N/A</v>
      </c>
      <c r="M200" s="7">
        <f>IF(Data!N200=Entry2!M200,Data!N200,"ERROR")</f>
        <v>0</v>
      </c>
    </row>
    <row r="201" spans="1:13" ht="13.2" hidden="1" x14ac:dyDescent="0.25">
      <c r="A201" s="7">
        <f>IF(Data!A201=Entry2!A201,Data!A201,"ERROR")</f>
        <v>4</v>
      </c>
      <c r="B201" s="7">
        <f>IF(Data!B201=Entry2!B201,Data!B201,"ERROR")</f>
        <v>2023</v>
      </c>
      <c r="C201" s="17">
        <f>IF(Data!C201=Entry2!C201,Data!C201,"ERROR")</f>
        <v>45203</v>
      </c>
      <c r="D201" s="7" t="str">
        <f>IF(Data!D201=Entry2!D201,Data!D201,"ERROR")</f>
        <v>MG, TL</v>
      </c>
      <c r="E201" s="7" t="str">
        <f>IF(Data!E201=Entry2!E201,Data!E201,"ERROR")</f>
        <v>GB</v>
      </c>
      <c r="F201" s="7">
        <f>IF(Data!F201=Entry2!F201,Data!F201,"ERROR")</f>
        <v>1</v>
      </c>
      <c r="G201" s="7" t="str">
        <f>IF(Data!G201=Entry2!G201,Data!G201,"ERROR")</f>
        <v>LU</v>
      </c>
      <c r="H201" s="7">
        <f>IF(Data!H201=Entry2!H201,Data!H201,"ERROR")</f>
        <v>11</v>
      </c>
      <c r="I201" s="7">
        <f>IF(Data!I201=Entry2!I201,Data!I201,"ERROR")</f>
        <v>2</v>
      </c>
      <c r="J201" s="7">
        <f>IF(Data!J201=Entry2!J201,Data!J201,"ERROR")</f>
        <v>5.5</v>
      </c>
      <c r="K201" s="7" t="str">
        <f>IF(Data!K201=Entry2!K201,Data!K201,"ERROR")</f>
        <v>B</v>
      </c>
      <c r="L201" s="7" t="str">
        <f>IF(Data!L201=Entry2!L201,Data!L201,"ERROR")</f>
        <v>ERROR</v>
      </c>
      <c r="M201" s="7">
        <f>IF(Data!N201=Entry2!M201,Data!N201,"ERROR")</f>
        <v>0</v>
      </c>
    </row>
    <row r="202" spans="1:13" ht="13.2" hidden="1" x14ac:dyDescent="0.25">
      <c r="A202" s="7">
        <f>IF(Data!A202=Entry2!A202,Data!A202,"ERROR")</f>
        <v>4</v>
      </c>
      <c r="B202" s="7">
        <f>IF(Data!B202=Entry2!B202,Data!B202,"ERROR")</f>
        <v>2023</v>
      </c>
      <c r="C202" s="17">
        <f>IF(Data!C202=Entry2!C202,Data!C202,"ERROR")</f>
        <v>45203</v>
      </c>
      <c r="D202" s="7" t="str">
        <f>IF(Data!D202=Entry2!D202,Data!D202,"ERROR")</f>
        <v>MG, TL</v>
      </c>
      <c r="E202" s="7" t="str">
        <f>IF(Data!E202=Entry2!E202,Data!E202,"ERROR")</f>
        <v>GB</v>
      </c>
      <c r="F202" s="7">
        <f>IF(Data!F202=Entry2!F202,Data!F202,"ERROR")</f>
        <v>1</v>
      </c>
      <c r="G202" s="7" t="str">
        <f>IF(Data!G202=Entry2!G202,Data!G202,"ERROR")</f>
        <v>LU</v>
      </c>
      <c r="H202" s="7">
        <f>IF(Data!H202=Entry2!H202,Data!H202,"ERROR")</f>
        <v>11</v>
      </c>
      <c r="I202" s="7">
        <f>IF(Data!I202=Entry2!I202,Data!I202,"ERROR")</f>
        <v>2</v>
      </c>
      <c r="J202" s="7">
        <f>IF(Data!J202=Entry2!J202,Data!J202,"ERROR")</f>
        <v>5.5</v>
      </c>
      <c r="K202" s="7" t="str">
        <f>IF(Data!K202=Entry2!K202,Data!K202,"ERROR")</f>
        <v>EUPMAD</v>
      </c>
      <c r="L202" s="7" t="e">
        <f>IF(Data!L202=Entry2!L202,Data!L202,"ERROR")</f>
        <v>#N/A</v>
      </c>
      <c r="M202" s="7">
        <f>IF(Data!N202=Entry2!M202,Data!N202,"ERROR")</f>
        <v>0</v>
      </c>
    </row>
    <row r="203" spans="1:13" ht="13.2" hidden="1" x14ac:dyDescent="0.25">
      <c r="A203" s="7">
        <f>IF(Data!A203=Entry2!A203,Data!A203,"ERROR")</f>
        <v>4</v>
      </c>
      <c r="B203" s="7">
        <f>IF(Data!B203=Entry2!B203,Data!B203,"ERROR")</f>
        <v>2023</v>
      </c>
      <c r="C203" s="17">
        <f>IF(Data!C203=Entry2!C203,Data!C203,"ERROR")</f>
        <v>45203</v>
      </c>
      <c r="D203" s="7" t="str">
        <f>IF(Data!D203=Entry2!D203,Data!D203,"ERROR")</f>
        <v>MG, TL</v>
      </c>
      <c r="E203" s="7" t="str">
        <f>IF(Data!E203=Entry2!E203,Data!E203,"ERROR")</f>
        <v>GB</v>
      </c>
      <c r="F203" s="7">
        <f>IF(Data!F203=Entry2!F203,Data!F203,"ERROR")</f>
        <v>1</v>
      </c>
      <c r="G203" s="7" t="str">
        <f>IF(Data!G203=Entry2!G203,Data!G203,"ERROR")</f>
        <v>LU</v>
      </c>
      <c r="H203" s="7">
        <f>IF(Data!H203=Entry2!H203,Data!H203,"ERROR")</f>
        <v>12</v>
      </c>
      <c r="I203" s="7">
        <f>IF(Data!I203=Entry2!I203,Data!I203,"ERROR")</f>
        <v>2</v>
      </c>
      <c r="J203" s="7">
        <f>IF(Data!J203=Entry2!J203,Data!J203,"ERROR")</f>
        <v>6</v>
      </c>
      <c r="K203" s="7" t="str">
        <f>IF(Data!K203=Entry2!K203,Data!K203,"ERROR")</f>
        <v>B</v>
      </c>
      <c r="L203" s="7" t="str">
        <f>IF(Data!L203=Entry2!L203,Data!L203,"ERROR")</f>
        <v>ERROR</v>
      </c>
      <c r="M203" s="7">
        <f>IF(Data!N203=Entry2!M203,Data!N203,"ERROR")</f>
        <v>0</v>
      </c>
    </row>
    <row r="204" spans="1:13" ht="13.2" hidden="1" x14ac:dyDescent="0.25">
      <c r="A204" s="7">
        <f>IF(Data!A204=Entry2!A204,Data!A204,"ERROR")</f>
        <v>4</v>
      </c>
      <c r="B204" s="7">
        <f>IF(Data!B204=Entry2!B204,Data!B204,"ERROR")</f>
        <v>2023</v>
      </c>
      <c r="C204" s="17">
        <f>IF(Data!C204=Entry2!C204,Data!C204,"ERROR")</f>
        <v>45203</v>
      </c>
      <c r="D204" s="7" t="str">
        <f>IF(Data!D204=Entry2!D204,Data!D204,"ERROR")</f>
        <v>MG, TL</v>
      </c>
      <c r="E204" s="7" t="str">
        <f>IF(Data!E204=Entry2!E204,Data!E204,"ERROR")</f>
        <v>GB</v>
      </c>
      <c r="F204" s="7">
        <f>IF(Data!F204=Entry2!F204,Data!F204,"ERROR")</f>
        <v>1</v>
      </c>
      <c r="G204" s="7" t="str">
        <f>IF(Data!G204=Entry2!G204,Data!G204,"ERROR")</f>
        <v>LU</v>
      </c>
      <c r="H204" s="7">
        <f>IF(Data!H204=Entry2!H204,Data!H204,"ERROR")</f>
        <v>13</v>
      </c>
      <c r="I204" s="7">
        <f>IF(Data!I204=Entry2!I204,Data!I204,"ERROR")</f>
        <v>2</v>
      </c>
      <c r="J204" s="7">
        <f>IF(Data!J204=Entry2!J204,Data!J204,"ERROR")</f>
        <v>6.5</v>
      </c>
      <c r="K204" s="7" t="str">
        <f>IF(Data!K204=Entry2!K204,Data!K204,"ERROR")</f>
        <v>L</v>
      </c>
      <c r="L204" s="7" t="str">
        <f>IF(Data!L204=Entry2!L204,Data!L204,"ERROR")</f>
        <v>ERROR</v>
      </c>
      <c r="M204" s="7">
        <f>IF(Data!N204=Entry2!M204,Data!N204,"ERROR")</f>
        <v>0</v>
      </c>
    </row>
    <row r="205" spans="1:13" ht="13.2" hidden="1" x14ac:dyDescent="0.25">
      <c r="A205" s="7">
        <f>IF(Data!A205=Entry2!A205,Data!A205,"ERROR")</f>
        <v>4</v>
      </c>
      <c r="B205" s="7">
        <f>IF(Data!B205=Entry2!B205,Data!B205,"ERROR")</f>
        <v>2023</v>
      </c>
      <c r="C205" s="17">
        <f>IF(Data!C205=Entry2!C205,Data!C205,"ERROR")</f>
        <v>45203</v>
      </c>
      <c r="D205" s="7" t="str">
        <f>IF(Data!D205=Entry2!D205,Data!D205,"ERROR")</f>
        <v>MG, TL</v>
      </c>
      <c r="E205" s="7" t="str">
        <f>IF(Data!E205=Entry2!E205,Data!E205,"ERROR")</f>
        <v>GB</v>
      </c>
      <c r="F205" s="7">
        <f>IF(Data!F205=Entry2!F205,Data!F205,"ERROR")</f>
        <v>1</v>
      </c>
      <c r="G205" s="7" t="str">
        <f>IF(Data!G205=Entry2!G205,Data!G205,"ERROR")</f>
        <v>LU</v>
      </c>
      <c r="H205" s="7">
        <f>IF(Data!H205=Entry2!H205,Data!H205,"ERROR")</f>
        <v>13</v>
      </c>
      <c r="I205" s="7">
        <f>IF(Data!I205=Entry2!I205,Data!I205,"ERROR")</f>
        <v>2</v>
      </c>
      <c r="J205" s="7">
        <f>IF(Data!J205=Entry2!J205,Data!J205,"ERROR")</f>
        <v>6.5</v>
      </c>
      <c r="K205" s="7" t="str">
        <f>IF(Data!K205=Entry2!K205,Data!K205,"ERROR")</f>
        <v>DEIFAS</v>
      </c>
      <c r="L205" s="7" t="str">
        <f>IF(Data!L205=Entry2!L205,Data!L205,"ERROR")</f>
        <v>ERROR</v>
      </c>
      <c r="M205" s="7">
        <f>IF(Data!N205=Entry2!M205,Data!N205,"ERROR")</f>
        <v>0</v>
      </c>
    </row>
    <row r="206" spans="1:13" ht="13.2" hidden="1" x14ac:dyDescent="0.25">
      <c r="A206" s="7">
        <f>IF(Data!A206=Entry2!A206,Data!A206,"ERROR")</f>
        <v>4</v>
      </c>
      <c r="B206" s="7">
        <f>IF(Data!B206=Entry2!B206,Data!B206,"ERROR")</f>
        <v>2023</v>
      </c>
      <c r="C206" s="17">
        <f>IF(Data!C206=Entry2!C206,Data!C206,"ERROR")</f>
        <v>45203</v>
      </c>
      <c r="D206" s="7" t="str">
        <f>IF(Data!D206=Entry2!D206,Data!D206,"ERROR")</f>
        <v>MG, TL</v>
      </c>
      <c r="E206" s="7" t="str">
        <f>IF(Data!E206=Entry2!E206,Data!E206,"ERROR")</f>
        <v>GB</v>
      </c>
      <c r="F206" s="7">
        <f>IF(Data!F206=Entry2!F206,Data!F206,"ERROR")</f>
        <v>1</v>
      </c>
      <c r="G206" s="7" t="str">
        <f>IF(Data!G206=Entry2!G206,Data!G206,"ERROR")</f>
        <v>LU</v>
      </c>
      <c r="H206" s="7">
        <f>IF(Data!H206=Entry2!H206,Data!H206,"ERROR")</f>
        <v>14</v>
      </c>
      <c r="I206" s="7">
        <f>IF(Data!I206=Entry2!I206,Data!I206,"ERROR")</f>
        <v>2</v>
      </c>
      <c r="J206" s="7">
        <f>IF(Data!J206=Entry2!J206,Data!J206,"ERROR")</f>
        <v>7</v>
      </c>
      <c r="K206" s="7" t="str">
        <f>IF(Data!K206=Entry2!K206,Data!K206,"ERROR")</f>
        <v>L</v>
      </c>
      <c r="L206" s="7" t="str">
        <f>IF(Data!L206=Entry2!L206,Data!L206,"ERROR")</f>
        <v>ERROR</v>
      </c>
      <c r="M206" s="7">
        <f>IF(Data!N206=Entry2!M206,Data!N206,"ERROR")</f>
        <v>0</v>
      </c>
    </row>
    <row r="207" spans="1:13" ht="13.2" hidden="1" x14ac:dyDescent="0.25">
      <c r="A207" s="7">
        <f>IF(Data!A207=Entry2!A207,Data!A207,"ERROR")</f>
        <v>4</v>
      </c>
      <c r="B207" s="7">
        <f>IF(Data!B207=Entry2!B207,Data!B207,"ERROR")</f>
        <v>2023</v>
      </c>
      <c r="C207" s="17">
        <f>IF(Data!C207=Entry2!C207,Data!C207,"ERROR")</f>
        <v>45203</v>
      </c>
      <c r="D207" s="7" t="str">
        <f>IF(Data!D207=Entry2!D207,Data!D207,"ERROR")</f>
        <v>MG, TL</v>
      </c>
      <c r="E207" s="7" t="str">
        <f>IF(Data!E207=Entry2!E207,Data!E207,"ERROR")</f>
        <v>GB</v>
      </c>
      <c r="F207" s="7">
        <f>IF(Data!F207=Entry2!F207,Data!F207,"ERROR")</f>
        <v>1</v>
      </c>
      <c r="G207" s="7" t="str">
        <f>IF(Data!G207=Entry2!G207,Data!G207,"ERROR")</f>
        <v>LU</v>
      </c>
      <c r="H207" s="7">
        <f>IF(Data!H207=Entry2!H207,Data!H207,"ERROR")</f>
        <v>14</v>
      </c>
      <c r="I207" s="7">
        <f>IF(Data!I207=Entry2!I207,Data!I207,"ERROR")</f>
        <v>2</v>
      </c>
      <c r="J207" s="7">
        <f>IF(Data!J207=Entry2!J207,Data!J207,"ERROR")</f>
        <v>7</v>
      </c>
      <c r="K207" s="7" t="str">
        <f>IF(Data!K207=Entry2!K207,Data!K207,"ERROR")</f>
        <v>DEIFAS</v>
      </c>
      <c r="L207" s="7" t="str">
        <f>IF(Data!L207=Entry2!L207,Data!L207,"ERROR")</f>
        <v>ERROR</v>
      </c>
      <c r="M207" s="7">
        <f>IF(Data!N207=Entry2!M207,Data!N207,"ERROR")</f>
        <v>0</v>
      </c>
    </row>
    <row r="208" spans="1:13" ht="13.2" hidden="1" x14ac:dyDescent="0.25">
      <c r="A208" s="7">
        <f>IF(Data!A208=Entry2!A208,Data!A208,"ERROR")</f>
        <v>4</v>
      </c>
      <c r="B208" s="7">
        <f>IF(Data!B208=Entry2!B208,Data!B208,"ERROR")</f>
        <v>2023</v>
      </c>
      <c r="C208" s="17">
        <f>IF(Data!C208=Entry2!C208,Data!C208,"ERROR")</f>
        <v>45203</v>
      </c>
      <c r="D208" s="7" t="str">
        <f>IF(Data!D208=Entry2!D208,Data!D208,"ERROR")</f>
        <v>MG, TL</v>
      </c>
      <c r="E208" s="7" t="str">
        <f>IF(Data!E208=Entry2!E208,Data!E208,"ERROR")</f>
        <v>GB</v>
      </c>
      <c r="F208" s="7">
        <f>IF(Data!F208=Entry2!F208,Data!F208,"ERROR")</f>
        <v>1</v>
      </c>
      <c r="G208" s="7" t="str">
        <f>IF(Data!G208=Entry2!G208,Data!G208,"ERROR")</f>
        <v>LU</v>
      </c>
      <c r="H208" s="7">
        <f>IF(Data!H208=Entry2!H208,Data!H208,"ERROR")</f>
        <v>14</v>
      </c>
      <c r="I208" s="7">
        <f>IF(Data!I208=Entry2!I208,Data!I208,"ERROR")</f>
        <v>2</v>
      </c>
      <c r="J208" s="7">
        <f>IF(Data!J208=Entry2!J208,Data!J208,"ERROR")</f>
        <v>7</v>
      </c>
      <c r="K208" s="7" t="str">
        <f>IF(Data!K208=Entry2!K208,Data!K208,"ERROR")</f>
        <v>OPULIT</v>
      </c>
      <c r="L208" s="7" t="str">
        <f>IF(Data!L208=Entry2!L208,Data!L208,"ERROR")</f>
        <v>ERROR</v>
      </c>
      <c r="M208" s="7">
        <f>IF(Data!N208=Entry2!M208,Data!N208,"ERROR")</f>
        <v>0</v>
      </c>
    </row>
    <row r="209" spans="1:13" ht="13.2" hidden="1" x14ac:dyDescent="0.25">
      <c r="A209" s="7">
        <f>IF(Data!A209=Entry2!A209,Data!A209,"ERROR")</f>
        <v>4</v>
      </c>
      <c r="B209" s="7">
        <f>IF(Data!B209=Entry2!B209,Data!B209,"ERROR")</f>
        <v>2023</v>
      </c>
      <c r="C209" s="17">
        <f>IF(Data!C209=Entry2!C209,Data!C209,"ERROR")</f>
        <v>45203</v>
      </c>
      <c r="D209" s="7" t="str">
        <f>IF(Data!D209=Entry2!D209,Data!D209,"ERROR")</f>
        <v>MG, TL</v>
      </c>
      <c r="E209" s="7" t="str">
        <f>IF(Data!E209=Entry2!E209,Data!E209,"ERROR")</f>
        <v>GB</v>
      </c>
      <c r="F209" s="7">
        <f>IF(Data!F209=Entry2!F209,Data!F209,"ERROR")</f>
        <v>1</v>
      </c>
      <c r="G209" s="7" t="str">
        <f>IF(Data!G209=Entry2!G209,Data!G209,"ERROR")</f>
        <v>LU</v>
      </c>
      <c r="H209" s="7">
        <f>IF(Data!H209=Entry2!H209,Data!H209,"ERROR")</f>
        <v>15</v>
      </c>
      <c r="I209" s="7">
        <f>IF(Data!I209=Entry2!I209,Data!I209,"ERROR")</f>
        <v>2</v>
      </c>
      <c r="J209" s="7">
        <f>IF(Data!J209=Entry2!J209,Data!J209,"ERROR")</f>
        <v>7.5</v>
      </c>
      <c r="K209" s="7" t="str">
        <f>IF(Data!K209=Entry2!K209,Data!K209,"ERROR")</f>
        <v>L</v>
      </c>
      <c r="L209" s="7" t="str">
        <f>IF(Data!L209=Entry2!L209,Data!L209,"ERROR")</f>
        <v>ERROR</v>
      </c>
      <c r="M209" s="7">
        <f>IF(Data!N209=Entry2!M209,Data!N209,"ERROR")</f>
        <v>0</v>
      </c>
    </row>
    <row r="210" spans="1:13" ht="13.2" hidden="1" x14ac:dyDescent="0.25">
      <c r="A210" s="7">
        <f>IF(Data!A210=Entry2!A210,Data!A210,"ERROR")</f>
        <v>4</v>
      </c>
      <c r="B210" s="7">
        <f>IF(Data!B210=Entry2!B210,Data!B210,"ERROR")</f>
        <v>2023</v>
      </c>
      <c r="C210" s="17">
        <f>IF(Data!C210=Entry2!C210,Data!C210,"ERROR")</f>
        <v>45203</v>
      </c>
      <c r="D210" s="7" t="str">
        <f>IF(Data!D210=Entry2!D210,Data!D210,"ERROR")</f>
        <v>MG, TL</v>
      </c>
      <c r="E210" s="7" t="str">
        <f>IF(Data!E210=Entry2!E210,Data!E210,"ERROR")</f>
        <v>GB</v>
      </c>
      <c r="F210" s="7">
        <f>IF(Data!F210=Entry2!F210,Data!F210,"ERROR")</f>
        <v>1</v>
      </c>
      <c r="G210" s="7" t="str">
        <f>IF(Data!G210=Entry2!G210,Data!G210,"ERROR")</f>
        <v>LU</v>
      </c>
      <c r="H210" s="7">
        <f>IF(Data!H210=Entry2!H210,Data!H210,"ERROR")</f>
        <v>15</v>
      </c>
      <c r="I210" s="7">
        <f>IF(Data!I210=Entry2!I210,Data!I210,"ERROR")</f>
        <v>2</v>
      </c>
      <c r="J210" s="7">
        <f>IF(Data!J210=Entry2!J210,Data!J210,"ERROR")</f>
        <v>7.5</v>
      </c>
      <c r="K210" s="7" t="str">
        <f>IF(Data!K210=Entry2!K210,Data!K210,"ERROR")</f>
        <v>DEIFAS</v>
      </c>
      <c r="L210" s="7" t="str">
        <f>IF(Data!L210=Entry2!L210,Data!L210,"ERROR")</f>
        <v>ERROR</v>
      </c>
      <c r="M210" s="7">
        <f>IF(Data!N210=Entry2!M210,Data!N210,"ERROR")</f>
        <v>0</v>
      </c>
    </row>
    <row r="211" spans="1:13" ht="13.2" hidden="1" x14ac:dyDescent="0.25">
      <c r="A211" s="7">
        <f>IF(Data!A211=Entry2!A211,Data!A211,"ERROR")</f>
        <v>5</v>
      </c>
      <c r="B211" s="7">
        <f>IF(Data!B211=Entry2!B211,Data!B211,"ERROR")</f>
        <v>2023</v>
      </c>
      <c r="C211" s="17">
        <f>IF(Data!C211=Entry2!C211,Data!C211,"ERROR")</f>
        <v>45203</v>
      </c>
      <c r="D211" s="7" t="str">
        <f>IF(Data!D211=Entry2!D211,Data!D211,"ERROR")</f>
        <v>JC, HH</v>
      </c>
      <c r="E211" s="7" t="str">
        <f>IF(Data!E211=Entry2!E211,Data!E211,"ERROR")</f>
        <v>GB</v>
      </c>
      <c r="F211" s="7">
        <f>IF(Data!F211=Entry2!F211,Data!F211,"ERROR")</f>
        <v>3</v>
      </c>
      <c r="G211" s="7" t="str">
        <f>IF(Data!G211=Entry2!G211,Data!G211,"ERROR")</f>
        <v>SS</v>
      </c>
      <c r="H211" s="7">
        <f>IF(Data!H211=Entry2!H211,Data!H211,"ERROR")</f>
        <v>1</v>
      </c>
      <c r="I211" s="7">
        <f>IF(Data!I211=Entry2!I211,Data!I211,"ERROR")</f>
        <v>1</v>
      </c>
      <c r="J211" s="7">
        <f>IF(Data!J211=Entry2!J211,Data!J211,"ERROR")</f>
        <v>0</v>
      </c>
      <c r="K211" s="7" t="str">
        <f>IF(Data!K211=Entry2!K211,Data!K211,"ERROR")</f>
        <v>L</v>
      </c>
      <c r="L211" s="7" t="str">
        <f>IF(Data!L211=Entry2!L211,Data!L211,"ERROR")</f>
        <v>ERROR</v>
      </c>
      <c r="M211" s="7">
        <f>IF(Data!N211=Entry2!M211,Data!N211,"ERROR")</f>
        <v>0</v>
      </c>
    </row>
    <row r="212" spans="1:13" ht="13.2" hidden="1" x14ac:dyDescent="0.25">
      <c r="A212" s="7">
        <f>IF(Data!A212=Entry2!A212,Data!A212,"ERROR")</f>
        <v>5</v>
      </c>
      <c r="B212" s="7">
        <f>IF(Data!B212=Entry2!B212,Data!B212,"ERROR")</f>
        <v>2023</v>
      </c>
      <c r="C212" s="17">
        <f>IF(Data!C212=Entry2!C212,Data!C212,"ERROR")</f>
        <v>45203</v>
      </c>
      <c r="D212" s="7" t="str">
        <f>IF(Data!D212=Entry2!D212,Data!D212,"ERROR")</f>
        <v>JC, HH</v>
      </c>
      <c r="E212" s="7" t="str">
        <f>IF(Data!E212=Entry2!E212,Data!E212,"ERROR")</f>
        <v>GB</v>
      </c>
      <c r="F212" s="7">
        <f>IF(Data!F212=Entry2!F212,Data!F212,"ERROR")</f>
        <v>3</v>
      </c>
      <c r="G212" s="7" t="str">
        <f>IF(Data!G212=Entry2!G212,Data!G212,"ERROR")</f>
        <v>SS</v>
      </c>
      <c r="H212" s="7">
        <f>IF(Data!H212=Entry2!H212,Data!H212,"ERROR")</f>
        <v>2</v>
      </c>
      <c r="I212" s="7">
        <f>IF(Data!I212=Entry2!I212,Data!I212,"ERROR")</f>
        <v>1</v>
      </c>
      <c r="J212" s="7">
        <f>IF(Data!J212=Entry2!J212,Data!J212,"ERROR")</f>
        <v>1</v>
      </c>
      <c r="K212" s="7" t="str">
        <f>IF(Data!K212=Entry2!K212,Data!K212,"ERROR")</f>
        <v>B</v>
      </c>
      <c r="L212" s="7" t="str">
        <f>IF(Data!L212=Entry2!L212,Data!L212,"ERROR")</f>
        <v>ERROR</v>
      </c>
      <c r="M212" s="7">
        <f>IF(Data!N212=Entry2!M212,Data!N212,"ERROR")</f>
        <v>0</v>
      </c>
    </row>
    <row r="213" spans="1:13" ht="13.2" hidden="1" x14ac:dyDescent="0.25">
      <c r="A213" s="7">
        <f>IF(Data!A213=Entry2!A213,Data!A213,"ERROR")</f>
        <v>5</v>
      </c>
      <c r="B213" s="7">
        <f>IF(Data!B213=Entry2!B213,Data!B213,"ERROR")</f>
        <v>2023</v>
      </c>
      <c r="C213" s="17">
        <f>IF(Data!C213=Entry2!C213,Data!C213,"ERROR")</f>
        <v>45203</v>
      </c>
      <c r="D213" s="7" t="str">
        <f>IF(Data!D213=Entry2!D213,Data!D213,"ERROR")</f>
        <v>JC, HH</v>
      </c>
      <c r="E213" s="7" t="str">
        <f>IF(Data!E213=Entry2!E213,Data!E213,"ERROR")</f>
        <v>GB</v>
      </c>
      <c r="F213" s="7">
        <f>IF(Data!F213=Entry2!F213,Data!F213,"ERROR")</f>
        <v>3</v>
      </c>
      <c r="G213" s="7" t="str">
        <f>IF(Data!G213=Entry2!G213,Data!G213,"ERROR")</f>
        <v>SS</v>
      </c>
      <c r="H213" s="7">
        <f>IF(Data!H213=Entry2!H213,Data!H213,"ERROR")</f>
        <v>3</v>
      </c>
      <c r="I213" s="7">
        <f>IF(Data!I213=Entry2!I213,Data!I213,"ERROR")</f>
        <v>1</v>
      </c>
      <c r="J213" s="7">
        <f>IF(Data!J213=Entry2!J213,Data!J213,"ERROR")</f>
        <v>1.5</v>
      </c>
      <c r="K213" s="7" t="str">
        <f>IF(Data!K213=Entry2!K213,Data!K213,"ERROR")</f>
        <v>B</v>
      </c>
      <c r="L213" s="7" t="str">
        <f>IF(Data!L213=Entry2!L213,Data!L213,"ERROR")</f>
        <v>ERROR</v>
      </c>
      <c r="M213" s="7">
        <f>IF(Data!N213=Entry2!M213,Data!N213,"ERROR")</f>
        <v>0</v>
      </c>
    </row>
    <row r="214" spans="1:13" ht="13.2" hidden="1" x14ac:dyDescent="0.25">
      <c r="A214" s="7">
        <f>IF(Data!A214=Entry2!A214,Data!A214,"ERROR")</f>
        <v>5</v>
      </c>
      <c r="B214" s="7">
        <f>IF(Data!B214=Entry2!B214,Data!B214,"ERROR")</f>
        <v>2023</v>
      </c>
      <c r="C214" s="17">
        <f>IF(Data!C214=Entry2!C214,Data!C214,"ERROR")</f>
        <v>45203</v>
      </c>
      <c r="D214" s="7" t="str">
        <f>IF(Data!D214=Entry2!D214,Data!D214,"ERROR")</f>
        <v>JC, HH</v>
      </c>
      <c r="E214" s="7" t="str">
        <f>IF(Data!E214=Entry2!E214,Data!E214,"ERROR")</f>
        <v>GB</v>
      </c>
      <c r="F214" s="7">
        <f>IF(Data!F214=Entry2!F214,Data!F214,"ERROR")</f>
        <v>3</v>
      </c>
      <c r="G214" s="7" t="str">
        <f>IF(Data!G214=Entry2!G214,Data!G214,"ERROR")</f>
        <v>SS</v>
      </c>
      <c r="H214" s="7">
        <f>IF(Data!H214=Entry2!H214,Data!H214,"ERROR")</f>
        <v>4</v>
      </c>
      <c r="I214" s="7">
        <f>IF(Data!I214=Entry2!I214,Data!I214,"ERROR")</f>
        <v>1</v>
      </c>
      <c r="J214" s="7">
        <f>IF(Data!J214=Entry2!J214,Data!J214,"ERROR")</f>
        <v>2</v>
      </c>
      <c r="K214" s="7" t="str">
        <f>IF(Data!K214=Entry2!K214,Data!K214,"ERROR")</f>
        <v>B</v>
      </c>
      <c r="L214" s="7" t="str">
        <f>IF(Data!L214=Entry2!L214,Data!L214,"ERROR")</f>
        <v>ERROR</v>
      </c>
      <c r="M214" s="7">
        <f>IF(Data!N214=Entry2!M214,Data!N214,"ERROR")</f>
        <v>0</v>
      </c>
    </row>
    <row r="215" spans="1:13" ht="13.2" hidden="1" x14ac:dyDescent="0.25">
      <c r="A215" s="7">
        <f>IF(Data!A215=Entry2!A215,Data!A215,"ERROR")</f>
        <v>5</v>
      </c>
      <c r="B215" s="7">
        <f>IF(Data!B215=Entry2!B215,Data!B215,"ERROR")</f>
        <v>2023</v>
      </c>
      <c r="C215" s="17">
        <f>IF(Data!C215=Entry2!C215,Data!C215,"ERROR")</f>
        <v>45203</v>
      </c>
      <c r="D215" s="7" t="str">
        <f>IF(Data!D215=Entry2!D215,Data!D215,"ERROR")</f>
        <v>JC, HH</v>
      </c>
      <c r="E215" s="7" t="str">
        <f>IF(Data!E215=Entry2!E215,Data!E215,"ERROR")</f>
        <v>GB</v>
      </c>
      <c r="F215" s="7">
        <f>IF(Data!F215=Entry2!F215,Data!F215,"ERROR")</f>
        <v>3</v>
      </c>
      <c r="G215" s="7" t="str">
        <f>IF(Data!G215=Entry2!G215,Data!G215,"ERROR")</f>
        <v>SS</v>
      </c>
      <c r="H215" s="7">
        <f>IF(Data!H215=Entry2!H215,Data!H215,"ERROR")</f>
        <v>5</v>
      </c>
      <c r="I215" s="7">
        <f>IF(Data!I215=Entry2!I215,Data!I215,"ERROR")</f>
        <v>1</v>
      </c>
      <c r="J215" s="7">
        <f>IF(Data!J215=Entry2!J215,Data!J215,"ERROR")</f>
        <v>3</v>
      </c>
      <c r="K215" s="7" t="str">
        <f>IF(Data!K215=Entry2!K215,Data!K215,"ERROR")</f>
        <v>L</v>
      </c>
      <c r="L215" s="7" t="str">
        <f>IF(Data!L215=Entry2!L215,Data!L215,"ERROR")</f>
        <v>ERROR</v>
      </c>
      <c r="M215" s="7">
        <f>IF(Data!N215=Entry2!M215,Data!N215,"ERROR")</f>
        <v>0</v>
      </c>
    </row>
    <row r="216" spans="1:13" ht="13.2" hidden="1" x14ac:dyDescent="0.25">
      <c r="A216" s="7">
        <f>IF(Data!A216=Entry2!A216,Data!A216,"ERROR")</f>
        <v>5</v>
      </c>
      <c r="B216" s="7">
        <f>IF(Data!B216=Entry2!B216,Data!B216,"ERROR")</f>
        <v>2023</v>
      </c>
      <c r="C216" s="17">
        <f>IF(Data!C216=Entry2!C216,Data!C216,"ERROR")</f>
        <v>45203</v>
      </c>
      <c r="D216" s="7" t="str">
        <f>IF(Data!D216=Entry2!D216,Data!D216,"ERROR")</f>
        <v>JC, HH</v>
      </c>
      <c r="E216" s="7" t="str">
        <f>IF(Data!E216=Entry2!E216,Data!E216,"ERROR")</f>
        <v>GB</v>
      </c>
      <c r="F216" s="7">
        <f>IF(Data!F216=Entry2!F216,Data!F216,"ERROR")</f>
        <v>3</v>
      </c>
      <c r="G216" s="7" t="str">
        <f>IF(Data!G216=Entry2!G216,Data!G216,"ERROR")</f>
        <v>SS</v>
      </c>
      <c r="H216" s="7">
        <f>IF(Data!H216=Entry2!H216,Data!H216,"ERROR")</f>
        <v>5</v>
      </c>
      <c r="I216" s="7">
        <f>IF(Data!I216=Entry2!I216,Data!I216,"ERROR")</f>
        <v>1</v>
      </c>
      <c r="J216" s="7">
        <f>IF(Data!J216=Entry2!J216,Data!J216,"ERROR")</f>
        <v>3</v>
      </c>
      <c r="K216" s="7" t="str">
        <f>IF(Data!K216=Entry2!K216,Data!K216,"ERROR")</f>
        <v>STEDIE</v>
      </c>
      <c r="L216" s="7" t="str">
        <f>IF(Data!L216=Entry2!L216,Data!L216,"ERROR")</f>
        <v>ERROR</v>
      </c>
      <c r="M216" s="7">
        <f>IF(Data!N216=Entry2!M216,Data!N216,"ERROR")</f>
        <v>0</v>
      </c>
    </row>
    <row r="217" spans="1:13" ht="13.2" hidden="1" x14ac:dyDescent="0.25">
      <c r="A217" s="7">
        <f>IF(Data!A217=Entry2!A217,Data!A217,"ERROR")</f>
        <v>5</v>
      </c>
      <c r="B217" s="7">
        <f>IF(Data!B217=Entry2!B217,Data!B217,"ERROR")</f>
        <v>2023</v>
      </c>
      <c r="C217" s="17">
        <f>IF(Data!C217=Entry2!C217,Data!C217,"ERROR")</f>
        <v>45203</v>
      </c>
      <c r="D217" s="7" t="str">
        <f>IF(Data!D217=Entry2!D217,Data!D217,"ERROR")</f>
        <v>JC, HH</v>
      </c>
      <c r="E217" s="7" t="str">
        <f>IF(Data!E217=Entry2!E217,Data!E217,"ERROR")</f>
        <v>GB</v>
      </c>
      <c r="F217" s="7">
        <f>IF(Data!F217=Entry2!F217,Data!F217,"ERROR")</f>
        <v>3</v>
      </c>
      <c r="G217" s="7" t="str">
        <f>IF(Data!G217=Entry2!G217,Data!G217,"ERROR")</f>
        <v>SS</v>
      </c>
      <c r="H217" s="7">
        <f>IF(Data!H217=Entry2!H217,Data!H217,"ERROR")</f>
        <v>6</v>
      </c>
      <c r="I217" s="7">
        <f>IF(Data!I217=Entry2!I217,Data!I217,"ERROR")</f>
        <v>1</v>
      </c>
      <c r="J217" s="7">
        <f>IF(Data!J217=Entry2!J217,Data!J217,"ERROR")</f>
        <v>3.5</v>
      </c>
      <c r="K217" s="7" t="str">
        <f>IF(Data!K217=Entry2!K217,Data!K217,"ERROR")</f>
        <v>L</v>
      </c>
      <c r="L217" s="7" t="str">
        <f>IF(Data!L217=Entry2!L217,Data!L217,"ERROR")</f>
        <v>ERROR</v>
      </c>
      <c r="M217" s="7">
        <f>IF(Data!N217=Entry2!M217,Data!N217,"ERROR")</f>
        <v>0</v>
      </c>
    </row>
    <row r="218" spans="1:13" ht="13.2" hidden="1" x14ac:dyDescent="0.25">
      <c r="A218" s="7">
        <f>IF(Data!A218=Entry2!A218,Data!A218,"ERROR")</f>
        <v>5</v>
      </c>
      <c r="B218" s="7">
        <f>IF(Data!B218=Entry2!B218,Data!B218,"ERROR")</f>
        <v>2023</v>
      </c>
      <c r="C218" s="17">
        <f>IF(Data!C218=Entry2!C218,Data!C218,"ERROR")</f>
        <v>45203</v>
      </c>
      <c r="D218" s="7" t="str">
        <f>IF(Data!D218=Entry2!D218,Data!D218,"ERROR")</f>
        <v>JC, HH</v>
      </c>
      <c r="E218" s="7" t="str">
        <f>IF(Data!E218=Entry2!E218,Data!E218,"ERROR")</f>
        <v>GB</v>
      </c>
      <c r="F218" s="7">
        <f>IF(Data!F218=Entry2!F218,Data!F218,"ERROR")</f>
        <v>3</v>
      </c>
      <c r="G218" s="7" t="str">
        <f>IF(Data!G218=Entry2!G218,Data!G218,"ERROR")</f>
        <v>SS</v>
      </c>
      <c r="H218" s="7">
        <f>IF(Data!H218=Entry2!H218,Data!H218,"ERROR")</f>
        <v>7</v>
      </c>
      <c r="I218" s="7">
        <f>IF(Data!I218=Entry2!I218,Data!I218,"ERROR")</f>
        <v>1</v>
      </c>
      <c r="J218" s="7">
        <f>IF(Data!J218=Entry2!J218,Data!J218,"ERROR")</f>
        <v>4</v>
      </c>
      <c r="K218" s="7" t="str">
        <f>IF(Data!K218=Entry2!K218,Data!K218,"ERROR")</f>
        <v>R</v>
      </c>
      <c r="L218" s="7" t="str">
        <f>IF(Data!L218=Entry2!L218,Data!L218,"ERROR")</f>
        <v>ERROR</v>
      </c>
      <c r="M218" s="7">
        <f>IF(Data!N218=Entry2!M218,Data!N218,"ERROR")</f>
        <v>0</v>
      </c>
    </row>
    <row r="219" spans="1:13" ht="13.2" hidden="1" x14ac:dyDescent="0.25">
      <c r="A219" s="7">
        <f>IF(Data!A219=Entry2!A219,Data!A219,"ERROR")</f>
        <v>5</v>
      </c>
      <c r="B219" s="7">
        <f>IF(Data!B219=Entry2!B219,Data!B219,"ERROR")</f>
        <v>2023</v>
      </c>
      <c r="C219" s="17">
        <f>IF(Data!C219=Entry2!C219,Data!C219,"ERROR")</f>
        <v>45203</v>
      </c>
      <c r="D219" s="7" t="str">
        <f>IF(Data!D219=Entry2!D219,Data!D219,"ERROR")</f>
        <v>JC, HH</v>
      </c>
      <c r="E219" s="7" t="str">
        <f>IF(Data!E219=Entry2!E219,Data!E219,"ERROR")</f>
        <v>GB</v>
      </c>
      <c r="F219" s="7">
        <f>IF(Data!F219=Entry2!F219,Data!F219,"ERROR")</f>
        <v>3</v>
      </c>
      <c r="G219" s="7" t="str">
        <f>IF(Data!G219=Entry2!G219,Data!G219,"ERROR")</f>
        <v>SS</v>
      </c>
      <c r="H219" s="7">
        <f>IF(Data!H219=Entry2!H219,Data!H219,"ERROR")</f>
        <v>7</v>
      </c>
      <c r="I219" s="7">
        <f>IF(Data!I219=Entry2!I219,Data!I219,"ERROR")</f>
        <v>1</v>
      </c>
      <c r="J219" s="7">
        <f>IF(Data!J219=Entry2!J219,Data!J219,"ERROR")</f>
        <v>4</v>
      </c>
      <c r="K219" s="7" t="str">
        <f>IF(Data!K219=Entry2!K219,Data!K219,"ERROR")</f>
        <v>CENMEL</v>
      </c>
      <c r="L219" s="7" t="str">
        <f>IF(Data!L219=Entry2!L219,Data!L219,"ERROR")</f>
        <v>ERROR</v>
      </c>
      <c r="M219" s="7">
        <f>IF(Data!N219=Entry2!M219,Data!N219,"ERROR")</f>
        <v>0</v>
      </c>
    </row>
    <row r="220" spans="1:13" ht="13.2" hidden="1" x14ac:dyDescent="0.25">
      <c r="A220" s="7">
        <f>IF(Data!A220=Entry2!A220,Data!A220,"ERROR")</f>
        <v>5</v>
      </c>
      <c r="B220" s="7">
        <f>IF(Data!B220=Entry2!B220,Data!B220,"ERROR")</f>
        <v>2023</v>
      </c>
      <c r="C220" s="17">
        <f>IF(Data!C220=Entry2!C220,Data!C220,"ERROR")</f>
        <v>45203</v>
      </c>
      <c r="D220" s="7" t="str">
        <f>IF(Data!D220=Entry2!D220,Data!D220,"ERROR")</f>
        <v>JC, HH</v>
      </c>
      <c r="E220" s="7" t="str">
        <f>IF(Data!E220=Entry2!E220,Data!E220,"ERROR")</f>
        <v>GB</v>
      </c>
      <c r="F220" s="7">
        <f>IF(Data!F220=Entry2!F220,Data!F220,"ERROR")</f>
        <v>3</v>
      </c>
      <c r="G220" s="7" t="str">
        <f>IF(Data!G220=Entry2!G220,Data!G220,"ERROR")</f>
        <v>SS</v>
      </c>
      <c r="H220" s="7">
        <f>IF(Data!H220=Entry2!H220,Data!H220,"ERROR")</f>
        <v>8</v>
      </c>
      <c r="I220" s="7">
        <f>IF(Data!I220=Entry2!I220,Data!I220,"ERROR")</f>
        <v>1</v>
      </c>
      <c r="J220" s="7">
        <f>IF(Data!J220=Entry2!J220,Data!J220,"ERROR")</f>
        <v>5</v>
      </c>
      <c r="K220" s="7" t="str">
        <f>IF(Data!K220=Entry2!K220,Data!K220,"ERROR")</f>
        <v>B</v>
      </c>
      <c r="L220" s="7" t="str">
        <f>IF(Data!L220=Entry2!L220,Data!L220,"ERROR")</f>
        <v>ERROR</v>
      </c>
      <c r="M220" s="7">
        <f>IF(Data!N220=Entry2!M220,Data!N220,"ERROR")</f>
        <v>0</v>
      </c>
    </row>
    <row r="221" spans="1:13" ht="13.2" hidden="1" x14ac:dyDescent="0.25">
      <c r="A221" s="7">
        <f>IF(Data!A221=Entry2!A221,Data!A221,"ERROR")</f>
        <v>5</v>
      </c>
      <c r="B221" s="7">
        <f>IF(Data!B221=Entry2!B221,Data!B221,"ERROR")</f>
        <v>2023</v>
      </c>
      <c r="C221" s="17">
        <f>IF(Data!C221=Entry2!C221,Data!C221,"ERROR")</f>
        <v>45203</v>
      </c>
      <c r="D221" s="7" t="str">
        <f>IF(Data!D221=Entry2!D221,Data!D221,"ERROR")</f>
        <v>JC, HH</v>
      </c>
      <c r="E221" s="7" t="str">
        <f>IF(Data!E221=Entry2!E221,Data!E221,"ERROR")</f>
        <v>GB</v>
      </c>
      <c r="F221" s="7">
        <f>IF(Data!F221=Entry2!F221,Data!F221,"ERROR")</f>
        <v>3</v>
      </c>
      <c r="G221" s="7" t="str">
        <f>IF(Data!G221=Entry2!G221,Data!G221,"ERROR")</f>
        <v>SS</v>
      </c>
      <c r="H221" s="7">
        <f>IF(Data!H221=Entry2!H221,Data!H221,"ERROR")</f>
        <v>9</v>
      </c>
      <c r="I221" s="7">
        <f>IF(Data!I221=Entry2!I221,Data!I221,"ERROR")</f>
        <v>1</v>
      </c>
      <c r="J221" s="7">
        <f>IF(Data!J221=Entry2!J221,Data!J221,"ERROR")</f>
        <v>7</v>
      </c>
      <c r="K221" s="7" t="str">
        <f>IF(Data!K221=Entry2!K221,Data!K221,"ERROR")</f>
        <v>B</v>
      </c>
      <c r="L221" s="7" t="str">
        <f>IF(Data!L221=Entry2!L221,Data!L221,"ERROR")</f>
        <v>ERROR</v>
      </c>
      <c r="M221" s="7">
        <f>IF(Data!N221=Entry2!M221,Data!N221,"ERROR")</f>
        <v>0</v>
      </c>
    </row>
    <row r="222" spans="1:13" ht="13.2" hidden="1" x14ac:dyDescent="0.25">
      <c r="A222" s="7">
        <f>IF(Data!A222=Entry2!A222,Data!A222,"ERROR")</f>
        <v>5</v>
      </c>
      <c r="B222" s="7">
        <f>IF(Data!B222=Entry2!B222,Data!B222,"ERROR")</f>
        <v>2023</v>
      </c>
      <c r="C222" s="17">
        <f>IF(Data!C222=Entry2!C222,Data!C222,"ERROR")</f>
        <v>45203</v>
      </c>
      <c r="D222" s="7" t="str">
        <f>IF(Data!D222=Entry2!D222,Data!D222,"ERROR")</f>
        <v>JC, HH</v>
      </c>
      <c r="E222" s="7" t="str">
        <f>IF(Data!E222=Entry2!E222,Data!E222,"ERROR")</f>
        <v>GB</v>
      </c>
      <c r="F222" s="7">
        <f>IF(Data!F222=Entry2!F222,Data!F222,"ERROR")</f>
        <v>3</v>
      </c>
      <c r="G222" s="7" t="str">
        <f>IF(Data!G222=Entry2!G222,Data!G222,"ERROR")</f>
        <v>SS</v>
      </c>
      <c r="H222" s="7">
        <f>IF(Data!H222=Entry2!H222,Data!H222,"ERROR")</f>
        <v>10</v>
      </c>
      <c r="I222" s="7">
        <f>IF(Data!I222=Entry2!I222,Data!I222,"ERROR")</f>
        <v>1</v>
      </c>
      <c r="J222" s="7">
        <f>IF(Data!J222=Entry2!J222,Data!J222,"ERROR")</f>
        <v>8</v>
      </c>
      <c r="K222" s="7" t="str">
        <f>IF(Data!K222=Entry2!K222,Data!K222,"ERROR")</f>
        <v>R</v>
      </c>
      <c r="L222" s="7" t="str">
        <f>IF(Data!L222=Entry2!L222,Data!L222,"ERROR")</f>
        <v>ERROR</v>
      </c>
      <c r="M222" s="7">
        <f>IF(Data!N222=Entry2!M222,Data!N222,"ERROR")</f>
        <v>0</v>
      </c>
    </row>
    <row r="223" spans="1:13" ht="13.2" hidden="1" x14ac:dyDescent="0.25">
      <c r="A223" s="7">
        <f>IF(Data!A223=Entry2!A223,Data!A223,"ERROR")</f>
        <v>5</v>
      </c>
      <c r="B223" s="7">
        <f>IF(Data!B223=Entry2!B223,Data!B223,"ERROR")</f>
        <v>2023</v>
      </c>
      <c r="C223" s="17">
        <f>IF(Data!C223=Entry2!C223,Data!C223,"ERROR")</f>
        <v>45203</v>
      </c>
      <c r="D223" s="7" t="str">
        <f>IF(Data!D223=Entry2!D223,Data!D223,"ERROR")</f>
        <v>JC, HH</v>
      </c>
      <c r="E223" s="7" t="str">
        <f>IF(Data!E223=Entry2!E223,Data!E223,"ERROR")</f>
        <v>GB</v>
      </c>
      <c r="F223" s="7">
        <f>IF(Data!F223=Entry2!F223,Data!F223,"ERROR")</f>
        <v>3</v>
      </c>
      <c r="G223" s="7" t="str">
        <f>IF(Data!G223=Entry2!G223,Data!G223,"ERROR")</f>
        <v>SS</v>
      </c>
      <c r="H223" s="7">
        <f>IF(Data!H223=Entry2!H223,Data!H223,"ERROR")</f>
        <v>10</v>
      </c>
      <c r="I223" s="7">
        <f>IF(Data!I223=Entry2!I223,Data!I223,"ERROR")</f>
        <v>1</v>
      </c>
      <c r="J223" s="7">
        <f>IF(Data!J223=Entry2!J223,Data!J223,"ERROR")</f>
        <v>8</v>
      </c>
      <c r="K223" s="7" t="str">
        <f>IF(Data!K223=Entry2!K223,Data!K223,"ERROR")</f>
        <v>STEDIE</v>
      </c>
      <c r="L223" s="7" t="str">
        <f>IF(Data!L223=Entry2!L223,Data!L223,"ERROR")</f>
        <v>ERROR</v>
      </c>
      <c r="M223" s="7">
        <f>IF(Data!N223=Entry2!M223,Data!N223,"ERROR")</f>
        <v>0</v>
      </c>
    </row>
    <row r="224" spans="1:13" ht="13.2" hidden="1" x14ac:dyDescent="0.25">
      <c r="A224" s="7">
        <f>IF(Data!A224=Entry2!A224,Data!A224,"ERROR")</f>
        <v>5</v>
      </c>
      <c r="B224" s="7">
        <f>IF(Data!B224=Entry2!B224,Data!B224,"ERROR")</f>
        <v>2023</v>
      </c>
      <c r="C224" s="17">
        <f>IF(Data!C224=Entry2!C224,Data!C224,"ERROR")</f>
        <v>45203</v>
      </c>
      <c r="D224" s="7" t="str">
        <f>IF(Data!D224=Entry2!D224,Data!D224,"ERROR")</f>
        <v>JC, HH</v>
      </c>
      <c r="E224" s="7" t="str">
        <f>IF(Data!E224=Entry2!E224,Data!E224,"ERROR")</f>
        <v>GB</v>
      </c>
      <c r="F224" s="7">
        <f>IF(Data!F224=Entry2!F224,Data!F224,"ERROR")</f>
        <v>3</v>
      </c>
      <c r="G224" s="7" t="str">
        <f>IF(Data!G224=Entry2!G224,Data!G224,"ERROR")</f>
        <v>SS</v>
      </c>
      <c r="H224" s="7">
        <f>IF(Data!H224=Entry2!H224,Data!H224,"ERROR")</f>
        <v>11</v>
      </c>
      <c r="I224" s="7">
        <f>IF(Data!I224=Entry2!I224,Data!I224,"ERROR")</f>
        <v>1</v>
      </c>
      <c r="J224" s="7">
        <f>IF(Data!J224=Entry2!J224,Data!J224,"ERROR")</f>
        <v>8.5</v>
      </c>
      <c r="K224" s="7" t="str">
        <f>IF(Data!K224=Entry2!K224,Data!K224,"ERROR")</f>
        <v>B</v>
      </c>
      <c r="L224" s="7" t="str">
        <f>IF(Data!L224=Entry2!L224,Data!L224,"ERROR")</f>
        <v>ERROR</v>
      </c>
      <c r="M224" s="7">
        <f>IF(Data!N224=Entry2!M224,Data!N224,"ERROR")</f>
        <v>0</v>
      </c>
    </row>
    <row r="225" spans="1:13" ht="13.2" hidden="1" x14ac:dyDescent="0.25">
      <c r="A225" s="7">
        <f>IF(Data!A225=Entry2!A225,Data!A225,"ERROR")</f>
        <v>5</v>
      </c>
      <c r="B225" s="7">
        <f>IF(Data!B225=Entry2!B225,Data!B225,"ERROR")</f>
        <v>2023</v>
      </c>
      <c r="C225" s="17">
        <f>IF(Data!C225=Entry2!C225,Data!C225,"ERROR")</f>
        <v>45203</v>
      </c>
      <c r="D225" s="7" t="str">
        <f>IF(Data!D225=Entry2!D225,Data!D225,"ERROR")</f>
        <v>JC, HH</v>
      </c>
      <c r="E225" s="7" t="str">
        <f>IF(Data!E225=Entry2!E225,Data!E225,"ERROR")</f>
        <v>GB</v>
      </c>
      <c r="F225" s="7">
        <f>IF(Data!F225=Entry2!F225,Data!F225,"ERROR")</f>
        <v>3</v>
      </c>
      <c r="G225" s="7" t="str">
        <f>IF(Data!G225=Entry2!G225,Data!G225,"ERROR")</f>
        <v>SS</v>
      </c>
      <c r="H225" s="7">
        <f>IF(Data!H225=Entry2!H225,Data!H225,"ERROR")</f>
        <v>12</v>
      </c>
      <c r="I225" s="7">
        <f>IF(Data!I225=Entry2!I225,Data!I225,"ERROR")</f>
        <v>1</v>
      </c>
      <c r="J225" s="7">
        <f>IF(Data!J225=Entry2!J225,Data!J225,"ERROR")</f>
        <v>9</v>
      </c>
      <c r="K225" s="7" t="str">
        <f>IF(Data!K225=Entry2!K225,Data!K225,"ERROR")</f>
        <v>L</v>
      </c>
      <c r="L225" s="7" t="str">
        <f>IF(Data!L225=Entry2!L225,Data!L225,"ERROR")</f>
        <v>ERROR</v>
      </c>
      <c r="M225" s="7">
        <f>IF(Data!N225=Entry2!M225,Data!N225,"ERROR")</f>
        <v>0</v>
      </c>
    </row>
    <row r="226" spans="1:13" ht="13.2" hidden="1" x14ac:dyDescent="0.25">
      <c r="A226" s="7">
        <f>IF(Data!A226=Entry2!A226,Data!A226,"ERROR")</f>
        <v>5</v>
      </c>
      <c r="B226" s="7">
        <f>IF(Data!B226=Entry2!B226,Data!B226,"ERROR")</f>
        <v>2023</v>
      </c>
      <c r="C226" s="17">
        <f>IF(Data!C226=Entry2!C226,Data!C226,"ERROR")</f>
        <v>45203</v>
      </c>
      <c r="D226" s="7" t="str">
        <f>IF(Data!D226=Entry2!D226,Data!D226,"ERROR")</f>
        <v>JC, HH</v>
      </c>
      <c r="E226" s="7" t="str">
        <f>IF(Data!E226=Entry2!E226,Data!E226,"ERROR")</f>
        <v>GB</v>
      </c>
      <c r="F226" s="7">
        <f>IF(Data!F226=Entry2!F226,Data!F226,"ERROR")</f>
        <v>3</v>
      </c>
      <c r="G226" s="7" t="str">
        <f>IF(Data!G226=Entry2!G226,Data!G226,"ERROR")</f>
        <v>SS</v>
      </c>
      <c r="H226" s="7">
        <f>IF(Data!H226=Entry2!H226,Data!H226,"ERROR")</f>
        <v>13</v>
      </c>
      <c r="I226" s="7">
        <f>IF(Data!I226=Entry2!I226,Data!I226,"ERROR")</f>
        <v>1</v>
      </c>
      <c r="J226" s="7">
        <f>IF(Data!J226=Entry2!J226,Data!J226,"ERROR")</f>
        <v>10</v>
      </c>
      <c r="K226" s="7" t="str">
        <f>IF(Data!K226=Entry2!K226,Data!K226,"ERROR")</f>
        <v>L</v>
      </c>
      <c r="L226" s="7" t="str">
        <f>IF(Data!L226=Entry2!L226,Data!L226,"ERROR")</f>
        <v>ERROR</v>
      </c>
      <c r="M226" s="7">
        <f>IF(Data!N226=Entry2!M226,Data!N226,"ERROR")</f>
        <v>0</v>
      </c>
    </row>
    <row r="227" spans="1:13" ht="13.2" hidden="1" x14ac:dyDescent="0.25">
      <c r="A227" s="7">
        <f>IF(Data!A227=Entry2!A227,Data!A227,"ERROR")</f>
        <v>5</v>
      </c>
      <c r="B227" s="7">
        <f>IF(Data!B227=Entry2!B227,Data!B227,"ERROR")</f>
        <v>2023</v>
      </c>
      <c r="C227" s="17">
        <f>IF(Data!C227=Entry2!C227,Data!C227,"ERROR")</f>
        <v>45203</v>
      </c>
      <c r="D227" s="7" t="str">
        <f>IF(Data!D227=Entry2!D227,Data!D227,"ERROR")</f>
        <v>JC, HH</v>
      </c>
      <c r="E227" s="7" t="str">
        <f>IF(Data!E227=Entry2!E227,Data!E227,"ERROR")</f>
        <v>GB</v>
      </c>
      <c r="F227" s="7">
        <f>IF(Data!F227=Entry2!F227,Data!F227,"ERROR")</f>
        <v>3</v>
      </c>
      <c r="G227" s="7" t="str">
        <f>IF(Data!G227=Entry2!G227,Data!G227,"ERROR")</f>
        <v>SS</v>
      </c>
      <c r="H227" s="7">
        <f>IF(Data!H227=Entry2!H227,Data!H227,"ERROR")</f>
        <v>13</v>
      </c>
      <c r="I227" s="7">
        <f>IF(Data!I227=Entry2!I227,Data!I227,"ERROR")</f>
        <v>1</v>
      </c>
      <c r="J227" s="7">
        <f>IF(Data!J227=Entry2!J227,Data!J227,"ERROR")</f>
        <v>10</v>
      </c>
      <c r="K227" s="7" t="str">
        <f>IF(Data!K227=Entry2!K227,Data!K227,"ERROR")</f>
        <v>EROCIC</v>
      </c>
      <c r="L227" s="7" t="str">
        <f>IF(Data!L227=Entry2!L227,Data!L227,"ERROR")</f>
        <v>ERROR</v>
      </c>
      <c r="M227" s="7">
        <f>IF(Data!N227=Entry2!M227,Data!N227,"ERROR")</f>
        <v>0</v>
      </c>
    </row>
    <row r="228" spans="1:13" ht="13.2" hidden="1" x14ac:dyDescent="0.25">
      <c r="A228" s="7">
        <f>IF(Data!A228=Entry2!A228,Data!A228,"ERROR")</f>
        <v>5</v>
      </c>
      <c r="B228" s="7">
        <f>IF(Data!B228=Entry2!B228,Data!B228,"ERROR")</f>
        <v>2023</v>
      </c>
      <c r="C228" s="17">
        <f>IF(Data!C228=Entry2!C228,Data!C228,"ERROR")</f>
        <v>45203</v>
      </c>
      <c r="D228" s="7" t="str">
        <f>IF(Data!D228=Entry2!D228,Data!D228,"ERROR")</f>
        <v>JC, HH</v>
      </c>
      <c r="E228" s="7" t="str">
        <f>IF(Data!E228=Entry2!E228,Data!E228,"ERROR")</f>
        <v>GB</v>
      </c>
      <c r="F228" s="7">
        <f>IF(Data!F228=Entry2!F228,Data!F228,"ERROR")</f>
        <v>3</v>
      </c>
      <c r="G228" s="7" t="str">
        <f>IF(Data!G228=Entry2!G228,Data!G228,"ERROR")</f>
        <v>SS</v>
      </c>
      <c r="H228" s="7">
        <f>IF(Data!H228=Entry2!H228,Data!H228,"ERROR")</f>
        <v>14</v>
      </c>
      <c r="I228" s="7">
        <f>IF(Data!I228=Entry2!I228,Data!I228,"ERROR")</f>
        <v>1</v>
      </c>
      <c r="J228" s="7">
        <f>IF(Data!J228=Entry2!J228,Data!J228,"ERROR")</f>
        <v>11</v>
      </c>
      <c r="K228" s="7" t="str">
        <f>IF(Data!K228=Entry2!K228,Data!K228,"ERROR")</f>
        <v>B</v>
      </c>
      <c r="L228" s="7" t="str">
        <f>IF(Data!L228=Entry2!L228,Data!L228,"ERROR")</f>
        <v>ERROR</v>
      </c>
      <c r="M228" s="7">
        <f>IF(Data!N228=Entry2!M228,Data!N228,"ERROR")</f>
        <v>0</v>
      </c>
    </row>
    <row r="229" spans="1:13" ht="13.2" hidden="1" x14ac:dyDescent="0.25">
      <c r="A229" s="7">
        <f>IF(Data!A229=Entry2!A229,Data!A229,"ERROR")</f>
        <v>5</v>
      </c>
      <c r="B229" s="7">
        <f>IF(Data!B229=Entry2!B229,Data!B229,"ERROR")</f>
        <v>2023</v>
      </c>
      <c r="C229" s="17">
        <f>IF(Data!C229=Entry2!C229,Data!C229,"ERROR")</f>
        <v>45203</v>
      </c>
      <c r="D229" s="7" t="str">
        <f>IF(Data!D229=Entry2!D229,Data!D229,"ERROR")</f>
        <v>JC, HH</v>
      </c>
      <c r="E229" s="7" t="str">
        <f>IF(Data!E229=Entry2!E229,Data!E229,"ERROR")</f>
        <v>GB</v>
      </c>
      <c r="F229" s="7">
        <f>IF(Data!F229=Entry2!F229,Data!F229,"ERROR")</f>
        <v>3</v>
      </c>
      <c r="G229" s="7" t="str">
        <f>IF(Data!G229=Entry2!G229,Data!G229,"ERROR")</f>
        <v>SS</v>
      </c>
      <c r="H229" s="7">
        <f>IF(Data!H229=Entry2!H229,Data!H229,"ERROR")</f>
        <v>15</v>
      </c>
      <c r="I229" s="7">
        <f>IF(Data!I229=Entry2!I229,Data!I229,"ERROR")</f>
        <v>1</v>
      </c>
      <c r="J229" s="7">
        <f>IF(Data!J229=Entry2!J229,Data!J229,"ERROR")</f>
        <v>12</v>
      </c>
      <c r="K229" s="7" t="str">
        <f>IF(Data!K229=Entry2!K229,Data!K229,"ERROR")</f>
        <v>L</v>
      </c>
      <c r="L229" s="7" t="str">
        <f>IF(Data!L229=Entry2!L229,Data!L229,"ERROR")</f>
        <v>ERROR</v>
      </c>
      <c r="M229" s="7">
        <f>IF(Data!N229=Entry2!M229,Data!N229,"ERROR")</f>
        <v>0</v>
      </c>
    </row>
    <row r="230" spans="1:13" ht="13.2" hidden="1" x14ac:dyDescent="0.25">
      <c r="A230" s="7">
        <f>IF(Data!A230=Entry2!A230,Data!A230,"ERROR")</f>
        <v>5</v>
      </c>
      <c r="B230" s="7">
        <f>IF(Data!B230=Entry2!B230,Data!B230,"ERROR")</f>
        <v>2023</v>
      </c>
      <c r="C230" s="17">
        <f>IF(Data!C230=Entry2!C230,Data!C230,"ERROR")</f>
        <v>45203</v>
      </c>
      <c r="D230" s="7" t="str">
        <f>IF(Data!D230=Entry2!D230,Data!D230,"ERROR")</f>
        <v>JC, HH</v>
      </c>
      <c r="E230" s="7" t="str">
        <f>IF(Data!E230=Entry2!E230,Data!E230,"ERROR")</f>
        <v>GB</v>
      </c>
      <c r="F230" s="7">
        <f>IF(Data!F230=Entry2!F230,Data!F230,"ERROR")</f>
        <v>3</v>
      </c>
      <c r="G230" s="7" t="str">
        <f>IF(Data!G230=Entry2!G230,Data!G230,"ERROR")</f>
        <v>SS</v>
      </c>
      <c r="H230" s="7">
        <f>IF(Data!H230=Entry2!H230,Data!H230,"ERROR")</f>
        <v>1</v>
      </c>
      <c r="I230" s="7">
        <f>IF(Data!I230=Entry2!I230,Data!I230,"ERROR")</f>
        <v>2</v>
      </c>
      <c r="J230" s="7">
        <f>IF(Data!J230=Entry2!J230,Data!J230,"ERROR")</f>
        <v>0</v>
      </c>
      <c r="K230" s="7" t="str">
        <f>IF(Data!K230=Entry2!K230,Data!K230,"ERROR")</f>
        <v>L</v>
      </c>
      <c r="L230" s="7" t="str">
        <f>IF(Data!L230=Entry2!L230,Data!L230,"ERROR")</f>
        <v>ERROR</v>
      </c>
      <c r="M230" s="7">
        <f>IF(Data!N230=Entry2!M230,Data!N230,"ERROR")</f>
        <v>0</v>
      </c>
    </row>
    <row r="231" spans="1:13" ht="13.2" hidden="1" x14ac:dyDescent="0.25">
      <c r="A231" s="7">
        <f>IF(Data!A231=Entry2!A231,Data!A231,"ERROR")</f>
        <v>5</v>
      </c>
      <c r="B231" s="7">
        <f>IF(Data!B231=Entry2!B231,Data!B231,"ERROR")</f>
        <v>2023</v>
      </c>
      <c r="C231" s="17">
        <f>IF(Data!C231=Entry2!C231,Data!C231,"ERROR")</f>
        <v>45203</v>
      </c>
      <c r="D231" s="7" t="str">
        <f>IF(Data!D231=Entry2!D231,Data!D231,"ERROR")</f>
        <v>JC, HH</v>
      </c>
      <c r="E231" s="7" t="str">
        <f>IF(Data!E231=Entry2!E231,Data!E231,"ERROR")</f>
        <v>GB</v>
      </c>
      <c r="F231" s="7">
        <f>IF(Data!F231=Entry2!F231,Data!F231,"ERROR")</f>
        <v>3</v>
      </c>
      <c r="G231" s="7" t="str">
        <f>IF(Data!G231=Entry2!G231,Data!G231,"ERROR")</f>
        <v>SS</v>
      </c>
      <c r="H231" s="7">
        <f>IF(Data!H231=Entry2!H231,Data!H231,"ERROR")</f>
        <v>1</v>
      </c>
      <c r="I231" s="7">
        <f>IF(Data!I231=Entry2!I231,Data!I231,"ERROR")</f>
        <v>2</v>
      </c>
      <c r="J231" s="7">
        <f>IF(Data!J231=Entry2!J231,Data!J231,"ERROR")</f>
        <v>0</v>
      </c>
      <c r="K231" s="7" t="str">
        <f>IF(Data!K231=Entry2!K231,Data!K231,"ERROR")</f>
        <v>CENMEL</v>
      </c>
      <c r="L231" s="7" t="str">
        <f>IF(Data!L231=Entry2!L231,Data!L231,"ERROR")</f>
        <v>ERROR</v>
      </c>
      <c r="M231" s="7">
        <f>IF(Data!N231=Entry2!M231,Data!N231,"ERROR")</f>
        <v>0</v>
      </c>
    </row>
    <row r="232" spans="1:13" ht="13.2" hidden="1" x14ac:dyDescent="0.25">
      <c r="A232" s="7">
        <f>IF(Data!A232=Entry2!A232,Data!A232,"ERROR")</f>
        <v>5</v>
      </c>
      <c r="B232" s="7">
        <f>IF(Data!B232=Entry2!B232,Data!B232,"ERROR")</f>
        <v>2023</v>
      </c>
      <c r="C232" s="17">
        <f>IF(Data!C232=Entry2!C232,Data!C232,"ERROR")</f>
        <v>45203</v>
      </c>
      <c r="D232" s="7" t="str">
        <f>IF(Data!D232=Entry2!D232,Data!D232,"ERROR")</f>
        <v>JC, HH</v>
      </c>
      <c r="E232" s="7" t="str">
        <f>IF(Data!E232=Entry2!E232,Data!E232,"ERROR")</f>
        <v>GB</v>
      </c>
      <c r="F232" s="7">
        <f>IF(Data!F232=Entry2!F232,Data!F232,"ERROR")</f>
        <v>3</v>
      </c>
      <c r="G232" s="7" t="str">
        <f>IF(Data!G232=Entry2!G232,Data!G232,"ERROR")</f>
        <v>SS</v>
      </c>
      <c r="H232" s="7">
        <f>IF(Data!H232=Entry2!H232,Data!H232,"ERROR")</f>
        <v>1</v>
      </c>
      <c r="I232" s="7">
        <f>IF(Data!I232=Entry2!I232,Data!I232,"ERROR")</f>
        <v>2</v>
      </c>
      <c r="J232" s="7">
        <f>IF(Data!J232=Entry2!J232,Data!J232,"ERROR")</f>
        <v>0</v>
      </c>
      <c r="K232" s="7" t="str">
        <f>IF(Data!K232=Entry2!K232,Data!K232,"ERROR")</f>
        <v>NNG</v>
      </c>
      <c r="L232" s="7" t="str">
        <f>IF(Data!L232=Entry2!L232,Data!L232,"ERROR")</f>
        <v>ERROR</v>
      </c>
      <c r="M232" s="7">
        <f>IF(Data!N232=Entry2!M232,Data!N232,"ERROR")</f>
        <v>0</v>
      </c>
    </row>
    <row r="233" spans="1:13" ht="13.2" hidden="1" x14ac:dyDescent="0.25">
      <c r="A233" s="7">
        <f>IF(Data!A233=Entry2!A233,Data!A233,"ERROR")</f>
        <v>5</v>
      </c>
      <c r="B233" s="7">
        <f>IF(Data!B233=Entry2!B233,Data!B233,"ERROR")</f>
        <v>2023</v>
      </c>
      <c r="C233" s="17">
        <f>IF(Data!C233=Entry2!C233,Data!C233,"ERROR")</f>
        <v>45203</v>
      </c>
      <c r="D233" s="7" t="str">
        <f>IF(Data!D233=Entry2!D233,Data!D233,"ERROR")</f>
        <v>JC, HH</v>
      </c>
      <c r="E233" s="7" t="str">
        <f>IF(Data!E233=Entry2!E233,Data!E233,"ERROR")</f>
        <v>GB</v>
      </c>
      <c r="F233" s="7">
        <f>IF(Data!F233=Entry2!F233,Data!F233,"ERROR")</f>
        <v>3</v>
      </c>
      <c r="G233" s="7" t="str">
        <f>IF(Data!G233=Entry2!G233,Data!G233,"ERROR")</f>
        <v>SS</v>
      </c>
      <c r="H233" s="7">
        <f>IF(Data!H233=Entry2!H233,Data!H233,"ERROR")</f>
        <v>2</v>
      </c>
      <c r="I233" s="7">
        <f>IF(Data!I233=Entry2!I233,Data!I233,"ERROR")</f>
        <v>2</v>
      </c>
      <c r="J233" s="7">
        <f>IF(Data!J233=Entry2!J233,Data!J233,"ERROR")</f>
        <v>1</v>
      </c>
      <c r="K233" s="7" t="str">
        <f>IF(Data!K233=Entry2!K233,Data!K233,"ERROR")</f>
        <v>L</v>
      </c>
      <c r="L233" s="7" t="str">
        <f>IF(Data!L233=Entry2!L233,Data!L233,"ERROR")</f>
        <v>ERROR</v>
      </c>
      <c r="M233" s="7">
        <f>IF(Data!N233=Entry2!M233,Data!N233,"ERROR")</f>
        <v>0</v>
      </c>
    </row>
    <row r="234" spans="1:13" ht="13.2" hidden="1" x14ac:dyDescent="0.25">
      <c r="A234" s="7">
        <f>IF(Data!A234=Entry2!A234,Data!A234,"ERROR")</f>
        <v>5</v>
      </c>
      <c r="B234" s="7">
        <f>IF(Data!B234=Entry2!B234,Data!B234,"ERROR")</f>
        <v>2023</v>
      </c>
      <c r="C234" s="17">
        <f>IF(Data!C234=Entry2!C234,Data!C234,"ERROR")</f>
        <v>45203</v>
      </c>
      <c r="D234" s="7" t="str">
        <f>IF(Data!D234=Entry2!D234,Data!D234,"ERROR")</f>
        <v>JC, HH</v>
      </c>
      <c r="E234" s="7" t="str">
        <f>IF(Data!E234=Entry2!E234,Data!E234,"ERROR")</f>
        <v>GB</v>
      </c>
      <c r="F234" s="7">
        <f>IF(Data!F234=Entry2!F234,Data!F234,"ERROR")</f>
        <v>3</v>
      </c>
      <c r="G234" s="7" t="str">
        <f>IF(Data!G234=Entry2!G234,Data!G234,"ERROR")</f>
        <v>SS</v>
      </c>
      <c r="H234" s="7">
        <f>IF(Data!H234=Entry2!H234,Data!H234,"ERROR")</f>
        <v>2</v>
      </c>
      <c r="I234" s="7">
        <f>IF(Data!I234=Entry2!I234,Data!I234,"ERROR")</f>
        <v>2</v>
      </c>
      <c r="J234" s="7">
        <f>IF(Data!J234=Entry2!J234,Data!J234,"ERROR")</f>
        <v>1</v>
      </c>
      <c r="K234" s="7" t="str">
        <f>IF(Data!K234=Entry2!K234,Data!K234,"ERROR")</f>
        <v>CENMEL</v>
      </c>
      <c r="L234" s="7" t="str">
        <f>IF(Data!L234=Entry2!L234,Data!L234,"ERROR")</f>
        <v>ERROR</v>
      </c>
      <c r="M234" s="7">
        <f>IF(Data!N234=Entry2!M234,Data!N234,"ERROR")</f>
        <v>0</v>
      </c>
    </row>
    <row r="235" spans="1:13" ht="13.2" hidden="1" x14ac:dyDescent="0.25">
      <c r="A235" s="7">
        <f>IF(Data!A235=Entry2!A235,Data!A235,"ERROR")</f>
        <v>5</v>
      </c>
      <c r="B235" s="7">
        <f>IF(Data!B235=Entry2!B235,Data!B235,"ERROR")</f>
        <v>2023</v>
      </c>
      <c r="C235" s="17">
        <f>IF(Data!C235=Entry2!C235,Data!C235,"ERROR")</f>
        <v>45203</v>
      </c>
      <c r="D235" s="7" t="str">
        <f>IF(Data!D235=Entry2!D235,Data!D235,"ERROR")</f>
        <v>JC, HH</v>
      </c>
      <c r="E235" s="7" t="str">
        <f>IF(Data!E235=Entry2!E235,Data!E235,"ERROR")</f>
        <v>GB</v>
      </c>
      <c r="F235" s="7">
        <f>IF(Data!F235=Entry2!F235,Data!F235,"ERROR")</f>
        <v>3</v>
      </c>
      <c r="G235" s="7" t="str">
        <f>IF(Data!G235=Entry2!G235,Data!G235,"ERROR")</f>
        <v>SS</v>
      </c>
      <c r="H235" s="7">
        <f>IF(Data!H235=Entry2!H235,Data!H235,"ERROR")</f>
        <v>2</v>
      </c>
      <c r="I235" s="7">
        <f>IF(Data!I235=Entry2!I235,Data!I235,"ERROR")</f>
        <v>2</v>
      </c>
      <c r="J235" s="7">
        <f>IF(Data!J235=Entry2!J235,Data!J235,"ERROR")</f>
        <v>1</v>
      </c>
      <c r="K235" s="7" t="str">
        <f>IF(Data!K235=Entry2!K235,Data!K235,"ERROR")</f>
        <v>STEDIE</v>
      </c>
      <c r="L235" s="7" t="str">
        <f>IF(Data!L235=Entry2!L235,Data!L235,"ERROR")</f>
        <v>ERROR</v>
      </c>
      <c r="M235" s="7">
        <f>IF(Data!N235=Entry2!M235,Data!N235,"ERROR")</f>
        <v>0</v>
      </c>
    </row>
    <row r="236" spans="1:13" ht="13.2" hidden="1" x14ac:dyDescent="0.25">
      <c r="A236" s="7">
        <f>IF(Data!A236=Entry2!A236,Data!A236,"ERROR")</f>
        <v>5</v>
      </c>
      <c r="B236" s="7">
        <f>IF(Data!B236=Entry2!B236,Data!B236,"ERROR")</f>
        <v>2023</v>
      </c>
      <c r="C236" s="17">
        <f>IF(Data!C236=Entry2!C236,Data!C236,"ERROR")</f>
        <v>45203</v>
      </c>
      <c r="D236" s="7" t="str">
        <f>IF(Data!D236=Entry2!D236,Data!D236,"ERROR")</f>
        <v>JC, HH</v>
      </c>
      <c r="E236" s="7" t="str">
        <f>IF(Data!E236=Entry2!E236,Data!E236,"ERROR")</f>
        <v>GB</v>
      </c>
      <c r="F236" s="7">
        <f>IF(Data!F236=Entry2!F236,Data!F236,"ERROR")</f>
        <v>3</v>
      </c>
      <c r="G236" s="7" t="str">
        <f>IF(Data!G236=Entry2!G236,Data!G236,"ERROR")</f>
        <v>SS</v>
      </c>
      <c r="H236" s="7">
        <f>IF(Data!H236=Entry2!H236,Data!H236,"ERROR")</f>
        <v>3</v>
      </c>
      <c r="I236" s="7">
        <f>IF(Data!I236=Entry2!I236,Data!I236,"ERROR")</f>
        <v>2</v>
      </c>
      <c r="J236" s="7">
        <f>IF(Data!J236=Entry2!J236,Data!J236,"ERROR")</f>
        <v>1.5</v>
      </c>
      <c r="K236" s="7" t="str">
        <f>IF(Data!K236=Entry2!K236,Data!K236,"ERROR")</f>
        <v>R</v>
      </c>
      <c r="L236" s="7" t="str">
        <f>IF(Data!L236=Entry2!L236,Data!L236,"ERROR")</f>
        <v>ERROR</v>
      </c>
      <c r="M236" s="7">
        <f>IF(Data!N236=Entry2!M236,Data!N236,"ERROR")</f>
        <v>0</v>
      </c>
    </row>
    <row r="237" spans="1:13" ht="13.2" hidden="1" x14ac:dyDescent="0.25">
      <c r="A237" s="7">
        <f>IF(Data!A237=Entry2!A237,Data!A237,"ERROR")</f>
        <v>5</v>
      </c>
      <c r="B237" s="7">
        <f>IF(Data!B237=Entry2!B237,Data!B237,"ERROR")</f>
        <v>2023</v>
      </c>
      <c r="C237" s="17">
        <f>IF(Data!C237=Entry2!C237,Data!C237,"ERROR")</f>
        <v>45203</v>
      </c>
      <c r="D237" s="7" t="str">
        <f>IF(Data!D237=Entry2!D237,Data!D237,"ERROR")</f>
        <v>JC, HH</v>
      </c>
      <c r="E237" s="7" t="str">
        <f>IF(Data!E237=Entry2!E237,Data!E237,"ERROR")</f>
        <v>GB</v>
      </c>
      <c r="F237" s="7">
        <f>IF(Data!F237=Entry2!F237,Data!F237,"ERROR")</f>
        <v>3</v>
      </c>
      <c r="G237" s="7" t="str">
        <f>IF(Data!G237=Entry2!G237,Data!G237,"ERROR")</f>
        <v>SS</v>
      </c>
      <c r="H237" s="7">
        <f>IF(Data!H237=Entry2!H237,Data!H237,"ERROR")</f>
        <v>3</v>
      </c>
      <c r="I237" s="7">
        <f>IF(Data!I237=Entry2!I237,Data!I237,"ERROR")</f>
        <v>2</v>
      </c>
      <c r="J237" s="7">
        <f>IF(Data!J237=Entry2!J237,Data!J237,"ERROR")</f>
        <v>1.5</v>
      </c>
      <c r="K237" s="7" t="str">
        <f>IF(Data!K237=Entry2!K237,Data!K237,"ERROR")</f>
        <v>NNG</v>
      </c>
      <c r="L237" s="7" t="str">
        <f>IF(Data!L237=Entry2!L237,Data!L237,"ERROR")</f>
        <v>ERROR</v>
      </c>
      <c r="M237" s="7">
        <f>IF(Data!N237=Entry2!M237,Data!N237,"ERROR")</f>
        <v>0</v>
      </c>
    </row>
    <row r="238" spans="1:13" ht="13.2" hidden="1" x14ac:dyDescent="0.25">
      <c r="A238" s="7">
        <f>IF(Data!A238=Entry2!A238,Data!A238,"ERROR")</f>
        <v>5</v>
      </c>
      <c r="B238" s="7">
        <f>IF(Data!B238=Entry2!B238,Data!B238,"ERROR")</f>
        <v>2023</v>
      </c>
      <c r="C238" s="17">
        <f>IF(Data!C238=Entry2!C238,Data!C238,"ERROR")</f>
        <v>45203</v>
      </c>
      <c r="D238" s="7" t="str">
        <f>IF(Data!D238=Entry2!D238,Data!D238,"ERROR")</f>
        <v>JC, HH</v>
      </c>
      <c r="E238" s="7" t="str">
        <f>IF(Data!E238=Entry2!E238,Data!E238,"ERROR")</f>
        <v>GB</v>
      </c>
      <c r="F238" s="7">
        <f>IF(Data!F238=Entry2!F238,Data!F238,"ERROR")</f>
        <v>3</v>
      </c>
      <c r="G238" s="7" t="str">
        <f>IF(Data!G238=Entry2!G238,Data!G238,"ERROR")</f>
        <v>SS</v>
      </c>
      <c r="H238" s="7">
        <f>IF(Data!H238=Entry2!H238,Data!H238,"ERROR")</f>
        <v>3</v>
      </c>
      <c r="I238" s="7">
        <f>IF(Data!I238=Entry2!I238,Data!I238,"ERROR")</f>
        <v>2</v>
      </c>
      <c r="J238" s="7">
        <f>IF(Data!J238=Entry2!J238,Data!J238,"ERROR")</f>
        <v>1.5</v>
      </c>
      <c r="K238" s="7" t="str">
        <f>IF(Data!K238=Entry2!K238,Data!K238,"ERROR")</f>
        <v>STEDIE</v>
      </c>
      <c r="L238" s="7" t="str">
        <f>IF(Data!L238=Entry2!L238,Data!L238,"ERROR")</f>
        <v>ERROR</v>
      </c>
      <c r="M238" s="7">
        <f>IF(Data!N238=Entry2!M238,Data!N238,"ERROR")</f>
        <v>0</v>
      </c>
    </row>
    <row r="239" spans="1:13" ht="13.2" hidden="1" x14ac:dyDescent="0.25">
      <c r="A239" s="7">
        <f>IF(Data!A239=Entry2!A239,Data!A239,"ERROR")</f>
        <v>5</v>
      </c>
      <c r="B239" s="7">
        <f>IF(Data!B239=Entry2!B239,Data!B239,"ERROR")</f>
        <v>2023</v>
      </c>
      <c r="C239" s="17">
        <f>IF(Data!C239=Entry2!C239,Data!C239,"ERROR")</f>
        <v>45203</v>
      </c>
      <c r="D239" s="7" t="str">
        <f>IF(Data!D239=Entry2!D239,Data!D239,"ERROR")</f>
        <v>JC, HH</v>
      </c>
      <c r="E239" s="7" t="str">
        <f>IF(Data!E239=Entry2!E239,Data!E239,"ERROR")</f>
        <v>GB</v>
      </c>
      <c r="F239" s="7">
        <f>IF(Data!F239=Entry2!F239,Data!F239,"ERROR")</f>
        <v>3</v>
      </c>
      <c r="G239" s="7" t="str">
        <f>IF(Data!G239=Entry2!G239,Data!G239,"ERROR")</f>
        <v>SS</v>
      </c>
      <c r="H239" s="7">
        <f>IF(Data!H239=Entry2!H239,Data!H239,"ERROR")</f>
        <v>4</v>
      </c>
      <c r="I239" s="7">
        <f>IF(Data!I239=Entry2!I239,Data!I239,"ERROR")</f>
        <v>2</v>
      </c>
      <c r="J239" s="7">
        <f>IF(Data!J239=Entry2!J239,Data!J239,"ERROR")</f>
        <v>2</v>
      </c>
      <c r="K239" s="7" t="str">
        <f>IF(Data!K239=Entry2!K239,Data!K239,"ERROR")</f>
        <v>R</v>
      </c>
      <c r="L239" s="7" t="str">
        <f>IF(Data!L239=Entry2!L239,Data!L239,"ERROR")</f>
        <v>ERROR</v>
      </c>
      <c r="M239" s="7">
        <f>IF(Data!N239=Entry2!M239,Data!N239,"ERROR")</f>
        <v>0</v>
      </c>
    </row>
    <row r="240" spans="1:13" ht="13.2" hidden="1" x14ac:dyDescent="0.25">
      <c r="A240" s="7">
        <f>IF(Data!A240=Entry2!A240,Data!A240,"ERROR")</f>
        <v>5</v>
      </c>
      <c r="B240" s="7">
        <f>IF(Data!B240=Entry2!B240,Data!B240,"ERROR")</f>
        <v>2023</v>
      </c>
      <c r="C240" s="17">
        <f>IF(Data!C240=Entry2!C240,Data!C240,"ERROR")</f>
        <v>45203</v>
      </c>
      <c r="D240" s="7" t="str">
        <f>IF(Data!D240=Entry2!D240,Data!D240,"ERROR")</f>
        <v>JC, HH</v>
      </c>
      <c r="E240" s="7" t="str">
        <f>IF(Data!E240=Entry2!E240,Data!E240,"ERROR")</f>
        <v>GB</v>
      </c>
      <c r="F240" s="7">
        <f>IF(Data!F240=Entry2!F240,Data!F240,"ERROR")</f>
        <v>3</v>
      </c>
      <c r="G240" s="7" t="str">
        <f>IF(Data!G240=Entry2!G240,Data!G240,"ERROR")</f>
        <v>SS</v>
      </c>
      <c r="H240" s="7">
        <f>IF(Data!H240=Entry2!H240,Data!H240,"ERROR")</f>
        <v>4</v>
      </c>
      <c r="I240" s="7">
        <f>IF(Data!I240=Entry2!I240,Data!I240,"ERROR")</f>
        <v>2</v>
      </c>
      <c r="J240" s="7">
        <f>IF(Data!J240=Entry2!J240,Data!J240,"ERROR")</f>
        <v>2</v>
      </c>
      <c r="K240" s="7" t="str">
        <f>IF(Data!K240=Entry2!K240,Data!K240,"ERROR")</f>
        <v>STEDIE</v>
      </c>
      <c r="L240" s="7" t="str">
        <f>IF(Data!L240=Entry2!L240,Data!L240,"ERROR")</f>
        <v>ERROR</v>
      </c>
      <c r="M240" s="7">
        <f>IF(Data!N240=Entry2!M240,Data!N240,"ERROR")</f>
        <v>0</v>
      </c>
    </row>
    <row r="241" spans="1:13" ht="13.2" hidden="1" x14ac:dyDescent="0.25">
      <c r="A241" s="7">
        <f>IF(Data!A241=Entry2!A241,Data!A241,"ERROR")</f>
        <v>5</v>
      </c>
      <c r="B241" s="7">
        <f>IF(Data!B241=Entry2!B241,Data!B241,"ERROR")</f>
        <v>2023</v>
      </c>
      <c r="C241" s="17">
        <f>IF(Data!C241=Entry2!C241,Data!C241,"ERROR")</f>
        <v>45203</v>
      </c>
      <c r="D241" s="7" t="str">
        <f>IF(Data!D241=Entry2!D241,Data!D241,"ERROR")</f>
        <v>JC, HH</v>
      </c>
      <c r="E241" s="7" t="str">
        <f>IF(Data!E241=Entry2!E241,Data!E241,"ERROR")</f>
        <v>GB</v>
      </c>
      <c r="F241" s="7">
        <f>IF(Data!F241=Entry2!F241,Data!F241,"ERROR")</f>
        <v>3</v>
      </c>
      <c r="G241" s="7" t="str">
        <f>IF(Data!G241=Entry2!G241,Data!G241,"ERROR")</f>
        <v>SS</v>
      </c>
      <c r="H241" s="7">
        <f>IF(Data!H241=Entry2!H241,Data!H241,"ERROR")</f>
        <v>5</v>
      </c>
      <c r="I241" s="7">
        <f>IF(Data!I241=Entry2!I241,Data!I241,"ERROR")</f>
        <v>2</v>
      </c>
      <c r="J241" s="7">
        <f>IF(Data!J241=Entry2!J241,Data!J241,"ERROR")</f>
        <v>3</v>
      </c>
      <c r="K241" s="7" t="str">
        <f>IF(Data!K241=Entry2!K241,Data!K241,"ERROR")</f>
        <v>L</v>
      </c>
      <c r="L241" s="7" t="str">
        <f>IF(Data!L241=Entry2!L241,Data!L241,"ERROR")</f>
        <v>ERROR</v>
      </c>
      <c r="M241" s="7">
        <f>IF(Data!N241=Entry2!M241,Data!N241,"ERROR")</f>
        <v>0</v>
      </c>
    </row>
    <row r="242" spans="1:13" ht="13.2" hidden="1" x14ac:dyDescent="0.25">
      <c r="A242" s="7">
        <f>IF(Data!A242=Entry2!A242,Data!A242,"ERROR")</f>
        <v>5</v>
      </c>
      <c r="B242" s="7">
        <f>IF(Data!B242=Entry2!B242,Data!B242,"ERROR")</f>
        <v>2023</v>
      </c>
      <c r="C242" s="17">
        <f>IF(Data!C242=Entry2!C242,Data!C242,"ERROR")</f>
        <v>45203</v>
      </c>
      <c r="D242" s="7" t="str">
        <f>IF(Data!D242=Entry2!D242,Data!D242,"ERROR")</f>
        <v>JC, HH</v>
      </c>
      <c r="E242" s="7" t="str">
        <f>IF(Data!E242=Entry2!E242,Data!E242,"ERROR")</f>
        <v>GB</v>
      </c>
      <c r="F242" s="7">
        <f>IF(Data!F242=Entry2!F242,Data!F242,"ERROR")</f>
        <v>3</v>
      </c>
      <c r="G242" s="7" t="str">
        <f>IF(Data!G242=Entry2!G242,Data!G242,"ERROR")</f>
        <v>SS</v>
      </c>
      <c r="H242" s="7">
        <f>IF(Data!H242=Entry2!H242,Data!H242,"ERROR")</f>
        <v>5</v>
      </c>
      <c r="I242" s="7">
        <f>IF(Data!I242=Entry2!I242,Data!I242,"ERROR")</f>
        <v>2</v>
      </c>
      <c r="J242" s="7">
        <f>IF(Data!J242=Entry2!J242,Data!J242,"ERROR")</f>
        <v>3</v>
      </c>
      <c r="K242" s="7" t="str">
        <f>IF(Data!K242=Entry2!K242,Data!K242,"ERROR")</f>
        <v>STEDIE</v>
      </c>
      <c r="L242" s="7" t="str">
        <f>IF(Data!L242=Entry2!L242,Data!L242,"ERROR")</f>
        <v>ERROR</v>
      </c>
      <c r="M242" s="7">
        <f>IF(Data!N242=Entry2!M242,Data!N242,"ERROR")</f>
        <v>0</v>
      </c>
    </row>
    <row r="243" spans="1:13" ht="13.2" hidden="1" x14ac:dyDescent="0.25">
      <c r="A243" s="7">
        <f>IF(Data!A243=Entry2!A243,Data!A243,"ERROR")</f>
        <v>5</v>
      </c>
      <c r="B243" s="7">
        <f>IF(Data!B243=Entry2!B243,Data!B243,"ERROR")</f>
        <v>2023</v>
      </c>
      <c r="C243" s="17">
        <f>IF(Data!C243=Entry2!C243,Data!C243,"ERROR")</f>
        <v>45203</v>
      </c>
      <c r="D243" s="7" t="str">
        <f>IF(Data!D243=Entry2!D243,Data!D243,"ERROR")</f>
        <v>JC, HH</v>
      </c>
      <c r="E243" s="7" t="str">
        <f>IF(Data!E243=Entry2!E243,Data!E243,"ERROR")</f>
        <v>GB</v>
      </c>
      <c r="F243" s="7">
        <f>IF(Data!F243=Entry2!F243,Data!F243,"ERROR")</f>
        <v>3</v>
      </c>
      <c r="G243" s="7" t="str">
        <f>IF(Data!G243=Entry2!G243,Data!G243,"ERROR")</f>
        <v>SS</v>
      </c>
      <c r="H243" s="7">
        <f>IF(Data!H243=Entry2!H243,Data!H243,"ERROR")</f>
        <v>6</v>
      </c>
      <c r="I243" s="7">
        <f>IF(Data!I243=Entry2!I243,Data!I243,"ERROR")</f>
        <v>2</v>
      </c>
      <c r="J243" s="7">
        <f>IF(Data!J243=Entry2!J243,Data!J243,"ERROR")</f>
        <v>3.5</v>
      </c>
      <c r="K243" s="7" t="str">
        <f>IF(Data!K243=Entry2!K243,Data!K243,"ERROR")</f>
        <v>R</v>
      </c>
      <c r="L243" s="7" t="str">
        <f>IF(Data!L243=Entry2!L243,Data!L243,"ERROR")</f>
        <v>ERROR</v>
      </c>
      <c r="M243" s="7">
        <f>IF(Data!N243=Entry2!M243,Data!N243,"ERROR")</f>
        <v>0</v>
      </c>
    </row>
    <row r="244" spans="1:13" ht="13.2" hidden="1" x14ac:dyDescent="0.25">
      <c r="A244" s="7">
        <f>IF(Data!A244=Entry2!A244,Data!A244,"ERROR")</f>
        <v>5</v>
      </c>
      <c r="B244" s="7">
        <f>IF(Data!B244=Entry2!B244,Data!B244,"ERROR")</f>
        <v>2023</v>
      </c>
      <c r="C244" s="17">
        <f>IF(Data!C244=Entry2!C244,Data!C244,"ERROR")</f>
        <v>45203</v>
      </c>
      <c r="D244" s="7" t="str">
        <f>IF(Data!D244=Entry2!D244,Data!D244,"ERROR")</f>
        <v>JC, HH</v>
      </c>
      <c r="E244" s="7" t="str">
        <f>IF(Data!E244=Entry2!E244,Data!E244,"ERROR")</f>
        <v>GB</v>
      </c>
      <c r="F244" s="7">
        <f>IF(Data!F244=Entry2!F244,Data!F244,"ERROR")</f>
        <v>3</v>
      </c>
      <c r="G244" s="7" t="str">
        <f>IF(Data!G244=Entry2!G244,Data!G244,"ERROR")</f>
        <v>SS</v>
      </c>
      <c r="H244" s="7">
        <f>IF(Data!H244=Entry2!H244,Data!H244,"ERROR")</f>
        <v>6</v>
      </c>
      <c r="I244" s="7">
        <f>IF(Data!I244=Entry2!I244,Data!I244,"ERROR")</f>
        <v>2</v>
      </c>
      <c r="J244" s="7">
        <f>IF(Data!J244=Entry2!J244,Data!J244,"ERROR")</f>
        <v>3.5</v>
      </c>
      <c r="K244" s="7" t="str">
        <f>IF(Data!K244=Entry2!K244,Data!K244,"ERROR")</f>
        <v>STEDIE</v>
      </c>
      <c r="L244" s="7" t="str">
        <f>IF(Data!L244=Entry2!L244,Data!L244,"ERROR")</f>
        <v>ERROR</v>
      </c>
      <c r="M244" s="7">
        <f>IF(Data!N244=Entry2!M244,Data!N244,"ERROR")</f>
        <v>0</v>
      </c>
    </row>
    <row r="245" spans="1:13" ht="13.2" hidden="1" x14ac:dyDescent="0.25">
      <c r="A245" s="7">
        <f>IF(Data!A245=Entry2!A245,Data!A245,"ERROR")</f>
        <v>5</v>
      </c>
      <c r="B245" s="7">
        <f>IF(Data!B245=Entry2!B245,Data!B245,"ERROR")</f>
        <v>2023</v>
      </c>
      <c r="C245" s="17">
        <f>IF(Data!C245=Entry2!C245,Data!C245,"ERROR")</f>
        <v>45203</v>
      </c>
      <c r="D245" s="7" t="str">
        <f>IF(Data!D245=Entry2!D245,Data!D245,"ERROR")</f>
        <v>JC, HH</v>
      </c>
      <c r="E245" s="7" t="str">
        <f>IF(Data!E245=Entry2!E245,Data!E245,"ERROR")</f>
        <v>GB</v>
      </c>
      <c r="F245" s="7">
        <f>IF(Data!F245=Entry2!F245,Data!F245,"ERROR")</f>
        <v>3</v>
      </c>
      <c r="G245" s="7" t="str">
        <f>IF(Data!G245=Entry2!G245,Data!G245,"ERROR")</f>
        <v>SS</v>
      </c>
      <c r="H245" s="7">
        <f>IF(Data!H245=Entry2!H245,Data!H245,"ERROR")</f>
        <v>6</v>
      </c>
      <c r="I245" s="7">
        <f>IF(Data!I245=Entry2!I245,Data!I245,"ERROR")</f>
        <v>2</v>
      </c>
      <c r="J245" s="7">
        <f>IF(Data!J245=Entry2!J245,Data!J245,"ERROR")</f>
        <v>3.5</v>
      </c>
      <c r="K245" s="7" t="str">
        <f>IF(Data!K245=Entry2!K245,Data!K245,"ERROR")</f>
        <v>BRANIG</v>
      </c>
      <c r="L245" s="7" t="str">
        <f>IF(Data!L245=Entry2!L245,Data!L245,"ERROR")</f>
        <v>ERROR</v>
      </c>
      <c r="M245" s="7">
        <f>IF(Data!N245=Entry2!M245,Data!N245,"ERROR")</f>
        <v>0</v>
      </c>
    </row>
    <row r="246" spans="1:13" ht="13.2" hidden="1" x14ac:dyDescent="0.25">
      <c r="A246" s="7">
        <f>IF(Data!A246=Entry2!A246,Data!A246,"ERROR")</f>
        <v>5</v>
      </c>
      <c r="B246" s="7">
        <f>IF(Data!B246=Entry2!B246,Data!B246,"ERROR")</f>
        <v>2023</v>
      </c>
      <c r="C246" s="17">
        <f>IF(Data!C246=Entry2!C246,Data!C246,"ERROR")</f>
        <v>45203</v>
      </c>
      <c r="D246" s="7" t="str">
        <f>IF(Data!D246=Entry2!D246,Data!D246,"ERROR")</f>
        <v>JC, HH</v>
      </c>
      <c r="E246" s="7" t="str">
        <f>IF(Data!E246=Entry2!E246,Data!E246,"ERROR")</f>
        <v>GB</v>
      </c>
      <c r="F246" s="7">
        <f>IF(Data!F246=Entry2!F246,Data!F246,"ERROR")</f>
        <v>3</v>
      </c>
      <c r="G246" s="7" t="str">
        <f>IF(Data!G246=Entry2!G246,Data!G246,"ERROR")</f>
        <v>SS</v>
      </c>
      <c r="H246" s="7">
        <f>IF(Data!H246=Entry2!H246,Data!H246,"ERROR")</f>
        <v>7</v>
      </c>
      <c r="I246" s="7">
        <f>IF(Data!I246=Entry2!I246,Data!I246,"ERROR")</f>
        <v>2</v>
      </c>
      <c r="J246" s="7">
        <f>IF(Data!J246=Entry2!J246,Data!J246,"ERROR")</f>
        <v>4</v>
      </c>
      <c r="K246" s="7" t="str">
        <f>IF(Data!K246=Entry2!K246,Data!K246,"ERROR")</f>
        <v>L</v>
      </c>
      <c r="L246" s="7" t="str">
        <f>IF(Data!L246=Entry2!L246,Data!L246,"ERROR")</f>
        <v>ERROR</v>
      </c>
      <c r="M246" s="7">
        <f>IF(Data!N246=Entry2!M246,Data!N246,"ERROR")</f>
        <v>0</v>
      </c>
    </row>
    <row r="247" spans="1:13" ht="13.2" hidden="1" x14ac:dyDescent="0.25">
      <c r="A247" s="7">
        <f>IF(Data!A247=Entry2!A247,Data!A247,"ERROR")</f>
        <v>5</v>
      </c>
      <c r="B247" s="7">
        <f>IF(Data!B247=Entry2!B247,Data!B247,"ERROR")</f>
        <v>2023</v>
      </c>
      <c r="C247" s="17">
        <f>IF(Data!C247=Entry2!C247,Data!C247,"ERROR")</f>
        <v>45203</v>
      </c>
      <c r="D247" s="7" t="str">
        <f>IF(Data!D247=Entry2!D247,Data!D247,"ERROR")</f>
        <v>JC, HH</v>
      </c>
      <c r="E247" s="7" t="str">
        <f>IF(Data!E247=Entry2!E247,Data!E247,"ERROR")</f>
        <v>GB</v>
      </c>
      <c r="F247" s="7">
        <f>IF(Data!F247=Entry2!F247,Data!F247,"ERROR")</f>
        <v>3</v>
      </c>
      <c r="G247" s="7" t="str">
        <f>IF(Data!G247=Entry2!G247,Data!G247,"ERROR")</f>
        <v>SS</v>
      </c>
      <c r="H247" s="7">
        <f>IF(Data!H247=Entry2!H247,Data!H247,"ERROR")</f>
        <v>7</v>
      </c>
      <c r="I247" s="7">
        <f>IF(Data!I247=Entry2!I247,Data!I247,"ERROR")</f>
        <v>2</v>
      </c>
      <c r="J247" s="7">
        <f>IF(Data!J247=Entry2!J247,Data!J247,"ERROR")</f>
        <v>4</v>
      </c>
      <c r="K247" s="7" t="str">
        <f>IF(Data!K247=Entry2!K247,Data!K247,"ERROR")</f>
        <v>STEDIE</v>
      </c>
      <c r="L247" s="7" t="str">
        <f>IF(Data!L247=Entry2!L247,Data!L247,"ERROR")</f>
        <v>ERROR</v>
      </c>
      <c r="M247" s="7">
        <f>IF(Data!N247=Entry2!M247,Data!N247,"ERROR")</f>
        <v>0</v>
      </c>
    </row>
    <row r="248" spans="1:13" ht="13.2" hidden="1" x14ac:dyDescent="0.25">
      <c r="A248" s="7">
        <f>IF(Data!A248=Entry2!A248,Data!A248,"ERROR")</f>
        <v>5</v>
      </c>
      <c r="B248" s="7">
        <f>IF(Data!B248=Entry2!B248,Data!B248,"ERROR")</f>
        <v>2023</v>
      </c>
      <c r="C248" s="17">
        <f>IF(Data!C248=Entry2!C248,Data!C248,"ERROR")</f>
        <v>45203</v>
      </c>
      <c r="D248" s="7" t="str">
        <f>IF(Data!D248=Entry2!D248,Data!D248,"ERROR")</f>
        <v>JC, HH</v>
      </c>
      <c r="E248" s="7" t="str">
        <f>IF(Data!E248=Entry2!E248,Data!E248,"ERROR")</f>
        <v>GB</v>
      </c>
      <c r="F248" s="7">
        <f>IF(Data!F248=Entry2!F248,Data!F248,"ERROR")</f>
        <v>3</v>
      </c>
      <c r="G248" s="7" t="str">
        <f>IF(Data!G248=Entry2!G248,Data!G248,"ERROR")</f>
        <v>SS</v>
      </c>
      <c r="H248" s="7">
        <f>IF(Data!H248=Entry2!H248,Data!H248,"ERROR")</f>
        <v>8</v>
      </c>
      <c r="I248" s="7">
        <f>IF(Data!I248=Entry2!I248,Data!I248,"ERROR")</f>
        <v>2</v>
      </c>
      <c r="J248" s="7">
        <f>IF(Data!J248=Entry2!J248,Data!J248,"ERROR")</f>
        <v>5</v>
      </c>
      <c r="K248" s="7" t="str">
        <f>IF(Data!K248=Entry2!K248,Data!K248,"ERROR")</f>
        <v>R</v>
      </c>
      <c r="L248" s="7" t="str">
        <f>IF(Data!L248=Entry2!L248,Data!L248,"ERROR")</f>
        <v>ERROR</v>
      </c>
      <c r="M248" s="7">
        <f>IF(Data!N248=Entry2!M248,Data!N248,"ERROR")</f>
        <v>0</v>
      </c>
    </row>
    <row r="249" spans="1:13" ht="13.2" hidden="1" x14ac:dyDescent="0.25">
      <c r="A249" s="7">
        <f>IF(Data!A249=Entry2!A249,Data!A249,"ERROR")</f>
        <v>5</v>
      </c>
      <c r="B249" s="7">
        <f>IF(Data!B249=Entry2!B249,Data!B249,"ERROR")</f>
        <v>2023</v>
      </c>
      <c r="C249" s="17">
        <f>IF(Data!C249=Entry2!C249,Data!C249,"ERROR")</f>
        <v>45203</v>
      </c>
      <c r="D249" s="7" t="str">
        <f>IF(Data!D249=Entry2!D249,Data!D249,"ERROR")</f>
        <v>JC, HH</v>
      </c>
      <c r="E249" s="7" t="str">
        <f>IF(Data!E249=Entry2!E249,Data!E249,"ERROR")</f>
        <v>GB</v>
      </c>
      <c r="F249" s="7">
        <f>IF(Data!F249=Entry2!F249,Data!F249,"ERROR")</f>
        <v>3</v>
      </c>
      <c r="G249" s="7" t="str">
        <f>IF(Data!G249=Entry2!G249,Data!G249,"ERROR")</f>
        <v>SS</v>
      </c>
      <c r="H249" s="7">
        <f>IF(Data!H249=Entry2!H249,Data!H249,"ERROR")</f>
        <v>9</v>
      </c>
      <c r="I249" s="7">
        <f>IF(Data!I249=Entry2!I249,Data!I249,"ERROR")</f>
        <v>2</v>
      </c>
      <c r="J249" s="7">
        <f>IF(Data!J249=Entry2!J249,Data!J249,"ERROR")</f>
        <v>7</v>
      </c>
      <c r="K249" s="7" t="str">
        <f>IF(Data!K249=Entry2!K249,Data!K249,"ERROR")</f>
        <v>L</v>
      </c>
      <c r="L249" s="7" t="str">
        <f>IF(Data!L249=Entry2!L249,Data!L249,"ERROR")</f>
        <v>ERROR</v>
      </c>
      <c r="M249" s="7">
        <f>IF(Data!N249=Entry2!M249,Data!N249,"ERROR")</f>
        <v>0</v>
      </c>
    </row>
    <row r="250" spans="1:13" ht="13.2" hidden="1" x14ac:dyDescent="0.25">
      <c r="A250" s="7">
        <f>IF(Data!A250=Entry2!A250,Data!A250,"ERROR")</f>
        <v>5</v>
      </c>
      <c r="B250" s="7">
        <f>IF(Data!B250=Entry2!B250,Data!B250,"ERROR")</f>
        <v>2023</v>
      </c>
      <c r="C250" s="17">
        <f>IF(Data!C250=Entry2!C250,Data!C250,"ERROR")</f>
        <v>45203</v>
      </c>
      <c r="D250" s="7" t="str">
        <f>IF(Data!D250=Entry2!D250,Data!D250,"ERROR")</f>
        <v>JC, HH</v>
      </c>
      <c r="E250" s="7" t="str">
        <f>IF(Data!E250=Entry2!E250,Data!E250,"ERROR")</f>
        <v>GB</v>
      </c>
      <c r="F250" s="7">
        <f>IF(Data!F250=Entry2!F250,Data!F250,"ERROR")</f>
        <v>3</v>
      </c>
      <c r="G250" s="7" t="str">
        <f>IF(Data!G250=Entry2!G250,Data!G250,"ERROR")</f>
        <v>SS</v>
      </c>
      <c r="H250" s="7">
        <f>IF(Data!H250=Entry2!H250,Data!H250,"ERROR")</f>
        <v>9</v>
      </c>
      <c r="I250" s="7">
        <f>IF(Data!I250=Entry2!I250,Data!I250,"ERROR")</f>
        <v>2</v>
      </c>
      <c r="J250" s="7">
        <f>IF(Data!J250=Entry2!J250,Data!J250,"ERROR")</f>
        <v>7</v>
      </c>
      <c r="K250" s="7" t="str">
        <f>IF(Data!K250=Entry2!K250,Data!K250,"ERROR")</f>
        <v>STEDIE</v>
      </c>
      <c r="L250" s="7" t="str">
        <f>IF(Data!L250=Entry2!L250,Data!L250,"ERROR")</f>
        <v>ERROR</v>
      </c>
      <c r="M250" s="7">
        <f>IF(Data!N250=Entry2!M250,Data!N250,"ERROR")</f>
        <v>0</v>
      </c>
    </row>
    <row r="251" spans="1:13" ht="13.2" hidden="1" x14ac:dyDescent="0.25">
      <c r="A251" s="7">
        <f>IF(Data!A251=Entry2!A251,Data!A251,"ERROR")</f>
        <v>5</v>
      </c>
      <c r="B251" s="7">
        <f>IF(Data!B251=Entry2!B251,Data!B251,"ERROR")</f>
        <v>2023</v>
      </c>
      <c r="C251" s="17">
        <f>IF(Data!C251=Entry2!C251,Data!C251,"ERROR")</f>
        <v>45203</v>
      </c>
      <c r="D251" s="7" t="str">
        <f>IF(Data!D251=Entry2!D251,Data!D251,"ERROR")</f>
        <v>JC, HH</v>
      </c>
      <c r="E251" s="7" t="str">
        <f>IF(Data!E251=Entry2!E251,Data!E251,"ERROR")</f>
        <v>GB</v>
      </c>
      <c r="F251" s="7">
        <f>IF(Data!F251=Entry2!F251,Data!F251,"ERROR")</f>
        <v>3</v>
      </c>
      <c r="G251" s="7" t="str">
        <f>IF(Data!G251=Entry2!G251,Data!G251,"ERROR")</f>
        <v>SS</v>
      </c>
      <c r="H251" s="7">
        <f>IF(Data!H251=Entry2!H251,Data!H251,"ERROR")</f>
        <v>10</v>
      </c>
      <c r="I251" s="7">
        <f>IF(Data!I251=Entry2!I251,Data!I251,"ERROR")</f>
        <v>2</v>
      </c>
      <c r="J251" s="7">
        <f>IF(Data!J251=Entry2!J251,Data!J251,"ERROR")</f>
        <v>8</v>
      </c>
      <c r="K251" s="7" t="str">
        <f>IF(Data!K251=Entry2!K251,Data!K251,"ERROR")</f>
        <v>L</v>
      </c>
      <c r="L251" s="7" t="str">
        <f>IF(Data!L251=Entry2!L251,Data!L251,"ERROR")</f>
        <v>ERROR</v>
      </c>
      <c r="M251" s="7">
        <f>IF(Data!N251=Entry2!M251,Data!N251,"ERROR")</f>
        <v>0</v>
      </c>
    </row>
    <row r="252" spans="1:13" ht="13.2" hidden="1" x14ac:dyDescent="0.25">
      <c r="A252" s="7">
        <f>IF(Data!A252=Entry2!A252,Data!A252,"ERROR")</f>
        <v>5</v>
      </c>
      <c r="B252" s="7">
        <f>IF(Data!B252=Entry2!B252,Data!B252,"ERROR")</f>
        <v>2023</v>
      </c>
      <c r="C252" s="17">
        <f>IF(Data!C252=Entry2!C252,Data!C252,"ERROR")</f>
        <v>45203</v>
      </c>
      <c r="D252" s="7" t="str">
        <f>IF(Data!D252=Entry2!D252,Data!D252,"ERROR")</f>
        <v>JC, HH</v>
      </c>
      <c r="E252" s="7" t="str">
        <f>IF(Data!E252=Entry2!E252,Data!E252,"ERROR")</f>
        <v>GB</v>
      </c>
      <c r="F252" s="7">
        <f>IF(Data!F252=Entry2!F252,Data!F252,"ERROR")</f>
        <v>3</v>
      </c>
      <c r="G252" s="7" t="str">
        <f>IF(Data!G252=Entry2!G252,Data!G252,"ERROR")</f>
        <v>SS</v>
      </c>
      <c r="H252" s="7">
        <f>IF(Data!H252=Entry2!H252,Data!H252,"ERROR")</f>
        <v>11</v>
      </c>
      <c r="I252" s="7">
        <f>IF(Data!I252=Entry2!I252,Data!I252,"ERROR")</f>
        <v>2</v>
      </c>
      <c r="J252" s="7">
        <f>IF(Data!J252=Entry2!J252,Data!J252,"ERROR")</f>
        <v>8.5</v>
      </c>
      <c r="K252" s="7" t="str">
        <f>IF(Data!K252=Entry2!K252,Data!K252,"ERROR")</f>
        <v>R</v>
      </c>
      <c r="L252" s="7" t="str">
        <f>IF(Data!L252=Entry2!L252,Data!L252,"ERROR")</f>
        <v>ERROR</v>
      </c>
      <c r="M252" s="7">
        <f>IF(Data!N252=Entry2!M252,Data!N252,"ERROR")</f>
        <v>0</v>
      </c>
    </row>
    <row r="253" spans="1:13" ht="13.2" hidden="1" x14ac:dyDescent="0.25">
      <c r="A253" s="7">
        <f>IF(Data!A253=Entry2!A253,Data!A253,"ERROR")</f>
        <v>5</v>
      </c>
      <c r="B253" s="7">
        <f>IF(Data!B253=Entry2!B253,Data!B253,"ERROR")</f>
        <v>2023</v>
      </c>
      <c r="C253" s="17">
        <f>IF(Data!C253=Entry2!C253,Data!C253,"ERROR")</f>
        <v>45203</v>
      </c>
      <c r="D253" s="7" t="str">
        <f>IF(Data!D253=Entry2!D253,Data!D253,"ERROR")</f>
        <v>JC, HH</v>
      </c>
      <c r="E253" s="7" t="str">
        <f>IF(Data!E253=Entry2!E253,Data!E253,"ERROR")</f>
        <v>GB</v>
      </c>
      <c r="F253" s="7">
        <f>IF(Data!F253=Entry2!F253,Data!F253,"ERROR")</f>
        <v>3</v>
      </c>
      <c r="G253" s="7" t="str">
        <f>IF(Data!G253=Entry2!G253,Data!G253,"ERROR")</f>
        <v>SS</v>
      </c>
      <c r="H253" s="7">
        <f>IF(Data!H253=Entry2!H253,Data!H253,"ERROR")</f>
        <v>11</v>
      </c>
      <c r="I253" s="7">
        <f>IF(Data!I253=Entry2!I253,Data!I253,"ERROR")</f>
        <v>2</v>
      </c>
      <c r="J253" s="7">
        <f>IF(Data!J253=Entry2!J253,Data!J253,"ERROR")</f>
        <v>8.5</v>
      </c>
      <c r="K253" s="7" t="str">
        <f>IF(Data!K253=Entry2!K253,Data!K253,"ERROR")</f>
        <v>DEIFAS</v>
      </c>
      <c r="L253" s="7" t="str">
        <f>IF(Data!L253=Entry2!L253,Data!L253,"ERROR")</f>
        <v>ERROR</v>
      </c>
      <c r="M253" s="7">
        <f>IF(Data!N253=Entry2!M253,Data!N253,"ERROR")</f>
        <v>0</v>
      </c>
    </row>
    <row r="254" spans="1:13" ht="13.2" hidden="1" x14ac:dyDescent="0.25">
      <c r="A254" s="7">
        <f>IF(Data!A254=Entry2!A254,Data!A254,"ERROR")</f>
        <v>5</v>
      </c>
      <c r="B254" s="7">
        <f>IF(Data!B254=Entry2!B254,Data!B254,"ERROR")</f>
        <v>2023</v>
      </c>
      <c r="C254" s="17">
        <f>IF(Data!C254=Entry2!C254,Data!C254,"ERROR")</f>
        <v>45203</v>
      </c>
      <c r="D254" s="7" t="str">
        <f>IF(Data!D254=Entry2!D254,Data!D254,"ERROR")</f>
        <v>JC, HH</v>
      </c>
      <c r="E254" s="7" t="str">
        <f>IF(Data!E254=Entry2!E254,Data!E254,"ERROR")</f>
        <v>GB</v>
      </c>
      <c r="F254" s="7">
        <f>IF(Data!F254=Entry2!F254,Data!F254,"ERROR")</f>
        <v>3</v>
      </c>
      <c r="G254" s="7" t="str">
        <f>IF(Data!G254=Entry2!G254,Data!G254,"ERROR")</f>
        <v>SS</v>
      </c>
      <c r="H254" s="7">
        <f>IF(Data!H254=Entry2!H254,Data!H254,"ERROR")</f>
        <v>12</v>
      </c>
      <c r="I254" s="7">
        <f>IF(Data!I254=Entry2!I254,Data!I254,"ERROR")</f>
        <v>2</v>
      </c>
      <c r="J254" s="7">
        <f>IF(Data!J254=Entry2!J254,Data!J254,"ERROR")</f>
        <v>9</v>
      </c>
      <c r="K254" s="7" t="str">
        <f>IF(Data!K254=Entry2!K254,Data!K254,"ERROR")</f>
        <v>R</v>
      </c>
      <c r="L254" s="7" t="str">
        <f>IF(Data!L254=Entry2!L254,Data!L254,"ERROR")</f>
        <v>ERROR</v>
      </c>
      <c r="M254" s="7">
        <f>IF(Data!N254=Entry2!M254,Data!N254,"ERROR")</f>
        <v>0</v>
      </c>
    </row>
    <row r="255" spans="1:13" ht="13.2" hidden="1" x14ac:dyDescent="0.25">
      <c r="A255" s="7">
        <f>IF(Data!A255=Entry2!A255,Data!A255,"ERROR")</f>
        <v>5</v>
      </c>
      <c r="B255" s="7">
        <f>IF(Data!B255=Entry2!B255,Data!B255,"ERROR")</f>
        <v>2023</v>
      </c>
      <c r="C255" s="17">
        <f>IF(Data!C255=Entry2!C255,Data!C255,"ERROR")</f>
        <v>45203</v>
      </c>
      <c r="D255" s="7" t="str">
        <f>IF(Data!D255=Entry2!D255,Data!D255,"ERROR")</f>
        <v>JC, HH</v>
      </c>
      <c r="E255" s="7" t="str">
        <f>IF(Data!E255=Entry2!E255,Data!E255,"ERROR")</f>
        <v>GB</v>
      </c>
      <c r="F255" s="7">
        <f>IF(Data!F255=Entry2!F255,Data!F255,"ERROR")</f>
        <v>3</v>
      </c>
      <c r="G255" s="7" t="str">
        <f>IF(Data!G255=Entry2!G255,Data!G255,"ERROR")</f>
        <v>SS</v>
      </c>
      <c r="H255" s="7">
        <f>IF(Data!H255=Entry2!H255,Data!H255,"ERROR")</f>
        <v>12</v>
      </c>
      <c r="I255" s="7">
        <f>IF(Data!I255=Entry2!I255,Data!I255,"ERROR")</f>
        <v>2</v>
      </c>
      <c r="J255" s="7">
        <f>IF(Data!J255=Entry2!J255,Data!J255,"ERROR")</f>
        <v>9</v>
      </c>
      <c r="K255" s="7" t="str">
        <f>IF(Data!K255=Entry2!K255,Data!K255,"ERROR")</f>
        <v>DEIFAS</v>
      </c>
      <c r="L255" s="7" t="str">
        <f>IF(Data!L255=Entry2!L255,Data!L255,"ERROR")</f>
        <v>ERROR</v>
      </c>
      <c r="M255" s="7">
        <f>IF(Data!N255=Entry2!M255,Data!N255,"ERROR")</f>
        <v>0</v>
      </c>
    </row>
    <row r="256" spans="1:13" ht="13.2" hidden="1" x14ac:dyDescent="0.25">
      <c r="A256" s="7">
        <f>IF(Data!A256=Entry2!A256,Data!A256,"ERROR")</f>
        <v>5</v>
      </c>
      <c r="B256" s="7">
        <f>IF(Data!B256=Entry2!B256,Data!B256,"ERROR")</f>
        <v>2023</v>
      </c>
      <c r="C256" s="17">
        <f>IF(Data!C256=Entry2!C256,Data!C256,"ERROR")</f>
        <v>45203</v>
      </c>
      <c r="D256" s="7" t="str">
        <f>IF(Data!D256=Entry2!D256,Data!D256,"ERROR")</f>
        <v>JC, HH</v>
      </c>
      <c r="E256" s="7" t="str">
        <f>IF(Data!E256=Entry2!E256,Data!E256,"ERROR")</f>
        <v>GB</v>
      </c>
      <c r="F256" s="7">
        <f>IF(Data!F256=Entry2!F256,Data!F256,"ERROR")</f>
        <v>3</v>
      </c>
      <c r="G256" s="7" t="str">
        <f>IF(Data!G256=Entry2!G256,Data!G256,"ERROR")</f>
        <v>SS</v>
      </c>
      <c r="H256" s="7">
        <f>IF(Data!H256=Entry2!H256,Data!H256,"ERROR")</f>
        <v>13</v>
      </c>
      <c r="I256" s="7">
        <f>IF(Data!I256=Entry2!I256,Data!I256,"ERROR")</f>
        <v>2</v>
      </c>
      <c r="J256" s="7">
        <f>IF(Data!J256=Entry2!J256,Data!J256,"ERROR")</f>
        <v>10</v>
      </c>
      <c r="K256" s="7" t="str">
        <f>IF(Data!K256=Entry2!K256,Data!K256,"ERROR")</f>
        <v>L</v>
      </c>
      <c r="L256" s="7" t="str">
        <f>IF(Data!L256=Entry2!L256,Data!L256,"ERROR")</f>
        <v>ERROR</v>
      </c>
      <c r="M256" s="7">
        <f>IF(Data!N256=Entry2!M256,Data!N256,"ERROR")</f>
        <v>0</v>
      </c>
    </row>
    <row r="257" spans="1:13" ht="13.2" hidden="1" x14ac:dyDescent="0.25">
      <c r="A257" s="7">
        <f>IF(Data!A257=Entry2!A257,Data!A257,"ERROR")</f>
        <v>5</v>
      </c>
      <c r="B257" s="7">
        <f>IF(Data!B257=Entry2!B257,Data!B257,"ERROR")</f>
        <v>2023</v>
      </c>
      <c r="C257" s="17">
        <f>IF(Data!C257=Entry2!C257,Data!C257,"ERROR")</f>
        <v>45203</v>
      </c>
      <c r="D257" s="7" t="str">
        <f>IF(Data!D257=Entry2!D257,Data!D257,"ERROR")</f>
        <v>JC, HH</v>
      </c>
      <c r="E257" s="7" t="str">
        <f>IF(Data!E257=Entry2!E257,Data!E257,"ERROR")</f>
        <v>GB</v>
      </c>
      <c r="F257" s="7">
        <f>IF(Data!F257=Entry2!F257,Data!F257,"ERROR")</f>
        <v>3</v>
      </c>
      <c r="G257" s="7" t="str">
        <f>IF(Data!G257=Entry2!G257,Data!G257,"ERROR")</f>
        <v>SS</v>
      </c>
      <c r="H257" s="7">
        <f>IF(Data!H257=Entry2!H257,Data!H257,"ERROR")</f>
        <v>13</v>
      </c>
      <c r="I257" s="7">
        <f>IF(Data!I257=Entry2!I257,Data!I257,"ERROR")</f>
        <v>2</v>
      </c>
      <c r="J257" s="7">
        <f>IF(Data!J257=Entry2!J257,Data!J257,"ERROR")</f>
        <v>10</v>
      </c>
      <c r="K257" s="7" t="str">
        <f>IF(Data!K257=Entry2!K257,Data!K257,"ERROR")</f>
        <v>DEIFAS</v>
      </c>
      <c r="L257" s="7" t="str">
        <f>IF(Data!L257=Entry2!L257,Data!L257,"ERROR")</f>
        <v>ERROR</v>
      </c>
      <c r="M257" s="7">
        <f>IF(Data!N257=Entry2!M257,Data!N257,"ERROR")</f>
        <v>0</v>
      </c>
    </row>
    <row r="258" spans="1:13" ht="13.2" hidden="1" x14ac:dyDescent="0.25">
      <c r="A258" s="7">
        <f>IF(Data!A258=Entry2!A258,Data!A258,"ERROR")</f>
        <v>5</v>
      </c>
      <c r="B258" s="7">
        <f>IF(Data!B258=Entry2!B258,Data!B258,"ERROR")</f>
        <v>2023</v>
      </c>
      <c r="C258" s="17">
        <f>IF(Data!C258=Entry2!C258,Data!C258,"ERROR")</f>
        <v>45203</v>
      </c>
      <c r="D258" s="7" t="str">
        <f>IF(Data!D258=Entry2!D258,Data!D258,"ERROR")</f>
        <v>JC, HH</v>
      </c>
      <c r="E258" s="7" t="str">
        <f>IF(Data!E258=Entry2!E258,Data!E258,"ERROR")</f>
        <v>GB</v>
      </c>
      <c r="F258" s="7">
        <f>IF(Data!F258=Entry2!F258,Data!F258,"ERROR")</f>
        <v>3</v>
      </c>
      <c r="G258" s="7" t="str">
        <f>IF(Data!G258=Entry2!G258,Data!G258,"ERROR")</f>
        <v>SS</v>
      </c>
      <c r="H258" s="7">
        <f>IF(Data!H258=Entry2!H258,Data!H258,"ERROR")</f>
        <v>14</v>
      </c>
      <c r="I258" s="7">
        <f>IF(Data!I258=Entry2!I258,Data!I258,"ERROR")</f>
        <v>2</v>
      </c>
      <c r="J258" s="7">
        <f>IF(Data!J258=Entry2!J258,Data!J258,"ERROR")</f>
        <v>11</v>
      </c>
      <c r="K258" s="7" t="str">
        <f>IF(Data!K258=Entry2!K258,Data!K258,"ERROR")</f>
        <v>B</v>
      </c>
      <c r="L258" s="7" t="str">
        <f>IF(Data!L258=Entry2!L258,Data!L258,"ERROR")</f>
        <v>ERROR</v>
      </c>
      <c r="M258" s="7">
        <f>IF(Data!N258=Entry2!M258,Data!N258,"ERROR")</f>
        <v>0</v>
      </c>
    </row>
    <row r="259" spans="1:13" ht="13.2" hidden="1" x14ac:dyDescent="0.25">
      <c r="A259" s="7">
        <f>IF(Data!A259=Entry2!A259,Data!A259,"ERROR")</f>
        <v>5</v>
      </c>
      <c r="B259" s="7">
        <f>IF(Data!B259=Entry2!B259,Data!B259,"ERROR")</f>
        <v>2023</v>
      </c>
      <c r="C259" s="17">
        <f>IF(Data!C259=Entry2!C259,Data!C259,"ERROR")</f>
        <v>45203</v>
      </c>
      <c r="D259" s="7" t="str">
        <f>IF(Data!D259=Entry2!D259,Data!D259,"ERROR")</f>
        <v>JC, HH</v>
      </c>
      <c r="E259" s="7" t="str">
        <f>IF(Data!E259=Entry2!E259,Data!E259,"ERROR")</f>
        <v>GB</v>
      </c>
      <c r="F259" s="7">
        <f>IF(Data!F259=Entry2!F259,Data!F259,"ERROR")</f>
        <v>3</v>
      </c>
      <c r="G259" s="7" t="str">
        <f>IF(Data!G259=Entry2!G259,Data!G259,"ERROR")</f>
        <v>SS</v>
      </c>
      <c r="H259" s="7">
        <f>IF(Data!H259=Entry2!H259,Data!H259,"ERROR")</f>
        <v>14</v>
      </c>
      <c r="I259" s="7">
        <f>IF(Data!I259=Entry2!I259,Data!I259,"ERROR")</f>
        <v>2</v>
      </c>
      <c r="J259" s="7">
        <f>IF(Data!J259=Entry2!J259,Data!J259,"ERROR")</f>
        <v>11</v>
      </c>
      <c r="K259" s="7" t="str">
        <f>IF(Data!K259=Entry2!K259,Data!K259,"ERROR")</f>
        <v>DEIFAS</v>
      </c>
      <c r="L259" s="7" t="str">
        <f>IF(Data!L259=Entry2!L259,Data!L259,"ERROR")</f>
        <v>ERROR</v>
      </c>
      <c r="M259" s="7">
        <f>IF(Data!N259=Entry2!M259,Data!N259,"ERROR")</f>
        <v>0</v>
      </c>
    </row>
    <row r="260" spans="1:13" ht="13.2" hidden="1" x14ac:dyDescent="0.25">
      <c r="A260" s="7">
        <f>IF(Data!A260=Entry2!A260,Data!A260,"ERROR")</f>
        <v>5</v>
      </c>
      <c r="B260" s="7">
        <f>IF(Data!B260=Entry2!B260,Data!B260,"ERROR")</f>
        <v>2023</v>
      </c>
      <c r="C260" s="17">
        <f>IF(Data!C260=Entry2!C260,Data!C260,"ERROR")</f>
        <v>45203</v>
      </c>
      <c r="D260" s="7" t="str">
        <f>IF(Data!D260=Entry2!D260,Data!D260,"ERROR")</f>
        <v>JC, HH</v>
      </c>
      <c r="E260" s="7" t="str">
        <f>IF(Data!E260=Entry2!E260,Data!E260,"ERROR")</f>
        <v>GB</v>
      </c>
      <c r="F260" s="7">
        <f>IF(Data!F260=Entry2!F260,Data!F260,"ERROR")</f>
        <v>3</v>
      </c>
      <c r="G260" s="7" t="str">
        <f>IF(Data!G260=Entry2!G260,Data!G260,"ERROR")</f>
        <v>SS</v>
      </c>
      <c r="H260" s="7">
        <f>IF(Data!H260=Entry2!H260,Data!H260,"ERROR")</f>
        <v>15</v>
      </c>
      <c r="I260" s="7">
        <f>IF(Data!I260=Entry2!I260,Data!I260,"ERROR")</f>
        <v>2</v>
      </c>
      <c r="J260" s="7">
        <f>IF(Data!J260=Entry2!J260,Data!J260,"ERROR")</f>
        <v>12</v>
      </c>
      <c r="K260" s="7" t="str">
        <f>IF(Data!K260=Entry2!K260,Data!K260,"ERROR")</f>
        <v>L</v>
      </c>
      <c r="L260" s="7" t="str">
        <f>IF(Data!L260=Entry2!L260,Data!L260,"ERROR")</f>
        <v>ERROR</v>
      </c>
      <c r="M260" s="7">
        <f>IF(Data!N260=Entry2!M260,Data!N260,"ERROR")</f>
        <v>0</v>
      </c>
    </row>
    <row r="261" spans="1:13" ht="13.2" hidden="1" x14ac:dyDescent="0.25">
      <c r="A261" s="7">
        <f>IF(Data!A261=Entry2!A261,Data!A261,"ERROR")</f>
        <v>5</v>
      </c>
      <c r="B261" s="7">
        <f>IF(Data!B261=Entry2!B261,Data!B261,"ERROR")</f>
        <v>2023</v>
      </c>
      <c r="C261" s="17">
        <f>IF(Data!C261=Entry2!C261,Data!C261,"ERROR")</f>
        <v>45203</v>
      </c>
      <c r="D261" s="7" t="str">
        <f>IF(Data!D261=Entry2!D261,Data!D261,"ERROR")</f>
        <v>JC, HH</v>
      </c>
      <c r="E261" s="7" t="str">
        <f>IF(Data!E261=Entry2!E261,Data!E261,"ERROR")</f>
        <v>GB</v>
      </c>
      <c r="F261" s="7">
        <f>IF(Data!F261=Entry2!F261,Data!F261,"ERROR")</f>
        <v>3</v>
      </c>
      <c r="G261" s="7" t="str">
        <f>IF(Data!G261=Entry2!G261,Data!G261,"ERROR")</f>
        <v>SS</v>
      </c>
      <c r="H261" s="7">
        <f>IF(Data!H261=Entry2!H261,Data!H261,"ERROR")</f>
        <v>15</v>
      </c>
      <c r="I261" s="7">
        <f>IF(Data!I261=Entry2!I261,Data!I261,"ERROR")</f>
        <v>2</v>
      </c>
      <c r="J261" s="7">
        <f>IF(Data!J261=Entry2!J261,Data!J261,"ERROR")</f>
        <v>12</v>
      </c>
      <c r="K261" s="7" t="str">
        <f>IF(Data!K261=Entry2!K261,Data!K261,"ERROR")</f>
        <v>ERIFAS</v>
      </c>
      <c r="L261" s="7" t="str">
        <f>IF(Data!L261=Entry2!L261,Data!L261,"ERROR")</f>
        <v>ERROR</v>
      </c>
      <c r="M261" s="7">
        <f>IF(Data!N261=Entry2!M261,Data!N261,"ERROR")</f>
        <v>0</v>
      </c>
    </row>
    <row r="262" spans="1:13" ht="13.2" hidden="1" x14ac:dyDescent="0.25">
      <c r="A262" s="7">
        <f>IF(Data!A262=Entry2!A262,Data!A262,"ERROR")</f>
        <v>6</v>
      </c>
      <c r="B262" s="7">
        <f>IF(Data!B262=Entry2!B262,Data!B262,"ERROR")</f>
        <v>2023</v>
      </c>
      <c r="C262" s="17">
        <f>IF(Data!C262=Entry2!C262,Data!C262,"ERROR")</f>
        <v>45203</v>
      </c>
      <c r="D262" s="7" t="str">
        <f>IF(Data!D262=Entry2!D262,Data!D262,"ERROR")</f>
        <v>JC, HH</v>
      </c>
      <c r="E262" s="7" t="str">
        <f>IF(Data!E262=Entry2!E262,Data!E262,"ERROR")</f>
        <v>GB</v>
      </c>
      <c r="F262" s="7">
        <f>IF(Data!F262=Entry2!F262,Data!F262,"ERROR")</f>
        <v>3</v>
      </c>
      <c r="G262" s="7" t="str">
        <f>IF(Data!G262=Entry2!G262,Data!G262,"ERROR")</f>
        <v>SU</v>
      </c>
      <c r="H262" s="7">
        <f>IF(Data!H262=Entry2!H262,Data!H262,"ERROR")</f>
        <v>1</v>
      </c>
      <c r="I262" s="7">
        <f>IF(Data!I262=Entry2!I262,Data!I262,"ERROR")</f>
        <v>1</v>
      </c>
      <c r="J262" s="7">
        <f>IF(Data!J262=Entry2!J262,Data!J262,"ERROR")</f>
        <v>0</v>
      </c>
      <c r="K262" s="7" t="str">
        <f>IF(Data!K262=Entry2!K262,Data!K262,"ERROR")</f>
        <v>B</v>
      </c>
      <c r="L262" s="7" t="str">
        <f>IF(Data!L262=Entry2!L262,Data!L262,"ERROR")</f>
        <v>ERROR</v>
      </c>
      <c r="M262" s="7">
        <f>IF(Data!N262=Entry2!M262,Data!N262,"ERROR")</f>
        <v>0</v>
      </c>
    </row>
    <row r="263" spans="1:13" ht="13.2" hidden="1" x14ac:dyDescent="0.25">
      <c r="A263" s="7">
        <f>IF(Data!A263=Entry2!A263,Data!A263,"ERROR")</f>
        <v>6</v>
      </c>
      <c r="B263" s="7">
        <f>IF(Data!B263=Entry2!B263,Data!B263,"ERROR")</f>
        <v>2023</v>
      </c>
      <c r="C263" s="17">
        <f>IF(Data!C263=Entry2!C263,Data!C263,"ERROR")</f>
        <v>45203</v>
      </c>
      <c r="D263" s="7" t="str">
        <f>IF(Data!D263=Entry2!D263,Data!D263,"ERROR")</f>
        <v>JC, HH</v>
      </c>
      <c r="E263" s="7" t="str">
        <f>IF(Data!E263=Entry2!E263,Data!E263,"ERROR")</f>
        <v>GB</v>
      </c>
      <c r="F263" s="7">
        <f>IF(Data!F263=Entry2!F263,Data!F263,"ERROR")</f>
        <v>3</v>
      </c>
      <c r="G263" s="7" t="str">
        <f>IF(Data!G263=Entry2!G263,Data!G263,"ERROR")</f>
        <v>SU</v>
      </c>
      <c r="H263" s="7">
        <f>IF(Data!H263=Entry2!H263,Data!H263,"ERROR")</f>
        <v>1</v>
      </c>
      <c r="I263" s="7">
        <f>IF(Data!I263=Entry2!I263,Data!I263,"ERROR")</f>
        <v>1</v>
      </c>
      <c r="J263" s="7">
        <f>IF(Data!J263=Entry2!J263,Data!J263,"ERROR")</f>
        <v>0</v>
      </c>
      <c r="K263" s="7" t="str">
        <f>IF(Data!K263=Entry2!K263,Data!K263,"ERROR")</f>
        <v>BACPIL</v>
      </c>
      <c r="L263" s="7" t="str">
        <f>IF(Data!L263=Entry2!L263,Data!L263,"ERROR")</f>
        <v>ERROR</v>
      </c>
      <c r="M263" s="7">
        <f>IF(Data!N263=Entry2!M263,Data!N263,"ERROR")</f>
        <v>0</v>
      </c>
    </row>
    <row r="264" spans="1:13" ht="13.2" hidden="1" x14ac:dyDescent="0.25">
      <c r="A264" s="7">
        <f>IF(Data!A264=Entry2!A264,Data!A264,"ERROR")</f>
        <v>6</v>
      </c>
      <c r="B264" s="7">
        <f>IF(Data!B264=Entry2!B264,Data!B264,"ERROR")</f>
        <v>2023</v>
      </c>
      <c r="C264" s="17">
        <f>IF(Data!C264=Entry2!C264,Data!C264,"ERROR")</f>
        <v>45203</v>
      </c>
      <c r="D264" s="7" t="str">
        <f>IF(Data!D264=Entry2!D264,Data!D264,"ERROR")</f>
        <v>JC, HH</v>
      </c>
      <c r="E264" s="7" t="str">
        <f>IF(Data!E264=Entry2!E264,Data!E264,"ERROR")</f>
        <v>GB</v>
      </c>
      <c r="F264" s="7">
        <f>IF(Data!F264=Entry2!F264,Data!F264,"ERROR")</f>
        <v>3</v>
      </c>
      <c r="G264" s="7" t="str">
        <f>IF(Data!G264=Entry2!G264,Data!G264,"ERROR")</f>
        <v>SU</v>
      </c>
      <c r="H264" s="7">
        <f>IF(Data!H264=Entry2!H264,Data!H264,"ERROR")</f>
        <v>2</v>
      </c>
      <c r="I264" s="7">
        <f>IF(Data!I264=Entry2!I264,Data!I264,"ERROR")</f>
        <v>1</v>
      </c>
      <c r="J264" s="7">
        <f>IF(Data!J264=Entry2!J264,Data!J264,"ERROR")</f>
        <v>1</v>
      </c>
      <c r="K264" s="7" t="str">
        <f>IF(Data!K264=Entry2!K264,Data!K264,"ERROR")</f>
        <v>B</v>
      </c>
      <c r="L264" s="7" t="str">
        <f>IF(Data!L264=Entry2!L264,Data!L264,"ERROR")</f>
        <v>ERROR</v>
      </c>
      <c r="M264" s="7">
        <f>IF(Data!N264=Entry2!M264,Data!N264,"ERROR")</f>
        <v>0</v>
      </c>
    </row>
    <row r="265" spans="1:13" ht="13.2" hidden="1" x14ac:dyDescent="0.25">
      <c r="A265" s="7">
        <f>IF(Data!A265=Entry2!A265,Data!A265,"ERROR")</f>
        <v>6</v>
      </c>
      <c r="B265" s="7">
        <f>IF(Data!B265=Entry2!B265,Data!B265,"ERROR")</f>
        <v>2023</v>
      </c>
      <c r="C265" s="17">
        <f>IF(Data!C265=Entry2!C265,Data!C265,"ERROR")</f>
        <v>45203</v>
      </c>
      <c r="D265" s="7" t="str">
        <f>IF(Data!D265=Entry2!D265,Data!D265,"ERROR")</f>
        <v>JC, HH</v>
      </c>
      <c r="E265" s="7" t="str">
        <f>IF(Data!E265=Entry2!E265,Data!E265,"ERROR")</f>
        <v>GB</v>
      </c>
      <c r="F265" s="7">
        <f>IF(Data!F265=Entry2!F265,Data!F265,"ERROR")</f>
        <v>3</v>
      </c>
      <c r="G265" s="7" t="str">
        <f>IF(Data!G265=Entry2!G265,Data!G265,"ERROR")</f>
        <v>SU</v>
      </c>
      <c r="H265" s="7">
        <f>IF(Data!H265=Entry2!H265,Data!H265,"ERROR")</f>
        <v>3</v>
      </c>
      <c r="I265" s="7">
        <f>IF(Data!I265=Entry2!I265,Data!I265,"ERROR")</f>
        <v>1</v>
      </c>
      <c r="J265" s="7">
        <f>IF(Data!J265=Entry2!J265,Data!J265,"ERROR")</f>
        <v>1.5</v>
      </c>
      <c r="K265" s="7" t="str">
        <f>IF(Data!K265=Entry2!K265,Data!K265,"ERROR")</f>
        <v>L</v>
      </c>
      <c r="L265" s="7" t="str">
        <f>IF(Data!L265=Entry2!L265,Data!L265,"ERROR")</f>
        <v>ERROR</v>
      </c>
      <c r="M265" s="7">
        <f>IF(Data!N265=Entry2!M265,Data!N265,"ERROR")</f>
        <v>0</v>
      </c>
    </row>
    <row r="266" spans="1:13" ht="13.2" hidden="1" x14ac:dyDescent="0.25">
      <c r="A266" s="7">
        <f>IF(Data!A266=Entry2!A266,Data!A266,"ERROR")</f>
        <v>6</v>
      </c>
      <c r="B266" s="7">
        <f>IF(Data!B266=Entry2!B266,Data!B266,"ERROR")</f>
        <v>2023</v>
      </c>
      <c r="C266" s="17">
        <f>IF(Data!C266=Entry2!C266,Data!C266,"ERROR")</f>
        <v>45203</v>
      </c>
      <c r="D266" s="7" t="str">
        <f>IF(Data!D266=Entry2!D266,Data!D266,"ERROR")</f>
        <v>JC, HH</v>
      </c>
      <c r="E266" s="7" t="str">
        <f>IF(Data!E266=Entry2!E266,Data!E266,"ERROR")</f>
        <v>GB</v>
      </c>
      <c r="F266" s="7">
        <f>IF(Data!F266=Entry2!F266,Data!F266,"ERROR")</f>
        <v>3</v>
      </c>
      <c r="G266" s="7" t="str">
        <f>IF(Data!G266=Entry2!G266,Data!G266,"ERROR")</f>
        <v>SU</v>
      </c>
      <c r="H266" s="7">
        <f>IF(Data!H266=Entry2!H266,Data!H266,"ERROR")</f>
        <v>3</v>
      </c>
      <c r="I266" s="7">
        <f>IF(Data!I266=Entry2!I266,Data!I266,"ERROR")</f>
        <v>1</v>
      </c>
      <c r="J266" s="7">
        <f>IF(Data!J266=Entry2!J266,Data!J266,"ERROR")</f>
        <v>1.5</v>
      </c>
      <c r="K266" s="7" t="str">
        <f>IF(Data!K266=Entry2!K266,Data!K266,"ERROR")</f>
        <v>STEDIE</v>
      </c>
      <c r="L266" s="7" t="str">
        <f>IF(Data!L266=Entry2!L266,Data!L266,"ERROR")</f>
        <v>ERROR</v>
      </c>
      <c r="M266" s="7">
        <f>IF(Data!N266=Entry2!M266,Data!N266,"ERROR")</f>
        <v>0</v>
      </c>
    </row>
    <row r="267" spans="1:13" ht="13.2" hidden="1" x14ac:dyDescent="0.25">
      <c r="A267" s="7">
        <f>IF(Data!A267=Entry2!A267,Data!A267,"ERROR")</f>
        <v>6</v>
      </c>
      <c r="B267" s="7">
        <f>IF(Data!B267=Entry2!B267,Data!B267,"ERROR")</f>
        <v>2023</v>
      </c>
      <c r="C267" s="17">
        <f>IF(Data!C267=Entry2!C267,Data!C267,"ERROR")</f>
        <v>45203</v>
      </c>
      <c r="D267" s="7" t="str">
        <f>IF(Data!D267=Entry2!D267,Data!D267,"ERROR")</f>
        <v>JC, HH</v>
      </c>
      <c r="E267" s="7" t="str">
        <f>IF(Data!E267=Entry2!E267,Data!E267,"ERROR")</f>
        <v>GB</v>
      </c>
      <c r="F267" s="7">
        <f>IF(Data!F267=Entry2!F267,Data!F267,"ERROR")</f>
        <v>3</v>
      </c>
      <c r="G267" s="7" t="str">
        <f>IF(Data!G267=Entry2!G267,Data!G267,"ERROR")</f>
        <v>SU</v>
      </c>
      <c r="H267" s="7">
        <f>IF(Data!H267=Entry2!H267,Data!H267,"ERROR")</f>
        <v>4</v>
      </c>
      <c r="I267" s="7">
        <f>IF(Data!I267=Entry2!I267,Data!I267,"ERROR")</f>
        <v>1</v>
      </c>
      <c r="J267" s="7">
        <f>IF(Data!J267=Entry2!J267,Data!J267,"ERROR")</f>
        <v>2</v>
      </c>
      <c r="K267" s="7" t="str">
        <f>IF(Data!K267=Entry2!K267,Data!K267,"ERROR")</f>
        <v>R</v>
      </c>
      <c r="L267" s="7" t="str">
        <f>IF(Data!L267=Entry2!L267,Data!L267,"ERROR")</f>
        <v>ERROR</v>
      </c>
      <c r="M267" s="7">
        <f>IF(Data!N267=Entry2!M267,Data!N267,"ERROR")</f>
        <v>0</v>
      </c>
    </row>
    <row r="268" spans="1:13" ht="13.2" hidden="1" x14ac:dyDescent="0.25">
      <c r="A268" s="7">
        <f>IF(Data!A268=Entry2!A268,Data!A268,"ERROR")</f>
        <v>6</v>
      </c>
      <c r="B268" s="7">
        <f>IF(Data!B268=Entry2!B268,Data!B268,"ERROR")</f>
        <v>2023</v>
      </c>
      <c r="C268" s="17">
        <f>IF(Data!C268=Entry2!C268,Data!C268,"ERROR")</f>
        <v>45203</v>
      </c>
      <c r="D268" s="7" t="str">
        <f>IF(Data!D268=Entry2!D268,Data!D268,"ERROR")</f>
        <v>JC, HH</v>
      </c>
      <c r="E268" s="7" t="str">
        <f>IF(Data!E268=Entry2!E268,Data!E268,"ERROR")</f>
        <v>GB</v>
      </c>
      <c r="F268" s="7">
        <f>IF(Data!F268=Entry2!F268,Data!F268,"ERROR")</f>
        <v>3</v>
      </c>
      <c r="G268" s="7" t="str">
        <f>IF(Data!G268=Entry2!G268,Data!G268,"ERROR")</f>
        <v>SU</v>
      </c>
      <c r="H268" s="7">
        <f>IF(Data!H268=Entry2!H268,Data!H268,"ERROR")</f>
        <v>4</v>
      </c>
      <c r="I268" s="7">
        <f>IF(Data!I268=Entry2!I268,Data!I268,"ERROR")</f>
        <v>1</v>
      </c>
      <c r="J268" s="7">
        <f>IF(Data!J268=Entry2!J268,Data!J268,"ERROR")</f>
        <v>2</v>
      </c>
      <c r="K268" s="7" t="str">
        <f>IF(Data!K268=Entry2!K268,Data!K268,"ERROR")</f>
        <v>STEDIE</v>
      </c>
      <c r="L268" s="7" t="str">
        <f>IF(Data!L268=Entry2!L268,Data!L268,"ERROR")</f>
        <v>ERROR</v>
      </c>
      <c r="M268" s="7">
        <f>IF(Data!N268=Entry2!M268,Data!N268,"ERROR")</f>
        <v>0</v>
      </c>
    </row>
    <row r="269" spans="1:13" ht="13.2" hidden="1" x14ac:dyDescent="0.25">
      <c r="A269" s="7">
        <f>IF(Data!A269=Entry2!A269,Data!A269,"ERROR")</f>
        <v>6</v>
      </c>
      <c r="B269" s="7">
        <f>IF(Data!B269=Entry2!B269,Data!B269,"ERROR")</f>
        <v>2023</v>
      </c>
      <c r="C269" s="17">
        <f>IF(Data!C269=Entry2!C269,Data!C269,"ERROR")</f>
        <v>45203</v>
      </c>
      <c r="D269" s="7" t="str">
        <f>IF(Data!D269=Entry2!D269,Data!D269,"ERROR")</f>
        <v>JC, HH</v>
      </c>
      <c r="E269" s="7" t="str">
        <f>IF(Data!E269=Entry2!E269,Data!E269,"ERROR")</f>
        <v>GB</v>
      </c>
      <c r="F269" s="7">
        <f>IF(Data!F269=Entry2!F269,Data!F269,"ERROR")</f>
        <v>3</v>
      </c>
      <c r="G269" s="7" t="str">
        <f>IF(Data!G269=Entry2!G269,Data!G269,"ERROR")</f>
        <v>SU</v>
      </c>
      <c r="H269" s="7">
        <f>IF(Data!H269=Entry2!H269,Data!H269,"ERROR")</f>
        <v>5</v>
      </c>
      <c r="I269" s="7">
        <f>IF(Data!I269=Entry2!I269,Data!I269,"ERROR")</f>
        <v>1</v>
      </c>
      <c r="J269" s="7">
        <f>IF(Data!J269=Entry2!J269,Data!J269,"ERROR")</f>
        <v>3</v>
      </c>
      <c r="K269" s="7" t="str">
        <f>IF(Data!K269=Entry2!K269,Data!K269,"ERROR")</f>
        <v>B</v>
      </c>
      <c r="L269" s="7" t="str">
        <f>IF(Data!L269=Entry2!L269,Data!L269,"ERROR")</f>
        <v>ERROR</v>
      </c>
      <c r="M269" s="7">
        <f>IF(Data!N269=Entry2!M269,Data!N269,"ERROR")</f>
        <v>0</v>
      </c>
    </row>
    <row r="270" spans="1:13" ht="13.2" hidden="1" x14ac:dyDescent="0.25">
      <c r="A270" s="7">
        <f>IF(Data!A270=Entry2!A270,Data!A270,"ERROR")</f>
        <v>6</v>
      </c>
      <c r="B270" s="7">
        <f>IF(Data!B270=Entry2!B270,Data!B270,"ERROR")</f>
        <v>2023</v>
      </c>
      <c r="C270" s="17">
        <f>IF(Data!C270=Entry2!C270,Data!C270,"ERROR")</f>
        <v>45203</v>
      </c>
      <c r="D270" s="7" t="str">
        <f>IF(Data!D270=Entry2!D270,Data!D270,"ERROR")</f>
        <v>JC, HH</v>
      </c>
      <c r="E270" s="7" t="str">
        <f>IF(Data!E270=Entry2!E270,Data!E270,"ERROR")</f>
        <v>GB</v>
      </c>
      <c r="F270" s="7">
        <f>IF(Data!F270=Entry2!F270,Data!F270,"ERROR")</f>
        <v>3</v>
      </c>
      <c r="G270" s="7" t="str">
        <f>IF(Data!G270=Entry2!G270,Data!G270,"ERROR")</f>
        <v>SU</v>
      </c>
      <c r="H270" s="7">
        <f>IF(Data!H270=Entry2!H270,Data!H270,"ERROR")</f>
        <v>6</v>
      </c>
      <c r="I270" s="7">
        <f>IF(Data!I270=Entry2!I270,Data!I270,"ERROR")</f>
        <v>1</v>
      </c>
      <c r="J270" s="7">
        <f>IF(Data!J270=Entry2!J270,Data!J270,"ERROR")</f>
        <v>3.5</v>
      </c>
      <c r="K270" s="7" t="str">
        <f>IF(Data!K270=Entry2!K270,Data!K270,"ERROR")</f>
        <v>B</v>
      </c>
      <c r="L270" s="7" t="str">
        <f>IF(Data!L270=Entry2!L270,Data!L270,"ERROR")</f>
        <v>ERROR</v>
      </c>
      <c r="M270" s="7">
        <f>IF(Data!N270=Entry2!M270,Data!N270,"ERROR")</f>
        <v>0</v>
      </c>
    </row>
    <row r="271" spans="1:13" ht="13.2" hidden="1" x14ac:dyDescent="0.25">
      <c r="A271" s="7">
        <f>IF(Data!A271=Entry2!A271,Data!A271,"ERROR")</f>
        <v>6</v>
      </c>
      <c r="B271" s="7">
        <f>IF(Data!B271=Entry2!B271,Data!B271,"ERROR")</f>
        <v>2023</v>
      </c>
      <c r="C271" s="17">
        <f>IF(Data!C271=Entry2!C271,Data!C271,"ERROR")</f>
        <v>45203</v>
      </c>
      <c r="D271" s="7" t="str">
        <f>IF(Data!D271=Entry2!D271,Data!D271,"ERROR")</f>
        <v>JC, HH</v>
      </c>
      <c r="E271" s="7" t="str">
        <f>IF(Data!E271=Entry2!E271,Data!E271,"ERROR")</f>
        <v>GB</v>
      </c>
      <c r="F271" s="7">
        <f>IF(Data!F271=Entry2!F271,Data!F271,"ERROR")</f>
        <v>3</v>
      </c>
      <c r="G271" s="7" t="str">
        <f>IF(Data!G271=Entry2!G271,Data!G271,"ERROR")</f>
        <v>SU</v>
      </c>
      <c r="H271" s="7">
        <f>IF(Data!H271=Entry2!H271,Data!H271,"ERROR")</f>
        <v>6</v>
      </c>
      <c r="I271" s="7">
        <f>IF(Data!I271=Entry2!I271,Data!I271,"ERROR")</f>
        <v>1</v>
      </c>
      <c r="J271" s="7">
        <f>IF(Data!J271=Entry2!J271,Data!J271,"ERROR")</f>
        <v>3.5</v>
      </c>
      <c r="K271" s="7" t="str">
        <f>IF(Data!K271=Entry2!K271,Data!K271,"ERROR")</f>
        <v>LAECOU</v>
      </c>
      <c r="L271" s="7" t="str">
        <f>IF(Data!L271=Entry2!L271,Data!L271,"ERROR")</f>
        <v>ERROR</v>
      </c>
      <c r="M271" s="7">
        <f>IF(Data!N271=Entry2!M271,Data!N271,"ERROR")</f>
        <v>0</v>
      </c>
    </row>
    <row r="272" spans="1:13" ht="13.2" hidden="1" x14ac:dyDescent="0.25">
      <c r="A272" s="7">
        <f>IF(Data!A272=Entry2!A272,Data!A272,"ERROR")</f>
        <v>6</v>
      </c>
      <c r="B272" s="7">
        <f>IF(Data!B272=Entry2!B272,Data!B272,"ERROR")</f>
        <v>2023</v>
      </c>
      <c r="C272" s="17">
        <f>IF(Data!C272=Entry2!C272,Data!C272,"ERROR")</f>
        <v>45203</v>
      </c>
      <c r="D272" s="7" t="str">
        <f>IF(Data!D272=Entry2!D272,Data!D272,"ERROR")</f>
        <v>JC, HH</v>
      </c>
      <c r="E272" s="7" t="str">
        <f>IF(Data!E272=Entry2!E272,Data!E272,"ERROR")</f>
        <v>GB</v>
      </c>
      <c r="F272" s="7">
        <f>IF(Data!F272=Entry2!F272,Data!F272,"ERROR")</f>
        <v>3</v>
      </c>
      <c r="G272" s="7" t="str">
        <f>IF(Data!G272=Entry2!G272,Data!G272,"ERROR")</f>
        <v>SU</v>
      </c>
      <c r="H272" s="7">
        <f>IF(Data!H272=Entry2!H272,Data!H272,"ERROR")</f>
        <v>7</v>
      </c>
      <c r="I272" s="7">
        <f>IF(Data!I272=Entry2!I272,Data!I272,"ERROR")</f>
        <v>1</v>
      </c>
      <c r="J272" s="7">
        <f>IF(Data!J272=Entry2!J272,Data!J272,"ERROR")</f>
        <v>4</v>
      </c>
      <c r="K272" s="7" t="str">
        <f>IF(Data!K272=Entry2!K272,Data!K272,"ERROR")</f>
        <v>B</v>
      </c>
      <c r="L272" s="7" t="str">
        <f>IF(Data!L272=Entry2!L272,Data!L272,"ERROR")</f>
        <v>ERROR</v>
      </c>
      <c r="M272" s="7">
        <f>IF(Data!N272=Entry2!M272,Data!N272,"ERROR")</f>
        <v>0</v>
      </c>
    </row>
    <row r="273" spans="1:13" ht="13.2" hidden="1" x14ac:dyDescent="0.25">
      <c r="A273" s="7">
        <f>IF(Data!A273=Entry2!A273,Data!A273,"ERROR")</f>
        <v>6</v>
      </c>
      <c r="B273" s="7">
        <f>IF(Data!B273=Entry2!B273,Data!B273,"ERROR")</f>
        <v>2023</v>
      </c>
      <c r="C273" s="17">
        <f>IF(Data!C273=Entry2!C273,Data!C273,"ERROR")</f>
        <v>45203</v>
      </c>
      <c r="D273" s="7" t="str">
        <f>IF(Data!D273=Entry2!D273,Data!D273,"ERROR")</f>
        <v>JC, HH</v>
      </c>
      <c r="E273" s="7" t="str">
        <f>IF(Data!E273=Entry2!E273,Data!E273,"ERROR")</f>
        <v>GB</v>
      </c>
      <c r="F273" s="7">
        <f>IF(Data!F273=Entry2!F273,Data!F273,"ERROR")</f>
        <v>3</v>
      </c>
      <c r="G273" s="7" t="str">
        <f>IF(Data!G273=Entry2!G273,Data!G273,"ERROR")</f>
        <v>SU</v>
      </c>
      <c r="H273" s="7">
        <f>IF(Data!H273=Entry2!H273,Data!H273,"ERROR")</f>
        <v>8</v>
      </c>
      <c r="I273" s="7">
        <f>IF(Data!I273=Entry2!I273,Data!I273,"ERROR")</f>
        <v>1</v>
      </c>
      <c r="J273" s="7">
        <f>IF(Data!J273=Entry2!J273,Data!J273,"ERROR")</f>
        <v>5</v>
      </c>
      <c r="K273" s="7" t="str">
        <f>IF(Data!K273=Entry2!K273,Data!K273,"ERROR")</f>
        <v>L</v>
      </c>
      <c r="L273" s="7" t="str">
        <f>IF(Data!L273=Entry2!L273,Data!L273,"ERROR")</f>
        <v>ERROR</v>
      </c>
      <c r="M273" s="7">
        <f>IF(Data!N273=Entry2!M273,Data!N273,"ERROR")</f>
        <v>0</v>
      </c>
    </row>
    <row r="274" spans="1:13" ht="13.2" hidden="1" x14ac:dyDescent="0.25">
      <c r="A274" s="7">
        <f>IF(Data!A274=Entry2!A274,Data!A274,"ERROR")</f>
        <v>6</v>
      </c>
      <c r="B274" s="7">
        <f>IF(Data!B274=Entry2!B274,Data!B274,"ERROR")</f>
        <v>2023</v>
      </c>
      <c r="C274" s="17">
        <f>IF(Data!C274=Entry2!C274,Data!C274,"ERROR")</f>
        <v>45203</v>
      </c>
      <c r="D274" s="7" t="str">
        <f>IF(Data!D274=Entry2!D274,Data!D274,"ERROR")</f>
        <v>JC, HH</v>
      </c>
      <c r="E274" s="7" t="str">
        <f>IF(Data!E274=Entry2!E274,Data!E274,"ERROR")</f>
        <v>GB</v>
      </c>
      <c r="F274" s="7">
        <f>IF(Data!F274=Entry2!F274,Data!F274,"ERROR")</f>
        <v>3</v>
      </c>
      <c r="G274" s="7" t="str">
        <f>IF(Data!G274=Entry2!G274,Data!G274,"ERROR")</f>
        <v>SU</v>
      </c>
      <c r="H274" s="7">
        <f>IF(Data!H274=Entry2!H274,Data!H274,"ERROR")</f>
        <v>9</v>
      </c>
      <c r="I274" s="7">
        <f>IF(Data!I274=Entry2!I274,Data!I274,"ERROR")</f>
        <v>1</v>
      </c>
      <c r="J274" s="7">
        <f>IF(Data!J274=Entry2!J274,Data!J274,"ERROR")</f>
        <v>7</v>
      </c>
      <c r="K274" s="7" t="str">
        <f>IF(Data!K274=Entry2!K274,Data!K274,"ERROR")</f>
        <v>L</v>
      </c>
      <c r="L274" s="7" t="str">
        <f>IF(Data!L274=Entry2!L274,Data!L274,"ERROR")</f>
        <v>ERROR</v>
      </c>
      <c r="M274" s="7">
        <f>IF(Data!N274=Entry2!M274,Data!N274,"ERROR")</f>
        <v>0</v>
      </c>
    </row>
    <row r="275" spans="1:13" ht="13.2" hidden="1" x14ac:dyDescent="0.25">
      <c r="A275" s="7">
        <f>IF(Data!A275=Entry2!A275,Data!A275,"ERROR")</f>
        <v>6</v>
      </c>
      <c r="B275" s="7">
        <f>IF(Data!B275=Entry2!B275,Data!B275,"ERROR")</f>
        <v>2023</v>
      </c>
      <c r="C275" s="17">
        <f>IF(Data!C275=Entry2!C275,Data!C275,"ERROR")</f>
        <v>45203</v>
      </c>
      <c r="D275" s="7" t="str">
        <f>IF(Data!D275=Entry2!D275,Data!D275,"ERROR")</f>
        <v>JC, HH</v>
      </c>
      <c r="E275" s="7" t="str">
        <f>IF(Data!E275=Entry2!E275,Data!E275,"ERROR")</f>
        <v>GB</v>
      </c>
      <c r="F275" s="7">
        <f>IF(Data!F275=Entry2!F275,Data!F275,"ERROR")</f>
        <v>3</v>
      </c>
      <c r="G275" s="7" t="str">
        <f>IF(Data!G275=Entry2!G275,Data!G275,"ERROR")</f>
        <v>SU</v>
      </c>
      <c r="H275" s="7">
        <f>IF(Data!H275=Entry2!H275,Data!H275,"ERROR")</f>
        <v>10</v>
      </c>
      <c r="I275" s="7">
        <f>IF(Data!I275=Entry2!I275,Data!I275,"ERROR")</f>
        <v>1</v>
      </c>
      <c r="J275" s="7">
        <f>IF(Data!J275=Entry2!J275,Data!J275,"ERROR")</f>
        <v>8</v>
      </c>
      <c r="K275" s="7" t="str">
        <f>IF(Data!K275=Entry2!K275,Data!K275,"ERROR")</f>
        <v>B</v>
      </c>
      <c r="L275" s="7" t="str">
        <f>IF(Data!L275=Entry2!L275,Data!L275,"ERROR")</f>
        <v>ERROR</v>
      </c>
      <c r="M275" s="7">
        <f>IF(Data!N275=Entry2!M275,Data!N275,"ERROR")</f>
        <v>0</v>
      </c>
    </row>
    <row r="276" spans="1:13" ht="13.2" hidden="1" x14ac:dyDescent="0.25">
      <c r="A276" s="7">
        <f>IF(Data!A276=Entry2!A276,Data!A276,"ERROR")</f>
        <v>6</v>
      </c>
      <c r="B276" s="7">
        <f>IF(Data!B276=Entry2!B276,Data!B276,"ERROR")</f>
        <v>2023</v>
      </c>
      <c r="C276" s="17">
        <f>IF(Data!C276=Entry2!C276,Data!C276,"ERROR")</f>
        <v>45203</v>
      </c>
      <c r="D276" s="7" t="str">
        <f>IF(Data!D276=Entry2!D276,Data!D276,"ERROR")</f>
        <v>JC, HH</v>
      </c>
      <c r="E276" s="7" t="str">
        <f>IF(Data!E276=Entry2!E276,Data!E276,"ERROR")</f>
        <v>GB</v>
      </c>
      <c r="F276" s="7">
        <f>IF(Data!F276=Entry2!F276,Data!F276,"ERROR")</f>
        <v>3</v>
      </c>
      <c r="G276" s="7" t="str">
        <f>IF(Data!G276=Entry2!G276,Data!G276,"ERROR")</f>
        <v>SU</v>
      </c>
      <c r="H276" s="7">
        <f>IF(Data!H276=Entry2!H276,Data!H276,"ERROR")</f>
        <v>11</v>
      </c>
      <c r="I276" s="7">
        <f>IF(Data!I276=Entry2!I276,Data!I276,"ERROR")</f>
        <v>1</v>
      </c>
      <c r="J276" s="7">
        <f>IF(Data!J276=Entry2!J276,Data!J276,"ERROR")</f>
        <v>8.5</v>
      </c>
      <c r="K276" s="7" t="str">
        <f>IF(Data!K276=Entry2!K276,Data!K276,"ERROR")</f>
        <v>L</v>
      </c>
      <c r="L276" s="7" t="str">
        <f>IF(Data!L276=Entry2!L276,Data!L276,"ERROR")</f>
        <v>ERROR</v>
      </c>
      <c r="M276" s="7">
        <f>IF(Data!N276=Entry2!M276,Data!N276,"ERROR")</f>
        <v>0</v>
      </c>
    </row>
    <row r="277" spans="1:13" ht="13.2" hidden="1" x14ac:dyDescent="0.25">
      <c r="A277" s="7">
        <f>IF(Data!A277=Entry2!A277,Data!A277,"ERROR")</f>
        <v>6</v>
      </c>
      <c r="B277" s="7">
        <f>IF(Data!B277=Entry2!B277,Data!B277,"ERROR")</f>
        <v>2023</v>
      </c>
      <c r="C277" s="17">
        <f>IF(Data!C277=Entry2!C277,Data!C277,"ERROR")</f>
        <v>45203</v>
      </c>
      <c r="D277" s="7" t="str">
        <f>IF(Data!D277=Entry2!D277,Data!D277,"ERROR")</f>
        <v>JC, HH</v>
      </c>
      <c r="E277" s="7" t="str">
        <f>IF(Data!E277=Entry2!E277,Data!E277,"ERROR")</f>
        <v>GB</v>
      </c>
      <c r="F277" s="7">
        <f>IF(Data!F277=Entry2!F277,Data!F277,"ERROR")</f>
        <v>3</v>
      </c>
      <c r="G277" s="7" t="str">
        <f>IF(Data!G277=Entry2!G277,Data!G277,"ERROR")</f>
        <v>SU</v>
      </c>
      <c r="H277" s="7">
        <f>IF(Data!H277=Entry2!H277,Data!H277,"ERROR")</f>
        <v>12</v>
      </c>
      <c r="I277" s="7">
        <f>IF(Data!I277=Entry2!I277,Data!I277,"ERROR")</f>
        <v>1</v>
      </c>
      <c r="J277" s="7">
        <f>IF(Data!J277=Entry2!J277,Data!J277,"ERROR")</f>
        <v>9</v>
      </c>
      <c r="K277" s="7" t="str">
        <f>IF(Data!K277=Entry2!K277,Data!K277,"ERROR")</f>
        <v>L</v>
      </c>
      <c r="L277" s="7" t="str">
        <f>IF(Data!L277=Entry2!L277,Data!L277,"ERROR")</f>
        <v>ERROR</v>
      </c>
      <c r="M277" s="7">
        <f>IF(Data!N277=Entry2!M277,Data!N277,"ERROR")</f>
        <v>0</v>
      </c>
    </row>
    <row r="278" spans="1:13" ht="13.2" hidden="1" x14ac:dyDescent="0.25">
      <c r="A278" s="7">
        <f>IF(Data!A278=Entry2!A278,Data!A278,"ERROR")</f>
        <v>6</v>
      </c>
      <c r="B278" s="7">
        <f>IF(Data!B278=Entry2!B278,Data!B278,"ERROR")</f>
        <v>2023</v>
      </c>
      <c r="C278" s="17">
        <f>IF(Data!C278=Entry2!C278,Data!C278,"ERROR")</f>
        <v>45203</v>
      </c>
      <c r="D278" s="7" t="str">
        <f>IF(Data!D278=Entry2!D278,Data!D278,"ERROR")</f>
        <v>JC, HH</v>
      </c>
      <c r="E278" s="7" t="str">
        <f>IF(Data!E278=Entry2!E278,Data!E278,"ERROR")</f>
        <v>GB</v>
      </c>
      <c r="F278" s="7">
        <f>IF(Data!F278=Entry2!F278,Data!F278,"ERROR")</f>
        <v>3</v>
      </c>
      <c r="G278" s="7" t="str">
        <f>IF(Data!G278=Entry2!G278,Data!G278,"ERROR")</f>
        <v>SU</v>
      </c>
      <c r="H278" s="7">
        <f>IF(Data!H278=Entry2!H278,Data!H278,"ERROR")</f>
        <v>12</v>
      </c>
      <c r="I278" s="7">
        <f>IF(Data!I278=Entry2!I278,Data!I278,"ERROR")</f>
        <v>1</v>
      </c>
      <c r="J278" s="7">
        <f>IF(Data!J278=Entry2!J278,Data!J278,"ERROR")</f>
        <v>9</v>
      </c>
      <c r="K278" s="7" t="str">
        <f>IF(Data!K278=Entry2!K278,Data!K278,"ERROR")</f>
        <v>STEDIE</v>
      </c>
      <c r="L278" s="7" t="str">
        <f>IF(Data!L278=Entry2!L278,Data!L278,"ERROR")</f>
        <v>ERROR</v>
      </c>
      <c r="M278" s="7">
        <f>IF(Data!N278=Entry2!M278,Data!N278,"ERROR")</f>
        <v>0</v>
      </c>
    </row>
    <row r="279" spans="1:13" ht="13.2" hidden="1" x14ac:dyDescent="0.25">
      <c r="A279" s="7">
        <f>IF(Data!A279=Entry2!A279,Data!A279,"ERROR")</f>
        <v>6</v>
      </c>
      <c r="B279" s="7">
        <f>IF(Data!B279=Entry2!B279,Data!B279,"ERROR")</f>
        <v>2023</v>
      </c>
      <c r="C279" s="17">
        <f>IF(Data!C279=Entry2!C279,Data!C279,"ERROR")</f>
        <v>45203</v>
      </c>
      <c r="D279" s="7" t="str">
        <f>IF(Data!D279=Entry2!D279,Data!D279,"ERROR")</f>
        <v>JC, HH</v>
      </c>
      <c r="E279" s="7" t="str">
        <f>IF(Data!E279=Entry2!E279,Data!E279,"ERROR")</f>
        <v>GB</v>
      </c>
      <c r="F279" s="7">
        <f>IF(Data!F279=Entry2!F279,Data!F279,"ERROR")</f>
        <v>3</v>
      </c>
      <c r="G279" s="7" t="str">
        <f>IF(Data!G279=Entry2!G279,Data!G279,"ERROR")</f>
        <v>SU</v>
      </c>
      <c r="H279" s="7">
        <f>IF(Data!H279=Entry2!H279,Data!H279,"ERROR")</f>
        <v>13</v>
      </c>
      <c r="I279" s="7">
        <f>IF(Data!I279=Entry2!I279,Data!I279,"ERROR")</f>
        <v>1</v>
      </c>
      <c r="J279" s="7">
        <f>IF(Data!J279=Entry2!J279,Data!J279,"ERROR")</f>
        <v>10</v>
      </c>
      <c r="K279" s="7" t="str">
        <f>IF(Data!K279=Entry2!K279,Data!K279,"ERROR")</f>
        <v>L</v>
      </c>
      <c r="L279" s="7" t="str">
        <f>IF(Data!L279=Entry2!L279,Data!L279,"ERROR")</f>
        <v>ERROR</v>
      </c>
      <c r="M279" s="7">
        <f>IF(Data!N279=Entry2!M279,Data!N279,"ERROR")</f>
        <v>0</v>
      </c>
    </row>
    <row r="280" spans="1:13" ht="13.2" hidden="1" x14ac:dyDescent="0.25">
      <c r="A280" s="7">
        <f>IF(Data!A280=Entry2!A280,Data!A280,"ERROR")</f>
        <v>6</v>
      </c>
      <c r="B280" s="7">
        <f>IF(Data!B280=Entry2!B280,Data!B280,"ERROR")</f>
        <v>2023</v>
      </c>
      <c r="C280" s="17">
        <f>IF(Data!C280=Entry2!C280,Data!C280,"ERROR")</f>
        <v>45203</v>
      </c>
      <c r="D280" s="7" t="str">
        <f>IF(Data!D280=Entry2!D280,Data!D280,"ERROR")</f>
        <v>JC, HH</v>
      </c>
      <c r="E280" s="7" t="str">
        <f>IF(Data!E280=Entry2!E280,Data!E280,"ERROR")</f>
        <v>GB</v>
      </c>
      <c r="F280" s="7">
        <f>IF(Data!F280=Entry2!F280,Data!F280,"ERROR")</f>
        <v>3</v>
      </c>
      <c r="G280" s="7" t="str">
        <f>IF(Data!G280=Entry2!G280,Data!G280,"ERROR")</f>
        <v>SU</v>
      </c>
      <c r="H280" s="7">
        <f>IF(Data!H280=Entry2!H280,Data!H280,"ERROR")</f>
        <v>13</v>
      </c>
      <c r="I280" s="7">
        <f>IF(Data!I280=Entry2!I280,Data!I280,"ERROR")</f>
        <v>1</v>
      </c>
      <c r="J280" s="7">
        <f>IF(Data!J280=Entry2!J280,Data!J280,"ERROR")</f>
        <v>10</v>
      </c>
      <c r="K280" s="7" t="str">
        <f>IF(Data!K280=Entry2!K280,Data!K280,"ERROR")</f>
        <v>DEIFAS</v>
      </c>
      <c r="L280" s="7" t="str">
        <f>IF(Data!L280=Entry2!L280,Data!L280,"ERROR")</f>
        <v>ERROR</v>
      </c>
      <c r="M280" s="7">
        <f>IF(Data!N280=Entry2!M280,Data!N280,"ERROR")</f>
        <v>0</v>
      </c>
    </row>
    <row r="281" spans="1:13" ht="13.2" hidden="1" x14ac:dyDescent="0.25">
      <c r="A281" s="7">
        <f>IF(Data!A281=Entry2!A281,Data!A281,"ERROR")</f>
        <v>6</v>
      </c>
      <c r="B281" s="7">
        <f>IF(Data!B281=Entry2!B281,Data!B281,"ERROR")</f>
        <v>2023</v>
      </c>
      <c r="C281" s="17">
        <f>IF(Data!C281=Entry2!C281,Data!C281,"ERROR")</f>
        <v>45203</v>
      </c>
      <c r="D281" s="7" t="str">
        <f>IF(Data!D281=Entry2!D281,Data!D281,"ERROR")</f>
        <v>JC, HH</v>
      </c>
      <c r="E281" s="7" t="str">
        <f>IF(Data!E281=Entry2!E281,Data!E281,"ERROR")</f>
        <v>GB</v>
      </c>
      <c r="F281" s="7">
        <f>IF(Data!F281=Entry2!F281,Data!F281,"ERROR")</f>
        <v>3</v>
      </c>
      <c r="G281" s="7" t="str">
        <f>IF(Data!G281=Entry2!G281,Data!G281,"ERROR")</f>
        <v>SU</v>
      </c>
      <c r="H281" s="7">
        <f>IF(Data!H281=Entry2!H281,Data!H281,"ERROR")</f>
        <v>14</v>
      </c>
      <c r="I281" s="7">
        <f>IF(Data!I281=Entry2!I281,Data!I281,"ERROR")</f>
        <v>1</v>
      </c>
      <c r="J281" s="7">
        <f>IF(Data!J281=Entry2!J281,Data!J281,"ERROR")</f>
        <v>11</v>
      </c>
      <c r="K281" s="7" t="str">
        <f>IF(Data!K281=Entry2!K281,Data!K281,"ERROR")</f>
        <v>B</v>
      </c>
      <c r="L281" s="7" t="str">
        <f>IF(Data!L281=Entry2!L281,Data!L281,"ERROR")</f>
        <v>ERROR</v>
      </c>
      <c r="M281" s="7">
        <f>IF(Data!N281=Entry2!M281,Data!N281,"ERROR")</f>
        <v>0</v>
      </c>
    </row>
    <row r="282" spans="1:13" ht="13.2" hidden="1" x14ac:dyDescent="0.25">
      <c r="A282" s="7">
        <f>IF(Data!A282=Entry2!A282,Data!A282,"ERROR")</f>
        <v>6</v>
      </c>
      <c r="B282" s="7">
        <f>IF(Data!B282=Entry2!B282,Data!B282,"ERROR")</f>
        <v>2023</v>
      </c>
      <c r="C282" s="17">
        <f>IF(Data!C282=Entry2!C282,Data!C282,"ERROR")</f>
        <v>45203</v>
      </c>
      <c r="D282" s="7" t="str">
        <f>IF(Data!D282=Entry2!D282,Data!D282,"ERROR")</f>
        <v>JC, HH</v>
      </c>
      <c r="E282" s="7" t="str">
        <f>IF(Data!E282=Entry2!E282,Data!E282,"ERROR")</f>
        <v>GB</v>
      </c>
      <c r="F282" s="7">
        <f>IF(Data!F282=Entry2!F282,Data!F282,"ERROR")</f>
        <v>3</v>
      </c>
      <c r="G282" s="7" t="str">
        <f>IF(Data!G282=Entry2!G282,Data!G282,"ERROR")</f>
        <v>SU</v>
      </c>
      <c r="H282" s="7">
        <f>IF(Data!H282=Entry2!H282,Data!H282,"ERROR")</f>
        <v>14</v>
      </c>
      <c r="I282" s="7">
        <f>IF(Data!I282=Entry2!I282,Data!I282,"ERROR")</f>
        <v>1</v>
      </c>
      <c r="J282" s="7">
        <f>IF(Data!J282=Entry2!J282,Data!J282,"ERROR")</f>
        <v>11</v>
      </c>
      <c r="K282" s="7" t="str">
        <f>IF(Data!K282=Entry2!K282,Data!K282,"ERROR")</f>
        <v>DEIFAS</v>
      </c>
      <c r="L282" s="7" t="str">
        <f>IF(Data!L282=Entry2!L282,Data!L282,"ERROR")</f>
        <v>ERROR</v>
      </c>
      <c r="M282" s="7">
        <f>IF(Data!N282=Entry2!M282,Data!N282,"ERROR")</f>
        <v>0</v>
      </c>
    </row>
    <row r="283" spans="1:13" ht="13.2" hidden="1" x14ac:dyDescent="0.25">
      <c r="A283" s="7">
        <f>IF(Data!A283=Entry2!A283,Data!A283,"ERROR")</f>
        <v>6</v>
      </c>
      <c r="B283" s="7">
        <f>IF(Data!B283=Entry2!B283,Data!B283,"ERROR")</f>
        <v>2023</v>
      </c>
      <c r="C283" s="17">
        <f>IF(Data!C283=Entry2!C283,Data!C283,"ERROR")</f>
        <v>45203</v>
      </c>
      <c r="D283" s="7" t="str">
        <f>IF(Data!D283=Entry2!D283,Data!D283,"ERROR")</f>
        <v>JC, HH</v>
      </c>
      <c r="E283" s="7" t="str">
        <f>IF(Data!E283=Entry2!E283,Data!E283,"ERROR")</f>
        <v>GB</v>
      </c>
      <c r="F283" s="7">
        <f>IF(Data!F283=Entry2!F283,Data!F283,"ERROR")</f>
        <v>3</v>
      </c>
      <c r="G283" s="7" t="str">
        <f>IF(Data!G283=Entry2!G283,Data!G283,"ERROR")</f>
        <v>SU</v>
      </c>
      <c r="H283" s="7">
        <f>IF(Data!H283=Entry2!H283,Data!H283,"ERROR")</f>
        <v>15</v>
      </c>
      <c r="I283" s="7">
        <f>IF(Data!I283=Entry2!I283,Data!I283,"ERROR")</f>
        <v>1</v>
      </c>
      <c r="J283" s="7">
        <f>IF(Data!J283=Entry2!J283,Data!J283,"ERROR")</f>
        <v>12</v>
      </c>
      <c r="K283" s="7" t="str">
        <f>IF(Data!K283=Entry2!K283,Data!K283,"ERROR")</f>
        <v>B</v>
      </c>
      <c r="L283" s="7" t="str">
        <f>IF(Data!L283=Entry2!L283,Data!L283,"ERROR")</f>
        <v>ERROR</v>
      </c>
      <c r="M283" s="7">
        <f>IF(Data!N283=Entry2!M283,Data!N283,"ERROR")</f>
        <v>0</v>
      </c>
    </row>
    <row r="284" spans="1:13" ht="13.2" hidden="1" x14ac:dyDescent="0.25">
      <c r="A284" s="7">
        <f>IF(Data!A284=Entry2!A284,Data!A284,"ERROR")</f>
        <v>6</v>
      </c>
      <c r="B284" s="7">
        <f>IF(Data!B284=Entry2!B284,Data!B284,"ERROR")</f>
        <v>2023</v>
      </c>
      <c r="C284" s="17">
        <f>IF(Data!C284=Entry2!C284,Data!C284,"ERROR")</f>
        <v>45203</v>
      </c>
      <c r="D284" s="7" t="str">
        <f>IF(Data!D284=Entry2!D284,Data!D284,"ERROR")</f>
        <v>JC, HH</v>
      </c>
      <c r="E284" s="7" t="str">
        <f>IF(Data!E284=Entry2!E284,Data!E284,"ERROR")</f>
        <v>GB</v>
      </c>
      <c r="F284" s="7">
        <f>IF(Data!F284=Entry2!F284,Data!F284,"ERROR")</f>
        <v>3</v>
      </c>
      <c r="G284" s="7" t="str">
        <f>IF(Data!G284=Entry2!G284,Data!G284,"ERROR")</f>
        <v>SU</v>
      </c>
      <c r="H284" s="7">
        <f>IF(Data!H284=Entry2!H284,Data!H284,"ERROR")</f>
        <v>15</v>
      </c>
      <c r="I284" s="7">
        <f>IF(Data!I284=Entry2!I284,Data!I284,"ERROR")</f>
        <v>1</v>
      </c>
      <c r="J284" s="7">
        <f>IF(Data!J284=Entry2!J284,Data!J284,"ERROR")</f>
        <v>12</v>
      </c>
      <c r="K284" s="7" t="str">
        <f>IF(Data!K284=Entry2!K284,Data!K284,"ERROR")</f>
        <v>CENMEL</v>
      </c>
      <c r="L284" s="7" t="str">
        <f>IF(Data!L284=Entry2!L284,Data!L284,"ERROR")</f>
        <v>ERROR</v>
      </c>
      <c r="M284" s="7">
        <f>IF(Data!N284=Entry2!M284,Data!N284,"ERROR")</f>
        <v>0</v>
      </c>
    </row>
    <row r="285" spans="1:13" ht="13.2" hidden="1" x14ac:dyDescent="0.25">
      <c r="A285" s="7">
        <f>IF(Data!A285=Entry2!A285,Data!A285,"ERROR")</f>
        <v>6</v>
      </c>
      <c r="B285" s="7">
        <f>IF(Data!B285=Entry2!B285,Data!B285,"ERROR")</f>
        <v>2023</v>
      </c>
      <c r="C285" s="17">
        <f>IF(Data!C285=Entry2!C285,Data!C285,"ERROR")</f>
        <v>45203</v>
      </c>
      <c r="D285" s="7" t="str">
        <f>IF(Data!D285=Entry2!D285,Data!D285,"ERROR")</f>
        <v>JC, HH</v>
      </c>
      <c r="E285" s="7" t="str">
        <f>IF(Data!E285=Entry2!E285,Data!E285,"ERROR")</f>
        <v>GB</v>
      </c>
      <c r="F285" s="7">
        <f>IF(Data!F285=Entry2!F285,Data!F285,"ERROR")</f>
        <v>3</v>
      </c>
      <c r="G285" s="7" t="str">
        <f>IF(Data!G285=Entry2!G285,Data!G285,"ERROR")</f>
        <v>SU</v>
      </c>
      <c r="H285" s="7">
        <f>IF(Data!H285=Entry2!H285,Data!H285,"ERROR")</f>
        <v>1</v>
      </c>
      <c r="I285" s="7">
        <f>IF(Data!I285=Entry2!I285,Data!I285,"ERROR")</f>
        <v>2</v>
      </c>
      <c r="J285" s="7">
        <f>IF(Data!J285=Entry2!J285,Data!J285,"ERROR")</f>
        <v>0</v>
      </c>
      <c r="K285" s="7" t="str">
        <f>IF(Data!K285=Entry2!K285,Data!K285,"ERROR")</f>
        <v>L</v>
      </c>
      <c r="L285" s="7" t="str">
        <f>IF(Data!L285=Entry2!L285,Data!L285,"ERROR")</f>
        <v>ERROR</v>
      </c>
      <c r="M285" s="7">
        <f>IF(Data!N285=Entry2!M285,Data!N285,"ERROR")</f>
        <v>0</v>
      </c>
    </row>
    <row r="286" spans="1:13" ht="13.2" hidden="1" x14ac:dyDescent="0.25">
      <c r="A286" s="7">
        <f>IF(Data!A286=Entry2!A286,Data!A286,"ERROR")</f>
        <v>6</v>
      </c>
      <c r="B286" s="7">
        <f>IF(Data!B286=Entry2!B286,Data!B286,"ERROR")</f>
        <v>2023</v>
      </c>
      <c r="C286" s="17">
        <f>IF(Data!C286=Entry2!C286,Data!C286,"ERROR")</f>
        <v>45203</v>
      </c>
      <c r="D286" s="7" t="str">
        <f>IF(Data!D286=Entry2!D286,Data!D286,"ERROR")</f>
        <v>JC, HH</v>
      </c>
      <c r="E286" s="7" t="str">
        <f>IF(Data!E286=Entry2!E286,Data!E286,"ERROR")</f>
        <v>GB</v>
      </c>
      <c r="F286" s="7">
        <f>IF(Data!F286=Entry2!F286,Data!F286,"ERROR")</f>
        <v>3</v>
      </c>
      <c r="G286" s="7" t="str">
        <f>IF(Data!G286=Entry2!G286,Data!G286,"ERROR")</f>
        <v>SU</v>
      </c>
      <c r="H286" s="7">
        <f>IF(Data!H286=Entry2!H286,Data!H286,"ERROR")</f>
        <v>2</v>
      </c>
      <c r="I286" s="7">
        <f>IF(Data!I286=Entry2!I286,Data!I286,"ERROR")</f>
        <v>2</v>
      </c>
      <c r="J286" s="7">
        <f>IF(Data!J286=Entry2!J286,Data!J286,"ERROR")</f>
        <v>1</v>
      </c>
      <c r="K286" s="7" t="str">
        <f>IF(Data!K286=Entry2!K286,Data!K286,"ERROR")</f>
        <v>L</v>
      </c>
      <c r="L286" s="7" t="str">
        <f>IF(Data!L286=Entry2!L286,Data!L286,"ERROR")</f>
        <v>ERROR</v>
      </c>
      <c r="M286" s="7">
        <f>IF(Data!N286=Entry2!M286,Data!N286,"ERROR")</f>
        <v>0</v>
      </c>
    </row>
    <row r="287" spans="1:13" ht="13.2" hidden="1" x14ac:dyDescent="0.25">
      <c r="A287" s="7">
        <f>IF(Data!A287=Entry2!A287,Data!A287,"ERROR")</f>
        <v>6</v>
      </c>
      <c r="B287" s="7">
        <f>IF(Data!B287=Entry2!B287,Data!B287,"ERROR")</f>
        <v>2023</v>
      </c>
      <c r="C287" s="17">
        <f>IF(Data!C287=Entry2!C287,Data!C287,"ERROR")</f>
        <v>45203</v>
      </c>
      <c r="D287" s="7" t="str">
        <f>IF(Data!D287=Entry2!D287,Data!D287,"ERROR")</f>
        <v>JC, HH</v>
      </c>
      <c r="E287" s="7" t="str">
        <f>IF(Data!E287=Entry2!E287,Data!E287,"ERROR")</f>
        <v>GB</v>
      </c>
      <c r="F287" s="7">
        <f>IF(Data!F287=Entry2!F287,Data!F287,"ERROR")</f>
        <v>3</v>
      </c>
      <c r="G287" s="7" t="str">
        <f>IF(Data!G287=Entry2!G287,Data!G287,"ERROR")</f>
        <v>SU</v>
      </c>
      <c r="H287" s="7">
        <f>IF(Data!H287=Entry2!H287,Data!H287,"ERROR")</f>
        <v>2</v>
      </c>
      <c r="I287" s="7">
        <f>IF(Data!I287=Entry2!I287,Data!I287,"ERROR")</f>
        <v>2</v>
      </c>
      <c r="J287" s="7">
        <f>IF(Data!J287=Entry2!J287,Data!J287,"ERROR")</f>
        <v>1</v>
      </c>
      <c r="K287" s="7" t="str">
        <f>IF(Data!K287=Entry2!K287,Data!K287,"ERROR")</f>
        <v>NNG</v>
      </c>
      <c r="L287" s="7" t="str">
        <f>IF(Data!L287=Entry2!L287,Data!L287,"ERROR")</f>
        <v>ERROR</v>
      </c>
      <c r="M287" s="7">
        <f>IF(Data!N287=Entry2!M287,Data!N287,"ERROR")</f>
        <v>0</v>
      </c>
    </row>
    <row r="288" spans="1:13" ht="13.2" hidden="1" x14ac:dyDescent="0.25">
      <c r="A288" s="7">
        <f>IF(Data!A288=Entry2!A288,Data!A288,"ERROR")</f>
        <v>6</v>
      </c>
      <c r="B288" s="7">
        <f>IF(Data!B288=Entry2!B288,Data!B288,"ERROR")</f>
        <v>2023</v>
      </c>
      <c r="C288" s="17">
        <f>IF(Data!C288=Entry2!C288,Data!C288,"ERROR")</f>
        <v>45203</v>
      </c>
      <c r="D288" s="7" t="str">
        <f>IF(Data!D288=Entry2!D288,Data!D288,"ERROR")</f>
        <v>JC, HH</v>
      </c>
      <c r="E288" s="7" t="str">
        <f>IF(Data!E288=Entry2!E288,Data!E288,"ERROR")</f>
        <v>GB</v>
      </c>
      <c r="F288" s="7">
        <f>IF(Data!F288=Entry2!F288,Data!F288,"ERROR")</f>
        <v>3</v>
      </c>
      <c r="G288" s="7" t="str">
        <f>IF(Data!G288=Entry2!G288,Data!G288,"ERROR")</f>
        <v>SU</v>
      </c>
      <c r="H288" s="7">
        <f>IF(Data!H288=Entry2!H288,Data!H288,"ERROR")</f>
        <v>2</v>
      </c>
      <c r="I288" s="7">
        <f>IF(Data!I288=Entry2!I288,Data!I288,"ERROR")</f>
        <v>2</v>
      </c>
      <c r="J288" s="7">
        <f>IF(Data!J288=Entry2!J288,Data!J288,"ERROR")</f>
        <v>1</v>
      </c>
      <c r="K288" s="7" t="str">
        <f>IF(Data!K288=Entry2!K288,Data!K288,"ERROR")</f>
        <v>DEIFAS</v>
      </c>
      <c r="L288" s="7" t="str">
        <f>IF(Data!L288=Entry2!L288,Data!L288,"ERROR")</f>
        <v>ERROR</v>
      </c>
      <c r="M288" s="7">
        <f>IF(Data!N288=Entry2!M288,Data!N288,"ERROR")</f>
        <v>0</v>
      </c>
    </row>
    <row r="289" spans="1:13" ht="13.2" hidden="1" x14ac:dyDescent="0.25">
      <c r="A289" s="7">
        <f>IF(Data!A289=Entry2!A289,Data!A289,"ERROR")</f>
        <v>6</v>
      </c>
      <c r="B289" s="7">
        <f>IF(Data!B289=Entry2!B289,Data!B289,"ERROR")</f>
        <v>2023</v>
      </c>
      <c r="C289" s="17">
        <f>IF(Data!C289=Entry2!C289,Data!C289,"ERROR")</f>
        <v>45203</v>
      </c>
      <c r="D289" s="7" t="str">
        <f>IF(Data!D289=Entry2!D289,Data!D289,"ERROR")</f>
        <v>JC, HH</v>
      </c>
      <c r="E289" s="7" t="str">
        <f>IF(Data!E289=Entry2!E289,Data!E289,"ERROR")</f>
        <v>GB</v>
      </c>
      <c r="F289" s="7">
        <f>IF(Data!F289=Entry2!F289,Data!F289,"ERROR")</f>
        <v>3</v>
      </c>
      <c r="G289" s="7" t="str">
        <f>IF(Data!G289=Entry2!G289,Data!G289,"ERROR")</f>
        <v>SU</v>
      </c>
      <c r="H289" s="7">
        <f>IF(Data!H289=Entry2!H289,Data!H289,"ERROR")</f>
        <v>3</v>
      </c>
      <c r="I289" s="7">
        <f>IF(Data!I289=Entry2!I289,Data!I289,"ERROR")</f>
        <v>2</v>
      </c>
      <c r="J289" s="7">
        <f>IF(Data!J289=Entry2!J289,Data!J289,"ERROR")</f>
        <v>1.5</v>
      </c>
      <c r="K289" s="7" t="str">
        <f>IF(Data!K289=Entry2!K289,Data!K289,"ERROR")</f>
        <v>L</v>
      </c>
      <c r="L289" s="7" t="str">
        <f>IF(Data!L289=Entry2!L289,Data!L289,"ERROR")</f>
        <v>ERROR</v>
      </c>
      <c r="M289" s="7">
        <f>IF(Data!N289=Entry2!M289,Data!N289,"ERROR")</f>
        <v>0</v>
      </c>
    </row>
    <row r="290" spans="1:13" ht="13.2" hidden="1" x14ac:dyDescent="0.25">
      <c r="A290" s="7">
        <f>IF(Data!A290=Entry2!A290,Data!A290,"ERROR")</f>
        <v>6</v>
      </c>
      <c r="B290" s="7">
        <f>IF(Data!B290=Entry2!B290,Data!B290,"ERROR")</f>
        <v>2023</v>
      </c>
      <c r="C290" s="17">
        <f>IF(Data!C290=Entry2!C290,Data!C290,"ERROR")</f>
        <v>45203</v>
      </c>
      <c r="D290" s="7" t="str">
        <f>IF(Data!D290=Entry2!D290,Data!D290,"ERROR")</f>
        <v>JC, HH</v>
      </c>
      <c r="E290" s="7" t="str">
        <f>IF(Data!E290=Entry2!E290,Data!E290,"ERROR")</f>
        <v>GB</v>
      </c>
      <c r="F290" s="7">
        <f>IF(Data!F290=Entry2!F290,Data!F290,"ERROR")</f>
        <v>3</v>
      </c>
      <c r="G290" s="7" t="str">
        <f>IF(Data!G290=Entry2!G290,Data!G290,"ERROR")</f>
        <v>SU</v>
      </c>
      <c r="H290" s="7">
        <f>IF(Data!H290=Entry2!H290,Data!H290,"ERROR")</f>
        <v>3</v>
      </c>
      <c r="I290" s="7">
        <f>IF(Data!I290=Entry2!I290,Data!I290,"ERROR")</f>
        <v>2</v>
      </c>
      <c r="J290" s="7">
        <f>IF(Data!J290=Entry2!J290,Data!J290,"ERROR")</f>
        <v>1.5</v>
      </c>
      <c r="K290" s="7" t="str">
        <f>IF(Data!K290=Entry2!K290,Data!K290,"ERROR")</f>
        <v>DEIFAS</v>
      </c>
      <c r="L290" s="7" t="str">
        <f>IF(Data!L290=Entry2!L290,Data!L290,"ERROR")</f>
        <v>ERROR</v>
      </c>
      <c r="M290" s="7">
        <f>IF(Data!N290=Entry2!M290,Data!N290,"ERROR")</f>
        <v>0</v>
      </c>
    </row>
    <row r="291" spans="1:13" ht="13.2" hidden="1" x14ac:dyDescent="0.25">
      <c r="A291" s="7">
        <f>IF(Data!A291=Entry2!A291,Data!A291,"ERROR")</f>
        <v>6</v>
      </c>
      <c r="B291" s="7">
        <f>IF(Data!B291=Entry2!B291,Data!B291,"ERROR")</f>
        <v>2023</v>
      </c>
      <c r="C291" s="17">
        <f>IF(Data!C291=Entry2!C291,Data!C291,"ERROR")</f>
        <v>45203</v>
      </c>
      <c r="D291" s="7" t="str">
        <f>IF(Data!D291=Entry2!D291,Data!D291,"ERROR")</f>
        <v>JC, HH</v>
      </c>
      <c r="E291" s="7" t="str">
        <f>IF(Data!E291=Entry2!E291,Data!E291,"ERROR")</f>
        <v>GB</v>
      </c>
      <c r="F291" s="7">
        <f>IF(Data!F291=Entry2!F291,Data!F291,"ERROR")</f>
        <v>3</v>
      </c>
      <c r="G291" s="7" t="str">
        <f>IF(Data!G291=Entry2!G291,Data!G291,"ERROR")</f>
        <v>SU</v>
      </c>
      <c r="H291" s="7">
        <f>IF(Data!H291=Entry2!H291,Data!H291,"ERROR")</f>
        <v>4</v>
      </c>
      <c r="I291" s="7">
        <f>IF(Data!I291=Entry2!I291,Data!I291,"ERROR")</f>
        <v>2</v>
      </c>
      <c r="J291" s="7">
        <f>IF(Data!J291=Entry2!J291,Data!J291,"ERROR")</f>
        <v>2</v>
      </c>
      <c r="K291" s="7" t="str">
        <f>IF(Data!K291=Entry2!K291,Data!K291,"ERROR")</f>
        <v>L</v>
      </c>
      <c r="L291" s="7" t="str">
        <f>IF(Data!L291=Entry2!L291,Data!L291,"ERROR")</f>
        <v>ERROR</v>
      </c>
      <c r="M291" s="7">
        <f>IF(Data!N291=Entry2!M291,Data!N291,"ERROR")</f>
        <v>0</v>
      </c>
    </row>
    <row r="292" spans="1:13" ht="13.2" hidden="1" x14ac:dyDescent="0.25">
      <c r="A292" s="7">
        <f>IF(Data!A292=Entry2!A292,Data!A292,"ERROR")</f>
        <v>6</v>
      </c>
      <c r="B292" s="7">
        <f>IF(Data!B292=Entry2!B292,Data!B292,"ERROR")</f>
        <v>2023</v>
      </c>
      <c r="C292" s="17">
        <f>IF(Data!C292=Entry2!C292,Data!C292,"ERROR")</f>
        <v>45203</v>
      </c>
      <c r="D292" s="7" t="str">
        <f>IF(Data!D292=Entry2!D292,Data!D292,"ERROR")</f>
        <v>JC, HH</v>
      </c>
      <c r="E292" s="7" t="str">
        <f>IF(Data!E292=Entry2!E292,Data!E292,"ERROR")</f>
        <v>GB</v>
      </c>
      <c r="F292" s="7">
        <f>IF(Data!F292=Entry2!F292,Data!F292,"ERROR")</f>
        <v>3</v>
      </c>
      <c r="G292" s="7" t="str">
        <f>IF(Data!G292=Entry2!G292,Data!G292,"ERROR")</f>
        <v>SU</v>
      </c>
      <c r="H292" s="7">
        <f>IF(Data!H292=Entry2!H292,Data!H292,"ERROR")</f>
        <v>4</v>
      </c>
      <c r="I292" s="7">
        <f>IF(Data!I292=Entry2!I292,Data!I292,"ERROR")</f>
        <v>2</v>
      </c>
      <c r="J292" s="7">
        <f>IF(Data!J292=Entry2!J292,Data!J292,"ERROR")</f>
        <v>2</v>
      </c>
      <c r="K292" s="7" t="str">
        <f>IF(Data!K292=Entry2!K292,Data!K292,"ERROR")</f>
        <v>DEIFAS</v>
      </c>
      <c r="L292" s="7" t="str">
        <f>IF(Data!L292=Entry2!L292,Data!L292,"ERROR")</f>
        <v>ERROR</v>
      </c>
      <c r="M292" s="7">
        <f>IF(Data!N292=Entry2!M292,Data!N292,"ERROR")</f>
        <v>0</v>
      </c>
    </row>
    <row r="293" spans="1:13" ht="13.2" hidden="1" x14ac:dyDescent="0.25">
      <c r="A293" s="7">
        <f>IF(Data!A293=Entry2!A293,Data!A293,"ERROR")</f>
        <v>6</v>
      </c>
      <c r="B293" s="7">
        <f>IF(Data!B293=Entry2!B293,Data!B293,"ERROR")</f>
        <v>2023</v>
      </c>
      <c r="C293" s="17">
        <f>IF(Data!C293=Entry2!C293,Data!C293,"ERROR")</f>
        <v>45203</v>
      </c>
      <c r="D293" s="7" t="str">
        <f>IF(Data!D293=Entry2!D293,Data!D293,"ERROR")</f>
        <v>JC, HH</v>
      </c>
      <c r="E293" s="7" t="str">
        <f>IF(Data!E293=Entry2!E293,Data!E293,"ERROR")</f>
        <v>GB</v>
      </c>
      <c r="F293" s="7">
        <f>IF(Data!F293=Entry2!F293,Data!F293,"ERROR")</f>
        <v>3</v>
      </c>
      <c r="G293" s="7" t="str">
        <f>IF(Data!G293=Entry2!G293,Data!G293,"ERROR")</f>
        <v>SU</v>
      </c>
      <c r="H293" s="7">
        <f>IF(Data!H293=Entry2!H293,Data!H293,"ERROR")</f>
        <v>5</v>
      </c>
      <c r="I293" s="7">
        <f>IF(Data!I293=Entry2!I293,Data!I293,"ERROR")</f>
        <v>2</v>
      </c>
      <c r="J293" s="7">
        <f>IF(Data!J293=Entry2!J293,Data!J293,"ERROR")</f>
        <v>3</v>
      </c>
      <c r="K293" s="7" t="str">
        <f>IF(Data!K293=Entry2!K293,Data!K293,"ERROR")</f>
        <v>L</v>
      </c>
      <c r="L293" s="7" t="str">
        <f>IF(Data!L293=Entry2!L293,Data!L293,"ERROR")</f>
        <v>ERROR</v>
      </c>
      <c r="M293" s="7">
        <f>IF(Data!N293=Entry2!M293,Data!N293,"ERROR")</f>
        <v>0</v>
      </c>
    </row>
    <row r="294" spans="1:13" ht="13.2" hidden="1" x14ac:dyDescent="0.25">
      <c r="A294" s="7">
        <f>IF(Data!A294=Entry2!A294,Data!A294,"ERROR")</f>
        <v>6</v>
      </c>
      <c r="B294" s="7">
        <f>IF(Data!B294=Entry2!B294,Data!B294,"ERROR")</f>
        <v>2023</v>
      </c>
      <c r="C294" s="17">
        <f>IF(Data!C294=Entry2!C294,Data!C294,"ERROR")</f>
        <v>45203</v>
      </c>
      <c r="D294" s="7" t="str">
        <f>IF(Data!D294=Entry2!D294,Data!D294,"ERROR")</f>
        <v>JC, HH</v>
      </c>
      <c r="E294" s="7" t="str">
        <f>IF(Data!E294=Entry2!E294,Data!E294,"ERROR")</f>
        <v>GB</v>
      </c>
      <c r="F294" s="7">
        <f>IF(Data!F294=Entry2!F294,Data!F294,"ERROR")</f>
        <v>3</v>
      </c>
      <c r="G294" s="7" t="str">
        <f>IF(Data!G294=Entry2!G294,Data!G294,"ERROR")</f>
        <v>SU</v>
      </c>
      <c r="H294" s="7">
        <f>IF(Data!H294=Entry2!H294,Data!H294,"ERROR")</f>
        <v>5</v>
      </c>
      <c r="I294" s="7">
        <f>IF(Data!I294=Entry2!I294,Data!I294,"ERROR")</f>
        <v>2</v>
      </c>
      <c r="J294" s="7">
        <f>IF(Data!J294=Entry2!J294,Data!J294,"ERROR")</f>
        <v>3</v>
      </c>
      <c r="K294" s="7" t="str">
        <f>IF(Data!K294=Entry2!K294,Data!K294,"ERROR")</f>
        <v>DEIFAS</v>
      </c>
      <c r="L294" s="7" t="str">
        <f>IF(Data!L294=Entry2!L294,Data!L294,"ERROR")</f>
        <v>ERROR</v>
      </c>
      <c r="M294" s="7">
        <f>IF(Data!N294=Entry2!M294,Data!N294,"ERROR")</f>
        <v>0</v>
      </c>
    </row>
    <row r="295" spans="1:13" ht="13.2" hidden="1" x14ac:dyDescent="0.25">
      <c r="A295" s="7">
        <f>IF(Data!A295=Entry2!A295,Data!A295,"ERROR")</f>
        <v>6</v>
      </c>
      <c r="B295" s="7">
        <f>IF(Data!B295=Entry2!B295,Data!B295,"ERROR")</f>
        <v>2023</v>
      </c>
      <c r="C295" s="17">
        <f>IF(Data!C295=Entry2!C295,Data!C295,"ERROR")</f>
        <v>45203</v>
      </c>
      <c r="D295" s="7" t="str">
        <f>IF(Data!D295=Entry2!D295,Data!D295,"ERROR")</f>
        <v>JC, HH</v>
      </c>
      <c r="E295" s="7" t="str">
        <f>IF(Data!E295=Entry2!E295,Data!E295,"ERROR")</f>
        <v>GB</v>
      </c>
      <c r="F295" s="7">
        <f>IF(Data!F295=Entry2!F295,Data!F295,"ERROR")</f>
        <v>3</v>
      </c>
      <c r="G295" s="7" t="str">
        <f>IF(Data!G295=Entry2!G295,Data!G295,"ERROR")</f>
        <v>SU</v>
      </c>
      <c r="H295" s="7">
        <f>IF(Data!H295=Entry2!H295,Data!H295,"ERROR")</f>
        <v>6</v>
      </c>
      <c r="I295" s="7">
        <f>IF(Data!I295=Entry2!I295,Data!I295,"ERROR")</f>
        <v>2</v>
      </c>
      <c r="J295" s="7">
        <f>IF(Data!J295=Entry2!J295,Data!J295,"ERROR")</f>
        <v>3.5</v>
      </c>
      <c r="K295" s="7" t="str">
        <f>IF(Data!K295=Entry2!K295,Data!K295,"ERROR")</f>
        <v>L</v>
      </c>
      <c r="L295" s="7" t="str">
        <f>IF(Data!L295=Entry2!L295,Data!L295,"ERROR")</f>
        <v>ERROR</v>
      </c>
      <c r="M295" s="7">
        <f>IF(Data!N295=Entry2!M295,Data!N295,"ERROR")</f>
        <v>0</v>
      </c>
    </row>
    <row r="296" spans="1:13" ht="13.2" hidden="1" x14ac:dyDescent="0.25">
      <c r="A296" s="7">
        <f>IF(Data!A296=Entry2!A296,Data!A296,"ERROR")</f>
        <v>6</v>
      </c>
      <c r="B296" s="7">
        <f>IF(Data!B296=Entry2!B296,Data!B296,"ERROR")</f>
        <v>2023</v>
      </c>
      <c r="C296" s="17">
        <f>IF(Data!C296=Entry2!C296,Data!C296,"ERROR")</f>
        <v>45203</v>
      </c>
      <c r="D296" s="7" t="str">
        <f>IF(Data!D296=Entry2!D296,Data!D296,"ERROR")</f>
        <v>JC, HH</v>
      </c>
      <c r="E296" s="7" t="str">
        <f>IF(Data!E296=Entry2!E296,Data!E296,"ERROR")</f>
        <v>GB</v>
      </c>
      <c r="F296" s="7">
        <f>IF(Data!F296=Entry2!F296,Data!F296,"ERROR")</f>
        <v>3</v>
      </c>
      <c r="G296" s="7" t="str">
        <f>IF(Data!G296=Entry2!G296,Data!G296,"ERROR")</f>
        <v>SU</v>
      </c>
      <c r="H296" s="7">
        <f>IF(Data!H296=Entry2!H296,Data!H296,"ERROR")</f>
        <v>6</v>
      </c>
      <c r="I296" s="7">
        <f>IF(Data!I296=Entry2!I296,Data!I296,"ERROR")</f>
        <v>2</v>
      </c>
      <c r="J296" s="7">
        <f>IF(Data!J296=Entry2!J296,Data!J296,"ERROR")</f>
        <v>3.5</v>
      </c>
      <c r="K296" s="7" t="str">
        <f>IF(Data!K296=Entry2!K296,Data!K296,"ERROR")</f>
        <v>DEIFAS</v>
      </c>
      <c r="L296" s="7" t="str">
        <f>IF(Data!L296=Entry2!L296,Data!L296,"ERROR")</f>
        <v>ERROR</v>
      </c>
      <c r="M296" s="7">
        <f>IF(Data!N296=Entry2!M296,Data!N296,"ERROR")</f>
        <v>0</v>
      </c>
    </row>
    <row r="297" spans="1:13" ht="13.2" hidden="1" x14ac:dyDescent="0.25">
      <c r="A297" s="7">
        <f>IF(Data!A297=Entry2!A297,Data!A297,"ERROR")</f>
        <v>6</v>
      </c>
      <c r="B297" s="7">
        <f>IF(Data!B297=Entry2!B297,Data!B297,"ERROR")</f>
        <v>2023</v>
      </c>
      <c r="C297" s="17">
        <f>IF(Data!C297=Entry2!C297,Data!C297,"ERROR")</f>
        <v>45203</v>
      </c>
      <c r="D297" s="7" t="str">
        <f>IF(Data!D297=Entry2!D297,Data!D297,"ERROR")</f>
        <v>JC, HH</v>
      </c>
      <c r="E297" s="7" t="str">
        <f>IF(Data!E297=Entry2!E297,Data!E297,"ERROR")</f>
        <v>GB</v>
      </c>
      <c r="F297" s="7">
        <f>IF(Data!F297=Entry2!F297,Data!F297,"ERROR")</f>
        <v>3</v>
      </c>
      <c r="G297" s="7" t="str">
        <f>IF(Data!G297=Entry2!G297,Data!G297,"ERROR")</f>
        <v>SU</v>
      </c>
      <c r="H297" s="7">
        <f>IF(Data!H297=Entry2!H297,Data!H297,"ERROR")</f>
        <v>7</v>
      </c>
      <c r="I297" s="7">
        <f>IF(Data!I297=Entry2!I297,Data!I297,"ERROR")</f>
        <v>2</v>
      </c>
      <c r="J297" s="7">
        <f>IF(Data!J297=Entry2!J297,Data!J297,"ERROR")</f>
        <v>4</v>
      </c>
      <c r="K297" s="7" t="str">
        <f>IF(Data!K297=Entry2!K297,Data!K297,"ERROR")</f>
        <v>B</v>
      </c>
      <c r="L297" s="7" t="str">
        <f>IF(Data!L297=Entry2!L297,Data!L297,"ERROR")</f>
        <v>ERROR</v>
      </c>
      <c r="M297" s="7">
        <f>IF(Data!N297=Entry2!M297,Data!N297,"ERROR")</f>
        <v>0</v>
      </c>
    </row>
    <row r="298" spans="1:13" ht="13.2" hidden="1" x14ac:dyDescent="0.25">
      <c r="A298" s="7">
        <f>IF(Data!A298=Entry2!A298,Data!A298,"ERROR")</f>
        <v>6</v>
      </c>
      <c r="B298" s="7">
        <f>IF(Data!B298=Entry2!B298,Data!B298,"ERROR")</f>
        <v>2023</v>
      </c>
      <c r="C298" s="17">
        <f>IF(Data!C298=Entry2!C298,Data!C298,"ERROR")</f>
        <v>45203</v>
      </c>
      <c r="D298" s="7" t="str">
        <f>IF(Data!D298=Entry2!D298,Data!D298,"ERROR")</f>
        <v>JC, HH</v>
      </c>
      <c r="E298" s="7" t="str">
        <f>IF(Data!E298=Entry2!E298,Data!E298,"ERROR")</f>
        <v>GB</v>
      </c>
      <c r="F298" s="7">
        <f>IF(Data!F298=Entry2!F298,Data!F298,"ERROR")</f>
        <v>3</v>
      </c>
      <c r="G298" s="7" t="str">
        <f>IF(Data!G298=Entry2!G298,Data!G298,"ERROR")</f>
        <v>SU</v>
      </c>
      <c r="H298" s="7">
        <f>IF(Data!H298=Entry2!H298,Data!H298,"ERROR")</f>
        <v>8</v>
      </c>
      <c r="I298" s="7">
        <f>IF(Data!I298=Entry2!I298,Data!I298,"ERROR")</f>
        <v>2</v>
      </c>
      <c r="J298" s="7">
        <f>IF(Data!J298=Entry2!J298,Data!J298,"ERROR")</f>
        <v>5</v>
      </c>
      <c r="K298" s="7" t="str">
        <f>IF(Data!K298=Entry2!K298,Data!K298,"ERROR")</f>
        <v>B</v>
      </c>
      <c r="L298" s="7" t="str">
        <f>IF(Data!L298=Entry2!L298,Data!L298,"ERROR")</f>
        <v>ERROR</v>
      </c>
      <c r="M298" s="7">
        <f>IF(Data!N298=Entry2!M298,Data!N298,"ERROR")</f>
        <v>0</v>
      </c>
    </row>
    <row r="299" spans="1:13" ht="13.2" hidden="1" x14ac:dyDescent="0.25">
      <c r="A299" s="7">
        <f>IF(Data!A299=Entry2!A299,Data!A299,"ERROR")</f>
        <v>6</v>
      </c>
      <c r="B299" s="7">
        <f>IF(Data!B299=Entry2!B299,Data!B299,"ERROR")</f>
        <v>2023</v>
      </c>
      <c r="C299" s="17">
        <f>IF(Data!C299=Entry2!C299,Data!C299,"ERROR")</f>
        <v>45203</v>
      </c>
      <c r="D299" s="7" t="str">
        <f>IF(Data!D299=Entry2!D299,Data!D299,"ERROR")</f>
        <v>JC, HH</v>
      </c>
      <c r="E299" s="7" t="str">
        <f>IF(Data!E299=Entry2!E299,Data!E299,"ERROR")</f>
        <v>GB</v>
      </c>
      <c r="F299" s="7">
        <f>IF(Data!F299=Entry2!F299,Data!F299,"ERROR")</f>
        <v>3</v>
      </c>
      <c r="G299" s="7" t="str">
        <f>IF(Data!G299=Entry2!G299,Data!G299,"ERROR")</f>
        <v>SU</v>
      </c>
      <c r="H299" s="7">
        <f>IF(Data!H299=Entry2!H299,Data!H299,"ERROR")</f>
        <v>8</v>
      </c>
      <c r="I299" s="7">
        <f>IF(Data!I299=Entry2!I299,Data!I299,"ERROR")</f>
        <v>2</v>
      </c>
      <c r="J299" s="7">
        <f>IF(Data!J299=Entry2!J299,Data!J299,"ERROR")</f>
        <v>5</v>
      </c>
      <c r="K299" s="7" t="str">
        <f>IF(Data!K299=Entry2!K299,Data!K299,"ERROR")</f>
        <v>DEIFAS</v>
      </c>
      <c r="L299" s="7" t="str">
        <f>IF(Data!L299=Entry2!L299,Data!L299,"ERROR")</f>
        <v>ERROR</v>
      </c>
      <c r="M299" s="7">
        <f>IF(Data!N299=Entry2!M299,Data!N299,"ERROR")</f>
        <v>0</v>
      </c>
    </row>
    <row r="300" spans="1:13" ht="13.2" hidden="1" x14ac:dyDescent="0.25">
      <c r="A300" s="7">
        <f>IF(Data!A300=Entry2!A300,Data!A300,"ERROR")</f>
        <v>6</v>
      </c>
      <c r="B300" s="7">
        <f>IF(Data!B300=Entry2!B300,Data!B300,"ERROR")</f>
        <v>2023</v>
      </c>
      <c r="C300" s="17">
        <f>IF(Data!C300=Entry2!C300,Data!C300,"ERROR")</f>
        <v>45203</v>
      </c>
      <c r="D300" s="7" t="str">
        <f>IF(Data!D300=Entry2!D300,Data!D300,"ERROR")</f>
        <v>JC, HH</v>
      </c>
      <c r="E300" s="7" t="str">
        <f>IF(Data!E300=Entry2!E300,Data!E300,"ERROR")</f>
        <v>GB</v>
      </c>
      <c r="F300" s="7">
        <f>IF(Data!F300=Entry2!F300,Data!F300,"ERROR")</f>
        <v>3</v>
      </c>
      <c r="G300" s="7" t="str">
        <f>IF(Data!G300=Entry2!G300,Data!G300,"ERROR")</f>
        <v>SU</v>
      </c>
      <c r="H300" s="7">
        <f>IF(Data!H300=Entry2!H300,Data!H300,"ERROR")</f>
        <v>9</v>
      </c>
      <c r="I300" s="7">
        <f>IF(Data!I300=Entry2!I300,Data!I300,"ERROR")</f>
        <v>2</v>
      </c>
      <c r="J300" s="7">
        <f>IF(Data!J300=Entry2!J300,Data!J300,"ERROR")</f>
        <v>7</v>
      </c>
      <c r="K300" s="7" t="str">
        <f>IF(Data!K300=Entry2!K300,Data!K300,"ERROR")</f>
        <v>B</v>
      </c>
      <c r="L300" s="7" t="str">
        <f>IF(Data!L300=Entry2!L300,Data!L300,"ERROR")</f>
        <v>ERROR</v>
      </c>
      <c r="M300" s="7">
        <f>IF(Data!N300=Entry2!M300,Data!N300,"ERROR")</f>
        <v>0</v>
      </c>
    </row>
    <row r="301" spans="1:13" ht="13.2" hidden="1" x14ac:dyDescent="0.25">
      <c r="A301" s="7">
        <f>IF(Data!A301=Entry2!A301,Data!A301,"ERROR")</f>
        <v>6</v>
      </c>
      <c r="B301" s="7">
        <f>IF(Data!B301=Entry2!B301,Data!B301,"ERROR")</f>
        <v>2023</v>
      </c>
      <c r="C301" s="17">
        <f>IF(Data!C301=Entry2!C301,Data!C301,"ERROR")</f>
        <v>45203</v>
      </c>
      <c r="D301" s="7" t="str">
        <f>IF(Data!D301=Entry2!D301,Data!D301,"ERROR")</f>
        <v>JC, HH</v>
      </c>
      <c r="E301" s="7" t="str">
        <f>IF(Data!E301=Entry2!E301,Data!E301,"ERROR")</f>
        <v>GB</v>
      </c>
      <c r="F301" s="7">
        <f>IF(Data!F301=Entry2!F301,Data!F301,"ERROR")</f>
        <v>3</v>
      </c>
      <c r="G301" s="7" t="str">
        <f>IF(Data!G301=Entry2!G301,Data!G301,"ERROR")</f>
        <v>SU</v>
      </c>
      <c r="H301" s="7">
        <f>IF(Data!H301=Entry2!H301,Data!H301,"ERROR")</f>
        <v>10</v>
      </c>
      <c r="I301" s="7">
        <f>IF(Data!I301=Entry2!I301,Data!I301,"ERROR")</f>
        <v>2</v>
      </c>
      <c r="J301" s="7">
        <f>IF(Data!J301=Entry2!J301,Data!J301,"ERROR")</f>
        <v>8</v>
      </c>
      <c r="K301" s="7" t="str">
        <f>IF(Data!K301=Entry2!K301,Data!K301,"ERROR")</f>
        <v>B</v>
      </c>
      <c r="L301" s="7" t="str">
        <f>IF(Data!L301=Entry2!L301,Data!L301,"ERROR")</f>
        <v>ERROR</v>
      </c>
      <c r="M301" s="7">
        <f>IF(Data!N301=Entry2!M301,Data!N301,"ERROR")</f>
        <v>0</v>
      </c>
    </row>
    <row r="302" spans="1:13" ht="13.2" hidden="1" x14ac:dyDescent="0.25">
      <c r="A302" s="7">
        <f>IF(Data!A302=Entry2!A302,Data!A302,"ERROR")</f>
        <v>6</v>
      </c>
      <c r="B302" s="7">
        <f>IF(Data!B302=Entry2!B302,Data!B302,"ERROR")</f>
        <v>2023</v>
      </c>
      <c r="C302" s="17">
        <f>IF(Data!C302=Entry2!C302,Data!C302,"ERROR")</f>
        <v>45203</v>
      </c>
      <c r="D302" s="7" t="str">
        <f>IF(Data!D302=Entry2!D302,Data!D302,"ERROR")</f>
        <v>JC, HH</v>
      </c>
      <c r="E302" s="7" t="str">
        <f>IF(Data!E302=Entry2!E302,Data!E302,"ERROR")</f>
        <v>GB</v>
      </c>
      <c r="F302" s="7">
        <f>IF(Data!F302=Entry2!F302,Data!F302,"ERROR")</f>
        <v>3</v>
      </c>
      <c r="G302" s="7" t="str">
        <f>IF(Data!G302=Entry2!G302,Data!G302,"ERROR")</f>
        <v>SU</v>
      </c>
      <c r="H302" s="7">
        <f>IF(Data!H302=Entry2!H302,Data!H302,"ERROR")</f>
        <v>11</v>
      </c>
      <c r="I302" s="7">
        <f>IF(Data!I302=Entry2!I302,Data!I302,"ERROR")</f>
        <v>2</v>
      </c>
      <c r="J302" s="7">
        <f>IF(Data!J302=Entry2!J302,Data!J302,"ERROR")</f>
        <v>8.5</v>
      </c>
      <c r="K302" s="7" t="str">
        <f>IF(Data!K302=Entry2!K302,Data!K302,"ERROR")</f>
        <v>B</v>
      </c>
      <c r="L302" s="7" t="str">
        <f>IF(Data!L302=Entry2!L302,Data!L302,"ERROR")</f>
        <v>ERROR</v>
      </c>
      <c r="M302" s="7">
        <f>IF(Data!N302=Entry2!M302,Data!N302,"ERROR")</f>
        <v>0</v>
      </c>
    </row>
    <row r="303" spans="1:13" ht="13.2" hidden="1" x14ac:dyDescent="0.25">
      <c r="A303" s="7">
        <f>IF(Data!A303=Entry2!A303,Data!A303,"ERROR")</f>
        <v>6</v>
      </c>
      <c r="B303" s="7">
        <f>IF(Data!B303=Entry2!B303,Data!B303,"ERROR")</f>
        <v>2023</v>
      </c>
      <c r="C303" s="17">
        <f>IF(Data!C303=Entry2!C303,Data!C303,"ERROR")</f>
        <v>45203</v>
      </c>
      <c r="D303" s="7" t="str">
        <f>IF(Data!D303=Entry2!D303,Data!D303,"ERROR")</f>
        <v>JC, HH</v>
      </c>
      <c r="E303" s="7" t="str">
        <f>IF(Data!E303=Entry2!E303,Data!E303,"ERROR")</f>
        <v>GB</v>
      </c>
      <c r="F303" s="7">
        <f>IF(Data!F303=Entry2!F303,Data!F303,"ERROR")</f>
        <v>3</v>
      </c>
      <c r="G303" s="7" t="str">
        <f>IF(Data!G303=Entry2!G303,Data!G303,"ERROR")</f>
        <v>SU</v>
      </c>
      <c r="H303" s="7">
        <f>IF(Data!H303=Entry2!H303,Data!H303,"ERROR")</f>
        <v>11</v>
      </c>
      <c r="I303" s="7">
        <f>IF(Data!I303=Entry2!I303,Data!I303,"ERROR")</f>
        <v>2</v>
      </c>
      <c r="J303" s="7">
        <f>IF(Data!J303=Entry2!J303,Data!J303,"ERROR")</f>
        <v>8.5</v>
      </c>
      <c r="K303" s="7" t="str">
        <f>IF(Data!K303=Entry2!K303,Data!K303,"ERROR")</f>
        <v>DEIFAS</v>
      </c>
      <c r="L303" s="7" t="str">
        <f>IF(Data!L303=Entry2!L303,Data!L303,"ERROR")</f>
        <v>ERROR</v>
      </c>
      <c r="M303" s="7">
        <f>IF(Data!N303=Entry2!M303,Data!N303,"ERROR")</f>
        <v>0</v>
      </c>
    </row>
    <row r="304" spans="1:13" ht="13.2" hidden="1" x14ac:dyDescent="0.25">
      <c r="A304" s="7">
        <f>IF(Data!A304=Entry2!A304,Data!A304,"ERROR")</f>
        <v>6</v>
      </c>
      <c r="B304" s="7">
        <f>IF(Data!B304=Entry2!B304,Data!B304,"ERROR")</f>
        <v>2023</v>
      </c>
      <c r="C304" s="17">
        <f>IF(Data!C304=Entry2!C304,Data!C304,"ERROR")</f>
        <v>45203</v>
      </c>
      <c r="D304" s="7" t="str">
        <f>IF(Data!D304=Entry2!D304,Data!D304,"ERROR")</f>
        <v>JC, HH</v>
      </c>
      <c r="E304" s="7" t="str">
        <f>IF(Data!E304=Entry2!E304,Data!E304,"ERROR")</f>
        <v>GB</v>
      </c>
      <c r="F304" s="7">
        <f>IF(Data!F304=Entry2!F304,Data!F304,"ERROR")</f>
        <v>3</v>
      </c>
      <c r="G304" s="7" t="str">
        <f>IF(Data!G304=Entry2!G304,Data!G304,"ERROR")</f>
        <v>SU</v>
      </c>
      <c r="H304" s="7">
        <f>IF(Data!H304=Entry2!H304,Data!H304,"ERROR")</f>
        <v>11</v>
      </c>
      <c r="I304" s="7">
        <f>IF(Data!I304=Entry2!I304,Data!I304,"ERROR")</f>
        <v>2</v>
      </c>
      <c r="J304" s="7">
        <f>IF(Data!J304=Entry2!J304,Data!J304,"ERROR")</f>
        <v>8.5</v>
      </c>
      <c r="K304" s="7" t="str">
        <f>IF(Data!K304=Entry2!K304,Data!K304,"ERROR")</f>
        <v>LAECOU</v>
      </c>
      <c r="L304" s="7" t="str">
        <f>IF(Data!L304=Entry2!L304,Data!L304,"ERROR")</f>
        <v>ERROR</v>
      </c>
      <c r="M304" s="7">
        <f>IF(Data!N304=Entry2!M304,Data!N304,"ERROR")</f>
        <v>0</v>
      </c>
    </row>
    <row r="305" spans="1:13" ht="13.2" hidden="1" x14ac:dyDescent="0.25">
      <c r="A305" s="7">
        <f>IF(Data!A305=Entry2!A305,Data!A305,"ERROR")</f>
        <v>6</v>
      </c>
      <c r="B305" s="7">
        <f>IF(Data!B305=Entry2!B305,Data!B305,"ERROR")</f>
        <v>2023</v>
      </c>
      <c r="C305" s="17">
        <f>IF(Data!C305=Entry2!C305,Data!C305,"ERROR")</f>
        <v>45203</v>
      </c>
      <c r="D305" s="7" t="str">
        <f>IF(Data!D305=Entry2!D305,Data!D305,"ERROR")</f>
        <v>JC, HH</v>
      </c>
      <c r="E305" s="7" t="str">
        <f>IF(Data!E305=Entry2!E305,Data!E305,"ERROR")</f>
        <v>GB</v>
      </c>
      <c r="F305" s="7">
        <f>IF(Data!F305=Entry2!F305,Data!F305,"ERROR")</f>
        <v>3</v>
      </c>
      <c r="G305" s="7" t="str">
        <f>IF(Data!G305=Entry2!G305,Data!G305,"ERROR")</f>
        <v>SU</v>
      </c>
      <c r="H305" s="7">
        <f>IF(Data!H305=Entry2!H305,Data!H305,"ERROR")</f>
        <v>12</v>
      </c>
      <c r="I305" s="7">
        <f>IF(Data!I305=Entry2!I305,Data!I305,"ERROR")</f>
        <v>2</v>
      </c>
      <c r="J305" s="7">
        <f>IF(Data!J305=Entry2!J305,Data!J305,"ERROR")</f>
        <v>9</v>
      </c>
      <c r="K305" s="7" t="str">
        <f>IF(Data!K305=Entry2!K305,Data!K305,"ERROR")</f>
        <v>L</v>
      </c>
      <c r="L305" s="7" t="str">
        <f>IF(Data!L305=Entry2!L305,Data!L305,"ERROR")</f>
        <v>ERROR</v>
      </c>
      <c r="M305" s="7">
        <f>IF(Data!N305=Entry2!M305,Data!N305,"ERROR")</f>
        <v>0</v>
      </c>
    </row>
    <row r="306" spans="1:13" ht="13.2" hidden="1" x14ac:dyDescent="0.25">
      <c r="A306" s="7">
        <f>IF(Data!A306=Entry2!A306,Data!A306,"ERROR")</f>
        <v>6</v>
      </c>
      <c r="B306" s="7">
        <f>IF(Data!B306=Entry2!B306,Data!B306,"ERROR")</f>
        <v>2023</v>
      </c>
      <c r="C306" s="17">
        <f>IF(Data!C306=Entry2!C306,Data!C306,"ERROR")</f>
        <v>45203</v>
      </c>
      <c r="D306" s="7" t="str">
        <f>IF(Data!D306=Entry2!D306,Data!D306,"ERROR")</f>
        <v>JC, HH</v>
      </c>
      <c r="E306" s="7" t="str">
        <f>IF(Data!E306=Entry2!E306,Data!E306,"ERROR")</f>
        <v>GB</v>
      </c>
      <c r="F306" s="7">
        <f>IF(Data!F306=Entry2!F306,Data!F306,"ERROR")</f>
        <v>3</v>
      </c>
      <c r="G306" s="7" t="str">
        <f>IF(Data!G306=Entry2!G306,Data!G306,"ERROR")</f>
        <v>SU</v>
      </c>
      <c r="H306" s="7">
        <f>IF(Data!H306=Entry2!H306,Data!H306,"ERROR")</f>
        <v>12</v>
      </c>
      <c r="I306" s="7">
        <f>IF(Data!I306=Entry2!I306,Data!I306,"ERROR")</f>
        <v>2</v>
      </c>
      <c r="J306" s="7">
        <f>IF(Data!J306=Entry2!J306,Data!J306,"ERROR")</f>
        <v>9</v>
      </c>
      <c r="K306" s="7" t="str">
        <f>IF(Data!K306=Entry2!K306,Data!K306,"ERROR")</f>
        <v>DEIFAS</v>
      </c>
      <c r="L306" s="7" t="str">
        <f>IF(Data!L306=Entry2!L306,Data!L306,"ERROR")</f>
        <v>ERROR</v>
      </c>
      <c r="M306" s="7">
        <f>IF(Data!N306=Entry2!M306,Data!N306,"ERROR")</f>
        <v>0</v>
      </c>
    </row>
    <row r="307" spans="1:13" ht="13.2" hidden="1" x14ac:dyDescent="0.25">
      <c r="A307" s="7">
        <f>IF(Data!A307=Entry2!A307,Data!A307,"ERROR")</f>
        <v>6</v>
      </c>
      <c r="B307" s="7">
        <f>IF(Data!B307=Entry2!B307,Data!B307,"ERROR")</f>
        <v>2023</v>
      </c>
      <c r="C307" s="17">
        <f>IF(Data!C307=Entry2!C307,Data!C307,"ERROR")</f>
        <v>45203</v>
      </c>
      <c r="D307" s="7" t="str">
        <f>IF(Data!D307=Entry2!D307,Data!D307,"ERROR")</f>
        <v>JC, HH</v>
      </c>
      <c r="E307" s="7" t="str">
        <f>IF(Data!E307=Entry2!E307,Data!E307,"ERROR")</f>
        <v>GB</v>
      </c>
      <c r="F307" s="7">
        <f>IF(Data!F307=Entry2!F307,Data!F307,"ERROR")</f>
        <v>3</v>
      </c>
      <c r="G307" s="7" t="str">
        <f>IF(Data!G307=Entry2!G307,Data!G307,"ERROR")</f>
        <v>SU</v>
      </c>
      <c r="H307" s="7">
        <f>IF(Data!H307=Entry2!H307,Data!H307,"ERROR")</f>
        <v>12</v>
      </c>
      <c r="I307" s="7">
        <f>IF(Data!I307=Entry2!I307,Data!I307,"ERROR")</f>
        <v>2</v>
      </c>
      <c r="J307" s="7">
        <f>IF(Data!J307=Entry2!J307,Data!J307,"ERROR")</f>
        <v>9</v>
      </c>
      <c r="K307" s="7" t="str">
        <f>IF(Data!K307=Entry2!K307,Data!K307,"ERROR")</f>
        <v>LAECOU</v>
      </c>
      <c r="L307" s="7" t="str">
        <f>IF(Data!L307=Entry2!L307,Data!L307,"ERROR")</f>
        <v>ERROR</v>
      </c>
      <c r="M307" s="7">
        <f>IF(Data!N307=Entry2!M307,Data!N307,"ERROR")</f>
        <v>0</v>
      </c>
    </row>
    <row r="308" spans="1:13" ht="13.2" hidden="1" x14ac:dyDescent="0.25">
      <c r="A308" s="7">
        <f>IF(Data!A308=Entry2!A308,Data!A308,"ERROR")</f>
        <v>6</v>
      </c>
      <c r="B308" s="7">
        <f>IF(Data!B308=Entry2!B308,Data!B308,"ERROR")</f>
        <v>2023</v>
      </c>
      <c r="C308" s="17">
        <f>IF(Data!C308=Entry2!C308,Data!C308,"ERROR")</f>
        <v>45203</v>
      </c>
      <c r="D308" s="7" t="str">
        <f>IF(Data!D308=Entry2!D308,Data!D308,"ERROR")</f>
        <v>JC, HH</v>
      </c>
      <c r="E308" s="7" t="str">
        <f>IF(Data!E308=Entry2!E308,Data!E308,"ERROR")</f>
        <v>GB</v>
      </c>
      <c r="F308" s="7">
        <f>IF(Data!F308=Entry2!F308,Data!F308,"ERROR")</f>
        <v>3</v>
      </c>
      <c r="G308" s="7" t="str">
        <f>IF(Data!G308=Entry2!G308,Data!G308,"ERROR")</f>
        <v>SU</v>
      </c>
      <c r="H308" s="7">
        <f>IF(Data!H308=Entry2!H308,Data!H308,"ERROR")</f>
        <v>13</v>
      </c>
      <c r="I308" s="7">
        <f>IF(Data!I308=Entry2!I308,Data!I308,"ERROR")</f>
        <v>2</v>
      </c>
      <c r="J308" s="7">
        <f>IF(Data!J308=Entry2!J308,Data!J308,"ERROR")</f>
        <v>10</v>
      </c>
      <c r="K308" s="7" t="str">
        <f>IF(Data!K308=Entry2!K308,Data!K308,"ERROR")</f>
        <v>B</v>
      </c>
      <c r="L308" s="7" t="str">
        <f>IF(Data!L308=Entry2!L308,Data!L308,"ERROR")</f>
        <v>ERROR</v>
      </c>
      <c r="M308" s="7">
        <f>IF(Data!N308=Entry2!M308,Data!N308,"ERROR")</f>
        <v>0</v>
      </c>
    </row>
    <row r="309" spans="1:13" ht="13.2" hidden="1" x14ac:dyDescent="0.25">
      <c r="A309" s="7">
        <f>IF(Data!A309=Entry2!A309,Data!A309,"ERROR")</f>
        <v>6</v>
      </c>
      <c r="B309" s="7">
        <f>IF(Data!B309=Entry2!B309,Data!B309,"ERROR")</f>
        <v>2023</v>
      </c>
      <c r="C309" s="17">
        <f>IF(Data!C309=Entry2!C309,Data!C309,"ERROR")</f>
        <v>45203</v>
      </c>
      <c r="D309" s="7" t="str">
        <f>IF(Data!D309=Entry2!D309,Data!D309,"ERROR")</f>
        <v>JC, HH</v>
      </c>
      <c r="E309" s="7" t="str">
        <f>IF(Data!E309=Entry2!E309,Data!E309,"ERROR")</f>
        <v>GB</v>
      </c>
      <c r="F309" s="7">
        <f>IF(Data!F309=Entry2!F309,Data!F309,"ERROR")</f>
        <v>3</v>
      </c>
      <c r="G309" s="7" t="str">
        <f>IF(Data!G309=Entry2!G309,Data!G309,"ERROR")</f>
        <v>SU</v>
      </c>
      <c r="H309" s="7">
        <f>IF(Data!H309=Entry2!H309,Data!H309,"ERROR")</f>
        <v>14</v>
      </c>
      <c r="I309" s="7">
        <f>IF(Data!I309=Entry2!I309,Data!I309,"ERROR")</f>
        <v>2</v>
      </c>
      <c r="J309" s="7">
        <f>IF(Data!J309=Entry2!J309,Data!J309,"ERROR")</f>
        <v>11</v>
      </c>
      <c r="K309" s="7" t="str">
        <f>IF(Data!K309=Entry2!K309,Data!K309,"ERROR")</f>
        <v>L</v>
      </c>
      <c r="L309" s="7" t="str">
        <f>IF(Data!L309=Entry2!L309,Data!L309,"ERROR")</f>
        <v>ERROR</v>
      </c>
      <c r="M309" s="7">
        <f>IF(Data!N309=Entry2!M309,Data!N309,"ERROR")</f>
        <v>0</v>
      </c>
    </row>
    <row r="310" spans="1:13" ht="13.2" hidden="1" x14ac:dyDescent="0.25">
      <c r="A310" s="7">
        <f>IF(Data!A310=Entry2!A310,Data!A310,"ERROR")</f>
        <v>6</v>
      </c>
      <c r="B310" s="7">
        <f>IF(Data!B310=Entry2!B310,Data!B310,"ERROR")</f>
        <v>2023</v>
      </c>
      <c r="C310" s="17">
        <f>IF(Data!C310=Entry2!C310,Data!C310,"ERROR")</f>
        <v>45203</v>
      </c>
      <c r="D310" s="7" t="str">
        <f>IF(Data!D310=Entry2!D310,Data!D310,"ERROR")</f>
        <v>JC, HH</v>
      </c>
      <c r="E310" s="7" t="str">
        <f>IF(Data!E310=Entry2!E310,Data!E310,"ERROR")</f>
        <v>GB</v>
      </c>
      <c r="F310" s="7">
        <f>IF(Data!F310=Entry2!F310,Data!F310,"ERROR")</f>
        <v>3</v>
      </c>
      <c r="G310" s="7" t="str">
        <f>IF(Data!G310=Entry2!G310,Data!G310,"ERROR")</f>
        <v>SU</v>
      </c>
      <c r="H310" s="7">
        <f>IF(Data!H310=Entry2!H310,Data!H310,"ERROR")</f>
        <v>14</v>
      </c>
      <c r="I310" s="7">
        <f>IF(Data!I310=Entry2!I310,Data!I310,"ERROR")</f>
        <v>2</v>
      </c>
      <c r="J310" s="7">
        <f>IF(Data!J310=Entry2!J310,Data!J310,"ERROR")</f>
        <v>11</v>
      </c>
      <c r="K310" s="7" t="str">
        <f>IF(Data!K310=Entry2!K310,Data!K310,"ERROR")</f>
        <v>LAECOU</v>
      </c>
      <c r="L310" s="7" t="str">
        <f>IF(Data!L310=Entry2!L310,Data!L310,"ERROR")</f>
        <v>ERROR</v>
      </c>
      <c r="M310" s="7">
        <f>IF(Data!N310=Entry2!M310,Data!N310,"ERROR")</f>
        <v>0</v>
      </c>
    </row>
    <row r="311" spans="1:13" ht="13.2" hidden="1" x14ac:dyDescent="0.25">
      <c r="A311" s="7">
        <f>IF(Data!A311=Entry2!A311,Data!A311,"ERROR")</f>
        <v>6</v>
      </c>
      <c r="B311" s="7">
        <f>IF(Data!B311=Entry2!B311,Data!B311,"ERROR")</f>
        <v>2023</v>
      </c>
      <c r="C311" s="17">
        <f>IF(Data!C311=Entry2!C311,Data!C311,"ERROR")</f>
        <v>45203</v>
      </c>
      <c r="D311" s="7" t="str">
        <f>IF(Data!D311=Entry2!D311,Data!D311,"ERROR")</f>
        <v>JC, HH</v>
      </c>
      <c r="E311" s="7" t="str">
        <f>IF(Data!E311=Entry2!E311,Data!E311,"ERROR")</f>
        <v>GB</v>
      </c>
      <c r="F311" s="7">
        <f>IF(Data!F311=Entry2!F311,Data!F311,"ERROR")</f>
        <v>3</v>
      </c>
      <c r="G311" s="7" t="str">
        <f>IF(Data!G311=Entry2!G311,Data!G311,"ERROR")</f>
        <v>SU</v>
      </c>
      <c r="H311" s="7">
        <f>IF(Data!H311=Entry2!H311,Data!H311,"ERROR")</f>
        <v>15</v>
      </c>
      <c r="I311" s="7">
        <f>IF(Data!I311=Entry2!I311,Data!I311,"ERROR")</f>
        <v>2</v>
      </c>
      <c r="J311" s="7">
        <f>IF(Data!J311=Entry2!J311,Data!J311,"ERROR")</f>
        <v>12</v>
      </c>
      <c r="K311" s="7" t="str">
        <f>IF(Data!K311=Entry2!K311,Data!K311,"ERROR")</f>
        <v>L</v>
      </c>
      <c r="L311" s="7" t="str">
        <f>IF(Data!L311=Entry2!L311,Data!L311,"ERROR")</f>
        <v>ERROR</v>
      </c>
      <c r="M311" s="7">
        <f>IF(Data!N311=Entry2!M311,Data!N311,"ERROR")</f>
        <v>0</v>
      </c>
    </row>
    <row r="312" spans="1:13" ht="13.2" hidden="1" x14ac:dyDescent="0.25">
      <c r="A312" s="7">
        <f>IF(Data!A312=Entry2!A312,Data!A312,"ERROR")</f>
        <v>7</v>
      </c>
      <c r="B312" s="7">
        <f>IF(Data!B312=Entry2!B312,Data!B312,"ERROR")</f>
        <v>2023</v>
      </c>
      <c r="C312" s="17">
        <f>IF(Data!C312=Entry2!C312,Data!C312,"ERROR")</f>
        <v>45203</v>
      </c>
      <c r="D312" s="7" t="str">
        <f>IF(Data!D312=Entry2!D312,Data!D312,"ERROR")</f>
        <v>JC, HH</v>
      </c>
      <c r="E312" s="7" t="str">
        <f>IF(Data!E312=Entry2!E312,Data!E312,"ERROR")</f>
        <v>GB</v>
      </c>
      <c r="F312" s="7">
        <f>IF(Data!F312=Entry2!F312,Data!F312,"ERROR")</f>
        <v>3</v>
      </c>
      <c r="G312" s="7" t="str">
        <f>IF(Data!G312=Entry2!G312,Data!G312,"ERROR")</f>
        <v>LS</v>
      </c>
      <c r="H312" s="7">
        <f>IF(Data!H312=Entry2!H312,Data!H312,"ERROR")</f>
        <v>1</v>
      </c>
      <c r="I312" s="7">
        <f>IF(Data!I312=Entry2!I312,Data!I312,"ERROR")</f>
        <v>1</v>
      </c>
      <c r="J312" s="7">
        <f>IF(Data!J312=Entry2!J312,Data!J312,"ERROR")</f>
        <v>0</v>
      </c>
      <c r="K312" s="7" t="str">
        <f>IF(Data!K312=Entry2!K312,Data!K312,"ERROR")</f>
        <v>L</v>
      </c>
      <c r="L312" s="7" t="str">
        <f>IF(Data!L312=Entry2!L312,Data!L312,"ERROR")</f>
        <v>ERROR</v>
      </c>
      <c r="M312" s="7">
        <f>IF(Data!N312=Entry2!M312,Data!N312,"ERROR")</f>
        <v>0</v>
      </c>
    </row>
    <row r="313" spans="1:13" ht="13.2" hidden="1" x14ac:dyDescent="0.25">
      <c r="A313" s="7">
        <f>IF(Data!A313=Entry2!A313,Data!A313,"ERROR")</f>
        <v>7</v>
      </c>
      <c r="B313" s="7">
        <f>IF(Data!B313=Entry2!B313,Data!B313,"ERROR")</f>
        <v>2023</v>
      </c>
      <c r="C313" s="17">
        <f>IF(Data!C313=Entry2!C313,Data!C313,"ERROR")</f>
        <v>45203</v>
      </c>
      <c r="D313" s="7" t="str">
        <f>IF(Data!D313=Entry2!D313,Data!D313,"ERROR")</f>
        <v>JC, HH</v>
      </c>
      <c r="E313" s="7" t="str">
        <f>IF(Data!E313=Entry2!E313,Data!E313,"ERROR")</f>
        <v>GB</v>
      </c>
      <c r="F313" s="7">
        <f>IF(Data!F313=Entry2!F313,Data!F313,"ERROR")</f>
        <v>3</v>
      </c>
      <c r="G313" s="7" t="str">
        <f>IF(Data!G313=Entry2!G313,Data!G313,"ERROR")</f>
        <v>LS</v>
      </c>
      <c r="H313" s="7">
        <f>IF(Data!H313=Entry2!H313,Data!H313,"ERROR")</f>
        <v>1</v>
      </c>
      <c r="I313" s="7">
        <f>IF(Data!I313=Entry2!I313,Data!I313,"ERROR")</f>
        <v>1</v>
      </c>
      <c r="J313" s="7">
        <f>IF(Data!J313=Entry2!J313,Data!J313,"ERROR")</f>
        <v>0</v>
      </c>
      <c r="K313" s="7" t="str">
        <f>IF(Data!K313=Entry2!K313,Data!K313,"ERROR")</f>
        <v>DEIFAS</v>
      </c>
      <c r="L313" s="7" t="str">
        <f>IF(Data!L313=Entry2!L313,Data!L313,"ERROR")</f>
        <v>ERROR</v>
      </c>
      <c r="M313" s="7">
        <f>IF(Data!N313=Entry2!M313,Data!N313,"ERROR")</f>
        <v>0</v>
      </c>
    </row>
    <row r="314" spans="1:13" ht="13.2" hidden="1" x14ac:dyDescent="0.25">
      <c r="A314" s="7">
        <f>IF(Data!A314=Entry2!A314,Data!A314,"ERROR")</f>
        <v>7</v>
      </c>
      <c r="B314" s="7">
        <f>IF(Data!B314=Entry2!B314,Data!B314,"ERROR")</f>
        <v>2023</v>
      </c>
      <c r="C314" s="17">
        <f>IF(Data!C314=Entry2!C314,Data!C314,"ERROR")</f>
        <v>45203</v>
      </c>
      <c r="D314" s="7" t="str">
        <f>IF(Data!D314=Entry2!D314,Data!D314,"ERROR")</f>
        <v>JC, HH</v>
      </c>
      <c r="E314" s="7" t="str">
        <f>IF(Data!E314=Entry2!E314,Data!E314,"ERROR")</f>
        <v>GB</v>
      </c>
      <c r="F314" s="7">
        <f>IF(Data!F314=Entry2!F314,Data!F314,"ERROR")</f>
        <v>3</v>
      </c>
      <c r="G314" s="7" t="str">
        <f>IF(Data!G314=Entry2!G314,Data!G314,"ERROR")</f>
        <v>LS</v>
      </c>
      <c r="H314" s="7">
        <f>IF(Data!H314=Entry2!H314,Data!H314,"ERROR")</f>
        <v>2</v>
      </c>
      <c r="I314" s="7">
        <f>IF(Data!I314=Entry2!I314,Data!I314,"ERROR")</f>
        <v>1</v>
      </c>
      <c r="J314" s="7">
        <f>IF(Data!J314=Entry2!J314,Data!J314,"ERROR")</f>
        <v>0.5</v>
      </c>
      <c r="K314" s="7" t="str">
        <f>IF(Data!K314=Entry2!K314,Data!K314,"ERROR")</f>
        <v>L</v>
      </c>
      <c r="L314" s="7" t="str">
        <f>IF(Data!L314=Entry2!L314,Data!L314,"ERROR")</f>
        <v>ERROR</v>
      </c>
      <c r="M314" s="7">
        <f>IF(Data!N314=Entry2!M314,Data!N314,"ERROR")</f>
        <v>0</v>
      </c>
    </row>
    <row r="315" spans="1:13" ht="13.2" hidden="1" x14ac:dyDescent="0.25">
      <c r="A315" s="7">
        <f>IF(Data!A315=Entry2!A315,Data!A315,"ERROR")</f>
        <v>7</v>
      </c>
      <c r="B315" s="7">
        <f>IF(Data!B315=Entry2!B315,Data!B315,"ERROR")</f>
        <v>2023</v>
      </c>
      <c r="C315" s="17">
        <f>IF(Data!C315=Entry2!C315,Data!C315,"ERROR")</f>
        <v>45203</v>
      </c>
      <c r="D315" s="7" t="str">
        <f>IF(Data!D315=Entry2!D315,Data!D315,"ERROR")</f>
        <v>JC, HH</v>
      </c>
      <c r="E315" s="7" t="str">
        <f>IF(Data!E315=Entry2!E315,Data!E315,"ERROR")</f>
        <v>GB</v>
      </c>
      <c r="F315" s="7">
        <f>IF(Data!F315=Entry2!F315,Data!F315,"ERROR")</f>
        <v>3</v>
      </c>
      <c r="G315" s="7" t="str">
        <f>IF(Data!G315=Entry2!G315,Data!G315,"ERROR")</f>
        <v>LS</v>
      </c>
      <c r="H315" s="7">
        <f>IF(Data!H315=Entry2!H315,Data!H315,"ERROR")</f>
        <v>2</v>
      </c>
      <c r="I315" s="7">
        <f>IF(Data!I315=Entry2!I315,Data!I315,"ERROR")</f>
        <v>1</v>
      </c>
      <c r="J315" s="7">
        <f>IF(Data!J315=Entry2!J315,Data!J315,"ERROR")</f>
        <v>0.5</v>
      </c>
      <c r="K315" s="7" t="str">
        <f>IF(Data!K315=Entry2!K315,Data!K315,"ERROR")</f>
        <v>NNG</v>
      </c>
      <c r="L315" s="7" t="str">
        <f>IF(Data!L315=Entry2!L315,Data!L315,"ERROR")</f>
        <v>ERROR</v>
      </c>
      <c r="M315" s="7">
        <f>IF(Data!N315=Entry2!M315,Data!N315,"ERROR")</f>
        <v>0</v>
      </c>
    </row>
    <row r="316" spans="1:13" ht="13.2" hidden="1" x14ac:dyDescent="0.25">
      <c r="A316" s="7">
        <f>IF(Data!A316=Entry2!A316,Data!A316,"ERROR")</f>
        <v>7</v>
      </c>
      <c r="B316" s="7">
        <f>IF(Data!B316=Entry2!B316,Data!B316,"ERROR")</f>
        <v>2023</v>
      </c>
      <c r="C316" s="17">
        <f>IF(Data!C316=Entry2!C316,Data!C316,"ERROR")</f>
        <v>45203</v>
      </c>
      <c r="D316" s="7" t="str">
        <f>IF(Data!D316=Entry2!D316,Data!D316,"ERROR")</f>
        <v>JC, HH</v>
      </c>
      <c r="E316" s="7" t="str">
        <f>IF(Data!E316=Entry2!E316,Data!E316,"ERROR")</f>
        <v>GB</v>
      </c>
      <c r="F316" s="7">
        <f>IF(Data!F316=Entry2!F316,Data!F316,"ERROR")</f>
        <v>3</v>
      </c>
      <c r="G316" s="7" t="str">
        <f>IF(Data!G316=Entry2!G316,Data!G316,"ERROR")</f>
        <v>LS</v>
      </c>
      <c r="H316" s="7">
        <f>IF(Data!H316=Entry2!H316,Data!H316,"ERROR")</f>
        <v>2</v>
      </c>
      <c r="I316" s="7">
        <f>IF(Data!I316=Entry2!I316,Data!I316,"ERROR")</f>
        <v>1</v>
      </c>
      <c r="J316" s="7">
        <f>IF(Data!J316=Entry2!J316,Data!J316,"ERROR")</f>
        <v>0.5</v>
      </c>
      <c r="K316" s="7" t="str">
        <f>IF(Data!K316=Entry2!K316,Data!K316,"ERROR")</f>
        <v>DEIFAS</v>
      </c>
      <c r="L316" s="7" t="str">
        <f>IF(Data!L316=Entry2!L316,Data!L316,"ERROR")</f>
        <v>ERROR</v>
      </c>
      <c r="M316" s="7">
        <f>IF(Data!N316=Entry2!M316,Data!N316,"ERROR")</f>
        <v>0</v>
      </c>
    </row>
    <row r="317" spans="1:13" ht="13.2" hidden="1" x14ac:dyDescent="0.25">
      <c r="A317" s="7">
        <f>IF(Data!A317=Entry2!A317,Data!A317,"ERROR")</f>
        <v>7</v>
      </c>
      <c r="B317" s="7">
        <f>IF(Data!B317=Entry2!B317,Data!B317,"ERROR")</f>
        <v>2023</v>
      </c>
      <c r="C317" s="17">
        <f>IF(Data!C317=Entry2!C317,Data!C317,"ERROR")</f>
        <v>45203</v>
      </c>
      <c r="D317" s="7" t="str">
        <f>IF(Data!D317=Entry2!D317,Data!D317,"ERROR")</f>
        <v>JC, HH</v>
      </c>
      <c r="E317" s="7" t="str">
        <f>IF(Data!E317=Entry2!E317,Data!E317,"ERROR")</f>
        <v>GB</v>
      </c>
      <c r="F317" s="7">
        <f>IF(Data!F317=Entry2!F317,Data!F317,"ERROR")</f>
        <v>3</v>
      </c>
      <c r="G317" s="7" t="str">
        <f>IF(Data!G317=Entry2!G317,Data!G317,"ERROR")</f>
        <v>LS</v>
      </c>
      <c r="H317" s="7">
        <f>IF(Data!H317=Entry2!H317,Data!H317,"ERROR")</f>
        <v>3</v>
      </c>
      <c r="I317" s="7">
        <f>IF(Data!I317=Entry2!I317,Data!I317,"ERROR")</f>
        <v>1</v>
      </c>
      <c r="J317" s="7">
        <f>IF(Data!J317=Entry2!J317,Data!J317,"ERROR")</f>
        <v>1</v>
      </c>
      <c r="K317" s="7" t="str">
        <f>IF(Data!K317=Entry2!K317,Data!K317,"ERROR")</f>
        <v>S</v>
      </c>
      <c r="L317" s="7" t="str">
        <f>IF(Data!L317=Entry2!L317,Data!L317,"ERROR")</f>
        <v>ERROR</v>
      </c>
      <c r="M317" s="7">
        <f>IF(Data!N317=Entry2!M317,Data!N317,"ERROR")</f>
        <v>0</v>
      </c>
    </row>
    <row r="318" spans="1:13" ht="13.2" hidden="1" x14ac:dyDescent="0.25">
      <c r="A318" s="7">
        <f>IF(Data!A318=Entry2!A318,Data!A318,"ERROR")</f>
        <v>7</v>
      </c>
      <c r="B318" s="7">
        <f>IF(Data!B318=Entry2!B318,Data!B318,"ERROR")</f>
        <v>2023</v>
      </c>
      <c r="C318" s="17">
        <f>IF(Data!C318=Entry2!C318,Data!C318,"ERROR")</f>
        <v>45203</v>
      </c>
      <c r="D318" s="7" t="str">
        <f>IF(Data!D318=Entry2!D318,Data!D318,"ERROR")</f>
        <v>JC, HH</v>
      </c>
      <c r="E318" s="7" t="str">
        <f>IF(Data!E318=Entry2!E318,Data!E318,"ERROR")</f>
        <v>GB</v>
      </c>
      <c r="F318" s="7">
        <f>IF(Data!F318=Entry2!F318,Data!F318,"ERROR")</f>
        <v>3</v>
      </c>
      <c r="G318" s="7" t="str">
        <f>IF(Data!G318=Entry2!G318,Data!G318,"ERROR")</f>
        <v>LS</v>
      </c>
      <c r="H318" s="7">
        <f>IF(Data!H318=Entry2!H318,Data!H318,"ERROR")</f>
        <v>3</v>
      </c>
      <c r="I318" s="7">
        <f>IF(Data!I318=Entry2!I318,Data!I318,"ERROR")</f>
        <v>1</v>
      </c>
      <c r="J318" s="7">
        <f>IF(Data!J318=Entry2!J318,Data!J318,"ERROR")</f>
        <v>1</v>
      </c>
      <c r="K318" s="7" t="str">
        <f>IF(Data!K318=Entry2!K318,Data!K318,"ERROR")</f>
        <v>OPULIT</v>
      </c>
      <c r="L318" s="7" t="str">
        <f>IF(Data!L318=Entry2!L318,Data!L318,"ERROR")</f>
        <v>ERROR</v>
      </c>
      <c r="M318" s="7">
        <f>IF(Data!N318=Entry2!M318,Data!N318,"ERROR")</f>
        <v>0</v>
      </c>
    </row>
    <row r="319" spans="1:13" ht="13.2" hidden="1" x14ac:dyDescent="0.25">
      <c r="A319" s="7">
        <f>IF(Data!A319=Entry2!A319,Data!A319,"ERROR")</f>
        <v>7</v>
      </c>
      <c r="B319" s="7">
        <f>IF(Data!B319=Entry2!B319,Data!B319,"ERROR")</f>
        <v>2023</v>
      </c>
      <c r="C319" s="17">
        <f>IF(Data!C319=Entry2!C319,Data!C319,"ERROR")</f>
        <v>45203</v>
      </c>
      <c r="D319" s="7" t="str">
        <f>IF(Data!D319=Entry2!D319,Data!D319,"ERROR")</f>
        <v>JC, HH</v>
      </c>
      <c r="E319" s="7" t="str">
        <f>IF(Data!E319=Entry2!E319,Data!E319,"ERROR")</f>
        <v>GB</v>
      </c>
      <c r="F319" s="7">
        <f>IF(Data!F319=Entry2!F319,Data!F319,"ERROR")</f>
        <v>3</v>
      </c>
      <c r="G319" s="7" t="str">
        <f>IF(Data!G319=Entry2!G319,Data!G319,"ERROR")</f>
        <v>LS</v>
      </c>
      <c r="H319" s="7">
        <f>IF(Data!H319=Entry2!H319,Data!H319,"ERROR")</f>
        <v>4</v>
      </c>
      <c r="I319" s="7">
        <f>IF(Data!I319=Entry2!I319,Data!I319,"ERROR")</f>
        <v>1</v>
      </c>
      <c r="J319" s="7">
        <f>IF(Data!J319=Entry2!J319,Data!J319,"ERROR")</f>
        <v>1.5</v>
      </c>
      <c r="K319" s="7" t="str">
        <f>IF(Data!K319=Entry2!K319,Data!K319,"ERROR")</f>
        <v>L</v>
      </c>
      <c r="L319" s="7" t="str">
        <f>IF(Data!L319=Entry2!L319,Data!L319,"ERROR")</f>
        <v>ERROR</v>
      </c>
      <c r="M319" s="7">
        <f>IF(Data!N319=Entry2!M319,Data!N319,"ERROR")</f>
        <v>0</v>
      </c>
    </row>
    <row r="320" spans="1:13" ht="13.2" hidden="1" x14ac:dyDescent="0.25">
      <c r="A320" s="7">
        <f>IF(Data!A320=Entry2!A320,Data!A320,"ERROR")</f>
        <v>7</v>
      </c>
      <c r="B320" s="7">
        <f>IF(Data!B320=Entry2!B320,Data!B320,"ERROR")</f>
        <v>2023</v>
      </c>
      <c r="C320" s="17">
        <f>IF(Data!C320=Entry2!C320,Data!C320,"ERROR")</f>
        <v>45203</v>
      </c>
      <c r="D320" s="7" t="str">
        <f>IF(Data!D320=Entry2!D320,Data!D320,"ERROR")</f>
        <v>JC, HH</v>
      </c>
      <c r="E320" s="7" t="str">
        <f>IF(Data!E320=Entry2!E320,Data!E320,"ERROR")</f>
        <v>GB</v>
      </c>
      <c r="F320" s="7">
        <f>IF(Data!F320=Entry2!F320,Data!F320,"ERROR")</f>
        <v>3</v>
      </c>
      <c r="G320" s="7" t="str">
        <f>IF(Data!G320=Entry2!G320,Data!G320,"ERROR")</f>
        <v>LS</v>
      </c>
      <c r="H320" s="7">
        <f>IF(Data!H320=Entry2!H320,Data!H320,"ERROR")</f>
        <v>4</v>
      </c>
      <c r="I320" s="7">
        <f>IF(Data!I320=Entry2!I320,Data!I320,"ERROR")</f>
        <v>1</v>
      </c>
      <c r="J320" s="7">
        <f>IF(Data!J320=Entry2!J320,Data!J320,"ERROR")</f>
        <v>1.5</v>
      </c>
      <c r="K320" s="7" t="str">
        <f>IF(Data!K320=Entry2!K320,Data!K320,"ERROR")</f>
        <v>NNG</v>
      </c>
      <c r="L320" s="7" t="str">
        <f>IF(Data!L320=Entry2!L320,Data!L320,"ERROR")</f>
        <v>ERROR</v>
      </c>
      <c r="M320" s="7">
        <f>IF(Data!N320=Entry2!M320,Data!N320,"ERROR")</f>
        <v>0</v>
      </c>
    </row>
    <row r="321" spans="1:13" ht="13.2" hidden="1" x14ac:dyDescent="0.25">
      <c r="A321" s="7">
        <f>IF(Data!A321=Entry2!A321,Data!A321,"ERROR")</f>
        <v>7</v>
      </c>
      <c r="B321" s="7">
        <f>IF(Data!B321=Entry2!B321,Data!B321,"ERROR")</f>
        <v>2023</v>
      </c>
      <c r="C321" s="17">
        <f>IF(Data!C321=Entry2!C321,Data!C321,"ERROR")</f>
        <v>45203</v>
      </c>
      <c r="D321" s="7" t="str">
        <f>IF(Data!D321=Entry2!D321,Data!D321,"ERROR")</f>
        <v>JC, HH</v>
      </c>
      <c r="E321" s="7" t="str">
        <f>IF(Data!E321=Entry2!E321,Data!E321,"ERROR")</f>
        <v>GB</v>
      </c>
      <c r="F321" s="7">
        <f>IF(Data!F321=Entry2!F321,Data!F321,"ERROR")</f>
        <v>3</v>
      </c>
      <c r="G321" s="7" t="str">
        <f>IF(Data!G321=Entry2!G321,Data!G321,"ERROR")</f>
        <v>LS</v>
      </c>
      <c r="H321" s="7">
        <f>IF(Data!H321=Entry2!H321,Data!H321,"ERROR")</f>
        <v>4</v>
      </c>
      <c r="I321" s="7">
        <f>IF(Data!I321=Entry2!I321,Data!I321,"ERROR")</f>
        <v>1</v>
      </c>
      <c r="J321" s="7">
        <f>IF(Data!J321=Entry2!J321,Data!J321,"ERROR")</f>
        <v>1.5</v>
      </c>
      <c r="K321" s="7" t="str">
        <f>IF(Data!K321=Entry2!K321,Data!K321,"ERROR")</f>
        <v>DEIFAS</v>
      </c>
      <c r="L321" s="7" t="str">
        <f>IF(Data!L321=Entry2!L321,Data!L321,"ERROR")</f>
        <v>ERROR</v>
      </c>
      <c r="M321" s="7">
        <f>IF(Data!N321=Entry2!M321,Data!N321,"ERROR")</f>
        <v>0</v>
      </c>
    </row>
    <row r="322" spans="1:13" ht="13.2" hidden="1" x14ac:dyDescent="0.25">
      <c r="A322" s="7">
        <f>IF(Data!A322=Entry2!A322,Data!A322,"ERROR")</f>
        <v>7</v>
      </c>
      <c r="B322" s="7">
        <f>IF(Data!B322=Entry2!B322,Data!B322,"ERROR")</f>
        <v>2023</v>
      </c>
      <c r="C322" s="17">
        <f>IF(Data!C322=Entry2!C322,Data!C322,"ERROR")</f>
        <v>45203</v>
      </c>
      <c r="D322" s="7" t="str">
        <f>IF(Data!D322=Entry2!D322,Data!D322,"ERROR")</f>
        <v>JC, HH</v>
      </c>
      <c r="E322" s="7" t="str">
        <f>IF(Data!E322=Entry2!E322,Data!E322,"ERROR")</f>
        <v>GB</v>
      </c>
      <c r="F322" s="7">
        <f>IF(Data!F322=Entry2!F322,Data!F322,"ERROR")</f>
        <v>3</v>
      </c>
      <c r="G322" s="7" t="str">
        <f>IF(Data!G322=Entry2!G322,Data!G322,"ERROR")</f>
        <v>LS</v>
      </c>
      <c r="H322" s="7">
        <f>IF(Data!H322=Entry2!H322,Data!H322,"ERROR")</f>
        <v>5</v>
      </c>
      <c r="I322" s="7">
        <f>IF(Data!I322=Entry2!I322,Data!I322,"ERROR")</f>
        <v>1</v>
      </c>
      <c r="J322" s="7">
        <f>IF(Data!J322=Entry2!J322,Data!J322,"ERROR")</f>
        <v>2</v>
      </c>
      <c r="K322" s="7" t="str">
        <f>IF(Data!K322=Entry2!K322,Data!K322,"ERROR")</f>
        <v>L</v>
      </c>
      <c r="L322" s="7" t="str">
        <f>IF(Data!L322=Entry2!L322,Data!L322,"ERROR")</f>
        <v>ERROR</v>
      </c>
      <c r="M322" s="7">
        <f>IF(Data!N322=Entry2!M322,Data!N322,"ERROR")</f>
        <v>0</v>
      </c>
    </row>
    <row r="323" spans="1:13" ht="13.2" hidden="1" x14ac:dyDescent="0.25">
      <c r="A323" s="7">
        <f>IF(Data!A323=Entry2!A323,Data!A323,"ERROR")</f>
        <v>7</v>
      </c>
      <c r="B323" s="7">
        <f>IF(Data!B323=Entry2!B323,Data!B323,"ERROR")</f>
        <v>2023</v>
      </c>
      <c r="C323" s="17">
        <f>IF(Data!C323=Entry2!C323,Data!C323,"ERROR")</f>
        <v>45203</v>
      </c>
      <c r="D323" s="7" t="str">
        <f>IF(Data!D323=Entry2!D323,Data!D323,"ERROR")</f>
        <v>JC, HH</v>
      </c>
      <c r="E323" s="7" t="str">
        <f>IF(Data!E323=Entry2!E323,Data!E323,"ERROR")</f>
        <v>GB</v>
      </c>
      <c r="F323" s="7">
        <f>IF(Data!F323=Entry2!F323,Data!F323,"ERROR")</f>
        <v>3</v>
      </c>
      <c r="G323" s="7" t="str">
        <f>IF(Data!G323=Entry2!G323,Data!G323,"ERROR")</f>
        <v>LS</v>
      </c>
      <c r="H323" s="7">
        <f>IF(Data!H323=Entry2!H323,Data!H323,"ERROR")</f>
        <v>5</v>
      </c>
      <c r="I323" s="7">
        <f>IF(Data!I323=Entry2!I323,Data!I323,"ERROR")</f>
        <v>1</v>
      </c>
      <c r="J323" s="7">
        <f>IF(Data!J323=Entry2!J323,Data!J323,"ERROR")</f>
        <v>2</v>
      </c>
      <c r="K323" s="7" t="str">
        <f>IF(Data!K323=Entry2!K323,Data!K323,"ERROR")</f>
        <v>NNG</v>
      </c>
      <c r="L323" s="7" t="str">
        <f>IF(Data!L323=Entry2!L323,Data!L323,"ERROR")</f>
        <v>ERROR</v>
      </c>
      <c r="M323" s="7">
        <f>IF(Data!N323=Entry2!M323,Data!N323,"ERROR")</f>
        <v>0</v>
      </c>
    </row>
    <row r="324" spans="1:13" ht="13.2" hidden="1" x14ac:dyDescent="0.25">
      <c r="A324" s="7">
        <f>IF(Data!A324=Entry2!A324,Data!A324,"ERROR")</f>
        <v>7</v>
      </c>
      <c r="B324" s="7">
        <f>IF(Data!B324=Entry2!B324,Data!B324,"ERROR")</f>
        <v>2023</v>
      </c>
      <c r="C324" s="17">
        <f>IF(Data!C324=Entry2!C324,Data!C324,"ERROR")</f>
        <v>45203</v>
      </c>
      <c r="D324" s="7" t="str">
        <f>IF(Data!D324=Entry2!D324,Data!D324,"ERROR")</f>
        <v>JC, HH</v>
      </c>
      <c r="E324" s="7" t="str">
        <f>IF(Data!E324=Entry2!E324,Data!E324,"ERROR")</f>
        <v>GB</v>
      </c>
      <c r="F324" s="7">
        <f>IF(Data!F324=Entry2!F324,Data!F324,"ERROR")</f>
        <v>3</v>
      </c>
      <c r="G324" s="7" t="str">
        <f>IF(Data!G324=Entry2!G324,Data!G324,"ERROR")</f>
        <v>LS</v>
      </c>
      <c r="H324" s="7">
        <f>IF(Data!H324=Entry2!H324,Data!H324,"ERROR")</f>
        <v>5</v>
      </c>
      <c r="I324" s="7">
        <f>IF(Data!I324=Entry2!I324,Data!I324,"ERROR")</f>
        <v>1</v>
      </c>
      <c r="J324" s="7">
        <f>IF(Data!J324=Entry2!J324,Data!J324,"ERROR")</f>
        <v>2</v>
      </c>
      <c r="K324" s="7" t="str">
        <f>IF(Data!K324=Entry2!K324,Data!K324,"ERROR")</f>
        <v>DEIFAS</v>
      </c>
      <c r="L324" s="7" t="str">
        <f>IF(Data!L324=Entry2!L324,Data!L324,"ERROR")</f>
        <v>ERROR</v>
      </c>
      <c r="M324" s="7">
        <f>IF(Data!N324=Entry2!M324,Data!N324,"ERROR")</f>
        <v>0</v>
      </c>
    </row>
    <row r="325" spans="1:13" ht="13.2" hidden="1" x14ac:dyDescent="0.25">
      <c r="A325" s="7">
        <f>IF(Data!A325=Entry2!A325,Data!A325,"ERROR")</f>
        <v>7</v>
      </c>
      <c r="B325" s="7">
        <f>IF(Data!B325=Entry2!B325,Data!B325,"ERROR")</f>
        <v>2023</v>
      </c>
      <c r="C325" s="17">
        <f>IF(Data!C325=Entry2!C325,Data!C325,"ERROR")</f>
        <v>45203</v>
      </c>
      <c r="D325" s="7" t="str">
        <f>IF(Data!D325=Entry2!D325,Data!D325,"ERROR")</f>
        <v>JC, HH</v>
      </c>
      <c r="E325" s="7" t="str">
        <f>IF(Data!E325=Entry2!E325,Data!E325,"ERROR")</f>
        <v>GB</v>
      </c>
      <c r="F325" s="7">
        <f>IF(Data!F325=Entry2!F325,Data!F325,"ERROR")</f>
        <v>3</v>
      </c>
      <c r="G325" s="7" t="str">
        <f>IF(Data!G325=Entry2!G325,Data!G325,"ERROR")</f>
        <v>LS</v>
      </c>
      <c r="H325" s="7">
        <f>IF(Data!H325=Entry2!H325,Data!H325,"ERROR")</f>
        <v>6</v>
      </c>
      <c r="I325" s="7">
        <f>IF(Data!I325=Entry2!I325,Data!I325,"ERROR")</f>
        <v>1</v>
      </c>
      <c r="J325" s="7">
        <f>IF(Data!J325=Entry2!J325,Data!J325,"ERROR")</f>
        <v>2.5</v>
      </c>
      <c r="K325" s="7" t="str">
        <f>IF(Data!K325=Entry2!K325,Data!K325,"ERROR")</f>
        <v>L</v>
      </c>
      <c r="L325" s="7" t="str">
        <f>IF(Data!L325=Entry2!L325,Data!L325,"ERROR")</f>
        <v>ERROR</v>
      </c>
      <c r="M325" s="7">
        <f>IF(Data!N325=Entry2!M325,Data!N325,"ERROR")</f>
        <v>0</v>
      </c>
    </row>
    <row r="326" spans="1:13" ht="13.2" hidden="1" x14ac:dyDescent="0.25">
      <c r="A326" s="7">
        <f>IF(Data!A326=Entry2!A326,Data!A326,"ERROR")</f>
        <v>7</v>
      </c>
      <c r="B326" s="7">
        <f>IF(Data!B326=Entry2!B326,Data!B326,"ERROR")</f>
        <v>2023</v>
      </c>
      <c r="C326" s="17">
        <f>IF(Data!C326=Entry2!C326,Data!C326,"ERROR")</f>
        <v>45203</v>
      </c>
      <c r="D326" s="7" t="str">
        <f>IF(Data!D326=Entry2!D326,Data!D326,"ERROR")</f>
        <v>JC, HH</v>
      </c>
      <c r="E326" s="7" t="str">
        <f>IF(Data!E326=Entry2!E326,Data!E326,"ERROR")</f>
        <v>GB</v>
      </c>
      <c r="F326" s="7">
        <f>IF(Data!F326=Entry2!F326,Data!F326,"ERROR")</f>
        <v>3</v>
      </c>
      <c r="G326" s="7" t="str">
        <f>IF(Data!G326=Entry2!G326,Data!G326,"ERROR")</f>
        <v>LS</v>
      </c>
      <c r="H326" s="7">
        <f>IF(Data!H326=Entry2!H326,Data!H326,"ERROR")</f>
        <v>6</v>
      </c>
      <c r="I326" s="7">
        <f>IF(Data!I326=Entry2!I326,Data!I326,"ERROR")</f>
        <v>1</v>
      </c>
      <c r="J326" s="7">
        <f>IF(Data!J326=Entry2!J326,Data!J326,"ERROR")</f>
        <v>2.5</v>
      </c>
      <c r="K326" s="7" t="str">
        <f>IF(Data!K326=Entry2!K326,Data!K326,"ERROR")</f>
        <v>NNG</v>
      </c>
      <c r="L326" s="7" t="str">
        <f>IF(Data!L326=Entry2!L326,Data!L326,"ERROR")</f>
        <v>ERROR</v>
      </c>
      <c r="M326" s="7">
        <f>IF(Data!N326=Entry2!M326,Data!N326,"ERROR")</f>
        <v>0</v>
      </c>
    </row>
    <row r="327" spans="1:13" ht="13.2" hidden="1" x14ac:dyDescent="0.25">
      <c r="A327" s="7">
        <f>IF(Data!A327=Entry2!A327,Data!A327,"ERROR")</f>
        <v>7</v>
      </c>
      <c r="B327" s="7">
        <f>IF(Data!B327=Entry2!B327,Data!B327,"ERROR")</f>
        <v>2023</v>
      </c>
      <c r="C327" s="17">
        <f>IF(Data!C327=Entry2!C327,Data!C327,"ERROR")</f>
        <v>45203</v>
      </c>
      <c r="D327" s="7" t="str">
        <f>IF(Data!D327=Entry2!D327,Data!D327,"ERROR")</f>
        <v>JC, HH</v>
      </c>
      <c r="E327" s="7" t="str">
        <f>IF(Data!E327=Entry2!E327,Data!E327,"ERROR")</f>
        <v>GB</v>
      </c>
      <c r="F327" s="7">
        <f>IF(Data!F327=Entry2!F327,Data!F327,"ERROR")</f>
        <v>3</v>
      </c>
      <c r="G327" s="7" t="str">
        <f>IF(Data!G327=Entry2!G327,Data!G327,"ERROR")</f>
        <v>LS</v>
      </c>
      <c r="H327" s="7">
        <f>IF(Data!H327=Entry2!H327,Data!H327,"ERROR")</f>
        <v>6</v>
      </c>
      <c r="I327" s="7">
        <f>IF(Data!I327=Entry2!I327,Data!I327,"ERROR")</f>
        <v>1</v>
      </c>
      <c r="J327" s="7">
        <f>IF(Data!J327=Entry2!J327,Data!J327,"ERROR")</f>
        <v>2.5</v>
      </c>
      <c r="K327" s="7" t="str">
        <f>IF(Data!K327=Entry2!K327,Data!K327,"ERROR")</f>
        <v>DEIFAS</v>
      </c>
      <c r="L327" s="7" t="str">
        <f>IF(Data!L327=Entry2!L327,Data!L327,"ERROR")</f>
        <v>ERROR</v>
      </c>
      <c r="M327" s="7">
        <f>IF(Data!N327=Entry2!M327,Data!N327,"ERROR")</f>
        <v>0</v>
      </c>
    </row>
    <row r="328" spans="1:13" ht="13.2" hidden="1" x14ac:dyDescent="0.25">
      <c r="A328" s="7">
        <f>IF(Data!A328=Entry2!A328,Data!A328,"ERROR")</f>
        <v>7</v>
      </c>
      <c r="B328" s="7">
        <f>IF(Data!B328=Entry2!B328,Data!B328,"ERROR")</f>
        <v>2023</v>
      </c>
      <c r="C328" s="17">
        <f>IF(Data!C328=Entry2!C328,Data!C328,"ERROR")</f>
        <v>45203</v>
      </c>
      <c r="D328" s="7" t="str">
        <f>IF(Data!D328=Entry2!D328,Data!D328,"ERROR")</f>
        <v>JC, HH</v>
      </c>
      <c r="E328" s="7" t="str">
        <f>IF(Data!E328=Entry2!E328,Data!E328,"ERROR")</f>
        <v>GB</v>
      </c>
      <c r="F328" s="7">
        <f>IF(Data!F328=Entry2!F328,Data!F328,"ERROR")</f>
        <v>3</v>
      </c>
      <c r="G328" s="7" t="str">
        <f>IF(Data!G328=Entry2!G328,Data!G328,"ERROR")</f>
        <v>LS</v>
      </c>
      <c r="H328" s="7">
        <f>IF(Data!H328=Entry2!H328,Data!H328,"ERROR")</f>
        <v>7</v>
      </c>
      <c r="I328" s="7">
        <f>IF(Data!I328=Entry2!I328,Data!I328,"ERROR")</f>
        <v>1</v>
      </c>
      <c r="J328" s="7">
        <f>IF(Data!J328=Entry2!J328,Data!J328,"ERROR")</f>
        <v>3</v>
      </c>
      <c r="K328" s="7" t="str">
        <f>IF(Data!K328=Entry2!K328,Data!K328,"ERROR")</f>
        <v>L</v>
      </c>
      <c r="L328" s="7" t="str">
        <f>IF(Data!L328=Entry2!L328,Data!L328,"ERROR")</f>
        <v>ERROR</v>
      </c>
      <c r="M328" s="7">
        <f>IF(Data!N328=Entry2!M328,Data!N328,"ERROR")</f>
        <v>0</v>
      </c>
    </row>
    <row r="329" spans="1:13" ht="13.2" hidden="1" x14ac:dyDescent="0.25">
      <c r="A329" s="7">
        <f>IF(Data!A329=Entry2!A329,Data!A329,"ERROR")</f>
        <v>7</v>
      </c>
      <c r="B329" s="7">
        <f>IF(Data!B329=Entry2!B329,Data!B329,"ERROR")</f>
        <v>2023</v>
      </c>
      <c r="C329" s="17">
        <f>IF(Data!C329=Entry2!C329,Data!C329,"ERROR")</f>
        <v>45203</v>
      </c>
      <c r="D329" s="7" t="str">
        <f>IF(Data!D329=Entry2!D329,Data!D329,"ERROR")</f>
        <v>JC, HH</v>
      </c>
      <c r="E329" s="7" t="str">
        <f>IF(Data!E329=Entry2!E329,Data!E329,"ERROR")</f>
        <v>GB</v>
      </c>
      <c r="F329" s="7">
        <f>IF(Data!F329=Entry2!F329,Data!F329,"ERROR")</f>
        <v>3</v>
      </c>
      <c r="G329" s="7" t="str">
        <f>IF(Data!G329=Entry2!G329,Data!G329,"ERROR")</f>
        <v>LS</v>
      </c>
      <c r="H329" s="7">
        <f>IF(Data!H329=Entry2!H329,Data!H329,"ERROR")</f>
        <v>7</v>
      </c>
      <c r="I329" s="7">
        <f>IF(Data!I329=Entry2!I329,Data!I329,"ERROR")</f>
        <v>1</v>
      </c>
      <c r="J329" s="7">
        <f>IF(Data!J329=Entry2!J329,Data!J329,"ERROR")</f>
        <v>3</v>
      </c>
      <c r="K329" s="7" t="str">
        <f>IF(Data!K329=Entry2!K329,Data!K329,"ERROR")</f>
        <v>DEIFAS</v>
      </c>
      <c r="L329" s="7" t="str">
        <f>IF(Data!L329=Entry2!L329,Data!L329,"ERROR")</f>
        <v>ERROR</v>
      </c>
      <c r="M329" s="7">
        <f>IF(Data!N329=Entry2!M329,Data!N329,"ERROR")</f>
        <v>0</v>
      </c>
    </row>
    <row r="330" spans="1:13" ht="13.2" hidden="1" x14ac:dyDescent="0.25">
      <c r="A330" s="7">
        <f>IF(Data!A330=Entry2!A330,Data!A330,"ERROR")</f>
        <v>7</v>
      </c>
      <c r="B330" s="7">
        <f>IF(Data!B330=Entry2!B330,Data!B330,"ERROR")</f>
        <v>2023</v>
      </c>
      <c r="C330" s="17">
        <f>IF(Data!C330=Entry2!C330,Data!C330,"ERROR")</f>
        <v>45203</v>
      </c>
      <c r="D330" s="7" t="str">
        <f>IF(Data!D330=Entry2!D330,Data!D330,"ERROR")</f>
        <v>JC, HH</v>
      </c>
      <c r="E330" s="7" t="str">
        <f>IF(Data!E330=Entry2!E330,Data!E330,"ERROR")</f>
        <v>GB</v>
      </c>
      <c r="F330" s="7">
        <f>IF(Data!F330=Entry2!F330,Data!F330,"ERROR")</f>
        <v>3</v>
      </c>
      <c r="G330" s="7" t="str">
        <f>IF(Data!G330=Entry2!G330,Data!G330,"ERROR")</f>
        <v>LS</v>
      </c>
      <c r="H330" s="7">
        <f>IF(Data!H330=Entry2!H330,Data!H330,"ERROR")</f>
        <v>8</v>
      </c>
      <c r="I330" s="7">
        <f>IF(Data!I330=Entry2!I330,Data!I330,"ERROR")</f>
        <v>1</v>
      </c>
      <c r="J330" s="7">
        <f>IF(Data!J330=Entry2!J330,Data!J330,"ERROR")</f>
        <v>3.5</v>
      </c>
      <c r="K330" s="7" t="str">
        <f>IF(Data!K330=Entry2!K330,Data!K330,"ERROR")</f>
        <v>B</v>
      </c>
      <c r="L330" s="7" t="str">
        <f>IF(Data!L330=Entry2!L330,Data!L330,"ERROR")</f>
        <v>ERROR</v>
      </c>
      <c r="M330" s="7">
        <f>IF(Data!N330=Entry2!M330,Data!N330,"ERROR")</f>
        <v>0</v>
      </c>
    </row>
    <row r="331" spans="1:13" ht="13.2" hidden="1" x14ac:dyDescent="0.25">
      <c r="A331" s="7">
        <f>IF(Data!A331=Entry2!A331,Data!A331,"ERROR")</f>
        <v>7</v>
      </c>
      <c r="B331" s="7">
        <f>IF(Data!B331=Entry2!B331,Data!B331,"ERROR")</f>
        <v>2023</v>
      </c>
      <c r="C331" s="17">
        <f>IF(Data!C331=Entry2!C331,Data!C331,"ERROR")</f>
        <v>45203</v>
      </c>
      <c r="D331" s="7" t="str">
        <f>IF(Data!D331=Entry2!D331,Data!D331,"ERROR")</f>
        <v>JC, HH</v>
      </c>
      <c r="E331" s="7" t="str">
        <f>IF(Data!E331=Entry2!E331,Data!E331,"ERROR")</f>
        <v>GB</v>
      </c>
      <c r="F331" s="7">
        <f>IF(Data!F331=Entry2!F331,Data!F331,"ERROR")</f>
        <v>3</v>
      </c>
      <c r="G331" s="7" t="str">
        <f>IF(Data!G331=Entry2!G331,Data!G331,"ERROR")</f>
        <v>LS</v>
      </c>
      <c r="H331" s="7">
        <f>IF(Data!H331=Entry2!H331,Data!H331,"ERROR")</f>
        <v>8</v>
      </c>
      <c r="I331" s="7">
        <f>IF(Data!I331=Entry2!I331,Data!I331,"ERROR")</f>
        <v>1</v>
      </c>
      <c r="J331" s="7">
        <f>IF(Data!J331=Entry2!J331,Data!J331,"ERROR")</f>
        <v>3.5</v>
      </c>
      <c r="K331" s="7" t="str">
        <f>IF(Data!K331=Entry2!K331,Data!K331,"ERROR")</f>
        <v>CENMEL</v>
      </c>
      <c r="L331" s="7" t="str">
        <f>IF(Data!L331=Entry2!L331,Data!L331,"ERROR")</f>
        <v>ERROR</v>
      </c>
      <c r="M331" s="7">
        <f>IF(Data!N331=Entry2!M331,Data!N331,"ERROR")</f>
        <v>0</v>
      </c>
    </row>
    <row r="332" spans="1:13" ht="13.2" hidden="1" x14ac:dyDescent="0.25">
      <c r="A332" s="7">
        <f>IF(Data!A332=Entry2!A332,Data!A332,"ERROR")</f>
        <v>7</v>
      </c>
      <c r="B332" s="7">
        <f>IF(Data!B332=Entry2!B332,Data!B332,"ERROR")</f>
        <v>2023</v>
      </c>
      <c r="C332" s="17">
        <f>IF(Data!C332=Entry2!C332,Data!C332,"ERROR")</f>
        <v>45203</v>
      </c>
      <c r="D332" s="7" t="str">
        <f>IF(Data!D332=Entry2!D332,Data!D332,"ERROR")</f>
        <v>JC, HH</v>
      </c>
      <c r="E332" s="7" t="str">
        <f>IF(Data!E332=Entry2!E332,Data!E332,"ERROR")</f>
        <v>GB</v>
      </c>
      <c r="F332" s="7">
        <f>IF(Data!F332=Entry2!F332,Data!F332,"ERROR")</f>
        <v>3</v>
      </c>
      <c r="G332" s="7" t="str">
        <f>IF(Data!G332=Entry2!G332,Data!G332,"ERROR")</f>
        <v>LS</v>
      </c>
      <c r="H332" s="7">
        <f>IF(Data!H332=Entry2!H332,Data!H332,"ERROR")</f>
        <v>9</v>
      </c>
      <c r="I332" s="7">
        <f>IF(Data!I332=Entry2!I332,Data!I332,"ERROR")</f>
        <v>1</v>
      </c>
      <c r="J332" s="7">
        <f>IF(Data!J332=Entry2!J332,Data!J332,"ERROR")</f>
        <v>4</v>
      </c>
      <c r="K332" s="7" t="str">
        <f>IF(Data!K332=Entry2!K332,Data!K332,"ERROR")</f>
        <v>B</v>
      </c>
      <c r="L332" s="7" t="str">
        <f>IF(Data!L332=Entry2!L332,Data!L332,"ERROR")</f>
        <v>ERROR</v>
      </c>
      <c r="M332" s="7">
        <f>IF(Data!N332=Entry2!M332,Data!N332,"ERROR")</f>
        <v>0</v>
      </c>
    </row>
    <row r="333" spans="1:13" ht="13.2" hidden="1" x14ac:dyDescent="0.25">
      <c r="A333" s="7">
        <f>IF(Data!A333=Entry2!A333,Data!A333,"ERROR")</f>
        <v>7</v>
      </c>
      <c r="B333" s="7">
        <f>IF(Data!B333=Entry2!B333,Data!B333,"ERROR")</f>
        <v>2023</v>
      </c>
      <c r="C333" s="17">
        <f>IF(Data!C333=Entry2!C333,Data!C333,"ERROR")</f>
        <v>45203</v>
      </c>
      <c r="D333" s="7" t="str">
        <f>IF(Data!D333=Entry2!D333,Data!D333,"ERROR")</f>
        <v>JC, HH</v>
      </c>
      <c r="E333" s="7" t="str">
        <f>IF(Data!E333=Entry2!E333,Data!E333,"ERROR")</f>
        <v>GB</v>
      </c>
      <c r="F333" s="7">
        <f>IF(Data!F333=Entry2!F333,Data!F333,"ERROR")</f>
        <v>3</v>
      </c>
      <c r="G333" s="7" t="str">
        <f>IF(Data!G333=Entry2!G333,Data!G333,"ERROR")</f>
        <v>LS</v>
      </c>
      <c r="H333" s="7">
        <f>IF(Data!H333=Entry2!H333,Data!H333,"ERROR")</f>
        <v>9</v>
      </c>
      <c r="I333" s="7">
        <f>IF(Data!I333=Entry2!I333,Data!I333,"ERROR")</f>
        <v>1</v>
      </c>
      <c r="J333" s="7">
        <f>IF(Data!J333=Entry2!J333,Data!J333,"ERROR")</f>
        <v>4</v>
      </c>
      <c r="K333" s="7" t="str">
        <f>IF(Data!K333=Entry2!K333,Data!K333,"ERROR")</f>
        <v>CUCURBITA</v>
      </c>
      <c r="L333" s="7" t="e">
        <f>IF(Data!L333=Entry2!L333,Data!L333,"ERROR")</f>
        <v>#N/A</v>
      </c>
      <c r="M333" s="7" t="str">
        <f>IF(Data!N333=Entry2!M333,Data!N333,"ERROR")</f>
        <v>ERROR</v>
      </c>
    </row>
    <row r="334" spans="1:13" ht="13.2" hidden="1" x14ac:dyDescent="0.25">
      <c r="A334" s="7">
        <f>IF(Data!A334=Entry2!A334,Data!A334,"ERROR")</f>
        <v>7</v>
      </c>
      <c r="B334" s="7">
        <f>IF(Data!B334=Entry2!B334,Data!B334,"ERROR")</f>
        <v>2023</v>
      </c>
      <c r="C334" s="17">
        <f>IF(Data!C334=Entry2!C334,Data!C334,"ERROR")</f>
        <v>45203</v>
      </c>
      <c r="D334" s="7" t="str">
        <f>IF(Data!D334=Entry2!D334,Data!D334,"ERROR")</f>
        <v>JC, HH</v>
      </c>
      <c r="E334" s="7" t="str">
        <f>IF(Data!E334=Entry2!E334,Data!E334,"ERROR")</f>
        <v>GB</v>
      </c>
      <c r="F334" s="7">
        <f>IF(Data!F334=Entry2!F334,Data!F334,"ERROR")</f>
        <v>3</v>
      </c>
      <c r="G334" s="7" t="str">
        <f>IF(Data!G334=Entry2!G334,Data!G334,"ERROR")</f>
        <v>LS</v>
      </c>
      <c r="H334" s="7">
        <f>IF(Data!H334=Entry2!H334,Data!H334,"ERROR")</f>
        <v>10</v>
      </c>
      <c r="I334" s="7">
        <f>IF(Data!I334=Entry2!I334,Data!I334,"ERROR")</f>
        <v>1</v>
      </c>
      <c r="J334" s="7">
        <f>IF(Data!J334=Entry2!J334,Data!J334,"ERROR")</f>
        <v>4.5</v>
      </c>
      <c r="K334" s="7" t="str">
        <f>IF(Data!K334=Entry2!K334,Data!K334,"ERROR")</f>
        <v>L</v>
      </c>
      <c r="L334" s="7" t="str">
        <f>IF(Data!L334=Entry2!L334,Data!L334,"ERROR")</f>
        <v>ERROR</v>
      </c>
      <c r="M334" s="7">
        <f>IF(Data!N334=Entry2!M334,Data!N334,"ERROR")</f>
        <v>0</v>
      </c>
    </row>
    <row r="335" spans="1:13" ht="13.2" hidden="1" x14ac:dyDescent="0.25">
      <c r="A335" s="7">
        <f>IF(Data!A335=Entry2!A335,Data!A335,"ERROR")</f>
        <v>7</v>
      </c>
      <c r="B335" s="7">
        <f>IF(Data!B335=Entry2!B335,Data!B335,"ERROR")</f>
        <v>2023</v>
      </c>
      <c r="C335" s="17">
        <f>IF(Data!C335=Entry2!C335,Data!C335,"ERROR")</f>
        <v>45203</v>
      </c>
      <c r="D335" s="7" t="str">
        <f>IF(Data!D335=Entry2!D335,Data!D335,"ERROR")</f>
        <v>JC, HH</v>
      </c>
      <c r="E335" s="7" t="str">
        <f>IF(Data!E335=Entry2!E335,Data!E335,"ERROR")</f>
        <v>GB</v>
      </c>
      <c r="F335" s="7">
        <f>IF(Data!F335=Entry2!F335,Data!F335,"ERROR")</f>
        <v>3</v>
      </c>
      <c r="G335" s="7" t="str">
        <f>IF(Data!G335=Entry2!G335,Data!G335,"ERROR")</f>
        <v>LS</v>
      </c>
      <c r="H335" s="7">
        <f>IF(Data!H335=Entry2!H335,Data!H335,"ERROR")</f>
        <v>10</v>
      </c>
      <c r="I335" s="7">
        <f>IF(Data!I335=Entry2!I335,Data!I335,"ERROR")</f>
        <v>1</v>
      </c>
      <c r="J335" s="7">
        <f>IF(Data!J335=Entry2!J335,Data!J335,"ERROR")</f>
        <v>4.5</v>
      </c>
      <c r="K335" s="7" t="str">
        <f>IF(Data!K335=Entry2!K335,Data!K335,"ERROR")</f>
        <v>PSECAL</v>
      </c>
      <c r="L335" s="7" t="str">
        <f>IF(Data!L335=Entry2!L335,Data!L335,"ERROR")</f>
        <v>ERROR</v>
      </c>
      <c r="M335" s="7">
        <f>IF(Data!N335=Entry2!M335,Data!N335,"ERROR")</f>
        <v>0</v>
      </c>
    </row>
    <row r="336" spans="1:13" ht="13.2" hidden="1" x14ac:dyDescent="0.25">
      <c r="A336" s="7">
        <f>IF(Data!A336=Entry2!A336,Data!A336,"ERROR")</f>
        <v>7</v>
      </c>
      <c r="B336" s="7">
        <f>IF(Data!B336=Entry2!B336,Data!B336,"ERROR")</f>
        <v>2023</v>
      </c>
      <c r="C336" s="17">
        <f>IF(Data!C336=Entry2!C336,Data!C336,"ERROR")</f>
        <v>45203</v>
      </c>
      <c r="D336" s="7" t="str">
        <f>IF(Data!D336=Entry2!D336,Data!D336,"ERROR")</f>
        <v>JC, HH</v>
      </c>
      <c r="E336" s="7" t="str">
        <f>IF(Data!E336=Entry2!E336,Data!E336,"ERROR")</f>
        <v>GB</v>
      </c>
      <c r="F336" s="7">
        <f>IF(Data!F336=Entry2!F336,Data!F336,"ERROR")</f>
        <v>3</v>
      </c>
      <c r="G336" s="7" t="str">
        <f>IF(Data!G336=Entry2!G336,Data!G336,"ERROR")</f>
        <v>LS</v>
      </c>
      <c r="H336" s="7">
        <f>IF(Data!H336=Entry2!H336,Data!H336,"ERROR")</f>
        <v>11</v>
      </c>
      <c r="I336" s="7">
        <f>IF(Data!I336=Entry2!I336,Data!I336,"ERROR")</f>
        <v>1</v>
      </c>
      <c r="J336" s="7">
        <f>IF(Data!J336=Entry2!J336,Data!J336,"ERROR")</f>
        <v>5</v>
      </c>
      <c r="K336" s="7" t="str">
        <f>IF(Data!K336=Entry2!K336,Data!K336,"ERROR")</f>
        <v>B</v>
      </c>
      <c r="L336" s="7" t="str">
        <f>IF(Data!L336=Entry2!L336,Data!L336,"ERROR")</f>
        <v>ERROR</v>
      </c>
      <c r="M336" s="7">
        <f>IF(Data!N336=Entry2!M336,Data!N336,"ERROR")</f>
        <v>0</v>
      </c>
    </row>
    <row r="337" spans="1:13" ht="13.2" hidden="1" x14ac:dyDescent="0.25">
      <c r="A337" s="7">
        <f>IF(Data!A337=Entry2!A337,Data!A337,"ERROR")</f>
        <v>7</v>
      </c>
      <c r="B337" s="7">
        <f>IF(Data!B337=Entry2!B337,Data!B337,"ERROR")</f>
        <v>2023</v>
      </c>
      <c r="C337" s="17">
        <f>IF(Data!C337=Entry2!C337,Data!C337,"ERROR")</f>
        <v>45203</v>
      </c>
      <c r="D337" s="7" t="str">
        <f>IF(Data!D337=Entry2!D337,Data!D337,"ERROR")</f>
        <v>JC, HH</v>
      </c>
      <c r="E337" s="7" t="str">
        <f>IF(Data!E337=Entry2!E337,Data!E337,"ERROR")</f>
        <v>GB</v>
      </c>
      <c r="F337" s="7">
        <f>IF(Data!F337=Entry2!F337,Data!F337,"ERROR")</f>
        <v>3</v>
      </c>
      <c r="G337" s="7" t="str">
        <f>IF(Data!G337=Entry2!G337,Data!G337,"ERROR")</f>
        <v>LS</v>
      </c>
      <c r="H337" s="7">
        <f>IF(Data!H337=Entry2!H337,Data!H337,"ERROR")</f>
        <v>12</v>
      </c>
      <c r="I337" s="7">
        <f>IF(Data!I337=Entry2!I337,Data!I337,"ERROR")</f>
        <v>1</v>
      </c>
      <c r="J337" s="7">
        <f>IF(Data!J337=Entry2!J337,Data!J337,"ERROR")</f>
        <v>5.5</v>
      </c>
      <c r="K337" s="7" t="str">
        <f>IF(Data!K337=Entry2!K337,Data!K337,"ERROR")</f>
        <v>L</v>
      </c>
      <c r="L337" s="7" t="str">
        <f>IF(Data!L337=Entry2!L337,Data!L337,"ERROR")</f>
        <v>ERROR</v>
      </c>
      <c r="M337" s="7">
        <f>IF(Data!N337=Entry2!M337,Data!N337,"ERROR")</f>
        <v>0</v>
      </c>
    </row>
    <row r="338" spans="1:13" ht="13.2" hidden="1" x14ac:dyDescent="0.25">
      <c r="A338" s="7">
        <f>IF(Data!A338=Entry2!A338,Data!A338,"ERROR")</f>
        <v>7</v>
      </c>
      <c r="B338" s="7">
        <f>IF(Data!B338=Entry2!B338,Data!B338,"ERROR")</f>
        <v>2023</v>
      </c>
      <c r="C338" s="17">
        <f>IF(Data!C338=Entry2!C338,Data!C338,"ERROR")</f>
        <v>45203</v>
      </c>
      <c r="D338" s="7" t="str">
        <f>IF(Data!D338=Entry2!D338,Data!D338,"ERROR")</f>
        <v>JC, HH</v>
      </c>
      <c r="E338" s="7" t="str">
        <f>IF(Data!E338=Entry2!E338,Data!E338,"ERROR")</f>
        <v>GB</v>
      </c>
      <c r="F338" s="7">
        <f>IF(Data!F338=Entry2!F338,Data!F338,"ERROR")</f>
        <v>3</v>
      </c>
      <c r="G338" s="7" t="str">
        <f>IF(Data!G338=Entry2!G338,Data!G338,"ERROR")</f>
        <v>LS</v>
      </c>
      <c r="H338" s="7">
        <f>IF(Data!H338=Entry2!H338,Data!H338,"ERROR")</f>
        <v>12</v>
      </c>
      <c r="I338" s="7">
        <f>IF(Data!I338=Entry2!I338,Data!I338,"ERROR")</f>
        <v>1</v>
      </c>
      <c r="J338" s="7">
        <f>IF(Data!J338=Entry2!J338,Data!J338,"ERROR")</f>
        <v>5.5</v>
      </c>
      <c r="K338" s="7" t="str">
        <f>IF(Data!K338=Entry2!K338,Data!K338,"ERROR")</f>
        <v>CENMEL</v>
      </c>
      <c r="L338" s="7" t="str">
        <f>IF(Data!L338=Entry2!L338,Data!L338,"ERROR")</f>
        <v>ERROR</v>
      </c>
      <c r="M338" s="7">
        <f>IF(Data!N338=Entry2!M338,Data!N338,"ERROR")</f>
        <v>0</v>
      </c>
    </row>
    <row r="339" spans="1:13" ht="13.2" hidden="1" x14ac:dyDescent="0.25">
      <c r="A339" s="7">
        <f>IF(Data!A339=Entry2!A339,Data!A339,"ERROR")</f>
        <v>7</v>
      </c>
      <c r="B339" s="7">
        <f>IF(Data!B339=Entry2!B339,Data!B339,"ERROR")</f>
        <v>2023</v>
      </c>
      <c r="C339" s="17">
        <f>IF(Data!C339=Entry2!C339,Data!C339,"ERROR")</f>
        <v>45203</v>
      </c>
      <c r="D339" s="7" t="str">
        <f>IF(Data!D339=Entry2!D339,Data!D339,"ERROR")</f>
        <v>JC, HH</v>
      </c>
      <c r="E339" s="7" t="str">
        <f>IF(Data!E339=Entry2!E339,Data!E339,"ERROR")</f>
        <v>GB</v>
      </c>
      <c r="F339" s="7">
        <f>IF(Data!F339=Entry2!F339,Data!F339,"ERROR")</f>
        <v>3</v>
      </c>
      <c r="G339" s="7" t="str">
        <f>IF(Data!G339=Entry2!G339,Data!G339,"ERROR")</f>
        <v>LS</v>
      </c>
      <c r="H339" s="7">
        <f>IF(Data!H339=Entry2!H339,Data!H339,"ERROR")</f>
        <v>13</v>
      </c>
      <c r="I339" s="7">
        <f>IF(Data!I339=Entry2!I339,Data!I339,"ERROR")</f>
        <v>1</v>
      </c>
      <c r="J339" s="7">
        <f>IF(Data!J339=Entry2!J339,Data!J339,"ERROR")</f>
        <v>6.5</v>
      </c>
      <c r="K339" s="7" t="str">
        <f>IF(Data!K339=Entry2!K339,Data!K339,"ERROR")</f>
        <v>L</v>
      </c>
      <c r="L339" s="7" t="str">
        <f>IF(Data!L339=Entry2!L339,Data!L339,"ERROR")</f>
        <v>ERROR</v>
      </c>
      <c r="M339" s="7">
        <f>IF(Data!N339=Entry2!M339,Data!N339,"ERROR")</f>
        <v>0</v>
      </c>
    </row>
    <row r="340" spans="1:13" ht="13.2" hidden="1" x14ac:dyDescent="0.25">
      <c r="A340" s="7">
        <f>IF(Data!A340=Entry2!A340,Data!A340,"ERROR")</f>
        <v>7</v>
      </c>
      <c r="B340" s="7">
        <f>IF(Data!B340=Entry2!B340,Data!B340,"ERROR")</f>
        <v>2023</v>
      </c>
      <c r="C340" s="17">
        <f>IF(Data!C340=Entry2!C340,Data!C340,"ERROR")</f>
        <v>45203</v>
      </c>
      <c r="D340" s="7" t="str">
        <f>IF(Data!D340=Entry2!D340,Data!D340,"ERROR")</f>
        <v>JC, HH</v>
      </c>
      <c r="E340" s="7" t="str">
        <f>IF(Data!E340=Entry2!E340,Data!E340,"ERROR")</f>
        <v>GB</v>
      </c>
      <c r="F340" s="7">
        <f>IF(Data!F340=Entry2!F340,Data!F340,"ERROR")</f>
        <v>3</v>
      </c>
      <c r="G340" s="7" t="str">
        <f>IF(Data!G340=Entry2!G340,Data!G340,"ERROR")</f>
        <v>LS</v>
      </c>
      <c r="H340" s="7">
        <f>IF(Data!H340=Entry2!H340,Data!H340,"ERROR")</f>
        <v>13</v>
      </c>
      <c r="I340" s="7">
        <f>IF(Data!I340=Entry2!I340,Data!I340,"ERROR")</f>
        <v>1</v>
      </c>
      <c r="J340" s="7">
        <f>IF(Data!J340=Entry2!J340,Data!J340,"ERROR")</f>
        <v>6.5</v>
      </c>
      <c r="K340" s="7" t="str">
        <f>IF(Data!K340=Entry2!K340,Data!K340,"ERROR")</f>
        <v>NNG</v>
      </c>
      <c r="L340" s="7" t="str">
        <f>IF(Data!L340=Entry2!L340,Data!L340,"ERROR")</f>
        <v>ERROR</v>
      </c>
      <c r="M340" s="7">
        <f>IF(Data!N340=Entry2!M340,Data!N340,"ERROR")</f>
        <v>0</v>
      </c>
    </row>
    <row r="341" spans="1:13" ht="13.2" hidden="1" x14ac:dyDescent="0.25">
      <c r="A341" s="7">
        <f>IF(Data!A341=Entry2!A341,Data!A341,"ERROR")</f>
        <v>7</v>
      </c>
      <c r="B341" s="7">
        <f>IF(Data!B341=Entry2!B341,Data!B341,"ERROR")</f>
        <v>2023</v>
      </c>
      <c r="C341" s="17">
        <f>IF(Data!C341=Entry2!C341,Data!C341,"ERROR")</f>
        <v>45203</v>
      </c>
      <c r="D341" s="7" t="str">
        <f>IF(Data!D341=Entry2!D341,Data!D341,"ERROR")</f>
        <v>JC, HH</v>
      </c>
      <c r="E341" s="7" t="str">
        <f>IF(Data!E341=Entry2!E341,Data!E341,"ERROR")</f>
        <v>GB</v>
      </c>
      <c r="F341" s="7">
        <f>IF(Data!F341=Entry2!F341,Data!F341,"ERROR")</f>
        <v>3</v>
      </c>
      <c r="G341" s="7" t="str">
        <f>IF(Data!G341=Entry2!G341,Data!G341,"ERROR")</f>
        <v>LS</v>
      </c>
      <c r="H341" s="7">
        <f>IF(Data!H341=Entry2!H341,Data!H341,"ERROR")</f>
        <v>13</v>
      </c>
      <c r="I341" s="7">
        <f>IF(Data!I341=Entry2!I341,Data!I341,"ERROR")</f>
        <v>1</v>
      </c>
      <c r="J341" s="7">
        <f>IF(Data!J341=Entry2!J341,Data!J341,"ERROR")</f>
        <v>6.5</v>
      </c>
      <c r="K341" s="7" t="str">
        <f>IF(Data!K341=Entry2!K341,Data!K341,"ERROR")</f>
        <v>DEIFAS</v>
      </c>
      <c r="L341" s="7" t="str">
        <f>IF(Data!L341=Entry2!L341,Data!L341,"ERROR")</f>
        <v>ERROR</v>
      </c>
      <c r="M341" s="7">
        <f>IF(Data!N341=Entry2!M341,Data!N341,"ERROR")</f>
        <v>0</v>
      </c>
    </row>
    <row r="342" spans="1:13" ht="13.2" hidden="1" x14ac:dyDescent="0.25">
      <c r="A342" s="7">
        <f>IF(Data!A342=Entry2!A342,Data!A342,"ERROR")</f>
        <v>7</v>
      </c>
      <c r="B342" s="7">
        <f>IF(Data!B342=Entry2!B342,Data!B342,"ERROR")</f>
        <v>2023</v>
      </c>
      <c r="C342" s="17">
        <f>IF(Data!C342=Entry2!C342,Data!C342,"ERROR")</f>
        <v>45203</v>
      </c>
      <c r="D342" s="7" t="str">
        <f>IF(Data!D342=Entry2!D342,Data!D342,"ERROR")</f>
        <v>JC, HH</v>
      </c>
      <c r="E342" s="7" t="str">
        <f>IF(Data!E342=Entry2!E342,Data!E342,"ERROR")</f>
        <v>GB</v>
      </c>
      <c r="F342" s="7">
        <f>IF(Data!F342=Entry2!F342,Data!F342,"ERROR")</f>
        <v>3</v>
      </c>
      <c r="G342" s="7" t="str">
        <f>IF(Data!G342=Entry2!G342,Data!G342,"ERROR")</f>
        <v>LS</v>
      </c>
      <c r="H342" s="7">
        <f>IF(Data!H342=Entry2!H342,Data!H342,"ERROR")</f>
        <v>14</v>
      </c>
      <c r="I342" s="7">
        <f>IF(Data!I342=Entry2!I342,Data!I342,"ERROR")</f>
        <v>1</v>
      </c>
      <c r="J342" s="7">
        <f>IF(Data!J342=Entry2!J342,Data!J342,"ERROR")</f>
        <v>7</v>
      </c>
      <c r="K342" s="7" t="str">
        <f>IF(Data!K342=Entry2!K342,Data!K342,"ERROR")</f>
        <v>B</v>
      </c>
      <c r="L342" s="7" t="str">
        <f>IF(Data!L342=Entry2!L342,Data!L342,"ERROR")</f>
        <v>ERROR</v>
      </c>
      <c r="M342" s="7">
        <f>IF(Data!N342=Entry2!M342,Data!N342,"ERROR")</f>
        <v>0</v>
      </c>
    </row>
    <row r="343" spans="1:13" ht="13.2" hidden="1" x14ac:dyDescent="0.25">
      <c r="A343" s="7">
        <f>IF(Data!A343=Entry2!A343,Data!A343,"ERROR")</f>
        <v>7</v>
      </c>
      <c r="B343" s="7">
        <f>IF(Data!B343=Entry2!B343,Data!B343,"ERROR")</f>
        <v>2023</v>
      </c>
      <c r="C343" s="17">
        <f>IF(Data!C343=Entry2!C343,Data!C343,"ERROR")</f>
        <v>45203</v>
      </c>
      <c r="D343" s="7" t="str">
        <f>IF(Data!D343=Entry2!D343,Data!D343,"ERROR")</f>
        <v>JC, HH</v>
      </c>
      <c r="E343" s="7" t="str">
        <f>IF(Data!E343=Entry2!E343,Data!E343,"ERROR")</f>
        <v>GB</v>
      </c>
      <c r="F343" s="7">
        <f>IF(Data!F343=Entry2!F343,Data!F343,"ERROR")</f>
        <v>3</v>
      </c>
      <c r="G343" s="7" t="str">
        <f>IF(Data!G343=Entry2!G343,Data!G343,"ERROR")</f>
        <v>LS</v>
      </c>
      <c r="H343" s="7">
        <f>IF(Data!H343=Entry2!H343,Data!H343,"ERROR")</f>
        <v>14</v>
      </c>
      <c r="I343" s="7">
        <f>IF(Data!I343=Entry2!I343,Data!I343,"ERROR")</f>
        <v>1</v>
      </c>
      <c r="J343" s="7">
        <f>IF(Data!J343=Entry2!J343,Data!J343,"ERROR")</f>
        <v>7</v>
      </c>
      <c r="K343" s="7" t="str">
        <f>IF(Data!K343=Entry2!K343,Data!K343,"ERROR")</f>
        <v>CENMEL</v>
      </c>
      <c r="L343" s="7" t="str">
        <f>IF(Data!L343=Entry2!L343,Data!L343,"ERROR")</f>
        <v>ERROR</v>
      </c>
      <c r="M343" s="7">
        <f>IF(Data!N343=Entry2!M343,Data!N343,"ERROR")</f>
        <v>0</v>
      </c>
    </row>
    <row r="344" spans="1:13" ht="13.2" hidden="1" x14ac:dyDescent="0.25">
      <c r="A344" s="7">
        <f>IF(Data!A344=Entry2!A344,Data!A344,"ERROR")</f>
        <v>7</v>
      </c>
      <c r="B344" s="7">
        <f>IF(Data!B344=Entry2!B344,Data!B344,"ERROR")</f>
        <v>2023</v>
      </c>
      <c r="C344" s="17">
        <f>IF(Data!C344=Entry2!C344,Data!C344,"ERROR")</f>
        <v>45203</v>
      </c>
      <c r="D344" s="7" t="str">
        <f>IF(Data!D344=Entry2!D344,Data!D344,"ERROR")</f>
        <v>JC, HH</v>
      </c>
      <c r="E344" s="7" t="str">
        <f>IF(Data!E344=Entry2!E344,Data!E344,"ERROR")</f>
        <v>GB</v>
      </c>
      <c r="F344" s="7">
        <f>IF(Data!F344=Entry2!F344,Data!F344,"ERROR")</f>
        <v>3</v>
      </c>
      <c r="G344" s="7" t="str">
        <f>IF(Data!G344=Entry2!G344,Data!G344,"ERROR")</f>
        <v>LS</v>
      </c>
      <c r="H344" s="7">
        <f>IF(Data!H344=Entry2!H344,Data!H344,"ERROR")</f>
        <v>15</v>
      </c>
      <c r="I344" s="7">
        <f>IF(Data!I344=Entry2!I344,Data!I344,"ERROR")</f>
        <v>1</v>
      </c>
      <c r="J344" s="7">
        <f>IF(Data!J344=Entry2!J344,Data!J344,"ERROR")</f>
        <v>7.5</v>
      </c>
      <c r="K344" s="7" t="str">
        <f>IF(Data!K344=Entry2!K344,Data!K344,"ERROR")</f>
        <v>L</v>
      </c>
      <c r="L344" s="7" t="str">
        <f>IF(Data!L344=Entry2!L344,Data!L344,"ERROR")</f>
        <v>ERROR</v>
      </c>
      <c r="M344" s="7">
        <f>IF(Data!N344=Entry2!M344,Data!N344,"ERROR")</f>
        <v>0</v>
      </c>
    </row>
    <row r="345" spans="1:13" ht="13.2" hidden="1" x14ac:dyDescent="0.25">
      <c r="A345" s="7">
        <f>IF(Data!A345=Entry2!A345,Data!A345,"ERROR")</f>
        <v>7</v>
      </c>
      <c r="B345" s="7">
        <f>IF(Data!B345=Entry2!B345,Data!B345,"ERROR")</f>
        <v>2023</v>
      </c>
      <c r="C345" s="17">
        <f>IF(Data!C345=Entry2!C345,Data!C345,"ERROR")</f>
        <v>45203</v>
      </c>
      <c r="D345" s="7" t="str">
        <f>IF(Data!D345=Entry2!D345,Data!D345,"ERROR")</f>
        <v>JC, HH</v>
      </c>
      <c r="E345" s="7" t="str">
        <f>IF(Data!E345=Entry2!E345,Data!E345,"ERROR")</f>
        <v>GB</v>
      </c>
      <c r="F345" s="7">
        <f>IF(Data!F345=Entry2!F345,Data!F345,"ERROR")</f>
        <v>3</v>
      </c>
      <c r="G345" s="7" t="str">
        <f>IF(Data!G345=Entry2!G345,Data!G345,"ERROR")</f>
        <v>LS</v>
      </c>
      <c r="H345" s="7">
        <f>IF(Data!H345=Entry2!H345,Data!H345,"ERROR")</f>
        <v>15</v>
      </c>
      <c r="I345" s="7">
        <f>IF(Data!I345=Entry2!I345,Data!I345,"ERROR")</f>
        <v>1</v>
      </c>
      <c r="J345" s="7">
        <f>IF(Data!J345=Entry2!J345,Data!J345,"ERROR")</f>
        <v>7.5</v>
      </c>
      <c r="K345" s="7" t="str">
        <f>IF(Data!K345=Entry2!K345,Data!K345,"ERROR")</f>
        <v>CENMEL</v>
      </c>
      <c r="L345" s="7" t="str">
        <f>IF(Data!L345=Entry2!L345,Data!L345,"ERROR")</f>
        <v>ERROR</v>
      </c>
      <c r="M345" s="7">
        <f>IF(Data!N345=Entry2!M345,Data!N345,"ERROR")</f>
        <v>0</v>
      </c>
    </row>
    <row r="346" spans="1:13" ht="13.2" hidden="1" x14ac:dyDescent="0.25">
      <c r="A346" s="7">
        <f>IF(Data!A346=Entry2!A346,Data!A346,"ERROR")</f>
        <v>7</v>
      </c>
      <c r="B346" s="7">
        <f>IF(Data!B346=Entry2!B346,Data!B346,"ERROR")</f>
        <v>2023</v>
      </c>
      <c r="C346" s="17">
        <f>IF(Data!C346=Entry2!C346,Data!C346,"ERROR")</f>
        <v>45203</v>
      </c>
      <c r="D346" s="7" t="str">
        <f>IF(Data!D346=Entry2!D346,Data!D346,"ERROR")</f>
        <v>JC, HH</v>
      </c>
      <c r="E346" s="7" t="str">
        <f>IF(Data!E346=Entry2!E346,Data!E346,"ERROR")</f>
        <v>GB</v>
      </c>
      <c r="F346" s="7">
        <f>IF(Data!F346=Entry2!F346,Data!F346,"ERROR")</f>
        <v>3</v>
      </c>
      <c r="G346" s="7" t="str">
        <f>IF(Data!G346=Entry2!G346,Data!G346,"ERROR")</f>
        <v>LS</v>
      </c>
      <c r="H346" s="7">
        <f>IF(Data!H346=Entry2!H346,Data!H346,"ERROR")</f>
        <v>1</v>
      </c>
      <c r="I346" s="7">
        <f>IF(Data!I346=Entry2!I346,Data!I346,"ERROR")</f>
        <v>2</v>
      </c>
      <c r="J346" s="7">
        <f>IF(Data!J346=Entry2!J346,Data!J346,"ERROR")</f>
        <v>0</v>
      </c>
      <c r="K346" s="7" t="str">
        <f>IF(Data!K346=Entry2!K346,Data!K346,"ERROR")</f>
        <v>L</v>
      </c>
      <c r="L346" s="7" t="str">
        <f>IF(Data!L346=Entry2!L346,Data!L346,"ERROR")</f>
        <v>ERROR</v>
      </c>
      <c r="M346" s="7">
        <f>IF(Data!N346=Entry2!M346,Data!N346,"ERROR")</f>
        <v>0</v>
      </c>
    </row>
    <row r="347" spans="1:13" ht="13.2" hidden="1" x14ac:dyDescent="0.25">
      <c r="A347" s="7">
        <f>IF(Data!A347=Entry2!A347,Data!A347,"ERROR")</f>
        <v>7</v>
      </c>
      <c r="B347" s="7">
        <f>IF(Data!B347=Entry2!B347,Data!B347,"ERROR")</f>
        <v>2023</v>
      </c>
      <c r="C347" s="17">
        <f>IF(Data!C347=Entry2!C347,Data!C347,"ERROR")</f>
        <v>45203</v>
      </c>
      <c r="D347" s="7" t="str">
        <f>IF(Data!D347=Entry2!D347,Data!D347,"ERROR")</f>
        <v>JC, HH</v>
      </c>
      <c r="E347" s="7" t="str">
        <f>IF(Data!E347=Entry2!E347,Data!E347,"ERROR")</f>
        <v>GB</v>
      </c>
      <c r="F347" s="7">
        <f>IF(Data!F347=Entry2!F347,Data!F347,"ERROR")</f>
        <v>3</v>
      </c>
      <c r="G347" s="7" t="str">
        <f>IF(Data!G347=Entry2!G347,Data!G347,"ERROR")</f>
        <v>LS</v>
      </c>
      <c r="H347" s="7">
        <f>IF(Data!H347=Entry2!H347,Data!H347,"ERROR")</f>
        <v>1</v>
      </c>
      <c r="I347" s="7">
        <f>IF(Data!I347=Entry2!I347,Data!I347,"ERROR")</f>
        <v>2</v>
      </c>
      <c r="J347" s="7">
        <f>IF(Data!J347=Entry2!J347,Data!J347,"ERROR")</f>
        <v>0</v>
      </c>
      <c r="K347" s="7" t="str">
        <f>IF(Data!K347=Entry2!K347,Data!K347,"ERROR")</f>
        <v>NNG</v>
      </c>
      <c r="L347" s="7" t="str">
        <f>IF(Data!L347=Entry2!L347,Data!L347,"ERROR")</f>
        <v>ERROR</v>
      </c>
      <c r="M347" s="7">
        <f>IF(Data!N347=Entry2!M347,Data!N347,"ERROR")</f>
        <v>0</v>
      </c>
    </row>
    <row r="348" spans="1:13" ht="13.2" hidden="1" x14ac:dyDescent="0.25">
      <c r="A348" s="7">
        <f>IF(Data!A348=Entry2!A348,Data!A348,"ERROR")</f>
        <v>7</v>
      </c>
      <c r="B348" s="7">
        <f>IF(Data!B348=Entry2!B348,Data!B348,"ERROR")</f>
        <v>2023</v>
      </c>
      <c r="C348" s="17">
        <f>IF(Data!C348=Entry2!C348,Data!C348,"ERROR")</f>
        <v>45203</v>
      </c>
      <c r="D348" s="7" t="str">
        <f>IF(Data!D348=Entry2!D348,Data!D348,"ERROR")</f>
        <v>JC, HH</v>
      </c>
      <c r="E348" s="7" t="str">
        <f>IF(Data!E348=Entry2!E348,Data!E348,"ERROR")</f>
        <v>GB</v>
      </c>
      <c r="F348" s="7">
        <f>IF(Data!F348=Entry2!F348,Data!F348,"ERROR")</f>
        <v>3</v>
      </c>
      <c r="G348" s="7" t="str">
        <f>IF(Data!G348=Entry2!G348,Data!G348,"ERROR")</f>
        <v>LS</v>
      </c>
      <c r="H348" s="7">
        <f>IF(Data!H348=Entry2!H348,Data!H348,"ERROR")</f>
        <v>1</v>
      </c>
      <c r="I348" s="7">
        <f>IF(Data!I348=Entry2!I348,Data!I348,"ERROR")</f>
        <v>2</v>
      </c>
      <c r="J348" s="7">
        <f>IF(Data!J348=Entry2!J348,Data!J348,"ERROR")</f>
        <v>0</v>
      </c>
      <c r="K348" s="7" t="str">
        <f>IF(Data!K348=Entry2!K348,Data!K348,"ERROR")</f>
        <v>CENMEL</v>
      </c>
      <c r="L348" s="7" t="str">
        <f>IF(Data!L348=Entry2!L348,Data!L348,"ERROR")</f>
        <v>ERROR</v>
      </c>
      <c r="M348" s="7">
        <f>IF(Data!N348=Entry2!M348,Data!N348,"ERROR")</f>
        <v>0</v>
      </c>
    </row>
    <row r="349" spans="1:13" ht="13.2" hidden="1" x14ac:dyDescent="0.25">
      <c r="A349" s="7">
        <f>IF(Data!A349=Entry2!A349,Data!A349,"ERROR")</f>
        <v>7</v>
      </c>
      <c r="B349" s="7">
        <f>IF(Data!B349=Entry2!B349,Data!B349,"ERROR")</f>
        <v>2023</v>
      </c>
      <c r="C349" s="17">
        <f>IF(Data!C349=Entry2!C349,Data!C349,"ERROR")</f>
        <v>45203</v>
      </c>
      <c r="D349" s="7" t="str">
        <f>IF(Data!D349=Entry2!D349,Data!D349,"ERROR")</f>
        <v>JC, HH</v>
      </c>
      <c r="E349" s="7" t="str">
        <f>IF(Data!E349=Entry2!E349,Data!E349,"ERROR")</f>
        <v>GB</v>
      </c>
      <c r="F349" s="7">
        <f>IF(Data!F349=Entry2!F349,Data!F349,"ERROR")</f>
        <v>3</v>
      </c>
      <c r="G349" s="7" t="str">
        <f>IF(Data!G349=Entry2!G349,Data!G349,"ERROR")</f>
        <v>LS</v>
      </c>
      <c r="H349" s="7">
        <f>IF(Data!H349=Entry2!H349,Data!H349,"ERROR")</f>
        <v>2</v>
      </c>
      <c r="I349" s="7">
        <f>IF(Data!I349=Entry2!I349,Data!I349,"ERROR")</f>
        <v>2</v>
      </c>
      <c r="J349" s="7">
        <f>IF(Data!J349=Entry2!J349,Data!J349,"ERROR")</f>
        <v>0.5</v>
      </c>
      <c r="K349" s="7" t="str">
        <f>IF(Data!K349=Entry2!K349,Data!K349,"ERROR")</f>
        <v>L</v>
      </c>
      <c r="L349" s="7" t="str">
        <f>IF(Data!L349=Entry2!L349,Data!L349,"ERROR")</f>
        <v>ERROR</v>
      </c>
      <c r="M349" s="7">
        <f>IF(Data!N349=Entry2!M349,Data!N349,"ERROR")</f>
        <v>0</v>
      </c>
    </row>
    <row r="350" spans="1:13" ht="13.2" hidden="1" x14ac:dyDescent="0.25">
      <c r="A350" s="7">
        <f>IF(Data!A350=Entry2!A350,Data!A350,"ERROR")</f>
        <v>7</v>
      </c>
      <c r="B350" s="7">
        <f>IF(Data!B350=Entry2!B350,Data!B350,"ERROR")</f>
        <v>2023</v>
      </c>
      <c r="C350" s="17">
        <f>IF(Data!C350=Entry2!C350,Data!C350,"ERROR")</f>
        <v>45203</v>
      </c>
      <c r="D350" s="7" t="str">
        <f>IF(Data!D350=Entry2!D350,Data!D350,"ERROR")</f>
        <v>JC, HH</v>
      </c>
      <c r="E350" s="7" t="str">
        <f>IF(Data!E350=Entry2!E350,Data!E350,"ERROR")</f>
        <v>GB</v>
      </c>
      <c r="F350" s="7">
        <f>IF(Data!F350=Entry2!F350,Data!F350,"ERROR")</f>
        <v>3</v>
      </c>
      <c r="G350" s="7" t="str">
        <f>IF(Data!G350=Entry2!G350,Data!G350,"ERROR")</f>
        <v>LS</v>
      </c>
      <c r="H350" s="7">
        <f>IF(Data!H350=Entry2!H350,Data!H350,"ERROR")</f>
        <v>2</v>
      </c>
      <c r="I350" s="7">
        <f>IF(Data!I350=Entry2!I350,Data!I350,"ERROR")</f>
        <v>2</v>
      </c>
      <c r="J350" s="7">
        <f>IF(Data!J350=Entry2!J350,Data!J350,"ERROR")</f>
        <v>0.5</v>
      </c>
      <c r="K350" s="7" t="str">
        <f>IF(Data!K350=Entry2!K350,Data!K350,"ERROR")</f>
        <v>NNG</v>
      </c>
      <c r="L350" s="7" t="str">
        <f>IF(Data!L350=Entry2!L350,Data!L350,"ERROR")</f>
        <v>ERROR</v>
      </c>
      <c r="M350" s="7">
        <f>IF(Data!N350=Entry2!M350,Data!N350,"ERROR")</f>
        <v>0</v>
      </c>
    </row>
    <row r="351" spans="1:13" ht="13.2" hidden="1" x14ac:dyDescent="0.25">
      <c r="A351" s="7">
        <f>IF(Data!A351=Entry2!A351,Data!A351,"ERROR")</f>
        <v>7</v>
      </c>
      <c r="B351" s="7">
        <f>IF(Data!B351=Entry2!B351,Data!B351,"ERROR")</f>
        <v>2023</v>
      </c>
      <c r="C351" s="17">
        <f>IF(Data!C351=Entry2!C351,Data!C351,"ERROR")</f>
        <v>45203</v>
      </c>
      <c r="D351" s="7" t="str">
        <f>IF(Data!D351=Entry2!D351,Data!D351,"ERROR")</f>
        <v>JC, HH</v>
      </c>
      <c r="E351" s="7" t="str">
        <f>IF(Data!E351=Entry2!E351,Data!E351,"ERROR")</f>
        <v>GB</v>
      </c>
      <c r="F351" s="7">
        <f>IF(Data!F351=Entry2!F351,Data!F351,"ERROR")</f>
        <v>3</v>
      </c>
      <c r="G351" s="7" t="str">
        <f>IF(Data!G351=Entry2!G351,Data!G351,"ERROR")</f>
        <v>LS</v>
      </c>
      <c r="H351" s="7">
        <f>IF(Data!H351=Entry2!H351,Data!H351,"ERROR")</f>
        <v>3</v>
      </c>
      <c r="I351" s="7">
        <f>IF(Data!I351=Entry2!I351,Data!I351,"ERROR")</f>
        <v>2</v>
      </c>
      <c r="J351" s="7">
        <f>IF(Data!J351=Entry2!J351,Data!J351,"ERROR")</f>
        <v>1</v>
      </c>
      <c r="K351" s="7" t="str">
        <f>IF(Data!K351=Entry2!K351,Data!K351,"ERROR")</f>
        <v>L</v>
      </c>
      <c r="L351" s="7" t="str">
        <f>IF(Data!L351=Entry2!L351,Data!L351,"ERROR")</f>
        <v>ERROR</v>
      </c>
      <c r="M351" s="7">
        <f>IF(Data!N351=Entry2!M351,Data!N351,"ERROR")</f>
        <v>0</v>
      </c>
    </row>
    <row r="352" spans="1:13" ht="13.2" hidden="1" x14ac:dyDescent="0.25">
      <c r="A352" s="7">
        <f>IF(Data!A352=Entry2!A352,Data!A352,"ERROR")</f>
        <v>7</v>
      </c>
      <c r="B352" s="7">
        <f>IF(Data!B352=Entry2!B352,Data!B352,"ERROR")</f>
        <v>2023</v>
      </c>
      <c r="C352" s="17">
        <f>IF(Data!C352=Entry2!C352,Data!C352,"ERROR")</f>
        <v>45203</v>
      </c>
      <c r="D352" s="7" t="str">
        <f>IF(Data!D352=Entry2!D352,Data!D352,"ERROR")</f>
        <v>JC, HH</v>
      </c>
      <c r="E352" s="7" t="str">
        <f>IF(Data!E352=Entry2!E352,Data!E352,"ERROR")</f>
        <v>GB</v>
      </c>
      <c r="F352" s="7">
        <f>IF(Data!F352=Entry2!F352,Data!F352,"ERROR")</f>
        <v>3</v>
      </c>
      <c r="G352" s="7" t="str">
        <f>IF(Data!G352=Entry2!G352,Data!G352,"ERROR")</f>
        <v>LS</v>
      </c>
      <c r="H352" s="7">
        <f>IF(Data!H352=Entry2!H352,Data!H352,"ERROR")</f>
        <v>3</v>
      </c>
      <c r="I352" s="7">
        <f>IF(Data!I352=Entry2!I352,Data!I352,"ERROR")</f>
        <v>2</v>
      </c>
      <c r="J352" s="7">
        <f>IF(Data!J352=Entry2!J352,Data!J352,"ERROR")</f>
        <v>1</v>
      </c>
      <c r="K352" s="7" t="str">
        <f>IF(Data!K352=Entry2!K352,Data!K352,"ERROR")</f>
        <v>NNG</v>
      </c>
      <c r="L352" s="7" t="str">
        <f>IF(Data!L352=Entry2!L352,Data!L352,"ERROR")</f>
        <v>ERROR</v>
      </c>
      <c r="M352" s="7">
        <f>IF(Data!N352=Entry2!M352,Data!N352,"ERROR")</f>
        <v>0</v>
      </c>
    </row>
    <row r="353" spans="1:13" ht="13.2" hidden="1" x14ac:dyDescent="0.25">
      <c r="A353" s="7">
        <f>IF(Data!A353=Entry2!A353,Data!A353,"ERROR")</f>
        <v>7</v>
      </c>
      <c r="B353" s="7">
        <f>IF(Data!B353=Entry2!B353,Data!B353,"ERROR")</f>
        <v>2023</v>
      </c>
      <c r="C353" s="17">
        <f>IF(Data!C353=Entry2!C353,Data!C353,"ERROR")</f>
        <v>45203</v>
      </c>
      <c r="D353" s="7" t="str">
        <f>IF(Data!D353=Entry2!D353,Data!D353,"ERROR")</f>
        <v>JC, HH</v>
      </c>
      <c r="E353" s="7" t="str">
        <f>IF(Data!E353=Entry2!E353,Data!E353,"ERROR")</f>
        <v>GB</v>
      </c>
      <c r="F353" s="7">
        <f>IF(Data!F353=Entry2!F353,Data!F353,"ERROR")</f>
        <v>3</v>
      </c>
      <c r="G353" s="7" t="str">
        <f>IF(Data!G353=Entry2!G353,Data!G353,"ERROR")</f>
        <v>LS</v>
      </c>
      <c r="H353" s="7">
        <f>IF(Data!H353=Entry2!H353,Data!H353,"ERROR")</f>
        <v>4</v>
      </c>
      <c r="I353" s="7">
        <f>IF(Data!I353=Entry2!I353,Data!I353,"ERROR")</f>
        <v>2</v>
      </c>
      <c r="J353" s="7">
        <f>IF(Data!J353=Entry2!J353,Data!J353,"ERROR")</f>
        <v>1.5</v>
      </c>
      <c r="K353" s="7" t="str">
        <f>IF(Data!K353=Entry2!K353,Data!K353,"ERROR")</f>
        <v>L</v>
      </c>
      <c r="L353" s="7" t="str">
        <f>IF(Data!L353=Entry2!L353,Data!L353,"ERROR")</f>
        <v>ERROR</v>
      </c>
      <c r="M353" s="7">
        <f>IF(Data!N353=Entry2!M353,Data!N353,"ERROR")</f>
        <v>0</v>
      </c>
    </row>
    <row r="354" spans="1:13" ht="13.2" hidden="1" x14ac:dyDescent="0.25">
      <c r="A354" s="7">
        <f>IF(Data!A354=Entry2!A354,Data!A354,"ERROR")</f>
        <v>7</v>
      </c>
      <c r="B354" s="7">
        <f>IF(Data!B354=Entry2!B354,Data!B354,"ERROR")</f>
        <v>2023</v>
      </c>
      <c r="C354" s="17">
        <f>IF(Data!C354=Entry2!C354,Data!C354,"ERROR")</f>
        <v>45203</v>
      </c>
      <c r="D354" s="7" t="str">
        <f>IF(Data!D354=Entry2!D354,Data!D354,"ERROR")</f>
        <v>JC, HH</v>
      </c>
      <c r="E354" s="7" t="str">
        <f>IF(Data!E354=Entry2!E354,Data!E354,"ERROR")</f>
        <v>GB</v>
      </c>
      <c r="F354" s="7">
        <f>IF(Data!F354=Entry2!F354,Data!F354,"ERROR")</f>
        <v>3</v>
      </c>
      <c r="G354" s="7" t="str">
        <f>IF(Data!G354=Entry2!G354,Data!G354,"ERROR")</f>
        <v>LS</v>
      </c>
      <c r="H354" s="7">
        <f>IF(Data!H354=Entry2!H354,Data!H354,"ERROR")</f>
        <v>4</v>
      </c>
      <c r="I354" s="7">
        <f>IF(Data!I354=Entry2!I354,Data!I354,"ERROR")</f>
        <v>2</v>
      </c>
      <c r="J354" s="7">
        <f>IF(Data!J354=Entry2!J354,Data!J354,"ERROR")</f>
        <v>1.5</v>
      </c>
      <c r="K354" s="7" t="str">
        <f>IF(Data!K354=Entry2!K354,Data!K354,"ERROR")</f>
        <v>NNG</v>
      </c>
      <c r="L354" s="7" t="str">
        <f>IF(Data!L354=Entry2!L354,Data!L354,"ERROR")</f>
        <v>ERROR</v>
      </c>
      <c r="M354" s="7">
        <f>IF(Data!N354=Entry2!M354,Data!N354,"ERROR")</f>
        <v>0</v>
      </c>
    </row>
    <row r="355" spans="1:13" ht="13.2" hidden="1" x14ac:dyDescent="0.25">
      <c r="A355" s="7">
        <f>IF(Data!A355=Entry2!A355,Data!A355,"ERROR")</f>
        <v>7</v>
      </c>
      <c r="B355" s="7">
        <f>IF(Data!B355=Entry2!B355,Data!B355,"ERROR")</f>
        <v>2023</v>
      </c>
      <c r="C355" s="17">
        <f>IF(Data!C355=Entry2!C355,Data!C355,"ERROR")</f>
        <v>45203</v>
      </c>
      <c r="D355" s="7" t="str">
        <f>IF(Data!D355=Entry2!D355,Data!D355,"ERROR")</f>
        <v>JC, HH</v>
      </c>
      <c r="E355" s="7" t="str">
        <f>IF(Data!E355=Entry2!E355,Data!E355,"ERROR")</f>
        <v>GB</v>
      </c>
      <c r="F355" s="7">
        <f>IF(Data!F355=Entry2!F355,Data!F355,"ERROR")</f>
        <v>3</v>
      </c>
      <c r="G355" s="7" t="str">
        <f>IF(Data!G355=Entry2!G355,Data!G355,"ERROR")</f>
        <v>LS</v>
      </c>
      <c r="H355" s="7">
        <f>IF(Data!H355=Entry2!H355,Data!H355,"ERROR")</f>
        <v>4</v>
      </c>
      <c r="I355" s="7">
        <f>IF(Data!I355=Entry2!I355,Data!I355,"ERROR")</f>
        <v>2</v>
      </c>
      <c r="J355" s="7">
        <f>IF(Data!J355=Entry2!J355,Data!J355,"ERROR")</f>
        <v>1.5</v>
      </c>
      <c r="K355" s="7" t="str">
        <f>IF(Data!K355=Entry2!K355,Data!K355,"ERROR")</f>
        <v>DEIFAS</v>
      </c>
      <c r="L355" s="7" t="str">
        <f>IF(Data!L355=Entry2!L355,Data!L355,"ERROR")</f>
        <v>ERROR</v>
      </c>
      <c r="M355" s="7">
        <f>IF(Data!N355=Entry2!M355,Data!N355,"ERROR")</f>
        <v>0</v>
      </c>
    </row>
    <row r="356" spans="1:13" ht="13.2" hidden="1" x14ac:dyDescent="0.25">
      <c r="A356" s="7">
        <f>IF(Data!A356=Entry2!A356,Data!A356,"ERROR")</f>
        <v>7</v>
      </c>
      <c r="B356" s="7">
        <f>IF(Data!B356=Entry2!B356,Data!B356,"ERROR")</f>
        <v>2023</v>
      </c>
      <c r="C356" s="17">
        <f>IF(Data!C356=Entry2!C356,Data!C356,"ERROR")</f>
        <v>45203</v>
      </c>
      <c r="D356" s="7" t="str">
        <f>IF(Data!D356=Entry2!D356,Data!D356,"ERROR")</f>
        <v>JC, HH</v>
      </c>
      <c r="E356" s="7" t="str">
        <f>IF(Data!E356=Entry2!E356,Data!E356,"ERROR")</f>
        <v>GB</v>
      </c>
      <c r="F356" s="7">
        <f>IF(Data!F356=Entry2!F356,Data!F356,"ERROR")</f>
        <v>3</v>
      </c>
      <c r="G356" s="7" t="str">
        <f>IF(Data!G356=Entry2!G356,Data!G356,"ERROR")</f>
        <v>LS</v>
      </c>
      <c r="H356" s="7">
        <f>IF(Data!H356=Entry2!H356,Data!H356,"ERROR")</f>
        <v>5</v>
      </c>
      <c r="I356" s="7">
        <f>IF(Data!I356=Entry2!I356,Data!I356,"ERROR")</f>
        <v>2</v>
      </c>
      <c r="J356" s="7">
        <f>IF(Data!J356=Entry2!J356,Data!J356,"ERROR")</f>
        <v>2.5</v>
      </c>
      <c r="K356" s="7" t="str">
        <f>IF(Data!K356=Entry2!K356,Data!K356,"ERROR")</f>
        <v>L</v>
      </c>
      <c r="L356" s="7" t="str">
        <f>IF(Data!L356=Entry2!L356,Data!L356,"ERROR")</f>
        <v>ERROR</v>
      </c>
      <c r="M356" s="7">
        <f>IF(Data!N356=Entry2!M356,Data!N356,"ERROR")</f>
        <v>0</v>
      </c>
    </row>
    <row r="357" spans="1:13" ht="13.2" hidden="1" x14ac:dyDescent="0.25">
      <c r="A357" s="7">
        <f>IF(Data!A357=Entry2!A357,Data!A357,"ERROR")</f>
        <v>7</v>
      </c>
      <c r="B357" s="7">
        <f>IF(Data!B357=Entry2!B357,Data!B357,"ERROR")</f>
        <v>2023</v>
      </c>
      <c r="C357" s="17">
        <f>IF(Data!C357=Entry2!C357,Data!C357,"ERROR")</f>
        <v>45203</v>
      </c>
      <c r="D357" s="7" t="str">
        <f>IF(Data!D357=Entry2!D357,Data!D357,"ERROR")</f>
        <v>JC, HH</v>
      </c>
      <c r="E357" s="7" t="str">
        <f>IF(Data!E357=Entry2!E357,Data!E357,"ERROR")</f>
        <v>GB</v>
      </c>
      <c r="F357" s="7">
        <f>IF(Data!F357=Entry2!F357,Data!F357,"ERROR")</f>
        <v>3</v>
      </c>
      <c r="G357" s="7" t="str">
        <f>IF(Data!G357=Entry2!G357,Data!G357,"ERROR")</f>
        <v>LS</v>
      </c>
      <c r="H357" s="7">
        <f>IF(Data!H357=Entry2!H357,Data!H357,"ERROR")</f>
        <v>5</v>
      </c>
      <c r="I357" s="7">
        <f>IF(Data!I357=Entry2!I357,Data!I357,"ERROR")</f>
        <v>2</v>
      </c>
      <c r="J357" s="7">
        <f>IF(Data!J357=Entry2!J357,Data!J357,"ERROR")</f>
        <v>2.5</v>
      </c>
      <c r="K357" s="7" t="str">
        <f>IF(Data!K357=Entry2!K357,Data!K357,"ERROR")</f>
        <v>NNG</v>
      </c>
      <c r="L357" s="7" t="str">
        <f>IF(Data!L357=Entry2!L357,Data!L357,"ERROR")</f>
        <v>ERROR</v>
      </c>
      <c r="M357" s="7">
        <f>IF(Data!N357=Entry2!M357,Data!N357,"ERROR")</f>
        <v>0</v>
      </c>
    </row>
    <row r="358" spans="1:13" ht="13.2" hidden="1" x14ac:dyDescent="0.25">
      <c r="A358" s="7">
        <f>IF(Data!A358=Entry2!A358,Data!A358,"ERROR")</f>
        <v>7</v>
      </c>
      <c r="B358" s="7">
        <f>IF(Data!B358=Entry2!B358,Data!B358,"ERROR")</f>
        <v>2023</v>
      </c>
      <c r="C358" s="17">
        <f>IF(Data!C358=Entry2!C358,Data!C358,"ERROR")</f>
        <v>45203</v>
      </c>
      <c r="D358" s="7" t="str">
        <f>IF(Data!D358=Entry2!D358,Data!D358,"ERROR")</f>
        <v>JC, HH</v>
      </c>
      <c r="E358" s="7" t="str">
        <f>IF(Data!E358=Entry2!E358,Data!E358,"ERROR")</f>
        <v>GB</v>
      </c>
      <c r="F358" s="7">
        <f>IF(Data!F358=Entry2!F358,Data!F358,"ERROR")</f>
        <v>3</v>
      </c>
      <c r="G358" s="7" t="str">
        <f>IF(Data!G358=Entry2!G358,Data!G358,"ERROR")</f>
        <v>LS</v>
      </c>
      <c r="H358" s="7">
        <f>IF(Data!H358=Entry2!H358,Data!H358,"ERROR")</f>
        <v>5</v>
      </c>
      <c r="I358" s="7">
        <f>IF(Data!I358=Entry2!I358,Data!I358,"ERROR")</f>
        <v>2</v>
      </c>
      <c r="J358" s="7">
        <f>IF(Data!J358=Entry2!J358,Data!J358,"ERROR")</f>
        <v>2.5</v>
      </c>
      <c r="K358" s="7" t="str">
        <f>IF(Data!K358=Entry2!K358,Data!K358,"ERROR")</f>
        <v>DEIFAS</v>
      </c>
      <c r="L358" s="7" t="str">
        <f>IF(Data!L358=Entry2!L358,Data!L358,"ERROR")</f>
        <v>ERROR</v>
      </c>
      <c r="M358" s="7">
        <f>IF(Data!N358=Entry2!M358,Data!N358,"ERROR")</f>
        <v>0</v>
      </c>
    </row>
    <row r="359" spans="1:13" ht="13.2" hidden="1" x14ac:dyDescent="0.25">
      <c r="A359" s="7">
        <f>IF(Data!A359=Entry2!A359,Data!A359,"ERROR")</f>
        <v>7</v>
      </c>
      <c r="B359" s="7">
        <f>IF(Data!B359=Entry2!B359,Data!B359,"ERROR")</f>
        <v>2023</v>
      </c>
      <c r="C359" s="17">
        <f>IF(Data!C359=Entry2!C359,Data!C359,"ERROR")</f>
        <v>45203</v>
      </c>
      <c r="D359" s="7" t="str">
        <f>IF(Data!D359=Entry2!D359,Data!D359,"ERROR")</f>
        <v>JC, HH</v>
      </c>
      <c r="E359" s="7" t="str">
        <f>IF(Data!E359=Entry2!E359,Data!E359,"ERROR")</f>
        <v>GB</v>
      </c>
      <c r="F359" s="7">
        <f>IF(Data!F359=Entry2!F359,Data!F359,"ERROR")</f>
        <v>3</v>
      </c>
      <c r="G359" s="7" t="str">
        <f>IF(Data!G359=Entry2!G359,Data!G359,"ERROR")</f>
        <v>LS</v>
      </c>
      <c r="H359" s="7">
        <f>IF(Data!H359=Entry2!H359,Data!H359,"ERROR")</f>
        <v>6</v>
      </c>
      <c r="I359" s="7">
        <f>IF(Data!I359=Entry2!I359,Data!I359,"ERROR")</f>
        <v>2</v>
      </c>
      <c r="J359" s="7">
        <f>IF(Data!J359=Entry2!J359,Data!J359,"ERROR")</f>
        <v>3</v>
      </c>
      <c r="K359" s="7" t="str">
        <f>IF(Data!K359=Entry2!K359,Data!K359,"ERROR")</f>
        <v>L</v>
      </c>
      <c r="L359" s="7" t="str">
        <f>IF(Data!L359=Entry2!L359,Data!L359,"ERROR")</f>
        <v>ERROR</v>
      </c>
      <c r="M359" s="7">
        <f>IF(Data!N359=Entry2!M359,Data!N359,"ERROR")</f>
        <v>0</v>
      </c>
    </row>
    <row r="360" spans="1:13" ht="13.2" hidden="1" x14ac:dyDescent="0.25">
      <c r="A360" s="7">
        <f>IF(Data!A360=Entry2!A360,Data!A360,"ERROR")</f>
        <v>7</v>
      </c>
      <c r="B360" s="7">
        <f>IF(Data!B360=Entry2!B360,Data!B360,"ERROR")</f>
        <v>2023</v>
      </c>
      <c r="C360" s="17">
        <f>IF(Data!C360=Entry2!C360,Data!C360,"ERROR")</f>
        <v>45203</v>
      </c>
      <c r="D360" s="7" t="str">
        <f>IF(Data!D360=Entry2!D360,Data!D360,"ERROR")</f>
        <v>JC, HH</v>
      </c>
      <c r="E360" s="7" t="str">
        <f>IF(Data!E360=Entry2!E360,Data!E360,"ERROR")</f>
        <v>GB</v>
      </c>
      <c r="F360" s="7">
        <f>IF(Data!F360=Entry2!F360,Data!F360,"ERROR")</f>
        <v>3</v>
      </c>
      <c r="G360" s="7" t="str">
        <f>IF(Data!G360=Entry2!G360,Data!G360,"ERROR")</f>
        <v>LS</v>
      </c>
      <c r="H360" s="7">
        <f>IF(Data!H360=Entry2!H360,Data!H360,"ERROR")</f>
        <v>6</v>
      </c>
      <c r="I360" s="7">
        <f>IF(Data!I360=Entry2!I360,Data!I360,"ERROR")</f>
        <v>2</v>
      </c>
      <c r="J360" s="7">
        <f>IF(Data!J360=Entry2!J360,Data!J360,"ERROR")</f>
        <v>3</v>
      </c>
      <c r="K360" s="7" t="str">
        <f>IF(Data!K360=Entry2!K360,Data!K360,"ERROR")</f>
        <v>DEIFAS</v>
      </c>
      <c r="L360" s="7" t="str">
        <f>IF(Data!L360=Entry2!L360,Data!L360,"ERROR")</f>
        <v>ERROR</v>
      </c>
      <c r="M360" s="7">
        <f>IF(Data!N360=Entry2!M360,Data!N360,"ERROR")</f>
        <v>0</v>
      </c>
    </row>
    <row r="361" spans="1:13" ht="13.2" hidden="1" x14ac:dyDescent="0.25">
      <c r="A361" s="7">
        <f>IF(Data!A361=Entry2!A361,Data!A361,"ERROR")</f>
        <v>7</v>
      </c>
      <c r="B361" s="7">
        <f>IF(Data!B361=Entry2!B361,Data!B361,"ERROR")</f>
        <v>2023</v>
      </c>
      <c r="C361" s="17">
        <f>IF(Data!C361=Entry2!C361,Data!C361,"ERROR")</f>
        <v>45203</v>
      </c>
      <c r="D361" s="7" t="str">
        <f>IF(Data!D361=Entry2!D361,Data!D361,"ERROR")</f>
        <v>JC, HH</v>
      </c>
      <c r="E361" s="7" t="str">
        <f>IF(Data!E361=Entry2!E361,Data!E361,"ERROR")</f>
        <v>GB</v>
      </c>
      <c r="F361" s="7">
        <f>IF(Data!F361=Entry2!F361,Data!F361,"ERROR")</f>
        <v>3</v>
      </c>
      <c r="G361" s="7" t="str">
        <f>IF(Data!G361=Entry2!G361,Data!G361,"ERROR")</f>
        <v>LS</v>
      </c>
      <c r="H361" s="7">
        <f>IF(Data!H361=Entry2!H361,Data!H361,"ERROR")</f>
        <v>7</v>
      </c>
      <c r="I361" s="7">
        <f>IF(Data!I361=Entry2!I361,Data!I361,"ERROR")</f>
        <v>2</v>
      </c>
      <c r="J361" s="7">
        <f>IF(Data!J361=Entry2!J361,Data!J361,"ERROR")</f>
        <v>3.5</v>
      </c>
      <c r="K361" s="7" t="str">
        <f>IF(Data!K361=Entry2!K361,Data!K361,"ERROR")</f>
        <v>L</v>
      </c>
      <c r="L361" s="7" t="str">
        <f>IF(Data!L361=Entry2!L361,Data!L361,"ERROR")</f>
        <v>ERROR</v>
      </c>
      <c r="M361" s="7">
        <f>IF(Data!N361=Entry2!M361,Data!N361,"ERROR")</f>
        <v>0</v>
      </c>
    </row>
    <row r="362" spans="1:13" ht="13.2" hidden="1" x14ac:dyDescent="0.25">
      <c r="A362" s="7">
        <f>IF(Data!A362=Entry2!A362,Data!A362,"ERROR")</f>
        <v>7</v>
      </c>
      <c r="B362" s="7">
        <f>IF(Data!B362=Entry2!B362,Data!B362,"ERROR")</f>
        <v>2023</v>
      </c>
      <c r="C362" s="17">
        <f>IF(Data!C362=Entry2!C362,Data!C362,"ERROR")</f>
        <v>45203</v>
      </c>
      <c r="D362" s="7" t="str">
        <f>IF(Data!D362=Entry2!D362,Data!D362,"ERROR")</f>
        <v>JC, HH</v>
      </c>
      <c r="E362" s="7" t="str">
        <f>IF(Data!E362=Entry2!E362,Data!E362,"ERROR")</f>
        <v>GB</v>
      </c>
      <c r="F362" s="7">
        <f>IF(Data!F362=Entry2!F362,Data!F362,"ERROR")</f>
        <v>3</v>
      </c>
      <c r="G362" s="7" t="str">
        <f>IF(Data!G362=Entry2!G362,Data!G362,"ERROR")</f>
        <v>LS</v>
      </c>
      <c r="H362" s="7">
        <f>IF(Data!H362=Entry2!H362,Data!H362,"ERROR")</f>
        <v>7</v>
      </c>
      <c r="I362" s="7">
        <f>IF(Data!I362=Entry2!I362,Data!I362,"ERROR")</f>
        <v>2</v>
      </c>
      <c r="J362" s="7">
        <f>IF(Data!J362=Entry2!J362,Data!J362,"ERROR")</f>
        <v>3.5</v>
      </c>
      <c r="K362" s="7" t="str">
        <f>IF(Data!K362=Entry2!K362,Data!K362,"ERROR")</f>
        <v>DEIFAS</v>
      </c>
      <c r="L362" s="7" t="str">
        <f>IF(Data!L362=Entry2!L362,Data!L362,"ERROR")</f>
        <v>ERROR</v>
      </c>
      <c r="M362" s="7">
        <f>IF(Data!N362=Entry2!M362,Data!N362,"ERROR")</f>
        <v>0</v>
      </c>
    </row>
    <row r="363" spans="1:13" ht="13.2" hidden="1" x14ac:dyDescent="0.25">
      <c r="A363" s="7">
        <f>IF(Data!A363=Entry2!A363,Data!A363,"ERROR")</f>
        <v>7</v>
      </c>
      <c r="B363" s="7">
        <f>IF(Data!B363=Entry2!B363,Data!B363,"ERROR")</f>
        <v>2023</v>
      </c>
      <c r="C363" s="17">
        <f>IF(Data!C363=Entry2!C363,Data!C363,"ERROR")</f>
        <v>45203</v>
      </c>
      <c r="D363" s="7" t="str">
        <f>IF(Data!D363=Entry2!D363,Data!D363,"ERROR")</f>
        <v>JC, HH</v>
      </c>
      <c r="E363" s="7" t="str">
        <f>IF(Data!E363=Entry2!E363,Data!E363,"ERROR")</f>
        <v>GB</v>
      </c>
      <c r="F363" s="7">
        <f>IF(Data!F363=Entry2!F363,Data!F363,"ERROR")</f>
        <v>3</v>
      </c>
      <c r="G363" s="7" t="str">
        <f>IF(Data!G363=Entry2!G363,Data!G363,"ERROR")</f>
        <v>LS</v>
      </c>
      <c r="H363" s="7">
        <f>IF(Data!H363=Entry2!H363,Data!H363,"ERROR")</f>
        <v>8</v>
      </c>
      <c r="I363" s="7">
        <f>IF(Data!I363=Entry2!I363,Data!I363,"ERROR")</f>
        <v>2</v>
      </c>
      <c r="J363" s="7">
        <f>IF(Data!J363=Entry2!J363,Data!J363,"ERROR")</f>
        <v>4</v>
      </c>
      <c r="K363" s="7" t="str">
        <f>IF(Data!K363=Entry2!K363,Data!K363,"ERROR")</f>
        <v>B</v>
      </c>
      <c r="L363" s="7" t="str">
        <f>IF(Data!L363=Entry2!L363,Data!L363,"ERROR")</f>
        <v>ERROR</v>
      </c>
      <c r="M363" s="7">
        <f>IF(Data!N363=Entry2!M363,Data!N363,"ERROR")</f>
        <v>0</v>
      </c>
    </row>
    <row r="364" spans="1:13" ht="13.2" hidden="1" x14ac:dyDescent="0.25">
      <c r="A364" s="7">
        <f>IF(Data!A364=Entry2!A364,Data!A364,"ERROR")</f>
        <v>7</v>
      </c>
      <c r="B364" s="7">
        <f>IF(Data!B364=Entry2!B364,Data!B364,"ERROR")</f>
        <v>2023</v>
      </c>
      <c r="C364" s="17">
        <f>IF(Data!C364=Entry2!C364,Data!C364,"ERROR")</f>
        <v>45203</v>
      </c>
      <c r="D364" s="7" t="str">
        <f>IF(Data!D364=Entry2!D364,Data!D364,"ERROR")</f>
        <v>JC, HH</v>
      </c>
      <c r="E364" s="7" t="str">
        <f>IF(Data!E364=Entry2!E364,Data!E364,"ERROR")</f>
        <v>GB</v>
      </c>
      <c r="F364" s="7">
        <f>IF(Data!F364=Entry2!F364,Data!F364,"ERROR")</f>
        <v>3</v>
      </c>
      <c r="G364" s="7" t="str">
        <f>IF(Data!G364=Entry2!G364,Data!G364,"ERROR")</f>
        <v>LS</v>
      </c>
      <c r="H364" s="7">
        <f>IF(Data!H364=Entry2!H364,Data!H364,"ERROR")</f>
        <v>9</v>
      </c>
      <c r="I364" s="7">
        <f>IF(Data!I364=Entry2!I364,Data!I364,"ERROR")</f>
        <v>2</v>
      </c>
      <c r="J364" s="7">
        <f>IF(Data!J364=Entry2!J364,Data!J364,"ERROR")</f>
        <v>4.5</v>
      </c>
      <c r="K364" s="7" t="str">
        <f>IF(Data!K364=Entry2!K364,Data!K364,"ERROR")</f>
        <v>B</v>
      </c>
      <c r="L364" s="7" t="str">
        <f>IF(Data!L364=Entry2!L364,Data!L364,"ERROR")</f>
        <v>ERROR</v>
      </c>
      <c r="M364" s="7">
        <f>IF(Data!N364=Entry2!M364,Data!N364,"ERROR")</f>
        <v>0</v>
      </c>
    </row>
    <row r="365" spans="1:13" ht="13.2" hidden="1" x14ac:dyDescent="0.25">
      <c r="A365" s="7">
        <f>IF(Data!A365=Entry2!A365,Data!A365,"ERROR")</f>
        <v>7</v>
      </c>
      <c r="B365" s="7">
        <f>IF(Data!B365=Entry2!B365,Data!B365,"ERROR")</f>
        <v>2023</v>
      </c>
      <c r="C365" s="17">
        <f>IF(Data!C365=Entry2!C365,Data!C365,"ERROR")</f>
        <v>45203</v>
      </c>
      <c r="D365" s="7" t="str">
        <f>IF(Data!D365=Entry2!D365,Data!D365,"ERROR")</f>
        <v>JC, HH</v>
      </c>
      <c r="E365" s="7" t="str">
        <f>IF(Data!E365=Entry2!E365,Data!E365,"ERROR")</f>
        <v>GB</v>
      </c>
      <c r="F365" s="7">
        <f>IF(Data!F365=Entry2!F365,Data!F365,"ERROR")</f>
        <v>3</v>
      </c>
      <c r="G365" s="7" t="str">
        <f>IF(Data!G365=Entry2!G365,Data!G365,"ERROR")</f>
        <v>LS</v>
      </c>
      <c r="H365" s="7">
        <f>IF(Data!H365=Entry2!H365,Data!H365,"ERROR")</f>
        <v>10</v>
      </c>
      <c r="I365" s="7">
        <f>IF(Data!I365=Entry2!I365,Data!I365,"ERROR")</f>
        <v>2</v>
      </c>
      <c r="J365" s="7">
        <f>IF(Data!J365=Entry2!J365,Data!J365,"ERROR")</f>
        <v>5</v>
      </c>
      <c r="K365" s="7" t="str">
        <f>IF(Data!K365=Entry2!K365,Data!K365,"ERROR")</f>
        <v>L</v>
      </c>
      <c r="L365" s="7" t="str">
        <f>IF(Data!L365=Entry2!L365,Data!L365,"ERROR")</f>
        <v>ERROR</v>
      </c>
      <c r="M365" s="7">
        <f>IF(Data!N365=Entry2!M365,Data!N365,"ERROR")</f>
        <v>0</v>
      </c>
    </row>
    <row r="366" spans="1:13" ht="13.2" hidden="1" x14ac:dyDescent="0.25">
      <c r="A366" s="7">
        <f>IF(Data!A366=Entry2!A366,Data!A366,"ERROR")</f>
        <v>7</v>
      </c>
      <c r="B366" s="7">
        <f>IF(Data!B366=Entry2!B366,Data!B366,"ERROR")</f>
        <v>2023</v>
      </c>
      <c r="C366" s="17">
        <f>IF(Data!C366=Entry2!C366,Data!C366,"ERROR")</f>
        <v>45203</v>
      </c>
      <c r="D366" s="7" t="str">
        <f>IF(Data!D366=Entry2!D366,Data!D366,"ERROR")</f>
        <v>JC, HH</v>
      </c>
      <c r="E366" s="7" t="str">
        <f>IF(Data!E366=Entry2!E366,Data!E366,"ERROR")</f>
        <v>GB</v>
      </c>
      <c r="F366" s="7">
        <f>IF(Data!F366=Entry2!F366,Data!F366,"ERROR")</f>
        <v>3</v>
      </c>
      <c r="G366" s="7" t="str">
        <f>IF(Data!G366=Entry2!G366,Data!G366,"ERROR")</f>
        <v>LS</v>
      </c>
      <c r="H366" s="7">
        <f>IF(Data!H366=Entry2!H366,Data!H366,"ERROR")</f>
        <v>10</v>
      </c>
      <c r="I366" s="7">
        <f>IF(Data!I366=Entry2!I366,Data!I366,"ERROR")</f>
        <v>2</v>
      </c>
      <c r="J366" s="7">
        <f>IF(Data!J366=Entry2!J366,Data!J366,"ERROR")</f>
        <v>5</v>
      </c>
      <c r="K366" s="7" t="str">
        <f>IF(Data!K366=Entry2!K366,Data!K366,"ERROR")</f>
        <v>NNG</v>
      </c>
      <c r="L366" s="7" t="str">
        <f>IF(Data!L366=Entry2!L366,Data!L366,"ERROR")</f>
        <v>ERROR</v>
      </c>
      <c r="M366" s="7">
        <f>IF(Data!N366=Entry2!M366,Data!N366,"ERROR")</f>
        <v>0</v>
      </c>
    </row>
    <row r="367" spans="1:13" ht="13.2" hidden="1" x14ac:dyDescent="0.25">
      <c r="A367" s="7">
        <f>IF(Data!A367=Entry2!A367,Data!A367,"ERROR")</f>
        <v>7</v>
      </c>
      <c r="B367" s="7">
        <f>IF(Data!B367=Entry2!B367,Data!B367,"ERROR")</f>
        <v>2023</v>
      </c>
      <c r="C367" s="17">
        <f>IF(Data!C367=Entry2!C367,Data!C367,"ERROR")</f>
        <v>45203</v>
      </c>
      <c r="D367" s="7" t="str">
        <f>IF(Data!D367=Entry2!D367,Data!D367,"ERROR")</f>
        <v>JC, HH</v>
      </c>
      <c r="E367" s="7" t="str">
        <f>IF(Data!E367=Entry2!E367,Data!E367,"ERROR")</f>
        <v>GB</v>
      </c>
      <c r="F367" s="7">
        <f>IF(Data!F367=Entry2!F367,Data!F367,"ERROR")</f>
        <v>3</v>
      </c>
      <c r="G367" s="7" t="str">
        <f>IF(Data!G367=Entry2!G367,Data!G367,"ERROR")</f>
        <v>LS</v>
      </c>
      <c r="H367" s="7">
        <f>IF(Data!H367=Entry2!H367,Data!H367,"ERROR")</f>
        <v>11</v>
      </c>
      <c r="I367" s="7">
        <f>IF(Data!I367=Entry2!I367,Data!I367,"ERROR")</f>
        <v>2</v>
      </c>
      <c r="J367" s="7">
        <f>IF(Data!J367=Entry2!J367,Data!J367,"ERROR")</f>
        <v>5.5</v>
      </c>
      <c r="K367" s="7" t="str">
        <f>IF(Data!K367=Entry2!K367,Data!K367,"ERROR")</f>
        <v>B</v>
      </c>
      <c r="L367" s="7" t="str">
        <f>IF(Data!L367=Entry2!L367,Data!L367,"ERROR")</f>
        <v>ERROR</v>
      </c>
      <c r="M367" s="7">
        <f>IF(Data!N367=Entry2!M367,Data!N367,"ERROR")</f>
        <v>0</v>
      </c>
    </row>
    <row r="368" spans="1:13" ht="13.2" hidden="1" x14ac:dyDescent="0.25">
      <c r="A368" s="7">
        <f>IF(Data!A368=Entry2!A368,Data!A368,"ERROR")</f>
        <v>7</v>
      </c>
      <c r="B368" s="7">
        <f>IF(Data!B368=Entry2!B368,Data!B368,"ERROR")</f>
        <v>2023</v>
      </c>
      <c r="C368" s="17">
        <f>IF(Data!C368=Entry2!C368,Data!C368,"ERROR")</f>
        <v>45203</v>
      </c>
      <c r="D368" s="7" t="str">
        <f>IF(Data!D368=Entry2!D368,Data!D368,"ERROR")</f>
        <v>JC, HH</v>
      </c>
      <c r="E368" s="7" t="str">
        <f>IF(Data!E368=Entry2!E368,Data!E368,"ERROR")</f>
        <v>GB</v>
      </c>
      <c r="F368" s="7">
        <f>IF(Data!F368=Entry2!F368,Data!F368,"ERROR")</f>
        <v>3</v>
      </c>
      <c r="G368" s="7" t="str">
        <f>IF(Data!G368=Entry2!G368,Data!G368,"ERROR")</f>
        <v>LS</v>
      </c>
      <c r="H368" s="7">
        <f>IF(Data!H368=Entry2!H368,Data!H368,"ERROR")</f>
        <v>11</v>
      </c>
      <c r="I368" s="7">
        <f>IF(Data!I368=Entry2!I368,Data!I368,"ERROR")</f>
        <v>2</v>
      </c>
      <c r="J368" s="7">
        <f>IF(Data!J368=Entry2!J368,Data!J368,"ERROR")</f>
        <v>5.5</v>
      </c>
      <c r="K368" s="7" t="str">
        <f>IF(Data!K368=Entry2!K368,Data!K368,"ERROR")</f>
        <v>CENMEL</v>
      </c>
      <c r="L368" s="7" t="str">
        <f>IF(Data!L368=Entry2!L368,Data!L368,"ERROR")</f>
        <v>ERROR</v>
      </c>
      <c r="M368" s="7">
        <f>IF(Data!N368=Entry2!M368,Data!N368,"ERROR")</f>
        <v>0</v>
      </c>
    </row>
    <row r="369" spans="1:13" ht="13.2" hidden="1" x14ac:dyDescent="0.25">
      <c r="A369" s="7">
        <f>IF(Data!A369=Entry2!A369,Data!A369,"ERROR")</f>
        <v>7</v>
      </c>
      <c r="B369" s="7">
        <f>IF(Data!B369=Entry2!B369,Data!B369,"ERROR")</f>
        <v>2023</v>
      </c>
      <c r="C369" s="17">
        <f>IF(Data!C369=Entry2!C369,Data!C369,"ERROR")</f>
        <v>45203</v>
      </c>
      <c r="D369" s="7" t="str">
        <f>IF(Data!D369=Entry2!D369,Data!D369,"ERROR")</f>
        <v>JC, HH</v>
      </c>
      <c r="E369" s="7" t="str">
        <f>IF(Data!E369=Entry2!E369,Data!E369,"ERROR")</f>
        <v>GB</v>
      </c>
      <c r="F369" s="7">
        <f>IF(Data!F369=Entry2!F369,Data!F369,"ERROR")</f>
        <v>3</v>
      </c>
      <c r="G369" s="7" t="str">
        <f>IF(Data!G369=Entry2!G369,Data!G369,"ERROR")</f>
        <v>LS</v>
      </c>
      <c r="H369" s="7">
        <f>IF(Data!H369=Entry2!H369,Data!H369,"ERROR")</f>
        <v>12</v>
      </c>
      <c r="I369" s="7">
        <f>IF(Data!I369=Entry2!I369,Data!I369,"ERROR")</f>
        <v>2</v>
      </c>
      <c r="J369" s="7">
        <f>IF(Data!J369=Entry2!J369,Data!J369,"ERROR")</f>
        <v>6</v>
      </c>
      <c r="K369" s="7" t="str">
        <f>IF(Data!K369=Entry2!K369,Data!K369,"ERROR")</f>
        <v>B</v>
      </c>
      <c r="L369" s="7" t="str">
        <f>IF(Data!L369=Entry2!L369,Data!L369,"ERROR")</f>
        <v>ERROR</v>
      </c>
      <c r="M369" s="7">
        <f>IF(Data!N369=Entry2!M369,Data!N369,"ERROR")</f>
        <v>0</v>
      </c>
    </row>
    <row r="370" spans="1:13" ht="13.2" hidden="1" x14ac:dyDescent="0.25">
      <c r="A370" s="7">
        <f>IF(Data!A370=Entry2!A370,Data!A370,"ERROR")</f>
        <v>7</v>
      </c>
      <c r="B370" s="7">
        <f>IF(Data!B370=Entry2!B370,Data!B370,"ERROR")</f>
        <v>2023</v>
      </c>
      <c r="C370" s="17">
        <f>IF(Data!C370=Entry2!C370,Data!C370,"ERROR")</f>
        <v>45203</v>
      </c>
      <c r="D370" s="7" t="str">
        <f>IF(Data!D370=Entry2!D370,Data!D370,"ERROR")</f>
        <v>JC, HH</v>
      </c>
      <c r="E370" s="7" t="str">
        <f>IF(Data!E370=Entry2!E370,Data!E370,"ERROR")</f>
        <v>GB</v>
      </c>
      <c r="F370" s="7">
        <f>IF(Data!F370=Entry2!F370,Data!F370,"ERROR")</f>
        <v>3</v>
      </c>
      <c r="G370" s="7" t="str">
        <f>IF(Data!G370=Entry2!G370,Data!G370,"ERROR")</f>
        <v>LS</v>
      </c>
      <c r="H370" s="7">
        <f>IF(Data!H370=Entry2!H370,Data!H370,"ERROR")</f>
        <v>13</v>
      </c>
      <c r="I370" s="7">
        <f>IF(Data!I370=Entry2!I370,Data!I370,"ERROR")</f>
        <v>2</v>
      </c>
      <c r="J370" s="7">
        <f>IF(Data!J370=Entry2!J370,Data!J370,"ERROR")</f>
        <v>6.5</v>
      </c>
      <c r="K370" s="7" t="str">
        <f>IF(Data!K370=Entry2!K370,Data!K370,"ERROR")</f>
        <v>B</v>
      </c>
      <c r="L370" s="7" t="str">
        <f>IF(Data!L370=Entry2!L370,Data!L370,"ERROR")</f>
        <v>ERROR</v>
      </c>
      <c r="M370" s="7">
        <f>IF(Data!N370=Entry2!M370,Data!N370,"ERROR")</f>
        <v>0</v>
      </c>
    </row>
    <row r="371" spans="1:13" ht="13.2" hidden="1" x14ac:dyDescent="0.25">
      <c r="A371" s="7">
        <f>IF(Data!A371=Entry2!A371,Data!A371,"ERROR")</f>
        <v>7</v>
      </c>
      <c r="B371" s="7">
        <f>IF(Data!B371=Entry2!B371,Data!B371,"ERROR")</f>
        <v>2023</v>
      </c>
      <c r="C371" s="17">
        <f>IF(Data!C371=Entry2!C371,Data!C371,"ERROR")</f>
        <v>45203</v>
      </c>
      <c r="D371" s="7" t="str">
        <f>IF(Data!D371=Entry2!D371,Data!D371,"ERROR")</f>
        <v>JC, HH</v>
      </c>
      <c r="E371" s="7" t="str">
        <f>IF(Data!E371=Entry2!E371,Data!E371,"ERROR")</f>
        <v>GB</v>
      </c>
      <c r="F371" s="7">
        <f>IF(Data!F371=Entry2!F371,Data!F371,"ERROR")</f>
        <v>3</v>
      </c>
      <c r="G371" s="7" t="str">
        <f>IF(Data!G371=Entry2!G371,Data!G371,"ERROR")</f>
        <v>LS</v>
      </c>
      <c r="H371" s="7">
        <f>IF(Data!H371=Entry2!H371,Data!H371,"ERROR")</f>
        <v>14</v>
      </c>
      <c r="I371" s="7">
        <f>IF(Data!I371=Entry2!I371,Data!I371,"ERROR")</f>
        <v>2</v>
      </c>
      <c r="J371" s="7">
        <f>IF(Data!J371=Entry2!J371,Data!J371,"ERROR")</f>
        <v>7</v>
      </c>
      <c r="K371" s="7" t="str">
        <f>IF(Data!K371=Entry2!K371,Data!K371,"ERROR")</f>
        <v>L</v>
      </c>
      <c r="L371" s="7" t="str">
        <f>IF(Data!L371=Entry2!L371,Data!L371,"ERROR")</f>
        <v>ERROR</v>
      </c>
      <c r="M371" s="7">
        <f>IF(Data!N371=Entry2!M371,Data!N371,"ERROR")</f>
        <v>0</v>
      </c>
    </row>
    <row r="372" spans="1:13" ht="13.2" hidden="1" x14ac:dyDescent="0.25">
      <c r="A372" s="7">
        <f>IF(Data!A372=Entry2!A372,Data!A372,"ERROR")</f>
        <v>7</v>
      </c>
      <c r="B372" s="7">
        <f>IF(Data!B372=Entry2!B372,Data!B372,"ERROR")</f>
        <v>2023</v>
      </c>
      <c r="C372" s="17">
        <f>IF(Data!C372=Entry2!C372,Data!C372,"ERROR")</f>
        <v>45203</v>
      </c>
      <c r="D372" s="7" t="str">
        <f>IF(Data!D372=Entry2!D372,Data!D372,"ERROR")</f>
        <v>JC, HH</v>
      </c>
      <c r="E372" s="7" t="str">
        <f>IF(Data!E372=Entry2!E372,Data!E372,"ERROR")</f>
        <v>GB</v>
      </c>
      <c r="F372" s="7">
        <f>IF(Data!F372=Entry2!F372,Data!F372,"ERROR")</f>
        <v>3</v>
      </c>
      <c r="G372" s="7" t="str">
        <f>IF(Data!G372=Entry2!G372,Data!G372,"ERROR")</f>
        <v>LS</v>
      </c>
      <c r="H372" s="7">
        <f>IF(Data!H372=Entry2!H372,Data!H372,"ERROR")</f>
        <v>14</v>
      </c>
      <c r="I372" s="7">
        <f>IF(Data!I372=Entry2!I372,Data!I372,"ERROR")</f>
        <v>2</v>
      </c>
      <c r="J372" s="7">
        <f>IF(Data!J372=Entry2!J372,Data!J372,"ERROR")</f>
        <v>7</v>
      </c>
      <c r="K372" s="7" t="str">
        <f>IF(Data!K372=Entry2!K372,Data!K372,"ERROR")</f>
        <v>CENMEL</v>
      </c>
      <c r="L372" s="7" t="str">
        <f>IF(Data!L372=Entry2!L372,Data!L372,"ERROR")</f>
        <v>ERROR</v>
      </c>
      <c r="M372" s="7">
        <f>IF(Data!N372=Entry2!M372,Data!N372,"ERROR")</f>
        <v>0</v>
      </c>
    </row>
    <row r="373" spans="1:13" ht="13.2" hidden="1" x14ac:dyDescent="0.25">
      <c r="A373" s="7">
        <f>IF(Data!A373=Entry2!A373,Data!A373,"ERROR")</f>
        <v>7</v>
      </c>
      <c r="B373" s="7">
        <f>IF(Data!B373=Entry2!B373,Data!B373,"ERROR")</f>
        <v>2023</v>
      </c>
      <c r="C373" s="17">
        <f>IF(Data!C373=Entry2!C373,Data!C373,"ERROR")</f>
        <v>45203</v>
      </c>
      <c r="D373" s="7" t="str">
        <f>IF(Data!D373=Entry2!D373,Data!D373,"ERROR")</f>
        <v>JC, HH</v>
      </c>
      <c r="E373" s="7" t="str">
        <f>IF(Data!E373=Entry2!E373,Data!E373,"ERROR")</f>
        <v>GB</v>
      </c>
      <c r="F373" s="7">
        <f>IF(Data!F373=Entry2!F373,Data!F373,"ERROR")</f>
        <v>3</v>
      </c>
      <c r="G373" s="7" t="str">
        <f>IF(Data!G373=Entry2!G373,Data!G373,"ERROR")</f>
        <v>LS</v>
      </c>
      <c r="H373" s="7">
        <f>IF(Data!H373=Entry2!H373,Data!H373,"ERROR")</f>
        <v>15</v>
      </c>
      <c r="I373" s="7">
        <f>IF(Data!I373=Entry2!I373,Data!I373,"ERROR")</f>
        <v>2</v>
      </c>
      <c r="J373" s="7">
        <f>IF(Data!J373=Entry2!J373,Data!J373,"ERROR")</f>
        <v>7.5</v>
      </c>
      <c r="K373" s="7" t="str">
        <f>IF(Data!K373=Entry2!K373,Data!K373,"ERROR")</f>
        <v>L</v>
      </c>
      <c r="L373" s="7" t="str">
        <f>IF(Data!L373=Entry2!L373,Data!L373,"ERROR")</f>
        <v>ERROR</v>
      </c>
      <c r="M373" s="7">
        <f>IF(Data!N373=Entry2!M373,Data!N373,"ERROR")</f>
        <v>0</v>
      </c>
    </row>
    <row r="374" spans="1:13" ht="13.2" hidden="1" x14ac:dyDescent="0.25">
      <c r="A374" s="7">
        <f>IF(Data!A374=Entry2!A374,Data!A374,"ERROR")</f>
        <v>7</v>
      </c>
      <c r="B374" s="7">
        <f>IF(Data!B374=Entry2!B374,Data!B374,"ERROR")</f>
        <v>2023</v>
      </c>
      <c r="C374" s="17">
        <f>IF(Data!C374=Entry2!C374,Data!C374,"ERROR")</f>
        <v>45203</v>
      </c>
      <c r="D374" s="7" t="str">
        <f>IF(Data!D374=Entry2!D374,Data!D374,"ERROR")</f>
        <v>JC, HH</v>
      </c>
      <c r="E374" s="7" t="str">
        <f>IF(Data!E374=Entry2!E374,Data!E374,"ERROR")</f>
        <v>GB</v>
      </c>
      <c r="F374" s="7">
        <f>IF(Data!F374=Entry2!F374,Data!F374,"ERROR")</f>
        <v>3</v>
      </c>
      <c r="G374" s="7" t="str">
        <f>IF(Data!G374=Entry2!G374,Data!G374,"ERROR")</f>
        <v>LS</v>
      </c>
      <c r="H374" s="7">
        <f>IF(Data!H374=Entry2!H374,Data!H374,"ERROR")</f>
        <v>15</v>
      </c>
      <c r="I374" s="7">
        <f>IF(Data!I374=Entry2!I374,Data!I374,"ERROR")</f>
        <v>2</v>
      </c>
      <c r="J374" s="7">
        <f>IF(Data!J374=Entry2!J374,Data!J374,"ERROR")</f>
        <v>7.5</v>
      </c>
      <c r="K374" s="7" t="str">
        <f>IF(Data!K374=Entry2!K374,Data!K374,"ERROR")</f>
        <v>NNG</v>
      </c>
      <c r="L374" s="7" t="str">
        <f>IF(Data!L374=Entry2!L374,Data!L374,"ERROR")</f>
        <v>ERROR</v>
      </c>
      <c r="M374" s="7">
        <f>IF(Data!N374=Entry2!M374,Data!N374,"ERROR")</f>
        <v>0</v>
      </c>
    </row>
    <row r="375" spans="1:13" ht="13.2" hidden="1" x14ac:dyDescent="0.25">
      <c r="A375" s="7">
        <f>IF(Data!A375=Entry2!A375,Data!A375,"ERROR")</f>
        <v>8</v>
      </c>
      <c r="B375" s="7">
        <f>IF(Data!B375=Entry2!B375,Data!B375,"ERROR")</f>
        <v>2023</v>
      </c>
      <c r="C375" s="17">
        <f>IF(Data!C375=Entry2!C375,Data!C375,"ERROR")</f>
        <v>45203</v>
      </c>
      <c r="D375" s="7" t="str">
        <f>IF(Data!D375=Entry2!D375,Data!D375,"ERROR")</f>
        <v>JC, HH</v>
      </c>
      <c r="E375" s="7" t="str">
        <f>IF(Data!E375=Entry2!E375,Data!E375,"ERROR")</f>
        <v>GB</v>
      </c>
      <c r="F375" s="7">
        <f>IF(Data!F375=Entry2!F375,Data!F375,"ERROR")</f>
        <v>3</v>
      </c>
      <c r="G375" s="7" t="str">
        <f>IF(Data!G375=Entry2!G375,Data!G375,"ERROR")</f>
        <v>LU</v>
      </c>
      <c r="H375" s="7">
        <f>IF(Data!H375=Entry2!H375,Data!H375,"ERROR")</f>
        <v>1</v>
      </c>
      <c r="I375" s="7">
        <f>IF(Data!I375=Entry2!I375,Data!I375,"ERROR")</f>
        <v>1</v>
      </c>
      <c r="J375" s="7">
        <f>IF(Data!J375=Entry2!J375,Data!J375,"ERROR")</f>
        <v>0</v>
      </c>
      <c r="K375" s="7" t="str">
        <f>IF(Data!K375=Entry2!K375,Data!K375,"ERROR")</f>
        <v>L</v>
      </c>
      <c r="L375" s="7" t="str">
        <f>IF(Data!L375=Entry2!L375,Data!L375,"ERROR")</f>
        <v>ERROR</v>
      </c>
      <c r="M375" s="7">
        <f>IF(Data!N375=Entry2!M375,Data!N375,"ERROR")</f>
        <v>0</v>
      </c>
    </row>
    <row r="376" spans="1:13" ht="13.2" hidden="1" x14ac:dyDescent="0.25">
      <c r="A376" s="7">
        <f>IF(Data!A376=Entry2!A376,Data!A376,"ERROR")</f>
        <v>8</v>
      </c>
      <c r="B376" s="7">
        <f>IF(Data!B376=Entry2!B376,Data!B376,"ERROR")</f>
        <v>2023</v>
      </c>
      <c r="C376" s="17">
        <f>IF(Data!C376=Entry2!C376,Data!C376,"ERROR")</f>
        <v>45203</v>
      </c>
      <c r="D376" s="7" t="str">
        <f>IF(Data!D376=Entry2!D376,Data!D376,"ERROR")</f>
        <v>JC, HH</v>
      </c>
      <c r="E376" s="7" t="str">
        <f>IF(Data!E376=Entry2!E376,Data!E376,"ERROR")</f>
        <v>GB</v>
      </c>
      <c r="F376" s="7">
        <f>IF(Data!F376=Entry2!F376,Data!F376,"ERROR")</f>
        <v>3</v>
      </c>
      <c r="G376" s="7" t="str">
        <f>IF(Data!G376=Entry2!G376,Data!G376,"ERROR")</f>
        <v>LU</v>
      </c>
      <c r="H376" s="7">
        <f>IF(Data!H376=Entry2!H376,Data!H376,"ERROR")</f>
        <v>2</v>
      </c>
      <c r="I376" s="7">
        <f>IF(Data!I376=Entry2!I376,Data!I376,"ERROR")</f>
        <v>1</v>
      </c>
      <c r="J376" s="7">
        <f>IF(Data!J376=Entry2!J376,Data!J376,"ERROR")</f>
        <v>0.5</v>
      </c>
      <c r="K376" s="7" t="str">
        <f>IF(Data!K376=Entry2!K376,Data!K376,"ERROR")</f>
        <v>L</v>
      </c>
      <c r="L376" s="7" t="str">
        <f>IF(Data!L376=Entry2!L376,Data!L376,"ERROR")</f>
        <v>ERROR</v>
      </c>
      <c r="M376" s="7">
        <f>IF(Data!N376=Entry2!M376,Data!N376,"ERROR")</f>
        <v>0</v>
      </c>
    </row>
    <row r="377" spans="1:13" ht="13.2" hidden="1" x14ac:dyDescent="0.25">
      <c r="A377" s="7">
        <f>IF(Data!A377=Entry2!A377,Data!A377,"ERROR")</f>
        <v>8</v>
      </c>
      <c r="B377" s="7">
        <f>IF(Data!B377=Entry2!B377,Data!B377,"ERROR")</f>
        <v>2023</v>
      </c>
      <c r="C377" s="17">
        <f>IF(Data!C377=Entry2!C377,Data!C377,"ERROR")</f>
        <v>45203</v>
      </c>
      <c r="D377" s="7" t="str">
        <f>IF(Data!D377=Entry2!D377,Data!D377,"ERROR")</f>
        <v>JC, HH</v>
      </c>
      <c r="E377" s="7" t="str">
        <f>IF(Data!E377=Entry2!E377,Data!E377,"ERROR")</f>
        <v>GB</v>
      </c>
      <c r="F377" s="7">
        <f>IF(Data!F377=Entry2!F377,Data!F377,"ERROR")</f>
        <v>3</v>
      </c>
      <c r="G377" s="7" t="str">
        <f>IF(Data!G377=Entry2!G377,Data!G377,"ERROR")</f>
        <v>LU</v>
      </c>
      <c r="H377" s="7">
        <f>IF(Data!H377=Entry2!H377,Data!H377,"ERROR")</f>
        <v>3</v>
      </c>
      <c r="I377" s="7">
        <f>IF(Data!I377=Entry2!I377,Data!I377,"ERROR")</f>
        <v>1</v>
      </c>
      <c r="J377" s="7">
        <f>IF(Data!J377=Entry2!J377,Data!J377,"ERROR")</f>
        <v>1</v>
      </c>
      <c r="K377" s="7" t="str">
        <f>IF(Data!K377=Entry2!K377,Data!K377,"ERROR")</f>
        <v>L</v>
      </c>
      <c r="L377" s="7" t="str">
        <f>IF(Data!L377=Entry2!L377,Data!L377,"ERROR")</f>
        <v>ERROR</v>
      </c>
      <c r="M377" s="7">
        <f>IF(Data!N377=Entry2!M377,Data!N377,"ERROR")</f>
        <v>0</v>
      </c>
    </row>
    <row r="378" spans="1:13" ht="13.2" hidden="1" x14ac:dyDescent="0.25">
      <c r="A378" s="7">
        <f>IF(Data!A378=Entry2!A378,Data!A378,"ERROR")</f>
        <v>8</v>
      </c>
      <c r="B378" s="7">
        <f>IF(Data!B378=Entry2!B378,Data!B378,"ERROR")</f>
        <v>2023</v>
      </c>
      <c r="C378" s="17">
        <f>IF(Data!C378=Entry2!C378,Data!C378,"ERROR")</f>
        <v>45203</v>
      </c>
      <c r="D378" s="7" t="str">
        <f>IF(Data!D378=Entry2!D378,Data!D378,"ERROR")</f>
        <v>JC, HH</v>
      </c>
      <c r="E378" s="7" t="str">
        <f>IF(Data!E378=Entry2!E378,Data!E378,"ERROR")</f>
        <v>GB</v>
      </c>
      <c r="F378" s="7">
        <f>IF(Data!F378=Entry2!F378,Data!F378,"ERROR")</f>
        <v>3</v>
      </c>
      <c r="G378" s="7" t="str">
        <f>IF(Data!G378=Entry2!G378,Data!G378,"ERROR")</f>
        <v>LU</v>
      </c>
      <c r="H378" s="7">
        <f>IF(Data!H378=Entry2!H378,Data!H378,"ERROR")</f>
        <v>3</v>
      </c>
      <c r="I378" s="7">
        <f>IF(Data!I378=Entry2!I378,Data!I378,"ERROR")</f>
        <v>1</v>
      </c>
      <c r="J378" s="7">
        <f>IF(Data!J378=Entry2!J378,Data!J378,"ERROR")</f>
        <v>1</v>
      </c>
      <c r="K378" s="7" t="str">
        <f>IF(Data!K378=Entry2!K378,Data!K378,"ERROR")</f>
        <v>NNG</v>
      </c>
      <c r="L378" s="7" t="str">
        <f>IF(Data!L378=Entry2!L378,Data!L378,"ERROR")</f>
        <v>ERROR</v>
      </c>
      <c r="M378" s="7">
        <f>IF(Data!N378=Entry2!M378,Data!N378,"ERROR")</f>
        <v>0</v>
      </c>
    </row>
    <row r="379" spans="1:13" ht="13.2" hidden="1" x14ac:dyDescent="0.25">
      <c r="A379" s="7">
        <f>IF(Data!A379=Entry2!A379,Data!A379,"ERROR")</f>
        <v>8</v>
      </c>
      <c r="B379" s="7">
        <f>IF(Data!B379=Entry2!B379,Data!B379,"ERROR")</f>
        <v>2023</v>
      </c>
      <c r="C379" s="17">
        <f>IF(Data!C379=Entry2!C379,Data!C379,"ERROR")</f>
        <v>45203</v>
      </c>
      <c r="D379" s="7" t="str">
        <f>IF(Data!D379=Entry2!D379,Data!D379,"ERROR")</f>
        <v>JC, HH</v>
      </c>
      <c r="E379" s="7" t="str">
        <f>IF(Data!E379=Entry2!E379,Data!E379,"ERROR")</f>
        <v>GB</v>
      </c>
      <c r="F379" s="7">
        <f>IF(Data!F379=Entry2!F379,Data!F379,"ERROR")</f>
        <v>3</v>
      </c>
      <c r="G379" s="7" t="str">
        <f>IF(Data!G379=Entry2!G379,Data!G379,"ERROR")</f>
        <v>LU</v>
      </c>
      <c r="H379" s="7">
        <f>IF(Data!H379=Entry2!H379,Data!H379,"ERROR")</f>
        <v>4</v>
      </c>
      <c r="I379" s="7">
        <f>IF(Data!I379=Entry2!I379,Data!I379,"ERROR")</f>
        <v>1</v>
      </c>
      <c r="J379" s="7">
        <f>IF(Data!J379=Entry2!J379,Data!J379,"ERROR")</f>
        <v>1.5</v>
      </c>
      <c r="K379" s="7" t="str">
        <f>IF(Data!K379=Entry2!K379,Data!K379,"ERROR")</f>
        <v>B</v>
      </c>
      <c r="L379" s="7" t="str">
        <f>IF(Data!L379=Entry2!L379,Data!L379,"ERROR")</f>
        <v>ERROR</v>
      </c>
      <c r="M379" s="7">
        <f>IF(Data!N379=Entry2!M379,Data!N379,"ERROR")</f>
        <v>0</v>
      </c>
    </row>
    <row r="380" spans="1:13" ht="13.2" hidden="1" x14ac:dyDescent="0.25">
      <c r="A380" s="7">
        <f>IF(Data!A380=Entry2!A380,Data!A380,"ERROR")</f>
        <v>8</v>
      </c>
      <c r="B380" s="7">
        <f>IF(Data!B380=Entry2!B380,Data!B380,"ERROR")</f>
        <v>2023</v>
      </c>
      <c r="C380" s="17">
        <f>IF(Data!C380=Entry2!C380,Data!C380,"ERROR")</f>
        <v>45203</v>
      </c>
      <c r="D380" s="7" t="str">
        <f>IF(Data!D380=Entry2!D380,Data!D380,"ERROR")</f>
        <v>JC, HH</v>
      </c>
      <c r="E380" s="7" t="str">
        <f>IF(Data!E380=Entry2!E380,Data!E380,"ERROR")</f>
        <v>GB</v>
      </c>
      <c r="F380" s="7">
        <f>IF(Data!F380=Entry2!F380,Data!F380,"ERROR")</f>
        <v>3</v>
      </c>
      <c r="G380" s="7" t="str">
        <f>IF(Data!G380=Entry2!G380,Data!G380,"ERROR")</f>
        <v>LU</v>
      </c>
      <c r="H380" s="7">
        <f>IF(Data!H380=Entry2!H380,Data!H380,"ERROR")</f>
        <v>4</v>
      </c>
      <c r="I380" s="7">
        <f>IF(Data!I380=Entry2!I380,Data!I380,"ERROR")</f>
        <v>1</v>
      </c>
      <c r="J380" s="7">
        <f>IF(Data!J380=Entry2!J380,Data!J380,"ERROR")</f>
        <v>1.5</v>
      </c>
      <c r="K380" s="7" t="str">
        <f>IF(Data!K380=Entry2!K380,Data!K380,"ERROR")</f>
        <v>NNG</v>
      </c>
      <c r="L380" s="7" t="str">
        <f>IF(Data!L380=Entry2!L380,Data!L380,"ERROR")</f>
        <v>ERROR</v>
      </c>
      <c r="M380" s="7">
        <f>IF(Data!N380=Entry2!M380,Data!N380,"ERROR")</f>
        <v>0</v>
      </c>
    </row>
    <row r="381" spans="1:13" ht="13.2" hidden="1" x14ac:dyDescent="0.25">
      <c r="A381" s="7">
        <f>IF(Data!A381=Entry2!A381,Data!A381,"ERROR")</f>
        <v>8</v>
      </c>
      <c r="B381" s="7">
        <f>IF(Data!B381=Entry2!B381,Data!B381,"ERROR")</f>
        <v>2023</v>
      </c>
      <c r="C381" s="17">
        <f>IF(Data!C381=Entry2!C381,Data!C381,"ERROR")</f>
        <v>45203</v>
      </c>
      <c r="D381" s="7" t="str">
        <f>IF(Data!D381=Entry2!D381,Data!D381,"ERROR")</f>
        <v>JC, HH</v>
      </c>
      <c r="E381" s="7" t="str">
        <f>IF(Data!E381=Entry2!E381,Data!E381,"ERROR")</f>
        <v>GB</v>
      </c>
      <c r="F381" s="7">
        <f>IF(Data!F381=Entry2!F381,Data!F381,"ERROR")</f>
        <v>3</v>
      </c>
      <c r="G381" s="7" t="str">
        <f>IF(Data!G381=Entry2!G381,Data!G381,"ERROR")</f>
        <v>LU</v>
      </c>
      <c r="H381" s="7">
        <f>IF(Data!H381=Entry2!H381,Data!H381,"ERROR")</f>
        <v>5</v>
      </c>
      <c r="I381" s="7">
        <f>IF(Data!I381=Entry2!I381,Data!I381,"ERROR")</f>
        <v>1</v>
      </c>
      <c r="J381" s="7">
        <f>IF(Data!J381=Entry2!J381,Data!J381,"ERROR")</f>
        <v>2</v>
      </c>
      <c r="K381" s="7" t="str">
        <f>IF(Data!K381=Entry2!K381,Data!K381,"ERROR")</f>
        <v>R</v>
      </c>
      <c r="L381" s="7" t="str">
        <f>IF(Data!L381=Entry2!L381,Data!L381,"ERROR")</f>
        <v>ERROR</v>
      </c>
      <c r="M381" s="7">
        <f>IF(Data!N381=Entry2!M381,Data!N381,"ERROR")</f>
        <v>0</v>
      </c>
    </row>
    <row r="382" spans="1:13" ht="13.2" hidden="1" x14ac:dyDescent="0.25">
      <c r="A382" s="7">
        <f>IF(Data!A382=Entry2!A382,Data!A382,"ERROR")</f>
        <v>8</v>
      </c>
      <c r="B382" s="7">
        <f>IF(Data!B382=Entry2!B382,Data!B382,"ERROR")</f>
        <v>2023</v>
      </c>
      <c r="C382" s="17">
        <f>IF(Data!C382=Entry2!C382,Data!C382,"ERROR")</f>
        <v>45203</v>
      </c>
      <c r="D382" s="7" t="str">
        <f>IF(Data!D382=Entry2!D382,Data!D382,"ERROR")</f>
        <v>JC, HH</v>
      </c>
      <c r="E382" s="7" t="str">
        <f>IF(Data!E382=Entry2!E382,Data!E382,"ERROR")</f>
        <v>GB</v>
      </c>
      <c r="F382" s="7">
        <f>IF(Data!F382=Entry2!F382,Data!F382,"ERROR")</f>
        <v>3</v>
      </c>
      <c r="G382" s="7" t="str">
        <f>IF(Data!G382=Entry2!G382,Data!G382,"ERROR")</f>
        <v>LU</v>
      </c>
      <c r="H382" s="7">
        <f>IF(Data!H382=Entry2!H382,Data!H382,"ERROR")</f>
        <v>5</v>
      </c>
      <c r="I382" s="7">
        <f>IF(Data!I382=Entry2!I382,Data!I382,"ERROR")</f>
        <v>1</v>
      </c>
      <c r="J382" s="7">
        <f>IF(Data!J382=Entry2!J382,Data!J382,"ERROR")</f>
        <v>2</v>
      </c>
      <c r="K382" s="7" t="str">
        <f>IF(Data!K382=Entry2!K382,Data!K382,"ERROR")</f>
        <v>NNG</v>
      </c>
      <c r="L382" s="7" t="str">
        <f>IF(Data!L382=Entry2!L382,Data!L382,"ERROR")</f>
        <v>ERROR</v>
      </c>
      <c r="M382" s="7">
        <f>IF(Data!N382=Entry2!M382,Data!N382,"ERROR")</f>
        <v>0</v>
      </c>
    </row>
    <row r="383" spans="1:13" ht="13.2" hidden="1" x14ac:dyDescent="0.25">
      <c r="A383" s="7">
        <f>IF(Data!A383=Entry2!A383,Data!A383,"ERROR")</f>
        <v>8</v>
      </c>
      <c r="B383" s="7">
        <f>IF(Data!B383=Entry2!B383,Data!B383,"ERROR")</f>
        <v>2023</v>
      </c>
      <c r="C383" s="17">
        <f>IF(Data!C383=Entry2!C383,Data!C383,"ERROR")</f>
        <v>45203</v>
      </c>
      <c r="D383" s="7" t="str">
        <f>IF(Data!D383=Entry2!D383,Data!D383,"ERROR")</f>
        <v>JC, HH</v>
      </c>
      <c r="E383" s="7" t="str">
        <f>IF(Data!E383=Entry2!E383,Data!E383,"ERROR")</f>
        <v>GB</v>
      </c>
      <c r="F383" s="7">
        <f>IF(Data!F383=Entry2!F383,Data!F383,"ERROR")</f>
        <v>3</v>
      </c>
      <c r="G383" s="7" t="str">
        <f>IF(Data!G383=Entry2!G383,Data!G383,"ERROR")</f>
        <v>LU</v>
      </c>
      <c r="H383" s="7">
        <f>IF(Data!H383=Entry2!H383,Data!H383,"ERROR")</f>
        <v>6</v>
      </c>
      <c r="I383" s="7">
        <f>IF(Data!I383=Entry2!I383,Data!I383,"ERROR")</f>
        <v>1</v>
      </c>
      <c r="J383" s="7">
        <f>IF(Data!J383=Entry2!J383,Data!J383,"ERROR")</f>
        <v>2.5</v>
      </c>
      <c r="K383" s="7" t="str">
        <f>IF(Data!K383=Entry2!K383,Data!K383,"ERROR")</f>
        <v>L</v>
      </c>
      <c r="L383" s="7" t="str">
        <f>IF(Data!L383=Entry2!L383,Data!L383,"ERROR")</f>
        <v>ERROR</v>
      </c>
      <c r="M383" s="7">
        <f>IF(Data!N383=Entry2!M383,Data!N383,"ERROR")</f>
        <v>0</v>
      </c>
    </row>
    <row r="384" spans="1:13" ht="13.2" hidden="1" x14ac:dyDescent="0.25">
      <c r="A384" s="7">
        <f>IF(Data!A384=Entry2!A384,Data!A384,"ERROR")</f>
        <v>8</v>
      </c>
      <c r="B384" s="7">
        <f>IF(Data!B384=Entry2!B384,Data!B384,"ERROR")</f>
        <v>2023</v>
      </c>
      <c r="C384" s="17">
        <f>IF(Data!C384=Entry2!C384,Data!C384,"ERROR")</f>
        <v>45203</v>
      </c>
      <c r="D384" s="7" t="str">
        <f>IF(Data!D384=Entry2!D384,Data!D384,"ERROR")</f>
        <v>JC, HH</v>
      </c>
      <c r="E384" s="7" t="str">
        <f>IF(Data!E384=Entry2!E384,Data!E384,"ERROR")</f>
        <v>GB</v>
      </c>
      <c r="F384" s="7">
        <f>IF(Data!F384=Entry2!F384,Data!F384,"ERROR")</f>
        <v>3</v>
      </c>
      <c r="G384" s="7" t="str">
        <f>IF(Data!G384=Entry2!G384,Data!G384,"ERROR")</f>
        <v>LU</v>
      </c>
      <c r="H384" s="7">
        <f>IF(Data!H384=Entry2!H384,Data!H384,"ERROR")</f>
        <v>6</v>
      </c>
      <c r="I384" s="7">
        <f>IF(Data!I384=Entry2!I384,Data!I384,"ERROR")</f>
        <v>1</v>
      </c>
      <c r="J384" s="7">
        <f>IF(Data!J384=Entry2!J384,Data!J384,"ERROR")</f>
        <v>2.5</v>
      </c>
      <c r="K384" s="7" t="str">
        <f>IF(Data!K384=Entry2!K384,Data!K384,"ERROR")</f>
        <v>NNG</v>
      </c>
      <c r="L384" s="7" t="str">
        <f>IF(Data!L384=Entry2!L384,Data!L384,"ERROR")</f>
        <v>ERROR</v>
      </c>
      <c r="M384" s="7">
        <f>IF(Data!N384=Entry2!M384,Data!N384,"ERROR")</f>
        <v>0</v>
      </c>
    </row>
    <row r="385" spans="1:13" ht="13.2" hidden="1" x14ac:dyDescent="0.25">
      <c r="A385" s="7">
        <f>IF(Data!A385=Entry2!A385,Data!A385,"ERROR")</f>
        <v>8</v>
      </c>
      <c r="B385" s="7">
        <f>IF(Data!B385=Entry2!B385,Data!B385,"ERROR")</f>
        <v>2023</v>
      </c>
      <c r="C385" s="17">
        <f>IF(Data!C385=Entry2!C385,Data!C385,"ERROR")</f>
        <v>45203</v>
      </c>
      <c r="D385" s="7" t="str">
        <f>IF(Data!D385=Entry2!D385,Data!D385,"ERROR")</f>
        <v>JC, HH</v>
      </c>
      <c r="E385" s="7" t="str">
        <f>IF(Data!E385=Entry2!E385,Data!E385,"ERROR")</f>
        <v>GB</v>
      </c>
      <c r="F385" s="7">
        <f>IF(Data!F385=Entry2!F385,Data!F385,"ERROR")</f>
        <v>3</v>
      </c>
      <c r="G385" s="7" t="str">
        <f>IF(Data!G385=Entry2!G385,Data!G385,"ERROR")</f>
        <v>LU</v>
      </c>
      <c r="H385" s="7">
        <f>IF(Data!H385=Entry2!H385,Data!H385,"ERROR")</f>
        <v>6</v>
      </c>
      <c r="I385" s="7">
        <f>IF(Data!I385=Entry2!I385,Data!I385,"ERROR")</f>
        <v>1</v>
      </c>
      <c r="J385" s="7">
        <f>IF(Data!J385=Entry2!J385,Data!J385,"ERROR")</f>
        <v>2.5</v>
      </c>
      <c r="K385" s="7" t="str">
        <f>IF(Data!K385=Entry2!K385,Data!K385,"ERROR")</f>
        <v>DEIFAS</v>
      </c>
      <c r="L385" s="7" t="str">
        <f>IF(Data!L385=Entry2!L385,Data!L385,"ERROR")</f>
        <v>ERROR</v>
      </c>
      <c r="M385" s="7">
        <f>IF(Data!N385=Entry2!M385,Data!N385,"ERROR")</f>
        <v>0</v>
      </c>
    </row>
    <row r="386" spans="1:13" ht="13.2" hidden="1" x14ac:dyDescent="0.25">
      <c r="A386" s="7">
        <f>IF(Data!A386=Entry2!A386,Data!A386,"ERROR")</f>
        <v>8</v>
      </c>
      <c r="B386" s="7">
        <f>IF(Data!B386=Entry2!B386,Data!B386,"ERROR")</f>
        <v>2023</v>
      </c>
      <c r="C386" s="17">
        <f>IF(Data!C386=Entry2!C386,Data!C386,"ERROR")</f>
        <v>45203</v>
      </c>
      <c r="D386" s="7" t="str">
        <f>IF(Data!D386=Entry2!D386,Data!D386,"ERROR")</f>
        <v>JC, HH</v>
      </c>
      <c r="E386" s="7" t="str">
        <f>IF(Data!E386=Entry2!E386,Data!E386,"ERROR")</f>
        <v>GB</v>
      </c>
      <c r="F386" s="7">
        <f>IF(Data!F386=Entry2!F386,Data!F386,"ERROR")</f>
        <v>3</v>
      </c>
      <c r="G386" s="7" t="str">
        <f>IF(Data!G386=Entry2!G386,Data!G386,"ERROR")</f>
        <v>LU</v>
      </c>
      <c r="H386" s="7">
        <f>IF(Data!H386=Entry2!H386,Data!H386,"ERROR")</f>
        <v>7</v>
      </c>
      <c r="I386" s="7">
        <f>IF(Data!I386=Entry2!I386,Data!I386,"ERROR")</f>
        <v>1</v>
      </c>
      <c r="J386" s="7">
        <f>IF(Data!J386=Entry2!J386,Data!J386,"ERROR")</f>
        <v>3</v>
      </c>
      <c r="K386" s="7" t="str">
        <f>IF(Data!K386=Entry2!K386,Data!K386,"ERROR")</f>
        <v>L</v>
      </c>
      <c r="L386" s="7" t="str">
        <f>IF(Data!L386=Entry2!L386,Data!L386,"ERROR")</f>
        <v>ERROR</v>
      </c>
      <c r="M386" s="7">
        <f>IF(Data!N386=Entry2!M386,Data!N386,"ERROR")</f>
        <v>0</v>
      </c>
    </row>
    <row r="387" spans="1:13" ht="13.2" hidden="1" x14ac:dyDescent="0.25">
      <c r="A387" s="7">
        <f>IF(Data!A387=Entry2!A387,Data!A387,"ERROR")</f>
        <v>8</v>
      </c>
      <c r="B387" s="7">
        <f>IF(Data!B387=Entry2!B387,Data!B387,"ERROR")</f>
        <v>2023</v>
      </c>
      <c r="C387" s="17">
        <f>IF(Data!C387=Entry2!C387,Data!C387,"ERROR")</f>
        <v>45203</v>
      </c>
      <c r="D387" s="7" t="str">
        <f>IF(Data!D387=Entry2!D387,Data!D387,"ERROR")</f>
        <v>JC, HH</v>
      </c>
      <c r="E387" s="7" t="str">
        <f>IF(Data!E387=Entry2!E387,Data!E387,"ERROR")</f>
        <v>GB</v>
      </c>
      <c r="F387" s="7">
        <f>IF(Data!F387=Entry2!F387,Data!F387,"ERROR")</f>
        <v>3</v>
      </c>
      <c r="G387" s="7" t="str">
        <f>IF(Data!G387=Entry2!G387,Data!G387,"ERROR")</f>
        <v>LU</v>
      </c>
      <c r="H387" s="7">
        <f>IF(Data!H387=Entry2!H387,Data!H387,"ERROR")</f>
        <v>7</v>
      </c>
      <c r="I387" s="7">
        <f>IF(Data!I387=Entry2!I387,Data!I387,"ERROR")</f>
        <v>1</v>
      </c>
      <c r="J387" s="7">
        <f>IF(Data!J387=Entry2!J387,Data!J387,"ERROR")</f>
        <v>3</v>
      </c>
      <c r="K387" s="7" t="str">
        <f>IF(Data!K387=Entry2!K387,Data!K387,"ERROR")</f>
        <v>NNG</v>
      </c>
      <c r="L387" s="7" t="str">
        <f>IF(Data!L387=Entry2!L387,Data!L387,"ERROR")</f>
        <v>ERROR</v>
      </c>
      <c r="M387" s="7">
        <f>IF(Data!N387=Entry2!M387,Data!N387,"ERROR")</f>
        <v>0</v>
      </c>
    </row>
    <row r="388" spans="1:13" ht="13.2" hidden="1" x14ac:dyDescent="0.25">
      <c r="A388" s="7">
        <f>IF(Data!A388=Entry2!A388,Data!A388,"ERROR")</f>
        <v>8</v>
      </c>
      <c r="B388" s="7">
        <f>IF(Data!B388=Entry2!B388,Data!B388,"ERROR")</f>
        <v>2023</v>
      </c>
      <c r="C388" s="17">
        <f>IF(Data!C388=Entry2!C388,Data!C388,"ERROR")</f>
        <v>45203</v>
      </c>
      <c r="D388" s="7" t="str">
        <f>IF(Data!D388=Entry2!D388,Data!D388,"ERROR")</f>
        <v>JC, HH</v>
      </c>
      <c r="E388" s="7" t="str">
        <f>IF(Data!E388=Entry2!E388,Data!E388,"ERROR")</f>
        <v>GB</v>
      </c>
      <c r="F388" s="7">
        <f>IF(Data!F388=Entry2!F388,Data!F388,"ERROR")</f>
        <v>3</v>
      </c>
      <c r="G388" s="7" t="str">
        <f>IF(Data!G388=Entry2!G388,Data!G388,"ERROR")</f>
        <v>LU</v>
      </c>
      <c r="H388" s="7">
        <f>IF(Data!H388=Entry2!H388,Data!H388,"ERROR")</f>
        <v>7</v>
      </c>
      <c r="I388" s="7">
        <f>IF(Data!I388=Entry2!I388,Data!I388,"ERROR")</f>
        <v>1</v>
      </c>
      <c r="J388" s="7">
        <f>IF(Data!J388=Entry2!J388,Data!J388,"ERROR")</f>
        <v>3</v>
      </c>
      <c r="K388" s="7" t="str">
        <f>IF(Data!K388=Entry2!K388,Data!K388,"ERROR")</f>
        <v>CUCURBITA</v>
      </c>
      <c r="L388" s="7" t="e">
        <f>IF(Data!L388=Entry2!L388,Data!L388,"ERROR")</f>
        <v>#N/A</v>
      </c>
      <c r="M388" s="7">
        <f>IF(Data!N388=Entry2!M388,Data!N388,"ERROR")</f>
        <v>0</v>
      </c>
    </row>
    <row r="389" spans="1:13" ht="13.2" hidden="1" x14ac:dyDescent="0.25">
      <c r="A389" s="7">
        <f>IF(Data!A389=Entry2!A389,Data!A389,"ERROR")</f>
        <v>8</v>
      </c>
      <c r="B389" s="7">
        <f>IF(Data!B389=Entry2!B389,Data!B389,"ERROR")</f>
        <v>2023</v>
      </c>
      <c r="C389" s="17">
        <f>IF(Data!C389=Entry2!C389,Data!C389,"ERROR")</f>
        <v>45203</v>
      </c>
      <c r="D389" s="7" t="str">
        <f>IF(Data!D389=Entry2!D389,Data!D389,"ERROR")</f>
        <v>JC, HH</v>
      </c>
      <c r="E389" s="7" t="str">
        <f>IF(Data!E389=Entry2!E389,Data!E389,"ERROR")</f>
        <v>GB</v>
      </c>
      <c r="F389" s="7">
        <f>IF(Data!F389=Entry2!F389,Data!F389,"ERROR")</f>
        <v>3</v>
      </c>
      <c r="G389" s="7" t="str">
        <f>IF(Data!G389=Entry2!G389,Data!G389,"ERROR")</f>
        <v>LU</v>
      </c>
      <c r="H389" s="7">
        <f>IF(Data!H389=Entry2!H389,Data!H389,"ERROR")</f>
        <v>7</v>
      </c>
      <c r="I389" s="7">
        <f>IF(Data!I389=Entry2!I389,Data!I389,"ERROR")</f>
        <v>1</v>
      </c>
      <c r="J389" s="7">
        <f>IF(Data!J389=Entry2!J389,Data!J389,"ERROR")</f>
        <v>3</v>
      </c>
      <c r="K389" s="7" t="str">
        <f>IF(Data!K389=Entry2!K389,Data!K389,"ERROR")</f>
        <v>OPULIT</v>
      </c>
      <c r="L389" s="7" t="str">
        <f>IF(Data!L389=Entry2!L389,Data!L389,"ERROR")</f>
        <v>ERROR</v>
      </c>
      <c r="M389" s="7">
        <f>IF(Data!N389=Entry2!M389,Data!N389,"ERROR")</f>
        <v>0</v>
      </c>
    </row>
    <row r="390" spans="1:13" ht="13.2" hidden="1" x14ac:dyDescent="0.25">
      <c r="A390" s="7">
        <f>IF(Data!A390=Entry2!A390,Data!A390,"ERROR")</f>
        <v>8</v>
      </c>
      <c r="B390" s="7">
        <f>IF(Data!B390=Entry2!B390,Data!B390,"ERROR")</f>
        <v>2023</v>
      </c>
      <c r="C390" s="17">
        <f>IF(Data!C390=Entry2!C390,Data!C390,"ERROR")</f>
        <v>45203</v>
      </c>
      <c r="D390" s="7" t="str">
        <f>IF(Data!D390=Entry2!D390,Data!D390,"ERROR")</f>
        <v>JC, HH</v>
      </c>
      <c r="E390" s="7" t="str">
        <f>IF(Data!E390=Entry2!E390,Data!E390,"ERROR")</f>
        <v>GB</v>
      </c>
      <c r="F390" s="7">
        <f>IF(Data!F390=Entry2!F390,Data!F390,"ERROR")</f>
        <v>3</v>
      </c>
      <c r="G390" s="7" t="str">
        <f>IF(Data!G390=Entry2!G390,Data!G390,"ERROR")</f>
        <v>LU</v>
      </c>
      <c r="H390" s="7">
        <f>IF(Data!H390=Entry2!H390,Data!H390,"ERROR")</f>
        <v>8</v>
      </c>
      <c r="I390" s="7">
        <f>IF(Data!I390=Entry2!I390,Data!I390,"ERROR")</f>
        <v>1</v>
      </c>
      <c r="J390" s="7">
        <f>IF(Data!J390=Entry2!J390,Data!J390,"ERROR")</f>
        <v>3.5</v>
      </c>
      <c r="K390" s="7" t="str">
        <f>IF(Data!K390=Entry2!K390,Data!K390,"ERROR")</f>
        <v>L</v>
      </c>
      <c r="L390" s="7" t="str">
        <f>IF(Data!L390=Entry2!L390,Data!L390,"ERROR")</f>
        <v>ERROR</v>
      </c>
      <c r="M390" s="7">
        <f>IF(Data!N390=Entry2!M390,Data!N390,"ERROR")</f>
        <v>0</v>
      </c>
    </row>
    <row r="391" spans="1:13" ht="13.2" hidden="1" x14ac:dyDescent="0.25">
      <c r="A391" s="7">
        <f>IF(Data!A391=Entry2!A391,Data!A391,"ERROR")</f>
        <v>8</v>
      </c>
      <c r="B391" s="7">
        <f>IF(Data!B391=Entry2!B391,Data!B391,"ERROR")</f>
        <v>2023</v>
      </c>
      <c r="C391" s="17">
        <f>IF(Data!C391=Entry2!C391,Data!C391,"ERROR")</f>
        <v>45203</v>
      </c>
      <c r="D391" s="7" t="str">
        <f>IF(Data!D391=Entry2!D391,Data!D391,"ERROR")</f>
        <v>JC, HH</v>
      </c>
      <c r="E391" s="7" t="str">
        <f>IF(Data!E391=Entry2!E391,Data!E391,"ERROR")</f>
        <v>GB</v>
      </c>
      <c r="F391" s="7">
        <f>IF(Data!F391=Entry2!F391,Data!F391,"ERROR")</f>
        <v>3</v>
      </c>
      <c r="G391" s="7" t="str">
        <f>IF(Data!G391=Entry2!G391,Data!G391,"ERROR")</f>
        <v>LU</v>
      </c>
      <c r="H391" s="7">
        <f>IF(Data!H391=Entry2!H391,Data!H391,"ERROR")</f>
        <v>9</v>
      </c>
      <c r="I391" s="7">
        <f>IF(Data!I391=Entry2!I391,Data!I391,"ERROR")</f>
        <v>1</v>
      </c>
      <c r="J391" s="7">
        <f>IF(Data!J391=Entry2!J391,Data!J391,"ERROR")</f>
        <v>4</v>
      </c>
      <c r="K391" s="7" t="str">
        <f>IF(Data!K391=Entry2!K391,Data!K391,"ERROR")</f>
        <v>L</v>
      </c>
      <c r="L391" s="7" t="str">
        <f>IF(Data!L391=Entry2!L391,Data!L391,"ERROR")</f>
        <v>ERROR</v>
      </c>
      <c r="M391" s="7">
        <f>IF(Data!N391=Entry2!M391,Data!N391,"ERROR")</f>
        <v>0</v>
      </c>
    </row>
    <row r="392" spans="1:13" ht="13.2" hidden="1" x14ac:dyDescent="0.25">
      <c r="A392" s="7">
        <f>IF(Data!A392=Entry2!A392,Data!A392,"ERROR")</f>
        <v>8</v>
      </c>
      <c r="B392" s="7">
        <f>IF(Data!B392=Entry2!B392,Data!B392,"ERROR")</f>
        <v>2023</v>
      </c>
      <c r="C392" s="17">
        <f>IF(Data!C392=Entry2!C392,Data!C392,"ERROR")</f>
        <v>45203</v>
      </c>
      <c r="D392" s="7" t="str">
        <f>IF(Data!D392=Entry2!D392,Data!D392,"ERROR")</f>
        <v>JC, HH</v>
      </c>
      <c r="E392" s="7" t="str">
        <f>IF(Data!E392=Entry2!E392,Data!E392,"ERROR")</f>
        <v>GB</v>
      </c>
      <c r="F392" s="7">
        <f>IF(Data!F392=Entry2!F392,Data!F392,"ERROR")</f>
        <v>3</v>
      </c>
      <c r="G392" s="7" t="str">
        <f>IF(Data!G392=Entry2!G392,Data!G392,"ERROR")</f>
        <v>LU</v>
      </c>
      <c r="H392" s="7">
        <f>IF(Data!H392=Entry2!H392,Data!H392,"ERROR")</f>
        <v>10</v>
      </c>
      <c r="I392" s="7">
        <f>IF(Data!I392=Entry2!I392,Data!I392,"ERROR")</f>
        <v>1</v>
      </c>
      <c r="J392" s="7">
        <f>IF(Data!J392=Entry2!J392,Data!J392,"ERROR")</f>
        <v>4.5</v>
      </c>
      <c r="K392" s="7" t="str">
        <f>IF(Data!K392=Entry2!K392,Data!K392,"ERROR")</f>
        <v>L</v>
      </c>
      <c r="L392" s="7" t="str">
        <f>IF(Data!L392=Entry2!L392,Data!L392,"ERROR")</f>
        <v>ERROR</v>
      </c>
      <c r="M392" s="7">
        <f>IF(Data!N392=Entry2!M392,Data!N392,"ERROR")</f>
        <v>0</v>
      </c>
    </row>
    <row r="393" spans="1:13" ht="13.2" hidden="1" x14ac:dyDescent="0.25">
      <c r="A393" s="7">
        <f>IF(Data!A393=Entry2!A393,Data!A393,"ERROR")</f>
        <v>8</v>
      </c>
      <c r="B393" s="7">
        <f>IF(Data!B393=Entry2!B393,Data!B393,"ERROR")</f>
        <v>2023</v>
      </c>
      <c r="C393" s="17">
        <f>IF(Data!C393=Entry2!C393,Data!C393,"ERROR")</f>
        <v>45203</v>
      </c>
      <c r="D393" s="7" t="str">
        <f>IF(Data!D393=Entry2!D393,Data!D393,"ERROR")</f>
        <v>JC, HH</v>
      </c>
      <c r="E393" s="7" t="str">
        <f>IF(Data!E393=Entry2!E393,Data!E393,"ERROR")</f>
        <v>GB</v>
      </c>
      <c r="F393" s="7">
        <f>IF(Data!F393=Entry2!F393,Data!F393,"ERROR")</f>
        <v>3</v>
      </c>
      <c r="G393" s="7" t="str">
        <f>IF(Data!G393=Entry2!G393,Data!G393,"ERROR")</f>
        <v>LU</v>
      </c>
      <c r="H393" s="7">
        <f>IF(Data!H393=Entry2!H393,Data!H393,"ERROR")</f>
        <v>10</v>
      </c>
      <c r="I393" s="7">
        <f>IF(Data!I393=Entry2!I393,Data!I393,"ERROR")</f>
        <v>1</v>
      </c>
      <c r="J393" s="7">
        <f>IF(Data!J393=Entry2!J393,Data!J393,"ERROR")</f>
        <v>4.5</v>
      </c>
      <c r="K393" s="7" t="str">
        <f>IF(Data!K393=Entry2!K393,Data!K393,"ERROR")</f>
        <v>NNG</v>
      </c>
      <c r="L393" s="7" t="str">
        <f>IF(Data!L393=Entry2!L393,Data!L393,"ERROR")</f>
        <v>ERROR</v>
      </c>
      <c r="M393" s="7">
        <f>IF(Data!N393=Entry2!M393,Data!N393,"ERROR")</f>
        <v>0</v>
      </c>
    </row>
    <row r="394" spans="1:13" ht="13.2" hidden="1" x14ac:dyDescent="0.25">
      <c r="A394" s="7">
        <f>IF(Data!A394=Entry2!A394,Data!A394,"ERROR")</f>
        <v>8</v>
      </c>
      <c r="B394" s="7">
        <f>IF(Data!B394=Entry2!B394,Data!B394,"ERROR")</f>
        <v>2023</v>
      </c>
      <c r="C394" s="17">
        <f>IF(Data!C394=Entry2!C394,Data!C394,"ERROR")</f>
        <v>45203</v>
      </c>
      <c r="D394" s="7" t="str">
        <f>IF(Data!D394=Entry2!D394,Data!D394,"ERROR")</f>
        <v>JC, HH</v>
      </c>
      <c r="E394" s="7" t="str">
        <f>IF(Data!E394=Entry2!E394,Data!E394,"ERROR")</f>
        <v>GB</v>
      </c>
      <c r="F394" s="7">
        <f>IF(Data!F394=Entry2!F394,Data!F394,"ERROR")</f>
        <v>3</v>
      </c>
      <c r="G394" s="7" t="str">
        <f>IF(Data!G394=Entry2!G394,Data!G394,"ERROR")</f>
        <v>LU</v>
      </c>
      <c r="H394" s="7">
        <f>IF(Data!H394=Entry2!H394,Data!H394,"ERROR")</f>
        <v>11</v>
      </c>
      <c r="I394" s="7">
        <f>IF(Data!I394=Entry2!I394,Data!I394,"ERROR")</f>
        <v>1</v>
      </c>
      <c r="J394" s="7">
        <f>IF(Data!J394=Entry2!J394,Data!J394,"ERROR")</f>
        <v>5</v>
      </c>
      <c r="K394" s="7" t="str">
        <f>IF(Data!K394=Entry2!K394,Data!K394,"ERROR")</f>
        <v>L</v>
      </c>
      <c r="L394" s="7" t="str">
        <f>IF(Data!L394=Entry2!L394,Data!L394,"ERROR")</f>
        <v>ERROR</v>
      </c>
      <c r="M394" s="7">
        <f>IF(Data!N394=Entry2!M394,Data!N394,"ERROR")</f>
        <v>0</v>
      </c>
    </row>
    <row r="395" spans="1:13" ht="13.2" hidden="1" x14ac:dyDescent="0.25">
      <c r="A395" s="7">
        <f>IF(Data!A395=Entry2!A395,Data!A395,"ERROR")</f>
        <v>8</v>
      </c>
      <c r="B395" s="7">
        <f>IF(Data!B395=Entry2!B395,Data!B395,"ERROR")</f>
        <v>2023</v>
      </c>
      <c r="C395" s="17">
        <f>IF(Data!C395=Entry2!C395,Data!C395,"ERROR")</f>
        <v>45203</v>
      </c>
      <c r="D395" s="7" t="str">
        <f>IF(Data!D395=Entry2!D395,Data!D395,"ERROR")</f>
        <v>JC, HH</v>
      </c>
      <c r="E395" s="7" t="str">
        <f>IF(Data!E395=Entry2!E395,Data!E395,"ERROR")</f>
        <v>GB</v>
      </c>
      <c r="F395" s="7">
        <f>IF(Data!F395=Entry2!F395,Data!F395,"ERROR")</f>
        <v>3</v>
      </c>
      <c r="G395" s="7" t="str">
        <f>IF(Data!G395=Entry2!G395,Data!G395,"ERROR")</f>
        <v>LU</v>
      </c>
      <c r="H395" s="7">
        <f>IF(Data!H395=Entry2!H395,Data!H395,"ERROR")</f>
        <v>12</v>
      </c>
      <c r="I395" s="7">
        <f>IF(Data!I395=Entry2!I395,Data!I395,"ERROR")</f>
        <v>1</v>
      </c>
      <c r="J395" s="7">
        <f>IF(Data!J395=Entry2!J395,Data!J395,"ERROR")</f>
        <v>5.5</v>
      </c>
      <c r="K395" s="7" t="str">
        <f>IF(Data!K395=Entry2!K395,Data!K395,"ERROR")</f>
        <v>L</v>
      </c>
      <c r="L395" s="7" t="str">
        <f>IF(Data!L395=Entry2!L395,Data!L395,"ERROR")</f>
        <v>ERROR</v>
      </c>
      <c r="M395" s="7">
        <f>IF(Data!N395=Entry2!M395,Data!N395,"ERROR")</f>
        <v>0</v>
      </c>
    </row>
    <row r="396" spans="1:13" ht="13.2" hidden="1" x14ac:dyDescent="0.25">
      <c r="A396" s="7">
        <f>IF(Data!A396=Entry2!A396,Data!A396,"ERROR")</f>
        <v>8</v>
      </c>
      <c r="B396" s="7">
        <f>IF(Data!B396=Entry2!B396,Data!B396,"ERROR")</f>
        <v>2023</v>
      </c>
      <c r="C396" s="17">
        <f>IF(Data!C396=Entry2!C396,Data!C396,"ERROR")</f>
        <v>45203</v>
      </c>
      <c r="D396" s="7" t="str">
        <f>IF(Data!D396=Entry2!D396,Data!D396,"ERROR")</f>
        <v>JC, HH</v>
      </c>
      <c r="E396" s="7" t="str">
        <f>IF(Data!E396=Entry2!E396,Data!E396,"ERROR")</f>
        <v>GB</v>
      </c>
      <c r="F396" s="7">
        <f>IF(Data!F396=Entry2!F396,Data!F396,"ERROR")</f>
        <v>3</v>
      </c>
      <c r="G396" s="7" t="str">
        <f>IF(Data!G396=Entry2!G396,Data!G396,"ERROR")</f>
        <v>LU</v>
      </c>
      <c r="H396" s="7">
        <f>IF(Data!H396=Entry2!H396,Data!H396,"ERROR")</f>
        <v>12</v>
      </c>
      <c r="I396" s="7">
        <f>IF(Data!I396=Entry2!I396,Data!I396,"ERROR")</f>
        <v>1</v>
      </c>
      <c r="J396" s="7">
        <f>IF(Data!J396=Entry2!J396,Data!J396,"ERROR")</f>
        <v>5.5</v>
      </c>
      <c r="K396" s="7" t="str">
        <f>IF(Data!K396=Entry2!K396,Data!K396,"ERROR")</f>
        <v>DEIFAS</v>
      </c>
      <c r="L396" s="7" t="str">
        <f>IF(Data!L396=Entry2!L396,Data!L396,"ERROR")</f>
        <v>ERROR</v>
      </c>
      <c r="M396" s="7">
        <f>IF(Data!N396=Entry2!M396,Data!N396,"ERROR")</f>
        <v>0</v>
      </c>
    </row>
    <row r="397" spans="1:13" ht="13.2" hidden="1" x14ac:dyDescent="0.25">
      <c r="A397" s="7">
        <f>IF(Data!A397=Entry2!A397,Data!A397,"ERROR")</f>
        <v>8</v>
      </c>
      <c r="B397" s="7">
        <f>IF(Data!B397=Entry2!B397,Data!B397,"ERROR")</f>
        <v>2023</v>
      </c>
      <c r="C397" s="17">
        <f>IF(Data!C397=Entry2!C397,Data!C397,"ERROR")</f>
        <v>45203</v>
      </c>
      <c r="D397" s="7" t="str">
        <f>IF(Data!D397=Entry2!D397,Data!D397,"ERROR")</f>
        <v>JC, HH</v>
      </c>
      <c r="E397" s="7" t="str">
        <f>IF(Data!E397=Entry2!E397,Data!E397,"ERROR")</f>
        <v>GB</v>
      </c>
      <c r="F397" s="7">
        <f>IF(Data!F397=Entry2!F397,Data!F397,"ERROR")</f>
        <v>3</v>
      </c>
      <c r="G397" s="7" t="str">
        <f>IF(Data!G397=Entry2!G397,Data!G397,"ERROR")</f>
        <v>LU</v>
      </c>
      <c r="H397" s="7">
        <f>IF(Data!H397=Entry2!H397,Data!H397,"ERROR")</f>
        <v>13</v>
      </c>
      <c r="I397" s="7">
        <f>IF(Data!I397=Entry2!I397,Data!I397,"ERROR")</f>
        <v>1</v>
      </c>
      <c r="J397" s="7">
        <f>IF(Data!J397=Entry2!J397,Data!J397,"ERROR")</f>
        <v>6.5</v>
      </c>
      <c r="K397" s="7" t="str">
        <f>IF(Data!K397=Entry2!K397,Data!K397,"ERROR")</f>
        <v>L</v>
      </c>
      <c r="L397" s="7" t="str">
        <f>IF(Data!L397=Entry2!L397,Data!L397,"ERROR")</f>
        <v>ERROR</v>
      </c>
      <c r="M397" s="7">
        <f>IF(Data!N397=Entry2!M397,Data!N397,"ERROR")</f>
        <v>0</v>
      </c>
    </row>
    <row r="398" spans="1:13" ht="13.2" hidden="1" x14ac:dyDescent="0.25">
      <c r="A398" s="7">
        <f>IF(Data!A398=Entry2!A398,Data!A398,"ERROR")</f>
        <v>8</v>
      </c>
      <c r="B398" s="7">
        <f>IF(Data!B398=Entry2!B398,Data!B398,"ERROR")</f>
        <v>2023</v>
      </c>
      <c r="C398" s="17">
        <f>IF(Data!C398=Entry2!C398,Data!C398,"ERROR")</f>
        <v>45203</v>
      </c>
      <c r="D398" s="7" t="str">
        <f>IF(Data!D398=Entry2!D398,Data!D398,"ERROR")</f>
        <v>JC, HH</v>
      </c>
      <c r="E398" s="7" t="str">
        <f>IF(Data!E398=Entry2!E398,Data!E398,"ERROR")</f>
        <v>GB</v>
      </c>
      <c r="F398" s="7">
        <f>IF(Data!F398=Entry2!F398,Data!F398,"ERROR")</f>
        <v>3</v>
      </c>
      <c r="G398" s="7" t="str">
        <f>IF(Data!G398=Entry2!G398,Data!G398,"ERROR")</f>
        <v>LU</v>
      </c>
      <c r="H398" s="7">
        <f>IF(Data!H398=Entry2!H398,Data!H398,"ERROR")</f>
        <v>13</v>
      </c>
      <c r="I398" s="7">
        <f>IF(Data!I398=Entry2!I398,Data!I398,"ERROR")</f>
        <v>1</v>
      </c>
      <c r="J398" s="7">
        <f>IF(Data!J398=Entry2!J398,Data!J398,"ERROR")</f>
        <v>6.5</v>
      </c>
      <c r="K398" s="7" t="str">
        <f>IF(Data!K398=Entry2!K398,Data!K398,"ERROR")</f>
        <v>CENMEL</v>
      </c>
      <c r="L398" s="7" t="str">
        <f>IF(Data!L398=Entry2!L398,Data!L398,"ERROR")</f>
        <v>ERROR</v>
      </c>
      <c r="M398" s="7">
        <f>IF(Data!N398=Entry2!M398,Data!N398,"ERROR")</f>
        <v>0</v>
      </c>
    </row>
    <row r="399" spans="1:13" ht="13.2" hidden="1" x14ac:dyDescent="0.25">
      <c r="A399" s="7">
        <f>IF(Data!A399=Entry2!A399,Data!A399,"ERROR")</f>
        <v>8</v>
      </c>
      <c r="B399" s="7">
        <f>IF(Data!B399=Entry2!B399,Data!B399,"ERROR")</f>
        <v>2023</v>
      </c>
      <c r="C399" s="17">
        <f>IF(Data!C399=Entry2!C399,Data!C399,"ERROR")</f>
        <v>45203</v>
      </c>
      <c r="D399" s="7" t="str">
        <f>IF(Data!D399=Entry2!D399,Data!D399,"ERROR")</f>
        <v>JC, HH</v>
      </c>
      <c r="E399" s="7" t="str">
        <f>IF(Data!E399=Entry2!E399,Data!E399,"ERROR")</f>
        <v>GB</v>
      </c>
      <c r="F399" s="7">
        <f>IF(Data!F399=Entry2!F399,Data!F399,"ERROR")</f>
        <v>3</v>
      </c>
      <c r="G399" s="7" t="str">
        <f>IF(Data!G399=Entry2!G399,Data!G399,"ERROR")</f>
        <v>LU</v>
      </c>
      <c r="H399" s="7">
        <f>IF(Data!H399=Entry2!H399,Data!H399,"ERROR")</f>
        <v>13</v>
      </c>
      <c r="I399" s="7">
        <f>IF(Data!I399=Entry2!I399,Data!I399,"ERROR")</f>
        <v>1</v>
      </c>
      <c r="J399" s="7">
        <f>IF(Data!J399=Entry2!J399,Data!J399,"ERROR")</f>
        <v>6.5</v>
      </c>
      <c r="K399" s="7" t="str">
        <f>IF(Data!K399=Entry2!K399,Data!K399,"ERROR")</f>
        <v>DEIFAS</v>
      </c>
      <c r="L399" s="7" t="str">
        <f>IF(Data!L399=Entry2!L399,Data!L399,"ERROR")</f>
        <v>ERROR</v>
      </c>
      <c r="M399" s="7">
        <f>IF(Data!N399=Entry2!M399,Data!N399,"ERROR")</f>
        <v>0</v>
      </c>
    </row>
    <row r="400" spans="1:13" ht="13.2" hidden="1" x14ac:dyDescent="0.25">
      <c r="A400" s="7">
        <f>IF(Data!A400=Entry2!A400,Data!A400,"ERROR")</f>
        <v>8</v>
      </c>
      <c r="B400" s="7">
        <f>IF(Data!B400=Entry2!B400,Data!B400,"ERROR")</f>
        <v>2023</v>
      </c>
      <c r="C400" s="17">
        <f>IF(Data!C400=Entry2!C400,Data!C400,"ERROR")</f>
        <v>45203</v>
      </c>
      <c r="D400" s="7" t="str">
        <f>IF(Data!D400=Entry2!D400,Data!D400,"ERROR")</f>
        <v>JC, HH</v>
      </c>
      <c r="E400" s="7" t="str">
        <f>IF(Data!E400=Entry2!E400,Data!E400,"ERROR")</f>
        <v>GB</v>
      </c>
      <c r="F400" s="7">
        <f>IF(Data!F400=Entry2!F400,Data!F400,"ERROR")</f>
        <v>3</v>
      </c>
      <c r="G400" s="7" t="str">
        <f>IF(Data!G400=Entry2!G400,Data!G400,"ERROR")</f>
        <v>LU</v>
      </c>
      <c r="H400" s="7">
        <f>IF(Data!H400=Entry2!H400,Data!H400,"ERROR")</f>
        <v>14</v>
      </c>
      <c r="I400" s="7">
        <f>IF(Data!I400=Entry2!I400,Data!I400,"ERROR")</f>
        <v>1</v>
      </c>
      <c r="J400" s="7">
        <f>IF(Data!J400=Entry2!J400,Data!J400,"ERROR")</f>
        <v>7</v>
      </c>
      <c r="K400" s="7" t="str">
        <f>IF(Data!K400=Entry2!K400,Data!K400,"ERROR")</f>
        <v>L</v>
      </c>
      <c r="L400" s="7" t="str">
        <f>IF(Data!L400=Entry2!L400,Data!L400,"ERROR")</f>
        <v>ERROR</v>
      </c>
      <c r="M400" s="7">
        <f>IF(Data!N400=Entry2!M400,Data!N400,"ERROR")</f>
        <v>0</v>
      </c>
    </row>
    <row r="401" spans="1:13" ht="13.2" hidden="1" x14ac:dyDescent="0.25">
      <c r="A401" s="7">
        <f>IF(Data!A401=Entry2!A401,Data!A401,"ERROR")</f>
        <v>8</v>
      </c>
      <c r="B401" s="7">
        <f>IF(Data!B401=Entry2!B401,Data!B401,"ERROR")</f>
        <v>2023</v>
      </c>
      <c r="C401" s="17">
        <f>IF(Data!C401=Entry2!C401,Data!C401,"ERROR")</f>
        <v>45203</v>
      </c>
      <c r="D401" s="7" t="str">
        <f>IF(Data!D401=Entry2!D401,Data!D401,"ERROR")</f>
        <v>JC, HH</v>
      </c>
      <c r="E401" s="7" t="str">
        <f>IF(Data!E401=Entry2!E401,Data!E401,"ERROR")</f>
        <v>GB</v>
      </c>
      <c r="F401" s="7">
        <f>IF(Data!F401=Entry2!F401,Data!F401,"ERROR")</f>
        <v>3</v>
      </c>
      <c r="G401" s="7" t="str">
        <f>IF(Data!G401=Entry2!G401,Data!G401,"ERROR")</f>
        <v>LU</v>
      </c>
      <c r="H401" s="7">
        <f>IF(Data!H401=Entry2!H401,Data!H401,"ERROR")</f>
        <v>14</v>
      </c>
      <c r="I401" s="7">
        <f>IF(Data!I401=Entry2!I401,Data!I401,"ERROR")</f>
        <v>1</v>
      </c>
      <c r="J401" s="7">
        <f>IF(Data!J401=Entry2!J401,Data!J401,"ERROR")</f>
        <v>7</v>
      </c>
      <c r="K401" s="7" t="str">
        <f>IF(Data!K401=Entry2!K401,Data!K401,"ERROR")</f>
        <v>NNG</v>
      </c>
      <c r="L401" s="7" t="str">
        <f>IF(Data!L401=Entry2!L401,Data!L401,"ERROR")</f>
        <v>ERROR</v>
      </c>
      <c r="M401" s="7">
        <f>IF(Data!N401=Entry2!M401,Data!N401,"ERROR")</f>
        <v>0</v>
      </c>
    </row>
    <row r="402" spans="1:13" ht="13.2" hidden="1" x14ac:dyDescent="0.25">
      <c r="A402" s="7">
        <f>IF(Data!A402=Entry2!A402,Data!A402,"ERROR")</f>
        <v>8</v>
      </c>
      <c r="B402" s="7">
        <f>IF(Data!B402=Entry2!B402,Data!B402,"ERROR")</f>
        <v>2023</v>
      </c>
      <c r="C402" s="17">
        <f>IF(Data!C402=Entry2!C402,Data!C402,"ERROR")</f>
        <v>45203</v>
      </c>
      <c r="D402" s="7" t="str">
        <f>IF(Data!D402=Entry2!D402,Data!D402,"ERROR")</f>
        <v>JC, HH</v>
      </c>
      <c r="E402" s="7" t="str">
        <f>IF(Data!E402=Entry2!E402,Data!E402,"ERROR")</f>
        <v>GB</v>
      </c>
      <c r="F402" s="7">
        <f>IF(Data!F402=Entry2!F402,Data!F402,"ERROR")</f>
        <v>3</v>
      </c>
      <c r="G402" s="7" t="str">
        <f>IF(Data!G402=Entry2!G402,Data!G402,"ERROR")</f>
        <v>LU</v>
      </c>
      <c r="H402" s="7">
        <f>IF(Data!H402=Entry2!H402,Data!H402,"ERROR")</f>
        <v>14</v>
      </c>
      <c r="I402" s="7">
        <f>IF(Data!I402=Entry2!I402,Data!I402,"ERROR")</f>
        <v>1</v>
      </c>
      <c r="J402" s="7">
        <f>IF(Data!J402=Entry2!J402,Data!J402,"ERROR")</f>
        <v>7</v>
      </c>
      <c r="K402" s="7" t="str">
        <f>IF(Data!K402=Entry2!K402,Data!K402,"ERROR")</f>
        <v>STEDIE</v>
      </c>
      <c r="L402" s="7" t="str">
        <f>IF(Data!L402=Entry2!L402,Data!L402,"ERROR")</f>
        <v>ERROR</v>
      </c>
      <c r="M402" s="7">
        <f>IF(Data!N402=Entry2!M402,Data!N402,"ERROR")</f>
        <v>0</v>
      </c>
    </row>
    <row r="403" spans="1:13" ht="13.2" hidden="1" x14ac:dyDescent="0.25">
      <c r="A403" s="7">
        <f>IF(Data!A403=Entry2!A403,Data!A403,"ERROR")</f>
        <v>8</v>
      </c>
      <c r="B403" s="7">
        <f>IF(Data!B403=Entry2!B403,Data!B403,"ERROR")</f>
        <v>2023</v>
      </c>
      <c r="C403" s="17">
        <f>IF(Data!C403=Entry2!C403,Data!C403,"ERROR")</f>
        <v>45203</v>
      </c>
      <c r="D403" s="7" t="str">
        <f>IF(Data!D403=Entry2!D403,Data!D403,"ERROR")</f>
        <v>JC, HH</v>
      </c>
      <c r="E403" s="7" t="str">
        <f>IF(Data!E403=Entry2!E403,Data!E403,"ERROR")</f>
        <v>GB</v>
      </c>
      <c r="F403" s="7">
        <f>IF(Data!F403=Entry2!F403,Data!F403,"ERROR")</f>
        <v>3</v>
      </c>
      <c r="G403" s="7" t="str">
        <f>IF(Data!G403=Entry2!G403,Data!G403,"ERROR")</f>
        <v>LU</v>
      </c>
      <c r="H403" s="7">
        <f>IF(Data!H403=Entry2!H403,Data!H403,"ERROR")</f>
        <v>15</v>
      </c>
      <c r="I403" s="7">
        <f>IF(Data!I403=Entry2!I403,Data!I403,"ERROR")</f>
        <v>1</v>
      </c>
      <c r="J403" s="7">
        <f>IF(Data!J403=Entry2!J403,Data!J403,"ERROR")</f>
        <v>7.5</v>
      </c>
      <c r="K403" s="7" t="str">
        <f>IF(Data!K403=Entry2!K403,Data!K403,"ERROR")</f>
        <v>B</v>
      </c>
      <c r="L403" s="7" t="str">
        <f>IF(Data!L403=Entry2!L403,Data!L403,"ERROR")</f>
        <v>ERROR</v>
      </c>
      <c r="M403" s="7">
        <f>IF(Data!N403=Entry2!M403,Data!N403,"ERROR")</f>
        <v>0</v>
      </c>
    </row>
    <row r="404" spans="1:13" ht="13.2" hidden="1" x14ac:dyDescent="0.25">
      <c r="A404" s="7">
        <f>IF(Data!A404=Entry2!A404,Data!A404,"ERROR")</f>
        <v>8</v>
      </c>
      <c r="B404" s="7">
        <f>IF(Data!B404=Entry2!B404,Data!B404,"ERROR")</f>
        <v>2023</v>
      </c>
      <c r="C404" s="17">
        <f>IF(Data!C404=Entry2!C404,Data!C404,"ERROR")</f>
        <v>45203</v>
      </c>
      <c r="D404" s="7" t="str">
        <f>IF(Data!D404=Entry2!D404,Data!D404,"ERROR")</f>
        <v>JC, HH</v>
      </c>
      <c r="E404" s="7" t="str">
        <f>IF(Data!E404=Entry2!E404,Data!E404,"ERROR")</f>
        <v>GB</v>
      </c>
      <c r="F404" s="7">
        <f>IF(Data!F404=Entry2!F404,Data!F404,"ERROR")</f>
        <v>3</v>
      </c>
      <c r="G404" s="7" t="str">
        <f>IF(Data!G404=Entry2!G404,Data!G404,"ERROR")</f>
        <v>LU</v>
      </c>
      <c r="H404" s="7">
        <f>IF(Data!H404=Entry2!H404,Data!H404,"ERROR")</f>
        <v>15</v>
      </c>
      <c r="I404" s="7">
        <f>IF(Data!I404=Entry2!I404,Data!I404,"ERROR")</f>
        <v>1</v>
      </c>
      <c r="J404" s="7">
        <f>IF(Data!J404=Entry2!J404,Data!J404,"ERROR")</f>
        <v>7.5</v>
      </c>
      <c r="K404" s="7" t="str">
        <f>IF(Data!K404=Entry2!K404,Data!K404,"ERROR")</f>
        <v>NNG</v>
      </c>
      <c r="L404" s="7" t="str">
        <f>IF(Data!L404=Entry2!L404,Data!L404,"ERROR")</f>
        <v>ERROR</v>
      </c>
      <c r="M404" s="7">
        <f>IF(Data!N404=Entry2!M404,Data!N404,"ERROR")</f>
        <v>0</v>
      </c>
    </row>
    <row r="405" spans="1:13" ht="13.2" hidden="1" x14ac:dyDescent="0.25">
      <c r="A405" s="7">
        <f>IF(Data!A405=Entry2!A405,Data!A405,"ERROR")</f>
        <v>8</v>
      </c>
      <c r="B405" s="7">
        <f>IF(Data!B405=Entry2!B405,Data!B405,"ERROR")</f>
        <v>2023</v>
      </c>
      <c r="C405" s="17">
        <f>IF(Data!C405=Entry2!C405,Data!C405,"ERROR")</f>
        <v>45203</v>
      </c>
      <c r="D405" s="7" t="str">
        <f>IF(Data!D405=Entry2!D405,Data!D405,"ERROR")</f>
        <v>JC, HH</v>
      </c>
      <c r="E405" s="7" t="str">
        <f>IF(Data!E405=Entry2!E405,Data!E405,"ERROR")</f>
        <v>GB</v>
      </c>
      <c r="F405" s="7">
        <f>IF(Data!F405=Entry2!F405,Data!F405,"ERROR")</f>
        <v>3</v>
      </c>
      <c r="G405" s="7" t="str">
        <f>IF(Data!G405=Entry2!G405,Data!G405,"ERROR")</f>
        <v>LU</v>
      </c>
      <c r="H405" s="7">
        <f>IF(Data!H405=Entry2!H405,Data!H405,"ERROR")</f>
        <v>1</v>
      </c>
      <c r="I405" s="7">
        <f>IF(Data!I405=Entry2!I405,Data!I405,"ERROR")</f>
        <v>2</v>
      </c>
      <c r="J405" s="7">
        <f>IF(Data!J405=Entry2!J405,Data!J405,"ERROR")</f>
        <v>0</v>
      </c>
      <c r="K405" s="7" t="str">
        <f>IF(Data!K405=Entry2!K405,Data!K405,"ERROR")</f>
        <v>L</v>
      </c>
      <c r="L405" s="7" t="str">
        <f>IF(Data!L405=Entry2!L405,Data!L405,"ERROR")</f>
        <v>ERROR</v>
      </c>
      <c r="M405" s="7">
        <f>IF(Data!N405=Entry2!M405,Data!N405,"ERROR")</f>
        <v>0</v>
      </c>
    </row>
    <row r="406" spans="1:13" ht="13.2" hidden="1" x14ac:dyDescent="0.25">
      <c r="A406" s="7">
        <f>IF(Data!A406=Entry2!A406,Data!A406,"ERROR")</f>
        <v>8</v>
      </c>
      <c r="B406" s="7">
        <f>IF(Data!B406=Entry2!B406,Data!B406,"ERROR")</f>
        <v>2023</v>
      </c>
      <c r="C406" s="17">
        <f>IF(Data!C406=Entry2!C406,Data!C406,"ERROR")</f>
        <v>45203</v>
      </c>
      <c r="D406" s="7" t="str">
        <f>IF(Data!D406=Entry2!D406,Data!D406,"ERROR")</f>
        <v>JC, HH</v>
      </c>
      <c r="E406" s="7" t="str">
        <f>IF(Data!E406=Entry2!E406,Data!E406,"ERROR")</f>
        <v>GB</v>
      </c>
      <c r="F406" s="7">
        <f>IF(Data!F406=Entry2!F406,Data!F406,"ERROR")</f>
        <v>3</v>
      </c>
      <c r="G406" s="7" t="str">
        <f>IF(Data!G406=Entry2!G406,Data!G406,"ERROR")</f>
        <v>LU</v>
      </c>
      <c r="H406" s="7">
        <f>IF(Data!H406=Entry2!H406,Data!H406,"ERROR")</f>
        <v>1</v>
      </c>
      <c r="I406" s="7">
        <f>IF(Data!I406=Entry2!I406,Data!I406,"ERROR")</f>
        <v>2</v>
      </c>
      <c r="J406" s="7">
        <f>IF(Data!J406=Entry2!J406,Data!J406,"ERROR")</f>
        <v>0</v>
      </c>
      <c r="K406" s="7" t="str">
        <f>IF(Data!K406=Entry2!K406,Data!K406,"ERROR")</f>
        <v>NNG</v>
      </c>
      <c r="L406" s="7" t="str">
        <f>IF(Data!L406=Entry2!L406,Data!L406,"ERROR")</f>
        <v>ERROR</v>
      </c>
      <c r="M406" s="7">
        <f>IF(Data!N406=Entry2!M406,Data!N406,"ERROR")</f>
        <v>0</v>
      </c>
    </row>
    <row r="407" spans="1:13" ht="13.2" hidden="1" x14ac:dyDescent="0.25">
      <c r="A407" s="7">
        <f>IF(Data!A407=Entry2!A407,Data!A407,"ERROR")</f>
        <v>8</v>
      </c>
      <c r="B407" s="7">
        <f>IF(Data!B407=Entry2!B407,Data!B407,"ERROR")</f>
        <v>2023</v>
      </c>
      <c r="C407" s="17">
        <f>IF(Data!C407=Entry2!C407,Data!C407,"ERROR")</f>
        <v>45203</v>
      </c>
      <c r="D407" s="7" t="str">
        <f>IF(Data!D407=Entry2!D407,Data!D407,"ERROR")</f>
        <v>JC, HH</v>
      </c>
      <c r="E407" s="7" t="str">
        <f>IF(Data!E407=Entry2!E407,Data!E407,"ERROR")</f>
        <v>GB</v>
      </c>
      <c r="F407" s="7">
        <f>IF(Data!F407=Entry2!F407,Data!F407,"ERROR")</f>
        <v>3</v>
      </c>
      <c r="G407" s="7" t="str">
        <f>IF(Data!G407=Entry2!G407,Data!G407,"ERROR")</f>
        <v>LU</v>
      </c>
      <c r="H407" s="7">
        <f>IF(Data!H407=Entry2!H407,Data!H407,"ERROR")</f>
        <v>2</v>
      </c>
      <c r="I407" s="7">
        <f>IF(Data!I407=Entry2!I407,Data!I407,"ERROR")</f>
        <v>2</v>
      </c>
      <c r="J407" s="7">
        <f>IF(Data!J407=Entry2!J407,Data!J407,"ERROR")</f>
        <v>0.5</v>
      </c>
      <c r="K407" s="7" t="str">
        <f>IF(Data!K407=Entry2!K407,Data!K407,"ERROR")</f>
        <v>B</v>
      </c>
      <c r="L407" s="7" t="str">
        <f>IF(Data!L407=Entry2!L407,Data!L407,"ERROR")</f>
        <v>ERROR</v>
      </c>
      <c r="M407" s="7">
        <f>IF(Data!N407=Entry2!M407,Data!N407,"ERROR")</f>
        <v>0</v>
      </c>
    </row>
    <row r="408" spans="1:13" ht="13.2" hidden="1" x14ac:dyDescent="0.25">
      <c r="A408" s="7">
        <f>IF(Data!A408=Entry2!A408,Data!A408,"ERROR")</f>
        <v>8</v>
      </c>
      <c r="B408" s="7">
        <f>IF(Data!B408=Entry2!B408,Data!B408,"ERROR")</f>
        <v>2023</v>
      </c>
      <c r="C408" s="17">
        <f>IF(Data!C408=Entry2!C408,Data!C408,"ERROR")</f>
        <v>45203</v>
      </c>
      <c r="D408" s="7" t="str">
        <f>IF(Data!D408=Entry2!D408,Data!D408,"ERROR")</f>
        <v>JC, HH</v>
      </c>
      <c r="E408" s="7" t="str">
        <f>IF(Data!E408=Entry2!E408,Data!E408,"ERROR")</f>
        <v>GB</v>
      </c>
      <c r="F408" s="7">
        <f>IF(Data!F408=Entry2!F408,Data!F408,"ERROR")</f>
        <v>3</v>
      </c>
      <c r="G408" s="7" t="str">
        <f>IF(Data!G408=Entry2!G408,Data!G408,"ERROR")</f>
        <v>LU</v>
      </c>
      <c r="H408" s="7">
        <f>IF(Data!H408=Entry2!H408,Data!H408,"ERROR")</f>
        <v>2</v>
      </c>
      <c r="I408" s="7">
        <f>IF(Data!I408=Entry2!I408,Data!I408,"ERROR")</f>
        <v>2</v>
      </c>
      <c r="J408" s="7">
        <f>IF(Data!J408=Entry2!J408,Data!J408,"ERROR")</f>
        <v>0.5</v>
      </c>
      <c r="K408" s="7" t="str">
        <f>IF(Data!K408=Entry2!K408,Data!K408,"ERROR")</f>
        <v>OPULIT</v>
      </c>
      <c r="L408" s="7" t="str">
        <f>IF(Data!L408=Entry2!L408,Data!L408,"ERROR")</f>
        <v>ERROR</v>
      </c>
      <c r="M408" s="7">
        <f>IF(Data!N408=Entry2!M408,Data!N408,"ERROR")</f>
        <v>0</v>
      </c>
    </row>
    <row r="409" spans="1:13" ht="13.2" hidden="1" x14ac:dyDescent="0.25">
      <c r="A409" s="7">
        <f>IF(Data!A409=Entry2!A409,Data!A409,"ERROR")</f>
        <v>8</v>
      </c>
      <c r="B409" s="7">
        <f>IF(Data!B409=Entry2!B409,Data!B409,"ERROR")</f>
        <v>2023</v>
      </c>
      <c r="C409" s="17">
        <f>IF(Data!C409=Entry2!C409,Data!C409,"ERROR")</f>
        <v>45203</v>
      </c>
      <c r="D409" s="7" t="str">
        <f>IF(Data!D409=Entry2!D409,Data!D409,"ERROR")</f>
        <v>JC, HH</v>
      </c>
      <c r="E409" s="7" t="str">
        <f>IF(Data!E409=Entry2!E409,Data!E409,"ERROR")</f>
        <v>GB</v>
      </c>
      <c r="F409" s="7">
        <f>IF(Data!F409=Entry2!F409,Data!F409,"ERROR")</f>
        <v>3</v>
      </c>
      <c r="G409" s="7" t="str">
        <f>IF(Data!G409=Entry2!G409,Data!G409,"ERROR")</f>
        <v>LU</v>
      </c>
      <c r="H409" s="7">
        <f>IF(Data!H409=Entry2!H409,Data!H409,"ERROR")</f>
        <v>3</v>
      </c>
      <c r="I409" s="7">
        <f>IF(Data!I409=Entry2!I409,Data!I409,"ERROR")</f>
        <v>2</v>
      </c>
      <c r="J409" s="7">
        <f>IF(Data!J409=Entry2!J409,Data!J409,"ERROR")</f>
        <v>1</v>
      </c>
      <c r="K409" s="7" t="str">
        <f>IF(Data!K409=Entry2!K409,Data!K409,"ERROR")</f>
        <v>B</v>
      </c>
      <c r="L409" s="7" t="str">
        <f>IF(Data!L409=Entry2!L409,Data!L409,"ERROR")</f>
        <v>ERROR</v>
      </c>
      <c r="M409" s="7">
        <f>IF(Data!N409=Entry2!M409,Data!N409,"ERROR")</f>
        <v>0</v>
      </c>
    </row>
    <row r="410" spans="1:13" ht="13.2" hidden="1" x14ac:dyDescent="0.25">
      <c r="A410" s="7">
        <f>IF(Data!A410=Entry2!A410,Data!A410,"ERROR")</f>
        <v>8</v>
      </c>
      <c r="B410" s="7">
        <f>IF(Data!B410=Entry2!B410,Data!B410,"ERROR")</f>
        <v>2023</v>
      </c>
      <c r="C410" s="17">
        <f>IF(Data!C410=Entry2!C410,Data!C410,"ERROR")</f>
        <v>45203</v>
      </c>
      <c r="D410" s="7" t="str">
        <f>IF(Data!D410=Entry2!D410,Data!D410,"ERROR")</f>
        <v>JC, HH</v>
      </c>
      <c r="E410" s="7" t="str">
        <f>IF(Data!E410=Entry2!E410,Data!E410,"ERROR")</f>
        <v>GB</v>
      </c>
      <c r="F410" s="7">
        <f>IF(Data!F410=Entry2!F410,Data!F410,"ERROR")</f>
        <v>3</v>
      </c>
      <c r="G410" s="7" t="str">
        <f>IF(Data!G410=Entry2!G410,Data!G410,"ERROR")</f>
        <v>LU</v>
      </c>
      <c r="H410" s="7">
        <f>IF(Data!H410=Entry2!H410,Data!H410,"ERROR")</f>
        <v>4</v>
      </c>
      <c r="I410" s="7">
        <f>IF(Data!I410=Entry2!I410,Data!I410,"ERROR")</f>
        <v>2</v>
      </c>
      <c r="J410" s="7">
        <f>IF(Data!J410=Entry2!J410,Data!J410,"ERROR")</f>
        <v>1.5</v>
      </c>
      <c r="K410" s="7" t="str">
        <f>IF(Data!K410=Entry2!K410,Data!K410,"ERROR")</f>
        <v>B</v>
      </c>
      <c r="L410" s="7" t="str">
        <f>IF(Data!L410=Entry2!L410,Data!L410,"ERROR")</f>
        <v>ERROR</v>
      </c>
      <c r="M410" s="7">
        <f>IF(Data!N410=Entry2!M410,Data!N410,"ERROR")</f>
        <v>0</v>
      </c>
    </row>
    <row r="411" spans="1:13" ht="13.2" hidden="1" x14ac:dyDescent="0.25">
      <c r="A411" s="7">
        <f>IF(Data!A411=Entry2!A411,Data!A411,"ERROR")</f>
        <v>8</v>
      </c>
      <c r="B411" s="7">
        <f>IF(Data!B411=Entry2!B411,Data!B411,"ERROR")</f>
        <v>2023</v>
      </c>
      <c r="C411" s="17">
        <f>IF(Data!C411=Entry2!C411,Data!C411,"ERROR")</f>
        <v>45203</v>
      </c>
      <c r="D411" s="7" t="str">
        <f>IF(Data!D411=Entry2!D411,Data!D411,"ERROR")</f>
        <v>JC, HH</v>
      </c>
      <c r="E411" s="7" t="str">
        <f>IF(Data!E411=Entry2!E411,Data!E411,"ERROR")</f>
        <v>GB</v>
      </c>
      <c r="F411" s="7">
        <f>IF(Data!F411=Entry2!F411,Data!F411,"ERROR")</f>
        <v>3</v>
      </c>
      <c r="G411" s="7" t="str">
        <f>IF(Data!G411=Entry2!G411,Data!G411,"ERROR")</f>
        <v>LU</v>
      </c>
      <c r="H411" s="7">
        <f>IF(Data!H411=Entry2!H411,Data!H411,"ERROR")</f>
        <v>4</v>
      </c>
      <c r="I411" s="7">
        <f>IF(Data!I411=Entry2!I411,Data!I411,"ERROR")</f>
        <v>2</v>
      </c>
      <c r="J411" s="7">
        <f>IF(Data!J411=Entry2!J411,Data!J411,"ERROR")</f>
        <v>1.5</v>
      </c>
      <c r="K411" s="7" t="str">
        <f>IF(Data!K411=Entry2!K411,Data!K411,"ERROR")</f>
        <v>BRANIG</v>
      </c>
      <c r="L411" s="7" t="str">
        <f>IF(Data!L411=Entry2!L411,Data!L411,"ERROR")</f>
        <v>ERROR</v>
      </c>
      <c r="M411" s="7">
        <f>IF(Data!N411=Entry2!M411,Data!N411,"ERROR")</f>
        <v>0</v>
      </c>
    </row>
    <row r="412" spans="1:13" ht="13.2" hidden="1" x14ac:dyDescent="0.25">
      <c r="A412" s="7">
        <f>IF(Data!A412=Entry2!A412,Data!A412,"ERROR")</f>
        <v>8</v>
      </c>
      <c r="B412" s="7">
        <f>IF(Data!B412=Entry2!B412,Data!B412,"ERROR")</f>
        <v>2023</v>
      </c>
      <c r="C412" s="17">
        <f>IF(Data!C412=Entry2!C412,Data!C412,"ERROR")</f>
        <v>45203</v>
      </c>
      <c r="D412" s="7" t="str">
        <f>IF(Data!D412=Entry2!D412,Data!D412,"ERROR")</f>
        <v>JC, HH</v>
      </c>
      <c r="E412" s="7" t="str">
        <f>IF(Data!E412=Entry2!E412,Data!E412,"ERROR")</f>
        <v>GB</v>
      </c>
      <c r="F412" s="7">
        <f>IF(Data!F412=Entry2!F412,Data!F412,"ERROR")</f>
        <v>3</v>
      </c>
      <c r="G412" s="7" t="str">
        <f>IF(Data!G412=Entry2!G412,Data!G412,"ERROR")</f>
        <v>LU</v>
      </c>
      <c r="H412" s="7">
        <f>IF(Data!H412=Entry2!H412,Data!H412,"ERROR")</f>
        <v>5</v>
      </c>
      <c r="I412" s="7">
        <f>IF(Data!I412=Entry2!I412,Data!I412,"ERROR")</f>
        <v>2</v>
      </c>
      <c r="J412" s="7">
        <f>IF(Data!J412=Entry2!J412,Data!J412,"ERROR")</f>
        <v>2.5</v>
      </c>
      <c r="K412" s="7" t="str">
        <f>IF(Data!K412=Entry2!K412,Data!K412,"ERROR")</f>
        <v>B</v>
      </c>
      <c r="L412" s="7" t="str">
        <f>IF(Data!L412=Entry2!L412,Data!L412,"ERROR")</f>
        <v>ERROR</v>
      </c>
      <c r="M412" s="7">
        <f>IF(Data!N412=Entry2!M412,Data!N412,"ERROR")</f>
        <v>0</v>
      </c>
    </row>
    <row r="413" spans="1:13" ht="13.2" hidden="1" x14ac:dyDescent="0.25">
      <c r="A413" s="7">
        <f>IF(Data!A413=Entry2!A413,Data!A413,"ERROR")</f>
        <v>8</v>
      </c>
      <c r="B413" s="7">
        <f>IF(Data!B413=Entry2!B413,Data!B413,"ERROR")</f>
        <v>2023</v>
      </c>
      <c r="C413" s="17">
        <f>IF(Data!C413=Entry2!C413,Data!C413,"ERROR")</f>
        <v>45203</v>
      </c>
      <c r="D413" s="7" t="str">
        <f>IF(Data!D413=Entry2!D413,Data!D413,"ERROR")</f>
        <v>JC, HH</v>
      </c>
      <c r="E413" s="7" t="str">
        <f>IF(Data!E413=Entry2!E413,Data!E413,"ERROR")</f>
        <v>GB</v>
      </c>
      <c r="F413" s="7">
        <f>IF(Data!F413=Entry2!F413,Data!F413,"ERROR")</f>
        <v>3</v>
      </c>
      <c r="G413" s="7" t="str">
        <f>IF(Data!G413=Entry2!G413,Data!G413,"ERROR")</f>
        <v>LU</v>
      </c>
      <c r="H413" s="7">
        <f>IF(Data!H413=Entry2!H413,Data!H413,"ERROR")</f>
        <v>5</v>
      </c>
      <c r="I413" s="7">
        <f>IF(Data!I413=Entry2!I413,Data!I413,"ERROR")</f>
        <v>2</v>
      </c>
      <c r="J413" s="7">
        <f>IF(Data!J413=Entry2!J413,Data!J413,"ERROR")</f>
        <v>2.5</v>
      </c>
      <c r="K413" s="7" t="str">
        <f>IF(Data!K413=Entry2!K413,Data!K413,"ERROR")</f>
        <v>NNG</v>
      </c>
      <c r="L413" s="7" t="str">
        <f>IF(Data!L413=Entry2!L413,Data!L413,"ERROR")</f>
        <v>ERROR</v>
      </c>
      <c r="M413" s="7">
        <f>IF(Data!N413=Entry2!M413,Data!N413,"ERROR")</f>
        <v>0</v>
      </c>
    </row>
    <row r="414" spans="1:13" ht="13.2" hidden="1" x14ac:dyDescent="0.25">
      <c r="A414" s="7">
        <f>IF(Data!A414=Entry2!A414,Data!A414,"ERROR")</f>
        <v>8</v>
      </c>
      <c r="B414" s="7">
        <f>IF(Data!B414=Entry2!B414,Data!B414,"ERROR")</f>
        <v>2023</v>
      </c>
      <c r="C414" s="17">
        <f>IF(Data!C414=Entry2!C414,Data!C414,"ERROR")</f>
        <v>45203</v>
      </c>
      <c r="D414" s="7" t="str">
        <f>IF(Data!D414=Entry2!D414,Data!D414,"ERROR")</f>
        <v>JC, HH</v>
      </c>
      <c r="E414" s="7" t="str">
        <f>IF(Data!E414=Entry2!E414,Data!E414,"ERROR")</f>
        <v>GB</v>
      </c>
      <c r="F414" s="7">
        <f>IF(Data!F414=Entry2!F414,Data!F414,"ERROR")</f>
        <v>3</v>
      </c>
      <c r="G414" s="7" t="str">
        <f>IF(Data!G414=Entry2!G414,Data!G414,"ERROR")</f>
        <v>LU</v>
      </c>
      <c r="H414" s="7">
        <f>IF(Data!H414=Entry2!H414,Data!H414,"ERROR")</f>
        <v>5</v>
      </c>
      <c r="I414" s="7">
        <f>IF(Data!I414=Entry2!I414,Data!I414,"ERROR")</f>
        <v>2</v>
      </c>
      <c r="J414" s="7">
        <f>IF(Data!J414=Entry2!J414,Data!J414,"ERROR")</f>
        <v>2.5</v>
      </c>
      <c r="K414" s="7" t="str">
        <f>IF(Data!K414=Entry2!K414,Data!K414,"ERROR")</f>
        <v>DEIFAS</v>
      </c>
      <c r="L414" s="7" t="str">
        <f>IF(Data!L414=Entry2!L414,Data!L414,"ERROR")</f>
        <v>ERROR</v>
      </c>
      <c r="M414" s="7">
        <f>IF(Data!N414=Entry2!M414,Data!N414,"ERROR")</f>
        <v>0</v>
      </c>
    </row>
    <row r="415" spans="1:13" ht="13.2" hidden="1" x14ac:dyDescent="0.25">
      <c r="A415" s="7">
        <f>IF(Data!A415=Entry2!A415,Data!A415,"ERROR")</f>
        <v>8</v>
      </c>
      <c r="B415" s="7">
        <f>IF(Data!B415=Entry2!B415,Data!B415,"ERROR")</f>
        <v>2023</v>
      </c>
      <c r="C415" s="17">
        <f>IF(Data!C415=Entry2!C415,Data!C415,"ERROR")</f>
        <v>45203</v>
      </c>
      <c r="D415" s="7" t="str">
        <f>IF(Data!D415=Entry2!D415,Data!D415,"ERROR")</f>
        <v>JC, HH</v>
      </c>
      <c r="E415" s="7" t="str">
        <f>IF(Data!E415=Entry2!E415,Data!E415,"ERROR")</f>
        <v>GB</v>
      </c>
      <c r="F415" s="7">
        <f>IF(Data!F415=Entry2!F415,Data!F415,"ERROR")</f>
        <v>3</v>
      </c>
      <c r="G415" s="7" t="str">
        <f>IF(Data!G415=Entry2!G415,Data!G415,"ERROR")</f>
        <v>LU</v>
      </c>
      <c r="H415" s="7">
        <f>IF(Data!H415=Entry2!H415,Data!H415,"ERROR")</f>
        <v>6</v>
      </c>
      <c r="I415" s="7">
        <f>IF(Data!I415=Entry2!I415,Data!I415,"ERROR")</f>
        <v>2</v>
      </c>
      <c r="J415" s="7">
        <f>IF(Data!J415=Entry2!J415,Data!J415,"ERROR")</f>
        <v>3</v>
      </c>
      <c r="K415" s="7" t="str">
        <f>IF(Data!K415=Entry2!K415,Data!K415,"ERROR")</f>
        <v>L</v>
      </c>
      <c r="L415" s="7" t="str">
        <f>IF(Data!L415=Entry2!L415,Data!L415,"ERROR")</f>
        <v>ERROR</v>
      </c>
      <c r="M415" s="7">
        <f>IF(Data!N415=Entry2!M415,Data!N415,"ERROR")</f>
        <v>0</v>
      </c>
    </row>
    <row r="416" spans="1:13" ht="13.2" hidden="1" x14ac:dyDescent="0.25">
      <c r="A416" s="7">
        <f>IF(Data!A416=Entry2!A416,Data!A416,"ERROR")</f>
        <v>8</v>
      </c>
      <c r="B416" s="7">
        <f>IF(Data!B416=Entry2!B416,Data!B416,"ERROR")</f>
        <v>2023</v>
      </c>
      <c r="C416" s="17">
        <f>IF(Data!C416=Entry2!C416,Data!C416,"ERROR")</f>
        <v>45203</v>
      </c>
      <c r="D416" s="7" t="str">
        <f>IF(Data!D416=Entry2!D416,Data!D416,"ERROR")</f>
        <v>JC, HH</v>
      </c>
      <c r="E416" s="7" t="str">
        <f>IF(Data!E416=Entry2!E416,Data!E416,"ERROR")</f>
        <v>GB</v>
      </c>
      <c r="F416" s="7">
        <f>IF(Data!F416=Entry2!F416,Data!F416,"ERROR")</f>
        <v>3</v>
      </c>
      <c r="G416" s="7" t="str">
        <f>IF(Data!G416=Entry2!G416,Data!G416,"ERROR")</f>
        <v>LU</v>
      </c>
      <c r="H416" s="7">
        <f>IF(Data!H416=Entry2!H416,Data!H416,"ERROR")</f>
        <v>6</v>
      </c>
      <c r="I416" s="7">
        <f>IF(Data!I416=Entry2!I416,Data!I416,"ERROR")</f>
        <v>2</v>
      </c>
      <c r="J416" s="7">
        <f>IF(Data!J416=Entry2!J416,Data!J416,"ERROR")</f>
        <v>3</v>
      </c>
      <c r="K416" s="7" t="str">
        <f>IF(Data!K416=Entry2!K416,Data!K416,"ERROR")</f>
        <v>BRANIG</v>
      </c>
      <c r="L416" s="7" t="str">
        <f>IF(Data!L416=Entry2!L416,Data!L416,"ERROR")</f>
        <v>ERROR</v>
      </c>
      <c r="M416" s="7">
        <f>IF(Data!N416=Entry2!M416,Data!N416,"ERROR")</f>
        <v>0</v>
      </c>
    </row>
    <row r="417" spans="1:13" ht="13.2" hidden="1" x14ac:dyDescent="0.25">
      <c r="A417" s="7">
        <f>IF(Data!A417=Entry2!A417,Data!A417,"ERROR")</f>
        <v>8</v>
      </c>
      <c r="B417" s="7">
        <f>IF(Data!B417=Entry2!B417,Data!B417,"ERROR")</f>
        <v>2023</v>
      </c>
      <c r="C417" s="17">
        <f>IF(Data!C417=Entry2!C417,Data!C417,"ERROR")</f>
        <v>45203</v>
      </c>
      <c r="D417" s="7" t="str">
        <f>IF(Data!D417=Entry2!D417,Data!D417,"ERROR")</f>
        <v>JC, HH</v>
      </c>
      <c r="E417" s="7" t="str">
        <f>IF(Data!E417=Entry2!E417,Data!E417,"ERROR")</f>
        <v>GB</v>
      </c>
      <c r="F417" s="7">
        <f>IF(Data!F417=Entry2!F417,Data!F417,"ERROR")</f>
        <v>3</v>
      </c>
      <c r="G417" s="7" t="str">
        <f>IF(Data!G417=Entry2!G417,Data!G417,"ERROR")</f>
        <v>LU</v>
      </c>
      <c r="H417" s="7">
        <f>IF(Data!H417=Entry2!H417,Data!H417,"ERROR")</f>
        <v>6</v>
      </c>
      <c r="I417" s="7">
        <f>IF(Data!I417=Entry2!I417,Data!I417,"ERROR")</f>
        <v>2</v>
      </c>
      <c r="J417" s="7">
        <f>IF(Data!J417=Entry2!J417,Data!J417,"ERROR")</f>
        <v>3</v>
      </c>
      <c r="K417" s="7" t="str">
        <f>IF(Data!K417=Entry2!K417,Data!K417,"ERROR")</f>
        <v>DEIFAS</v>
      </c>
      <c r="L417" s="7" t="str">
        <f>IF(Data!L417=Entry2!L417,Data!L417,"ERROR")</f>
        <v>ERROR</v>
      </c>
      <c r="M417" s="7">
        <f>IF(Data!N417=Entry2!M417,Data!N417,"ERROR")</f>
        <v>0</v>
      </c>
    </row>
    <row r="418" spans="1:13" ht="13.2" hidden="1" x14ac:dyDescent="0.25">
      <c r="A418" s="7">
        <f>IF(Data!A418=Entry2!A418,Data!A418,"ERROR")</f>
        <v>8</v>
      </c>
      <c r="B418" s="7">
        <f>IF(Data!B418=Entry2!B418,Data!B418,"ERROR")</f>
        <v>2023</v>
      </c>
      <c r="C418" s="17">
        <f>IF(Data!C418=Entry2!C418,Data!C418,"ERROR")</f>
        <v>45203</v>
      </c>
      <c r="D418" s="7" t="str">
        <f>IF(Data!D418=Entry2!D418,Data!D418,"ERROR")</f>
        <v>JC, HH</v>
      </c>
      <c r="E418" s="7" t="str">
        <f>IF(Data!E418=Entry2!E418,Data!E418,"ERROR")</f>
        <v>GB</v>
      </c>
      <c r="F418" s="7">
        <f>IF(Data!F418=Entry2!F418,Data!F418,"ERROR")</f>
        <v>3</v>
      </c>
      <c r="G418" s="7" t="str">
        <f>IF(Data!G418=Entry2!G418,Data!G418,"ERROR")</f>
        <v>LU</v>
      </c>
      <c r="H418" s="7">
        <f>IF(Data!H418=Entry2!H418,Data!H418,"ERROR")</f>
        <v>6</v>
      </c>
      <c r="I418" s="7">
        <f>IF(Data!I418=Entry2!I418,Data!I418,"ERROR")</f>
        <v>2</v>
      </c>
      <c r="J418" s="7">
        <f>IF(Data!J418=Entry2!J418,Data!J418,"ERROR")</f>
        <v>3</v>
      </c>
      <c r="K418" s="7" t="str">
        <f>IF(Data!K418=Entry2!K418,Data!K418,"ERROR")</f>
        <v>NNG</v>
      </c>
      <c r="L418" s="7" t="str">
        <f>IF(Data!L418=Entry2!L418,Data!L418,"ERROR")</f>
        <v>ERROR</v>
      </c>
      <c r="M418" s="7">
        <f>IF(Data!N418=Entry2!M418,Data!N418,"ERROR")</f>
        <v>0</v>
      </c>
    </row>
    <row r="419" spans="1:13" ht="13.2" hidden="1" x14ac:dyDescent="0.25">
      <c r="A419" s="7">
        <f>IF(Data!A419=Entry2!A419,Data!A419,"ERROR")</f>
        <v>8</v>
      </c>
      <c r="B419" s="7">
        <f>IF(Data!B419=Entry2!B419,Data!B419,"ERROR")</f>
        <v>2023</v>
      </c>
      <c r="C419" s="17">
        <f>IF(Data!C419=Entry2!C419,Data!C419,"ERROR")</f>
        <v>45203</v>
      </c>
      <c r="D419" s="7" t="str">
        <f>IF(Data!D419=Entry2!D419,Data!D419,"ERROR")</f>
        <v>JC, HH</v>
      </c>
      <c r="E419" s="7" t="str">
        <f>IF(Data!E419=Entry2!E419,Data!E419,"ERROR")</f>
        <v>GB</v>
      </c>
      <c r="F419" s="7">
        <f>IF(Data!F419=Entry2!F419,Data!F419,"ERROR")</f>
        <v>3</v>
      </c>
      <c r="G419" s="7" t="str">
        <f>IF(Data!G419=Entry2!G419,Data!G419,"ERROR")</f>
        <v>LU</v>
      </c>
      <c r="H419" s="7">
        <f>IF(Data!H419=Entry2!H419,Data!H419,"ERROR")</f>
        <v>7</v>
      </c>
      <c r="I419" s="7">
        <f>IF(Data!I419=Entry2!I419,Data!I419,"ERROR")</f>
        <v>2</v>
      </c>
      <c r="J419" s="7">
        <f>IF(Data!J419=Entry2!J419,Data!J419,"ERROR")</f>
        <v>3.5</v>
      </c>
      <c r="K419" s="7" t="str">
        <f>IF(Data!K419=Entry2!K419,Data!K419,"ERROR")</f>
        <v>L</v>
      </c>
      <c r="L419" s="7" t="str">
        <f>IF(Data!L419=Entry2!L419,Data!L419,"ERROR")</f>
        <v>ERROR</v>
      </c>
      <c r="M419" s="7">
        <f>IF(Data!N419=Entry2!M419,Data!N419,"ERROR")</f>
        <v>0</v>
      </c>
    </row>
    <row r="420" spans="1:13" ht="13.2" hidden="1" x14ac:dyDescent="0.25">
      <c r="A420" s="7">
        <f>IF(Data!A420=Entry2!A420,Data!A420,"ERROR")</f>
        <v>8</v>
      </c>
      <c r="B420" s="7">
        <f>IF(Data!B420=Entry2!B420,Data!B420,"ERROR")</f>
        <v>2023</v>
      </c>
      <c r="C420" s="17">
        <f>IF(Data!C420=Entry2!C420,Data!C420,"ERROR")</f>
        <v>45203</v>
      </c>
      <c r="D420" s="7" t="str">
        <f>IF(Data!D420=Entry2!D420,Data!D420,"ERROR")</f>
        <v>JC, HH</v>
      </c>
      <c r="E420" s="7" t="str">
        <f>IF(Data!E420=Entry2!E420,Data!E420,"ERROR")</f>
        <v>GB</v>
      </c>
      <c r="F420" s="7">
        <f>IF(Data!F420=Entry2!F420,Data!F420,"ERROR")</f>
        <v>3</v>
      </c>
      <c r="G420" s="7" t="str">
        <f>IF(Data!G420=Entry2!G420,Data!G420,"ERROR")</f>
        <v>LU</v>
      </c>
      <c r="H420" s="7">
        <f>IF(Data!H420=Entry2!H420,Data!H420,"ERROR")</f>
        <v>7</v>
      </c>
      <c r="I420" s="7">
        <f>IF(Data!I420=Entry2!I420,Data!I420,"ERROR")</f>
        <v>2</v>
      </c>
      <c r="J420" s="7">
        <f>IF(Data!J420=Entry2!J420,Data!J420,"ERROR")</f>
        <v>3.5</v>
      </c>
      <c r="K420" s="7" t="str">
        <f>IF(Data!K420=Entry2!K420,Data!K420,"ERROR")</f>
        <v>NNG</v>
      </c>
      <c r="L420" s="7" t="str">
        <f>IF(Data!L420=Entry2!L420,Data!L420,"ERROR")</f>
        <v>ERROR</v>
      </c>
      <c r="M420" s="7">
        <f>IF(Data!N420=Entry2!M420,Data!N420,"ERROR")</f>
        <v>0</v>
      </c>
    </row>
    <row r="421" spans="1:13" ht="13.2" hidden="1" x14ac:dyDescent="0.25">
      <c r="A421" s="7">
        <f>IF(Data!A421=Entry2!A421,Data!A421,"ERROR")</f>
        <v>8</v>
      </c>
      <c r="B421" s="7">
        <f>IF(Data!B421=Entry2!B421,Data!B421,"ERROR")</f>
        <v>2023</v>
      </c>
      <c r="C421" s="17">
        <f>IF(Data!C421=Entry2!C421,Data!C421,"ERROR")</f>
        <v>45203</v>
      </c>
      <c r="D421" s="7" t="str">
        <f>IF(Data!D421=Entry2!D421,Data!D421,"ERROR")</f>
        <v>JC, HH</v>
      </c>
      <c r="E421" s="7" t="str">
        <f>IF(Data!E421=Entry2!E421,Data!E421,"ERROR")</f>
        <v>GB</v>
      </c>
      <c r="F421" s="7">
        <f>IF(Data!F421=Entry2!F421,Data!F421,"ERROR")</f>
        <v>3</v>
      </c>
      <c r="G421" s="7" t="str">
        <f>IF(Data!G421=Entry2!G421,Data!G421,"ERROR")</f>
        <v>LU</v>
      </c>
      <c r="H421" s="7">
        <f>IF(Data!H421=Entry2!H421,Data!H421,"ERROR")</f>
        <v>7</v>
      </c>
      <c r="I421" s="7">
        <f>IF(Data!I421=Entry2!I421,Data!I421,"ERROR")</f>
        <v>2</v>
      </c>
      <c r="J421" s="7">
        <f>IF(Data!J421=Entry2!J421,Data!J421,"ERROR")</f>
        <v>3.5</v>
      </c>
      <c r="K421" s="7" t="str">
        <f>IF(Data!K421=Entry2!K421,Data!K421,"ERROR")</f>
        <v>DEIFAS</v>
      </c>
      <c r="L421" s="7" t="str">
        <f>IF(Data!L421=Entry2!L421,Data!L421,"ERROR")</f>
        <v>ERROR</v>
      </c>
      <c r="M421" s="7">
        <f>IF(Data!N421=Entry2!M421,Data!N421,"ERROR")</f>
        <v>0</v>
      </c>
    </row>
    <row r="422" spans="1:13" ht="13.2" hidden="1" x14ac:dyDescent="0.25">
      <c r="A422" s="7">
        <f>IF(Data!A422=Entry2!A422,Data!A422,"ERROR")</f>
        <v>8</v>
      </c>
      <c r="B422" s="7">
        <f>IF(Data!B422=Entry2!B422,Data!B422,"ERROR")</f>
        <v>2023</v>
      </c>
      <c r="C422" s="17">
        <f>IF(Data!C422=Entry2!C422,Data!C422,"ERROR")</f>
        <v>45203</v>
      </c>
      <c r="D422" s="7" t="str">
        <f>IF(Data!D422=Entry2!D422,Data!D422,"ERROR")</f>
        <v>JC, HH</v>
      </c>
      <c r="E422" s="7" t="str">
        <f>IF(Data!E422=Entry2!E422,Data!E422,"ERROR")</f>
        <v>GB</v>
      </c>
      <c r="F422" s="7">
        <f>IF(Data!F422=Entry2!F422,Data!F422,"ERROR")</f>
        <v>3</v>
      </c>
      <c r="G422" s="7" t="str">
        <f>IF(Data!G422=Entry2!G422,Data!G422,"ERROR")</f>
        <v>LU</v>
      </c>
      <c r="H422" s="7">
        <f>IF(Data!H422=Entry2!H422,Data!H422,"ERROR")</f>
        <v>8</v>
      </c>
      <c r="I422" s="7">
        <f>IF(Data!I422=Entry2!I422,Data!I422,"ERROR")</f>
        <v>2</v>
      </c>
      <c r="J422" s="7">
        <f>IF(Data!J422=Entry2!J422,Data!J422,"ERROR")</f>
        <v>4</v>
      </c>
      <c r="K422" s="7" t="str">
        <f>IF(Data!K422=Entry2!K422,Data!K422,"ERROR")</f>
        <v>L</v>
      </c>
      <c r="L422" s="7" t="str">
        <f>IF(Data!L422=Entry2!L422,Data!L422,"ERROR")</f>
        <v>ERROR</v>
      </c>
      <c r="M422" s="7">
        <f>IF(Data!N422=Entry2!M422,Data!N422,"ERROR")</f>
        <v>0</v>
      </c>
    </row>
    <row r="423" spans="1:13" ht="13.2" hidden="1" x14ac:dyDescent="0.25">
      <c r="A423" s="7">
        <f>IF(Data!A423=Entry2!A423,Data!A423,"ERROR")</f>
        <v>8</v>
      </c>
      <c r="B423" s="7">
        <f>IF(Data!B423=Entry2!B423,Data!B423,"ERROR")</f>
        <v>2023</v>
      </c>
      <c r="C423" s="17">
        <f>IF(Data!C423=Entry2!C423,Data!C423,"ERROR")</f>
        <v>45203</v>
      </c>
      <c r="D423" s="7" t="str">
        <f>IF(Data!D423=Entry2!D423,Data!D423,"ERROR")</f>
        <v>JC, HH</v>
      </c>
      <c r="E423" s="7" t="str">
        <f>IF(Data!E423=Entry2!E423,Data!E423,"ERROR")</f>
        <v>GB</v>
      </c>
      <c r="F423" s="7">
        <f>IF(Data!F423=Entry2!F423,Data!F423,"ERROR")</f>
        <v>3</v>
      </c>
      <c r="G423" s="7" t="str">
        <f>IF(Data!G423=Entry2!G423,Data!G423,"ERROR")</f>
        <v>LU</v>
      </c>
      <c r="H423" s="7">
        <f>IF(Data!H423=Entry2!H423,Data!H423,"ERROR")</f>
        <v>8</v>
      </c>
      <c r="I423" s="7">
        <f>IF(Data!I423=Entry2!I423,Data!I423,"ERROR")</f>
        <v>2</v>
      </c>
      <c r="J423" s="7">
        <f>IF(Data!J423=Entry2!J423,Data!J423,"ERROR")</f>
        <v>4</v>
      </c>
      <c r="K423" s="7" t="str">
        <f>IF(Data!K423=Entry2!K423,Data!K423,"ERROR")</f>
        <v>NNG</v>
      </c>
      <c r="L423" s="7" t="str">
        <f>IF(Data!L423=Entry2!L423,Data!L423,"ERROR")</f>
        <v>ERROR</v>
      </c>
      <c r="M423" s="7">
        <f>IF(Data!N423=Entry2!M423,Data!N423,"ERROR")</f>
        <v>0</v>
      </c>
    </row>
    <row r="424" spans="1:13" ht="13.2" hidden="1" x14ac:dyDescent="0.25">
      <c r="A424" s="7">
        <f>IF(Data!A424=Entry2!A424,Data!A424,"ERROR")</f>
        <v>8</v>
      </c>
      <c r="B424" s="7">
        <f>IF(Data!B424=Entry2!B424,Data!B424,"ERROR")</f>
        <v>2023</v>
      </c>
      <c r="C424" s="17">
        <f>IF(Data!C424=Entry2!C424,Data!C424,"ERROR")</f>
        <v>45203</v>
      </c>
      <c r="D424" s="7" t="str">
        <f>IF(Data!D424=Entry2!D424,Data!D424,"ERROR")</f>
        <v>JC, HH</v>
      </c>
      <c r="E424" s="7" t="str">
        <f>IF(Data!E424=Entry2!E424,Data!E424,"ERROR")</f>
        <v>GB</v>
      </c>
      <c r="F424" s="7">
        <f>IF(Data!F424=Entry2!F424,Data!F424,"ERROR")</f>
        <v>3</v>
      </c>
      <c r="G424" s="7" t="str">
        <f>IF(Data!G424=Entry2!G424,Data!G424,"ERROR")</f>
        <v>LU</v>
      </c>
      <c r="H424" s="7">
        <f>IF(Data!H424=Entry2!H424,Data!H424,"ERROR")</f>
        <v>8</v>
      </c>
      <c r="I424" s="7">
        <f>IF(Data!I424=Entry2!I424,Data!I424,"ERROR")</f>
        <v>2</v>
      </c>
      <c r="J424" s="7">
        <f>IF(Data!J424=Entry2!J424,Data!J424,"ERROR")</f>
        <v>4</v>
      </c>
      <c r="K424" s="7" t="str">
        <f>IF(Data!K424=Entry2!K424,Data!K424,"ERROR")</f>
        <v>DEIFAS</v>
      </c>
      <c r="L424" s="7" t="str">
        <f>IF(Data!L424=Entry2!L424,Data!L424,"ERROR")</f>
        <v>ERROR</v>
      </c>
      <c r="M424" s="7">
        <f>IF(Data!N424=Entry2!M424,Data!N424,"ERROR")</f>
        <v>0</v>
      </c>
    </row>
    <row r="425" spans="1:13" ht="13.2" hidden="1" x14ac:dyDescent="0.25">
      <c r="A425" s="7">
        <f>IF(Data!A425=Entry2!A425,Data!A425,"ERROR")</f>
        <v>8</v>
      </c>
      <c r="B425" s="7">
        <f>IF(Data!B425=Entry2!B425,Data!B425,"ERROR")</f>
        <v>2023</v>
      </c>
      <c r="C425" s="17">
        <f>IF(Data!C425=Entry2!C425,Data!C425,"ERROR")</f>
        <v>45203</v>
      </c>
      <c r="D425" s="7" t="str">
        <f>IF(Data!D425=Entry2!D425,Data!D425,"ERROR")</f>
        <v>JC, HH</v>
      </c>
      <c r="E425" s="7" t="str">
        <f>IF(Data!E425=Entry2!E425,Data!E425,"ERROR")</f>
        <v>GB</v>
      </c>
      <c r="F425" s="7">
        <f>IF(Data!F425=Entry2!F425,Data!F425,"ERROR")</f>
        <v>3</v>
      </c>
      <c r="G425" s="7" t="str">
        <f>IF(Data!G425=Entry2!G425,Data!G425,"ERROR")</f>
        <v>LU</v>
      </c>
      <c r="H425" s="7">
        <f>IF(Data!H425=Entry2!H425,Data!H425,"ERROR")</f>
        <v>9</v>
      </c>
      <c r="I425" s="7">
        <f>IF(Data!I425=Entry2!I425,Data!I425,"ERROR")</f>
        <v>2</v>
      </c>
      <c r="J425" s="7">
        <f>IF(Data!J425=Entry2!J425,Data!J425,"ERROR")</f>
        <v>4.5</v>
      </c>
      <c r="K425" s="7" t="str">
        <f>IF(Data!K425=Entry2!K425,Data!K425,"ERROR")</f>
        <v>L</v>
      </c>
      <c r="L425" s="7" t="str">
        <f>IF(Data!L425=Entry2!L425,Data!L425,"ERROR")</f>
        <v>ERROR</v>
      </c>
      <c r="M425" s="7">
        <f>IF(Data!N425=Entry2!M425,Data!N425,"ERROR")</f>
        <v>0</v>
      </c>
    </row>
    <row r="426" spans="1:13" ht="13.2" hidden="1" x14ac:dyDescent="0.25">
      <c r="A426" s="7">
        <f>IF(Data!A426=Entry2!A426,Data!A426,"ERROR")</f>
        <v>8</v>
      </c>
      <c r="B426" s="7">
        <f>IF(Data!B426=Entry2!B426,Data!B426,"ERROR")</f>
        <v>2023</v>
      </c>
      <c r="C426" s="17">
        <f>IF(Data!C426=Entry2!C426,Data!C426,"ERROR")</f>
        <v>45203</v>
      </c>
      <c r="D426" s="7" t="str">
        <f>IF(Data!D426=Entry2!D426,Data!D426,"ERROR")</f>
        <v>JC, HH</v>
      </c>
      <c r="E426" s="7" t="str">
        <f>IF(Data!E426=Entry2!E426,Data!E426,"ERROR")</f>
        <v>GB</v>
      </c>
      <c r="F426" s="7">
        <f>IF(Data!F426=Entry2!F426,Data!F426,"ERROR")</f>
        <v>3</v>
      </c>
      <c r="G426" s="7" t="str">
        <f>IF(Data!G426=Entry2!G426,Data!G426,"ERROR")</f>
        <v>LU</v>
      </c>
      <c r="H426" s="7">
        <f>IF(Data!H426=Entry2!H426,Data!H426,"ERROR")</f>
        <v>9</v>
      </c>
      <c r="I426" s="7">
        <f>IF(Data!I426=Entry2!I426,Data!I426,"ERROR")</f>
        <v>2</v>
      </c>
      <c r="J426" s="7">
        <f>IF(Data!J426=Entry2!J426,Data!J426,"ERROR")</f>
        <v>4.5</v>
      </c>
      <c r="K426" s="7" t="str">
        <f>IF(Data!K426=Entry2!K426,Data!K426,"ERROR")</f>
        <v>DEIFAS</v>
      </c>
      <c r="L426" s="7" t="str">
        <f>IF(Data!L426=Entry2!L426,Data!L426,"ERROR")</f>
        <v>ERROR</v>
      </c>
      <c r="M426" s="7">
        <f>IF(Data!N426=Entry2!M426,Data!N426,"ERROR")</f>
        <v>0</v>
      </c>
    </row>
    <row r="427" spans="1:13" ht="13.2" hidden="1" x14ac:dyDescent="0.25">
      <c r="A427" s="7">
        <f>IF(Data!A427=Entry2!A427,Data!A427,"ERROR")</f>
        <v>8</v>
      </c>
      <c r="B427" s="7">
        <f>IF(Data!B427=Entry2!B427,Data!B427,"ERROR")</f>
        <v>2023</v>
      </c>
      <c r="C427" s="17">
        <f>IF(Data!C427=Entry2!C427,Data!C427,"ERROR")</f>
        <v>45203</v>
      </c>
      <c r="D427" s="7" t="str">
        <f>IF(Data!D427=Entry2!D427,Data!D427,"ERROR")</f>
        <v>JC, HH</v>
      </c>
      <c r="E427" s="7" t="str">
        <f>IF(Data!E427=Entry2!E427,Data!E427,"ERROR")</f>
        <v>GB</v>
      </c>
      <c r="F427" s="7">
        <f>IF(Data!F427=Entry2!F427,Data!F427,"ERROR")</f>
        <v>3</v>
      </c>
      <c r="G427" s="7" t="str">
        <f>IF(Data!G427=Entry2!G427,Data!G427,"ERROR")</f>
        <v>LU</v>
      </c>
      <c r="H427" s="7">
        <f>IF(Data!H427=Entry2!H427,Data!H427,"ERROR")</f>
        <v>10</v>
      </c>
      <c r="I427" s="7">
        <f>IF(Data!I427=Entry2!I427,Data!I427,"ERROR")</f>
        <v>2</v>
      </c>
      <c r="J427" s="7">
        <f>IF(Data!J427=Entry2!J427,Data!J427,"ERROR")</f>
        <v>5</v>
      </c>
      <c r="K427" s="7" t="str">
        <f>IF(Data!K427=Entry2!K427,Data!K427,"ERROR")</f>
        <v>L</v>
      </c>
      <c r="L427" s="7" t="str">
        <f>IF(Data!L427=Entry2!L427,Data!L427,"ERROR")</f>
        <v>ERROR</v>
      </c>
      <c r="M427" s="7">
        <f>IF(Data!N427=Entry2!M427,Data!N427,"ERROR")</f>
        <v>0</v>
      </c>
    </row>
    <row r="428" spans="1:13" ht="13.2" hidden="1" x14ac:dyDescent="0.25">
      <c r="A428" s="7">
        <f>IF(Data!A428=Entry2!A428,Data!A428,"ERROR")</f>
        <v>8</v>
      </c>
      <c r="B428" s="7">
        <f>IF(Data!B428=Entry2!B428,Data!B428,"ERROR")</f>
        <v>2023</v>
      </c>
      <c r="C428" s="17">
        <f>IF(Data!C428=Entry2!C428,Data!C428,"ERROR")</f>
        <v>45203</v>
      </c>
      <c r="D428" s="7" t="str">
        <f>IF(Data!D428=Entry2!D428,Data!D428,"ERROR")</f>
        <v>JC, HH</v>
      </c>
      <c r="E428" s="7" t="str">
        <f>IF(Data!E428=Entry2!E428,Data!E428,"ERROR")</f>
        <v>GB</v>
      </c>
      <c r="F428" s="7">
        <f>IF(Data!F428=Entry2!F428,Data!F428,"ERROR")</f>
        <v>3</v>
      </c>
      <c r="G428" s="7" t="str">
        <f>IF(Data!G428=Entry2!G428,Data!G428,"ERROR")</f>
        <v>LU</v>
      </c>
      <c r="H428" s="7">
        <f>IF(Data!H428=Entry2!H428,Data!H428,"ERROR")</f>
        <v>10</v>
      </c>
      <c r="I428" s="7">
        <f>IF(Data!I428=Entry2!I428,Data!I428,"ERROR")</f>
        <v>2</v>
      </c>
      <c r="J428" s="7">
        <f>IF(Data!J428=Entry2!J428,Data!J428,"ERROR")</f>
        <v>5</v>
      </c>
      <c r="K428" s="7" t="str">
        <f>IF(Data!K428=Entry2!K428,Data!K428,"ERROR")</f>
        <v>DEIFAS</v>
      </c>
      <c r="L428" s="7" t="str">
        <f>IF(Data!L428=Entry2!L428,Data!L428,"ERROR")</f>
        <v>ERROR</v>
      </c>
      <c r="M428" s="7">
        <f>IF(Data!N428=Entry2!M428,Data!N428,"ERROR")</f>
        <v>0</v>
      </c>
    </row>
    <row r="429" spans="1:13" ht="13.2" hidden="1" x14ac:dyDescent="0.25">
      <c r="A429" s="7">
        <f>IF(Data!A429=Entry2!A429,Data!A429,"ERROR")</f>
        <v>8</v>
      </c>
      <c r="B429" s="7">
        <f>IF(Data!B429=Entry2!B429,Data!B429,"ERROR")</f>
        <v>2023</v>
      </c>
      <c r="C429" s="17">
        <f>IF(Data!C429=Entry2!C429,Data!C429,"ERROR")</f>
        <v>45203</v>
      </c>
      <c r="D429" s="7" t="str">
        <f>IF(Data!D429=Entry2!D429,Data!D429,"ERROR")</f>
        <v>JC, HH</v>
      </c>
      <c r="E429" s="7" t="str">
        <f>IF(Data!E429=Entry2!E429,Data!E429,"ERROR")</f>
        <v>GB</v>
      </c>
      <c r="F429" s="7">
        <f>IF(Data!F429=Entry2!F429,Data!F429,"ERROR")</f>
        <v>3</v>
      </c>
      <c r="G429" s="7" t="str">
        <f>IF(Data!G429=Entry2!G429,Data!G429,"ERROR")</f>
        <v>LU</v>
      </c>
      <c r="H429" s="7">
        <f>IF(Data!H429=Entry2!H429,Data!H429,"ERROR")</f>
        <v>11</v>
      </c>
      <c r="I429" s="7">
        <f>IF(Data!I429=Entry2!I429,Data!I429,"ERROR")</f>
        <v>2</v>
      </c>
      <c r="J429" s="7">
        <f>IF(Data!J429=Entry2!J429,Data!J429,"ERROR")</f>
        <v>5.5</v>
      </c>
      <c r="K429" s="7" t="str">
        <f>IF(Data!K429=Entry2!K429,Data!K429,"ERROR")</f>
        <v>B</v>
      </c>
      <c r="L429" s="7" t="str">
        <f>IF(Data!L429=Entry2!L429,Data!L429,"ERROR")</f>
        <v>ERROR</v>
      </c>
      <c r="M429" s="7">
        <f>IF(Data!N429=Entry2!M429,Data!N429,"ERROR")</f>
        <v>0</v>
      </c>
    </row>
    <row r="430" spans="1:13" ht="13.2" hidden="1" x14ac:dyDescent="0.25">
      <c r="A430" s="7">
        <f>IF(Data!A430=Entry2!A430,Data!A430,"ERROR")</f>
        <v>8</v>
      </c>
      <c r="B430" s="7">
        <f>IF(Data!B430=Entry2!B430,Data!B430,"ERROR")</f>
        <v>2023</v>
      </c>
      <c r="C430" s="17">
        <f>IF(Data!C430=Entry2!C430,Data!C430,"ERROR")</f>
        <v>45203</v>
      </c>
      <c r="D430" s="7" t="str">
        <f>IF(Data!D430=Entry2!D430,Data!D430,"ERROR")</f>
        <v>JC, HH</v>
      </c>
      <c r="E430" s="7" t="str">
        <f>IF(Data!E430=Entry2!E430,Data!E430,"ERROR")</f>
        <v>GB</v>
      </c>
      <c r="F430" s="7">
        <f>IF(Data!F430=Entry2!F430,Data!F430,"ERROR")</f>
        <v>3</v>
      </c>
      <c r="G430" s="7" t="str">
        <f>IF(Data!G430=Entry2!G430,Data!G430,"ERROR")</f>
        <v>LU</v>
      </c>
      <c r="H430" s="7">
        <f>IF(Data!H430=Entry2!H430,Data!H430,"ERROR")</f>
        <v>11</v>
      </c>
      <c r="I430" s="7">
        <f>IF(Data!I430=Entry2!I430,Data!I430,"ERROR")</f>
        <v>2</v>
      </c>
      <c r="J430" s="7">
        <f>IF(Data!J430=Entry2!J430,Data!J430,"ERROR")</f>
        <v>5.5</v>
      </c>
      <c r="K430" s="7" t="str">
        <f>IF(Data!K430=Entry2!K430,Data!K430,"ERROR")</f>
        <v>CENMEL</v>
      </c>
      <c r="L430" s="7" t="str">
        <f>IF(Data!L430=Entry2!L430,Data!L430,"ERROR")</f>
        <v>ERROR</v>
      </c>
      <c r="M430" s="7">
        <f>IF(Data!N430=Entry2!M430,Data!N430,"ERROR")</f>
        <v>0</v>
      </c>
    </row>
    <row r="431" spans="1:13" ht="13.2" hidden="1" x14ac:dyDescent="0.25">
      <c r="A431" s="7">
        <f>IF(Data!A431=Entry2!A431,Data!A431,"ERROR")</f>
        <v>8</v>
      </c>
      <c r="B431" s="7">
        <f>IF(Data!B431=Entry2!B431,Data!B431,"ERROR")</f>
        <v>2023</v>
      </c>
      <c r="C431" s="17">
        <f>IF(Data!C431=Entry2!C431,Data!C431,"ERROR")</f>
        <v>45203</v>
      </c>
      <c r="D431" s="7" t="str">
        <f>IF(Data!D431=Entry2!D431,Data!D431,"ERROR")</f>
        <v>JC, HH</v>
      </c>
      <c r="E431" s="7" t="str">
        <f>IF(Data!E431=Entry2!E431,Data!E431,"ERROR")</f>
        <v>GB</v>
      </c>
      <c r="F431" s="7">
        <f>IF(Data!F431=Entry2!F431,Data!F431,"ERROR")</f>
        <v>3</v>
      </c>
      <c r="G431" s="7" t="str">
        <f>IF(Data!G431=Entry2!G431,Data!G431,"ERROR")</f>
        <v>LU</v>
      </c>
      <c r="H431" s="7">
        <f>IF(Data!H431=Entry2!H431,Data!H431,"ERROR")</f>
        <v>11</v>
      </c>
      <c r="I431" s="7">
        <f>IF(Data!I431=Entry2!I431,Data!I431,"ERROR")</f>
        <v>2</v>
      </c>
      <c r="J431" s="7">
        <f>IF(Data!J431=Entry2!J431,Data!J431,"ERROR")</f>
        <v>5.5</v>
      </c>
      <c r="K431" s="7" t="str">
        <f>IF(Data!K431=Entry2!K431,Data!K431,"ERROR")</f>
        <v>DEIFAS</v>
      </c>
      <c r="L431" s="7" t="str">
        <f>IF(Data!L431=Entry2!L431,Data!L431,"ERROR")</f>
        <v>ERROR</v>
      </c>
      <c r="M431" s="7">
        <f>IF(Data!N431=Entry2!M431,Data!N431,"ERROR")</f>
        <v>0</v>
      </c>
    </row>
    <row r="432" spans="1:13" ht="13.2" hidden="1" x14ac:dyDescent="0.25">
      <c r="A432" s="7">
        <f>IF(Data!A432=Entry2!A432,Data!A432,"ERROR")</f>
        <v>8</v>
      </c>
      <c r="B432" s="7">
        <f>IF(Data!B432=Entry2!B432,Data!B432,"ERROR")</f>
        <v>2023</v>
      </c>
      <c r="C432" s="17">
        <f>IF(Data!C432=Entry2!C432,Data!C432,"ERROR")</f>
        <v>45203</v>
      </c>
      <c r="D432" s="7" t="str">
        <f>IF(Data!D432=Entry2!D432,Data!D432,"ERROR")</f>
        <v>JC, HH</v>
      </c>
      <c r="E432" s="7" t="str">
        <f>IF(Data!E432=Entry2!E432,Data!E432,"ERROR")</f>
        <v>GB</v>
      </c>
      <c r="F432" s="7">
        <f>IF(Data!F432=Entry2!F432,Data!F432,"ERROR")</f>
        <v>3</v>
      </c>
      <c r="G432" s="7" t="str">
        <f>IF(Data!G432=Entry2!G432,Data!G432,"ERROR")</f>
        <v>LU</v>
      </c>
      <c r="H432" s="7">
        <f>IF(Data!H432=Entry2!H432,Data!H432,"ERROR")</f>
        <v>12</v>
      </c>
      <c r="I432" s="7">
        <f>IF(Data!I432=Entry2!I432,Data!I432,"ERROR")</f>
        <v>2</v>
      </c>
      <c r="J432" s="7">
        <f>IF(Data!J432=Entry2!J432,Data!J432,"ERROR")</f>
        <v>6</v>
      </c>
      <c r="K432" s="7" t="str">
        <f>IF(Data!K432=Entry2!K432,Data!K432,"ERROR")</f>
        <v>B</v>
      </c>
      <c r="L432" s="7" t="str">
        <f>IF(Data!L432=Entry2!L432,Data!L432,"ERROR")</f>
        <v>ERROR</v>
      </c>
      <c r="M432" s="7">
        <f>IF(Data!N432=Entry2!M432,Data!N432,"ERROR")</f>
        <v>0</v>
      </c>
    </row>
    <row r="433" spans="1:13" ht="13.2" hidden="1" x14ac:dyDescent="0.25">
      <c r="A433" s="7">
        <f>IF(Data!A433=Entry2!A433,Data!A433,"ERROR")</f>
        <v>8</v>
      </c>
      <c r="B433" s="7">
        <f>IF(Data!B433=Entry2!B433,Data!B433,"ERROR")</f>
        <v>2023</v>
      </c>
      <c r="C433" s="17">
        <f>IF(Data!C433=Entry2!C433,Data!C433,"ERROR")</f>
        <v>45203</v>
      </c>
      <c r="D433" s="7" t="str">
        <f>IF(Data!D433=Entry2!D433,Data!D433,"ERROR")</f>
        <v>JC, HH</v>
      </c>
      <c r="E433" s="7" t="str">
        <f>IF(Data!E433=Entry2!E433,Data!E433,"ERROR")</f>
        <v>GB</v>
      </c>
      <c r="F433" s="7">
        <f>IF(Data!F433=Entry2!F433,Data!F433,"ERROR")</f>
        <v>3</v>
      </c>
      <c r="G433" s="7" t="str">
        <f>IF(Data!G433=Entry2!G433,Data!G433,"ERROR")</f>
        <v>LU</v>
      </c>
      <c r="H433" s="7">
        <f>IF(Data!H433=Entry2!H433,Data!H433,"ERROR")</f>
        <v>12</v>
      </c>
      <c r="I433" s="7">
        <f>IF(Data!I433=Entry2!I433,Data!I433,"ERROR")</f>
        <v>2</v>
      </c>
      <c r="J433" s="7">
        <f>IF(Data!J433=Entry2!J433,Data!J433,"ERROR")</f>
        <v>6</v>
      </c>
      <c r="K433" s="7" t="str">
        <f>IF(Data!K433=Entry2!K433,Data!K433,"ERROR")</f>
        <v>CENMEL</v>
      </c>
      <c r="L433" s="7" t="str">
        <f>IF(Data!L433=Entry2!L433,Data!L433,"ERROR")</f>
        <v>ERROR</v>
      </c>
      <c r="M433" s="7">
        <f>IF(Data!N433=Entry2!M433,Data!N433,"ERROR")</f>
        <v>0</v>
      </c>
    </row>
    <row r="434" spans="1:13" ht="13.2" hidden="1" x14ac:dyDescent="0.25">
      <c r="A434" s="7">
        <f>IF(Data!A434=Entry2!A434,Data!A434,"ERROR")</f>
        <v>8</v>
      </c>
      <c r="B434" s="7">
        <f>IF(Data!B434=Entry2!B434,Data!B434,"ERROR")</f>
        <v>2023</v>
      </c>
      <c r="C434" s="17">
        <f>IF(Data!C434=Entry2!C434,Data!C434,"ERROR")</f>
        <v>45203</v>
      </c>
      <c r="D434" s="7" t="str">
        <f>IF(Data!D434=Entry2!D434,Data!D434,"ERROR")</f>
        <v>JC, HH</v>
      </c>
      <c r="E434" s="7" t="str">
        <f>IF(Data!E434=Entry2!E434,Data!E434,"ERROR")</f>
        <v>GB</v>
      </c>
      <c r="F434" s="7">
        <f>IF(Data!F434=Entry2!F434,Data!F434,"ERROR")</f>
        <v>3</v>
      </c>
      <c r="G434" s="7" t="str">
        <f>IF(Data!G434=Entry2!G434,Data!G434,"ERROR")</f>
        <v>LU</v>
      </c>
      <c r="H434" s="7">
        <f>IF(Data!H434=Entry2!H434,Data!H434,"ERROR")</f>
        <v>12</v>
      </c>
      <c r="I434" s="7">
        <f>IF(Data!I434=Entry2!I434,Data!I434,"ERROR")</f>
        <v>2</v>
      </c>
      <c r="J434" s="7">
        <f>IF(Data!J434=Entry2!J434,Data!J434,"ERROR")</f>
        <v>6</v>
      </c>
      <c r="K434" s="7" t="str">
        <f>IF(Data!K434=Entry2!K434,Data!K434,"ERROR")</f>
        <v>BRANIG</v>
      </c>
      <c r="L434" s="7" t="str">
        <f>IF(Data!L434=Entry2!L434,Data!L434,"ERROR")</f>
        <v>ERROR</v>
      </c>
      <c r="M434" s="7">
        <f>IF(Data!N434=Entry2!M434,Data!N434,"ERROR")</f>
        <v>0</v>
      </c>
    </row>
    <row r="435" spans="1:13" ht="13.2" hidden="1" x14ac:dyDescent="0.25">
      <c r="A435" s="7">
        <f>IF(Data!A435=Entry2!A435,Data!A435,"ERROR")</f>
        <v>8</v>
      </c>
      <c r="B435" s="7">
        <f>IF(Data!B435=Entry2!B435,Data!B435,"ERROR")</f>
        <v>2023</v>
      </c>
      <c r="C435" s="17">
        <f>IF(Data!C435=Entry2!C435,Data!C435,"ERROR")</f>
        <v>45203</v>
      </c>
      <c r="D435" s="7" t="str">
        <f>IF(Data!D435=Entry2!D435,Data!D435,"ERROR")</f>
        <v>JC, HH</v>
      </c>
      <c r="E435" s="7" t="str">
        <f>IF(Data!E435=Entry2!E435,Data!E435,"ERROR")</f>
        <v>GB</v>
      </c>
      <c r="F435" s="7">
        <f>IF(Data!F435=Entry2!F435,Data!F435,"ERROR")</f>
        <v>3</v>
      </c>
      <c r="G435" s="7" t="str">
        <f>IF(Data!G435=Entry2!G435,Data!G435,"ERROR")</f>
        <v>LU</v>
      </c>
      <c r="H435" s="7">
        <f>IF(Data!H435=Entry2!H435,Data!H435,"ERROR")</f>
        <v>12</v>
      </c>
      <c r="I435" s="7">
        <f>IF(Data!I435=Entry2!I435,Data!I435,"ERROR")</f>
        <v>2</v>
      </c>
      <c r="J435" s="7">
        <f>IF(Data!J435=Entry2!J435,Data!J435,"ERROR")</f>
        <v>6</v>
      </c>
      <c r="K435" s="7" t="str">
        <f>IF(Data!K435=Entry2!K435,Data!K435,"ERROR")</f>
        <v>DEIFAS</v>
      </c>
      <c r="L435" s="7" t="str">
        <f>IF(Data!L435=Entry2!L435,Data!L435,"ERROR")</f>
        <v>ERROR</v>
      </c>
      <c r="M435" s="7">
        <f>IF(Data!N435=Entry2!M435,Data!N435,"ERROR")</f>
        <v>0</v>
      </c>
    </row>
    <row r="436" spans="1:13" ht="13.2" hidden="1" x14ac:dyDescent="0.25">
      <c r="A436" s="7">
        <f>IF(Data!A436=Entry2!A436,Data!A436,"ERROR")</f>
        <v>8</v>
      </c>
      <c r="B436" s="7">
        <f>IF(Data!B436=Entry2!B436,Data!B436,"ERROR")</f>
        <v>2023</v>
      </c>
      <c r="C436" s="17">
        <f>IF(Data!C436=Entry2!C436,Data!C436,"ERROR")</f>
        <v>45203</v>
      </c>
      <c r="D436" s="7" t="str">
        <f>IF(Data!D436=Entry2!D436,Data!D436,"ERROR")</f>
        <v>JC, HH</v>
      </c>
      <c r="E436" s="7" t="str">
        <f>IF(Data!E436=Entry2!E436,Data!E436,"ERROR")</f>
        <v>GB</v>
      </c>
      <c r="F436" s="7">
        <f>IF(Data!F436=Entry2!F436,Data!F436,"ERROR")</f>
        <v>3</v>
      </c>
      <c r="G436" s="7" t="str">
        <f>IF(Data!G436=Entry2!G436,Data!G436,"ERROR")</f>
        <v>LU</v>
      </c>
      <c r="H436" s="7">
        <f>IF(Data!H436=Entry2!H436,Data!H436,"ERROR")</f>
        <v>13</v>
      </c>
      <c r="I436" s="7">
        <f>IF(Data!I436=Entry2!I436,Data!I436,"ERROR")</f>
        <v>2</v>
      </c>
      <c r="J436" s="7">
        <f>IF(Data!J436=Entry2!J436,Data!J436,"ERROR")</f>
        <v>6.5</v>
      </c>
      <c r="K436" s="7" t="str">
        <f>IF(Data!K436=Entry2!K436,Data!K436,"ERROR")</f>
        <v>B</v>
      </c>
      <c r="L436" s="7" t="str">
        <f>IF(Data!L436=Entry2!L436,Data!L436,"ERROR")</f>
        <v>ERROR</v>
      </c>
      <c r="M436" s="7">
        <f>IF(Data!N436=Entry2!M436,Data!N436,"ERROR")</f>
        <v>0</v>
      </c>
    </row>
    <row r="437" spans="1:13" ht="13.2" hidden="1" x14ac:dyDescent="0.25">
      <c r="A437" s="7">
        <f>IF(Data!A437=Entry2!A437,Data!A437,"ERROR")</f>
        <v>8</v>
      </c>
      <c r="B437" s="7">
        <f>IF(Data!B437=Entry2!B437,Data!B437,"ERROR")</f>
        <v>2023</v>
      </c>
      <c r="C437" s="17">
        <f>IF(Data!C437=Entry2!C437,Data!C437,"ERROR")</f>
        <v>45203</v>
      </c>
      <c r="D437" s="7" t="str">
        <f>IF(Data!D437=Entry2!D437,Data!D437,"ERROR")</f>
        <v>JC, HH</v>
      </c>
      <c r="E437" s="7" t="str">
        <f>IF(Data!E437=Entry2!E437,Data!E437,"ERROR")</f>
        <v>GB</v>
      </c>
      <c r="F437" s="7">
        <f>IF(Data!F437=Entry2!F437,Data!F437,"ERROR")</f>
        <v>3</v>
      </c>
      <c r="G437" s="7" t="str">
        <f>IF(Data!G437=Entry2!G437,Data!G437,"ERROR")</f>
        <v>LU</v>
      </c>
      <c r="H437" s="7">
        <f>IF(Data!H437=Entry2!H437,Data!H437,"ERROR")</f>
        <v>14</v>
      </c>
      <c r="I437" s="7">
        <f>IF(Data!I437=Entry2!I437,Data!I437,"ERROR")</f>
        <v>2</v>
      </c>
      <c r="J437" s="7">
        <f>IF(Data!J437=Entry2!J437,Data!J437,"ERROR")</f>
        <v>7</v>
      </c>
      <c r="K437" s="7" t="str">
        <f>IF(Data!K437=Entry2!K437,Data!K437,"ERROR")</f>
        <v>B</v>
      </c>
      <c r="L437" s="7" t="str">
        <f>IF(Data!L437=Entry2!L437,Data!L437,"ERROR")</f>
        <v>ERROR</v>
      </c>
      <c r="M437" s="7">
        <f>IF(Data!N437=Entry2!M437,Data!N437,"ERROR")</f>
        <v>0</v>
      </c>
    </row>
    <row r="438" spans="1:13" ht="13.2" hidden="1" x14ac:dyDescent="0.25">
      <c r="A438" s="7">
        <f>IF(Data!A438=Entry2!A438,Data!A438,"ERROR")</f>
        <v>8</v>
      </c>
      <c r="B438" s="7">
        <f>IF(Data!B438=Entry2!B438,Data!B438,"ERROR")</f>
        <v>2023</v>
      </c>
      <c r="C438" s="17">
        <f>IF(Data!C438=Entry2!C438,Data!C438,"ERROR")</f>
        <v>45203</v>
      </c>
      <c r="D438" s="7" t="str">
        <f>IF(Data!D438=Entry2!D438,Data!D438,"ERROR")</f>
        <v>JC, HH</v>
      </c>
      <c r="E438" s="7" t="str">
        <f>IF(Data!E438=Entry2!E438,Data!E438,"ERROR")</f>
        <v>GB</v>
      </c>
      <c r="F438" s="7">
        <f>IF(Data!F438=Entry2!F438,Data!F438,"ERROR")</f>
        <v>3</v>
      </c>
      <c r="G438" s="7" t="str">
        <f>IF(Data!G438=Entry2!G438,Data!G438,"ERROR")</f>
        <v>LU</v>
      </c>
      <c r="H438" s="7">
        <f>IF(Data!H438=Entry2!H438,Data!H438,"ERROR")</f>
        <v>15</v>
      </c>
      <c r="I438" s="7">
        <f>IF(Data!I438=Entry2!I438,Data!I438,"ERROR")</f>
        <v>2</v>
      </c>
      <c r="J438" s="7">
        <f>IF(Data!J438=Entry2!J438,Data!J438,"ERROR")</f>
        <v>7.5</v>
      </c>
      <c r="K438" s="7" t="str">
        <f>IF(Data!K438=Entry2!K438,Data!K438,"ERROR")</f>
        <v>L</v>
      </c>
      <c r="L438" s="7" t="str">
        <f>IF(Data!L438=Entry2!L438,Data!L438,"ERROR")</f>
        <v>ERROR</v>
      </c>
      <c r="M438" s="7">
        <f>IF(Data!N438=Entry2!M438,Data!N438,"ERROR")</f>
        <v>0</v>
      </c>
    </row>
    <row r="439" spans="1:13" ht="13.2" hidden="1" x14ac:dyDescent="0.25">
      <c r="A439" s="7">
        <f>IF(Data!A439=Entry2!A439,Data!A439,"ERROR")</f>
        <v>9</v>
      </c>
      <c r="B439" s="7">
        <f>IF(Data!B439=Entry2!B439,Data!B439,"ERROR")</f>
        <v>2023</v>
      </c>
      <c r="C439" s="17">
        <f>IF(Data!C439=Entry2!C439,Data!C439,"ERROR")</f>
        <v>45197</v>
      </c>
      <c r="D439" s="7" t="str">
        <f>IF(Data!D439=Entry2!D439,Data!D439,"ERROR")</f>
        <v>MP, TL, MG</v>
      </c>
      <c r="E439" s="7" t="str">
        <f>IF(Data!E439=Entry2!E439,Data!E439,"ERROR")</f>
        <v>CU</v>
      </c>
      <c r="F439" s="7">
        <f>IF(Data!F439=Entry2!F439,Data!F439,"ERROR")</f>
        <v>1</v>
      </c>
      <c r="G439" s="7" t="str">
        <f>IF(Data!G439=Entry2!G439,Data!G439,"ERROR")</f>
        <v>SS</v>
      </c>
      <c r="H439" s="7">
        <f>IF(Data!H439=Entry2!H439,Data!H439,"ERROR")</f>
        <v>1</v>
      </c>
      <c r="I439" s="7">
        <f>IF(Data!I439=Entry2!I439,Data!I439,"ERROR")</f>
        <v>1</v>
      </c>
      <c r="J439" s="7">
        <f>IF(Data!J439=Entry2!J439,Data!J439,"ERROR")</f>
        <v>0</v>
      </c>
      <c r="K439" s="7" t="str">
        <f>IF(Data!K439=Entry2!K439,Data!K439,"ERROR")</f>
        <v>B</v>
      </c>
      <c r="L439" s="7" t="str">
        <f>IF(Data!L439=Entry2!L439,Data!L439,"ERROR")</f>
        <v>ERROR</v>
      </c>
      <c r="M439" s="7">
        <f>IF(Data!N439=Entry2!M439,Data!N439,"ERROR")</f>
        <v>0</v>
      </c>
    </row>
    <row r="440" spans="1:13" ht="13.2" hidden="1" x14ac:dyDescent="0.25">
      <c r="A440" s="7">
        <f>IF(Data!A440=Entry2!A440,Data!A440,"ERROR")</f>
        <v>9</v>
      </c>
      <c r="B440" s="7">
        <f>IF(Data!B440=Entry2!B440,Data!B440,"ERROR")</f>
        <v>2023</v>
      </c>
      <c r="C440" s="17">
        <f>IF(Data!C440=Entry2!C440,Data!C440,"ERROR")</f>
        <v>45197</v>
      </c>
      <c r="D440" s="7" t="str">
        <f>IF(Data!D440=Entry2!D440,Data!D440,"ERROR")</f>
        <v>MP, TL, MG</v>
      </c>
      <c r="E440" s="7" t="str">
        <f>IF(Data!E440=Entry2!E440,Data!E440,"ERROR")</f>
        <v>CU</v>
      </c>
      <c r="F440" s="7">
        <f>IF(Data!F440=Entry2!F440,Data!F440,"ERROR")</f>
        <v>1</v>
      </c>
      <c r="G440" s="7" t="str">
        <f>IF(Data!G440=Entry2!G440,Data!G440,"ERROR")</f>
        <v>SS</v>
      </c>
      <c r="H440" s="7">
        <f>IF(Data!H440=Entry2!H440,Data!H440,"ERROR")</f>
        <v>1</v>
      </c>
      <c r="I440" s="7">
        <f>IF(Data!I440=Entry2!I440,Data!I440,"ERROR")</f>
        <v>1</v>
      </c>
      <c r="J440" s="7">
        <f>IF(Data!J440=Entry2!J440,Data!J440,"ERROR")</f>
        <v>0</v>
      </c>
      <c r="K440" s="7" t="str">
        <f>IF(Data!K440=Entry2!K440,Data!K440,"ERROR")</f>
        <v>CENMEL</v>
      </c>
      <c r="L440" s="7" t="str">
        <f>IF(Data!L440=Entry2!L440,Data!L440,"ERROR")</f>
        <v>ERROR</v>
      </c>
      <c r="M440" s="7">
        <f>IF(Data!N440=Entry2!M440,Data!N440,"ERROR")</f>
        <v>0</v>
      </c>
    </row>
    <row r="441" spans="1:13" ht="13.2" hidden="1" x14ac:dyDescent="0.25">
      <c r="A441" s="7">
        <f>IF(Data!A441=Entry2!A441,Data!A441,"ERROR")</f>
        <v>9</v>
      </c>
      <c r="B441" s="7">
        <f>IF(Data!B441=Entry2!B441,Data!B441,"ERROR")</f>
        <v>2023</v>
      </c>
      <c r="C441" s="17">
        <f>IF(Data!C441=Entry2!C441,Data!C441,"ERROR")</f>
        <v>45197</v>
      </c>
      <c r="D441" s="7" t="str">
        <f>IF(Data!D441=Entry2!D441,Data!D441,"ERROR")</f>
        <v>MP, TL, MG</v>
      </c>
      <c r="E441" s="7" t="str">
        <f>IF(Data!E441=Entry2!E441,Data!E441,"ERROR")</f>
        <v>CU</v>
      </c>
      <c r="F441" s="7">
        <f>IF(Data!F441=Entry2!F441,Data!F441,"ERROR")</f>
        <v>1</v>
      </c>
      <c r="G441" s="7" t="str">
        <f>IF(Data!G441=Entry2!G441,Data!G441,"ERROR")</f>
        <v>SS</v>
      </c>
      <c r="H441" s="7">
        <f>IF(Data!H441=Entry2!H441,Data!H441,"ERROR")</f>
        <v>2</v>
      </c>
      <c r="I441" s="7">
        <f>IF(Data!I441=Entry2!I441,Data!I441,"ERROR")</f>
        <v>1</v>
      </c>
      <c r="J441" s="7">
        <f>IF(Data!J441=Entry2!J441,Data!J441,"ERROR")</f>
        <v>1</v>
      </c>
      <c r="K441" s="7" t="str">
        <f>IF(Data!K441=Entry2!K441,Data!K441,"ERROR")</f>
        <v>B</v>
      </c>
      <c r="L441" s="7" t="str">
        <f>IF(Data!L441=Entry2!L441,Data!L441,"ERROR")</f>
        <v>ERROR</v>
      </c>
      <c r="M441" s="7">
        <f>IF(Data!N441=Entry2!M441,Data!N441,"ERROR")</f>
        <v>0</v>
      </c>
    </row>
    <row r="442" spans="1:13" ht="13.2" hidden="1" x14ac:dyDescent="0.25">
      <c r="A442" s="7">
        <f>IF(Data!A442=Entry2!A442,Data!A442,"ERROR")</f>
        <v>9</v>
      </c>
      <c r="B442" s="7">
        <f>IF(Data!B442=Entry2!B442,Data!B442,"ERROR")</f>
        <v>2023</v>
      </c>
      <c r="C442" s="17">
        <f>IF(Data!C442=Entry2!C442,Data!C442,"ERROR")</f>
        <v>45197</v>
      </c>
      <c r="D442" s="7" t="str">
        <f>IF(Data!D442=Entry2!D442,Data!D442,"ERROR")</f>
        <v>MP, TL, MG</v>
      </c>
      <c r="E442" s="7" t="str">
        <f>IF(Data!E442=Entry2!E442,Data!E442,"ERROR")</f>
        <v>CU</v>
      </c>
      <c r="F442" s="7">
        <f>IF(Data!F442=Entry2!F442,Data!F442,"ERROR")</f>
        <v>1</v>
      </c>
      <c r="G442" s="7" t="str">
        <f>IF(Data!G442=Entry2!G442,Data!G442,"ERROR")</f>
        <v>SS</v>
      </c>
      <c r="H442" s="7">
        <f>IF(Data!H442=Entry2!H442,Data!H442,"ERROR")</f>
        <v>2</v>
      </c>
      <c r="I442" s="7">
        <f>IF(Data!I442=Entry2!I442,Data!I442,"ERROR")</f>
        <v>1</v>
      </c>
      <c r="J442" s="7">
        <f>IF(Data!J442=Entry2!J442,Data!J442,"ERROR")</f>
        <v>1</v>
      </c>
      <c r="K442" s="7" t="str">
        <f>IF(Data!K442=Entry2!K442,Data!K442,"ERROR")</f>
        <v>OPULIT</v>
      </c>
      <c r="L442" s="7" t="str">
        <f>IF(Data!L442=Entry2!L442,Data!L442,"ERROR")</f>
        <v>ERROR</v>
      </c>
      <c r="M442" s="7">
        <f>IF(Data!N442=Entry2!M442,Data!N442,"ERROR")</f>
        <v>0</v>
      </c>
    </row>
    <row r="443" spans="1:13" ht="13.2" hidden="1" x14ac:dyDescent="0.25">
      <c r="A443" s="7">
        <f>IF(Data!A443=Entry2!A443,Data!A443,"ERROR")</f>
        <v>9</v>
      </c>
      <c r="B443" s="7">
        <f>IF(Data!B443=Entry2!B443,Data!B443,"ERROR")</f>
        <v>2023</v>
      </c>
      <c r="C443" s="17">
        <f>IF(Data!C443=Entry2!C443,Data!C443,"ERROR")</f>
        <v>45197</v>
      </c>
      <c r="D443" s="7" t="str">
        <f>IF(Data!D443=Entry2!D443,Data!D443,"ERROR")</f>
        <v>MP, TL, MG</v>
      </c>
      <c r="E443" s="7" t="str">
        <f>IF(Data!E443=Entry2!E443,Data!E443,"ERROR")</f>
        <v>CU</v>
      </c>
      <c r="F443" s="7">
        <f>IF(Data!F443=Entry2!F443,Data!F443,"ERROR")</f>
        <v>1</v>
      </c>
      <c r="G443" s="7" t="str">
        <f>IF(Data!G443=Entry2!G443,Data!G443,"ERROR")</f>
        <v>SS</v>
      </c>
      <c r="H443" s="7">
        <f>IF(Data!H443=Entry2!H443,Data!H443,"ERROR")</f>
        <v>3</v>
      </c>
      <c r="I443" s="7">
        <f>IF(Data!I443=Entry2!I443,Data!I443,"ERROR")</f>
        <v>1</v>
      </c>
      <c r="J443" s="7">
        <f>IF(Data!J443=Entry2!J443,Data!J443,"ERROR")</f>
        <v>1.5</v>
      </c>
      <c r="K443" s="7" t="str">
        <f>IF(Data!K443=Entry2!K443,Data!K443,"ERROR")</f>
        <v>B</v>
      </c>
      <c r="L443" s="7" t="str">
        <f>IF(Data!L443=Entry2!L443,Data!L443,"ERROR")</f>
        <v>ERROR</v>
      </c>
      <c r="M443" s="7">
        <f>IF(Data!N443=Entry2!M443,Data!N443,"ERROR")</f>
        <v>0</v>
      </c>
    </row>
    <row r="444" spans="1:13" ht="13.2" hidden="1" x14ac:dyDescent="0.25">
      <c r="A444" s="7">
        <f>IF(Data!A444=Entry2!A444,Data!A444,"ERROR")</f>
        <v>9</v>
      </c>
      <c r="B444" s="7">
        <f>IF(Data!B444=Entry2!B444,Data!B444,"ERROR")</f>
        <v>2023</v>
      </c>
      <c r="C444" s="17">
        <f>IF(Data!C444=Entry2!C444,Data!C444,"ERROR")</f>
        <v>45197</v>
      </c>
      <c r="D444" s="7" t="str">
        <f>IF(Data!D444=Entry2!D444,Data!D444,"ERROR")</f>
        <v>MP, TL, MG</v>
      </c>
      <c r="E444" s="7" t="str">
        <f>IF(Data!E444=Entry2!E444,Data!E444,"ERROR")</f>
        <v>CU</v>
      </c>
      <c r="F444" s="7">
        <f>IF(Data!F444=Entry2!F444,Data!F444,"ERROR")</f>
        <v>1</v>
      </c>
      <c r="G444" s="7" t="str">
        <f>IF(Data!G444=Entry2!G444,Data!G444,"ERROR")</f>
        <v>SS</v>
      </c>
      <c r="H444" s="7">
        <f>IF(Data!H444=Entry2!H444,Data!H444,"ERROR")</f>
        <v>4</v>
      </c>
      <c r="I444" s="7">
        <f>IF(Data!I444=Entry2!I444,Data!I444,"ERROR")</f>
        <v>1</v>
      </c>
      <c r="J444" s="7">
        <f>IF(Data!J444=Entry2!J444,Data!J444,"ERROR")</f>
        <v>2</v>
      </c>
      <c r="K444" s="7" t="str">
        <f>IF(Data!K444=Entry2!K444,Data!K444,"ERROR")</f>
        <v>L</v>
      </c>
      <c r="L444" s="7" t="str">
        <f>IF(Data!L444=Entry2!L444,Data!L444,"ERROR")</f>
        <v>ERROR</v>
      </c>
      <c r="M444" s="7">
        <f>IF(Data!N444=Entry2!M444,Data!N444,"ERROR")</f>
        <v>0</v>
      </c>
    </row>
    <row r="445" spans="1:13" ht="13.2" hidden="1" x14ac:dyDescent="0.25">
      <c r="A445" s="7">
        <f>IF(Data!A445=Entry2!A445,Data!A445,"ERROR")</f>
        <v>9</v>
      </c>
      <c r="B445" s="7">
        <f>IF(Data!B445=Entry2!B445,Data!B445,"ERROR")</f>
        <v>2023</v>
      </c>
      <c r="C445" s="17">
        <f>IF(Data!C445=Entry2!C445,Data!C445,"ERROR")</f>
        <v>45197</v>
      </c>
      <c r="D445" s="7" t="str">
        <f>IF(Data!D445=Entry2!D445,Data!D445,"ERROR")</f>
        <v>MP, TL, MG</v>
      </c>
      <c r="E445" s="7" t="str">
        <f>IF(Data!E445=Entry2!E445,Data!E445,"ERROR")</f>
        <v>CU</v>
      </c>
      <c r="F445" s="7">
        <f>IF(Data!F445=Entry2!F445,Data!F445,"ERROR")</f>
        <v>1</v>
      </c>
      <c r="G445" s="7" t="str">
        <f>IF(Data!G445=Entry2!G445,Data!G445,"ERROR")</f>
        <v>SS</v>
      </c>
      <c r="H445" s="7">
        <f>IF(Data!H445=Entry2!H445,Data!H445,"ERROR")</f>
        <v>4</v>
      </c>
      <c r="I445" s="7">
        <f>IF(Data!I445=Entry2!I445,Data!I445,"ERROR")</f>
        <v>1</v>
      </c>
      <c r="J445" s="7">
        <f>IF(Data!J445=Entry2!J445,Data!J445,"ERROR")</f>
        <v>2</v>
      </c>
      <c r="K445" s="7" t="str">
        <f>IF(Data!K445=Entry2!K445,Data!K445,"ERROR")</f>
        <v>BRANIG</v>
      </c>
      <c r="L445" s="7" t="str">
        <f>IF(Data!L445=Entry2!L445,Data!L445,"ERROR")</f>
        <v>ERROR</v>
      </c>
      <c r="M445" s="7">
        <f>IF(Data!N445=Entry2!M445,Data!N445,"ERROR")</f>
        <v>0</v>
      </c>
    </row>
    <row r="446" spans="1:13" ht="13.2" hidden="1" x14ac:dyDescent="0.25">
      <c r="A446" s="7">
        <f>IF(Data!A446=Entry2!A446,Data!A446,"ERROR")</f>
        <v>9</v>
      </c>
      <c r="B446" s="7">
        <f>IF(Data!B446=Entry2!B446,Data!B446,"ERROR")</f>
        <v>2023</v>
      </c>
      <c r="C446" s="17">
        <f>IF(Data!C446=Entry2!C446,Data!C446,"ERROR")</f>
        <v>45197</v>
      </c>
      <c r="D446" s="7" t="str">
        <f>IF(Data!D446=Entry2!D446,Data!D446,"ERROR")</f>
        <v>MP, TL, MG</v>
      </c>
      <c r="E446" s="7" t="str">
        <f>IF(Data!E446=Entry2!E446,Data!E446,"ERROR")</f>
        <v>CU</v>
      </c>
      <c r="F446" s="7">
        <f>IF(Data!F446=Entry2!F446,Data!F446,"ERROR")</f>
        <v>1</v>
      </c>
      <c r="G446" s="7" t="str">
        <f>IF(Data!G446=Entry2!G446,Data!G446,"ERROR")</f>
        <v>SS</v>
      </c>
      <c r="H446" s="7">
        <f>IF(Data!H446=Entry2!H446,Data!H446,"ERROR")</f>
        <v>5</v>
      </c>
      <c r="I446" s="7">
        <f>IF(Data!I446=Entry2!I446,Data!I446,"ERROR")</f>
        <v>1</v>
      </c>
      <c r="J446" s="7">
        <f>IF(Data!J446=Entry2!J446,Data!J446,"ERROR")</f>
        <v>3</v>
      </c>
      <c r="K446" s="7" t="str">
        <f>IF(Data!K446=Entry2!K446,Data!K446,"ERROR")</f>
        <v>L</v>
      </c>
      <c r="L446" s="7" t="str">
        <f>IF(Data!L446=Entry2!L446,Data!L446,"ERROR")</f>
        <v>ERROR</v>
      </c>
      <c r="M446" s="7">
        <f>IF(Data!N446=Entry2!M446,Data!N446,"ERROR")</f>
        <v>0</v>
      </c>
    </row>
    <row r="447" spans="1:13" ht="13.2" hidden="1" x14ac:dyDescent="0.25">
      <c r="A447" s="7">
        <f>IF(Data!A447=Entry2!A447,Data!A447,"ERROR")</f>
        <v>9</v>
      </c>
      <c r="B447" s="7">
        <f>IF(Data!B447=Entry2!B447,Data!B447,"ERROR")</f>
        <v>2023</v>
      </c>
      <c r="C447" s="17">
        <f>IF(Data!C447=Entry2!C447,Data!C447,"ERROR")</f>
        <v>45197</v>
      </c>
      <c r="D447" s="7" t="str">
        <f>IF(Data!D447=Entry2!D447,Data!D447,"ERROR")</f>
        <v>MP, TL, MG</v>
      </c>
      <c r="E447" s="7" t="str">
        <f>IF(Data!E447=Entry2!E447,Data!E447,"ERROR")</f>
        <v>CU</v>
      </c>
      <c r="F447" s="7">
        <f>IF(Data!F447=Entry2!F447,Data!F447,"ERROR")</f>
        <v>1</v>
      </c>
      <c r="G447" s="7" t="str">
        <f>IF(Data!G447=Entry2!G447,Data!G447,"ERROR")</f>
        <v>SS</v>
      </c>
      <c r="H447" s="7">
        <f>IF(Data!H447=Entry2!H447,Data!H447,"ERROR")</f>
        <v>6</v>
      </c>
      <c r="I447" s="7">
        <f>IF(Data!I447=Entry2!I447,Data!I447,"ERROR")</f>
        <v>1</v>
      </c>
      <c r="J447" s="7">
        <f>IF(Data!J447=Entry2!J447,Data!J447,"ERROR")</f>
        <v>3.5</v>
      </c>
      <c r="K447" s="7" t="str">
        <f>IF(Data!K447=Entry2!K447,Data!K447,"ERROR")</f>
        <v>L</v>
      </c>
      <c r="L447" s="7" t="str">
        <f>IF(Data!L447=Entry2!L447,Data!L447,"ERROR")</f>
        <v>ERROR</v>
      </c>
      <c r="M447" s="7">
        <f>IF(Data!N447=Entry2!M447,Data!N447,"ERROR")</f>
        <v>0</v>
      </c>
    </row>
    <row r="448" spans="1:13" ht="13.2" hidden="1" x14ac:dyDescent="0.25">
      <c r="A448" s="7">
        <f>IF(Data!A448=Entry2!A448,Data!A448,"ERROR")</f>
        <v>9</v>
      </c>
      <c r="B448" s="7">
        <f>IF(Data!B448=Entry2!B448,Data!B448,"ERROR")</f>
        <v>2023</v>
      </c>
      <c r="C448" s="17">
        <f>IF(Data!C448=Entry2!C448,Data!C448,"ERROR")</f>
        <v>45197</v>
      </c>
      <c r="D448" s="7" t="str">
        <f>IF(Data!D448=Entry2!D448,Data!D448,"ERROR")</f>
        <v>MP, TL, MG</v>
      </c>
      <c r="E448" s="7" t="str">
        <f>IF(Data!E448=Entry2!E448,Data!E448,"ERROR")</f>
        <v>CU</v>
      </c>
      <c r="F448" s="7">
        <f>IF(Data!F448=Entry2!F448,Data!F448,"ERROR")</f>
        <v>1</v>
      </c>
      <c r="G448" s="7" t="str">
        <f>IF(Data!G448=Entry2!G448,Data!G448,"ERROR")</f>
        <v>SS</v>
      </c>
      <c r="H448" s="7">
        <f>IF(Data!H448=Entry2!H448,Data!H448,"ERROR")</f>
        <v>7</v>
      </c>
      <c r="I448" s="7">
        <f>IF(Data!I448=Entry2!I448,Data!I448,"ERROR")</f>
        <v>1</v>
      </c>
      <c r="J448" s="7">
        <f>IF(Data!J448=Entry2!J448,Data!J448,"ERROR")</f>
        <v>4</v>
      </c>
      <c r="K448" s="7" t="str">
        <f>IF(Data!K448=Entry2!K448,Data!K448,"ERROR")</f>
        <v>L</v>
      </c>
      <c r="L448" s="7" t="str">
        <f>IF(Data!L448=Entry2!L448,Data!L448,"ERROR")</f>
        <v>ERROR</v>
      </c>
      <c r="M448" s="7">
        <f>IF(Data!N448=Entry2!M448,Data!N448,"ERROR")</f>
        <v>0</v>
      </c>
    </row>
    <row r="449" spans="1:13" ht="13.2" hidden="1" x14ac:dyDescent="0.25">
      <c r="A449" s="7">
        <f>IF(Data!A449=Entry2!A449,Data!A449,"ERROR")</f>
        <v>9</v>
      </c>
      <c r="B449" s="7">
        <f>IF(Data!B449=Entry2!B449,Data!B449,"ERROR")</f>
        <v>2023</v>
      </c>
      <c r="C449" s="17">
        <f>IF(Data!C449=Entry2!C449,Data!C449,"ERROR")</f>
        <v>45197</v>
      </c>
      <c r="D449" s="7" t="str">
        <f>IF(Data!D449=Entry2!D449,Data!D449,"ERROR")</f>
        <v>MP, TL, MG</v>
      </c>
      <c r="E449" s="7" t="str">
        <f>IF(Data!E449=Entry2!E449,Data!E449,"ERROR")</f>
        <v>CU</v>
      </c>
      <c r="F449" s="7">
        <f>IF(Data!F449=Entry2!F449,Data!F449,"ERROR")</f>
        <v>1</v>
      </c>
      <c r="G449" s="7" t="str">
        <f>IF(Data!G449=Entry2!G449,Data!G449,"ERROR")</f>
        <v>SS</v>
      </c>
      <c r="H449" s="7">
        <f>IF(Data!H449=Entry2!H449,Data!H449,"ERROR")</f>
        <v>8</v>
      </c>
      <c r="I449" s="7">
        <f>IF(Data!I449=Entry2!I449,Data!I449,"ERROR")</f>
        <v>1</v>
      </c>
      <c r="J449" s="7">
        <f>IF(Data!J449=Entry2!J449,Data!J449,"ERROR")</f>
        <v>5</v>
      </c>
      <c r="K449" s="7" t="str">
        <f>IF(Data!K449=Entry2!K449,Data!K449,"ERROR")</f>
        <v>L</v>
      </c>
      <c r="L449" s="7" t="str">
        <f>IF(Data!L449=Entry2!L449,Data!L449,"ERROR")</f>
        <v>ERROR</v>
      </c>
      <c r="M449" s="7">
        <f>IF(Data!N449=Entry2!M449,Data!N449,"ERROR")</f>
        <v>0</v>
      </c>
    </row>
    <row r="450" spans="1:13" ht="13.2" hidden="1" x14ac:dyDescent="0.25">
      <c r="A450" s="7">
        <f>IF(Data!A450=Entry2!A450,Data!A450,"ERROR")</f>
        <v>9</v>
      </c>
      <c r="B450" s="7">
        <f>IF(Data!B450=Entry2!B450,Data!B450,"ERROR")</f>
        <v>2023</v>
      </c>
      <c r="C450" s="17">
        <f>IF(Data!C450=Entry2!C450,Data!C450,"ERROR")</f>
        <v>45197</v>
      </c>
      <c r="D450" s="7" t="str">
        <f>IF(Data!D450=Entry2!D450,Data!D450,"ERROR")</f>
        <v>MP, TL, MG</v>
      </c>
      <c r="E450" s="7" t="str">
        <f>IF(Data!E450=Entry2!E450,Data!E450,"ERROR")</f>
        <v>CU</v>
      </c>
      <c r="F450" s="7">
        <f>IF(Data!F450=Entry2!F450,Data!F450,"ERROR")</f>
        <v>1</v>
      </c>
      <c r="G450" s="7" t="str">
        <f>IF(Data!G450=Entry2!G450,Data!G450,"ERROR")</f>
        <v>SS</v>
      </c>
      <c r="H450" s="7">
        <f>IF(Data!H450=Entry2!H450,Data!H450,"ERROR")</f>
        <v>9</v>
      </c>
      <c r="I450" s="7">
        <f>IF(Data!I450=Entry2!I450,Data!I450,"ERROR")</f>
        <v>1</v>
      </c>
      <c r="J450" s="7">
        <f>IF(Data!J450=Entry2!J450,Data!J450,"ERROR")</f>
        <v>7</v>
      </c>
      <c r="K450" s="7" t="str">
        <f>IF(Data!K450=Entry2!K450,Data!K450,"ERROR")</f>
        <v>B</v>
      </c>
      <c r="L450" s="7" t="str">
        <f>IF(Data!L450=Entry2!L450,Data!L450,"ERROR")</f>
        <v>ERROR</v>
      </c>
      <c r="M450" s="7">
        <f>IF(Data!N450=Entry2!M450,Data!N450,"ERROR")</f>
        <v>0</v>
      </c>
    </row>
    <row r="451" spans="1:13" ht="13.2" hidden="1" x14ac:dyDescent="0.25">
      <c r="A451" s="7">
        <f>IF(Data!A451=Entry2!A451,Data!A451,"ERROR")</f>
        <v>9</v>
      </c>
      <c r="B451" s="7">
        <f>IF(Data!B451=Entry2!B451,Data!B451,"ERROR")</f>
        <v>2023</v>
      </c>
      <c r="C451" s="17">
        <f>IF(Data!C451=Entry2!C451,Data!C451,"ERROR")</f>
        <v>45197</v>
      </c>
      <c r="D451" s="7" t="str">
        <f>IF(Data!D451=Entry2!D451,Data!D451,"ERROR")</f>
        <v>MP, TL, MG</v>
      </c>
      <c r="E451" s="7" t="str">
        <f>IF(Data!E451=Entry2!E451,Data!E451,"ERROR")</f>
        <v>CU</v>
      </c>
      <c r="F451" s="7">
        <f>IF(Data!F451=Entry2!F451,Data!F451,"ERROR")</f>
        <v>1</v>
      </c>
      <c r="G451" s="7" t="str">
        <f>IF(Data!G451=Entry2!G451,Data!G451,"ERROR")</f>
        <v>SS</v>
      </c>
      <c r="H451" s="7">
        <f>IF(Data!H451=Entry2!H451,Data!H451,"ERROR")</f>
        <v>10</v>
      </c>
      <c r="I451" s="7">
        <f>IF(Data!I451=Entry2!I451,Data!I451,"ERROR")</f>
        <v>1</v>
      </c>
      <c r="J451" s="7">
        <f>IF(Data!J451=Entry2!J451,Data!J451,"ERROR")</f>
        <v>8</v>
      </c>
      <c r="K451" s="7" t="str">
        <f>IF(Data!K451=Entry2!K451,Data!K451,"ERROR")</f>
        <v>B</v>
      </c>
      <c r="L451" s="7" t="str">
        <f>IF(Data!L451=Entry2!L451,Data!L451,"ERROR")</f>
        <v>ERROR</v>
      </c>
      <c r="M451" s="7">
        <f>IF(Data!N451=Entry2!M451,Data!N451,"ERROR")</f>
        <v>0</v>
      </c>
    </row>
    <row r="452" spans="1:13" ht="13.2" hidden="1" x14ac:dyDescent="0.25">
      <c r="A452" s="7">
        <f>IF(Data!A452=Entry2!A452,Data!A452,"ERROR")</f>
        <v>9</v>
      </c>
      <c r="B452" s="7">
        <f>IF(Data!B452=Entry2!B452,Data!B452,"ERROR")</f>
        <v>2023</v>
      </c>
      <c r="C452" s="17">
        <f>IF(Data!C452=Entry2!C452,Data!C452,"ERROR")</f>
        <v>45197</v>
      </c>
      <c r="D452" s="7" t="str">
        <f>IF(Data!D452=Entry2!D452,Data!D452,"ERROR")</f>
        <v>MP, TL, MG</v>
      </c>
      <c r="E452" s="7" t="str">
        <f>IF(Data!E452=Entry2!E452,Data!E452,"ERROR")</f>
        <v>CU</v>
      </c>
      <c r="F452" s="7">
        <f>IF(Data!F452=Entry2!F452,Data!F452,"ERROR")</f>
        <v>1</v>
      </c>
      <c r="G452" s="7" t="str">
        <f>IF(Data!G452=Entry2!G452,Data!G452,"ERROR")</f>
        <v>SS</v>
      </c>
      <c r="H452" s="7">
        <f>IF(Data!H452=Entry2!H452,Data!H452,"ERROR")</f>
        <v>11</v>
      </c>
      <c r="I452" s="7">
        <f>IF(Data!I452=Entry2!I452,Data!I452,"ERROR")</f>
        <v>1</v>
      </c>
      <c r="J452" s="7">
        <f>IF(Data!J452=Entry2!J452,Data!J452,"ERROR")</f>
        <v>8.5</v>
      </c>
      <c r="K452" s="7" t="str">
        <f>IF(Data!K452=Entry2!K452,Data!K452,"ERROR")</f>
        <v>L</v>
      </c>
      <c r="L452" s="7" t="str">
        <f>IF(Data!L452=Entry2!L452,Data!L452,"ERROR")</f>
        <v>ERROR</v>
      </c>
      <c r="M452" s="7">
        <f>IF(Data!N452=Entry2!M452,Data!N452,"ERROR")</f>
        <v>0</v>
      </c>
    </row>
    <row r="453" spans="1:13" ht="13.2" hidden="1" x14ac:dyDescent="0.25">
      <c r="A453" s="7">
        <f>IF(Data!A453=Entry2!A453,Data!A453,"ERROR")</f>
        <v>9</v>
      </c>
      <c r="B453" s="7">
        <f>IF(Data!B453=Entry2!B453,Data!B453,"ERROR")</f>
        <v>2023</v>
      </c>
      <c r="C453" s="17">
        <f>IF(Data!C453=Entry2!C453,Data!C453,"ERROR")</f>
        <v>45197</v>
      </c>
      <c r="D453" s="7" t="str">
        <f>IF(Data!D453=Entry2!D453,Data!D453,"ERROR")</f>
        <v>MP, TL, MG</v>
      </c>
      <c r="E453" s="7" t="str">
        <f>IF(Data!E453=Entry2!E453,Data!E453,"ERROR")</f>
        <v>CU</v>
      </c>
      <c r="F453" s="7">
        <f>IF(Data!F453=Entry2!F453,Data!F453,"ERROR")</f>
        <v>1</v>
      </c>
      <c r="G453" s="7" t="str">
        <f>IF(Data!G453=Entry2!G453,Data!G453,"ERROR")</f>
        <v>SS</v>
      </c>
      <c r="H453" s="7">
        <f>IF(Data!H453=Entry2!H453,Data!H453,"ERROR")</f>
        <v>12</v>
      </c>
      <c r="I453" s="7">
        <f>IF(Data!I453=Entry2!I453,Data!I453,"ERROR")</f>
        <v>1</v>
      </c>
      <c r="J453" s="7">
        <f>IF(Data!J453=Entry2!J453,Data!J453,"ERROR")</f>
        <v>9</v>
      </c>
      <c r="K453" s="7" t="str">
        <f>IF(Data!K453=Entry2!K453,Data!K453,"ERROR")</f>
        <v>B</v>
      </c>
      <c r="L453" s="7" t="str">
        <f>IF(Data!L453=Entry2!L453,Data!L453,"ERROR")</f>
        <v>ERROR</v>
      </c>
      <c r="M453" s="7">
        <f>IF(Data!N453=Entry2!M453,Data!N453,"ERROR")</f>
        <v>0</v>
      </c>
    </row>
    <row r="454" spans="1:13" ht="13.2" hidden="1" x14ac:dyDescent="0.25">
      <c r="A454" s="7">
        <f>IF(Data!A454=Entry2!A454,Data!A454,"ERROR")</f>
        <v>9</v>
      </c>
      <c r="B454" s="7">
        <f>IF(Data!B454=Entry2!B454,Data!B454,"ERROR")</f>
        <v>2023</v>
      </c>
      <c r="C454" s="17">
        <f>IF(Data!C454=Entry2!C454,Data!C454,"ERROR")</f>
        <v>45197</v>
      </c>
      <c r="D454" s="7" t="str">
        <f>IF(Data!D454=Entry2!D454,Data!D454,"ERROR")</f>
        <v>MP, TL, MG</v>
      </c>
      <c r="E454" s="7" t="str">
        <f>IF(Data!E454=Entry2!E454,Data!E454,"ERROR")</f>
        <v>CU</v>
      </c>
      <c r="F454" s="7">
        <f>IF(Data!F454=Entry2!F454,Data!F454,"ERROR")</f>
        <v>1</v>
      </c>
      <c r="G454" s="7" t="str">
        <f>IF(Data!G454=Entry2!G454,Data!G454,"ERROR")</f>
        <v>SS</v>
      </c>
      <c r="H454" s="7">
        <f>IF(Data!H454=Entry2!H454,Data!H454,"ERROR")</f>
        <v>13</v>
      </c>
      <c r="I454" s="7">
        <f>IF(Data!I454=Entry2!I454,Data!I454,"ERROR")</f>
        <v>1</v>
      </c>
      <c r="J454" s="7">
        <f>IF(Data!J454=Entry2!J454,Data!J454,"ERROR")</f>
        <v>10</v>
      </c>
      <c r="K454" s="7" t="str">
        <f>IF(Data!K454=Entry2!K454,Data!K454,"ERROR")</f>
        <v>L</v>
      </c>
      <c r="L454" s="7" t="str">
        <f>IF(Data!L454=Entry2!L454,Data!L454,"ERROR")</f>
        <v>ERROR</v>
      </c>
      <c r="M454" s="7">
        <f>IF(Data!N454=Entry2!M454,Data!N454,"ERROR")</f>
        <v>0</v>
      </c>
    </row>
    <row r="455" spans="1:13" ht="13.2" hidden="1" x14ac:dyDescent="0.25">
      <c r="A455" s="7">
        <f>IF(Data!A455=Entry2!A455,Data!A455,"ERROR")</f>
        <v>9</v>
      </c>
      <c r="B455" s="7">
        <f>IF(Data!B455=Entry2!B455,Data!B455,"ERROR")</f>
        <v>2023</v>
      </c>
      <c r="C455" s="17">
        <f>IF(Data!C455=Entry2!C455,Data!C455,"ERROR")</f>
        <v>45197</v>
      </c>
      <c r="D455" s="7" t="str">
        <f>IF(Data!D455=Entry2!D455,Data!D455,"ERROR")</f>
        <v>MP, TL, MG</v>
      </c>
      <c r="E455" s="7" t="str">
        <f>IF(Data!E455=Entry2!E455,Data!E455,"ERROR")</f>
        <v>CU</v>
      </c>
      <c r="F455" s="7">
        <f>IF(Data!F455=Entry2!F455,Data!F455,"ERROR")</f>
        <v>1</v>
      </c>
      <c r="G455" s="7" t="str">
        <f>IF(Data!G455=Entry2!G455,Data!G455,"ERROR")</f>
        <v>SS</v>
      </c>
      <c r="H455" s="7">
        <f>IF(Data!H455=Entry2!H455,Data!H455,"ERROR")</f>
        <v>14</v>
      </c>
      <c r="I455" s="7">
        <f>IF(Data!I455=Entry2!I455,Data!I455,"ERROR")</f>
        <v>1</v>
      </c>
      <c r="J455" s="7">
        <f>IF(Data!J455=Entry2!J455,Data!J455,"ERROR")</f>
        <v>11</v>
      </c>
      <c r="K455" s="7" t="str">
        <f>IF(Data!K455=Entry2!K455,Data!K455,"ERROR")</f>
        <v>L</v>
      </c>
      <c r="L455" s="7" t="str">
        <f>IF(Data!L455=Entry2!L455,Data!L455,"ERROR")</f>
        <v>ERROR</v>
      </c>
      <c r="M455" s="7">
        <f>IF(Data!N455=Entry2!M455,Data!N455,"ERROR")</f>
        <v>0</v>
      </c>
    </row>
    <row r="456" spans="1:13" ht="13.2" hidden="1" x14ac:dyDescent="0.25">
      <c r="A456" s="7">
        <f>IF(Data!A456=Entry2!A456,Data!A456,"ERROR")</f>
        <v>9</v>
      </c>
      <c r="B456" s="7">
        <f>IF(Data!B456=Entry2!B456,Data!B456,"ERROR")</f>
        <v>2023</v>
      </c>
      <c r="C456" s="17">
        <f>IF(Data!C456=Entry2!C456,Data!C456,"ERROR")</f>
        <v>45197</v>
      </c>
      <c r="D456" s="7" t="str">
        <f>IF(Data!D456=Entry2!D456,Data!D456,"ERROR")</f>
        <v>MP, TL, MG</v>
      </c>
      <c r="E456" s="7" t="str">
        <f>IF(Data!E456=Entry2!E456,Data!E456,"ERROR")</f>
        <v>CU</v>
      </c>
      <c r="F456" s="7">
        <f>IF(Data!F456=Entry2!F456,Data!F456,"ERROR")</f>
        <v>1</v>
      </c>
      <c r="G456" s="7" t="str">
        <f>IF(Data!G456=Entry2!G456,Data!G456,"ERROR")</f>
        <v>SS</v>
      </c>
      <c r="H456" s="7">
        <f>IF(Data!H456=Entry2!H456,Data!H456,"ERROR")</f>
        <v>15</v>
      </c>
      <c r="I456" s="7">
        <f>IF(Data!I456=Entry2!I456,Data!I456,"ERROR")</f>
        <v>1</v>
      </c>
      <c r="J456" s="7">
        <f>IF(Data!J456=Entry2!J456,Data!J456,"ERROR")</f>
        <v>12</v>
      </c>
      <c r="K456" s="7" t="str">
        <f>IF(Data!K456=Entry2!K456,Data!K456,"ERROR")</f>
        <v>L</v>
      </c>
      <c r="L456" s="7" t="str">
        <f>IF(Data!L456=Entry2!L456,Data!L456,"ERROR")</f>
        <v>ERROR</v>
      </c>
      <c r="M456" s="7">
        <f>IF(Data!N456=Entry2!M456,Data!N456,"ERROR")</f>
        <v>0</v>
      </c>
    </row>
    <row r="457" spans="1:13" ht="13.2" hidden="1" x14ac:dyDescent="0.25">
      <c r="A457" s="7">
        <f>IF(Data!A457=Entry2!A457,Data!A457,"ERROR")</f>
        <v>9</v>
      </c>
      <c r="B457" s="7">
        <f>IF(Data!B457=Entry2!B457,Data!B457,"ERROR")</f>
        <v>2023</v>
      </c>
      <c r="C457" s="17">
        <f>IF(Data!C457=Entry2!C457,Data!C457,"ERROR")</f>
        <v>45197</v>
      </c>
      <c r="D457" s="7" t="str">
        <f>IF(Data!D457=Entry2!D457,Data!D457,"ERROR")</f>
        <v>MP, TL, MG</v>
      </c>
      <c r="E457" s="7" t="str">
        <f>IF(Data!E457=Entry2!E457,Data!E457,"ERROR")</f>
        <v>CU</v>
      </c>
      <c r="F457" s="7">
        <f>IF(Data!F457=Entry2!F457,Data!F457,"ERROR")</f>
        <v>1</v>
      </c>
      <c r="G457" s="7" t="str">
        <f>IF(Data!G457=Entry2!G457,Data!G457,"ERROR")</f>
        <v>SS</v>
      </c>
      <c r="H457" s="7">
        <f>IF(Data!H457=Entry2!H457,Data!H457,"ERROR")</f>
        <v>15</v>
      </c>
      <c r="I457" s="7">
        <f>IF(Data!I457=Entry2!I457,Data!I457,"ERROR")</f>
        <v>1</v>
      </c>
      <c r="J457" s="7">
        <f>IF(Data!J457=Entry2!J457,Data!J457,"ERROR")</f>
        <v>12</v>
      </c>
      <c r="K457" s="7" t="str">
        <f>IF(Data!K457=Entry2!K457,Data!K457,"ERROR")</f>
        <v>OPULIT</v>
      </c>
      <c r="L457" s="7" t="str">
        <f>IF(Data!L457=Entry2!L457,Data!L457,"ERROR")</f>
        <v>ERROR</v>
      </c>
      <c r="M457" s="7">
        <f>IF(Data!N457=Entry2!M457,Data!N457,"ERROR")</f>
        <v>0</v>
      </c>
    </row>
    <row r="458" spans="1:13" ht="13.2" hidden="1" x14ac:dyDescent="0.25">
      <c r="A458" s="7">
        <f>IF(Data!A458=Entry2!A458,Data!A458,"ERROR")</f>
        <v>9</v>
      </c>
      <c r="B458" s="7">
        <f>IF(Data!B458=Entry2!B458,Data!B458,"ERROR")</f>
        <v>2023</v>
      </c>
      <c r="C458" s="17">
        <f>IF(Data!C458=Entry2!C458,Data!C458,"ERROR")</f>
        <v>45197</v>
      </c>
      <c r="D458" s="7" t="str">
        <f>IF(Data!D458=Entry2!D458,Data!D458,"ERROR")</f>
        <v>MP, TL, MG</v>
      </c>
      <c r="E458" s="7" t="str">
        <f>IF(Data!E458=Entry2!E458,Data!E458,"ERROR")</f>
        <v>CU</v>
      </c>
      <c r="F458" s="7">
        <f>IF(Data!F458=Entry2!F458,Data!F458,"ERROR")</f>
        <v>1</v>
      </c>
      <c r="G458" s="7" t="str">
        <f>IF(Data!G458=Entry2!G458,Data!G458,"ERROR")</f>
        <v>SS</v>
      </c>
      <c r="H458" s="7">
        <f>IF(Data!H458=Entry2!H458,Data!H458,"ERROR")</f>
        <v>15</v>
      </c>
      <c r="I458" s="7">
        <f>IF(Data!I458=Entry2!I458,Data!I458,"ERROR")</f>
        <v>1</v>
      </c>
      <c r="J458" s="7">
        <f>IF(Data!J458=Entry2!J458,Data!J458,"ERROR")</f>
        <v>12</v>
      </c>
      <c r="K458" s="7" t="str">
        <f>IF(Data!K458=Entry2!K458,Data!K458,"ERROR")</f>
        <v>CONARV</v>
      </c>
      <c r="L458" s="7" t="str">
        <f>IF(Data!L458=Entry2!L458,Data!L458,"ERROR")</f>
        <v>ERROR</v>
      </c>
      <c r="M458" s="7" t="str">
        <f>IF(Data!N458=Entry2!M458,Data!N458,"ERROR")</f>
        <v>ERROR</v>
      </c>
    </row>
    <row r="459" spans="1:13" ht="13.2" hidden="1" x14ac:dyDescent="0.25">
      <c r="A459" s="7">
        <f>IF(Data!A459=Entry2!A459,Data!A459,"ERROR")</f>
        <v>9</v>
      </c>
      <c r="B459" s="7">
        <f>IF(Data!B459=Entry2!B459,Data!B459,"ERROR")</f>
        <v>2023</v>
      </c>
      <c r="C459" s="17">
        <f>IF(Data!C459=Entry2!C459,Data!C459,"ERROR")</f>
        <v>45197</v>
      </c>
      <c r="D459" s="7" t="str">
        <f>IF(Data!D459=Entry2!D459,Data!D459,"ERROR")</f>
        <v>MP, TL, MG</v>
      </c>
      <c r="E459" s="7" t="str">
        <f>IF(Data!E459=Entry2!E459,Data!E459,"ERROR")</f>
        <v>CU</v>
      </c>
      <c r="F459" s="7">
        <f>IF(Data!F459=Entry2!F459,Data!F459,"ERROR")</f>
        <v>1</v>
      </c>
      <c r="G459" s="7" t="str">
        <f>IF(Data!G459=Entry2!G459,Data!G459,"ERROR")</f>
        <v>SS</v>
      </c>
      <c r="H459" s="7">
        <f>IF(Data!H459=Entry2!H459,Data!H459,"ERROR")</f>
        <v>1</v>
      </c>
      <c r="I459" s="7">
        <f>IF(Data!I459=Entry2!I459,Data!I459,"ERROR")</f>
        <v>2</v>
      </c>
      <c r="J459" s="7">
        <f>IF(Data!J459=Entry2!J459,Data!J459,"ERROR")</f>
        <v>0</v>
      </c>
      <c r="K459" s="7" t="str">
        <f>IF(Data!K459=Entry2!K459,Data!K459,"ERROR")</f>
        <v>L</v>
      </c>
      <c r="L459" s="7" t="str">
        <f>IF(Data!L459=Entry2!L459,Data!L459,"ERROR")</f>
        <v>ERROR</v>
      </c>
      <c r="M459" s="7">
        <f>IF(Data!N459=Entry2!M459,Data!N459,"ERROR")</f>
        <v>0</v>
      </c>
    </row>
    <row r="460" spans="1:13" ht="13.2" hidden="1" x14ac:dyDescent="0.25">
      <c r="A460" s="7">
        <f>IF(Data!A460=Entry2!A460,Data!A460,"ERROR")</f>
        <v>9</v>
      </c>
      <c r="B460" s="7">
        <f>IF(Data!B460=Entry2!B460,Data!B460,"ERROR")</f>
        <v>2023</v>
      </c>
      <c r="C460" s="17">
        <f>IF(Data!C460=Entry2!C460,Data!C460,"ERROR")</f>
        <v>45197</v>
      </c>
      <c r="D460" s="7" t="str">
        <f>IF(Data!D460=Entry2!D460,Data!D460,"ERROR")</f>
        <v>MP, TL, MG</v>
      </c>
      <c r="E460" s="7" t="str">
        <f>IF(Data!E460=Entry2!E460,Data!E460,"ERROR")</f>
        <v>CU</v>
      </c>
      <c r="F460" s="7">
        <f>IF(Data!F460=Entry2!F460,Data!F460,"ERROR")</f>
        <v>1</v>
      </c>
      <c r="G460" s="7" t="str">
        <f>IF(Data!G460=Entry2!G460,Data!G460,"ERROR")</f>
        <v>SS</v>
      </c>
      <c r="H460" s="7">
        <f>IF(Data!H460=Entry2!H460,Data!H460,"ERROR")</f>
        <v>1</v>
      </c>
      <c r="I460" s="7">
        <f>IF(Data!I460=Entry2!I460,Data!I460,"ERROR")</f>
        <v>2</v>
      </c>
      <c r="J460" s="7">
        <f>IF(Data!J460=Entry2!J460,Data!J460,"ERROR")</f>
        <v>0</v>
      </c>
      <c r="K460" s="7" t="str">
        <f>IF(Data!K460=Entry2!K460,Data!K460,"ERROR")</f>
        <v>OPULIT</v>
      </c>
      <c r="L460" s="7" t="str">
        <f>IF(Data!L460=Entry2!L460,Data!L460,"ERROR")</f>
        <v>ERROR</v>
      </c>
      <c r="M460" s="7">
        <f>IF(Data!N460=Entry2!M460,Data!N460,"ERROR")</f>
        <v>0</v>
      </c>
    </row>
    <row r="461" spans="1:13" ht="13.2" hidden="1" x14ac:dyDescent="0.25">
      <c r="A461" s="7">
        <f>IF(Data!A461=Entry2!A461,Data!A461,"ERROR")</f>
        <v>9</v>
      </c>
      <c r="B461" s="7">
        <f>IF(Data!B461=Entry2!B461,Data!B461,"ERROR")</f>
        <v>2023</v>
      </c>
      <c r="C461" s="17">
        <f>IF(Data!C461=Entry2!C461,Data!C461,"ERROR")</f>
        <v>45197</v>
      </c>
      <c r="D461" s="7" t="str">
        <f>IF(Data!D461=Entry2!D461,Data!D461,"ERROR")</f>
        <v>MP, TL, MG</v>
      </c>
      <c r="E461" s="7" t="str">
        <f>IF(Data!E461=Entry2!E461,Data!E461,"ERROR")</f>
        <v>CU</v>
      </c>
      <c r="F461" s="7">
        <f>IF(Data!F461=Entry2!F461,Data!F461,"ERROR")</f>
        <v>1</v>
      </c>
      <c r="G461" s="7" t="str">
        <f>IF(Data!G461=Entry2!G461,Data!G461,"ERROR")</f>
        <v>SS</v>
      </c>
      <c r="H461" s="7">
        <f>IF(Data!H461=Entry2!H461,Data!H461,"ERROR")</f>
        <v>2</v>
      </c>
      <c r="I461" s="7">
        <f>IF(Data!I461=Entry2!I461,Data!I461,"ERROR")</f>
        <v>2</v>
      </c>
      <c r="J461" s="7">
        <f>IF(Data!J461=Entry2!J461,Data!J461,"ERROR")</f>
        <v>1</v>
      </c>
      <c r="K461" s="7" t="str">
        <f>IF(Data!K461=Entry2!K461,Data!K461,"ERROR")</f>
        <v>L</v>
      </c>
      <c r="L461" s="7" t="str">
        <f>IF(Data!L461=Entry2!L461,Data!L461,"ERROR")</f>
        <v>ERROR</v>
      </c>
      <c r="M461" s="7">
        <f>IF(Data!N461=Entry2!M461,Data!N461,"ERROR")</f>
        <v>0</v>
      </c>
    </row>
    <row r="462" spans="1:13" ht="13.2" hidden="1" x14ac:dyDescent="0.25">
      <c r="A462" s="7">
        <f>IF(Data!A462=Entry2!A462,Data!A462,"ERROR")</f>
        <v>9</v>
      </c>
      <c r="B462" s="7">
        <f>IF(Data!B462=Entry2!B462,Data!B462,"ERROR")</f>
        <v>2023</v>
      </c>
      <c r="C462" s="17">
        <f>IF(Data!C462=Entry2!C462,Data!C462,"ERROR")</f>
        <v>45197</v>
      </c>
      <c r="D462" s="7" t="str">
        <f>IF(Data!D462=Entry2!D462,Data!D462,"ERROR")</f>
        <v>MP, TL, MG</v>
      </c>
      <c r="E462" s="7" t="str">
        <f>IF(Data!E462=Entry2!E462,Data!E462,"ERROR")</f>
        <v>CU</v>
      </c>
      <c r="F462" s="7">
        <f>IF(Data!F462=Entry2!F462,Data!F462,"ERROR")</f>
        <v>1</v>
      </c>
      <c r="G462" s="7" t="str">
        <f>IF(Data!G462=Entry2!G462,Data!G462,"ERROR")</f>
        <v>SS</v>
      </c>
      <c r="H462" s="7">
        <f>IF(Data!H462=Entry2!H462,Data!H462,"ERROR")</f>
        <v>3</v>
      </c>
      <c r="I462" s="7">
        <f>IF(Data!I462=Entry2!I462,Data!I462,"ERROR")</f>
        <v>2</v>
      </c>
      <c r="J462" s="7">
        <f>IF(Data!J462=Entry2!J462,Data!J462,"ERROR")</f>
        <v>1.5</v>
      </c>
      <c r="K462" s="7" t="str">
        <f>IF(Data!K462=Entry2!K462,Data!K462,"ERROR")</f>
        <v>R</v>
      </c>
      <c r="L462" s="7" t="str">
        <f>IF(Data!L462=Entry2!L462,Data!L462,"ERROR")</f>
        <v>ERROR</v>
      </c>
      <c r="M462" s="7">
        <f>IF(Data!N462=Entry2!M462,Data!N462,"ERROR")</f>
        <v>0</v>
      </c>
    </row>
    <row r="463" spans="1:13" ht="13.2" hidden="1" x14ac:dyDescent="0.25">
      <c r="A463" s="7">
        <f>IF(Data!A463=Entry2!A463,Data!A463,"ERROR")</f>
        <v>9</v>
      </c>
      <c r="B463" s="7">
        <f>IF(Data!B463=Entry2!B463,Data!B463,"ERROR")</f>
        <v>2023</v>
      </c>
      <c r="C463" s="17">
        <f>IF(Data!C463=Entry2!C463,Data!C463,"ERROR")</f>
        <v>45197</v>
      </c>
      <c r="D463" s="7" t="str">
        <f>IF(Data!D463=Entry2!D463,Data!D463,"ERROR")</f>
        <v>MP, TL, MG</v>
      </c>
      <c r="E463" s="7" t="str">
        <f>IF(Data!E463=Entry2!E463,Data!E463,"ERROR")</f>
        <v>CU</v>
      </c>
      <c r="F463" s="7">
        <f>IF(Data!F463=Entry2!F463,Data!F463,"ERROR")</f>
        <v>1</v>
      </c>
      <c r="G463" s="7" t="str">
        <f>IF(Data!G463=Entry2!G463,Data!G463,"ERROR")</f>
        <v>SS</v>
      </c>
      <c r="H463" s="7">
        <f>IF(Data!H463=Entry2!H463,Data!H463,"ERROR")</f>
        <v>4</v>
      </c>
      <c r="I463" s="7">
        <f>IF(Data!I463=Entry2!I463,Data!I463,"ERROR")</f>
        <v>2</v>
      </c>
      <c r="J463" s="7">
        <f>IF(Data!J463=Entry2!J463,Data!J463,"ERROR")</f>
        <v>2</v>
      </c>
      <c r="K463" s="7" t="str">
        <f>IF(Data!K463=Entry2!K463,Data!K463,"ERROR")</f>
        <v>B</v>
      </c>
      <c r="L463" s="7" t="str">
        <f>IF(Data!L463=Entry2!L463,Data!L463,"ERROR")</f>
        <v>ERROR</v>
      </c>
      <c r="M463" s="7">
        <f>IF(Data!N463=Entry2!M463,Data!N463,"ERROR")</f>
        <v>0</v>
      </c>
    </row>
    <row r="464" spans="1:13" ht="13.2" hidden="1" x14ac:dyDescent="0.25">
      <c r="A464" s="7">
        <f>IF(Data!A464=Entry2!A464,Data!A464,"ERROR")</f>
        <v>9</v>
      </c>
      <c r="B464" s="7">
        <f>IF(Data!B464=Entry2!B464,Data!B464,"ERROR")</f>
        <v>2023</v>
      </c>
      <c r="C464" s="17">
        <f>IF(Data!C464=Entry2!C464,Data!C464,"ERROR")</f>
        <v>45197</v>
      </c>
      <c r="D464" s="7" t="str">
        <f>IF(Data!D464=Entry2!D464,Data!D464,"ERROR")</f>
        <v>MP, TL, MG</v>
      </c>
      <c r="E464" s="7" t="str">
        <f>IF(Data!E464=Entry2!E464,Data!E464,"ERROR")</f>
        <v>CU</v>
      </c>
      <c r="F464" s="7">
        <f>IF(Data!F464=Entry2!F464,Data!F464,"ERROR")</f>
        <v>1</v>
      </c>
      <c r="G464" s="7" t="str">
        <f>IF(Data!G464=Entry2!G464,Data!G464,"ERROR")</f>
        <v>SS</v>
      </c>
      <c r="H464" s="7">
        <f>IF(Data!H464=Entry2!H464,Data!H464,"ERROR")</f>
        <v>5</v>
      </c>
      <c r="I464" s="7">
        <f>IF(Data!I464=Entry2!I464,Data!I464,"ERROR")</f>
        <v>2</v>
      </c>
      <c r="J464" s="7">
        <f>IF(Data!J464=Entry2!J464,Data!J464,"ERROR")</f>
        <v>3</v>
      </c>
      <c r="K464" s="7" t="str">
        <f>IF(Data!K464=Entry2!K464,Data!K464,"ERROR")</f>
        <v>L</v>
      </c>
      <c r="L464" s="7" t="str">
        <f>IF(Data!L464=Entry2!L464,Data!L464,"ERROR")</f>
        <v>ERROR</v>
      </c>
      <c r="M464" s="7">
        <f>IF(Data!N464=Entry2!M464,Data!N464,"ERROR")</f>
        <v>0</v>
      </c>
    </row>
    <row r="465" spans="1:13" ht="13.2" hidden="1" x14ac:dyDescent="0.25">
      <c r="A465" s="7">
        <f>IF(Data!A465=Entry2!A465,Data!A465,"ERROR")</f>
        <v>9</v>
      </c>
      <c r="B465" s="7">
        <f>IF(Data!B465=Entry2!B465,Data!B465,"ERROR")</f>
        <v>2023</v>
      </c>
      <c r="C465" s="17">
        <f>IF(Data!C465=Entry2!C465,Data!C465,"ERROR")</f>
        <v>45197</v>
      </c>
      <c r="D465" s="7" t="str">
        <f>IF(Data!D465=Entry2!D465,Data!D465,"ERROR")</f>
        <v>MP, TL, MG</v>
      </c>
      <c r="E465" s="7" t="str">
        <f>IF(Data!E465=Entry2!E465,Data!E465,"ERROR")</f>
        <v>CU</v>
      </c>
      <c r="F465" s="7">
        <f>IF(Data!F465=Entry2!F465,Data!F465,"ERROR")</f>
        <v>1</v>
      </c>
      <c r="G465" s="7" t="str">
        <f>IF(Data!G465=Entry2!G465,Data!G465,"ERROR")</f>
        <v>SS</v>
      </c>
      <c r="H465" s="7">
        <f>IF(Data!H465=Entry2!H465,Data!H465,"ERROR")</f>
        <v>6</v>
      </c>
      <c r="I465" s="7">
        <f>IF(Data!I465=Entry2!I465,Data!I465,"ERROR")</f>
        <v>2</v>
      </c>
      <c r="J465" s="7">
        <f>IF(Data!J465=Entry2!J465,Data!J465,"ERROR")</f>
        <v>3.5</v>
      </c>
      <c r="K465" s="7" t="str">
        <f>IF(Data!K465=Entry2!K465,Data!K465,"ERROR")</f>
        <v>B</v>
      </c>
      <c r="L465" s="7" t="str">
        <f>IF(Data!L465=Entry2!L465,Data!L465,"ERROR")</f>
        <v>ERROR</v>
      </c>
      <c r="M465" s="7">
        <f>IF(Data!N465=Entry2!M465,Data!N465,"ERROR")</f>
        <v>0</v>
      </c>
    </row>
    <row r="466" spans="1:13" ht="13.2" hidden="1" x14ac:dyDescent="0.25">
      <c r="A466" s="7">
        <f>IF(Data!A466=Entry2!A466,Data!A466,"ERROR")</f>
        <v>9</v>
      </c>
      <c r="B466" s="7">
        <f>IF(Data!B466=Entry2!B466,Data!B466,"ERROR")</f>
        <v>2023</v>
      </c>
      <c r="C466" s="17">
        <f>IF(Data!C466=Entry2!C466,Data!C466,"ERROR")</f>
        <v>45197</v>
      </c>
      <c r="D466" s="7" t="str">
        <f>IF(Data!D466=Entry2!D466,Data!D466,"ERROR")</f>
        <v>MP, TL, MG</v>
      </c>
      <c r="E466" s="7" t="str">
        <f>IF(Data!E466=Entry2!E466,Data!E466,"ERROR")</f>
        <v>CU</v>
      </c>
      <c r="F466" s="7">
        <f>IF(Data!F466=Entry2!F466,Data!F466,"ERROR")</f>
        <v>1</v>
      </c>
      <c r="G466" s="7" t="str">
        <f>IF(Data!G466=Entry2!G466,Data!G466,"ERROR")</f>
        <v>SS</v>
      </c>
      <c r="H466" s="7">
        <f>IF(Data!H466=Entry2!H466,Data!H466,"ERROR")</f>
        <v>7</v>
      </c>
      <c r="I466" s="7">
        <f>IF(Data!I466=Entry2!I466,Data!I466,"ERROR")</f>
        <v>2</v>
      </c>
      <c r="J466" s="7">
        <f>IF(Data!J466=Entry2!J466,Data!J466,"ERROR")</f>
        <v>4</v>
      </c>
      <c r="K466" s="7" t="str">
        <f>IF(Data!K466=Entry2!K466,Data!K466,"ERROR")</f>
        <v>L</v>
      </c>
      <c r="L466" s="7" t="str">
        <f>IF(Data!L466=Entry2!L466,Data!L466,"ERROR")</f>
        <v>ERROR</v>
      </c>
      <c r="M466" s="7">
        <f>IF(Data!N466=Entry2!M466,Data!N466,"ERROR")</f>
        <v>0</v>
      </c>
    </row>
    <row r="467" spans="1:13" ht="13.2" hidden="1" x14ac:dyDescent="0.25">
      <c r="A467" s="7">
        <f>IF(Data!A467=Entry2!A467,Data!A467,"ERROR")</f>
        <v>9</v>
      </c>
      <c r="B467" s="7">
        <f>IF(Data!B467=Entry2!B467,Data!B467,"ERROR")</f>
        <v>2023</v>
      </c>
      <c r="C467" s="17">
        <f>IF(Data!C467=Entry2!C467,Data!C467,"ERROR")</f>
        <v>45197</v>
      </c>
      <c r="D467" s="7" t="str">
        <f>IF(Data!D467=Entry2!D467,Data!D467,"ERROR")</f>
        <v>MP, TL, MG</v>
      </c>
      <c r="E467" s="7" t="str">
        <f>IF(Data!E467=Entry2!E467,Data!E467,"ERROR")</f>
        <v>CU</v>
      </c>
      <c r="F467" s="7">
        <f>IF(Data!F467=Entry2!F467,Data!F467,"ERROR")</f>
        <v>1</v>
      </c>
      <c r="G467" s="7" t="str">
        <f>IF(Data!G467=Entry2!G467,Data!G467,"ERROR")</f>
        <v>SS</v>
      </c>
      <c r="H467" s="7">
        <f>IF(Data!H467=Entry2!H467,Data!H467,"ERROR")</f>
        <v>8</v>
      </c>
      <c r="I467" s="7">
        <f>IF(Data!I467=Entry2!I467,Data!I467,"ERROR")</f>
        <v>2</v>
      </c>
      <c r="J467" s="7">
        <f>IF(Data!J467=Entry2!J467,Data!J467,"ERROR")</f>
        <v>5</v>
      </c>
      <c r="K467" s="7" t="str">
        <f>IF(Data!K467=Entry2!K467,Data!K467,"ERROR")</f>
        <v>B</v>
      </c>
      <c r="L467" s="7" t="str">
        <f>IF(Data!L467=Entry2!L467,Data!L467,"ERROR")</f>
        <v>ERROR</v>
      </c>
      <c r="M467" s="7">
        <f>IF(Data!N467=Entry2!M467,Data!N467,"ERROR")</f>
        <v>0</v>
      </c>
    </row>
    <row r="468" spans="1:13" ht="13.2" hidden="1" x14ac:dyDescent="0.25">
      <c r="A468" s="7">
        <f>IF(Data!A468=Entry2!A468,Data!A468,"ERROR")</f>
        <v>9</v>
      </c>
      <c r="B468" s="7">
        <f>IF(Data!B468=Entry2!B468,Data!B468,"ERROR")</f>
        <v>2023</v>
      </c>
      <c r="C468" s="17">
        <f>IF(Data!C468=Entry2!C468,Data!C468,"ERROR")</f>
        <v>45197</v>
      </c>
      <c r="D468" s="7" t="str">
        <f>IF(Data!D468=Entry2!D468,Data!D468,"ERROR")</f>
        <v>MP, TL, MG</v>
      </c>
      <c r="E468" s="7" t="str">
        <f>IF(Data!E468=Entry2!E468,Data!E468,"ERROR")</f>
        <v>CU</v>
      </c>
      <c r="F468" s="7">
        <f>IF(Data!F468=Entry2!F468,Data!F468,"ERROR")</f>
        <v>1</v>
      </c>
      <c r="G468" s="7" t="str">
        <f>IF(Data!G468=Entry2!G468,Data!G468,"ERROR")</f>
        <v>SS</v>
      </c>
      <c r="H468" s="7">
        <f>IF(Data!H468=Entry2!H468,Data!H468,"ERROR")</f>
        <v>9</v>
      </c>
      <c r="I468" s="7">
        <f>IF(Data!I468=Entry2!I468,Data!I468,"ERROR")</f>
        <v>2</v>
      </c>
      <c r="J468" s="7">
        <f>IF(Data!J468=Entry2!J468,Data!J468,"ERROR")</f>
        <v>7</v>
      </c>
      <c r="K468" s="7" t="str">
        <f>IF(Data!K468=Entry2!K468,Data!K468,"ERROR")</f>
        <v>L</v>
      </c>
      <c r="L468" s="7" t="str">
        <f>IF(Data!L468=Entry2!L468,Data!L468,"ERROR")</f>
        <v>ERROR</v>
      </c>
      <c r="M468" s="7">
        <f>IF(Data!N468=Entry2!M468,Data!N468,"ERROR")</f>
        <v>0</v>
      </c>
    </row>
    <row r="469" spans="1:13" ht="13.2" hidden="1" x14ac:dyDescent="0.25">
      <c r="A469" s="7">
        <f>IF(Data!A469=Entry2!A469,Data!A469,"ERROR")</f>
        <v>9</v>
      </c>
      <c r="B469" s="7">
        <f>IF(Data!B469=Entry2!B469,Data!B469,"ERROR")</f>
        <v>2023</v>
      </c>
      <c r="C469" s="17">
        <f>IF(Data!C469=Entry2!C469,Data!C469,"ERROR")</f>
        <v>45197</v>
      </c>
      <c r="D469" s="7" t="str">
        <f>IF(Data!D469=Entry2!D469,Data!D469,"ERROR")</f>
        <v>MP, TL, MG</v>
      </c>
      <c r="E469" s="7" t="str">
        <f>IF(Data!E469=Entry2!E469,Data!E469,"ERROR")</f>
        <v>CU</v>
      </c>
      <c r="F469" s="7">
        <f>IF(Data!F469=Entry2!F469,Data!F469,"ERROR")</f>
        <v>1</v>
      </c>
      <c r="G469" s="7" t="str">
        <f>IF(Data!G469=Entry2!G469,Data!G469,"ERROR")</f>
        <v>SS</v>
      </c>
      <c r="H469" s="7">
        <f>IF(Data!H469=Entry2!H469,Data!H469,"ERROR")</f>
        <v>10</v>
      </c>
      <c r="I469" s="7">
        <f>IF(Data!I469=Entry2!I469,Data!I469,"ERROR")</f>
        <v>2</v>
      </c>
      <c r="J469" s="7">
        <f>IF(Data!J469=Entry2!J469,Data!J469,"ERROR")</f>
        <v>8</v>
      </c>
      <c r="K469" s="7" t="str">
        <f>IF(Data!K469=Entry2!K469,Data!K469,"ERROR")</f>
        <v>L</v>
      </c>
      <c r="L469" s="7" t="str">
        <f>IF(Data!L469=Entry2!L469,Data!L469,"ERROR")</f>
        <v>ERROR</v>
      </c>
      <c r="M469" s="7">
        <f>IF(Data!N469=Entry2!M469,Data!N469,"ERROR")</f>
        <v>0</v>
      </c>
    </row>
    <row r="470" spans="1:13" ht="13.2" hidden="1" x14ac:dyDescent="0.25">
      <c r="A470" s="7">
        <f>IF(Data!A470=Entry2!A470,Data!A470,"ERROR")</f>
        <v>9</v>
      </c>
      <c r="B470" s="7">
        <f>IF(Data!B470=Entry2!B470,Data!B470,"ERROR")</f>
        <v>2023</v>
      </c>
      <c r="C470" s="17">
        <f>IF(Data!C470=Entry2!C470,Data!C470,"ERROR")</f>
        <v>45197</v>
      </c>
      <c r="D470" s="7" t="str">
        <f>IF(Data!D470=Entry2!D470,Data!D470,"ERROR")</f>
        <v>MP, TL, MG</v>
      </c>
      <c r="E470" s="7" t="str">
        <f>IF(Data!E470=Entry2!E470,Data!E470,"ERROR")</f>
        <v>CU</v>
      </c>
      <c r="F470" s="7">
        <f>IF(Data!F470=Entry2!F470,Data!F470,"ERROR")</f>
        <v>1</v>
      </c>
      <c r="G470" s="7" t="str">
        <f>IF(Data!G470=Entry2!G470,Data!G470,"ERROR")</f>
        <v>SS</v>
      </c>
      <c r="H470" s="7">
        <f>IF(Data!H470=Entry2!H470,Data!H470,"ERROR")</f>
        <v>11</v>
      </c>
      <c r="I470" s="7">
        <f>IF(Data!I470=Entry2!I470,Data!I470,"ERROR")</f>
        <v>2</v>
      </c>
      <c r="J470" s="7">
        <f>IF(Data!J470=Entry2!J470,Data!J470,"ERROR")</f>
        <v>8.5</v>
      </c>
      <c r="K470" s="7" t="str">
        <f>IF(Data!K470=Entry2!K470,Data!K470,"ERROR")</f>
        <v>B</v>
      </c>
      <c r="L470" s="7" t="str">
        <f>IF(Data!L470=Entry2!L470,Data!L470,"ERROR")</f>
        <v>ERROR</v>
      </c>
      <c r="M470" s="7">
        <f>IF(Data!N470=Entry2!M470,Data!N470,"ERROR")</f>
        <v>0</v>
      </c>
    </row>
    <row r="471" spans="1:13" ht="13.2" hidden="1" x14ac:dyDescent="0.25">
      <c r="A471" s="7">
        <f>IF(Data!A471=Entry2!A471,Data!A471,"ERROR")</f>
        <v>9</v>
      </c>
      <c r="B471" s="7">
        <f>IF(Data!B471=Entry2!B471,Data!B471,"ERROR")</f>
        <v>2023</v>
      </c>
      <c r="C471" s="17">
        <f>IF(Data!C471=Entry2!C471,Data!C471,"ERROR")</f>
        <v>45197</v>
      </c>
      <c r="D471" s="7" t="str">
        <f>IF(Data!D471=Entry2!D471,Data!D471,"ERROR")</f>
        <v>MP, TL, MG</v>
      </c>
      <c r="E471" s="7" t="str">
        <f>IF(Data!E471=Entry2!E471,Data!E471,"ERROR")</f>
        <v>CU</v>
      </c>
      <c r="F471" s="7">
        <f>IF(Data!F471=Entry2!F471,Data!F471,"ERROR")</f>
        <v>1</v>
      </c>
      <c r="G471" s="7" t="str">
        <f>IF(Data!G471=Entry2!G471,Data!G471,"ERROR")</f>
        <v>SS</v>
      </c>
      <c r="H471" s="7">
        <f>IF(Data!H471=Entry2!H471,Data!H471,"ERROR")</f>
        <v>12</v>
      </c>
      <c r="I471" s="7">
        <f>IF(Data!I471=Entry2!I471,Data!I471,"ERROR")</f>
        <v>2</v>
      </c>
      <c r="J471" s="7">
        <f>IF(Data!J471=Entry2!J471,Data!J471,"ERROR")</f>
        <v>9</v>
      </c>
      <c r="K471" s="7" t="str">
        <f>IF(Data!K471=Entry2!K471,Data!K471,"ERROR")</f>
        <v>B</v>
      </c>
      <c r="L471" s="7" t="str">
        <f>IF(Data!L471=Entry2!L471,Data!L471,"ERROR")</f>
        <v>ERROR</v>
      </c>
      <c r="M471" s="7">
        <f>IF(Data!N471=Entry2!M471,Data!N471,"ERROR")</f>
        <v>0</v>
      </c>
    </row>
    <row r="472" spans="1:13" ht="13.2" hidden="1" x14ac:dyDescent="0.25">
      <c r="A472" s="7">
        <f>IF(Data!A472=Entry2!A472,Data!A472,"ERROR")</f>
        <v>9</v>
      </c>
      <c r="B472" s="7">
        <f>IF(Data!B472=Entry2!B472,Data!B472,"ERROR")</f>
        <v>2023</v>
      </c>
      <c r="C472" s="17">
        <f>IF(Data!C472=Entry2!C472,Data!C472,"ERROR")</f>
        <v>45197</v>
      </c>
      <c r="D472" s="7" t="str">
        <f>IF(Data!D472=Entry2!D472,Data!D472,"ERROR")</f>
        <v>MP, TL, MG</v>
      </c>
      <c r="E472" s="7" t="str">
        <f>IF(Data!E472=Entry2!E472,Data!E472,"ERROR")</f>
        <v>CU</v>
      </c>
      <c r="F472" s="7">
        <f>IF(Data!F472=Entry2!F472,Data!F472,"ERROR")</f>
        <v>1</v>
      </c>
      <c r="G472" s="7" t="str">
        <f>IF(Data!G472=Entry2!G472,Data!G472,"ERROR")</f>
        <v>SS</v>
      </c>
      <c r="H472" s="7">
        <f>IF(Data!H472=Entry2!H472,Data!H472,"ERROR")</f>
        <v>13</v>
      </c>
      <c r="I472" s="7">
        <f>IF(Data!I472=Entry2!I472,Data!I472,"ERROR")</f>
        <v>2</v>
      </c>
      <c r="J472" s="7">
        <f>IF(Data!J472=Entry2!J472,Data!J472,"ERROR")</f>
        <v>10</v>
      </c>
      <c r="K472" s="7" t="str">
        <f>IF(Data!K472=Entry2!K472,Data!K472,"ERROR")</f>
        <v>B</v>
      </c>
      <c r="L472" s="7" t="str">
        <f>IF(Data!L472=Entry2!L472,Data!L472,"ERROR")</f>
        <v>ERROR</v>
      </c>
      <c r="M472" s="7">
        <f>IF(Data!N472=Entry2!M472,Data!N472,"ERROR")</f>
        <v>0</v>
      </c>
    </row>
    <row r="473" spans="1:13" ht="13.2" hidden="1" x14ac:dyDescent="0.25">
      <c r="A473" s="7">
        <f>IF(Data!A473=Entry2!A473,Data!A473,"ERROR")</f>
        <v>9</v>
      </c>
      <c r="B473" s="7">
        <f>IF(Data!B473=Entry2!B473,Data!B473,"ERROR")</f>
        <v>2023</v>
      </c>
      <c r="C473" s="17">
        <f>IF(Data!C473=Entry2!C473,Data!C473,"ERROR")</f>
        <v>45197</v>
      </c>
      <c r="D473" s="7" t="str">
        <f>IF(Data!D473=Entry2!D473,Data!D473,"ERROR")</f>
        <v>MP, TL, MG</v>
      </c>
      <c r="E473" s="7" t="str">
        <f>IF(Data!E473=Entry2!E473,Data!E473,"ERROR")</f>
        <v>CU</v>
      </c>
      <c r="F473" s="7">
        <f>IF(Data!F473=Entry2!F473,Data!F473,"ERROR")</f>
        <v>1</v>
      </c>
      <c r="G473" s="7" t="str">
        <f>IF(Data!G473=Entry2!G473,Data!G473,"ERROR")</f>
        <v>SS</v>
      </c>
      <c r="H473" s="7">
        <f>IF(Data!H473=Entry2!H473,Data!H473,"ERROR")</f>
        <v>14</v>
      </c>
      <c r="I473" s="7">
        <f>IF(Data!I473=Entry2!I473,Data!I473,"ERROR")</f>
        <v>2</v>
      </c>
      <c r="J473" s="7">
        <f>IF(Data!J473=Entry2!J473,Data!J473,"ERROR")</f>
        <v>11</v>
      </c>
      <c r="K473" s="7" t="str">
        <f>IF(Data!K473=Entry2!K473,Data!K473,"ERROR")</f>
        <v>L</v>
      </c>
      <c r="L473" s="7" t="str">
        <f>IF(Data!L473=Entry2!L473,Data!L473,"ERROR")</f>
        <v>ERROR</v>
      </c>
      <c r="M473" s="7">
        <f>IF(Data!N473=Entry2!M473,Data!N473,"ERROR")</f>
        <v>0</v>
      </c>
    </row>
    <row r="474" spans="1:13" ht="13.2" hidden="1" x14ac:dyDescent="0.25">
      <c r="A474" s="7">
        <f>IF(Data!A474=Entry2!A474,Data!A474,"ERROR")</f>
        <v>9</v>
      </c>
      <c r="B474" s="7">
        <f>IF(Data!B474=Entry2!B474,Data!B474,"ERROR")</f>
        <v>2023</v>
      </c>
      <c r="C474" s="17">
        <f>IF(Data!C474=Entry2!C474,Data!C474,"ERROR")</f>
        <v>45197</v>
      </c>
      <c r="D474" s="7" t="str">
        <f>IF(Data!D474=Entry2!D474,Data!D474,"ERROR")</f>
        <v>MP, TL, MG</v>
      </c>
      <c r="E474" s="7" t="str">
        <f>IF(Data!E474=Entry2!E474,Data!E474,"ERROR")</f>
        <v>CU</v>
      </c>
      <c r="F474" s="7">
        <f>IF(Data!F474=Entry2!F474,Data!F474,"ERROR")</f>
        <v>1</v>
      </c>
      <c r="G474" s="7" t="str">
        <f>IF(Data!G474=Entry2!G474,Data!G474,"ERROR")</f>
        <v>SS</v>
      </c>
      <c r="H474" s="7">
        <f>IF(Data!H474=Entry2!H474,Data!H474,"ERROR")</f>
        <v>15</v>
      </c>
      <c r="I474" s="7">
        <f>IF(Data!I474=Entry2!I474,Data!I474,"ERROR")</f>
        <v>2</v>
      </c>
      <c r="J474" s="7">
        <f>IF(Data!J474=Entry2!J474,Data!J474,"ERROR")</f>
        <v>12</v>
      </c>
      <c r="K474" s="7" t="str">
        <f>IF(Data!K474=Entry2!K474,Data!K474,"ERROR")</f>
        <v>B</v>
      </c>
      <c r="L474" s="7" t="str">
        <f>IF(Data!L474=Entry2!L474,Data!L474,"ERROR")</f>
        <v>ERROR</v>
      </c>
      <c r="M474" s="7">
        <f>IF(Data!N474=Entry2!M474,Data!N474,"ERROR")</f>
        <v>0</v>
      </c>
    </row>
    <row r="475" spans="1:13" ht="13.2" hidden="1" x14ac:dyDescent="0.25">
      <c r="A475" s="7">
        <f>IF(Data!A475=Entry2!A475,Data!A475,"ERROR")</f>
        <v>9</v>
      </c>
      <c r="B475" s="7">
        <f>IF(Data!B475=Entry2!B475,Data!B475,"ERROR")</f>
        <v>2023</v>
      </c>
      <c r="C475" s="17">
        <f>IF(Data!C475=Entry2!C475,Data!C475,"ERROR")</f>
        <v>45197</v>
      </c>
      <c r="D475" s="7" t="str">
        <f>IF(Data!D475=Entry2!D475,Data!D475,"ERROR")</f>
        <v>MP, TL, MG</v>
      </c>
      <c r="E475" s="7" t="str">
        <f>IF(Data!E475=Entry2!E475,Data!E475,"ERROR")</f>
        <v>CU</v>
      </c>
      <c r="F475" s="7">
        <f>IF(Data!F475=Entry2!F475,Data!F475,"ERROR")</f>
        <v>1</v>
      </c>
      <c r="G475" s="7" t="str">
        <f>IF(Data!G475=Entry2!G475,Data!G475,"ERROR")</f>
        <v>SS</v>
      </c>
      <c r="H475" s="7">
        <f>IF(Data!H475=Entry2!H475,Data!H475,"ERROR")</f>
        <v>15</v>
      </c>
      <c r="I475" s="7">
        <f>IF(Data!I475=Entry2!I475,Data!I475,"ERROR")</f>
        <v>2</v>
      </c>
      <c r="J475" s="7">
        <f>IF(Data!J475=Entry2!J475,Data!J475,"ERROR")</f>
        <v>12</v>
      </c>
      <c r="K475" s="7" t="str">
        <f>IF(Data!K475=Entry2!K475,Data!K475,"ERROR")</f>
        <v>CYLPRO</v>
      </c>
      <c r="L475" s="7" t="str">
        <f>IF(Data!L475=Entry2!L475,Data!L475,"ERROR")</f>
        <v>ERROR</v>
      </c>
      <c r="M475" s="7">
        <f>IF(Data!N475=Entry2!M475,Data!N475,"ERROR")</f>
        <v>0</v>
      </c>
    </row>
    <row r="476" spans="1:13" ht="13.2" hidden="1" x14ac:dyDescent="0.25">
      <c r="A476" s="7">
        <f>IF(Data!A476=Entry2!A476,Data!A476,"ERROR")</f>
        <v>10</v>
      </c>
      <c r="B476" s="7">
        <f>IF(Data!B476=Entry2!B476,Data!B476,"ERROR")</f>
        <v>2023</v>
      </c>
      <c r="C476" s="17">
        <f>IF(Data!C476=Entry2!C476,Data!C476,"ERROR")</f>
        <v>45197</v>
      </c>
      <c r="D476" s="7" t="str">
        <f>IF(Data!D476=Entry2!D476,Data!D476,"ERROR")</f>
        <v>MP, TL, MG</v>
      </c>
      <c r="E476" s="7" t="str">
        <f>IF(Data!E476=Entry2!E476,Data!E476,"ERROR")</f>
        <v>CU</v>
      </c>
      <c r="F476" s="7">
        <f>IF(Data!F476=Entry2!F476,Data!F476,"ERROR")</f>
        <v>1</v>
      </c>
      <c r="G476" s="7" t="str">
        <f>IF(Data!G476=Entry2!G476,Data!G476,"ERROR")</f>
        <v>SU</v>
      </c>
      <c r="H476" s="7">
        <f>IF(Data!H476=Entry2!H476,Data!H476,"ERROR")</f>
        <v>1</v>
      </c>
      <c r="I476" s="7">
        <f>IF(Data!I476=Entry2!I476,Data!I476,"ERROR")</f>
        <v>1</v>
      </c>
      <c r="J476" s="7">
        <f>IF(Data!J476=Entry2!J476,Data!J476,"ERROR")</f>
        <v>0</v>
      </c>
      <c r="K476" s="7" t="str">
        <f>IF(Data!K476=Entry2!K476,Data!K476,"ERROR")</f>
        <v>B</v>
      </c>
      <c r="L476" s="7" t="str">
        <f>IF(Data!L476=Entry2!L476,Data!L476,"ERROR")</f>
        <v>ERROR</v>
      </c>
      <c r="M476" s="7">
        <f>IF(Data!N476=Entry2!M476,Data!N476,"ERROR")</f>
        <v>0</v>
      </c>
    </row>
    <row r="477" spans="1:13" ht="13.2" hidden="1" x14ac:dyDescent="0.25">
      <c r="A477" s="7">
        <f>IF(Data!A477=Entry2!A477,Data!A477,"ERROR")</f>
        <v>10</v>
      </c>
      <c r="B477" s="7">
        <f>IF(Data!B477=Entry2!B477,Data!B477,"ERROR")</f>
        <v>2023</v>
      </c>
      <c r="C477" s="17">
        <f>IF(Data!C477=Entry2!C477,Data!C477,"ERROR")</f>
        <v>45197</v>
      </c>
      <c r="D477" s="7" t="str">
        <f>IF(Data!D477=Entry2!D477,Data!D477,"ERROR")</f>
        <v>MP, TL, MG</v>
      </c>
      <c r="E477" s="7" t="str">
        <f>IF(Data!E477=Entry2!E477,Data!E477,"ERROR")</f>
        <v>CU</v>
      </c>
      <c r="F477" s="7">
        <f>IF(Data!F477=Entry2!F477,Data!F477,"ERROR")</f>
        <v>1</v>
      </c>
      <c r="G477" s="7" t="str">
        <f>IF(Data!G477=Entry2!G477,Data!G477,"ERROR")</f>
        <v>SU</v>
      </c>
      <c r="H477" s="7">
        <f>IF(Data!H477=Entry2!H477,Data!H477,"ERROR")</f>
        <v>1</v>
      </c>
      <c r="I477" s="7">
        <f>IF(Data!I477=Entry2!I477,Data!I477,"ERROR")</f>
        <v>1</v>
      </c>
      <c r="J477" s="7">
        <f>IF(Data!J477=Entry2!J477,Data!J477,"ERROR")</f>
        <v>0</v>
      </c>
      <c r="K477" s="7" t="str">
        <f>IF(Data!K477=Entry2!K477,Data!K477,"ERROR")</f>
        <v>BRANIG</v>
      </c>
      <c r="L477" s="7" t="str">
        <f>IF(Data!L477=Entry2!L477,Data!L477,"ERROR")</f>
        <v>ERROR</v>
      </c>
      <c r="M477" s="7">
        <f>IF(Data!N477=Entry2!M477,Data!N477,"ERROR")</f>
        <v>0</v>
      </c>
    </row>
    <row r="478" spans="1:13" ht="13.2" hidden="1" x14ac:dyDescent="0.25">
      <c r="A478" s="7">
        <f>IF(Data!A478=Entry2!A478,Data!A478,"ERROR")</f>
        <v>10</v>
      </c>
      <c r="B478" s="7">
        <f>IF(Data!B478=Entry2!B478,Data!B478,"ERROR")</f>
        <v>2023</v>
      </c>
      <c r="C478" s="17">
        <f>IF(Data!C478=Entry2!C478,Data!C478,"ERROR")</f>
        <v>45197</v>
      </c>
      <c r="D478" s="7" t="str">
        <f>IF(Data!D478=Entry2!D478,Data!D478,"ERROR")</f>
        <v>MP, TL, MG</v>
      </c>
      <c r="E478" s="7" t="str">
        <f>IF(Data!E478=Entry2!E478,Data!E478,"ERROR")</f>
        <v>CU</v>
      </c>
      <c r="F478" s="7">
        <f>IF(Data!F478=Entry2!F478,Data!F478,"ERROR")</f>
        <v>1</v>
      </c>
      <c r="G478" s="7" t="str">
        <f>IF(Data!G478=Entry2!G478,Data!G478,"ERROR")</f>
        <v>SU</v>
      </c>
      <c r="H478" s="7">
        <f>IF(Data!H478=Entry2!H478,Data!H478,"ERROR")</f>
        <v>2</v>
      </c>
      <c r="I478" s="7">
        <f>IF(Data!I478=Entry2!I478,Data!I478,"ERROR")</f>
        <v>1</v>
      </c>
      <c r="J478" s="7">
        <f>IF(Data!J478=Entry2!J478,Data!J478,"ERROR")</f>
        <v>1</v>
      </c>
      <c r="K478" s="7" t="str">
        <f>IF(Data!K478=Entry2!K478,Data!K478,"ERROR")</f>
        <v>B</v>
      </c>
      <c r="L478" s="7" t="str">
        <f>IF(Data!L478=Entry2!L478,Data!L478,"ERROR")</f>
        <v>ERROR</v>
      </c>
      <c r="M478" s="7">
        <f>IF(Data!N478=Entry2!M478,Data!N478,"ERROR")</f>
        <v>0</v>
      </c>
    </row>
    <row r="479" spans="1:13" ht="13.2" hidden="1" x14ac:dyDescent="0.25">
      <c r="A479" s="7">
        <f>IF(Data!A479=Entry2!A479,Data!A479,"ERROR")</f>
        <v>10</v>
      </c>
      <c r="B479" s="7">
        <f>IF(Data!B479=Entry2!B479,Data!B479,"ERROR")</f>
        <v>2023</v>
      </c>
      <c r="C479" s="17">
        <f>IF(Data!C479=Entry2!C479,Data!C479,"ERROR")</f>
        <v>45197</v>
      </c>
      <c r="D479" s="7" t="str">
        <f>IF(Data!D479=Entry2!D479,Data!D479,"ERROR")</f>
        <v>MP, TL, MG</v>
      </c>
      <c r="E479" s="7" t="str">
        <f>IF(Data!E479=Entry2!E479,Data!E479,"ERROR")</f>
        <v>CU</v>
      </c>
      <c r="F479" s="7">
        <f>IF(Data!F479=Entry2!F479,Data!F479,"ERROR")</f>
        <v>1</v>
      </c>
      <c r="G479" s="7" t="str">
        <f>IF(Data!G479=Entry2!G479,Data!G479,"ERROR")</f>
        <v>SU</v>
      </c>
      <c r="H479" s="7">
        <f>IF(Data!H479=Entry2!H479,Data!H479,"ERROR")</f>
        <v>2</v>
      </c>
      <c r="I479" s="7">
        <f>IF(Data!I479=Entry2!I479,Data!I479,"ERROR")</f>
        <v>1</v>
      </c>
      <c r="J479" s="7">
        <f>IF(Data!J479=Entry2!J479,Data!J479,"ERROR")</f>
        <v>1</v>
      </c>
      <c r="K479" s="7" t="str">
        <f>IF(Data!K479=Entry2!K479,Data!K479,"ERROR")</f>
        <v>CYLPRO</v>
      </c>
      <c r="L479" s="7" t="str">
        <f>IF(Data!L479=Entry2!L479,Data!L479,"ERROR")</f>
        <v>ERROR</v>
      </c>
      <c r="M479" s="7">
        <f>IF(Data!N479=Entry2!M479,Data!N479,"ERROR")</f>
        <v>0</v>
      </c>
    </row>
    <row r="480" spans="1:13" ht="13.2" hidden="1" x14ac:dyDescent="0.25">
      <c r="A480" s="7">
        <f>IF(Data!A480=Entry2!A480,Data!A480,"ERROR")</f>
        <v>10</v>
      </c>
      <c r="B480" s="7">
        <f>IF(Data!B480=Entry2!B480,Data!B480,"ERROR")</f>
        <v>2023</v>
      </c>
      <c r="C480" s="17">
        <f>IF(Data!C480=Entry2!C480,Data!C480,"ERROR")</f>
        <v>45197</v>
      </c>
      <c r="D480" s="7" t="str">
        <f>IF(Data!D480=Entry2!D480,Data!D480,"ERROR")</f>
        <v>MP, TL, MG</v>
      </c>
      <c r="E480" s="7" t="str">
        <f>IF(Data!E480=Entry2!E480,Data!E480,"ERROR")</f>
        <v>CU</v>
      </c>
      <c r="F480" s="7">
        <f>IF(Data!F480=Entry2!F480,Data!F480,"ERROR")</f>
        <v>1</v>
      </c>
      <c r="G480" s="7" t="str">
        <f>IF(Data!G480=Entry2!G480,Data!G480,"ERROR")</f>
        <v>SU</v>
      </c>
      <c r="H480" s="7">
        <f>IF(Data!H480=Entry2!H480,Data!H480,"ERROR")</f>
        <v>3</v>
      </c>
      <c r="I480" s="7">
        <f>IF(Data!I480=Entry2!I480,Data!I480,"ERROR")</f>
        <v>1</v>
      </c>
      <c r="J480" s="7">
        <f>IF(Data!J480=Entry2!J480,Data!J480,"ERROR")</f>
        <v>1.5</v>
      </c>
      <c r="K480" s="7" t="str">
        <f>IF(Data!K480=Entry2!K480,Data!K480,"ERROR")</f>
        <v>L</v>
      </c>
      <c r="L480" s="7" t="str">
        <f>IF(Data!L480=Entry2!L480,Data!L480,"ERROR")</f>
        <v>ERROR</v>
      </c>
      <c r="M480" s="7">
        <f>IF(Data!N480=Entry2!M480,Data!N480,"ERROR")</f>
        <v>0</v>
      </c>
    </row>
    <row r="481" spans="1:13" ht="13.2" hidden="1" x14ac:dyDescent="0.25">
      <c r="A481" s="7">
        <f>IF(Data!A481=Entry2!A481,Data!A481,"ERROR")</f>
        <v>10</v>
      </c>
      <c r="B481" s="7">
        <f>IF(Data!B481=Entry2!B481,Data!B481,"ERROR")</f>
        <v>2023</v>
      </c>
      <c r="C481" s="17">
        <f>IF(Data!C481=Entry2!C481,Data!C481,"ERROR")</f>
        <v>45197</v>
      </c>
      <c r="D481" s="7" t="str">
        <f>IF(Data!D481=Entry2!D481,Data!D481,"ERROR")</f>
        <v>MP, TL, MG</v>
      </c>
      <c r="E481" s="7" t="str">
        <f>IF(Data!E481=Entry2!E481,Data!E481,"ERROR")</f>
        <v>CU</v>
      </c>
      <c r="F481" s="7">
        <f>IF(Data!F481=Entry2!F481,Data!F481,"ERROR")</f>
        <v>1</v>
      </c>
      <c r="G481" s="7" t="str">
        <f>IF(Data!G481=Entry2!G481,Data!G481,"ERROR")</f>
        <v>SU</v>
      </c>
      <c r="H481" s="7">
        <f>IF(Data!H481=Entry2!H481,Data!H481,"ERROR")</f>
        <v>4</v>
      </c>
      <c r="I481" s="7">
        <f>IF(Data!I481=Entry2!I481,Data!I481,"ERROR")</f>
        <v>1</v>
      </c>
      <c r="J481" s="7">
        <f>IF(Data!J481=Entry2!J481,Data!J481,"ERROR")</f>
        <v>2</v>
      </c>
      <c r="K481" s="7" t="str">
        <f>IF(Data!K481=Entry2!K481,Data!K481,"ERROR")</f>
        <v>B</v>
      </c>
      <c r="L481" s="7" t="str">
        <f>IF(Data!L481=Entry2!L481,Data!L481,"ERROR")</f>
        <v>ERROR</v>
      </c>
      <c r="M481" s="7">
        <f>IF(Data!N481=Entry2!M481,Data!N481,"ERROR")</f>
        <v>0</v>
      </c>
    </row>
    <row r="482" spans="1:13" ht="13.2" hidden="1" x14ac:dyDescent="0.25">
      <c r="A482" s="7">
        <f>IF(Data!A482=Entry2!A482,Data!A482,"ERROR")</f>
        <v>10</v>
      </c>
      <c r="B482" s="7">
        <f>IF(Data!B482=Entry2!B482,Data!B482,"ERROR")</f>
        <v>2023</v>
      </c>
      <c r="C482" s="17">
        <f>IF(Data!C482=Entry2!C482,Data!C482,"ERROR")</f>
        <v>45197</v>
      </c>
      <c r="D482" s="7" t="str">
        <f>IF(Data!D482=Entry2!D482,Data!D482,"ERROR")</f>
        <v>MP, TL, MG</v>
      </c>
      <c r="E482" s="7" t="str">
        <f>IF(Data!E482=Entry2!E482,Data!E482,"ERROR")</f>
        <v>CU</v>
      </c>
      <c r="F482" s="7">
        <f>IF(Data!F482=Entry2!F482,Data!F482,"ERROR")</f>
        <v>1</v>
      </c>
      <c r="G482" s="7" t="str">
        <f>IF(Data!G482=Entry2!G482,Data!G482,"ERROR")</f>
        <v>SU</v>
      </c>
      <c r="H482" s="7">
        <f>IF(Data!H482=Entry2!H482,Data!H482,"ERROR")</f>
        <v>5</v>
      </c>
      <c r="I482" s="7">
        <f>IF(Data!I482=Entry2!I482,Data!I482,"ERROR")</f>
        <v>1</v>
      </c>
      <c r="J482" s="7">
        <f>IF(Data!J482=Entry2!J482,Data!J482,"ERROR")</f>
        <v>3</v>
      </c>
      <c r="K482" s="7" t="str">
        <f>IF(Data!K482=Entry2!K482,Data!K482,"ERROR")</f>
        <v>B</v>
      </c>
      <c r="L482" s="7" t="str">
        <f>IF(Data!L482=Entry2!L482,Data!L482,"ERROR")</f>
        <v>ERROR</v>
      </c>
      <c r="M482" s="7">
        <f>IF(Data!N482=Entry2!M482,Data!N482,"ERROR")</f>
        <v>0</v>
      </c>
    </row>
    <row r="483" spans="1:13" ht="13.2" hidden="1" x14ac:dyDescent="0.25">
      <c r="A483" s="7">
        <f>IF(Data!A483=Entry2!A483,Data!A483,"ERROR")</f>
        <v>10</v>
      </c>
      <c r="B483" s="7">
        <f>IF(Data!B483=Entry2!B483,Data!B483,"ERROR")</f>
        <v>2023</v>
      </c>
      <c r="C483" s="17">
        <f>IF(Data!C483=Entry2!C483,Data!C483,"ERROR")</f>
        <v>45197</v>
      </c>
      <c r="D483" s="7" t="str">
        <f>IF(Data!D483=Entry2!D483,Data!D483,"ERROR")</f>
        <v>MP, TL, MG</v>
      </c>
      <c r="E483" s="7" t="str">
        <f>IF(Data!E483=Entry2!E483,Data!E483,"ERROR")</f>
        <v>CU</v>
      </c>
      <c r="F483" s="7">
        <f>IF(Data!F483=Entry2!F483,Data!F483,"ERROR")</f>
        <v>1</v>
      </c>
      <c r="G483" s="7" t="str">
        <f>IF(Data!G483=Entry2!G483,Data!G483,"ERROR")</f>
        <v>SU</v>
      </c>
      <c r="H483" s="7">
        <f>IF(Data!H483=Entry2!H483,Data!H483,"ERROR")</f>
        <v>6</v>
      </c>
      <c r="I483" s="7">
        <f>IF(Data!I483=Entry2!I483,Data!I483,"ERROR")</f>
        <v>1</v>
      </c>
      <c r="J483" s="7">
        <f>IF(Data!J483=Entry2!J483,Data!J483,"ERROR")</f>
        <v>3.5</v>
      </c>
      <c r="K483" s="7" t="str">
        <f>IF(Data!K483=Entry2!K483,Data!K483,"ERROR")</f>
        <v>B</v>
      </c>
      <c r="L483" s="7" t="str">
        <f>IF(Data!L483=Entry2!L483,Data!L483,"ERROR")</f>
        <v>ERROR</v>
      </c>
      <c r="M483" s="7">
        <f>IF(Data!N483=Entry2!M483,Data!N483,"ERROR")</f>
        <v>0</v>
      </c>
    </row>
    <row r="484" spans="1:13" ht="13.2" hidden="1" x14ac:dyDescent="0.25">
      <c r="A484" s="7">
        <f>IF(Data!A484=Entry2!A484,Data!A484,"ERROR")</f>
        <v>10</v>
      </c>
      <c r="B484" s="7">
        <f>IF(Data!B484=Entry2!B484,Data!B484,"ERROR")</f>
        <v>2023</v>
      </c>
      <c r="C484" s="17">
        <f>IF(Data!C484=Entry2!C484,Data!C484,"ERROR")</f>
        <v>45197</v>
      </c>
      <c r="D484" s="7" t="str">
        <f>IF(Data!D484=Entry2!D484,Data!D484,"ERROR")</f>
        <v>MP, TL, MG</v>
      </c>
      <c r="E484" s="7" t="str">
        <f>IF(Data!E484=Entry2!E484,Data!E484,"ERROR")</f>
        <v>CU</v>
      </c>
      <c r="F484" s="7">
        <f>IF(Data!F484=Entry2!F484,Data!F484,"ERROR")</f>
        <v>1</v>
      </c>
      <c r="G484" s="7" t="str">
        <f>IF(Data!G484=Entry2!G484,Data!G484,"ERROR")</f>
        <v>SU</v>
      </c>
      <c r="H484" s="7">
        <f>IF(Data!H484=Entry2!H484,Data!H484,"ERROR")</f>
        <v>7</v>
      </c>
      <c r="I484" s="7">
        <f>IF(Data!I484=Entry2!I484,Data!I484,"ERROR")</f>
        <v>1</v>
      </c>
      <c r="J484" s="7">
        <f>IF(Data!J484=Entry2!J484,Data!J484,"ERROR")</f>
        <v>4</v>
      </c>
      <c r="K484" s="7" t="str">
        <f>IF(Data!K484=Entry2!K484,Data!K484,"ERROR")</f>
        <v>B</v>
      </c>
      <c r="L484" s="7" t="str">
        <f>IF(Data!L484=Entry2!L484,Data!L484,"ERROR")</f>
        <v>ERROR</v>
      </c>
      <c r="M484" s="7">
        <f>IF(Data!N484=Entry2!M484,Data!N484,"ERROR")</f>
        <v>0</v>
      </c>
    </row>
    <row r="485" spans="1:13" ht="13.2" hidden="1" x14ac:dyDescent="0.25">
      <c r="A485" s="7">
        <f>IF(Data!A485=Entry2!A485,Data!A485,"ERROR")</f>
        <v>10</v>
      </c>
      <c r="B485" s="7">
        <f>IF(Data!B485=Entry2!B485,Data!B485,"ERROR")</f>
        <v>2023</v>
      </c>
      <c r="C485" s="17">
        <f>IF(Data!C485=Entry2!C485,Data!C485,"ERROR")</f>
        <v>45197</v>
      </c>
      <c r="D485" s="7" t="str">
        <f>IF(Data!D485=Entry2!D485,Data!D485,"ERROR")</f>
        <v>MP, TL, MG</v>
      </c>
      <c r="E485" s="7" t="str">
        <f>IF(Data!E485=Entry2!E485,Data!E485,"ERROR")</f>
        <v>CU</v>
      </c>
      <c r="F485" s="7">
        <f>IF(Data!F485=Entry2!F485,Data!F485,"ERROR")</f>
        <v>1</v>
      </c>
      <c r="G485" s="7" t="str">
        <f>IF(Data!G485=Entry2!G485,Data!G485,"ERROR")</f>
        <v>SU</v>
      </c>
      <c r="H485" s="7">
        <f>IF(Data!H485=Entry2!H485,Data!H485,"ERROR")</f>
        <v>8</v>
      </c>
      <c r="I485" s="7">
        <f>IF(Data!I485=Entry2!I485,Data!I485,"ERROR")</f>
        <v>1</v>
      </c>
      <c r="J485" s="7">
        <f>IF(Data!J485=Entry2!J485,Data!J485,"ERROR")</f>
        <v>5</v>
      </c>
      <c r="K485" s="7" t="str">
        <f>IF(Data!K485=Entry2!K485,Data!K485,"ERROR")</f>
        <v>L</v>
      </c>
      <c r="L485" s="7" t="str">
        <f>IF(Data!L485=Entry2!L485,Data!L485,"ERROR")</f>
        <v>ERROR</v>
      </c>
      <c r="M485" s="7">
        <f>IF(Data!N485=Entry2!M485,Data!N485,"ERROR")</f>
        <v>0</v>
      </c>
    </row>
    <row r="486" spans="1:13" ht="13.2" hidden="1" x14ac:dyDescent="0.25">
      <c r="A486" s="7">
        <f>IF(Data!A486=Entry2!A486,Data!A486,"ERROR")</f>
        <v>10</v>
      </c>
      <c r="B486" s="7">
        <f>IF(Data!B486=Entry2!B486,Data!B486,"ERROR")</f>
        <v>2023</v>
      </c>
      <c r="C486" s="17">
        <f>IF(Data!C486=Entry2!C486,Data!C486,"ERROR")</f>
        <v>45197</v>
      </c>
      <c r="D486" s="7" t="str">
        <f>IF(Data!D486=Entry2!D486,Data!D486,"ERROR")</f>
        <v>MP, TL, MG</v>
      </c>
      <c r="E486" s="7" t="str">
        <f>IF(Data!E486=Entry2!E486,Data!E486,"ERROR")</f>
        <v>CU</v>
      </c>
      <c r="F486" s="7">
        <f>IF(Data!F486=Entry2!F486,Data!F486,"ERROR")</f>
        <v>1</v>
      </c>
      <c r="G486" s="7" t="str">
        <f>IF(Data!G486=Entry2!G486,Data!G486,"ERROR")</f>
        <v>SU</v>
      </c>
      <c r="H486" s="7">
        <f>IF(Data!H486=Entry2!H486,Data!H486,"ERROR")</f>
        <v>9</v>
      </c>
      <c r="I486" s="7">
        <f>IF(Data!I486=Entry2!I486,Data!I486,"ERROR")</f>
        <v>1</v>
      </c>
      <c r="J486" s="7">
        <f>IF(Data!J486=Entry2!J486,Data!J486,"ERROR")</f>
        <v>7</v>
      </c>
      <c r="K486" s="7" t="str">
        <f>IF(Data!K486=Entry2!K486,Data!K486,"ERROR")</f>
        <v>L</v>
      </c>
      <c r="L486" s="7" t="str">
        <f>IF(Data!L486=Entry2!L486,Data!L486,"ERROR")</f>
        <v>ERROR</v>
      </c>
      <c r="M486" s="7">
        <f>IF(Data!N486=Entry2!M486,Data!N486,"ERROR")</f>
        <v>0</v>
      </c>
    </row>
    <row r="487" spans="1:13" ht="13.2" hidden="1" x14ac:dyDescent="0.25">
      <c r="A487" s="7">
        <f>IF(Data!A487=Entry2!A487,Data!A487,"ERROR")</f>
        <v>10</v>
      </c>
      <c r="B487" s="7">
        <f>IF(Data!B487=Entry2!B487,Data!B487,"ERROR")</f>
        <v>2023</v>
      </c>
      <c r="C487" s="17">
        <f>IF(Data!C487=Entry2!C487,Data!C487,"ERROR")</f>
        <v>45197</v>
      </c>
      <c r="D487" s="7" t="str">
        <f>IF(Data!D487=Entry2!D487,Data!D487,"ERROR")</f>
        <v>MP, TL, MG</v>
      </c>
      <c r="E487" s="7" t="str">
        <f>IF(Data!E487=Entry2!E487,Data!E487,"ERROR")</f>
        <v>CU</v>
      </c>
      <c r="F487" s="7">
        <f>IF(Data!F487=Entry2!F487,Data!F487,"ERROR")</f>
        <v>1</v>
      </c>
      <c r="G487" s="7" t="str">
        <f>IF(Data!G487=Entry2!G487,Data!G487,"ERROR")</f>
        <v>SU</v>
      </c>
      <c r="H487" s="7">
        <f>IF(Data!H487=Entry2!H487,Data!H487,"ERROR")</f>
        <v>9</v>
      </c>
      <c r="I487" s="7">
        <f>IF(Data!I487=Entry2!I487,Data!I487,"ERROR")</f>
        <v>1</v>
      </c>
      <c r="J487" s="7">
        <f>IF(Data!J487=Entry2!J487,Data!J487,"ERROR")</f>
        <v>7</v>
      </c>
      <c r="K487" s="7" t="str">
        <f>IF(Data!K487=Entry2!K487,Data!K487,"ERROR")</f>
        <v>DEIFAS</v>
      </c>
      <c r="L487" s="7" t="str">
        <f>IF(Data!L487=Entry2!L487,Data!L487,"ERROR")</f>
        <v>ERROR</v>
      </c>
      <c r="M487" s="7">
        <f>IF(Data!N487=Entry2!M487,Data!N487,"ERROR")</f>
        <v>0</v>
      </c>
    </row>
    <row r="488" spans="1:13" ht="13.2" hidden="1" x14ac:dyDescent="0.25">
      <c r="A488" s="7">
        <f>IF(Data!A488=Entry2!A488,Data!A488,"ERROR")</f>
        <v>10</v>
      </c>
      <c r="B488" s="7">
        <f>IF(Data!B488=Entry2!B488,Data!B488,"ERROR")</f>
        <v>2023</v>
      </c>
      <c r="C488" s="17">
        <f>IF(Data!C488=Entry2!C488,Data!C488,"ERROR")</f>
        <v>45197</v>
      </c>
      <c r="D488" s="7" t="str">
        <f>IF(Data!D488=Entry2!D488,Data!D488,"ERROR")</f>
        <v>MP, TL, MG</v>
      </c>
      <c r="E488" s="7" t="str">
        <f>IF(Data!E488=Entry2!E488,Data!E488,"ERROR")</f>
        <v>CU</v>
      </c>
      <c r="F488" s="7">
        <f>IF(Data!F488=Entry2!F488,Data!F488,"ERROR")</f>
        <v>1</v>
      </c>
      <c r="G488" s="7" t="str">
        <f>IF(Data!G488=Entry2!G488,Data!G488,"ERROR")</f>
        <v>SU</v>
      </c>
      <c r="H488" s="7">
        <f>IF(Data!H488=Entry2!H488,Data!H488,"ERROR")</f>
        <v>10</v>
      </c>
      <c r="I488" s="7">
        <f>IF(Data!I488=Entry2!I488,Data!I488,"ERROR")</f>
        <v>1</v>
      </c>
      <c r="J488" s="7">
        <f>IF(Data!J488=Entry2!J488,Data!J488,"ERROR")</f>
        <v>8</v>
      </c>
      <c r="K488" s="7" t="str">
        <f>IF(Data!K488=Entry2!K488,Data!K488,"ERROR")</f>
        <v>L</v>
      </c>
      <c r="L488" s="7" t="str">
        <f>IF(Data!L488=Entry2!L488,Data!L488,"ERROR")</f>
        <v>ERROR</v>
      </c>
      <c r="M488" s="7">
        <f>IF(Data!N488=Entry2!M488,Data!N488,"ERROR")</f>
        <v>0</v>
      </c>
    </row>
    <row r="489" spans="1:13" ht="13.2" hidden="1" x14ac:dyDescent="0.25">
      <c r="A489" s="7">
        <f>IF(Data!A489=Entry2!A489,Data!A489,"ERROR")</f>
        <v>10</v>
      </c>
      <c r="B489" s="7">
        <f>IF(Data!B489=Entry2!B489,Data!B489,"ERROR")</f>
        <v>2023</v>
      </c>
      <c r="C489" s="17">
        <f>IF(Data!C489=Entry2!C489,Data!C489,"ERROR")</f>
        <v>45197</v>
      </c>
      <c r="D489" s="7" t="str">
        <f>IF(Data!D489=Entry2!D489,Data!D489,"ERROR")</f>
        <v>MP, TL, MG</v>
      </c>
      <c r="E489" s="7" t="str">
        <f>IF(Data!E489=Entry2!E489,Data!E489,"ERROR")</f>
        <v>CU</v>
      </c>
      <c r="F489" s="7">
        <f>IF(Data!F489=Entry2!F489,Data!F489,"ERROR")</f>
        <v>1</v>
      </c>
      <c r="G489" s="7" t="str">
        <f>IF(Data!G489=Entry2!G489,Data!G489,"ERROR")</f>
        <v>SU</v>
      </c>
      <c r="H489" s="7">
        <f>IF(Data!H489=Entry2!H489,Data!H489,"ERROR")</f>
        <v>11</v>
      </c>
      <c r="I489" s="7">
        <f>IF(Data!I489=Entry2!I489,Data!I489,"ERROR")</f>
        <v>1</v>
      </c>
      <c r="J489" s="7">
        <f>IF(Data!J489=Entry2!J489,Data!J489,"ERROR")</f>
        <v>8.5</v>
      </c>
      <c r="K489" s="7" t="str">
        <f>IF(Data!K489=Entry2!K489,Data!K489,"ERROR")</f>
        <v>B</v>
      </c>
      <c r="L489" s="7" t="str">
        <f>IF(Data!L489=Entry2!L489,Data!L489,"ERROR")</f>
        <v>ERROR</v>
      </c>
      <c r="M489" s="7">
        <f>IF(Data!N489=Entry2!M489,Data!N489,"ERROR")</f>
        <v>0</v>
      </c>
    </row>
    <row r="490" spans="1:13" ht="13.2" hidden="1" x14ac:dyDescent="0.25">
      <c r="A490" s="7">
        <f>IF(Data!A490=Entry2!A490,Data!A490,"ERROR")</f>
        <v>10</v>
      </c>
      <c r="B490" s="7">
        <f>IF(Data!B490=Entry2!B490,Data!B490,"ERROR")</f>
        <v>2023</v>
      </c>
      <c r="C490" s="17">
        <f>IF(Data!C490=Entry2!C490,Data!C490,"ERROR")</f>
        <v>45197</v>
      </c>
      <c r="D490" s="7" t="str">
        <f>IF(Data!D490=Entry2!D490,Data!D490,"ERROR")</f>
        <v>MP, TL, MG</v>
      </c>
      <c r="E490" s="7" t="str">
        <f>IF(Data!E490=Entry2!E490,Data!E490,"ERROR")</f>
        <v>CU</v>
      </c>
      <c r="F490" s="7">
        <f>IF(Data!F490=Entry2!F490,Data!F490,"ERROR")</f>
        <v>1</v>
      </c>
      <c r="G490" s="7" t="str">
        <f>IF(Data!G490=Entry2!G490,Data!G490,"ERROR")</f>
        <v>SU</v>
      </c>
      <c r="H490" s="7">
        <f>IF(Data!H490=Entry2!H490,Data!H490,"ERROR")</f>
        <v>12</v>
      </c>
      <c r="I490" s="7">
        <f>IF(Data!I490=Entry2!I490,Data!I490,"ERROR")</f>
        <v>1</v>
      </c>
      <c r="J490" s="7">
        <f>IF(Data!J490=Entry2!J490,Data!J490,"ERROR")</f>
        <v>9</v>
      </c>
      <c r="K490" s="7" t="str">
        <f>IF(Data!K490=Entry2!K490,Data!K490,"ERROR")</f>
        <v>R</v>
      </c>
      <c r="L490" s="7" t="str">
        <f>IF(Data!L490=Entry2!L490,Data!L490,"ERROR")</f>
        <v>ERROR</v>
      </c>
      <c r="M490" s="7">
        <f>IF(Data!N490=Entry2!M490,Data!N490,"ERROR")</f>
        <v>0</v>
      </c>
    </row>
    <row r="491" spans="1:13" ht="13.2" hidden="1" x14ac:dyDescent="0.25">
      <c r="A491" s="7">
        <f>IF(Data!A491=Entry2!A491,Data!A491,"ERROR")</f>
        <v>10</v>
      </c>
      <c r="B491" s="7">
        <f>IF(Data!B491=Entry2!B491,Data!B491,"ERROR")</f>
        <v>2023</v>
      </c>
      <c r="C491" s="17">
        <f>IF(Data!C491=Entry2!C491,Data!C491,"ERROR")</f>
        <v>45197</v>
      </c>
      <c r="D491" s="7" t="str">
        <f>IF(Data!D491=Entry2!D491,Data!D491,"ERROR")</f>
        <v>MP, TL, MG</v>
      </c>
      <c r="E491" s="7" t="str">
        <f>IF(Data!E491=Entry2!E491,Data!E491,"ERROR")</f>
        <v>CU</v>
      </c>
      <c r="F491" s="7">
        <f>IF(Data!F491=Entry2!F491,Data!F491,"ERROR")</f>
        <v>1</v>
      </c>
      <c r="G491" s="7" t="str">
        <f>IF(Data!G491=Entry2!G491,Data!G491,"ERROR")</f>
        <v>SU</v>
      </c>
      <c r="H491" s="7">
        <f>IF(Data!H491=Entry2!H491,Data!H491,"ERROR")</f>
        <v>13</v>
      </c>
      <c r="I491" s="7">
        <f>IF(Data!I491=Entry2!I491,Data!I491,"ERROR")</f>
        <v>1</v>
      </c>
      <c r="J491" s="7">
        <f>IF(Data!J491=Entry2!J491,Data!J491,"ERROR")</f>
        <v>10</v>
      </c>
      <c r="K491" s="7" t="str">
        <f>IF(Data!K491=Entry2!K491,Data!K491,"ERROR")</f>
        <v>B</v>
      </c>
      <c r="L491" s="7" t="str">
        <f>IF(Data!L491=Entry2!L491,Data!L491,"ERROR")</f>
        <v>ERROR</v>
      </c>
      <c r="M491" s="7">
        <f>IF(Data!N491=Entry2!M491,Data!N491,"ERROR")</f>
        <v>0</v>
      </c>
    </row>
    <row r="492" spans="1:13" ht="13.2" hidden="1" x14ac:dyDescent="0.25">
      <c r="A492" s="7">
        <f>IF(Data!A492=Entry2!A492,Data!A492,"ERROR")</f>
        <v>10</v>
      </c>
      <c r="B492" s="7">
        <f>IF(Data!B492=Entry2!B492,Data!B492,"ERROR")</f>
        <v>2023</v>
      </c>
      <c r="C492" s="17">
        <f>IF(Data!C492=Entry2!C492,Data!C492,"ERROR")</f>
        <v>45197</v>
      </c>
      <c r="D492" s="7" t="str">
        <f>IF(Data!D492=Entry2!D492,Data!D492,"ERROR")</f>
        <v>MP, TL, MG</v>
      </c>
      <c r="E492" s="7" t="str">
        <f>IF(Data!E492=Entry2!E492,Data!E492,"ERROR")</f>
        <v>CU</v>
      </c>
      <c r="F492" s="7">
        <f>IF(Data!F492=Entry2!F492,Data!F492,"ERROR")</f>
        <v>1</v>
      </c>
      <c r="G492" s="7" t="str">
        <f>IF(Data!G492=Entry2!G492,Data!G492,"ERROR")</f>
        <v>SU</v>
      </c>
      <c r="H492" s="7">
        <f>IF(Data!H492=Entry2!H492,Data!H492,"ERROR")</f>
        <v>13</v>
      </c>
      <c r="I492" s="7">
        <f>IF(Data!I492=Entry2!I492,Data!I492,"ERROR")</f>
        <v>1</v>
      </c>
      <c r="J492" s="7">
        <f>IF(Data!J492=Entry2!J492,Data!J492,"ERROR")</f>
        <v>10</v>
      </c>
      <c r="K492" s="7" t="str">
        <f>IF(Data!K492=Entry2!K492,Data!K492,"ERROR")</f>
        <v>CONARV</v>
      </c>
      <c r="L492" s="7" t="str">
        <f>IF(Data!L492=Entry2!L492,Data!L492,"ERROR")</f>
        <v>ERROR</v>
      </c>
      <c r="M492" s="7">
        <f>IF(Data!N492=Entry2!M492,Data!N492,"ERROR")</f>
        <v>0</v>
      </c>
    </row>
    <row r="493" spans="1:13" ht="13.2" hidden="1" x14ac:dyDescent="0.25">
      <c r="A493" s="7">
        <f>IF(Data!A493=Entry2!A493,Data!A493,"ERROR")</f>
        <v>10</v>
      </c>
      <c r="B493" s="7">
        <f>IF(Data!B493=Entry2!B493,Data!B493,"ERROR")</f>
        <v>2023</v>
      </c>
      <c r="C493" s="17">
        <f>IF(Data!C493=Entry2!C493,Data!C493,"ERROR")</f>
        <v>45197</v>
      </c>
      <c r="D493" s="7" t="str">
        <f>IF(Data!D493=Entry2!D493,Data!D493,"ERROR")</f>
        <v>MP, TL, MG</v>
      </c>
      <c r="E493" s="7" t="str">
        <f>IF(Data!E493=Entry2!E493,Data!E493,"ERROR")</f>
        <v>CU</v>
      </c>
      <c r="F493" s="7">
        <f>IF(Data!F493=Entry2!F493,Data!F493,"ERROR")</f>
        <v>1</v>
      </c>
      <c r="G493" s="7" t="str">
        <f>IF(Data!G493=Entry2!G493,Data!G493,"ERROR")</f>
        <v>SU</v>
      </c>
      <c r="H493" s="7">
        <f>IF(Data!H493=Entry2!H493,Data!H493,"ERROR")</f>
        <v>14</v>
      </c>
      <c r="I493" s="7">
        <f>IF(Data!I493=Entry2!I493,Data!I493,"ERROR")</f>
        <v>1</v>
      </c>
      <c r="J493" s="7">
        <f>IF(Data!J493=Entry2!J493,Data!J493,"ERROR")</f>
        <v>11</v>
      </c>
      <c r="K493" s="7" t="str">
        <f>IF(Data!K493=Entry2!K493,Data!K493,"ERROR")</f>
        <v>R</v>
      </c>
      <c r="L493" s="7" t="str">
        <f>IF(Data!L493=Entry2!L493,Data!L493,"ERROR")</f>
        <v>ERROR</v>
      </c>
      <c r="M493" s="7">
        <f>IF(Data!N493=Entry2!M493,Data!N493,"ERROR")</f>
        <v>0</v>
      </c>
    </row>
    <row r="494" spans="1:13" ht="13.2" hidden="1" x14ac:dyDescent="0.25">
      <c r="A494" s="7">
        <f>IF(Data!A494=Entry2!A494,Data!A494,"ERROR")</f>
        <v>10</v>
      </c>
      <c r="B494" s="7">
        <f>IF(Data!B494=Entry2!B494,Data!B494,"ERROR")</f>
        <v>2023</v>
      </c>
      <c r="C494" s="17">
        <f>IF(Data!C494=Entry2!C494,Data!C494,"ERROR")</f>
        <v>45197</v>
      </c>
      <c r="D494" s="7" t="str">
        <f>IF(Data!D494=Entry2!D494,Data!D494,"ERROR")</f>
        <v>MP, TL, MG</v>
      </c>
      <c r="E494" s="7" t="str">
        <f>IF(Data!E494=Entry2!E494,Data!E494,"ERROR")</f>
        <v>CU</v>
      </c>
      <c r="F494" s="7">
        <f>IF(Data!F494=Entry2!F494,Data!F494,"ERROR")</f>
        <v>1</v>
      </c>
      <c r="G494" s="7" t="str">
        <f>IF(Data!G494=Entry2!G494,Data!G494,"ERROR")</f>
        <v>SU</v>
      </c>
      <c r="H494" s="7">
        <f>IF(Data!H494=Entry2!H494,Data!H494,"ERROR")</f>
        <v>15</v>
      </c>
      <c r="I494" s="7">
        <f>IF(Data!I494=Entry2!I494,Data!I494,"ERROR")</f>
        <v>1</v>
      </c>
      <c r="J494" s="7">
        <f>IF(Data!J494=Entry2!J494,Data!J494,"ERROR")</f>
        <v>12</v>
      </c>
      <c r="K494" s="7" t="str">
        <f>IF(Data!K494=Entry2!K494,Data!K494,"ERROR")</f>
        <v>B</v>
      </c>
      <c r="L494" s="7" t="str">
        <f>IF(Data!L494=Entry2!L494,Data!L494,"ERROR")</f>
        <v>ERROR</v>
      </c>
      <c r="M494" s="7">
        <f>IF(Data!N494=Entry2!M494,Data!N494,"ERROR")</f>
        <v>0</v>
      </c>
    </row>
    <row r="495" spans="1:13" ht="13.2" hidden="1" x14ac:dyDescent="0.25">
      <c r="A495" s="7">
        <f>IF(Data!A495=Entry2!A495,Data!A495,"ERROR")</f>
        <v>10</v>
      </c>
      <c r="B495" s="7">
        <f>IF(Data!B495=Entry2!B495,Data!B495,"ERROR")</f>
        <v>2023</v>
      </c>
      <c r="C495" s="17">
        <f>IF(Data!C495=Entry2!C495,Data!C495,"ERROR")</f>
        <v>45197</v>
      </c>
      <c r="D495" s="7" t="str">
        <f>IF(Data!D495=Entry2!D495,Data!D495,"ERROR")</f>
        <v>MP, TL, MG</v>
      </c>
      <c r="E495" s="7" t="str">
        <f>IF(Data!E495=Entry2!E495,Data!E495,"ERROR")</f>
        <v>CU</v>
      </c>
      <c r="F495" s="7">
        <f>IF(Data!F495=Entry2!F495,Data!F495,"ERROR")</f>
        <v>1</v>
      </c>
      <c r="G495" s="7" t="str">
        <f>IF(Data!G495=Entry2!G495,Data!G495,"ERROR")</f>
        <v>SU</v>
      </c>
      <c r="H495" s="7">
        <f>IF(Data!H495=Entry2!H495,Data!H495,"ERROR")</f>
        <v>1</v>
      </c>
      <c r="I495" s="7">
        <f>IF(Data!I495=Entry2!I495,Data!I495,"ERROR")</f>
        <v>2</v>
      </c>
      <c r="J495" s="7">
        <f>IF(Data!J495=Entry2!J495,Data!J495,"ERROR")</f>
        <v>0</v>
      </c>
      <c r="K495" s="7" t="str">
        <f>IF(Data!K495=Entry2!K495,Data!K495,"ERROR")</f>
        <v>R</v>
      </c>
      <c r="L495" s="7" t="str">
        <f>IF(Data!L495=Entry2!L495,Data!L495,"ERROR")</f>
        <v>ERROR</v>
      </c>
      <c r="M495" s="7">
        <f>IF(Data!N495=Entry2!M495,Data!N495,"ERROR")</f>
        <v>0</v>
      </c>
    </row>
    <row r="496" spans="1:13" ht="13.2" hidden="1" x14ac:dyDescent="0.25">
      <c r="A496" s="7">
        <f>IF(Data!A496=Entry2!A496,Data!A496,"ERROR")</f>
        <v>10</v>
      </c>
      <c r="B496" s="7">
        <f>IF(Data!B496=Entry2!B496,Data!B496,"ERROR")</f>
        <v>2023</v>
      </c>
      <c r="C496" s="17">
        <f>IF(Data!C496=Entry2!C496,Data!C496,"ERROR")</f>
        <v>45197</v>
      </c>
      <c r="D496" s="7" t="str">
        <f>IF(Data!D496=Entry2!D496,Data!D496,"ERROR")</f>
        <v>MP, TL, MG</v>
      </c>
      <c r="E496" s="7" t="str">
        <f>IF(Data!E496=Entry2!E496,Data!E496,"ERROR")</f>
        <v>CU</v>
      </c>
      <c r="F496" s="7">
        <f>IF(Data!F496=Entry2!F496,Data!F496,"ERROR")</f>
        <v>1</v>
      </c>
      <c r="G496" s="7" t="str">
        <f>IF(Data!G496=Entry2!G496,Data!G496,"ERROR")</f>
        <v>SU</v>
      </c>
      <c r="H496" s="7">
        <f>IF(Data!H496=Entry2!H496,Data!H496,"ERROR")</f>
        <v>1</v>
      </c>
      <c r="I496" s="7">
        <f>IF(Data!I496=Entry2!I496,Data!I496,"ERROR")</f>
        <v>2</v>
      </c>
      <c r="J496" s="7">
        <f>IF(Data!J496=Entry2!J496,Data!J496,"ERROR")</f>
        <v>0</v>
      </c>
      <c r="K496" s="7" t="str">
        <f>IF(Data!K496=Entry2!K496,Data!K496,"ERROR")</f>
        <v>STEDIE</v>
      </c>
      <c r="L496" s="7" t="str">
        <f>IF(Data!L496=Entry2!L496,Data!L496,"ERROR")</f>
        <v>ERROR</v>
      </c>
      <c r="M496" s="7">
        <f>IF(Data!N496=Entry2!M496,Data!N496,"ERROR")</f>
        <v>0</v>
      </c>
    </row>
    <row r="497" spans="1:13" ht="13.2" hidden="1" x14ac:dyDescent="0.25">
      <c r="A497" s="7">
        <f>IF(Data!A497=Entry2!A497,Data!A497,"ERROR")</f>
        <v>10</v>
      </c>
      <c r="B497" s="7">
        <f>IF(Data!B497=Entry2!B497,Data!B497,"ERROR")</f>
        <v>2023</v>
      </c>
      <c r="C497" s="17">
        <f>IF(Data!C497=Entry2!C497,Data!C497,"ERROR")</f>
        <v>45197</v>
      </c>
      <c r="D497" s="7" t="str">
        <f>IF(Data!D497=Entry2!D497,Data!D497,"ERROR")</f>
        <v>MP, TL, MG</v>
      </c>
      <c r="E497" s="7" t="str">
        <f>IF(Data!E497=Entry2!E497,Data!E497,"ERROR")</f>
        <v>CU</v>
      </c>
      <c r="F497" s="7">
        <f>IF(Data!F497=Entry2!F497,Data!F497,"ERROR")</f>
        <v>1</v>
      </c>
      <c r="G497" s="7" t="str">
        <f>IF(Data!G497=Entry2!G497,Data!G497,"ERROR")</f>
        <v>SU</v>
      </c>
      <c r="H497" s="7">
        <f>IF(Data!H497=Entry2!H497,Data!H497,"ERROR")</f>
        <v>2</v>
      </c>
      <c r="I497" s="7">
        <f>IF(Data!I497=Entry2!I497,Data!I497,"ERROR")</f>
        <v>2</v>
      </c>
      <c r="J497" s="7">
        <f>IF(Data!J497=Entry2!J497,Data!J497,"ERROR")</f>
        <v>1</v>
      </c>
      <c r="K497" s="7" t="str">
        <f>IF(Data!K497=Entry2!K497,Data!K497,"ERROR")</f>
        <v>B</v>
      </c>
      <c r="L497" s="7" t="str">
        <f>IF(Data!L497=Entry2!L497,Data!L497,"ERROR")</f>
        <v>ERROR</v>
      </c>
      <c r="M497" s="7">
        <f>IF(Data!N497=Entry2!M497,Data!N497,"ERROR")</f>
        <v>0</v>
      </c>
    </row>
    <row r="498" spans="1:13" ht="13.2" hidden="1" x14ac:dyDescent="0.25">
      <c r="A498" s="7">
        <f>IF(Data!A498=Entry2!A498,Data!A498,"ERROR")</f>
        <v>10</v>
      </c>
      <c r="B498" s="7">
        <f>IF(Data!B498=Entry2!B498,Data!B498,"ERROR")</f>
        <v>2023</v>
      </c>
      <c r="C498" s="17">
        <f>IF(Data!C498=Entry2!C498,Data!C498,"ERROR")</f>
        <v>45197</v>
      </c>
      <c r="D498" s="7" t="str">
        <f>IF(Data!D498=Entry2!D498,Data!D498,"ERROR")</f>
        <v>MP, TL, MG</v>
      </c>
      <c r="E498" s="7" t="str">
        <f>IF(Data!E498=Entry2!E498,Data!E498,"ERROR")</f>
        <v>CU</v>
      </c>
      <c r="F498" s="7">
        <f>IF(Data!F498=Entry2!F498,Data!F498,"ERROR")</f>
        <v>1</v>
      </c>
      <c r="G498" s="7" t="str">
        <f>IF(Data!G498=Entry2!G498,Data!G498,"ERROR")</f>
        <v>SU</v>
      </c>
      <c r="H498" s="7">
        <f>IF(Data!H498=Entry2!H498,Data!H498,"ERROR")</f>
        <v>3</v>
      </c>
      <c r="I498" s="7">
        <f>IF(Data!I498=Entry2!I498,Data!I498,"ERROR")</f>
        <v>2</v>
      </c>
      <c r="J498" s="7">
        <f>IF(Data!J498=Entry2!J498,Data!J498,"ERROR")</f>
        <v>1.5</v>
      </c>
      <c r="K498" s="7" t="str">
        <f>IF(Data!K498=Entry2!K498,Data!K498,"ERROR")</f>
        <v>B</v>
      </c>
      <c r="L498" s="7" t="str">
        <f>IF(Data!L498=Entry2!L498,Data!L498,"ERROR")</f>
        <v>ERROR</v>
      </c>
      <c r="M498" s="7">
        <f>IF(Data!N498=Entry2!M498,Data!N498,"ERROR")</f>
        <v>0</v>
      </c>
    </row>
    <row r="499" spans="1:13" ht="13.2" hidden="1" x14ac:dyDescent="0.25">
      <c r="A499" s="7">
        <f>IF(Data!A499=Entry2!A499,Data!A499,"ERROR")</f>
        <v>10</v>
      </c>
      <c r="B499" s="7">
        <f>IF(Data!B499=Entry2!B499,Data!B499,"ERROR")</f>
        <v>2023</v>
      </c>
      <c r="C499" s="17">
        <f>IF(Data!C499=Entry2!C499,Data!C499,"ERROR")</f>
        <v>45197</v>
      </c>
      <c r="D499" s="7" t="str">
        <f>IF(Data!D499=Entry2!D499,Data!D499,"ERROR")</f>
        <v>MP, TL, MG</v>
      </c>
      <c r="E499" s="7" t="str">
        <f>IF(Data!E499=Entry2!E499,Data!E499,"ERROR")</f>
        <v>CU</v>
      </c>
      <c r="F499" s="7">
        <f>IF(Data!F499=Entry2!F499,Data!F499,"ERROR")</f>
        <v>1</v>
      </c>
      <c r="G499" s="7" t="str">
        <f>IF(Data!G499=Entry2!G499,Data!G499,"ERROR")</f>
        <v>SU</v>
      </c>
      <c r="H499" s="7">
        <f>IF(Data!H499=Entry2!H499,Data!H499,"ERROR")</f>
        <v>3</v>
      </c>
      <c r="I499" s="7">
        <f>IF(Data!I499=Entry2!I499,Data!I499,"ERROR")</f>
        <v>2</v>
      </c>
      <c r="J499" s="7">
        <f>IF(Data!J499=Entry2!J499,Data!J499,"ERROR")</f>
        <v>1.5</v>
      </c>
      <c r="K499" s="7" t="str">
        <f>IF(Data!K499=Entry2!K499,Data!K499,"ERROR")</f>
        <v>EROCIC</v>
      </c>
      <c r="L499" s="7" t="str">
        <f>IF(Data!L499=Entry2!L499,Data!L499,"ERROR")</f>
        <v>ERROR</v>
      </c>
      <c r="M499" s="7" t="str">
        <f>IF(Data!N499=Entry2!M499,Data!N499,"ERROR")</f>
        <v>ERROR</v>
      </c>
    </row>
    <row r="500" spans="1:13" ht="13.2" hidden="1" x14ac:dyDescent="0.25">
      <c r="A500" s="7">
        <f>IF(Data!A500=Entry2!A500,Data!A500,"ERROR")</f>
        <v>10</v>
      </c>
      <c r="B500" s="7">
        <f>IF(Data!B500=Entry2!B500,Data!B500,"ERROR")</f>
        <v>2023</v>
      </c>
      <c r="C500" s="17">
        <f>IF(Data!C500=Entry2!C500,Data!C500,"ERROR")</f>
        <v>45197</v>
      </c>
      <c r="D500" s="7" t="str">
        <f>IF(Data!D500=Entry2!D500,Data!D500,"ERROR")</f>
        <v>MP, TL, MG</v>
      </c>
      <c r="E500" s="7" t="str">
        <f>IF(Data!E500=Entry2!E500,Data!E500,"ERROR")</f>
        <v>CU</v>
      </c>
      <c r="F500" s="7">
        <f>IF(Data!F500=Entry2!F500,Data!F500,"ERROR")</f>
        <v>1</v>
      </c>
      <c r="G500" s="7" t="str">
        <f>IF(Data!G500=Entry2!G500,Data!G500,"ERROR")</f>
        <v>SU</v>
      </c>
      <c r="H500" s="7">
        <f>IF(Data!H500=Entry2!H500,Data!H500,"ERROR")</f>
        <v>4</v>
      </c>
      <c r="I500" s="7">
        <f>IF(Data!I500=Entry2!I500,Data!I500,"ERROR")</f>
        <v>2</v>
      </c>
      <c r="J500" s="7">
        <f>IF(Data!J500=Entry2!J500,Data!J500,"ERROR")</f>
        <v>2</v>
      </c>
      <c r="K500" s="7" t="str">
        <f>IF(Data!K500=Entry2!K500,Data!K500,"ERROR")</f>
        <v>B</v>
      </c>
      <c r="L500" s="7" t="str">
        <f>IF(Data!L500=Entry2!L500,Data!L500,"ERROR")</f>
        <v>ERROR</v>
      </c>
      <c r="M500" s="7">
        <f>IF(Data!N500=Entry2!M500,Data!N500,"ERROR")</f>
        <v>0</v>
      </c>
    </row>
    <row r="501" spans="1:13" ht="13.2" hidden="1" x14ac:dyDescent="0.25">
      <c r="A501" s="7">
        <f>IF(Data!A501=Entry2!A501,Data!A501,"ERROR")</f>
        <v>10</v>
      </c>
      <c r="B501" s="7">
        <f>IF(Data!B501=Entry2!B501,Data!B501,"ERROR")</f>
        <v>2023</v>
      </c>
      <c r="C501" s="17">
        <f>IF(Data!C501=Entry2!C501,Data!C501,"ERROR")</f>
        <v>45197</v>
      </c>
      <c r="D501" s="7" t="str">
        <f>IF(Data!D501=Entry2!D501,Data!D501,"ERROR")</f>
        <v>MP, TL, MG</v>
      </c>
      <c r="E501" s="7" t="str">
        <f>IF(Data!E501=Entry2!E501,Data!E501,"ERROR")</f>
        <v>CU</v>
      </c>
      <c r="F501" s="7">
        <f>IF(Data!F501=Entry2!F501,Data!F501,"ERROR")</f>
        <v>1</v>
      </c>
      <c r="G501" s="7" t="str">
        <f>IF(Data!G501=Entry2!G501,Data!G501,"ERROR")</f>
        <v>SU</v>
      </c>
      <c r="H501" s="7">
        <f>IF(Data!H501=Entry2!H501,Data!H501,"ERROR")</f>
        <v>5</v>
      </c>
      <c r="I501" s="7">
        <f>IF(Data!I501=Entry2!I501,Data!I501,"ERROR")</f>
        <v>2</v>
      </c>
      <c r="J501" s="7">
        <f>IF(Data!J501=Entry2!J501,Data!J501,"ERROR")</f>
        <v>3</v>
      </c>
      <c r="K501" s="7" t="str">
        <f>IF(Data!K501=Entry2!K501,Data!K501,"ERROR")</f>
        <v>L</v>
      </c>
      <c r="L501" s="7" t="str">
        <f>IF(Data!L501=Entry2!L501,Data!L501,"ERROR")</f>
        <v>ERROR</v>
      </c>
      <c r="M501" s="7">
        <f>IF(Data!N501=Entry2!M501,Data!N501,"ERROR")</f>
        <v>0</v>
      </c>
    </row>
    <row r="502" spans="1:13" ht="13.2" hidden="1" x14ac:dyDescent="0.25">
      <c r="A502" s="7">
        <f>IF(Data!A502=Entry2!A502,Data!A502,"ERROR")</f>
        <v>10</v>
      </c>
      <c r="B502" s="7">
        <f>IF(Data!B502=Entry2!B502,Data!B502,"ERROR")</f>
        <v>2023</v>
      </c>
      <c r="C502" s="17">
        <f>IF(Data!C502=Entry2!C502,Data!C502,"ERROR")</f>
        <v>45197</v>
      </c>
      <c r="D502" s="7" t="str">
        <f>IF(Data!D502=Entry2!D502,Data!D502,"ERROR")</f>
        <v>MP, TL, MG</v>
      </c>
      <c r="E502" s="7" t="str">
        <f>IF(Data!E502=Entry2!E502,Data!E502,"ERROR")</f>
        <v>CU</v>
      </c>
      <c r="F502" s="7">
        <f>IF(Data!F502=Entry2!F502,Data!F502,"ERROR")</f>
        <v>1</v>
      </c>
      <c r="G502" s="7" t="str">
        <f>IF(Data!G502=Entry2!G502,Data!G502,"ERROR")</f>
        <v>SU</v>
      </c>
      <c r="H502" s="7">
        <f>IF(Data!H502=Entry2!H502,Data!H502,"ERROR")</f>
        <v>6</v>
      </c>
      <c r="I502" s="7">
        <f>IF(Data!I502=Entry2!I502,Data!I502,"ERROR")</f>
        <v>2</v>
      </c>
      <c r="J502" s="7">
        <f>IF(Data!J502=Entry2!J502,Data!J502,"ERROR")</f>
        <v>3.5</v>
      </c>
      <c r="K502" s="7" t="str">
        <f>IF(Data!K502=Entry2!K502,Data!K502,"ERROR")</f>
        <v>B</v>
      </c>
      <c r="L502" s="7" t="str">
        <f>IF(Data!L502=Entry2!L502,Data!L502,"ERROR")</f>
        <v>ERROR</v>
      </c>
      <c r="M502" s="7">
        <f>IF(Data!N502=Entry2!M502,Data!N502,"ERROR")</f>
        <v>0</v>
      </c>
    </row>
    <row r="503" spans="1:13" ht="13.2" hidden="1" x14ac:dyDescent="0.25">
      <c r="A503" s="7">
        <f>IF(Data!A503=Entry2!A503,Data!A503,"ERROR")</f>
        <v>10</v>
      </c>
      <c r="B503" s="7">
        <f>IF(Data!B503=Entry2!B503,Data!B503,"ERROR")</f>
        <v>2023</v>
      </c>
      <c r="C503" s="17">
        <f>IF(Data!C503=Entry2!C503,Data!C503,"ERROR")</f>
        <v>45197</v>
      </c>
      <c r="D503" s="7" t="str">
        <f>IF(Data!D503=Entry2!D503,Data!D503,"ERROR")</f>
        <v>MP, TL, MG</v>
      </c>
      <c r="E503" s="7" t="str">
        <f>IF(Data!E503=Entry2!E503,Data!E503,"ERROR")</f>
        <v>CU</v>
      </c>
      <c r="F503" s="7">
        <f>IF(Data!F503=Entry2!F503,Data!F503,"ERROR")</f>
        <v>1</v>
      </c>
      <c r="G503" s="7" t="str">
        <f>IF(Data!G503=Entry2!G503,Data!G503,"ERROR")</f>
        <v>SU</v>
      </c>
      <c r="H503" s="7">
        <f>IF(Data!H503=Entry2!H503,Data!H503,"ERROR")</f>
        <v>7</v>
      </c>
      <c r="I503" s="7">
        <f>IF(Data!I503=Entry2!I503,Data!I503,"ERROR")</f>
        <v>2</v>
      </c>
      <c r="J503" s="7">
        <f>IF(Data!J503=Entry2!J503,Data!J503,"ERROR")</f>
        <v>4</v>
      </c>
      <c r="K503" s="7" t="str">
        <f>IF(Data!K503=Entry2!K503,Data!K503,"ERROR")</f>
        <v>B</v>
      </c>
      <c r="L503" s="7" t="str">
        <f>IF(Data!L503=Entry2!L503,Data!L503,"ERROR")</f>
        <v>ERROR</v>
      </c>
      <c r="M503" s="7">
        <f>IF(Data!N503=Entry2!M503,Data!N503,"ERROR")</f>
        <v>0</v>
      </c>
    </row>
    <row r="504" spans="1:13" ht="13.2" hidden="1" x14ac:dyDescent="0.25">
      <c r="A504" s="7">
        <f>IF(Data!A504=Entry2!A504,Data!A504,"ERROR")</f>
        <v>10</v>
      </c>
      <c r="B504" s="7">
        <f>IF(Data!B504=Entry2!B504,Data!B504,"ERROR")</f>
        <v>2023</v>
      </c>
      <c r="C504" s="17">
        <f>IF(Data!C504=Entry2!C504,Data!C504,"ERROR")</f>
        <v>45197</v>
      </c>
      <c r="D504" s="7" t="str">
        <f>IF(Data!D504=Entry2!D504,Data!D504,"ERROR")</f>
        <v>MP, TL, MG</v>
      </c>
      <c r="E504" s="7" t="str">
        <f>IF(Data!E504=Entry2!E504,Data!E504,"ERROR")</f>
        <v>CU</v>
      </c>
      <c r="F504" s="7">
        <f>IF(Data!F504=Entry2!F504,Data!F504,"ERROR")</f>
        <v>1</v>
      </c>
      <c r="G504" s="7" t="str">
        <f>IF(Data!G504=Entry2!G504,Data!G504,"ERROR")</f>
        <v>SU</v>
      </c>
      <c r="H504" s="7">
        <f>IF(Data!H504=Entry2!H504,Data!H504,"ERROR")</f>
        <v>8</v>
      </c>
      <c r="I504" s="7">
        <f>IF(Data!I504=Entry2!I504,Data!I504,"ERROR")</f>
        <v>2</v>
      </c>
      <c r="J504" s="7">
        <f>IF(Data!J504=Entry2!J504,Data!J504,"ERROR")</f>
        <v>5</v>
      </c>
      <c r="K504" s="7" t="str">
        <f>IF(Data!K504=Entry2!K504,Data!K504,"ERROR")</f>
        <v>L</v>
      </c>
      <c r="L504" s="7" t="str">
        <f>IF(Data!L504=Entry2!L504,Data!L504,"ERROR")</f>
        <v>ERROR</v>
      </c>
      <c r="M504" s="7">
        <f>IF(Data!N504=Entry2!M504,Data!N504,"ERROR")</f>
        <v>0</v>
      </c>
    </row>
    <row r="505" spans="1:13" ht="13.2" hidden="1" x14ac:dyDescent="0.25">
      <c r="A505" s="7">
        <f>IF(Data!A505=Entry2!A505,Data!A505,"ERROR")</f>
        <v>10</v>
      </c>
      <c r="B505" s="7">
        <f>IF(Data!B505=Entry2!B505,Data!B505,"ERROR")</f>
        <v>2023</v>
      </c>
      <c r="C505" s="17">
        <f>IF(Data!C505=Entry2!C505,Data!C505,"ERROR")</f>
        <v>45197</v>
      </c>
      <c r="D505" s="7" t="str">
        <f>IF(Data!D505=Entry2!D505,Data!D505,"ERROR")</f>
        <v>MP, TL, MG</v>
      </c>
      <c r="E505" s="7" t="str">
        <f>IF(Data!E505=Entry2!E505,Data!E505,"ERROR")</f>
        <v>CU</v>
      </c>
      <c r="F505" s="7">
        <f>IF(Data!F505=Entry2!F505,Data!F505,"ERROR")</f>
        <v>1</v>
      </c>
      <c r="G505" s="7" t="str">
        <f>IF(Data!G505=Entry2!G505,Data!G505,"ERROR")</f>
        <v>SU</v>
      </c>
      <c r="H505" s="7">
        <f>IF(Data!H505=Entry2!H505,Data!H505,"ERROR")</f>
        <v>9</v>
      </c>
      <c r="I505" s="7">
        <f>IF(Data!I505=Entry2!I505,Data!I505,"ERROR")</f>
        <v>2</v>
      </c>
      <c r="J505" s="7">
        <f>IF(Data!J505=Entry2!J505,Data!J505,"ERROR")</f>
        <v>7</v>
      </c>
      <c r="K505" s="7" t="str">
        <f>IF(Data!K505=Entry2!K505,Data!K505,"ERROR")</f>
        <v>L</v>
      </c>
      <c r="L505" s="7" t="str">
        <f>IF(Data!L505=Entry2!L505,Data!L505,"ERROR")</f>
        <v>ERROR</v>
      </c>
      <c r="M505" s="7">
        <f>IF(Data!N505=Entry2!M505,Data!N505,"ERROR")</f>
        <v>0</v>
      </c>
    </row>
    <row r="506" spans="1:13" ht="13.2" hidden="1" x14ac:dyDescent="0.25">
      <c r="A506" s="7">
        <f>IF(Data!A506=Entry2!A506,Data!A506,"ERROR")</f>
        <v>10</v>
      </c>
      <c r="B506" s="7">
        <f>IF(Data!B506=Entry2!B506,Data!B506,"ERROR")</f>
        <v>2023</v>
      </c>
      <c r="C506" s="17">
        <f>IF(Data!C506=Entry2!C506,Data!C506,"ERROR")</f>
        <v>45197</v>
      </c>
      <c r="D506" s="7" t="str">
        <f>IF(Data!D506=Entry2!D506,Data!D506,"ERROR")</f>
        <v>MP, TL, MG</v>
      </c>
      <c r="E506" s="7" t="str">
        <f>IF(Data!E506=Entry2!E506,Data!E506,"ERROR")</f>
        <v>CU</v>
      </c>
      <c r="F506" s="7">
        <f>IF(Data!F506=Entry2!F506,Data!F506,"ERROR")</f>
        <v>1</v>
      </c>
      <c r="G506" s="7" t="str">
        <f>IF(Data!G506=Entry2!G506,Data!G506,"ERROR")</f>
        <v>SU</v>
      </c>
      <c r="H506" s="7">
        <f>IF(Data!H506=Entry2!H506,Data!H506,"ERROR")</f>
        <v>10</v>
      </c>
      <c r="I506" s="7">
        <f>IF(Data!I506=Entry2!I506,Data!I506,"ERROR")</f>
        <v>2</v>
      </c>
      <c r="J506" s="7">
        <f>IF(Data!J506=Entry2!J506,Data!J506,"ERROR")</f>
        <v>8</v>
      </c>
      <c r="K506" s="7" t="str">
        <f>IF(Data!K506=Entry2!K506,Data!K506,"ERROR")</f>
        <v>L</v>
      </c>
      <c r="L506" s="7" t="str">
        <f>IF(Data!L506=Entry2!L506,Data!L506,"ERROR")</f>
        <v>ERROR</v>
      </c>
      <c r="M506" s="7">
        <f>IF(Data!N506=Entry2!M506,Data!N506,"ERROR")</f>
        <v>0</v>
      </c>
    </row>
    <row r="507" spans="1:13" ht="13.2" hidden="1" x14ac:dyDescent="0.25">
      <c r="A507" s="7">
        <f>IF(Data!A507=Entry2!A507,Data!A507,"ERROR")</f>
        <v>10</v>
      </c>
      <c r="B507" s="7">
        <f>IF(Data!B507=Entry2!B507,Data!B507,"ERROR")</f>
        <v>2023</v>
      </c>
      <c r="C507" s="17">
        <f>IF(Data!C507=Entry2!C507,Data!C507,"ERROR")</f>
        <v>45197</v>
      </c>
      <c r="D507" s="7" t="str">
        <f>IF(Data!D507=Entry2!D507,Data!D507,"ERROR")</f>
        <v>MP, TL, MG</v>
      </c>
      <c r="E507" s="7" t="str">
        <f>IF(Data!E507=Entry2!E507,Data!E507,"ERROR")</f>
        <v>CU</v>
      </c>
      <c r="F507" s="7">
        <f>IF(Data!F507=Entry2!F507,Data!F507,"ERROR")</f>
        <v>1</v>
      </c>
      <c r="G507" s="7" t="str">
        <f>IF(Data!G507=Entry2!G507,Data!G507,"ERROR")</f>
        <v>SU</v>
      </c>
      <c r="H507" s="7">
        <f>IF(Data!H507=Entry2!H507,Data!H507,"ERROR")</f>
        <v>11</v>
      </c>
      <c r="I507" s="7">
        <f>IF(Data!I507=Entry2!I507,Data!I507,"ERROR")</f>
        <v>2</v>
      </c>
      <c r="J507" s="7">
        <f>IF(Data!J507=Entry2!J507,Data!J507,"ERROR")</f>
        <v>8.5</v>
      </c>
      <c r="K507" s="7" t="str">
        <f>IF(Data!K507=Entry2!K507,Data!K507,"ERROR")</f>
        <v>L</v>
      </c>
      <c r="L507" s="7" t="str">
        <f>IF(Data!L507=Entry2!L507,Data!L507,"ERROR")</f>
        <v>ERROR</v>
      </c>
      <c r="M507" s="7">
        <f>IF(Data!N507=Entry2!M507,Data!N507,"ERROR")</f>
        <v>0</v>
      </c>
    </row>
    <row r="508" spans="1:13" ht="13.2" hidden="1" x14ac:dyDescent="0.25">
      <c r="A508" s="7">
        <f>IF(Data!A508=Entry2!A508,Data!A508,"ERROR")</f>
        <v>10</v>
      </c>
      <c r="B508" s="7">
        <f>IF(Data!B508=Entry2!B508,Data!B508,"ERROR")</f>
        <v>2023</v>
      </c>
      <c r="C508" s="17">
        <f>IF(Data!C508=Entry2!C508,Data!C508,"ERROR")</f>
        <v>45197</v>
      </c>
      <c r="D508" s="7" t="str">
        <f>IF(Data!D508=Entry2!D508,Data!D508,"ERROR")</f>
        <v>MP, TL, MG</v>
      </c>
      <c r="E508" s="7" t="str">
        <f>IF(Data!E508=Entry2!E508,Data!E508,"ERROR")</f>
        <v>CU</v>
      </c>
      <c r="F508" s="7">
        <f>IF(Data!F508=Entry2!F508,Data!F508,"ERROR")</f>
        <v>1</v>
      </c>
      <c r="G508" s="7" t="str">
        <f>IF(Data!G508=Entry2!G508,Data!G508,"ERROR")</f>
        <v>SU</v>
      </c>
      <c r="H508" s="7">
        <f>IF(Data!H508=Entry2!H508,Data!H508,"ERROR")</f>
        <v>12</v>
      </c>
      <c r="I508" s="7">
        <f>IF(Data!I508=Entry2!I508,Data!I508,"ERROR")</f>
        <v>2</v>
      </c>
      <c r="J508" s="7">
        <f>IF(Data!J508=Entry2!J508,Data!J508,"ERROR")</f>
        <v>9</v>
      </c>
      <c r="K508" s="7" t="str">
        <f>IF(Data!K508=Entry2!K508,Data!K508,"ERROR")</f>
        <v>L</v>
      </c>
      <c r="L508" s="7" t="str">
        <f>IF(Data!L508=Entry2!L508,Data!L508,"ERROR")</f>
        <v>ERROR</v>
      </c>
      <c r="M508" s="7">
        <f>IF(Data!N508=Entry2!M508,Data!N508,"ERROR")</f>
        <v>0</v>
      </c>
    </row>
    <row r="509" spans="1:13" ht="13.2" hidden="1" x14ac:dyDescent="0.25">
      <c r="A509" s="7">
        <f>IF(Data!A509=Entry2!A509,Data!A509,"ERROR")</f>
        <v>10</v>
      </c>
      <c r="B509" s="7">
        <f>IF(Data!B509=Entry2!B509,Data!B509,"ERROR")</f>
        <v>2023</v>
      </c>
      <c r="C509" s="17">
        <f>IF(Data!C509=Entry2!C509,Data!C509,"ERROR")</f>
        <v>45197</v>
      </c>
      <c r="D509" s="7" t="str">
        <f>IF(Data!D509=Entry2!D509,Data!D509,"ERROR")</f>
        <v>MP, TL, MG</v>
      </c>
      <c r="E509" s="7" t="str">
        <f>IF(Data!E509=Entry2!E509,Data!E509,"ERROR")</f>
        <v>CU</v>
      </c>
      <c r="F509" s="7">
        <f>IF(Data!F509=Entry2!F509,Data!F509,"ERROR")</f>
        <v>1</v>
      </c>
      <c r="G509" s="7" t="str">
        <f>IF(Data!G509=Entry2!G509,Data!G509,"ERROR")</f>
        <v>SU</v>
      </c>
      <c r="H509" s="7">
        <f>IF(Data!H509=Entry2!H509,Data!H509,"ERROR")</f>
        <v>13</v>
      </c>
      <c r="I509" s="7">
        <f>IF(Data!I509=Entry2!I509,Data!I509,"ERROR")</f>
        <v>2</v>
      </c>
      <c r="J509" s="7">
        <f>IF(Data!J509=Entry2!J509,Data!J509,"ERROR")</f>
        <v>10</v>
      </c>
      <c r="K509" s="7" t="str">
        <f>IF(Data!K509=Entry2!K509,Data!K509,"ERROR")</f>
        <v>R</v>
      </c>
      <c r="L509" s="7" t="str">
        <f>IF(Data!L509=Entry2!L509,Data!L509,"ERROR")</f>
        <v>ERROR</v>
      </c>
      <c r="M509" s="7">
        <f>IF(Data!N509=Entry2!M509,Data!N509,"ERROR")</f>
        <v>0</v>
      </c>
    </row>
    <row r="510" spans="1:13" ht="13.2" hidden="1" x14ac:dyDescent="0.25">
      <c r="A510" s="7">
        <f>IF(Data!A510=Entry2!A510,Data!A510,"ERROR")</f>
        <v>10</v>
      </c>
      <c r="B510" s="7">
        <f>IF(Data!B510=Entry2!B510,Data!B510,"ERROR")</f>
        <v>2023</v>
      </c>
      <c r="C510" s="17">
        <f>IF(Data!C510=Entry2!C510,Data!C510,"ERROR")</f>
        <v>45197</v>
      </c>
      <c r="D510" s="7" t="str">
        <f>IF(Data!D510=Entry2!D510,Data!D510,"ERROR")</f>
        <v>MP, TL, MG</v>
      </c>
      <c r="E510" s="7" t="str">
        <f>IF(Data!E510=Entry2!E510,Data!E510,"ERROR")</f>
        <v>CU</v>
      </c>
      <c r="F510" s="7">
        <f>IF(Data!F510=Entry2!F510,Data!F510,"ERROR")</f>
        <v>1</v>
      </c>
      <c r="G510" s="7" t="str">
        <f>IF(Data!G510=Entry2!G510,Data!G510,"ERROR")</f>
        <v>SU</v>
      </c>
      <c r="H510" s="7">
        <f>IF(Data!H510=Entry2!H510,Data!H510,"ERROR")</f>
        <v>14</v>
      </c>
      <c r="I510" s="7">
        <f>IF(Data!I510=Entry2!I510,Data!I510,"ERROR")</f>
        <v>2</v>
      </c>
      <c r="J510" s="7">
        <f>IF(Data!J510=Entry2!J510,Data!J510,"ERROR")</f>
        <v>11</v>
      </c>
      <c r="K510" s="7" t="str">
        <f>IF(Data!K510=Entry2!K510,Data!K510,"ERROR")</f>
        <v>B</v>
      </c>
      <c r="L510" s="7" t="str">
        <f>IF(Data!L510=Entry2!L510,Data!L510,"ERROR")</f>
        <v>ERROR</v>
      </c>
      <c r="M510" s="7">
        <f>IF(Data!N510=Entry2!M510,Data!N510,"ERROR")</f>
        <v>0</v>
      </c>
    </row>
    <row r="511" spans="1:13" ht="13.2" hidden="1" x14ac:dyDescent="0.25">
      <c r="A511" s="7">
        <f>IF(Data!A511=Entry2!A511,Data!A511,"ERROR")</f>
        <v>10</v>
      </c>
      <c r="B511" s="7">
        <f>IF(Data!B511=Entry2!B511,Data!B511,"ERROR")</f>
        <v>2023</v>
      </c>
      <c r="C511" s="17">
        <f>IF(Data!C511=Entry2!C511,Data!C511,"ERROR")</f>
        <v>45197</v>
      </c>
      <c r="D511" s="7" t="str">
        <f>IF(Data!D511=Entry2!D511,Data!D511,"ERROR")</f>
        <v>MP, TL, MG</v>
      </c>
      <c r="E511" s="7" t="str">
        <f>IF(Data!E511=Entry2!E511,Data!E511,"ERROR")</f>
        <v>CU</v>
      </c>
      <c r="F511" s="7">
        <f>IF(Data!F511=Entry2!F511,Data!F511,"ERROR")</f>
        <v>1</v>
      </c>
      <c r="G511" s="7" t="str">
        <f>IF(Data!G511=Entry2!G511,Data!G511,"ERROR")</f>
        <v>SU</v>
      </c>
      <c r="H511" s="7">
        <f>IF(Data!H511=Entry2!H511,Data!H511,"ERROR")</f>
        <v>15</v>
      </c>
      <c r="I511" s="7">
        <f>IF(Data!I511=Entry2!I511,Data!I511,"ERROR")</f>
        <v>2</v>
      </c>
      <c r="J511" s="7">
        <f>IF(Data!J511=Entry2!J511,Data!J511,"ERROR")</f>
        <v>12</v>
      </c>
      <c r="K511" s="7" t="str">
        <f>IF(Data!K511=Entry2!K511,Data!K511,"ERROR")</f>
        <v>L</v>
      </c>
      <c r="L511" s="7" t="str">
        <f>IF(Data!L511=Entry2!L511,Data!L511,"ERROR")</f>
        <v>ERROR</v>
      </c>
      <c r="M511" s="7">
        <f>IF(Data!N511=Entry2!M511,Data!N511,"ERROR")</f>
        <v>0</v>
      </c>
    </row>
    <row r="512" spans="1:13" ht="13.2" hidden="1" x14ac:dyDescent="0.25">
      <c r="A512" s="7">
        <f>IF(Data!A512=Entry2!A512,Data!A512,"ERROR")</f>
        <v>11</v>
      </c>
      <c r="B512" s="7">
        <f>IF(Data!B512=Entry2!B512,Data!B512,"ERROR")</f>
        <v>2023</v>
      </c>
      <c r="C512" s="17">
        <f>IF(Data!C512=Entry2!C512,Data!C512,"ERROR")</f>
        <v>45197</v>
      </c>
      <c r="D512" s="7" t="str">
        <f>IF(Data!D512=Entry2!D512,Data!D512,"ERROR")</f>
        <v>MP, TL, MG</v>
      </c>
      <c r="E512" s="7" t="str">
        <f>IF(Data!E512=Entry2!E512,Data!E512,"ERROR")</f>
        <v>CU</v>
      </c>
      <c r="F512" s="7">
        <f>IF(Data!F512=Entry2!F512,Data!F512,"ERROR")</f>
        <v>1</v>
      </c>
      <c r="G512" s="7" t="str">
        <f>IF(Data!G512=Entry2!G512,Data!G512,"ERROR")</f>
        <v>LS</v>
      </c>
      <c r="H512" s="7">
        <f>IF(Data!H512=Entry2!H512,Data!H512,"ERROR")</f>
        <v>1</v>
      </c>
      <c r="I512" s="7">
        <f>IF(Data!I512=Entry2!I512,Data!I512,"ERROR")</f>
        <v>1</v>
      </c>
      <c r="J512" s="7">
        <f>IF(Data!J512=Entry2!J512,Data!J512,"ERROR")</f>
        <v>0</v>
      </c>
      <c r="K512" s="7" t="str">
        <f>IF(Data!K512=Entry2!K512,Data!K512,"ERROR")</f>
        <v>R</v>
      </c>
      <c r="L512" s="7" t="str">
        <f>IF(Data!L512=Entry2!L512,Data!L512,"ERROR")</f>
        <v>ERROR</v>
      </c>
      <c r="M512" s="7">
        <f>IF(Data!N512=Entry2!M512,Data!N512,"ERROR")</f>
        <v>0</v>
      </c>
    </row>
    <row r="513" spans="1:13" ht="13.2" hidden="1" x14ac:dyDescent="0.25">
      <c r="A513" s="7">
        <f>IF(Data!A513=Entry2!A513,Data!A513,"ERROR")</f>
        <v>11</v>
      </c>
      <c r="B513" s="7">
        <f>IF(Data!B513=Entry2!B513,Data!B513,"ERROR")</f>
        <v>2023</v>
      </c>
      <c r="C513" s="17">
        <f>IF(Data!C513=Entry2!C513,Data!C513,"ERROR")</f>
        <v>45197</v>
      </c>
      <c r="D513" s="7" t="str">
        <f>IF(Data!D513=Entry2!D513,Data!D513,"ERROR")</f>
        <v>MP, TL, MG</v>
      </c>
      <c r="E513" s="7" t="str">
        <f>IF(Data!E513=Entry2!E513,Data!E513,"ERROR")</f>
        <v>CU</v>
      </c>
      <c r="F513" s="7">
        <f>IF(Data!F513=Entry2!F513,Data!F513,"ERROR")</f>
        <v>1</v>
      </c>
      <c r="G513" s="7" t="str">
        <f>IF(Data!G513=Entry2!G513,Data!G513,"ERROR")</f>
        <v>LS</v>
      </c>
      <c r="H513" s="7">
        <f>IF(Data!H513=Entry2!H513,Data!H513,"ERROR")</f>
        <v>2</v>
      </c>
      <c r="I513" s="7">
        <f>IF(Data!I513=Entry2!I513,Data!I513,"ERROR")</f>
        <v>1</v>
      </c>
      <c r="J513" s="7">
        <f>IF(Data!J513=Entry2!J513,Data!J513,"ERROR")</f>
        <v>0.5</v>
      </c>
      <c r="K513" s="7" t="str">
        <f>IF(Data!K513=Entry2!K513,Data!K513,"ERROR")</f>
        <v>B</v>
      </c>
      <c r="L513" s="7" t="str">
        <f>IF(Data!L513=Entry2!L513,Data!L513,"ERROR")</f>
        <v>ERROR</v>
      </c>
      <c r="M513" s="7">
        <f>IF(Data!N513=Entry2!M513,Data!N513,"ERROR")</f>
        <v>0</v>
      </c>
    </row>
    <row r="514" spans="1:13" ht="13.2" hidden="1" x14ac:dyDescent="0.25">
      <c r="A514" s="7">
        <f>IF(Data!A514=Entry2!A514,Data!A514,"ERROR")</f>
        <v>11</v>
      </c>
      <c r="B514" s="7">
        <f>IF(Data!B514=Entry2!B514,Data!B514,"ERROR")</f>
        <v>2023</v>
      </c>
      <c r="C514" s="17">
        <f>IF(Data!C514=Entry2!C514,Data!C514,"ERROR")</f>
        <v>45197</v>
      </c>
      <c r="D514" s="7" t="str">
        <f>IF(Data!D514=Entry2!D514,Data!D514,"ERROR")</f>
        <v>MP, TL, MG</v>
      </c>
      <c r="E514" s="7" t="str">
        <f>IF(Data!E514=Entry2!E514,Data!E514,"ERROR")</f>
        <v>CU</v>
      </c>
      <c r="F514" s="7">
        <f>IF(Data!F514=Entry2!F514,Data!F514,"ERROR")</f>
        <v>1</v>
      </c>
      <c r="G514" s="7" t="str">
        <f>IF(Data!G514=Entry2!G514,Data!G514,"ERROR")</f>
        <v>LS</v>
      </c>
      <c r="H514" s="7">
        <f>IF(Data!H514=Entry2!H514,Data!H514,"ERROR")</f>
        <v>3</v>
      </c>
      <c r="I514" s="7">
        <f>IF(Data!I514=Entry2!I514,Data!I514,"ERROR")</f>
        <v>1</v>
      </c>
      <c r="J514" s="7">
        <f>IF(Data!J514=Entry2!J514,Data!J514,"ERROR")</f>
        <v>1</v>
      </c>
      <c r="K514" s="7" t="str">
        <f>IF(Data!K514=Entry2!K514,Data!K514,"ERROR")</f>
        <v>B</v>
      </c>
      <c r="L514" s="7" t="str">
        <f>IF(Data!L514=Entry2!L514,Data!L514,"ERROR")</f>
        <v>ERROR</v>
      </c>
      <c r="M514" s="7">
        <f>IF(Data!N514=Entry2!M514,Data!N514,"ERROR")</f>
        <v>0</v>
      </c>
    </row>
    <row r="515" spans="1:13" ht="13.2" hidden="1" x14ac:dyDescent="0.25">
      <c r="A515" s="7">
        <f>IF(Data!A515=Entry2!A515,Data!A515,"ERROR")</f>
        <v>11</v>
      </c>
      <c r="B515" s="7">
        <f>IF(Data!B515=Entry2!B515,Data!B515,"ERROR")</f>
        <v>2023</v>
      </c>
      <c r="C515" s="17">
        <f>IF(Data!C515=Entry2!C515,Data!C515,"ERROR")</f>
        <v>45197</v>
      </c>
      <c r="D515" s="7" t="str">
        <f>IF(Data!D515=Entry2!D515,Data!D515,"ERROR")</f>
        <v>MP, TL, MG</v>
      </c>
      <c r="E515" s="7" t="str">
        <f>IF(Data!E515=Entry2!E515,Data!E515,"ERROR")</f>
        <v>CU</v>
      </c>
      <c r="F515" s="7">
        <f>IF(Data!F515=Entry2!F515,Data!F515,"ERROR")</f>
        <v>1</v>
      </c>
      <c r="G515" s="7" t="str">
        <f>IF(Data!G515=Entry2!G515,Data!G515,"ERROR")</f>
        <v>LS</v>
      </c>
      <c r="H515" s="7">
        <f>IF(Data!H515=Entry2!H515,Data!H515,"ERROR")</f>
        <v>4</v>
      </c>
      <c r="I515" s="7">
        <f>IF(Data!I515=Entry2!I515,Data!I515,"ERROR")</f>
        <v>1</v>
      </c>
      <c r="J515" s="7">
        <f>IF(Data!J515=Entry2!J515,Data!J515,"ERROR")</f>
        <v>1.5</v>
      </c>
      <c r="K515" s="7" t="str">
        <f>IF(Data!K515=Entry2!K515,Data!K515,"ERROR")</f>
        <v>B</v>
      </c>
      <c r="L515" s="7" t="str">
        <f>IF(Data!L515=Entry2!L515,Data!L515,"ERROR")</f>
        <v>ERROR</v>
      </c>
      <c r="M515" s="7">
        <f>IF(Data!N515=Entry2!M515,Data!N515,"ERROR")</f>
        <v>0</v>
      </c>
    </row>
    <row r="516" spans="1:13" ht="13.2" hidden="1" x14ac:dyDescent="0.25">
      <c r="A516" s="7">
        <f>IF(Data!A516=Entry2!A516,Data!A516,"ERROR")</f>
        <v>11</v>
      </c>
      <c r="B516" s="7">
        <f>IF(Data!B516=Entry2!B516,Data!B516,"ERROR")</f>
        <v>2023</v>
      </c>
      <c r="C516" s="17">
        <f>IF(Data!C516=Entry2!C516,Data!C516,"ERROR")</f>
        <v>45197</v>
      </c>
      <c r="D516" s="7" t="str">
        <f>IF(Data!D516=Entry2!D516,Data!D516,"ERROR")</f>
        <v>MP, TL, MG</v>
      </c>
      <c r="E516" s="7" t="str">
        <f>IF(Data!E516=Entry2!E516,Data!E516,"ERROR")</f>
        <v>CU</v>
      </c>
      <c r="F516" s="7">
        <f>IF(Data!F516=Entry2!F516,Data!F516,"ERROR")</f>
        <v>1</v>
      </c>
      <c r="G516" s="7" t="str">
        <f>IF(Data!G516=Entry2!G516,Data!G516,"ERROR")</f>
        <v>LS</v>
      </c>
      <c r="H516" s="7">
        <f>IF(Data!H516=Entry2!H516,Data!H516,"ERROR")</f>
        <v>5</v>
      </c>
      <c r="I516" s="7">
        <f>IF(Data!I516=Entry2!I516,Data!I516,"ERROR")</f>
        <v>1</v>
      </c>
      <c r="J516" s="7">
        <f>IF(Data!J516=Entry2!J516,Data!J516,"ERROR")</f>
        <v>2</v>
      </c>
      <c r="K516" s="7" t="str">
        <f>IF(Data!K516=Entry2!K516,Data!K516,"ERROR")</f>
        <v>B</v>
      </c>
      <c r="L516" s="7" t="str">
        <f>IF(Data!L516=Entry2!L516,Data!L516,"ERROR")</f>
        <v>ERROR</v>
      </c>
      <c r="M516" s="7">
        <f>IF(Data!N516=Entry2!M516,Data!N516,"ERROR")</f>
        <v>0</v>
      </c>
    </row>
    <row r="517" spans="1:13" ht="13.2" hidden="1" x14ac:dyDescent="0.25">
      <c r="A517" s="7">
        <f>IF(Data!A517=Entry2!A517,Data!A517,"ERROR")</f>
        <v>11</v>
      </c>
      <c r="B517" s="7">
        <f>IF(Data!B517=Entry2!B517,Data!B517,"ERROR")</f>
        <v>2023</v>
      </c>
      <c r="C517" s="17">
        <f>IF(Data!C517=Entry2!C517,Data!C517,"ERROR")</f>
        <v>45197</v>
      </c>
      <c r="D517" s="7" t="str">
        <f>IF(Data!D517=Entry2!D517,Data!D517,"ERROR")</f>
        <v>MP, TL, MG</v>
      </c>
      <c r="E517" s="7" t="str">
        <f>IF(Data!E517=Entry2!E517,Data!E517,"ERROR")</f>
        <v>CU</v>
      </c>
      <c r="F517" s="7">
        <f>IF(Data!F517=Entry2!F517,Data!F517,"ERROR")</f>
        <v>1</v>
      </c>
      <c r="G517" s="7" t="str">
        <f>IF(Data!G517=Entry2!G517,Data!G517,"ERROR")</f>
        <v>LS</v>
      </c>
      <c r="H517" s="7">
        <f>IF(Data!H517=Entry2!H517,Data!H517,"ERROR")</f>
        <v>5</v>
      </c>
      <c r="I517" s="7">
        <f>IF(Data!I517=Entry2!I517,Data!I517,"ERROR")</f>
        <v>1</v>
      </c>
      <c r="J517" s="7">
        <f>IF(Data!J517=Entry2!J517,Data!J517,"ERROR")</f>
        <v>2</v>
      </c>
      <c r="K517" s="7" t="str">
        <f>IF(Data!K517=Entry2!K517,Data!K517,"ERROR")</f>
        <v>EROCIC</v>
      </c>
      <c r="L517" s="7" t="str">
        <f>IF(Data!L517=Entry2!L517,Data!L517,"ERROR")</f>
        <v>ERROR</v>
      </c>
      <c r="M517" s="7">
        <f>IF(Data!N517=Entry2!M517,Data!N517,"ERROR")</f>
        <v>0</v>
      </c>
    </row>
    <row r="518" spans="1:13" ht="13.2" hidden="1" x14ac:dyDescent="0.25">
      <c r="A518" s="7">
        <f>IF(Data!A518=Entry2!A518,Data!A518,"ERROR")</f>
        <v>11</v>
      </c>
      <c r="B518" s="7">
        <f>IF(Data!B518=Entry2!B518,Data!B518,"ERROR")</f>
        <v>2023</v>
      </c>
      <c r="C518" s="17">
        <f>IF(Data!C518=Entry2!C518,Data!C518,"ERROR")</f>
        <v>45197</v>
      </c>
      <c r="D518" s="7" t="str">
        <f>IF(Data!D518=Entry2!D518,Data!D518,"ERROR")</f>
        <v>MP, TL, MG</v>
      </c>
      <c r="E518" s="7" t="str">
        <f>IF(Data!E518=Entry2!E518,Data!E518,"ERROR")</f>
        <v>CU</v>
      </c>
      <c r="F518" s="7">
        <f>IF(Data!F518=Entry2!F518,Data!F518,"ERROR")</f>
        <v>1</v>
      </c>
      <c r="G518" s="7" t="str">
        <f>IF(Data!G518=Entry2!G518,Data!G518,"ERROR")</f>
        <v>LS</v>
      </c>
      <c r="H518" s="7">
        <f>IF(Data!H518=Entry2!H518,Data!H518,"ERROR")</f>
        <v>6</v>
      </c>
      <c r="I518" s="7">
        <f>IF(Data!I518=Entry2!I518,Data!I518,"ERROR")</f>
        <v>1</v>
      </c>
      <c r="J518" s="7">
        <f>IF(Data!J518=Entry2!J518,Data!J518,"ERROR")</f>
        <v>2.5</v>
      </c>
      <c r="K518" s="7" t="str">
        <f>IF(Data!K518=Entry2!K518,Data!K518,"ERROR")</f>
        <v>B</v>
      </c>
      <c r="L518" s="7" t="str">
        <f>IF(Data!L518=Entry2!L518,Data!L518,"ERROR")</f>
        <v>ERROR</v>
      </c>
      <c r="M518" s="7">
        <f>IF(Data!N518=Entry2!M518,Data!N518,"ERROR")</f>
        <v>0</v>
      </c>
    </row>
    <row r="519" spans="1:13" ht="13.2" hidden="1" x14ac:dyDescent="0.25">
      <c r="A519" s="7">
        <f>IF(Data!A519=Entry2!A519,Data!A519,"ERROR")</f>
        <v>11</v>
      </c>
      <c r="B519" s="7">
        <f>IF(Data!B519=Entry2!B519,Data!B519,"ERROR")</f>
        <v>2023</v>
      </c>
      <c r="C519" s="17">
        <f>IF(Data!C519=Entry2!C519,Data!C519,"ERROR")</f>
        <v>45197</v>
      </c>
      <c r="D519" s="7" t="str">
        <f>IF(Data!D519=Entry2!D519,Data!D519,"ERROR")</f>
        <v>MP, TL, MG</v>
      </c>
      <c r="E519" s="7" t="str">
        <f>IF(Data!E519=Entry2!E519,Data!E519,"ERROR")</f>
        <v>CU</v>
      </c>
      <c r="F519" s="7">
        <f>IF(Data!F519=Entry2!F519,Data!F519,"ERROR")</f>
        <v>1</v>
      </c>
      <c r="G519" s="7" t="str">
        <f>IF(Data!G519=Entry2!G519,Data!G519,"ERROR")</f>
        <v>LS</v>
      </c>
      <c r="H519" s="7">
        <f>IF(Data!H519=Entry2!H519,Data!H519,"ERROR")</f>
        <v>6</v>
      </c>
      <c r="I519" s="7">
        <f>IF(Data!I519=Entry2!I519,Data!I519,"ERROR")</f>
        <v>1</v>
      </c>
      <c r="J519" s="7">
        <f>IF(Data!J519=Entry2!J519,Data!J519,"ERROR")</f>
        <v>2.5</v>
      </c>
      <c r="K519" s="7" t="str">
        <f>IF(Data!K519=Entry2!K519,Data!K519,"ERROR")</f>
        <v>EROCIC</v>
      </c>
      <c r="L519" s="7" t="str">
        <f>IF(Data!L519=Entry2!L519,Data!L519,"ERROR")</f>
        <v>ERROR</v>
      </c>
      <c r="M519" s="7">
        <f>IF(Data!N519=Entry2!M519,Data!N519,"ERROR")</f>
        <v>0</v>
      </c>
    </row>
    <row r="520" spans="1:13" ht="13.2" hidden="1" x14ac:dyDescent="0.25">
      <c r="A520" s="7">
        <f>IF(Data!A520=Entry2!A520,Data!A520,"ERROR")</f>
        <v>11</v>
      </c>
      <c r="B520" s="7">
        <f>IF(Data!B520=Entry2!B520,Data!B520,"ERROR")</f>
        <v>2023</v>
      </c>
      <c r="C520" s="17">
        <f>IF(Data!C520=Entry2!C520,Data!C520,"ERROR")</f>
        <v>45197</v>
      </c>
      <c r="D520" s="7" t="str">
        <f>IF(Data!D520=Entry2!D520,Data!D520,"ERROR")</f>
        <v>MP, TL, MG</v>
      </c>
      <c r="E520" s="7" t="str">
        <f>IF(Data!E520=Entry2!E520,Data!E520,"ERROR")</f>
        <v>CU</v>
      </c>
      <c r="F520" s="7">
        <f>IF(Data!F520=Entry2!F520,Data!F520,"ERROR")</f>
        <v>1</v>
      </c>
      <c r="G520" s="7" t="str">
        <f>IF(Data!G520=Entry2!G520,Data!G520,"ERROR")</f>
        <v>LS</v>
      </c>
      <c r="H520" s="7">
        <f>IF(Data!H520=Entry2!H520,Data!H520,"ERROR")</f>
        <v>6</v>
      </c>
      <c r="I520" s="7">
        <f>IF(Data!I520=Entry2!I520,Data!I520,"ERROR")</f>
        <v>1</v>
      </c>
      <c r="J520" s="7">
        <f>IF(Data!J520=Entry2!J520,Data!J520,"ERROR")</f>
        <v>2.5</v>
      </c>
      <c r="K520" s="7" t="str">
        <f>IF(Data!K520=Entry2!K520,Data!K520,"ERROR")</f>
        <v>OPULIT</v>
      </c>
      <c r="L520" s="7" t="str">
        <f>IF(Data!L520=Entry2!L520,Data!L520,"ERROR")</f>
        <v>ERROR</v>
      </c>
      <c r="M520" s="7">
        <f>IF(Data!N520=Entry2!M520,Data!N520,"ERROR")</f>
        <v>0</v>
      </c>
    </row>
    <row r="521" spans="1:13" ht="13.2" hidden="1" x14ac:dyDescent="0.25">
      <c r="A521" s="7">
        <f>IF(Data!A521=Entry2!A521,Data!A521,"ERROR")</f>
        <v>11</v>
      </c>
      <c r="B521" s="7">
        <f>IF(Data!B521=Entry2!B521,Data!B521,"ERROR")</f>
        <v>2023</v>
      </c>
      <c r="C521" s="17">
        <f>IF(Data!C521=Entry2!C521,Data!C521,"ERROR")</f>
        <v>45197</v>
      </c>
      <c r="D521" s="7" t="str">
        <f>IF(Data!D521=Entry2!D521,Data!D521,"ERROR")</f>
        <v>MP, TL, MG</v>
      </c>
      <c r="E521" s="7" t="str">
        <f>IF(Data!E521=Entry2!E521,Data!E521,"ERROR")</f>
        <v>CU</v>
      </c>
      <c r="F521" s="7">
        <f>IF(Data!F521=Entry2!F521,Data!F521,"ERROR")</f>
        <v>1</v>
      </c>
      <c r="G521" s="7" t="str">
        <f>IF(Data!G521=Entry2!G521,Data!G521,"ERROR")</f>
        <v>LS</v>
      </c>
      <c r="H521" s="7">
        <f>IF(Data!H521=Entry2!H521,Data!H521,"ERROR")</f>
        <v>6</v>
      </c>
      <c r="I521" s="7">
        <f>IF(Data!I521=Entry2!I521,Data!I521,"ERROR")</f>
        <v>1</v>
      </c>
      <c r="J521" s="7">
        <f>IF(Data!J521=Entry2!J521,Data!J521,"ERROR")</f>
        <v>2.5</v>
      </c>
      <c r="K521" s="7" t="str">
        <f>IF(Data!K521=Entry2!K521,Data!K521,"ERROR")</f>
        <v>NNG</v>
      </c>
      <c r="L521" s="7" t="str">
        <f>IF(Data!L521=Entry2!L521,Data!L521,"ERROR")</f>
        <v>ERROR</v>
      </c>
      <c r="M521" s="7">
        <f>IF(Data!N521=Entry2!M521,Data!N521,"ERROR")</f>
        <v>0</v>
      </c>
    </row>
    <row r="522" spans="1:13" ht="13.2" hidden="1" x14ac:dyDescent="0.25">
      <c r="A522" s="7">
        <f>IF(Data!A522=Entry2!A522,Data!A522,"ERROR")</f>
        <v>11</v>
      </c>
      <c r="B522" s="7">
        <f>IF(Data!B522=Entry2!B522,Data!B522,"ERROR")</f>
        <v>2023</v>
      </c>
      <c r="C522" s="17">
        <f>IF(Data!C522=Entry2!C522,Data!C522,"ERROR")</f>
        <v>45197</v>
      </c>
      <c r="D522" s="7" t="str">
        <f>IF(Data!D522=Entry2!D522,Data!D522,"ERROR")</f>
        <v>MP, TL, MG</v>
      </c>
      <c r="E522" s="7" t="str">
        <f>IF(Data!E522=Entry2!E522,Data!E522,"ERROR")</f>
        <v>CU</v>
      </c>
      <c r="F522" s="7">
        <f>IF(Data!F522=Entry2!F522,Data!F522,"ERROR")</f>
        <v>1</v>
      </c>
      <c r="G522" s="7" t="str">
        <f>IF(Data!G522=Entry2!G522,Data!G522,"ERROR")</f>
        <v>LS</v>
      </c>
      <c r="H522" s="7">
        <f>IF(Data!H522=Entry2!H522,Data!H522,"ERROR")</f>
        <v>7</v>
      </c>
      <c r="I522" s="7">
        <f>IF(Data!I522=Entry2!I522,Data!I522,"ERROR")</f>
        <v>1</v>
      </c>
      <c r="J522" s="7">
        <f>IF(Data!J522=Entry2!J522,Data!J522,"ERROR")</f>
        <v>3</v>
      </c>
      <c r="K522" s="7" t="str">
        <f>IF(Data!K522=Entry2!K522,Data!K522,"ERROR")</f>
        <v>L</v>
      </c>
      <c r="L522" s="7" t="str">
        <f>IF(Data!L522=Entry2!L522,Data!L522,"ERROR")</f>
        <v>ERROR</v>
      </c>
      <c r="M522" s="7">
        <f>IF(Data!N522=Entry2!M522,Data!N522,"ERROR")</f>
        <v>0</v>
      </c>
    </row>
    <row r="523" spans="1:13" ht="13.2" hidden="1" x14ac:dyDescent="0.25">
      <c r="A523" s="7">
        <f>IF(Data!A523=Entry2!A523,Data!A523,"ERROR")</f>
        <v>11</v>
      </c>
      <c r="B523" s="7">
        <f>IF(Data!B523=Entry2!B523,Data!B523,"ERROR")</f>
        <v>2023</v>
      </c>
      <c r="C523" s="17">
        <f>IF(Data!C523=Entry2!C523,Data!C523,"ERROR")</f>
        <v>45197</v>
      </c>
      <c r="D523" s="7" t="str">
        <f>IF(Data!D523=Entry2!D523,Data!D523,"ERROR")</f>
        <v>MP, TL, MG</v>
      </c>
      <c r="E523" s="7" t="str">
        <f>IF(Data!E523=Entry2!E523,Data!E523,"ERROR")</f>
        <v>CU</v>
      </c>
      <c r="F523" s="7">
        <f>IF(Data!F523=Entry2!F523,Data!F523,"ERROR")</f>
        <v>1</v>
      </c>
      <c r="G523" s="7" t="str">
        <f>IF(Data!G523=Entry2!G523,Data!G523,"ERROR")</f>
        <v>LS</v>
      </c>
      <c r="H523" s="7">
        <f>IF(Data!H523=Entry2!H523,Data!H523,"ERROR")</f>
        <v>8</v>
      </c>
      <c r="I523" s="7">
        <f>IF(Data!I523=Entry2!I523,Data!I523,"ERROR")</f>
        <v>1</v>
      </c>
      <c r="J523" s="7">
        <f>IF(Data!J523=Entry2!J523,Data!J523,"ERROR")</f>
        <v>3.5</v>
      </c>
      <c r="K523" s="7" t="str">
        <f>IF(Data!K523=Entry2!K523,Data!K523,"ERROR")</f>
        <v>L</v>
      </c>
      <c r="L523" s="7" t="str">
        <f>IF(Data!L523=Entry2!L523,Data!L523,"ERROR")</f>
        <v>ERROR</v>
      </c>
      <c r="M523" s="7">
        <f>IF(Data!N523=Entry2!M523,Data!N523,"ERROR")</f>
        <v>0</v>
      </c>
    </row>
    <row r="524" spans="1:13" ht="13.2" hidden="1" x14ac:dyDescent="0.25">
      <c r="A524" s="7">
        <f>IF(Data!A524=Entry2!A524,Data!A524,"ERROR")</f>
        <v>11</v>
      </c>
      <c r="B524" s="7">
        <f>IF(Data!B524=Entry2!B524,Data!B524,"ERROR")</f>
        <v>2023</v>
      </c>
      <c r="C524" s="17">
        <f>IF(Data!C524=Entry2!C524,Data!C524,"ERROR")</f>
        <v>45197</v>
      </c>
      <c r="D524" s="7" t="str">
        <f>IF(Data!D524=Entry2!D524,Data!D524,"ERROR")</f>
        <v>MP, TL, MG</v>
      </c>
      <c r="E524" s="7" t="str">
        <f>IF(Data!E524=Entry2!E524,Data!E524,"ERROR")</f>
        <v>CU</v>
      </c>
      <c r="F524" s="7">
        <f>IF(Data!F524=Entry2!F524,Data!F524,"ERROR")</f>
        <v>1</v>
      </c>
      <c r="G524" s="7" t="str">
        <f>IF(Data!G524=Entry2!G524,Data!G524,"ERROR")</f>
        <v>LS</v>
      </c>
      <c r="H524" s="7">
        <f>IF(Data!H524=Entry2!H524,Data!H524,"ERROR")</f>
        <v>9</v>
      </c>
      <c r="I524" s="7">
        <f>IF(Data!I524=Entry2!I524,Data!I524,"ERROR")</f>
        <v>1</v>
      </c>
      <c r="J524" s="7">
        <f>IF(Data!J524=Entry2!J524,Data!J524,"ERROR")</f>
        <v>4</v>
      </c>
      <c r="K524" s="7" t="str">
        <f>IF(Data!K524=Entry2!K524,Data!K524,"ERROR")</f>
        <v>S</v>
      </c>
      <c r="L524" s="7" t="str">
        <f>IF(Data!L524=Entry2!L524,Data!L524,"ERROR")</f>
        <v>ERROR</v>
      </c>
      <c r="M524" s="7">
        <f>IF(Data!N524=Entry2!M524,Data!N524,"ERROR")</f>
        <v>0</v>
      </c>
    </row>
    <row r="525" spans="1:13" ht="13.2" hidden="1" x14ac:dyDescent="0.25">
      <c r="A525" s="7">
        <f>IF(Data!A525=Entry2!A525,Data!A525,"ERROR")</f>
        <v>11</v>
      </c>
      <c r="B525" s="7">
        <f>IF(Data!B525=Entry2!B525,Data!B525,"ERROR")</f>
        <v>2023</v>
      </c>
      <c r="C525" s="17">
        <f>IF(Data!C525=Entry2!C525,Data!C525,"ERROR")</f>
        <v>45197</v>
      </c>
      <c r="D525" s="7" t="str">
        <f>IF(Data!D525=Entry2!D525,Data!D525,"ERROR")</f>
        <v>MP, TL, MG</v>
      </c>
      <c r="E525" s="7" t="str">
        <f>IF(Data!E525=Entry2!E525,Data!E525,"ERROR")</f>
        <v>CU</v>
      </c>
      <c r="F525" s="7">
        <f>IF(Data!F525=Entry2!F525,Data!F525,"ERROR")</f>
        <v>1</v>
      </c>
      <c r="G525" s="7" t="str">
        <f>IF(Data!G525=Entry2!G525,Data!G525,"ERROR")</f>
        <v>LS</v>
      </c>
      <c r="H525" s="7">
        <f>IF(Data!H525=Entry2!H525,Data!H525,"ERROR")</f>
        <v>9</v>
      </c>
      <c r="I525" s="7">
        <f>IF(Data!I525=Entry2!I525,Data!I525,"ERROR")</f>
        <v>1</v>
      </c>
      <c r="J525" s="7">
        <f>IF(Data!J525=Entry2!J525,Data!J525,"ERROR")</f>
        <v>4</v>
      </c>
      <c r="K525" s="7" t="str">
        <f>IF(Data!K525=Entry2!K525,Data!K525,"ERROR")</f>
        <v>DEIFAS</v>
      </c>
      <c r="L525" s="7" t="str">
        <f>IF(Data!L525=Entry2!L525,Data!L525,"ERROR")</f>
        <v>ERROR</v>
      </c>
      <c r="M525" s="7">
        <f>IF(Data!N525=Entry2!M525,Data!N525,"ERROR")</f>
        <v>0</v>
      </c>
    </row>
    <row r="526" spans="1:13" ht="13.2" hidden="1" x14ac:dyDescent="0.25">
      <c r="A526" s="7">
        <f>IF(Data!A526=Entry2!A526,Data!A526,"ERROR")</f>
        <v>11</v>
      </c>
      <c r="B526" s="7">
        <f>IF(Data!B526=Entry2!B526,Data!B526,"ERROR")</f>
        <v>2023</v>
      </c>
      <c r="C526" s="17">
        <f>IF(Data!C526=Entry2!C526,Data!C526,"ERROR")</f>
        <v>45197</v>
      </c>
      <c r="D526" s="7" t="str">
        <f>IF(Data!D526=Entry2!D526,Data!D526,"ERROR")</f>
        <v>MP, TL, MG</v>
      </c>
      <c r="E526" s="7" t="str">
        <f>IF(Data!E526=Entry2!E526,Data!E526,"ERROR")</f>
        <v>CU</v>
      </c>
      <c r="F526" s="7">
        <f>IF(Data!F526=Entry2!F526,Data!F526,"ERROR")</f>
        <v>1</v>
      </c>
      <c r="G526" s="7" t="str">
        <f>IF(Data!G526=Entry2!G526,Data!G526,"ERROR")</f>
        <v>LS</v>
      </c>
      <c r="H526" s="7">
        <f>IF(Data!H526=Entry2!H526,Data!H526,"ERROR")</f>
        <v>10</v>
      </c>
      <c r="I526" s="7">
        <f>IF(Data!I526=Entry2!I526,Data!I526,"ERROR")</f>
        <v>1</v>
      </c>
      <c r="J526" s="7">
        <f>IF(Data!J526=Entry2!J526,Data!J526,"ERROR")</f>
        <v>4.5</v>
      </c>
      <c r="K526" s="7" t="str">
        <f>IF(Data!K526=Entry2!K526,Data!K526,"ERROR")</f>
        <v>L</v>
      </c>
      <c r="L526" s="7" t="str">
        <f>IF(Data!L526=Entry2!L526,Data!L526,"ERROR")</f>
        <v>ERROR</v>
      </c>
      <c r="M526" s="7">
        <f>IF(Data!N526=Entry2!M526,Data!N526,"ERROR")</f>
        <v>0</v>
      </c>
    </row>
    <row r="527" spans="1:13" ht="13.2" hidden="1" x14ac:dyDescent="0.25">
      <c r="A527" s="7">
        <f>IF(Data!A527=Entry2!A527,Data!A527,"ERROR")</f>
        <v>11</v>
      </c>
      <c r="B527" s="7">
        <f>IF(Data!B527=Entry2!B527,Data!B527,"ERROR")</f>
        <v>2023</v>
      </c>
      <c r="C527" s="17">
        <f>IF(Data!C527=Entry2!C527,Data!C527,"ERROR")</f>
        <v>45197</v>
      </c>
      <c r="D527" s="7" t="str">
        <f>IF(Data!D527=Entry2!D527,Data!D527,"ERROR")</f>
        <v>MP, TL, MG</v>
      </c>
      <c r="E527" s="7" t="str">
        <f>IF(Data!E527=Entry2!E527,Data!E527,"ERROR")</f>
        <v>CU</v>
      </c>
      <c r="F527" s="7">
        <f>IF(Data!F527=Entry2!F527,Data!F527,"ERROR")</f>
        <v>1</v>
      </c>
      <c r="G527" s="7" t="str">
        <f>IF(Data!G527=Entry2!G527,Data!G527,"ERROR")</f>
        <v>LS</v>
      </c>
      <c r="H527" s="7">
        <f>IF(Data!H527=Entry2!H527,Data!H527,"ERROR")</f>
        <v>10</v>
      </c>
      <c r="I527" s="7">
        <f>IF(Data!I527=Entry2!I527,Data!I527,"ERROR")</f>
        <v>1</v>
      </c>
      <c r="J527" s="7">
        <f>IF(Data!J527=Entry2!J527,Data!J527,"ERROR")</f>
        <v>4.5</v>
      </c>
      <c r="K527" s="7" t="str">
        <f>IF(Data!K527=Entry2!K527,Data!K527,"ERROR")</f>
        <v>OPULIT</v>
      </c>
      <c r="L527" s="7" t="str">
        <f>IF(Data!L527=Entry2!L527,Data!L527,"ERROR")</f>
        <v>ERROR</v>
      </c>
      <c r="M527" s="7">
        <f>IF(Data!N527=Entry2!M527,Data!N527,"ERROR")</f>
        <v>0</v>
      </c>
    </row>
    <row r="528" spans="1:13" ht="13.2" hidden="1" x14ac:dyDescent="0.25">
      <c r="A528" s="7">
        <f>IF(Data!A528=Entry2!A528,Data!A528,"ERROR")</f>
        <v>11</v>
      </c>
      <c r="B528" s="7">
        <f>IF(Data!B528=Entry2!B528,Data!B528,"ERROR")</f>
        <v>2023</v>
      </c>
      <c r="C528" s="17">
        <f>IF(Data!C528=Entry2!C528,Data!C528,"ERROR")</f>
        <v>45197</v>
      </c>
      <c r="D528" s="7" t="str">
        <f>IF(Data!D528=Entry2!D528,Data!D528,"ERROR")</f>
        <v>MP, TL, MG</v>
      </c>
      <c r="E528" s="7" t="str">
        <f>IF(Data!E528=Entry2!E528,Data!E528,"ERROR")</f>
        <v>CU</v>
      </c>
      <c r="F528" s="7">
        <f>IF(Data!F528=Entry2!F528,Data!F528,"ERROR")</f>
        <v>1</v>
      </c>
      <c r="G528" s="7" t="str">
        <f>IF(Data!G528=Entry2!G528,Data!G528,"ERROR")</f>
        <v>LS</v>
      </c>
      <c r="H528" s="7">
        <f>IF(Data!H528=Entry2!H528,Data!H528,"ERROR")</f>
        <v>10</v>
      </c>
      <c r="I528" s="7">
        <f>IF(Data!I528=Entry2!I528,Data!I528,"ERROR")</f>
        <v>1</v>
      </c>
      <c r="J528" s="7">
        <f>IF(Data!J528=Entry2!J528,Data!J528,"ERROR")</f>
        <v>4.5</v>
      </c>
      <c r="K528" s="7" t="str">
        <f>IF(Data!K528=Entry2!K528,Data!K528,"ERROR")</f>
        <v>CONARV</v>
      </c>
      <c r="L528" s="7" t="str">
        <f>IF(Data!L528=Entry2!L528,Data!L528,"ERROR")</f>
        <v>ERROR</v>
      </c>
      <c r="M528" s="7">
        <f>IF(Data!N528=Entry2!M528,Data!N528,"ERROR")</f>
        <v>0</v>
      </c>
    </row>
    <row r="529" spans="1:13" ht="13.2" hidden="1" x14ac:dyDescent="0.25">
      <c r="A529" s="7">
        <f>IF(Data!A529=Entry2!A529,Data!A529,"ERROR")</f>
        <v>11</v>
      </c>
      <c r="B529" s="7">
        <f>IF(Data!B529=Entry2!B529,Data!B529,"ERROR")</f>
        <v>2023</v>
      </c>
      <c r="C529" s="17">
        <f>IF(Data!C529=Entry2!C529,Data!C529,"ERROR")</f>
        <v>45197</v>
      </c>
      <c r="D529" s="7" t="str">
        <f>IF(Data!D529=Entry2!D529,Data!D529,"ERROR")</f>
        <v>MP, TL, MG</v>
      </c>
      <c r="E529" s="7" t="str">
        <f>IF(Data!E529=Entry2!E529,Data!E529,"ERROR")</f>
        <v>CU</v>
      </c>
      <c r="F529" s="7">
        <f>IF(Data!F529=Entry2!F529,Data!F529,"ERROR")</f>
        <v>1</v>
      </c>
      <c r="G529" s="7" t="str">
        <f>IF(Data!G529=Entry2!G529,Data!G529,"ERROR")</f>
        <v>LS</v>
      </c>
      <c r="H529" s="7">
        <f>IF(Data!H529=Entry2!H529,Data!H529,"ERROR")</f>
        <v>11</v>
      </c>
      <c r="I529" s="7">
        <f>IF(Data!I529=Entry2!I529,Data!I529,"ERROR")</f>
        <v>1</v>
      </c>
      <c r="J529" s="7">
        <f>IF(Data!J529=Entry2!J529,Data!J529,"ERROR")</f>
        <v>5</v>
      </c>
      <c r="K529" s="7" t="str">
        <f>IF(Data!K529=Entry2!K529,Data!K529,"ERROR")</f>
        <v>L</v>
      </c>
      <c r="L529" s="7" t="str">
        <f>IF(Data!L529=Entry2!L529,Data!L529,"ERROR")</f>
        <v>ERROR</v>
      </c>
      <c r="M529" s="7">
        <f>IF(Data!N529=Entry2!M529,Data!N529,"ERROR")</f>
        <v>0</v>
      </c>
    </row>
    <row r="530" spans="1:13" ht="13.2" hidden="1" x14ac:dyDescent="0.25">
      <c r="A530" s="7">
        <f>IF(Data!A530=Entry2!A530,Data!A530,"ERROR")</f>
        <v>11</v>
      </c>
      <c r="B530" s="7">
        <f>IF(Data!B530=Entry2!B530,Data!B530,"ERROR")</f>
        <v>2023</v>
      </c>
      <c r="C530" s="17">
        <f>IF(Data!C530=Entry2!C530,Data!C530,"ERROR")</f>
        <v>45197</v>
      </c>
      <c r="D530" s="7" t="str">
        <f>IF(Data!D530=Entry2!D530,Data!D530,"ERROR")</f>
        <v>MP, TL, MG</v>
      </c>
      <c r="E530" s="7" t="str">
        <f>IF(Data!E530=Entry2!E530,Data!E530,"ERROR")</f>
        <v>CU</v>
      </c>
      <c r="F530" s="7">
        <f>IF(Data!F530=Entry2!F530,Data!F530,"ERROR")</f>
        <v>1</v>
      </c>
      <c r="G530" s="7" t="str">
        <f>IF(Data!G530=Entry2!G530,Data!G530,"ERROR")</f>
        <v>LS</v>
      </c>
      <c r="H530" s="7">
        <f>IF(Data!H530=Entry2!H530,Data!H530,"ERROR")</f>
        <v>11</v>
      </c>
      <c r="I530" s="7">
        <f>IF(Data!I530=Entry2!I530,Data!I530,"ERROR")</f>
        <v>1</v>
      </c>
      <c r="J530" s="7">
        <f>IF(Data!J530=Entry2!J530,Data!J530,"ERROR")</f>
        <v>5</v>
      </c>
      <c r="K530" s="7" t="str">
        <f>IF(Data!K530=Entry2!K530,Data!K530,"ERROR")</f>
        <v>CONARV</v>
      </c>
      <c r="L530" s="7" t="str">
        <f>IF(Data!L530=Entry2!L530,Data!L530,"ERROR")</f>
        <v>ERROR</v>
      </c>
      <c r="M530" s="7">
        <f>IF(Data!N530=Entry2!M530,Data!N530,"ERROR")</f>
        <v>0</v>
      </c>
    </row>
    <row r="531" spans="1:13" ht="13.2" hidden="1" x14ac:dyDescent="0.25">
      <c r="A531" s="7">
        <f>IF(Data!A531=Entry2!A531,Data!A531,"ERROR")</f>
        <v>11</v>
      </c>
      <c r="B531" s="7">
        <f>IF(Data!B531=Entry2!B531,Data!B531,"ERROR")</f>
        <v>2023</v>
      </c>
      <c r="C531" s="17">
        <f>IF(Data!C531=Entry2!C531,Data!C531,"ERROR")</f>
        <v>45197</v>
      </c>
      <c r="D531" s="7" t="str">
        <f>IF(Data!D531=Entry2!D531,Data!D531,"ERROR")</f>
        <v>MP, TL, MG</v>
      </c>
      <c r="E531" s="7" t="str">
        <f>IF(Data!E531=Entry2!E531,Data!E531,"ERROR")</f>
        <v>CU</v>
      </c>
      <c r="F531" s="7">
        <f>IF(Data!F531=Entry2!F531,Data!F531,"ERROR")</f>
        <v>1</v>
      </c>
      <c r="G531" s="7" t="str">
        <f>IF(Data!G531=Entry2!G531,Data!G531,"ERROR")</f>
        <v>LS</v>
      </c>
      <c r="H531" s="7">
        <f>IF(Data!H531=Entry2!H531,Data!H531,"ERROR")</f>
        <v>12</v>
      </c>
      <c r="I531" s="7">
        <f>IF(Data!I531=Entry2!I531,Data!I531,"ERROR")</f>
        <v>1</v>
      </c>
      <c r="J531" s="7">
        <f>IF(Data!J531=Entry2!J531,Data!J531,"ERROR")</f>
        <v>5.5</v>
      </c>
      <c r="K531" s="7" t="str">
        <f>IF(Data!K531=Entry2!K531,Data!K531,"ERROR")</f>
        <v>B</v>
      </c>
      <c r="L531" s="7" t="str">
        <f>IF(Data!L531=Entry2!L531,Data!L531,"ERROR")</f>
        <v>ERROR</v>
      </c>
      <c r="M531" s="7">
        <f>IF(Data!N531=Entry2!M531,Data!N531,"ERROR")</f>
        <v>0</v>
      </c>
    </row>
    <row r="532" spans="1:13" ht="13.2" hidden="1" x14ac:dyDescent="0.25">
      <c r="A532" s="7">
        <f>IF(Data!A532=Entry2!A532,Data!A532,"ERROR")</f>
        <v>11</v>
      </c>
      <c r="B532" s="7">
        <f>IF(Data!B532=Entry2!B532,Data!B532,"ERROR")</f>
        <v>2023</v>
      </c>
      <c r="C532" s="17">
        <f>IF(Data!C532=Entry2!C532,Data!C532,"ERROR")</f>
        <v>45197</v>
      </c>
      <c r="D532" s="7" t="str">
        <f>IF(Data!D532=Entry2!D532,Data!D532,"ERROR")</f>
        <v>MP, TL, MG</v>
      </c>
      <c r="E532" s="7" t="str">
        <f>IF(Data!E532=Entry2!E532,Data!E532,"ERROR")</f>
        <v>CU</v>
      </c>
      <c r="F532" s="7">
        <f>IF(Data!F532=Entry2!F532,Data!F532,"ERROR")</f>
        <v>1</v>
      </c>
      <c r="G532" s="7" t="str">
        <f>IF(Data!G532=Entry2!G532,Data!G532,"ERROR")</f>
        <v>LS</v>
      </c>
      <c r="H532" s="7">
        <f>IF(Data!H532=Entry2!H532,Data!H532,"ERROR")</f>
        <v>12</v>
      </c>
      <c r="I532" s="7">
        <f>IF(Data!I532=Entry2!I532,Data!I532,"ERROR")</f>
        <v>1</v>
      </c>
      <c r="J532" s="7">
        <f>IF(Data!J532=Entry2!J532,Data!J532,"ERROR")</f>
        <v>5.5</v>
      </c>
      <c r="K532" s="7" t="str">
        <f>IF(Data!K532=Entry2!K532,Data!K532,"ERROR")</f>
        <v>CONARV</v>
      </c>
      <c r="L532" s="7" t="str">
        <f>IF(Data!L532=Entry2!L532,Data!L532,"ERROR")</f>
        <v>ERROR</v>
      </c>
      <c r="M532" s="7">
        <f>IF(Data!N532=Entry2!M532,Data!N532,"ERROR")</f>
        <v>0</v>
      </c>
    </row>
    <row r="533" spans="1:13" ht="13.2" hidden="1" x14ac:dyDescent="0.25">
      <c r="A533" s="7">
        <f>IF(Data!A533=Entry2!A533,Data!A533,"ERROR")</f>
        <v>11</v>
      </c>
      <c r="B533" s="7">
        <f>IF(Data!B533=Entry2!B533,Data!B533,"ERROR")</f>
        <v>2023</v>
      </c>
      <c r="C533" s="17">
        <f>IF(Data!C533=Entry2!C533,Data!C533,"ERROR")</f>
        <v>45197</v>
      </c>
      <c r="D533" s="7" t="str">
        <f>IF(Data!D533=Entry2!D533,Data!D533,"ERROR")</f>
        <v>MP, TL, MG</v>
      </c>
      <c r="E533" s="7" t="str">
        <f>IF(Data!E533=Entry2!E533,Data!E533,"ERROR")</f>
        <v>CU</v>
      </c>
      <c r="F533" s="7">
        <f>IF(Data!F533=Entry2!F533,Data!F533,"ERROR")</f>
        <v>1</v>
      </c>
      <c r="G533" s="7" t="str">
        <f>IF(Data!G533=Entry2!G533,Data!G533,"ERROR")</f>
        <v>LS</v>
      </c>
      <c r="H533" s="7">
        <f>IF(Data!H533=Entry2!H533,Data!H533,"ERROR")</f>
        <v>13</v>
      </c>
      <c r="I533" s="7">
        <f>IF(Data!I533=Entry2!I533,Data!I533,"ERROR")</f>
        <v>1</v>
      </c>
      <c r="J533" s="7">
        <f>IF(Data!J533=Entry2!J533,Data!J533,"ERROR")</f>
        <v>6.5</v>
      </c>
      <c r="K533" s="7" t="str">
        <f>IF(Data!K533=Entry2!K533,Data!K533,"ERROR")</f>
        <v>B</v>
      </c>
      <c r="L533" s="7" t="str">
        <f>IF(Data!L533=Entry2!L533,Data!L533,"ERROR")</f>
        <v>ERROR</v>
      </c>
      <c r="M533" s="7">
        <f>IF(Data!N533=Entry2!M533,Data!N533,"ERROR")</f>
        <v>0</v>
      </c>
    </row>
    <row r="534" spans="1:13" ht="13.2" hidden="1" x14ac:dyDescent="0.25">
      <c r="A534" s="7">
        <f>IF(Data!A534=Entry2!A534,Data!A534,"ERROR")</f>
        <v>11</v>
      </c>
      <c r="B534" s="7">
        <f>IF(Data!B534=Entry2!B534,Data!B534,"ERROR")</f>
        <v>2023</v>
      </c>
      <c r="C534" s="17">
        <f>IF(Data!C534=Entry2!C534,Data!C534,"ERROR")</f>
        <v>45197</v>
      </c>
      <c r="D534" s="7" t="str">
        <f>IF(Data!D534=Entry2!D534,Data!D534,"ERROR")</f>
        <v>MP, TL, MG</v>
      </c>
      <c r="E534" s="7" t="str">
        <f>IF(Data!E534=Entry2!E534,Data!E534,"ERROR")</f>
        <v>CU</v>
      </c>
      <c r="F534" s="7">
        <f>IF(Data!F534=Entry2!F534,Data!F534,"ERROR")</f>
        <v>1</v>
      </c>
      <c r="G534" s="7" t="str">
        <f>IF(Data!G534=Entry2!G534,Data!G534,"ERROR")</f>
        <v>LS</v>
      </c>
      <c r="H534" s="7">
        <f>IF(Data!H534=Entry2!H534,Data!H534,"ERROR")</f>
        <v>13</v>
      </c>
      <c r="I534" s="7">
        <f>IF(Data!I534=Entry2!I534,Data!I534,"ERROR")</f>
        <v>1</v>
      </c>
      <c r="J534" s="7">
        <f>IF(Data!J534=Entry2!J534,Data!J534,"ERROR")</f>
        <v>6.5</v>
      </c>
      <c r="K534" s="7" t="str">
        <f>IF(Data!K534=Entry2!K534,Data!K534,"ERROR")</f>
        <v>DEIFAS</v>
      </c>
      <c r="L534" s="7" t="str">
        <f>IF(Data!L534=Entry2!L534,Data!L534,"ERROR")</f>
        <v>ERROR</v>
      </c>
      <c r="M534" s="7">
        <f>IF(Data!N534=Entry2!M534,Data!N534,"ERROR")</f>
        <v>0</v>
      </c>
    </row>
    <row r="535" spans="1:13" ht="13.2" hidden="1" x14ac:dyDescent="0.25">
      <c r="A535" s="7">
        <f>IF(Data!A535=Entry2!A535,Data!A535,"ERROR")</f>
        <v>11</v>
      </c>
      <c r="B535" s="7">
        <f>IF(Data!B535=Entry2!B535,Data!B535,"ERROR")</f>
        <v>2023</v>
      </c>
      <c r="C535" s="17">
        <f>IF(Data!C535=Entry2!C535,Data!C535,"ERROR")</f>
        <v>45197</v>
      </c>
      <c r="D535" s="7" t="str">
        <f>IF(Data!D535=Entry2!D535,Data!D535,"ERROR")</f>
        <v>MP, TL, MG</v>
      </c>
      <c r="E535" s="7" t="str">
        <f>IF(Data!E535=Entry2!E535,Data!E535,"ERROR")</f>
        <v>CU</v>
      </c>
      <c r="F535" s="7">
        <f>IF(Data!F535=Entry2!F535,Data!F535,"ERROR")</f>
        <v>1</v>
      </c>
      <c r="G535" s="7" t="str">
        <f>IF(Data!G535=Entry2!G535,Data!G535,"ERROR")</f>
        <v>LS</v>
      </c>
      <c r="H535" s="7">
        <f>IF(Data!H535=Entry2!H535,Data!H535,"ERROR")</f>
        <v>13</v>
      </c>
      <c r="I535" s="7">
        <f>IF(Data!I535=Entry2!I535,Data!I535,"ERROR")</f>
        <v>1</v>
      </c>
      <c r="J535" s="7">
        <f>IF(Data!J535=Entry2!J535,Data!J535,"ERROR")</f>
        <v>6.5</v>
      </c>
      <c r="K535" s="7" t="str">
        <f>IF(Data!K535=Entry2!K535,Data!K535,"ERROR")</f>
        <v>OPULIT</v>
      </c>
      <c r="L535" s="7" t="str">
        <f>IF(Data!L535=Entry2!L535,Data!L535,"ERROR")</f>
        <v>ERROR</v>
      </c>
      <c r="M535" s="7">
        <f>IF(Data!N535=Entry2!M535,Data!N535,"ERROR")</f>
        <v>0</v>
      </c>
    </row>
    <row r="536" spans="1:13" ht="13.2" hidden="1" x14ac:dyDescent="0.25">
      <c r="A536" s="7">
        <f>IF(Data!A536=Entry2!A536,Data!A536,"ERROR")</f>
        <v>11</v>
      </c>
      <c r="B536" s="7">
        <f>IF(Data!B536=Entry2!B536,Data!B536,"ERROR")</f>
        <v>2023</v>
      </c>
      <c r="C536" s="17">
        <f>IF(Data!C536=Entry2!C536,Data!C536,"ERROR")</f>
        <v>45197</v>
      </c>
      <c r="D536" s="7" t="str">
        <f>IF(Data!D536=Entry2!D536,Data!D536,"ERROR")</f>
        <v>MP, TL, MG</v>
      </c>
      <c r="E536" s="7" t="str">
        <f>IF(Data!E536=Entry2!E536,Data!E536,"ERROR")</f>
        <v>CU</v>
      </c>
      <c r="F536" s="7">
        <f>IF(Data!F536=Entry2!F536,Data!F536,"ERROR")</f>
        <v>1</v>
      </c>
      <c r="G536" s="7" t="str">
        <f>IF(Data!G536=Entry2!G536,Data!G536,"ERROR")</f>
        <v>LS</v>
      </c>
      <c r="H536" s="7">
        <f>IF(Data!H536=Entry2!H536,Data!H536,"ERROR")</f>
        <v>14</v>
      </c>
      <c r="I536" s="7">
        <f>IF(Data!I536=Entry2!I536,Data!I536,"ERROR")</f>
        <v>1</v>
      </c>
      <c r="J536" s="7">
        <f>IF(Data!J536=Entry2!J536,Data!J536,"ERROR")</f>
        <v>7</v>
      </c>
      <c r="K536" s="7" t="str">
        <f>IF(Data!K536=Entry2!K536,Data!K536,"ERROR")</f>
        <v>L</v>
      </c>
      <c r="L536" s="7" t="str">
        <f>IF(Data!L536=Entry2!L536,Data!L536,"ERROR")</f>
        <v>ERROR</v>
      </c>
      <c r="M536" s="7">
        <f>IF(Data!N536=Entry2!M536,Data!N536,"ERROR")</f>
        <v>0</v>
      </c>
    </row>
    <row r="537" spans="1:13" ht="13.2" hidden="1" x14ac:dyDescent="0.25">
      <c r="A537" s="7">
        <f>IF(Data!A537=Entry2!A537,Data!A537,"ERROR")</f>
        <v>11</v>
      </c>
      <c r="B537" s="7">
        <f>IF(Data!B537=Entry2!B537,Data!B537,"ERROR")</f>
        <v>2023</v>
      </c>
      <c r="C537" s="17">
        <f>IF(Data!C537=Entry2!C537,Data!C537,"ERROR")</f>
        <v>45197</v>
      </c>
      <c r="D537" s="7" t="str">
        <f>IF(Data!D537=Entry2!D537,Data!D537,"ERROR")</f>
        <v>MP, TL, MG</v>
      </c>
      <c r="E537" s="7" t="str">
        <f>IF(Data!E537=Entry2!E537,Data!E537,"ERROR")</f>
        <v>CU</v>
      </c>
      <c r="F537" s="7">
        <f>IF(Data!F537=Entry2!F537,Data!F537,"ERROR")</f>
        <v>1</v>
      </c>
      <c r="G537" s="7" t="str">
        <f>IF(Data!G537=Entry2!G537,Data!G537,"ERROR")</f>
        <v>LS</v>
      </c>
      <c r="H537" s="7">
        <f>IF(Data!H537=Entry2!H537,Data!H537,"ERROR")</f>
        <v>15</v>
      </c>
      <c r="I537" s="7">
        <f>IF(Data!I537=Entry2!I537,Data!I537,"ERROR")</f>
        <v>1</v>
      </c>
      <c r="J537" s="7">
        <f>IF(Data!J537=Entry2!J537,Data!J537,"ERROR")</f>
        <v>7.5</v>
      </c>
      <c r="K537" s="7" t="str">
        <f>IF(Data!K537=Entry2!K537,Data!K537,"ERROR")</f>
        <v>B</v>
      </c>
      <c r="L537" s="7" t="str">
        <f>IF(Data!L537=Entry2!L537,Data!L537,"ERROR")</f>
        <v>ERROR</v>
      </c>
      <c r="M537" s="7">
        <f>IF(Data!N537=Entry2!M537,Data!N537,"ERROR")</f>
        <v>0</v>
      </c>
    </row>
    <row r="538" spans="1:13" ht="13.2" hidden="1" x14ac:dyDescent="0.25">
      <c r="A538" s="7">
        <f>IF(Data!A538=Entry2!A538,Data!A538,"ERROR")</f>
        <v>11</v>
      </c>
      <c r="B538" s="7">
        <f>IF(Data!B538=Entry2!B538,Data!B538,"ERROR")</f>
        <v>2023</v>
      </c>
      <c r="C538" s="17">
        <f>IF(Data!C538=Entry2!C538,Data!C538,"ERROR")</f>
        <v>45197</v>
      </c>
      <c r="D538" s="7" t="str">
        <f>IF(Data!D538=Entry2!D538,Data!D538,"ERROR")</f>
        <v>MP, TL, MG</v>
      </c>
      <c r="E538" s="7" t="str">
        <f>IF(Data!E538=Entry2!E538,Data!E538,"ERROR")</f>
        <v>CU</v>
      </c>
      <c r="F538" s="7">
        <f>IF(Data!F538=Entry2!F538,Data!F538,"ERROR")</f>
        <v>1</v>
      </c>
      <c r="G538" s="7" t="str">
        <f>IF(Data!G538=Entry2!G538,Data!G538,"ERROR")</f>
        <v>LS</v>
      </c>
      <c r="H538" s="7">
        <f>IF(Data!H538=Entry2!H538,Data!H538,"ERROR")</f>
        <v>1</v>
      </c>
      <c r="I538" s="7">
        <f>IF(Data!I538=Entry2!I538,Data!I538,"ERROR")</f>
        <v>2</v>
      </c>
      <c r="J538" s="7">
        <f>IF(Data!J538=Entry2!J538,Data!J538,"ERROR")</f>
        <v>0</v>
      </c>
      <c r="K538" s="7" t="str">
        <f>IF(Data!K538=Entry2!K538,Data!K538,"ERROR")</f>
        <v>B</v>
      </c>
      <c r="L538" s="7" t="str">
        <f>IF(Data!L538=Entry2!L538,Data!L538,"ERROR")</f>
        <v>ERROR</v>
      </c>
      <c r="M538" s="7">
        <f>IF(Data!N538=Entry2!M538,Data!N538,"ERROR")</f>
        <v>0</v>
      </c>
    </row>
    <row r="539" spans="1:13" ht="13.2" hidden="1" x14ac:dyDescent="0.25">
      <c r="A539" s="7">
        <f>IF(Data!A539=Entry2!A539,Data!A539,"ERROR")</f>
        <v>11</v>
      </c>
      <c r="B539" s="7">
        <f>IF(Data!B539=Entry2!B539,Data!B539,"ERROR")</f>
        <v>2023</v>
      </c>
      <c r="C539" s="17">
        <f>IF(Data!C539=Entry2!C539,Data!C539,"ERROR")</f>
        <v>45197</v>
      </c>
      <c r="D539" s="7" t="str">
        <f>IF(Data!D539=Entry2!D539,Data!D539,"ERROR")</f>
        <v>MP, TL, MG</v>
      </c>
      <c r="E539" s="7" t="str">
        <f>IF(Data!E539=Entry2!E539,Data!E539,"ERROR")</f>
        <v>CU</v>
      </c>
      <c r="F539" s="7">
        <f>IF(Data!F539=Entry2!F539,Data!F539,"ERROR")</f>
        <v>1</v>
      </c>
      <c r="G539" s="7" t="str">
        <f>IF(Data!G539=Entry2!G539,Data!G539,"ERROR")</f>
        <v>LS</v>
      </c>
      <c r="H539" s="7">
        <f>IF(Data!H539=Entry2!H539,Data!H539,"ERROR")</f>
        <v>2</v>
      </c>
      <c r="I539" s="7">
        <f>IF(Data!I539=Entry2!I539,Data!I539,"ERROR")</f>
        <v>2</v>
      </c>
      <c r="J539" s="7">
        <f>IF(Data!J539=Entry2!J539,Data!J539,"ERROR")</f>
        <v>0.5</v>
      </c>
      <c r="K539" s="7" t="str">
        <f>IF(Data!K539=Entry2!K539,Data!K539,"ERROR")</f>
        <v>L</v>
      </c>
      <c r="L539" s="7" t="str">
        <f>IF(Data!L539=Entry2!L539,Data!L539,"ERROR")</f>
        <v>ERROR</v>
      </c>
      <c r="M539" s="7">
        <f>IF(Data!N539=Entry2!M539,Data!N539,"ERROR")</f>
        <v>0</v>
      </c>
    </row>
    <row r="540" spans="1:13" ht="13.2" hidden="1" x14ac:dyDescent="0.25">
      <c r="A540" s="7">
        <f>IF(Data!A540=Entry2!A540,Data!A540,"ERROR")</f>
        <v>11</v>
      </c>
      <c r="B540" s="7">
        <f>IF(Data!B540=Entry2!B540,Data!B540,"ERROR")</f>
        <v>2023</v>
      </c>
      <c r="C540" s="17">
        <f>IF(Data!C540=Entry2!C540,Data!C540,"ERROR")</f>
        <v>45197</v>
      </c>
      <c r="D540" s="7" t="str">
        <f>IF(Data!D540=Entry2!D540,Data!D540,"ERROR")</f>
        <v>MP, TL, MG</v>
      </c>
      <c r="E540" s="7" t="str">
        <f>IF(Data!E540=Entry2!E540,Data!E540,"ERROR")</f>
        <v>CU</v>
      </c>
      <c r="F540" s="7">
        <f>IF(Data!F540=Entry2!F540,Data!F540,"ERROR")</f>
        <v>1</v>
      </c>
      <c r="G540" s="7" t="str">
        <f>IF(Data!G540=Entry2!G540,Data!G540,"ERROR")</f>
        <v>LS</v>
      </c>
      <c r="H540" s="7">
        <f>IF(Data!H540=Entry2!H540,Data!H540,"ERROR")</f>
        <v>3</v>
      </c>
      <c r="I540" s="7">
        <f>IF(Data!I540=Entry2!I540,Data!I540,"ERROR")</f>
        <v>2</v>
      </c>
      <c r="J540" s="7">
        <f>IF(Data!J540=Entry2!J540,Data!J540,"ERROR")</f>
        <v>1</v>
      </c>
      <c r="K540" s="7" t="str">
        <f>IF(Data!K540=Entry2!K540,Data!K540,"ERROR")</f>
        <v>L</v>
      </c>
      <c r="L540" s="7" t="str">
        <f>IF(Data!L540=Entry2!L540,Data!L540,"ERROR")</f>
        <v>ERROR</v>
      </c>
      <c r="M540" s="7">
        <f>IF(Data!N540=Entry2!M540,Data!N540,"ERROR")</f>
        <v>0</v>
      </c>
    </row>
    <row r="541" spans="1:13" ht="13.2" hidden="1" x14ac:dyDescent="0.25">
      <c r="A541" s="7">
        <f>IF(Data!A541=Entry2!A541,Data!A541,"ERROR")</f>
        <v>11</v>
      </c>
      <c r="B541" s="7">
        <f>IF(Data!B541=Entry2!B541,Data!B541,"ERROR")</f>
        <v>2023</v>
      </c>
      <c r="C541" s="17">
        <f>IF(Data!C541=Entry2!C541,Data!C541,"ERROR")</f>
        <v>45197</v>
      </c>
      <c r="D541" s="7" t="str">
        <f>IF(Data!D541=Entry2!D541,Data!D541,"ERROR")</f>
        <v>MP, TL, MG</v>
      </c>
      <c r="E541" s="7" t="str">
        <f>IF(Data!E541=Entry2!E541,Data!E541,"ERROR")</f>
        <v>CU</v>
      </c>
      <c r="F541" s="7">
        <f>IF(Data!F541=Entry2!F541,Data!F541,"ERROR")</f>
        <v>1</v>
      </c>
      <c r="G541" s="7" t="str">
        <f>IF(Data!G541=Entry2!G541,Data!G541,"ERROR")</f>
        <v>LS</v>
      </c>
      <c r="H541" s="7">
        <f>IF(Data!H541=Entry2!H541,Data!H541,"ERROR")</f>
        <v>3</v>
      </c>
      <c r="I541" s="7">
        <f>IF(Data!I541=Entry2!I541,Data!I541,"ERROR")</f>
        <v>2</v>
      </c>
      <c r="J541" s="7">
        <f>IF(Data!J541=Entry2!J541,Data!J541,"ERROR")</f>
        <v>1</v>
      </c>
      <c r="K541" s="7" t="str">
        <f>IF(Data!K541=Entry2!K541,Data!K541,"ERROR")</f>
        <v>CONARV</v>
      </c>
      <c r="L541" s="7" t="str">
        <f>IF(Data!L541=Entry2!L541,Data!L541,"ERROR")</f>
        <v>ERROR</v>
      </c>
      <c r="M541" s="7">
        <f>IF(Data!N541=Entry2!M541,Data!N541,"ERROR")</f>
        <v>0</v>
      </c>
    </row>
    <row r="542" spans="1:13" ht="13.2" hidden="1" x14ac:dyDescent="0.25">
      <c r="A542" s="7">
        <f>IF(Data!A542=Entry2!A542,Data!A542,"ERROR")</f>
        <v>11</v>
      </c>
      <c r="B542" s="7">
        <f>IF(Data!B542=Entry2!B542,Data!B542,"ERROR")</f>
        <v>2023</v>
      </c>
      <c r="C542" s="17">
        <f>IF(Data!C542=Entry2!C542,Data!C542,"ERROR")</f>
        <v>45197</v>
      </c>
      <c r="D542" s="7" t="str">
        <f>IF(Data!D542=Entry2!D542,Data!D542,"ERROR")</f>
        <v>MP, TL, MG</v>
      </c>
      <c r="E542" s="7" t="str">
        <f>IF(Data!E542=Entry2!E542,Data!E542,"ERROR")</f>
        <v>CU</v>
      </c>
      <c r="F542" s="7">
        <f>IF(Data!F542=Entry2!F542,Data!F542,"ERROR")</f>
        <v>1</v>
      </c>
      <c r="G542" s="7" t="str">
        <f>IF(Data!G542=Entry2!G542,Data!G542,"ERROR")</f>
        <v>LS</v>
      </c>
      <c r="H542" s="7">
        <f>IF(Data!H542=Entry2!H542,Data!H542,"ERROR")</f>
        <v>3</v>
      </c>
      <c r="I542" s="7">
        <f>IF(Data!I542=Entry2!I542,Data!I542,"ERROR")</f>
        <v>2</v>
      </c>
      <c r="J542" s="7">
        <f>IF(Data!J542=Entry2!J542,Data!J542,"ERROR")</f>
        <v>1</v>
      </c>
      <c r="K542" s="7" t="str">
        <f>IF(Data!K542=Entry2!K542,Data!K542,"ERROR")</f>
        <v>OPULIT</v>
      </c>
      <c r="L542" s="7" t="str">
        <f>IF(Data!L542=Entry2!L542,Data!L542,"ERROR")</f>
        <v>ERROR</v>
      </c>
      <c r="M542" s="7">
        <f>IF(Data!N542=Entry2!M542,Data!N542,"ERROR")</f>
        <v>0</v>
      </c>
    </row>
    <row r="543" spans="1:13" ht="13.2" hidden="1" x14ac:dyDescent="0.25">
      <c r="A543" s="7">
        <f>IF(Data!A543=Entry2!A543,Data!A543,"ERROR")</f>
        <v>11</v>
      </c>
      <c r="B543" s="7">
        <f>IF(Data!B543=Entry2!B543,Data!B543,"ERROR")</f>
        <v>2023</v>
      </c>
      <c r="C543" s="17">
        <f>IF(Data!C543=Entry2!C543,Data!C543,"ERROR")</f>
        <v>45197</v>
      </c>
      <c r="D543" s="7" t="str">
        <f>IF(Data!D543=Entry2!D543,Data!D543,"ERROR")</f>
        <v>MP, TL, MG</v>
      </c>
      <c r="E543" s="7" t="str">
        <f>IF(Data!E543=Entry2!E543,Data!E543,"ERROR")</f>
        <v>CU</v>
      </c>
      <c r="F543" s="7">
        <f>IF(Data!F543=Entry2!F543,Data!F543,"ERROR")</f>
        <v>1</v>
      </c>
      <c r="G543" s="7" t="str">
        <f>IF(Data!G543=Entry2!G543,Data!G543,"ERROR")</f>
        <v>LS</v>
      </c>
      <c r="H543" s="7">
        <f>IF(Data!H543=Entry2!H543,Data!H543,"ERROR")</f>
        <v>4</v>
      </c>
      <c r="I543" s="7">
        <f>IF(Data!I543=Entry2!I543,Data!I543,"ERROR")</f>
        <v>2</v>
      </c>
      <c r="J543" s="7">
        <f>IF(Data!J543=Entry2!J543,Data!J543,"ERROR")</f>
        <v>1.5</v>
      </c>
      <c r="K543" s="7" t="str">
        <f>IF(Data!K543=Entry2!K543,Data!K543,"ERROR")</f>
        <v>L</v>
      </c>
      <c r="L543" s="7" t="str">
        <f>IF(Data!L543=Entry2!L543,Data!L543,"ERROR")</f>
        <v>ERROR</v>
      </c>
      <c r="M543" s="7">
        <f>IF(Data!N543=Entry2!M543,Data!N543,"ERROR")</f>
        <v>0</v>
      </c>
    </row>
    <row r="544" spans="1:13" ht="13.2" hidden="1" x14ac:dyDescent="0.25">
      <c r="A544" s="7">
        <f>IF(Data!A544=Entry2!A544,Data!A544,"ERROR")</f>
        <v>11</v>
      </c>
      <c r="B544" s="7">
        <f>IF(Data!B544=Entry2!B544,Data!B544,"ERROR")</f>
        <v>2023</v>
      </c>
      <c r="C544" s="17">
        <f>IF(Data!C544=Entry2!C544,Data!C544,"ERROR")</f>
        <v>45197</v>
      </c>
      <c r="D544" s="7" t="str">
        <f>IF(Data!D544=Entry2!D544,Data!D544,"ERROR")</f>
        <v>MP, TL, MG</v>
      </c>
      <c r="E544" s="7" t="str">
        <f>IF(Data!E544=Entry2!E544,Data!E544,"ERROR")</f>
        <v>CU</v>
      </c>
      <c r="F544" s="7">
        <f>IF(Data!F544=Entry2!F544,Data!F544,"ERROR")</f>
        <v>1</v>
      </c>
      <c r="G544" s="7" t="str">
        <f>IF(Data!G544=Entry2!G544,Data!G544,"ERROR")</f>
        <v>LS</v>
      </c>
      <c r="H544" s="7">
        <f>IF(Data!H544=Entry2!H544,Data!H544,"ERROR")</f>
        <v>5</v>
      </c>
      <c r="I544" s="7">
        <f>IF(Data!I544=Entry2!I544,Data!I544,"ERROR")</f>
        <v>2</v>
      </c>
      <c r="J544" s="7">
        <f>IF(Data!J544=Entry2!J544,Data!J544,"ERROR")</f>
        <v>2.5</v>
      </c>
      <c r="K544" s="7" t="str">
        <f>IF(Data!K544=Entry2!K544,Data!K544,"ERROR")</f>
        <v>L</v>
      </c>
      <c r="L544" s="7" t="str">
        <f>IF(Data!L544=Entry2!L544,Data!L544,"ERROR")</f>
        <v>ERROR</v>
      </c>
      <c r="M544" s="7">
        <f>IF(Data!N544=Entry2!M544,Data!N544,"ERROR")</f>
        <v>0</v>
      </c>
    </row>
    <row r="545" spans="1:13" ht="13.2" hidden="1" x14ac:dyDescent="0.25">
      <c r="A545" s="7">
        <f>IF(Data!A545=Entry2!A545,Data!A545,"ERROR")</f>
        <v>11</v>
      </c>
      <c r="B545" s="7">
        <f>IF(Data!B545=Entry2!B545,Data!B545,"ERROR")</f>
        <v>2023</v>
      </c>
      <c r="C545" s="17">
        <f>IF(Data!C545=Entry2!C545,Data!C545,"ERROR")</f>
        <v>45197</v>
      </c>
      <c r="D545" s="7" t="str">
        <f>IF(Data!D545=Entry2!D545,Data!D545,"ERROR")</f>
        <v>MP, TL, MG</v>
      </c>
      <c r="E545" s="7" t="str">
        <f>IF(Data!E545=Entry2!E545,Data!E545,"ERROR")</f>
        <v>CU</v>
      </c>
      <c r="F545" s="7">
        <f>IF(Data!F545=Entry2!F545,Data!F545,"ERROR")</f>
        <v>1</v>
      </c>
      <c r="G545" s="7" t="str">
        <f>IF(Data!G545=Entry2!G545,Data!G545,"ERROR")</f>
        <v>LS</v>
      </c>
      <c r="H545" s="7">
        <f>IF(Data!H545=Entry2!H545,Data!H545,"ERROR")</f>
        <v>5</v>
      </c>
      <c r="I545" s="7">
        <f>IF(Data!I545=Entry2!I545,Data!I545,"ERROR")</f>
        <v>2</v>
      </c>
      <c r="J545" s="7">
        <f>IF(Data!J545=Entry2!J545,Data!J545,"ERROR")</f>
        <v>2.5</v>
      </c>
      <c r="K545" s="7" t="str">
        <f>IF(Data!K545=Entry2!K545,Data!K545,"ERROR")</f>
        <v>DEIFAS</v>
      </c>
      <c r="L545" s="7" t="str">
        <f>IF(Data!L545=Entry2!L545,Data!L545,"ERROR")</f>
        <v>ERROR</v>
      </c>
      <c r="M545" s="7">
        <f>IF(Data!N545=Entry2!M545,Data!N545,"ERROR")</f>
        <v>0</v>
      </c>
    </row>
    <row r="546" spans="1:13" ht="13.2" hidden="1" x14ac:dyDescent="0.25">
      <c r="A546" s="7">
        <f>IF(Data!A546=Entry2!A546,Data!A546,"ERROR")</f>
        <v>11</v>
      </c>
      <c r="B546" s="7">
        <f>IF(Data!B546=Entry2!B546,Data!B546,"ERROR")</f>
        <v>2023</v>
      </c>
      <c r="C546" s="17">
        <f>IF(Data!C546=Entry2!C546,Data!C546,"ERROR")</f>
        <v>45197</v>
      </c>
      <c r="D546" s="7" t="str">
        <f>IF(Data!D546=Entry2!D546,Data!D546,"ERROR")</f>
        <v>MP, TL, MG</v>
      </c>
      <c r="E546" s="7" t="str">
        <f>IF(Data!E546=Entry2!E546,Data!E546,"ERROR")</f>
        <v>CU</v>
      </c>
      <c r="F546" s="7">
        <f>IF(Data!F546=Entry2!F546,Data!F546,"ERROR")</f>
        <v>1</v>
      </c>
      <c r="G546" s="7" t="str">
        <f>IF(Data!G546=Entry2!G546,Data!G546,"ERROR")</f>
        <v>LS</v>
      </c>
      <c r="H546" s="7">
        <f>IF(Data!H546=Entry2!H546,Data!H546,"ERROR")</f>
        <v>6</v>
      </c>
      <c r="I546" s="7">
        <f>IF(Data!I546=Entry2!I546,Data!I546,"ERROR")</f>
        <v>2</v>
      </c>
      <c r="J546" s="7">
        <f>IF(Data!J546=Entry2!J546,Data!J546,"ERROR")</f>
        <v>3</v>
      </c>
      <c r="K546" s="7" t="str">
        <f>IF(Data!K546=Entry2!K546,Data!K546,"ERROR")</f>
        <v>L</v>
      </c>
      <c r="L546" s="7" t="str">
        <f>IF(Data!L546=Entry2!L546,Data!L546,"ERROR")</f>
        <v>ERROR</v>
      </c>
      <c r="M546" s="7">
        <f>IF(Data!N546=Entry2!M546,Data!N546,"ERROR")</f>
        <v>0</v>
      </c>
    </row>
    <row r="547" spans="1:13" ht="13.2" hidden="1" x14ac:dyDescent="0.25">
      <c r="A547" s="7">
        <f>IF(Data!A547=Entry2!A547,Data!A547,"ERROR")</f>
        <v>11</v>
      </c>
      <c r="B547" s="7">
        <f>IF(Data!B547=Entry2!B547,Data!B547,"ERROR")</f>
        <v>2023</v>
      </c>
      <c r="C547" s="17">
        <f>IF(Data!C547=Entry2!C547,Data!C547,"ERROR")</f>
        <v>45197</v>
      </c>
      <c r="D547" s="7" t="str">
        <f>IF(Data!D547=Entry2!D547,Data!D547,"ERROR")</f>
        <v>MP, TL, MG</v>
      </c>
      <c r="E547" s="7" t="str">
        <f>IF(Data!E547=Entry2!E547,Data!E547,"ERROR")</f>
        <v>CU</v>
      </c>
      <c r="F547" s="7">
        <f>IF(Data!F547=Entry2!F547,Data!F547,"ERROR")</f>
        <v>1</v>
      </c>
      <c r="G547" s="7" t="str">
        <f>IF(Data!G547=Entry2!G547,Data!G547,"ERROR")</f>
        <v>LS</v>
      </c>
      <c r="H547" s="7">
        <f>IF(Data!H547=Entry2!H547,Data!H547,"ERROR")</f>
        <v>7</v>
      </c>
      <c r="I547" s="7">
        <f>IF(Data!I547=Entry2!I547,Data!I547,"ERROR")</f>
        <v>2</v>
      </c>
      <c r="J547" s="7">
        <f>IF(Data!J547=Entry2!J547,Data!J547,"ERROR")</f>
        <v>3.5</v>
      </c>
      <c r="K547" s="7" t="str">
        <f>IF(Data!K547=Entry2!K547,Data!K547,"ERROR")</f>
        <v>L</v>
      </c>
      <c r="L547" s="7" t="str">
        <f>IF(Data!L547=Entry2!L547,Data!L547,"ERROR")</f>
        <v>ERROR</v>
      </c>
      <c r="M547" s="7">
        <f>IF(Data!N547=Entry2!M547,Data!N547,"ERROR")</f>
        <v>0</v>
      </c>
    </row>
    <row r="548" spans="1:13" ht="13.2" hidden="1" x14ac:dyDescent="0.25">
      <c r="A548" s="7">
        <f>IF(Data!A548=Entry2!A548,Data!A548,"ERROR")</f>
        <v>11</v>
      </c>
      <c r="B548" s="7">
        <f>IF(Data!B548=Entry2!B548,Data!B548,"ERROR")</f>
        <v>2023</v>
      </c>
      <c r="C548" s="17">
        <f>IF(Data!C548=Entry2!C548,Data!C548,"ERROR")</f>
        <v>45197</v>
      </c>
      <c r="D548" s="7" t="str">
        <f>IF(Data!D548=Entry2!D548,Data!D548,"ERROR")</f>
        <v>MP, TL, MG</v>
      </c>
      <c r="E548" s="7" t="str">
        <f>IF(Data!E548=Entry2!E548,Data!E548,"ERROR")</f>
        <v>CU</v>
      </c>
      <c r="F548" s="7">
        <f>IF(Data!F548=Entry2!F548,Data!F548,"ERROR")</f>
        <v>1</v>
      </c>
      <c r="G548" s="7" t="str">
        <f>IF(Data!G548=Entry2!G548,Data!G548,"ERROR")</f>
        <v>LS</v>
      </c>
      <c r="H548" s="7">
        <f>IF(Data!H548=Entry2!H548,Data!H548,"ERROR")</f>
        <v>7</v>
      </c>
      <c r="I548" s="7">
        <f>IF(Data!I548=Entry2!I548,Data!I548,"ERROR")</f>
        <v>2</v>
      </c>
      <c r="J548" s="7">
        <f>IF(Data!J548=Entry2!J548,Data!J548,"ERROR")</f>
        <v>3.5</v>
      </c>
      <c r="K548" s="7" t="str">
        <f>IF(Data!K548=Entry2!K548,Data!K548,"ERROR")</f>
        <v>CONARV</v>
      </c>
      <c r="L548" s="7" t="str">
        <f>IF(Data!L548=Entry2!L548,Data!L548,"ERROR")</f>
        <v>ERROR</v>
      </c>
      <c r="M548" s="7">
        <f>IF(Data!N548=Entry2!M548,Data!N548,"ERROR")</f>
        <v>0</v>
      </c>
    </row>
    <row r="549" spans="1:13" ht="13.2" hidden="1" x14ac:dyDescent="0.25">
      <c r="A549" s="7">
        <f>IF(Data!A549=Entry2!A549,Data!A549,"ERROR")</f>
        <v>11</v>
      </c>
      <c r="B549" s="7">
        <f>IF(Data!B549=Entry2!B549,Data!B549,"ERROR")</f>
        <v>2023</v>
      </c>
      <c r="C549" s="17">
        <f>IF(Data!C549=Entry2!C549,Data!C549,"ERROR")</f>
        <v>45197</v>
      </c>
      <c r="D549" s="7" t="str">
        <f>IF(Data!D549=Entry2!D549,Data!D549,"ERROR")</f>
        <v>MP, TL, MG</v>
      </c>
      <c r="E549" s="7" t="str">
        <f>IF(Data!E549=Entry2!E549,Data!E549,"ERROR")</f>
        <v>CU</v>
      </c>
      <c r="F549" s="7">
        <f>IF(Data!F549=Entry2!F549,Data!F549,"ERROR")</f>
        <v>1</v>
      </c>
      <c r="G549" s="7" t="str">
        <f>IF(Data!G549=Entry2!G549,Data!G549,"ERROR")</f>
        <v>LS</v>
      </c>
      <c r="H549" s="7">
        <f>IF(Data!H549=Entry2!H549,Data!H549,"ERROR")</f>
        <v>8</v>
      </c>
      <c r="I549" s="7">
        <f>IF(Data!I549=Entry2!I549,Data!I549,"ERROR")</f>
        <v>2</v>
      </c>
      <c r="J549" s="7">
        <f>IF(Data!J549=Entry2!J549,Data!J549,"ERROR")</f>
        <v>4</v>
      </c>
      <c r="K549" s="7" t="str">
        <f>IF(Data!K549=Entry2!K549,Data!K549,"ERROR")</f>
        <v>L</v>
      </c>
      <c r="L549" s="7" t="str">
        <f>IF(Data!L549=Entry2!L549,Data!L549,"ERROR")</f>
        <v>ERROR</v>
      </c>
      <c r="M549" s="7">
        <f>IF(Data!N549=Entry2!M549,Data!N549,"ERROR")</f>
        <v>0</v>
      </c>
    </row>
    <row r="550" spans="1:13" ht="13.2" hidden="1" x14ac:dyDescent="0.25">
      <c r="A550" s="7">
        <f>IF(Data!A550=Entry2!A550,Data!A550,"ERROR")</f>
        <v>11</v>
      </c>
      <c r="B550" s="7">
        <f>IF(Data!B550=Entry2!B550,Data!B550,"ERROR")</f>
        <v>2023</v>
      </c>
      <c r="C550" s="17">
        <f>IF(Data!C550=Entry2!C550,Data!C550,"ERROR")</f>
        <v>45197</v>
      </c>
      <c r="D550" s="7" t="str">
        <f>IF(Data!D550=Entry2!D550,Data!D550,"ERROR")</f>
        <v>MP, TL, MG</v>
      </c>
      <c r="E550" s="7" t="str">
        <f>IF(Data!E550=Entry2!E550,Data!E550,"ERROR")</f>
        <v>CU</v>
      </c>
      <c r="F550" s="7">
        <f>IF(Data!F550=Entry2!F550,Data!F550,"ERROR")</f>
        <v>1</v>
      </c>
      <c r="G550" s="7" t="str">
        <f>IF(Data!G550=Entry2!G550,Data!G550,"ERROR")</f>
        <v>LS</v>
      </c>
      <c r="H550" s="7">
        <f>IF(Data!H550=Entry2!H550,Data!H550,"ERROR")</f>
        <v>9</v>
      </c>
      <c r="I550" s="7">
        <f>IF(Data!I550=Entry2!I550,Data!I550,"ERROR")</f>
        <v>2</v>
      </c>
      <c r="J550" s="7">
        <f>IF(Data!J550=Entry2!J550,Data!J550,"ERROR")</f>
        <v>4.5</v>
      </c>
      <c r="K550" s="7" t="str">
        <f>IF(Data!K550=Entry2!K550,Data!K550,"ERROR")</f>
        <v>L</v>
      </c>
      <c r="L550" s="7" t="str">
        <f>IF(Data!L550=Entry2!L550,Data!L550,"ERROR")</f>
        <v>ERROR</v>
      </c>
      <c r="M550" s="7">
        <f>IF(Data!N550=Entry2!M550,Data!N550,"ERROR")</f>
        <v>0</v>
      </c>
    </row>
    <row r="551" spans="1:13" ht="13.2" hidden="1" x14ac:dyDescent="0.25">
      <c r="A551" s="7">
        <f>IF(Data!A551=Entry2!A551,Data!A551,"ERROR")</f>
        <v>11</v>
      </c>
      <c r="B551" s="7">
        <f>IF(Data!B551=Entry2!B551,Data!B551,"ERROR")</f>
        <v>2023</v>
      </c>
      <c r="C551" s="17">
        <f>IF(Data!C551=Entry2!C551,Data!C551,"ERROR")</f>
        <v>45197</v>
      </c>
      <c r="D551" s="7" t="str">
        <f>IF(Data!D551=Entry2!D551,Data!D551,"ERROR")</f>
        <v>MP, TL, MG</v>
      </c>
      <c r="E551" s="7" t="str">
        <f>IF(Data!E551=Entry2!E551,Data!E551,"ERROR")</f>
        <v>CU</v>
      </c>
      <c r="F551" s="7">
        <f>IF(Data!F551=Entry2!F551,Data!F551,"ERROR")</f>
        <v>1</v>
      </c>
      <c r="G551" s="7" t="str">
        <f>IF(Data!G551=Entry2!G551,Data!G551,"ERROR")</f>
        <v>LS</v>
      </c>
      <c r="H551" s="7">
        <f>IF(Data!H551=Entry2!H551,Data!H551,"ERROR")</f>
        <v>10</v>
      </c>
      <c r="I551" s="7">
        <f>IF(Data!I551=Entry2!I551,Data!I551,"ERROR")</f>
        <v>2</v>
      </c>
      <c r="J551" s="7">
        <f>IF(Data!J551=Entry2!J551,Data!J551,"ERROR")</f>
        <v>5</v>
      </c>
      <c r="K551" s="7" t="str">
        <f>IF(Data!K551=Entry2!K551,Data!K551,"ERROR")</f>
        <v>L</v>
      </c>
      <c r="L551" s="7" t="str">
        <f>IF(Data!L551=Entry2!L551,Data!L551,"ERROR")</f>
        <v>ERROR</v>
      </c>
      <c r="M551" s="7">
        <f>IF(Data!N551=Entry2!M551,Data!N551,"ERROR")</f>
        <v>0</v>
      </c>
    </row>
    <row r="552" spans="1:13" ht="13.2" hidden="1" x14ac:dyDescent="0.25">
      <c r="A552" s="7">
        <f>IF(Data!A552=Entry2!A552,Data!A552,"ERROR")</f>
        <v>11</v>
      </c>
      <c r="B552" s="7">
        <f>IF(Data!B552=Entry2!B552,Data!B552,"ERROR")</f>
        <v>2023</v>
      </c>
      <c r="C552" s="17">
        <f>IF(Data!C552=Entry2!C552,Data!C552,"ERROR")</f>
        <v>45197</v>
      </c>
      <c r="D552" s="7" t="str">
        <f>IF(Data!D552=Entry2!D552,Data!D552,"ERROR")</f>
        <v>MP, TL, MG</v>
      </c>
      <c r="E552" s="7" t="str">
        <f>IF(Data!E552=Entry2!E552,Data!E552,"ERROR")</f>
        <v>CU</v>
      </c>
      <c r="F552" s="7">
        <f>IF(Data!F552=Entry2!F552,Data!F552,"ERROR")</f>
        <v>1</v>
      </c>
      <c r="G552" s="7" t="str">
        <f>IF(Data!G552=Entry2!G552,Data!G552,"ERROR")</f>
        <v>LS</v>
      </c>
      <c r="H552" s="7">
        <f>IF(Data!H552=Entry2!H552,Data!H552,"ERROR")</f>
        <v>10</v>
      </c>
      <c r="I552" s="7">
        <f>IF(Data!I552=Entry2!I552,Data!I552,"ERROR")</f>
        <v>2</v>
      </c>
      <c r="J552" s="7">
        <f>IF(Data!J552=Entry2!J552,Data!J552,"ERROR")</f>
        <v>5</v>
      </c>
      <c r="K552" s="7" t="str">
        <f>IF(Data!K552=Entry2!K552,Data!K552,"ERROR")</f>
        <v>CONARV</v>
      </c>
      <c r="L552" s="7" t="str">
        <f>IF(Data!L552=Entry2!L552,Data!L552,"ERROR")</f>
        <v>ERROR</v>
      </c>
      <c r="M552" s="7">
        <f>IF(Data!N552=Entry2!M552,Data!N552,"ERROR")</f>
        <v>0</v>
      </c>
    </row>
    <row r="553" spans="1:13" ht="13.2" hidden="1" x14ac:dyDescent="0.25">
      <c r="A553" s="7">
        <f>IF(Data!A553=Entry2!A553,Data!A553,"ERROR")</f>
        <v>11</v>
      </c>
      <c r="B553" s="7">
        <f>IF(Data!B553=Entry2!B553,Data!B553,"ERROR")</f>
        <v>2023</v>
      </c>
      <c r="C553" s="17">
        <f>IF(Data!C553=Entry2!C553,Data!C553,"ERROR")</f>
        <v>45197</v>
      </c>
      <c r="D553" s="7" t="str">
        <f>IF(Data!D553=Entry2!D553,Data!D553,"ERROR")</f>
        <v>MP, TL, MG</v>
      </c>
      <c r="E553" s="7" t="str">
        <f>IF(Data!E553=Entry2!E553,Data!E553,"ERROR")</f>
        <v>CU</v>
      </c>
      <c r="F553" s="7">
        <f>IF(Data!F553=Entry2!F553,Data!F553,"ERROR")</f>
        <v>1</v>
      </c>
      <c r="G553" s="7" t="str">
        <f>IF(Data!G553=Entry2!G553,Data!G553,"ERROR")</f>
        <v>LS</v>
      </c>
      <c r="H553" s="7">
        <f>IF(Data!H553=Entry2!H553,Data!H553,"ERROR")</f>
        <v>11</v>
      </c>
      <c r="I553" s="7">
        <f>IF(Data!I553=Entry2!I553,Data!I553,"ERROR")</f>
        <v>2</v>
      </c>
      <c r="J553" s="7">
        <f>IF(Data!J553=Entry2!J553,Data!J553,"ERROR")</f>
        <v>5.5</v>
      </c>
      <c r="K553" s="7" t="str">
        <f>IF(Data!K553=Entry2!K553,Data!K553,"ERROR")</f>
        <v>S</v>
      </c>
      <c r="L553" s="7" t="str">
        <f>IF(Data!L553=Entry2!L553,Data!L553,"ERROR")</f>
        <v>ERROR</v>
      </c>
      <c r="M553" s="7">
        <f>IF(Data!N553=Entry2!M553,Data!N553,"ERROR")</f>
        <v>0</v>
      </c>
    </row>
    <row r="554" spans="1:13" ht="13.2" hidden="1" x14ac:dyDescent="0.25">
      <c r="A554" s="7">
        <f>IF(Data!A554=Entry2!A554,Data!A554,"ERROR")</f>
        <v>11</v>
      </c>
      <c r="B554" s="7">
        <f>IF(Data!B554=Entry2!B554,Data!B554,"ERROR")</f>
        <v>2023</v>
      </c>
      <c r="C554" s="17">
        <f>IF(Data!C554=Entry2!C554,Data!C554,"ERROR")</f>
        <v>45197</v>
      </c>
      <c r="D554" s="7" t="str">
        <f>IF(Data!D554=Entry2!D554,Data!D554,"ERROR")</f>
        <v>MP, TL, MG</v>
      </c>
      <c r="E554" s="7" t="str">
        <f>IF(Data!E554=Entry2!E554,Data!E554,"ERROR")</f>
        <v>CU</v>
      </c>
      <c r="F554" s="7">
        <f>IF(Data!F554=Entry2!F554,Data!F554,"ERROR")</f>
        <v>1</v>
      </c>
      <c r="G554" s="7" t="str">
        <f>IF(Data!G554=Entry2!G554,Data!G554,"ERROR")</f>
        <v>LS</v>
      </c>
      <c r="H554" s="7">
        <f>IF(Data!H554=Entry2!H554,Data!H554,"ERROR")</f>
        <v>11</v>
      </c>
      <c r="I554" s="7">
        <f>IF(Data!I554=Entry2!I554,Data!I554,"ERROR")</f>
        <v>2</v>
      </c>
      <c r="J554" s="7">
        <f>IF(Data!J554=Entry2!J554,Data!J554,"ERROR")</f>
        <v>5.5</v>
      </c>
      <c r="K554" s="7" t="str">
        <f>IF(Data!K554=Entry2!K554,Data!K554,"ERROR")</f>
        <v>OPULIT</v>
      </c>
      <c r="L554" s="7" t="str">
        <f>IF(Data!L554=Entry2!L554,Data!L554,"ERROR")</f>
        <v>ERROR</v>
      </c>
      <c r="M554" s="7">
        <f>IF(Data!N554=Entry2!M554,Data!N554,"ERROR")</f>
        <v>0</v>
      </c>
    </row>
    <row r="555" spans="1:13" ht="13.2" hidden="1" x14ac:dyDescent="0.25">
      <c r="A555" s="7">
        <f>IF(Data!A555=Entry2!A555,Data!A555,"ERROR")</f>
        <v>11</v>
      </c>
      <c r="B555" s="7">
        <f>IF(Data!B555=Entry2!B555,Data!B555,"ERROR")</f>
        <v>2023</v>
      </c>
      <c r="C555" s="17">
        <f>IF(Data!C555=Entry2!C555,Data!C555,"ERROR")</f>
        <v>45197</v>
      </c>
      <c r="D555" s="7" t="str">
        <f>IF(Data!D555=Entry2!D555,Data!D555,"ERROR")</f>
        <v>MP, TL, MG</v>
      </c>
      <c r="E555" s="7" t="str">
        <f>IF(Data!E555=Entry2!E555,Data!E555,"ERROR")</f>
        <v>CU</v>
      </c>
      <c r="F555" s="7">
        <f>IF(Data!F555=Entry2!F555,Data!F555,"ERROR")</f>
        <v>1</v>
      </c>
      <c r="G555" s="7" t="str">
        <f>IF(Data!G555=Entry2!G555,Data!G555,"ERROR")</f>
        <v>LS</v>
      </c>
      <c r="H555" s="7">
        <f>IF(Data!H555=Entry2!H555,Data!H555,"ERROR")</f>
        <v>11</v>
      </c>
      <c r="I555" s="7">
        <f>IF(Data!I555=Entry2!I555,Data!I555,"ERROR")</f>
        <v>2</v>
      </c>
      <c r="J555" s="7">
        <f>IF(Data!J555=Entry2!J555,Data!J555,"ERROR")</f>
        <v>5.5</v>
      </c>
      <c r="K555" s="7" t="str">
        <f>IF(Data!K555=Entry2!K555,Data!K555,"ERROR")</f>
        <v>CONARV</v>
      </c>
      <c r="L555" s="7" t="str">
        <f>IF(Data!L555=Entry2!L555,Data!L555,"ERROR")</f>
        <v>ERROR</v>
      </c>
      <c r="M555" s="7">
        <f>IF(Data!N555=Entry2!M555,Data!N555,"ERROR")</f>
        <v>0</v>
      </c>
    </row>
    <row r="556" spans="1:13" ht="13.2" hidden="1" x14ac:dyDescent="0.25">
      <c r="A556" s="7">
        <f>IF(Data!A556=Entry2!A556,Data!A556,"ERROR")</f>
        <v>11</v>
      </c>
      <c r="B556" s="7">
        <f>IF(Data!B556=Entry2!B556,Data!B556,"ERROR")</f>
        <v>2023</v>
      </c>
      <c r="C556" s="17">
        <f>IF(Data!C556=Entry2!C556,Data!C556,"ERROR")</f>
        <v>45197</v>
      </c>
      <c r="D556" s="7" t="str">
        <f>IF(Data!D556=Entry2!D556,Data!D556,"ERROR")</f>
        <v>MP, TL, MG</v>
      </c>
      <c r="E556" s="7" t="str">
        <f>IF(Data!E556=Entry2!E556,Data!E556,"ERROR")</f>
        <v>CU</v>
      </c>
      <c r="F556" s="7">
        <f>IF(Data!F556=Entry2!F556,Data!F556,"ERROR")</f>
        <v>1</v>
      </c>
      <c r="G556" s="7" t="str">
        <f>IF(Data!G556=Entry2!G556,Data!G556,"ERROR")</f>
        <v>LS</v>
      </c>
      <c r="H556" s="7">
        <f>IF(Data!H556=Entry2!H556,Data!H556,"ERROR")</f>
        <v>12</v>
      </c>
      <c r="I556" s="7">
        <f>IF(Data!I556=Entry2!I556,Data!I556,"ERROR")</f>
        <v>2</v>
      </c>
      <c r="J556" s="7">
        <f>IF(Data!J556=Entry2!J556,Data!J556,"ERROR")</f>
        <v>6</v>
      </c>
      <c r="K556" s="7" t="str">
        <f>IF(Data!K556=Entry2!K556,Data!K556,"ERROR")</f>
        <v>B</v>
      </c>
      <c r="L556" s="7" t="str">
        <f>IF(Data!L556=Entry2!L556,Data!L556,"ERROR")</f>
        <v>ERROR</v>
      </c>
      <c r="M556" s="7">
        <f>IF(Data!N556=Entry2!M556,Data!N556,"ERROR")</f>
        <v>0</v>
      </c>
    </row>
    <row r="557" spans="1:13" ht="13.2" hidden="1" x14ac:dyDescent="0.25">
      <c r="A557" s="7">
        <f>IF(Data!A557=Entry2!A557,Data!A557,"ERROR")</f>
        <v>11</v>
      </c>
      <c r="B557" s="7">
        <f>IF(Data!B557=Entry2!B557,Data!B557,"ERROR")</f>
        <v>2023</v>
      </c>
      <c r="C557" s="17">
        <f>IF(Data!C557=Entry2!C557,Data!C557,"ERROR")</f>
        <v>45197</v>
      </c>
      <c r="D557" s="7" t="str">
        <f>IF(Data!D557=Entry2!D557,Data!D557,"ERROR")</f>
        <v>MP, TL, MG</v>
      </c>
      <c r="E557" s="7" t="str">
        <f>IF(Data!E557=Entry2!E557,Data!E557,"ERROR")</f>
        <v>CU</v>
      </c>
      <c r="F557" s="7">
        <f>IF(Data!F557=Entry2!F557,Data!F557,"ERROR")</f>
        <v>1</v>
      </c>
      <c r="G557" s="7" t="str">
        <f>IF(Data!G557=Entry2!G557,Data!G557,"ERROR")</f>
        <v>LS</v>
      </c>
      <c r="H557" s="7">
        <f>IF(Data!H557=Entry2!H557,Data!H557,"ERROR")</f>
        <v>13</v>
      </c>
      <c r="I557" s="7">
        <f>IF(Data!I557=Entry2!I557,Data!I557,"ERROR")</f>
        <v>2</v>
      </c>
      <c r="J557" s="7">
        <f>IF(Data!J557=Entry2!J557,Data!J557,"ERROR")</f>
        <v>6.5</v>
      </c>
      <c r="K557" s="7" t="str">
        <f>IF(Data!K557=Entry2!K557,Data!K557,"ERROR")</f>
        <v>B</v>
      </c>
      <c r="L557" s="7" t="str">
        <f>IF(Data!L557=Entry2!L557,Data!L557,"ERROR")</f>
        <v>ERROR</v>
      </c>
      <c r="M557" s="7">
        <f>IF(Data!N557=Entry2!M557,Data!N557,"ERROR")</f>
        <v>0</v>
      </c>
    </row>
    <row r="558" spans="1:13" ht="13.2" hidden="1" x14ac:dyDescent="0.25">
      <c r="A558" s="7">
        <f>IF(Data!A558=Entry2!A558,Data!A558,"ERROR")</f>
        <v>11</v>
      </c>
      <c r="B558" s="7">
        <f>IF(Data!B558=Entry2!B558,Data!B558,"ERROR")</f>
        <v>2023</v>
      </c>
      <c r="C558" s="17">
        <f>IF(Data!C558=Entry2!C558,Data!C558,"ERROR")</f>
        <v>45197</v>
      </c>
      <c r="D558" s="7" t="str">
        <f>IF(Data!D558=Entry2!D558,Data!D558,"ERROR")</f>
        <v>MP, TL, MG</v>
      </c>
      <c r="E558" s="7" t="str">
        <f>IF(Data!E558=Entry2!E558,Data!E558,"ERROR")</f>
        <v>CU</v>
      </c>
      <c r="F558" s="7">
        <f>IF(Data!F558=Entry2!F558,Data!F558,"ERROR")</f>
        <v>1</v>
      </c>
      <c r="G558" s="7" t="str">
        <f>IF(Data!G558=Entry2!G558,Data!G558,"ERROR")</f>
        <v>LS</v>
      </c>
      <c r="H558" s="7">
        <f>IF(Data!H558=Entry2!H558,Data!H558,"ERROR")</f>
        <v>14</v>
      </c>
      <c r="I558" s="7">
        <f>IF(Data!I558=Entry2!I558,Data!I558,"ERROR")</f>
        <v>2</v>
      </c>
      <c r="J558" s="7">
        <f>IF(Data!J558=Entry2!J558,Data!J558,"ERROR")</f>
        <v>7</v>
      </c>
      <c r="K558" s="7" t="str">
        <f>IF(Data!K558=Entry2!K558,Data!K558,"ERROR")</f>
        <v>L</v>
      </c>
      <c r="L558" s="7" t="str">
        <f>IF(Data!L558=Entry2!L558,Data!L558,"ERROR")</f>
        <v>ERROR</v>
      </c>
      <c r="M558" s="7">
        <f>IF(Data!N558=Entry2!M558,Data!N558,"ERROR")</f>
        <v>0</v>
      </c>
    </row>
    <row r="559" spans="1:13" ht="13.2" hidden="1" x14ac:dyDescent="0.25">
      <c r="A559" s="7">
        <f>IF(Data!A559=Entry2!A559,Data!A559,"ERROR")</f>
        <v>11</v>
      </c>
      <c r="B559" s="7">
        <f>IF(Data!B559=Entry2!B559,Data!B559,"ERROR")</f>
        <v>2023</v>
      </c>
      <c r="C559" s="17">
        <f>IF(Data!C559=Entry2!C559,Data!C559,"ERROR")</f>
        <v>45197</v>
      </c>
      <c r="D559" s="7" t="str">
        <f>IF(Data!D559=Entry2!D559,Data!D559,"ERROR")</f>
        <v>MP, TL, MG</v>
      </c>
      <c r="E559" s="7" t="str">
        <f>IF(Data!E559=Entry2!E559,Data!E559,"ERROR")</f>
        <v>CU</v>
      </c>
      <c r="F559" s="7">
        <f>IF(Data!F559=Entry2!F559,Data!F559,"ERROR")</f>
        <v>1</v>
      </c>
      <c r="G559" s="7" t="str">
        <f>IF(Data!G559=Entry2!G559,Data!G559,"ERROR")</f>
        <v>LS</v>
      </c>
      <c r="H559" s="7">
        <f>IF(Data!H559=Entry2!H559,Data!H559,"ERROR")</f>
        <v>15</v>
      </c>
      <c r="I559" s="7">
        <f>IF(Data!I559=Entry2!I559,Data!I559,"ERROR")</f>
        <v>2</v>
      </c>
      <c r="J559" s="7">
        <f>IF(Data!J559=Entry2!J559,Data!J559,"ERROR")</f>
        <v>7.5</v>
      </c>
      <c r="K559" s="7" t="str">
        <f>IF(Data!K559=Entry2!K559,Data!K559,"ERROR")</f>
        <v>L</v>
      </c>
      <c r="L559" s="7" t="str">
        <f>IF(Data!L559=Entry2!L559,Data!L559,"ERROR")</f>
        <v>ERROR</v>
      </c>
      <c r="M559" s="7">
        <f>IF(Data!N559=Entry2!M559,Data!N559,"ERROR")</f>
        <v>0</v>
      </c>
    </row>
    <row r="560" spans="1:13" ht="13.2" hidden="1" x14ac:dyDescent="0.25">
      <c r="A560" s="7">
        <f>IF(Data!A560=Entry2!A560,Data!A560,"ERROR")</f>
        <v>12</v>
      </c>
      <c r="B560" s="7">
        <f>IF(Data!B560=Entry2!B560,Data!B560,"ERROR")</f>
        <v>2023</v>
      </c>
      <c r="C560" s="17">
        <f>IF(Data!C560=Entry2!C560,Data!C560,"ERROR")</f>
        <v>45197</v>
      </c>
      <c r="D560" s="7" t="str">
        <f>IF(Data!D560=Entry2!D560,Data!D560,"ERROR")</f>
        <v>MP, TL, MG</v>
      </c>
      <c r="E560" s="7" t="str">
        <f>IF(Data!E560=Entry2!E560,Data!E560,"ERROR")</f>
        <v>CU</v>
      </c>
      <c r="F560" s="7">
        <f>IF(Data!F560=Entry2!F560,Data!F560,"ERROR")</f>
        <v>1</v>
      </c>
      <c r="G560" s="7" t="str">
        <f>IF(Data!G560=Entry2!G560,Data!G560,"ERROR")</f>
        <v>LU</v>
      </c>
      <c r="H560" s="7">
        <f>IF(Data!H560=Entry2!H560,Data!H560,"ERROR")</f>
        <v>1</v>
      </c>
      <c r="I560" s="7">
        <f>IF(Data!I560=Entry2!I560,Data!I560,"ERROR")</f>
        <v>1</v>
      </c>
      <c r="J560" s="7">
        <f>IF(Data!J560=Entry2!J560,Data!J560,"ERROR")</f>
        <v>0</v>
      </c>
      <c r="K560" s="7" t="str">
        <f>IF(Data!K560=Entry2!K560,Data!K560,"ERROR")</f>
        <v>B</v>
      </c>
      <c r="L560" s="7" t="str">
        <f>IF(Data!L560=Entry2!L560,Data!L560,"ERROR")</f>
        <v>ERROR</v>
      </c>
      <c r="M560" s="7">
        <f>IF(Data!N560=Entry2!M560,Data!N560,"ERROR")</f>
        <v>0</v>
      </c>
    </row>
    <row r="561" spans="1:13" ht="13.2" hidden="1" x14ac:dyDescent="0.25">
      <c r="A561" s="7">
        <f>IF(Data!A561=Entry2!A561,Data!A561,"ERROR")</f>
        <v>12</v>
      </c>
      <c r="B561" s="7">
        <f>IF(Data!B561=Entry2!B561,Data!B561,"ERROR")</f>
        <v>2023</v>
      </c>
      <c r="C561" s="17">
        <f>IF(Data!C561=Entry2!C561,Data!C561,"ERROR")</f>
        <v>45197</v>
      </c>
      <c r="D561" s="7" t="str">
        <f>IF(Data!D561=Entry2!D561,Data!D561,"ERROR")</f>
        <v>MP, TL, MG</v>
      </c>
      <c r="E561" s="7" t="str">
        <f>IF(Data!E561=Entry2!E561,Data!E561,"ERROR")</f>
        <v>CU</v>
      </c>
      <c r="F561" s="7">
        <f>IF(Data!F561=Entry2!F561,Data!F561,"ERROR")</f>
        <v>1</v>
      </c>
      <c r="G561" s="7" t="str">
        <f>IF(Data!G561=Entry2!G561,Data!G561,"ERROR")</f>
        <v>LU</v>
      </c>
      <c r="H561" s="7">
        <f>IF(Data!H561=Entry2!H561,Data!H561,"ERROR")</f>
        <v>1</v>
      </c>
      <c r="I561" s="7">
        <f>IF(Data!I561=Entry2!I561,Data!I561,"ERROR")</f>
        <v>1</v>
      </c>
      <c r="J561" s="7">
        <f>IF(Data!J561=Entry2!J561,Data!J561,"ERROR")</f>
        <v>0</v>
      </c>
      <c r="K561" s="7" t="str">
        <f>IF(Data!K561=Entry2!K561,Data!K561,"ERROR")</f>
        <v>STIPUL</v>
      </c>
      <c r="L561" s="7" t="str">
        <f>IF(Data!L561=Entry2!L561,Data!L561,"ERROR")</f>
        <v>ERROR</v>
      </c>
      <c r="M561" s="7" t="str">
        <f>IF(Data!N561=Entry2!M561,Data!N561,"ERROR")</f>
        <v>ERROR</v>
      </c>
    </row>
    <row r="562" spans="1:13" ht="13.2" hidden="1" x14ac:dyDescent="0.25">
      <c r="A562" s="7">
        <f>IF(Data!A562=Entry2!A562,Data!A562,"ERROR")</f>
        <v>12</v>
      </c>
      <c r="B562" s="7">
        <f>IF(Data!B562=Entry2!B562,Data!B562,"ERROR")</f>
        <v>2023</v>
      </c>
      <c r="C562" s="17">
        <f>IF(Data!C562=Entry2!C562,Data!C562,"ERROR")</f>
        <v>45197</v>
      </c>
      <c r="D562" s="7" t="str">
        <f>IF(Data!D562=Entry2!D562,Data!D562,"ERROR")</f>
        <v>MP, TL, MG</v>
      </c>
      <c r="E562" s="7" t="str">
        <f>IF(Data!E562=Entry2!E562,Data!E562,"ERROR")</f>
        <v>CU</v>
      </c>
      <c r="F562" s="7">
        <f>IF(Data!F562=Entry2!F562,Data!F562,"ERROR")</f>
        <v>1</v>
      </c>
      <c r="G562" s="7" t="str">
        <f>IF(Data!G562=Entry2!G562,Data!G562,"ERROR")</f>
        <v>LU</v>
      </c>
      <c r="H562" s="7">
        <f>IF(Data!H562=Entry2!H562,Data!H562,"ERROR")</f>
        <v>2</v>
      </c>
      <c r="I562" s="7">
        <f>IF(Data!I562=Entry2!I562,Data!I562,"ERROR")</f>
        <v>1</v>
      </c>
      <c r="J562" s="7">
        <f>IF(Data!J562=Entry2!J562,Data!J562,"ERROR")</f>
        <v>0.5</v>
      </c>
      <c r="K562" s="7" t="str">
        <f>IF(Data!K562=Entry2!K562,Data!K562,"ERROR")</f>
        <v>B</v>
      </c>
      <c r="L562" s="7" t="str">
        <f>IF(Data!L562=Entry2!L562,Data!L562,"ERROR")</f>
        <v>ERROR</v>
      </c>
      <c r="M562" s="7">
        <f>IF(Data!N562=Entry2!M562,Data!N562,"ERROR")</f>
        <v>0</v>
      </c>
    </row>
    <row r="563" spans="1:13" ht="13.2" hidden="1" x14ac:dyDescent="0.25">
      <c r="A563" s="7">
        <f>IF(Data!A563=Entry2!A563,Data!A563,"ERROR")</f>
        <v>12</v>
      </c>
      <c r="B563" s="7">
        <f>IF(Data!B563=Entry2!B563,Data!B563,"ERROR")</f>
        <v>2023</v>
      </c>
      <c r="C563" s="17">
        <f>IF(Data!C563=Entry2!C563,Data!C563,"ERROR")</f>
        <v>45197</v>
      </c>
      <c r="D563" s="7" t="str">
        <f>IF(Data!D563=Entry2!D563,Data!D563,"ERROR")</f>
        <v>MP, TL, MG</v>
      </c>
      <c r="E563" s="7" t="str">
        <f>IF(Data!E563=Entry2!E563,Data!E563,"ERROR")</f>
        <v>CU</v>
      </c>
      <c r="F563" s="7">
        <f>IF(Data!F563=Entry2!F563,Data!F563,"ERROR")</f>
        <v>1</v>
      </c>
      <c r="G563" s="7" t="str">
        <f>IF(Data!G563=Entry2!G563,Data!G563,"ERROR")</f>
        <v>LU</v>
      </c>
      <c r="H563" s="7">
        <f>IF(Data!H563=Entry2!H563,Data!H563,"ERROR")</f>
        <v>3</v>
      </c>
      <c r="I563" s="7">
        <f>IF(Data!I563=Entry2!I563,Data!I563,"ERROR")</f>
        <v>1</v>
      </c>
      <c r="J563" s="7">
        <f>IF(Data!J563=Entry2!J563,Data!J563,"ERROR")</f>
        <v>1</v>
      </c>
      <c r="K563" s="7" t="str">
        <f>IF(Data!K563=Entry2!K563,Data!K563,"ERROR")</f>
        <v>L</v>
      </c>
      <c r="L563" s="7" t="str">
        <f>IF(Data!L563=Entry2!L563,Data!L563,"ERROR")</f>
        <v>ERROR</v>
      </c>
      <c r="M563" s="7">
        <f>IF(Data!N563=Entry2!M563,Data!N563,"ERROR")</f>
        <v>0</v>
      </c>
    </row>
    <row r="564" spans="1:13" ht="13.2" hidden="1" x14ac:dyDescent="0.25">
      <c r="A564" s="7">
        <f>IF(Data!A564=Entry2!A564,Data!A564,"ERROR")</f>
        <v>12</v>
      </c>
      <c r="B564" s="7">
        <f>IF(Data!B564=Entry2!B564,Data!B564,"ERROR")</f>
        <v>2023</v>
      </c>
      <c r="C564" s="17">
        <f>IF(Data!C564=Entry2!C564,Data!C564,"ERROR")</f>
        <v>45197</v>
      </c>
      <c r="D564" s="7" t="str">
        <f>IF(Data!D564=Entry2!D564,Data!D564,"ERROR")</f>
        <v>MP, TL, MG</v>
      </c>
      <c r="E564" s="7" t="str">
        <f>IF(Data!E564=Entry2!E564,Data!E564,"ERROR")</f>
        <v>CU</v>
      </c>
      <c r="F564" s="7">
        <f>IF(Data!F564=Entry2!F564,Data!F564,"ERROR")</f>
        <v>1</v>
      </c>
      <c r="G564" s="7" t="str">
        <f>IF(Data!G564=Entry2!G564,Data!G564,"ERROR")</f>
        <v>LU</v>
      </c>
      <c r="H564" s="7">
        <f>IF(Data!H564=Entry2!H564,Data!H564,"ERROR")</f>
        <v>3</v>
      </c>
      <c r="I564" s="7">
        <f>IF(Data!I564=Entry2!I564,Data!I564,"ERROR")</f>
        <v>1</v>
      </c>
      <c r="J564" s="7">
        <f>IF(Data!J564=Entry2!J564,Data!J564,"ERROR")</f>
        <v>1</v>
      </c>
      <c r="K564" s="7" t="str">
        <f>IF(Data!K564=Entry2!K564,Data!K564,"ERROR")</f>
        <v>NNG</v>
      </c>
      <c r="L564" s="7" t="str">
        <f>IF(Data!L564=Entry2!L564,Data!L564,"ERROR")</f>
        <v>ERROR</v>
      </c>
      <c r="M564" s="7">
        <f>IF(Data!N564=Entry2!M564,Data!N564,"ERROR")</f>
        <v>0</v>
      </c>
    </row>
    <row r="565" spans="1:13" ht="13.2" hidden="1" x14ac:dyDescent="0.25">
      <c r="A565" s="7">
        <f>IF(Data!A565=Entry2!A565,Data!A565,"ERROR")</f>
        <v>12</v>
      </c>
      <c r="B565" s="7">
        <f>IF(Data!B565=Entry2!B565,Data!B565,"ERROR")</f>
        <v>2023</v>
      </c>
      <c r="C565" s="17">
        <f>IF(Data!C565=Entry2!C565,Data!C565,"ERROR")</f>
        <v>45197</v>
      </c>
      <c r="D565" s="7" t="str">
        <f>IF(Data!D565=Entry2!D565,Data!D565,"ERROR")</f>
        <v>MP, TL, MG</v>
      </c>
      <c r="E565" s="7" t="str">
        <f>IF(Data!E565=Entry2!E565,Data!E565,"ERROR")</f>
        <v>CU</v>
      </c>
      <c r="F565" s="7">
        <f>IF(Data!F565=Entry2!F565,Data!F565,"ERROR")</f>
        <v>1</v>
      </c>
      <c r="G565" s="7" t="str">
        <f>IF(Data!G565=Entry2!G565,Data!G565,"ERROR")</f>
        <v>LU</v>
      </c>
      <c r="H565" s="7">
        <f>IF(Data!H565=Entry2!H565,Data!H565,"ERROR")</f>
        <v>3</v>
      </c>
      <c r="I565" s="7">
        <f>IF(Data!I565=Entry2!I565,Data!I565,"ERROR")</f>
        <v>1</v>
      </c>
      <c r="J565" s="7">
        <f>IF(Data!J565=Entry2!J565,Data!J565,"ERROR")</f>
        <v>1</v>
      </c>
      <c r="K565" s="7" t="str">
        <f>IF(Data!K565=Entry2!K565,Data!K565,"ERROR")</f>
        <v>CENMEL</v>
      </c>
      <c r="L565" s="7" t="str">
        <f>IF(Data!L565=Entry2!L565,Data!L565,"ERROR")</f>
        <v>ERROR</v>
      </c>
      <c r="M565" s="7">
        <f>IF(Data!N565=Entry2!M565,Data!N565,"ERROR")</f>
        <v>0</v>
      </c>
    </row>
    <row r="566" spans="1:13" ht="13.2" hidden="1" x14ac:dyDescent="0.25">
      <c r="A566" s="7">
        <f>IF(Data!A566=Entry2!A566,Data!A566,"ERROR")</f>
        <v>12</v>
      </c>
      <c r="B566" s="7">
        <f>IF(Data!B566=Entry2!B566,Data!B566,"ERROR")</f>
        <v>2023</v>
      </c>
      <c r="C566" s="17">
        <f>IF(Data!C566=Entry2!C566,Data!C566,"ERROR")</f>
        <v>45197</v>
      </c>
      <c r="D566" s="7" t="str">
        <f>IF(Data!D566=Entry2!D566,Data!D566,"ERROR")</f>
        <v>MP, TL, MG</v>
      </c>
      <c r="E566" s="7" t="str">
        <f>IF(Data!E566=Entry2!E566,Data!E566,"ERROR")</f>
        <v>CU</v>
      </c>
      <c r="F566" s="7">
        <f>IF(Data!F566=Entry2!F566,Data!F566,"ERROR")</f>
        <v>1</v>
      </c>
      <c r="G566" s="7" t="str">
        <f>IF(Data!G566=Entry2!G566,Data!G566,"ERROR")</f>
        <v>LU</v>
      </c>
      <c r="H566" s="7">
        <f>IF(Data!H566=Entry2!H566,Data!H566,"ERROR")</f>
        <v>4</v>
      </c>
      <c r="I566" s="7">
        <f>IF(Data!I566=Entry2!I566,Data!I566,"ERROR")</f>
        <v>1</v>
      </c>
      <c r="J566" s="7">
        <f>IF(Data!J566=Entry2!J566,Data!J566,"ERROR")</f>
        <v>1.5</v>
      </c>
      <c r="K566" s="7" t="str">
        <f>IF(Data!K566=Entry2!K566,Data!K566,"ERROR")</f>
        <v>L</v>
      </c>
      <c r="L566" s="7" t="str">
        <f>IF(Data!L566=Entry2!L566,Data!L566,"ERROR")</f>
        <v>ERROR</v>
      </c>
      <c r="M566" s="7">
        <f>IF(Data!N566=Entry2!M566,Data!N566,"ERROR")</f>
        <v>0</v>
      </c>
    </row>
    <row r="567" spans="1:13" ht="13.2" hidden="1" x14ac:dyDescent="0.25">
      <c r="A567" s="7">
        <f>IF(Data!A567=Entry2!A567,Data!A567,"ERROR")</f>
        <v>12</v>
      </c>
      <c r="B567" s="7">
        <f>IF(Data!B567=Entry2!B567,Data!B567,"ERROR")</f>
        <v>2023</v>
      </c>
      <c r="C567" s="17">
        <f>IF(Data!C567=Entry2!C567,Data!C567,"ERROR")</f>
        <v>45197</v>
      </c>
      <c r="D567" s="7" t="str">
        <f>IF(Data!D567=Entry2!D567,Data!D567,"ERROR")</f>
        <v>MP, TL, MG</v>
      </c>
      <c r="E567" s="7" t="str">
        <f>IF(Data!E567=Entry2!E567,Data!E567,"ERROR")</f>
        <v>CU</v>
      </c>
      <c r="F567" s="7">
        <f>IF(Data!F567=Entry2!F567,Data!F567,"ERROR")</f>
        <v>1</v>
      </c>
      <c r="G567" s="7" t="str">
        <f>IF(Data!G567=Entry2!G567,Data!G567,"ERROR")</f>
        <v>LU</v>
      </c>
      <c r="H567" s="7">
        <f>IF(Data!H567=Entry2!H567,Data!H567,"ERROR")</f>
        <v>5</v>
      </c>
      <c r="I567" s="7">
        <f>IF(Data!I567=Entry2!I567,Data!I567,"ERROR")</f>
        <v>1</v>
      </c>
      <c r="J567" s="7">
        <f>IF(Data!J567=Entry2!J567,Data!J567,"ERROR")</f>
        <v>2</v>
      </c>
      <c r="K567" s="7" t="str">
        <f>IF(Data!K567=Entry2!K567,Data!K567,"ERROR")</f>
        <v>B</v>
      </c>
      <c r="L567" s="7" t="str">
        <f>IF(Data!L567=Entry2!L567,Data!L567,"ERROR")</f>
        <v>ERROR</v>
      </c>
      <c r="M567" s="7">
        <f>IF(Data!N567=Entry2!M567,Data!N567,"ERROR")</f>
        <v>0</v>
      </c>
    </row>
    <row r="568" spans="1:13" ht="13.2" hidden="1" x14ac:dyDescent="0.25">
      <c r="A568" s="7">
        <f>IF(Data!A568=Entry2!A568,Data!A568,"ERROR")</f>
        <v>12</v>
      </c>
      <c r="B568" s="7">
        <f>IF(Data!B568=Entry2!B568,Data!B568,"ERROR")</f>
        <v>2023</v>
      </c>
      <c r="C568" s="17">
        <f>IF(Data!C568=Entry2!C568,Data!C568,"ERROR")</f>
        <v>45197</v>
      </c>
      <c r="D568" s="7" t="str">
        <f>IF(Data!D568=Entry2!D568,Data!D568,"ERROR")</f>
        <v>MP, TL, MG</v>
      </c>
      <c r="E568" s="7" t="str">
        <f>IF(Data!E568=Entry2!E568,Data!E568,"ERROR")</f>
        <v>CU</v>
      </c>
      <c r="F568" s="7">
        <f>IF(Data!F568=Entry2!F568,Data!F568,"ERROR")</f>
        <v>1</v>
      </c>
      <c r="G568" s="7" t="str">
        <f>IF(Data!G568=Entry2!G568,Data!G568,"ERROR")</f>
        <v>LU</v>
      </c>
      <c r="H568" s="7">
        <f>IF(Data!H568=Entry2!H568,Data!H568,"ERROR")</f>
        <v>6</v>
      </c>
      <c r="I568" s="7">
        <f>IF(Data!I568=Entry2!I568,Data!I568,"ERROR")</f>
        <v>1</v>
      </c>
      <c r="J568" s="7">
        <f>IF(Data!J568=Entry2!J568,Data!J568,"ERROR")</f>
        <v>2.5</v>
      </c>
      <c r="K568" s="7" t="str">
        <f>IF(Data!K568=Entry2!K568,Data!K568,"ERROR")</f>
        <v>B</v>
      </c>
      <c r="L568" s="7" t="str">
        <f>IF(Data!L568=Entry2!L568,Data!L568,"ERROR")</f>
        <v>ERROR</v>
      </c>
      <c r="M568" s="7">
        <f>IF(Data!N568=Entry2!M568,Data!N568,"ERROR")</f>
        <v>0</v>
      </c>
    </row>
    <row r="569" spans="1:13" ht="13.2" hidden="1" x14ac:dyDescent="0.25">
      <c r="A569" s="7">
        <f>IF(Data!A569=Entry2!A569,Data!A569,"ERROR")</f>
        <v>12</v>
      </c>
      <c r="B569" s="7">
        <f>IF(Data!B569=Entry2!B569,Data!B569,"ERROR")</f>
        <v>2023</v>
      </c>
      <c r="C569" s="17">
        <f>IF(Data!C569=Entry2!C569,Data!C569,"ERROR")</f>
        <v>45197</v>
      </c>
      <c r="D569" s="7" t="str">
        <f>IF(Data!D569=Entry2!D569,Data!D569,"ERROR")</f>
        <v>MP, TL, MG</v>
      </c>
      <c r="E569" s="7" t="str">
        <f>IF(Data!E569=Entry2!E569,Data!E569,"ERROR")</f>
        <v>CU</v>
      </c>
      <c r="F569" s="7">
        <f>IF(Data!F569=Entry2!F569,Data!F569,"ERROR")</f>
        <v>1</v>
      </c>
      <c r="G569" s="7" t="str">
        <f>IF(Data!G569=Entry2!G569,Data!G569,"ERROR")</f>
        <v>LU</v>
      </c>
      <c r="H569" s="7">
        <f>IF(Data!H569=Entry2!H569,Data!H569,"ERROR")</f>
        <v>7</v>
      </c>
      <c r="I569" s="7">
        <f>IF(Data!I569=Entry2!I569,Data!I569,"ERROR")</f>
        <v>1</v>
      </c>
      <c r="J569" s="7">
        <f>IF(Data!J569=Entry2!J569,Data!J569,"ERROR")</f>
        <v>3</v>
      </c>
      <c r="K569" s="7" t="str">
        <f>IF(Data!K569=Entry2!K569,Data!K569,"ERROR")</f>
        <v>B</v>
      </c>
      <c r="L569" s="7" t="str">
        <f>IF(Data!L569=Entry2!L569,Data!L569,"ERROR")</f>
        <v>ERROR</v>
      </c>
      <c r="M569" s="7">
        <f>IF(Data!N569=Entry2!M569,Data!N569,"ERROR")</f>
        <v>0</v>
      </c>
    </row>
    <row r="570" spans="1:13" ht="13.2" hidden="1" x14ac:dyDescent="0.25">
      <c r="A570" s="7">
        <f>IF(Data!A570=Entry2!A570,Data!A570,"ERROR")</f>
        <v>12</v>
      </c>
      <c r="B570" s="7">
        <f>IF(Data!B570=Entry2!B570,Data!B570,"ERROR")</f>
        <v>2023</v>
      </c>
      <c r="C570" s="17">
        <f>IF(Data!C570=Entry2!C570,Data!C570,"ERROR")</f>
        <v>45197</v>
      </c>
      <c r="D570" s="7" t="str">
        <f>IF(Data!D570=Entry2!D570,Data!D570,"ERROR")</f>
        <v>MP, TL, MG</v>
      </c>
      <c r="E570" s="7" t="str">
        <f>IF(Data!E570=Entry2!E570,Data!E570,"ERROR")</f>
        <v>CU</v>
      </c>
      <c r="F570" s="7">
        <f>IF(Data!F570=Entry2!F570,Data!F570,"ERROR")</f>
        <v>1</v>
      </c>
      <c r="G570" s="7" t="str">
        <f>IF(Data!G570=Entry2!G570,Data!G570,"ERROR")</f>
        <v>LU</v>
      </c>
      <c r="H570" s="7">
        <f>IF(Data!H570=Entry2!H570,Data!H570,"ERROR")</f>
        <v>7</v>
      </c>
      <c r="I570" s="7">
        <f>IF(Data!I570=Entry2!I570,Data!I570,"ERROR")</f>
        <v>1</v>
      </c>
      <c r="J570" s="7">
        <f>IF(Data!J570=Entry2!J570,Data!J570,"ERROR")</f>
        <v>3</v>
      </c>
      <c r="K570" s="7" t="str">
        <f>IF(Data!K570=Entry2!K570,Data!K570,"ERROR")</f>
        <v>NNG</v>
      </c>
      <c r="L570" s="7" t="str">
        <f>IF(Data!L570=Entry2!L570,Data!L570,"ERROR")</f>
        <v>ERROR</v>
      </c>
      <c r="M570" s="7">
        <f>IF(Data!N570=Entry2!M570,Data!N570,"ERROR")</f>
        <v>0</v>
      </c>
    </row>
    <row r="571" spans="1:13" ht="13.2" hidden="1" x14ac:dyDescent="0.25">
      <c r="A571" s="7">
        <f>IF(Data!A571=Entry2!A571,Data!A571,"ERROR")</f>
        <v>12</v>
      </c>
      <c r="B571" s="7">
        <f>IF(Data!B571=Entry2!B571,Data!B571,"ERROR")</f>
        <v>2023</v>
      </c>
      <c r="C571" s="17">
        <f>IF(Data!C571=Entry2!C571,Data!C571,"ERROR")</f>
        <v>45197</v>
      </c>
      <c r="D571" s="7" t="str">
        <f>IF(Data!D571=Entry2!D571,Data!D571,"ERROR")</f>
        <v>MP, TL, MG</v>
      </c>
      <c r="E571" s="7" t="str">
        <f>IF(Data!E571=Entry2!E571,Data!E571,"ERROR")</f>
        <v>CU</v>
      </c>
      <c r="F571" s="7">
        <f>IF(Data!F571=Entry2!F571,Data!F571,"ERROR")</f>
        <v>1</v>
      </c>
      <c r="G571" s="7" t="str">
        <f>IF(Data!G571=Entry2!G571,Data!G571,"ERROR")</f>
        <v>LU</v>
      </c>
      <c r="H571" s="7">
        <f>IF(Data!H571=Entry2!H571,Data!H571,"ERROR")</f>
        <v>7</v>
      </c>
      <c r="I571" s="7">
        <f>IF(Data!I571=Entry2!I571,Data!I571,"ERROR")</f>
        <v>1</v>
      </c>
      <c r="J571" s="7">
        <f>IF(Data!J571=Entry2!J571,Data!J571,"ERROR")</f>
        <v>3</v>
      </c>
      <c r="K571" s="7" t="str">
        <f>IF(Data!K571=Entry2!K571,Data!K571,"ERROR")</f>
        <v>CENMEL</v>
      </c>
      <c r="L571" s="7" t="str">
        <f>IF(Data!L571=Entry2!L571,Data!L571,"ERROR")</f>
        <v>ERROR</v>
      </c>
      <c r="M571" s="7">
        <f>IF(Data!N571=Entry2!M571,Data!N571,"ERROR")</f>
        <v>0</v>
      </c>
    </row>
    <row r="572" spans="1:13" ht="13.2" hidden="1" x14ac:dyDescent="0.25">
      <c r="A572" s="7">
        <f>IF(Data!A572=Entry2!A572,Data!A572,"ERROR")</f>
        <v>12</v>
      </c>
      <c r="B572" s="7">
        <f>IF(Data!B572=Entry2!B572,Data!B572,"ERROR")</f>
        <v>2023</v>
      </c>
      <c r="C572" s="17">
        <f>IF(Data!C572=Entry2!C572,Data!C572,"ERROR")</f>
        <v>45197</v>
      </c>
      <c r="D572" s="7" t="str">
        <f>IF(Data!D572=Entry2!D572,Data!D572,"ERROR")</f>
        <v>MP, TL, MG</v>
      </c>
      <c r="E572" s="7" t="str">
        <f>IF(Data!E572=Entry2!E572,Data!E572,"ERROR")</f>
        <v>CU</v>
      </c>
      <c r="F572" s="7">
        <f>IF(Data!F572=Entry2!F572,Data!F572,"ERROR")</f>
        <v>1</v>
      </c>
      <c r="G572" s="7" t="str">
        <f>IF(Data!G572=Entry2!G572,Data!G572,"ERROR")</f>
        <v>LU</v>
      </c>
      <c r="H572" s="7">
        <f>IF(Data!H572=Entry2!H572,Data!H572,"ERROR")</f>
        <v>7</v>
      </c>
      <c r="I572" s="7">
        <f>IF(Data!I572=Entry2!I572,Data!I572,"ERROR")</f>
        <v>1</v>
      </c>
      <c r="J572" s="7">
        <f>IF(Data!J572=Entry2!J572,Data!J572,"ERROR")</f>
        <v>3</v>
      </c>
      <c r="K572" s="7" t="str">
        <f>IF(Data!K572=Entry2!K572,Data!K572,"ERROR")</f>
        <v>OPULIT</v>
      </c>
      <c r="L572" s="7" t="str">
        <f>IF(Data!L572=Entry2!L572,Data!L572,"ERROR")</f>
        <v>ERROR</v>
      </c>
      <c r="M572" s="7">
        <f>IF(Data!N572=Entry2!M572,Data!N572,"ERROR")</f>
        <v>0</v>
      </c>
    </row>
    <row r="573" spans="1:13" ht="13.2" hidden="1" x14ac:dyDescent="0.25">
      <c r="A573" s="7">
        <f>IF(Data!A573=Entry2!A573,Data!A573,"ERROR")</f>
        <v>12</v>
      </c>
      <c r="B573" s="7">
        <f>IF(Data!B573=Entry2!B573,Data!B573,"ERROR")</f>
        <v>2023</v>
      </c>
      <c r="C573" s="17">
        <f>IF(Data!C573=Entry2!C573,Data!C573,"ERROR")</f>
        <v>45197</v>
      </c>
      <c r="D573" s="7" t="str">
        <f>IF(Data!D573=Entry2!D573,Data!D573,"ERROR")</f>
        <v>MP, TL, MG</v>
      </c>
      <c r="E573" s="7" t="str">
        <f>IF(Data!E573=Entry2!E573,Data!E573,"ERROR")</f>
        <v>CU</v>
      </c>
      <c r="F573" s="7">
        <f>IF(Data!F573=Entry2!F573,Data!F573,"ERROR")</f>
        <v>1</v>
      </c>
      <c r="G573" s="7" t="str">
        <f>IF(Data!G573=Entry2!G573,Data!G573,"ERROR")</f>
        <v>LU</v>
      </c>
      <c r="H573" s="7">
        <f>IF(Data!H573=Entry2!H573,Data!H573,"ERROR")</f>
        <v>8</v>
      </c>
      <c r="I573" s="7">
        <f>IF(Data!I573=Entry2!I573,Data!I573,"ERROR")</f>
        <v>1</v>
      </c>
      <c r="J573" s="7">
        <f>IF(Data!J573=Entry2!J573,Data!J573,"ERROR")</f>
        <v>3.5</v>
      </c>
      <c r="K573" s="7" t="str">
        <f>IF(Data!K573=Entry2!K573,Data!K573,"ERROR")</f>
        <v>L</v>
      </c>
      <c r="L573" s="7" t="str">
        <f>IF(Data!L573=Entry2!L573,Data!L573,"ERROR")</f>
        <v>ERROR</v>
      </c>
      <c r="M573" s="7">
        <f>IF(Data!N573=Entry2!M573,Data!N573,"ERROR")</f>
        <v>0</v>
      </c>
    </row>
    <row r="574" spans="1:13" ht="13.2" hidden="1" x14ac:dyDescent="0.25">
      <c r="A574" s="7">
        <f>IF(Data!A574=Entry2!A574,Data!A574,"ERROR")</f>
        <v>12</v>
      </c>
      <c r="B574" s="7">
        <f>IF(Data!B574=Entry2!B574,Data!B574,"ERROR")</f>
        <v>2023</v>
      </c>
      <c r="C574" s="17">
        <f>IF(Data!C574=Entry2!C574,Data!C574,"ERROR")</f>
        <v>45197</v>
      </c>
      <c r="D574" s="7" t="str">
        <f>IF(Data!D574=Entry2!D574,Data!D574,"ERROR")</f>
        <v>MP, TL, MG</v>
      </c>
      <c r="E574" s="7" t="str">
        <f>IF(Data!E574=Entry2!E574,Data!E574,"ERROR")</f>
        <v>CU</v>
      </c>
      <c r="F574" s="7">
        <f>IF(Data!F574=Entry2!F574,Data!F574,"ERROR")</f>
        <v>1</v>
      </c>
      <c r="G574" s="7" t="str">
        <f>IF(Data!G574=Entry2!G574,Data!G574,"ERROR")</f>
        <v>LU</v>
      </c>
      <c r="H574" s="7">
        <f>IF(Data!H574=Entry2!H574,Data!H574,"ERROR")</f>
        <v>9</v>
      </c>
      <c r="I574" s="7">
        <f>IF(Data!I574=Entry2!I574,Data!I574,"ERROR")</f>
        <v>1</v>
      </c>
      <c r="J574" s="7">
        <f>IF(Data!J574=Entry2!J574,Data!J574,"ERROR")</f>
        <v>4</v>
      </c>
      <c r="K574" s="7" t="str">
        <f>IF(Data!K574=Entry2!K574,Data!K574,"ERROR")</f>
        <v>L</v>
      </c>
      <c r="L574" s="7" t="str">
        <f>IF(Data!L574=Entry2!L574,Data!L574,"ERROR")</f>
        <v>ERROR</v>
      </c>
      <c r="M574" s="7">
        <f>IF(Data!N574=Entry2!M574,Data!N574,"ERROR")</f>
        <v>0</v>
      </c>
    </row>
    <row r="575" spans="1:13" ht="13.2" hidden="1" x14ac:dyDescent="0.25">
      <c r="A575" s="7">
        <f>IF(Data!A575=Entry2!A575,Data!A575,"ERROR")</f>
        <v>12</v>
      </c>
      <c r="B575" s="7">
        <f>IF(Data!B575=Entry2!B575,Data!B575,"ERROR")</f>
        <v>2023</v>
      </c>
      <c r="C575" s="17">
        <f>IF(Data!C575=Entry2!C575,Data!C575,"ERROR")</f>
        <v>45197</v>
      </c>
      <c r="D575" s="7" t="str">
        <f>IF(Data!D575=Entry2!D575,Data!D575,"ERROR")</f>
        <v>MP, TL, MG</v>
      </c>
      <c r="E575" s="7" t="str">
        <f>IF(Data!E575=Entry2!E575,Data!E575,"ERROR")</f>
        <v>CU</v>
      </c>
      <c r="F575" s="7">
        <f>IF(Data!F575=Entry2!F575,Data!F575,"ERROR")</f>
        <v>1</v>
      </c>
      <c r="G575" s="7" t="str">
        <f>IF(Data!G575=Entry2!G575,Data!G575,"ERROR")</f>
        <v>LU</v>
      </c>
      <c r="H575" s="7">
        <f>IF(Data!H575=Entry2!H575,Data!H575,"ERROR")</f>
        <v>10</v>
      </c>
      <c r="I575" s="7">
        <f>IF(Data!I575=Entry2!I575,Data!I575,"ERROR")</f>
        <v>1</v>
      </c>
      <c r="J575" s="7">
        <f>IF(Data!J575=Entry2!J575,Data!J575,"ERROR")</f>
        <v>4.5</v>
      </c>
      <c r="K575" s="7" t="str">
        <f>IF(Data!K575=Entry2!K575,Data!K575,"ERROR")</f>
        <v>B</v>
      </c>
      <c r="L575" s="7" t="str">
        <f>IF(Data!L575=Entry2!L575,Data!L575,"ERROR")</f>
        <v>ERROR</v>
      </c>
      <c r="M575" s="7">
        <f>IF(Data!N575=Entry2!M575,Data!N575,"ERROR")</f>
        <v>0</v>
      </c>
    </row>
    <row r="576" spans="1:13" ht="13.2" hidden="1" x14ac:dyDescent="0.25">
      <c r="A576" s="7">
        <f>IF(Data!A576=Entry2!A576,Data!A576,"ERROR")</f>
        <v>12</v>
      </c>
      <c r="B576" s="7">
        <f>IF(Data!B576=Entry2!B576,Data!B576,"ERROR")</f>
        <v>2023</v>
      </c>
      <c r="C576" s="17">
        <f>IF(Data!C576=Entry2!C576,Data!C576,"ERROR")</f>
        <v>45197</v>
      </c>
      <c r="D576" s="7" t="str">
        <f>IF(Data!D576=Entry2!D576,Data!D576,"ERROR")</f>
        <v>MP, TL, MG</v>
      </c>
      <c r="E576" s="7" t="str">
        <f>IF(Data!E576=Entry2!E576,Data!E576,"ERROR")</f>
        <v>CU</v>
      </c>
      <c r="F576" s="7">
        <f>IF(Data!F576=Entry2!F576,Data!F576,"ERROR")</f>
        <v>1</v>
      </c>
      <c r="G576" s="7" t="str">
        <f>IF(Data!G576=Entry2!G576,Data!G576,"ERROR")</f>
        <v>LU</v>
      </c>
      <c r="H576" s="7">
        <f>IF(Data!H576=Entry2!H576,Data!H576,"ERROR")</f>
        <v>11</v>
      </c>
      <c r="I576" s="7">
        <f>IF(Data!I576=Entry2!I576,Data!I576,"ERROR")</f>
        <v>1</v>
      </c>
      <c r="J576" s="7">
        <f>IF(Data!J576=Entry2!J576,Data!J576,"ERROR")</f>
        <v>5</v>
      </c>
      <c r="K576" s="7" t="str">
        <f>IF(Data!K576=Entry2!K576,Data!K576,"ERROR")</f>
        <v>R</v>
      </c>
      <c r="L576" s="7" t="str">
        <f>IF(Data!L576=Entry2!L576,Data!L576,"ERROR")</f>
        <v>ERROR</v>
      </c>
      <c r="M576" s="7">
        <f>IF(Data!N576=Entry2!M576,Data!N576,"ERROR")</f>
        <v>0</v>
      </c>
    </row>
    <row r="577" spans="1:13" ht="13.2" hidden="1" x14ac:dyDescent="0.25">
      <c r="A577" s="7">
        <f>IF(Data!A577=Entry2!A577,Data!A577,"ERROR")</f>
        <v>12</v>
      </c>
      <c r="B577" s="7">
        <f>IF(Data!B577=Entry2!B577,Data!B577,"ERROR")</f>
        <v>2023</v>
      </c>
      <c r="C577" s="17">
        <f>IF(Data!C577=Entry2!C577,Data!C577,"ERROR")</f>
        <v>45197</v>
      </c>
      <c r="D577" s="7" t="str">
        <f>IF(Data!D577=Entry2!D577,Data!D577,"ERROR")</f>
        <v>MP, TL, MG</v>
      </c>
      <c r="E577" s="7" t="str">
        <f>IF(Data!E577=Entry2!E577,Data!E577,"ERROR")</f>
        <v>CU</v>
      </c>
      <c r="F577" s="7">
        <f>IF(Data!F577=Entry2!F577,Data!F577,"ERROR")</f>
        <v>1</v>
      </c>
      <c r="G577" s="7" t="str">
        <f>IF(Data!G577=Entry2!G577,Data!G577,"ERROR")</f>
        <v>LU</v>
      </c>
      <c r="H577" s="7">
        <f>IF(Data!H577=Entry2!H577,Data!H577,"ERROR")</f>
        <v>12</v>
      </c>
      <c r="I577" s="7">
        <f>IF(Data!I577=Entry2!I577,Data!I577,"ERROR")</f>
        <v>1</v>
      </c>
      <c r="J577" s="7">
        <f>IF(Data!J577=Entry2!J577,Data!J577,"ERROR")</f>
        <v>5.5</v>
      </c>
      <c r="K577" s="7" t="str">
        <f>IF(Data!K577=Entry2!K577,Data!K577,"ERROR")</f>
        <v>B</v>
      </c>
      <c r="L577" s="7" t="str">
        <f>IF(Data!L577=Entry2!L577,Data!L577,"ERROR")</f>
        <v>ERROR</v>
      </c>
      <c r="M577" s="7">
        <f>IF(Data!N577=Entry2!M577,Data!N577,"ERROR")</f>
        <v>0</v>
      </c>
    </row>
    <row r="578" spans="1:13" ht="13.2" hidden="1" x14ac:dyDescent="0.25">
      <c r="A578" s="7">
        <f>IF(Data!A578=Entry2!A578,Data!A578,"ERROR")</f>
        <v>12</v>
      </c>
      <c r="B578" s="7">
        <f>IF(Data!B578=Entry2!B578,Data!B578,"ERROR")</f>
        <v>2023</v>
      </c>
      <c r="C578" s="17">
        <f>IF(Data!C578=Entry2!C578,Data!C578,"ERROR")</f>
        <v>45197</v>
      </c>
      <c r="D578" s="7" t="str">
        <f>IF(Data!D578=Entry2!D578,Data!D578,"ERROR")</f>
        <v>MP, TL, MG</v>
      </c>
      <c r="E578" s="7" t="str">
        <f>IF(Data!E578=Entry2!E578,Data!E578,"ERROR")</f>
        <v>CU</v>
      </c>
      <c r="F578" s="7">
        <f>IF(Data!F578=Entry2!F578,Data!F578,"ERROR")</f>
        <v>1</v>
      </c>
      <c r="G578" s="7" t="str">
        <f>IF(Data!G578=Entry2!G578,Data!G578,"ERROR")</f>
        <v>LU</v>
      </c>
      <c r="H578" s="7">
        <f>IF(Data!H578=Entry2!H578,Data!H578,"ERROR")</f>
        <v>13</v>
      </c>
      <c r="I578" s="7">
        <f>IF(Data!I578=Entry2!I578,Data!I578,"ERROR")</f>
        <v>1</v>
      </c>
      <c r="J578" s="7">
        <f>IF(Data!J578=Entry2!J578,Data!J578,"ERROR")</f>
        <v>6.5</v>
      </c>
      <c r="K578" s="7" t="str">
        <f>IF(Data!K578=Entry2!K578,Data!K578,"ERROR")</f>
        <v>B</v>
      </c>
      <c r="L578" s="7" t="str">
        <f>IF(Data!L578=Entry2!L578,Data!L578,"ERROR")</f>
        <v>ERROR</v>
      </c>
      <c r="M578" s="7">
        <f>IF(Data!N578=Entry2!M578,Data!N578,"ERROR")</f>
        <v>0</v>
      </c>
    </row>
    <row r="579" spans="1:13" ht="13.2" hidden="1" x14ac:dyDescent="0.25">
      <c r="A579" s="7">
        <f>IF(Data!A579=Entry2!A579,Data!A579,"ERROR")</f>
        <v>12</v>
      </c>
      <c r="B579" s="7">
        <f>IF(Data!B579=Entry2!B579,Data!B579,"ERROR")</f>
        <v>2023</v>
      </c>
      <c r="C579" s="17">
        <f>IF(Data!C579=Entry2!C579,Data!C579,"ERROR")</f>
        <v>45197</v>
      </c>
      <c r="D579" s="7" t="str">
        <f>IF(Data!D579=Entry2!D579,Data!D579,"ERROR")</f>
        <v>MP, TL, MG</v>
      </c>
      <c r="E579" s="7" t="str">
        <f>IF(Data!E579=Entry2!E579,Data!E579,"ERROR")</f>
        <v>CU</v>
      </c>
      <c r="F579" s="7">
        <f>IF(Data!F579=Entry2!F579,Data!F579,"ERROR")</f>
        <v>1</v>
      </c>
      <c r="G579" s="7" t="str">
        <f>IF(Data!G579=Entry2!G579,Data!G579,"ERROR")</f>
        <v>LU</v>
      </c>
      <c r="H579" s="7">
        <f>IF(Data!H579=Entry2!H579,Data!H579,"ERROR")</f>
        <v>14</v>
      </c>
      <c r="I579" s="7">
        <f>IF(Data!I579=Entry2!I579,Data!I579,"ERROR")</f>
        <v>1</v>
      </c>
      <c r="J579" s="7">
        <f>IF(Data!J579=Entry2!J579,Data!J579,"ERROR")</f>
        <v>7</v>
      </c>
      <c r="K579" s="7" t="str">
        <f>IF(Data!K579=Entry2!K579,Data!K579,"ERROR")</f>
        <v>B</v>
      </c>
      <c r="L579" s="7" t="str">
        <f>IF(Data!L579=Entry2!L579,Data!L579,"ERROR")</f>
        <v>ERROR</v>
      </c>
      <c r="M579" s="7">
        <f>IF(Data!N579=Entry2!M579,Data!N579,"ERROR")</f>
        <v>0</v>
      </c>
    </row>
    <row r="580" spans="1:13" ht="13.2" hidden="1" x14ac:dyDescent="0.25">
      <c r="A580" s="7">
        <f>IF(Data!A580=Entry2!A580,Data!A580,"ERROR")</f>
        <v>12</v>
      </c>
      <c r="B580" s="7">
        <f>IF(Data!B580=Entry2!B580,Data!B580,"ERROR")</f>
        <v>2023</v>
      </c>
      <c r="C580" s="17">
        <f>IF(Data!C580=Entry2!C580,Data!C580,"ERROR")</f>
        <v>45197</v>
      </c>
      <c r="D580" s="7" t="str">
        <f>IF(Data!D580=Entry2!D580,Data!D580,"ERROR")</f>
        <v>MP, TL, MG</v>
      </c>
      <c r="E580" s="7" t="str">
        <f>IF(Data!E580=Entry2!E580,Data!E580,"ERROR")</f>
        <v>CU</v>
      </c>
      <c r="F580" s="7">
        <f>IF(Data!F580=Entry2!F580,Data!F580,"ERROR")</f>
        <v>1</v>
      </c>
      <c r="G580" s="7" t="str">
        <f>IF(Data!G580=Entry2!G580,Data!G580,"ERROR")</f>
        <v>LU</v>
      </c>
      <c r="H580" s="7">
        <f>IF(Data!H580=Entry2!H580,Data!H580,"ERROR")</f>
        <v>15</v>
      </c>
      <c r="I580" s="7">
        <f>IF(Data!I580=Entry2!I580,Data!I580,"ERROR")</f>
        <v>1</v>
      </c>
      <c r="J580" s="7">
        <f>IF(Data!J580=Entry2!J580,Data!J580,"ERROR")</f>
        <v>7.5</v>
      </c>
      <c r="K580" s="7" t="str">
        <f>IF(Data!K580=Entry2!K580,Data!K580,"ERROR")</f>
        <v>L</v>
      </c>
      <c r="L580" s="7" t="str">
        <f>IF(Data!L580=Entry2!L580,Data!L580,"ERROR")</f>
        <v>ERROR</v>
      </c>
      <c r="M580" s="7">
        <f>IF(Data!N580=Entry2!M580,Data!N580,"ERROR")</f>
        <v>0</v>
      </c>
    </row>
    <row r="581" spans="1:13" ht="13.2" hidden="1" x14ac:dyDescent="0.25">
      <c r="A581" s="7">
        <f>IF(Data!A581=Entry2!A581,Data!A581,"ERROR")</f>
        <v>12</v>
      </c>
      <c r="B581" s="7">
        <f>IF(Data!B581=Entry2!B581,Data!B581,"ERROR")</f>
        <v>2023</v>
      </c>
      <c r="C581" s="17">
        <f>IF(Data!C581=Entry2!C581,Data!C581,"ERROR")</f>
        <v>45197</v>
      </c>
      <c r="D581" s="7" t="str">
        <f>IF(Data!D581=Entry2!D581,Data!D581,"ERROR")</f>
        <v>MP, TL, MG</v>
      </c>
      <c r="E581" s="7" t="str">
        <f>IF(Data!E581=Entry2!E581,Data!E581,"ERROR")</f>
        <v>CU</v>
      </c>
      <c r="F581" s="7">
        <f>IF(Data!F581=Entry2!F581,Data!F581,"ERROR")</f>
        <v>1</v>
      </c>
      <c r="G581" s="7" t="str">
        <f>IF(Data!G581=Entry2!G581,Data!G581,"ERROR")</f>
        <v>LU</v>
      </c>
      <c r="H581" s="7">
        <f>IF(Data!H581=Entry2!H581,Data!H581,"ERROR")</f>
        <v>15</v>
      </c>
      <c r="I581" s="7">
        <f>IF(Data!I581=Entry2!I581,Data!I581,"ERROR")</f>
        <v>1</v>
      </c>
      <c r="J581" s="7">
        <f>IF(Data!J581=Entry2!J581,Data!J581,"ERROR")</f>
        <v>7.5</v>
      </c>
      <c r="K581" s="7" t="str">
        <f>IF(Data!K581=Entry2!K581,Data!K581,"ERROR")</f>
        <v>OPULIT</v>
      </c>
      <c r="L581" s="7" t="str">
        <f>IF(Data!L581=Entry2!L581,Data!L581,"ERROR")</f>
        <v>ERROR</v>
      </c>
      <c r="M581" s="7">
        <f>IF(Data!N581=Entry2!M581,Data!N581,"ERROR")</f>
        <v>0</v>
      </c>
    </row>
    <row r="582" spans="1:13" ht="13.2" hidden="1" x14ac:dyDescent="0.25">
      <c r="A582" s="7">
        <f>IF(Data!A582=Entry2!A582,Data!A582,"ERROR")</f>
        <v>12</v>
      </c>
      <c r="B582" s="7">
        <f>IF(Data!B582=Entry2!B582,Data!B582,"ERROR")</f>
        <v>2023</v>
      </c>
      <c r="C582" s="17">
        <f>IF(Data!C582=Entry2!C582,Data!C582,"ERROR")</f>
        <v>45197</v>
      </c>
      <c r="D582" s="7" t="str">
        <f>IF(Data!D582=Entry2!D582,Data!D582,"ERROR")</f>
        <v>MP, TL, MG</v>
      </c>
      <c r="E582" s="7" t="str">
        <f>IF(Data!E582=Entry2!E582,Data!E582,"ERROR")</f>
        <v>CU</v>
      </c>
      <c r="F582" s="7">
        <f>IF(Data!F582=Entry2!F582,Data!F582,"ERROR")</f>
        <v>1</v>
      </c>
      <c r="G582" s="7" t="str">
        <f>IF(Data!G582=Entry2!G582,Data!G582,"ERROR")</f>
        <v>LU</v>
      </c>
      <c r="H582" s="7">
        <f>IF(Data!H582=Entry2!H582,Data!H582,"ERROR")</f>
        <v>1</v>
      </c>
      <c r="I582" s="7">
        <f>IF(Data!I582=Entry2!I582,Data!I582,"ERROR")</f>
        <v>2</v>
      </c>
      <c r="J582" s="7">
        <f>IF(Data!J582=Entry2!J582,Data!J582,"ERROR")</f>
        <v>0</v>
      </c>
      <c r="K582" s="7" t="str">
        <f>IF(Data!K582=Entry2!K582,Data!K582,"ERROR")</f>
        <v>C</v>
      </c>
      <c r="L582" s="7" t="str">
        <f>IF(Data!L582=Entry2!L582,Data!L582,"ERROR")</f>
        <v>ERROR</v>
      </c>
      <c r="M582" s="7">
        <f>IF(Data!N582=Entry2!M582,Data!N582,"ERROR")</f>
        <v>0</v>
      </c>
    </row>
    <row r="583" spans="1:13" ht="13.2" hidden="1" x14ac:dyDescent="0.25">
      <c r="A583" s="7">
        <f>IF(Data!A583=Entry2!A583,Data!A583,"ERROR")</f>
        <v>12</v>
      </c>
      <c r="B583" s="7">
        <f>IF(Data!B583=Entry2!B583,Data!B583,"ERROR")</f>
        <v>2023</v>
      </c>
      <c r="C583" s="17">
        <f>IF(Data!C583=Entry2!C583,Data!C583,"ERROR")</f>
        <v>45197</v>
      </c>
      <c r="D583" s="7" t="str">
        <f>IF(Data!D583=Entry2!D583,Data!D583,"ERROR")</f>
        <v>MP, TL, MG</v>
      </c>
      <c r="E583" s="7" t="str">
        <f>IF(Data!E583=Entry2!E583,Data!E583,"ERROR")</f>
        <v>CU</v>
      </c>
      <c r="F583" s="7">
        <f>IF(Data!F583=Entry2!F583,Data!F583,"ERROR")</f>
        <v>1</v>
      </c>
      <c r="G583" s="7" t="str">
        <f>IF(Data!G583=Entry2!G583,Data!G583,"ERROR")</f>
        <v>LU</v>
      </c>
      <c r="H583" s="7">
        <f>IF(Data!H583=Entry2!H583,Data!H583,"ERROR")</f>
        <v>2</v>
      </c>
      <c r="I583" s="7">
        <f>IF(Data!I583=Entry2!I583,Data!I583,"ERROR")</f>
        <v>2</v>
      </c>
      <c r="J583" s="7">
        <f>IF(Data!J583=Entry2!J583,Data!J583,"ERROR")</f>
        <v>0.5</v>
      </c>
      <c r="K583" s="7" t="str">
        <f>IF(Data!K583=Entry2!K583,Data!K583,"ERROR")</f>
        <v>B</v>
      </c>
      <c r="L583" s="7" t="str">
        <f>IF(Data!L583=Entry2!L583,Data!L583,"ERROR")</f>
        <v>ERROR</v>
      </c>
      <c r="M583" s="7">
        <f>IF(Data!N583=Entry2!M583,Data!N583,"ERROR")</f>
        <v>0</v>
      </c>
    </row>
    <row r="584" spans="1:13" ht="13.2" hidden="1" x14ac:dyDescent="0.25">
      <c r="A584" s="7">
        <f>IF(Data!A584=Entry2!A584,Data!A584,"ERROR")</f>
        <v>12</v>
      </c>
      <c r="B584" s="7">
        <f>IF(Data!B584=Entry2!B584,Data!B584,"ERROR")</f>
        <v>2023</v>
      </c>
      <c r="C584" s="17">
        <f>IF(Data!C584=Entry2!C584,Data!C584,"ERROR")</f>
        <v>45197</v>
      </c>
      <c r="D584" s="7" t="str">
        <f>IF(Data!D584=Entry2!D584,Data!D584,"ERROR")</f>
        <v>MP, TL, MG</v>
      </c>
      <c r="E584" s="7" t="str">
        <f>IF(Data!E584=Entry2!E584,Data!E584,"ERROR")</f>
        <v>CU</v>
      </c>
      <c r="F584" s="7">
        <f>IF(Data!F584=Entry2!F584,Data!F584,"ERROR")</f>
        <v>1</v>
      </c>
      <c r="G584" s="7" t="str">
        <f>IF(Data!G584=Entry2!G584,Data!G584,"ERROR")</f>
        <v>LU</v>
      </c>
      <c r="H584" s="7">
        <f>IF(Data!H584=Entry2!H584,Data!H584,"ERROR")</f>
        <v>3</v>
      </c>
      <c r="I584" s="7">
        <f>IF(Data!I584=Entry2!I584,Data!I584,"ERROR")</f>
        <v>2</v>
      </c>
      <c r="J584" s="7">
        <f>IF(Data!J584=Entry2!J584,Data!J584,"ERROR")</f>
        <v>1</v>
      </c>
      <c r="K584" s="7" t="str">
        <f>IF(Data!K584=Entry2!K584,Data!K584,"ERROR")</f>
        <v>L</v>
      </c>
      <c r="L584" s="7" t="str">
        <f>IF(Data!L584=Entry2!L584,Data!L584,"ERROR")</f>
        <v>ERROR</v>
      </c>
      <c r="M584" s="7">
        <f>IF(Data!N584=Entry2!M584,Data!N584,"ERROR")</f>
        <v>0</v>
      </c>
    </row>
    <row r="585" spans="1:13" ht="13.2" hidden="1" x14ac:dyDescent="0.25">
      <c r="A585" s="7">
        <f>IF(Data!A585=Entry2!A585,Data!A585,"ERROR")</f>
        <v>12</v>
      </c>
      <c r="B585" s="7">
        <f>IF(Data!B585=Entry2!B585,Data!B585,"ERROR")</f>
        <v>2023</v>
      </c>
      <c r="C585" s="17">
        <f>IF(Data!C585=Entry2!C585,Data!C585,"ERROR")</f>
        <v>45197</v>
      </c>
      <c r="D585" s="7" t="str">
        <f>IF(Data!D585=Entry2!D585,Data!D585,"ERROR")</f>
        <v>MP, TL, MG</v>
      </c>
      <c r="E585" s="7" t="str">
        <f>IF(Data!E585=Entry2!E585,Data!E585,"ERROR")</f>
        <v>CU</v>
      </c>
      <c r="F585" s="7">
        <f>IF(Data!F585=Entry2!F585,Data!F585,"ERROR")</f>
        <v>1</v>
      </c>
      <c r="G585" s="7" t="str">
        <f>IF(Data!G585=Entry2!G585,Data!G585,"ERROR")</f>
        <v>LU</v>
      </c>
      <c r="H585" s="7">
        <f>IF(Data!H585=Entry2!H585,Data!H585,"ERROR")</f>
        <v>3</v>
      </c>
      <c r="I585" s="7">
        <f>IF(Data!I585=Entry2!I585,Data!I585,"ERROR")</f>
        <v>2</v>
      </c>
      <c r="J585" s="7">
        <f>IF(Data!J585=Entry2!J585,Data!J585,"ERROR")</f>
        <v>1</v>
      </c>
      <c r="K585" s="7" t="str">
        <f>IF(Data!K585=Entry2!K585,Data!K585,"ERROR")</f>
        <v>EROCIC</v>
      </c>
      <c r="L585" s="7" t="str">
        <f>IF(Data!L585=Entry2!L585,Data!L585,"ERROR")</f>
        <v>ERROR</v>
      </c>
      <c r="M585" s="7">
        <f>IF(Data!N585=Entry2!M585,Data!N585,"ERROR")</f>
        <v>0</v>
      </c>
    </row>
    <row r="586" spans="1:13" ht="13.2" hidden="1" x14ac:dyDescent="0.25">
      <c r="A586" s="7">
        <f>IF(Data!A586=Entry2!A586,Data!A586,"ERROR")</f>
        <v>12</v>
      </c>
      <c r="B586" s="7">
        <f>IF(Data!B586=Entry2!B586,Data!B586,"ERROR")</f>
        <v>2023</v>
      </c>
      <c r="C586" s="17">
        <f>IF(Data!C586=Entry2!C586,Data!C586,"ERROR")</f>
        <v>45197</v>
      </c>
      <c r="D586" s="7" t="str">
        <f>IF(Data!D586=Entry2!D586,Data!D586,"ERROR")</f>
        <v>MP, TL, MG</v>
      </c>
      <c r="E586" s="7" t="str">
        <f>IF(Data!E586=Entry2!E586,Data!E586,"ERROR")</f>
        <v>CU</v>
      </c>
      <c r="F586" s="7">
        <f>IF(Data!F586=Entry2!F586,Data!F586,"ERROR")</f>
        <v>1</v>
      </c>
      <c r="G586" s="7" t="str">
        <f>IF(Data!G586=Entry2!G586,Data!G586,"ERROR")</f>
        <v>LU</v>
      </c>
      <c r="H586" s="7">
        <f>IF(Data!H586=Entry2!H586,Data!H586,"ERROR")</f>
        <v>4</v>
      </c>
      <c r="I586" s="7">
        <f>IF(Data!I586=Entry2!I586,Data!I586,"ERROR")</f>
        <v>2</v>
      </c>
      <c r="J586" s="7">
        <f>IF(Data!J586=Entry2!J586,Data!J586,"ERROR")</f>
        <v>1.5</v>
      </c>
      <c r="K586" s="7" t="str">
        <f>IF(Data!K586=Entry2!K586,Data!K586,"ERROR")</f>
        <v>L</v>
      </c>
      <c r="L586" s="7" t="str">
        <f>IF(Data!L586=Entry2!L586,Data!L586,"ERROR")</f>
        <v>ERROR</v>
      </c>
      <c r="M586" s="7">
        <f>IF(Data!N586=Entry2!M586,Data!N586,"ERROR")</f>
        <v>0</v>
      </c>
    </row>
    <row r="587" spans="1:13" ht="13.2" hidden="1" x14ac:dyDescent="0.25">
      <c r="A587" s="7">
        <f>IF(Data!A587=Entry2!A587,Data!A587,"ERROR")</f>
        <v>12</v>
      </c>
      <c r="B587" s="7">
        <f>IF(Data!B587=Entry2!B587,Data!B587,"ERROR")</f>
        <v>2023</v>
      </c>
      <c r="C587" s="17">
        <f>IF(Data!C587=Entry2!C587,Data!C587,"ERROR")</f>
        <v>45197</v>
      </c>
      <c r="D587" s="7" t="str">
        <f>IF(Data!D587=Entry2!D587,Data!D587,"ERROR")</f>
        <v>MP, TL, MG</v>
      </c>
      <c r="E587" s="7" t="str">
        <f>IF(Data!E587=Entry2!E587,Data!E587,"ERROR")</f>
        <v>CU</v>
      </c>
      <c r="F587" s="7">
        <f>IF(Data!F587=Entry2!F587,Data!F587,"ERROR")</f>
        <v>1</v>
      </c>
      <c r="G587" s="7" t="str">
        <f>IF(Data!G587=Entry2!G587,Data!G587,"ERROR")</f>
        <v>LU</v>
      </c>
      <c r="H587" s="7">
        <f>IF(Data!H587=Entry2!H587,Data!H587,"ERROR")</f>
        <v>5</v>
      </c>
      <c r="I587" s="7">
        <f>IF(Data!I587=Entry2!I587,Data!I587,"ERROR")</f>
        <v>2</v>
      </c>
      <c r="J587" s="7">
        <f>IF(Data!J587=Entry2!J587,Data!J587,"ERROR")</f>
        <v>2.5</v>
      </c>
      <c r="K587" s="7" t="str">
        <f>IF(Data!K587=Entry2!K587,Data!K587,"ERROR")</f>
        <v>B</v>
      </c>
      <c r="L587" s="7" t="str">
        <f>IF(Data!L587=Entry2!L587,Data!L587,"ERROR")</f>
        <v>ERROR</v>
      </c>
      <c r="M587" s="7">
        <f>IF(Data!N587=Entry2!M587,Data!N587,"ERROR")</f>
        <v>0</v>
      </c>
    </row>
    <row r="588" spans="1:13" ht="13.2" hidden="1" x14ac:dyDescent="0.25">
      <c r="A588" s="7">
        <f>IF(Data!A588=Entry2!A588,Data!A588,"ERROR")</f>
        <v>12</v>
      </c>
      <c r="B588" s="7">
        <f>IF(Data!B588=Entry2!B588,Data!B588,"ERROR")</f>
        <v>2023</v>
      </c>
      <c r="C588" s="17">
        <f>IF(Data!C588=Entry2!C588,Data!C588,"ERROR")</f>
        <v>45197</v>
      </c>
      <c r="D588" s="7" t="str">
        <f>IF(Data!D588=Entry2!D588,Data!D588,"ERROR")</f>
        <v>MP, TL, MG</v>
      </c>
      <c r="E588" s="7" t="str">
        <f>IF(Data!E588=Entry2!E588,Data!E588,"ERROR")</f>
        <v>CU</v>
      </c>
      <c r="F588" s="7">
        <f>IF(Data!F588=Entry2!F588,Data!F588,"ERROR")</f>
        <v>1</v>
      </c>
      <c r="G588" s="7" t="str">
        <f>IF(Data!G588=Entry2!G588,Data!G588,"ERROR")</f>
        <v>LU</v>
      </c>
      <c r="H588" s="7">
        <f>IF(Data!H588=Entry2!H588,Data!H588,"ERROR")</f>
        <v>6</v>
      </c>
      <c r="I588" s="7">
        <f>IF(Data!I588=Entry2!I588,Data!I588,"ERROR")</f>
        <v>2</v>
      </c>
      <c r="J588" s="7">
        <f>IF(Data!J588=Entry2!J588,Data!J588,"ERROR")</f>
        <v>3</v>
      </c>
      <c r="K588" s="7" t="str">
        <f>IF(Data!K588=Entry2!K588,Data!K588,"ERROR")</f>
        <v>B</v>
      </c>
      <c r="L588" s="7" t="str">
        <f>IF(Data!L588=Entry2!L588,Data!L588,"ERROR")</f>
        <v>ERROR</v>
      </c>
      <c r="M588" s="7">
        <f>IF(Data!N588=Entry2!M588,Data!N588,"ERROR")</f>
        <v>0</v>
      </c>
    </row>
    <row r="589" spans="1:13" ht="13.2" hidden="1" x14ac:dyDescent="0.25">
      <c r="A589" s="7">
        <f>IF(Data!A589=Entry2!A589,Data!A589,"ERROR")</f>
        <v>12</v>
      </c>
      <c r="B589" s="7">
        <f>IF(Data!B589=Entry2!B589,Data!B589,"ERROR")</f>
        <v>2023</v>
      </c>
      <c r="C589" s="17">
        <f>IF(Data!C589=Entry2!C589,Data!C589,"ERROR")</f>
        <v>45197</v>
      </c>
      <c r="D589" s="7" t="str">
        <f>IF(Data!D589=Entry2!D589,Data!D589,"ERROR")</f>
        <v>MP, TL, MG</v>
      </c>
      <c r="E589" s="7" t="str">
        <f>IF(Data!E589=Entry2!E589,Data!E589,"ERROR")</f>
        <v>CU</v>
      </c>
      <c r="F589" s="7">
        <f>IF(Data!F589=Entry2!F589,Data!F589,"ERROR")</f>
        <v>1</v>
      </c>
      <c r="G589" s="7" t="str">
        <f>IF(Data!G589=Entry2!G589,Data!G589,"ERROR")</f>
        <v>LU</v>
      </c>
      <c r="H589" s="7">
        <f>IF(Data!H589=Entry2!H589,Data!H589,"ERROR")</f>
        <v>7</v>
      </c>
      <c r="I589" s="7">
        <f>IF(Data!I589=Entry2!I589,Data!I589,"ERROR")</f>
        <v>2</v>
      </c>
      <c r="J589" s="7">
        <f>IF(Data!J589=Entry2!J589,Data!J589,"ERROR")</f>
        <v>3.5</v>
      </c>
      <c r="K589" s="7" t="str">
        <f>IF(Data!K589=Entry2!K589,Data!K589,"ERROR")</f>
        <v>B</v>
      </c>
      <c r="L589" s="7" t="str">
        <f>IF(Data!L589=Entry2!L589,Data!L589,"ERROR")</f>
        <v>ERROR</v>
      </c>
      <c r="M589" s="7">
        <f>IF(Data!N589=Entry2!M589,Data!N589,"ERROR")</f>
        <v>0</v>
      </c>
    </row>
    <row r="590" spans="1:13" ht="13.2" hidden="1" x14ac:dyDescent="0.25">
      <c r="A590" s="7">
        <f>IF(Data!A590=Entry2!A590,Data!A590,"ERROR")</f>
        <v>12</v>
      </c>
      <c r="B590" s="7">
        <f>IF(Data!B590=Entry2!B590,Data!B590,"ERROR")</f>
        <v>2023</v>
      </c>
      <c r="C590" s="17">
        <f>IF(Data!C590=Entry2!C590,Data!C590,"ERROR")</f>
        <v>45197</v>
      </c>
      <c r="D590" s="7" t="str">
        <f>IF(Data!D590=Entry2!D590,Data!D590,"ERROR")</f>
        <v>MP, TL, MG</v>
      </c>
      <c r="E590" s="7" t="str">
        <f>IF(Data!E590=Entry2!E590,Data!E590,"ERROR")</f>
        <v>CU</v>
      </c>
      <c r="F590" s="7">
        <f>IF(Data!F590=Entry2!F590,Data!F590,"ERROR")</f>
        <v>1</v>
      </c>
      <c r="G590" s="7" t="str">
        <f>IF(Data!G590=Entry2!G590,Data!G590,"ERROR")</f>
        <v>LU</v>
      </c>
      <c r="H590" s="7">
        <f>IF(Data!H590=Entry2!H590,Data!H590,"ERROR")</f>
        <v>8</v>
      </c>
      <c r="I590" s="7">
        <f>IF(Data!I590=Entry2!I590,Data!I590,"ERROR")</f>
        <v>2</v>
      </c>
      <c r="J590" s="7">
        <f>IF(Data!J590=Entry2!J590,Data!J590,"ERROR")</f>
        <v>4</v>
      </c>
      <c r="K590" s="7" t="str">
        <f>IF(Data!K590=Entry2!K590,Data!K590,"ERROR")</f>
        <v>B</v>
      </c>
      <c r="L590" s="7" t="str">
        <f>IF(Data!L590=Entry2!L590,Data!L590,"ERROR")</f>
        <v>ERROR</v>
      </c>
      <c r="M590" s="7">
        <f>IF(Data!N590=Entry2!M590,Data!N590,"ERROR")</f>
        <v>0</v>
      </c>
    </row>
    <row r="591" spans="1:13" ht="13.2" hidden="1" x14ac:dyDescent="0.25">
      <c r="A591" s="7">
        <f>IF(Data!A591=Entry2!A591,Data!A591,"ERROR")</f>
        <v>12</v>
      </c>
      <c r="B591" s="7">
        <f>IF(Data!B591=Entry2!B591,Data!B591,"ERROR")</f>
        <v>2023</v>
      </c>
      <c r="C591" s="17">
        <f>IF(Data!C591=Entry2!C591,Data!C591,"ERROR")</f>
        <v>45197</v>
      </c>
      <c r="D591" s="7" t="str">
        <f>IF(Data!D591=Entry2!D591,Data!D591,"ERROR")</f>
        <v>MP, TL, MG</v>
      </c>
      <c r="E591" s="7" t="str">
        <f>IF(Data!E591=Entry2!E591,Data!E591,"ERROR")</f>
        <v>CU</v>
      </c>
      <c r="F591" s="7">
        <f>IF(Data!F591=Entry2!F591,Data!F591,"ERROR")</f>
        <v>1</v>
      </c>
      <c r="G591" s="7" t="str">
        <f>IF(Data!G591=Entry2!G591,Data!G591,"ERROR")</f>
        <v>LU</v>
      </c>
      <c r="H591" s="7">
        <f>IF(Data!H591=Entry2!H591,Data!H591,"ERROR")</f>
        <v>9</v>
      </c>
      <c r="I591" s="7">
        <f>IF(Data!I591=Entry2!I591,Data!I591,"ERROR")</f>
        <v>2</v>
      </c>
      <c r="J591" s="7">
        <f>IF(Data!J591=Entry2!J591,Data!J591,"ERROR")</f>
        <v>4.5</v>
      </c>
      <c r="K591" s="7" t="str">
        <f>IF(Data!K591=Entry2!K591,Data!K591,"ERROR")</f>
        <v>B</v>
      </c>
      <c r="L591" s="7" t="str">
        <f>IF(Data!L591=Entry2!L591,Data!L591,"ERROR")</f>
        <v>ERROR</v>
      </c>
      <c r="M591" s="7">
        <f>IF(Data!N591=Entry2!M591,Data!N591,"ERROR")</f>
        <v>0</v>
      </c>
    </row>
    <row r="592" spans="1:13" ht="13.2" hidden="1" x14ac:dyDescent="0.25">
      <c r="A592" s="7">
        <f>IF(Data!A592=Entry2!A592,Data!A592,"ERROR")</f>
        <v>12</v>
      </c>
      <c r="B592" s="7">
        <f>IF(Data!B592=Entry2!B592,Data!B592,"ERROR")</f>
        <v>2023</v>
      </c>
      <c r="C592" s="17">
        <f>IF(Data!C592=Entry2!C592,Data!C592,"ERROR")</f>
        <v>45197</v>
      </c>
      <c r="D592" s="7" t="str">
        <f>IF(Data!D592=Entry2!D592,Data!D592,"ERROR")</f>
        <v>MP, TL, MG</v>
      </c>
      <c r="E592" s="7" t="str">
        <f>IF(Data!E592=Entry2!E592,Data!E592,"ERROR")</f>
        <v>CU</v>
      </c>
      <c r="F592" s="7">
        <f>IF(Data!F592=Entry2!F592,Data!F592,"ERROR")</f>
        <v>1</v>
      </c>
      <c r="G592" s="7" t="str">
        <f>IF(Data!G592=Entry2!G592,Data!G592,"ERROR")</f>
        <v>LU</v>
      </c>
      <c r="H592" s="7">
        <f>IF(Data!H592=Entry2!H592,Data!H592,"ERROR")</f>
        <v>9</v>
      </c>
      <c r="I592" s="7">
        <f>IF(Data!I592=Entry2!I592,Data!I592,"ERROR")</f>
        <v>2</v>
      </c>
      <c r="J592" s="7">
        <f>IF(Data!J592=Entry2!J592,Data!J592,"ERROR")</f>
        <v>4.5</v>
      </c>
      <c r="K592" s="7" t="str">
        <f>IF(Data!K592=Entry2!K592,Data!K592,"ERROR")</f>
        <v>CONARV</v>
      </c>
      <c r="L592" s="7" t="str">
        <f>IF(Data!L592=Entry2!L592,Data!L592,"ERROR")</f>
        <v>ERROR</v>
      </c>
      <c r="M592" s="7">
        <f>IF(Data!N592=Entry2!M592,Data!N592,"ERROR")</f>
        <v>0</v>
      </c>
    </row>
    <row r="593" spans="1:13" ht="13.2" hidden="1" x14ac:dyDescent="0.25">
      <c r="A593" s="7">
        <f>IF(Data!A593=Entry2!A593,Data!A593,"ERROR")</f>
        <v>12</v>
      </c>
      <c r="B593" s="7">
        <f>IF(Data!B593=Entry2!B593,Data!B593,"ERROR")</f>
        <v>2023</v>
      </c>
      <c r="C593" s="17">
        <f>IF(Data!C593=Entry2!C593,Data!C593,"ERROR")</f>
        <v>45197</v>
      </c>
      <c r="D593" s="7" t="str">
        <f>IF(Data!D593=Entry2!D593,Data!D593,"ERROR")</f>
        <v>MP, TL, MG</v>
      </c>
      <c r="E593" s="7" t="str">
        <f>IF(Data!E593=Entry2!E593,Data!E593,"ERROR")</f>
        <v>CU</v>
      </c>
      <c r="F593" s="7">
        <f>IF(Data!F593=Entry2!F593,Data!F593,"ERROR")</f>
        <v>1</v>
      </c>
      <c r="G593" s="7" t="str">
        <f>IF(Data!G593=Entry2!G593,Data!G593,"ERROR")</f>
        <v>LU</v>
      </c>
      <c r="H593" s="7">
        <f>IF(Data!H593=Entry2!H593,Data!H593,"ERROR")</f>
        <v>10</v>
      </c>
      <c r="I593" s="7">
        <f>IF(Data!I593=Entry2!I593,Data!I593,"ERROR")</f>
        <v>2</v>
      </c>
      <c r="J593" s="7">
        <f>IF(Data!J593=Entry2!J593,Data!J593,"ERROR")</f>
        <v>5</v>
      </c>
      <c r="K593" s="7" t="str">
        <f>IF(Data!K593=Entry2!K593,Data!K593,"ERROR")</f>
        <v>L</v>
      </c>
      <c r="L593" s="7" t="str">
        <f>IF(Data!L593=Entry2!L593,Data!L593,"ERROR")</f>
        <v>ERROR</v>
      </c>
      <c r="M593" s="7">
        <f>IF(Data!N593=Entry2!M593,Data!N593,"ERROR")</f>
        <v>0</v>
      </c>
    </row>
    <row r="594" spans="1:13" ht="13.2" hidden="1" x14ac:dyDescent="0.25">
      <c r="A594" s="7">
        <f>IF(Data!A594=Entry2!A594,Data!A594,"ERROR")</f>
        <v>12</v>
      </c>
      <c r="B594" s="7">
        <f>IF(Data!B594=Entry2!B594,Data!B594,"ERROR")</f>
        <v>2023</v>
      </c>
      <c r="C594" s="17">
        <f>IF(Data!C594=Entry2!C594,Data!C594,"ERROR")</f>
        <v>45197</v>
      </c>
      <c r="D594" s="7" t="str">
        <f>IF(Data!D594=Entry2!D594,Data!D594,"ERROR")</f>
        <v>MP, TL, MG</v>
      </c>
      <c r="E594" s="7" t="str">
        <f>IF(Data!E594=Entry2!E594,Data!E594,"ERROR")</f>
        <v>CU</v>
      </c>
      <c r="F594" s="7">
        <f>IF(Data!F594=Entry2!F594,Data!F594,"ERROR")</f>
        <v>1</v>
      </c>
      <c r="G594" s="7" t="str">
        <f>IF(Data!G594=Entry2!G594,Data!G594,"ERROR")</f>
        <v>LU</v>
      </c>
      <c r="H594" s="7">
        <f>IF(Data!H594=Entry2!H594,Data!H594,"ERROR")</f>
        <v>11</v>
      </c>
      <c r="I594" s="7">
        <f>IF(Data!I594=Entry2!I594,Data!I594,"ERROR")</f>
        <v>2</v>
      </c>
      <c r="J594" s="7">
        <f>IF(Data!J594=Entry2!J594,Data!J594,"ERROR")</f>
        <v>5.5</v>
      </c>
      <c r="K594" s="7" t="str">
        <f>IF(Data!K594=Entry2!K594,Data!K594,"ERROR")</f>
        <v>B</v>
      </c>
      <c r="L594" s="7" t="str">
        <f>IF(Data!L594=Entry2!L594,Data!L594,"ERROR")</f>
        <v>ERROR</v>
      </c>
      <c r="M594" s="7">
        <f>IF(Data!N594=Entry2!M594,Data!N594,"ERROR")</f>
        <v>0</v>
      </c>
    </row>
    <row r="595" spans="1:13" ht="13.2" hidden="1" x14ac:dyDescent="0.25">
      <c r="A595" s="7">
        <f>IF(Data!A595=Entry2!A595,Data!A595,"ERROR")</f>
        <v>12</v>
      </c>
      <c r="B595" s="7">
        <f>IF(Data!B595=Entry2!B595,Data!B595,"ERROR")</f>
        <v>2023</v>
      </c>
      <c r="C595" s="17">
        <f>IF(Data!C595=Entry2!C595,Data!C595,"ERROR")</f>
        <v>45197</v>
      </c>
      <c r="D595" s="7" t="str">
        <f>IF(Data!D595=Entry2!D595,Data!D595,"ERROR")</f>
        <v>MP, TL, MG</v>
      </c>
      <c r="E595" s="7" t="str">
        <f>IF(Data!E595=Entry2!E595,Data!E595,"ERROR")</f>
        <v>CU</v>
      </c>
      <c r="F595" s="7">
        <f>IF(Data!F595=Entry2!F595,Data!F595,"ERROR")</f>
        <v>1</v>
      </c>
      <c r="G595" s="7" t="str">
        <f>IF(Data!G595=Entry2!G595,Data!G595,"ERROR")</f>
        <v>LU</v>
      </c>
      <c r="H595" s="7">
        <f>IF(Data!H595=Entry2!H595,Data!H595,"ERROR")</f>
        <v>12</v>
      </c>
      <c r="I595" s="7">
        <f>IF(Data!I595=Entry2!I595,Data!I595,"ERROR")</f>
        <v>2</v>
      </c>
      <c r="J595" s="7">
        <f>IF(Data!J595=Entry2!J595,Data!J595,"ERROR")</f>
        <v>6</v>
      </c>
      <c r="K595" s="7" t="str">
        <f>IF(Data!K595=Entry2!K595,Data!K595,"ERROR")</f>
        <v>L</v>
      </c>
      <c r="L595" s="7" t="str">
        <f>IF(Data!L595=Entry2!L595,Data!L595,"ERROR")</f>
        <v>ERROR</v>
      </c>
      <c r="M595" s="7">
        <f>IF(Data!N595=Entry2!M595,Data!N595,"ERROR")</f>
        <v>0</v>
      </c>
    </row>
    <row r="596" spans="1:13" ht="13.2" hidden="1" x14ac:dyDescent="0.25">
      <c r="A596" s="7">
        <f>IF(Data!A596=Entry2!A596,Data!A596,"ERROR")</f>
        <v>12</v>
      </c>
      <c r="B596" s="7">
        <f>IF(Data!B596=Entry2!B596,Data!B596,"ERROR")</f>
        <v>2023</v>
      </c>
      <c r="C596" s="17">
        <f>IF(Data!C596=Entry2!C596,Data!C596,"ERROR")</f>
        <v>45197</v>
      </c>
      <c r="D596" s="7" t="str">
        <f>IF(Data!D596=Entry2!D596,Data!D596,"ERROR")</f>
        <v>MP, TL, MG</v>
      </c>
      <c r="E596" s="7" t="str">
        <f>IF(Data!E596=Entry2!E596,Data!E596,"ERROR")</f>
        <v>CU</v>
      </c>
      <c r="F596" s="7">
        <f>IF(Data!F596=Entry2!F596,Data!F596,"ERROR")</f>
        <v>1</v>
      </c>
      <c r="G596" s="7" t="str">
        <f>IF(Data!G596=Entry2!G596,Data!G596,"ERROR")</f>
        <v>LU</v>
      </c>
      <c r="H596" s="7">
        <f>IF(Data!H596=Entry2!H596,Data!H596,"ERROR")</f>
        <v>13</v>
      </c>
      <c r="I596" s="7">
        <f>IF(Data!I596=Entry2!I596,Data!I596,"ERROR")</f>
        <v>2</v>
      </c>
      <c r="J596" s="7">
        <f>IF(Data!J596=Entry2!J596,Data!J596,"ERROR")</f>
        <v>6.5</v>
      </c>
      <c r="K596" s="7" t="str">
        <f>IF(Data!K596=Entry2!K596,Data!K596,"ERROR")</f>
        <v>L</v>
      </c>
      <c r="L596" s="7" t="str">
        <f>IF(Data!L596=Entry2!L596,Data!L596,"ERROR")</f>
        <v>ERROR</v>
      </c>
      <c r="M596" s="7">
        <f>IF(Data!N596=Entry2!M596,Data!N596,"ERROR")</f>
        <v>0</v>
      </c>
    </row>
    <row r="597" spans="1:13" ht="13.2" hidden="1" x14ac:dyDescent="0.25">
      <c r="A597" s="7">
        <f>IF(Data!A597=Entry2!A597,Data!A597,"ERROR")</f>
        <v>12</v>
      </c>
      <c r="B597" s="7">
        <f>IF(Data!B597=Entry2!B597,Data!B597,"ERROR")</f>
        <v>2023</v>
      </c>
      <c r="C597" s="17">
        <f>IF(Data!C597=Entry2!C597,Data!C597,"ERROR")</f>
        <v>45197</v>
      </c>
      <c r="D597" s="7" t="str">
        <f>IF(Data!D597=Entry2!D597,Data!D597,"ERROR")</f>
        <v>MP, TL, MG</v>
      </c>
      <c r="E597" s="7" t="str">
        <f>IF(Data!E597=Entry2!E597,Data!E597,"ERROR")</f>
        <v>CU</v>
      </c>
      <c r="F597" s="7">
        <f>IF(Data!F597=Entry2!F597,Data!F597,"ERROR")</f>
        <v>1</v>
      </c>
      <c r="G597" s="7" t="str">
        <f>IF(Data!G597=Entry2!G597,Data!G597,"ERROR")</f>
        <v>LU</v>
      </c>
      <c r="H597" s="7">
        <f>IF(Data!H597=Entry2!H597,Data!H597,"ERROR")</f>
        <v>14</v>
      </c>
      <c r="I597" s="7">
        <f>IF(Data!I597=Entry2!I597,Data!I597,"ERROR")</f>
        <v>2</v>
      </c>
      <c r="J597" s="7">
        <f>IF(Data!J597=Entry2!J597,Data!J597,"ERROR")</f>
        <v>7</v>
      </c>
      <c r="K597" s="7" t="str">
        <f>IF(Data!K597=Entry2!K597,Data!K597,"ERROR")</f>
        <v>L</v>
      </c>
      <c r="L597" s="7" t="str">
        <f>IF(Data!L597=Entry2!L597,Data!L597,"ERROR")</f>
        <v>ERROR</v>
      </c>
      <c r="M597" s="7">
        <f>IF(Data!N597=Entry2!M597,Data!N597,"ERROR")</f>
        <v>0</v>
      </c>
    </row>
    <row r="598" spans="1:13" ht="13.2" hidden="1" x14ac:dyDescent="0.25">
      <c r="A598" s="7">
        <f>IF(Data!A598=Entry2!A598,Data!A598,"ERROR")</f>
        <v>12</v>
      </c>
      <c r="B598" s="7">
        <f>IF(Data!B598=Entry2!B598,Data!B598,"ERROR")</f>
        <v>2023</v>
      </c>
      <c r="C598" s="17">
        <f>IF(Data!C598=Entry2!C598,Data!C598,"ERROR")</f>
        <v>45197</v>
      </c>
      <c r="D598" s="7" t="str">
        <f>IF(Data!D598=Entry2!D598,Data!D598,"ERROR")</f>
        <v>MP, TL, MG</v>
      </c>
      <c r="E598" s="7" t="str">
        <f>IF(Data!E598=Entry2!E598,Data!E598,"ERROR")</f>
        <v>CU</v>
      </c>
      <c r="F598" s="7">
        <f>IF(Data!F598=Entry2!F598,Data!F598,"ERROR")</f>
        <v>1</v>
      </c>
      <c r="G598" s="7" t="str">
        <f>IF(Data!G598=Entry2!G598,Data!G598,"ERROR")</f>
        <v>LU</v>
      </c>
      <c r="H598" s="7">
        <f>IF(Data!H598=Entry2!H598,Data!H598,"ERROR")</f>
        <v>15</v>
      </c>
      <c r="I598" s="7">
        <f>IF(Data!I598=Entry2!I598,Data!I598,"ERROR")</f>
        <v>2</v>
      </c>
      <c r="J598" s="7">
        <f>IF(Data!J598=Entry2!J598,Data!J598,"ERROR")</f>
        <v>7.5</v>
      </c>
      <c r="K598" s="7" t="str">
        <f>IF(Data!K598=Entry2!K598,Data!K598,"ERROR")</f>
        <v>L</v>
      </c>
      <c r="L598" s="7" t="str">
        <f>IF(Data!L598=Entry2!L598,Data!L598,"ERROR")</f>
        <v>ERROR</v>
      </c>
      <c r="M598" s="7">
        <f>IF(Data!N598=Entry2!M598,Data!N598,"ERROR")</f>
        <v>0</v>
      </c>
    </row>
    <row r="599" spans="1:13" ht="13.2" x14ac:dyDescent="0.25">
      <c r="A599" s="7">
        <f>IF(Data!A599=Entry2!A599,Data!A599,"ERROR")</f>
        <v>13</v>
      </c>
      <c r="B599" s="7">
        <f>IF(Data!B599=Entry2!B599,Data!B599,"ERROR")</f>
        <v>2023</v>
      </c>
      <c r="C599" s="17">
        <f>IF(Data!C599=Entry2!C599,Data!C599,"ERROR")</f>
        <v>45197</v>
      </c>
      <c r="D599" s="7" t="str">
        <f>IF(Data!D599=Entry2!D599,Data!D599,"ERROR")</f>
        <v>MP, TL, MG</v>
      </c>
      <c r="E599" s="7" t="str">
        <f>IF(Data!E599=Entry2!E599,Data!E599,"ERROR")</f>
        <v>VB</v>
      </c>
      <c r="F599" s="7">
        <f>IF(Data!F599=Entry2!F599,Data!F599,"ERROR")</f>
        <v>3</v>
      </c>
      <c r="G599" s="7" t="str">
        <f>IF(Data!G599=Entry2!G599,Data!G599,"ERROR")</f>
        <v>SS</v>
      </c>
      <c r="H599" s="7">
        <f>IF(Data!H599=Entry2!H599,Data!H599,"ERROR")</f>
        <v>1</v>
      </c>
      <c r="I599" s="7">
        <f>IF(Data!I599=Entry2!I599,Data!I599,"ERROR")</f>
        <v>1</v>
      </c>
      <c r="J599" s="7">
        <f>IF(Data!J599=Entry2!J599,Data!J599,"ERROR")</f>
        <v>0</v>
      </c>
      <c r="K599" s="7" t="str">
        <f>IF(Data!K599=Entry2!K599,Data!K599,"ERROR")</f>
        <v>L</v>
      </c>
      <c r="L599" s="7" t="str">
        <f>IF(Data!L599=Entry2!L599,Data!L599,"ERROR")</f>
        <v>ERROR</v>
      </c>
      <c r="M599" s="7">
        <f>IF(Data!N599=Entry2!M599,Data!N599,"ERROR")</f>
        <v>0</v>
      </c>
    </row>
    <row r="600" spans="1:13" ht="13.2" x14ac:dyDescent="0.25">
      <c r="A600" s="7">
        <f>IF(Data!A600=Entry2!A600,Data!A600,"ERROR")</f>
        <v>13</v>
      </c>
      <c r="B600" s="7">
        <f>IF(Data!B600=Entry2!B600,Data!B600,"ERROR")</f>
        <v>2023</v>
      </c>
      <c r="C600" s="17">
        <f>IF(Data!C600=Entry2!C600,Data!C600,"ERROR")</f>
        <v>45197</v>
      </c>
      <c r="D600" s="7" t="str">
        <f>IF(Data!D600=Entry2!D600,Data!D600,"ERROR")</f>
        <v>MP, TL, MG</v>
      </c>
      <c r="E600" s="7" t="str">
        <f>IF(Data!E600=Entry2!E600,Data!E600,"ERROR")</f>
        <v>VB</v>
      </c>
      <c r="F600" s="7">
        <f>IF(Data!F600=Entry2!F600,Data!F600,"ERROR")</f>
        <v>3</v>
      </c>
      <c r="G600" s="7" t="str">
        <f>IF(Data!G600=Entry2!G600,Data!G600,"ERROR")</f>
        <v>SS</v>
      </c>
      <c r="H600" s="7">
        <f>IF(Data!H600=Entry2!H600,Data!H600,"ERROR")</f>
        <v>2</v>
      </c>
      <c r="I600" s="7">
        <f>IF(Data!I600=Entry2!I600,Data!I600,"ERROR")</f>
        <v>1</v>
      </c>
      <c r="J600" s="7">
        <f>IF(Data!J600=Entry2!J600,Data!J600,"ERROR")</f>
        <v>1</v>
      </c>
      <c r="K600" s="7" t="str">
        <f>IF(Data!K600=Entry2!K600,Data!K600,"ERROR")</f>
        <v>B</v>
      </c>
      <c r="L600" s="7" t="str">
        <f>IF(Data!L600=Entry2!L600,Data!L600,"ERROR")</f>
        <v>ERROR</v>
      </c>
      <c r="M600" s="7">
        <f>IF(Data!N600=Entry2!M600,Data!N600,"ERROR")</f>
        <v>0</v>
      </c>
    </row>
    <row r="601" spans="1:13" ht="13.2" x14ac:dyDescent="0.25">
      <c r="A601" s="7">
        <f>IF(Data!A601=Entry2!A601,Data!A601,"ERROR")</f>
        <v>13</v>
      </c>
      <c r="B601" s="7">
        <f>IF(Data!B601=Entry2!B601,Data!B601,"ERROR")</f>
        <v>2023</v>
      </c>
      <c r="C601" s="17">
        <f>IF(Data!C601=Entry2!C601,Data!C601,"ERROR")</f>
        <v>45197</v>
      </c>
      <c r="D601" s="7" t="str">
        <f>IF(Data!D601=Entry2!D601,Data!D601,"ERROR")</f>
        <v>MP, TL, MG</v>
      </c>
      <c r="E601" s="7" t="str">
        <f>IF(Data!E601=Entry2!E601,Data!E601,"ERROR")</f>
        <v>VB</v>
      </c>
      <c r="F601" s="7">
        <f>IF(Data!F601=Entry2!F601,Data!F601,"ERROR")</f>
        <v>3</v>
      </c>
      <c r="G601" s="7" t="str">
        <f>IF(Data!G601=Entry2!G601,Data!G601,"ERROR")</f>
        <v>SS</v>
      </c>
      <c r="H601" s="7">
        <f>IF(Data!H601=Entry2!H601,Data!H601,"ERROR")</f>
        <v>3</v>
      </c>
      <c r="I601" s="7">
        <f>IF(Data!I601=Entry2!I601,Data!I601,"ERROR")</f>
        <v>1</v>
      </c>
      <c r="J601" s="7">
        <f>IF(Data!J601=Entry2!J601,Data!J601,"ERROR")</f>
        <v>1.5</v>
      </c>
      <c r="K601" s="7" t="str">
        <f>IF(Data!K601=Entry2!K601,Data!K601,"ERROR")</f>
        <v>L</v>
      </c>
      <c r="L601" s="7" t="str">
        <f>IF(Data!L601=Entry2!L601,Data!L601,"ERROR")</f>
        <v>ERROR</v>
      </c>
      <c r="M601" s="7">
        <f>IF(Data!N601=Entry2!M601,Data!N601,"ERROR")</f>
        <v>0</v>
      </c>
    </row>
    <row r="602" spans="1:13" ht="13.2" x14ac:dyDescent="0.25">
      <c r="A602" s="7">
        <f>IF(Data!A602=Entry2!A602,Data!A602,"ERROR")</f>
        <v>13</v>
      </c>
      <c r="B602" s="7">
        <f>IF(Data!B602=Entry2!B602,Data!B602,"ERROR")</f>
        <v>2023</v>
      </c>
      <c r="C602" s="17">
        <f>IF(Data!C602=Entry2!C602,Data!C602,"ERROR")</f>
        <v>45197</v>
      </c>
      <c r="D602" s="7" t="str">
        <f>IF(Data!D602=Entry2!D602,Data!D602,"ERROR")</f>
        <v>MP, TL, MG</v>
      </c>
      <c r="E602" s="7" t="str">
        <f>IF(Data!E602=Entry2!E602,Data!E602,"ERROR")</f>
        <v>VB</v>
      </c>
      <c r="F602" s="7">
        <f>IF(Data!F602=Entry2!F602,Data!F602,"ERROR")</f>
        <v>3</v>
      </c>
      <c r="G602" s="7" t="str">
        <f>IF(Data!G602=Entry2!G602,Data!G602,"ERROR")</f>
        <v>SS</v>
      </c>
      <c r="H602" s="7">
        <f>IF(Data!H602=Entry2!H602,Data!H602,"ERROR")</f>
        <v>3</v>
      </c>
      <c r="I602" s="7">
        <f>IF(Data!I602=Entry2!I602,Data!I602,"ERROR")</f>
        <v>1</v>
      </c>
      <c r="J602" s="7">
        <f>IF(Data!J602=Entry2!J602,Data!J602,"ERROR")</f>
        <v>1.5</v>
      </c>
      <c r="K602" s="7" t="str">
        <f>IF(Data!K602=Entry2!K602,Data!K602,"ERROR")</f>
        <v>CENMEL</v>
      </c>
      <c r="L602" s="7" t="str">
        <f>IF(Data!L602=Entry2!L602,Data!L602,"ERROR")</f>
        <v>ERROR</v>
      </c>
      <c r="M602" s="7">
        <f>IF(Data!N602=Entry2!M602,Data!N602,"ERROR")</f>
        <v>0</v>
      </c>
    </row>
    <row r="603" spans="1:13" ht="13.2" x14ac:dyDescent="0.25">
      <c r="A603" s="7">
        <f>IF(Data!A603=Entry2!A603,Data!A603,"ERROR")</f>
        <v>13</v>
      </c>
      <c r="B603" s="7">
        <f>IF(Data!B603=Entry2!B603,Data!B603,"ERROR")</f>
        <v>2023</v>
      </c>
      <c r="C603" s="17">
        <f>IF(Data!C603=Entry2!C603,Data!C603,"ERROR")</f>
        <v>45197</v>
      </c>
      <c r="D603" s="7" t="str">
        <f>IF(Data!D603=Entry2!D603,Data!D603,"ERROR")</f>
        <v>MP, TL, MG</v>
      </c>
      <c r="E603" s="7" t="str">
        <f>IF(Data!E603=Entry2!E603,Data!E603,"ERROR")</f>
        <v>VB</v>
      </c>
      <c r="F603" s="7">
        <f>IF(Data!F603=Entry2!F603,Data!F603,"ERROR")</f>
        <v>3</v>
      </c>
      <c r="G603" s="7" t="str">
        <f>IF(Data!G603=Entry2!G603,Data!G603,"ERROR")</f>
        <v>SS</v>
      </c>
      <c r="H603" s="7">
        <f>IF(Data!H603=Entry2!H603,Data!H603,"ERROR")</f>
        <v>4</v>
      </c>
      <c r="I603" s="7">
        <f>IF(Data!I603=Entry2!I603,Data!I603,"ERROR")</f>
        <v>1</v>
      </c>
      <c r="J603" s="7">
        <f>IF(Data!J603=Entry2!J603,Data!J603,"ERROR")</f>
        <v>2</v>
      </c>
      <c r="K603" s="7" t="str">
        <f>IF(Data!K603=Entry2!K603,Data!K603,"ERROR")</f>
        <v>B</v>
      </c>
      <c r="L603" s="7" t="str">
        <f>IF(Data!L603=Entry2!L603,Data!L603,"ERROR")</f>
        <v>ERROR</v>
      </c>
      <c r="M603" s="7">
        <f>IF(Data!N603=Entry2!M603,Data!N603,"ERROR")</f>
        <v>0</v>
      </c>
    </row>
    <row r="604" spans="1:13" ht="13.2" x14ac:dyDescent="0.25">
      <c r="A604" s="7">
        <f>IF(Data!A604=Entry2!A604,Data!A604,"ERROR")</f>
        <v>13</v>
      </c>
      <c r="B604" s="7">
        <f>IF(Data!B604=Entry2!B604,Data!B604,"ERROR")</f>
        <v>2023</v>
      </c>
      <c r="C604" s="17">
        <f>IF(Data!C604=Entry2!C604,Data!C604,"ERROR")</f>
        <v>45197</v>
      </c>
      <c r="D604" s="7" t="str">
        <f>IF(Data!D604=Entry2!D604,Data!D604,"ERROR")</f>
        <v>MP, TL, MG</v>
      </c>
      <c r="E604" s="7" t="str">
        <f>IF(Data!E604=Entry2!E604,Data!E604,"ERROR")</f>
        <v>VB</v>
      </c>
      <c r="F604" s="7">
        <f>IF(Data!F604=Entry2!F604,Data!F604,"ERROR")</f>
        <v>3</v>
      </c>
      <c r="G604" s="7" t="str">
        <f>IF(Data!G604=Entry2!G604,Data!G604,"ERROR")</f>
        <v>SS</v>
      </c>
      <c r="H604" s="7">
        <f>IF(Data!H604=Entry2!H604,Data!H604,"ERROR")</f>
        <v>5</v>
      </c>
      <c r="I604" s="7">
        <f>IF(Data!I604=Entry2!I604,Data!I604,"ERROR")</f>
        <v>1</v>
      </c>
      <c r="J604" s="7">
        <f>IF(Data!J604=Entry2!J604,Data!J604,"ERROR")</f>
        <v>3</v>
      </c>
      <c r="K604" s="7" t="str">
        <f>IF(Data!K604=Entry2!K604,Data!K604,"ERROR")</f>
        <v>B</v>
      </c>
      <c r="L604" s="7" t="str">
        <f>IF(Data!L604=Entry2!L604,Data!L604,"ERROR")</f>
        <v>ERROR</v>
      </c>
      <c r="M604" s="7">
        <f>IF(Data!N604=Entry2!M604,Data!N604,"ERROR")</f>
        <v>0</v>
      </c>
    </row>
    <row r="605" spans="1:13" ht="13.2" x14ac:dyDescent="0.25">
      <c r="A605" s="7">
        <f>IF(Data!A605=Entry2!A605,Data!A605,"ERROR")</f>
        <v>13</v>
      </c>
      <c r="B605" s="7">
        <f>IF(Data!B605=Entry2!B605,Data!B605,"ERROR")</f>
        <v>2023</v>
      </c>
      <c r="C605" s="17">
        <f>IF(Data!C605=Entry2!C605,Data!C605,"ERROR")</f>
        <v>45197</v>
      </c>
      <c r="D605" s="7" t="str">
        <f>IF(Data!D605=Entry2!D605,Data!D605,"ERROR")</f>
        <v>MP, TL, MG</v>
      </c>
      <c r="E605" s="7" t="str">
        <f>IF(Data!E605=Entry2!E605,Data!E605,"ERROR")</f>
        <v>VB</v>
      </c>
      <c r="F605" s="7">
        <f>IF(Data!F605=Entry2!F605,Data!F605,"ERROR")</f>
        <v>3</v>
      </c>
      <c r="G605" s="7" t="str">
        <f>IF(Data!G605=Entry2!G605,Data!G605,"ERROR")</f>
        <v>SS</v>
      </c>
      <c r="H605" s="7">
        <f>IF(Data!H605=Entry2!H605,Data!H605,"ERROR")</f>
        <v>6</v>
      </c>
      <c r="I605" s="7">
        <f>IF(Data!I605=Entry2!I605,Data!I605,"ERROR")</f>
        <v>1</v>
      </c>
      <c r="J605" s="7">
        <f>IF(Data!J605=Entry2!J605,Data!J605,"ERROR")</f>
        <v>3.5</v>
      </c>
      <c r="K605" s="7" t="str">
        <f>IF(Data!K605=Entry2!K605,Data!K605,"ERROR")</f>
        <v>B</v>
      </c>
      <c r="L605" s="7" t="str">
        <f>IF(Data!L605=Entry2!L605,Data!L605,"ERROR")</f>
        <v>ERROR</v>
      </c>
      <c r="M605" s="7">
        <f>IF(Data!N605=Entry2!M605,Data!N605,"ERROR")</f>
        <v>0</v>
      </c>
    </row>
    <row r="606" spans="1:13" ht="13.2" x14ac:dyDescent="0.25">
      <c r="A606" s="7">
        <f>IF(Data!A606=Entry2!A606,Data!A606,"ERROR")</f>
        <v>13</v>
      </c>
      <c r="B606" s="7">
        <f>IF(Data!B606=Entry2!B606,Data!B606,"ERROR")</f>
        <v>2023</v>
      </c>
      <c r="C606" s="17">
        <f>IF(Data!C606=Entry2!C606,Data!C606,"ERROR")</f>
        <v>45197</v>
      </c>
      <c r="D606" s="7" t="str">
        <f>IF(Data!D606=Entry2!D606,Data!D606,"ERROR")</f>
        <v>MP, TL, MG</v>
      </c>
      <c r="E606" s="7" t="str">
        <f>IF(Data!E606=Entry2!E606,Data!E606,"ERROR")</f>
        <v>VB</v>
      </c>
      <c r="F606" s="7">
        <f>IF(Data!F606=Entry2!F606,Data!F606,"ERROR")</f>
        <v>3</v>
      </c>
      <c r="G606" s="7" t="str">
        <f>IF(Data!G606=Entry2!G606,Data!G606,"ERROR")</f>
        <v>SS</v>
      </c>
      <c r="H606" s="7">
        <f>IF(Data!H606=Entry2!H606,Data!H606,"ERROR")</f>
        <v>7</v>
      </c>
      <c r="I606" s="7">
        <f>IF(Data!I606=Entry2!I606,Data!I606,"ERROR")</f>
        <v>1</v>
      </c>
      <c r="J606" s="7">
        <f>IF(Data!J606=Entry2!J606,Data!J606,"ERROR")</f>
        <v>4</v>
      </c>
      <c r="K606" s="7" t="str">
        <f>IF(Data!K606=Entry2!K606,Data!K606,"ERROR")</f>
        <v>B</v>
      </c>
      <c r="L606" s="7" t="str">
        <f>IF(Data!L606=Entry2!L606,Data!L606,"ERROR")</f>
        <v>ERROR</v>
      </c>
      <c r="M606" s="7">
        <f>IF(Data!N606=Entry2!M606,Data!N606,"ERROR")</f>
        <v>0</v>
      </c>
    </row>
    <row r="607" spans="1:13" ht="13.2" x14ac:dyDescent="0.25">
      <c r="A607" s="7">
        <f>IF(Data!A607=Entry2!A607,Data!A607,"ERROR")</f>
        <v>13</v>
      </c>
      <c r="B607" s="7">
        <f>IF(Data!B607=Entry2!B607,Data!B607,"ERROR")</f>
        <v>2023</v>
      </c>
      <c r="C607" s="17">
        <f>IF(Data!C607=Entry2!C607,Data!C607,"ERROR")</f>
        <v>45197</v>
      </c>
      <c r="D607" s="7" t="str">
        <f>IF(Data!D607=Entry2!D607,Data!D607,"ERROR")</f>
        <v>MP, TL, MG</v>
      </c>
      <c r="E607" s="7" t="str">
        <f>IF(Data!E607=Entry2!E607,Data!E607,"ERROR")</f>
        <v>VB</v>
      </c>
      <c r="F607" s="7">
        <f>IF(Data!F607=Entry2!F607,Data!F607,"ERROR")</f>
        <v>3</v>
      </c>
      <c r="G607" s="7" t="str">
        <f>IF(Data!G607=Entry2!G607,Data!G607,"ERROR")</f>
        <v>SS</v>
      </c>
      <c r="H607" s="7">
        <f>IF(Data!H607=Entry2!H607,Data!H607,"ERROR")</f>
        <v>8</v>
      </c>
      <c r="I607" s="7">
        <f>IF(Data!I607=Entry2!I607,Data!I607,"ERROR")</f>
        <v>1</v>
      </c>
      <c r="J607" s="7">
        <f>IF(Data!J607=Entry2!J607,Data!J607,"ERROR")</f>
        <v>5</v>
      </c>
      <c r="K607" s="7" t="str">
        <f>IF(Data!K607=Entry2!K607,Data!K607,"ERROR")</f>
        <v>B</v>
      </c>
      <c r="L607" s="7" t="str">
        <f>IF(Data!L607=Entry2!L607,Data!L607,"ERROR")</f>
        <v>ERROR</v>
      </c>
      <c r="M607" s="7">
        <f>IF(Data!N607=Entry2!M607,Data!N607,"ERROR")</f>
        <v>0</v>
      </c>
    </row>
    <row r="608" spans="1:13" ht="13.2" x14ac:dyDescent="0.25">
      <c r="A608" s="7">
        <f>IF(Data!A608=Entry2!A608,Data!A608,"ERROR")</f>
        <v>13</v>
      </c>
      <c r="B608" s="7">
        <f>IF(Data!B608=Entry2!B608,Data!B608,"ERROR")</f>
        <v>2023</v>
      </c>
      <c r="C608" s="17">
        <f>IF(Data!C608=Entry2!C608,Data!C608,"ERROR")</f>
        <v>45197</v>
      </c>
      <c r="D608" s="7" t="str">
        <f>IF(Data!D608=Entry2!D608,Data!D608,"ERROR")</f>
        <v>MP, TL, MG</v>
      </c>
      <c r="E608" s="7" t="str">
        <f>IF(Data!E608=Entry2!E608,Data!E608,"ERROR")</f>
        <v>VB</v>
      </c>
      <c r="F608" s="7">
        <f>IF(Data!F608=Entry2!F608,Data!F608,"ERROR")</f>
        <v>3</v>
      </c>
      <c r="G608" s="7" t="str">
        <f>IF(Data!G608=Entry2!G608,Data!G608,"ERROR")</f>
        <v>SS</v>
      </c>
      <c r="H608" s="7">
        <f>IF(Data!H608=Entry2!H608,Data!H608,"ERROR")</f>
        <v>8</v>
      </c>
      <c r="I608" s="7">
        <f>IF(Data!I608=Entry2!I608,Data!I608,"ERROR")</f>
        <v>1</v>
      </c>
      <c r="J608" s="7">
        <f>IF(Data!J608=Entry2!J608,Data!J608,"ERROR")</f>
        <v>5</v>
      </c>
      <c r="K608" s="7" t="str">
        <f>IF(Data!K608=Entry2!K608,Data!K608,"ERROR")</f>
        <v>EROCIC</v>
      </c>
      <c r="L608" s="7" t="str">
        <f>IF(Data!L608=Entry2!L608,Data!L608,"ERROR")</f>
        <v>ERROR</v>
      </c>
      <c r="M608" s="7">
        <f>IF(Data!N608=Entry2!M608,Data!N608,"ERROR")</f>
        <v>0</v>
      </c>
    </row>
    <row r="609" spans="1:13" ht="13.2" x14ac:dyDescent="0.25">
      <c r="A609" s="7">
        <f>IF(Data!A609=Entry2!A609,Data!A609,"ERROR")</f>
        <v>13</v>
      </c>
      <c r="B609" s="7">
        <f>IF(Data!B609=Entry2!B609,Data!B609,"ERROR")</f>
        <v>2023</v>
      </c>
      <c r="C609" s="17">
        <f>IF(Data!C609=Entry2!C609,Data!C609,"ERROR")</f>
        <v>45197</v>
      </c>
      <c r="D609" s="7" t="str">
        <f>IF(Data!D609=Entry2!D609,Data!D609,"ERROR")</f>
        <v>MP, TL, MG</v>
      </c>
      <c r="E609" s="7" t="str">
        <f>IF(Data!E609=Entry2!E609,Data!E609,"ERROR")</f>
        <v>VB</v>
      </c>
      <c r="F609" s="7">
        <f>IF(Data!F609=Entry2!F609,Data!F609,"ERROR")</f>
        <v>3</v>
      </c>
      <c r="G609" s="7" t="str">
        <f>IF(Data!G609=Entry2!G609,Data!G609,"ERROR")</f>
        <v>SS</v>
      </c>
      <c r="H609" s="7">
        <f>IF(Data!H609=Entry2!H609,Data!H609,"ERROR")</f>
        <v>9</v>
      </c>
      <c r="I609" s="7">
        <f>IF(Data!I609=Entry2!I609,Data!I609,"ERROR")</f>
        <v>1</v>
      </c>
      <c r="J609" s="7">
        <f>IF(Data!J609=Entry2!J609,Data!J609,"ERROR")</f>
        <v>7</v>
      </c>
      <c r="K609" s="7" t="str">
        <f>IF(Data!K609=Entry2!K609,Data!K609,"ERROR")</f>
        <v>L</v>
      </c>
      <c r="L609" s="7" t="str">
        <f>IF(Data!L609=Entry2!L609,Data!L609,"ERROR")</f>
        <v>ERROR</v>
      </c>
      <c r="M609" s="7">
        <f>IF(Data!N609=Entry2!M609,Data!N609,"ERROR")</f>
        <v>0</v>
      </c>
    </row>
    <row r="610" spans="1:13" ht="13.2" x14ac:dyDescent="0.25">
      <c r="A610" s="7">
        <f>IF(Data!A610=Entry2!A610,Data!A610,"ERROR")</f>
        <v>13</v>
      </c>
      <c r="B610" s="7">
        <f>IF(Data!B610=Entry2!B610,Data!B610,"ERROR")</f>
        <v>2023</v>
      </c>
      <c r="C610" s="17">
        <f>IF(Data!C610=Entry2!C610,Data!C610,"ERROR")</f>
        <v>45197</v>
      </c>
      <c r="D610" s="7" t="str">
        <f>IF(Data!D610=Entry2!D610,Data!D610,"ERROR")</f>
        <v>MP, TL, MG</v>
      </c>
      <c r="E610" s="7" t="str">
        <f>IF(Data!E610=Entry2!E610,Data!E610,"ERROR")</f>
        <v>VB</v>
      </c>
      <c r="F610" s="7">
        <f>IF(Data!F610=Entry2!F610,Data!F610,"ERROR")</f>
        <v>3</v>
      </c>
      <c r="G610" s="7" t="str">
        <f>IF(Data!G610=Entry2!G610,Data!G610,"ERROR")</f>
        <v>SS</v>
      </c>
      <c r="H610" s="7">
        <f>IF(Data!H610=Entry2!H610,Data!H610,"ERROR")</f>
        <v>10</v>
      </c>
      <c r="I610" s="7">
        <f>IF(Data!I610=Entry2!I610,Data!I610,"ERROR")</f>
        <v>1</v>
      </c>
      <c r="J610" s="7">
        <f>IF(Data!J610=Entry2!J610,Data!J610,"ERROR")</f>
        <v>8</v>
      </c>
      <c r="K610" s="7" t="str">
        <f>IF(Data!K610=Entry2!K610,Data!K610,"ERROR")</f>
        <v>L</v>
      </c>
      <c r="L610" s="7" t="str">
        <f>IF(Data!L610=Entry2!L610,Data!L610,"ERROR")</f>
        <v>ERROR</v>
      </c>
      <c r="M610" s="7">
        <f>IF(Data!N610=Entry2!M610,Data!N610,"ERROR")</f>
        <v>0</v>
      </c>
    </row>
    <row r="611" spans="1:13" ht="13.2" x14ac:dyDescent="0.25">
      <c r="A611" s="7">
        <f>IF(Data!A611=Entry2!A611,Data!A611,"ERROR")</f>
        <v>13</v>
      </c>
      <c r="B611" s="7">
        <f>IF(Data!B611=Entry2!B611,Data!B611,"ERROR")</f>
        <v>2023</v>
      </c>
      <c r="C611" s="17">
        <f>IF(Data!C611=Entry2!C611,Data!C611,"ERROR")</f>
        <v>45197</v>
      </c>
      <c r="D611" s="7" t="str">
        <f>IF(Data!D611=Entry2!D611,Data!D611,"ERROR")</f>
        <v>MP, TL, MG</v>
      </c>
      <c r="E611" s="7" t="str">
        <f>IF(Data!E611=Entry2!E611,Data!E611,"ERROR")</f>
        <v>VB</v>
      </c>
      <c r="F611" s="7">
        <f>IF(Data!F611=Entry2!F611,Data!F611,"ERROR")</f>
        <v>3</v>
      </c>
      <c r="G611" s="7" t="str">
        <f>IF(Data!G611=Entry2!G611,Data!G611,"ERROR")</f>
        <v>SS</v>
      </c>
      <c r="H611" s="7">
        <f>IF(Data!H611=Entry2!H611,Data!H611,"ERROR")</f>
        <v>10</v>
      </c>
      <c r="I611" s="7">
        <f>IF(Data!I611=Entry2!I611,Data!I611,"ERROR")</f>
        <v>1</v>
      </c>
      <c r="J611" s="7">
        <f>IF(Data!J611=Entry2!J611,Data!J611,"ERROR")</f>
        <v>8</v>
      </c>
      <c r="K611" s="7" t="str">
        <f>IF(Data!K611=Entry2!K611,Data!K611,"ERROR")</f>
        <v>DEIFAS</v>
      </c>
      <c r="L611" s="7" t="str">
        <f>IF(Data!L611=Entry2!L611,Data!L611,"ERROR")</f>
        <v>ERROR</v>
      </c>
      <c r="M611" s="7">
        <f>IF(Data!N611=Entry2!M611,Data!N611,"ERROR")</f>
        <v>0</v>
      </c>
    </row>
    <row r="612" spans="1:13" ht="13.2" x14ac:dyDescent="0.25">
      <c r="A612" s="7">
        <f>IF(Data!A612=Entry2!A612,Data!A612,"ERROR")</f>
        <v>13</v>
      </c>
      <c r="B612" s="7">
        <f>IF(Data!B612=Entry2!B612,Data!B612,"ERROR")</f>
        <v>2023</v>
      </c>
      <c r="C612" s="17">
        <f>IF(Data!C612=Entry2!C612,Data!C612,"ERROR")</f>
        <v>45197</v>
      </c>
      <c r="D612" s="7" t="str">
        <f>IF(Data!D612=Entry2!D612,Data!D612,"ERROR")</f>
        <v>MP, TL, MG</v>
      </c>
      <c r="E612" s="7" t="str">
        <f>IF(Data!E612=Entry2!E612,Data!E612,"ERROR")</f>
        <v>VB</v>
      </c>
      <c r="F612" s="7">
        <f>IF(Data!F612=Entry2!F612,Data!F612,"ERROR")</f>
        <v>3</v>
      </c>
      <c r="G612" s="7" t="str">
        <f>IF(Data!G612=Entry2!G612,Data!G612,"ERROR")</f>
        <v>SS</v>
      </c>
      <c r="H612" s="7">
        <f>IF(Data!H612=Entry2!H612,Data!H612,"ERROR")</f>
        <v>11</v>
      </c>
      <c r="I612" s="7">
        <f>IF(Data!I612=Entry2!I612,Data!I612,"ERROR")</f>
        <v>1</v>
      </c>
      <c r="J612" s="7">
        <f>IF(Data!J612=Entry2!J612,Data!J612,"ERROR")</f>
        <v>8.5</v>
      </c>
      <c r="K612" s="7" t="str">
        <f>IF(Data!K612=Entry2!K612,Data!K612,"ERROR")</f>
        <v>R</v>
      </c>
      <c r="L612" s="7" t="str">
        <f>IF(Data!L612=Entry2!L612,Data!L612,"ERROR")</f>
        <v>ERROR</v>
      </c>
      <c r="M612" s="7">
        <f>IF(Data!N612=Entry2!M612,Data!N612,"ERROR")</f>
        <v>0</v>
      </c>
    </row>
    <row r="613" spans="1:13" ht="13.2" x14ac:dyDescent="0.25">
      <c r="A613" s="7">
        <f>IF(Data!A613=Entry2!A613,Data!A613,"ERROR")</f>
        <v>13</v>
      </c>
      <c r="B613" s="7">
        <f>IF(Data!B613=Entry2!B613,Data!B613,"ERROR")</f>
        <v>2023</v>
      </c>
      <c r="C613" s="17">
        <f>IF(Data!C613=Entry2!C613,Data!C613,"ERROR")</f>
        <v>45197</v>
      </c>
      <c r="D613" s="7" t="str">
        <f>IF(Data!D613=Entry2!D613,Data!D613,"ERROR")</f>
        <v>MP, TL, MG</v>
      </c>
      <c r="E613" s="7" t="str">
        <f>IF(Data!E613=Entry2!E613,Data!E613,"ERROR")</f>
        <v>VB</v>
      </c>
      <c r="F613" s="7">
        <f>IF(Data!F613=Entry2!F613,Data!F613,"ERROR")</f>
        <v>3</v>
      </c>
      <c r="G613" s="7" t="str">
        <f>IF(Data!G613=Entry2!G613,Data!G613,"ERROR")</f>
        <v>SS</v>
      </c>
      <c r="H613" s="7">
        <f>IF(Data!H613=Entry2!H613,Data!H613,"ERROR")</f>
        <v>11</v>
      </c>
      <c r="I613" s="7">
        <f>IF(Data!I613=Entry2!I613,Data!I613,"ERROR")</f>
        <v>1</v>
      </c>
      <c r="J613" s="7">
        <f>IF(Data!J613=Entry2!J613,Data!J613,"ERROR")</f>
        <v>8.5</v>
      </c>
      <c r="K613" s="7" t="str">
        <f>IF(Data!K613=Entry2!K613,Data!K613,"ERROR")</f>
        <v>DEIFAS</v>
      </c>
      <c r="L613" s="7" t="str">
        <f>IF(Data!L613=Entry2!L613,Data!L613,"ERROR")</f>
        <v>ERROR</v>
      </c>
      <c r="M613" s="7">
        <f>IF(Data!N613=Entry2!M613,Data!N613,"ERROR")</f>
        <v>0</v>
      </c>
    </row>
    <row r="614" spans="1:13" ht="13.2" x14ac:dyDescent="0.25">
      <c r="A614" s="7">
        <f>IF(Data!A614=Entry2!A614,Data!A614,"ERROR")</f>
        <v>13</v>
      </c>
      <c r="B614" s="7">
        <f>IF(Data!B614=Entry2!B614,Data!B614,"ERROR")</f>
        <v>2023</v>
      </c>
      <c r="C614" s="17">
        <f>IF(Data!C614=Entry2!C614,Data!C614,"ERROR")</f>
        <v>45197</v>
      </c>
      <c r="D614" s="7" t="str">
        <f>IF(Data!D614=Entry2!D614,Data!D614,"ERROR")</f>
        <v>MP, TL, MG</v>
      </c>
      <c r="E614" s="7" t="str">
        <f>IF(Data!E614=Entry2!E614,Data!E614,"ERROR")</f>
        <v>VB</v>
      </c>
      <c r="F614" s="7">
        <f>IF(Data!F614=Entry2!F614,Data!F614,"ERROR")</f>
        <v>3</v>
      </c>
      <c r="G614" s="7" t="str">
        <f>IF(Data!G614=Entry2!G614,Data!G614,"ERROR")</f>
        <v>SS</v>
      </c>
      <c r="H614" s="7">
        <f>IF(Data!H614=Entry2!H614,Data!H614,"ERROR")</f>
        <v>12</v>
      </c>
      <c r="I614" s="7">
        <f>IF(Data!I614=Entry2!I614,Data!I614,"ERROR")</f>
        <v>1</v>
      </c>
      <c r="J614" s="7">
        <f>IF(Data!J614=Entry2!J614,Data!J614,"ERROR")</f>
        <v>9</v>
      </c>
      <c r="K614" s="7" t="str">
        <f>IF(Data!K614=Entry2!K614,Data!K614,"ERROR")</f>
        <v>R</v>
      </c>
      <c r="L614" s="7" t="str">
        <f>IF(Data!L614=Entry2!L614,Data!L614,"ERROR")</f>
        <v>ERROR</v>
      </c>
      <c r="M614" s="7">
        <f>IF(Data!N614=Entry2!M614,Data!N614,"ERROR")</f>
        <v>0</v>
      </c>
    </row>
    <row r="615" spans="1:13" ht="13.2" x14ac:dyDescent="0.25">
      <c r="A615" s="7">
        <f>IF(Data!A615=Entry2!A615,Data!A615,"ERROR")</f>
        <v>13</v>
      </c>
      <c r="B615" s="7">
        <f>IF(Data!B615=Entry2!B615,Data!B615,"ERROR")</f>
        <v>2023</v>
      </c>
      <c r="C615" s="17">
        <f>IF(Data!C615=Entry2!C615,Data!C615,"ERROR")</f>
        <v>45197</v>
      </c>
      <c r="D615" s="7" t="str">
        <f>IF(Data!D615=Entry2!D615,Data!D615,"ERROR")</f>
        <v>MP, TL, MG</v>
      </c>
      <c r="E615" s="7" t="str">
        <f>IF(Data!E615=Entry2!E615,Data!E615,"ERROR")</f>
        <v>VB</v>
      </c>
      <c r="F615" s="7">
        <f>IF(Data!F615=Entry2!F615,Data!F615,"ERROR")</f>
        <v>3</v>
      </c>
      <c r="G615" s="7" t="str">
        <f>IF(Data!G615=Entry2!G615,Data!G615,"ERROR")</f>
        <v>SS</v>
      </c>
      <c r="H615" s="7">
        <f>IF(Data!H615=Entry2!H615,Data!H615,"ERROR")</f>
        <v>12</v>
      </c>
      <c r="I615" s="7">
        <f>IF(Data!I615=Entry2!I615,Data!I615,"ERROR")</f>
        <v>1</v>
      </c>
      <c r="J615" s="7">
        <f>IF(Data!J615=Entry2!J615,Data!J615,"ERROR")</f>
        <v>9</v>
      </c>
      <c r="K615" s="7" t="str">
        <f>IF(Data!K615=Entry2!K615,Data!K615,"ERROR")</f>
        <v>DEIFAS</v>
      </c>
      <c r="L615" s="7" t="str">
        <f>IF(Data!L615=Entry2!L615,Data!L615,"ERROR")</f>
        <v>ERROR</v>
      </c>
      <c r="M615" s="7">
        <f>IF(Data!N615=Entry2!M615,Data!N615,"ERROR")</f>
        <v>0</v>
      </c>
    </row>
    <row r="616" spans="1:13" ht="13.2" x14ac:dyDescent="0.25">
      <c r="A616" s="7">
        <f>IF(Data!A616=Entry2!A616,Data!A616,"ERROR")</f>
        <v>13</v>
      </c>
      <c r="B616" s="7">
        <f>IF(Data!B616=Entry2!B616,Data!B616,"ERROR")</f>
        <v>2023</v>
      </c>
      <c r="C616" s="17">
        <f>IF(Data!C616=Entry2!C616,Data!C616,"ERROR")</f>
        <v>45197</v>
      </c>
      <c r="D616" s="7" t="str">
        <f>IF(Data!D616=Entry2!D616,Data!D616,"ERROR")</f>
        <v>MP, TL, MG</v>
      </c>
      <c r="E616" s="7" t="str">
        <f>IF(Data!E616=Entry2!E616,Data!E616,"ERROR")</f>
        <v>VB</v>
      </c>
      <c r="F616" s="7">
        <f>IF(Data!F616=Entry2!F616,Data!F616,"ERROR")</f>
        <v>3</v>
      </c>
      <c r="G616" s="7" t="str">
        <f>IF(Data!G616=Entry2!G616,Data!G616,"ERROR")</f>
        <v>SS</v>
      </c>
      <c r="H616" s="7">
        <f>IF(Data!H616=Entry2!H616,Data!H616,"ERROR")</f>
        <v>13</v>
      </c>
      <c r="I616" s="7">
        <f>IF(Data!I616=Entry2!I616,Data!I616,"ERROR")</f>
        <v>1</v>
      </c>
      <c r="J616" s="7">
        <f>IF(Data!J616=Entry2!J616,Data!J616,"ERROR")</f>
        <v>10</v>
      </c>
      <c r="K616" s="7" t="str">
        <f>IF(Data!K616=Entry2!K616,Data!K616,"ERROR")</f>
        <v>L</v>
      </c>
      <c r="L616" s="7" t="str">
        <f>IF(Data!L616=Entry2!L616,Data!L616,"ERROR")</f>
        <v>ERROR</v>
      </c>
      <c r="M616" s="7">
        <f>IF(Data!N616=Entry2!M616,Data!N616,"ERROR")</f>
        <v>0</v>
      </c>
    </row>
    <row r="617" spans="1:13" ht="13.2" x14ac:dyDescent="0.25">
      <c r="A617" s="7">
        <f>IF(Data!A617=Entry2!A617,Data!A617,"ERROR")</f>
        <v>13</v>
      </c>
      <c r="B617" s="7">
        <f>IF(Data!B617=Entry2!B617,Data!B617,"ERROR")</f>
        <v>2023</v>
      </c>
      <c r="C617" s="17">
        <f>IF(Data!C617=Entry2!C617,Data!C617,"ERROR")</f>
        <v>45197</v>
      </c>
      <c r="D617" s="7" t="str">
        <f>IF(Data!D617=Entry2!D617,Data!D617,"ERROR")</f>
        <v>MP, TL, MG</v>
      </c>
      <c r="E617" s="7" t="str">
        <f>IF(Data!E617=Entry2!E617,Data!E617,"ERROR")</f>
        <v>VB</v>
      </c>
      <c r="F617" s="7">
        <f>IF(Data!F617=Entry2!F617,Data!F617,"ERROR")</f>
        <v>3</v>
      </c>
      <c r="G617" s="7" t="str">
        <f>IF(Data!G617=Entry2!G617,Data!G617,"ERROR")</f>
        <v>SS</v>
      </c>
      <c r="H617" s="7">
        <f>IF(Data!H617=Entry2!H617,Data!H617,"ERROR")</f>
        <v>13</v>
      </c>
      <c r="I617" s="7">
        <f>IF(Data!I617=Entry2!I617,Data!I617,"ERROR")</f>
        <v>1</v>
      </c>
      <c r="J617" s="7">
        <f>IF(Data!J617=Entry2!J617,Data!J617,"ERROR")</f>
        <v>10</v>
      </c>
      <c r="K617" s="7" t="str">
        <f>IF(Data!K617=Entry2!K617,Data!K617,"ERROR")</f>
        <v>DEIFAS</v>
      </c>
      <c r="L617" s="7" t="str">
        <f>IF(Data!L617=Entry2!L617,Data!L617,"ERROR")</f>
        <v>ERROR</v>
      </c>
      <c r="M617" s="7">
        <f>IF(Data!N617=Entry2!M617,Data!N617,"ERROR")</f>
        <v>0</v>
      </c>
    </row>
    <row r="618" spans="1:13" ht="13.2" x14ac:dyDescent="0.25">
      <c r="A618" s="7">
        <f>IF(Data!A618=Entry2!A618,Data!A618,"ERROR")</f>
        <v>13</v>
      </c>
      <c r="B618" s="7">
        <f>IF(Data!B618=Entry2!B618,Data!B618,"ERROR")</f>
        <v>2023</v>
      </c>
      <c r="C618" s="17">
        <f>IF(Data!C618=Entry2!C618,Data!C618,"ERROR")</f>
        <v>45197</v>
      </c>
      <c r="D618" s="7" t="str">
        <f>IF(Data!D618=Entry2!D618,Data!D618,"ERROR")</f>
        <v>MP, TL, MG</v>
      </c>
      <c r="E618" s="7" t="str">
        <f>IF(Data!E618=Entry2!E618,Data!E618,"ERROR")</f>
        <v>VB</v>
      </c>
      <c r="F618" s="7">
        <f>IF(Data!F618=Entry2!F618,Data!F618,"ERROR")</f>
        <v>3</v>
      </c>
      <c r="G618" s="7" t="str">
        <f>IF(Data!G618=Entry2!G618,Data!G618,"ERROR")</f>
        <v>SS</v>
      </c>
      <c r="H618" s="7">
        <f>IF(Data!H618=Entry2!H618,Data!H618,"ERROR")</f>
        <v>13</v>
      </c>
      <c r="I618" s="7">
        <f>IF(Data!I618=Entry2!I618,Data!I618,"ERROR")</f>
        <v>1</v>
      </c>
      <c r="J618" s="7">
        <f>IF(Data!J618=Entry2!J618,Data!J618,"ERROR")</f>
        <v>10</v>
      </c>
      <c r="K618" s="7" t="str">
        <f>IF(Data!K618=Entry2!K618,Data!K618,"ERROR")</f>
        <v>CENMEL</v>
      </c>
      <c r="L618" s="7" t="str">
        <f>IF(Data!L618=Entry2!L618,Data!L618,"ERROR")</f>
        <v>ERROR</v>
      </c>
      <c r="M618" s="7">
        <f>IF(Data!N618=Entry2!M618,Data!N618,"ERROR")</f>
        <v>0</v>
      </c>
    </row>
    <row r="619" spans="1:13" ht="13.2" x14ac:dyDescent="0.25">
      <c r="A619" s="7">
        <f>IF(Data!A619=Entry2!A619,Data!A619,"ERROR")</f>
        <v>13</v>
      </c>
      <c r="B619" s="7">
        <f>IF(Data!B619=Entry2!B619,Data!B619,"ERROR")</f>
        <v>2023</v>
      </c>
      <c r="C619" s="17">
        <f>IF(Data!C619=Entry2!C619,Data!C619,"ERROR")</f>
        <v>45197</v>
      </c>
      <c r="D619" s="7" t="str">
        <f>IF(Data!D619=Entry2!D619,Data!D619,"ERROR")</f>
        <v>MP, TL, MG</v>
      </c>
      <c r="E619" s="7" t="str">
        <f>IF(Data!E619=Entry2!E619,Data!E619,"ERROR")</f>
        <v>VB</v>
      </c>
      <c r="F619" s="7">
        <f>IF(Data!F619=Entry2!F619,Data!F619,"ERROR")</f>
        <v>3</v>
      </c>
      <c r="G619" s="7" t="str">
        <f>IF(Data!G619=Entry2!G619,Data!G619,"ERROR")</f>
        <v>SS</v>
      </c>
      <c r="H619" s="7">
        <f>IF(Data!H619=Entry2!H619,Data!H619,"ERROR")</f>
        <v>14</v>
      </c>
      <c r="I619" s="7">
        <f>IF(Data!I619=Entry2!I619,Data!I619,"ERROR")</f>
        <v>1</v>
      </c>
      <c r="J619" s="7">
        <f>IF(Data!J619=Entry2!J619,Data!J619,"ERROR")</f>
        <v>11</v>
      </c>
      <c r="K619" s="7" t="str">
        <f>IF(Data!K619=Entry2!K619,Data!K619,"ERROR")</f>
        <v>TH</v>
      </c>
      <c r="L619" s="7" t="str">
        <f>IF(Data!L619=Entry2!L619,Data!L619,"ERROR")</f>
        <v>ERROR</v>
      </c>
      <c r="M619" s="7">
        <f>IF(Data!N619=Entry2!M619,Data!N619,"ERROR")</f>
        <v>0</v>
      </c>
    </row>
    <row r="620" spans="1:13" ht="13.2" x14ac:dyDescent="0.25">
      <c r="A620" s="7">
        <f>IF(Data!A620=Entry2!A620,Data!A620,"ERROR")</f>
        <v>13</v>
      </c>
      <c r="B620" s="7">
        <f>IF(Data!B620=Entry2!B620,Data!B620,"ERROR")</f>
        <v>2023</v>
      </c>
      <c r="C620" s="17">
        <f>IF(Data!C620=Entry2!C620,Data!C620,"ERROR")</f>
        <v>45197</v>
      </c>
      <c r="D620" s="7" t="str">
        <f>IF(Data!D620=Entry2!D620,Data!D620,"ERROR")</f>
        <v>MP, TL, MG</v>
      </c>
      <c r="E620" s="7" t="str">
        <f>IF(Data!E620=Entry2!E620,Data!E620,"ERROR")</f>
        <v>VB</v>
      </c>
      <c r="F620" s="7">
        <f>IF(Data!F620=Entry2!F620,Data!F620,"ERROR")</f>
        <v>3</v>
      </c>
      <c r="G620" s="7" t="str">
        <f>IF(Data!G620=Entry2!G620,Data!G620,"ERROR")</f>
        <v>SS</v>
      </c>
      <c r="H620" s="7">
        <f>IF(Data!H620=Entry2!H620,Data!H620,"ERROR")</f>
        <v>14</v>
      </c>
      <c r="I620" s="7">
        <f>IF(Data!I620=Entry2!I620,Data!I620,"ERROR")</f>
        <v>1</v>
      </c>
      <c r="J620" s="7">
        <f>IF(Data!J620=Entry2!J620,Data!J620,"ERROR")</f>
        <v>11</v>
      </c>
      <c r="K620" s="7" t="str">
        <f>IF(Data!K620=Entry2!K620,Data!K620,"ERROR")</f>
        <v>DEIFAS</v>
      </c>
      <c r="L620" s="7" t="str">
        <f>IF(Data!L620=Entry2!L620,Data!L620,"ERROR")</f>
        <v>ERROR</v>
      </c>
      <c r="M620" s="7">
        <f>IF(Data!N620=Entry2!M620,Data!N620,"ERROR")</f>
        <v>0</v>
      </c>
    </row>
    <row r="621" spans="1:13" ht="13.2" x14ac:dyDescent="0.25">
      <c r="A621" s="7">
        <f>IF(Data!A621=Entry2!A621,Data!A621,"ERROR")</f>
        <v>13</v>
      </c>
      <c r="B621" s="7">
        <f>IF(Data!B621=Entry2!B621,Data!B621,"ERROR")</f>
        <v>2023</v>
      </c>
      <c r="C621" s="17">
        <f>IF(Data!C621=Entry2!C621,Data!C621,"ERROR")</f>
        <v>45197</v>
      </c>
      <c r="D621" s="7" t="str">
        <f>IF(Data!D621=Entry2!D621,Data!D621,"ERROR")</f>
        <v>MP, TL, MG</v>
      </c>
      <c r="E621" s="7" t="str">
        <f>IF(Data!E621=Entry2!E621,Data!E621,"ERROR")</f>
        <v>VB</v>
      </c>
      <c r="F621" s="7">
        <f>IF(Data!F621=Entry2!F621,Data!F621,"ERROR")</f>
        <v>3</v>
      </c>
      <c r="G621" s="7" t="str">
        <f>IF(Data!G621=Entry2!G621,Data!G621,"ERROR")</f>
        <v>SS</v>
      </c>
      <c r="H621" s="7">
        <f>IF(Data!H621=Entry2!H621,Data!H621,"ERROR")</f>
        <v>14</v>
      </c>
      <c r="I621" s="7">
        <f>IF(Data!I621=Entry2!I621,Data!I621,"ERROR")</f>
        <v>1</v>
      </c>
      <c r="J621" s="7">
        <f>IF(Data!J621=Entry2!J621,Data!J621,"ERROR")</f>
        <v>11</v>
      </c>
      <c r="K621" s="7" t="str">
        <f>IF(Data!K621=Entry2!K621,Data!K621,"ERROR")</f>
        <v>OPULIT</v>
      </c>
      <c r="L621" s="7" t="str">
        <f>IF(Data!L621=Entry2!L621,Data!L621,"ERROR")</f>
        <v>ERROR</v>
      </c>
      <c r="M621" s="7">
        <f>IF(Data!N621=Entry2!M621,Data!N621,"ERROR")</f>
        <v>0</v>
      </c>
    </row>
    <row r="622" spans="1:13" ht="13.2" x14ac:dyDescent="0.25">
      <c r="A622" s="7">
        <f>IF(Data!A622=Entry2!A622,Data!A622,"ERROR")</f>
        <v>13</v>
      </c>
      <c r="B622" s="7">
        <f>IF(Data!B622=Entry2!B622,Data!B622,"ERROR")</f>
        <v>2023</v>
      </c>
      <c r="C622" s="17">
        <f>IF(Data!C622=Entry2!C622,Data!C622,"ERROR")</f>
        <v>45197</v>
      </c>
      <c r="D622" s="7" t="str">
        <f>IF(Data!D622=Entry2!D622,Data!D622,"ERROR")</f>
        <v>MP, TL, MG</v>
      </c>
      <c r="E622" s="7" t="str">
        <f>IF(Data!E622=Entry2!E622,Data!E622,"ERROR")</f>
        <v>VB</v>
      </c>
      <c r="F622" s="7">
        <f>IF(Data!F622=Entry2!F622,Data!F622,"ERROR")</f>
        <v>3</v>
      </c>
      <c r="G622" s="7" t="str">
        <f>IF(Data!G622=Entry2!G622,Data!G622,"ERROR")</f>
        <v>SS</v>
      </c>
      <c r="H622" s="7">
        <f>IF(Data!H622=Entry2!H622,Data!H622,"ERROR")</f>
        <v>15</v>
      </c>
      <c r="I622" s="7">
        <f>IF(Data!I622=Entry2!I622,Data!I622,"ERROR")</f>
        <v>1</v>
      </c>
      <c r="J622" s="7">
        <f>IF(Data!J622=Entry2!J622,Data!J622,"ERROR")</f>
        <v>12</v>
      </c>
      <c r="K622" s="7" t="str">
        <f>IF(Data!K622=Entry2!K622,Data!K622,"ERROR")</f>
        <v>L</v>
      </c>
      <c r="L622" s="7" t="str">
        <f>IF(Data!L622=Entry2!L622,Data!L622,"ERROR")</f>
        <v>ERROR</v>
      </c>
      <c r="M622" s="7">
        <f>IF(Data!N622=Entry2!M622,Data!N622,"ERROR")</f>
        <v>0</v>
      </c>
    </row>
    <row r="623" spans="1:13" ht="13.2" x14ac:dyDescent="0.25">
      <c r="A623" s="7">
        <f>IF(Data!A623=Entry2!A623,Data!A623,"ERROR")</f>
        <v>13</v>
      </c>
      <c r="B623" s="7">
        <f>IF(Data!B623=Entry2!B623,Data!B623,"ERROR")</f>
        <v>2023</v>
      </c>
      <c r="C623" s="17">
        <f>IF(Data!C623=Entry2!C623,Data!C623,"ERROR")</f>
        <v>45197</v>
      </c>
      <c r="D623" s="7" t="str">
        <f>IF(Data!D623=Entry2!D623,Data!D623,"ERROR")</f>
        <v>MP, TL, MG</v>
      </c>
      <c r="E623" s="7" t="str">
        <f>IF(Data!E623=Entry2!E623,Data!E623,"ERROR")</f>
        <v>VB</v>
      </c>
      <c r="F623" s="7">
        <f>IF(Data!F623=Entry2!F623,Data!F623,"ERROR")</f>
        <v>3</v>
      </c>
      <c r="G623" s="7" t="str">
        <f>IF(Data!G623=Entry2!G623,Data!G623,"ERROR")</f>
        <v>SS</v>
      </c>
      <c r="H623" s="7">
        <f>IF(Data!H623=Entry2!H623,Data!H623,"ERROR")</f>
        <v>15</v>
      </c>
      <c r="I623" s="7">
        <f>IF(Data!I623=Entry2!I623,Data!I623,"ERROR")</f>
        <v>1</v>
      </c>
      <c r="J623" s="7">
        <f>IF(Data!J623=Entry2!J623,Data!J623,"ERROR")</f>
        <v>12</v>
      </c>
      <c r="K623" s="7" t="str">
        <f>IF(Data!K623=Entry2!K623,Data!K623,"ERROR")</f>
        <v>CENMEL</v>
      </c>
      <c r="L623" s="7" t="str">
        <f>IF(Data!L623=Entry2!L623,Data!L623,"ERROR")</f>
        <v>ERROR</v>
      </c>
      <c r="M623" s="7">
        <f>IF(Data!N623=Entry2!M623,Data!N623,"ERROR")</f>
        <v>0</v>
      </c>
    </row>
    <row r="624" spans="1:13" ht="13.2" x14ac:dyDescent="0.25">
      <c r="A624" s="7">
        <f>IF(Data!A624=Entry2!A624,Data!A624,"ERROR")</f>
        <v>13</v>
      </c>
      <c r="B624" s="7">
        <f>IF(Data!B624=Entry2!B624,Data!B624,"ERROR")</f>
        <v>2023</v>
      </c>
      <c r="C624" s="17">
        <f>IF(Data!C624=Entry2!C624,Data!C624,"ERROR")</f>
        <v>45197</v>
      </c>
      <c r="D624" s="7" t="str">
        <f>IF(Data!D624=Entry2!D624,Data!D624,"ERROR")</f>
        <v>MP, TL, MG</v>
      </c>
      <c r="E624" s="7" t="str">
        <f>IF(Data!E624=Entry2!E624,Data!E624,"ERROR")</f>
        <v>VB</v>
      </c>
      <c r="F624" s="7">
        <f>IF(Data!F624=Entry2!F624,Data!F624,"ERROR")</f>
        <v>3</v>
      </c>
      <c r="G624" s="7" t="str">
        <f>IF(Data!G624=Entry2!G624,Data!G624,"ERROR")</f>
        <v>SS</v>
      </c>
      <c r="H624" s="7">
        <f>IF(Data!H624=Entry2!H624,Data!H624,"ERROR")</f>
        <v>15</v>
      </c>
      <c r="I624" s="7">
        <f>IF(Data!I624=Entry2!I624,Data!I624,"ERROR")</f>
        <v>1</v>
      </c>
      <c r="J624" s="7">
        <f>IF(Data!J624=Entry2!J624,Data!J624,"ERROR")</f>
        <v>12</v>
      </c>
      <c r="K624" s="7" t="str">
        <f>IF(Data!K624=Entry2!K624,Data!K624,"ERROR")</f>
        <v>EROCIC</v>
      </c>
      <c r="L624" s="7" t="str">
        <f>IF(Data!L624=Entry2!L624,Data!L624,"ERROR")</f>
        <v>ERROR</v>
      </c>
      <c r="M624" s="7">
        <f>IF(Data!N624=Entry2!M624,Data!N624,"ERROR")</f>
        <v>0</v>
      </c>
    </row>
    <row r="625" spans="1:13" ht="13.2" x14ac:dyDescent="0.25">
      <c r="A625" s="7">
        <f>IF(Data!A625=Entry2!A625,Data!A625,"ERROR")</f>
        <v>13</v>
      </c>
      <c r="B625" s="7">
        <f>IF(Data!B625=Entry2!B625,Data!B625,"ERROR")</f>
        <v>2023</v>
      </c>
      <c r="C625" s="17">
        <f>IF(Data!C625=Entry2!C625,Data!C625,"ERROR")</f>
        <v>45197</v>
      </c>
      <c r="D625" s="7" t="str">
        <f>IF(Data!D625=Entry2!D625,Data!D625,"ERROR")</f>
        <v>MP, TL, MG</v>
      </c>
      <c r="E625" s="7" t="str">
        <f>IF(Data!E625=Entry2!E625,Data!E625,"ERROR")</f>
        <v>VB</v>
      </c>
      <c r="F625" s="7">
        <f>IF(Data!F625=Entry2!F625,Data!F625,"ERROR")</f>
        <v>3</v>
      </c>
      <c r="G625" s="7" t="str">
        <f>IF(Data!G625=Entry2!G625,Data!G625,"ERROR")</f>
        <v>SS</v>
      </c>
      <c r="H625" s="7">
        <f>IF(Data!H625=Entry2!H625,Data!H625,"ERROR")</f>
        <v>15</v>
      </c>
      <c r="I625" s="7">
        <f>IF(Data!I625=Entry2!I625,Data!I625,"ERROR")</f>
        <v>1</v>
      </c>
      <c r="J625" s="7">
        <f>IF(Data!J625=Entry2!J625,Data!J625,"ERROR")</f>
        <v>12</v>
      </c>
      <c r="K625" s="7" t="str">
        <f>IF(Data!K625=Entry2!K625,Data!K625,"ERROR")</f>
        <v>NNG</v>
      </c>
      <c r="L625" s="7" t="str">
        <f>IF(Data!L625=Entry2!L625,Data!L625,"ERROR")</f>
        <v>ERROR</v>
      </c>
      <c r="M625" s="7">
        <f>IF(Data!N625=Entry2!M625,Data!N625,"ERROR")</f>
        <v>0</v>
      </c>
    </row>
    <row r="626" spans="1:13" ht="13.2" x14ac:dyDescent="0.25">
      <c r="A626" s="7">
        <f>IF(Data!A626=Entry2!A626,Data!A626,"ERROR")</f>
        <v>13</v>
      </c>
      <c r="B626" s="7">
        <f>IF(Data!B626=Entry2!B626,Data!B626,"ERROR")</f>
        <v>2023</v>
      </c>
      <c r="C626" s="17">
        <f>IF(Data!C626=Entry2!C626,Data!C626,"ERROR")</f>
        <v>45197</v>
      </c>
      <c r="D626" s="7" t="str">
        <f>IF(Data!D626=Entry2!D626,Data!D626,"ERROR")</f>
        <v>MP, TL, MG</v>
      </c>
      <c r="E626" s="7" t="str">
        <f>IF(Data!E626=Entry2!E626,Data!E626,"ERROR")</f>
        <v>VB</v>
      </c>
      <c r="F626" s="7">
        <f>IF(Data!F626=Entry2!F626,Data!F626,"ERROR")</f>
        <v>3</v>
      </c>
      <c r="G626" s="7" t="str">
        <f>IF(Data!G626=Entry2!G626,Data!G626,"ERROR")</f>
        <v>SS</v>
      </c>
      <c r="H626" s="7">
        <f>IF(Data!H626=Entry2!H626,Data!H626,"ERROR")</f>
        <v>1</v>
      </c>
      <c r="I626" s="7">
        <f>IF(Data!I626=Entry2!I626,Data!I626,"ERROR")</f>
        <v>2</v>
      </c>
      <c r="J626" s="7">
        <f>IF(Data!J626=Entry2!J626,Data!J626,"ERROR")</f>
        <v>0</v>
      </c>
      <c r="K626" s="7" t="str">
        <f>IF(Data!K626=Entry2!K626,Data!K626,"ERROR")</f>
        <v>L</v>
      </c>
      <c r="L626" s="7" t="str">
        <f>IF(Data!L626=Entry2!L626,Data!L626,"ERROR")</f>
        <v>ERROR</v>
      </c>
      <c r="M626" s="7">
        <f>IF(Data!N626=Entry2!M626,Data!N626,"ERROR")</f>
        <v>0</v>
      </c>
    </row>
    <row r="627" spans="1:13" ht="13.2" x14ac:dyDescent="0.25">
      <c r="A627" s="7">
        <f>IF(Data!A627=Entry2!A627,Data!A627,"ERROR")</f>
        <v>13</v>
      </c>
      <c r="B627" s="7">
        <f>IF(Data!B627=Entry2!B627,Data!B627,"ERROR")</f>
        <v>2023</v>
      </c>
      <c r="C627" s="17">
        <f>IF(Data!C627=Entry2!C627,Data!C627,"ERROR")</f>
        <v>45197</v>
      </c>
      <c r="D627" s="7" t="str">
        <f>IF(Data!D627=Entry2!D627,Data!D627,"ERROR")</f>
        <v>MP, TL, MG</v>
      </c>
      <c r="E627" s="7" t="str">
        <f>IF(Data!E627=Entry2!E627,Data!E627,"ERROR")</f>
        <v>VB</v>
      </c>
      <c r="F627" s="7">
        <f>IF(Data!F627=Entry2!F627,Data!F627,"ERROR")</f>
        <v>3</v>
      </c>
      <c r="G627" s="7" t="str">
        <f>IF(Data!G627=Entry2!G627,Data!G627,"ERROR")</f>
        <v>SS</v>
      </c>
      <c r="H627" s="7">
        <f>IF(Data!H627=Entry2!H627,Data!H627,"ERROR")</f>
        <v>2</v>
      </c>
      <c r="I627" s="7">
        <f>IF(Data!I627=Entry2!I627,Data!I627,"ERROR")</f>
        <v>2</v>
      </c>
      <c r="J627" s="7">
        <f>IF(Data!J627=Entry2!J627,Data!J627,"ERROR")</f>
        <v>1</v>
      </c>
      <c r="K627" s="7" t="str">
        <f>IF(Data!K627=Entry2!K627,Data!K627,"ERROR")</f>
        <v>L</v>
      </c>
      <c r="L627" s="7" t="str">
        <f>IF(Data!L627=Entry2!L627,Data!L627,"ERROR")</f>
        <v>ERROR</v>
      </c>
      <c r="M627" s="7">
        <f>IF(Data!N627=Entry2!M627,Data!N627,"ERROR")</f>
        <v>0</v>
      </c>
    </row>
    <row r="628" spans="1:13" ht="13.2" x14ac:dyDescent="0.25">
      <c r="A628" s="7">
        <f>IF(Data!A628=Entry2!A628,Data!A628,"ERROR")</f>
        <v>13</v>
      </c>
      <c r="B628" s="7">
        <f>IF(Data!B628=Entry2!B628,Data!B628,"ERROR")</f>
        <v>2023</v>
      </c>
      <c r="C628" s="17">
        <f>IF(Data!C628=Entry2!C628,Data!C628,"ERROR")</f>
        <v>45197</v>
      </c>
      <c r="D628" s="7" t="str">
        <f>IF(Data!D628=Entry2!D628,Data!D628,"ERROR")</f>
        <v>MP, TL, MG</v>
      </c>
      <c r="E628" s="7" t="str">
        <f>IF(Data!E628=Entry2!E628,Data!E628,"ERROR")</f>
        <v>VB</v>
      </c>
      <c r="F628" s="7">
        <f>IF(Data!F628=Entry2!F628,Data!F628,"ERROR")</f>
        <v>3</v>
      </c>
      <c r="G628" s="7" t="str">
        <f>IF(Data!G628=Entry2!G628,Data!G628,"ERROR")</f>
        <v>SS</v>
      </c>
      <c r="H628" s="7">
        <f>IF(Data!H628=Entry2!H628,Data!H628,"ERROR")</f>
        <v>3</v>
      </c>
      <c r="I628" s="7">
        <f>IF(Data!I628=Entry2!I628,Data!I628,"ERROR")</f>
        <v>2</v>
      </c>
      <c r="J628" s="7">
        <f>IF(Data!J628=Entry2!J628,Data!J628,"ERROR")</f>
        <v>1.5</v>
      </c>
      <c r="K628" s="7" t="str">
        <f>IF(Data!K628=Entry2!K628,Data!K628,"ERROR")</f>
        <v>L</v>
      </c>
      <c r="L628" s="7" t="str">
        <f>IF(Data!L628=Entry2!L628,Data!L628,"ERROR")</f>
        <v>ERROR</v>
      </c>
      <c r="M628" s="7">
        <f>IF(Data!N628=Entry2!M628,Data!N628,"ERROR")</f>
        <v>0</v>
      </c>
    </row>
    <row r="629" spans="1:13" ht="13.2" x14ac:dyDescent="0.25">
      <c r="A629" s="7">
        <f>IF(Data!A629=Entry2!A629,Data!A629,"ERROR")</f>
        <v>13</v>
      </c>
      <c r="B629" s="7">
        <f>IF(Data!B629=Entry2!B629,Data!B629,"ERROR")</f>
        <v>2023</v>
      </c>
      <c r="C629" s="17">
        <f>IF(Data!C629=Entry2!C629,Data!C629,"ERROR")</f>
        <v>45197</v>
      </c>
      <c r="D629" s="7" t="str">
        <f>IF(Data!D629=Entry2!D629,Data!D629,"ERROR")</f>
        <v>MP, TL, MG</v>
      </c>
      <c r="E629" s="7" t="str">
        <f>IF(Data!E629=Entry2!E629,Data!E629,"ERROR")</f>
        <v>VB</v>
      </c>
      <c r="F629" s="7">
        <f>IF(Data!F629=Entry2!F629,Data!F629,"ERROR")</f>
        <v>3</v>
      </c>
      <c r="G629" s="7" t="str">
        <f>IF(Data!G629=Entry2!G629,Data!G629,"ERROR")</f>
        <v>SS</v>
      </c>
      <c r="H629" s="7">
        <f>IF(Data!H629=Entry2!H629,Data!H629,"ERROR")</f>
        <v>3</v>
      </c>
      <c r="I629" s="7">
        <f>IF(Data!I629=Entry2!I629,Data!I629,"ERROR")</f>
        <v>2</v>
      </c>
      <c r="J629" s="7">
        <f>IF(Data!J629=Entry2!J629,Data!J629,"ERROR")</f>
        <v>1.5</v>
      </c>
      <c r="K629" s="7" t="str">
        <f>IF(Data!K629=Entry2!K629,Data!K629,"ERROR")</f>
        <v>NNG</v>
      </c>
      <c r="L629" s="7" t="str">
        <f>IF(Data!L629=Entry2!L629,Data!L629,"ERROR")</f>
        <v>ERROR</v>
      </c>
      <c r="M629" s="7">
        <f>IF(Data!N629=Entry2!M629,Data!N629,"ERROR")</f>
        <v>0</v>
      </c>
    </row>
    <row r="630" spans="1:13" ht="13.2" x14ac:dyDescent="0.25">
      <c r="A630" s="7">
        <f>IF(Data!A630=Entry2!A630,Data!A630,"ERROR")</f>
        <v>13</v>
      </c>
      <c r="B630" s="7">
        <f>IF(Data!B630=Entry2!B630,Data!B630,"ERROR")</f>
        <v>2023</v>
      </c>
      <c r="C630" s="17">
        <f>IF(Data!C630=Entry2!C630,Data!C630,"ERROR")</f>
        <v>45197</v>
      </c>
      <c r="D630" s="7" t="str">
        <f>IF(Data!D630=Entry2!D630,Data!D630,"ERROR")</f>
        <v>MP, TL, MG</v>
      </c>
      <c r="E630" s="7" t="str">
        <f>IF(Data!E630=Entry2!E630,Data!E630,"ERROR")</f>
        <v>VB</v>
      </c>
      <c r="F630" s="7">
        <f>IF(Data!F630=Entry2!F630,Data!F630,"ERROR")</f>
        <v>3</v>
      </c>
      <c r="G630" s="7" t="str">
        <f>IF(Data!G630=Entry2!G630,Data!G630,"ERROR")</f>
        <v>SS</v>
      </c>
      <c r="H630" s="7">
        <f>IF(Data!H630=Entry2!H630,Data!H630,"ERROR")</f>
        <v>4</v>
      </c>
      <c r="I630" s="7">
        <f>IF(Data!I630=Entry2!I630,Data!I630,"ERROR")</f>
        <v>2</v>
      </c>
      <c r="J630" s="7">
        <f>IF(Data!J630=Entry2!J630,Data!J630,"ERROR")</f>
        <v>2</v>
      </c>
      <c r="K630" s="7" t="str">
        <f>IF(Data!K630=Entry2!K630,Data!K630,"ERROR")</f>
        <v>R</v>
      </c>
      <c r="L630" s="7" t="str">
        <f>IF(Data!L630=Entry2!L630,Data!L630,"ERROR")</f>
        <v>ERROR</v>
      </c>
      <c r="M630" s="7">
        <f>IF(Data!N630=Entry2!M630,Data!N630,"ERROR")</f>
        <v>0</v>
      </c>
    </row>
    <row r="631" spans="1:13" ht="13.2" x14ac:dyDescent="0.25">
      <c r="A631" s="7">
        <f>IF(Data!A631=Entry2!A631,Data!A631,"ERROR")</f>
        <v>13</v>
      </c>
      <c r="B631" s="7">
        <f>IF(Data!B631=Entry2!B631,Data!B631,"ERROR")</f>
        <v>2023</v>
      </c>
      <c r="C631" s="17">
        <f>IF(Data!C631=Entry2!C631,Data!C631,"ERROR")</f>
        <v>45197</v>
      </c>
      <c r="D631" s="7" t="str">
        <f>IF(Data!D631=Entry2!D631,Data!D631,"ERROR")</f>
        <v>MP, TL, MG</v>
      </c>
      <c r="E631" s="7" t="str">
        <f>IF(Data!E631=Entry2!E631,Data!E631,"ERROR")</f>
        <v>VB</v>
      </c>
      <c r="F631" s="7">
        <f>IF(Data!F631=Entry2!F631,Data!F631,"ERROR")</f>
        <v>3</v>
      </c>
      <c r="G631" s="7" t="str">
        <f>IF(Data!G631=Entry2!G631,Data!G631,"ERROR")</f>
        <v>SS</v>
      </c>
      <c r="H631" s="7">
        <f>IF(Data!H631=Entry2!H631,Data!H631,"ERROR")</f>
        <v>4</v>
      </c>
      <c r="I631" s="7">
        <f>IF(Data!I631=Entry2!I631,Data!I631,"ERROR")</f>
        <v>2</v>
      </c>
      <c r="J631" s="7">
        <f>IF(Data!J631=Entry2!J631,Data!J631,"ERROR")</f>
        <v>2</v>
      </c>
      <c r="K631" s="7" t="str">
        <f>IF(Data!K631=Entry2!K631,Data!K631,"ERROR")</f>
        <v>CENMEL</v>
      </c>
      <c r="L631" s="7" t="str">
        <f>IF(Data!L631=Entry2!L631,Data!L631,"ERROR")</f>
        <v>ERROR</v>
      </c>
      <c r="M631" s="7">
        <f>IF(Data!N631=Entry2!M631,Data!N631,"ERROR")</f>
        <v>0</v>
      </c>
    </row>
    <row r="632" spans="1:13" ht="13.2" x14ac:dyDescent="0.25">
      <c r="A632" s="7">
        <f>IF(Data!A632=Entry2!A632,Data!A632,"ERROR")</f>
        <v>13</v>
      </c>
      <c r="B632" s="7">
        <f>IF(Data!B632=Entry2!B632,Data!B632,"ERROR")</f>
        <v>2023</v>
      </c>
      <c r="C632" s="17">
        <f>IF(Data!C632=Entry2!C632,Data!C632,"ERROR")</f>
        <v>45197</v>
      </c>
      <c r="D632" s="7" t="str">
        <f>IF(Data!D632=Entry2!D632,Data!D632,"ERROR")</f>
        <v>MP, TL, MG</v>
      </c>
      <c r="E632" s="7" t="str">
        <f>IF(Data!E632=Entry2!E632,Data!E632,"ERROR")</f>
        <v>VB</v>
      </c>
      <c r="F632" s="7">
        <f>IF(Data!F632=Entry2!F632,Data!F632,"ERROR")</f>
        <v>3</v>
      </c>
      <c r="G632" s="7" t="str">
        <f>IF(Data!G632=Entry2!G632,Data!G632,"ERROR")</f>
        <v>SS</v>
      </c>
      <c r="H632" s="7">
        <f>IF(Data!H632=Entry2!H632,Data!H632,"ERROR")</f>
        <v>5</v>
      </c>
      <c r="I632" s="7">
        <f>IF(Data!I632=Entry2!I632,Data!I632,"ERROR")</f>
        <v>2</v>
      </c>
      <c r="J632" s="7">
        <f>IF(Data!J632=Entry2!J632,Data!J632,"ERROR")</f>
        <v>3</v>
      </c>
      <c r="K632" s="7" t="str">
        <f>IF(Data!K632=Entry2!K632,Data!K632,"ERROR")</f>
        <v>B</v>
      </c>
      <c r="L632" s="7" t="str">
        <f>IF(Data!L632=Entry2!L632,Data!L632,"ERROR")</f>
        <v>ERROR</v>
      </c>
      <c r="M632" s="7">
        <f>IF(Data!N632=Entry2!M632,Data!N632,"ERROR")</f>
        <v>0</v>
      </c>
    </row>
    <row r="633" spans="1:13" ht="13.2" x14ac:dyDescent="0.25">
      <c r="A633" s="7">
        <f>IF(Data!A633=Entry2!A633,Data!A633,"ERROR")</f>
        <v>13</v>
      </c>
      <c r="B633" s="7">
        <f>IF(Data!B633=Entry2!B633,Data!B633,"ERROR")</f>
        <v>2023</v>
      </c>
      <c r="C633" s="17">
        <f>IF(Data!C633=Entry2!C633,Data!C633,"ERROR")</f>
        <v>45197</v>
      </c>
      <c r="D633" s="7" t="str">
        <f>IF(Data!D633=Entry2!D633,Data!D633,"ERROR")</f>
        <v>MP, TL, MG</v>
      </c>
      <c r="E633" s="7" t="str">
        <f>IF(Data!E633=Entry2!E633,Data!E633,"ERROR")</f>
        <v>VB</v>
      </c>
      <c r="F633" s="7">
        <f>IF(Data!F633=Entry2!F633,Data!F633,"ERROR")</f>
        <v>3</v>
      </c>
      <c r="G633" s="7" t="str">
        <f>IF(Data!G633=Entry2!G633,Data!G633,"ERROR")</f>
        <v>SS</v>
      </c>
      <c r="H633" s="7">
        <f>IF(Data!H633=Entry2!H633,Data!H633,"ERROR")</f>
        <v>6</v>
      </c>
      <c r="I633" s="7">
        <f>IF(Data!I633=Entry2!I633,Data!I633,"ERROR")</f>
        <v>2</v>
      </c>
      <c r="J633" s="7">
        <f>IF(Data!J633=Entry2!J633,Data!J633,"ERROR")</f>
        <v>3.5</v>
      </c>
      <c r="K633" s="7" t="str">
        <f>IF(Data!K633=Entry2!K633,Data!K633,"ERROR")</f>
        <v>L</v>
      </c>
      <c r="L633" s="7" t="str">
        <f>IF(Data!L633=Entry2!L633,Data!L633,"ERROR")</f>
        <v>ERROR</v>
      </c>
      <c r="M633" s="7">
        <f>IF(Data!N633=Entry2!M633,Data!N633,"ERROR")</f>
        <v>0</v>
      </c>
    </row>
    <row r="634" spans="1:13" ht="13.2" x14ac:dyDescent="0.25">
      <c r="A634" s="7">
        <f>IF(Data!A634=Entry2!A634,Data!A634,"ERROR")</f>
        <v>13</v>
      </c>
      <c r="B634" s="7">
        <f>IF(Data!B634=Entry2!B634,Data!B634,"ERROR")</f>
        <v>2023</v>
      </c>
      <c r="C634" s="17">
        <f>IF(Data!C634=Entry2!C634,Data!C634,"ERROR")</f>
        <v>45197</v>
      </c>
      <c r="D634" s="7" t="str">
        <f>IF(Data!D634=Entry2!D634,Data!D634,"ERROR")</f>
        <v>MP, TL, MG</v>
      </c>
      <c r="E634" s="7" t="str">
        <f>IF(Data!E634=Entry2!E634,Data!E634,"ERROR")</f>
        <v>VB</v>
      </c>
      <c r="F634" s="7">
        <f>IF(Data!F634=Entry2!F634,Data!F634,"ERROR")</f>
        <v>3</v>
      </c>
      <c r="G634" s="7" t="str">
        <f>IF(Data!G634=Entry2!G634,Data!G634,"ERROR")</f>
        <v>SS</v>
      </c>
      <c r="H634" s="7">
        <f>IF(Data!H634=Entry2!H634,Data!H634,"ERROR")</f>
        <v>7</v>
      </c>
      <c r="I634" s="7">
        <f>IF(Data!I634=Entry2!I634,Data!I634,"ERROR")</f>
        <v>2</v>
      </c>
      <c r="J634" s="7">
        <f>IF(Data!J634=Entry2!J634,Data!J634,"ERROR")</f>
        <v>4</v>
      </c>
      <c r="K634" s="7" t="str">
        <f>IF(Data!K634=Entry2!K634,Data!K634,"ERROR")</f>
        <v>B</v>
      </c>
      <c r="L634" s="7" t="str">
        <f>IF(Data!L634=Entry2!L634,Data!L634,"ERROR")</f>
        <v>ERROR</v>
      </c>
      <c r="M634" s="7">
        <f>IF(Data!N634=Entry2!M634,Data!N634,"ERROR")</f>
        <v>0</v>
      </c>
    </row>
    <row r="635" spans="1:13" ht="13.2" x14ac:dyDescent="0.25">
      <c r="A635" s="7">
        <f>IF(Data!A635=Entry2!A635,Data!A635,"ERROR")</f>
        <v>13</v>
      </c>
      <c r="B635" s="7">
        <f>IF(Data!B635=Entry2!B635,Data!B635,"ERROR")</f>
        <v>2023</v>
      </c>
      <c r="C635" s="17">
        <f>IF(Data!C635=Entry2!C635,Data!C635,"ERROR")</f>
        <v>45197</v>
      </c>
      <c r="D635" s="7" t="str">
        <f>IF(Data!D635=Entry2!D635,Data!D635,"ERROR")</f>
        <v>MP, TL, MG</v>
      </c>
      <c r="E635" s="7" t="str">
        <f>IF(Data!E635=Entry2!E635,Data!E635,"ERROR")</f>
        <v>VB</v>
      </c>
      <c r="F635" s="7">
        <f>IF(Data!F635=Entry2!F635,Data!F635,"ERROR")</f>
        <v>3</v>
      </c>
      <c r="G635" s="7" t="str">
        <f>IF(Data!G635=Entry2!G635,Data!G635,"ERROR")</f>
        <v>SS</v>
      </c>
      <c r="H635" s="7">
        <f>IF(Data!H635=Entry2!H635,Data!H635,"ERROR")</f>
        <v>8</v>
      </c>
      <c r="I635" s="7">
        <f>IF(Data!I635=Entry2!I635,Data!I635,"ERROR")</f>
        <v>2</v>
      </c>
      <c r="J635" s="7">
        <f>IF(Data!J635=Entry2!J635,Data!J635,"ERROR")</f>
        <v>5</v>
      </c>
      <c r="K635" s="7" t="str">
        <f>IF(Data!K635=Entry2!K635,Data!K635,"ERROR")</f>
        <v>B</v>
      </c>
      <c r="L635" s="7" t="str">
        <f>IF(Data!L635=Entry2!L635,Data!L635,"ERROR")</f>
        <v>ERROR</v>
      </c>
      <c r="M635" s="7">
        <f>IF(Data!N635=Entry2!M635,Data!N635,"ERROR")</f>
        <v>0</v>
      </c>
    </row>
    <row r="636" spans="1:13" ht="13.2" x14ac:dyDescent="0.25">
      <c r="A636" s="7">
        <f>IF(Data!A636=Entry2!A636,Data!A636,"ERROR")</f>
        <v>13</v>
      </c>
      <c r="B636" s="7">
        <f>IF(Data!B636=Entry2!B636,Data!B636,"ERROR")</f>
        <v>2023</v>
      </c>
      <c r="C636" s="17">
        <f>IF(Data!C636=Entry2!C636,Data!C636,"ERROR")</f>
        <v>45197</v>
      </c>
      <c r="D636" s="7" t="str">
        <f>IF(Data!D636=Entry2!D636,Data!D636,"ERROR")</f>
        <v>MP, TL, MG</v>
      </c>
      <c r="E636" s="7" t="str">
        <f>IF(Data!E636=Entry2!E636,Data!E636,"ERROR")</f>
        <v>VB</v>
      </c>
      <c r="F636" s="7">
        <f>IF(Data!F636=Entry2!F636,Data!F636,"ERROR")</f>
        <v>3</v>
      </c>
      <c r="G636" s="7" t="str">
        <f>IF(Data!G636=Entry2!G636,Data!G636,"ERROR")</f>
        <v>SS</v>
      </c>
      <c r="H636" s="7">
        <f>IF(Data!H636=Entry2!H636,Data!H636,"ERROR")</f>
        <v>9</v>
      </c>
      <c r="I636" s="7">
        <f>IF(Data!I636=Entry2!I636,Data!I636,"ERROR")</f>
        <v>2</v>
      </c>
      <c r="J636" s="7">
        <f>IF(Data!J636=Entry2!J636,Data!J636,"ERROR")</f>
        <v>7</v>
      </c>
      <c r="K636" s="7" t="str">
        <f>IF(Data!K636=Entry2!K636,Data!K636,"ERROR")</f>
        <v>L</v>
      </c>
      <c r="L636" s="7" t="str">
        <f>IF(Data!L636=Entry2!L636,Data!L636,"ERROR")</f>
        <v>ERROR</v>
      </c>
      <c r="M636" s="7">
        <f>IF(Data!N636=Entry2!M636,Data!N636,"ERROR")</f>
        <v>0</v>
      </c>
    </row>
    <row r="637" spans="1:13" ht="13.2" x14ac:dyDescent="0.25">
      <c r="A637" s="7">
        <f>IF(Data!A637=Entry2!A637,Data!A637,"ERROR")</f>
        <v>13</v>
      </c>
      <c r="B637" s="7">
        <f>IF(Data!B637=Entry2!B637,Data!B637,"ERROR")</f>
        <v>2023</v>
      </c>
      <c r="C637" s="17">
        <f>IF(Data!C637=Entry2!C637,Data!C637,"ERROR")</f>
        <v>45197</v>
      </c>
      <c r="D637" s="7" t="str">
        <f>IF(Data!D637=Entry2!D637,Data!D637,"ERROR")</f>
        <v>MP, TL, MG</v>
      </c>
      <c r="E637" s="7" t="str">
        <f>IF(Data!E637=Entry2!E637,Data!E637,"ERROR")</f>
        <v>VB</v>
      </c>
      <c r="F637" s="7">
        <f>IF(Data!F637=Entry2!F637,Data!F637,"ERROR")</f>
        <v>3</v>
      </c>
      <c r="G637" s="7" t="str">
        <f>IF(Data!G637=Entry2!G637,Data!G637,"ERROR")</f>
        <v>SS</v>
      </c>
      <c r="H637" s="7">
        <f>IF(Data!H637=Entry2!H637,Data!H637,"ERROR")</f>
        <v>10</v>
      </c>
      <c r="I637" s="7">
        <f>IF(Data!I637=Entry2!I637,Data!I637,"ERROR")</f>
        <v>2</v>
      </c>
      <c r="J637" s="7">
        <f>IF(Data!J637=Entry2!J637,Data!J637,"ERROR")</f>
        <v>8</v>
      </c>
      <c r="K637" s="7" t="str">
        <f>IF(Data!K637=Entry2!K637,Data!K637,"ERROR")</f>
        <v>S</v>
      </c>
      <c r="L637" s="7" t="str">
        <f>IF(Data!L637=Entry2!L637,Data!L637,"ERROR")</f>
        <v>ERROR</v>
      </c>
      <c r="M637" s="7">
        <f>IF(Data!N637=Entry2!M637,Data!N637,"ERROR")</f>
        <v>0</v>
      </c>
    </row>
    <row r="638" spans="1:13" ht="13.2" x14ac:dyDescent="0.25">
      <c r="A638" s="7">
        <f>IF(Data!A638=Entry2!A638,Data!A638,"ERROR")</f>
        <v>13</v>
      </c>
      <c r="B638" s="7">
        <f>IF(Data!B638=Entry2!B638,Data!B638,"ERROR")</f>
        <v>2023</v>
      </c>
      <c r="C638" s="17">
        <f>IF(Data!C638=Entry2!C638,Data!C638,"ERROR")</f>
        <v>45197</v>
      </c>
      <c r="D638" s="7" t="str">
        <f>IF(Data!D638=Entry2!D638,Data!D638,"ERROR")</f>
        <v>MP, TL, MG</v>
      </c>
      <c r="E638" s="7" t="str">
        <f>IF(Data!E638=Entry2!E638,Data!E638,"ERROR")</f>
        <v>VB</v>
      </c>
      <c r="F638" s="7">
        <f>IF(Data!F638=Entry2!F638,Data!F638,"ERROR")</f>
        <v>3</v>
      </c>
      <c r="G638" s="7" t="str">
        <f>IF(Data!G638=Entry2!G638,Data!G638,"ERROR")</f>
        <v>SS</v>
      </c>
      <c r="H638" s="7">
        <f>IF(Data!H638=Entry2!H638,Data!H638,"ERROR")</f>
        <v>10</v>
      </c>
      <c r="I638" s="7">
        <f>IF(Data!I638=Entry2!I638,Data!I638,"ERROR")</f>
        <v>2</v>
      </c>
      <c r="J638" s="7">
        <f>IF(Data!J638=Entry2!J638,Data!J638,"ERROR")</f>
        <v>8</v>
      </c>
      <c r="K638" s="7" t="str">
        <f>IF(Data!K638=Entry2!K638,Data!K638,"ERROR")</f>
        <v>EROCIC</v>
      </c>
      <c r="L638" s="7" t="str">
        <f>IF(Data!L638=Entry2!L638,Data!L638,"ERROR")</f>
        <v>ERROR</v>
      </c>
      <c r="M638" s="7">
        <f>IF(Data!N638=Entry2!M638,Data!N638,"ERROR")</f>
        <v>0</v>
      </c>
    </row>
    <row r="639" spans="1:13" ht="13.2" x14ac:dyDescent="0.25">
      <c r="A639" s="7">
        <f>IF(Data!A639=Entry2!A639,Data!A639,"ERROR")</f>
        <v>13</v>
      </c>
      <c r="B639" s="7">
        <f>IF(Data!B639=Entry2!B639,Data!B639,"ERROR")</f>
        <v>2023</v>
      </c>
      <c r="C639" s="17">
        <f>IF(Data!C639=Entry2!C639,Data!C639,"ERROR")</f>
        <v>45197</v>
      </c>
      <c r="D639" s="7" t="str">
        <f>IF(Data!D639=Entry2!D639,Data!D639,"ERROR")</f>
        <v>MP, TL, MG</v>
      </c>
      <c r="E639" s="7" t="str">
        <f>IF(Data!E639=Entry2!E639,Data!E639,"ERROR")</f>
        <v>VB</v>
      </c>
      <c r="F639" s="7">
        <f>IF(Data!F639=Entry2!F639,Data!F639,"ERROR")</f>
        <v>3</v>
      </c>
      <c r="G639" s="7" t="str">
        <f>IF(Data!G639=Entry2!G639,Data!G639,"ERROR")</f>
        <v>SS</v>
      </c>
      <c r="H639" s="7">
        <f>IF(Data!H639=Entry2!H639,Data!H639,"ERROR")</f>
        <v>11</v>
      </c>
      <c r="I639" s="7">
        <f>IF(Data!I639=Entry2!I639,Data!I639,"ERROR")</f>
        <v>2</v>
      </c>
      <c r="J639" s="7">
        <f>IF(Data!J639=Entry2!J639,Data!J639,"ERROR")</f>
        <v>8.5</v>
      </c>
      <c r="K639" s="7" t="str">
        <f>IF(Data!K639=Entry2!K639,Data!K639,"ERROR")</f>
        <v>B</v>
      </c>
      <c r="L639" s="7" t="str">
        <f>IF(Data!L639=Entry2!L639,Data!L639,"ERROR")</f>
        <v>ERROR</v>
      </c>
      <c r="M639" s="7">
        <f>IF(Data!N639=Entry2!M639,Data!N639,"ERROR")</f>
        <v>0</v>
      </c>
    </row>
    <row r="640" spans="1:13" ht="13.2" x14ac:dyDescent="0.25">
      <c r="A640" s="7">
        <f>IF(Data!A640=Entry2!A640,Data!A640,"ERROR")</f>
        <v>13</v>
      </c>
      <c r="B640" s="7">
        <f>IF(Data!B640=Entry2!B640,Data!B640,"ERROR")</f>
        <v>2023</v>
      </c>
      <c r="C640" s="17">
        <f>IF(Data!C640=Entry2!C640,Data!C640,"ERROR")</f>
        <v>45197</v>
      </c>
      <c r="D640" s="7" t="str">
        <f>IF(Data!D640=Entry2!D640,Data!D640,"ERROR")</f>
        <v>MP, TL, MG</v>
      </c>
      <c r="E640" s="7" t="str">
        <f>IF(Data!E640=Entry2!E640,Data!E640,"ERROR")</f>
        <v>VB</v>
      </c>
      <c r="F640" s="7">
        <f>IF(Data!F640=Entry2!F640,Data!F640,"ERROR")</f>
        <v>3</v>
      </c>
      <c r="G640" s="7" t="str">
        <f>IF(Data!G640=Entry2!G640,Data!G640,"ERROR")</f>
        <v>SS</v>
      </c>
      <c r="H640" s="7">
        <f>IF(Data!H640=Entry2!H640,Data!H640,"ERROR")</f>
        <v>12</v>
      </c>
      <c r="I640" s="7">
        <f>IF(Data!I640=Entry2!I640,Data!I640,"ERROR")</f>
        <v>2</v>
      </c>
      <c r="J640" s="7">
        <f>IF(Data!J640=Entry2!J640,Data!J640,"ERROR")</f>
        <v>9</v>
      </c>
      <c r="K640" s="7" t="str">
        <f>IF(Data!K640=Entry2!K640,Data!K640,"ERROR")</f>
        <v>B</v>
      </c>
      <c r="L640" s="7" t="str">
        <f>IF(Data!L640=Entry2!L640,Data!L640,"ERROR")</f>
        <v>ERROR</v>
      </c>
      <c r="M640" s="7">
        <f>IF(Data!N640=Entry2!M640,Data!N640,"ERROR")</f>
        <v>0</v>
      </c>
    </row>
    <row r="641" spans="1:13" ht="13.2" x14ac:dyDescent="0.25">
      <c r="A641" s="7">
        <f>IF(Data!A641=Entry2!A641,Data!A641,"ERROR")</f>
        <v>13</v>
      </c>
      <c r="B641" s="7">
        <f>IF(Data!B641=Entry2!B641,Data!B641,"ERROR")</f>
        <v>2023</v>
      </c>
      <c r="C641" s="17">
        <f>IF(Data!C641=Entry2!C641,Data!C641,"ERROR")</f>
        <v>45197</v>
      </c>
      <c r="D641" s="7" t="str">
        <f>IF(Data!D641=Entry2!D641,Data!D641,"ERROR")</f>
        <v>MP, TL, MG</v>
      </c>
      <c r="E641" s="7" t="str">
        <f>IF(Data!E641=Entry2!E641,Data!E641,"ERROR")</f>
        <v>VB</v>
      </c>
      <c r="F641" s="7">
        <f>IF(Data!F641=Entry2!F641,Data!F641,"ERROR")</f>
        <v>3</v>
      </c>
      <c r="G641" s="7" t="str">
        <f>IF(Data!G641=Entry2!G641,Data!G641,"ERROR")</f>
        <v>SS</v>
      </c>
      <c r="H641" s="7">
        <f>IF(Data!H641=Entry2!H641,Data!H641,"ERROR")</f>
        <v>13</v>
      </c>
      <c r="I641" s="7">
        <f>IF(Data!I641=Entry2!I641,Data!I641,"ERROR")</f>
        <v>2</v>
      </c>
      <c r="J641" s="7">
        <f>IF(Data!J641=Entry2!J641,Data!J641,"ERROR")</f>
        <v>10</v>
      </c>
      <c r="K641" s="7" t="str">
        <f>IF(Data!K641=Entry2!K641,Data!K641,"ERROR")</f>
        <v>L</v>
      </c>
      <c r="L641" s="7" t="str">
        <f>IF(Data!L641=Entry2!L641,Data!L641,"ERROR")</f>
        <v>ERROR</v>
      </c>
      <c r="M641" s="7">
        <f>IF(Data!N641=Entry2!M641,Data!N641,"ERROR")</f>
        <v>0</v>
      </c>
    </row>
    <row r="642" spans="1:13" ht="13.2" x14ac:dyDescent="0.25">
      <c r="A642" s="7">
        <f>IF(Data!A642=Entry2!A642,Data!A642,"ERROR")</f>
        <v>13</v>
      </c>
      <c r="B642" s="7">
        <f>IF(Data!B642=Entry2!B642,Data!B642,"ERROR")</f>
        <v>2023</v>
      </c>
      <c r="C642" s="17">
        <f>IF(Data!C642=Entry2!C642,Data!C642,"ERROR")</f>
        <v>45197</v>
      </c>
      <c r="D642" s="7" t="str">
        <f>IF(Data!D642=Entry2!D642,Data!D642,"ERROR")</f>
        <v>MP, TL, MG</v>
      </c>
      <c r="E642" s="7" t="str">
        <f>IF(Data!E642=Entry2!E642,Data!E642,"ERROR")</f>
        <v>VB</v>
      </c>
      <c r="F642" s="7">
        <f>IF(Data!F642=Entry2!F642,Data!F642,"ERROR")</f>
        <v>3</v>
      </c>
      <c r="G642" s="7" t="str">
        <f>IF(Data!G642=Entry2!G642,Data!G642,"ERROR")</f>
        <v>SS</v>
      </c>
      <c r="H642" s="7">
        <f>IF(Data!H642=Entry2!H642,Data!H642,"ERROR")</f>
        <v>14</v>
      </c>
      <c r="I642" s="7">
        <f>IF(Data!I642=Entry2!I642,Data!I642,"ERROR")</f>
        <v>2</v>
      </c>
      <c r="J642" s="7">
        <f>IF(Data!J642=Entry2!J642,Data!J642,"ERROR")</f>
        <v>11</v>
      </c>
      <c r="K642" s="7" t="str">
        <f>IF(Data!K642=Entry2!K642,Data!K642,"ERROR")</f>
        <v>L</v>
      </c>
      <c r="L642" s="7" t="str">
        <f>IF(Data!L642=Entry2!L642,Data!L642,"ERROR")</f>
        <v>ERROR</v>
      </c>
      <c r="M642" s="7">
        <f>IF(Data!N642=Entry2!M642,Data!N642,"ERROR")</f>
        <v>0</v>
      </c>
    </row>
    <row r="643" spans="1:13" ht="13.2" x14ac:dyDescent="0.25">
      <c r="A643" s="7">
        <f>IF(Data!A643=Entry2!A643,Data!A643,"ERROR")</f>
        <v>13</v>
      </c>
      <c r="B643" s="7">
        <f>IF(Data!B643=Entry2!B643,Data!B643,"ERROR")</f>
        <v>2023</v>
      </c>
      <c r="C643" s="17">
        <f>IF(Data!C643=Entry2!C643,Data!C643,"ERROR")</f>
        <v>45197</v>
      </c>
      <c r="D643" s="7" t="str">
        <f>IF(Data!D643=Entry2!D643,Data!D643,"ERROR")</f>
        <v>MP, TL, MG</v>
      </c>
      <c r="E643" s="7" t="str">
        <f>IF(Data!E643=Entry2!E643,Data!E643,"ERROR")</f>
        <v>VB</v>
      </c>
      <c r="F643" s="7">
        <f>IF(Data!F643=Entry2!F643,Data!F643,"ERROR")</f>
        <v>3</v>
      </c>
      <c r="G643" s="7" t="str">
        <f>IF(Data!G643=Entry2!G643,Data!G643,"ERROR")</f>
        <v>SS</v>
      </c>
      <c r="H643" s="7">
        <f>IF(Data!H643=Entry2!H643,Data!H643,"ERROR")</f>
        <v>15</v>
      </c>
      <c r="I643" s="7">
        <f>IF(Data!I643=Entry2!I643,Data!I643,"ERROR")</f>
        <v>2</v>
      </c>
      <c r="J643" s="7">
        <f>IF(Data!J643=Entry2!J643,Data!J643,"ERROR")</f>
        <v>12</v>
      </c>
      <c r="K643" s="7" t="str">
        <f>IF(Data!K643=Entry2!K643,Data!K643,"ERROR")</f>
        <v>L</v>
      </c>
      <c r="L643" s="7" t="str">
        <f>IF(Data!L643=Entry2!L643,Data!L643,"ERROR")</f>
        <v>ERROR</v>
      </c>
      <c r="M643" s="7">
        <f>IF(Data!N643=Entry2!M643,Data!N643,"ERROR")</f>
        <v>0</v>
      </c>
    </row>
    <row r="644" spans="1:13" ht="13.2" x14ac:dyDescent="0.25">
      <c r="A644" s="7">
        <f>IF(Data!A644=Entry2!A644,Data!A644,"ERROR")</f>
        <v>14</v>
      </c>
      <c r="B644" s="7">
        <f>IF(Data!B644=Entry2!B644,Data!B644,"ERROR")</f>
        <v>2023</v>
      </c>
      <c r="C644" s="17">
        <f>IF(Data!C644=Entry2!C644,Data!C644,"ERROR")</f>
        <v>45197</v>
      </c>
      <c r="D644" s="7" t="str">
        <f>IF(Data!D644=Entry2!D644,Data!D644,"ERROR")</f>
        <v>MP, TL, MG</v>
      </c>
      <c r="E644" s="7" t="str">
        <f>IF(Data!E644=Entry2!E644,Data!E644,"ERROR")</f>
        <v>VB</v>
      </c>
      <c r="F644" s="7">
        <f>IF(Data!F644=Entry2!F644,Data!F644,"ERROR")</f>
        <v>3</v>
      </c>
      <c r="G644" s="7" t="str">
        <f>IF(Data!G644=Entry2!G644,Data!G644,"ERROR")</f>
        <v>SU</v>
      </c>
      <c r="H644" s="7">
        <f>IF(Data!H644=Entry2!H644,Data!H644,"ERROR")</f>
        <v>1</v>
      </c>
      <c r="I644" s="7">
        <f>IF(Data!I644=Entry2!I644,Data!I644,"ERROR")</f>
        <v>1</v>
      </c>
      <c r="J644" s="7">
        <f>IF(Data!J644=Entry2!J644,Data!J644,"ERROR")</f>
        <v>0</v>
      </c>
      <c r="K644" s="7" t="str">
        <f>IF(Data!K644=Entry2!K644,Data!K644,"ERROR")</f>
        <v>B</v>
      </c>
      <c r="L644" s="7" t="str">
        <f>IF(Data!L644=Entry2!L644,Data!L644,"ERROR")</f>
        <v>ERROR</v>
      </c>
      <c r="M644" s="7">
        <f>IF(Data!N644=Entry2!M644,Data!N644,"ERROR")</f>
        <v>0</v>
      </c>
    </row>
    <row r="645" spans="1:13" ht="13.2" x14ac:dyDescent="0.25">
      <c r="A645" s="7">
        <f>IF(Data!A645=Entry2!A645,Data!A645,"ERROR")</f>
        <v>14</v>
      </c>
      <c r="B645" s="7">
        <f>IF(Data!B645=Entry2!B645,Data!B645,"ERROR")</f>
        <v>2023</v>
      </c>
      <c r="C645" s="17">
        <f>IF(Data!C645=Entry2!C645,Data!C645,"ERROR")</f>
        <v>45197</v>
      </c>
      <c r="D645" s="7" t="str">
        <f>IF(Data!D645=Entry2!D645,Data!D645,"ERROR")</f>
        <v>MP, TL, MG</v>
      </c>
      <c r="E645" s="7" t="str">
        <f>IF(Data!E645=Entry2!E645,Data!E645,"ERROR")</f>
        <v>VB</v>
      </c>
      <c r="F645" s="7">
        <f>IF(Data!F645=Entry2!F645,Data!F645,"ERROR")</f>
        <v>3</v>
      </c>
      <c r="G645" s="7" t="str">
        <f>IF(Data!G645=Entry2!G645,Data!G645,"ERROR")</f>
        <v>SU</v>
      </c>
      <c r="H645" s="7">
        <f>IF(Data!H645=Entry2!H645,Data!H645,"ERROR")</f>
        <v>2</v>
      </c>
      <c r="I645" s="7">
        <f>IF(Data!I645=Entry2!I645,Data!I645,"ERROR")</f>
        <v>1</v>
      </c>
      <c r="J645" s="7">
        <f>IF(Data!J645=Entry2!J645,Data!J645,"ERROR")</f>
        <v>1</v>
      </c>
      <c r="K645" s="7" t="str">
        <f>IF(Data!K645=Entry2!K645,Data!K645,"ERROR")</f>
        <v>B</v>
      </c>
      <c r="L645" s="7" t="str">
        <f>IF(Data!L645=Entry2!L645,Data!L645,"ERROR")</f>
        <v>ERROR</v>
      </c>
      <c r="M645" s="7">
        <f>IF(Data!N645=Entry2!M645,Data!N645,"ERROR")</f>
        <v>0</v>
      </c>
    </row>
    <row r="646" spans="1:13" ht="13.2" x14ac:dyDescent="0.25">
      <c r="A646" s="7">
        <f>IF(Data!A646=Entry2!A646,Data!A646,"ERROR")</f>
        <v>14</v>
      </c>
      <c r="B646" s="7">
        <f>IF(Data!B646=Entry2!B646,Data!B646,"ERROR")</f>
        <v>2023</v>
      </c>
      <c r="C646" s="17">
        <f>IF(Data!C646=Entry2!C646,Data!C646,"ERROR")</f>
        <v>45197</v>
      </c>
      <c r="D646" s="7" t="str">
        <f>IF(Data!D646=Entry2!D646,Data!D646,"ERROR")</f>
        <v>MP, TL, MG</v>
      </c>
      <c r="E646" s="7" t="str">
        <f>IF(Data!E646=Entry2!E646,Data!E646,"ERROR")</f>
        <v>VB</v>
      </c>
      <c r="F646" s="7">
        <f>IF(Data!F646=Entry2!F646,Data!F646,"ERROR")</f>
        <v>3</v>
      </c>
      <c r="G646" s="7" t="str">
        <f>IF(Data!G646=Entry2!G646,Data!G646,"ERROR")</f>
        <v>SU</v>
      </c>
      <c r="H646" s="7">
        <f>IF(Data!H646=Entry2!H646,Data!H646,"ERROR")</f>
        <v>3</v>
      </c>
      <c r="I646" s="7">
        <f>IF(Data!I646=Entry2!I646,Data!I646,"ERROR")</f>
        <v>1</v>
      </c>
      <c r="J646" s="7">
        <f>IF(Data!J646=Entry2!J646,Data!J646,"ERROR")</f>
        <v>1.5</v>
      </c>
      <c r="K646" s="7" t="str">
        <f>IF(Data!K646=Entry2!K646,Data!K646,"ERROR")</f>
        <v>L</v>
      </c>
      <c r="L646" s="7" t="str">
        <f>IF(Data!L646=Entry2!L646,Data!L646,"ERROR")</f>
        <v>ERROR</v>
      </c>
      <c r="M646" s="7">
        <f>IF(Data!N646=Entry2!M646,Data!N646,"ERROR")</f>
        <v>0</v>
      </c>
    </row>
    <row r="647" spans="1:13" ht="13.2" x14ac:dyDescent="0.25">
      <c r="A647" s="7">
        <f>IF(Data!A647=Entry2!A647,Data!A647,"ERROR")</f>
        <v>14</v>
      </c>
      <c r="B647" s="7">
        <f>IF(Data!B647=Entry2!B647,Data!B647,"ERROR")</f>
        <v>2023</v>
      </c>
      <c r="C647" s="17">
        <f>IF(Data!C647=Entry2!C647,Data!C647,"ERROR")</f>
        <v>45197</v>
      </c>
      <c r="D647" s="7" t="str">
        <f>IF(Data!D647=Entry2!D647,Data!D647,"ERROR")</f>
        <v>MP, TL, MG</v>
      </c>
      <c r="E647" s="7" t="str">
        <f>IF(Data!E647=Entry2!E647,Data!E647,"ERROR")</f>
        <v>VB</v>
      </c>
      <c r="F647" s="7">
        <f>IF(Data!F647=Entry2!F647,Data!F647,"ERROR")</f>
        <v>3</v>
      </c>
      <c r="G647" s="7" t="str">
        <f>IF(Data!G647=Entry2!G647,Data!G647,"ERROR")</f>
        <v>SU</v>
      </c>
      <c r="H647" s="7">
        <f>IF(Data!H647=Entry2!H647,Data!H647,"ERROR")</f>
        <v>4</v>
      </c>
      <c r="I647" s="7">
        <f>IF(Data!I647=Entry2!I647,Data!I647,"ERROR")</f>
        <v>1</v>
      </c>
      <c r="J647" s="7">
        <f>IF(Data!J647=Entry2!J647,Data!J647,"ERROR")</f>
        <v>2</v>
      </c>
      <c r="K647" s="7" t="str">
        <f>IF(Data!K647=Entry2!K647,Data!K647,"ERROR")</f>
        <v>L</v>
      </c>
      <c r="L647" s="7" t="str">
        <f>IF(Data!L647=Entry2!L647,Data!L647,"ERROR")</f>
        <v>ERROR</v>
      </c>
      <c r="M647" s="7">
        <f>IF(Data!N647=Entry2!M647,Data!N647,"ERROR")</f>
        <v>0</v>
      </c>
    </row>
    <row r="648" spans="1:13" ht="13.2" x14ac:dyDescent="0.25">
      <c r="A648" s="7">
        <f>IF(Data!A648=Entry2!A648,Data!A648,"ERROR")</f>
        <v>14</v>
      </c>
      <c r="B648" s="7">
        <f>IF(Data!B648=Entry2!B648,Data!B648,"ERROR")</f>
        <v>2023</v>
      </c>
      <c r="C648" s="17">
        <f>IF(Data!C648=Entry2!C648,Data!C648,"ERROR")</f>
        <v>45197</v>
      </c>
      <c r="D648" s="7" t="str">
        <f>IF(Data!D648=Entry2!D648,Data!D648,"ERROR")</f>
        <v>MP, TL, MG</v>
      </c>
      <c r="E648" s="7" t="str">
        <f>IF(Data!E648=Entry2!E648,Data!E648,"ERROR")</f>
        <v>VB</v>
      </c>
      <c r="F648" s="7">
        <f>IF(Data!F648=Entry2!F648,Data!F648,"ERROR")</f>
        <v>3</v>
      </c>
      <c r="G648" s="7" t="str">
        <f>IF(Data!G648=Entry2!G648,Data!G648,"ERROR")</f>
        <v>SU</v>
      </c>
      <c r="H648" s="7">
        <f>IF(Data!H648=Entry2!H648,Data!H648,"ERROR")</f>
        <v>5</v>
      </c>
      <c r="I648" s="7">
        <f>IF(Data!I648=Entry2!I648,Data!I648,"ERROR")</f>
        <v>1</v>
      </c>
      <c r="J648" s="7">
        <f>IF(Data!J648=Entry2!J648,Data!J648,"ERROR")</f>
        <v>3</v>
      </c>
      <c r="K648" s="7" t="str">
        <f>IF(Data!K648=Entry2!K648,Data!K648,"ERROR")</f>
        <v>B</v>
      </c>
      <c r="L648" s="7" t="str">
        <f>IF(Data!L648=Entry2!L648,Data!L648,"ERROR")</f>
        <v>ERROR</v>
      </c>
      <c r="M648" s="7">
        <f>IF(Data!N648=Entry2!M648,Data!N648,"ERROR")</f>
        <v>0</v>
      </c>
    </row>
    <row r="649" spans="1:13" ht="13.2" x14ac:dyDescent="0.25">
      <c r="A649" s="7">
        <f>IF(Data!A649=Entry2!A649,Data!A649,"ERROR")</f>
        <v>14</v>
      </c>
      <c r="B649" s="7">
        <f>IF(Data!B649=Entry2!B649,Data!B649,"ERROR")</f>
        <v>2023</v>
      </c>
      <c r="C649" s="17">
        <f>IF(Data!C649=Entry2!C649,Data!C649,"ERROR")</f>
        <v>45197</v>
      </c>
      <c r="D649" s="7" t="str">
        <f>IF(Data!D649=Entry2!D649,Data!D649,"ERROR")</f>
        <v>MP, TL, MG</v>
      </c>
      <c r="E649" s="7" t="str">
        <f>IF(Data!E649=Entry2!E649,Data!E649,"ERROR")</f>
        <v>VB</v>
      </c>
      <c r="F649" s="7">
        <f>IF(Data!F649=Entry2!F649,Data!F649,"ERROR")</f>
        <v>3</v>
      </c>
      <c r="G649" s="7" t="str">
        <f>IF(Data!G649=Entry2!G649,Data!G649,"ERROR")</f>
        <v>SU</v>
      </c>
      <c r="H649" s="7">
        <f>IF(Data!H649=Entry2!H649,Data!H649,"ERROR")</f>
        <v>6</v>
      </c>
      <c r="I649" s="7">
        <f>IF(Data!I649=Entry2!I649,Data!I649,"ERROR")</f>
        <v>1</v>
      </c>
      <c r="J649" s="7">
        <f>IF(Data!J649=Entry2!J649,Data!J649,"ERROR")</f>
        <v>3.5</v>
      </c>
      <c r="K649" s="7" t="str">
        <f>IF(Data!K649=Entry2!K649,Data!K649,"ERROR")</f>
        <v>B</v>
      </c>
      <c r="L649" s="7" t="str">
        <f>IF(Data!L649=Entry2!L649,Data!L649,"ERROR")</f>
        <v>ERROR</v>
      </c>
      <c r="M649" s="7">
        <f>IF(Data!N649=Entry2!M649,Data!N649,"ERROR")</f>
        <v>0</v>
      </c>
    </row>
    <row r="650" spans="1:13" ht="13.2" x14ac:dyDescent="0.25">
      <c r="A650" s="7">
        <f>IF(Data!A650=Entry2!A650,Data!A650,"ERROR")</f>
        <v>14</v>
      </c>
      <c r="B650" s="7">
        <f>IF(Data!B650=Entry2!B650,Data!B650,"ERROR")</f>
        <v>2023</v>
      </c>
      <c r="C650" s="17">
        <f>IF(Data!C650=Entry2!C650,Data!C650,"ERROR")</f>
        <v>45197</v>
      </c>
      <c r="D650" s="7" t="str">
        <f>IF(Data!D650=Entry2!D650,Data!D650,"ERROR")</f>
        <v>MP, TL, MG</v>
      </c>
      <c r="E650" s="7" t="str">
        <f>IF(Data!E650=Entry2!E650,Data!E650,"ERROR")</f>
        <v>VB</v>
      </c>
      <c r="F650" s="7">
        <f>IF(Data!F650=Entry2!F650,Data!F650,"ERROR")</f>
        <v>3</v>
      </c>
      <c r="G650" s="7" t="str">
        <f>IF(Data!G650=Entry2!G650,Data!G650,"ERROR")</f>
        <v>SU</v>
      </c>
      <c r="H650" s="7">
        <f>IF(Data!H650=Entry2!H650,Data!H650,"ERROR")</f>
        <v>7</v>
      </c>
      <c r="I650" s="7">
        <f>IF(Data!I650=Entry2!I650,Data!I650,"ERROR")</f>
        <v>1</v>
      </c>
      <c r="J650" s="7">
        <f>IF(Data!J650=Entry2!J650,Data!J650,"ERROR")</f>
        <v>4</v>
      </c>
      <c r="K650" s="7" t="str">
        <f>IF(Data!K650=Entry2!K650,Data!K650,"ERROR")</f>
        <v>L</v>
      </c>
      <c r="L650" s="7" t="str">
        <f>IF(Data!L650=Entry2!L650,Data!L650,"ERROR")</f>
        <v>ERROR</v>
      </c>
      <c r="M650" s="7">
        <f>IF(Data!N650=Entry2!M650,Data!N650,"ERROR")</f>
        <v>0</v>
      </c>
    </row>
    <row r="651" spans="1:13" ht="13.2" x14ac:dyDescent="0.25">
      <c r="A651" s="7">
        <f>IF(Data!A651=Entry2!A651,Data!A651,"ERROR")</f>
        <v>14</v>
      </c>
      <c r="B651" s="7">
        <f>IF(Data!B651=Entry2!B651,Data!B651,"ERROR")</f>
        <v>2023</v>
      </c>
      <c r="C651" s="17">
        <f>IF(Data!C651=Entry2!C651,Data!C651,"ERROR")</f>
        <v>45197</v>
      </c>
      <c r="D651" s="7" t="str">
        <f>IF(Data!D651=Entry2!D651,Data!D651,"ERROR")</f>
        <v>MP, TL, MG</v>
      </c>
      <c r="E651" s="7" t="str">
        <f>IF(Data!E651=Entry2!E651,Data!E651,"ERROR")</f>
        <v>VB</v>
      </c>
      <c r="F651" s="7">
        <f>IF(Data!F651=Entry2!F651,Data!F651,"ERROR")</f>
        <v>3</v>
      </c>
      <c r="G651" s="7" t="str">
        <f>IF(Data!G651=Entry2!G651,Data!G651,"ERROR")</f>
        <v>SU</v>
      </c>
      <c r="H651" s="7">
        <f>IF(Data!H651=Entry2!H651,Data!H651,"ERROR")</f>
        <v>8</v>
      </c>
      <c r="I651" s="7">
        <f>IF(Data!I651=Entry2!I651,Data!I651,"ERROR")</f>
        <v>1</v>
      </c>
      <c r="J651" s="7">
        <f>IF(Data!J651=Entry2!J651,Data!J651,"ERROR")</f>
        <v>5</v>
      </c>
      <c r="K651" s="7" t="str">
        <f>IF(Data!K651=Entry2!K651,Data!K651,"ERROR")</f>
        <v>B</v>
      </c>
      <c r="L651" s="7" t="str">
        <f>IF(Data!L651=Entry2!L651,Data!L651,"ERROR")</f>
        <v>ERROR</v>
      </c>
      <c r="M651" s="7">
        <f>IF(Data!N651=Entry2!M651,Data!N651,"ERROR")</f>
        <v>0</v>
      </c>
    </row>
    <row r="652" spans="1:13" ht="13.2" x14ac:dyDescent="0.25">
      <c r="A652" s="7">
        <f>IF(Data!A652=Entry2!A652,Data!A652,"ERROR")</f>
        <v>14</v>
      </c>
      <c r="B652" s="7">
        <f>IF(Data!B652=Entry2!B652,Data!B652,"ERROR")</f>
        <v>2023</v>
      </c>
      <c r="C652" s="17">
        <f>IF(Data!C652=Entry2!C652,Data!C652,"ERROR")</f>
        <v>45197</v>
      </c>
      <c r="D652" s="7" t="str">
        <f>IF(Data!D652=Entry2!D652,Data!D652,"ERROR")</f>
        <v>MP, TL, MG</v>
      </c>
      <c r="E652" s="7" t="str">
        <f>IF(Data!E652=Entry2!E652,Data!E652,"ERROR")</f>
        <v>VB</v>
      </c>
      <c r="F652" s="7">
        <f>IF(Data!F652=Entry2!F652,Data!F652,"ERROR")</f>
        <v>3</v>
      </c>
      <c r="G652" s="7" t="str">
        <f>IF(Data!G652=Entry2!G652,Data!G652,"ERROR")</f>
        <v>SU</v>
      </c>
      <c r="H652" s="7">
        <f>IF(Data!H652=Entry2!H652,Data!H652,"ERROR")</f>
        <v>9</v>
      </c>
      <c r="I652" s="7">
        <f>IF(Data!I652=Entry2!I652,Data!I652,"ERROR")</f>
        <v>1</v>
      </c>
      <c r="J652" s="7">
        <f>IF(Data!J652=Entry2!J652,Data!J652,"ERROR")</f>
        <v>7</v>
      </c>
      <c r="K652" s="7" t="str">
        <f>IF(Data!K652=Entry2!K652,Data!K652,"ERROR")</f>
        <v>B</v>
      </c>
      <c r="L652" s="7" t="str">
        <f>IF(Data!L652=Entry2!L652,Data!L652,"ERROR")</f>
        <v>ERROR</v>
      </c>
      <c r="M652" s="7">
        <f>IF(Data!N652=Entry2!M652,Data!N652,"ERROR")</f>
        <v>0</v>
      </c>
    </row>
    <row r="653" spans="1:13" ht="13.2" x14ac:dyDescent="0.25">
      <c r="A653" s="7">
        <f>IF(Data!A653=Entry2!A653,Data!A653,"ERROR")</f>
        <v>14</v>
      </c>
      <c r="B653" s="7">
        <f>IF(Data!B653=Entry2!B653,Data!B653,"ERROR")</f>
        <v>2023</v>
      </c>
      <c r="C653" s="17">
        <f>IF(Data!C653=Entry2!C653,Data!C653,"ERROR")</f>
        <v>45197</v>
      </c>
      <c r="D653" s="7" t="str">
        <f>IF(Data!D653=Entry2!D653,Data!D653,"ERROR")</f>
        <v>MP, TL, MG</v>
      </c>
      <c r="E653" s="7" t="str">
        <f>IF(Data!E653=Entry2!E653,Data!E653,"ERROR")</f>
        <v>VB</v>
      </c>
      <c r="F653" s="7">
        <f>IF(Data!F653=Entry2!F653,Data!F653,"ERROR")</f>
        <v>3</v>
      </c>
      <c r="G653" s="7" t="str">
        <f>IF(Data!G653=Entry2!G653,Data!G653,"ERROR")</f>
        <v>SU</v>
      </c>
      <c r="H653" s="7">
        <f>IF(Data!H653=Entry2!H653,Data!H653,"ERROR")</f>
        <v>10</v>
      </c>
      <c r="I653" s="7">
        <f>IF(Data!I653=Entry2!I653,Data!I653,"ERROR")</f>
        <v>1</v>
      </c>
      <c r="J653" s="7">
        <f>IF(Data!J653=Entry2!J653,Data!J653,"ERROR")</f>
        <v>8</v>
      </c>
      <c r="K653" s="7" t="str">
        <f>IF(Data!K653=Entry2!K653,Data!K653,"ERROR")</f>
        <v>L</v>
      </c>
      <c r="L653" s="7" t="str">
        <f>IF(Data!L653=Entry2!L653,Data!L653,"ERROR")</f>
        <v>ERROR</v>
      </c>
      <c r="M653" s="7">
        <f>IF(Data!N653=Entry2!M653,Data!N653,"ERROR")</f>
        <v>0</v>
      </c>
    </row>
    <row r="654" spans="1:13" ht="13.2" x14ac:dyDescent="0.25">
      <c r="A654" s="7">
        <f>IF(Data!A654=Entry2!A654,Data!A654,"ERROR")</f>
        <v>14</v>
      </c>
      <c r="B654" s="7">
        <f>IF(Data!B654=Entry2!B654,Data!B654,"ERROR")</f>
        <v>2023</v>
      </c>
      <c r="C654" s="17">
        <f>IF(Data!C654=Entry2!C654,Data!C654,"ERROR")</f>
        <v>45197</v>
      </c>
      <c r="D654" s="7" t="str">
        <f>IF(Data!D654=Entry2!D654,Data!D654,"ERROR")</f>
        <v>MP, TL, MG</v>
      </c>
      <c r="E654" s="7" t="str">
        <f>IF(Data!E654=Entry2!E654,Data!E654,"ERROR")</f>
        <v>VB</v>
      </c>
      <c r="F654" s="7">
        <f>IF(Data!F654=Entry2!F654,Data!F654,"ERROR")</f>
        <v>3</v>
      </c>
      <c r="G654" s="7" t="str">
        <f>IF(Data!G654=Entry2!G654,Data!G654,"ERROR")</f>
        <v>SU</v>
      </c>
      <c r="H654" s="7">
        <f>IF(Data!H654=Entry2!H654,Data!H654,"ERROR")</f>
        <v>11</v>
      </c>
      <c r="I654" s="7">
        <f>IF(Data!I654=Entry2!I654,Data!I654,"ERROR")</f>
        <v>1</v>
      </c>
      <c r="J654" s="7">
        <f>IF(Data!J654=Entry2!J654,Data!J654,"ERROR")</f>
        <v>8.5</v>
      </c>
      <c r="K654" s="7" t="str">
        <f>IF(Data!K654=Entry2!K654,Data!K654,"ERROR")</f>
        <v>B</v>
      </c>
      <c r="L654" s="7" t="str">
        <f>IF(Data!L654=Entry2!L654,Data!L654,"ERROR")</f>
        <v>ERROR</v>
      </c>
      <c r="M654" s="7">
        <f>IF(Data!N654=Entry2!M654,Data!N654,"ERROR")</f>
        <v>0</v>
      </c>
    </row>
    <row r="655" spans="1:13" ht="13.2" x14ac:dyDescent="0.25">
      <c r="A655" s="7">
        <f>IF(Data!A655=Entry2!A655,Data!A655,"ERROR")</f>
        <v>14</v>
      </c>
      <c r="B655" s="7">
        <f>IF(Data!B655=Entry2!B655,Data!B655,"ERROR")</f>
        <v>2023</v>
      </c>
      <c r="C655" s="17">
        <f>IF(Data!C655=Entry2!C655,Data!C655,"ERROR")</f>
        <v>45197</v>
      </c>
      <c r="D655" s="7" t="str">
        <f>IF(Data!D655=Entry2!D655,Data!D655,"ERROR")</f>
        <v>MP, TL, MG</v>
      </c>
      <c r="E655" s="7" t="str">
        <f>IF(Data!E655=Entry2!E655,Data!E655,"ERROR")</f>
        <v>VB</v>
      </c>
      <c r="F655" s="7">
        <f>IF(Data!F655=Entry2!F655,Data!F655,"ERROR")</f>
        <v>3</v>
      </c>
      <c r="G655" s="7" t="str">
        <f>IF(Data!G655=Entry2!G655,Data!G655,"ERROR")</f>
        <v>SU</v>
      </c>
      <c r="H655" s="7">
        <f>IF(Data!H655=Entry2!H655,Data!H655,"ERROR")</f>
        <v>12</v>
      </c>
      <c r="I655" s="7">
        <f>IF(Data!I655=Entry2!I655,Data!I655,"ERROR")</f>
        <v>1</v>
      </c>
      <c r="J655" s="7">
        <f>IF(Data!J655=Entry2!J655,Data!J655,"ERROR")</f>
        <v>9</v>
      </c>
      <c r="K655" s="7" t="str">
        <f>IF(Data!K655=Entry2!K655,Data!K655,"ERROR")</f>
        <v>B</v>
      </c>
      <c r="L655" s="7" t="str">
        <f>IF(Data!L655=Entry2!L655,Data!L655,"ERROR")</f>
        <v>ERROR</v>
      </c>
      <c r="M655" s="7">
        <f>IF(Data!N655=Entry2!M655,Data!N655,"ERROR")</f>
        <v>0</v>
      </c>
    </row>
    <row r="656" spans="1:13" ht="13.2" x14ac:dyDescent="0.25">
      <c r="A656" s="7">
        <f>IF(Data!A656=Entry2!A656,Data!A656,"ERROR")</f>
        <v>14</v>
      </c>
      <c r="B656" s="7">
        <f>IF(Data!B656=Entry2!B656,Data!B656,"ERROR")</f>
        <v>2023</v>
      </c>
      <c r="C656" s="17">
        <f>IF(Data!C656=Entry2!C656,Data!C656,"ERROR")</f>
        <v>45197</v>
      </c>
      <c r="D656" s="7" t="str">
        <f>IF(Data!D656=Entry2!D656,Data!D656,"ERROR")</f>
        <v>MP, TL, MG</v>
      </c>
      <c r="E656" s="7" t="str">
        <f>IF(Data!E656=Entry2!E656,Data!E656,"ERROR")</f>
        <v>VB</v>
      </c>
      <c r="F656" s="7">
        <f>IF(Data!F656=Entry2!F656,Data!F656,"ERROR")</f>
        <v>3</v>
      </c>
      <c r="G656" s="7" t="str">
        <f>IF(Data!G656=Entry2!G656,Data!G656,"ERROR")</f>
        <v>SU</v>
      </c>
      <c r="H656" s="7">
        <f>IF(Data!H656=Entry2!H656,Data!H656,"ERROR")</f>
        <v>13</v>
      </c>
      <c r="I656" s="7">
        <f>IF(Data!I656=Entry2!I656,Data!I656,"ERROR")</f>
        <v>1</v>
      </c>
      <c r="J656" s="7">
        <f>IF(Data!J656=Entry2!J656,Data!J656,"ERROR")</f>
        <v>10</v>
      </c>
      <c r="K656" s="7" t="str">
        <f>IF(Data!K656=Entry2!K656,Data!K656,"ERROR")</f>
        <v>B</v>
      </c>
      <c r="L656" s="7" t="str">
        <f>IF(Data!L656=Entry2!L656,Data!L656,"ERROR")</f>
        <v>ERROR</v>
      </c>
      <c r="M656" s="7">
        <f>IF(Data!N656=Entry2!M656,Data!N656,"ERROR")</f>
        <v>0</v>
      </c>
    </row>
    <row r="657" spans="1:13" ht="13.2" x14ac:dyDescent="0.25">
      <c r="A657" s="7">
        <f>IF(Data!A657=Entry2!A657,Data!A657,"ERROR")</f>
        <v>14</v>
      </c>
      <c r="B657" s="7">
        <f>IF(Data!B657=Entry2!B657,Data!B657,"ERROR")</f>
        <v>2023</v>
      </c>
      <c r="C657" s="17">
        <f>IF(Data!C657=Entry2!C657,Data!C657,"ERROR")</f>
        <v>45197</v>
      </c>
      <c r="D657" s="7" t="str">
        <f>IF(Data!D657=Entry2!D657,Data!D657,"ERROR")</f>
        <v>MP, TL, MG</v>
      </c>
      <c r="E657" s="7" t="str">
        <f>IF(Data!E657=Entry2!E657,Data!E657,"ERROR")</f>
        <v>VB</v>
      </c>
      <c r="F657" s="7">
        <f>IF(Data!F657=Entry2!F657,Data!F657,"ERROR")</f>
        <v>3</v>
      </c>
      <c r="G657" s="7" t="str">
        <f>IF(Data!G657=Entry2!G657,Data!G657,"ERROR")</f>
        <v>SU</v>
      </c>
      <c r="H657" s="7">
        <f>IF(Data!H657=Entry2!H657,Data!H657,"ERROR")</f>
        <v>13</v>
      </c>
      <c r="I657" s="7">
        <f>IF(Data!I657=Entry2!I657,Data!I657,"ERROR")</f>
        <v>1</v>
      </c>
      <c r="J657" s="7">
        <f>IF(Data!J657=Entry2!J657,Data!J657,"ERROR")</f>
        <v>10</v>
      </c>
      <c r="K657" s="7" t="str">
        <f>IF(Data!K657=Entry2!K657,Data!K657,"ERROR")</f>
        <v>LAECOU</v>
      </c>
      <c r="L657" s="7" t="str">
        <f>IF(Data!L657=Entry2!L657,Data!L657,"ERROR")</f>
        <v>ERROR</v>
      </c>
      <c r="M657" s="7">
        <f>IF(Data!N657=Entry2!M657,Data!N657,"ERROR")</f>
        <v>0</v>
      </c>
    </row>
    <row r="658" spans="1:13" ht="13.2" x14ac:dyDescent="0.25">
      <c r="A658" s="7">
        <f>IF(Data!A658=Entry2!A658,Data!A658,"ERROR")</f>
        <v>14</v>
      </c>
      <c r="B658" s="7">
        <f>IF(Data!B658=Entry2!B658,Data!B658,"ERROR")</f>
        <v>2023</v>
      </c>
      <c r="C658" s="17">
        <f>IF(Data!C658=Entry2!C658,Data!C658,"ERROR")</f>
        <v>45197</v>
      </c>
      <c r="D658" s="7" t="str">
        <f>IF(Data!D658=Entry2!D658,Data!D658,"ERROR")</f>
        <v>MP, TL, MG</v>
      </c>
      <c r="E658" s="7" t="str">
        <f>IF(Data!E658=Entry2!E658,Data!E658,"ERROR")</f>
        <v>VB</v>
      </c>
      <c r="F658" s="7">
        <f>IF(Data!F658=Entry2!F658,Data!F658,"ERROR")</f>
        <v>3</v>
      </c>
      <c r="G658" s="7" t="str">
        <f>IF(Data!G658=Entry2!G658,Data!G658,"ERROR")</f>
        <v>SU</v>
      </c>
      <c r="H658" s="7">
        <f>IF(Data!H658=Entry2!H658,Data!H658,"ERROR")</f>
        <v>14</v>
      </c>
      <c r="I658" s="7">
        <f>IF(Data!I658=Entry2!I658,Data!I658,"ERROR")</f>
        <v>1</v>
      </c>
      <c r="J658" s="7">
        <f>IF(Data!J658=Entry2!J658,Data!J658,"ERROR")</f>
        <v>11</v>
      </c>
      <c r="K658" s="7" t="str">
        <f>IF(Data!K658=Entry2!K658,Data!K658,"ERROR")</f>
        <v>TH</v>
      </c>
      <c r="L658" s="7" t="str">
        <f>IF(Data!L658=Entry2!L658,Data!L658,"ERROR")</f>
        <v>ERROR</v>
      </c>
      <c r="M658" s="7">
        <f>IF(Data!N658=Entry2!M658,Data!N658,"ERROR")</f>
        <v>0</v>
      </c>
    </row>
    <row r="659" spans="1:13" ht="13.2" x14ac:dyDescent="0.25">
      <c r="A659" s="7">
        <f>IF(Data!A659=Entry2!A659,Data!A659,"ERROR")</f>
        <v>14</v>
      </c>
      <c r="B659" s="7">
        <f>IF(Data!B659=Entry2!B659,Data!B659,"ERROR")</f>
        <v>2023</v>
      </c>
      <c r="C659" s="17">
        <f>IF(Data!C659=Entry2!C659,Data!C659,"ERROR")</f>
        <v>45197</v>
      </c>
      <c r="D659" s="7" t="str">
        <f>IF(Data!D659=Entry2!D659,Data!D659,"ERROR")</f>
        <v>MP, TL, MG</v>
      </c>
      <c r="E659" s="7" t="str">
        <f>IF(Data!E659=Entry2!E659,Data!E659,"ERROR")</f>
        <v>VB</v>
      </c>
      <c r="F659" s="7">
        <f>IF(Data!F659=Entry2!F659,Data!F659,"ERROR")</f>
        <v>3</v>
      </c>
      <c r="G659" s="7" t="str">
        <f>IF(Data!G659=Entry2!G659,Data!G659,"ERROR")</f>
        <v>SU</v>
      </c>
      <c r="H659" s="7">
        <f>IF(Data!H659=Entry2!H659,Data!H659,"ERROR")</f>
        <v>14</v>
      </c>
      <c r="I659" s="7">
        <f>IF(Data!I659=Entry2!I659,Data!I659,"ERROR")</f>
        <v>1</v>
      </c>
      <c r="J659" s="7">
        <f>IF(Data!J659=Entry2!J659,Data!J659,"ERROR")</f>
        <v>11</v>
      </c>
      <c r="K659" s="7" t="str">
        <f>IF(Data!K659=Entry2!K659,Data!K659,"ERROR")</f>
        <v>NNG</v>
      </c>
      <c r="L659" s="7" t="str">
        <f>IF(Data!L659=Entry2!L659,Data!L659,"ERROR")</f>
        <v>ERROR</v>
      </c>
      <c r="M659" s="7">
        <f>IF(Data!N659=Entry2!M659,Data!N659,"ERROR")</f>
        <v>0</v>
      </c>
    </row>
    <row r="660" spans="1:13" ht="13.2" x14ac:dyDescent="0.25">
      <c r="A660" s="7">
        <f>IF(Data!A660=Entry2!A660,Data!A660,"ERROR")</f>
        <v>14</v>
      </c>
      <c r="B660" s="7">
        <f>IF(Data!B660=Entry2!B660,Data!B660,"ERROR")</f>
        <v>2023</v>
      </c>
      <c r="C660" s="17">
        <f>IF(Data!C660=Entry2!C660,Data!C660,"ERROR")</f>
        <v>45197</v>
      </c>
      <c r="D660" s="7" t="str">
        <f>IF(Data!D660=Entry2!D660,Data!D660,"ERROR")</f>
        <v>MP, TL, MG</v>
      </c>
      <c r="E660" s="7" t="str">
        <f>IF(Data!E660=Entry2!E660,Data!E660,"ERROR")</f>
        <v>VB</v>
      </c>
      <c r="F660" s="7">
        <f>IF(Data!F660=Entry2!F660,Data!F660,"ERROR")</f>
        <v>3</v>
      </c>
      <c r="G660" s="7" t="str">
        <f>IF(Data!G660=Entry2!G660,Data!G660,"ERROR")</f>
        <v>SU</v>
      </c>
      <c r="H660" s="7">
        <f>IF(Data!H660=Entry2!H660,Data!H660,"ERROR")</f>
        <v>15</v>
      </c>
      <c r="I660" s="7">
        <f>IF(Data!I660=Entry2!I660,Data!I660,"ERROR")</f>
        <v>1</v>
      </c>
      <c r="J660" s="7">
        <f>IF(Data!J660=Entry2!J660,Data!J660,"ERROR")</f>
        <v>12</v>
      </c>
      <c r="K660" s="7" t="str">
        <f>IF(Data!K660=Entry2!K660,Data!K660,"ERROR")</f>
        <v>B</v>
      </c>
      <c r="L660" s="7" t="str">
        <f>IF(Data!L660=Entry2!L660,Data!L660,"ERROR")</f>
        <v>ERROR</v>
      </c>
      <c r="M660" s="7">
        <f>IF(Data!N660=Entry2!M660,Data!N660,"ERROR")</f>
        <v>0</v>
      </c>
    </row>
    <row r="661" spans="1:13" ht="13.2" x14ac:dyDescent="0.25">
      <c r="A661" s="7">
        <f>IF(Data!A661=Entry2!A661,Data!A661,"ERROR")</f>
        <v>14</v>
      </c>
      <c r="B661" s="7">
        <f>IF(Data!B661=Entry2!B661,Data!B661,"ERROR")</f>
        <v>2023</v>
      </c>
      <c r="C661" s="17">
        <f>IF(Data!C661=Entry2!C661,Data!C661,"ERROR")</f>
        <v>45197</v>
      </c>
      <c r="D661" s="7" t="str">
        <f>IF(Data!D661=Entry2!D661,Data!D661,"ERROR")</f>
        <v>MP, TL, MG</v>
      </c>
      <c r="E661" s="7" t="str">
        <f>IF(Data!E661=Entry2!E661,Data!E661,"ERROR")</f>
        <v>VB</v>
      </c>
      <c r="F661" s="7">
        <f>IF(Data!F661=Entry2!F661,Data!F661,"ERROR")</f>
        <v>3</v>
      </c>
      <c r="G661" s="7" t="str">
        <f>IF(Data!G661=Entry2!G661,Data!G661,"ERROR")</f>
        <v>SU</v>
      </c>
      <c r="H661" s="7">
        <f>IF(Data!H661=Entry2!H661,Data!H661,"ERROR")</f>
        <v>1</v>
      </c>
      <c r="I661" s="7">
        <f>IF(Data!I661=Entry2!I661,Data!I661,"ERROR")</f>
        <v>2</v>
      </c>
      <c r="J661" s="7">
        <f>IF(Data!J661=Entry2!J661,Data!J661,"ERROR")</f>
        <v>0</v>
      </c>
      <c r="K661" s="7" t="str">
        <f>IF(Data!K661=Entry2!K661,Data!K661,"ERROR")</f>
        <v>B</v>
      </c>
      <c r="L661" s="7" t="str">
        <f>IF(Data!L661=Entry2!L661,Data!L661,"ERROR")</f>
        <v>ERROR</v>
      </c>
      <c r="M661" s="7">
        <f>IF(Data!N661=Entry2!M661,Data!N661,"ERROR")</f>
        <v>0</v>
      </c>
    </row>
    <row r="662" spans="1:13" ht="13.2" x14ac:dyDescent="0.25">
      <c r="A662" s="7">
        <f>IF(Data!A662=Entry2!A662,Data!A662,"ERROR")</f>
        <v>14</v>
      </c>
      <c r="B662" s="7">
        <f>IF(Data!B662=Entry2!B662,Data!B662,"ERROR")</f>
        <v>2023</v>
      </c>
      <c r="C662" s="17">
        <f>IF(Data!C662=Entry2!C662,Data!C662,"ERROR")</f>
        <v>45197</v>
      </c>
      <c r="D662" s="7" t="str">
        <f>IF(Data!D662=Entry2!D662,Data!D662,"ERROR")</f>
        <v>MP, TL, MG</v>
      </c>
      <c r="E662" s="7" t="str">
        <f>IF(Data!E662=Entry2!E662,Data!E662,"ERROR")</f>
        <v>VB</v>
      </c>
      <c r="F662" s="7">
        <f>IF(Data!F662=Entry2!F662,Data!F662,"ERROR")</f>
        <v>3</v>
      </c>
      <c r="G662" s="7" t="str">
        <f>IF(Data!G662=Entry2!G662,Data!G662,"ERROR")</f>
        <v>SU</v>
      </c>
      <c r="H662" s="7">
        <f>IF(Data!H662=Entry2!H662,Data!H662,"ERROR")</f>
        <v>2</v>
      </c>
      <c r="I662" s="7">
        <f>IF(Data!I662=Entry2!I662,Data!I662,"ERROR")</f>
        <v>2</v>
      </c>
      <c r="J662" s="7">
        <f>IF(Data!J662=Entry2!J662,Data!J662,"ERROR")</f>
        <v>1</v>
      </c>
      <c r="K662" s="7" t="str">
        <f>IF(Data!K662=Entry2!K662,Data!K662,"ERROR")</f>
        <v>L</v>
      </c>
      <c r="L662" s="7" t="str">
        <f>IF(Data!L662=Entry2!L662,Data!L662,"ERROR")</f>
        <v>ERROR</v>
      </c>
      <c r="M662" s="7">
        <f>IF(Data!N662=Entry2!M662,Data!N662,"ERROR")</f>
        <v>0</v>
      </c>
    </row>
    <row r="663" spans="1:13" ht="13.2" x14ac:dyDescent="0.25">
      <c r="A663" s="7">
        <f>IF(Data!A663=Entry2!A663,Data!A663,"ERROR")</f>
        <v>14</v>
      </c>
      <c r="B663" s="7">
        <f>IF(Data!B663=Entry2!B663,Data!B663,"ERROR")</f>
        <v>2023</v>
      </c>
      <c r="C663" s="17">
        <f>IF(Data!C663=Entry2!C663,Data!C663,"ERROR")</f>
        <v>45197</v>
      </c>
      <c r="D663" s="7" t="str">
        <f>IF(Data!D663=Entry2!D663,Data!D663,"ERROR")</f>
        <v>MP, TL, MG</v>
      </c>
      <c r="E663" s="7" t="str">
        <f>IF(Data!E663=Entry2!E663,Data!E663,"ERROR")</f>
        <v>VB</v>
      </c>
      <c r="F663" s="7">
        <f>IF(Data!F663=Entry2!F663,Data!F663,"ERROR")</f>
        <v>3</v>
      </c>
      <c r="G663" s="7" t="str">
        <f>IF(Data!G663=Entry2!G663,Data!G663,"ERROR")</f>
        <v>SU</v>
      </c>
      <c r="H663" s="7">
        <f>IF(Data!H663=Entry2!H663,Data!H663,"ERROR")</f>
        <v>2</v>
      </c>
      <c r="I663" s="7">
        <f>IF(Data!I663=Entry2!I663,Data!I663,"ERROR")</f>
        <v>2</v>
      </c>
      <c r="J663" s="7">
        <f>IF(Data!J663=Entry2!J663,Data!J663,"ERROR")</f>
        <v>1</v>
      </c>
      <c r="K663" s="7" t="str">
        <f>IF(Data!K663=Entry2!K663,Data!K663,"ERROR")</f>
        <v>EROCIC</v>
      </c>
      <c r="L663" s="7" t="str">
        <f>IF(Data!L663=Entry2!L663,Data!L663,"ERROR")</f>
        <v>ERROR</v>
      </c>
      <c r="M663" s="7">
        <f>IF(Data!N663=Entry2!M663,Data!N663,"ERROR")</f>
        <v>0</v>
      </c>
    </row>
    <row r="664" spans="1:13" ht="13.2" x14ac:dyDescent="0.25">
      <c r="A664" s="7">
        <f>IF(Data!A664=Entry2!A664,Data!A664,"ERROR")</f>
        <v>14</v>
      </c>
      <c r="B664" s="7">
        <f>IF(Data!B664=Entry2!B664,Data!B664,"ERROR")</f>
        <v>2023</v>
      </c>
      <c r="C664" s="17">
        <f>IF(Data!C664=Entry2!C664,Data!C664,"ERROR")</f>
        <v>45197</v>
      </c>
      <c r="D664" s="7" t="str">
        <f>IF(Data!D664=Entry2!D664,Data!D664,"ERROR")</f>
        <v>MP, TL, MG</v>
      </c>
      <c r="E664" s="7" t="str">
        <f>IF(Data!E664=Entry2!E664,Data!E664,"ERROR")</f>
        <v>VB</v>
      </c>
      <c r="F664" s="7">
        <f>IF(Data!F664=Entry2!F664,Data!F664,"ERROR")</f>
        <v>3</v>
      </c>
      <c r="G664" s="7" t="str">
        <f>IF(Data!G664=Entry2!G664,Data!G664,"ERROR")</f>
        <v>SU</v>
      </c>
      <c r="H664" s="7">
        <f>IF(Data!H664=Entry2!H664,Data!H664,"ERROR")</f>
        <v>3</v>
      </c>
      <c r="I664" s="7">
        <f>IF(Data!I664=Entry2!I664,Data!I664,"ERROR")</f>
        <v>2</v>
      </c>
      <c r="J664" s="7">
        <f>IF(Data!J664=Entry2!J664,Data!J664,"ERROR")</f>
        <v>1.5</v>
      </c>
      <c r="K664" s="7" t="str">
        <f>IF(Data!K664=Entry2!K664,Data!K664,"ERROR")</f>
        <v>L</v>
      </c>
      <c r="L664" s="7" t="str">
        <f>IF(Data!L664=Entry2!L664,Data!L664,"ERROR")</f>
        <v>ERROR</v>
      </c>
      <c r="M664" s="7">
        <f>IF(Data!N664=Entry2!M664,Data!N664,"ERROR")</f>
        <v>0</v>
      </c>
    </row>
    <row r="665" spans="1:13" ht="13.2" x14ac:dyDescent="0.25">
      <c r="A665" s="7">
        <f>IF(Data!A665=Entry2!A665,Data!A665,"ERROR")</f>
        <v>14</v>
      </c>
      <c r="B665" s="7">
        <f>IF(Data!B665=Entry2!B665,Data!B665,"ERROR")</f>
        <v>2023</v>
      </c>
      <c r="C665" s="17">
        <f>IF(Data!C665=Entry2!C665,Data!C665,"ERROR")</f>
        <v>45197</v>
      </c>
      <c r="D665" s="7" t="str">
        <f>IF(Data!D665=Entry2!D665,Data!D665,"ERROR")</f>
        <v>MP, TL, MG</v>
      </c>
      <c r="E665" s="7" t="str">
        <f>IF(Data!E665=Entry2!E665,Data!E665,"ERROR")</f>
        <v>VB</v>
      </c>
      <c r="F665" s="7">
        <f>IF(Data!F665=Entry2!F665,Data!F665,"ERROR")</f>
        <v>3</v>
      </c>
      <c r="G665" s="7" t="str">
        <f>IF(Data!G665=Entry2!G665,Data!G665,"ERROR")</f>
        <v>SU</v>
      </c>
      <c r="H665" s="7">
        <f>IF(Data!H665=Entry2!H665,Data!H665,"ERROR")</f>
        <v>4</v>
      </c>
      <c r="I665" s="7">
        <f>IF(Data!I665=Entry2!I665,Data!I665,"ERROR")</f>
        <v>2</v>
      </c>
      <c r="J665" s="7">
        <f>IF(Data!J665=Entry2!J665,Data!J665,"ERROR")</f>
        <v>2</v>
      </c>
      <c r="K665" s="7" t="str">
        <f>IF(Data!K665=Entry2!K665,Data!K665,"ERROR")</f>
        <v>L</v>
      </c>
      <c r="L665" s="7" t="str">
        <f>IF(Data!L665=Entry2!L665,Data!L665,"ERROR")</f>
        <v>ERROR</v>
      </c>
      <c r="M665" s="7">
        <f>IF(Data!N665=Entry2!M665,Data!N665,"ERROR")</f>
        <v>0</v>
      </c>
    </row>
    <row r="666" spans="1:13" ht="13.2" x14ac:dyDescent="0.25">
      <c r="A666" s="7">
        <f>IF(Data!A666=Entry2!A666,Data!A666,"ERROR")</f>
        <v>14</v>
      </c>
      <c r="B666" s="7">
        <f>IF(Data!B666=Entry2!B666,Data!B666,"ERROR")</f>
        <v>2023</v>
      </c>
      <c r="C666" s="17">
        <f>IF(Data!C666=Entry2!C666,Data!C666,"ERROR")</f>
        <v>45197</v>
      </c>
      <c r="D666" s="7" t="str">
        <f>IF(Data!D666=Entry2!D666,Data!D666,"ERROR")</f>
        <v>MP, TL, MG</v>
      </c>
      <c r="E666" s="7" t="str">
        <f>IF(Data!E666=Entry2!E666,Data!E666,"ERROR")</f>
        <v>VB</v>
      </c>
      <c r="F666" s="7">
        <f>IF(Data!F666=Entry2!F666,Data!F666,"ERROR")</f>
        <v>3</v>
      </c>
      <c r="G666" s="7" t="str">
        <f>IF(Data!G666=Entry2!G666,Data!G666,"ERROR")</f>
        <v>SU</v>
      </c>
      <c r="H666" s="7">
        <f>IF(Data!H666=Entry2!H666,Data!H666,"ERROR")</f>
        <v>5</v>
      </c>
      <c r="I666" s="7">
        <f>IF(Data!I666=Entry2!I666,Data!I666,"ERROR")</f>
        <v>2</v>
      </c>
      <c r="J666" s="7">
        <f>IF(Data!J666=Entry2!J666,Data!J666,"ERROR")</f>
        <v>3</v>
      </c>
      <c r="K666" s="7" t="str">
        <f>IF(Data!K666=Entry2!K666,Data!K666,"ERROR")</f>
        <v>B</v>
      </c>
      <c r="L666" s="7" t="str">
        <f>IF(Data!L666=Entry2!L666,Data!L666,"ERROR")</f>
        <v>ERROR</v>
      </c>
      <c r="M666" s="7">
        <f>IF(Data!N666=Entry2!M666,Data!N666,"ERROR")</f>
        <v>0</v>
      </c>
    </row>
    <row r="667" spans="1:13" ht="13.2" x14ac:dyDescent="0.25">
      <c r="A667" s="7">
        <f>IF(Data!A667=Entry2!A667,Data!A667,"ERROR")</f>
        <v>14</v>
      </c>
      <c r="B667" s="7">
        <f>IF(Data!B667=Entry2!B667,Data!B667,"ERROR")</f>
        <v>2023</v>
      </c>
      <c r="C667" s="17">
        <f>IF(Data!C667=Entry2!C667,Data!C667,"ERROR")</f>
        <v>45197</v>
      </c>
      <c r="D667" s="7" t="str">
        <f>IF(Data!D667=Entry2!D667,Data!D667,"ERROR")</f>
        <v>MP, TL, MG</v>
      </c>
      <c r="E667" s="7" t="str">
        <f>IF(Data!E667=Entry2!E667,Data!E667,"ERROR")</f>
        <v>VB</v>
      </c>
      <c r="F667" s="7">
        <f>IF(Data!F667=Entry2!F667,Data!F667,"ERROR")</f>
        <v>3</v>
      </c>
      <c r="G667" s="7" t="str">
        <f>IF(Data!G667=Entry2!G667,Data!G667,"ERROR")</f>
        <v>SU</v>
      </c>
      <c r="H667" s="7">
        <f>IF(Data!H667=Entry2!H667,Data!H667,"ERROR")</f>
        <v>6</v>
      </c>
      <c r="I667" s="7">
        <f>IF(Data!I667=Entry2!I667,Data!I667,"ERROR")</f>
        <v>2</v>
      </c>
      <c r="J667" s="7">
        <f>IF(Data!J667=Entry2!J667,Data!J667,"ERROR")</f>
        <v>3.5</v>
      </c>
      <c r="K667" s="7" t="str">
        <f>IF(Data!K667=Entry2!K667,Data!K667,"ERROR")</f>
        <v>B</v>
      </c>
      <c r="L667" s="7" t="str">
        <f>IF(Data!L667=Entry2!L667,Data!L667,"ERROR")</f>
        <v>ERROR</v>
      </c>
      <c r="M667" s="7">
        <f>IF(Data!N667=Entry2!M667,Data!N667,"ERROR")</f>
        <v>0</v>
      </c>
    </row>
    <row r="668" spans="1:13" ht="13.2" x14ac:dyDescent="0.25">
      <c r="A668" s="7">
        <f>IF(Data!A668=Entry2!A668,Data!A668,"ERROR")</f>
        <v>14</v>
      </c>
      <c r="B668" s="7">
        <f>IF(Data!B668=Entry2!B668,Data!B668,"ERROR")</f>
        <v>2023</v>
      </c>
      <c r="C668" s="17">
        <f>IF(Data!C668=Entry2!C668,Data!C668,"ERROR")</f>
        <v>45197</v>
      </c>
      <c r="D668" s="7" t="str">
        <f>IF(Data!D668=Entry2!D668,Data!D668,"ERROR")</f>
        <v>MP, TL, MG</v>
      </c>
      <c r="E668" s="7" t="str">
        <f>IF(Data!E668=Entry2!E668,Data!E668,"ERROR")</f>
        <v>VB</v>
      </c>
      <c r="F668" s="7">
        <f>IF(Data!F668=Entry2!F668,Data!F668,"ERROR")</f>
        <v>3</v>
      </c>
      <c r="G668" s="7" t="str">
        <f>IF(Data!G668=Entry2!G668,Data!G668,"ERROR")</f>
        <v>SU</v>
      </c>
      <c r="H668" s="7">
        <f>IF(Data!H668=Entry2!H668,Data!H668,"ERROR")</f>
        <v>7</v>
      </c>
      <c r="I668" s="7">
        <f>IF(Data!I668=Entry2!I668,Data!I668,"ERROR")</f>
        <v>2</v>
      </c>
      <c r="J668" s="7">
        <f>IF(Data!J668=Entry2!J668,Data!J668,"ERROR")</f>
        <v>4</v>
      </c>
      <c r="K668" s="7" t="str">
        <f>IF(Data!K668=Entry2!K668,Data!K668,"ERROR")</f>
        <v>L</v>
      </c>
      <c r="L668" s="7" t="str">
        <f>IF(Data!L668=Entry2!L668,Data!L668,"ERROR")</f>
        <v>ERROR</v>
      </c>
      <c r="M668" s="7">
        <f>IF(Data!N668=Entry2!M668,Data!N668,"ERROR")</f>
        <v>0</v>
      </c>
    </row>
    <row r="669" spans="1:13" ht="13.2" x14ac:dyDescent="0.25">
      <c r="A669" s="7">
        <f>IF(Data!A669=Entry2!A669,Data!A669,"ERROR")</f>
        <v>14</v>
      </c>
      <c r="B669" s="7">
        <f>IF(Data!B669=Entry2!B669,Data!B669,"ERROR")</f>
        <v>2023</v>
      </c>
      <c r="C669" s="17">
        <f>IF(Data!C669=Entry2!C669,Data!C669,"ERROR")</f>
        <v>45197</v>
      </c>
      <c r="D669" s="7" t="str">
        <f>IF(Data!D669=Entry2!D669,Data!D669,"ERROR")</f>
        <v>MP, TL, MG</v>
      </c>
      <c r="E669" s="7" t="str">
        <f>IF(Data!E669=Entry2!E669,Data!E669,"ERROR")</f>
        <v>VB</v>
      </c>
      <c r="F669" s="7">
        <f>IF(Data!F669=Entry2!F669,Data!F669,"ERROR")</f>
        <v>3</v>
      </c>
      <c r="G669" s="7" t="str">
        <f>IF(Data!G669=Entry2!G669,Data!G669,"ERROR")</f>
        <v>SU</v>
      </c>
      <c r="H669" s="7">
        <f>IF(Data!H669=Entry2!H669,Data!H669,"ERROR")</f>
        <v>7</v>
      </c>
      <c r="I669" s="7">
        <f>IF(Data!I669=Entry2!I669,Data!I669,"ERROR")</f>
        <v>2</v>
      </c>
      <c r="J669" s="7">
        <f>IF(Data!J669=Entry2!J669,Data!J669,"ERROR")</f>
        <v>4</v>
      </c>
      <c r="K669" s="7" t="str">
        <f>IF(Data!K669=Entry2!K669,Data!K669,"ERROR")</f>
        <v>LAECOU</v>
      </c>
      <c r="L669" s="7" t="str">
        <f>IF(Data!L669=Entry2!L669,Data!L669,"ERROR")</f>
        <v>ERROR</v>
      </c>
      <c r="M669" s="7">
        <f>IF(Data!N669=Entry2!M669,Data!N669,"ERROR")</f>
        <v>0</v>
      </c>
    </row>
    <row r="670" spans="1:13" ht="13.2" x14ac:dyDescent="0.25">
      <c r="A670" s="7">
        <f>IF(Data!A670=Entry2!A670,Data!A670,"ERROR")</f>
        <v>14</v>
      </c>
      <c r="B670" s="7">
        <f>IF(Data!B670=Entry2!B670,Data!B670,"ERROR")</f>
        <v>2023</v>
      </c>
      <c r="C670" s="17">
        <f>IF(Data!C670=Entry2!C670,Data!C670,"ERROR")</f>
        <v>45197</v>
      </c>
      <c r="D670" s="7" t="str">
        <f>IF(Data!D670=Entry2!D670,Data!D670,"ERROR")</f>
        <v>MP, TL, MG</v>
      </c>
      <c r="E670" s="7" t="str">
        <f>IF(Data!E670=Entry2!E670,Data!E670,"ERROR")</f>
        <v>VB</v>
      </c>
      <c r="F670" s="7">
        <f>IF(Data!F670=Entry2!F670,Data!F670,"ERROR")</f>
        <v>3</v>
      </c>
      <c r="G670" s="7" t="str">
        <f>IF(Data!G670=Entry2!G670,Data!G670,"ERROR")</f>
        <v>SU</v>
      </c>
      <c r="H670" s="7">
        <f>IF(Data!H670=Entry2!H670,Data!H670,"ERROR")</f>
        <v>8</v>
      </c>
      <c r="I670" s="7">
        <f>IF(Data!I670=Entry2!I670,Data!I670,"ERROR")</f>
        <v>2</v>
      </c>
      <c r="J670" s="7">
        <f>IF(Data!J670=Entry2!J670,Data!J670,"ERROR")</f>
        <v>5</v>
      </c>
      <c r="K670" s="7" t="str">
        <f>IF(Data!K670=Entry2!K670,Data!K670,"ERROR")</f>
        <v>L</v>
      </c>
      <c r="L670" s="7" t="str">
        <f>IF(Data!L670=Entry2!L670,Data!L670,"ERROR")</f>
        <v>ERROR</v>
      </c>
      <c r="M670" s="7">
        <f>IF(Data!N670=Entry2!M670,Data!N670,"ERROR")</f>
        <v>0</v>
      </c>
    </row>
    <row r="671" spans="1:13" ht="13.2" x14ac:dyDescent="0.25">
      <c r="A671" s="7">
        <f>IF(Data!A671=Entry2!A671,Data!A671,"ERROR")</f>
        <v>14</v>
      </c>
      <c r="B671" s="7">
        <f>IF(Data!B671=Entry2!B671,Data!B671,"ERROR")</f>
        <v>2023</v>
      </c>
      <c r="C671" s="17">
        <f>IF(Data!C671=Entry2!C671,Data!C671,"ERROR")</f>
        <v>45197</v>
      </c>
      <c r="D671" s="7" t="str">
        <f>IF(Data!D671=Entry2!D671,Data!D671,"ERROR")</f>
        <v>MP, TL, MG</v>
      </c>
      <c r="E671" s="7" t="str">
        <f>IF(Data!E671=Entry2!E671,Data!E671,"ERROR")</f>
        <v>VB</v>
      </c>
      <c r="F671" s="7">
        <f>IF(Data!F671=Entry2!F671,Data!F671,"ERROR")</f>
        <v>3</v>
      </c>
      <c r="G671" s="7" t="str">
        <f>IF(Data!G671=Entry2!G671,Data!G671,"ERROR")</f>
        <v>SU</v>
      </c>
      <c r="H671" s="7">
        <f>IF(Data!H671=Entry2!H671,Data!H671,"ERROR")</f>
        <v>9</v>
      </c>
      <c r="I671" s="7">
        <f>IF(Data!I671=Entry2!I671,Data!I671,"ERROR")</f>
        <v>2</v>
      </c>
      <c r="J671" s="7">
        <f>IF(Data!J671=Entry2!J671,Data!J671,"ERROR")</f>
        <v>7</v>
      </c>
      <c r="K671" s="7" t="str">
        <f>IF(Data!K671=Entry2!K671,Data!K671,"ERROR")</f>
        <v>B</v>
      </c>
      <c r="L671" s="7" t="str">
        <f>IF(Data!L671=Entry2!L671,Data!L671,"ERROR")</f>
        <v>ERROR</v>
      </c>
      <c r="M671" s="7">
        <f>IF(Data!N671=Entry2!M671,Data!N671,"ERROR")</f>
        <v>0</v>
      </c>
    </row>
    <row r="672" spans="1:13" ht="13.2" x14ac:dyDescent="0.25">
      <c r="A672" s="7">
        <f>IF(Data!A672=Entry2!A672,Data!A672,"ERROR")</f>
        <v>14</v>
      </c>
      <c r="B672" s="7">
        <f>IF(Data!B672=Entry2!B672,Data!B672,"ERROR")</f>
        <v>2023</v>
      </c>
      <c r="C672" s="17">
        <f>IF(Data!C672=Entry2!C672,Data!C672,"ERROR")</f>
        <v>45197</v>
      </c>
      <c r="D672" s="7" t="str">
        <f>IF(Data!D672=Entry2!D672,Data!D672,"ERROR")</f>
        <v>MP, TL, MG</v>
      </c>
      <c r="E672" s="7" t="str">
        <f>IF(Data!E672=Entry2!E672,Data!E672,"ERROR")</f>
        <v>VB</v>
      </c>
      <c r="F672" s="7">
        <f>IF(Data!F672=Entry2!F672,Data!F672,"ERROR")</f>
        <v>3</v>
      </c>
      <c r="G672" s="7" t="str">
        <f>IF(Data!G672=Entry2!G672,Data!G672,"ERROR")</f>
        <v>SU</v>
      </c>
      <c r="H672" s="7">
        <f>IF(Data!H672=Entry2!H672,Data!H672,"ERROR")</f>
        <v>10</v>
      </c>
      <c r="I672" s="7">
        <f>IF(Data!I672=Entry2!I672,Data!I672,"ERROR")</f>
        <v>2</v>
      </c>
      <c r="J672" s="7">
        <f>IF(Data!J672=Entry2!J672,Data!J672,"ERROR")</f>
        <v>8</v>
      </c>
      <c r="K672" s="7" t="str">
        <f>IF(Data!K672=Entry2!K672,Data!K672,"ERROR")</f>
        <v>L</v>
      </c>
      <c r="L672" s="7" t="str">
        <f>IF(Data!L672=Entry2!L672,Data!L672,"ERROR")</f>
        <v>ERROR</v>
      </c>
      <c r="M672" s="7">
        <f>IF(Data!N672=Entry2!M672,Data!N672,"ERROR")</f>
        <v>0</v>
      </c>
    </row>
    <row r="673" spans="1:13" ht="13.2" x14ac:dyDescent="0.25">
      <c r="A673" s="7">
        <f>IF(Data!A673=Entry2!A673,Data!A673,"ERROR")</f>
        <v>14</v>
      </c>
      <c r="B673" s="7">
        <f>IF(Data!B673=Entry2!B673,Data!B673,"ERROR")</f>
        <v>2023</v>
      </c>
      <c r="C673" s="17">
        <f>IF(Data!C673=Entry2!C673,Data!C673,"ERROR")</f>
        <v>45197</v>
      </c>
      <c r="D673" s="7" t="str">
        <f>IF(Data!D673=Entry2!D673,Data!D673,"ERROR")</f>
        <v>MP, TL, MG</v>
      </c>
      <c r="E673" s="7" t="str">
        <f>IF(Data!E673=Entry2!E673,Data!E673,"ERROR")</f>
        <v>VB</v>
      </c>
      <c r="F673" s="7">
        <f>IF(Data!F673=Entry2!F673,Data!F673,"ERROR")</f>
        <v>3</v>
      </c>
      <c r="G673" s="7" t="str">
        <f>IF(Data!G673=Entry2!G673,Data!G673,"ERROR")</f>
        <v>SU</v>
      </c>
      <c r="H673" s="7">
        <f>IF(Data!H673=Entry2!H673,Data!H673,"ERROR")</f>
        <v>11</v>
      </c>
      <c r="I673" s="7">
        <f>IF(Data!I673=Entry2!I673,Data!I673,"ERROR")</f>
        <v>2</v>
      </c>
      <c r="J673" s="7">
        <f>IF(Data!J673=Entry2!J673,Data!J673,"ERROR")</f>
        <v>8.5</v>
      </c>
      <c r="K673" s="7" t="str">
        <f>IF(Data!K673=Entry2!K673,Data!K673,"ERROR")</f>
        <v>B</v>
      </c>
      <c r="L673" s="7" t="str">
        <f>IF(Data!L673=Entry2!L673,Data!L673,"ERROR")</f>
        <v>ERROR</v>
      </c>
      <c r="M673" s="7">
        <f>IF(Data!N673=Entry2!M673,Data!N673,"ERROR")</f>
        <v>0</v>
      </c>
    </row>
    <row r="674" spans="1:13" ht="13.2" x14ac:dyDescent="0.25">
      <c r="A674" s="7">
        <f>IF(Data!A674=Entry2!A674,Data!A674,"ERROR")</f>
        <v>14</v>
      </c>
      <c r="B674" s="7">
        <f>IF(Data!B674=Entry2!B674,Data!B674,"ERROR")</f>
        <v>2023</v>
      </c>
      <c r="C674" s="17">
        <f>IF(Data!C674=Entry2!C674,Data!C674,"ERROR")</f>
        <v>45197</v>
      </c>
      <c r="D674" s="7" t="str">
        <f>IF(Data!D674=Entry2!D674,Data!D674,"ERROR")</f>
        <v>MP, TL, MG</v>
      </c>
      <c r="E674" s="7" t="str">
        <f>IF(Data!E674=Entry2!E674,Data!E674,"ERROR")</f>
        <v>VB</v>
      </c>
      <c r="F674" s="7">
        <f>IF(Data!F674=Entry2!F674,Data!F674,"ERROR")</f>
        <v>3</v>
      </c>
      <c r="G674" s="7" t="str">
        <f>IF(Data!G674=Entry2!G674,Data!G674,"ERROR")</f>
        <v>SU</v>
      </c>
      <c r="H674" s="7">
        <f>IF(Data!H674=Entry2!H674,Data!H674,"ERROR")</f>
        <v>12</v>
      </c>
      <c r="I674" s="7">
        <f>IF(Data!I674=Entry2!I674,Data!I674,"ERROR")</f>
        <v>2</v>
      </c>
      <c r="J674" s="7">
        <f>IF(Data!J674=Entry2!J674,Data!J674,"ERROR")</f>
        <v>9</v>
      </c>
      <c r="K674" s="7" t="str">
        <f>IF(Data!K674=Entry2!K674,Data!K674,"ERROR")</f>
        <v>L</v>
      </c>
      <c r="L674" s="7" t="str">
        <f>IF(Data!L674=Entry2!L674,Data!L674,"ERROR")</f>
        <v>ERROR</v>
      </c>
      <c r="M674" s="7">
        <f>IF(Data!N674=Entry2!M674,Data!N674,"ERROR")</f>
        <v>0</v>
      </c>
    </row>
    <row r="675" spans="1:13" ht="13.2" x14ac:dyDescent="0.25">
      <c r="A675" s="7">
        <f>IF(Data!A675=Entry2!A675,Data!A675,"ERROR")</f>
        <v>14</v>
      </c>
      <c r="B675" s="7">
        <f>IF(Data!B675=Entry2!B675,Data!B675,"ERROR")</f>
        <v>2023</v>
      </c>
      <c r="C675" s="17">
        <f>IF(Data!C675=Entry2!C675,Data!C675,"ERROR")</f>
        <v>45197</v>
      </c>
      <c r="D675" s="7" t="str">
        <f>IF(Data!D675=Entry2!D675,Data!D675,"ERROR")</f>
        <v>MP, TL, MG</v>
      </c>
      <c r="E675" s="7" t="str">
        <f>IF(Data!E675=Entry2!E675,Data!E675,"ERROR")</f>
        <v>VB</v>
      </c>
      <c r="F675" s="7">
        <f>IF(Data!F675=Entry2!F675,Data!F675,"ERROR")</f>
        <v>3</v>
      </c>
      <c r="G675" s="7" t="str">
        <f>IF(Data!G675=Entry2!G675,Data!G675,"ERROR")</f>
        <v>SU</v>
      </c>
      <c r="H675" s="7">
        <f>IF(Data!H675=Entry2!H675,Data!H675,"ERROR")</f>
        <v>13</v>
      </c>
      <c r="I675" s="7">
        <f>IF(Data!I675=Entry2!I675,Data!I675,"ERROR")</f>
        <v>2</v>
      </c>
      <c r="J675" s="7">
        <f>IF(Data!J675=Entry2!J675,Data!J675,"ERROR")</f>
        <v>10</v>
      </c>
      <c r="K675" s="7" t="str">
        <f>IF(Data!K675=Entry2!K675,Data!K675,"ERROR")</f>
        <v>L</v>
      </c>
      <c r="L675" s="7" t="str">
        <f>IF(Data!L675=Entry2!L675,Data!L675,"ERROR")</f>
        <v>ERROR</v>
      </c>
      <c r="M675" s="7">
        <f>IF(Data!N675=Entry2!M675,Data!N675,"ERROR")</f>
        <v>0</v>
      </c>
    </row>
    <row r="676" spans="1:13" ht="13.2" x14ac:dyDescent="0.25">
      <c r="A676" s="7">
        <f>IF(Data!A676=Entry2!A676,Data!A676,"ERROR")</f>
        <v>14</v>
      </c>
      <c r="B676" s="7">
        <f>IF(Data!B676=Entry2!B676,Data!B676,"ERROR")</f>
        <v>2023</v>
      </c>
      <c r="C676" s="17">
        <f>IF(Data!C676=Entry2!C676,Data!C676,"ERROR")</f>
        <v>45197</v>
      </c>
      <c r="D676" s="7" t="str">
        <f>IF(Data!D676=Entry2!D676,Data!D676,"ERROR")</f>
        <v>MP, TL, MG</v>
      </c>
      <c r="E676" s="7" t="str">
        <f>IF(Data!E676=Entry2!E676,Data!E676,"ERROR")</f>
        <v>VB</v>
      </c>
      <c r="F676" s="7">
        <f>IF(Data!F676=Entry2!F676,Data!F676,"ERROR")</f>
        <v>3</v>
      </c>
      <c r="G676" s="7" t="str">
        <f>IF(Data!G676=Entry2!G676,Data!G676,"ERROR")</f>
        <v>SU</v>
      </c>
      <c r="H676" s="7">
        <f>IF(Data!H676=Entry2!H676,Data!H676,"ERROR")</f>
        <v>14</v>
      </c>
      <c r="I676" s="7">
        <f>IF(Data!I676=Entry2!I676,Data!I676,"ERROR")</f>
        <v>2</v>
      </c>
      <c r="J676" s="7">
        <f>IF(Data!J676=Entry2!J676,Data!J676,"ERROR")</f>
        <v>11</v>
      </c>
      <c r="K676" s="7" t="str">
        <f>IF(Data!K676=Entry2!K676,Data!K676,"ERROR")</f>
        <v>S</v>
      </c>
      <c r="L676" s="7" t="str">
        <f>IF(Data!L676=Entry2!L676,Data!L676,"ERROR")</f>
        <v>ERROR</v>
      </c>
      <c r="M676" s="7">
        <f>IF(Data!N676=Entry2!M676,Data!N676,"ERROR")</f>
        <v>0</v>
      </c>
    </row>
    <row r="677" spans="1:13" ht="13.2" x14ac:dyDescent="0.25">
      <c r="A677" s="7">
        <f>IF(Data!A677=Entry2!A677,Data!A677,"ERROR")</f>
        <v>14</v>
      </c>
      <c r="B677" s="7">
        <f>IF(Data!B677=Entry2!B677,Data!B677,"ERROR")</f>
        <v>2023</v>
      </c>
      <c r="C677" s="17">
        <f>IF(Data!C677=Entry2!C677,Data!C677,"ERROR")</f>
        <v>45197</v>
      </c>
      <c r="D677" s="7" t="str">
        <f>IF(Data!D677=Entry2!D677,Data!D677,"ERROR")</f>
        <v>MP, TL, MG</v>
      </c>
      <c r="E677" s="7" t="str">
        <f>IF(Data!E677=Entry2!E677,Data!E677,"ERROR")</f>
        <v>VB</v>
      </c>
      <c r="F677" s="7">
        <f>IF(Data!F677=Entry2!F677,Data!F677,"ERROR")</f>
        <v>3</v>
      </c>
      <c r="G677" s="7" t="str">
        <f>IF(Data!G677=Entry2!G677,Data!G677,"ERROR")</f>
        <v>SU</v>
      </c>
      <c r="H677" s="7">
        <f>IF(Data!H677=Entry2!H677,Data!H677,"ERROR")</f>
        <v>14</v>
      </c>
      <c r="I677" s="7">
        <f>IF(Data!I677=Entry2!I677,Data!I677,"ERROR")</f>
        <v>2</v>
      </c>
      <c r="J677" s="7">
        <f>IF(Data!J677=Entry2!J677,Data!J677,"ERROR")</f>
        <v>11</v>
      </c>
      <c r="K677" s="7" t="str">
        <f>IF(Data!K677=Entry2!K677,Data!K677,"ERROR")</f>
        <v>CENMEL</v>
      </c>
      <c r="L677" s="7" t="str">
        <f>IF(Data!L677=Entry2!L677,Data!L677,"ERROR")</f>
        <v>ERROR</v>
      </c>
      <c r="M677" s="7">
        <f>IF(Data!N677=Entry2!M677,Data!N677,"ERROR")</f>
        <v>0</v>
      </c>
    </row>
    <row r="678" spans="1:13" ht="13.2" x14ac:dyDescent="0.25">
      <c r="A678" s="7">
        <f>IF(Data!A678=Entry2!A678,Data!A678,"ERROR")</f>
        <v>14</v>
      </c>
      <c r="B678" s="7">
        <f>IF(Data!B678=Entry2!B678,Data!B678,"ERROR")</f>
        <v>2023</v>
      </c>
      <c r="C678" s="17">
        <f>IF(Data!C678=Entry2!C678,Data!C678,"ERROR")</f>
        <v>45197</v>
      </c>
      <c r="D678" s="7" t="str">
        <f>IF(Data!D678=Entry2!D678,Data!D678,"ERROR")</f>
        <v>MP, TL, MG</v>
      </c>
      <c r="E678" s="7" t="str">
        <f>IF(Data!E678=Entry2!E678,Data!E678,"ERROR")</f>
        <v>VB</v>
      </c>
      <c r="F678" s="7">
        <f>IF(Data!F678=Entry2!F678,Data!F678,"ERROR")</f>
        <v>3</v>
      </c>
      <c r="G678" s="7" t="str">
        <f>IF(Data!G678=Entry2!G678,Data!G678,"ERROR")</f>
        <v>SU</v>
      </c>
      <c r="H678" s="7">
        <f>IF(Data!H678=Entry2!H678,Data!H678,"ERROR")</f>
        <v>15</v>
      </c>
      <c r="I678" s="7">
        <f>IF(Data!I678=Entry2!I678,Data!I678,"ERROR")</f>
        <v>2</v>
      </c>
      <c r="J678" s="7">
        <f>IF(Data!J678=Entry2!J678,Data!J678,"ERROR")</f>
        <v>12</v>
      </c>
      <c r="K678" s="7" t="str">
        <f>IF(Data!K678=Entry2!K678,Data!K678,"ERROR")</f>
        <v>B</v>
      </c>
      <c r="L678" s="7" t="str">
        <f>IF(Data!L678=Entry2!L678,Data!L678,"ERROR")</f>
        <v>ERROR</v>
      </c>
      <c r="M678" s="7">
        <f>IF(Data!N678=Entry2!M678,Data!N678,"ERROR")</f>
        <v>0</v>
      </c>
    </row>
    <row r="679" spans="1:13" ht="13.2" x14ac:dyDescent="0.25">
      <c r="A679" s="7">
        <f>IF(Data!A679=Entry2!A679,Data!A679,"ERROR")</f>
        <v>15</v>
      </c>
      <c r="B679" s="7">
        <f>IF(Data!B679=Entry2!B679,Data!B679,"ERROR")</f>
        <v>2023</v>
      </c>
      <c r="C679" s="17">
        <f>IF(Data!C679=Entry2!C679,Data!C679,"ERROR")</f>
        <v>45197</v>
      </c>
      <c r="D679" s="7" t="str">
        <f>IF(Data!D679=Entry2!D679,Data!D679,"ERROR")</f>
        <v>MP, TL, MG</v>
      </c>
      <c r="E679" s="7" t="str">
        <f>IF(Data!E679=Entry2!E679,Data!E679,"ERROR")</f>
        <v>VB</v>
      </c>
      <c r="F679" s="7">
        <f>IF(Data!F679=Entry2!F679,Data!F679,"ERROR")</f>
        <v>3</v>
      </c>
      <c r="G679" s="7" t="str">
        <f>IF(Data!G679=Entry2!G679,Data!G679,"ERROR")</f>
        <v>LS</v>
      </c>
      <c r="H679" s="7">
        <f>IF(Data!H679=Entry2!H679,Data!H679,"ERROR")</f>
        <v>1</v>
      </c>
      <c r="I679" s="7">
        <f>IF(Data!I679=Entry2!I679,Data!I679,"ERROR")</f>
        <v>1</v>
      </c>
      <c r="J679" s="7">
        <f>IF(Data!J679=Entry2!J679,Data!J679,"ERROR")</f>
        <v>0</v>
      </c>
      <c r="K679" s="7" t="str">
        <f>IF(Data!K679=Entry2!K679,Data!K679,"ERROR")</f>
        <v>B</v>
      </c>
      <c r="L679" s="7" t="str">
        <f>IF(Data!L679=Entry2!L679,Data!L679,"ERROR")</f>
        <v>ERROR</v>
      </c>
      <c r="M679" s="7">
        <f>IF(Data!N679=Entry2!M679,Data!N679,"ERROR")</f>
        <v>0</v>
      </c>
    </row>
    <row r="680" spans="1:13" ht="13.2" x14ac:dyDescent="0.25">
      <c r="A680" s="7">
        <f>IF(Data!A680=Entry2!A680,Data!A680,"ERROR")</f>
        <v>15</v>
      </c>
      <c r="B680" s="7">
        <f>IF(Data!B680=Entry2!B680,Data!B680,"ERROR")</f>
        <v>2023</v>
      </c>
      <c r="C680" s="17">
        <f>IF(Data!C680=Entry2!C680,Data!C680,"ERROR")</f>
        <v>45197</v>
      </c>
      <c r="D680" s="7" t="str">
        <f>IF(Data!D680=Entry2!D680,Data!D680,"ERROR")</f>
        <v>MP, TL, MG</v>
      </c>
      <c r="E680" s="7" t="str">
        <f>IF(Data!E680=Entry2!E680,Data!E680,"ERROR")</f>
        <v>VB</v>
      </c>
      <c r="F680" s="7">
        <f>IF(Data!F680=Entry2!F680,Data!F680,"ERROR")</f>
        <v>3</v>
      </c>
      <c r="G680" s="7" t="str">
        <f>IF(Data!G680=Entry2!G680,Data!G680,"ERROR")</f>
        <v>LS</v>
      </c>
      <c r="H680" s="7">
        <f>IF(Data!H680=Entry2!H680,Data!H680,"ERROR")</f>
        <v>1</v>
      </c>
      <c r="I680" s="7">
        <f>IF(Data!I680=Entry2!I680,Data!I680,"ERROR")</f>
        <v>1</v>
      </c>
      <c r="J680" s="7">
        <f>IF(Data!J680=Entry2!J680,Data!J680,"ERROR")</f>
        <v>0</v>
      </c>
      <c r="K680" s="7" t="str">
        <f>IF(Data!K680=Entry2!K680,Data!K680,"ERROR")</f>
        <v>LAECOU</v>
      </c>
      <c r="L680" s="7" t="str">
        <f>IF(Data!L680=Entry2!L680,Data!L680,"ERROR")</f>
        <v>ERROR</v>
      </c>
      <c r="M680" s="7">
        <f>IF(Data!N680=Entry2!M680,Data!N680,"ERROR")</f>
        <v>0</v>
      </c>
    </row>
    <row r="681" spans="1:13" ht="13.2" x14ac:dyDescent="0.25">
      <c r="A681" s="7">
        <f>IF(Data!A681=Entry2!A681,Data!A681,"ERROR")</f>
        <v>15</v>
      </c>
      <c r="B681" s="7">
        <f>IF(Data!B681=Entry2!B681,Data!B681,"ERROR")</f>
        <v>2023</v>
      </c>
      <c r="C681" s="17">
        <f>IF(Data!C681=Entry2!C681,Data!C681,"ERROR")</f>
        <v>45197</v>
      </c>
      <c r="D681" s="7" t="str">
        <f>IF(Data!D681=Entry2!D681,Data!D681,"ERROR")</f>
        <v>MP, TL, MG</v>
      </c>
      <c r="E681" s="7" t="str">
        <f>IF(Data!E681=Entry2!E681,Data!E681,"ERROR")</f>
        <v>VB</v>
      </c>
      <c r="F681" s="7">
        <f>IF(Data!F681=Entry2!F681,Data!F681,"ERROR")</f>
        <v>3</v>
      </c>
      <c r="G681" s="7" t="str">
        <f>IF(Data!G681=Entry2!G681,Data!G681,"ERROR")</f>
        <v>LS</v>
      </c>
      <c r="H681" s="7">
        <f>IF(Data!H681=Entry2!H681,Data!H681,"ERROR")</f>
        <v>2</v>
      </c>
      <c r="I681" s="7">
        <f>IF(Data!I681=Entry2!I681,Data!I681,"ERROR")</f>
        <v>1</v>
      </c>
      <c r="J681" s="7">
        <f>IF(Data!J681=Entry2!J681,Data!J681,"ERROR")</f>
        <v>0.5</v>
      </c>
      <c r="K681" s="7" t="str">
        <f>IF(Data!K681=Entry2!K681,Data!K681,"ERROR")</f>
        <v>L</v>
      </c>
      <c r="L681" s="7" t="str">
        <f>IF(Data!L681=Entry2!L681,Data!L681,"ERROR")</f>
        <v>ERROR</v>
      </c>
      <c r="M681" s="7">
        <f>IF(Data!N681=Entry2!M681,Data!N681,"ERROR")</f>
        <v>0</v>
      </c>
    </row>
    <row r="682" spans="1:13" ht="13.2" x14ac:dyDescent="0.25">
      <c r="A682" s="7">
        <f>IF(Data!A682=Entry2!A682,Data!A682,"ERROR")</f>
        <v>15</v>
      </c>
      <c r="B682" s="7">
        <f>IF(Data!B682=Entry2!B682,Data!B682,"ERROR")</f>
        <v>2023</v>
      </c>
      <c r="C682" s="17">
        <f>IF(Data!C682=Entry2!C682,Data!C682,"ERROR")</f>
        <v>45197</v>
      </c>
      <c r="D682" s="7" t="str">
        <f>IF(Data!D682=Entry2!D682,Data!D682,"ERROR")</f>
        <v>MP, TL, MG</v>
      </c>
      <c r="E682" s="7" t="str">
        <f>IF(Data!E682=Entry2!E682,Data!E682,"ERROR")</f>
        <v>VB</v>
      </c>
      <c r="F682" s="7">
        <f>IF(Data!F682=Entry2!F682,Data!F682,"ERROR")</f>
        <v>3</v>
      </c>
      <c r="G682" s="7" t="str">
        <f>IF(Data!G682=Entry2!G682,Data!G682,"ERROR")</f>
        <v>LS</v>
      </c>
      <c r="H682" s="7">
        <f>IF(Data!H682=Entry2!H682,Data!H682,"ERROR")</f>
        <v>2</v>
      </c>
      <c r="I682" s="7">
        <f>IF(Data!I682=Entry2!I682,Data!I682,"ERROR")</f>
        <v>1</v>
      </c>
      <c r="J682" s="7">
        <f>IF(Data!J682=Entry2!J682,Data!J682,"ERROR")</f>
        <v>0.5</v>
      </c>
      <c r="K682" s="7" t="str">
        <f>IF(Data!K682=Entry2!K682,Data!K682,"ERROR")</f>
        <v>LAECOU</v>
      </c>
      <c r="L682" s="7" t="str">
        <f>IF(Data!L682=Entry2!L682,Data!L682,"ERROR")</f>
        <v>ERROR</v>
      </c>
      <c r="M682" s="7">
        <f>IF(Data!N682=Entry2!M682,Data!N682,"ERROR")</f>
        <v>0</v>
      </c>
    </row>
    <row r="683" spans="1:13" ht="13.2" x14ac:dyDescent="0.25">
      <c r="A683" s="7">
        <f>IF(Data!A683=Entry2!A683,Data!A683,"ERROR")</f>
        <v>15</v>
      </c>
      <c r="B683" s="7">
        <f>IF(Data!B683=Entry2!B683,Data!B683,"ERROR")</f>
        <v>2023</v>
      </c>
      <c r="C683" s="17">
        <f>IF(Data!C683=Entry2!C683,Data!C683,"ERROR")</f>
        <v>45197</v>
      </c>
      <c r="D683" s="7" t="str">
        <f>IF(Data!D683=Entry2!D683,Data!D683,"ERROR")</f>
        <v>MP, TL, MG</v>
      </c>
      <c r="E683" s="7" t="str">
        <f>IF(Data!E683=Entry2!E683,Data!E683,"ERROR")</f>
        <v>VB</v>
      </c>
      <c r="F683" s="7">
        <f>IF(Data!F683=Entry2!F683,Data!F683,"ERROR")</f>
        <v>3</v>
      </c>
      <c r="G683" s="7" t="str">
        <f>IF(Data!G683=Entry2!G683,Data!G683,"ERROR")</f>
        <v>LS</v>
      </c>
      <c r="H683" s="7">
        <f>IF(Data!H683=Entry2!H683,Data!H683,"ERROR")</f>
        <v>3</v>
      </c>
      <c r="I683" s="7">
        <f>IF(Data!I683=Entry2!I683,Data!I683,"ERROR")</f>
        <v>1</v>
      </c>
      <c r="J683" s="7">
        <f>IF(Data!J683=Entry2!J683,Data!J683,"ERROR")</f>
        <v>1</v>
      </c>
      <c r="K683" s="7" t="str">
        <f>IF(Data!K683=Entry2!K683,Data!K683,"ERROR")</f>
        <v>B</v>
      </c>
      <c r="L683" s="7" t="str">
        <f>IF(Data!L683=Entry2!L683,Data!L683,"ERROR")</f>
        <v>ERROR</v>
      </c>
      <c r="M683" s="7">
        <f>IF(Data!N683=Entry2!M683,Data!N683,"ERROR")</f>
        <v>0</v>
      </c>
    </row>
    <row r="684" spans="1:13" ht="13.2" x14ac:dyDescent="0.25">
      <c r="A684" s="7">
        <f>IF(Data!A684=Entry2!A684,Data!A684,"ERROR")</f>
        <v>15</v>
      </c>
      <c r="B684" s="7">
        <f>IF(Data!B684=Entry2!B684,Data!B684,"ERROR")</f>
        <v>2023</v>
      </c>
      <c r="C684" s="17">
        <f>IF(Data!C684=Entry2!C684,Data!C684,"ERROR")</f>
        <v>45197</v>
      </c>
      <c r="D684" s="7" t="str">
        <f>IF(Data!D684=Entry2!D684,Data!D684,"ERROR")</f>
        <v>MP, TL, MG</v>
      </c>
      <c r="E684" s="7" t="str">
        <f>IF(Data!E684=Entry2!E684,Data!E684,"ERROR")</f>
        <v>VB</v>
      </c>
      <c r="F684" s="7">
        <f>IF(Data!F684=Entry2!F684,Data!F684,"ERROR")</f>
        <v>3</v>
      </c>
      <c r="G684" s="7" t="str">
        <f>IF(Data!G684=Entry2!G684,Data!G684,"ERROR")</f>
        <v>LS</v>
      </c>
      <c r="H684" s="7">
        <f>IF(Data!H684=Entry2!H684,Data!H684,"ERROR")</f>
        <v>3</v>
      </c>
      <c r="I684" s="7">
        <f>IF(Data!I684=Entry2!I684,Data!I684,"ERROR")</f>
        <v>1</v>
      </c>
      <c r="J684" s="7">
        <f>IF(Data!J684=Entry2!J684,Data!J684,"ERROR")</f>
        <v>1</v>
      </c>
      <c r="K684" s="7" t="str">
        <f>IF(Data!K684=Entry2!K684,Data!K684,"ERROR")</f>
        <v>CENMEL</v>
      </c>
      <c r="L684" s="7" t="str">
        <f>IF(Data!L684=Entry2!L684,Data!L684,"ERROR")</f>
        <v>ERROR</v>
      </c>
      <c r="M684" s="7">
        <f>IF(Data!N684=Entry2!M684,Data!N684,"ERROR")</f>
        <v>0</v>
      </c>
    </row>
    <row r="685" spans="1:13" ht="13.2" x14ac:dyDescent="0.25">
      <c r="A685" s="7">
        <f>IF(Data!A685=Entry2!A685,Data!A685,"ERROR")</f>
        <v>15</v>
      </c>
      <c r="B685" s="7">
        <f>IF(Data!B685=Entry2!B685,Data!B685,"ERROR")</f>
        <v>2023</v>
      </c>
      <c r="C685" s="17">
        <f>IF(Data!C685=Entry2!C685,Data!C685,"ERROR")</f>
        <v>45197</v>
      </c>
      <c r="D685" s="7" t="str">
        <f>IF(Data!D685=Entry2!D685,Data!D685,"ERROR")</f>
        <v>MP, TL, MG</v>
      </c>
      <c r="E685" s="7" t="str">
        <f>IF(Data!E685=Entry2!E685,Data!E685,"ERROR")</f>
        <v>VB</v>
      </c>
      <c r="F685" s="7">
        <f>IF(Data!F685=Entry2!F685,Data!F685,"ERROR")</f>
        <v>3</v>
      </c>
      <c r="G685" s="7" t="str">
        <f>IF(Data!G685=Entry2!G685,Data!G685,"ERROR")</f>
        <v>LS</v>
      </c>
      <c r="H685" s="7">
        <f>IF(Data!H685=Entry2!H685,Data!H685,"ERROR")</f>
        <v>4</v>
      </c>
      <c r="I685" s="7">
        <f>IF(Data!I685=Entry2!I685,Data!I685,"ERROR")</f>
        <v>1</v>
      </c>
      <c r="J685" s="7">
        <f>IF(Data!J685=Entry2!J685,Data!J685,"ERROR")</f>
        <v>1.5</v>
      </c>
      <c r="K685" s="7" t="str">
        <f>IF(Data!K685=Entry2!K685,Data!K685,"ERROR")</f>
        <v>B</v>
      </c>
      <c r="L685" s="7" t="str">
        <f>IF(Data!L685=Entry2!L685,Data!L685,"ERROR")</f>
        <v>ERROR</v>
      </c>
      <c r="M685" s="7">
        <f>IF(Data!N685=Entry2!M685,Data!N685,"ERROR")</f>
        <v>0</v>
      </c>
    </row>
    <row r="686" spans="1:13" ht="13.2" x14ac:dyDescent="0.25">
      <c r="A686" s="7">
        <f>IF(Data!A686=Entry2!A686,Data!A686,"ERROR")</f>
        <v>15</v>
      </c>
      <c r="B686" s="7">
        <f>IF(Data!B686=Entry2!B686,Data!B686,"ERROR")</f>
        <v>2023</v>
      </c>
      <c r="C686" s="17">
        <f>IF(Data!C686=Entry2!C686,Data!C686,"ERROR")</f>
        <v>45197</v>
      </c>
      <c r="D686" s="7" t="str">
        <f>IF(Data!D686=Entry2!D686,Data!D686,"ERROR")</f>
        <v>MP, TL, MG</v>
      </c>
      <c r="E686" s="7" t="str">
        <f>IF(Data!E686=Entry2!E686,Data!E686,"ERROR")</f>
        <v>VB</v>
      </c>
      <c r="F686" s="7">
        <f>IF(Data!F686=Entry2!F686,Data!F686,"ERROR")</f>
        <v>3</v>
      </c>
      <c r="G686" s="7" t="str">
        <f>IF(Data!G686=Entry2!G686,Data!G686,"ERROR")</f>
        <v>LS</v>
      </c>
      <c r="H686" s="7">
        <f>IF(Data!H686=Entry2!H686,Data!H686,"ERROR")</f>
        <v>5</v>
      </c>
      <c r="I686" s="7">
        <f>IF(Data!I686=Entry2!I686,Data!I686,"ERROR")</f>
        <v>1</v>
      </c>
      <c r="J686" s="7">
        <f>IF(Data!J686=Entry2!J686,Data!J686,"ERROR")</f>
        <v>2</v>
      </c>
      <c r="K686" s="7" t="str">
        <f>IF(Data!K686=Entry2!K686,Data!K686,"ERROR")</f>
        <v>L</v>
      </c>
      <c r="L686" s="7" t="str">
        <f>IF(Data!L686=Entry2!L686,Data!L686,"ERROR")</f>
        <v>ERROR</v>
      </c>
      <c r="M686" s="7">
        <f>IF(Data!N686=Entry2!M686,Data!N686,"ERROR")</f>
        <v>0</v>
      </c>
    </row>
    <row r="687" spans="1:13" ht="13.2" x14ac:dyDescent="0.25">
      <c r="A687" s="7">
        <f>IF(Data!A687=Entry2!A687,Data!A687,"ERROR")</f>
        <v>15</v>
      </c>
      <c r="B687" s="7">
        <f>IF(Data!B687=Entry2!B687,Data!B687,"ERROR")</f>
        <v>2023</v>
      </c>
      <c r="C687" s="17">
        <f>IF(Data!C687=Entry2!C687,Data!C687,"ERROR")</f>
        <v>45197</v>
      </c>
      <c r="D687" s="7" t="str">
        <f>IF(Data!D687=Entry2!D687,Data!D687,"ERROR")</f>
        <v>MP, TL, MG</v>
      </c>
      <c r="E687" s="7" t="str">
        <f>IF(Data!E687=Entry2!E687,Data!E687,"ERROR")</f>
        <v>VB</v>
      </c>
      <c r="F687" s="7">
        <f>IF(Data!F687=Entry2!F687,Data!F687,"ERROR")</f>
        <v>3</v>
      </c>
      <c r="G687" s="7" t="str">
        <f>IF(Data!G687=Entry2!G687,Data!G687,"ERROR")</f>
        <v>LS</v>
      </c>
      <c r="H687" s="7">
        <f>IF(Data!H687=Entry2!H687,Data!H687,"ERROR")</f>
        <v>6</v>
      </c>
      <c r="I687" s="7">
        <f>IF(Data!I687=Entry2!I687,Data!I687,"ERROR")</f>
        <v>1</v>
      </c>
      <c r="J687" s="7">
        <f>IF(Data!J687=Entry2!J687,Data!J687,"ERROR")</f>
        <v>2.5</v>
      </c>
      <c r="K687" s="7" t="str">
        <f>IF(Data!K687=Entry2!K687,Data!K687,"ERROR")</f>
        <v>L</v>
      </c>
      <c r="L687" s="7" t="str">
        <f>IF(Data!L687=Entry2!L687,Data!L687,"ERROR")</f>
        <v>ERROR</v>
      </c>
      <c r="M687" s="7">
        <f>IF(Data!N687=Entry2!M687,Data!N687,"ERROR")</f>
        <v>0</v>
      </c>
    </row>
    <row r="688" spans="1:13" ht="13.2" x14ac:dyDescent="0.25">
      <c r="A688" s="7">
        <f>IF(Data!A688=Entry2!A688,Data!A688,"ERROR")</f>
        <v>15</v>
      </c>
      <c r="B688" s="7">
        <f>IF(Data!B688=Entry2!B688,Data!B688,"ERROR")</f>
        <v>2023</v>
      </c>
      <c r="C688" s="17">
        <f>IF(Data!C688=Entry2!C688,Data!C688,"ERROR")</f>
        <v>45197</v>
      </c>
      <c r="D688" s="7" t="str">
        <f>IF(Data!D688=Entry2!D688,Data!D688,"ERROR")</f>
        <v>MP, TL, MG</v>
      </c>
      <c r="E688" s="7" t="str">
        <f>IF(Data!E688=Entry2!E688,Data!E688,"ERROR")</f>
        <v>VB</v>
      </c>
      <c r="F688" s="7">
        <f>IF(Data!F688=Entry2!F688,Data!F688,"ERROR")</f>
        <v>3</v>
      </c>
      <c r="G688" s="7" t="str">
        <f>IF(Data!G688=Entry2!G688,Data!G688,"ERROR")</f>
        <v>LS</v>
      </c>
      <c r="H688" s="7">
        <f>IF(Data!H688=Entry2!H688,Data!H688,"ERROR")</f>
        <v>6</v>
      </c>
      <c r="I688" s="7">
        <f>IF(Data!I688=Entry2!I688,Data!I688,"ERROR")</f>
        <v>1</v>
      </c>
      <c r="J688" s="7">
        <f>IF(Data!J688=Entry2!J688,Data!J688,"ERROR")</f>
        <v>2.5</v>
      </c>
      <c r="K688" s="7" t="str">
        <f>IF(Data!K688=Entry2!K688,Data!K688,"ERROR")</f>
        <v>OPULIT</v>
      </c>
      <c r="L688" s="7" t="str">
        <f>IF(Data!L688=Entry2!L688,Data!L688,"ERROR")</f>
        <v>ERROR</v>
      </c>
      <c r="M688" s="7">
        <f>IF(Data!N688=Entry2!M688,Data!N688,"ERROR")</f>
        <v>0</v>
      </c>
    </row>
    <row r="689" spans="1:13" ht="13.2" x14ac:dyDescent="0.25">
      <c r="A689" s="7">
        <f>IF(Data!A689=Entry2!A689,Data!A689,"ERROR")</f>
        <v>15</v>
      </c>
      <c r="B689" s="7">
        <f>IF(Data!B689=Entry2!B689,Data!B689,"ERROR")</f>
        <v>2023</v>
      </c>
      <c r="C689" s="17">
        <f>IF(Data!C689=Entry2!C689,Data!C689,"ERROR")</f>
        <v>45197</v>
      </c>
      <c r="D689" s="7" t="str">
        <f>IF(Data!D689=Entry2!D689,Data!D689,"ERROR")</f>
        <v>MP, TL, MG</v>
      </c>
      <c r="E689" s="7" t="str">
        <f>IF(Data!E689=Entry2!E689,Data!E689,"ERROR")</f>
        <v>VB</v>
      </c>
      <c r="F689" s="7">
        <f>IF(Data!F689=Entry2!F689,Data!F689,"ERROR")</f>
        <v>3</v>
      </c>
      <c r="G689" s="7" t="str">
        <f>IF(Data!G689=Entry2!G689,Data!G689,"ERROR")</f>
        <v>LS</v>
      </c>
      <c r="H689" s="7">
        <f>IF(Data!H689=Entry2!H689,Data!H689,"ERROR")</f>
        <v>6</v>
      </c>
      <c r="I689" s="7">
        <f>IF(Data!I689=Entry2!I689,Data!I689,"ERROR")</f>
        <v>1</v>
      </c>
      <c r="J689" s="7">
        <f>IF(Data!J689=Entry2!J689,Data!J689,"ERROR")</f>
        <v>2.5</v>
      </c>
      <c r="K689" s="7" t="str">
        <f>IF(Data!K689=Entry2!K689,Data!K689,"ERROR")</f>
        <v>NNG</v>
      </c>
      <c r="L689" s="7" t="str">
        <f>IF(Data!L689=Entry2!L689,Data!L689,"ERROR")</f>
        <v>ERROR</v>
      </c>
      <c r="M689" s="7">
        <f>IF(Data!N689=Entry2!M689,Data!N689,"ERROR")</f>
        <v>0</v>
      </c>
    </row>
    <row r="690" spans="1:13" ht="13.2" x14ac:dyDescent="0.25">
      <c r="A690" s="7">
        <f>IF(Data!A690=Entry2!A690,Data!A690,"ERROR")</f>
        <v>15</v>
      </c>
      <c r="B690" s="7">
        <f>IF(Data!B690=Entry2!B690,Data!B690,"ERROR")</f>
        <v>2023</v>
      </c>
      <c r="C690" s="17">
        <f>IF(Data!C690=Entry2!C690,Data!C690,"ERROR")</f>
        <v>45197</v>
      </c>
      <c r="D690" s="7" t="str">
        <f>IF(Data!D690=Entry2!D690,Data!D690,"ERROR")</f>
        <v>MP, TL, MG</v>
      </c>
      <c r="E690" s="7" t="str">
        <f>IF(Data!E690=Entry2!E690,Data!E690,"ERROR")</f>
        <v>VB</v>
      </c>
      <c r="F690" s="7">
        <f>IF(Data!F690=Entry2!F690,Data!F690,"ERROR")</f>
        <v>3</v>
      </c>
      <c r="G690" s="7" t="str">
        <f>IF(Data!G690=Entry2!G690,Data!G690,"ERROR")</f>
        <v>LS</v>
      </c>
      <c r="H690" s="7">
        <f>IF(Data!H690=Entry2!H690,Data!H690,"ERROR")</f>
        <v>7</v>
      </c>
      <c r="I690" s="7">
        <f>IF(Data!I690=Entry2!I690,Data!I690,"ERROR")</f>
        <v>1</v>
      </c>
      <c r="J690" s="7">
        <f>IF(Data!J690=Entry2!J690,Data!J690,"ERROR")</f>
        <v>3</v>
      </c>
      <c r="K690" s="7" t="str">
        <f>IF(Data!K690=Entry2!K690,Data!K690,"ERROR")</f>
        <v>B</v>
      </c>
      <c r="L690" s="7" t="str">
        <f>IF(Data!L690=Entry2!L690,Data!L690,"ERROR")</f>
        <v>ERROR</v>
      </c>
      <c r="M690" s="7">
        <f>IF(Data!N690=Entry2!M690,Data!N690,"ERROR")</f>
        <v>0</v>
      </c>
    </row>
    <row r="691" spans="1:13" ht="13.2" x14ac:dyDescent="0.25">
      <c r="A691" s="7">
        <f>IF(Data!A691=Entry2!A691,Data!A691,"ERROR")</f>
        <v>15</v>
      </c>
      <c r="B691" s="7">
        <f>IF(Data!B691=Entry2!B691,Data!B691,"ERROR")</f>
        <v>2023</v>
      </c>
      <c r="C691" s="17">
        <f>IF(Data!C691=Entry2!C691,Data!C691,"ERROR")</f>
        <v>45197</v>
      </c>
      <c r="D691" s="7" t="str">
        <f>IF(Data!D691=Entry2!D691,Data!D691,"ERROR")</f>
        <v>MP, TL, MG</v>
      </c>
      <c r="E691" s="7" t="str">
        <f>IF(Data!E691=Entry2!E691,Data!E691,"ERROR")</f>
        <v>VB</v>
      </c>
      <c r="F691" s="7">
        <f>IF(Data!F691=Entry2!F691,Data!F691,"ERROR")</f>
        <v>3</v>
      </c>
      <c r="G691" s="7" t="str">
        <f>IF(Data!G691=Entry2!G691,Data!G691,"ERROR")</f>
        <v>LS</v>
      </c>
      <c r="H691" s="7">
        <f>IF(Data!H691=Entry2!H691,Data!H691,"ERROR")</f>
        <v>8</v>
      </c>
      <c r="I691" s="7">
        <f>IF(Data!I691=Entry2!I691,Data!I691,"ERROR")</f>
        <v>1</v>
      </c>
      <c r="J691" s="7">
        <f>IF(Data!J691=Entry2!J691,Data!J691,"ERROR")</f>
        <v>3.5</v>
      </c>
      <c r="K691" s="7" t="str">
        <f>IF(Data!K691=Entry2!K691,Data!K691,"ERROR")</f>
        <v>L</v>
      </c>
      <c r="L691" s="7" t="str">
        <f>IF(Data!L691=Entry2!L691,Data!L691,"ERROR")</f>
        <v>ERROR</v>
      </c>
      <c r="M691" s="7">
        <f>IF(Data!N691=Entry2!M691,Data!N691,"ERROR")</f>
        <v>0</v>
      </c>
    </row>
    <row r="692" spans="1:13" ht="13.2" x14ac:dyDescent="0.25">
      <c r="A692" s="7">
        <f>IF(Data!A692=Entry2!A692,Data!A692,"ERROR")</f>
        <v>15</v>
      </c>
      <c r="B692" s="7">
        <f>IF(Data!B692=Entry2!B692,Data!B692,"ERROR")</f>
        <v>2023</v>
      </c>
      <c r="C692" s="17">
        <f>IF(Data!C692=Entry2!C692,Data!C692,"ERROR")</f>
        <v>45197</v>
      </c>
      <c r="D692" s="7" t="str">
        <f>IF(Data!D692=Entry2!D692,Data!D692,"ERROR")</f>
        <v>MP, TL, MG</v>
      </c>
      <c r="E692" s="7" t="str">
        <f>IF(Data!E692=Entry2!E692,Data!E692,"ERROR")</f>
        <v>VB</v>
      </c>
      <c r="F692" s="7">
        <f>IF(Data!F692=Entry2!F692,Data!F692,"ERROR")</f>
        <v>3</v>
      </c>
      <c r="G692" s="7" t="str">
        <f>IF(Data!G692=Entry2!G692,Data!G692,"ERROR")</f>
        <v>LS</v>
      </c>
      <c r="H692" s="7">
        <f>IF(Data!H692=Entry2!H692,Data!H692,"ERROR")</f>
        <v>8</v>
      </c>
      <c r="I692" s="7">
        <f>IF(Data!I692=Entry2!I692,Data!I692,"ERROR")</f>
        <v>1</v>
      </c>
      <c r="J692" s="7">
        <f>IF(Data!J692=Entry2!J692,Data!J692,"ERROR")</f>
        <v>3.5</v>
      </c>
      <c r="K692" s="7" t="str">
        <f>IF(Data!K692=Entry2!K692,Data!K692,"ERROR")</f>
        <v>BRANIG</v>
      </c>
      <c r="L692" s="7" t="str">
        <f>IF(Data!L692=Entry2!L692,Data!L692,"ERROR")</f>
        <v>ERROR</v>
      </c>
      <c r="M692" s="7">
        <f>IF(Data!N692=Entry2!M692,Data!N692,"ERROR")</f>
        <v>0</v>
      </c>
    </row>
    <row r="693" spans="1:13" ht="13.2" x14ac:dyDescent="0.25">
      <c r="A693" s="7">
        <f>IF(Data!A693=Entry2!A693,Data!A693,"ERROR")</f>
        <v>15</v>
      </c>
      <c r="B693" s="7">
        <f>IF(Data!B693=Entry2!B693,Data!B693,"ERROR")</f>
        <v>2023</v>
      </c>
      <c r="C693" s="17">
        <f>IF(Data!C693=Entry2!C693,Data!C693,"ERROR")</f>
        <v>45197</v>
      </c>
      <c r="D693" s="7" t="str">
        <f>IF(Data!D693=Entry2!D693,Data!D693,"ERROR")</f>
        <v>MP, TL, MG</v>
      </c>
      <c r="E693" s="7" t="str">
        <f>IF(Data!E693=Entry2!E693,Data!E693,"ERROR")</f>
        <v>VB</v>
      </c>
      <c r="F693" s="7">
        <f>IF(Data!F693=Entry2!F693,Data!F693,"ERROR")</f>
        <v>3</v>
      </c>
      <c r="G693" s="7" t="str">
        <f>IF(Data!G693=Entry2!G693,Data!G693,"ERROR")</f>
        <v>LS</v>
      </c>
      <c r="H693" s="7">
        <f>IF(Data!H693=Entry2!H693,Data!H693,"ERROR")</f>
        <v>9</v>
      </c>
      <c r="I693" s="7">
        <f>IF(Data!I693=Entry2!I693,Data!I693,"ERROR")</f>
        <v>1</v>
      </c>
      <c r="J693" s="7">
        <f>IF(Data!J693=Entry2!J693,Data!J693,"ERROR")</f>
        <v>4</v>
      </c>
      <c r="K693" s="7" t="str">
        <f>IF(Data!K693=Entry2!K693,Data!K693,"ERROR")</f>
        <v>L</v>
      </c>
      <c r="L693" s="7" t="str">
        <f>IF(Data!L693=Entry2!L693,Data!L693,"ERROR")</f>
        <v>ERROR</v>
      </c>
      <c r="M693" s="7">
        <f>IF(Data!N693=Entry2!M693,Data!N693,"ERROR")</f>
        <v>0</v>
      </c>
    </row>
    <row r="694" spans="1:13" ht="13.2" x14ac:dyDescent="0.25">
      <c r="A694" s="7">
        <f>IF(Data!A694=Entry2!A694,Data!A694,"ERROR")</f>
        <v>15</v>
      </c>
      <c r="B694" s="7">
        <f>IF(Data!B694=Entry2!B694,Data!B694,"ERROR")</f>
        <v>2023</v>
      </c>
      <c r="C694" s="17">
        <f>IF(Data!C694=Entry2!C694,Data!C694,"ERROR")</f>
        <v>45197</v>
      </c>
      <c r="D694" s="7" t="str">
        <f>IF(Data!D694=Entry2!D694,Data!D694,"ERROR")</f>
        <v>MP, TL, MG</v>
      </c>
      <c r="E694" s="7" t="str">
        <f>IF(Data!E694=Entry2!E694,Data!E694,"ERROR")</f>
        <v>VB</v>
      </c>
      <c r="F694" s="7">
        <f>IF(Data!F694=Entry2!F694,Data!F694,"ERROR")</f>
        <v>3</v>
      </c>
      <c r="G694" s="7" t="str">
        <f>IF(Data!G694=Entry2!G694,Data!G694,"ERROR")</f>
        <v>LS</v>
      </c>
      <c r="H694" s="7">
        <f>IF(Data!H694=Entry2!H694,Data!H694,"ERROR")</f>
        <v>9</v>
      </c>
      <c r="I694" s="7">
        <f>IF(Data!I694=Entry2!I694,Data!I694,"ERROR")</f>
        <v>1</v>
      </c>
      <c r="J694" s="7">
        <f>IF(Data!J694=Entry2!J694,Data!J694,"ERROR")</f>
        <v>4</v>
      </c>
      <c r="K694" s="7" t="str">
        <f>IF(Data!K694=Entry2!K694,Data!K694,"ERROR")</f>
        <v>NNG</v>
      </c>
      <c r="L694" s="7" t="str">
        <f>IF(Data!L694=Entry2!L694,Data!L694,"ERROR")</f>
        <v>ERROR</v>
      </c>
      <c r="M694" s="7">
        <f>IF(Data!N694=Entry2!M694,Data!N694,"ERROR")</f>
        <v>0</v>
      </c>
    </row>
    <row r="695" spans="1:13" ht="13.2" x14ac:dyDescent="0.25">
      <c r="A695" s="7">
        <f>IF(Data!A695=Entry2!A695,Data!A695,"ERROR")</f>
        <v>15</v>
      </c>
      <c r="B695" s="7">
        <f>IF(Data!B695=Entry2!B695,Data!B695,"ERROR")</f>
        <v>2023</v>
      </c>
      <c r="C695" s="17">
        <f>IF(Data!C695=Entry2!C695,Data!C695,"ERROR")</f>
        <v>45197</v>
      </c>
      <c r="D695" s="7" t="str">
        <f>IF(Data!D695=Entry2!D695,Data!D695,"ERROR")</f>
        <v>MP, TL, MG</v>
      </c>
      <c r="E695" s="7" t="str">
        <f>IF(Data!E695=Entry2!E695,Data!E695,"ERROR")</f>
        <v>VB</v>
      </c>
      <c r="F695" s="7">
        <f>IF(Data!F695=Entry2!F695,Data!F695,"ERROR")</f>
        <v>3</v>
      </c>
      <c r="G695" s="7" t="str">
        <f>IF(Data!G695=Entry2!G695,Data!G695,"ERROR")</f>
        <v>LS</v>
      </c>
      <c r="H695" s="7">
        <f>IF(Data!H695=Entry2!H695,Data!H695,"ERROR")</f>
        <v>10</v>
      </c>
      <c r="I695" s="7">
        <f>IF(Data!I695=Entry2!I695,Data!I695,"ERROR")</f>
        <v>1</v>
      </c>
      <c r="J695" s="7">
        <f>IF(Data!J695=Entry2!J695,Data!J695,"ERROR")</f>
        <v>4.5</v>
      </c>
      <c r="K695" s="7" t="str">
        <f>IF(Data!K695=Entry2!K695,Data!K695,"ERROR")</f>
        <v>L</v>
      </c>
      <c r="L695" s="7" t="str">
        <f>IF(Data!L695=Entry2!L695,Data!L695,"ERROR")</f>
        <v>ERROR</v>
      </c>
      <c r="M695" s="7">
        <f>IF(Data!N695=Entry2!M695,Data!N695,"ERROR")</f>
        <v>0</v>
      </c>
    </row>
    <row r="696" spans="1:13" ht="13.2" x14ac:dyDescent="0.25">
      <c r="A696" s="7">
        <f>IF(Data!A696=Entry2!A696,Data!A696,"ERROR")</f>
        <v>15</v>
      </c>
      <c r="B696" s="7">
        <f>IF(Data!B696=Entry2!B696,Data!B696,"ERROR")</f>
        <v>2023</v>
      </c>
      <c r="C696" s="17">
        <f>IF(Data!C696=Entry2!C696,Data!C696,"ERROR")</f>
        <v>45197</v>
      </c>
      <c r="D696" s="7" t="str">
        <f>IF(Data!D696=Entry2!D696,Data!D696,"ERROR")</f>
        <v>MP, TL, MG</v>
      </c>
      <c r="E696" s="7" t="str">
        <f>IF(Data!E696=Entry2!E696,Data!E696,"ERROR")</f>
        <v>VB</v>
      </c>
      <c r="F696" s="7">
        <f>IF(Data!F696=Entry2!F696,Data!F696,"ERROR")</f>
        <v>3</v>
      </c>
      <c r="G696" s="7" t="str">
        <f>IF(Data!G696=Entry2!G696,Data!G696,"ERROR")</f>
        <v>LS</v>
      </c>
      <c r="H696" s="7">
        <f>IF(Data!H696=Entry2!H696,Data!H696,"ERROR")</f>
        <v>10</v>
      </c>
      <c r="I696" s="7">
        <f>IF(Data!I696=Entry2!I696,Data!I696,"ERROR")</f>
        <v>1</v>
      </c>
      <c r="J696" s="7">
        <f>IF(Data!J696=Entry2!J696,Data!J696,"ERROR")</f>
        <v>4.5</v>
      </c>
      <c r="K696" s="7" t="str">
        <f>IF(Data!K696=Entry2!K696,Data!K696,"ERROR")</f>
        <v>DEIFAS</v>
      </c>
      <c r="L696" s="7" t="str">
        <f>IF(Data!L696=Entry2!L696,Data!L696,"ERROR")</f>
        <v>ERROR</v>
      </c>
      <c r="M696" s="7">
        <f>IF(Data!N696=Entry2!M696,Data!N696,"ERROR")</f>
        <v>0</v>
      </c>
    </row>
    <row r="697" spans="1:13" ht="13.2" x14ac:dyDescent="0.25">
      <c r="A697" s="7">
        <f>IF(Data!A697=Entry2!A697,Data!A697,"ERROR")</f>
        <v>15</v>
      </c>
      <c r="B697" s="7">
        <f>IF(Data!B697=Entry2!B697,Data!B697,"ERROR")</f>
        <v>2023</v>
      </c>
      <c r="C697" s="17">
        <f>IF(Data!C697=Entry2!C697,Data!C697,"ERROR")</f>
        <v>45197</v>
      </c>
      <c r="D697" s="7" t="str">
        <f>IF(Data!D697=Entry2!D697,Data!D697,"ERROR")</f>
        <v>MP, TL, MG</v>
      </c>
      <c r="E697" s="7" t="str">
        <f>IF(Data!E697=Entry2!E697,Data!E697,"ERROR")</f>
        <v>VB</v>
      </c>
      <c r="F697" s="7">
        <f>IF(Data!F697=Entry2!F697,Data!F697,"ERROR")</f>
        <v>3</v>
      </c>
      <c r="G697" s="7" t="str">
        <f>IF(Data!G697=Entry2!G697,Data!G697,"ERROR")</f>
        <v>LS</v>
      </c>
      <c r="H697" s="7">
        <f>IF(Data!H697=Entry2!H697,Data!H697,"ERROR")</f>
        <v>10</v>
      </c>
      <c r="I697" s="7">
        <f>IF(Data!I697=Entry2!I697,Data!I697,"ERROR")</f>
        <v>1</v>
      </c>
      <c r="J697" s="7">
        <f>IF(Data!J697=Entry2!J697,Data!J697,"ERROR")</f>
        <v>4.5</v>
      </c>
      <c r="K697" s="7" t="str">
        <f>IF(Data!K697=Entry2!K697,Data!K697,"ERROR")</f>
        <v>NNG</v>
      </c>
      <c r="L697" s="7" t="str">
        <f>IF(Data!L697=Entry2!L697,Data!L697,"ERROR")</f>
        <v>ERROR</v>
      </c>
      <c r="M697" s="7">
        <f>IF(Data!N697=Entry2!M697,Data!N697,"ERROR")</f>
        <v>0</v>
      </c>
    </row>
    <row r="698" spans="1:13" ht="13.2" x14ac:dyDescent="0.25">
      <c r="A698" s="7">
        <f>IF(Data!A698=Entry2!A698,Data!A698,"ERROR")</f>
        <v>15</v>
      </c>
      <c r="B698" s="7">
        <f>IF(Data!B698=Entry2!B698,Data!B698,"ERROR")</f>
        <v>2023</v>
      </c>
      <c r="C698" s="17">
        <f>IF(Data!C698=Entry2!C698,Data!C698,"ERROR")</f>
        <v>45197</v>
      </c>
      <c r="D698" s="7" t="str">
        <f>IF(Data!D698=Entry2!D698,Data!D698,"ERROR")</f>
        <v>MP, TL, MG</v>
      </c>
      <c r="E698" s="7" t="str">
        <f>IF(Data!E698=Entry2!E698,Data!E698,"ERROR")</f>
        <v>VB</v>
      </c>
      <c r="F698" s="7">
        <f>IF(Data!F698=Entry2!F698,Data!F698,"ERROR")</f>
        <v>3</v>
      </c>
      <c r="G698" s="7" t="str">
        <f>IF(Data!G698=Entry2!G698,Data!G698,"ERROR")</f>
        <v>LS</v>
      </c>
      <c r="H698" s="7">
        <f>IF(Data!H698=Entry2!H698,Data!H698,"ERROR")</f>
        <v>11</v>
      </c>
      <c r="I698" s="7">
        <f>IF(Data!I698=Entry2!I698,Data!I698,"ERROR")</f>
        <v>1</v>
      </c>
      <c r="J698" s="7">
        <f>IF(Data!J698=Entry2!J698,Data!J698,"ERROR")</f>
        <v>5</v>
      </c>
      <c r="K698" s="7" t="str">
        <f>IF(Data!K698=Entry2!K698,Data!K698,"ERROR")</f>
        <v>L</v>
      </c>
      <c r="L698" s="7" t="str">
        <f>IF(Data!L698=Entry2!L698,Data!L698,"ERROR")</f>
        <v>ERROR</v>
      </c>
      <c r="M698" s="7">
        <f>IF(Data!N698=Entry2!M698,Data!N698,"ERROR")</f>
        <v>0</v>
      </c>
    </row>
    <row r="699" spans="1:13" ht="13.2" x14ac:dyDescent="0.25">
      <c r="A699" s="7">
        <f>IF(Data!A699=Entry2!A699,Data!A699,"ERROR")</f>
        <v>15</v>
      </c>
      <c r="B699" s="7">
        <f>IF(Data!B699=Entry2!B699,Data!B699,"ERROR")</f>
        <v>2023</v>
      </c>
      <c r="C699" s="17">
        <f>IF(Data!C699=Entry2!C699,Data!C699,"ERROR")</f>
        <v>45197</v>
      </c>
      <c r="D699" s="7" t="str">
        <f>IF(Data!D699=Entry2!D699,Data!D699,"ERROR")</f>
        <v>MP, TL, MG</v>
      </c>
      <c r="E699" s="7" t="str">
        <f>IF(Data!E699=Entry2!E699,Data!E699,"ERROR")</f>
        <v>VB</v>
      </c>
      <c r="F699" s="7">
        <f>IF(Data!F699=Entry2!F699,Data!F699,"ERROR")</f>
        <v>3</v>
      </c>
      <c r="G699" s="7" t="str">
        <f>IF(Data!G699=Entry2!G699,Data!G699,"ERROR")</f>
        <v>LS</v>
      </c>
      <c r="H699" s="7">
        <f>IF(Data!H699=Entry2!H699,Data!H699,"ERROR")</f>
        <v>11</v>
      </c>
      <c r="I699" s="7">
        <f>IF(Data!I699=Entry2!I699,Data!I699,"ERROR")</f>
        <v>1</v>
      </c>
      <c r="J699" s="7">
        <f>IF(Data!J699=Entry2!J699,Data!J699,"ERROR")</f>
        <v>5</v>
      </c>
      <c r="K699" s="7" t="str">
        <f>IF(Data!K699=Entry2!K699,Data!K699,"ERROR")</f>
        <v>DEIFAS</v>
      </c>
      <c r="L699" s="7" t="str">
        <f>IF(Data!L699=Entry2!L699,Data!L699,"ERROR")</f>
        <v>ERROR</v>
      </c>
      <c r="M699" s="7">
        <f>IF(Data!N699=Entry2!M699,Data!N699,"ERROR")</f>
        <v>0</v>
      </c>
    </row>
    <row r="700" spans="1:13" ht="13.2" x14ac:dyDescent="0.25">
      <c r="A700" s="7">
        <f>IF(Data!A700=Entry2!A700,Data!A700,"ERROR")</f>
        <v>15</v>
      </c>
      <c r="B700" s="7">
        <f>IF(Data!B700=Entry2!B700,Data!B700,"ERROR")</f>
        <v>2023</v>
      </c>
      <c r="C700" s="17">
        <f>IF(Data!C700=Entry2!C700,Data!C700,"ERROR")</f>
        <v>45197</v>
      </c>
      <c r="D700" s="7" t="str">
        <f>IF(Data!D700=Entry2!D700,Data!D700,"ERROR")</f>
        <v>MP, TL, MG</v>
      </c>
      <c r="E700" s="7" t="str">
        <f>IF(Data!E700=Entry2!E700,Data!E700,"ERROR")</f>
        <v>VB</v>
      </c>
      <c r="F700" s="7">
        <f>IF(Data!F700=Entry2!F700,Data!F700,"ERROR")</f>
        <v>3</v>
      </c>
      <c r="G700" s="7" t="str">
        <f>IF(Data!G700=Entry2!G700,Data!G700,"ERROR")</f>
        <v>LS</v>
      </c>
      <c r="H700" s="7">
        <f>IF(Data!H700=Entry2!H700,Data!H700,"ERROR")</f>
        <v>12</v>
      </c>
      <c r="I700" s="7">
        <f>IF(Data!I700=Entry2!I700,Data!I700,"ERROR")</f>
        <v>1</v>
      </c>
      <c r="J700" s="7">
        <f>IF(Data!J700=Entry2!J700,Data!J700,"ERROR")</f>
        <v>5.5</v>
      </c>
      <c r="K700" s="7" t="str">
        <f>IF(Data!K700=Entry2!K700,Data!K700,"ERROR")</f>
        <v>L</v>
      </c>
      <c r="L700" s="7" t="str">
        <f>IF(Data!L700=Entry2!L700,Data!L700,"ERROR")</f>
        <v>ERROR</v>
      </c>
      <c r="M700" s="7">
        <f>IF(Data!N700=Entry2!M700,Data!N700,"ERROR")</f>
        <v>0</v>
      </c>
    </row>
    <row r="701" spans="1:13" ht="13.2" x14ac:dyDescent="0.25">
      <c r="A701" s="7">
        <f>IF(Data!A701=Entry2!A701,Data!A701,"ERROR")</f>
        <v>15</v>
      </c>
      <c r="B701" s="7">
        <f>IF(Data!B701=Entry2!B701,Data!B701,"ERROR")</f>
        <v>2023</v>
      </c>
      <c r="C701" s="17">
        <f>IF(Data!C701=Entry2!C701,Data!C701,"ERROR")</f>
        <v>45197</v>
      </c>
      <c r="D701" s="7" t="str">
        <f>IF(Data!D701=Entry2!D701,Data!D701,"ERROR")</f>
        <v>MP, TL, MG</v>
      </c>
      <c r="E701" s="7" t="str">
        <f>IF(Data!E701=Entry2!E701,Data!E701,"ERROR")</f>
        <v>VB</v>
      </c>
      <c r="F701" s="7">
        <f>IF(Data!F701=Entry2!F701,Data!F701,"ERROR")</f>
        <v>3</v>
      </c>
      <c r="G701" s="7" t="str">
        <f>IF(Data!G701=Entry2!G701,Data!G701,"ERROR")</f>
        <v>LS</v>
      </c>
      <c r="H701" s="7">
        <f>IF(Data!H701=Entry2!H701,Data!H701,"ERROR")</f>
        <v>12</v>
      </c>
      <c r="I701" s="7">
        <f>IF(Data!I701=Entry2!I701,Data!I701,"ERROR")</f>
        <v>1</v>
      </c>
      <c r="J701" s="7">
        <f>IF(Data!J701=Entry2!J701,Data!J701,"ERROR")</f>
        <v>5.5</v>
      </c>
      <c r="K701" s="7" t="str">
        <f>IF(Data!K701=Entry2!K701,Data!K701,"ERROR")</f>
        <v>DEIFAS</v>
      </c>
      <c r="L701" s="7" t="str">
        <f>IF(Data!L701=Entry2!L701,Data!L701,"ERROR")</f>
        <v>ERROR</v>
      </c>
      <c r="M701" s="7">
        <f>IF(Data!N701=Entry2!M701,Data!N701,"ERROR")</f>
        <v>0</v>
      </c>
    </row>
    <row r="702" spans="1:13" ht="13.2" x14ac:dyDescent="0.25">
      <c r="A702" s="7">
        <f>IF(Data!A702=Entry2!A702,Data!A702,"ERROR")</f>
        <v>15</v>
      </c>
      <c r="B702" s="7">
        <f>IF(Data!B702=Entry2!B702,Data!B702,"ERROR")</f>
        <v>2023</v>
      </c>
      <c r="C702" s="17">
        <f>IF(Data!C702=Entry2!C702,Data!C702,"ERROR")</f>
        <v>45197</v>
      </c>
      <c r="D702" s="7" t="str">
        <f>IF(Data!D702=Entry2!D702,Data!D702,"ERROR")</f>
        <v>MP, TL, MG</v>
      </c>
      <c r="E702" s="7" t="str">
        <f>IF(Data!E702=Entry2!E702,Data!E702,"ERROR")</f>
        <v>VB</v>
      </c>
      <c r="F702" s="7">
        <f>IF(Data!F702=Entry2!F702,Data!F702,"ERROR")</f>
        <v>3</v>
      </c>
      <c r="G702" s="7" t="str">
        <f>IF(Data!G702=Entry2!G702,Data!G702,"ERROR")</f>
        <v>LS</v>
      </c>
      <c r="H702" s="7">
        <f>IF(Data!H702=Entry2!H702,Data!H702,"ERROR")</f>
        <v>12</v>
      </c>
      <c r="I702" s="7">
        <f>IF(Data!I702=Entry2!I702,Data!I702,"ERROR")</f>
        <v>1</v>
      </c>
      <c r="J702" s="7">
        <f>IF(Data!J702=Entry2!J702,Data!J702,"ERROR")</f>
        <v>5.5</v>
      </c>
      <c r="K702" s="7" t="str">
        <f>IF(Data!K702=Entry2!K702,Data!K702,"ERROR")</f>
        <v>CENMEL</v>
      </c>
      <c r="L702" s="7" t="str">
        <f>IF(Data!L702=Entry2!L702,Data!L702,"ERROR")</f>
        <v>ERROR</v>
      </c>
      <c r="M702" s="7">
        <f>IF(Data!N702=Entry2!M702,Data!N702,"ERROR")</f>
        <v>0</v>
      </c>
    </row>
    <row r="703" spans="1:13" ht="13.2" x14ac:dyDescent="0.25">
      <c r="A703" s="7">
        <f>IF(Data!A703=Entry2!A703,Data!A703,"ERROR")</f>
        <v>15</v>
      </c>
      <c r="B703" s="7">
        <f>IF(Data!B703=Entry2!B703,Data!B703,"ERROR")</f>
        <v>2023</v>
      </c>
      <c r="C703" s="17">
        <f>IF(Data!C703=Entry2!C703,Data!C703,"ERROR")</f>
        <v>45197</v>
      </c>
      <c r="D703" s="7" t="str">
        <f>IF(Data!D703=Entry2!D703,Data!D703,"ERROR")</f>
        <v>MP, TL, MG</v>
      </c>
      <c r="E703" s="7" t="str">
        <f>IF(Data!E703=Entry2!E703,Data!E703,"ERROR")</f>
        <v>VB</v>
      </c>
      <c r="F703" s="7">
        <f>IF(Data!F703=Entry2!F703,Data!F703,"ERROR")</f>
        <v>3</v>
      </c>
      <c r="G703" s="7" t="str">
        <f>IF(Data!G703=Entry2!G703,Data!G703,"ERROR")</f>
        <v>LS</v>
      </c>
      <c r="H703" s="7">
        <f>IF(Data!H703=Entry2!H703,Data!H703,"ERROR")</f>
        <v>13</v>
      </c>
      <c r="I703" s="7">
        <f>IF(Data!I703=Entry2!I703,Data!I703,"ERROR")</f>
        <v>1</v>
      </c>
      <c r="J703" s="7">
        <f>IF(Data!J703=Entry2!J703,Data!J703,"ERROR")</f>
        <v>6.5</v>
      </c>
      <c r="K703" s="7" t="str">
        <f>IF(Data!K703=Entry2!K703,Data!K703,"ERROR")</f>
        <v>L</v>
      </c>
      <c r="L703" s="7" t="str">
        <f>IF(Data!L703=Entry2!L703,Data!L703,"ERROR")</f>
        <v>ERROR</v>
      </c>
      <c r="M703" s="7">
        <f>IF(Data!N703=Entry2!M703,Data!N703,"ERROR")</f>
        <v>0</v>
      </c>
    </row>
    <row r="704" spans="1:13" ht="13.2" x14ac:dyDescent="0.25">
      <c r="A704" s="7">
        <f>IF(Data!A704=Entry2!A704,Data!A704,"ERROR")</f>
        <v>15</v>
      </c>
      <c r="B704" s="7">
        <f>IF(Data!B704=Entry2!B704,Data!B704,"ERROR")</f>
        <v>2023</v>
      </c>
      <c r="C704" s="17">
        <f>IF(Data!C704=Entry2!C704,Data!C704,"ERROR")</f>
        <v>45197</v>
      </c>
      <c r="D704" s="7" t="str">
        <f>IF(Data!D704=Entry2!D704,Data!D704,"ERROR")</f>
        <v>MP, TL, MG</v>
      </c>
      <c r="E704" s="7" t="str">
        <f>IF(Data!E704=Entry2!E704,Data!E704,"ERROR")</f>
        <v>VB</v>
      </c>
      <c r="F704" s="7">
        <f>IF(Data!F704=Entry2!F704,Data!F704,"ERROR")</f>
        <v>3</v>
      </c>
      <c r="G704" s="7" t="str">
        <f>IF(Data!G704=Entry2!G704,Data!G704,"ERROR")</f>
        <v>LS</v>
      </c>
      <c r="H704" s="7">
        <f>IF(Data!H704=Entry2!H704,Data!H704,"ERROR")</f>
        <v>14</v>
      </c>
      <c r="I704" s="7">
        <f>IF(Data!I704=Entry2!I704,Data!I704,"ERROR")</f>
        <v>1</v>
      </c>
      <c r="J704" s="7">
        <f>IF(Data!J704=Entry2!J704,Data!J704,"ERROR")</f>
        <v>7</v>
      </c>
      <c r="K704" s="7" t="str">
        <f>IF(Data!K704=Entry2!K704,Data!K704,"ERROR")</f>
        <v>L</v>
      </c>
      <c r="L704" s="7" t="str">
        <f>IF(Data!L704=Entry2!L704,Data!L704,"ERROR")</f>
        <v>ERROR</v>
      </c>
      <c r="M704" s="7">
        <f>IF(Data!N704=Entry2!M704,Data!N704,"ERROR")</f>
        <v>0</v>
      </c>
    </row>
    <row r="705" spans="1:13" ht="13.2" x14ac:dyDescent="0.25">
      <c r="A705" s="7">
        <f>IF(Data!A705=Entry2!A705,Data!A705,"ERROR")</f>
        <v>15</v>
      </c>
      <c r="B705" s="7">
        <f>IF(Data!B705=Entry2!B705,Data!B705,"ERROR")</f>
        <v>2023</v>
      </c>
      <c r="C705" s="17">
        <f>IF(Data!C705=Entry2!C705,Data!C705,"ERROR")</f>
        <v>45197</v>
      </c>
      <c r="D705" s="7" t="str">
        <f>IF(Data!D705=Entry2!D705,Data!D705,"ERROR")</f>
        <v>MP, TL, MG</v>
      </c>
      <c r="E705" s="7" t="str">
        <f>IF(Data!E705=Entry2!E705,Data!E705,"ERROR")</f>
        <v>VB</v>
      </c>
      <c r="F705" s="7">
        <f>IF(Data!F705=Entry2!F705,Data!F705,"ERROR")</f>
        <v>3</v>
      </c>
      <c r="G705" s="7" t="str">
        <f>IF(Data!G705=Entry2!G705,Data!G705,"ERROR")</f>
        <v>LS</v>
      </c>
      <c r="H705" s="7">
        <f>IF(Data!H705=Entry2!H705,Data!H705,"ERROR")</f>
        <v>15</v>
      </c>
      <c r="I705" s="7">
        <f>IF(Data!I705=Entry2!I705,Data!I705,"ERROR")</f>
        <v>1</v>
      </c>
      <c r="J705" s="7">
        <f>IF(Data!J705=Entry2!J705,Data!J705,"ERROR")</f>
        <v>7.5</v>
      </c>
      <c r="K705" s="7" t="str">
        <f>IF(Data!K705=Entry2!K705,Data!K705,"ERROR")</f>
        <v>B</v>
      </c>
      <c r="L705" s="7" t="str">
        <f>IF(Data!L705=Entry2!L705,Data!L705,"ERROR")</f>
        <v>ERROR</v>
      </c>
      <c r="M705" s="7">
        <f>IF(Data!N705=Entry2!M705,Data!N705,"ERROR")</f>
        <v>0</v>
      </c>
    </row>
    <row r="706" spans="1:13" ht="13.2" x14ac:dyDescent="0.25">
      <c r="A706" s="7">
        <f>IF(Data!A706=Entry2!A706,Data!A706,"ERROR")</f>
        <v>15</v>
      </c>
      <c r="B706" s="7">
        <f>IF(Data!B706=Entry2!B706,Data!B706,"ERROR")</f>
        <v>2023</v>
      </c>
      <c r="C706" s="17">
        <f>IF(Data!C706=Entry2!C706,Data!C706,"ERROR")</f>
        <v>45197</v>
      </c>
      <c r="D706" s="7" t="str">
        <f>IF(Data!D706=Entry2!D706,Data!D706,"ERROR")</f>
        <v>MP, TL, MG</v>
      </c>
      <c r="E706" s="7" t="str">
        <f>IF(Data!E706=Entry2!E706,Data!E706,"ERROR")</f>
        <v>VB</v>
      </c>
      <c r="F706" s="7">
        <f>IF(Data!F706=Entry2!F706,Data!F706,"ERROR")</f>
        <v>3</v>
      </c>
      <c r="G706" s="7" t="str">
        <f>IF(Data!G706=Entry2!G706,Data!G706,"ERROR")</f>
        <v>LS</v>
      </c>
      <c r="H706" s="7">
        <f>IF(Data!H706=Entry2!H706,Data!H706,"ERROR")</f>
        <v>15</v>
      </c>
      <c r="I706" s="7">
        <f>IF(Data!I706=Entry2!I706,Data!I706,"ERROR")</f>
        <v>1</v>
      </c>
      <c r="J706" s="7">
        <f>IF(Data!J706=Entry2!J706,Data!J706,"ERROR")</f>
        <v>7.5</v>
      </c>
      <c r="K706" s="7" t="str">
        <f>IF(Data!K706=Entry2!K706,Data!K706,"ERROR")</f>
        <v>OPULIT</v>
      </c>
      <c r="L706" s="7" t="str">
        <f>IF(Data!L706=Entry2!L706,Data!L706,"ERROR")</f>
        <v>ERROR</v>
      </c>
      <c r="M706" s="7">
        <f>IF(Data!N706=Entry2!M706,Data!N706,"ERROR")</f>
        <v>0</v>
      </c>
    </row>
    <row r="707" spans="1:13" ht="13.2" x14ac:dyDescent="0.25">
      <c r="A707" s="7">
        <f>IF(Data!A707=Entry2!A707,Data!A707,"ERROR")</f>
        <v>15</v>
      </c>
      <c r="B707" s="7">
        <f>IF(Data!B707=Entry2!B707,Data!B707,"ERROR")</f>
        <v>2023</v>
      </c>
      <c r="C707" s="17">
        <f>IF(Data!C707=Entry2!C707,Data!C707,"ERROR")</f>
        <v>45197</v>
      </c>
      <c r="D707" s="7" t="str">
        <f>IF(Data!D707=Entry2!D707,Data!D707,"ERROR")</f>
        <v>MP, TL, MG</v>
      </c>
      <c r="E707" s="7" t="str">
        <f>IF(Data!E707=Entry2!E707,Data!E707,"ERROR")</f>
        <v>VB</v>
      </c>
      <c r="F707" s="7">
        <f>IF(Data!F707=Entry2!F707,Data!F707,"ERROR")</f>
        <v>3</v>
      </c>
      <c r="G707" s="7" t="str">
        <f>IF(Data!G707=Entry2!G707,Data!G707,"ERROR")</f>
        <v>LS</v>
      </c>
      <c r="H707" s="7">
        <f>IF(Data!H707=Entry2!H707,Data!H707,"ERROR")</f>
        <v>1</v>
      </c>
      <c r="I707" s="7">
        <f>IF(Data!I707=Entry2!I707,Data!I707,"ERROR")</f>
        <v>2</v>
      </c>
      <c r="J707" s="7">
        <f>IF(Data!J707=Entry2!J707,Data!J707,"ERROR")</f>
        <v>0</v>
      </c>
      <c r="K707" s="7" t="str">
        <f>IF(Data!K707=Entry2!K707,Data!K707,"ERROR")</f>
        <v>L</v>
      </c>
      <c r="L707" s="7" t="str">
        <f>IF(Data!L707=Entry2!L707,Data!L707,"ERROR")</f>
        <v>ERROR</v>
      </c>
      <c r="M707" s="7">
        <f>IF(Data!N707=Entry2!M707,Data!N707,"ERROR")</f>
        <v>0</v>
      </c>
    </row>
    <row r="708" spans="1:13" ht="13.2" x14ac:dyDescent="0.25">
      <c r="A708" s="7">
        <f>IF(Data!A708=Entry2!A708,Data!A708,"ERROR")</f>
        <v>15</v>
      </c>
      <c r="B708" s="7">
        <f>IF(Data!B708=Entry2!B708,Data!B708,"ERROR")</f>
        <v>2023</v>
      </c>
      <c r="C708" s="17">
        <f>IF(Data!C708=Entry2!C708,Data!C708,"ERROR")</f>
        <v>45197</v>
      </c>
      <c r="D708" s="7" t="str">
        <f>IF(Data!D708=Entry2!D708,Data!D708,"ERROR")</f>
        <v>MP, TL, MG</v>
      </c>
      <c r="E708" s="7" t="str">
        <f>IF(Data!E708=Entry2!E708,Data!E708,"ERROR")</f>
        <v>VB</v>
      </c>
      <c r="F708" s="7">
        <f>IF(Data!F708=Entry2!F708,Data!F708,"ERROR")</f>
        <v>3</v>
      </c>
      <c r="G708" s="7" t="str">
        <f>IF(Data!G708=Entry2!G708,Data!G708,"ERROR")</f>
        <v>LS</v>
      </c>
      <c r="H708" s="7">
        <f>IF(Data!H708=Entry2!H708,Data!H708,"ERROR")</f>
        <v>1</v>
      </c>
      <c r="I708" s="7">
        <f>IF(Data!I708=Entry2!I708,Data!I708,"ERROR")</f>
        <v>2</v>
      </c>
      <c r="J708" s="7">
        <f>IF(Data!J708=Entry2!J708,Data!J708,"ERROR")</f>
        <v>0</v>
      </c>
      <c r="K708" s="7" t="str">
        <f>IF(Data!K708=Entry2!K708,Data!K708,"ERROR")</f>
        <v>NNG</v>
      </c>
      <c r="L708" s="7" t="str">
        <f>IF(Data!L708=Entry2!L708,Data!L708,"ERROR")</f>
        <v>ERROR</v>
      </c>
      <c r="M708" s="7">
        <f>IF(Data!N708=Entry2!M708,Data!N708,"ERROR")</f>
        <v>0</v>
      </c>
    </row>
    <row r="709" spans="1:13" ht="13.2" x14ac:dyDescent="0.25">
      <c r="A709" s="7">
        <f>IF(Data!A709=Entry2!A709,Data!A709,"ERROR")</f>
        <v>15</v>
      </c>
      <c r="B709" s="7">
        <f>IF(Data!B709=Entry2!B709,Data!B709,"ERROR")</f>
        <v>2023</v>
      </c>
      <c r="C709" s="17">
        <f>IF(Data!C709=Entry2!C709,Data!C709,"ERROR")</f>
        <v>45197</v>
      </c>
      <c r="D709" s="7" t="str">
        <f>IF(Data!D709=Entry2!D709,Data!D709,"ERROR")</f>
        <v>MP, TL, MG</v>
      </c>
      <c r="E709" s="7" t="str">
        <f>IF(Data!E709=Entry2!E709,Data!E709,"ERROR")</f>
        <v>VB</v>
      </c>
      <c r="F709" s="7">
        <f>IF(Data!F709=Entry2!F709,Data!F709,"ERROR")</f>
        <v>3</v>
      </c>
      <c r="G709" s="7" t="str">
        <f>IF(Data!G709=Entry2!G709,Data!G709,"ERROR")</f>
        <v>LS</v>
      </c>
      <c r="H709" s="7">
        <f>IF(Data!H709=Entry2!H709,Data!H709,"ERROR")</f>
        <v>2</v>
      </c>
      <c r="I709" s="7">
        <f>IF(Data!I709=Entry2!I709,Data!I709,"ERROR")</f>
        <v>2</v>
      </c>
      <c r="J709" s="7">
        <f>IF(Data!J709=Entry2!J709,Data!J709,"ERROR")</f>
        <v>0.5</v>
      </c>
      <c r="K709" s="7" t="str">
        <f>IF(Data!K709=Entry2!K709,Data!K709,"ERROR")</f>
        <v>L</v>
      </c>
      <c r="L709" s="7" t="str">
        <f>IF(Data!L709=Entry2!L709,Data!L709,"ERROR")</f>
        <v>ERROR</v>
      </c>
      <c r="M709" s="7">
        <f>IF(Data!N709=Entry2!M709,Data!N709,"ERROR")</f>
        <v>0</v>
      </c>
    </row>
    <row r="710" spans="1:13" ht="13.2" x14ac:dyDescent="0.25">
      <c r="A710" s="7">
        <f>IF(Data!A710=Entry2!A710,Data!A710,"ERROR")</f>
        <v>15</v>
      </c>
      <c r="B710" s="7">
        <f>IF(Data!B710=Entry2!B710,Data!B710,"ERROR")</f>
        <v>2023</v>
      </c>
      <c r="C710" s="17">
        <f>IF(Data!C710=Entry2!C710,Data!C710,"ERROR")</f>
        <v>45197</v>
      </c>
      <c r="D710" s="7" t="str">
        <f>IF(Data!D710=Entry2!D710,Data!D710,"ERROR")</f>
        <v>MP, TL, MG</v>
      </c>
      <c r="E710" s="7" t="str">
        <f>IF(Data!E710=Entry2!E710,Data!E710,"ERROR")</f>
        <v>VB</v>
      </c>
      <c r="F710" s="7">
        <f>IF(Data!F710=Entry2!F710,Data!F710,"ERROR")</f>
        <v>3</v>
      </c>
      <c r="G710" s="7" t="str">
        <f>IF(Data!G710=Entry2!G710,Data!G710,"ERROR")</f>
        <v>LS</v>
      </c>
      <c r="H710" s="7">
        <f>IF(Data!H710=Entry2!H710,Data!H710,"ERROR")</f>
        <v>2</v>
      </c>
      <c r="I710" s="7">
        <f>IF(Data!I710=Entry2!I710,Data!I710,"ERROR")</f>
        <v>2</v>
      </c>
      <c r="J710" s="7">
        <f>IF(Data!J710=Entry2!J710,Data!J710,"ERROR")</f>
        <v>0.5</v>
      </c>
      <c r="K710" s="7" t="str">
        <f>IF(Data!K710=Entry2!K710,Data!K710,"ERROR")</f>
        <v>BHASPD</v>
      </c>
      <c r="L710" s="7" t="e">
        <f>IF(Data!L710=Entry2!L710,Data!L710,"ERROR")</f>
        <v>#N/A</v>
      </c>
      <c r="M710" s="7">
        <f>IF(Data!N710=Entry2!M710,Data!N710,"ERROR")</f>
        <v>0</v>
      </c>
    </row>
    <row r="711" spans="1:13" ht="13.2" x14ac:dyDescent="0.25">
      <c r="A711" s="7">
        <f>IF(Data!A711=Entry2!A711,Data!A711,"ERROR")</f>
        <v>15</v>
      </c>
      <c r="B711" s="7">
        <f>IF(Data!B711=Entry2!B711,Data!B711,"ERROR")</f>
        <v>2023</v>
      </c>
      <c r="C711" s="17">
        <f>IF(Data!C711=Entry2!C711,Data!C711,"ERROR")</f>
        <v>45197</v>
      </c>
      <c r="D711" s="7" t="str">
        <f>IF(Data!D711=Entry2!D711,Data!D711,"ERROR")</f>
        <v>MP, TL, MG</v>
      </c>
      <c r="E711" s="7" t="str">
        <f>IF(Data!E711=Entry2!E711,Data!E711,"ERROR")</f>
        <v>VB</v>
      </c>
      <c r="F711" s="7">
        <f>IF(Data!F711=Entry2!F711,Data!F711,"ERROR")</f>
        <v>3</v>
      </c>
      <c r="G711" s="7" t="str">
        <f>IF(Data!G711=Entry2!G711,Data!G711,"ERROR")</f>
        <v>LS</v>
      </c>
      <c r="H711" s="7">
        <f>IF(Data!H711=Entry2!H711,Data!H711,"ERROR")</f>
        <v>2</v>
      </c>
      <c r="I711" s="7">
        <f>IF(Data!I711=Entry2!I711,Data!I711,"ERROR")</f>
        <v>2</v>
      </c>
      <c r="J711" s="7">
        <f>IF(Data!J711=Entry2!J711,Data!J711,"ERROR")</f>
        <v>0.5</v>
      </c>
      <c r="K711" s="7" t="str">
        <f>IF(Data!K711=Entry2!K711,Data!K711,"ERROR")</f>
        <v>OPULIT</v>
      </c>
      <c r="L711" s="7" t="str">
        <f>IF(Data!L711=Entry2!L711,Data!L711,"ERROR")</f>
        <v>ERROR</v>
      </c>
      <c r="M711" s="7">
        <f>IF(Data!N711=Entry2!M711,Data!N711,"ERROR")</f>
        <v>0</v>
      </c>
    </row>
    <row r="712" spans="1:13" ht="13.2" x14ac:dyDescent="0.25">
      <c r="A712" s="7">
        <f>IF(Data!A712=Entry2!A712,Data!A712,"ERROR")</f>
        <v>15</v>
      </c>
      <c r="B712" s="7">
        <f>IF(Data!B712=Entry2!B712,Data!B712,"ERROR")</f>
        <v>2023</v>
      </c>
      <c r="C712" s="17">
        <f>IF(Data!C712=Entry2!C712,Data!C712,"ERROR")</f>
        <v>45197</v>
      </c>
      <c r="D712" s="7" t="str">
        <f>IF(Data!D712=Entry2!D712,Data!D712,"ERROR")</f>
        <v>MP, TL, MG</v>
      </c>
      <c r="E712" s="7" t="str">
        <f>IF(Data!E712=Entry2!E712,Data!E712,"ERROR")</f>
        <v>VB</v>
      </c>
      <c r="F712" s="7">
        <f>IF(Data!F712=Entry2!F712,Data!F712,"ERROR")</f>
        <v>3</v>
      </c>
      <c r="G712" s="7" t="str">
        <f>IF(Data!G712=Entry2!G712,Data!G712,"ERROR")</f>
        <v>LS</v>
      </c>
      <c r="H712" s="7">
        <f>IF(Data!H712=Entry2!H712,Data!H712,"ERROR")</f>
        <v>3</v>
      </c>
      <c r="I712" s="7">
        <f>IF(Data!I712=Entry2!I712,Data!I712,"ERROR")</f>
        <v>2</v>
      </c>
      <c r="J712" s="7">
        <f>IF(Data!J712=Entry2!J712,Data!J712,"ERROR")</f>
        <v>1</v>
      </c>
      <c r="K712" s="7" t="str">
        <f>IF(Data!K712=Entry2!K712,Data!K712,"ERROR")</f>
        <v>L</v>
      </c>
      <c r="L712" s="7" t="str">
        <f>IF(Data!L712=Entry2!L712,Data!L712,"ERROR")</f>
        <v>ERROR</v>
      </c>
      <c r="M712" s="7">
        <f>IF(Data!N712=Entry2!M712,Data!N712,"ERROR")</f>
        <v>0</v>
      </c>
    </row>
    <row r="713" spans="1:13" ht="13.2" x14ac:dyDescent="0.25">
      <c r="A713" s="7">
        <f>IF(Data!A713=Entry2!A713,Data!A713,"ERROR")</f>
        <v>15</v>
      </c>
      <c r="B713" s="7">
        <f>IF(Data!B713=Entry2!B713,Data!B713,"ERROR")</f>
        <v>2023</v>
      </c>
      <c r="C713" s="17">
        <f>IF(Data!C713=Entry2!C713,Data!C713,"ERROR")</f>
        <v>45197</v>
      </c>
      <c r="D713" s="7" t="str">
        <f>IF(Data!D713=Entry2!D713,Data!D713,"ERROR")</f>
        <v>MP, TL, MG</v>
      </c>
      <c r="E713" s="7" t="str">
        <f>IF(Data!E713=Entry2!E713,Data!E713,"ERROR")</f>
        <v>VB</v>
      </c>
      <c r="F713" s="7">
        <f>IF(Data!F713=Entry2!F713,Data!F713,"ERROR")</f>
        <v>3</v>
      </c>
      <c r="G713" s="7" t="str">
        <f>IF(Data!G713=Entry2!G713,Data!G713,"ERROR")</f>
        <v>LS</v>
      </c>
      <c r="H713" s="7">
        <f>IF(Data!H713=Entry2!H713,Data!H713,"ERROR")</f>
        <v>3</v>
      </c>
      <c r="I713" s="7">
        <f>IF(Data!I713=Entry2!I713,Data!I713,"ERROR")</f>
        <v>2</v>
      </c>
      <c r="J713" s="7">
        <f>IF(Data!J713=Entry2!J713,Data!J713,"ERROR")</f>
        <v>1</v>
      </c>
      <c r="K713" s="7" t="str">
        <f>IF(Data!K713=Entry2!K713,Data!K713,"ERROR")</f>
        <v>OPULIT</v>
      </c>
      <c r="L713" s="7" t="str">
        <f>IF(Data!L713=Entry2!L713,Data!L713,"ERROR")</f>
        <v>ERROR</v>
      </c>
      <c r="M713" s="7">
        <f>IF(Data!N713=Entry2!M713,Data!N713,"ERROR")</f>
        <v>0</v>
      </c>
    </row>
    <row r="714" spans="1:13" ht="13.2" x14ac:dyDescent="0.25">
      <c r="A714" s="7">
        <f>IF(Data!A714=Entry2!A714,Data!A714,"ERROR")</f>
        <v>15</v>
      </c>
      <c r="B714" s="7">
        <f>IF(Data!B714=Entry2!B714,Data!B714,"ERROR")</f>
        <v>2023</v>
      </c>
      <c r="C714" s="17">
        <f>IF(Data!C714=Entry2!C714,Data!C714,"ERROR")</f>
        <v>45197</v>
      </c>
      <c r="D714" s="7" t="str">
        <f>IF(Data!D714=Entry2!D714,Data!D714,"ERROR")</f>
        <v>MP, TL, MG</v>
      </c>
      <c r="E714" s="7" t="str">
        <f>IF(Data!E714=Entry2!E714,Data!E714,"ERROR")</f>
        <v>VB</v>
      </c>
      <c r="F714" s="7">
        <f>IF(Data!F714=Entry2!F714,Data!F714,"ERROR")</f>
        <v>3</v>
      </c>
      <c r="G714" s="7" t="str">
        <f>IF(Data!G714=Entry2!G714,Data!G714,"ERROR")</f>
        <v>LS</v>
      </c>
      <c r="H714" s="7">
        <f>IF(Data!H714=Entry2!H714,Data!H714,"ERROR")</f>
        <v>3</v>
      </c>
      <c r="I714" s="7">
        <f>IF(Data!I714=Entry2!I714,Data!I714,"ERROR")</f>
        <v>2</v>
      </c>
      <c r="J714" s="7">
        <f>IF(Data!J714=Entry2!J714,Data!J714,"ERROR")</f>
        <v>1</v>
      </c>
      <c r="K714" s="7" t="str">
        <f>IF(Data!K714=Entry2!K714,Data!K714,"ERROR")</f>
        <v>DEIFAS</v>
      </c>
      <c r="L714" s="7" t="str">
        <f>IF(Data!L714=Entry2!L714,Data!L714,"ERROR")</f>
        <v>ERROR</v>
      </c>
      <c r="M714" s="7">
        <f>IF(Data!N714=Entry2!M714,Data!N714,"ERROR")</f>
        <v>0</v>
      </c>
    </row>
    <row r="715" spans="1:13" ht="13.2" x14ac:dyDescent="0.25">
      <c r="A715" s="7">
        <f>IF(Data!A715=Entry2!A715,Data!A715,"ERROR")</f>
        <v>15</v>
      </c>
      <c r="B715" s="7">
        <f>IF(Data!B715=Entry2!B715,Data!B715,"ERROR")</f>
        <v>2023</v>
      </c>
      <c r="C715" s="17">
        <f>IF(Data!C715=Entry2!C715,Data!C715,"ERROR")</f>
        <v>45197</v>
      </c>
      <c r="D715" s="7" t="str">
        <f>IF(Data!D715=Entry2!D715,Data!D715,"ERROR")</f>
        <v>MP, TL, MG</v>
      </c>
      <c r="E715" s="7" t="str">
        <f>IF(Data!E715=Entry2!E715,Data!E715,"ERROR")</f>
        <v>VB</v>
      </c>
      <c r="F715" s="7">
        <f>IF(Data!F715=Entry2!F715,Data!F715,"ERROR")</f>
        <v>3</v>
      </c>
      <c r="G715" s="7" t="str">
        <f>IF(Data!G715=Entry2!G715,Data!G715,"ERROR")</f>
        <v>LS</v>
      </c>
      <c r="H715" s="7">
        <f>IF(Data!H715=Entry2!H715,Data!H715,"ERROR")</f>
        <v>4</v>
      </c>
      <c r="I715" s="7">
        <f>IF(Data!I715=Entry2!I715,Data!I715,"ERROR")</f>
        <v>2</v>
      </c>
      <c r="J715" s="7">
        <f>IF(Data!J715=Entry2!J715,Data!J715,"ERROR")</f>
        <v>1.5</v>
      </c>
      <c r="K715" s="7" t="str">
        <f>IF(Data!K715=Entry2!K715,Data!K715,"ERROR")</f>
        <v>L</v>
      </c>
      <c r="L715" s="7" t="str">
        <f>IF(Data!L715=Entry2!L715,Data!L715,"ERROR")</f>
        <v>ERROR</v>
      </c>
      <c r="M715" s="7">
        <f>IF(Data!N715=Entry2!M715,Data!N715,"ERROR")</f>
        <v>0</v>
      </c>
    </row>
    <row r="716" spans="1:13" ht="13.2" x14ac:dyDescent="0.25">
      <c r="A716" s="7">
        <f>IF(Data!A716=Entry2!A716,Data!A716,"ERROR")</f>
        <v>15</v>
      </c>
      <c r="B716" s="7">
        <f>IF(Data!B716=Entry2!B716,Data!B716,"ERROR")</f>
        <v>2023</v>
      </c>
      <c r="C716" s="17">
        <f>IF(Data!C716=Entry2!C716,Data!C716,"ERROR")</f>
        <v>45197</v>
      </c>
      <c r="D716" s="7" t="str">
        <f>IF(Data!D716=Entry2!D716,Data!D716,"ERROR")</f>
        <v>MP, TL, MG</v>
      </c>
      <c r="E716" s="7" t="str">
        <f>IF(Data!E716=Entry2!E716,Data!E716,"ERROR")</f>
        <v>VB</v>
      </c>
      <c r="F716" s="7">
        <f>IF(Data!F716=Entry2!F716,Data!F716,"ERROR")</f>
        <v>3</v>
      </c>
      <c r="G716" s="7" t="str">
        <f>IF(Data!G716=Entry2!G716,Data!G716,"ERROR")</f>
        <v>LS</v>
      </c>
      <c r="H716" s="7">
        <f>IF(Data!H716=Entry2!H716,Data!H716,"ERROR")</f>
        <v>4</v>
      </c>
      <c r="I716" s="7">
        <f>IF(Data!I716=Entry2!I716,Data!I716,"ERROR")</f>
        <v>2</v>
      </c>
      <c r="J716" s="7">
        <f>IF(Data!J716=Entry2!J716,Data!J716,"ERROR")</f>
        <v>1.5</v>
      </c>
      <c r="K716" s="7" t="str">
        <f>IF(Data!K716=Entry2!K716,Data!K716,"ERROR")</f>
        <v>DEIFAS</v>
      </c>
      <c r="L716" s="7" t="str">
        <f>IF(Data!L716=Entry2!L716,Data!L716,"ERROR")</f>
        <v>ERROR</v>
      </c>
      <c r="M716" s="7">
        <f>IF(Data!N716=Entry2!M716,Data!N716,"ERROR")</f>
        <v>0</v>
      </c>
    </row>
    <row r="717" spans="1:13" ht="13.2" x14ac:dyDescent="0.25">
      <c r="A717" s="7">
        <f>IF(Data!A717=Entry2!A717,Data!A717,"ERROR")</f>
        <v>15</v>
      </c>
      <c r="B717" s="7">
        <f>IF(Data!B717=Entry2!B717,Data!B717,"ERROR")</f>
        <v>2023</v>
      </c>
      <c r="C717" s="17">
        <f>IF(Data!C717=Entry2!C717,Data!C717,"ERROR")</f>
        <v>45197</v>
      </c>
      <c r="D717" s="7" t="str">
        <f>IF(Data!D717=Entry2!D717,Data!D717,"ERROR")</f>
        <v>MP, TL, MG</v>
      </c>
      <c r="E717" s="7" t="str">
        <f>IF(Data!E717=Entry2!E717,Data!E717,"ERROR")</f>
        <v>VB</v>
      </c>
      <c r="F717" s="7">
        <f>IF(Data!F717=Entry2!F717,Data!F717,"ERROR")</f>
        <v>3</v>
      </c>
      <c r="G717" s="7" t="str">
        <f>IF(Data!G717=Entry2!G717,Data!G717,"ERROR")</f>
        <v>LS</v>
      </c>
      <c r="H717" s="7">
        <f>IF(Data!H717=Entry2!H717,Data!H717,"ERROR")</f>
        <v>5</v>
      </c>
      <c r="I717" s="7">
        <f>IF(Data!I717=Entry2!I717,Data!I717,"ERROR")</f>
        <v>2</v>
      </c>
      <c r="J717" s="7">
        <f>IF(Data!J717=Entry2!J717,Data!J717,"ERROR")</f>
        <v>2.5</v>
      </c>
      <c r="K717" s="7" t="str">
        <f>IF(Data!K717=Entry2!K717,Data!K717,"ERROR")</f>
        <v>L</v>
      </c>
      <c r="L717" s="7" t="str">
        <f>IF(Data!L717=Entry2!L717,Data!L717,"ERROR")</f>
        <v>ERROR</v>
      </c>
      <c r="M717" s="7">
        <f>IF(Data!N717=Entry2!M717,Data!N717,"ERROR")</f>
        <v>0</v>
      </c>
    </row>
    <row r="718" spans="1:13" ht="13.2" x14ac:dyDescent="0.25">
      <c r="A718" s="7">
        <f>IF(Data!A718=Entry2!A718,Data!A718,"ERROR")</f>
        <v>15</v>
      </c>
      <c r="B718" s="7">
        <f>IF(Data!B718=Entry2!B718,Data!B718,"ERROR")</f>
        <v>2023</v>
      </c>
      <c r="C718" s="17">
        <f>IF(Data!C718=Entry2!C718,Data!C718,"ERROR")</f>
        <v>45197</v>
      </c>
      <c r="D718" s="7" t="str">
        <f>IF(Data!D718=Entry2!D718,Data!D718,"ERROR")</f>
        <v>MP, TL, MG</v>
      </c>
      <c r="E718" s="7" t="str">
        <f>IF(Data!E718=Entry2!E718,Data!E718,"ERROR")</f>
        <v>VB</v>
      </c>
      <c r="F718" s="7">
        <f>IF(Data!F718=Entry2!F718,Data!F718,"ERROR")</f>
        <v>3</v>
      </c>
      <c r="G718" s="7" t="str">
        <f>IF(Data!G718=Entry2!G718,Data!G718,"ERROR")</f>
        <v>LS</v>
      </c>
      <c r="H718" s="7">
        <f>IF(Data!H718=Entry2!H718,Data!H718,"ERROR")</f>
        <v>5</v>
      </c>
      <c r="I718" s="7">
        <f>IF(Data!I718=Entry2!I718,Data!I718,"ERROR")</f>
        <v>2</v>
      </c>
      <c r="J718" s="7">
        <f>IF(Data!J718=Entry2!J718,Data!J718,"ERROR")</f>
        <v>2.5</v>
      </c>
      <c r="K718" s="7" t="str">
        <f>IF(Data!K718=Entry2!K718,Data!K718,"ERROR")</f>
        <v>DEIFAS</v>
      </c>
      <c r="L718" s="7" t="str">
        <f>IF(Data!L718=Entry2!L718,Data!L718,"ERROR")</f>
        <v>ERROR</v>
      </c>
      <c r="M718" s="7">
        <f>IF(Data!N718=Entry2!M718,Data!N718,"ERROR")</f>
        <v>0</v>
      </c>
    </row>
    <row r="719" spans="1:13" ht="13.2" x14ac:dyDescent="0.25">
      <c r="A719" s="7">
        <f>IF(Data!A719=Entry2!A719,Data!A719,"ERROR")</f>
        <v>15</v>
      </c>
      <c r="B719" s="7">
        <f>IF(Data!B719=Entry2!B719,Data!B719,"ERROR")</f>
        <v>2023</v>
      </c>
      <c r="C719" s="17">
        <f>IF(Data!C719=Entry2!C719,Data!C719,"ERROR")</f>
        <v>45197</v>
      </c>
      <c r="D719" s="7" t="str">
        <f>IF(Data!D719=Entry2!D719,Data!D719,"ERROR")</f>
        <v>MP, TL, MG</v>
      </c>
      <c r="E719" s="7" t="str">
        <f>IF(Data!E719=Entry2!E719,Data!E719,"ERROR")</f>
        <v>VB</v>
      </c>
      <c r="F719" s="7">
        <f>IF(Data!F719=Entry2!F719,Data!F719,"ERROR")</f>
        <v>3</v>
      </c>
      <c r="G719" s="7" t="str">
        <f>IF(Data!G719=Entry2!G719,Data!G719,"ERROR")</f>
        <v>LS</v>
      </c>
      <c r="H719" s="7">
        <f>IF(Data!H719=Entry2!H719,Data!H719,"ERROR")</f>
        <v>5</v>
      </c>
      <c r="I719" s="7">
        <f>IF(Data!I719=Entry2!I719,Data!I719,"ERROR")</f>
        <v>2</v>
      </c>
      <c r="J719" s="7">
        <f>IF(Data!J719=Entry2!J719,Data!J719,"ERROR")</f>
        <v>2.5</v>
      </c>
      <c r="K719" s="7" t="str">
        <f>IF(Data!K719=Entry2!K719,Data!K719,"ERROR")</f>
        <v>ANAARV</v>
      </c>
      <c r="L719" s="7" t="str">
        <f>IF(Data!L719=Entry2!L719,Data!L719,"ERROR")</f>
        <v>ERROR</v>
      </c>
      <c r="M719" s="7">
        <f>IF(Data!N719=Entry2!M719,Data!N719,"ERROR")</f>
        <v>0</v>
      </c>
    </row>
    <row r="720" spans="1:13" ht="13.2" x14ac:dyDescent="0.25">
      <c r="A720" s="7">
        <f>IF(Data!A720=Entry2!A720,Data!A720,"ERROR")</f>
        <v>15</v>
      </c>
      <c r="B720" s="7">
        <f>IF(Data!B720=Entry2!B720,Data!B720,"ERROR")</f>
        <v>2023</v>
      </c>
      <c r="C720" s="17">
        <f>IF(Data!C720=Entry2!C720,Data!C720,"ERROR")</f>
        <v>45197</v>
      </c>
      <c r="D720" s="7" t="str">
        <f>IF(Data!D720=Entry2!D720,Data!D720,"ERROR")</f>
        <v>MP, TL, MG</v>
      </c>
      <c r="E720" s="7" t="str">
        <f>IF(Data!E720=Entry2!E720,Data!E720,"ERROR")</f>
        <v>VB</v>
      </c>
      <c r="F720" s="7">
        <f>IF(Data!F720=Entry2!F720,Data!F720,"ERROR")</f>
        <v>3</v>
      </c>
      <c r="G720" s="7" t="str">
        <f>IF(Data!G720=Entry2!G720,Data!G720,"ERROR")</f>
        <v>LS</v>
      </c>
      <c r="H720" s="7">
        <f>IF(Data!H720=Entry2!H720,Data!H720,"ERROR")</f>
        <v>6</v>
      </c>
      <c r="I720" s="7">
        <f>IF(Data!I720=Entry2!I720,Data!I720,"ERROR")</f>
        <v>2</v>
      </c>
      <c r="J720" s="7">
        <f>IF(Data!J720=Entry2!J720,Data!J720,"ERROR")</f>
        <v>3</v>
      </c>
      <c r="K720" s="7" t="str">
        <f>IF(Data!K720=Entry2!K720,Data!K720,"ERROR")</f>
        <v>L</v>
      </c>
      <c r="L720" s="7" t="str">
        <f>IF(Data!L720=Entry2!L720,Data!L720,"ERROR")</f>
        <v>ERROR</v>
      </c>
      <c r="M720" s="7">
        <f>IF(Data!N720=Entry2!M720,Data!N720,"ERROR")</f>
        <v>0</v>
      </c>
    </row>
    <row r="721" spans="1:13" ht="13.2" x14ac:dyDescent="0.25">
      <c r="A721" s="7">
        <f>IF(Data!A721=Entry2!A721,Data!A721,"ERROR")</f>
        <v>15</v>
      </c>
      <c r="B721" s="7">
        <f>IF(Data!B721=Entry2!B721,Data!B721,"ERROR")</f>
        <v>2023</v>
      </c>
      <c r="C721" s="17">
        <f>IF(Data!C721=Entry2!C721,Data!C721,"ERROR")</f>
        <v>45197</v>
      </c>
      <c r="D721" s="7" t="str">
        <f>IF(Data!D721=Entry2!D721,Data!D721,"ERROR")</f>
        <v>MP, TL, MG</v>
      </c>
      <c r="E721" s="7" t="str">
        <f>IF(Data!E721=Entry2!E721,Data!E721,"ERROR")</f>
        <v>VB</v>
      </c>
      <c r="F721" s="7">
        <f>IF(Data!F721=Entry2!F721,Data!F721,"ERROR")</f>
        <v>3</v>
      </c>
      <c r="G721" s="7" t="str">
        <f>IF(Data!G721=Entry2!G721,Data!G721,"ERROR")</f>
        <v>LS</v>
      </c>
      <c r="H721" s="7">
        <f>IF(Data!H721=Entry2!H721,Data!H721,"ERROR")</f>
        <v>6</v>
      </c>
      <c r="I721" s="7">
        <f>IF(Data!I721=Entry2!I721,Data!I721,"ERROR")</f>
        <v>2</v>
      </c>
      <c r="J721" s="7">
        <f>IF(Data!J721=Entry2!J721,Data!J721,"ERROR")</f>
        <v>3</v>
      </c>
      <c r="K721" s="7" t="str">
        <f>IF(Data!K721=Entry2!K721,Data!K721,"ERROR")</f>
        <v>NNG</v>
      </c>
      <c r="L721" s="7" t="str">
        <f>IF(Data!L721=Entry2!L721,Data!L721,"ERROR")</f>
        <v>ERROR</v>
      </c>
      <c r="M721" s="7">
        <f>IF(Data!N721=Entry2!M721,Data!N721,"ERROR")</f>
        <v>0</v>
      </c>
    </row>
    <row r="722" spans="1:13" ht="13.2" x14ac:dyDescent="0.25">
      <c r="A722" s="7">
        <f>IF(Data!A722=Entry2!A722,Data!A722,"ERROR")</f>
        <v>15</v>
      </c>
      <c r="B722" s="7">
        <f>IF(Data!B722=Entry2!B722,Data!B722,"ERROR")</f>
        <v>2023</v>
      </c>
      <c r="C722" s="17">
        <f>IF(Data!C722=Entry2!C722,Data!C722,"ERROR")</f>
        <v>45197</v>
      </c>
      <c r="D722" s="7" t="str">
        <f>IF(Data!D722=Entry2!D722,Data!D722,"ERROR")</f>
        <v>MP, TL, MG</v>
      </c>
      <c r="E722" s="7" t="str">
        <f>IF(Data!E722=Entry2!E722,Data!E722,"ERROR")</f>
        <v>VB</v>
      </c>
      <c r="F722" s="7">
        <f>IF(Data!F722=Entry2!F722,Data!F722,"ERROR")</f>
        <v>3</v>
      </c>
      <c r="G722" s="7" t="str">
        <f>IF(Data!G722=Entry2!G722,Data!G722,"ERROR")</f>
        <v>LS</v>
      </c>
      <c r="H722" s="7">
        <f>IF(Data!H722=Entry2!H722,Data!H722,"ERROR")</f>
        <v>7</v>
      </c>
      <c r="I722" s="7">
        <f>IF(Data!I722=Entry2!I722,Data!I722,"ERROR")</f>
        <v>2</v>
      </c>
      <c r="J722" s="7">
        <f>IF(Data!J722=Entry2!J722,Data!J722,"ERROR")</f>
        <v>3.5</v>
      </c>
      <c r="K722" s="7" t="str">
        <f>IF(Data!K722=Entry2!K722,Data!K722,"ERROR")</f>
        <v>L</v>
      </c>
      <c r="L722" s="7" t="str">
        <f>IF(Data!L722=Entry2!L722,Data!L722,"ERROR")</f>
        <v>ERROR</v>
      </c>
      <c r="M722" s="7">
        <f>IF(Data!N722=Entry2!M722,Data!N722,"ERROR")</f>
        <v>0</v>
      </c>
    </row>
    <row r="723" spans="1:13" ht="13.2" x14ac:dyDescent="0.25">
      <c r="A723" s="7">
        <f>IF(Data!A723=Entry2!A723,Data!A723,"ERROR")</f>
        <v>15</v>
      </c>
      <c r="B723" s="7">
        <f>IF(Data!B723=Entry2!B723,Data!B723,"ERROR")</f>
        <v>2023</v>
      </c>
      <c r="C723" s="17">
        <f>IF(Data!C723=Entry2!C723,Data!C723,"ERROR")</f>
        <v>45197</v>
      </c>
      <c r="D723" s="7" t="str">
        <f>IF(Data!D723=Entry2!D723,Data!D723,"ERROR")</f>
        <v>MP, TL, MG</v>
      </c>
      <c r="E723" s="7" t="str">
        <f>IF(Data!E723=Entry2!E723,Data!E723,"ERROR")</f>
        <v>VB</v>
      </c>
      <c r="F723" s="7">
        <f>IF(Data!F723=Entry2!F723,Data!F723,"ERROR")</f>
        <v>3</v>
      </c>
      <c r="G723" s="7" t="str">
        <f>IF(Data!G723=Entry2!G723,Data!G723,"ERROR")</f>
        <v>LS</v>
      </c>
      <c r="H723" s="7">
        <f>IF(Data!H723=Entry2!H723,Data!H723,"ERROR")</f>
        <v>8</v>
      </c>
      <c r="I723" s="7">
        <f>IF(Data!I723=Entry2!I723,Data!I723,"ERROR")</f>
        <v>2</v>
      </c>
      <c r="J723" s="7">
        <f>IF(Data!J723=Entry2!J723,Data!J723,"ERROR")</f>
        <v>4</v>
      </c>
      <c r="K723" s="7" t="str">
        <f>IF(Data!K723=Entry2!K723,Data!K723,"ERROR")</f>
        <v>L</v>
      </c>
      <c r="L723" s="7" t="str">
        <f>IF(Data!L723=Entry2!L723,Data!L723,"ERROR")</f>
        <v>ERROR</v>
      </c>
      <c r="M723" s="7">
        <f>IF(Data!N723=Entry2!M723,Data!N723,"ERROR")</f>
        <v>0</v>
      </c>
    </row>
    <row r="724" spans="1:13" ht="13.2" x14ac:dyDescent="0.25">
      <c r="A724" s="7">
        <f>IF(Data!A724=Entry2!A724,Data!A724,"ERROR")</f>
        <v>15</v>
      </c>
      <c r="B724" s="7">
        <f>IF(Data!B724=Entry2!B724,Data!B724,"ERROR")</f>
        <v>2023</v>
      </c>
      <c r="C724" s="17">
        <f>IF(Data!C724=Entry2!C724,Data!C724,"ERROR")</f>
        <v>45197</v>
      </c>
      <c r="D724" s="7" t="str">
        <f>IF(Data!D724=Entry2!D724,Data!D724,"ERROR")</f>
        <v>MP, TL, MG</v>
      </c>
      <c r="E724" s="7" t="str">
        <f>IF(Data!E724=Entry2!E724,Data!E724,"ERROR")</f>
        <v>VB</v>
      </c>
      <c r="F724" s="7">
        <f>IF(Data!F724=Entry2!F724,Data!F724,"ERROR")</f>
        <v>3</v>
      </c>
      <c r="G724" s="7" t="str">
        <f>IF(Data!G724=Entry2!G724,Data!G724,"ERROR")</f>
        <v>LS</v>
      </c>
      <c r="H724" s="7">
        <f>IF(Data!H724=Entry2!H724,Data!H724,"ERROR")</f>
        <v>9</v>
      </c>
      <c r="I724" s="7">
        <f>IF(Data!I724=Entry2!I724,Data!I724,"ERROR")</f>
        <v>2</v>
      </c>
      <c r="J724" s="7">
        <f>IF(Data!J724=Entry2!J724,Data!J724,"ERROR")</f>
        <v>4.5</v>
      </c>
      <c r="K724" s="7" t="str">
        <f>IF(Data!K724=Entry2!K724,Data!K724,"ERROR")</f>
        <v>L</v>
      </c>
      <c r="L724" s="7" t="str">
        <f>IF(Data!L724=Entry2!L724,Data!L724,"ERROR")</f>
        <v>ERROR</v>
      </c>
      <c r="M724" s="7">
        <f>IF(Data!N724=Entry2!M724,Data!N724,"ERROR")</f>
        <v>0</v>
      </c>
    </row>
    <row r="725" spans="1:13" ht="13.2" x14ac:dyDescent="0.25">
      <c r="A725" s="7">
        <f>IF(Data!A725=Entry2!A725,Data!A725,"ERROR")</f>
        <v>15</v>
      </c>
      <c r="B725" s="7">
        <f>IF(Data!B725=Entry2!B725,Data!B725,"ERROR")</f>
        <v>2023</v>
      </c>
      <c r="C725" s="17">
        <f>IF(Data!C725=Entry2!C725,Data!C725,"ERROR")</f>
        <v>45197</v>
      </c>
      <c r="D725" s="7" t="str">
        <f>IF(Data!D725=Entry2!D725,Data!D725,"ERROR")</f>
        <v>MP, TL, MG</v>
      </c>
      <c r="E725" s="7" t="str">
        <f>IF(Data!E725=Entry2!E725,Data!E725,"ERROR")</f>
        <v>VB</v>
      </c>
      <c r="F725" s="7">
        <f>IF(Data!F725=Entry2!F725,Data!F725,"ERROR")</f>
        <v>3</v>
      </c>
      <c r="G725" s="7" t="str">
        <f>IF(Data!G725=Entry2!G725,Data!G725,"ERROR")</f>
        <v>LS</v>
      </c>
      <c r="H725" s="7">
        <f>IF(Data!H725=Entry2!H725,Data!H725,"ERROR")</f>
        <v>9</v>
      </c>
      <c r="I725" s="7">
        <f>IF(Data!I725=Entry2!I725,Data!I725,"ERROR")</f>
        <v>2</v>
      </c>
      <c r="J725" s="7">
        <f>IF(Data!J725=Entry2!J725,Data!J725,"ERROR")</f>
        <v>4.5</v>
      </c>
      <c r="K725" s="7" t="str">
        <f>IF(Data!K725=Entry2!K725,Data!K725,"ERROR")</f>
        <v>DEIFAS</v>
      </c>
      <c r="L725" s="7" t="str">
        <f>IF(Data!L725=Entry2!L725,Data!L725,"ERROR")</f>
        <v>ERROR</v>
      </c>
      <c r="M725" s="7">
        <f>IF(Data!N725=Entry2!M725,Data!N725,"ERROR")</f>
        <v>0</v>
      </c>
    </row>
    <row r="726" spans="1:13" ht="13.2" x14ac:dyDescent="0.25">
      <c r="A726" s="7">
        <f>IF(Data!A726=Entry2!A726,Data!A726,"ERROR")</f>
        <v>15</v>
      </c>
      <c r="B726" s="7">
        <f>IF(Data!B726=Entry2!B726,Data!B726,"ERROR")</f>
        <v>2023</v>
      </c>
      <c r="C726" s="17">
        <f>IF(Data!C726=Entry2!C726,Data!C726,"ERROR")</f>
        <v>45197</v>
      </c>
      <c r="D726" s="7" t="str">
        <f>IF(Data!D726=Entry2!D726,Data!D726,"ERROR")</f>
        <v>MP, TL, MG</v>
      </c>
      <c r="E726" s="7" t="str">
        <f>IF(Data!E726=Entry2!E726,Data!E726,"ERROR")</f>
        <v>VB</v>
      </c>
      <c r="F726" s="7">
        <f>IF(Data!F726=Entry2!F726,Data!F726,"ERROR")</f>
        <v>3</v>
      </c>
      <c r="G726" s="7" t="str">
        <f>IF(Data!G726=Entry2!G726,Data!G726,"ERROR")</f>
        <v>LS</v>
      </c>
      <c r="H726" s="7">
        <f>IF(Data!H726=Entry2!H726,Data!H726,"ERROR")</f>
        <v>10</v>
      </c>
      <c r="I726" s="7">
        <f>IF(Data!I726=Entry2!I726,Data!I726,"ERROR")</f>
        <v>2</v>
      </c>
      <c r="J726" s="7">
        <f>IF(Data!J726=Entry2!J726,Data!J726,"ERROR")</f>
        <v>5</v>
      </c>
      <c r="K726" s="7" t="str">
        <f>IF(Data!K726=Entry2!K726,Data!K726,"ERROR")</f>
        <v>L</v>
      </c>
      <c r="L726" s="7" t="str">
        <f>IF(Data!L726=Entry2!L726,Data!L726,"ERROR")</f>
        <v>ERROR</v>
      </c>
      <c r="M726" s="7">
        <f>IF(Data!N726=Entry2!M726,Data!N726,"ERROR")</f>
        <v>0</v>
      </c>
    </row>
    <row r="727" spans="1:13" ht="13.2" x14ac:dyDescent="0.25">
      <c r="A727" s="7">
        <f>IF(Data!A727=Entry2!A727,Data!A727,"ERROR")</f>
        <v>15</v>
      </c>
      <c r="B727" s="7">
        <f>IF(Data!B727=Entry2!B727,Data!B727,"ERROR")</f>
        <v>2023</v>
      </c>
      <c r="C727" s="17">
        <f>IF(Data!C727=Entry2!C727,Data!C727,"ERROR")</f>
        <v>45197</v>
      </c>
      <c r="D727" s="7" t="str">
        <f>IF(Data!D727=Entry2!D727,Data!D727,"ERROR")</f>
        <v>MP, TL, MG</v>
      </c>
      <c r="E727" s="7" t="str">
        <f>IF(Data!E727=Entry2!E727,Data!E727,"ERROR")</f>
        <v>VB</v>
      </c>
      <c r="F727" s="7">
        <f>IF(Data!F727=Entry2!F727,Data!F727,"ERROR")</f>
        <v>3</v>
      </c>
      <c r="G727" s="7" t="str">
        <f>IF(Data!G727=Entry2!G727,Data!G727,"ERROR")</f>
        <v>LS</v>
      </c>
      <c r="H727" s="7">
        <f>IF(Data!H727=Entry2!H727,Data!H727,"ERROR")</f>
        <v>11</v>
      </c>
      <c r="I727" s="7">
        <f>IF(Data!I727=Entry2!I727,Data!I727,"ERROR")</f>
        <v>2</v>
      </c>
      <c r="J727" s="7">
        <f>IF(Data!J727=Entry2!J727,Data!J727,"ERROR")</f>
        <v>5.5</v>
      </c>
      <c r="K727" s="7" t="str">
        <f>IF(Data!K727=Entry2!K727,Data!K727,"ERROR")</f>
        <v>L</v>
      </c>
      <c r="L727" s="7" t="str">
        <f>IF(Data!L727=Entry2!L727,Data!L727,"ERROR")</f>
        <v>ERROR</v>
      </c>
      <c r="M727" s="7">
        <f>IF(Data!N727=Entry2!M727,Data!N727,"ERROR")</f>
        <v>0</v>
      </c>
    </row>
    <row r="728" spans="1:13" ht="13.2" x14ac:dyDescent="0.25">
      <c r="A728" s="7">
        <f>IF(Data!A728=Entry2!A728,Data!A728,"ERROR")</f>
        <v>15</v>
      </c>
      <c r="B728" s="7">
        <f>IF(Data!B728=Entry2!B728,Data!B728,"ERROR")</f>
        <v>2023</v>
      </c>
      <c r="C728" s="17">
        <f>IF(Data!C728=Entry2!C728,Data!C728,"ERROR")</f>
        <v>45197</v>
      </c>
      <c r="D728" s="7" t="str">
        <f>IF(Data!D728=Entry2!D728,Data!D728,"ERROR")</f>
        <v>MP, TL, MG</v>
      </c>
      <c r="E728" s="7" t="str">
        <f>IF(Data!E728=Entry2!E728,Data!E728,"ERROR")</f>
        <v>VB</v>
      </c>
      <c r="F728" s="7">
        <f>IF(Data!F728=Entry2!F728,Data!F728,"ERROR")</f>
        <v>3</v>
      </c>
      <c r="G728" s="7" t="str">
        <f>IF(Data!G728=Entry2!G728,Data!G728,"ERROR")</f>
        <v>LS</v>
      </c>
      <c r="H728" s="7">
        <f>IF(Data!H728=Entry2!H728,Data!H728,"ERROR")</f>
        <v>12</v>
      </c>
      <c r="I728" s="7">
        <f>IF(Data!I728=Entry2!I728,Data!I728,"ERROR")</f>
        <v>2</v>
      </c>
      <c r="J728" s="7">
        <f>IF(Data!J728=Entry2!J728,Data!J728,"ERROR")</f>
        <v>6</v>
      </c>
      <c r="K728" s="7" t="str">
        <f>IF(Data!K728=Entry2!K728,Data!K728,"ERROR")</f>
        <v>L</v>
      </c>
      <c r="L728" s="7" t="str">
        <f>IF(Data!L728=Entry2!L728,Data!L728,"ERROR")</f>
        <v>ERROR</v>
      </c>
      <c r="M728" s="7">
        <f>IF(Data!N728=Entry2!M728,Data!N728,"ERROR")</f>
        <v>0</v>
      </c>
    </row>
    <row r="729" spans="1:13" ht="13.2" x14ac:dyDescent="0.25">
      <c r="A729" s="7">
        <f>IF(Data!A729=Entry2!A729,Data!A729,"ERROR")</f>
        <v>15</v>
      </c>
      <c r="B729" s="7">
        <f>IF(Data!B729=Entry2!B729,Data!B729,"ERROR")</f>
        <v>2023</v>
      </c>
      <c r="C729" s="17">
        <f>IF(Data!C729=Entry2!C729,Data!C729,"ERROR")</f>
        <v>45197</v>
      </c>
      <c r="D729" s="7" t="str">
        <f>IF(Data!D729=Entry2!D729,Data!D729,"ERROR")</f>
        <v>MP, TL, MG</v>
      </c>
      <c r="E729" s="7" t="str">
        <f>IF(Data!E729=Entry2!E729,Data!E729,"ERROR")</f>
        <v>VB</v>
      </c>
      <c r="F729" s="7">
        <f>IF(Data!F729=Entry2!F729,Data!F729,"ERROR")</f>
        <v>3</v>
      </c>
      <c r="G729" s="7" t="str">
        <f>IF(Data!G729=Entry2!G729,Data!G729,"ERROR")</f>
        <v>LS</v>
      </c>
      <c r="H729" s="7">
        <f>IF(Data!H729=Entry2!H729,Data!H729,"ERROR")</f>
        <v>12</v>
      </c>
      <c r="I729" s="7">
        <f>IF(Data!I729=Entry2!I729,Data!I729,"ERROR")</f>
        <v>2</v>
      </c>
      <c r="J729" s="7">
        <f>IF(Data!J729=Entry2!J729,Data!J729,"ERROR")</f>
        <v>6</v>
      </c>
      <c r="K729" s="7" t="str">
        <f>IF(Data!K729=Entry2!K729,Data!K729,"ERROR")</f>
        <v>NNG</v>
      </c>
      <c r="L729" s="7" t="str">
        <f>IF(Data!L729=Entry2!L729,Data!L729,"ERROR")</f>
        <v>ERROR</v>
      </c>
      <c r="M729" s="7">
        <f>IF(Data!N729=Entry2!M729,Data!N729,"ERROR")</f>
        <v>0</v>
      </c>
    </row>
    <row r="730" spans="1:13" ht="13.2" x14ac:dyDescent="0.25">
      <c r="A730" s="7">
        <f>IF(Data!A730=Entry2!A730,Data!A730,"ERROR")</f>
        <v>15</v>
      </c>
      <c r="B730" s="7">
        <f>IF(Data!B730=Entry2!B730,Data!B730,"ERROR")</f>
        <v>2023</v>
      </c>
      <c r="C730" s="17">
        <f>IF(Data!C730=Entry2!C730,Data!C730,"ERROR")</f>
        <v>45197</v>
      </c>
      <c r="D730" s="7" t="str">
        <f>IF(Data!D730=Entry2!D730,Data!D730,"ERROR")</f>
        <v>MP, TL, MG</v>
      </c>
      <c r="E730" s="7" t="str">
        <f>IF(Data!E730=Entry2!E730,Data!E730,"ERROR")</f>
        <v>VB</v>
      </c>
      <c r="F730" s="7">
        <f>IF(Data!F730=Entry2!F730,Data!F730,"ERROR")</f>
        <v>3</v>
      </c>
      <c r="G730" s="7" t="str">
        <f>IF(Data!G730=Entry2!G730,Data!G730,"ERROR")</f>
        <v>LS</v>
      </c>
      <c r="H730" s="7">
        <f>IF(Data!H730=Entry2!H730,Data!H730,"ERROR")</f>
        <v>13</v>
      </c>
      <c r="I730" s="7">
        <f>IF(Data!I730=Entry2!I730,Data!I730,"ERROR")</f>
        <v>2</v>
      </c>
      <c r="J730" s="7">
        <f>IF(Data!J730=Entry2!J730,Data!J730,"ERROR")</f>
        <v>6.5</v>
      </c>
      <c r="K730" s="7" t="str">
        <f>IF(Data!K730=Entry2!K730,Data!K730,"ERROR")</f>
        <v>L</v>
      </c>
      <c r="L730" s="7" t="str">
        <f>IF(Data!L730=Entry2!L730,Data!L730,"ERROR")</f>
        <v>ERROR</v>
      </c>
      <c r="M730" s="7">
        <f>IF(Data!N730=Entry2!M730,Data!N730,"ERROR")</f>
        <v>0</v>
      </c>
    </row>
    <row r="731" spans="1:13" ht="13.2" x14ac:dyDescent="0.25">
      <c r="A731" s="7">
        <f>IF(Data!A731=Entry2!A731,Data!A731,"ERROR")</f>
        <v>15</v>
      </c>
      <c r="B731" s="7">
        <f>IF(Data!B731=Entry2!B731,Data!B731,"ERROR")</f>
        <v>2023</v>
      </c>
      <c r="C731" s="17">
        <f>IF(Data!C731=Entry2!C731,Data!C731,"ERROR")</f>
        <v>45197</v>
      </c>
      <c r="D731" s="7" t="str">
        <f>IF(Data!D731=Entry2!D731,Data!D731,"ERROR")</f>
        <v>MP, TL, MG</v>
      </c>
      <c r="E731" s="7" t="str">
        <f>IF(Data!E731=Entry2!E731,Data!E731,"ERROR")</f>
        <v>VB</v>
      </c>
      <c r="F731" s="7">
        <f>IF(Data!F731=Entry2!F731,Data!F731,"ERROR")</f>
        <v>3</v>
      </c>
      <c r="G731" s="7" t="str">
        <f>IF(Data!G731=Entry2!G731,Data!G731,"ERROR")</f>
        <v>LS</v>
      </c>
      <c r="H731" s="7">
        <f>IF(Data!H731=Entry2!H731,Data!H731,"ERROR")</f>
        <v>13</v>
      </c>
      <c r="I731" s="7">
        <f>IF(Data!I731=Entry2!I731,Data!I731,"ERROR")</f>
        <v>2</v>
      </c>
      <c r="J731" s="7">
        <f>IF(Data!J731=Entry2!J731,Data!J731,"ERROR")</f>
        <v>6.5</v>
      </c>
      <c r="K731" s="7" t="str">
        <f>IF(Data!K731=Entry2!K731,Data!K731,"ERROR")</f>
        <v>OPULIT</v>
      </c>
      <c r="L731" s="7" t="str">
        <f>IF(Data!L731=Entry2!L731,Data!L731,"ERROR")</f>
        <v>ERROR</v>
      </c>
      <c r="M731" s="7">
        <f>IF(Data!N731=Entry2!M731,Data!N731,"ERROR")</f>
        <v>0</v>
      </c>
    </row>
    <row r="732" spans="1:13" ht="13.2" x14ac:dyDescent="0.25">
      <c r="A732" s="7">
        <f>IF(Data!A732=Entry2!A732,Data!A732,"ERROR")</f>
        <v>15</v>
      </c>
      <c r="B732" s="7">
        <f>IF(Data!B732=Entry2!B732,Data!B732,"ERROR")</f>
        <v>2023</v>
      </c>
      <c r="C732" s="17">
        <f>IF(Data!C732=Entry2!C732,Data!C732,"ERROR")</f>
        <v>45197</v>
      </c>
      <c r="D732" s="7" t="str">
        <f>IF(Data!D732=Entry2!D732,Data!D732,"ERROR")</f>
        <v>MP, TL, MG</v>
      </c>
      <c r="E732" s="7" t="str">
        <f>IF(Data!E732=Entry2!E732,Data!E732,"ERROR")</f>
        <v>VB</v>
      </c>
      <c r="F732" s="7">
        <f>IF(Data!F732=Entry2!F732,Data!F732,"ERROR")</f>
        <v>3</v>
      </c>
      <c r="G732" s="7" t="str">
        <f>IF(Data!G732=Entry2!G732,Data!G732,"ERROR")</f>
        <v>LS</v>
      </c>
      <c r="H732" s="7">
        <f>IF(Data!H732=Entry2!H732,Data!H732,"ERROR")</f>
        <v>14</v>
      </c>
      <c r="I732" s="7">
        <f>IF(Data!I732=Entry2!I732,Data!I732,"ERROR")</f>
        <v>2</v>
      </c>
      <c r="J732" s="7">
        <f>IF(Data!J732=Entry2!J732,Data!J732,"ERROR")</f>
        <v>7</v>
      </c>
      <c r="K732" s="7" t="str">
        <f>IF(Data!K732=Entry2!K732,Data!K732,"ERROR")</f>
        <v>L</v>
      </c>
      <c r="L732" s="7" t="str">
        <f>IF(Data!L732=Entry2!L732,Data!L732,"ERROR")</f>
        <v>ERROR</v>
      </c>
      <c r="M732" s="7">
        <f>IF(Data!N732=Entry2!M732,Data!N732,"ERROR")</f>
        <v>0</v>
      </c>
    </row>
    <row r="733" spans="1:13" ht="13.2" x14ac:dyDescent="0.25">
      <c r="A733" s="7">
        <f>IF(Data!A733=Entry2!A733,Data!A733,"ERROR")</f>
        <v>15</v>
      </c>
      <c r="B733" s="7">
        <f>IF(Data!B733=Entry2!B733,Data!B733,"ERROR")</f>
        <v>2023</v>
      </c>
      <c r="C733" s="17">
        <f>IF(Data!C733=Entry2!C733,Data!C733,"ERROR")</f>
        <v>45197</v>
      </c>
      <c r="D733" s="7" t="str">
        <f>IF(Data!D733=Entry2!D733,Data!D733,"ERROR")</f>
        <v>MP, TL, MG</v>
      </c>
      <c r="E733" s="7" t="str">
        <f>IF(Data!E733=Entry2!E733,Data!E733,"ERROR")</f>
        <v>VB</v>
      </c>
      <c r="F733" s="7">
        <f>IF(Data!F733=Entry2!F733,Data!F733,"ERROR")</f>
        <v>3</v>
      </c>
      <c r="G733" s="7" t="str">
        <f>IF(Data!G733=Entry2!G733,Data!G733,"ERROR")</f>
        <v>LS</v>
      </c>
      <c r="H733" s="7">
        <f>IF(Data!H733=Entry2!H733,Data!H733,"ERROR")</f>
        <v>15</v>
      </c>
      <c r="I733" s="7">
        <f>IF(Data!I733=Entry2!I733,Data!I733,"ERROR")</f>
        <v>2</v>
      </c>
      <c r="J733" s="7">
        <f>IF(Data!J733=Entry2!J733,Data!J733,"ERROR")</f>
        <v>7.5</v>
      </c>
      <c r="K733" s="7" t="str">
        <f>IF(Data!K733=Entry2!K733,Data!K733,"ERROR")</f>
        <v>L</v>
      </c>
      <c r="L733" s="7" t="str">
        <f>IF(Data!L733=Entry2!L733,Data!L733,"ERROR")</f>
        <v>ERROR</v>
      </c>
      <c r="M733" s="7">
        <f>IF(Data!N733=Entry2!M733,Data!N733,"ERROR")</f>
        <v>0</v>
      </c>
    </row>
    <row r="734" spans="1:13" ht="13.2" x14ac:dyDescent="0.25">
      <c r="A734" s="7">
        <f>IF(Data!A734=Entry2!A734,Data!A734,"ERROR")</f>
        <v>16</v>
      </c>
      <c r="B734" s="7">
        <f>IF(Data!B734=Entry2!B734,Data!B734,"ERROR")</f>
        <v>2023</v>
      </c>
      <c r="C734" s="17">
        <f>IF(Data!C734=Entry2!C734,Data!C734,"ERROR")</f>
        <v>45197</v>
      </c>
      <c r="D734" s="7" t="str">
        <f>IF(Data!D734=Entry2!D734,Data!D734,"ERROR")</f>
        <v>MP, TL, MG</v>
      </c>
      <c r="E734" s="7" t="str">
        <f>IF(Data!E734=Entry2!E734,Data!E734,"ERROR")</f>
        <v>VB</v>
      </c>
      <c r="F734" s="7">
        <f>IF(Data!F734=Entry2!F734,Data!F734,"ERROR")</f>
        <v>3</v>
      </c>
      <c r="G734" s="7" t="str">
        <f>IF(Data!G734=Entry2!G734,Data!G734,"ERROR")</f>
        <v>LU</v>
      </c>
      <c r="H734" s="7">
        <f>IF(Data!H734=Entry2!H734,Data!H734,"ERROR")</f>
        <v>1</v>
      </c>
      <c r="I734" s="7">
        <f>IF(Data!I734=Entry2!I734,Data!I734,"ERROR")</f>
        <v>1</v>
      </c>
      <c r="J734" s="7">
        <f>IF(Data!J734=Entry2!J734,Data!J734,"ERROR")</f>
        <v>0</v>
      </c>
      <c r="K734" s="7" t="str">
        <f>IF(Data!K734=Entry2!K734,Data!K734,"ERROR")</f>
        <v>L</v>
      </c>
      <c r="L734" s="7" t="str">
        <f>IF(Data!L734=Entry2!L734,Data!L734,"ERROR")</f>
        <v>ERROR</v>
      </c>
      <c r="M734" s="7">
        <f>IF(Data!N734=Entry2!M734,Data!N734,"ERROR")</f>
        <v>0</v>
      </c>
    </row>
    <row r="735" spans="1:13" ht="13.2" x14ac:dyDescent="0.25">
      <c r="A735" s="7">
        <f>IF(Data!A735=Entry2!A735,Data!A735,"ERROR")</f>
        <v>16</v>
      </c>
      <c r="B735" s="7">
        <f>IF(Data!B735=Entry2!B735,Data!B735,"ERROR")</f>
        <v>2023</v>
      </c>
      <c r="C735" s="17">
        <f>IF(Data!C735=Entry2!C735,Data!C735,"ERROR")</f>
        <v>45197</v>
      </c>
      <c r="D735" s="7" t="str">
        <f>IF(Data!D735=Entry2!D735,Data!D735,"ERROR")</f>
        <v>MP, TL, MG</v>
      </c>
      <c r="E735" s="7" t="str">
        <f>IF(Data!E735=Entry2!E735,Data!E735,"ERROR")</f>
        <v>VB</v>
      </c>
      <c r="F735" s="7">
        <f>IF(Data!F735=Entry2!F735,Data!F735,"ERROR")</f>
        <v>3</v>
      </c>
      <c r="G735" s="7" t="str">
        <f>IF(Data!G735=Entry2!G735,Data!G735,"ERROR")</f>
        <v>LU</v>
      </c>
      <c r="H735" s="7">
        <f>IF(Data!H735=Entry2!H735,Data!H735,"ERROR")</f>
        <v>2</v>
      </c>
      <c r="I735" s="7">
        <f>IF(Data!I735=Entry2!I735,Data!I735,"ERROR")</f>
        <v>1</v>
      </c>
      <c r="J735" s="7">
        <f>IF(Data!J735=Entry2!J735,Data!J735,"ERROR")</f>
        <v>0.5</v>
      </c>
      <c r="K735" s="7" t="str">
        <f>IF(Data!K735=Entry2!K735,Data!K735,"ERROR")</f>
        <v>B</v>
      </c>
      <c r="L735" s="7" t="str">
        <f>IF(Data!L735=Entry2!L735,Data!L735,"ERROR")</f>
        <v>ERROR</v>
      </c>
      <c r="M735" s="7">
        <f>IF(Data!N735=Entry2!M735,Data!N735,"ERROR")</f>
        <v>0</v>
      </c>
    </row>
    <row r="736" spans="1:13" ht="13.2" x14ac:dyDescent="0.25">
      <c r="A736" s="7">
        <f>IF(Data!A736=Entry2!A736,Data!A736,"ERROR")</f>
        <v>16</v>
      </c>
      <c r="B736" s="7">
        <f>IF(Data!B736=Entry2!B736,Data!B736,"ERROR")</f>
        <v>2023</v>
      </c>
      <c r="C736" s="17">
        <f>IF(Data!C736=Entry2!C736,Data!C736,"ERROR")</f>
        <v>45197</v>
      </c>
      <c r="D736" s="7" t="str">
        <f>IF(Data!D736=Entry2!D736,Data!D736,"ERROR")</f>
        <v>MP, TL, MG</v>
      </c>
      <c r="E736" s="7" t="str">
        <f>IF(Data!E736=Entry2!E736,Data!E736,"ERROR")</f>
        <v>VB</v>
      </c>
      <c r="F736" s="7">
        <f>IF(Data!F736=Entry2!F736,Data!F736,"ERROR")</f>
        <v>3</v>
      </c>
      <c r="G736" s="7" t="str">
        <f>IF(Data!G736=Entry2!G736,Data!G736,"ERROR")</f>
        <v>LU</v>
      </c>
      <c r="H736" s="7">
        <f>IF(Data!H736=Entry2!H736,Data!H736,"ERROR")</f>
        <v>3</v>
      </c>
      <c r="I736" s="7">
        <f>IF(Data!I736=Entry2!I736,Data!I736,"ERROR")</f>
        <v>1</v>
      </c>
      <c r="J736" s="7">
        <f>IF(Data!J736=Entry2!J736,Data!J736,"ERROR")</f>
        <v>1</v>
      </c>
      <c r="K736" s="7" t="str">
        <f>IF(Data!K736=Entry2!K736,Data!K736,"ERROR")</f>
        <v>L</v>
      </c>
      <c r="L736" s="7" t="str">
        <f>IF(Data!L736=Entry2!L736,Data!L736,"ERROR")</f>
        <v>ERROR</v>
      </c>
      <c r="M736" s="7">
        <f>IF(Data!N736=Entry2!M736,Data!N736,"ERROR")</f>
        <v>0</v>
      </c>
    </row>
    <row r="737" spans="1:13" ht="13.2" x14ac:dyDescent="0.25">
      <c r="A737" s="7">
        <f>IF(Data!A737=Entry2!A737,Data!A737,"ERROR")</f>
        <v>16</v>
      </c>
      <c r="B737" s="7">
        <f>IF(Data!B737=Entry2!B737,Data!B737,"ERROR")</f>
        <v>2023</v>
      </c>
      <c r="C737" s="17">
        <f>IF(Data!C737=Entry2!C737,Data!C737,"ERROR")</f>
        <v>45197</v>
      </c>
      <c r="D737" s="7" t="str">
        <f>IF(Data!D737=Entry2!D737,Data!D737,"ERROR")</f>
        <v>MP, TL, MG</v>
      </c>
      <c r="E737" s="7" t="str">
        <f>IF(Data!E737=Entry2!E737,Data!E737,"ERROR")</f>
        <v>VB</v>
      </c>
      <c r="F737" s="7">
        <f>IF(Data!F737=Entry2!F737,Data!F737,"ERROR")</f>
        <v>3</v>
      </c>
      <c r="G737" s="7" t="str">
        <f>IF(Data!G737=Entry2!G737,Data!G737,"ERROR")</f>
        <v>LU</v>
      </c>
      <c r="H737" s="7">
        <f>IF(Data!H737=Entry2!H737,Data!H737,"ERROR")</f>
        <v>4</v>
      </c>
      <c r="I737" s="7">
        <f>IF(Data!I737=Entry2!I737,Data!I737,"ERROR")</f>
        <v>1</v>
      </c>
      <c r="J737" s="7">
        <f>IF(Data!J737=Entry2!J737,Data!J737,"ERROR")</f>
        <v>1.5</v>
      </c>
      <c r="K737" s="7" t="str">
        <f>IF(Data!K737=Entry2!K737,Data!K737,"ERROR")</f>
        <v>S</v>
      </c>
      <c r="L737" s="7" t="str">
        <f>IF(Data!L737=Entry2!L737,Data!L737,"ERROR")</f>
        <v>ERROR</v>
      </c>
      <c r="M737" s="7">
        <f>IF(Data!N737=Entry2!M737,Data!N737,"ERROR")</f>
        <v>0</v>
      </c>
    </row>
    <row r="738" spans="1:13" ht="13.2" x14ac:dyDescent="0.25">
      <c r="A738" s="7">
        <f>IF(Data!A738=Entry2!A738,Data!A738,"ERROR")</f>
        <v>16</v>
      </c>
      <c r="B738" s="7">
        <f>IF(Data!B738=Entry2!B738,Data!B738,"ERROR")</f>
        <v>2023</v>
      </c>
      <c r="C738" s="17">
        <f>IF(Data!C738=Entry2!C738,Data!C738,"ERROR")</f>
        <v>45197</v>
      </c>
      <c r="D738" s="7" t="str">
        <f>IF(Data!D738=Entry2!D738,Data!D738,"ERROR")</f>
        <v>MP, TL, MG</v>
      </c>
      <c r="E738" s="7" t="str">
        <f>IF(Data!E738=Entry2!E738,Data!E738,"ERROR")</f>
        <v>VB</v>
      </c>
      <c r="F738" s="7">
        <f>IF(Data!F738=Entry2!F738,Data!F738,"ERROR")</f>
        <v>3</v>
      </c>
      <c r="G738" s="7" t="str">
        <f>IF(Data!G738=Entry2!G738,Data!G738,"ERROR")</f>
        <v>LU</v>
      </c>
      <c r="H738" s="7">
        <f>IF(Data!H738=Entry2!H738,Data!H738,"ERROR")</f>
        <v>4</v>
      </c>
      <c r="I738" s="7">
        <f>IF(Data!I738=Entry2!I738,Data!I738,"ERROR")</f>
        <v>1</v>
      </c>
      <c r="J738" s="7">
        <f>IF(Data!J738=Entry2!J738,Data!J738,"ERROR")</f>
        <v>1.5</v>
      </c>
      <c r="K738" s="7" t="str">
        <f>IF(Data!K738=Entry2!K738,Data!K738,"ERROR")</f>
        <v>EROCIC</v>
      </c>
      <c r="L738" s="7" t="str">
        <f>IF(Data!L738=Entry2!L738,Data!L738,"ERROR")</f>
        <v>ERROR</v>
      </c>
      <c r="M738" s="7">
        <f>IF(Data!N738=Entry2!M738,Data!N738,"ERROR")</f>
        <v>0</v>
      </c>
    </row>
    <row r="739" spans="1:13" ht="13.2" x14ac:dyDescent="0.25">
      <c r="A739" s="7">
        <f>IF(Data!A739=Entry2!A739,Data!A739,"ERROR")</f>
        <v>16</v>
      </c>
      <c r="B739" s="7">
        <f>IF(Data!B739=Entry2!B739,Data!B739,"ERROR")</f>
        <v>2023</v>
      </c>
      <c r="C739" s="17">
        <f>IF(Data!C739=Entry2!C739,Data!C739,"ERROR")</f>
        <v>45197</v>
      </c>
      <c r="D739" s="7" t="str">
        <f>IF(Data!D739=Entry2!D739,Data!D739,"ERROR")</f>
        <v>MP, TL, MG</v>
      </c>
      <c r="E739" s="7" t="str">
        <f>IF(Data!E739=Entry2!E739,Data!E739,"ERROR")</f>
        <v>VB</v>
      </c>
      <c r="F739" s="7">
        <f>IF(Data!F739=Entry2!F739,Data!F739,"ERROR")</f>
        <v>3</v>
      </c>
      <c r="G739" s="7" t="str">
        <f>IF(Data!G739=Entry2!G739,Data!G739,"ERROR")</f>
        <v>LU</v>
      </c>
      <c r="H739" s="7">
        <f>IF(Data!H739=Entry2!H739,Data!H739,"ERROR")</f>
        <v>5</v>
      </c>
      <c r="I739" s="7">
        <f>IF(Data!I739=Entry2!I739,Data!I739,"ERROR")</f>
        <v>1</v>
      </c>
      <c r="J739" s="7">
        <f>IF(Data!J739=Entry2!J739,Data!J739,"ERROR")</f>
        <v>2</v>
      </c>
      <c r="K739" s="7" t="str">
        <f>IF(Data!K739=Entry2!K739,Data!K739,"ERROR")</f>
        <v>B</v>
      </c>
      <c r="L739" s="7" t="str">
        <f>IF(Data!L739=Entry2!L739,Data!L739,"ERROR")</f>
        <v>ERROR</v>
      </c>
      <c r="M739" s="7">
        <f>IF(Data!N739=Entry2!M739,Data!N739,"ERROR")</f>
        <v>0</v>
      </c>
    </row>
    <row r="740" spans="1:13" ht="13.2" x14ac:dyDescent="0.25">
      <c r="A740" s="7">
        <f>IF(Data!A740=Entry2!A740,Data!A740,"ERROR")</f>
        <v>16</v>
      </c>
      <c r="B740" s="7">
        <f>IF(Data!B740=Entry2!B740,Data!B740,"ERROR")</f>
        <v>2023</v>
      </c>
      <c r="C740" s="17">
        <f>IF(Data!C740=Entry2!C740,Data!C740,"ERROR")</f>
        <v>45197</v>
      </c>
      <c r="D740" s="7" t="str">
        <f>IF(Data!D740=Entry2!D740,Data!D740,"ERROR")</f>
        <v>MP, TL, MG</v>
      </c>
      <c r="E740" s="7" t="str">
        <f>IF(Data!E740=Entry2!E740,Data!E740,"ERROR")</f>
        <v>VB</v>
      </c>
      <c r="F740" s="7">
        <f>IF(Data!F740=Entry2!F740,Data!F740,"ERROR")</f>
        <v>3</v>
      </c>
      <c r="G740" s="7" t="str">
        <f>IF(Data!G740=Entry2!G740,Data!G740,"ERROR")</f>
        <v>LU</v>
      </c>
      <c r="H740" s="7">
        <f>IF(Data!H740=Entry2!H740,Data!H740,"ERROR")</f>
        <v>5</v>
      </c>
      <c r="I740" s="7">
        <f>IF(Data!I740=Entry2!I740,Data!I740,"ERROR")</f>
        <v>1</v>
      </c>
      <c r="J740" s="7">
        <f>IF(Data!J740=Entry2!J740,Data!J740,"ERROR")</f>
        <v>2</v>
      </c>
      <c r="K740" s="7" t="str">
        <f>IF(Data!K740=Entry2!K740,Data!K740,"ERROR")</f>
        <v>CENMEL</v>
      </c>
      <c r="L740" s="7" t="str">
        <f>IF(Data!L740=Entry2!L740,Data!L740,"ERROR")</f>
        <v>ERROR</v>
      </c>
      <c r="M740" s="7">
        <f>IF(Data!N740=Entry2!M740,Data!N740,"ERROR")</f>
        <v>0</v>
      </c>
    </row>
    <row r="741" spans="1:13" ht="13.2" x14ac:dyDescent="0.25">
      <c r="A741" s="7">
        <f>IF(Data!A741=Entry2!A741,Data!A741,"ERROR")</f>
        <v>16</v>
      </c>
      <c r="B741" s="7">
        <f>IF(Data!B741=Entry2!B741,Data!B741,"ERROR")</f>
        <v>2023</v>
      </c>
      <c r="C741" s="17">
        <f>IF(Data!C741=Entry2!C741,Data!C741,"ERROR")</f>
        <v>45197</v>
      </c>
      <c r="D741" s="7" t="str">
        <f>IF(Data!D741=Entry2!D741,Data!D741,"ERROR")</f>
        <v>MP, TL, MG</v>
      </c>
      <c r="E741" s="7" t="str">
        <f>IF(Data!E741=Entry2!E741,Data!E741,"ERROR")</f>
        <v>VB</v>
      </c>
      <c r="F741" s="7">
        <f>IF(Data!F741=Entry2!F741,Data!F741,"ERROR")</f>
        <v>3</v>
      </c>
      <c r="G741" s="7" t="str">
        <f>IF(Data!G741=Entry2!G741,Data!G741,"ERROR")</f>
        <v>LU</v>
      </c>
      <c r="H741" s="7">
        <f>IF(Data!H741=Entry2!H741,Data!H741,"ERROR")</f>
        <v>6</v>
      </c>
      <c r="I741" s="7">
        <f>IF(Data!I741=Entry2!I741,Data!I741,"ERROR")</f>
        <v>1</v>
      </c>
      <c r="J741" s="7">
        <f>IF(Data!J741=Entry2!J741,Data!J741,"ERROR")</f>
        <v>2.5</v>
      </c>
      <c r="K741" s="7" t="str">
        <f>IF(Data!K741=Entry2!K741,Data!K741,"ERROR")</f>
        <v>B</v>
      </c>
      <c r="L741" s="7" t="str">
        <f>IF(Data!L741=Entry2!L741,Data!L741,"ERROR")</f>
        <v>ERROR</v>
      </c>
      <c r="M741" s="7">
        <f>IF(Data!N741=Entry2!M741,Data!N741,"ERROR")</f>
        <v>0</v>
      </c>
    </row>
    <row r="742" spans="1:13" ht="13.2" x14ac:dyDescent="0.25">
      <c r="A742" s="7">
        <f>IF(Data!A742=Entry2!A742,Data!A742,"ERROR")</f>
        <v>16</v>
      </c>
      <c r="B742" s="7">
        <f>IF(Data!B742=Entry2!B742,Data!B742,"ERROR")</f>
        <v>2023</v>
      </c>
      <c r="C742" s="17">
        <f>IF(Data!C742=Entry2!C742,Data!C742,"ERROR")</f>
        <v>45197</v>
      </c>
      <c r="D742" s="7" t="str">
        <f>IF(Data!D742=Entry2!D742,Data!D742,"ERROR")</f>
        <v>MP, TL, MG</v>
      </c>
      <c r="E742" s="7" t="str">
        <f>IF(Data!E742=Entry2!E742,Data!E742,"ERROR")</f>
        <v>VB</v>
      </c>
      <c r="F742" s="7">
        <f>IF(Data!F742=Entry2!F742,Data!F742,"ERROR")</f>
        <v>3</v>
      </c>
      <c r="G742" s="7" t="str">
        <f>IF(Data!G742=Entry2!G742,Data!G742,"ERROR")</f>
        <v>LU</v>
      </c>
      <c r="H742" s="7">
        <f>IF(Data!H742=Entry2!H742,Data!H742,"ERROR")</f>
        <v>7</v>
      </c>
      <c r="I742" s="7">
        <f>IF(Data!I742=Entry2!I742,Data!I742,"ERROR")</f>
        <v>1</v>
      </c>
      <c r="J742" s="7">
        <f>IF(Data!J742=Entry2!J742,Data!J742,"ERROR")</f>
        <v>3</v>
      </c>
      <c r="K742" s="7" t="str">
        <f>IF(Data!K742=Entry2!K742,Data!K742,"ERROR")</f>
        <v>S</v>
      </c>
      <c r="L742" s="7" t="str">
        <f>IF(Data!L742=Entry2!L742,Data!L742,"ERROR")</f>
        <v>ERROR</v>
      </c>
      <c r="M742" s="7">
        <f>IF(Data!N742=Entry2!M742,Data!N742,"ERROR")</f>
        <v>0</v>
      </c>
    </row>
    <row r="743" spans="1:13" ht="13.2" x14ac:dyDescent="0.25">
      <c r="A743" s="7">
        <f>IF(Data!A743=Entry2!A743,Data!A743,"ERROR")</f>
        <v>16</v>
      </c>
      <c r="B743" s="7">
        <f>IF(Data!B743=Entry2!B743,Data!B743,"ERROR")</f>
        <v>2023</v>
      </c>
      <c r="C743" s="17">
        <f>IF(Data!C743=Entry2!C743,Data!C743,"ERROR")</f>
        <v>45197</v>
      </c>
      <c r="D743" s="7" t="str">
        <f>IF(Data!D743=Entry2!D743,Data!D743,"ERROR")</f>
        <v>MP, TL, MG</v>
      </c>
      <c r="E743" s="7" t="str">
        <f>IF(Data!E743=Entry2!E743,Data!E743,"ERROR")</f>
        <v>VB</v>
      </c>
      <c r="F743" s="7">
        <f>IF(Data!F743=Entry2!F743,Data!F743,"ERROR")</f>
        <v>3</v>
      </c>
      <c r="G743" s="7" t="str">
        <f>IF(Data!G743=Entry2!G743,Data!G743,"ERROR")</f>
        <v>LU</v>
      </c>
      <c r="H743" s="7">
        <f>IF(Data!H743=Entry2!H743,Data!H743,"ERROR")</f>
        <v>7</v>
      </c>
      <c r="I743" s="7">
        <f>IF(Data!I743=Entry2!I743,Data!I743,"ERROR")</f>
        <v>1</v>
      </c>
      <c r="J743" s="7">
        <f>IF(Data!J743=Entry2!J743,Data!J743,"ERROR")</f>
        <v>3</v>
      </c>
      <c r="K743" s="7" t="str">
        <f>IF(Data!K743=Entry2!K743,Data!K743,"ERROR")</f>
        <v>OPULIT</v>
      </c>
      <c r="L743" s="7" t="str">
        <f>IF(Data!L743=Entry2!L743,Data!L743,"ERROR")</f>
        <v>ERROR</v>
      </c>
      <c r="M743" s="7">
        <f>IF(Data!N743=Entry2!M743,Data!N743,"ERROR")</f>
        <v>0</v>
      </c>
    </row>
    <row r="744" spans="1:13" ht="13.2" x14ac:dyDescent="0.25">
      <c r="A744" s="7">
        <f>IF(Data!A744=Entry2!A744,Data!A744,"ERROR")</f>
        <v>16</v>
      </c>
      <c r="B744" s="7">
        <f>IF(Data!B744=Entry2!B744,Data!B744,"ERROR")</f>
        <v>2023</v>
      </c>
      <c r="C744" s="17">
        <f>IF(Data!C744=Entry2!C744,Data!C744,"ERROR")</f>
        <v>45197</v>
      </c>
      <c r="D744" s="7" t="str">
        <f>IF(Data!D744=Entry2!D744,Data!D744,"ERROR")</f>
        <v>MP, TL, MG</v>
      </c>
      <c r="E744" s="7" t="str">
        <f>IF(Data!E744=Entry2!E744,Data!E744,"ERROR")</f>
        <v>VB</v>
      </c>
      <c r="F744" s="7">
        <f>IF(Data!F744=Entry2!F744,Data!F744,"ERROR")</f>
        <v>3</v>
      </c>
      <c r="G744" s="7" t="str">
        <f>IF(Data!G744=Entry2!G744,Data!G744,"ERROR")</f>
        <v>LU</v>
      </c>
      <c r="H744" s="7">
        <f>IF(Data!H744=Entry2!H744,Data!H744,"ERROR")</f>
        <v>8</v>
      </c>
      <c r="I744" s="7">
        <f>IF(Data!I744=Entry2!I744,Data!I744,"ERROR")</f>
        <v>1</v>
      </c>
      <c r="J744" s="7">
        <f>IF(Data!J744=Entry2!J744,Data!J744,"ERROR")</f>
        <v>3.5</v>
      </c>
      <c r="K744" s="7" t="str">
        <f>IF(Data!K744=Entry2!K744,Data!K744,"ERROR")</f>
        <v>B</v>
      </c>
      <c r="L744" s="7" t="str">
        <f>IF(Data!L744=Entry2!L744,Data!L744,"ERROR")</f>
        <v>ERROR</v>
      </c>
      <c r="M744" s="7">
        <f>IF(Data!N744=Entry2!M744,Data!N744,"ERROR")</f>
        <v>0</v>
      </c>
    </row>
    <row r="745" spans="1:13" ht="13.2" x14ac:dyDescent="0.25">
      <c r="A745" s="7">
        <f>IF(Data!A745=Entry2!A745,Data!A745,"ERROR")</f>
        <v>16</v>
      </c>
      <c r="B745" s="7">
        <f>IF(Data!B745=Entry2!B745,Data!B745,"ERROR")</f>
        <v>2023</v>
      </c>
      <c r="C745" s="17">
        <f>IF(Data!C745=Entry2!C745,Data!C745,"ERROR")</f>
        <v>45197</v>
      </c>
      <c r="D745" s="7" t="str">
        <f>IF(Data!D745=Entry2!D745,Data!D745,"ERROR")</f>
        <v>MP, TL, MG</v>
      </c>
      <c r="E745" s="7" t="str">
        <f>IF(Data!E745=Entry2!E745,Data!E745,"ERROR")</f>
        <v>VB</v>
      </c>
      <c r="F745" s="7">
        <f>IF(Data!F745=Entry2!F745,Data!F745,"ERROR")</f>
        <v>3</v>
      </c>
      <c r="G745" s="7" t="str">
        <f>IF(Data!G745=Entry2!G745,Data!G745,"ERROR")</f>
        <v>LU</v>
      </c>
      <c r="H745" s="7">
        <f>IF(Data!H745=Entry2!H745,Data!H745,"ERROR")</f>
        <v>9</v>
      </c>
      <c r="I745" s="7">
        <f>IF(Data!I745=Entry2!I745,Data!I745,"ERROR")</f>
        <v>1</v>
      </c>
      <c r="J745" s="7">
        <f>IF(Data!J745=Entry2!J745,Data!J745,"ERROR")</f>
        <v>4</v>
      </c>
      <c r="K745" s="7" t="str">
        <f>IF(Data!K745=Entry2!K745,Data!K745,"ERROR")</f>
        <v>B</v>
      </c>
      <c r="L745" s="7" t="str">
        <f>IF(Data!L745=Entry2!L745,Data!L745,"ERROR")</f>
        <v>ERROR</v>
      </c>
      <c r="M745" s="7">
        <f>IF(Data!N745=Entry2!M745,Data!N745,"ERROR")</f>
        <v>0</v>
      </c>
    </row>
    <row r="746" spans="1:13" ht="13.2" x14ac:dyDescent="0.25">
      <c r="A746" s="7">
        <f>IF(Data!A746=Entry2!A746,Data!A746,"ERROR")</f>
        <v>16</v>
      </c>
      <c r="B746" s="7">
        <f>IF(Data!B746=Entry2!B746,Data!B746,"ERROR")</f>
        <v>2023</v>
      </c>
      <c r="C746" s="17">
        <f>IF(Data!C746=Entry2!C746,Data!C746,"ERROR")</f>
        <v>45197</v>
      </c>
      <c r="D746" s="7" t="str">
        <f>IF(Data!D746=Entry2!D746,Data!D746,"ERROR")</f>
        <v>MP, TL, MG</v>
      </c>
      <c r="E746" s="7" t="str">
        <f>IF(Data!E746=Entry2!E746,Data!E746,"ERROR")</f>
        <v>VB</v>
      </c>
      <c r="F746" s="7">
        <f>IF(Data!F746=Entry2!F746,Data!F746,"ERROR")</f>
        <v>3</v>
      </c>
      <c r="G746" s="7" t="str">
        <f>IF(Data!G746=Entry2!G746,Data!G746,"ERROR")</f>
        <v>LU</v>
      </c>
      <c r="H746" s="7">
        <f>IF(Data!H746=Entry2!H746,Data!H746,"ERROR")</f>
        <v>10</v>
      </c>
      <c r="I746" s="7">
        <f>IF(Data!I746=Entry2!I746,Data!I746,"ERROR")</f>
        <v>1</v>
      </c>
      <c r="J746" s="7">
        <f>IF(Data!J746=Entry2!J746,Data!J746,"ERROR")</f>
        <v>4.5</v>
      </c>
      <c r="K746" s="7" t="str">
        <f>IF(Data!K746=Entry2!K746,Data!K746,"ERROR")</f>
        <v>B</v>
      </c>
      <c r="L746" s="7" t="str">
        <f>IF(Data!L746=Entry2!L746,Data!L746,"ERROR")</f>
        <v>ERROR</v>
      </c>
      <c r="M746" s="7">
        <f>IF(Data!N746=Entry2!M746,Data!N746,"ERROR")</f>
        <v>0</v>
      </c>
    </row>
    <row r="747" spans="1:13" ht="13.2" x14ac:dyDescent="0.25">
      <c r="A747" s="7">
        <f>IF(Data!A747=Entry2!A747,Data!A747,"ERROR")</f>
        <v>16</v>
      </c>
      <c r="B747" s="7">
        <f>IF(Data!B747=Entry2!B747,Data!B747,"ERROR")</f>
        <v>2023</v>
      </c>
      <c r="C747" s="17">
        <f>IF(Data!C747=Entry2!C747,Data!C747,"ERROR")</f>
        <v>45197</v>
      </c>
      <c r="D747" s="7" t="str">
        <f>IF(Data!D747=Entry2!D747,Data!D747,"ERROR")</f>
        <v>MP, TL, MG</v>
      </c>
      <c r="E747" s="7" t="str">
        <f>IF(Data!E747=Entry2!E747,Data!E747,"ERROR")</f>
        <v>VB</v>
      </c>
      <c r="F747" s="7">
        <f>IF(Data!F747=Entry2!F747,Data!F747,"ERROR")</f>
        <v>3</v>
      </c>
      <c r="G747" s="7" t="str">
        <f>IF(Data!G747=Entry2!G747,Data!G747,"ERROR")</f>
        <v>LU</v>
      </c>
      <c r="H747" s="7">
        <f>IF(Data!H747=Entry2!H747,Data!H747,"ERROR")</f>
        <v>11</v>
      </c>
      <c r="I747" s="7">
        <f>IF(Data!I747=Entry2!I747,Data!I747,"ERROR")</f>
        <v>1</v>
      </c>
      <c r="J747" s="7">
        <f>IF(Data!J747=Entry2!J747,Data!J747,"ERROR")</f>
        <v>5</v>
      </c>
      <c r="K747" s="7" t="str">
        <f>IF(Data!K747=Entry2!K747,Data!K747,"ERROR")</f>
        <v>B</v>
      </c>
      <c r="L747" s="7" t="str">
        <f>IF(Data!L747=Entry2!L747,Data!L747,"ERROR")</f>
        <v>ERROR</v>
      </c>
      <c r="M747" s="7">
        <f>IF(Data!N747=Entry2!M747,Data!N747,"ERROR")</f>
        <v>0</v>
      </c>
    </row>
    <row r="748" spans="1:13" ht="13.2" x14ac:dyDescent="0.25">
      <c r="A748" s="7">
        <f>IF(Data!A748=Entry2!A748,Data!A748,"ERROR")</f>
        <v>16</v>
      </c>
      <c r="B748" s="7">
        <f>IF(Data!B748=Entry2!B748,Data!B748,"ERROR")</f>
        <v>2023</v>
      </c>
      <c r="C748" s="17">
        <f>IF(Data!C748=Entry2!C748,Data!C748,"ERROR")</f>
        <v>45197</v>
      </c>
      <c r="D748" s="7" t="str">
        <f>IF(Data!D748=Entry2!D748,Data!D748,"ERROR")</f>
        <v>MP, TL, MG</v>
      </c>
      <c r="E748" s="7" t="str">
        <f>IF(Data!E748=Entry2!E748,Data!E748,"ERROR")</f>
        <v>VB</v>
      </c>
      <c r="F748" s="7">
        <f>IF(Data!F748=Entry2!F748,Data!F748,"ERROR")</f>
        <v>3</v>
      </c>
      <c r="G748" s="7" t="str">
        <f>IF(Data!G748=Entry2!G748,Data!G748,"ERROR")</f>
        <v>LU</v>
      </c>
      <c r="H748" s="7">
        <f>IF(Data!H748=Entry2!H748,Data!H748,"ERROR")</f>
        <v>12</v>
      </c>
      <c r="I748" s="7">
        <f>IF(Data!I748=Entry2!I748,Data!I748,"ERROR")</f>
        <v>1</v>
      </c>
      <c r="J748" s="7">
        <f>IF(Data!J748=Entry2!J748,Data!J748,"ERROR")</f>
        <v>5.5</v>
      </c>
      <c r="K748" s="7" t="str">
        <f>IF(Data!K748=Entry2!K748,Data!K748,"ERROR")</f>
        <v>B</v>
      </c>
      <c r="L748" s="7" t="str">
        <f>IF(Data!L748=Entry2!L748,Data!L748,"ERROR")</f>
        <v>ERROR</v>
      </c>
      <c r="M748" s="7">
        <f>IF(Data!N748=Entry2!M748,Data!N748,"ERROR")</f>
        <v>0</v>
      </c>
    </row>
    <row r="749" spans="1:13" ht="13.2" x14ac:dyDescent="0.25">
      <c r="A749" s="7">
        <f>IF(Data!A749=Entry2!A749,Data!A749,"ERROR")</f>
        <v>16</v>
      </c>
      <c r="B749" s="7">
        <f>IF(Data!B749=Entry2!B749,Data!B749,"ERROR")</f>
        <v>2023</v>
      </c>
      <c r="C749" s="17">
        <f>IF(Data!C749=Entry2!C749,Data!C749,"ERROR")</f>
        <v>45197</v>
      </c>
      <c r="D749" s="7" t="str">
        <f>IF(Data!D749=Entry2!D749,Data!D749,"ERROR")</f>
        <v>MP, TL, MG</v>
      </c>
      <c r="E749" s="7" t="str">
        <f>IF(Data!E749=Entry2!E749,Data!E749,"ERROR")</f>
        <v>VB</v>
      </c>
      <c r="F749" s="7">
        <f>IF(Data!F749=Entry2!F749,Data!F749,"ERROR")</f>
        <v>3</v>
      </c>
      <c r="G749" s="7" t="str">
        <f>IF(Data!G749=Entry2!G749,Data!G749,"ERROR")</f>
        <v>LU</v>
      </c>
      <c r="H749" s="7">
        <f>IF(Data!H749=Entry2!H749,Data!H749,"ERROR")</f>
        <v>13</v>
      </c>
      <c r="I749" s="7">
        <f>IF(Data!I749=Entry2!I749,Data!I749,"ERROR")</f>
        <v>1</v>
      </c>
      <c r="J749" s="7">
        <f>IF(Data!J749=Entry2!J749,Data!J749,"ERROR")</f>
        <v>6.5</v>
      </c>
      <c r="K749" s="7" t="str">
        <f>IF(Data!K749=Entry2!K749,Data!K749,"ERROR")</f>
        <v>B</v>
      </c>
      <c r="L749" s="7" t="str">
        <f>IF(Data!L749=Entry2!L749,Data!L749,"ERROR")</f>
        <v>ERROR</v>
      </c>
      <c r="M749" s="7">
        <f>IF(Data!N749=Entry2!M749,Data!N749,"ERROR")</f>
        <v>0</v>
      </c>
    </row>
    <row r="750" spans="1:13" ht="13.2" x14ac:dyDescent="0.25">
      <c r="A750" s="7">
        <f>IF(Data!A750=Entry2!A750,Data!A750,"ERROR")</f>
        <v>16</v>
      </c>
      <c r="B750" s="7">
        <f>IF(Data!B750=Entry2!B750,Data!B750,"ERROR")</f>
        <v>2023</v>
      </c>
      <c r="C750" s="17">
        <f>IF(Data!C750=Entry2!C750,Data!C750,"ERROR")</f>
        <v>45197</v>
      </c>
      <c r="D750" s="7" t="str">
        <f>IF(Data!D750=Entry2!D750,Data!D750,"ERROR")</f>
        <v>MP, TL, MG</v>
      </c>
      <c r="E750" s="7" t="str">
        <f>IF(Data!E750=Entry2!E750,Data!E750,"ERROR")</f>
        <v>VB</v>
      </c>
      <c r="F750" s="7">
        <f>IF(Data!F750=Entry2!F750,Data!F750,"ERROR")</f>
        <v>3</v>
      </c>
      <c r="G750" s="7" t="str">
        <f>IF(Data!G750=Entry2!G750,Data!G750,"ERROR")</f>
        <v>LU</v>
      </c>
      <c r="H750" s="7">
        <f>IF(Data!H750=Entry2!H750,Data!H750,"ERROR")</f>
        <v>13</v>
      </c>
      <c r="I750" s="7">
        <f>IF(Data!I750=Entry2!I750,Data!I750,"ERROR")</f>
        <v>1</v>
      </c>
      <c r="J750" s="7">
        <f>IF(Data!J750=Entry2!J750,Data!J750,"ERROR")</f>
        <v>6.5</v>
      </c>
      <c r="K750" s="7" t="str">
        <f>IF(Data!K750=Entry2!K750,Data!K750,"ERROR")</f>
        <v>OPULIT</v>
      </c>
      <c r="L750" s="7" t="str">
        <f>IF(Data!L750=Entry2!L750,Data!L750,"ERROR")</f>
        <v>ERROR</v>
      </c>
      <c r="M750" s="7">
        <f>IF(Data!N750=Entry2!M750,Data!N750,"ERROR")</f>
        <v>0</v>
      </c>
    </row>
    <row r="751" spans="1:13" ht="13.2" x14ac:dyDescent="0.25">
      <c r="A751" s="7">
        <f>IF(Data!A751=Entry2!A751,Data!A751,"ERROR")</f>
        <v>16</v>
      </c>
      <c r="B751" s="7">
        <f>IF(Data!B751=Entry2!B751,Data!B751,"ERROR")</f>
        <v>2023</v>
      </c>
      <c r="C751" s="17">
        <f>IF(Data!C751=Entry2!C751,Data!C751,"ERROR")</f>
        <v>45197</v>
      </c>
      <c r="D751" s="7" t="str">
        <f>IF(Data!D751=Entry2!D751,Data!D751,"ERROR")</f>
        <v>MP, TL, MG</v>
      </c>
      <c r="E751" s="7" t="str">
        <f>IF(Data!E751=Entry2!E751,Data!E751,"ERROR")</f>
        <v>VB</v>
      </c>
      <c r="F751" s="7">
        <f>IF(Data!F751=Entry2!F751,Data!F751,"ERROR")</f>
        <v>3</v>
      </c>
      <c r="G751" s="7" t="str">
        <f>IF(Data!G751=Entry2!G751,Data!G751,"ERROR")</f>
        <v>LU</v>
      </c>
      <c r="H751" s="7">
        <f>IF(Data!H751=Entry2!H751,Data!H751,"ERROR")</f>
        <v>14</v>
      </c>
      <c r="I751" s="7">
        <f>IF(Data!I751=Entry2!I751,Data!I751,"ERROR")</f>
        <v>1</v>
      </c>
      <c r="J751" s="7">
        <f>IF(Data!J751=Entry2!J751,Data!J751,"ERROR")</f>
        <v>7</v>
      </c>
      <c r="K751" s="7" t="str">
        <f>IF(Data!K751=Entry2!K751,Data!K751,"ERROR")</f>
        <v>B</v>
      </c>
      <c r="L751" s="7" t="str">
        <f>IF(Data!L751=Entry2!L751,Data!L751,"ERROR")</f>
        <v>ERROR</v>
      </c>
      <c r="M751" s="7">
        <f>IF(Data!N751=Entry2!M751,Data!N751,"ERROR")</f>
        <v>0</v>
      </c>
    </row>
    <row r="752" spans="1:13" ht="13.2" x14ac:dyDescent="0.25">
      <c r="A752" s="7">
        <f>IF(Data!A752=Entry2!A752,Data!A752,"ERROR")</f>
        <v>16</v>
      </c>
      <c r="B752" s="7">
        <f>IF(Data!B752=Entry2!B752,Data!B752,"ERROR")</f>
        <v>2023</v>
      </c>
      <c r="C752" s="17">
        <f>IF(Data!C752=Entry2!C752,Data!C752,"ERROR")</f>
        <v>45197</v>
      </c>
      <c r="D752" s="7" t="str">
        <f>IF(Data!D752=Entry2!D752,Data!D752,"ERROR")</f>
        <v>MP, TL, MG</v>
      </c>
      <c r="E752" s="7" t="str">
        <f>IF(Data!E752=Entry2!E752,Data!E752,"ERROR")</f>
        <v>VB</v>
      </c>
      <c r="F752" s="7">
        <f>IF(Data!F752=Entry2!F752,Data!F752,"ERROR")</f>
        <v>3</v>
      </c>
      <c r="G752" s="7" t="str">
        <f>IF(Data!G752=Entry2!G752,Data!G752,"ERROR")</f>
        <v>LU</v>
      </c>
      <c r="H752" s="7">
        <f>IF(Data!H752=Entry2!H752,Data!H752,"ERROR")</f>
        <v>15</v>
      </c>
      <c r="I752" s="7">
        <f>IF(Data!I752=Entry2!I752,Data!I752,"ERROR")</f>
        <v>1</v>
      </c>
      <c r="J752" s="7">
        <f>IF(Data!J752=Entry2!J752,Data!J752,"ERROR")</f>
        <v>7.5</v>
      </c>
      <c r="K752" s="7" t="str">
        <f>IF(Data!K752=Entry2!K752,Data!K752,"ERROR")</f>
        <v>B</v>
      </c>
      <c r="L752" s="7" t="str">
        <f>IF(Data!L752=Entry2!L752,Data!L752,"ERROR")</f>
        <v>ERROR</v>
      </c>
      <c r="M752" s="7">
        <f>IF(Data!N752=Entry2!M752,Data!N752,"ERROR")</f>
        <v>0</v>
      </c>
    </row>
    <row r="753" spans="1:13" ht="13.2" x14ac:dyDescent="0.25">
      <c r="A753" s="7">
        <f>IF(Data!A753=Entry2!A753,Data!A753,"ERROR")</f>
        <v>16</v>
      </c>
      <c r="B753" s="7">
        <f>IF(Data!B753=Entry2!B753,Data!B753,"ERROR")</f>
        <v>2023</v>
      </c>
      <c r="C753" s="17">
        <f>IF(Data!C753=Entry2!C753,Data!C753,"ERROR")</f>
        <v>45197</v>
      </c>
      <c r="D753" s="7" t="str">
        <f>IF(Data!D753=Entry2!D753,Data!D753,"ERROR")</f>
        <v>MP, TL, MG</v>
      </c>
      <c r="E753" s="7" t="str">
        <f>IF(Data!E753=Entry2!E753,Data!E753,"ERROR")</f>
        <v>VB</v>
      </c>
      <c r="F753" s="7">
        <f>IF(Data!F753=Entry2!F753,Data!F753,"ERROR")</f>
        <v>3</v>
      </c>
      <c r="G753" s="7" t="str">
        <f>IF(Data!G753=Entry2!G753,Data!G753,"ERROR")</f>
        <v>LU</v>
      </c>
      <c r="H753" s="7">
        <f>IF(Data!H753=Entry2!H753,Data!H753,"ERROR")</f>
        <v>1</v>
      </c>
      <c r="I753" s="7">
        <f>IF(Data!I753=Entry2!I753,Data!I753,"ERROR")</f>
        <v>2</v>
      </c>
      <c r="J753" s="7">
        <f>IF(Data!J753=Entry2!J753,Data!J753,"ERROR")</f>
        <v>0</v>
      </c>
      <c r="K753" s="7" t="str">
        <f>IF(Data!K753=Entry2!K753,Data!K753,"ERROR")</f>
        <v>L</v>
      </c>
      <c r="L753" s="7" t="str">
        <f>IF(Data!L753=Entry2!L753,Data!L753,"ERROR")</f>
        <v>ERROR</v>
      </c>
      <c r="M753" s="7">
        <f>IF(Data!N753=Entry2!M753,Data!N753,"ERROR")</f>
        <v>0</v>
      </c>
    </row>
    <row r="754" spans="1:13" ht="13.2" x14ac:dyDescent="0.25">
      <c r="A754" s="7">
        <f>IF(Data!A754=Entry2!A754,Data!A754,"ERROR")</f>
        <v>16</v>
      </c>
      <c r="B754" s="7">
        <f>IF(Data!B754=Entry2!B754,Data!B754,"ERROR")</f>
        <v>2023</v>
      </c>
      <c r="C754" s="17">
        <f>IF(Data!C754=Entry2!C754,Data!C754,"ERROR")</f>
        <v>45197</v>
      </c>
      <c r="D754" s="7" t="str">
        <f>IF(Data!D754=Entry2!D754,Data!D754,"ERROR")</f>
        <v>MP, TL, MG</v>
      </c>
      <c r="E754" s="7" t="str">
        <f>IF(Data!E754=Entry2!E754,Data!E754,"ERROR")</f>
        <v>VB</v>
      </c>
      <c r="F754" s="7">
        <f>IF(Data!F754=Entry2!F754,Data!F754,"ERROR")</f>
        <v>3</v>
      </c>
      <c r="G754" s="7" t="str">
        <f>IF(Data!G754=Entry2!G754,Data!G754,"ERROR")</f>
        <v>LU</v>
      </c>
      <c r="H754" s="7">
        <f>IF(Data!H754=Entry2!H754,Data!H754,"ERROR")</f>
        <v>1</v>
      </c>
      <c r="I754" s="7">
        <f>IF(Data!I754=Entry2!I754,Data!I754,"ERROR")</f>
        <v>2</v>
      </c>
      <c r="J754" s="7">
        <f>IF(Data!J754=Entry2!J754,Data!J754,"ERROR")</f>
        <v>0</v>
      </c>
      <c r="K754" s="7" t="str">
        <f>IF(Data!K754=Entry2!K754,Data!K754,"ERROR")</f>
        <v>OPULIT</v>
      </c>
      <c r="L754" s="7" t="str">
        <f>IF(Data!L754=Entry2!L754,Data!L754,"ERROR")</f>
        <v>ERROR</v>
      </c>
      <c r="M754" s="7">
        <f>IF(Data!N754=Entry2!M754,Data!N754,"ERROR")</f>
        <v>0</v>
      </c>
    </row>
    <row r="755" spans="1:13" ht="13.2" x14ac:dyDescent="0.25">
      <c r="A755" s="7">
        <f>IF(Data!A755=Entry2!A755,Data!A755,"ERROR")</f>
        <v>16</v>
      </c>
      <c r="B755" s="7">
        <f>IF(Data!B755=Entry2!B755,Data!B755,"ERROR")</f>
        <v>2023</v>
      </c>
      <c r="C755" s="17">
        <f>IF(Data!C755=Entry2!C755,Data!C755,"ERROR")</f>
        <v>45197</v>
      </c>
      <c r="D755" s="7" t="str">
        <f>IF(Data!D755=Entry2!D755,Data!D755,"ERROR")</f>
        <v>MP, TL, MG</v>
      </c>
      <c r="E755" s="7" t="str">
        <f>IF(Data!E755=Entry2!E755,Data!E755,"ERROR")</f>
        <v>VB</v>
      </c>
      <c r="F755" s="7">
        <f>IF(Data!F755=Entry2!F755,Data!F755,"ERROR")</f>
        <v>3</v>
      </c>
      <c r="G755" s="7" t="str">
        <f>IF(Data!G755=Entry2!G755,Data!G755,"ERROR")</f>
        <v>LU</v>
      </c>
      <c r="H755" s="7">
        <f>IF(Data!H755=Entry2!H755,Data!H755,"ERROR")</f>
        <v>2</v>
      </c>
      <c r="I755" s="7">
        <f>IF(Data!I755=Entry2!I755,Data!I755,"ERROR")</f>
        <v>2</v>
      </c>
      <c r="J755" s="7">
        <f>IF(Data!J755=Entry2!J755,Data!J755,"ERROR")</f>
        <v>0.5</v>
      </c>
      <c r="K755" s="7" t="str">
        <f>IF(Data!K755=Entry2!K755,Data!K755,"ERROR")</f>
        <v>L</v>
      </c>
      <c r="L755" s="7" t="str">
        <f>IF(Data!L755=Entry2!L755,Data!L755,"ERROR")</f>
        <v>ERROR</v>
      </c>
      <c r="M755" s="7">
        <f>IF(Data!N755=Entry2!M755,Data!N755,"ERROR")</f>
        <v>0</v>
      </c>
    </row>
    <row r="756" spans="1:13" ht="13.2" x14ac:dyDescent="0.25">
      <c r="A756" s="7">
        <f>IF(Data!A756=Entry2!A756,Data!A756,"ERROR")</f>
        <v>16</v>
      </c>
      <c r="B756" s="7">
        <f>IF(Data!B756=Entry2!B756,Data!B756,"ERROR")</f>
        <v>2023</v>
      </c>
      <c r="C756" s="17">
        <f>IF(Data!C756=Entry2!C756,Data!C756,"ERROR")</f>
        <v>45197</v>
      </c>
      <c r="D756" s="7" t="str">
        <f>IF(Data!D756=Entry2!D756,Data!D756,"ERROR")</f>
        <v>MP, TL, MG</v>
      </c>
      <c r="E756" s="7" t="str">
        <f>IF(Data!E756=Entry2!E756,Data!E756,"ERROR")</f>
        <v>VB</v>
      </c>
      <c r="F756" s="7">
        <f>IF(Data!F756=Entry2!F756,Data!F756,"ERROR")</f>
        <v>3</v>
      </c>
      <c r="G756" s="7" t="str">
        <f>IF(Data!G756=Entry2!G756,Data!G756,"ERROR")</f>
        <v>LU</v>
      </c>
      <c r="H756" s="7">
        <f>IF(Data!H756=Entry2!H756,Data!H756,"ERROR")</f>
        <v>2</v>
      </c>
      <c r="I756" s="7">
        <f>IF(Data!I756=Entry2!I756,Data!I756,"ERROR")</f>
        <v>2</v>
      </c>
      <c r="J756" s="7">
        <f>IF(Data!J756=Entry2!J756,Data!J756,"ERROR")</f>
        <v>0.5</v>
      </c>
      <c r="K756" s="7" t="str">
        <f>IF(Data!K756=Entry2!K756,Data!K756,"ERROR")</f>
        <v>OPULIT</v>
      </c>
      <c r="L756" s="7" t="str">
        <f>IF(Data!L756=Entry2!L756,Data!L756,"ERROR")</f>
        <v>ERROR</v>
      </c>
      <c r="M756" s="7">
        <f>IF(Data!N756=Entry2!M756,Data!N756,"ERROR")</f>
        <v>0</v>
      </c>
    </row>
    <row r="757" spans="1:13" ht="13.2" x14ac:dyDescent="0.25">
      <c r="A757" s="7">
        <f>IF(Data!A757=Entry2!A757,Data!A757,"ERROR")</f>
        <v>16</v>
      </c>
      <c r="B757" s="7">
        <f>IF(Data!B757=Entry2!B757,Data!B757,"ERROR")</f>
        <v>2023</v>
      </c>
      <c r="C757" s="17">
        <f>IF(Data!C757=Entry2!C757,Data!C757,"ERROR")</f>
        <v>45197</v>
      </c>
      <c r="D757" s="7" t="str">
        <f>IF(Data!D757=Entry2!D757,Data!D757,"ERROR")</f>
        <v>MP, TL, MG</v>
      </c>
      <c r="E757" s="7" t="str">
        <f>IF(Data!E757=Entry2!E757,Data!E757,"ERROR")</f>
        <v>VB</v>
      </c>
      <c r="F757" s="7">
        <f>IF(Data!F757=Entry2!F757,Data!F757,"ERROR")</f>
        <v>3</v>
      </c>
      <c r="G757" s="7" t="str">
        <f>IF(Data!G757=Entry2!G757,Data!G757,"ERROR")</f>
        <v>LU</v>
      </c>
      <c r="H757" s="7">
        <f>IF(Data!H757=Entry2!H757,Data!H757,"ERROR")</f>
        <v>3</v>
      </c>
      <c r="I757" s="7">
        <f>IF(Data!I757=Entry2!I757,Data!I757,"ERROR")</f>
        <v>2</v>
      </c>
      <c r="J757" s="7">
        <f>IF(Data!J757=Entry2!J757,Data!J757,"ERROR")</f>
        <v>1</v>
      </c>
      <c r="K757" s="7" t="str">
        <f>IF(Data!K757=Entry2!K757,Data!K757,"ERROR")</f>
        <v>L</v>
      </c>
      <c r="L757" s="7" t="str">
        <f>IF(Data!L757=Entry2!L757,Data!L757,"ERROR")</f>
        <v>ERROR</v>
      </c>
      <c r="M757" s="7">
        <f>IF(Data!N757=Entry2!M757,Data!N757,"ERROR")</f>
        <v>0</v>
      </c>
    </row>
    <row r="758" spans="1:13" ht="13.2" x14ac:dyDescent="0.25">
      <c r="A758" s="7">
        <f>IF(Data!A758=Entry2!A758,Data!A758,"ERROR")</f>
        <v>16</v>
      </c>
      <c r="B758" s="7">
        <f>IF(Data!B758=Entry2!B758,Data!B758,"ERROR")</f>
        <v>2023</v>
      </c>
      <c r="C758" s="17">
        <f>IF(Data!C758=Entry2!C758,Data!C758,"ERROR")</f>
        <v>45197</v>
      </c>
      <c r="D758" s="7" t="str">
        <f>IF(Data!D758=Entry2!D758,Data!D758,"ERROR")</f>
        <v>MP, TL, MG</v>
      </c>
      <c r="E758" s="7" t="str">
        <f>IF(Data!E758=Entry2!E758,Data!E758,"ERROR")</f>
        <v>VB</v>
      </c>
      <c r="F758" s="7">
        <f>IF(Data!F758=Entry2!F758,Data!F758,"ERROR")</f>
        <v>3</v>
      </c>
      <c r="G758" s="7" t="str">
        <f>IF(Data!G758=Entry2!G758,Data!G758,"ERROR")</f>
        <v>LU</v>
      </c>
      <c r="H758" s="7">
        <f>IF(Data!H758=Entry2!H758,Data!H758,"ERROR")</f>
        <v>3</v>
      </c>
      <c r="I758" s="7">
        <f>IF(Data!I758=Entry2!I758,Data!I758,"ERROR")</f>
        <v>2</v>
      </c>
      <c r="J758" s="7">
        <f>IF(Data!J758=Entry2!J758,Data!J758,"ERROR")</f>
        <v>1</v>
      </c>
      <c r="K758" s="7" t="str">
        <f>IF(Data!K758=Entry2!K758,Data!K758,"ERROR")</f>
        <v>DEIFAS</v>
      </c>
      <c r="L758" s="7" t="str">
        <f>IF(Data!L758=Entry2!L758,Data!L758,"ERROR")</f>
        <v>ERROR</v>
      </c>
      <c r="M758" s="7">
        <f>IF(Data!N758=Entry2!M758,Data!N758,"ERROR")</f>
        <v>0</v>
      </c>
    </row>
    <row r="759" spans="1:13" ht="13.2" x14ac:dyDescent="0.25">
      <c r="A759" s="7">
        <f>IF(Data!A759=Entry2!A759,Data!A759,"ERROR")</f>
        <v>16</v>
      </c>
      <c r="B759" s="7">
        <f>IF(Data!B759=Entry2!B759,Data!B759,"ERROR")</f>
        <v>2023</v>
      </c>
      <c r="C759" s="17">
        <f>IF(Data!C759=Entry2!C759,Data!C759,"ERROR")</f>
        <v>45197</v>
      </c>
      <c r="D759" s="7" t="str">
        <f>IF(Data!D759=Entry2!D759,Data!D759,"ERROR")</f>
        <v>MP, TL, MG</v>
      </c>
      <c r="E759" s="7" t="str">
        <f>IF(Data!E759=Entry2!E759,Data!E759,"ERROR")</f>
        <v>VB</v>
      </c>
      <c r="F759" s="7">
        <f>IF(Data!F759=Entry2!F759,Data!F759,"ERROR")</f>
        <v>3</v>
      </c>
      <c r="G759" s="7" t="str">
        <f>IF(Data!G759=Entry2!G759,Data!G759,"ERROR")</f>
        <v>LU</v>
      </c>
      <c r="H759" s="7">
        <f>IF(Data!H759=Entry2!H759,Data!H759,"ERROR")</f>
        <v>4</v>
      </c>
      <c r="I759" s="7">
        <f>IF(Data!I759=Entry2!I759,Data!I759,"ERROR")</f>
        <v>2</v>
      </c>
      <c r="J759" s="7">
        <f>IF(Data!J759=Entry2!J759,Data!J759,"ERROR")</f>
        <v>1.5</v>
      </c>
      <c r="K759" s="7" t="str">
        <f>IF(Data!K759=Entry2!K759,Data!K759,"ERROR")</f>
        <v>B</v>
      </c>
      <c r="L759" s="7" t="str">
        <f>IF(Data!L759=Entry2!L759,Data!L759,"ERROR")</f>
        <v>ERROR</v>
      </c>
      <c r="M759" s="7">
        <f>IF(Data!N759=Entry2!M759,Data!N759,"ERROR")</f>
        <v>0</v>
      </c>
    </row>
    <row r="760" spans="1:13" ht="13.2" x14ac:dyDescent="0.25">
      <c r="A760" s="7">
        <f>IF(Data!A760=Entry2!A760,Data!A760,"ERROR")</f>
        <v>16</v>
      </c>
      <c r="B760" s="7">
        <f>IF(Data!B760=Entry2!B760,Data!B760,"ERROR")</f>
        <v>2023</v>
      </c>
      <c r="C760" s="17">
        <f>IF(Data!C760=Entry2!C760,Data!C760,"ERROR")</f>
        <v>45197</v>
      </c>
      <c r="D760" s="7" t="str">
        <f>IF(Data!D760=Entry2!D760,Data!D760,"ERROR")</f>
        <v>MP, TL, MG</v>
      </c>
      <c r="E760" s="7" t="str">
        <f>IF(Data!E760=Entry2!E760,Data!E760,"ERROR")</f>
        <v>VB</v>
      </c>
      <c r="F760" s="7">
        <f>IF(Data!F760=Entry2!F760,Data!F760,"ERROR")</f>
        <v>3</v>
      </c>
      <c r="G760" s="7" t="str">
        <f>IF(Data!G760=Entry2!G760,Data!G760,"ERROR")</f>
        <v>LU</v>
      </c>
      <c r="H760" s="7">
        <f>IF(Data!H760=Entry2!H760,Data!H760,"ERROR")</f>
        <v>5</v>
      </c>
      <c r="I760" s="7">
        <f>IF(Data!I760=Entry2!I760,Data!I760,"ERROR")</f>
        <v>2</v>
      </c>
      <c r="J760" s="7">
        <f>IF(Data!J760=Entry2!J760,Data!J760,"ERROR")</f>
        <v>2.5</v>
      </c>
      <c r="K760" s="7" t="str">
        <f>IF(Data!K760=Entry2!K760,Data!K760,"ERROR")</f>
        <v>B</v>
      </c>
      <c r="L760" s="7" t="str">
        <f>IF(Data!L760=Entry2!L760,Data!L760,"ERROR")</f>
        <v>ERROR</v>
      </c>
      <c r="M760" s="7">
        <f>IF(Data!N760=Entry2!M760,Data!N760,"ERROR")</f>
        <v>0</v>
      </c>
    </row>
    <row r="761" spans="1:13" ht="13.2" x14ac:dyDescent="0.25">
      <c r="A761" s="7">
        <f>IF(Data!A761=Entry2!A761,Data!A761,"ERROR")</f>
        <v>16</v>
      </c>
      <c r="B761" s="7">
        <f>IF(Data!B761=Entry2!B761,Data!B761,"ERROR")</f>
        <v>2023</v>
      </c>
      <c r="C761" s="17">
        <f>IF(Data!C761=Entry2!C761,Data!C761,"ERROR")</f>
        <v>45197</v>
      </c>
      <c r="D761" s="7" t="str">
        <f>IF(Data!D761=Entry2!D761,Data!D761,"ERROR")</f>
        <v>MP, TL, MG</v>
      </c>
      <c r="E761" s="7" t="str">
        <f>IF(Data!E761=Entry2!E761,Data!E761,"ERROR")</f>
        <v>VB</v>
      </c>
      <c r="F761" s="7">
        <f>IF(Data!F761=Entry2!F761,Data!F761,"ERROR")</f>
        <v>3</v>
      </c>
      <c r="G761" s="7" t="str">
        <f>IF(Data!G761=Entry2!G761,Data!G761,"ERROR")</f>
        <v>LU</v>
      </c>
      <c r="H761" s="7">
        <f>IF(Data!H761=Entry2!H761,Data!H761,"ERROR")</f>
        <v>6</v>
      </c>
      <c r="I761" s="7">
        <f>IF(Data!I761=Entry2!I761,Data!I761,"ERROR")</f>
        <v>2</v>
      </c>
      <c r="J761" s="7">
        <f>IF(Data!J761=Entry2!J761,Data!J761,"ERROR")</f>
        <v>3</v>
      </c>
      <c r="K761" s="7" t="str">
        <f>IF(Data!K761=Entry2!K761,Data!K761,"ERROR")</f>
        <v>B</v>
      </c>
      <c r="L761" s="7" t="str">
        <f>IF(Data!L761=Entry2!L761,Data!L761,"ERROR")</f>
        <v>ERROR</v>
      </c>
      <c r="M761" s="7">
        <f>IF(Data!N761=Entry2!M761,Data!N761,"ERROR")</f>
        <v>0</v>
      </c>
    </row>
    <row r="762" spans="1:13" ht="13.2" x14ac:dyDescent="0.25">
      <c r="A762" s="7">
        <f>IF(Data!A762=Entry2!A762,Data!A762,"ERROR")</f>
        <v>16</v>
      </c>
      <c r="B762" s="7">
        <f>IF(Data!B762=Entry2!B762,Data!B762,"ERROR")</f>
        <v>2023</v>
      </c>
      <c r="C762" s="17">
        <f>IF(Data!C762=Entry2!C762,Data!C762,"ERROR")</f>
        <v>45197</v>
      </c>
      <c r="D762" s="7" t="str">
        <f>IF(Data!D762=Entry2!D762,Data!D762,"ERROR")</f>
        <v>MP, TL, MG</v>
      </c>
      <c r="E762" s="7" t="str">
        <f>IF(Data!E762=Entry2!E762,Data!E762,"ERROR")</f>
        <v>VB</v>
      </c>
      <c r="F762" s="7">
        <f>IF(Data!F762=Entry2!F762,Data!F762,"ERROR")</f>
        <v>3</v>
      </c>
      <c r="G762" s="7" t="str">
        <f>IF(Data!G762=Entry2!G762,Data!G762,"ERROR")</f>
        <v>LU</v>
      </c>
      <c r="H762" s="7">
        <f>IF(Data!H762=Entry2!H762,Data!H762,"ERROR")</f>
        <v>7</v>
      </c>
      <c r="I762" s="7">
        <f>IF(Data!I762=Entry2!I762,Data!I762,"ERROR")</f>
        <v>2</v>
      </c>
      <c r="J762" s="7">
        <f>IF(Data!J762=Entry2!J762,Data!J762,"ERROR")</f>
        <v>3.5</v>
      </c>
      <c r="K762" s="7" t="str">
        <f>IF(Data!K762=Entry2!K762,Data!K762,"ERROR")</f>
        <v>L</v>
      </c>
      <c r="L762" s="7" t="str">
        <f>IF(Data!L762=Entry2!L762,Data!L762,"ERROR")</f>
        <v>ERROR</v>
      </c>
      <c r="M762" s="7">
        <f>IF(Data!N762=Entry2!M762,Data!N762,"ERROR")</f>
        <v>0</v>
      </c>
    </row>
    <row r="763" spans="1:13" ht="13.2" x14ac:dyDescent="0.25">
      <c r="A763" s="7">
        <f>IF(Data!A763=Entry2!A763,Data!A763,"ERROR")</f>
        <v>16</v>
      </c>
      <c r="B763" s="7">
        <f>IF(Data!B763=Entry2!B763,Data!B763,"ERROR")</f>
        <v>2023</v>
      </c>
      <c r="C763" s="17">
        <f>IF(Data!C763=Entry2!C763,Data!C763,"ERROR")</f>
        <v>45197</v>
      </c>
      <c r="D763" s="7" t="str">
        <f>IF(Data!D763=Entry2!D763,Data!D763,"ERROR")</f>
        <v>MP, TL, MG</v>
      </c>
      <c r="E763" s="7" t="str">
        <f>IF(Data!E763=Entry2!E763,Data!E763,"ERROR")</f>
        <v>VB</v>
      </c>
      <c r="F763" s="7">
        <f>IF(Data!F763=Entry2!F763,Data!F763,"ERROR")</f>
        <v>3</v>
      </c>
      <c r="G763" s="7" t="str">
        <f>IF(Data!G763=Entry2!G763,Data!G763,"ERROR")</f>
        <v>LU</v>
      </c>
      <c r="H763" s="7">
        <f>IF(Data!H763=Entry2!H763,Data!H763,"ERROR")</f>
        <v>7</v>
      </c>
      <c r="I763" s="7">
        <f>IF(Data!I763=Entry2!I763,Data!I763,"ERROR")</f>
        <v>2</v>
      </c>
      <c r="J763" s="7">
        <f>IF(Data!J763=Entry2!J763,Data!J763,"ERROR")</f>
        <v>3.5</v>
      </c>
      <c r="K763" s="7" t="str">
        <f>IF(Data!K763=Entry2!K763,Data!K763,"ERROR")</f>
        <v>EROCIC</v>
      </c>
      <c r="L763" s="7" t="str">
        <f>IF(Data!L763=Entry2!L763,Data!L763,"ERROR")</f>
        <v>ERROR</v>
      </c>
      <c r="M763" s="7">
        <f>IF(Data!N763=Entry2!M763,Data!N763,"ERROR")</f>
        <v>0</v>
      </c>
    </row>
    <row r="764" spans="1:13" ht="13.2" x14ac:dyDescent="0.25">
      <c r="A764" s="7">
        <f>IF(Data!A764=Entry2!A764,Data!A764,"ERROR")</f>
        <v>16</v>
      </c>
      <c r="B764" s="7">
        <f>IF(Data!B764=Entry2!B764,Data!B764,"ERROR")</f>
        <v>2023</v>
      </c>
      <c r="C764" s="17">
        <f>IF(Data!C764=Entry2!C764,Data!C764,"ERROR")</f>
        <v>45197</v>
      </c>
      <c r="D764" s="7" t="str">
        <f>IF(Data!D764=Entry2!D764,Data!D764,"ERROR")</f>
        <v>MP, TL, MG</v>
      </c>
      <c r="E764" s="7" t="str">
        <f>IF(Data!E764=Entry2!E764,Data!E764,"ERROR")</f>
        <v>VB</v>
      </c>
      <c r="F764" s="7">
        <f>IF(Data!F764=Entry2!F764,Data!F764,"ERROR")</f>
        <v>3</v>
      </c>
      <c r="G764" s="7" t="str">
        <f>IF(Data!G764=Entry2!G764,Data!G764,"ERROR")</f>
        <v>LU</v>
      </c>
      <c r="H764" s="7">
        <f>IF(Data!H764=Entry2!H764,Data!H764,"ERROR")</f>
        <v>8</v>
      </c>
      <c r="I764" s="7">
        <f>IF(Data!I764=Entry2!I764,Data!I764,"ERROR")</f>
        <v>2</v>
      </c>
      <c r="J764" s="7">
        <f>IF(Data!J764=Entry2!J764,Data!J764,"ERROR")</f>
        <v>4</v>
      </c>
      <c r="K764" s="7" t="str">
        <f>IF(Data!K764=Entry2!K764,Data!K764,"ERROR")</f>
        <v>L</v>
      </c>
      <c r="L764" s="7" t="str">
        <f>IF(Data!L764=Entry2!L764,Data!L764,"ERROR")</f>
        <v>ERROR</v>
      </c>
      <c r="M764" s="7">
        <f>IF(Data!N764=Entry2!M764,Data!N764,"ERROR")</f>
        <v>0</v>
      </c>
    </row>
    <row r="765" spans="1:13" ht="13.2" x14ac:dyDescent="0.25">
      <c r="A765" s="7">
        <f>IF(Data!A765=Entry2!A765,Data!A765,"ERROR")</f>
        <v>16</v>
      </c>
      <c r="B765" s="7">
        <f>IF(Data!B765=Entry2!B765,Data!B765,"ERROR")</f>
        <v>2023</v>
      </c>
      <c r="C765" s="17">
        <f>IF(Data!C765=Entry2!C765,Data!C765,"ERROR")</f>
        <v>45197</v>
      </c>
      <c r="D765" s="7" t="str">
        <f>IF(Data!D765=Entry2!D765,Data!D765,"ERROR")</f>
        <v>MP, TL, MG</v>
      </c>
      <c r="E765" s="7" t="str">
        <f>IF(Data!E765=Entry2!E765,Data!E765,"ERROR")</f>
        <v>VB</v>
      </c>
      <c r="F765" s="7">
        <f>IF(Data!F765=Entry2!F765,Data!F765,"ERROR")</f>
        <v>3</v>
      </c>
      <c r="G765" s="7" t="str">
        <f>IF(Data!G765=Entry2!G765,Data!G765,"ERROR")</f>
        <v>LU</v>
      </c>
      <c r="H765" s="7">
        <f>IF(Data!H765=Entry2!H765,Data!H765,"ERROR")</f>
        <v>8</v>
      </c>
      <c r="I765" s="7">
        <f>IF(Data!I765=Entry2!I765,Data!I765,"ERROR")</f>
        <v>2</v>
      </c>
      <c r="J765" s="7">
        <f>IF(Data!J765=Entry2!J765,Data!J765,"ERROR")</f>
        <v>4</v>
      </c>
      <c r="K765" s="7" t="str">
        <f>IF(Data!K765=Entry2!K765,Data!K765,"ERROR")</f>
        <v>DEIFAS</v>
      </c>
      <c r="L765" s="7" t="str">
        <f>IF(Data!L765=Entry2!L765,Data!L765,"ERROR")</f>
        <v>ERROR</v>
      </c>
      <c r="M765" s="7">
        <f>IF(Data!N765=Entry2!M765,Data!N765,"ERROR")</f>
        <v>0</v>
      </c>
    </row>
    <row r="766" spans="1:13" ht="13.2" x14ac:dyDescent="0.25">
      <c r="A766" s="7">
        <f>IF(Data!A766=Entry2!A766,Data!A766,"ERROR")</f>
        <v>16</v>
      </c>
      <c r="B766" s="7">
        <f>IF(Data!B766=Entry2!B766,Data!B766,"ERROR")</f>
        <v>2023</v>
      </c>
      <c r="C766" s="17">
        <f>IF(Data!C766=Entry2!C766,Data!C766,"ERROR")</f>
        <v>45197</v>
      </c>
      <c r="D766" s="7" t="str">
        <f>IF(Data!D766=Entry2!D766,Data!D766,"ERROR")</f>
        <v>MP, TL, MG</v>
      </c>
      <c r="E766" s="7" t="str">
        <f>IF(Data!E766=Entry2!E766,Data!E766,"ERROR")</f>
        <v>VB</v>
      </c>
      <c r="F766" s="7">
        <f>IF(Data!F766=Entry2!F766,Data!F766,"ERROR")</f>
        <v>3</v>
      </c>
      <c r="G766" s="7" t="str">
        <f>IF(Data!G766=Entry2!G766,Data!G766,"ERROR")</f>
        <v>LU</v>
      </c>
      <c r="H766" s="7">
        <f>IF(Data!H766=Entry2!H766,Data!H766,"ERROR")</f>
        <v>9</v>
      </c>
      <c r="I766" s="7">
        <f>IF(Data!I766=Entry2!I766,Data!I766,"ERROR")</f>
        <v>2</v>
      </c>
      <c r="J766" s="7">
        <f>IF(Data!J766=Entry2!J766,Data!J766,"ERROR")</f>
        <v>4.5</v>
      </c>
      <c r="K766" s="7" t="str">
        <f>IF(Data!K766=Entry2!K766,Data!K766,"ERROR")</f>
        <v>L</v>
      </c>
      <c r="L766" s="7" t="str">
        <f>IF(Data!L766=Entry2!L766,Data!L766,"ERROR")</f>
        <v>ERROR</v>
      </c>
      <c r="M766" s="7">
        <f>IF(Data!N766=Entry2!M766,Data!N766,"ERROR")</f>
        <v>0</v>
      </c>
    </row>
    <row r="767" spans="1:13" ht="13.2" x14ac:dyDescent="0.25">
      <c r="A767" s="7">
        <f>IF(Data!A767=Entry2!A767,Data!A767,"ERROR")</f>
        <v>16</v>
      </c>
      <c r="B767" s="7">
        <f>IF(Data!B767=Entry2!B767,Data!B767,"ERROR")</f>
        <v>2023</v>
      </c>
      <c r="C767" s="17">
        <f>IF(Data!C767=Entry2!C767,Data!C767,"ERROR")</f>
        <v>45197</v>
      </c>
      <c r="D767" s="7" t="str">
        <f>IF(Data!D767=Entry2!D767,Data!D767,"ERROR")</f>
        <v>MP, TL, MG</v>
      </c>
      <c r="E767" s="7" t="str">
        <f>IF(Data!E767=Entry2!E767,Data!E767,"ERROR")</f>
        <v>VB</v>
      </c>
      <c r="F767" s="7">
        <f>IF(Data!F767=Entry2!F767,Data!F767,"ERROR")</f>
        <v>3</v>
      </c>
      <c r="G767" s="7" t="str">
        <f>IF(Data!G767=Entry2!G767,Data!G767,"ERROR")</f>
        <v>LU</v>
      </c>
      <c r="H767" s="7">
        <f>IF(Data!H767=Entry2!H767,Data!H767,"ERROR")</f>
        <v>9</v>
      </c>
      <c r="I767" s="7">
        <f>IF(Data!I767=Entry2!I767,Data!I767,"ERROR")</f>
        <v>2</v>
      </c>
      <c r="J767" s="7">
        <f>IF(Data!J767=Entry2!J767,Data!J767,"ERROR")</f>
        <v>4.5</v>
      </c>
      <c r="K767" s="7" t="str">
        <f>IF(Data!K767=Entry2!K767,Data!K767,"ERROR")</f>
        <v>DEIFAS</v>
      </c>
      <c r="L767" s="7" t="str">
        <f>IF(Data!L767=Entry2!L767,Data!L767,"ERROR")</f>
        <v>ERROR</v>
      </c>
      <c r="M767" s="7">
        <f>IF(Data!N767=Entry2!M767,Data!N767,"ERROR")</f>
        <v>0</v>
      </c>
    </row>
    <row r="768" spans="1:13" ht="13.2" x14ac:dyDescent="0.25">
      <c r="A768" s="7">
        <f>IF(Data!A768=Entry2!A768,Data!A768,"ERROR")</f>
        <v>16</v>
      </c>
      <c r="B768" s="7">
        <f>IF(Data!B768=Entry2!B768,Data!B768,"ERROR")</f>
        <v>2023</v>
      </c>
      <c r="C768" s="17">
        <f>IF(Data!C768=Entry2!C768,Data!C768,"ERROR")</f>
        <v>45197</v>
      </c>
      <c r="D768" s="7" t="str">
        <f>IF(Data!D768=Entry2!D768,Data!D768,"ERROR")</f>
        <v>MP, TL, MG</v>
      </c>
      <c r="E768" s="7" t="str">
        <f>IF(Data!E768=Entry2!E768,Data!E768,"ERROR")</f>
        <v>VB</v>
      </c>
      <c r="F768" s="7">
        <f>IF(Data!F768=Entry2!F768,Data!F768,"ERROR")</f>
        <v>3</v>
      </c>
      <c r="G768" s="7" t="str">
        <f>IF(Data!G768=Entry2!G768,Data!G768,"ERROR")</f>
        <v>LU</v>
      </c>
      <c r="H768" s="7">
        <f>IF(Data!H768=Entry2!H768,Data!H768,"ERROR")</f>
        <v>10</v>
      </c>
      <c r="I768" s="7">
        <f>IF(Data!I768=Entry2!I768,Data!I768,"ERROR")</f>
        <v>2</v>
      </c>
      <c r="J768" s="7">
        <f>IF(Data!J768=Entry2!J768,Data!J768,"ERROR")</f>
        <v>5</v>
      </c>
      <c r="K768" s="7" t="str">
        <f>IF(Data!K768=Entry2!K768,Data!K768,"ERROR")</f>
        <v>B</v>
      </c>
      <c r="L768" s="7" t="str">
        <f>IF(Data!L768=Entry2!L768,Data!L768,"ERROR")</f>
        <v>ERROR</v>
      </c>
      <c r="M768" s="7">
        <f>IF(Data!N768=Entry2!M768,Data!N768,"ERROR")</f>
        <v>0</v>
      </c>
    </row>
    <row r="769" spans="1:13" ht="13.2" x14ac:dyDescent="0.25">
      <c r="A769" s="7">
        <f>IF(Data!A769=Entry2!A769,Data!A769,"ERROR")</f>
        <v>16</v>
      </c>
      <c r="B769" s="7">
        <f>IF(Data!B769=Entry2!B769,Data!B769,"ERROR")</f>
        <v>2023</v>
      </c>
      <c r="C769" s="17">
        <f>IF(Data!C769=Entry2!C769,Data!C769,"ERROR")</f>
        <v>45197</v>
      </c>
      <c r="D769" s="7" t="str">
        <f>IF(Data!D769=Entry2!D769,Data!D769,"ERROR")</f>
        <v>MP, TL, MG</v>
      </c>
      <c r="E769" s="7" t="str">
        <f>IF(Data!E769=Entry2!E769,Data!E769,"ERROR")</f>
        <v>VB</v>
      </c>
      <c r="F769" s="7">
        <f>IF(Data!F769=Entry2!F769,Data!F769,"ERROR")</f>
        <v>3</v>
      </c>
      <c r="G769" s="7" t="str">
        <f>IF(Data!G769=Entry2!G769,Data!G769,"ERROR")</f>
        <v>LU</v>
      </c>
      <c r="H769" s="7">
        <f>IF(Data!H769=Entry2!H769,Data!H769,"ERROR")</f>
        <v>11</v>
      </c>
      <c r="I769" s="7">
        <f>IF(Data!I769=Entry2!I769,Data!I769,"ERROR")</f>
        <v>2</v>
      </c>
      <c r="J769" s="7">
        <f>IF(Data!J769=Entry2!J769,Data!J769,"ERROR")</f>
        <v>5.5</v>
      </c>
      <c r="K769" s="7" t="str">
        <f>IF(Data!K769=Entry2!K769,Data!K769,"ERROR")</f>
        <v>L</v>
      </c>
      <c r="L769" s="7" t="str">
        <f>IF(Data!L769=Entry2!L769,Data!L769,"ERROR")</f>
        <v>ERROR</v>
      </c>
      <c r="M769" s="7">
        <f>IF(Data!N769=Entry2!M769,Data!N769,"ERROR")</f>
        <v>0</v>
      </c>
    </row>
    <row r="770" spans="1:13" ht="13.2" x14ac:dyDescent="0.25">
      <c r="A770" s="7">
        <f>IF(Data!A770=Entry2!A770,Data!A770,"ERROR")</f>
        <v>16</v>
      </c>
      <c r="B770" s="7">
        <f>IF(Data!B770=Entry2!B770,Data!B770,"ERROR")</f>
        <v>2023</v>
      </c>
      <c r="C770" s="17">
        <f>IF(Data!C770=Entry2!C770,Data!C770,"ERROR")</f>
        <v>45197</v>
      </c>
      <c r="D770" s="7" t="str">
        <f>IF(Data!D770=Entry2!D770,Data!D770,"ERROR")</f>
        <v>MP, TL, MG</v>
      </c>
      <c r="E770" s="7" t="str">
        <f>IF(Data!E770=Entry2!E770,Data!E770,"ERROR")</f>
        <v>VB</v>
      </c>
      <c r="F770" s="7">
        <f>IF(Data!F770=Entry2!F770,Data!F770,"ERROR")</f>
        <v>3</v>
      </c>
      <c r="G770" s="7" t="str">
        <f>IF(Data!G770=Entry2!G770,Data!G770,"ERROR")</f>
        <v>LU</v>
      </c>
      <c r="H770" s="7">
        <f>IF(Data!H770=Entry2!H770,Data!H770,"ERROR")</f>
        <v>12</v>
      </c>
      <c r="I770" s="7">
        <f>IF(Data!I770=Entry2!I770,Data!I770,"ERROR")</f>
        <v>2</v>
      </c>
      <c r="J770" s="7">
        <f>IF(Data!J770=Entry2!J770,Data!J770,"ERROR")</f>
        <v>6</v>
      </c>
      <c r="K770" s="7" t="str">
        <f>IF(Data!K770=Entry2!K770,Data!K770,"ERROR")</f>
        <v>S</v>
      </c>
      <c r="L770" s="7" t="str">
        <f>IF(Data!L770=Entry2!L770,Data!L770,"ERROR")</f>
        <v>ERROR</v>
      </c>
      <c r="M770" s="7">
        <f>IF(Data!N770=Entry2!M770,Data!N770,"ERROR")</f>
        <v>0</v>
      </c>
    </row>
    <row r="771" spans="1:13" ht="13.2" x14ac:dyDescent="0.25">
      <c r="A771" s="7">
        <f>IF(Data!A771=Entry2!A771,Data!A771,"ERROR")</f>
        <v>16</v>
      </c>
      <c r="B771" s="7">
        <f>IF(Data!B771=Entry2!B771,Data!B771,"ERROR")</f>
        <v>2023</v>
      </c>
      <c r="C771" s="17">
        <f>IF(Data!C771=Entry2!C771,Data!C771,"ERROR")</f>
        <v>45197</v>
      </c>
      <c r="D771" s="7" t="str">
        <f>IF(Data!D771=Entry2!D771,Data!D771,"ERROR")</f>
        <v>MP, TL, MG</v>
      </c>
      <c r="E771" s="7" t="str">
        <f>IF(Data!E771=Entry2!E771,Data!E771,"ERROR")</f>
        <v>VB</v>
      </c>
      <c r="F771" s="7">
        <f>IF(Data!F771=Entry2!F771,Data!F771,"ERROR")</f>
        <v>3</v>
      </c>
      <c r="G771" s="7" t="str">
        <f>IF(Data!G771=Entry2!G771,Data!G771,"ERROR")</f>
        <v>LU</v>
      </c>
      <c r="H771" s="7">
        <f>IF(Data!H771=Entry2!H771,Data!H771,"ERROR")</f>
        <v>12</v>
      </c>
      <c r="I771" s="7">
        <f>IF(Data!I771=Entry2!I771,Data!I771,"ERROR")</f>
        <v>2</v>
      </c>
      <c r="J771" s="7">
        <f>IF(Data!J771=Entry2!J771,Data!J771,"ERROR")</f>
        <v>6</v>
      </c>
      <c r="K771" s="7" t="str">
        <f>IF(Data!K771=Entry2!K771,Data!K771,"ERROR")</f>
        <v>CENMEL</v>
      </c>
      <c r="L771" s="7" t="str">
        <f>IF(Data!L771=Entry2!L771,Data!L771,"ERROR")</f>
        <v>ERROR</v>
      </c>
      <c r="M771" s="7">
        <f>IF(Data!N771=Entry2!M771,Data!N771,"ERROR")</f>
        <v>0</v>
      </c>
    </row>
    <row r="772" spans="1:13" ht="13.2" x14ac:dyDescent="0.25">
      <c r="A772" s="7">
        <f>IF(Data!A772=Entry2!A772,Data!A772,"ERROR")</f>
        <v>16</v>
      </c>
      <c r="B772" s="7">
        <f>IF(Data!B772=Entry2!B772,Data!B772,"ERROR")</f>
        <v>2023</v>
      </c>
      <c r="C772" s="17">
        <f>IF(Data!C772=Entry2!C772,Data!C772,"ERROR")</f>
        <v>45197</v>
      </c>
      <c r="D772" s="7" t="str">
        <f>IF(Data!D772=Entry2!D772,Data!D772,"ERROR")</f>
        <v>MP, TL, MG</v>
      </c>
      <c r="E772" s="7" t="str">
        <f>IF(Data!E772=Entry2!E772,Data!E772,"ERROR")</f>
        <v>VB</v>
      </c>
      <c r="F772" s="7">
        <f>IF(Data!F772=Entry2!F772,Data!F772,"ERROR")</f>
        <v>3</v>
      </c>
      <c r="G772" s="7" t="str">
        <f>IF(Data!G772=Entry2!G772,Data!G772,"ERROR")</f>
        <v>LU</v>
      </c>
      <c r="H772" s="7">
        <f>IF(Data!H772=Entry2!H772,Data!H772,"ERROR")</f>
        <v>12</v>
      </c>
      <c r="I772" s="7">
        <f>IF(Data!I772=Entry2!I772,Data!I772,"ERROR")</f>
        <v>2</v>
      </c>
      <c r="J772" s="7">
        <f>IF(Data!J772=Entry2!J772,Data!J772,"ERROR")</f>
        <v>6</v>
      </c>
      <c r="K772" s="7" t="str">
        <f>IF(Data!K772=Entry2!K772,Data!K772,"ERROR")</f>
        <v>EROCIC</v>
      </c>
      <c r="L772" s="7" t="str">
        <f>IF(Data!L772=Entry2!L772,Data!L772,"ERROR")</f>
        <v>ERROR</v>
      </c>
      <c r="M772" s="7">
        <f>IF(Data!N772=Entry2!M772,Data!N772,"ERROR")</f>
        <v>0</v>
      </c>
    </row>
    <row r="773" spans="1:13" ht="13.2" x14ac:dyDescent="0.25">
      <c r="A773" s="7">
        <f>IF(Data!A773=Entry2!A773,Data!A773,"ERROR")</f>
        <v>16</v>
      </c>
      <c r="B773" s="7">
        <f>IF(Data!B773=Entry2!B773,Data!B773,"ERROR")</f>
        <v>2023</v>
      </c>
      <c r="C773" s="17">
        <f>IF(Data!C773=Entry2!C773,Data!C773,"ERROR")</f>
        <v>45197</v>
      </c>
      <c r="D773" s="7" t="str">
        <f>IF(Data!D773=Entry2!D773,Data!D773,"ERROR")</f>
        <v>MP, TL, MG</v>
      </c>
      <c r="E773" s="7" t="str">
        <f>IF(Data!E773=Entry2!E773,Data!E773,"ERROR")</f>
        <v>VB</v>
      </c>
      <c r="F773" s="7">
        <f>IF(Data!F773=Entry2!F773,Data!F773,"ERROR")</f>
        <v>3</v>
      </c>
      <c r="G773" s="7" t="str">
        <f>IF(Data!G773=Entry2!G773,Data!G773,"ERROR")</f>
        <v>LU</v>
      </c>
      <c r="H773" s="7">
        <f>IF(Data!H773=Entry2!H773,Data!H773,"ERROR")</f>
        <v>13</v>
      </c>
      <c r="I773" s="7">
        <f>IF(Data!I773=Entry2!I773,Data!I773,"ERROR")</f>
        <v>2</v>
      </c>
      <c r="J773" s="7">
        <f>IF(Data!J773=Entry2!J773,Data!J773,"ERROR")</f>
        <v>6.5</v>
      </c>
      <c r="K773" s="7" t="str">
        <f>IF(Data!K773=Entry2!K773,Data!K773,"ERROR")</f>
        <v>L</v>
      </c>
      <c r="L773" s="7" t="str">
        <f>IF(Data!L773=Entry2!L773,Data!L773,"ERROR")</f>
        <v>ERROR</v>
      </c>
      <c r="M773" s="7">
        <f>IF(Data!N773=Entry2!M773,Data!N773,"ERROR")</f>
        <v>0</v>
      </c>
    </row>
    <row r="774" spans="1:13" ht="13.2" x14ac:dyDescent="0.25">
      <c r="A774" s="7">
        <f>IF(Data!A774=Entry2!A774,Data!A774,"ERROR")</f>
        <v>16</v>
      </c>
      <c r="B774" s="7">
        <f>IF(Data!B774=Entry2!B774,Data!B774,"ERROR")</f>
        <v>2023</v>
      </c>
      <c r="C774" s="17">
        <f>IF(Data!C774=Entry2!C774,Data!C774,"ERROR")</f>
        <v>45197</v>
      </c>
      <c r="D774" s="7" t="str">
        <f>IF(Data!D774=Entry2!D774,Data!D774,"ERROR")</f>
        <v>MP, TL, MG</v>
      </c>
      <c r="E774" s="7" t="str">
        <f>IF(Data!E774=Entry2!E774,Data!E774,"ERROR")</f>
        <v>VB</v>
      </c>
      <c r="F774" s="7">
        <f>IF(Data!F774=Entry2!F774,Data!F774,"ERROR")</f>
        <v>3</v>
      </c>
      <c r="G774" s="7" t="str">
        <f>IF(Data!G774=Entry2!G774,Data!G774,"ERROR")</f>
        <v>LU</v>
      </c>
      <c r="H774" s="7">
        <f>IF(Data!H774=Entry2!H774,Data!H774,"ERROR")</f>
        <v>14</v>
      </c>
      <c r="I774" s="7">
        <f>IF(Data!I774=Entry2!I774,Data!I774,"ERROR")</f>
        <v>2</v>
      </c>
      <c r="J774" s="7">
        <f>IF(Data!J774=Entry2!J774,Data!J774,"ERROR")</f>
        <v>7</v>
      </c>
      <c r="K774" s="7" t="str">
        <f>IF(Data!K774=Entry2!K774,Data!K774,"ERROR")</f>
        <v>S</v>
      </c>
      <c r="L774" s="7" t="str">
        <f>IF(Data!L774=Entry2!L774,Data!L774,"ERROR")</f>
        <v>ERROR</v>
      </c>
      <c r="M774" s="7">
        <f>IF(Data!N774=Entry2!M774,Data!N774,"ERROR")</f>
        <v>0</v>
      </c>
    </row>
    <row r="775" spans="1:13" ht="13.2" x14ac:dyDescent="0.25">
      <c r="A775" s="7">
        <f>IF(Data!A775=Entry2!A775,Data!A775,"ERROR")</f>
        <v>16</v>
      </c>
      <c r="B775" s="7">
        <f>IF(Data!B775=Entry2!B775,Data!B775,"ERROR")</f>
        <v>2023</v>
      </c>
      <c r="C775" s="17">
        <f>IF(Data!C775=Entry2!C775,Data!C775,"ERROR")</f>
        <v>45197</v>
      </c>
      <c r="D775" s="7" t="str">
        <f>IF(Data!D775=Entry2!D775,Data!D775,"ERROR")</f>
        <v>MP, TL, MG</v>
      </c>
      <c r="E775" s="7" t="str">
        <f>IF(Data!E775=Entry2!E775,Data!E775,"ERROR")</f>
        <v>VB</v>
      </c>
      <c r="F775" s="7">
        <f>IF(Data!F775=Entry2!F775,Data!F775,"ERROR")</f>
        <v>3</v>
      </c>
      <c r="G775" s="7" t="str">
        <f>IF(Data!G775=Entry2!G775,Data!G775,"ERROR")</f>
        <v>LU</v>
      </c>
      <c r="H775" s="7">
        <f>IF(Data!H775=Entry2!H775,Data!H775,"ERROR")</f>
        <v>14</v>
      </c>
      <c r="I775" s="7">
        <f>IF(Data!I775=Entry2!I775,Data!I775,"ERROR")</f>
        <v>2</v>
      </c>
      <c r="J775" s="7">
        <f>IF(Data!J775=Entry2!J775,Data!J775,"ERROR")</f>
        <v>7</v>
      </c>
      <c r="K775" s="7" t="str">
        <f>IF(Data!K775=Entry2!K775,Data!K775,"ERROR")</f>
        <v>CENMEL</v>
      </c>
      <c r="L775" s="7" t="str">
        <f>IF(Data!L775=Entry2!L775,Data!L775,"ERROR")</f>
        <v>ERROR</v>
      </c>
      <c r="M775" s="7">
        <f>IF(Data!N775=Entry2!M775,Data!N775,"ERROR")</f>
        <v>0</v>
      </c>
    </row>
    <row r="776" spans="1:13" ht="13.2" x14ac:dyDescent="0.25">
      <c r="A776" s="7">
        <f>IF(Data!A776=Entry2!A776,Data!A776,"ERROR")</f>
        <v>16</v>
      </c>
      <c r="B776" s="7">
        <f>IF(Data!B776=Entry2!B776,Data!B776,"ERROR")</f>
        <v>2023</v>
      </c>
      <c r="C776" s="17">
        <f>IF(Data!C776=Entry2!C776,Data!C776,"ERROR")</f>
        <v>45197</v>
      </c>
      <c r="D776" s="7" t="str">
        <f>IF(Data!D776=Entry2!D776,Data!D776,"ERROR")</f>
        <v>MP, TL, MG</v>
      </c>
      <c r="E776" s="7" t="str">
        <f>IF(Data!E776=Entry2!E776,Data!E776,"ERROR")</f>
        <v>VB</v>
      </c>
      <c r="F776" s="7">
        <f>IF(Data!F776=Entry2!F776,Data!F776,"ERROR")</f>
        <v>3</v>
      </c>
      <c r="G776" s="7" t="str">
        <f>IF(Data!G776=Entry2!G776,Data!G776,"ERROR")</f>
        <v>LU</v>
      </c>
      <c r="H776" s="7">
        <f>IF(Data!H776=Entry2!H776,Data!H776,"ERROR")</f>
        <v>15</v>
      </c>
      <c r="I776" s="7">
        <f>IF(Data!I776=Entry2!I776,Data!I776,"ERROR")</f>
        <v>2</v>
      </c>
      <c r="J776" s="7">
        <f>IF(Data!J776=Entry2!J776,Data!J776,"ERROR")</f>
        <v>7.5</v>
      </c>
      <c r="K776" s="7" t="str">
        <f>IF(Data!K776=Entry2!K776,Data!K776,"ERROR")</f>
        <v>B</v>
      </c>
      <c r="L776" s="7" t="str">
        <f>IF(Data!L776=Entry2!L776,Data!L776,"ERROR")</f>
        <v>ERROR</v>
      </c>
      <c r="M776" s="7">
        <f>IF(Data!N776=Entry2!M776,Data!N776,"ERROR")</f>
        <v>0</v>
      </c>
    </row>
    <row r="777" spans="1:13" ht="13.2" x14ac:dyDescent="0.25">
      <c r="A777" s="7">
        <f>IF(Data!A777=Entry2!A777,Data!A777,"ERROR")</f>
        <v>17</v>
      </c>
      <c r="B777" s="7">
        <f>IF(Data!B777=Entry2!B777,Data!B777,"ERROR")</f>
        <v>2023</v>
      </c>
      <c r="C777" s="17">
        <f>IF(Data!C777=Entry2!C777,Data!C777,"ERROR")</f>
        <v>45197</v>
      </c>
      <c r="D777" s="7" t="str">
        <f>IF(Data!D777=Entry2!D777,Data!D777,"ERROR")</f>
        <v>MP, TL, HH</v>
      </c>
      <c r="E777" s="7" t="str">
        <f>IF(Data!E777=Entry2!E777,Data!E777,"ERROR")</f>
        <v>VB</v>
      </c>
      <c r="F777" s="7">
        <f>IF(Data!F777=Entry2!F777,Data!F777,"ERROR")</f>
        <v>1</v>
      </c>
      <c r="G777" s="7" t="str">
        <f>IF(Data!G777=Entry2!G777,Data!G777,"ERROR")</f>
        <v>SS</v>
      </c>
      <c r="H777" s="7">
        <f>IF(Data!H777=Entry2!H777,Data!H777,"ERROR")</f>
        <v>1</v>
      </c>
      <c r="I777" s="7">
        <f>IF(Data!I777=Entry2!I777,Data!I777,"ERROR")</f>
        <v>1</v>
      </c>
      <c r="J777" s="7">
        <f>IF(Data!J777=Entry2!J777,Data!J777,"ERROR")</f>
        <v>0</v>
      </c>
      <c r="K777" s="7" t="str">
        <f>IF(Data!K777=Entry2!K777,Data!K777,"ERROR")</f>
        <v>B</v>
      </c>
      <c r="L777" s="7" t="str">
        <f>IF(Data!L777=Entry2!L777,Data!L777,"ERROR")</f>
        <v>ERROR</v>
      </c>
      <c r="M777" s="7">
        <f>IF(Data!N777=Entry2!M777,Data!N777,"ERROR")</f>
        <v>0</v>
      </c>
    </row>
    <row r="778" spans="1:13" ht="13.2" x14ac:dyDescent="0.25">
      <c r="A778" s="7">
        <f>IF(Data!A778=Entry2!A778,Data!A778,"ERROR")</f>
        <v>17</v>
      </c>
      <c r="B778" s="7">
        <f>IF(Data!B778=Entry2!B778,Data!B778,"ERROR")</f>
        <v>2023</v>
      </c>
      <c r="C778" s="17">
        <f>IF(Data!C778=Entry2!C778,Data!C778,"ERROR")</f>
        <v>45197</v>
      </c>
      <c r="D778" s="7" t="str">
        <f>IF(Data!D778=Entry2!D778,Data!D778,"ERROR")</f>
        <v>MP, TL, HH</v>
      </c>
      <c r="E778" s="7" t="str">
        <f>IF(Data!E778=Entry2!E778,Data!E778,"ERROR")</f>
        <v>VB</v>
      </c>
      <c r="F778" s="7">
        <f>IF(Data!F778=Entry2!F778,Data!F778,"ERROR")</f>
        <v>1</v>
      </c>
      <c r="G778" s="7" t="str">
        <f>IF(Data!G778=Entry2!G778,Data!G778,"ERROR")</f>
        <v>SS</v>
      </c>
      <c r="H778" s="7">
        <f>IF(Data!H778=Entry2!H778,Data!H778,"ERROR")</f>
        <v>1</v>
      </c>
      <c r="I778" s="7">
        <f>IF(Data!I778=Entry2!I778,Data!I778,"ERROR")</f>
        <v>1</v>
      </c>
      <c r="J778" s="7">
        <f>IF(Data!J778=Entry2!J778,Data!J778,"ERROR")</f>
        <v>0</v>
      </c>
      <c r="K778" s="7" t="str">
        <f>IF(Data!K778=Entry2!K778,Data!K778,"ERROR")</f>
        <v>DEIFAS</v>
      </c>
      <c r="L778" s="7" t="str">
        <f>IF(Data!L778=Entry2!L778,Data!L778,"ERROR")</f>
        <v>ERROR</v>
      </c>
      <c r="M778" s="7">
        <f>IF(Data!N778=Entry2!M778,Data!N778,"ERROR")</f>
        <v>0</v>
      </c>
    </row>
    <row r="779" spans="1:13" ht="13.2" x14ac:dyDescent="0.25">
      <c r="A779" s="7">
        <f>IF(Data!A779=Entry2!A779,Data!A779,"ERROR")</f>
        <v>17</v>
      </c>
      <c r="B779" s="7">
        <f>IF(Data!B779=Entry2!B779,Data!B779,"ERROR")</f>
        <v>2023</v>
      </c>
      <c r="C779" s="17">
        <f>IF(Data!C779=Entry2!C779,Data!C779,"ERROR")</f>
        <v>45197</v>
      </c>
      <c r="D779" s="7" t="str">
        <f>IF(Data!D779=Entry2!D779,Data!D779,"ERROR")</f>
        <v>MP, TL, HH</v>
      </c>
      <c r="E779" s="7" t="str">
        <f>IF(Data!E779=Entry2!E779,Data!E779,"ERROR")</f>
        <v>VB</v>
      </c>
      <c r="F779" s="7">
        <f>IF(Data!F779=Entry2!F779,Data!F779,"ERROR")</f>
        <v>1</v>
      </c>
      <c r="G779" s="7" t="str">
        <f>IF(Data!G779=Entry2!G779,Data!G779,"ERROR")</f>
        <v>SS</v>
      </c>
      <c r="H779" s="7">
        <f>IF(Data!H779=Entry2!H779,Data!H779,"ERROR")</f>
        <v>2</v>
      </c>
      <c r="I779" s="7">
        <f>IF(Data!I779=Entry2!I779,Data!I779,"ERROR")</f>
        <v>1</v>
      </c>
      <c r="J779" s="7">
        <f>IF(Data!J779=Entry2!J779,Data!J779,"ERROR")</f>
        <v>1</v>
      </c>
      <c r="K779" s="7" t="str">
        <f>IF(Data!K779=Entry2!K779,Data!K779,"ERROR")</f>
        <v>L</v>
      </c>
      <c r="L779" s="7" t="str">
        <f>IF(Data!L779=Entry2!L779,Data!L779,"ERROR")</f>
        <v>ERROR</v>
      </c>
      <c r="M779" s="7">
        <f>IF(Data!N779=Entry2!M779,Data!N779,"ERROR")</f>
        <v>0</v>
      </c>
    </row>
    <row r="780" spans="1:13" ht="13.2" x14ac:dyDescent="0.25">
      <c r="A780" s="7">
        <f>IF(Data!A780=Entry2!A780,Data!A780,"ERROR")</f>
        <v>17</v>
      </c>
      <c r="B780" s="7">
        <f>IF(Data!B780=Entry2!B780,Data!B780,"ERROR")</f>
        <v>2023</v>
      </c>
      <c r="C780" s="17">
        <f>IF(Data!C780=Entry2!C780,Data!C780,"ERROR")</f>
        <v>45197</v>
      </c>
      <c r="D780" s="7" t="str">
        <f>IF(Data!D780=Entry2!D780,Data!D780,"ERROR")</f>
        <v>MP, TL, HH</v>
      </c>
      <c r="E780" s="7" t="str">
        <f>IF(Data!E780=Entry2!E780,Data!E780,"ERROR")</f>
        <v>VB</v>
      </c>
      <c r="F780" s="7">
        <f>IF(Data!F780=Entry2!F780,Data!F780,"ERROR")</f>
        <v>1</v>
      </c>
      <c r="G780" s="7" t="str">
        <f>IF(Data!G780=Entry2!G780,Data!G780,"ERROR")</f>
        <v>SS</v>
      </c>
      <c r="H780" s="7">
        <f>IF(Data!H780=Entry2!H780,Data!H780,"ERROR")</f>
        <v>2</v>
      </c>
      <c r="I780" s="7">
        <f>IF(Data!I780=Entry2!I780,Data!I780,"ERROR")</f>
        <v>1</v>
      </c>
      <c r="J780" s="7">
        <f>IF(Data!J780=Entry2!J780,Data!J780,"ERROR")</f>
        <v>1</v>
      </c>
      <c r="K780" s="7" t="str">
        <f>IF(Data!K780=Entry2!K780,Data!K780,"ERROR")</f>
        <v>NNG</v>
      </c>
      <c r="L780" s="7" t="str">
        <f>IF(Data!L780=Entry2!L780,Data!L780,"ERROR")</f>
        <v>ERROR</v>
      </c>
      <c r="M780" s="7">
        <f>IF(Data!N780=Entry2!M780,Data!N780,"ERROR")</f>
        <v>0</v>
      </c>
    </row>
    <row r="781" spans="1:13" ht="13.2" x14ac:dyDescent="0.25">
      <c r="A781" s="7">
        <f>IF(Data!A781=Entry2!A781,Data!A781,"ERROR")</f>
        <v>17</v>
      </c>
      <c r="B781" s="7">
        <f>IF(Data!B781=Entry2!B781,Data!B781,"ERROR")</f>
        <v>2023</v>
      </c>
      <c r="C781" s="17">
        <f>IF(Data!C781=Entry2!C781,Data!C781,"ERROR")</f>
        <v>45197</v>
      </c>
      <c r="D781" s="7" t="str">
        <f>IF(Data!D781=Entry2!D781,Data!D781,"ERROR")</f>
        <v>MP, TL, HH</v>
      </c>
      <c r="E781" s="7" t="str">
        <f>IF(Data!E781=Entry2!E781,Data!E781,"ERROR")</f>
        <v>VB</v>
      </c>
      <c r="F781" s="7">
        <f>IF(Data!F781=Entry2!F781,Data!F781,"ERROR")</f>
        <v>1</v>
      </c>
      <c r="G781" s="7" t="str">
        <f>IF(Data!G781=Entry2!G781,Data!G781,"ERROR")</f>
        <v>SS</v>
      </c>
      <c r="H781" s="7">
        <f>IF(Data!H781=Entry2!H781,Data!H781,"ERROR")</f>
        <v>2</v>
      </c>
      <c r="I781" s="7">
        <f>IF(Data!I781=Entry2!I781,Data!I781,"ERROR")</f>
        <v>1</v>
      </c>
      <c r="J781" s="7">
        <f>IF(Data!J781=Entry2!J781,Data!J781,"ERROR")</f>
        <v>1</v>
      </c>
      <c r="K781" s="7" t="str">
        <f>IF(Data!K781=Entry2!K781,Data!K781,"ERROR")</f>
        <v>DEIFAS</v>
      </c>
      <c r="L781" s="7" t="str">
        <f>IF(Data!L781=Entry2!L781,Data!L781,"ERROR")</f>
        <v>ERROR</v>
      </c>
      <c r="M781" s="7">
        <f>IF(Data!N781=Entry2!M781,Data!N781,"ERROR")</f>
        <v>0</v>
      </c>
    </row>
    <row r="782" spans="1:13" ht="13.2" x14ac:dyDescent="0.25">
      <c r="A782" s="7">
        <f>IF(Data!A782=Entry2!A782,Data!A782,"ERROR")</f>
        <v>17</v>
      </c>
      <c r="B782" s="7">
        <f>IF(Data!B782=Entry2!B782,Data!B782,"ERROR")</f>
        <v>2023</v>
      </c>
      <c r="C782" s="17">
        <f>IF(Data!C782=Entry2!C782,Data!C782,"ERROR")</f>
        <v>45197</v>
      </c>
      <c r="D782" s="7" t="str">
        <f>IF(Data!D782=Entry2!D782,Data!D782,"ERROR")</f>
        <v>MP, TL, HH</v>
      </c>
      <c r="E782" s="7" t="str">
        <f>IF(Data!E782=Entry2!E782,Data!E782,"ERROR")</f>
        <v>VB</v>
      </c>
      <c r="F782" s="7">
        <f>IF(Data!F782=Entry2!F782,Data!F782,"ERROR")</f>
        <v>1</v>
      </c>
      <c r="G782" s="7" t="str">
        <f>IF(Data!G782=Entry2!G782,Data!G782,"ERROR")</f>
        <v>SS</v>
      </c>
      <c r="H782" s="7">
        <f>IF(Data!H782=Entry2!H782,Data!H782,"ERROR")</f>
        <v>3</v>
      </c>
      <c r="I782" s="7">
        <f>IF(Data!I782=Entry2!I782,Data!I782,"ERROR")</f>
        <v>1</v>
      </c>
      <c r="J782" s="7">
        <f>IF(Data!J782=Entry2!J782,Data!J782,"ERROR")</f>
        <v>1.5</v>
      </c>
      <c r="K782" s="7" t="str">
        <f>IF(Data!K782=Entry2!K782,Data!K782,"ERROR")</f>
        <v>L</v>
      </c>
      <c r="L782" s="7" t="str">
        <f>IF(Data!L782=Entry2!L782,Data!L782,"ERROR")</f>
        <v>ERROR</v>
      </c>
      <c r="M782" s="7">
        <f>IF(Data!N782=Entry2!M782,Data!N782,"ERROR")</f>
        <v>0</v>
      </c>
    </row>
    <row r="783" spans="1:13" ht="13.2" x14ac:dyDescent="0.25">
      <c r="A783" s="7">
        <f>IF(Data!A783=Entry2!A783,Data!A783,"ERROR")</f>
        <v>17</v>
      </c>
      <c r="B783" s="7">
        <f>IF(Data!B783=Entry2!B783,Data!B783,"ERROR")</f>
        <v>2023</v>
      </c>
      <c r="C783" s="17">
        <f>IF(Data!C783=Entry2!C783,Data!C783,"ERROR")</f>
        <v>45197</v>
      </c>
      <c r="D783" s="7" t="str">
        <f>IF(Data!D783=Entry2!D783,Data!D783,"ERROR")</f>
        <v>MP, TL, HH</v>
      </c>
      <c r="E783" s="7" t="str">
        <f>IF(Data!E783=Entry2!E783,Data!E783,"ERROR")</f>
        <v>VB</v>
      </c>
      <c r="F783" s="7">
        <f>IF(Data!F783=Entry2!F783,Data!F783,"ERROR")</f>
        <v>1</v>
      </c>
      <c r="G783" s="7" t="str">
        <f>IF(Data!G783=Entry2!G783,Data!G783,"ERROR")</f>
        <v>SS</v>
      </c>
      <c r="H783" s="7">
        <f>IF(Data!H783=Entry2!H783,Data!H783,"ERROR")</f>
        <v>3</v>
      </c>
      <c r="I783" s="7">
        <f>IF(Data!I783=Entry2!I783,Data!I783,"ERROR")</f>
        <v>1</v>
      </c>
      <c r="J783" s="7">
        <f>IF(Data!J783=Entry2!J783,Data!J783,"ERROR")</f>
        <v>1.5</v>
      </c>
      <c r="K783" s="7" t="str">
        <f>IF(Data!K783=Entry2!K783,Data!K783,"ERROR")</f>
        <v>BRANIG</v>
      </c>
      <c r="L783" s="7" t="str">
        <f>IF(Data!L783=Entry2!L783,Data!L783,"ERROR")</f>
        <v>ERROR</v>
      </c>
      <c r="M783" s="7">
        <f>IF(Data!N783=Entry2!M783,Data!N783,"ERROR")</f>
        <v>0</v>
      </c>
    </row>
    <row r="784" spans="1:13" ht="13.2" x14ac:dyDescent="0.25">
      <c r="A784" s="7">
        <f>IF(Data!A784=Entry2!A784,Data!A784,"ERROR")</f>
        <v>17</v>
      </c>
      <c r="B784" s="7">
        <f>IF(Data!B784=Entry2!B784,Data!B784,"ERROR")</f>
        <v>2023</v>
      </c>
      <c r="C784" s="17">
        <f>IF(Data!C784=Entry2!C784,Data!C784,"ERROR")</f>
        <v>45197</v>
      </c>
      <c r="D784" s="7" t="str">
        <f>IF(Data!D784=Entry2!D784,Data!D784,"ERROR")</f>
        <v>MP, TL, HH</v>
      </c>
      <c r="E784" s="7" t="str">
        <f>IF(Data!E784=Entry2!E784,Data!E784,"ERROR")</f>
        <v>VB</v>
      </c>
      <c r="F784" s="7">
        <f>IF(Data!F784=Entry2!F784,Data!F784,"ERROR")</f>
        <v>1</v>
      </c>
      <c r="G784" s="7" t="str">
        <f>IF(Data!G784=Entry2!G784,Data!G784,"ERROR")</f>
        <v>SS</v>
      </c>
      <c r="H784" s="7">
        <f>IF(Data!H784=Entry2!H784,Data!H784,"ERROR")</f>
        <v>3</v>
      </c>
      <c r="I784" s="7">
        <f>IF(Data!I784=Entry2!I784,Data!I784,"ERROR")</f>
        <v>1</v>
      </c>
      <c r="J784" s="7">
        <f>IF(Data!J784=Entry2!J784,Data!J784,"ERROR")</f>
        <v>1.5</v>
      </c>
      <c r="K784" s="7" t="str">
        <f>IF(Data!K784=Entry2!K784,Data!K784,"ERROR")</f>
        <v>DEIFAS</v>
      </c>
      <c r="L784" s="7" t="str">
        <f>IF(Data!L784=Entry2!L784,Data!L784,"ERROR")</f>
        <v>ERROR</v>
      </c>
      <c r="M784" s="7">
        <f>IF(Data!N784=Entry2!M784,Data!N784,"ERROR")</f>
        <v>0</v>
      </c>
    </row>
    <row r="785" spans="1:13" ht="13.2" x14ac:dyDescent="0.25">
      <c r="A785" s="7">
        <f>IF(Data!A785=Entry2!A785,Data!A785,"ERROR")</f>
        <v>17</v>
      </c>
      <c r="B785" s="7">
        <f>IF(Data!B785=Entry2!B785,Data!B785,"ERROR")</f>
        <v>2023</v>
      </c>
      <c r="C785" s="17">
        <f>IF(Data!C785=Entry2!C785,Data!C785,"ERROR")</f>
        <v>45197</v>
      </c>
      <c r="D785" s="7" t="str">
        <f>IF(Data!D785=Entry2!D785,Data!D785,"ERROR")</f>
        <v>MP, TL, HH</v>
      </c>
      <c r="E785" s="7" t="str">
        <f>IF(Data!E785=Entry2!E785,Data!E785,"ERROR")</f>
        <v>VB</v>
      </c>
      <c r="F785" s="7">
        <f>IF(Data!F785=Entry2!F785,Data!F785,"ERROR")</f>
        <v>1</v>
      </c>
      <c r="G785" s="7" t="str">
        <f>IF(Data!G785=Entry2!G785,Data!G785,"ERROR")</f>
        <v>SS</v>
      </c>
      <c r="H785" s="7">
        <f>IF(Data!H785=Entry2!H785,Data!H785,"ERROR")</f>
        <v>4</v>
      </c>
      <c r="I785" s="7">
        <f>IF(Data!I785=Entry2!I785,Data!I785,"ERROR")</f>
        <v>1</v>
      </c>
      <c r="J785" s="7">
        <f>IF(Data!J785=Entry2!J785,Data!J785,"ERROR")</f>
        <v>2</v>
      </c>
      <c r="K785" s="7" t="str">
        <f>IF(Data!K785=Entry2!K785,Data!K785,"ERROR")</f>
        <v>L</v>
      </c>
      <c r="L785" s="7" t="str">
        <f>IF(Data!L785=Entry2!L785,Data!L785,"ERROR")</f>
        <v>ERROR</v>
      </c>
      <c r="M785" s="7">
        <f>IF(Data!N785=Entry2!M785,Data!N785,"ERROR")</f>
        <v>0</v>
      </c>
    </row>
    <row r="786" spans="1:13" ht="13.2" x14ac:dyDescent="0.25">
      <c r="A786" s="7">
        <f>IF(Data!A786=Entry2!A786,Data!A786,"ERROR")</f>
        <v>17</v>
      </c>
      <c r="B786" s="7">
        <f>IF(Data!B786=Entry2!B786,Data!B786,"ERROR")</f>
        <v>2023</v>
      </c>
      <c r="C786" s="17">
        <f>IF(Data!C786=Entry2!C786,Data!C786,"ERROR")</f>
        <v>45197</v>
      </c>
      <c r="D786" s="7" t="str">
        <f>IF(Data!D786=Entry2!D786,Data!D786,"ERROR")</f>
        <v>MP, TL, HH</v>
      </c>
      <c r="E786" s="7" t="str">
        <f>IF(Data!E786=Entry2!E786,Data!E786,"ERROR")</f>
        <v>VB</v>
      </c>
      <c r="F786" s="7">
        <f>IF(Data!F786=Entry2!F786,Data!F786,"ERROR")</f>
        <v>1</v>
      </c>
      <c r="G786" s="7" t="str">
        <f>IF(Data!G786=Entry2!G786,Data!G786,"ERROR")</f>
        <v>SS</v>
      </c>
      <c r="H786" s="7">
        <f>IF(Data!H786=Entry2!H786,Data!H786,"ERROR")</f>
        <v>4</v>
      </c>
      <c r="I786" s="7">
        <f>IF(Data!I786=Entry2!I786,Data!I786,"ERROR")</f>
        <v>1</v>
      </c>
      <c r="J786" s="7">
        <f>IF(Data!J786=Entry2!J786,Data!J786,"ERROR")</f>
        <v>2</v>
      </c>
      <c r="K786" s="7" t="str">
        <f>IF(Data!K786=Entry2!K786,Data!K786,"ERROR")</f>
        <v>NNG</v>
      </c>
      <c r="L786" s="7" t="str">
        <f>IF(Data!L786=Entry2!L786,Data!L786,"ERROR")</f>
        <v>ERROR</v>
      </c>
      <c r="M786" s="7">
        <f>IF(Data!N786=Entry2!M786,Data!N786,"ERROR")</f>
        <v>0</v>
      </c>
    </row>
    <row r="787" spans="1:13" ht="13.2" x14ac:dyDescent="0.25">
      <c r="A787" s="7">
        <f>IF(Data!A787=Entry2!A787,Data!A787,"ERROR")</f>
        <v>17</v>
      </c>
      <c r="B787" s="7">
        <f>IF(Data!B787=Entry2!B787,Data!B787,"ERROR")</f>
        <v>2023</v>
      </c>
      <c r="C787" s="17">
        <f>IF(Data!C787=Entry2!C787,Data!C787,"ERROR")</f>
        <v>45197</v>
      </c>
      <c r="D787" s="7" t="str">
        <f>IF(Data!D787=Entry2!D787,Data!D787,"ERROR")</f>
        <v>MP, TL, HH</v>
      </c>
      <c r="E787" s="7" t="str">
        <f>IF(Data!E787=Entry2!E787,Data!E787,"ERROR")</f>
        <v>VB</v>
      </c>
      <c r="F787" s="7">
        <f>IF(Data!F787=Entry2!F787,Data!F787,"ERROR")</f>
        <v>1</v>
      </c>
      <c r="G787" s="7" t="str">
        <f>IF(Data!G787=Entry2!G787,Data!G787,"ERROR")</f>
        <v>SS</v>
      </c>
      <c r="H787" s="7">
        <f>IF(Data!H787=Entry2!H787,Data!H787,"ERROR")</f>
        <v>4</v>
      </c>
      <c r="I787" s="7">
        <f>IF(Data!I787=Entry2!I787,Data!I787,"ERROR")</f>
        <v>1</v>
      </c>
      <c r="J787" s="7">
        <f>IF(Data!J787=Entry2!J787,Data!J787,"ERROR")</f>
        <v>2</v>
      </c>
      <c r="K787" s="7" t="str">
        <f>IF(Data!K787=Entry2!K787,Data!K787,"ERROR")</f>
        <v>DEIFAS</v>
      </c>
      <c r="L787" s="7" t="str">
        <f>IF(Data!L787=Entry2!L787,Data!L787,"ERROR")</f>
        <v>ERROR</v>
      </c>
      <c r="M787" s="7">
        <f>IF(Data!N787=Entry2!M787,Data!N787,"ERROR")</f>
        <v>0</v>
      </c>
    </row>
    <row r="788" spans="1:13" ht="13.2" x14ac:dyDescent="0.25">
      <c r="A788" s="7">
        <f>IF(Data!A788=Entry2!A788,Data!A788,"ERROR")</f>
        <v>17</v>
      </c>
      <c r="B788" s="7">
        <f>IF(Data!B788=Entry2!B788,Data!B788,"ERROR")</f>
        <v>2023</v>
      </c>
      <c r="C788" s="17">
        <f>IF(Data!C788=Entry2!C788,Data!C788,"ERROR")</f>
        <v>45197</v>
      </c>
      <c r="D788" s="7" t="str">
        <f>IF(Data!D788=Entry2!D788,Data!D788,"ERROR")</f>
        <v>MP, TL, HH</v>
      </c>
      <c r="E788" s="7" t="str">
        <f>IF(Data!E788=Entry2!E788,Data!E788,"ERROR")</f>
        <v>VB</v>
      </c>
      <c r="F788" s="7">
        <f>IF(Data!F788=Entry2!F788,Data!F788,"ERROR")</f>
        <v>1</v>
      </c>
      <c r="G788" s="7" t="str">
        <f>IF(Data!G788=Entry2!G788,Data!G788,"ERROR")</f>
        <v>SS</v>
      </c>
      <c r="H788" s="7">
        <f>IF(Data!H788=Entry2!H788,Data!H788,"ERROR")</f>
        <v>5</v>
      </c>
      <c r="I788" s="7">
        <f>IF(Data!I788=Entry2!I788,Data!I788,"ERROR")</f>
        <v>1</v>
      </c>
      <c r="J788" s="7">
        <f>IF(Data!J788=Entry2!J788,Data!J788,"ERROR")</f>
        <v>3</v>
      </c>
      <c r="K788" s="7" t="str">
        <f>IF(Data!K788=Entry2!K788,Data!K788,"ERROR")</f>
        <v>B</v>
      </c>
      <c r="L788" s="7" t="str">
        <f>IF(Data!L788=Entry2!L788,Data!L788,"ERROR")</f>
        <v>ERROR</v>
      </c>
      <c r="M788" s="7">
        <f>IF(Data!N788=Entry2!M788,Data!N788,"ERROR")</f>
        <v>0</v>
      </c>
    </row>
    <row r="789" spans="1:13" ht="13.2" x14ac:dyDescent="0.25">
      <c r="A789" s="7">
        <f>IF(Data!A789=Entry2!A789,Data!A789,"ERROR")</f>
        <v>17</v>
      </c>
      <c r="B789" s="7">
        <f>IF(Data!B789=Entry2!B789,Data!B789,"ERROR")</f>
        <v>2023</v>
      </c>
      <c r="C789" s="17">
        <f>IF(Data!C789=Entry2!C789,Data!C789,"ERROR")</f>
        <v>45197</v>
      </c>
      <c r="D789" s="7" t="str">
        <f>IF(Data!D789=Entry2!D789,Data!D789,"ERROR")</f>
        <v>MP, TL, HH</v>
      </c>
      <c r="E789" s="7" t="str">
        <f>IF(Data!E789=Entry2!E789,Data!E789,"ERROR")</f>
        <v>VB</v>
      </c>
      <c r="F789" s="7">
        <f>IF(Data!F789=Entry2!F789,Data!F789,"ERROR")</f>
        <v>1</v>
      </c>
      <c r="G789" s="7" t="str">
        <f>IF(Data!G789=Entry2!G789,Data!G789,"ERROR")</f>
        <v>SS</v>
      </c>
      <c r="H789" s="7">
        <f>IF(Data!H789=Entry2!H789,Data!H789,"ERROR")</f>
        <v>5</v>
      </c>
      <c r="I789" s="7">
        <f>IF(Data!I789=Entry2!I789,Data!I789,"ERROR")</f>
        <v>1</v>
      </c>
      <c r="J789" s="7">
        <f>IF(Data!J789=Entry2!J789,Data!J789,"ERROR")</f>
        <v>3</v>
      </c>
      <c r="K789" s="7" t="str">
        <f>IF(Data!K789=Entry2!K789,Data!K789,"ERROR")</f>
        <v>DEIFAS</v>
      </c>
      <c r="L789" s="7" t="str">
        <f>IF(Data!L789=Entry2!L789,Data!L789,"ERROR")</f>
        <v>ERROR</v>
      </c>
      <c r="M789" s="7">
        <f>IF(Data!N789=Entry2!M789,Data!N789,"ERROR")</f>
        <v>0</v>
      </c>
    </row>
    <row r="790" spans="1:13" ht="13.2" x14ac:dyDescent="0.25">
      <c r="A790" s="7">
        <f>IF(Data!A790=Entry2!A790,Data!A790,"ERROR")</f>
        <v>17</v>
      </c>
      <c r="B790" s="7">
        <f>IF(Data!B790=Entry2!B790,Data!B790,"ERROR")</f>
        <v>2023</v>
      </c>
      <c r="C790" s="17">
        <f>IF(Data!C790=Entry2!C790,Data!C790,"ERROR")</f>
        <v>45197</v>
      </c>
      <c r="D790" s="7" t="str">
        <f>IF(Data!D790=Entry2!D790,Data!D790,"ERROR")</f>
        <v>MP, TL, HH</v>
      </c>
      <c r="E790" s="7" t="str">
        <f>IF(Data!E790=Entry2!E790,Data!E790,"ERROR")</f>
        <v>VB</v>
      </c>
      <c r="F790" s="7">
        <f>IF(Data!F790=Entry2!F790,Data!F790,"ERROR")</f>
        <v>1</v>
      </c>
      <c r="G790" s="7" t="str">
        <f>IF(Data!G790=Entry2!G790,Data!G790,"ERROR")</f>
        <v>SS</v>
      </c>
      <c r="H790" s="7">
        <f>IF(Data!H790=Entry2!H790,Data!H790,"ERROR")</f>
        <v>6</v>
      </c>
      <c r="I790" s="7">
        <f>IF(Data!I790=Entry2!I790,Data!I790,"ERROR")</f>
        <v>1</v>
      </c>
      <c r="J790" s="7">
        <f>IF(Data!J790=Entry2!J790,Data!J790,"ERROR")</f>
        <v>3.5</v>
      </c>
      <c r="K790" s="7" t="str">
        <f>IF(Data!K790=Entry2!K790,Data!K790,"ERROR")</f>
        <v>B</v>
      </c>
      <c r="L790" s="7" t="str">
        <f>IF(Data!L790=Entry2!L790,Data!L790,"ERROR")</f>
        <v>ERROR</v>
      </c>
      <c r="M790" s="7">
        <f>IF(Data!N790=Entry2!M790,Data!N790,"ERROR")</f>
        <v>0</v>
      </c>
    </row>
    <row r="791" spans="1:13" ht="13.2" x14ac:dyDescent="0.25">
      <c r="A791" s="7">
        <f>IF(Data!A791=Entry2!A791,Data!A791,"ERROR")</f>
        <v>17</v>
      </c>
      <c r="B791" s="7">
        <f>IF(Data!B791=Entry2!B791,Data!B791,"ERROR")</f>
        <v>2023</v>
      </c>
      <c r="C791" s="17">
        <f>IF(Data!C791=Entry2!C791,Data!C791,"ERROR")</f>
        <v>45197</v>
      </c>
      <c r="D791" s="7" t="str">
        <f>IF(Data!D791=Entry2!D791,Data!D791,"ERROR")</f>
        <v>MP, TL, HH</v>
      </c>
      <c r="E791" s="7" t="str">
        <f>IF(Data!E791=Entry2!E791,Data!E791,"ERROR")</f>
        <v>VB</v>
      </c>
      <c r="F791" s="7">
        <f>IF(Data!F791=Entry2!F791,Data!F791,"ERROR")</f>
        <v>1</v>
      </c>
      <c r="G791" s="7" t="str">
        <f>IF(Data!G791=Entry2!G791,Data!G791,"ERROR")</f>
        <v>SS</v>
      </c>
      <c r="H791" s="7">
        <f>IF(Data!H791=Entry2!H791,Data!H791,"ERROR")</f>
        <v>6</v>
      </c>
      <c r="I791" s="7">
        <f>IF(Data!I791=Entry2!I791,Data!I791,"ERROR")</f>
        <v>1</v>
      </c>
      <c r="J791" s="7">
        <f>IF(Data!J791=Entry2!J791,Data!J791,"ERROR")</f>
        <v>3.5</v>
      </c>
      <c r="K791" s="7" t="str">
        <f>IF(Data!K791=Entry2!K791,Data!K791,"ERROR")</f>
        <v>DEIFAS</v>
      </c>
      <c r="L791" s="7" t="str">
        <f>IF(Data!L791=Entry2!L791,Data!L791,"ERROR")</f>
        <v>ERROR</v>
      </c>
      <c r="M791" s="7">
        <f>IF(Data!N791=Entry2!M791,Data!N791,"ERROR")</f>
        <v>0</v>
      </c>
    </row>
    <row r="792" spans="1:13" ht="13.2" x14ac:dyDescent="0.25">
      <c r="A792" s="7">
        <f>IF(Data!A792=Entry2!A792,Data!A792,"ERROR")</f>
        <v>17</v>
      </c>
      <c r="B792" s="7">
        <f>IF(Data!B792=Entry2!B792,Data!B792,"ERROR")</f>
        <v>2023</v>
      </c>
      <c r="C792" s="17">
        <f>IF(Data!C792=Entry2!C792,Data!C792,"ERROR")</f>
        <v>45197</v>
      </c>
      <c r="D792" s="7" t="str">
        <f>IF(Data!D792=Entry2!D792,Data!D792,"ERROR")</f>
        <v>MP, TL, HH</v>
      </c>
      <c r="E792" s="7" t="str">
        <f>IF(Data!E792=Entry2!E792,Data!E792,"ERROR")</f>
        <v>VB</v>
      </c>
      <c r="F792" s="7">
        <f>IF(Data!F792=Entry2!F792,Data!F792,"ERROR")</f>
        <v>1</v>
      </c>
      <c r="G792" s="7" t="str">
        <f>IF(Data!G792=Entry2!G792,Data!G792,"ERROR")</f>
        <v>SS</v>
      </c>
      <c r="H792" s="7">
        <f>IF(Data!H792=Entry2!H792,Data!H792,"ERROR")</f>
        <v>7</v>
      </c>
      <c r="I792" s="7">
        <f>IF(Data!I792=Entry2!I792,Data!I792,"ERROR")</f>
        <v>1</v>
      </c>
      <c r="J792" s="7">
        <f>IF(Data!J792=Entry2!J792,Data!J792,"ERROR")</f>
        <v>4</v>
      </c>
      <c r="K792" s="7" t="str">
        <f>IF(Data!K792=Entry2!K792,Data!K792,"ERROR")</f>
        <v>L</v>
      </c>
      <c r="L792" s="7" t="str">
        <f>IF(Data!L792=Entry2!L792,Data!L792,"ERROR")</f>
        <v>ERROR</v>
      </c>
      <c r="M792" s="7">
        <f>IF(Data!N792=Entry2!M792,Data!N792,"ERROR")</f>
        <v>0</v>
      </c>
    </row>
    <row r="793" spans="1:13" ht="13.2" x14ac:dyDescent="0.25">
      <c r="A793" s="7">
        <f>IF(Data!A793=Entry2!A793,Data!A793,"ERROR")</f>
        <v>17</v>
      </c>
      <c r="B793" s="7">
        <f>IF(Data!B793=Entry2!B793,Data!B793,"ERROR")</f>
        <v>2023</v>
      </c>
      <c r="C793" s="17">
        <f>IF(Data!C793=Entry2!C793,Data!C793,"ERROR")</f>
        <v>45197</v>
      </c>
      <c r="D793" s="7" t="str">
        <f>IF(Data!D793=Entry2!D793,Data!D793,"ERROR")</f>
        <v>MP, TL, HH</v>
      </c>
      <c r="E793" s="7" t="str">
        <f>IF(Data!E793=Entry2!E793,Data!E793,"ERROR")</f>
        <v>VB</v>
      </c>
      <c r="F793" s="7">
        <f>IF(Data!F793=Entry2!F793,Data!F793,"ERROR")</f>
        <v>1</v>
      </c>
      <c r="G793" s="7" t="str">
        <f>IF(Data!G793=Entry2!G793,Data!G793,"ERROR")</f>
        <v>SS</v>
      </c>
      <c r="H793" s="7">
        <f>IF(Data!H793=Entry2!H793,Data!H793,"ERROR")</f>
        <v>7</v>
      </c>
      <c r="I793" s="7">
        <f>IF(Data!I793=Entry2!I793,Data!I793,"ERROR")</f>
        <v>1</v>
      </c>
      <c r="J793" s="7">
        <f>IF(Data!J793=Entry2!J793,Data!J793,"ERROR")</f>
        <v>4</v>
      </c>
      <c r="K793" s="7" t="str">
        <f>IF(Data!K793=Entry2!K793,Data!K793,"ERROR")</f>
        <v>DEIFAS</v>
      </c>
      <c r="L793" s="7" t="str">
        <f>IF(Data!L793=Entry2!L793,Data!L793,"ERROR")</f>
        <v>ERROR</v>
      </c>
      <c r="M793" s="7">
        <f>IF(Data!N793=Entry2!M793,Data!N793,"ERROR")</f>
        <v>0</v>
      </c>
    </row>
    <row r="794" spans="1:13" ht="13.2" x14ac:dyDescent="0.25">
      <c r="A794" s="7">
        <f>IF(Data!A794=Entry2!A794,Data!A794,"ERROR")</f>
        <v>17</v>
      </c>
      <c r="B794" s="7">
        <f>IF(Data!B794=Entry2!B794,Data!B794,"ERROR")</f>
        <v>2023</v>
      </c>
      <c r="C794" s="17">
        <f>IF(Data!C794=Entry2!C794,Data!C794,"ERROR")</f>
        <v>45197</v>
      </c>
      <c r="D794" s="7" t="str">
        <f>IF(Data!D794=Entry2!D794,Data!D794,"ERROR")</f>
        <v>MP, TL, HH</v>
      </c>
      <c r="E794" s="7" t="str">
        <f>IF(Data!E794=Entry2!E794,Data!E794,"ERROR")</f>
        <v>VB</v>
      </c>
      <c r="F794" s="7">
        <f>IF(Data!F794=Entry2!F794,Data!F794,"ERROR")</f>
        <v>1</v>
      </c>
      <c r="G794" s="7" t="str">
        <f>IF(Data!G794=Entry2!G794,Data!G794,"ERROR")</f>
        <v>SS</v>
      </c>
      <c r="H794" s="7">
        <f>IF(Data!H794=Entry2!H794,Data!H794,"ERROR")</f>
        <v>8</v>
      </c>
      <c r="I794" s="7">
        <f>IF(Data!I794=Entry2!I794,Data!I794,"ERROR")</f>
        <v>1</v>
      </c>
      <c r="J794" s="7">
        <f>IF(Data!J794=Entry2!J794,Data!J794,"ERROR")</f>
        <v>5</v>
      </c>
      <c r="K794" s="7" t="str">
        <f>IF(Data!K794=Entry2!K794,Data!K794,"ERROR")</f>
        <v>L</v>
      </c>
      <c r="L794" s="7" t="str">
        <f>IF(Data!L794=Entry2!L794,Data!L794,"ERROR")</f>
        <v>ERROR</v>
      </c>
      <c r="M794" s="7">
        <f>IF(Data!N794=Entry2!M794,Data!N794,"ERROR")</f>
        <v>0</v>
      </c>
    </row>
    <row r="795" spans="1:13" ht="13.2" x14ac:dyDescent="0.25">
      <c r="A795" s="7">
        <f>IF(Data!A795=Entry2!A795,Data!A795,"ERROR")</f>
        <v>17</v>
      </c>
      <c r="B795" s="7">
        <f>IF(Data!B795=Entry2!B795,Data!B795,"ERROR")</f>
        <v>2023</v>
      </c>
      <c r="C795" s="17">
        <f>IF(Data!C795=Entry2!C795,Data!C795,"ERROR")</f>
        <v>45197</v>
      </c>
      <c r="D795" s="7" t="str">
        <f>IF(Data!D795=Entry2!D795,Data!D795,"ERROR")</f>
        <v>MP, TL, HH</v>
      </c>
      <c r="E795" s="7" t="str">
        <f>IF(Data!E795=Entry2!E795,Data!E795,"ERROR")</f>
        <v>VB</v>
      </c>
      <c r="F795" s="7">
        <f>IF(Data!F795=Entry2!F795,Data!F795,"ERROR")</f>
        <v>1</v>
      </c>
      <c r="G795" s="7" t="str">
        <f>IF(Data!G795=Entry2!G795,Data!G795,"ERROR")</f>
        <v>SS</v>
      </c>
      <c r="H795" s="7">
        <f>IF(Data!H795=Entry2!H795,Data!H795,"ERROR")</f>
        <v>8</v>
      </c>
      <c r="I795" s="7">
        <f>IF(Data!I795=Entry2!I795,Data!I795,"ERROR")</f>
        <v>1</v>
      </c>
      <c r="J795" s="7">
        <f>IF(Data!J795=Entry2!J795,Data!J795,"ERROR")</f>
        <v>5</v>
      </c>
      <c r="K795" s="7" t="str">
        <f>IF(Data!K795=Entry2!K795,Data!K795,"ERROR")</f>
        <v>DEIFAS</v>
      </c>
      <c r="L795" s="7" t="str">
        <f>IF(Data!L795=Entry2!L795,Data!L795,"ERROR")</f>
        <v>ERROR</v>
      </c>
      <c r="M795" s="7">
        <f>IF(Data!N795=Entry2!M795,Data!N795,"ERROR")</f>
        <v>0</v>
      </c>
    </row>
    <row r="796" spans="1:13" ht="13.2" x14ac:dyDescent="0.25">
      <c r="A796" s="7">
        <f>IF(Data!A796=Entry2!A796,Data!A796,"ERROR")</f>
        <v>17</v>
      </c>
      <c r="B796" s="7">
        <f>IF(Data!B796=Entry2!B796,Data!B796,"ERROR")</f>
        <v>2023</v>
      </c>
      <c r="C796" s="17">
        <f>IF(Data!C796=Entry2!C796,Data!C796,"ERROR")</f>
        <v>45197</v>
      </c>
      <c r="D796" s="7" t="str">
        <f>IF(Data!D796=Entry2!D796,Data!D796,"ERROR")</f>
        <v>MP, TL, HH</v>
      </c>
      <c r="E796" s="7" t="str">
        <f>IF(Data!E796=Entry2!E796,Data!E796,"ERROR")</f>
        <v>VB</v>
      </c>
      <c r="F796" s="7">
        <f>IF(Data!F796=Entry2!F796,Data!F796,"ERROR")</f>
        <v>1</v>
      </c>
      <c r="G796" s="7" t="str">
        <f>IF(Data!G796=Entry2!G796,Data!G796,"ERROR")</f>
        <v>SS</v>
      </c>
      <c r="H796" s="7">
        <f>IF(Data!H796=Entry2!H796,Data!H796,"ERROR")</f>
        <v>9</v>
      </c>
      <c r="I796" s="7">
        <f>IF(Data!I796=Entry2!I796,Data!I796,"ERROR")</f>
        <v>1</v>
      </c>
      <c r="J796" s="7">
        <f>IF(Data!J796=Entry2!J796,Data!J796,"ERROR")</f>
        <v>7</v>
      </c>
      <c r="K796" s="7" t="str">
        <f>IF(Data!K796=Entry2!K796,Data!K796,"ERROR")</f>
        <v>B</v>
      </c>
      <c r="L796" s="7" t="str">
        <f>IF(Data!L796=Entry2!L796,Data!L796,"ERROR")</f>
        <v>ERROR</v>
      </c>
      <c r="M796" s="7">
        <f>IF(Data!N796=Entry2!M796,Data!N796,"ERROR")</f>
        <v>0</v>
      </c>
    </row>
    <row r="797" spans="1:13" ht="13.2" x14ac:dyDescent="0.25">
      <c r="A797" s="7">
        <f>IF(Data!A797=Entry2!A797,Data!A797,"ERROR")</f>
        <v>17</v>
      </c>
      <c r="B797" s="7">
        <f>IF(Data!B797=Entry2!B797,Data!B797,"ERROR")</f>
        <v>2023</v>
      </c>
      <c r="C797" s="17">
        <f>IF(Data!C797=Entry2!C797,Data!C797,"ERROR")</f>
        <v>45197</v>
      </c>
      <c r="D797" s="7" t="str">
        <f>IF(Data!D797=Entry2!D797,Data!D797,"ERROR")</f>
        <v>MP, TL, HH</v>
      </c>
      <c r="E797" s="7" t="str">
        <f>IF(Data!E797=Entry2!E797,Data!E797,"ERROR")</f>
        <v>VB</v>
      </c>
      <c r="F797" s="7">
        <f>IF(Data!F797=Entry2!F797,Data!F797,"ERROR")</f>
        <v>1</v>
      </c>
      <c r="G797" s="7" t="str">
        <f>IF(Data!G797=Entry2!G797,Data!G797,"ERROR")</f>
        <v>SS</v>
      </c>
      <c r="H797" s="7">
        <f>IF(Data!H797=Entry2!H797,Data!H797,"ERROR")</f>
        <v>9</v>
      </c>
      <c r="I797" s="7">
        <f>IF(Data!I797=Entry2!I797,Data!I797,"ERROR")</f>
        <v>1</v>
      </c>
      <c r="J797" s="7">
        <f>IF(Data!J797=Entry2!J797,Data!J797,"ERROR")</f>
        <v>7</v>
      </c>
      <c r="K797" s="7" t="str">
        <f>IF(Data!K797=Entry2!K797,Data!K797,"ERROR")</f>
        <v>DEIFAS</v>
      </c>
      <c r="L797" s="7" t="str">
        <f>IF(Data!L797=Entry2!L797,Data!L797,"ERROR")</f>
        <v>ERROR</v>
      </c>
      <c r="M797" s="7">
        <f>IF(Data!N797=Entry2!M797,Data!N797,"ERROR")</f>
        <v>0</v>
      </c>
    </row>
    <row r="798" spans="1:13" ht="13.2" x14ac:dyDescent="0.25">
      <c r="A798" s="7">
        <f>IF(Data!A798=Entry2!A798,Data!A798,"ERROR")</f>
        <v>17</v>
      </c>
      <c r="B798" s="7">
        <f>IF(Data!B798=Entry2!B798,Data!B798,"ERROR")</f>
        <v>2023</v>
      </c>
      <c r="C798" s="17">
        <f>IF(Data!C798=Entry2!C798,Data!C798,"ERROR")</f>
        <v>45197</v>
      </c>
      <c r="D798" s="7" t="str">
        <f>IF(Data!D798=Entry2!D798,Data!D798,"ERROR")</f>
        <v>MP, TL, HH</v>
      </c>
      <c r="E798" s="7" t="str">
        <f>IF(Data!E798=Entry2!E798,Data!E798,"ERROR")</f>
        <v>VB</v>
      </c>
      <c r="F798" s="7">
        <f>IF(Data!F798=Entry2!F798,Data!F798,"ERROR")</f>
        <v>1</v>
      </c>
      <c r="G798" s="7" t="str">
        <f>IF(Data!G798=Entry2!G798,Data!G798,"ERROR")</f>
        <v>SS</v>
      </c>
      <c r="H798" s="7">
        <f>IF(Data!H798=Entry2!H798,Data!H798,"ERROR")</f>
        <v>10</v>
      </c>
      <c r="I798" s="7">
        <f>IF(Data!I798=Entry2!I798,Data!I798,"ERROR")</f>
        <v>1</v>
      </c>
      <c r="J798" s="7">
        <f>IF(Data!J798=Entry2!J798,Data!J798,"ERROR")</f>
        <v>8</v>
      </c>
      <c r="K798" s="7" t="str">
        <f>IF(Data!K798=Entry2!K798,Data!K798,"ERROR")</f>
        <v>B</v>
      </c>
      <c r="L798" s="7" t="str">
        <f>IF(Data!L798=Entry2!L798,Data!L798,"ERROR")</f>
        <v>ERROR</v>
      </c>
      <c r="M798" s="7">
        <f>IF(Data!N798=Entry2!M798,Data!N798,"ERROR")</f>
        <v>0</v>
      </c>
    </row>
    <row r="799" spans="1:13" ht="13.2" x14ac:dyDescent="0.25">
      <c r="A799" s="7">
        <f>IF(Data!A799=Entry2!A799,Data!A799,"ERROR")</f>
        <v>17</v>
      </c>
      <c r="B799" s="7">
        <f>IF(Data!B799=Entry2!B799,Data!B799,"ERROR")</f>
        <v>2023</v>
      </c>
      <c r="C799" s="17">
        <f>IF(Data!C799=Entry2!C799,Data!C799,"ERROR")</f>
        <v>45197</v>
      </c>
      <c r="D799" s="7" t="str">
        <f>IF(Data!D799=Entry2!D799,Data!D799,"ERROR")</f>
        <v>MP, TL, HH</v>
      </c>
      <c r="E799" s="7" t="str">
        <f>IF(Data!E799=Entry2!E799,Data!E799,"ERROR")</f>
        <v>VB</v>
      </c>
      <c r="F799" s="7">
        <f>IF(Data!F799=Entry2!F799,Data!F799,"ERROR")</f>
        <v>1</v>
      </c>
      <c r="G799" s="7" t="str">
        <f>IF(Data!G799=Entry2!G799,Data!G799,"ERROR")</f>
        <v>SS</v>
      </c>
      <c r="H799" s="7">
        <f>IF(Data!H799=Entry2!H799,Data!H799,"ERROR")</f>
        <v>11</v>
      </c>
      <c r="I799" s="7">
        <f>IF(Data!I799=Entry2!I799,Data!I799,"ERROR")</f>
        <v>1</v>
      </c>
      <c r="J799" s="7">
        <f>IF(Data!J799=Entry2!J799,Data!J799,"ERROR")</f>
        <v>8.5</v>
      </c>
      <c r="K799" s="7" t="str">
        <f>IF(Data!K799=Entry2!K799,Data!K799,"ERROR")</f>
        <v>B</v>
      </c>
      <c r="L799" s="7" t="str">
        <f>IF(Data!L799=Entry2!L799,Data!L799,"ERROR")</f>
        <v>ERROR</v>
      </c>
      <c r="M799" s="7">
        <f>IF(Data!N799=Entry2!M799,Data!N799,"ERROR")</f>
        <v>0</v>
      </c>
    </row>
    <row r="800" spans="1:13" ht="13.2" x14ac:dyDescent="0.25">
      <c r="A800" s="7">
        <f>IF(Data!A800=Entry2!A800,Data!A800,"ERROR")</f>
        <v>17</v>
      </c>
      <c r="B800" s="7">
        <f>IF(Data!B800=Entry2!B800,Data!B800,"ERROR")</f>
        <v>2023</v>
      </c>
      <c r="C800" s="17">
        <f>IF(Data!C800=Entry2!C800,Data!C800,"ERROR")</f>
        <v>45197</v>
      </c>
      <c r="D800" s="7" t="str">
        <f>IF(Data!D800=Entry2!D800,Data!D800,"ERROR")</f>
        <v>MP, TL, HH</v>
      </c>
      <c r="E800" s="7" t="str">
        <f>IF(Data!E800=Entry2!E800,Data!E800,"ERROR")</f>
        <v>VB</v>
      </c>
      <c r="F800" s="7">
        <f>IF(Data!F800=Entry2!F800,Data!F800,"ERROR")</f>
        <v>1</v>
      </c>
      <c r="G800" s="7" t="str">
        <f>IF(Data!G800=Entry2!G800,Data!G800,"ERROR")</f>
        <v>SS</v>
      </c>
      <c r="H800" s="7">
        <f>IF(Data!H800=Entry2!H800,Data!H800,"ERROR")</f>
        <v>11</v>
      </c>
      <c r="I800" s="7">
        <f>IF(Data!I800=Entry2!I800,Data!I800,"ERROR")</f>
        <v>1</v>
      </c>
      <c r="J800" s="7">
        <f>IF(Data!J800=Entry2!J800,Data!J800,"ERROR")</f>
        <v>8.5</v>
      </c>
      <c r="K800" s="7" t="str">
        <f>IF(Data!K800=Entry2!K800,Data!K800,"ERROR")</f>
        <v>DEIFAS</v>
      </c>
      <c r="L800" s="7" t="str">
        <f>IF(Data!L800=Entry2!L800,Data!L800,"ERROR")</f>
        <v>ERROR</v>
      </c>
      <c r="M800" s="7">
        <f>IF(Data!N800=Entry2!M800,Data!N800,"ERROR")</f>
        <v>0</v>
      </c>
    </row>
    <row r="801" spans="1:13" ht="13.2" x14ac:dyDescent="0.25">
      <c r="A801" s="7">
        <f>IF(Data!A801=Entry2!A801,Data!A801,"ERROR")</f>
        <v>17</v>
      </c>
      <c r="B801" s="7">
        <f>IF(Data!B801=Entry2!B801,Data!B801,"ERROR")</f>
        <v>2023</v>
      </c>
      <c r="C801" s="17">
        <f>IF(Data!C801=Entry2!C801,Data!C801,"ERROR")</f>
        <v>45197</v>
      </c>
      <c r="D801" s="7" t="str">
        <f>IF(Data!D801=Entry2!D801,Data!D801,"ERROR")</f>
        <v>MP, TL, HH</v>
      </c>
      <c r="E801" s="7" t="str">
        <f>IF(Data!E801=Entry2!E801,Data!E801,"ERROR")</f>
        <v>VB</v>
      </c>
      <c r="F801" s="7">
        <f>IF(Data!F801=Entry2!F801,Data!F801,"ERROR")</f>
        <v>1</v>
      </c>
      <c r="G801" s="7" t="str">
        <f>IF(Data!G801=Entry2!G801,Data!G801,"ERROR")</f>
        <v>SS</v>
      </c>
      <c r="H801" s="7">
        <f>IF(Data!H801=Entry2!H801,Data!H801,"ERROR")</f>
        <v>12</v>
      </c>
      <c r="I801" s="7">
        <f>IF(Data!I801=Entry2!I801,Data!I801,"ERROR")</f>
        <v>1</v>
      </c>
      <c r="J801" s="7">
        <f>IF(Data!J801=Entry2!J801,Data!J801,"ERROR")</f>
        <v>9</v>
      </c>
      <c r="K801" s="7" t="str">
        <f>IF(Data!K801=Entry2!K801,Data!K801,"ERROR")</f>
        <v>L</v>
      </c>
      <c r="L801" s="7" t="str">
        <f>IF(Data!L801=Entry2!L801,Data!L801,"ERROR")</f>
        <v>ERROR</v>
      </c>
      <c r="M801" s="7">
        <f>IF(Data!N801=Entry2!M801,Data!N801,"ERROR")</f>
        <v>0</v>
      </c>
    </row>
    <row r="802" spans="1:13" ht="13.2" x14ac:dyDescent="0.25">
      <c r="A802" s="7">
        <f>IF(Data!A802=Entry2!A802,Data!A802,"ERROR")</f>
        <v>17</v>
      </c>
      <c r="B802" s="7">
        <f>IF(Data!B802=Entry2!B802,Data!B802,"ERROR")</f>
        <v>2023</v>
      </c>
      <c r="C802" s="17">
        <f>IF(Data!C802=Entry2!C802,Data!C802,"ERROR")</f>
        <v>45197</v>
      </c>
      <c r="D802" s="7" t="str">
        <f>IF(Data!D802=Entry2!D802,Data!D802,"ERROR")</f>
        <v>MP, TL, HH</v>
      </c>
      <c r="E802" s="7" t="str">
        <f>IF(Data!E802=Entry2!E802,Data!E802,"ERROR")</f>
        <v>VB</v>
      </c>
      <c r="F802" s="7">
        <f>IF(Data!F802=Entry2!F802,Data!F802,"ERROR")</f>
        <v>1</v>
      </c>
      <c r="G802" s="7" t="str">
        <f>IF(Data!G802=Entry2!G802,Data!G802,"ERROR")</f>
        <v>SS</v>
      </c>
      <c r="H802" s="7">
        <f>IF(Data!H802=Entry2!H802,Data!H802,"ERROR")</f>
        <v>12</v>
      </c>
      <c r="I802" s="7">
        <f>IF(Data!I802=Entry2!I802,Data!I802,"ERROR")</f>
        <v>1</v>
      </c>
      <c r="J802" s="7">
        <f>IF(Data!J802=Entry2!J802,Data!J802,"ERROR")</f>
        <v>9</v>
      </c>
      <c r="K802" s="7" t="str">
        <f>IF(Data!K802=Entry2!K802,Data!K802,"ERROR")</f>
        <v>DEIFAS</v>
      </c>
      <c r="L802" s="7" t="str">
        <f>IF(Data!L802=Entry2!L802,Data!L802,"ERROR")</f>
        <v>ERROR</v>
      </c>
      <c r="M802" s="7">
        <f>IF(Data!N802=Entry2!M802,Data!N802,"ERROR")</f>
        <v>0</v>
      </c>
    </row>
    <row r="803" spans="1:13" ht="13.2" x14ac:dyDescent="0.25">
      <c r="A803" s="7">
        <f>IF(Data!A803=Entry2!A803,Data!A803,"ERROR")</f>
        <v>17</v>
      </c>
      <c r="B803" s="7">
        <f>IF(Data!B803=Entry2!B803,Data!B803,"ERROR")</f>
        <v>2023</v>
      </c>
      <c r="C803" s="17">
        <f>IF(Data!C803=Entry2!C803,Data!C803,"ERROR")</f>
        <v>45197</v>
      </c>
      <c r="D803" s="7" t="str">
        <f>IF(Data!D803=Entry2!D803,Data!D803,"ERROR")</f>
        <v>MP, TL, HH</v>
      </c>
      <c r="E803" s="7" t="str">
        <f>IF(Data!E803=Entry2!E803,Data!E803,"ERROR")</f>
        <v>VB</v>
      </c>
      <c r="F803" s="7">
        <f>IF(Data!F803=Entry2!F803,Data!F803,"ERROR")</f>
        <v>1</v>
      </c>
      <c r="G803" s="7" t="str">
        <f>IF(Data!G803=Entry2!G803,Data!G803,"ERROR")</f>
        <v>SS</v>
      </c>
      <c r="H803" s="7">
        <f>IF(Data!H803=Entry2!H803,Data!H803,"ERROR")</f>
        <v>13</v>
      </c>
      <c r="I803" s="7">
        <f>IF(Data!I803=Entry2!I803,Data!I803,"ERROR")</f>
        <v>1</v>
      </c>
      <c r="J803" s="7">
        <f>IF(Data!J803=Entry2!J803,Data!J803,"ERROR")</f>
        <v>10</v>
      </c>
      <c r="K803" s="7" t="str">
        <f>IF(Data!K803=Entry2!K803,Data!K803,"ERROR")</f>
        <v>B</v>
      </c>
      <c r="L803" s="7" t="str">
        <f>IF(Data!L803=Entry2!L803,Data!L803,"ERROR")</f>
        <v>ERROR</v>
      </c>
      <c r="M803" s="7">
        <f>IF(Data!N803=Entry2!M803,Data!N803,"ERROR")</f>
        <v>0</v>
      </c>
    </row>
    <row r="804" spans="1:13" ht="13.2" x14ac:dyDescent="0.25">
      <c r="A804" s="7">
        <f>IF(Data!A804=Entry2!A804,Data!A804,"ERROR")</f>
        <v>17</v>
      </c>
      <c r="B804" s="7">
        <f>IF(Data!B804=Entry2!B804,Data!B804,"ERROR")</f>
        <v>2023</v>
      </c>
      <c r="C804" s="17">
        <f>IF(Data!C804=Entry2!C804,Data!C804,"ERROR")</f>
        <v>45197</v>
      </c>
      <c r="D804" s="7" t="str">
        <f>IF(Data!D804=Entry2!D804,Data!D804,"ERROR")</f>
        <v>MP, TL, HH</v>
      </c>
      <c r="E804" s="7" t="str">
        <f>IF(Data!E804=Entry2!E804,Data!E804,"ERROR")</f>
        <v>VB</v>
      </c>
      <c r="F804" s="7">
        <f>IF(Data!F804=Entry2!F804,Data!F804,"ERROR")</f>
        <v>1</v>
      </c>
      <c r="G804" s="7" t="str">
        <f>IF(Data!G804=Entry2!G804,Data!G804,"ERROR")</f>
        <v>SS</v>
      </c>
      <c r="H804" s="7">
        <f>IF(Data!H804=Entry2!H804,Data!H804,"ERROR")</f>
        <v>13</v>
      </c>
      <c r="I804" s="7">
        <f>IF(Data!I804=Entry2!I804,Data!I804,"ERROR")</f>
        <v>1</v>
      </c>
      <c r="J804" s="7">
        <f>IF(Data!J804=Entry2!J804,Data!J804,"ERROR")</f>
        <v>10</v>
      </c>
      <c r="K804" s="7" t="str">
        <f>IF(Data!K804=Entry2!K804,Data!K804,"ERROR")</f>
        <v>DEIFAS</v>
      </c>
      <c r="L804" s="7" t="str">
        <f>IF(Data!L804=Entry2!L804,Data!L804,"ERROR")</f>
        <v>ERROR</v>
      </c>
      <c r="M804" s="7">
        <f>IF(Data!N804=Entry2!M804,Data!N804,"ERROR")</f>
        <v>0</v>
      </c>
    </row>
    <row r="805" spans="1:13" ht="13.2" x14ac:dyDescent="0.25">
      <c r="A805" s="7">
        <f>IF(Data!A805=Entry2!A805,Data!A805,"ERROR")</f>
        <v>17</v>
      </c>
      <c r="B805" s="7">
        <f>IF(Data!B805=Entry2!B805,Data!B805,"ERROR")</f>
        <v>2023</v>
      </c>
      <c r="C805" s="17">
        <f>IF(Data!C805=Entry2!C805,Data!C805,"ERROR")</f>
        <v>45197</v>
      </c>
      <c r="D805" s="7" t="str">
        <f>IF(Data!D805=Entry2!D805,Data!D805,"ERROR")</f>
        <v>MP, TL, HH</v>
      </c>
      <c r="E805" s="7" t="str">
        <f>IF(Data!E805=Entry2!E805,Data!E805,"ERROR")</f>
        <v>VB</v>
      </c>
      <c r="F805" s="7">
        <f>IF(Data!F805=Entry2!F805,Data!F805,"ERROR")</f>
        <v>1</v>
      </c>
      <c r="G805" s="7" t="str">
        <f>IF(Data!G805=Entry2!G805,Data!G805,"ERROR")</f>
        <v>SS</v>
      </c>
      <c r="H805" s="7">
        <f>IF(Data!H805=Entry2!H805,Data!H805,"ERROR")</f>
        <v>14</v>
      </c>
      <c r="I805" s="7">
        <f>IF(Data!I805=Entry2!I805,Data!I805,"ERROR")</f>
        <v>1</v>
      </c>
      <c r="J805" s="7">
        <f>IF(Data!J805=Entry2!J805,Data!J805,"ERROR")</f>
        <v>11</v>
      </c>
      <c r="K805" s="7" t="str">
        <f>IF(Data!K805=Entry2!K805,Data!K805,"ERROR")</f>
        <v>B</v>
      </c>
      <c r="L805" s="7" t="str">
        <f>IF(Data!L805=Entry2!L805,Data!L805,"ERROR")</f>
        <v>ERROR</v>
      </c>
      <c r="M805" s="7">
        <f>IF(Data!N805=Entry2!M805,Data!N805,"ERROR")</f>
        <v>0</v>
      </c>
    </row>
    <row r="806" spans="1:13" ht="13.2" x14ac:dyDescent="0.25">
      <c r="A806" s="7">
        <f>IF(Data!A806=Entry2!A806,Data!A806,"ERROR")</f>
        <v>17</v>
      </c>
      <c r="B806" s="7">
        <f>IF(Data!B806=Entry2!B806,Data!B806,"ERROR")</f>
        <v>2023</v>
      </c>
      <c r="C806" s="17">
        <f>IF(Data!C806=Entry2!C806,Data!C806,"ERROR")</f>
        <v>45197</v>
      </c>
      <c r="D806" s="7" t="str">
        <f>IF(Data!D806=Entry2!D806,Data!D806,"ERROR")</f>
        <v>MP, TL, HH</v>
      </c>
      <c r="E806" s="7" t="str">
        <f>IF(Data!E806=Entry2!E806,Data!E806,"ERROR")</f>
        <v>VB</v>
      </c>
      <c r="F806" s="7">
        <f>IF(Data!F806=Entry2!F806,Data!F806,"ERROR")</f>
        <v>1</v>
      </c>
      <c r="G806" s="7" t="str">
        <f>IF(Data!G806=Entry2!G806,Data!G806,"ERROR")</f>
        <v>SS</v>
      </c>
      <c r="H806" s="7">
        <f>IF(Data!H806=Entry2!H806,Data!H806,"ERROR")</f>
        <v>14</v>
      </c>
      <c r="I806" s="7">
        <f>IF(Data!I806=Entry2!I806,Data!I806,"ERROR")</f>
        <v>1</v>
      </c>
      <c r="J806" s="7">
        <f>IF(Data!J806=Entry2!J806,Data!J806,"ERROR")</f>
        <v>11</v>
      </c>
      <c r="K806" s="7" t="str">
        <f>IF(Data!K806=Entry2!K806,Data!K806,"ERROR")</f>
        <v>DEIFAS</v>
      </c>
      <c r="L806" s="7" t="str">
        <f>IF(Data!L806=Entry2!L806,Data!L806,"ERROR")</f>
        <v>ERROR</v>
      </c>
      <c r="M806" s="7">
        <f>IF(Data!N806=Entry2!M806,Data!N806,"ERROR")</f>
        <v>0</v>
      </c>
    </row>
    <row r="807" spans="1:13" ht="13.2" x14ac:dyDescent="0.25">
      <c r="A807" s="7">
        <f>IF(Data!A807=Entry2!A807,Data!A807,"ERROR")</f>
        <v>17</v>
      </c>
      <c r="B807" s="7">
        <f>IF(Data!B807=Entry2!B807,Data!B807,"ERROR")</f>
        <v>2023</v>
      </c>
      <c r="C807" s="17">
        <f>IF(Data!C807=Entry2!C807,Data!C807,"ERROR")</f>
        <v>45197</v>
      </c>
      <c r="D807" s="7" t="str">
        <f>IF(Data!D807=Entry2!D807,Data!D807,"ERROR")</f>
        <v>MP, TL, HH</v>
      </c>
      <c r="E807" s="7" t="str">
        <f>IF(Data!E807=Entry2!E807,Data!E807,"ERROR")</f>
        <v>VB</v>
      </c>
      <c r="F807" s="7">
        <f>IF(Data!F807=Entry2!F807,Data!F807,"ERROR")</f>
        <v>1</v>
      </c>
      <c r="G807" s="7" t="str">
        <f>IF(Data!G807=Entry2!G807,Data!G807,"ERROR")</f>
        <v>SS</v>
      </c>
      <c r="H807" s="7">
        <f>IF(Data!H807=Entry2!H807,Data!H807,"ERROR")</f>
        <v>15</v>
      </c>
      <c r="I807" s="7">
        <f>IF(Data!I807=Entry2!I807,Data!I807,"ERROR")</f>
        <v>1</v>
      </c>
      <c r="J807" s="7">
        <f>IF(Data!J807=Entry2!J807,Data!J807,"ERROR")</f>
        <v>12</v>
      </c>
      <c r="K807" s="7" t="str">
        <f>IF(Data!K807=Entry2!K807,Data!K807,"ERROR")</f>
        <v>B</v>
      </c>
      <c r="L807" s="7" t="str">
        <f>IF(Data!L807=Entry2!L807,Data!L807,"ERROR")</f>
        <v>ERROR</v>
      </c>
      <c r="M807" s="7">
        <f>IF(Data!N807=Entry2!M807,Data!N807,"ERROR")</f>
        <v>0</v>
      </c>
    </row>
    <row r="808" spans="1:13" ht="13.2" x14ac:dyDescent="0.25">
      <c r="A808" s="7">
        <f>IF(Data!A808=Entry2!A808,Data!A808,"ERROR")</f>
        <v>17</v>
      </c>
      <c r="B808" s="7">
        <f>IF(Data!B808=Entry2!B808,Data!B808,"ERROR")</f>
        <v>2023</v>
      </c>
      <c r="C808" s="17">
        <f>IF(Data!C808=Entry2!C808,Data!C808,"ERROR")</f>
        <v>45197</v>
      </c>
      <c r="D808" s="7" t="str">
        <f>IF(Data!D808=Entry2!D808,Data!D808,"ERROR")</f>
        <v>MP, TL, HH</v>
      </c>
      <c r="E808" s="7" t="str">
        <f>IF(Data!E808=Entry2!E808,Data!E808,"ERROR")</f>
        <v>VB</v>
      </c>
      <c r="F808" s="7">
        <f>IF(Data!F808=Entry2!F808,Data!F808,"ERROR")</f>
        <v>1</v>
      </c>
      <c r="G808" s="7" t="str">
        <f>IF(Data!G808=Entry2!G808,Data!G808,"ERROR")</f>
        <v>SS</v>
      </c>
      <c r="H808" s="7">
        <f>IF(Data!H808=Entry2!H808,Data!H808,"ERROR")</f>
        <v>1</v>
      </c>
      <c r="I808" s="7">
        <f>IF(Data!I808=Entry2!I808,Data!I808,"ERROR")</f>
        <v>2</v>
      </c>
      <c r="J808" s="7">
        <f>IF(Data!J808=Entry2!J808,Data!J808,"ERROR")</f>
        <v>0</v>
      </c>
      <c r="K808" s="7" t="str">
        <f>IF(Data!K808=Entry2!K808,Data!K808,"ERROR")</f>
        <v>L</v>
      </c>
      <c r="L808" s="7" t="str">
        <f>IF(Data!L808=Entry2!L808,Data!L808,"ERROR")</f>
        <v>ERROR</v>
      </c>
      <c r="M808" s="7">
        <f>IF(Data!N808=Entry2!M808,Data!N808,"ERROR")</f>
        <v>0</v>
      </c>
    </row>
    <row r="809" spans="1:13" ht="13.2" x14ac:dyDescent="0.25">
      <c r="A809" s="7">
        <f>IF(Data!A809=Entry2!A809,Data!A809,"ERROR")</f>
        <v>17</v>
      </c>
      <c r="B809" s="7">
        <f>IF(Data!B809=Entry2!B809,Data!B809,"ERROR")</f>
        <v>2023</v>
      </c>
      <c r="C809" s="17">
        <f>IF(Data!C809=Entry2!C809,Data!C809,"ERROR")</f>
        <v>45197</v>
      </c>
      <c r="D809" s="7" t="str">
        <f>IF(Data!D809=Entry2!D809,Data!D809,"ERROR")</f>
        <v>MP, TL, HH</v>
      </c>
      <c r="E809" s="7" t="str">
        <f>IF(Data!E809=Entry2!E809,Data!E809,"ERROR")</f>
        <v>VB</v>
      </c>
      <c r="F809" s="7">
        <f>IF(Data!F809=Entry2!F809,Data!F809,"ERROR")</f>
        <v>1</v>
      </c>
      <c r="G809" s="7" t="str">
        <f>IF(Data!G809=Entry2!G809,Data!G809,"ERROR")</f>
        <v>SS</v>
      </c>
      <c r="H809" s="7">
        <f>IF(Data!H809=Entry2!H809,Data!H809,"ERROR")</f>
        <v>1</v>
      </c>
      <c r="I809" s="7">
        <f>IF(Data!I809=Entry2!I809,Data!I809,"ERROR")</f>
        <v>2</v>
      </c>
      <c r="J809" s="7">
        <f>IF(Data!J809=Entry2!J809,Data!J809,"ERROR")</f>
        <v>0</v>
      </c>
      <c r="K809" s="7" t="str">
        <f>IF(Data!K809=Entry2!K809,Data!K809,"ERROR")</f>
        <v>ERIFAS</v>
      </c>
      <c r="L809" s="7" t="str">
        <f>IF(Data!L809=Entry2!L809,Data!L809,"ERROR")</f>
        <v>ERROR</v>
      </c>
      <c r="M809" s="7">
        <f>IF(Data!N809=Entry2!M809,Data!N809,"ERROR")</f>
        <v>0</v>
      </c>
    </row>
    <row r="810" spans="1:13" ht="13.2" x14ac:dyDescent="0.25">
      <c r="A810" s="7">
        <f>IF(Data!A810=Entry2!A810,Data!A810,"ERROR")</f>
        <v>17</v>
      </c>
      <c r="B810" s="7">
        <f>IF(Data!B810=Entry2!B810,Data!B810,"ERROR")</f>
        <v>2023</v>
      </c>
      <c r="C810" s="17">
        <f>IF(Data!C810=Entry2!C810,Data!C810,"ERROR")</f>
        <v>45197</v>
      </c>
      <c r="D810" s="7" t="str">
        <f>IF(Data!D810=Entry2!D810,Data!D810,"ERROR")</f>
        <v>MP, TL, HH</v>
      </c>
      <c r="E810" s="7" t="str">
        <f>IF(Data!E810=Entry2!E810,Data!E810,"ERROR")</f>
        <v>VB</v>
      </c>
      <c r="F810" s="7">
        <f>IF(Data!F810=Entry2!F810,Data!F810,"ERROR")</f>
        <v>1</v>
      </c>
      <c r="G810" s="7" t="str">
        <f>IF(Data!G810=Entry2!G810,Data!G810,"ERROR")</f>
        <v>SS</v>
      </c>
      <c r="H810" s="7">
        <f>IF(Data!H810=Entry2!H810,Data!H810,"ERROR")</f>
        <v>2</v>
      </c>
      <c r="I810" s="7">
        <f>IF(Data!I810=Entry2!I810,Data!I810,"ERROR")</f>
        <v>2</v>
      </c>
      <c r="J810" s="7">
        <f>IF(Data!J810=Entry2!J810,Data!J810,"ERROR")</f>
        <v>1</v>
      </c>
      <c r="K810" s="7" t="str">
        <f>IF(Data!K810=Entry2!K810,Data!K810,"ERROR")</f>
        <v>B</v>
      </c>
      <c r="L810" s="7" t="str">
        <f>IF(Data!L810=Entry2!L810,Data!L810,"ERROR")</f>
        <v>ERROR</v>
      </c>
      <c r="M810" s="7">
        <f>IF(Data!N810=Entry2!M810,Data!N810,"ERROR")</f>
        <v>0</v>
      </c>
    </row>
    <row r="811" spans="1:13" ht="13.2" x14ac:dyDescent="0.25">
      <c r="A811" s="7">
        <f>IF(Data!A811=Entry2!A811,Data!A811,"ERROR")</f>
        <v>17</v>
      </c>
      <c r="B811" s="7">
        <f>IF(Data!B811=Entry2!B811,Data!B811,"ERROR")</f>
        <v>2023</v>
      </c>
      <c r="C811" s="17">
        <f>IF(Data!C811=Entry2!C811,Data!C811,"ERROR")</f>
        <v>45197</v>
      </c>
      <c r="D811" s="7" t="str">
        <f>IF(Data!D811=Entry2!D811,Data!D811,"ERROR")</f>
        <v>MP, TL, HH</v>
      </c>
      <c r="E811" s="7" t="str">
        <f>IF(Data!E811=Entry2!E811,Data!E811,"ERROR")</f>
        <v>VB</v>
      </c>
      <c r="F811" s="7">
        <f>IF(Data!F811=Entry2!F811,Data!F811,"ERROR")</f>
        <v>1</v>
      </c>
      <c r="G811" s="7" t="str">
        <f>IF(Data!G811=Entry2!G811,Data!G811,"ERROR")</f>
        <v>SS</v>
      </c>
      <c r="H811" s="7">
        <f>IF(Data!H811=Entry2!H811,Data!H811,"ERROR")</f>
        <v>2</v>
      </c>
      <c r="I811" s="7">
        <f>IF(Data!I811=Entry2!I811,Data!I811,"ERROR")</f>
        <v>2</v>
      </c>
      <c r="J811" s="7">
        <f>IF(Data!J811=Entry2!J811,Data!J811,"ERROR")</f>
        <v>1</v>
      </c>
      <c r="K811" s="7" t="str">
        <f>IF(Data!K811=Entry2!K811,Data!K811,"ERROR")</f>
        <v>EUPFEN</v>
      </c>
      <c r="L811" s="7" t="e">
        <f>IF(Data!L811=Entry2!L811,Data!L811,"ERROR")</f>
        <v>#N/A</v>
      </c>
      <c r="M811" s="7">
        <f>IF(Data!N811=Entry2!M811,Data!N811,"ERROR")</f>
        <v>0</v>
      </c>
    </row>
    <row r="812" spans="1:13" ht="13.2" x14ac:dyDescent="0.25">
      <c r="A812" s="7">
        <f>IF(Data!A812=Entry2!A812,Data!A812,"ERROR")</f>
        <v>17</v>
      </c>
      <c r="B812" s="7">
        <f>IF(Data!B812=Entry2!B812,Data!B812,"ERROR")</f>
        <v>2023</v>
      </c>
      <c r="C812" s="17">
        <f>IF(Data!C812=Entry2!C812,Data!C812,"ERROR")</f>
        <v>45197</v>
      </c>
      <c r="D812" s="7" t="str">
        <f>IF(Data!D812=Entry2!D812,Data!D812,"ERROR")</f>
        <v>MP, TL, HH</v>
      </c>
      <c r="E812" s="7" t="str">
        <f>IF(Data!E812=Entry2!E812,Data!E812,"ERROR")</f>
        <v>VB</v>
      </c>
      <c r="F812" s="7">
        <f>IF(Data!F812=Entry2!F812,Data!F812,"ERROR")</f>
        <v>1</v>
      </c>
      <c r="G812" s="7" t="str">
        <f>IF(Data!G812=Entry2!G812,Data!G812,"ERROR")</f>
        <v>SS</v>
      </c>
      <c r="H812" s="7">
        <f>IF(Data!H812=Entry2!H812,Data!H812,"ERROR")</f>
        <v>3</v>
      </c>
      <c r="I812" s="7">
        <f>IF(Data!I812=Entry2!I812,Data!I812,"ERROR")</f>
        <v>2</v>
      </c>
      <c r="J812" s="7">
        <f>IF(Data!J812=Entry2!J812,Data!J812,"ERROR")</f>
        <v>1.5</v>
      </c>
      <c r="K812" s="7" t="str">
        <f>IF(Data!K812=Entry2!K812,Data!K812,"ERROR")</f>
        <v>B</v>
      </c>
      <c r="L812" s="7" t="str">
        <f>IF(Data!L812=Entry2!L812,Data!L812,"ERROR")</f>
        <v>ERROR</v>
      </c>
      <c r="M812" s="7">
        <f>IF(Data!N812=Entry2!M812,Data!N812,"ERROR")</f>
        <v>0</v>
      </c>
    </row>
    <row r="813" spans="1:13" ht="13.2" x14ac:dyDescent="0.25">
      <c r="A813" s="7">
        <f>IF(Data!A813=Entry2!A813,Data!A813,"ERROR")</f>
        <v>17</v>
      </c>
      <c r="B813" s="7">
        <f>IF(Data!B813=Entry2!B813,Data!B813,"ERROR")</f>
        <v>2023</v>
      </c>
      <c r="C813" s="17">
        <f>IF(Data!C813=Entry2!C813,Data!C813,"ERROR")</f>
        <v>45197</v>
      </c>
      <c r="D813" s="7" t="str">
        <f>IF(Data!D813=Entry2!D813,Data!D813,"ERROR")</f>
        <v>MP, TL, HH</v>
      </c>
      <c r="E813" s="7" t="str">
        <f>IF(Data!E813=Entry2!E813,Data!E813,"ERROR")</f>
        <v>VB</v>
      </c>
      <c r="F813" s="7">
        <f>IF(Data!F813=Entry2!F813,Data!F813,"ERROR")</f>
        <v>1</v>
      </c>
      <c r="G813" s="7" t="str">
        <f>IF(Data!G813=Entry2!G813,Data!G813,"ERROR")</f>
        <v>SS</v>
      </c>
      <c r="H813" s="7">
        <f>IF(Data!H813=Entry2!H813,Data!H813,"ERROR")</f>
        <v>3</v>
      </c>
      <c r="I813" s="7">
        <f>IF(Data!I813=Entry2!I813,Data!I813,"ERROR")</f>
        <v>2</v>
      </c>
      <c r="J813" s="7">
        <f>IF(Data!J813=Entry2!J813,Data!J813,"ERROR")</f>
        <v>1.5</v>
      </c>
      <c r="K813" s="7" t="str">
        <f>IF(Data!K813=Entry2!K813,Data!K813,"ERROR")</f>
        <v>EUPFEN</v>
      </c>
      <c r="L813" s="7" t="e">
        <f>IF(Data!L813=Entry2!L813,Data!L813,"ERROR")</f>
        <v>#N/A</v>
      </c>
      <c r="M813" s="7">
        <f>IF(Data!N813=Entry2!M813,Data!N813,"ERROR")</f>
        <v>0</v>
      </c>
    </row>
    <row r="814" spans="1:13" ht="13.2" x14ac:dyDescent="0.25">
      <c r="A814" s="7">
        <f>IF(Data!A814=Entry2!A814,Data!A814,"ERROR")</f>
        <v>17</v>
      </c>
      <c r="B814" s="7">
        <f>IF(Data!B814=Entry2!B814,Data!B814,"ERROR")</f>
        <v>2023</v>
      </c>
      <c r="C814" s="17">
        <f>IF(Data!C814=Entry2!C814,Data!C814,"ERROR")</f>
        <v>45197</v>
      </c>
      <c r="D814" s="7" t="str">
        <f>IF(Data!D814=Entry2!D814,Data!D814,"ERROR")</f>
        <v>MP, TL, HH</v>
      </c>
      <c r="E814" s="7" t="str">
        <f>IF(Data!E814=Entry2!E814,Data!E814,"ERROR")</f>
        <v>VB</v>
      </c>
      <c r="F814" s="7">
        <f>IF(Data!F814=Entry2!F814,Data!F814,"ERROR")</f>
        <v>1</v>
      </c>
      <c r="G814" s="7" t="str">
        <f>IF(Data!G814=Entry2!G814,Data!G814,"ERROR")</f>
        <v>SS</v>
      </c>
      <c r="H814" s="7">
        <f>IF(Data!H814=Entry2!H814,Data!H814,"ERROR")</f>
        <v>4</v>
      </c>
      <c r="I814" s="7">
        <f>IF(Data!I814=Entry2!I814,Data!I814,"ERROR")</f>
        <v>2</v>
      </c>
      <c r="J814" s="7">
        <f>IF(Data!J814=Entry2!J814,Data!J814,"ERROR")</f>
        <v>2</v>
      </c>
      <c r="K814" s="7" t="str">
        <f>IF(Data!K814=Entry2!K814,Data!K814,"ERROR")</f>
        <v>B</v>
      </c>
      <c r="L814" s="7" t="str">
        <f>IF(Data!L814=Entry2!L814,Data!L814,"ERROR")</f>
        <v>ERROR</v>
      </c>
      <c r="M814" s="7">
        <f>IF(Data!N814=Entry2!M814,Data!N814,"ERROR")</f>
        <v>0</v>
      </c>
    </row>
    <row r="815" spans="1:13" ht="13.2" x14ac:dyDescent="0.25">
      <c r="A815" s="7">
        <f>IF(Data!A815=Entry2!A815,Data!A815,"ERROR")</f>
        <v>17</v>
      </c>
      <c r="B815" s="7">
        <f>IF(Data!B815=Entry2!B815,Data!B815,"ERROR")</f>
        <v>2023</v>
      </c>
      <c r="C815" s="17">
        <f>IF(Data!C815=Entry2!C815,Data!C815,"ERROR")</f>
        <v>45197</v>
      </c>
      <c r="D815" s="7" t="str">
        <f>IF(Data!D815=Entry2!D815,Data!D815,"ERROR")</f>
        <v>MP, TL, HH</v>
      </c>
      <c r="E815" s="7" t="str">
        <f>IF(Data!E815=Entry2!E815,Data!E815,"ERROR")</f>
        <v>VB</v>
      </c>
      <c r="F815" s="7">
        <f>IF(Data!F815=Entry2!F815,Data!F815,"ERROR")</f>
        <v>1</v>
      </c>
      <c r="G815" s="7" t="str">
        <f>IF(Data!G815=Entry2!G815,Data!G815,"ERROR")</f>
        <v>SS</v>
      </c>
      <c r="H815" s="7">
        <f>IF(Data!H815=Entry2!H815,Data!H815,"ERROR")</f>
        <v>5</v>
      </c>
      <c r="I815" s="7">
        <f>IF(Data!I815=Entry2!I815,Data!I815,"ERROR")</f>
        <v>2</v>
      </c>
      <c r="J815" s="7">
        <f>IF(Data!J815=Entry2!J815,Data!J815,"ERROR")</f>
        <v>3</v>
      </c>
      <c r="K815" s="7" t="str">
        <f>IF(Data!K815=Entry2!K815,Data!K815,"ERROR")</f>
        <v>L</v>
      </c>
      <c r="L815" s="7" t="str">
        <f>IF(Data!L815=Entry2!L815,Data!L815,"ERROR")</f>
        <v>ERROR</v>
      </c>
      <c r="M815" s="7">
        <f>IF(Data!N815=Entry2!M815,Data!N815,"ERROR")</f>
        <v>0</v>
      </c>
    </row>
    <row r="816" spans="1:13" ht="13.2" x14ac:dyDescent="0.25">
      <c r="A816" s="7">
        <f>IF(Data!A816=Entry2!A816,Data!A816,"ERROR")</f>
        <v>17</v>
      </c>
      <c r="B816" s="7">
        <f>IF(Data!B816=Entry2!B816,Data!B816,"ERROR")</f>
        <v>2023</v>
      </c>
      <c r="C816" s="17">
        <f>IF(Data!C816=Entry2!C816,Data!C816,"ERROR")</f>
        <v>45197</v>
      </c>
      <c r="D816" s="7" t="str">
        <f>IF(Data!D816=Entry2!D816,Data!D816,"ERROR")</f>
        <v>MP, TL, HH</v>
      </c>
      <c r="E816" s="7" t="str">
        <f>IF(Data!E816=Entry2!E816,Data!E816,"ERROR")</f>
        <v>VB</v>
      </c>
      <c r="F816" s="7">
        <f>IF(Data!F816=Entry2!F816,Data!F816,"ERROR")</f>
        <v>1</v>
      </c>
      <c r="G816" s="7" t="str">
        <f>IF(Data!G816=Entry2!G816,Data!G816,"ERROR")</f>
        <v>SS</v>
      </c>
      <c r="H816" s="7">
        <f>IF(Data!H816=Entry2!H816,Data!H816,"ERROR")</f>
        <v>6</v>
      </c>
      <c r="I816" s="7">
        <f>IF(Data!I816=Entry2!I816,Data!I816,"ERROR")</f>
        <v>2</v>
      </c>
      <c r="J816" s="7">
        <f>IF(Data!J816=Entry2!J816,Data!J816,"ERROR")</f>
        <v>3.5</v>
      </c>
      <c r="K816" s="7" t="str">
        <f>IF(Data!K816=Entry2!K816,Data!K816,"ERROR")</f>
        <v>B</v>
      </c>
      <c r="L816" s="7" t="str">
        <f>IF(Data!L816=Entry2!L816,Data!L816,"ERROR")</f>
        <v>ERROR</v>
      </c>
      <c r="M816" s="7">
        <f>IF(Data!N816=Entry2!M816,Data!N816,"ERROR")</f>
        <v>0</v>
      </c>
    </row>
    <row r="817" spans="1:13" ht="13.2" x14ac:dyDescent="0.25">
      <c r="A817" s="7">
        <f>IF(Data!A817=Entry2!A817,Data!A817,"ERROR")</f>
        <v>17</v>
      </c>
      <c r="B817" s="7">
        <f>IF(Data!B817=Entry2!B817,Data!B817,"ERROR")</f>
        <v>2023</v>
      </c>
      <c r="C817" s="17">
        <f>IF(Data!C817=Entry2!C817,Data!C817,"ERROR")</f>
        <v>45197</v>
      </c>
      <c r="D817" s="7" t="str">
        <f>IF(Data!D817=Entry2!D817,Data!D817,"ERROR")</f>
        <v>MP, TL, HH</v>
      </c>
      <c r="E817" s="7" t="str">
        <f>IF(Data!E817=Entry2!E817,Data!E817,"ERROR")</f>
        <v>VB</v>
      </c>
      <c r="F817" s="7">
        <f>IF(Data!F817=Entry2!F817,Data!F817,"ERROR")</f>
        <v>1</v>
      </c>
      <c r="G817" s="7" t="str">
        <f>IF(Data!G817=Entry2!G817,Data!G817,"ERROR")</f>
        <v>SS</v>
      </c>
      <c r="H817" s="7">
        <f>IF(Data!H817=Entry2!H817,Data!H817,"ERROR")</f>
        <v>7</v>
      </c>
      <c r="I817" s="7">
        <f>IF(Data!I817=Entry2!I817,Data!I817,"ERROR")</f>
        <v>2</v>
      </c>
      <c r="J817" s="7">
        <f>IF(Data!J817=Entry2!J817,Data!J817,"ERROR")</f>
        <v>4</v>
      </c>
      <c r="K817" s="7" t="str">
        <f>IF(Data!K817=Entry2!K817,Data!K817,"ERROR")</f>
        <v>L</v>
      </c>
      <c r="L817" s="7" t="str">
        <f>IF(Data!L817=Entry2!L817,Data!L817,"ERROR")</f>
        <v>ERROR</v>
      </c>
      <c r="M817" s="7">
        <f>IF(Data!N817=Entry2!M817,Data!N817,"ERROR")</f>
        <v>0</v>
      </c>
    </row>
    <row r="818" spans="1:13" ht="13.2" x14ac:dyDescent="0.25">
      <c r="A818" s="7">
        <f>IF(Data!A818=Entry2!A818,Data!A818,"ERROR")</f>
        <v>17</v>
      </c>
      <c r="B818" s="7">
        <f>IF(Data!B818=Entry2!B818,Data!B818,"ERROR")</f>
        <v>2023</v>
      </c>
      <c r="C818" s="17">
        <f>IF(Data!C818=Entry2!C818,Data!C818,"ERROR")</f>
        <v>45197</v>
      </c>
      <c r="D818" s="7" t="str">
        <f>IF(Data!D818=Entry2!D818,Data!D818,"ERROR")</f>
        <v>MP, TL, HH</v>
      </c>
      <c r="E818" s="7" t="str">
        <f>IF(Data!E818=Entry2!E818,Data!E818,"ERROR")</f>
        <v>VB</v>
      </c>
      <c r="F818" s="7">
        <f>IF(Data!F818=Entry2!F818,Data!F818,"ERROR")</f>
        <v>1</v>
      </c>
      <c r="G818" s="7" t="str">
        <f>IF(Data!G818=Entry2!G818,Data!G818,"ERROR")</f>
        <v>SS</v>
      </c>
      <c r="H818" s="7">
        <f>IF(Data!H818=Entry2!H818,Data!H818,"ERROR")</f>
        <v>8</v>
      </c>
      <c r="I818" s="7">
        <f>IF(Data!I818=Entry2!I818,Data!I818,"ERROR")</f>
        <v>2</v>
      </c>
      <c r="J818" s="7">
        <f>IF(Data!J818=Entry2!J818,Data!J818,"ERROR")</f>
        <v>5</v>
      </c>
      <c r="K818" s="7" t="str">
        <f>IF(Data!K818=Entry2!K818,Data!K818,"ERROR")</f>
        <v>L</v>
      </c>
      <c r="L818" s="7" t="str">
        <f>IF(Data!L818=Entry2!L818,Data!L818,"ERROR")</f>
        <v>ERROR</v>
      </c>
      <c r="M818" s="7">
        <f>IF(Data!N818=Entry2!M818,Data!N818,"ERROR")</f>
        <v>0</v>
      </c>
    </row>
    <row r="819" spans="1:13" ht="13.2" x14ac:dyDescent="0.25">
      <c r="A819" s="7">
        <f>IF(Data!A819=Entry2!A819,Data!A819,"ERROR")</f>
        <v>17</v>
      </c>
      <c r="B819" s="7">
        <f>IF(Data!B819=Entry2!B819,Data!B819,"ERROR")</f>
        <v>2023</v>
      </c>
      <c r="C819" s="17">
        <f>IF(Data!C819=Entry2!C819,Data!C819,"ERROR")</f>
        <v>45197</v>
      </c>
      <c r="D819" s="7" t="str">
        <f>IF(Data!D819=Entry2!D819,Data!D819,"ERROR")</f>
        <v>MP, TL, HH</v>
      </c>
      <c r="E819" s="7" t="str">
        <f>IF(Data!E819=Entry2!E819,Data!E819,"ERROR")</f>
        <v>VB</v>
      </c>
      <c r="F819" s="7">
        <f>IF(Data!F819=Entry2!F819,Data!F819,"ERROR")</f>
        <v>1</v>
      </c>
      <c r="G819" s="7" t="str">
        <f>IF(Data!G819=Entry2!G819,Data!G819,"ERROR")</f>
        <v>SS</v>
      </c>
      <c r="H819" s="7">
        <f>IF(Data!H819=Entry2!H819,Data!H819,"ERROR")</f>
        <v>9</v>
      </c>
      <c r="I819" s="7">
        <f>IF(Data!I819=Entry2!I819,Data!I819,"ERROR")</f>
        <v>2</v>
      </c>
      <c r="J819" s="7">
        <f>IF(Data!J819=Entry2!J819,Data!J819,"ERROR")</f>
        <v>7</v>
      </c>
      <c r="K819" s="7" t="str">
        <f>IF(Data!K819=Entry2!K819,Data!K819,"ERROR")</f>
        <v>L</v>
      </c>
      <c r="L819" s="7" t="str">
        <f>IF(Data!L819=Entry2!L819,Data!L819,"ERROR")</f>
        <v>ERROR</v>
      </c>
      <c r="M819" s="7">
        <f>IF(Data!N819=Entry2!M819,Data!N819,"ERROR")</f>
        <v>0</v>
      </c>
    </row>
    <row r="820" spans="1:13" ht="13.2" x14ac:dyDescent="0.25">
      <c r="A820" s="7">
        <f>IF(Data!A820=Entry2!A820,Data!A820,"ERROR")</f>
        <v>17</v>
      </c>
      <c r="B820" s="7">
        <f>IF(Data!B820=Entry2!B820,Data!B820,"ERROR")</f>
        <v>2023</v>
      </c>
      <c r="C820" s="17">
        <f>IF(Data!C820=Entry2!C820,Data!C820,"ERROR")</f>
        <v>45197</v>
      </c>
      <c r="D820" s="7" t="str">
        <f>IF(Data!D820=Entry2!D820,Data!D820,"ERROR")</f>
        <v>MP, TL, HH</v>
      </c>
      <c r="E820" s="7" t="str">
        <f>IF(Data!E820=Entry2!E820,Data!E820,"ERROR")</f>
        <v>VB</v>
      </c>
      <c r="F820" s="7">
        <f>IF(Data!F820=Entry2!F820,Data!F820,"ERROR")</f>
        <v>1</v>
      </c>
      <c r="G820" s="7" t="str">
        <f>IF(Data!G820=Entry2!G820,Data!G820,"ERROR")</f>
        <v>SS</v>
      </c>
      <c r="H820" s="7">
        <f>IF(Data!H820=Entry2!H820,Data!H820,"ERROR")</f>
        <v>10</v>
      </c>
      <c r="I820" s="7">
        <f>IF(Data!I820=Entry2!I820,Data!I820,"ERROR")</f>
        <v>2</v>
      </c>
      <c r="J820" s="7">
        <f>IF(Data!J820=Entry2!J820,Data!J820,"ERROR")</f>
        <v>8</v>
      </c>
      <c r="K820" s="7" t="str">
        <f>IF(Data!K820=Entry2!K820,Data!K820,"ERROR")</f>
        <v>B</v>
      </c>
      <c r="L820" s="7" t="str">
        <f>IF(Data!L820=Entry2!L820,Data!L820,"ERROR")</f>
        <v>ERROR</v>
      </c>
      <c r="M820" s="7">
        <f>IF(Data!N820=Entry2!M820,Data!N820,"ERROR")</f>
        <v>0</v>
      </c>
    </row>
    <row r="821" spans="1:13" ht="13.2" x14ac:dyDescent="0.25">
      <c r="A821" s="7">
        <f>IF(Data!A821=Entry2!A821,Data!A821,"ERROR")</f>
        <v>17</v>
      </c>
      <c r="B821" s="7">
        <f>IF(Data!B821=Entry2!B821,Data!B821,"ERROR")</f>
        <v>2023</v>
      </c>
      <c r="C821" s="17">
        <f>IF(Data!C821=Entry2!C821,Data!C821,"ERROR")</f>
        <v>45197</v>
      </c>
      <c r="D821" s="7" t="str">
        <f>IF(Data!D821=Entry2!D821,Data!D821,"ERROR")</f>
        <v>MP, TL, HH</v>
      </c>
      <c r="E821" s="7" t="str">
        <f>IF(Data!E821=Entry2!E821,Data!E821,"ERROR")</f>
        <v>VB</v>
      </c>
      <c r="F821" s="7">
        <f>IF(Data!F821=Entry2!F821,Data!F821,"ERROR")</f>
        <v>1</v>
      </c>
      <c r="G821" s="7" t="str">
        <f>IF(Data!G821=Entry2!G821,Data!G821,"ERROR")</f>
        <v>SS</v>
      </c>
      <c r="H821" s="7">
        <f>IF(Data!H821=Entry2!H821,Data!H821,"ERROR")</f>
        <v>11</v>
      </c>
      <c r="I821" s="7">
        <f>IF(Data!I821=Entry2!I821,Data!I821,"ERROR")</f>
        <v>2</v>
      </c>
      <c r="J821" s="7">
        <f>IF(Data!J821=Entry2!J821,Data!J821,"ERROR")</f>
        <v>8.5</v>
      </c>
      <c r="K821" s="7" t="str">
        <f>IF(Data!K821=Entry2!K821,Data!K821,"ERROR")</f>
        <v>B</v>
      </c>
      <c r="L821" s="7" t="str">
        <f>IF(Data!L821=Entry2!L821,Data!L821,"ERROR")</f>
        <v>ERROR</v>
      </c>
      <c r="M821" s="7">
        <f>IF(Data!N821=Entry2!M821,Data!N821,"ERROR")</f>
        <v>0</v>
      </c>
    </row>
    <row r="822" spans="1:13" ht="13.2" x14ac:dyDescent="0.25">
      <c r="A822" s="7">
        <f>IF(Data!A822=Entry2!A822,Data!A822,"ERROR")</f>
        <v>17</v>
      </c>
      <c r="B822" s="7">
        <f>IF(Data!B822=Entry2!B822,Data!B822,"ERROR")</f>
        <v>2023</v>
      </c>
      <c r="C822" s="17">
        <f>IF(Data!C822=Entry2!C822,Data!C822,"ERROR")</f>
        <v>45197</v>
      </c>
      <c r="D822" s="7" t="str">
        <f>IF(Data!D822=Entry2!D822,Data!D822,"ERROR")</f>
        <v>MP, TL, HH</v>
      </c>
      <c r="E822" s="7" t="str">
        <f>IF(Data!E822=Entry2!E822,Data!E822,"ERROR")</f>
        <v>VB</v>
      </c>
      <c r="F822" s="7">
        <f>IF(Data!F822=Entry2!F822,Data!F822,"ERROR")</f>
        <v>1</v>
      </c>
      <c r="G822" s="7" t="str">
        <f>IF(Data!G822=Entry2!G822,Data!G822,"ERROR")</f>
        <v>SS</v>
      </c>
      <c r="H822" s="7">
        <f>IF(Data!H822=Entry2!H822,Data!H822,"ERROR")</f>
        <v>12</v>
      </c>
      <c r="I822" s="7">
        <f>IF(Data!I822=Entry2!I822,Data!I822,"ERROR")</f>
        <v>2</v>
      </c>
      <c r="J822" s="7">
        <f>IF(Data!J822=Entry2!J822,Data!J822,"ERROR")</f>
        <v>9</v>
      </c>
      <c r="K822" s="7" t="str">
        <f>IF(Data!K822=Entry2!K822,Data!K822,"ERROR")</f>
        <v>l</v>
      </c>
      <c r="L822" s="7" t="str">
        <f>IF(Data!L822=Entry2!L822,Data!L822,"ERROR")</f>
        <v>ERROR</v>
      </c>
      <c r="M822" s="7">
        <f>IF(Data!N822=Entry2!M822,Data!N822,"ERROR")</f>
        <v>0</v>
      </c>
    </row>
    <row r="823" spans="1:13" ht="13.2" x14ac:dyDescent="0.25">
      <c r="A823" s="7">
        <f>IF(Data!A823=Entry2!A823,Data!A823,"ERROR")</f>
        <v>17</v>
      </c>
      <c r="B823" s="7">
        <f>IF(Data!B823=Entry2!B823,Data!B823,"ERROR")</f>
        <v>2023</v>
      </c>
      <c r="C823" s="17">
        <f>IF(Data!C823=Entry2!C823,Data!C823,"ERROR")</f>
        <v>45197</v>
      </c>
      <c r="D823" s="7" t="str">
        <f>IF(Data!D823=Entry2!D823,Data!D823,"ERROR")</f>
        <v>MP, TL, HH</v>
      </c>
      <c r="E823" s="7" t="str">
        <f>IF(Data!E823=Entry2!E823,Data!E823,"ERROR")</f>
        <v>VB</v>
      </c>
      <c r="F823" s="7">
        <f>IF(Data!F823=Entry2!F823,Data!F823,"ERROR")</f>
        <v>1</v>
      </c>
      <c r="G823" s="7" t="str">
        <f>IF(Data!G823=Entry2!G823,Data!G823,"ERROR")</f>
        <v>SS</v>
      </c>
      <c r="H823" s="7">
        <f>IF(Data!H823=Entry2!H823,Data!H823,"ERROR")</f>
        <v>13</v>
      </c>
      <c r="I823" s="7">
        <f>IF(Data!I823=Entry2!I823,Data!I823,"ERROR")</f>
        <v>2</v>
      </c>
      <c r="J823" s="7">
        <f>IF(Data!J823=Entry2!J823,Data!J823,"ERROR")</f>
        <v>10</v>
      </c>
      <c r="K823" s="7" t="str">
        <f>IF(Data!K823=Entry2!K823,Data!K823,"ERROR")</f>
        <v>B</v>
      </c>
      <c r="L823" s="7" t="str">
        <f>IF(Data!L823=Entry2!L823,Data!L823,"ERROR")</f>
        <v>ERROR</v>
      </c>
      <c r="M823" s="7">
        <f>IF(Data!N823=Entry2!M823,Data!N823,"ERROR")</f>
        <v>0</v>
      </c>
    </row>
    <row r="824" spans="1:13" ht="13.2" x14ac:dyDescent="0.25">
      <c r="A824" s="7">
        <f>IF(Data!A824=Entry2!A824,Data!A824,"ERROR")</f>
        <v>17</v>
      </c>
      <c r="B824" s="7">
        <f>IF(Data!B824=Entry2!B824,Data!B824,"ERROR")</f>
        <v>2023</v>
      </c>
      <c r="C824" s="17">
        <f>IF(Data!C824=Entry2!C824,Data!C824,"ERROR")</f>
        <v>45197</v>
      </c>
      <c r="D824" s="7" t="str">
        <f>IF(Data!D824=Entry2!D824,Data!D824,"ERROR")</f>
        <v>MP, TL, HH</v>
      </c>
      <c r="E824" s="7" t="str">
        <f>IF(Data!E824=Entry2!E824,Data!E824,"ERROR")</f>
        <v>VB</v>
      </c>
      <c r="F824" s="7">
        <f>IF(Data!F824=Entry2!F824,Data!F824,"ERROR")</f>
        <v>1</v>
      </c>
      <c r="G824" s="7" t="str">
        <f>IF(Data!G824=Entry2!G824,Data!G824,"ERROR")</f>
        <v>SS</v>
      </c>
      <c r="H824" s="7">
        <f>IF(Data!H824=Entry2!H824,Data!H824,"ERROR")</f>
        <v>14</v>
      </c>
      <c r="I824" s="7">
        <f>IF(Data!I824=Entry2!I824,Data!I824,"ERROR")</f>
        <v>2</v>
      </c>
      <c r="J824" s="7">
        <f>IF(Data!J824=Entry2!J824,Data!J824,"ERROR")</f>
        <v>11</v>
      </c>
      <c r="K824" s="7" t="str">
        <f>IF(Data!K824=Entry2!K824,Data!K824,"ERROR")</f>
        <v>L</v>
      </c>
      <c r="L824" s="7" t="str">
        <f>IF(Data!L824=Entry2!L824,Data!L824,"ERROR")</f>
        <v>ERROR</v>
      </c>
      <c r="M824" s="7">
        <f>IF(Data!N824=Entry2!M824,Data!N824,"ERROR")</f>
        <v>0</v>
      </c>
    </row>
    <row r="825" spans="1:13" ht="13.2" x14ac:dyDescent="0.25">
      <c r="A825" s="7">
        <f>IF(Data!A825=Entry2!A825,Data!A825,"ERROR")</f>
        <v>17</v>
      </c>
      <c r="B825" s="7">
        <f>IF(Data!B825=Entry2!B825,Data!B825,"ERROR")</f>
        <v>2023</v>
      </c>
      <c r="C825" s="17">
        <f>IF(Data!C825=Entry2!C825,Data!C825,"ERROR")</f>
        <v>45197</v>
      </c>
      <c r="D825" s="7" t="str">
        <f>IF(Data!D825=Entry2!D825,Data!D825,"ERROR")</f>
        <v>MP, TL, HH</v>
      </c>
      <c r="E825" s="7" t="str">
        <f>IF(Data!E825=Entry2!E825,Data!E825,"ERROR")</f>
        <v>VB</v>
      </c>
      <c r="F825" s="7">
        <f>IF(Data!F825=Entry2!F825,Data!F825,"ERROR")</f>
        <v>1</v>
      </c>
      <c r="G825" s="7" t="str">
        <f>IF(Data!G825=Entry2!G825,Data!G825,"ERROR")</f>
        <v>SS</v>
      </c>
      <c r="H825" s="7">
        <f>IF(Data!H825=Entry2!H825,Data!H825,"ERROR")</f>
        <v>15</v>
      </c>
      <c r="I825" s="7">
        <f>IF(Data!I825=Entry2!I825,Data!I825,"ERROR")</f>
        <v>2</v>
      </c>
      <c r="J825" s="7">
        <f>IF(Data!J825=Entry2!J825,Data!J825,"ERROR")</f>
        <v>12</v>
      </c>
      <c r="K825" s="7" t="str">
        <f>IF(Data!K825=Entry2!K825,Data!K825,"ERROR")</f>
        <v>B</v>
      </c>
      <c r="L825" s="7" t="str">
        <f>IF(Data!L825=Entry2!L825,Data!L825,"ERROR")</f>
        <v>ERROR</v>
      </c>
      <c r="M825" s="7">
        <f>IF(Data!N825=Entry2!M825,Data!N825,"ERROR")</f>
        <v>0</v>
      </c>
    </row>
    <row r="826" spans="1:13" ht="13.2" x14ac:dyDescent="0.25">
      <c r="A826" s="7">
        <f>IF(Data!A826=Entry2!A826,Data!A826,"ERROR")</f>
        <v>18</v>
      </c>
      <c r="B826" s="7">
        <f>IF(Data!B826=Entry2!B826,Data!B826,"ERROR")</f>
        <v>2023</v>
      </c>
      <c r="C826" s="17">
        <f>IF(Data!C826=Entry2!C826,Data!C826,"ERROR")</f>
        <v>45197</v>
      </c>
      <c r="D826" s="7" t="str">
        <f>IF(Data!D826=Entry2!D826,Data!D826,"ERROR")</f>
        <v>MP, TL</v>
      </c>
      <c r="E826" s="7" t="str">
        <f>IF(Data!E826=Entry2!E826,Data!E826,"ERROR")</f>
        <v>VB</v>
      </c>
      <c r="F826" s="7">
        <f>IF(Data!F826=Entry2!F826,Data!F826,"ERROR")</f>
        <v>1</v>
      </c>
      <c r="G826" s="7" t="str">
        <f>IF(Data!G826=Entry2!G826,Data!G826,"ERROR")</f>
        <v>SU</v>
      </c>
      <c r="H826" s="7">
        <f>IF(Data!H826=Entry2!H826,Data!H826,"ERROR")</f>
        <v>1</v>
      </c>
      <c r="I826" s="7">
        <f>IF(Data!I826=Entry2!I826,Data!I826,"ERROR")</f>
        <v>1</v>
      </c>
      <c r="J826" s="7">
        <f>IF(Data!J826=Entry2!J826,Data!J826,"ERROR")</f>
        <v>0</v>
      </c>
      <c r="K826" s="7" t="str">
        <f>IF(Data!K826=Entry2!K826,Data!K826,"ERROR")</f>
        <v>L</v>
      </c>
      <c r="L826" s="7" t="str">
        <f>IF(Data!L826=Entry2!L826,Data!L826,"ERROR")</f>
        <v>ERROR</v>
      </c>
      <c r="M826" s="7">
        <f>IF(Data!N826=Entry2!M826,Data!N826,"ERROR")</f>
        <v>0</v>
      </c>
    </row>
    <row r="827" spans="1:13" ht="13.2" x14ac:dyDescent="0.25">
      <c r="A827" s="7">
        <f>IF(Data!A827=Entry2!A827,Data!A827,"ERROR")</f>
        <v>18</v>
      </c>
      <c r="B827" s="7">
        <f>IF(Data!B827=Entry2!B827,Data!B827,"ERROR")</f>
        <v>2023</v>
      </c>
      <c r="C827" s="17">
        <f>IF(Data!C827=Entry2!C827,Data!C827,"ERROR")</f>
        <v>45197</v>
      </c>
      <c r="D827" s="7" t="str">
        <f>IF(Data!D827=Entry2!D827,Data!D827,"ERROR")</f>
        <v>MP, TL</v>
      </c>
      <c r="E827" s="7" t="str">
        <f>IF(Data!E827=Entry2!E827,Data!E827,"ERROR")</f>
        <v>VB</v>
      </c>
      <c r="F827" s="7">
        <f>IF(Data!F827=Entry2!F827,Data!F827,"ERROR")</f>
        <v>1</v>
      </c>
      <c r="G827" s="7" t="str">
        <f>IF(Data!G827=Entry2!G827,Data!G827,"ERROR")</f>
        <v>SU</v>
      </c>
      <c r="H827" s="7">
        <f>IF(Data!H827=Entry2!H827,Data!H827,"ERROR")</f>
        <v>1</v>
      </c>
      <c r="I827" s="7">
        <f>IF(Data!I827=Entry2!I827,Data!I827,"ERROR")</f>
        <v>1</v>
      </c>
      <c r="J827" s="7">
        <f>IF(Data!J827=Entry2!J827,Data!J827,"ERROR")</f>
        <v>0</v>
      </c>
      <c r="K827" s="7" t="str">
        <f>IF(Data!K827=Entry2!K827,Data!K827,"ERROR")</f>
        <v>DEIFAS</v>
      </c>
      <c r="L827" s="7" t="str">
        <f>IF(Data!L827=Entry2!L827,Data!L827,"ERROR")</f>
        <v>ERROR</v>
      </c>
      <c r="M827" s="7">
        <f>IF(Data!N827=Entry2!M827,Data!N827,"ERROR")</f>
        <v>0</v>
      </c>
    </row>
    <row r="828" spans="1:13" ht="13.2" x14ac:dyDescent="0.25">
      <c r="A828" s="7">
        <f>IF(Data!A828=Entry2!A828,Data!A828,"ERROR")</f>
        <v>18</v>
      </c>
      <c r="B828" s="7">
        <f>IF(Data!B828=Entry2!B828,Data!B828,"ERROR")</f>
        <v>2023</v>
      </c>
      <c r="C828" s="17">
        <f>IF(Data!C828=Entry2!C828,Data!C828,"ERROR")</f>
        <v>45197</v>
      </c>
      <c r="D828" s="7" t="str">
        <f>IF(Data!D828=Entry2!D828,Data!D828,"ERROR")</f>
        <v>MP, TL</v>
      </c>
      <c r="E828" s="7" t="str">
        <f>IF(Data!E828=Entry2!E828,Data!E828,"ERROR")</f>
        <v>VB</v>
      </c>
      <c r="F828" s="7">
        <f>IF(Data!F828=Entry2!F828,Data!F828,"ERROR")</f>
        <v>1</v>
      </c>
      <c r="G828" s="7" t="str">
        <f>IF(Data!G828=Entry2!G828,Data!G828,"ERROR")</f>
        <v>SU</v>
      </c>
      <c r="H828" s="7">
        <f>IF(Data!H828=Entry2!H828,Data!H828,"ERROR")</f>
        <v>2</v>
      </c>
      <c r="I828" s="7">
        <f>IF(Data!I828=Entry2!I828,Data!I828,"ERROR")</f>
        <v>1</v>
      </c>
      <c r="J828" s="7">
        <f>IF(Data!J828=Entry2!J828,Data!J828,"ERROR")</f>
        <v>1</v>
      </c>
      <c r="K828" s="7" t="str">
        <f>IF(Data!K828=Entry2!K828,Data!K828,"ERROR")</f>
        <v>L</v>
      </c>
      <c r="L828" s="7" t="str">
        <f>IF(Data!L828=Entry2!L828,Data!L828,"ERROR")</f>
        <v>ERROR</v>
      </c>
      <c r="M828" s="7">
        <f>IF(Data!N828=Entry2!M828,Data!N828,"ERROR")</f>
        <v>0</v>
      </c>
    </row>
    <row r="829" spans="1:13" ht="13.2" x14ac:dyDescent="0.25">
      <c r="A829" s="7">
        <f>IF(Data!A829=Entry2!A829,Data!A829,"ERROR")</f>
        <v>18</v>
      </c>
      <c r="B829" s="7">
        <f>IF(Data!B829=Entry2!B829,Data!B829,"ERROR")</f>
        <v>2023</v>
      </c>
      <c r="C829" s="17">
        <f>IF(Data!C829=Entry2!C829,Data!C829,"ERROR")</f>
        <v>45197</v>
      </c>
      <c r="D829" s="7" t="str">
        <f>IF(Data!D829=Entry2!D829,Data!D829,"ERROR")</f>
        <v>MP, TL</v>
      </c>
      <c r="E829" s="7" t="str">
        <f>IF(Data!E829=Entry2!E829,Data!E829,"ERROR")</f>
        <v>VB</v>
      </c>
      <c r="F829" s="7">
        <f>IF(Data!F829=Entry2!F829,Data!F829,"ERROR")</f>
        <v>1</v>
      </c>
      <c r="G829" s="7" t="str">
        <f>IF(Data!G829=Entry2!G829,Data!G829,"ERROR")</f>
        <v>SU</v>
      </c>
      <c r="H829" s="7">
        <f>IF(Data!H829=Entry2!H829,Data!H829,"ERROR")</f>
        <v>2</v>
      </c>
      <c r="I829" s="7">
        <f>IF(Data!I829=Entry2!I829,Data!I829,"ERROR")</f>
        <v>1</v>
      </c>
      <c r="J829" s="7">
        <f>IF(Data!J829=Entry2!J829,Data!J829,"ERROR")</f>
        <v>1</v>
      </c>
      <c r="K829" s="7" t="str">
        <f>IF(Data!K829=Entry2!K829,Data!K829,"ERROR")</f>
        <v>DEIFAS</v>
      </c>
      <c r="L829" s="7" t="str">
        <f>IF(Data!L829=Entry2!L829,Data!L829,"ERROR")</f>
        <v>ERROR</v>
      </c>
      <c r="M829" s="7">
        <f>IF(Data!N829=Entry2!M829,Data!N829,"ERROR")</f>
        <v>0</v>
      </c>
    </row>
    <row r="830" spans="1:13" ht="13.2" x14ac:dyDescent="0.25">
      <c r="A830" s="7">
        <f>IF(Data!A830=Entry2!A830,Data!A830,"ERROR")</f>
        <v>18</v>
      </c>
      <c r="B830" s="7">
        <f>IF(Data!B830=Entry2!B830,Data!B830,"ERROR")</f>
        <v>2023</v>
      </c>
      <c r="C830" s="17">
        <f>IF(Data!C830=Entry2!C830,Data!C830,"ERROR")</f>
        <v>45197</v>
      </c>
      <c r="D830" s="7" t="str">
        <f>IF(Data!D830=Entry2!D830,Data!D830,"ERROR")</f>
        <v>MP, TL</v>
      </c>
      <c r="E830" s="7" t="str">
        <f>IF(Data!E830=Entry2!E830,Data!E830,"ERROR")</f>
        <v>VB</v>
      </c>
      <c r="F830" s="7">
        <f>IF(Data!F830=Entry2!F830,Data!F830,"ERROR")</f>
        <v>1</v>
      </c>
      <c r="G830" s="7" t="str">
        <f>IF(Data!G830=Entry2!G830,Data!G830,"ERROR")</f>
        <v>SU</v>
      </c>
      <c r="H830" s="7">
        <f>IF(Data!H830=Entry2!H830,Data!H830,"ERROR")</f>
        <v>2</v>
      </c>
      <c r="I830" s="7">
        <f>IF(Data!I830=Entry2!I830,Data!I830,"ERROR")</f>
        <v>1</v>
      </c>
      <c r="J830" s="7">
        <f>IF(Data!J830=Entry2!J830,Data!J830,"ERROR")</f>
        <v>1</v>
      </c>
      <c r="K830" s="7" t="str">
        <f>IF(Data!K830=Entry2!K830,Data!K830,"ERROR")</f>
        <v>NNG</v>
      </c>
      <c r="L830" s="7" t="str">
        <f>IF(Data!L830=Entry2!L830,Data!L830,"ERROR")</f>
        <v>ERROR</v>
      </c>
      <c r="M830" s="7">
        <f>IF(Data!N830=Entry2!M830,Data!N830,"ERROR")</f>
        <v>0</v>
      </c>
    </row>
    <row r="831" spans="1:13" ht="13.2" x14ac:dyDescent="0.25">
      <c r="A831" s="7">
        <f>IF(Data!A831=Entry2!A831,Data!A831,"ERROR")</f>
        <v>18</v>
      </c>
      <c r="B831" s="7">
        <f>IF(Data!B831=Entry2!B831,Data!B831,"ERROR")</f>
        <v>2023</v>
      </c>
      <c r="C831" s="17">
        <f>IF(Data!C831=Entry2!C831,Data!C831,"ERROR")</f>
        <v>45197</v>
      </c>
      <c r="D831" s="7" t="str">
        <f>IF(Data!D831=Entry2!D831,Data!D831,"ERROR")</f>
        <v>MP, TL</v>
      </c>
      <c r="E831" s="7" t="str">
        <f>IF(Data!E831=Entry2!E831,Data!E831,"ERROR")</f>
        <v>VB</v>
      </c>
      <c r="F831" s="7">
        <f>IF(Data!F831=Entry2!F831,Data!F831,"ERROR")</f>
        <v>1</v>
      </c>
      <c r="G831" s="7" t="str">
        <f>IF(Data!G831=Entry2!G831,Data!G831,"ERROR")</f>
        <v>SU</v>
      </c>
      <c r="H831" s="7">
        <f>IF(Data!H831=Entry2!H831,Data!H831,"ERROR")</f>
        <v>3</v>
      </c>
      <c r="I831" s="7">
        <f>IF(Data!I831=Entry2!I831,Data!I831,"ERROR")</f>
        <v>1</v>
      </c>
      <c r="J831" s="7">
        <f>IF(Data!J831=Entry2!J831,Data!J831,"ERROR")</f>
        <v>1.5</v>
      </c>
      <c r="K831" s="7" t="str">
        <f>IF(Data!K831=Entry2!K831,Data!K831,"ERROR")</f>
        <v>L</v>
      </c>
      <c r="L831" s="7" t="str">
        <f>IF(Data!L831=Entry2!L831,Data!L831,"ERROR")</f>
        <v>ERROR</v>
      </c>
      <c r="M831" s="7">
        <f>IF(Data!N831=Entry2!M831,Data!N831,"ERROR")</f>
        <v>0</v>
      </c>
    </row>
    <row r="832" spans="1:13" ht="13.2" x14ac:dyDescent="0.25">
      <c r="A832" s="7">
        <f>IF(Data!A832=Entry2!A832,Data!A832,"ERROR")</f>
        <v>18</v>
      </c>
      <c r="B832" s="7">
        <f>IF(Data!B832=Entry2!B832,Data!B832,"ERROR")</f>
        <v>2023</v>
      </c>
      <c r="C832" s="17">
        <f>IF(Data!C832=Entry2!C832,Data!C832,"ERROR")</f>
        <v>45197</v>
      </c>
      <c r="D832" s="7" t="str">
        <f>IF(Data!D832=Entry2!D832,Data!D832,"ERROR")</f>
        <v>MP, TL</v>
      </c>
      <c r="E832" s="7" t="str">
        <f>IF(Data!E832=Entry2!E832,Data!E832,"ERROR")</f>
        <v>VB</v>
      </c>
      <c r="F832" s="7">
        <f>IF(Data!F832=Entry2!F832,Data!F832,"ERROR")</f>
        <v>1</v>
      </c>
      <c r="G832" s="7" t="str">
        <f>IF(Data!G832=Entry2!G832,Data!G832,"ERROR")</f>
        <v>SU</v>
      </c>
      <c r="H832" s="7">
        <f>IF(Data!H832=Entry2!H832,Data!H832,"ERROR")</f>
        <v>3</v>
      </c>
      <c r="I832" s="7">
        <f>IF(Data!I832=Entry2!I832,Data!I832,"ERROR")</f>
        <v>1</v>
      </c>
      <c r="J832" s="7">
        <f>IF(Data!J832=Entry2!J832,Data!J832,"ERROR")</f>
        <v>1.5</v>
      </c>
      <c r="K832" s="7" t="str">
        <f>IF(Data!K832=Entry2!K832,Data!K832,"ERROR")</f>
        <v>DEIFAS</v>
      </c>
      <c r="L832" s="7" t="str">
        <f>IF(Data!L832=Entry2!L832,Data!L832,"ERROR")</f>
        <v>ERROR</v>
      </c>
      <c r="M832" s="7">
        <f>IF(Data!N832=Entry2!M832,Data!N832,"ERROR")</f>
        <v>0</v>
      </c>
    </row>
    <row r="833" spans="1:13" ht="13.2" x14ac:dyDescent="0.25">
      <c r="A833" s="7">
        <f>IF(Data!A833=Entry2!A833,Data!A833,"ERROR")</f>
        <v>18</v>
      </c>
      <c r="B833" s="7">
        <f>IF(Data!B833=Entry2!B833,Data!B833,"ERROR")</f>
        <v>2023</v>
      </c>
      <c r="C833" s="17">
        <f>IF(Data!C833=Entry2!C833,Data!C833,"ERROR")</f>
        <v>45197</v>
      </c>
      <c r="D833" s="7" t="str">
        <f>IF(Data!D833=Entry2!D833,Data!D833,"ERROR")</f>
        <v>MP, TL</v>
      </c>
      <c r="E833" s="7" t="str">
        <f>IF(Data!E833=Entry2!E833,Data!E833,"ERROR")</f>
        <v>VB</v>
      </c>
      <c r="F833" s="7">
        <f>IF(Data!F833=Entry2!F833,Data!F833,"ERROR")</f>
        <v>1</v>
      </c>
      <c r="G833" s="7" t="str">
        <f>IF(Data!G833=Entry2!G833,Data!G833,"ERROR")</f>
        <v>SU</v>
      </c>
      <c r="H833" s="7">
        <f>IF(Data!H833=Entry2!H833,Data!H833,"ERROR")</f>
        <v>4</v>
      </c>
      <c r="I833" s="7">
        <f>IF(Data!I833=Entry2!I833,Data!I833,"ERROR")</f>
        <v>1</v>
      </c>
      <c r="J833" s="7">
        <f>IF(Data!J833=Entry2!J833,Data!J833,"ERROR")</f>
        <v>2</v>
      </c>
      <c r="K833" s="7" t="str">
        <f>IF(Data!K833=Entry2!K833,Data!K833,"ERROR")</f>
        <v>L</v>
      </c>
      <c r="L833" s="7" t="str">
        <f>IF(Data!L833=Entry2!L833,Data!L833,"ERROR")</f>
        <v>ERROR</v>
      </c>
      <c r="M833" s="7">
        <f>IF(Data!N833=Entry2!M833,Data!N833,"ERROR")</f>
        <v>0</v>
      </c>
    </row>
    <row r="834" spans="1:13" ht="13.2" x14ac:dyDescent="0.25">
      <c r="A834" s="7">
        <f>IF(Data!A834=Entry2!A834,Data!A834,"ERROR")</f>
        <v>18</v>
      </c>
      <c r="B834" s="7">
        <f>IF(Data!B834=Entry2!B834,Data!B834,"ERROR")</f>
        <v>2023</v>
      </c>
      <c r="C834" s="17">
        <f>IF(Data!C834=Entry2!C834,Data!C834,"ERROR")</f>
        <v>45197</v>
      </c>
      <c r="D834" s="7" t="str">
        <f>IF(Data!D834=Entry2!D834,Data!D834,"ERROR")</f>
        <v>MP, TL</v>
      </c>
      <c r="E834" s="7" t="str">
        <f>IF(Data!E834=Entry2!E834,Data!E834,"ERROR")</f>
        <v>VB</v>
      </c>
      <c r="F834" s="7">
        <f>IF(Data!F834=Entry2!F834,Data!F834,"ERROR")</f>
        <v>1</v>
      </c>
      <c r="G834" s="7" t="str">
        <f>IF(Data!G834=Entry2!G834,Data!G834,"ERROR")</f>
        <v>SU</v>
      </c>
      <c r="H834" s="7">
        <f>IF(Data!H834=Entry2!H834,Data!H834,"ERROR")</f>
        <v>4</v>
      </c>
      <c r="I834" s="7">
        <f>IF(Data!I834=Entry2!I834,Data!I834,"ERROR")</f>
        <v>1</v>
      </c>
      <c r="J834" s="7">
        <f>IF(Data!J834=Entry2!J834,Data!J834,"ERROR")</f>
        <v>2</v>
      </c>
      <c r="K834" s="7" t="str">
        <f>IF(Data!K834=Entry2!K834,Data!K834,"ERROR")</f>
        <v>DEIFAS</v>
      </c>
      <c r="L834" s="7" t="str">
        <f>IF(Data!L834=Entry2!L834,Data!L834,"ERROR")</f>
        <v>ERROR</v>
      </c>
      <c r="M834" s="7">
        <f>IF(Data!N834=Entry2!M834,Data!N834,"ERROR")</f>
        <v>0</v>
      </c>
    </row>
    <row r="835" spans="1:13" ht="13.2" x14ac:dyDescent="0.25">
      <c r="A835" s="7">
        <f>IF(Data!A835=Entry2!A835,Data!A835,"ERROR")</f>
        <v>18</v>
      </c>
      <c r="B835" s="7">
        <f>IF(Data!B835=Entry2!B835,Data!B835,"ERROR")</f>
        <v>2023</v>
      </c>
      <c r="C835" s="17">
        <f>IF(Data!C835=Entry2!C835,Data!C835,"ERROR")</f>
        <v>45197</v>
      </c>
      <c r="D835" s="7" t="str">
        <f>IF(Data!D835=Entry2!D835,Data!D835,"ERROR")</f>
        <v>MP, TL</v>
      </c>
      <c r="E835" s="7" t="str">
        <f>IF(Data!E835=Entry2!E835,Data!E835,"ERROR")</f>
        <v>VB</v>
      </c>
      <c r="F835" s="7">
        <f>IF(Data!F835=Entry2!F835,Data!F835,"ERROR")</f>
        <v>1</v>
      </c>
      <c r="G835" s="7" t="str">
        <f>IF(Data!G835=Entry2!G835,Data!G835,"ERROR")</f>
        <v>SU</v>
      </c>
      <c r="H835" s="7">
        <f>IF(Data!H835=Entry2!H835,Data!H835,"ERROR")</f>
        <v>5</v>
      </c>
      <c r="I835" s="7">
        <f>IF(Data!I835=Entry2!I835,Data!I835,"ERROR")</f>
        <v>1</v>
      </c>
      <c r="J835" s="7">
        <f>IF(Data!J835=Entry2!J835,Data!J835,"ERROR")</f>
        <v>3</v>
      </c>
      <c r="K835" s="7" t="str">
        <f>IF(Data!K835=Entry2!K835,Data!K835,"ERROR")</f>
        <v>B</v>
      </c>
      <c r="L835" s="7" t="str">
        <f>IF(Data!L835=Entry2!L835,Data!L835,"ERROR")</f>
        <v>ERROR</v>
      </c>
      <c r="M835" s="7">
        <f>IF(Data!N835=Entry2!M835,Data!N835,"ERROR")</f>
        <v>0</v>
      </c>
    </row>
    <row r="836" spans="1:13" ht="13.2" x14ac:dyDescent="0.25">
      <c r="A836" s="7">
        <f>IF(Data!A836=Entry2!A836,Data!A836,"ERROR")</f>
        <v>18</v>
      </c>
      <c r="B836" s="7">
        <f>IF(Data!B836=Entry2!B836,Data!B836,"ERROR")</f>
        <v>2023</v>
      </c>
      <c r="C836" s="17">
        <f>IF(Data!C836=Entry2!C836,Data!C836,"ERROR")</f>
        <v>45197</v>
      </c>
      <c r="D836" s="7" t="str">
        <f>IF(Data!D836=Entry2!D836,Data!D836,"ERROR")</f>
        <v>MP, TL</v>
      </c>
      <c r="E836" s="7" t="str">
        <f>IF(Data!E836=Entry2!E836,Data!E836,"ERROR")</f>
        <v>VB</v>
      </c>
      <c r="F836" s="7">
        <f>IF(Data!F836=Entry2!F836,Data!F836,"ERROR")</f>
        <v>1</v>
      </c>
      <c r="G836" s="7" t="str">
        <f>IF(Data!G836=Entry2!G836,Data!G836,"ERROR")</f>
        <v>SU</v>
      </c>
      <c r="H836" s="7">
        <f>IF(Data!H836=Entry2!H836,Data!H836,"ERROR")</f>
        <v>5</v>
      </c>
      <c r="I836" s="7">
        <f>IF(Data!I836=Entry2!I836,Data!I836,"ERROR")</f>
        <v>1</v>
      </c>
      <c r="J836" s="7">
        <f>IF(Data!J836=Entry2!J836,Data!J836,"ERROR")</f>
        <v>3</v>
      </c>
      <c r="K836" s="7" t="str">
        <f>IF(Data!K836=Entry2!K836,Data!K836,"ERROR")</f>
        <v>DEIFAS</v>
      </c>
      <c r="L836" s="7" t="str">
        <f>IF(Data!L836=Entry2!L836,Data!L836,"ERROR")</f>
        <v>ERROR</v>
      </c>
      <c r="M836" s="7">
        <f>IF(Data!N836=Entry2!M836,Data!N836,"ERROR")</f>
        <v>0</v>
      </c>
    </row>
    <row r="837" spans="1:13" ht="13.2" x14ac:dyDescent="0.25">
      <c r="A837" s="7">
        <f>IF(Data!A837=Entry2!A837,Data!A837,"ERROR")</f>
        <v>18</v>
      </c>
      <c r="B837" s="7">
        <f>IF(Data!B837=Entry2!B837,Data!B837,"ERROR")</f>
        <v>2023</v>
      </c>
      <c r="C837" s="17">
        <f>IF(Data!C837=Entry2!C837,Data!C837,"ERROR")</f>
        <v>45197</v>
      </c>
      <c r="D837" s="7" t="str">
        <f>IF(Data!D837=Entry2!D837,Data!D837,"ERROR")</f>
        <v>MP, TL</v>
      </c>
      <c r="E837" s="7" t="str">
        <f>IF(Data!E837=Entry2!E837,Data!E837,"ERROR")</f>
        <v>VB</v>
      </c>
      <c r="F837" s="7">
        <f>IF(Data!F837=Entry2!F837,Data!F837,"ERROR")</f>
        <v>1</v>
      </c>
      <c r="G837" s="7" t="str">
        <f>IF(Data!G837=Entry2!G837,Data!G837,"ERROR")</f>
        <v>SU</v>
      </c>
      <c r="H837" s="7">
        <f>IF(Data!H837=Entry2!H837,Data!H837,"ERROR")</f>
        <v>6</v>
      </c>
      <c r="I837" s="7">
        <f>IF(Data!I837=Entry2!I837,Data!I837,"ERROR")</f>
        <v>1</v>
      </c>
      <c r="J837" s="7">
        <f>IF(Data!J837=Entry2!J837,Data!J837,"ERROR")</f>
        <v>3.5</v>
      </c>
      <c r="K837" s="7" t="str">
        <f>IF(Data!K837=Entry2!K837,Data!K837,"ERROR")</f>
        <v>B</v>
      </c>
      <c r="L837" s="7" t="str">
        <f>IF(Data!L837=Entry2!L837,Data!L837,"ERROR")</f>
        <v>ERROR</v>
      </c>
      <c r="M837" s="7">
        <f>IF(Data!N837=Entry2!M837,Data!N837,"ERROR")</f>
        <v>0</v>
      </c>
    </row>
    <row r="838" spans="1:13" ht="13.2" x14ac:dyDescent="0.25">
      <c r="A838" s="7">
        <f>IF(Data!A838=Entry2!A838,Data!A838,"ERROR")</f>
        <v>18</v>
      </c>
      <c r="B838" s="7">
        <f>IF(Data!B838=Entry2!B838,Data!B838,"ERROR")</f>
        <v>2023</v>
      </c>
      <c r="C838" s="17">
        <f>IF(Data!C838=Entry2!C838,Data!C838,"ERROR")</f>
        <v>45197</v>
      </c>
      <c r="D838" s="7" t="str">
        <f>IF(Data!D838=Entry2!D838,Data!D838,"ERROR")</f>
        <v>MP, TL</v>
      </c>
      <c r="E838" s="7" t="str">
        <f>IF(Data!E838=Entry2!E838,Data!E838,"ERROR")</f>
        <v>VB</v>
      </c>
      <c r="F838" s="7">
        <f>IF(Data!F838=Entry2!F838,Data!F838,"ERROR")</f>
        <v>1</v>
      </c>
      <c r="G838" s="7" t="str">
        <f>IF(Data!G838=Entry2!G838,Data!G838,"ERROR")</f>
        <v>SU</v>
      </c>
      <c r="H838" s="7">
        <f>IF(Data!H838=Entry2!H838,Data!H838,"ERROR")</f>
        <v>6</v>
      </c>
      <c r="I838" s="7">
        <f>IF(Data!I838=Entry2!I838,Data!I838,"ERROR")</f>
        <v>1</v>
      </c>
      <c r="J838" s="7">
        <f>IF(Data!J838=Entry2!J838,Data!J838,"ERROR")</f>
        <v>3.5</v>
      </c>
      <c r="K838" s="7" t="str">
        <f>IF(Data!K838=Entry2!K838,Data!K838,"ERROR")</f>
        <v>DEIFAS</v>
      </c>
      <c r="L838" s="7" t="str">
        <f>IF(Data!L838=Entry2!L838,Data!L838,"ERROR")</f>
        <v>ERROR</v>
      </c>
      <c r="M838" s="7">
        <f>IF(Data!N838=Entry2!M838,Data!N838,"ERROR")</f>
        <v>0</v>
      </c>
    </row>
    <row r="839" spans="1:13" ht="13.2" x14ac:dyDescent="0.25">
      <c r="A839" s="7">
        <f>IF(Data!A839=Entry2!A839,Data!A839,"ERROR")</f>
        <v>18</v>
      </c>
      <c r="B839" s="7">
        <f>IF(Data!B839=Entry2!B839,Data!B839,"ERROR")</f>
        <v>2023</v>
      </c>
      <c r="C839" s="17">
        <f>IF(Data!C839=Entry2!C839,Data!C839,"ERROR")</f>
        <v>45197</v>
      </c>
      <c r="D839" s="7" t="str">
        <f>IF(Data!D839=Entry2!D839,Data!D839,"ERROR")</f>
        <v>MP, TL</v>
      </c>
      <c r="E839" s="7" t="str">
        <f>IF(Data!E839=Entry2!E839,Data!E839,"ERROR")</f>
        <v>VB</v>
      </c>
      <c r="F839" s="7">
        <f>IF(Data!F839=Entry2!F839,Data!F839,"ERROR")</f>
        <v>1</v>
      </c>
      <c r="G839" s="7" t="str">
        <f>IF(Data!G839=Entry2!G839,Data!G839,"ERROR")</f>
        <v>SU</v>
      </c>
      <c r="H839" s="7">
        <f>IF(Data!H839=Entry2!H839,Data!H839,"ERROR")</f>
        <v>7</v>
      </c>
      <c r="I839" s="7">
        <f>IF(Data!I839=Entry2!I839,Data!I839,"ERROR")</f>
        <v>1</v>
      </c>
      <c r="J839" s="7">
        <f>IF(Data!J839=Entry2!J839,Data!J839,"ERROR")</f>
        <v>4</v>
      </c>
      <c r="K839" s="7" t="str">
        <f>IF(Data!K839=Entry2!K839,Data!K839,"ERROR")</f>
        <v>B</v>
      </c>
      <c r="L839" s="7" t="str">
        <f>IF(Data!L839=Entry2!L839,Data!L839,"ERROR")</f>
        <v>ERROR</v>
      </c>
      <c r="M839" s="7">
        <f>IF(Data!N839=Entry2!M839,Data!N839,"ERROR")</f>
        <v>0</v>
      </c>
    </row>
    <row r="840" spans="1:13" ht="13.2" x14ac:dyDescent="0.25">
      <c r="A840" s="7">
        <f>IF(Data!A840=Entry2!A840,Data!A840,"ERROR")</f>
        <v>18</v>
      </c>
      <c r="B840" s="7">
        <f>IF(Data!B840=Entry2!B840,Data!B840,"ERROR")</f>
        <v>2023</v>
      </c>
      <c r="C840" s="17">
        <f>IF(Data!C840=Entry2!C840,Data!C840,"ERROR")</f>
        <v>45197</v>
      </c>
      <c r="D840" s="7" t="str">
        <f>IF(Data!D840=Entry2!D840,Data!D840,"ERROR")</f>
        <v>MP, TL</v>
      </c>
      <c r="E840" s="7" t="str">
        <f>IF(Data!E840=Entry2!E840,Data!E840,"ERROR")</f>
        <v>VB</v>
      </c>
      <c r="F840" s="7">
        <f>IF(Data!F840=Entry2!F840,Data!F840,"ERROR")</f>
        <v>1</v>
      </c>
      <c r="G840" s="7" t="str">
        <f>IF(Data!G840=Entry2!G840,Data!G840,"ERROR")</f>
        <v>SU</v>
      </c>
      <c r="H840" s="7">
        <f>IF(Data!H840=Entry2!H840,Data!H840,"ERROR")</f>
        <v>8</v>
      </c>
      <c r="I840" s="7">
        <f>IF(Data!I840=Entry2!I840,Data!I840,"ERROR")</f>
        <v>1</v>
      </c>
      <c r="J840" s="7">
        <f>IF(Data!J840=Entry2!J840,Data!J840,"ERROR")</f>
        <v>5</v>
      </c>
      <c r="K840" s="7" t="str">
        <f>IF(Data!K840=Entry2!K840,Data!K840,"ERROR")</f>
        <v>L</v>
      </c>
      <c r="L840" s="7" t="str">
        <f>IF(Data!L840=Entry2!L840,Data!L840,"ERROR")</f>
        <v>ERROR</v>
      </c>
      <c r="M840" s="7">
        <f>IF(Data!N840=Entry2!M840,Data!N840,"ERROR")</f>
        <v>0</v>
      </c>
    </row>
    <row r="841" spans="1:13" ht="13.2" x14ac:dyDescent="0.25">
      <c r="A841" s="7">
        <f>IF(Data!A841=Entry2!A841,Data!A841,"ERROR")</f>
        <v>18</v>
      </c>
      <c r="B841" s="7">
        <f>IF(Data!B841=Entry2!B841,Data!B841,"ERROR")</f>
        <v>2023</v>
      </c>
      <c r="C841" s="17">
        <f>IF(Data!C841=Entry2!C841,Data!C841,"ERROR")</f>
        <v>45197</v>
      </c>
      <c r="D841" s="7" t="str">
        <f>IF(Data!D841=Entry2!D841,Data!D841,"ERROR")</f>
        <v>MP, TL</v>
      </c>
      <c r="E841" s="7" t="str">
        <f>IF(Data!E841=Entry2!E841,Data!E841,"ERROR")</f>
        <v>VB</v>
      </c>
      <c r="F841" s="7">
        <f>IF(Data!F841=Entry2!F841,Data!F841,"ERROR")</f>
        <v>1</v>
      </c>
      <c r="G841" s="7" t="str">
        <f>IF(Data!G841=Entry2!G841,Data!G841,"ERROR")</f>
        <v>SU</v>
      </c>
      <c r="H841" s="7">
        <f>IF(Data!H841=Entry2!H841,Data!H841,"ERROR")</f>
        <v>9</v>
      </c>
      <c r="I841" s="7">
        <f>IF(Data!I841=Entry2!I841,Data!I841,"ERROR")</f>
        <v>1</v>
      </c>
      <c r="J841" s="7">
        <f>IF(Data!J841=Entry2!J841,Data!J841,"ERROR")</f>
        <v>7</v>
      </c>
      <c r="K841" s="7" t="str">
        <f>IF(Data!K841=Entry2!K841,Data!K841,"ERROR")</f>
        <v>L</v>
      </c>
      <c r="L841" s="7" t="str">
        <f>IF(Data!L841=Entry2!L841,Data!L841,"ERROR")</f>
        <v>ERROR</v>
      </c>
      <c r="M841" s="7">
        <f>IF(Data!N841=Entry2!M841,Data!N841,"ERROR")</f>
        <v>0</v>
      </c>
    </row>
    <row r="842" spans="1:13" ht="13.2" x14ac:dyDescent="0.25">
      <c r="A842" s="7">
        <f>IF(Data!A842=Entry2!A842,Data!A842,"ERROR")</f>
        <v>18</v>
      </c>
      <c r="B842" s="7">
        <f>IF(Data!B842=Entry2!B842,Data!B842,"ERROR")</f>
        <v>2023</v>
      </c>
      <c r="C842" s="17">
        <f>IF(Data!C842=Entry2!C842,Data!C842,"ERROR")</f>
        <v>45197</v>
      </c>
      <c r="D842" s="7" t="str">
        <f>IF(Data!D842=Entry2!D842,Data!D842,"ERROR")</f>
        <v>MP, TL</v>
      </c>
      <c r="E842" s="7" t="str">
        <f>IF(Data!E842=Entry2!E842,Data!E842,"ERROR")</f>
        <v>VB</v>
      </c>
      <c r="F842" s="7">
        <f>IF(Data!F842=Entry2!F842,Data!F842,"ERROR")</f>
        <v>1</v>
      </c>
      <c r="G842" s="7" t="str">
        <f>IF(Data!G842=Entry2!G842,Data!G842,"ERROR")</f>
        <v>SU</v>
      </c>
      <c r="H842" s="7">
        <f>IF(Data!H842=Entry2!H842,Data!H842,"ERROR")</f>
        <v>10</v>
      </c>
      <c r="I842" s="7">
        <f>IF(Data!I842=Entry2!I842,Data!I842,"ERROR")</f>
        <v>1</v>
      </c>
      <c r="J842" s="7">
        <f>IF(Data!J842=Entry2!J842,Data!J842,"ERROR")</f>
        <v>8</v>
      </c>
      <c r="K842" s="7" t="str">
        <f>IF(Data!K842=Entry2!K842,Data!K842,"ERROR")</f>
        <v>L</v>
      </c>
      <c r="L842" s="7" t="str">
        <f>IF(Data!L842=Entry2!L842,Data!L842,"ERROR")</f>
        <v>ERROR</v>
      </c>
      <c r="M842" s="7">
        <f>IF(Data!N842=Entry2!M842,Data!N842,"ERROR")</f>
        <v>0</v>
      </c>
    </row>
    <row r="843" spans="1:13" ht="13.2" x14ac:dyDescent="0.25">
      <c r="A843" s="7">
        <f>IF(Data!A843=Entry2!A843,Data!A843,"ERROR")</f>
        <v>18</v>
      </c>
      <c r="B843" s="7">
        <f>IF(Data!B843=Entry2!B843,Data!B843,"ERROR")</f>
        <v>2023</v>
      </c>
      <c r="C843" s="17">
        <f>IF(Data!C843=Entry2!C843,Data!C843,"ERROR")</f>
        <v>45197</v>
      </c>
      <c r="D843" s="7" t="str">
        <f>IF(Data!D843=Entry2!D843,Data!D843,"ERROR")</f>
        <v>MP, TL</v>
      </c>
      <c r="E843" s="7" t="str">
        <f>IF(Data!E843=Entry2!E843,Data!E843,"ERROR")</f>
        <v>VB</v>
      </c>
      <c r="F843" s="7">
        <f>IF(Data!F843=Entry2!F843,Data!F843,"ERROR")</f>
        <v>1</v>
      </c>
      <c r="G843" s="7" t="str">
        <f>IF(Data!G843=Entry2!G843,Data!G843,"ERROR")</f>
        <v>SU</v>
      </c>
      <c r="H843" s="7">
        <f>IF(Data!H843=Entry2!H843,Data!H843,"ERROR")</f>
        <v>10</v>
      </c>
      <c r="I843" s="7">
        <f>IF(Data!I843=Entry2!I843,Data!I843,"ERROR")</f>
        <v>1</v>
      </c>
      <c r="J843" s="7">
        <f>IF(Data!J843=Entry2!J843,Data!J843,"ERROR")</f>
        <v>8</v>
      </c>
      <c r="K843" s="7" t="str">
        <f>IF(Data!K843=Entry2!K843,Data!K843,"ERROR")</f>
        <v>CENMEL</v>
      </c>
      <c r="L843" s="7" t="str">
        <f>IF(Data!L843=Entry2!L843,Data!L843,"ERROR")</f>
        <v>ERROR</v>
      </c>
      <c r="M843" s="7">
        <f>IF(Data!N843=Entry2!M843,Data!N843,"ERROR")</f>
        <v>0</v>
      </c>
    </row>
    <row r="844" spans="1:13" ht="13.2" x14ac:dyDescent="0.25">
      <c r="A844" s="7">
        <f>IF(Data!A844=Entry2!A844,Data!A844,"ERROR")</f>
        <v>18</v>
      </c>
      <c r="B844" s="7">
        <f>IF(Data!B844=Entry2!B844,Data!B844,"ERROR")</f>
        <v>2023</v>
      </c>
      <c r="C844" s="17">
        <f>IF(Data!C844=Entry2!C844,Data!C844,"ERROR")</f>
        <v>45197</v>
      </c>
      <c r="D844" s="7" t="str">
        <f>IF(Data!D844=Entry2!D844,Data!D844,"ERROR")</f>
        <v>MP, TL</v>
      </c>
      <c r="E844" s="7" t="str">
        <f>IF(Data!E844=Entry2!E844,Data!E844,"ERROR")</f>
        <v>VB</v>
      </c>
      <c r="F844" s="7">
        <f>IF(Data!F844=Entry2!F844,Data!F844,"ERROR")</f>
        <v>1</v>
      </c>
      <c r="G844" s="7" t="str">
        <f>IF(Data!G844=Entry2!G844,Data!G844,"ERROR")</f>
        <v>SU</v>
      </c>
      <c r="H844" s="7">
        <f>IF(Data!H844=Entry2!H844,Data!H844,"ERROR")</f>
        <v>11</v>
      </c>
      <c r="I844" s="7">
        <f>IF(Data!I844=Entry2!I844,Data!I844,"ERROR")</f>
        <v>1</v>
      </c>
      <c r="J844" s="7">
        <f>IF(Data!J844=Entry2!J844,Data!J844,"ERROR")</f>
        <v>8.5</v>
      </c>
      <c r="K844" s="7" t="str">
        <f>IF(Data!K844=Entry2!K844,Data!K844,"ERROR")</f>
        <v>L</v>
      </c>
      <c r="L844" s="7" t="str">
        <f>IF(Data!L844=Entry2!L844,Data!L844,"ERROR")</f>
        <v>ERROR</v>
      </c>
      <c r="M844" s="7">
        <f>IF(Data!N844=Entry2!M844,Data!N844,"ERROR")</f>
        <v>0</v>
      </c>
    </row>
    <row r="845" spans="1:13" ht="13.2" x14ac:dyDescent="0.25">
      <c r="A845" s="7">
        <f>IF(Data!A845=Entry2!A845,Data!A845,"ERROR")</f>
        <v>18</v>
      </c>
      <c r="B845" s="7">
        <f>IF(Data!B845=Entry2!B845,Data!B845,"ERROR")</f>
        <v>2023</v>
      </c>
      <c r="C845" s="17">
        <f>IF(Data!C845=Entry2!C845,Data!C845,"ERROR")</f>
        <v>45197</v>
      </c>
      <c r="D845" s="7" t="str">
        <f>IF(Data!D845=Entry2!D845,Data!D845,"ERROR")</f>
        <v>MP, TL</v>
      </c>
      <c r="E845" s="7" t="str">
        <f>IF(Data!E845=Entry2!E845,Data!E845,"ERROR")</f>
        <v>VB</v>
      </c>
      <c r="F845" s="7">
        <f>IF(Data!F845=Entry2!F845,Data!F845,"ERROR")</f>
        <v>1</v>
      </c>
      <c r="G845" s="7" t="str">
        <f>IF(Data!G845=Entry2!G845,Data!G845,"ERROR")</f>
        <v>SU</v>
      </c>
      <c r="H845" s="7">
        <f>IF(Data!H845=Entry2!H845,Data!H845,"ERROR")</f>
        <v>11</v>
      </c>
      <c r="I845" s="7">
        <f>IF(Data!I845=Entry2!I845,Data!I845,"ERROR")</f>
        <v>1</v>
      </c>
      <c r="J845" s="7">
        <f>IF(Data!J845=Entry2!J845,Data!J845,"ERROR")</f>
        <v>8.5</v>
      </c>
      <c r="K845" s="7" t="str">
        <f>IF(Data!K845=Entry2!K845,Data!K845,"ERROR")</f>
        <v>DEIFAS</v>
      </c>
      <c r="L845" s="7" t="str">
        <f>IF(Data!L845=Entry2!L845,Data!L845,"ERROR")</f>
        <v>ERROR</v>
      </c>
      <c r="M845" s="7">
        <f>IF(Data!N845=Entry2!M845,Data!N845,"ERROR")</f>
        <v>0</v>
      </c>
    </row>
    <row r="846" spans="1:13" ht="13.2" x14ac:dyDescent="0.25">
      <c r="A846" s="7">
        <f>IF(Data!A846=Entry2!A846,Data!A846,"ERROR")</f>
        <v>18</v>
      </c>
      <c r="B846" s="7">
        <f>IF(Data!B846=Entry2!B846,Data!B846,"ERROR")</f>
        <v>2023</v>
      </c>
      <c r="C846" s="17">
        <f>IF(Data!C846=Entry2!C846,Data!C846,"ERROR")</f>
        <v>45197</v>
      </c>
      <c r="D846" s="7" t="str">
        <f>IF(Data!D846=Entry2!D846,Data!D846,"ERROR")</f>
        <v>MP, TL</v>
      </c>
      <c r="E846" s="7" t="str">
        <f>IF(Data!E846=Entry2!E846,Data!E846,"ERROR")</f>
        <v>VB</v>
      </c>
      <c r="F846" s="7">
        <f>IF(Data!F846=Entry2!F846,Data!F846,"ERROR")</f>
        <v>1</v>
      </c>
      <c r="G846" s="7" t="str">
        <f>IF(Data!G846=Entry2!G846,Data!G846,"ERROR")</f>
        <v>SU</v>
      </c>
      <c r="H846" s="7">
        <f>IF(Data!H846=Entry2!H846,Data!H846,"ERROR")</f>
        <v>11</v>
      </c>
      <c r="I846" s="7">
        <f>IF(Data!I846=Entry2!I846,Data!I846,"ERROR")</f>
        <v>1</v>
      </c>
      <c r="J846" s="7">
        <f>IF(Data!J846=Entry2!J846,Data!J846,"ERROR")</f>
        <v>8.5</v>
      </c>
      <c r="K846" s="7" t="str">
        <f>IF(Data!K846=Entry2!K846,Data!K846,"ERROR")</f>
        <v>EROCIC</v>
      </c>
      <c r="L846" s="7" t="str">
        <f>IF(Data!L846=Entry2!L846,Data!L846,"ERROR")</f>
        <v>ERROR</v>
      </c>
      <c r="M846" s="7">
        <f>IF(Data!N846=Entry2!M846,Data!N846,"ERROR")</f>
        <v>0</v>
      </c>
    </row>
    <row r="847" spans="1:13" ht="13.2" x14ac:dyDescent="0.25">
      <c r="A847" s="7">
        <f>IF(Data!A847=Entry2!A847,Data!A847,"ERROR")</f>
        <v>18</v>
      </c>
      <c r="B847" s="7">
        <f>IF(Data!B847=Entry2!B847,Data!B847,"ERROR")</f>
        <v>2023</v>
      </c>
      <c r="C847" s="17">
        <f>IF(Data!C847=Entry2!C847,Data!C847,"ERROR")</f>
        <v>45197</v>
      </c>
      <c r="D847" s="7" t="str">
        <f>IF(Data!D847=Entry2!D847,Data!D847,"ERROR")</f>
        <v>MP, TL</v>
      </c>
      <c r="E847" s="7" t="str">
        <f>IF(Data!E847=Entry2!E847,Data!E847,"ERROR")</f>
        <v>VB</v>
      </c>
      <c r="F847" s="7">
        <f>IF(Data!F847=Entry2!F847,Data!F847,"ERROR")</f>
        <v>1</v>
      </c>
      <c r="G847" s="7" t="str">
        <f>IF(Data!G847=Entry2!G847,Data!G847,"ERROR")</f>
        <v>SU</v>
      </c>
      <c r="H847" s="7">
        <f>IF(Data!H847=Entry2!H847,Data!H847,"ERROR")</f>
        <v>11</v>
      </c>
      <c r="I847" s="7">
        <f>IF(Data!I847=Entry2!I847,Data!I847,"ERROR")</f>
        <v>1</v>
      </c>
      <c r="J847" s="7">
        <f>IF(Data!J847=Entry2!J847,Data!J847,"ERROR")</f>
        <v>8.5</v>
      </c>
      <c r="K847" s="7" t="str">
        <f>IF(Data!K847=Entry2!K847,Data!K847,"ERROR")</f>
        <v>EROMOS</v>
      </c>
      <c r="L847" s="7" t="str">
        <f>IF(Data!L847=Entry2!L847,Data!L847,"ERROR")</f>
        <v>ERROR</v>
      </c>
      <c r="M847" s="7">
        <f>IF(Data!N847=Entry2!M847,Data!N847,"ERROR")</f>
        <v>0</v>
      </c>
    </row>
    <row r="848" spans="1:13" ht="13.2" x14ac:dyDescent="0.25">
      <c r="A848" s="7">
        <f>IF(Data!A848=Entry2!A848,Data!A848,"ERROR")</f>
        <v>18</v>
      </c>
      <c r="B848" s="7">
        <f>IF(Data!B848=Entry2!B848,Data!B848,"ERROR")</f>
        <v>2023</v>
      </c>
      <c r="C848" s="17">
        <f>IF(Data!C848=Entry2!C848,Data!C848,"ERROR")</f>
        <v>45197</v>
      </c>
      <c r="D848" s="7" t="str">
        <f>IF(Data!D848=Entry2!D848,Data!D848,"ERROR")</f>
        <v>MP, TL</v>
      </c>
      <c r="E848" s="7" t="str">
        <f>IF(Data!E848=Entry2!E848,Data!E848,"ERROR")</f>
        <v>VB</v>
      </c>
      <c r="F848" s="7">
        <f>IF(Data!F848=Entry2!F848,Data!F848,"ERROR")</f>
        <v>1</v>
      </c>
      <c r="G848" s="7" t="str">
        <f>IF(Data!G848=Entry2!G848,Data!G848,"ERROR")</f>
        <v>SU</v>
      </c>
      <c r="H848" s="7">
        <f>IF(Data!H848=Entry2!H848,Data!H848,"ERROR")</f>
        <v>11</v>
      </c>
      <c r="I848" s="7">
        <f>IF(Data!I848=Entry2!I848,Data!I848,"ERROR")</f>
        <v>1</v>
      </c>
      <c r="J848" s="7">
        <f>IF(Data!J848=Entry2!J848,Data!J848,"ERROR")</f>
        <v>8.5</v>
      </c>
      <c r="K848" s="7" t="str">
        <f>IF(Data!K848=Entry2!K848,Data!K848,"ERROR")</f>
        <v>CENMEL</v>
      </c>
      <c r="L848" s="7" t="str">
        <f>IF(Data!L848=Entry2!L848,Data!L848,"ERROR")</f>
        <v>ERROR</v>
      </c>
      <c r="M848" s="7">
        <f>IF(Data!N848=Entry2!M848,Data!N848,"ERROR")</f>
        <v>0</v>
      </c>
    </row>
    <row r="849" spans="1:13" ht="13.2" x14ac:dyDescent="0.25">
      <c r="A849" s="7">
        <f>IF(Data!A849=Entry2!A849,Data!A849,"ERROR")</f>
        <v>18</v>
      </c>
      <c r="B849" s="7">
        <f>IF(Data!B849=Entry2!B849,Data!B849,"ERROR")</f>
        <v>2023</v>
      </c>
      <c r="C849" s="17">
        <f>IF(Data!C849=Entry2!C849,Data!C849,"ERROR")</f>
        <v>45197</v>
      </c>
      <c r="D849" s="7" t="str">
        <f>IF(Data!D849=Entry2!D849,Data!D849,"ERROR")</f>
        <v>MP, TL</v>
      </c>
      <c r="E849" s="7" t="str">
        <f>IF(Data!E849=Entry2!E849,Data!E849,"ERROR")</f>
        <v>VB</v>
      </c>
      <c r="F849" s="7">
        <f>IF(Data!F849=Entry2!F849,Data!F849,"ERROR")</f>
        <v>1</v>
      </c>
      <c r="G849" s="7" t="str">
        <f>IF(Data!G849=Entry2!G849,Data!G849,"ERROR")</f>
        <v>SU</v>
      </c>
      <c r="H849" s="7">
        <f>IF(Data!H849=Entry2!H849,Data!H849,"ERROR")</f>
        <v>12</v>
      </c>
      <c r="I849" s="7">
        <f>IF(Data!I849=Entry2!I849,Data!I849,"ERROR")</f>
        <v>1</v>
      </c>
      <c r="J849" s="7">
        <f>IF(Data!J849=Entry2!J849,Data!J849,"ERROR")</f>
        <v>9</v>
      </c>
      <c r="K849" s="7" t="str">
        <f>IF(Data!K849=Entry2!K849,Data!K849,"ERROR")</f>
        <v>B</v>
      </c>
      <c r="L849" s="7" t="str">
        <f>IF(Data!L849=Entry2!L849,Data!L849,"ERROR")</f>
        <v>ERROR</v>
      </c>
      <c r="M849" s="7">
        <f>IF(Data!N849=Entry2!M849,Data!N849,"ERROR")</f>
        <v>0</v>
      </c>
    </row>
    <row r="850" spans="1:13" ht="13.2" x14ac:dyDescent="0.25">
      <c r="A850" s="7">
        <f>IF(Data!A850=Entry2!A850,Data!A850,"ERROR")</f>
        <v>18</v>
      </c>
      <c r="B850" s="7">
        <f>IF(Data!B850=Entry2!B850,Data!B850,"ERROR")</f>
        <v>2023</v>
      </c>
      <c r="C850" s="17">
        <f>IF(Data!C850=Entry2!C850,Data!C850,"ERROR")</f>
        <v>45197</v>
      </c>
      <c r="D850" s="7" t="str">
        <f>IF(Data!D850=Entry2!D850,Data!D850,"ERROR")</f>
        <v>MP, TL</v>
      </c>
      <c r="E850" s="7" t="str">
        <f>IF(Data!E850=Entry2!E850,Data!E850,"ERROR")</f>
        <v>VB</v>
      </c>
      <c r="F850" s="7">
        <f>IF(Data!F850=Entry2!F850,Data!F850,"ERROR")</f>
        <v>1</v>
      </c>
      <c r="G850" s="7" t="str">
        <f>IF(Data!G850=Entry2!G850,Data!G850,"ERROR")</f>
        <v>SU</v>
      </c>
      <c r="H850" s="7">
        <f>IF(Data!H850=Entry2!H850,Data!H850,"ERROR")</f>
        <v>13</v>
      </c>
      <c r="I850" s="7">
        <f>IF(Data!I850=Entry2!I850,Data!I850,"ERROR")</f>
        <v>1</v>
      </c>
      <c r="J850" s="7">
        <f>IF(Data!J850=Entry2!J850,Data!J850,"ERROR")</f>
        <v>10</v>
      </c>
      <c r="K850" s="7" t="str">
        <f>IF(Data!K850=Entry2!K850,Data!K850,"ERROR")</f>
        <v>L</v>
      </c>
      <c r="L850" s="7" t="str">
        <f>IF(Data!L850=Entry2!L850,Data!L850,"ERROR")</f>
        <v>ERROR</v>
      </c>
      <c r="M850" s="7">
        <f>IF(Data!N850=Entry2!M850,Data!N850,"ERROR")</f>
        <v>0</v>
      </c>
    </row>
    <row r="851" spans="1:13" ht="13.2" x14ac:dyDescent="0.25">
      <c r="A851" s="7">
        <f>IF(Data!A851=Entry2!A851,Data!A851,"ERROR")</f>
        <v>18</v>
      </c>
      <c r="B851" s="7">
        <f>IF(Data!B851=Entry2!B851,Data!B851,"ERROR")</f>
        <v>2023</v>
      </c>
      <c r="C851" s="17">
        <f>IF(Data!C851=Entry2!C851,Data!C851,"ERROR")</f>
        <v>45197</v>
      </c>
      <c r="D851" s="7" t="str">
        <f>IF(Data!D851=Entry2!D851,Data!D851,"ERROR")</f>
        <v>MP, TL</v>
      </c>
      <c r="E851" s="7" t="str">
        <f>IF(Data!E851=Entry2!E851,Data!E851,"ERROR")</f>
        <v>VB</v>
      </c>
      <c r="F851" s="7">
        <f>IF(Data!F851=Entry2!F851,Data!F851,"ERROR")</f>
        <v>1</v>
      </c>
      <c r="G851" s="7" t="str">
        <f>IF(Data!G851=Entry2!G851,Data!G851,"ERROR")</f>
        <v>SU</v>
      </c>
      <c r="H851" s="7">
        <f>IF(Data!H851=Entry2!H851,Data!H851,"ERROR")</f>
        <v>14</v>
      </c>
      <c r="I851" s="7">
        <f>IF(Data!I851=Entry2!I851,Data!I851,"ERROR")</f>
        <v>1</v>
      </c>
      <c r="J851" s="7">
        <f>IF(Data!J851=Entry2!J851,Data!J851,"ERROR")</f>
        <v>11</v>
      </c>
      <c r="K851" s="7" t="str">
        <f>IF(Data!K851=Entry2!K851,Data!K851,"ERROR")</f>
        <v>L</v>
      </c>
      <c r="L851" s="7" t="str">
        <f>IF(Data!L851=Entry2!L851,Data!L851,"ERROR")</f>
        <v>ERROR</v>
      </c>
      <c r="M851" s="7">
        <f>IF(Data!N851=Entry2!M851,Data!N851,"ERROR")</f>
        <v>0</v>
      </c>
    </row>
    <row r="852" spans="1:13" ht="13.2" x14ac:dyDescent="0.25">
      <c r="A852" s="7">
        <f>IF(Data!A852=Entry2!A852,Data!A852,"ERROR")</f>
        <v>18</v>
      </c>
      <c r="B852" s="7">
        <f>IF(Data!B852=Entry2!B852,Data!B852,"ERROR")</f>
        <v>2023</v>
      </c>
      <c r="C852" s="17">
        <f>IF(Data!C852=Entry2!C852,Data!C852,"ERROR")</f>
        <v>45197</v>
      </c>
      <c r="D852" s="7" t="str">
        <f>IF(Data!D852=Entry2!D852,Data!D852,"ERROR")</f>
        <v>MP, TL</v>
      </c>
      <c r="E852" s="7" t="str">
        <f>IF(Data!E852=Entry2!E852,Data!E852,"ERROR")</f>
        <v>VB</v>
      </c>
      <c r="F852" s="7">
        <f>IF(Data!F852=Entry2!F852,Data!F852,"ERROR")</f>
        <v>1</v>
      </c>
      <c r="G852" s="7" t="str">
        <f>IF(Data!G852=Entry2!G852,Data!G852,"ERROR")</f>
        <v>SU</v>
      </c>
      <c r="H852" s="7">
        <f>IF(Data!H852=Entry2!H852,Data!H852,"ERROR")</f>
        <v>14</v>
      </c>
      <c r="I852" s="7">
        <f>IF(Data!I852=Entry2!I852,Data!I852,"ERROR")</f>
        <v>1</v>
      </c>
      <c r="J852" s="7">
        <f>IF(Data!J852=Entry2!J852,Data!J852,"ERROR")</f>
        <v>11</v>
      </c>
      <c r="K852" s="7" t="str">
        <f>IF(Data!K852=Entry2!K852,Data!K852,"ERROR")</f>
        <v>EROCIC</v>
      </c>
      <c r="L852" s="7" t="str">
        <f>IF(Data!L852=Entry2!L852,Data!L852,"ERROR")</f>
        <v>ERROR</v>
      </c>
      <c r="M852" s="7">
        <f>IF(Data!N852=Entry2!M852,Data!N852,"ERROR")</f>
        <v>0</v>
      </c>
    </row>
    <row r="853" spans="1:13" ht="13.2" x14ac:dyDescent="0.25">
      <c r="A853" s="7">
        <f>IF(Data!A853=Entry2!A853,Data!A853,"ERROR")</f>
        <v>18</v>
      </c>
      <c r="B853" s="7">
        <f>IF(Data!B853=Entry2!B853,Data!B853,"ERROR")</f>
        <v>2023</v>
      </c>
      <c r="C853" s="17">
        <f>IF(Data!C853=Entry2!C853,Data!C853,"ERROR")</f>
        <v>45197</v>
      </c>
      <c r="D853" s="7" t="str">
        <f>IF(Data!D853=Entry2!D853,Data!D853,"ERROR")</f>
        <v>MP, TL</v>
      </c>
      <c r="E853" s="7" t="str">
        <f>IF(Data!E853=Entry2!E853,Data!E853,"ERROR")</f>
        <v>VB</v>
      </c>
      <c r="F853" s="7">
        <f>IF(Data!F853=Entry2!F853,Data!F853,"ERROR")</f>
        <v>1</v>
      </c>
      <c r="G853" s="7" t="str">
        <f>IF(Data!G853=Entry2!G853,Data!G853,"ERROR")</f>
        <v>SU</v>
      </c>
      <c r="H853" s="7">
        <f>IF(Data!H853=Entry2!H853,Data!H853,"ERROR")</f>
        <v>15</v>
      </c>
      <c r="I853" s="7">
        <f>IF(Data!I853=Entry2!I853,Data!I853,"ERROR")</f>
        <v>1</v>
      </c>
      <c r="J853" s="7">
        <f>IF(Data!J853=Entry2!J853,Data!J853,"ERROR")</f>
        <v>12</v>
      </c>
      <c r="K853" s="7" t="str">
        <f>IF(Data!K853=Entry2!K853,Data!K853,"ERROR")</f>
        <v>L</v>
      </c>
      <c r="L853" s="7" t="str">
        <f>IF(Data!L853=Entry2!L853,Data!L853,"ERROR")</f>
        <v>ERROR</v>
      </c>
      <c r="M853" s="7">
        <f>IF(Data!N853=Entry2!M853,Data!N853,"ERROR")</f>
        <v>0</v>
      </c>
    </row>
    <row r="854" spans="1:13" ht="13.2" x14ac:dyDescent="0.25">
      <c r="A854" s="7">
        <f>IF(Data!A854=Entry2!A854,Data!A854,"ERROR")</f>
        <v>18</v>
      </c>
      <c r="B854" s="7">
        <f>IF(Data!B854=Entry2!B854,Data!B854,"ERROR")</f>
        <v>2023</v>
      </c>
      <c r="C854" s="17">
        <f>IF(Data!C854=Entry2!C854,Data!C854,"ERROR")</f>
        <v>45197</v>
      </c>
      <c r="D854" s="7" t="str">
        <f>IF(Data!D854=Entry2!D854,Data!D854,"ERROR")</f>
        <v>MP, TL</v>
      </c>
      <c r="E854" s="7" t="str">
        <f>IF(Data!E854=Entry2!E854,Data!E854,"ERROR")</f>
        <v>VB</v>
      </c>
      <c r="F854" s="7">
        <f>IF(Data!F854=Entry2!F854,Data!F854,"ERROR")</f>
        <v>1</v>
      </c>
      <c r="G854" s="7" t="str">
        <f>IF(Data!G854=Entry2!G854,Data!G854,"ERROR")</f>
        <v>SU</v>
      </c>
      <c r="H854" s="7">
        <f>IF(Data!H854=Entry2!H854,Data!H854,"ERROR")</f>
        <v>15</v>
      </c>
      <c r="I854" s="7">
        <f>IF(Data!I854=Entry2!I854,Data!I854,"ERROR")</f>
        <v>1</v>
      </c>
      <c r="J854" s="7">
        <f>IF(Data!J854=Entry2!J854,Data!J854,"ERROR")</f>
        <v>12</v>
      </c>
      <c r="K854" s="7" t="str">
        <f>IF(Data!K854=Entry2!K854,Data!K854,"ERROR")</f>
        <v>CENMEL</v>
      </c>
      <c r="L854" s="7" t="str">
        <f>IF(Data!L854=Entry2!L854,Data!L854,"ERROR")</f>
        <v>ERROR</v>
      </c>
      <c r="M854" s="7">
        <f>IF(Data!N854=Entry2!M854,Data!N854,"ERROR")</f>
        <v>0</v>
      </c>
    </row>
    <row r="855" spans="1:13" ht="13.2" x14ac:dyDescent="0.25">
      <c r="A855" s="7">
        <f>IF(Data!A855=Entry2!A855,Data!A855,"ERROR")</f>
        <v>18</v>
      </c>
      <c r="B855" s="7">
        <f>IF(Data!B855=Entry2!B855,Data!B855,"ERROR")</f>
        <v>2023</v>
      </c>
      <c r="C855" s="17">
        <f>IF(Data!C855=Entry2!C855,Data!C855,"ERROR")</f>
        <v>45197</v>
      </c>
      <c r="D855" s="7" t="str">
        <f>IF(Data!D855=Entry2!D855,Data!D855,"ERROR")</f>
        <v>MP, TL</v>
      </c>
      <c r="E855" s="7" t="str">
        <f>IF(Data!E855=Entry2!E855,Data!E855,"ERROR")</f>
        <v>VB</v>
      </c>
      <c r="F855" s="7">
        <f>IF(Data!F855=Entry2!F855,Data!F855,"ERROR")</f>
        <v>1</v>
      </c>
      <c r="G855" s="7" t="str">
        <f>IF(Data!G855=Entry2!G855,Data!G855,"ERROR")</f>
        <v>SU</v>
      </c>
      <c r="H855" s="7">
        <f>IF(Data!H855=Entry2!H855,Data!H855,"ERROR")</f>
        <v>15</v>
      </c>
      <c r="I855" s="7">
        <f>IF(Data!I855=Entry2!I855,Data!I855,"ERROR")</f>
        <v>1</v>
      </c>
      <c r="J855" s="7">
        <f>IF(Data!J855=Entry2!J855,Data!J855,"ERROR")</f>
        <v>12</v>
      </c>
      <c r="K855" s="7" t="str">
        <f>IF(Data!K855=Entry2!K855,Data!K855,"ERROR")</f>
        <v>CYLPRO</v>
      </c>
      <c r="L855" s="7" t="str">
        <f>IF(Data!L855=Entry2!L855,Data!L855,"ERROR")</f>
        <v>ERROR</v>
      </c>
      <c r="M855" s="7">
        <f>IF(Data!N855=Entry2!M855,Data!N855,"ERROR")</f>
        <v>0</v>
      </c>
    </row>
    <row r="856" spans="1:13" ht="13.2" x14ac:dyDescent="0.25">
      <c r="A856" s="7">
        <f>IF(Data!A856=Entry2!A856,Data!A856,"ERROR")</f>
        <v>18</v>
      </c>
      <c r="B856" s="7">
        <f>IF(Data!B856=Entry2!B856,Data!B856,"ERROR")</f>
        <v>2023</v>
      </c>
      <c r="C856" s="17">
        <f>IF(Data!C856=Entry2!C856,Data!C856,"ERROR")</f>
        <v>45197</v>
      </c>
      <c r="D856" s="7" t="str">
        <f>IF(Data!D856=Entry2!D856,Data!D856,"ERROR")</f>
        <v>MP, TL</v>
      </c>
      <c r="E856" s="7" t="str">
        <f>IF(Data!E856=Entry2!E856,Data!E856,"ERROR")</f>
        <v>VB</v>
      </c>
      <c r="F856" s="7">
        <f>IF(Data!F856=Entry2!F856,Data!F856,"ERROR")</f>
        <v>1</v>
      </c>
      <c r="G856" s="7" t="str">
        <f>IF(Data!G856=Entry2!G856,Data!G856,"ERROR")</f>
        <v>SU</v>
      </c>
      <c r="H856" s="7">
        <f>IF(Data!H856=Entry2!H856,Data!H856,"ERROR")</f>
        <v>1</v>
      </c>
      <c r="I856" s="7">
        <f>IF(Data!I856=Entry2!I856,Data!I856,"ERROR")</f>
        <v>2</v>
      </c>
      <c r="J856" s="7">
        <f>IF(Data!J856=Entry2!J856,Data!J856,"ERROR")</f>
        <v>0</v>
      </c>
      <c r="K856" s="7" t="str">
        <f>IF(Data!K856=Entry2!K856,Data!K856,"ERROR")</f>
        <v>B</v>
      </c>
      <c r="L856" s="7" t="str">
        <f>IF(Data!L856=Entry2!L856,Data!L856,"ERROR")</f>
        <v>ERROR</v>
      </c>
      <c r="M856" s="7">
        <f>IF(Data!N856=Entry2!M856,Data!N856,"ERROR")</f>
        <v>0</v>
      </c>
    </row>
    <row r="857" spans="1:13" ht="13.2" x14ac:dyDescent="0.25">
      <c r="A857" s="7">
        <f>IF(Data!A857=Entry2!A857,Data!A857,"ERROR")</f>
        <v>18</v>
      </c>
      <c r="B857" s="7">
        <f>IF(Data!B857=Entry2!B857,Data!B857,"ERROR")</f>
        <v>2023</v>
      </c>
      <c r="C857" s="17">
        <f>IF(Data!C857=Entry2!C857,Data!C857,"ERROR")</f>
        <v>45197</v>
      </c>
      <c r="D857" s="7" t="str">
        <f>IF(Data!D857=Entry2!D857,Data!D857,"ERROR")</f>
        <v>MP, TL</v>
      </c>
      <c r="E857" s="7" t="str">
        <f>IF(Data!E857=Entry2!E857,Data!E857,"ERROR")</f>
        <v>VB</v>
      </c>
      <c r="F857" s="7">
        <f>IF(Data!F857=Entry2!F857,Data!F857,"ERROR")</f>
        <v>1</v>
      </c>
      <c r="G857" s="7" t="str">
        <f>IF(Data!G857=Entry2!G857,Data!G857,"ERROR")</f>
        <v>SU</v>
      </c>
      <c r="H857" s="7">
        <f>IF(Data!H857=Entry2!H857,Data!H857,"ERROR")</f>
        <v>2</v>
      </c>
      <c r="I857" s="7">
        <f>IF(Data!I857=Entry2!I857,Data!I857,"ERROR")</f>
        <v>2</v>
      </c>
      <c r="J857" s="7">
        <f>IF(Data!J857=Entry2!J857,Data!J857,"ERROR")</f>
        <v>1</v>
      </c>
      <c r="K857" s="7" t="str">
        <f>IF(Data!K857=Entry2!K857,Data!K857,"ERROR")</f>
        <v>L</v>
      </c>
      <c r="L857" s="7" t="str">
        <f>IF(Data!L857=Entry2!L857,Data!L857,"ERROR")</f>
        <v>ERROR</v>
      </c>
      <c r="M857" s="7">
        <f>IF(Data!N857=Entry2!M857,Data!N857,"ERROR")</f>
        <v>0</v>
      </c>
    </row>
    <row r="858" spans="1:13" ht="13.2" x14ac:dyDescent="0.25">
      <c r="A858" s="7">
        <f>IF(Data!A858=Entry2!A858,Data!A858,"ERROR")</f>
        <v>18</v>
      </c>
      <c r="B858" s="7">
        <f>IF(Data!B858=Entry2!B858,Data!B858,"ERROR")</f>
        <v>2023</v>
      </c>
      <c r="C858" s="17">
        <f>IF(Data!C858=Entry2!C858,Data!C858,"ERROR")</f>
        <v>45197</v>
      </c>
      <c r="D858" s="7" t="str">
        <f>IF(Data!D858=Entry2!D858,Data!D858,"ERROR")</f>
        <v>MP, TL</v>
      </c>
      <c r="E858" s="7" t="str">
        <f>IF(Data!E858=Entry2!E858,Data!E858,"ERROR")</f>
        <v>VB</v>
      </c>
      <c r="F858" s="7">
        <f>IF(Data!F858=Entry2!F858,Data!F858,"ERROR")</f>
        <v>1</v>
      </c>
      <c r="G858" s="7" t="str">
        <f>IF(Data!G858=Entry2!G858,Data!G858,"ERROR")</f>
        <v>SU</v>
      </c>
      <c r="H858" s="7">
        <f>IF(Data!H858=Entry2!H858,Data!H858,"ERROR")</f>
        <v>3</v>
      </c>
      <c r="I858" s="7">
        <f>IF(Data!I858=Entry2!I858,Data!I858,"ERROR")</f>
        <v>2</v>
      </c>
      <c r="J858" s="7">
        <f>IF(Data!J858=Entry2!J858,Data!J858,"ERROR")</f>
        <v>1.5</v>
      </c>
      <c r="K858" s="7" t="str">
        <f>IF(Data!K858=Entry2!K858,Data!K858,"ERROR")</f>
        <v>L</v>
      </c>
      <c r="L858" s="7" t="str">
        <f>IF(Data!L858=Entry2!L858,Data!L858,"ERROR")</f>
        <v>ERROR</v>
      </c>
      <c r="M858" s="7">
        <f>IF(Data!N858=Entry2!M858,Data!N858,"ERROR")</f>
        <v>0</v>
      </c>
    </row>
    <row r="859" spans="1:13" ht="13.2" x14ac:dyDescent="0.25">
      <c r="A859" s="7">
        <f>IF(Data!A859=Entry2!A859,Data!A859,"ERROR")</f>
        <v>18</v>
      </c>
      <c r="B859" s="7">
        <f>IF(Data!B859=Entry2!B859,Data!B859,"ERROR")</f>
        <v>2023</v>
      </c>
      <c r="C859" s="17">
        <f>IF(Data!C859=Entry2!C859,Data!C859,"ERROR")</f>
        <v>45197</v>
      </c>
      <c r="D859" s="7" t="str">
        <f>IF(Data!D859=Entry2!D859,Data!D859,"ERROR")</f>
        <v>MP, TL</v>
      </c>
      <c r="E859" s="7" t="str">
        <f>IF(Data!E859=Entry2!E859,Data!E859,"ERROR")</f>
        <v>VB</v>
      </c>
      <c r="F859" s="7">
        <f>IF(Data!F859=Entry2!F859,Data!F859,"ERROR")</f>
        <v>1</v>
      </c>
      <c r="G859" s="7" t="str">
        <f>IF(Data!G859=Entry2!G859,Data!G859,"ERROR")</f>
        <v>SU</v>
      </c>
      <c r="H859" s="7">
        <f>IF(Data!H859=Entry2!H859,Data!H859,"ERROR")</f>
        <v>4</v>
      </c>
      <c r="I859" s="7">
        <f>IF(Data!I859=Entry2!I859,Data!I859,"ERROR")</f>
        <v>2</v>
      </c>
      <c r="J859" s="7">
        <f>IF(Data!J859=Entry2!J859,Data!J859,"ERROR")</f>
        <v>2</v>
      </c>
      <c r="K859" s="7" t="str">
        <f>IF(Data!K859=Entry2!K859,Data!K859,"ERROR")</f>
        <v>L</v>
      </c>
      <c r="L859" s="7" t="str">
        <f>IF(Data!L859=Entry2!L859,Data!L859,"ERROR")</f>
        <v>ERROR</v>
      </c>
      <c r="M859" s="7">
        <f>IF(Data!N859=Entry2!M859,Data!N859,"ERROR")</f>
        <v>0</v>
      </c>
    </row>
    <row r="860" spans="1:13" ht="13.2" x14ac:dyDescent="0.25">
      <c r="A860" s="7">
        <f>IF(Data!A860=Entry2!A860,Data!A860,"ERROR")</f>
        <v>18</v>
      </c>
      <c r="B860" s="7">
        <f>IF(Data!B860=Entry2!B860,Data!B860,"ERROR")</f>
        <v>2023</v>
      </c>
      <c r="C860" s="17">
        <f>IF(Data!C860=Entry2!C860,Data!C860,"ERROR")</f>
        <v>45197</v>
      </c>
      <c r="D860" s="7" t="str">
        <f>IF(Data!D860=Entry2!D860,Data!D860,"ERROR")</f>
        <v>MP, TL</v>
      </c>
      <c r="E860" s="7" t="str">
        <f>IF(Data!E860=Entry2!E860,Data!E860,"ERROR")</f>
        <v>VB</v>
      </c>
      <c r="F860" s="7">
        <f>IF(Data!F860=Entry2!F860,Data!F860,"ERROR")</f>
        <v>1</v>
      </c>
      <c r="G860" s="7" t="str">
        <f>IF(Data!G860=Entry2!G860,Data!G860,"ERROR")</f>
        <v>SU</v>
      </c>
      <c r="H860" s="7">
        <f>IF(Data!H860=Entry2!H860,Data!H860,"ERROR")</f>
        <v>4</v>
      </c>
      <c r="I860" s="7">
        <f>IF(Data!I860=Entry2!I860,Data!I860,"ERROR")</f>
        <v>2</v>
      </c>
      <c r="J860" s="7">
        <f>IF(Data!J860=Entry2!J860,Data!J860,"ERROR")</f>
        <v>2</v>
      </c>
      <c r="K860" s="7" t="str">
        <f>IF(Data!K860=Entry2!K860,Data!K860,"ERROR")</f>
        <v>DEIFAS</v>
      </c>
      <c r="L860" s="7" t="str">
        <f>IF(Data!L860=Entry2!L860,Data!L860,"ERROR")</f>
        <v>ERROR</v>
      </c>
      <c r="M860" s="7">
        <f>IF(Data!N860=Entry2!M860,Data!N860,"ERROR")</f>
        <v>0</v>
      </c>
    </row>
    <row r="861" spans="1:13" ht="13.2" x14ac:dyDescent="0.25">
      <c r="A861" s="7">
        <f>IF(Data!A861=Entry2!A861,Data!A861,"ERROR")</f>
        <v>18</v>
      </c>
      <c r="B861" s="7">
        <f>IF(Data!B861=Entry2!B861,Data!B861,"ERROR")</f>
        <v>2023</v>
      </c>
      <c r="C861" s="17">
        <f>IF(Data!C861=Entry2!C861,Data!C861,"ERROR")</f>
        <v>45197</v>
      </c>
      <c r="D861" s="7" t="str">
        <f>IF(Data!D861=Entry2!D861,Data!D861,"ERROR")</f>
        <v>MP, TL</v>
      </c>
      <c r="E861" s="7" t="str">
        <f>IF(Data!E861=Entry2!E861,Data!E861,"ERROR")</f>
        <v>VB</v>
      </c>
      <c r="F861" s="7">
        <f>IF(Data!F861=Entry2!F861,Data!F861,"ERROR")</f>
        <v>1</v>
      </c>
      <c r="G861" s="7" t="str">
        <f>IF(Data!G861=Entry2!G861,Data!G861,"ERROR")</f>
        <v>SU</v>
      </c>
      <c r="H861" s="7">
        <f>IF(Data!H861=Entry2!H861,Data!H861,"ERROR")</f>
        <v>5</v>
      </c>
      <c r="I861" s="7">
        <f>IF(Data!I861=Entry2!I861,Data!I861,"ERROR")</f>
        <v>2</v>
      </c>
      <c r="J861" s="7">
        <f>IF(Data!J861=Entry2!J861,Data!J861,"ERROR")</f>
        <v>3</v>
      </c>
      <c r="K861" s="7" t="str">
        <f>IF(Data!K861=Entry2!K861,Data!K861,"ERROR")</f>
        <v>L</v>
      </c>
      <c r="L861" s="7" t="str">
        <f>IF(Data!L861=Entry2!L861,Data!L861,"ERROR")</f>
        <v>ERROR</v>
      </c>
      <c r="M861" s="7">
        <f>IF(Data!N861=Entry2!M861,Data!N861,"ERROR")</f>
        <v>0</v>
      </c>
    </row>
    <row r="862" spans="1:13" ht="13.2" x14ac:dyDescent="0.25">
      <c r="A862" s="7">
        <f>IF(Data!A862=Entry2!A862,Data!A862,"ERROR")</f>
        <v>18</v>
      </c>
      <c r="B862" s="7">
        <f>IF(Data!B862=Entry2!B862,Data!B862,"ERROR")</f>
        <v>2023</v>
      </c>
      <c r="C862" s="17">
        <f>IF(Data!C862=Entry2!C862,Data!C862,"ERROR")</f>
        <v>45197</v>
      </c>
      <c r="D862" s="7" t="str">
        <f>IF(Data!D862=Entry2!D862,Data!D862,"ERROR")</f>
        <v>MP, TL</v>
      </c>
      <c r="E862" s="7" t="str">
        <f>IF(Data!E862=Entry2!E862,Data!E862,"ERROR")</f>
        <v>VB</v>
      </c>
      <c r="F862" s="7">
        <f>IF(Data!F862=Entry2!F862,Data!F862,"ERROR")</f>
        <v>1</v>
      </c>
      <c r="G862" s="7" t="str">
        <f>IF(Data!G862=Entry2!G862,Data!G862,"ERROR")</f>
        <v>SU</v>
      </c>
      <c r="H862" s="7">
        <f>IF(Data!H862=Entry2!H862,Data!H862,"ERROR")</f>
        <v>5</v>
      </c>
      <c r="I862" s="7">
        <f>IF(Data!I862=Entry2!I862,Data!I862,"ERROR")</f>
        <v>2</v>
      </c>
      <c r="J862" s="7">
        <f>IF(Data!J862=Entry2!J862,Data!J862,"ERROR")</f>
        <v>3</v>
      </c>
      <c r="K862" s="7" t="str">
        <f>IF(Data!K862=Entry2!K862,Data!K862,"ERROR")</f>
        <v>DEIFAS</v>
      </c>
      <c r="L862" s="7" t="str">
        <f>IF(Data!L862=Entry2!L862,Data!L862,"ERROR")</f>
        <v>ERROR</v>
      </c>
      <c r="M862" s="7">
        <f>IF(Data!N862=Entry2!M862,Data!N862,"ERROR")</f>
        <v>0</v>
      </c>
    </row>
    <row r="863" spans="1:13" ht="13.2" x14ac:dyDescent="0.25">
      <c r="A863" s="7">
        <f>IF(Data!A863=Entry2!A863,Data!A863,"ERROR")</f>
        <v>18</v>
      </c>
      <c r="B863" s="7">
        <f>IF(Data!B863=Entry2!B863,Data!B863,"ERROR")</f>
        <v>2023</v>
      </c>
      <c r="C863" s="17">
        <f>IF(Data!C863=Entry2!C863,Data!C863,"ERROR")</f>
        <v>45197</v>
      </c>
      <c r="D863" s="7" t="str">
        <f>IF(Data!D863=Entry2!D863,Data!D863,"ERROR")</f>
        <v>MP, TL</v>
      </c>
      <c r="E863" s="7" t="str">
        <f>IF(Data!E863=Entry2!E863,Data!E863,"ERROR")</f>
        <v>VB</v>
      </c>
      <c r="F863" s="7">
        <f>IF(Data!F863=Entry2!F863,Data!F863,"ERROR")</f>
        <v>1</v>
      </c>
      <c r="G863" s="7" t="str">
        <f>IF(Data!G863=Entry2!G863,Data!G863,"ERROR")</f>
        <v>SU</v>
      </c>
      <c r="H863" s="7">
        <f>IF(Data!H863=Entry2!H863,Data!H863,"ERROR")</f>
        <v>6</v>
      </c>
      <c r="I863" s="7">
        <f>IF(Data!I863=Entry2!I863,Data!I863,"ERROR")</f>
        <v>2</v>
      </c>
      <c r="J863" s="7">
        <f>IF(Data!J863=Entry2!J863,Data!J863,"ERROR")</f>
        <v>3.5</v>
      </c>
      <c r="K863" s="7" t="str">
        <f>IF(Data!K863=Entry2!K863,Data!K863,"ERROR")</f>
        <v>L</v>
      </c>
      <c r="L863" s="7" t="str">
        <f>IF(Data!L863=Entry2!L863,Data!L863,"ERROR")</f>
        <v>ERROR</v>
      </c>
      <c r="M863" s="7">
        <f>IF(Data!N863=Entry2!M863,Data!N863,"ERROR")</f>
        <v>0</v>
      </c>
    </row>
    <row r="864" spans="1:13" ht="13.2" x14ac:dyDescent="0.25">
      <c r="A864" s="7">
        <f>IF(Data!A864=Entry2!A864,Data!A864,"ERROR")</f>
        <v>18</v>
      </c>
      <c r="B864" s="7">
        <f>IF(Data!B864=Entry2!B864,Data!B864,"ERROR")</f>
        <v>2023</v>
      </c>
      <c r="C864" s="17">
        <f>IF(Data!C864=Entry2!C864,Data!C864,"ERROR")</f>
        <v>45197</v>
      </c>
      <c r="D864" s="7" t="str">
        <f>IF(Data!D864=Entry2!D864,Data!D864,"ERROR")</f>
        <v>MP, TL</v>
      </c>
      <c r="E864" s="7" t="str">
        <f>IF(Data!E864=Entry2!E864,Data!E864,"ERROR")</f>
        <v>VB</v>
      </c>
      <c r="F864" s="7">
        <f>IF(Data!F864=Entry2!F864,Data!F864,"ERROR")</f>
        <v>1</v>
      </c>
      <c r="G864" s="7" t="str">
        <f>IF(Data!G864=Entry2!G864,Data!G864,"ERROR")</f>
        <v>SU</v>
      </c>
      <c r="H864" s="7">
        <f>IF(Data!H864=Entry2!H864,Data!H864,"ERROR")</f>
        <v>6</v>
      </c>
      <c r="I864" s="7">
        <f>IF(Data!I864=Entry2!I864,Data!I864,"ERROR")</f>
        <v>2</v>
      </c>
      <c r="J864" s="7">
        <f>IF(Data!J864=Entry2!J864,Data!J864,"ERROR")</f>
        <v>3.5</v>
      </c>
      <c r="K864" s="7" t="str">
        <f>IF(Data!K864=Entry2!K864,Data!K864,"ERROR")</f>
        <v>DEIFAS</v>
      </c>
      <c r="L864" s="7" t="str">
        <f>IF(Data!L864=Entry2!L864,Data!L864,"ERROR")</f>
        <v>ERROR</v>
      </c>
      <c r="M864" s="7">
        <f>IF(Data!N864=Entry2!M864,Data!N864,"ERROR")</f>
        <v>0</v>
      </c>
    </row>
    <row r="865" spans="1:13" ht="13.2" x14ac:dyDescent="0.25">
      <c r="A865" s="7">
        <f>IF(Data!A865=Entry2!A865,Data!A865,"ERROR")</f>
        <v>18</v>
      </c>
      <c r="B865" s="7">
        <f>IF(Data!B865=Entry2!B865,Data!B865,"ERROR")</f>
        <v>2023</v>
      </c>
      <c r="C865" s="17">
        <f>IF(Data!C865=Entry2!C865,Data!C865,"ERROR")</f>
        <v>45197</v>
      </c>
      <c r="D865" s="7" t="str">
        <f>IF(Data!D865=Entry2!D865,Data!D865,"ERROR")</f>
        <v>MP, TL</v>
      </c>
      <c r="E865" s="7" t="str">
        <f>IF(Data!E865=Entry2!E865,Data!E865,"ERROR")</f>
        <v>VB</v>
      </c>
      <c r="F865" s="7">
        <f>IF(Data!F865=Entry2!F865,Data!F865,"ERROR")</f>
        <v>1</v>
      </c>
      <c r="G865" s="7" t="str">
        <f>IF(Data!G865=Entry2!G865,Data!G865,"ERROR")</f>
        <v>SU</v>
      </c>
      <c r="H865" s="7">
        <f>IF(Data!H865=Entry2!H865,Data!H865,"ERROR")</f>
        <v>7</v>
      </c>
      <c r="I865" s="7">
        <f>IF(Data!I865=Entry2!I865,Data!I865,"ERROR")</f>
        <v>2</v>
      </c>
      <c r="J865" s="7">
        <f>IF(Data!J865=Entry2!J865,Data!J865,"ERROR")</f>
        <v>4</v>
      </c>
      <c r="K865" s="7" t="str">
        <f>IF(Data!K865=Entry2!K865,Data!K865,"ERROR")</f>
        <v>L</v>
      </c>
      <c r="L865" s="7" t="str">
        <f>IF(Data!L865=Entry2!L865,Data!L865,"ERROR")</f>
        <v>ERROR</v>
      </c>
      <c r="M865" s="7">
        <f>IF(Data!N865=Entry2!M865,Data!N865,"ERROR")</f>
        <v>0</v>
      </c>
    </row>
    <row r="866" spans="1:13" ht="13.2" x14ac:dyDescent="0.25">
      <c r="A866" s="7">
        <f>IF(Data!A866=Entry2!A866,Data!A866,"ERROR")</f>
        <v>18</v>
      </c>
      <c r="B866" s="7">
        <f>IF(Data!B866=Entry2!B866,Data!B866,"ERROR")</f>
        <v>2023</v>
      </c>
      <c r="C866" s="17">
        <f>IF(Data!C866=Entry2!C866,Data!C866,"ERROR")</f>
        <v>45197</v>
      </c>
      <c r="D866" s="7" t="str">
        <f>IF(Data!D866=Entry2!D866,Data!D866,"ERROR")</f>
        <v>MP, TL</v>
      </c>
      <c r="E866" s="7" t="str">
        <f>IF(Data!E866=Entry2!E866,Data!E866,"ERROR")</f>
        <v>VB</v>
      </c>
      <c r="F866" s="7">
        <f>IF(Data!F866=Entry2!F866,Data!F866,"ERROR")</f>
        <v>1</v>
      </c>
      <c r="G866" s="7" t="str">
        <f>IF(Data!G866=Entry2!G866,Data!G866,"ERROR")</f>
        <v>SU</v>
      </c>
      <c r="H866" s="7">
        <f>IF(Data!H866=Entry2!H866,Data!H866,"ERROR")</f>
        <v>7</v>
      </c>
      <c r="I866" s="7">
        <f>IF(Data!I866=Entry2!I866,Data!I866,"ERROR")</f>
        <v>2</v>
      </c>
      <c r="J866" s="7">
        <f>IF(Data!J866=Entry2!J866,Data!J866,"ERROR")</f>
        <v>4</v>
      </c>
      <c r="K866" s="7" t="str">
        <f>IF(Data!K866=Entry2!K866,Data!K866,"ERROR")</f>
        <v>DEIFAS</v>
      </c>
      <c r="L866" s="7" t="str">
        <f>IF(Data!L866=Entry2!L866,Data!L866,"ERROR")</f>
        <v>ERROR</v>
      </c>
      <c r="M866" s="7">
        <f>IF(Data!N866=Entry2!M866,Data!N866,"ERROR")</f>
        <v>0</v>
      </c>
    </row>
    <row r="867" spans="1:13" ht="13.2" x14ac:dyDescent="0.25">
      <c r="A867" s="7">
        <f>IF(Data!A867=Entry2!A867,Data!A867,"ERROR")</f>
        <v>18</v>
      </c>
      <c r="B867" s="7">
        <f>IF(Data!B867=Entry2!B867,Data!B867,"ERROR")</f>
        <v>2023</v>
      </c>
      <c r="C867" s="17">
        <f>IF(Data!C867=Entry2!C867,Data!C867,"ERROR")</f>
        <v>45197</v>
      </c>
      <c r="D867" s="7" t="str">
        <f>IF(Data!D867=Entry2!D867,Data!D867,"ERROR")</f>
        <v>MP, TL</v>
      </c>
      <c r="E867" s="7" t="str">
        <f>IF(Data!E867=Entry2!E867,Data!E867,"ERROR")</f>
        <v>VB</v>
      </c>
      <c r="F867" s="7">
        <f>IF(Data!F867=Entry2!F867,Data!F867,"ERROR")</f>
        <v>1</v>
      </c>
      <c r="G867" s="7" t="str">
        <f>IF(Data!G867=Entry2!G867,Data!G867,"ERROR")</f>
        <v>SU</v>
      </c>
      <c r="H867" s="7">
        <f>IF(Data!H867=Entry2!H867,Data!H867,"ERROR")</f>
        <v>8</v>
      </c>
      <c r="I867" s="7">
        <f>IF(Data!I867=Entry2!I867,Data!I867,"ERROR")</f>
        <v>2</v>
      </c>
      <c r="J867" s="7">
        <f>IF(Data!J867=Entry2!J867,Data!J867,"ERROR")</f>
        <v>5</v>
      </c>
      <c r="K867" s="7" t="str">
        <f>IF(Data!K867=Entry2!K867,Data!K867,"ERROR")</f>
        <v>L</v>
      </c>
      <c r="L867" s="7" t="str">
        <f>IF(Data!L867=Entry2!L867,Data!L867,"ERROR")</f>
        <v>ERROR</v>
      </c>
      <c r="M867" s="7">
        <f>IF(Data!N867=Entry2!M867,Data!N867,"ERROR")</f>
        <v>0</v>
      </c>
    </row>
    <row r="868" spans="1:13" ht="13.2" x14ac:dyDescent="0.25">
      <c r="A868" s="7">
        <f>IF(Data!A868=Entry2!A868,Data!A868,"ERROR")</f>
        <v>18</v>
      </c>
      <c r="B868" s="7">
        <f>IF(Data!B868=Entry2!B868,Data!B868,"ERROR")</f>
        <v>2023</v>
      </c>
      <c r="C868" s="17">
        <f>IF(Data!C868=Entry2!C868,Data!C868,"ERROR")</f>
        <v>45197</v>
      </c>
      <c r="D868" s="7" t="str">
        <f>IF(Data!D868=Entry2!D868,Data!D868,"ERROR")</f>
        <v>MP, TL</v>
      </c>
      <c r="E868" s="7" t="str">
        <f>IF(Data!E868=Entry2!E868,Data!E868,"ERROR")</f>
        <v>VB</v>
      </c>
      <c r="F868" s="7">
        <f>IF(Data!F868=Entry2!F868,Data!F868,"ERROR")</f>
        <v>1</v>
      </c>
      <c r="G868" s="7" t="str">
        <f>IF(Data!G868=Entry2!G868,Data!G868,"ERROR")</f>
        <v>SU</v>
      </c>
      <c r="H868" s="7">
        <f>IF(Data!H868=Entry2!H868,Data!H868,"ERROR")</f>
        <v>8</v>
      </c>
      <c r="I868" s="7">
        <f>IF(Data!I868=Entry2!I868,Data!I868,"ERROR")</f>
        <v>2</v>
      </c>
      <c r="J868" s="7">
        <f>IF(Data!J868=Entry2!J868,Data!J868,"ERROR")</f>
        <v>5</v>
      </c>
      <c r="K868" s="7" t="str">
        <f>IF(Data!K868=Entry2!K868,Data!K868,"ERROR")</f>
        <v>CENMEL</v>
      </c>
      <c r="L868" s="7" t="str">
        <f>IF(Data!L868=Entry2!L868,Data!L868,"ERROR")</f>
        <v>ERROR</v>
      </c>
      <c r="M868" s="7">
        <f>IF(Data!N868=Entry2!M868,Data!N868,"ERROR")</f>
        <v>0</v>
      </c>
    </row>
    <row r="869" spans="1:13" ht="13.2" x14ac:dyDescent="0.25">
      <c r="A869" s="7">
        <f>IF(Data!A869=Entry2!A869,Data!A869,"ERROR")</f>
        <v>18</v>
      </c>
      <c r="B869" s="7">
        <f>IF(Data!B869=Entry2!B869,Data!B869,"ERROR")</f>
        <v>2023</v>
      </c>
      <c r="C869" s="17">
        <f>IF(Data!C869=Entry2!C869,Data!C869,"ERROR")</f>
        <v>45197</v>
      </c>
      <c r="D869" s="7" t="str">
        <f>IF(Data!D869=Entry2!D869,Data!D869,"ERROR")</f>
        <v>MP, TL</v>
      </c>
      <c r="E869" s="7" t="str">
        <f>IF(Data!E869=Entry2!E869,Data!E869,"ERROR")</f>
        <v>VB</v>
      </c>
      <c r="F869" s="7">
        <f>IF(Data!F869=Entry2!F869,Data!F869,"ERROR")</f>
        <v>1</v>
      </c>
      <c r="G869" s="7" t="str">
        <f>IF(Data!G869=Entry2!G869,Data!G869,"ERROR")</f>
        <v>SU</v>
      </c>
      <c r="H869" s="7">
        <f>IF(Data!H869=Entry2!H869,Data!H869,"ERROR")</f>
        <v>9</v>
      </c>
      <c r="I869" s="7">
        <f>IF(Data!I869=Entry2!I869,Data!I869,"ERROR")</f>
        <v>2</v>
      </c>
      <c r="J869" s="7">
        <f>IF(Data!J869=Entry2!J869,Data!J869,"ERROR")</f>
        <v>7</v>
      </c>
      <c r="K869" s="7" t="str">
        <f>IF(Data!K869=Entry2!K869,Data!K869,"ERROR")</f>
        <v>L</v>
      </c>
      <c r="L869" s="7" t="str">
        <f>IF(Data!L869=Entry2!L869,Data!L869,"ERROR")</f>
        <v>ERROR</v>
      </c>
      <c r="M869" s="7">
        <f>IF(Data!N869=Entry2!M869,Data!N869,"ERROR")</f>
        <v>0</v>
      </c>
    </row>
    <row r="870" spans="1:13" ht="13.2" x14ac:dyDescent="0.25">
      <c r="A870" s="7">
        <f>IF(Data!A870=Entry2!A870,Data!A870,"ERROR")</f>
        <v>18</v>
      </c>
      <c r="B870" s="7">
        <f>IF(Data!B870=Entry2!B870,Data!B870,"ERROR")</f>
        <v>2023</v>
      </c>
      <c r="C870" s="17">
        <f>IF(Data!C870=Entry2!C870,Data!C870,"ERROR")</f>
        <v>45197</v>
      </c>
      <c r="D870" s="7" t="str">
        <f>IF(Data!D870=Entry2!D870,Data!D870,"ERROR")</f>
        <v>MP, TL</v>
      </c>
      <c r="E870" s="7" t="str">
        <f>IF(Data!E870=Entry2!E870,Data!E870,"ERROR")</f>
        <v>VB</v>
      </c>
      <c r="F870" s="7">
        <f>IF(Data!F870=Entry2!F870,Data!F870,"ERROR")</f>
        <v>1</v>
      </c>
      <c r="G870" s="7" t="str">
        <f>IF(Data!G870=Entry2!G870,Data!G870,"ERROR")</f>
        <v>SU</v>
      </c>
      <c r="H870" s="7">
        <f>IF(Data!H870=Entry2!H870,Data!H870,"ERROR")</f>
        <v>9</v>
      </c>
      <c r="I870" s="7">
        <f>IF(Data!I870=Entry2!I870,Data!I870,"ERROR")</f>
        <v>2</v>
      </c>
      <c r="J870" s="7">
        <f>IF(Data!J870=Entry2!J870,Data!J870,"ERROR")</f>
        <v>7</v>
      </c>
      <c r="K870" s="7" t="str">
        <f>IF(Data!K870=Entry2!K870,Data!K870,"ERROR")</f>
        <v>DEIFAS</v>
      </c>
      <c r="L870" s="7" t="str">
        <f>IF(Data!L870=Entry2!L870,Data!L870,"ERROR")</f>
        <v>ERROR</v>
      </c>
      <c r="M870" s="7">
        <f>IF(Data!N870=Entry2!M870,Data!N870,"ERROR")</f>
        <v>0</v>
      </c>
    </row>
    <row r="871" spans="1:13" ht="13.2" x14ac:dyDescent="0.25">
      <c r="A871" s="7">
        <f>IF(Data!A871=Entry2!A871,Data!A871,"ERROR")</f>
        <v>18</v>
      </c>
      <c r="B871" s="7">
        <f>IF(Data!B871=Entry2!B871,Data!B871,"ERROR")</f>
        <v>2023</v>
      </c>
      <c r="C871" s="17">
        <f>IF(Data!C871=Entry2!C871,Data!C871,"ERROR")</f>
        <v>45197</v>
      </c>
      <c r="D871" s="7" t="str">
        <f>IF(Data!D871=Entry2!D871,Data!D871,"ERROR")</f>
        <v>MP, TL</v>
      </c>
      <c r="E871" s="7" t="str">
        <f>IF(Data!E871=Entry2!E871,Data!E871,"ERROR")</f>
        <v>VB</v>
      </c>
      <c r="F871" s="7">
        <f>IF(Data!F871=Entry2!F871,Data!F871,"ERROR")</f>
        <v>1</v>
      </c>
      <c r="G871" s="7" t="str">
        <f>IF(Data!G871=Entry2!G871,Data!G871,"ERROR")</f>
        <v>SU</v>
      </c>
      <c r="H871" s="7">
        <f>IF(Data!H871=Entry2!H871,Data!H871,"ERROR")</f>
        <v>10</v>
      </c>
      <c r="I871" s="7">
        <f>IF(Data!I871=Entry2!I871,Data!I871,"ERROR")</f>
        <v>2</v>
      </c>
      <c r="J871" s="7">
        <f>IF(Data!J871=Entry2!J871,Data!J871,"ERROR")</f>
        <v>8</v>
      </c>
      <c r="K871" s="7" t="str">
        <f>IF(Data!K871=Entry2!K871,Data!K871,"ERROR")</f>
        <v>L</v>
      </c>
      <c r="L871" s="7" t="str">
        <f>IF(Data!L871=Entry2!L871,Data!L871,"ERROR")</f>
        <v>ERROR</v>
      </c>
      <c r="M871" s="7">
        <f>IF(Data!N871=Entry2!M871,Data!N871,"ERROR")</f>
        <v>0</v>
      </c>
    </row>
    <row r="872" spans="1:13" ht="13.2" x14ac:dyDescent="0.25">
      <c r="A872" s="7">
        <f>IF(Data!A872=Entry2!A872,Data!A872,"ERROR")</f>
        <v>18</v>
      </c>
      <c r="B872" s="7">
        <f>IF(Data!B872=Entry2!B872,Data!B872,"ERROR")</f>
        <v>2023</v>
      </c>
      <c r="C872" s="17">
        <f>IF(Data!C872=Entry2!C872,Data!C872,"ERROR")</f>
        <v>45197</v>
      </c>
      <c r="D872" s="7" t="str">
        <f>IF(Data!D872=Entry2!D872,Data!D872,"ERROR")</f>
        <v>MP, TL</v>
      </c>
      <c r="E872" s="7" t="str">
        <f>IF(Data!E872=Entry2!E872,Data!E872,"ERROR")</f>
        <v>VB</v>
      </c>
      <c r="F872" s="7">
        <f>IF(Data!F872=Entry2!F872,Data!F872,"ERROR")</f>
        <v>1</v>
      </c>
      <c r="G872" s="7" t="str">
        <f>IF(Data!G872=Entry2!G872,Data!G872,"ERROR")</f>
        <v>SU</v>
      </c>
      <c r="H872" s="7">
        <f>IF(Data!H872=Entry2!H872,Data!H872,"ERROR")</f>
        <v>10</v>
      </c>
      <c r="I872" s="7">
        <f>IF(Data!I872=Entry2!I872,Data!I872,"ERROR")</f>
        <v>2</v>
      </c>
      <c r="J872" s="7">
        <f>IF(Data!J872=Entry2!J872,Data!J872,"ERROR")</f>
        <v>8</v>
      </c>
      <c r="K872" s="7" t="str">
        <f>IF(Data!K872=Entry2!K872,Data!K872,"ERROR")</f>
        <v>DEIFAS</v>
      </c>
      <c r="L872" s="7" t="str">
        <f>IF(Data!L872=Entry2!L872,Data!L872,"ERROR")</f>
        <v>ERROR</v>
      </c>
      <c r="M872" s="7">
        <f>IF(Data!N872=Entry2!M872,Data!N872,"ERROR")</f>
        <v>0</v>
      </c>
    </row>
    <row r="873" spans="1:13" ht="13.2" x14ac:dyDescent="0.25">
      <c r="A873" s="7">
        <f>IF(Data!A873=Entry2!A873,Data!A873,"ERROR")</f>
        <v>18</v>
      </c>
      <c r="B873" s="7">
        <f>IF(Data!B873=Entry2!B873,Data!B873,"ERROR")</f>
        <v>2023</v>
      </c>
      <c r="C873" s="17">
        <f>IF(Data!C873=Entry2!C873,Data!C873,"ERROR")</f>
        <v>45197</v>
      </c>
      <c r="D873" s="7" t="str">
        <f>IF(Data!D873=Entry2!D873,Data!D873,"ERROR")</f>
        <v>MP, TL</v>
      </c>
      <c r="E873" s="7" t="str">
        <f>IF(Data!E873=Entry2!E873,Data!E873,"ERROR")</f>
        <v>VB</v>
      </c>
      <c r="F873" s="7">
        <f>IF(Data!F873=Entry2!F873,Data!F873,"ERROR")</f>
        <v>1</v>
      </c>
      <c r="G873" s="7" t="str">
        <f>IF(Data!G873=Entry2!G873,Data!G873,"ERROR")</f>
        <v>SU</v>
      </c>
      <c r="H873" s="7">
        <f>IF(Data!H873=Entry2!H873,Data!H873,"ERROR")</f>
        <v>11</v>
      </c>
      <c r="I873" s="7">
        <f>IF(Data!I873=Entry2!I873,Data!I873,"ERROR")</f>
        <v>2</v>
      </c>
      <c r="J873" s="7">
        <f>IF(Data!J873=Entry2!J873,Data!J873,"ERROR")</f>
        <v>8.5</v>
      </c>
      <c r="K873" s="7" t="str">
        <f>IF(Data!K873=Entry2!K873,Data!K873,"ERROR")</f>
        <v>L</v>
      </c>
      <c r="L873" s="7" t="str">
        <f>IF(Data!L873=Entry2!L873,Data!L873,"ERROR")</f>
        <v>ERROR</v>
      </c>
      <c r="M873" s="7">
        <f>IF(Data!N873=Entry2!M873,Data!N873,"ERROR")</f>
        <v>0</v>
      </c>
    </row>
    <row r="874" spans="1:13" ht="13.2" x14ac:dyDescent="0.25">
      <c r="A874" s="7">
        <f>IF(Data!A874=Entry2!A874,Data!A874,"ERROR")</f>
        <v>18</v>
      </c>
      <c r="B874" s="7">
        <f>IF(Data!B874=Entry2!B874,Data!B874,"ERROR")</f>
        <v>2023</v>
      </c>
      <c r="C874" s="17">
        <f>IF(Data!C874=Entry2!C874,Data!C874,"ERROR")</f>
        <v>45197</v>
      </c>
      <c r="D874" s="7" t="str">
        <f>IF(Data!D874=Entry2!D874,Data!D874,"ERROR")</f>
        <v>MP, TL</v>
      </c>
      <c r="E874" s="7" t="str">
        <f>IF(Data!E874=Entry2!E874,Data!E874,"ERROR")</f>
        <v>VB</v>
      </c>
      <c r="F874" s="7">
        <f>IF(Data!F874=Entry2!F874,Data!F874,"ERROR")</f>
        <v>1</v>
      </c>
      <c r="G874" s="7" t="str">
        <f>IF(Data!G874=Entry2!G874,Data!G874,"ERROR")</f>
        <v>SU</v>
      </c>
      <c r="H874" s="7">
        <f>IF(Data!H874=Entry2!H874,Data!H874,"ERROR")</f>
        <v>11</v>
      </c>
      <c r="I874" s="7">
        <f>IF(Data!I874=Entry2!I874,Data!I874,"ERROR")</f>
        <v>2</v>
      </c>
      <c r="J874" s="7">
        <f>IF(Data!J874=Entry2!J874,Data!J874,"ERROR")</f>
        <v>8.5</v>
      </c>
      <c r="K874" s="7" t="str">
        <f>IF(Data!K874=Entry2!K874,Data!K874,"ERROR")</f>
        <v>DEIFAS</v>
      </c>
      <c r="L874" s="7" t="str">
        <f>IF(Data!L874=Entry2!L874,Data!L874,"ERROR")</f>
        <v>ERROR</v>
      </c>
      <c r="M874" s="7">
        <f>IF(Data!N874=Entry2!M874,Data!N874,"ERROR")</f>
        <v>0</v>
      </c>
    </row>
    <row r="875" spans="1:13" ht="13.2" x14ac:dyDescent="0.25">
      <c r="A875" s="7">
        <f>IF(Data!A875=Entry2!A875,Data!A875,"ERROR")</f>
        <v>18</v>
      </c>
      <c r="B875" s="7">
        <f>IF(Data!B875=Entry2!B875,Data!B875,"ERROR")</f>
        <v>2023</v>
      </c>
      <c r="C875" s="17">
        <f>IF(Data!C875=Entry2!C875,Data!C875,"ERROR")</f>
        <v>45197</v>
      </c>
      <c r="D875" s="7" t="str">
        <f>IF(Data!D875=Entry2!D875,Data!D875,"ERROR")</f>
        <v>MP, TL</v>
      </c>
      <c r="E875" s="7" t="str">
        <f>IF(Data!E875=Entry2!E875,Data!E875,"ERROR")</f>
        <v>VB</v>
      </c>
      <c r="F875" s="7">
        <f>IF(Data!F875=Entry2!F875,Data!F875,"ERROR")</f>
        <v>1</v>
      </c>
      <c r="G875" s="7" t="str">
        <f>IF(Data!G875=Entry2!G875,Data!G875,"ERROR")</f>
        <v>SU</v>
      </c>
      <c r="H875" s="7">
        <f>IF(Data!H875=Entry2!H875,Data!H875,"ERROR")</f>
        <v>12</v>
      </c>
      <c r="I875" s="7">
        <f>IF(Data!I875=Entry2!I875,Data!I875,"ERROR")</f>
        <v>2</v>
      </c>
      <c r="J875" s="7">
        <f>IF(Data!J875=Entry2!J875,Data!J875,"ERROR")</f>
        <v>9</v>
      </c>
      <c r="K875" s="7" t="str">
        <f>IF(Data!K875=Entry2!K875,Data!K875,"ERROR")</f>
        <v>L</v>
      </c>
      <c r="L875" s="7" t="str">
        <f>IF(Data!L875=Entry2!L875,Data!L875,"ERROR")</f>
        <v>ERROR</v>
      </c>
      <c r="M875" s="7">
        <f>IF(Data!N875=Entry2!M875,Data!N875,"ERROR")</f>
        <v>0</v>
      </c>
    </row>
    <row r="876" spans="1:13" ht="13.2" x14ac:dyDescent="0.25">
      <c r="A876" s="7">
        <f>IF(Data!A876=Entry2!A876,Data!A876,"ERROR")</f>
        <v>18</v>
      </c>
      <c r="B876" s="7">
        <f>IF(Data!B876=Entry2!B876,Data!B876,"ERROR")</f>
        <v>2023</v>
      </c>
      <c r="C876" s="17">
        <f>IF(Data!C876=Entry2!C876,Data!C876,"ERROR")</f>
        <v>45197</v>
      </c>
      <c r="D876" s="7" t="str">
        <f>IF(Data!D876=Entry2!D876,Data!D876,"ERROR")</f>
        <v>MP, TL</v>
      </c>
      <c r="E876" s="7" t="str">
        <f>IF(Data!E876=Entry2!E876,Data!E876,"ERROR")</f>
        <v>VB</v>
      </c>
      <c r="F876" s="7">
        <f>IF(Data!F876=Entry2!F876,Data!F876,"ERROR")</f>
        <v>1</v>
      </c>
      <c r="G876" s="7" t="str">
        <f>IF(Data!G876=Entry2!G876,Data!G876,"ERROR")</f>
        <v>SU</v>
      </c>
      <c r="H876" s="7">
        <f>IF(Data!H876=Entry2!H876,Data!H876,"ERROR")</f>
        <v>12</v>
      </c>
      <c r="I876" s="7">
        <f>IF(Data!I876=Entry2!I876,Data!I876,"ERROR")</f>
        <v>2</v>
      </c>
      <c r="J876" s="7">
        <f>IF(Data!J876=Entry2!J876,Data!J876,"ERROR")</f>
        <v>9</v>
      </c>
      <c r="K876" s="7" t="str">
        <f>IF(Data!K876=Entry2!K876,Data!K876,"ERROR")</f>
        <v>DEIFAS</v>
      </c>
      <c r="L876" s="7" t="str">
        <f>IF(Data!L876=Entry2!L876,Data!L876,"ERROR")</f>
        <v>ERROR</v>
      </c>
      <c r="M876" s="7">
        <f>IF(Data!N876=Entry2!M876,Data!N876,"ERROR")</f>
        <v>0</v>
      </c>
    </row>
    <row r="877" spans="1:13" ht="13.2" x14ac:dyDescent="0.25">
      <c r="A877" s="7">
        <f>IF(Data!A877=Entry2!A877,Data!A877,"ERROR")</f>
        <v>18</v>
      </c>
      <c r="B877" s="7">
        <f>IF(Data!B877=Entry2!B877,Data!B877,"ERROR")</f>
        <v>2023</v>
      </c>
      <c r="C877" s="17">
        <f>IF(Data!C877=Entry2!C877,Data!C877,"ERROR")</f>
        <v>45197</v>
      </c>
      <c r="D877" s="7" t="str">
        <f>IF(Data!D877=Entry2!D877,Data!D877,"ERROR")</f>
        <v>MP, TL</v>
      </c>
      <c r="E877" s="7" t="str">
        <f>IF(Data!E877=Entry2!E877,Data!E877,"ERROR")</f>
        <v>VB</v>
      </c>
      <c r="F877" s="7">
        <f>IF(Data!F877=Entry2!F877,Data!F877,"ERROR")</f>
        <v>1</v>
      </c>
      <c r="G877" s="7" t="str">
        <f>IF(Data!G877=Entry2!G877,Data!G877,"ERROR")</f>
        <v>SU</v>
      </c>
      <c r="H877" s="7">
        <f>IF(Data!H877=Entry2!H877,Data!H877,"ERROR")</f>
        <v>13</v>
      </c>
      <c r="I877" s="7">
        <f>IF(Data!I877=Entry2!I877,Data!I877,"ERROR")</f>
        <v>2</v>
      </c>
      <c r="J877" s="7">
        <f>IF(Data!J877=Entry2!J877,Data!J877,"ERROR")</f>
        <v>10</v>
      </c>
      <c r="K877" s="7" t="str">
        <f>IF(Data!K877=Entry2!K877,Data!K877,"ERROR")</f>
        <v>L</v>
      </c>
      <c r="L877" s="7" t="str">
        <f>IF(Data!L877=Entry2!L877,Data!L877,"ERROR")</f>
        <v>ERROR</v>
      </c>
      <c r="M877" s="7">
        <f>IF(Data!N877=Entry2!M877,Data!N877,"ERROR")</f>
        <v>0</v>
      </c>
    </row>
    <row r="878" spans="1:13" ht="13.2" x14ac:dyDescent="0.25">
      <c r="A878" s="7">
        <f>IF(Data!A878=Entry2!A878,Data!A878,"ERROR")</f>
        <v>18</v>
      </c>
      <c r="B878" s="7">
        <f>IF(Data!B878=Entry2!B878,Data!B878,"ERROR")</f>
        <v>2023</v>
      </c>
      <c r="C878" s="17">
        <f>IF(Data!C878=Entry2!C878,Data!C878,"ERROR")</f>
        <v>45197</v>
      </c>
      <c r="D878" s="7" t="str">
        <f>IF(Data!D878=Entry2!D878,Data!D878,"ERROR")</f>
        <v>MP, TL</v>
      </c>
      <c r="E878" s="7" t="str">
        <f>IF(Data!E878=Entry2!E878,Data!E878,"ERROR")</f>
        <v>VB</v>
      </c>
      <c r="F878" s="7">
        <f>IF(Data!F878=Entry2!F878,Data!F878,"ERROR")</f>
        <v>1</v>
      </c>
      <c r="G878" s="7" t="str">
        <f>IF(Data!G878=Entry2!G878,Data!G878,"ERROR")</f>
        <v>SU</v>
      </c>
      <c r="H878" s="7">
        <f>IF(Data!H878=Entry2!H878,Data!H878,"ERROR")</f>
        <v>13</v>
      </c>
      <c r="I878" s="7">
        <f>IF(Data!I878=Entry2!I878,Data!I878,"ERROR")</f>
        <v>2</v>
      </c>
      <c r="J878" s="7">
        <f>IF(Data!J878=Entry2!J878,Data!J878,"ERROR")</f>
        <v>10</v>
      </c>
      <c r="K878" s="7" t="str">
        <f>IF(Data!K878=Entry2!K878,Data!K878,"ERROR")</f>
        <v>DEIFAS</v>
      </c>
      <c r="L878" s="7" t="str">
        <f>IF(Data!L878=Entry2!L878,Data!L878,"ERROR")</f>
        <v>ERROR</v>
      </c>
      <c r="M878" s="7">
        <f>IF(Data!N878=Entry2!M878,Data!N878,"ERROR")</f>
        <v>0</v>
      </c>
    </row>
    <row r="879" spans="1:13" ht="13.2" x14ac:dyDescent="0.25">
      <c r="A879" s="7">
        <f>IF(Data!A879=Entry2!A879,Data!A879,"ERROR")</f>
        <v>18</v>
      </c>
      <c r="B879" s="7">
        <f>IF(Data!B879=Entry2!B879,Data!B879,"ERROR")</f>
        <v>2023</v>
      </c>
      <c r="C879" s="17">
        <f>IF(Data!C879=Entry2!C879,Data!C879,"ERROR")</f>
        <v>45197</v>
      </c>
      <c r="D879" s="7" t="str">
        <f>IF(Data!D879=Entry2!D879,Data!D879,"ERROR")</f>
        <v>MP, TL</v>
      </c>
      <c r="E879" s="7" t="str">
        <f>IF(Data!E879=Entry2!E879,Data!E879,"ERROR")</f>
        <v>VB</v>
      </c>
      <c r="F879" s="7">
        <f>IF(Data!F879=Entry2!F879,Data!F879,"ERROR")</f>
        <v>1</v>
      </c>
      <c r="G879" s="7" t="str">
        <f>IF(Data!G879=Entry2!G879,Data!G879,"ERROR")</f>
        <v>SU</v>
      </c>
      <c r="H879" s="7">
        <f>IF(Data!H879=Entry2!H879,Data!H879,"ERROR")</f>
        <v>14</v>
      </c>
      <c r="I879" s="7">
        <f>IF(Data!I879=Entry2!I879,Data!I879,"ERROR")</f>
        <v>2</v>
      </c>
      <c r="J879" s="7">
        <f>IF(Data!J879=Entry2!J879,Data!J879,"ERROR")</f>
        <v>11</v>
      </c>
      <c r="K879" s="7" t="str">
        <f>IF(Data!K879=Entry2!K879,Data!K879,"ERROR")</f>
        <v>B</v>
      </c>
      <c r="L879" s="7" t="str">
        <f>IF(Data!L879=Entry2!L879,Data!L879,"ERROR")</f>
        <v>ERROR</v>
      </c>
      <c r="M879" s="7">
        <f>IF(Data!N879=Entry2!M879,Data!N879,"ERROR")</f>
        <v>0</v>
      </c>
    </row>
    <row r="880" spans="1:13" ht="13.2" x14ac:dyDescent="0.25">
      <c r="A880" s="7">
        <f>IF(Data!A880=Entry2!A880,Data!A880,"ERROR")</f>
        <v>18</v>
      </c>
      <c r="B880" s="7">
        <f>IF(Data!B880=Entry2!B880,Data!B880,"ERROR")</f>
        <v>2023</v>
      </c>
      <c r="C880" s="17">
        <f>IF(Data!C880=Entry2!C880,Data!C880,"ERROR")</f>
        <v>45197</v>
      </c>
      <c r="D880" s="7" t="str">
        <f>IF(Data!D880=Entry2!D880,Data!D880,"ERROR")</f>
        <v>MP, TL</v>
      </c>
      <c r="E880" s="7" t="str">
        <f>IF(Data!E880=Entry2!E880,Data!E880,"ERROR")</f>
        <v>VB</v>
      </c>
      <c r="F880" s="7">
        <f>IF(Data!F880=Entry2!F880,Data!F880,"ERROR")</f>
        <v>1</v>
      </c>
      <c r="G880" s="7" t="str">
        <f>IF(Data!G880=Entry2!G880,Data!G880,"ERROR")</f>
        <v>SU</v>
      </c>
      <c r="H880" s="7">
        <f>IF(Data!H880=Entry2!H880,Data!H880,"ERROR")</f>
        <v>14</v>
      </c>
      <c r="I880" s="7">
        <f>IF(Data!I880=Entry2!I880,Data!I880,"ERROR")</f>
        <v>2</v>
      </c>
      <c r="J880" s="7">
        <f>IF(Data!J880=Entry2!J880,Data!J880,"ERROR")</f>
        <v>11</v>
      </c>
      <c r="K880" s="7" t="str">
        <f>IF(Data!K880=Entry2!K880,Data!K880,"ERROR")</f>
        <v>EROCIC</v>
      </c>
      <c r="L880" s="7" t="str">
        <f>IF(Data!L880=Entry2!L880,Data!L880,"ERROR")</f>
        <v>ERROR</v>
      </c>
      <c r="M880" s="7">
        <f>IF(Data!N880=Entry2!M880,Data!N880,"ERROR")</f>
        <v>0</v>
      </c>
    </row>
    <row r="881" spans="1:13" ht="13.2" x14ac:dyDescent="0.25">
      <c r="A881" s="7">
        <f>IF(Data!A881=Entry2!A881,Data!A881,"ERROR")</f>
        <v>18</v>
      </c>
      <c r="B881" s="7">
        <f>IF(Data!B881=Entry2!B881,Data!B881,"ERROR")</f>
        <v>2023</v>
      </c>
      <c r="C881" s="17">
        <f>IF(Data!C881=Entry2!C881,Data!C881,"ERROR")</f>
        <v>45197</v>
      </c>
      <c r="D881" s="7" t="str">
        <f>IF(Data!D881=Entry2!D881,Data!D881,"ERROR")</f>
        <v>MP, TL</v>
      </c>
      <c r="E881" s="7" t="str">
        <f>IF(Data!E881=Entry2!E881,Data!E881,"ERROR")</f>
        <v>VB</v>
      </c>
      <c r="F881" s="7">
        <f>IF(Data!F881=Entry2!F881,Data!F881,"ERROR")</f>
        <v>1</v>
      </c>
      <c r="G881" s="7" t="str">
        <f>IF(Data!G881=Entry2!G881,Data!G881,"ERROR")</f>
        <v>SU</v>
      </c>
      <c r="H881" s="7">
        <f>IF(Data!H881=Entry2!H881,Data!H881,"ERROR")</f>
        <v>15</v>
      </c>
      <c r="I881" s="7">
        <f>IF(Data!I881=Entry2!I881,Data!I881,"ERROR")</f>
        <v>2</v>
      </c>
      <c r="J881" s="7">
        <f>IF(Data!J881=Entry2!J881,Data!J881,"ERROR")</f>
        <v>12</v>
      </c>
      <c r="K881" s="7" t="str">
        <f>IF(Data!K881=Entry2!K881,Data!K881,"ERROR")</f>
        <v>L</v>
      </c>
      <c r="L881" s="7" t="str">
        <f>IF(Data!L881=Entry2!L881,Data!L881,"ERROR")</f>
        <v>ERROR</v>
      </c>
      <c r="M881" s="7">
        <f>IF(Data!N881=Entry2!M881,Data!N881,"ERROR")</f>
        <v>0</v>
      </c>
    </row>
    <row r="882" spans="1:13" ht="13.2" x14ac:dyDescent="0.25">
      <c r="A882" s="7">
        <f>IF(Data!A882=Entry2!A882,Data!A882,"ERROR")</f>
        <v>19</v>
      </c>
      <c r="B882" s="7">
        <f>IF(Data!B882=Entry2!B882,Data!B882,"ERROR")</f>
        <v>2023</v>
      </c>
      <c r="C882" s="17">
        <f>IF(Data!C882=Entry2!C882,Data!C882,"ERROR")</f>
        <v>45197</v>
      </c>
      <c r="D882" s="7" t="str">
        <f>IF(Data!D882=Entry2!D882,Data!D882,"ERROR")</f>
        <v>MP, TL</v>
      </c>
      <c r="E882" s="7" t="str">
        <f>IF(Data!E882=Entry2!E882,Data!E882,"ERROR")</f>
        <v>VB</v>
      </c>
      <c r="F882" s="7">
        <f>IF(Data!F882=Entry2!F882,Data!F882,"ERROR")</f>
        <v>1</v>
      </c>
      <c r="G882" s="7" t="str">
        <f>IF(Data!G882=Entry2!G882,Data!G882,"ERROR")</f>
        <v>LS</v>
      </c>
      <c r="H882" s="7">
        <f>IF(Data!H882=Entry2!H882,Data!H882,"ERROR")</f>
        <v>1</v>
      </c>
      <c r="I882" s="7">
        <f>IF(Data!I882=Entry2!I882,Data!I882,"ERROR")</f>
        <v>1</v>
      </c>
      <c r="J882" s="7">
        <f>IF(Data!J882=Entry2!J882,Data!J882,"ERROR")</f>
        <v>0</v>
      </c>
      <c r="K882" s="7" t="str">
        <f>IF(Data!K882=Entry2!K882,Data!K882,"ERROR")</f>
        <v>L</v>
      </c>
      <c r="L882" s="7" t="str">
        <f>IF(Data!L882=Entry2!L882,Data!L882,"ERROR")</f>
        <v>ERROR</v>
      </c>
      <c r="M882" s="7">
        <f>IF(Data!N882=Entry2!M882,Data!N882,"ERROR")</f>
        <v>0</v>
      </c>
    </row>
    <row r="883" spans="1:13" ht="13.2" x14ac:dyDescent="0.25">
      <c r="A883" s="7">
        <f>IF(Data!A883=Entry2!A883,Data!A883,"ERROR")</f>
        <v>19</v>
      </c>
      <c r="B883" s="7">
        <f>IF(Data!B883=Entry2!B883,Data!B883,"ERROR")</f>
        <v>2023</v>
      </c>
      <c r="C883" s="17">
        <f>IF(Data!C883=Entry2!C883,Data!C883,"ERROR")</f>
        <v>45197</v>
      </c>
      <c r="D883" s="7" t="str">
        <f>IF(Data!D883=Entry2!D883,Data!D883,"ERROR")</f>
        <v>MP, TL</v>
      </c>
      <c r="E883" s="7" t="str">
        <f>IF(Data!E883=Entry2!E883,Data!E883,"ERROR")</f>
        <v>VB</v>
      </c>
      <c r="F883" s="7">
        <f>IF(Data!F883=Entry2!F883,Data!F883,"ERROR")</f>
        <v>1</v>
      </c>
      <c r="G883" s="7" t="str">
        <f>IF(Data!G883=Entry2!G883,Data!G883,"ERROR")</f>
        <v>LS</v>
      </c>
      <c r="H883" s="7">
        <f>IF(Data!H883=Entry2!H883,Data!H883,"ERROR")</f>
        <v>1</v>
      </c>
      <c r="I883" s="7">
        <f>IF(Data!I883=Entry2!I883,Data!I883,"ERROR")</f>
        <v>1</v>
      </c>
      <c r="J883" s="7">
        <f>IF(Data!J883=Entry2!J883,Data!J883,"ERROR")</f>
        <v>0</v>
      </c>
      <c r="K883" s="7" t="str">
        <f>IF(Data!K883=Entry2!K883,Data!K883,"ERROR")</f>
        <v>NNG</v>
      </c>
      <c r="L883" s="7" t="str">
        <f>IF(Data!L883=Entry2!L883,Data!L883,"ERROR")</f>
        <v>ERROR</v>
      </c>
      <c r="M883" s="7">
        <f>IF(Data!N883=Entry2!M883,Data!N883,"ERROR")</f>
        <v>0</v>
      </c>
    </row>
    <row r="884" spans="1:13" ht="13.2" x14ac:dyDescent="0.25">
      <c r="A884" s="7">
        <f>IF(Data!A884=Entry2!A884,Data!A884,"ERROR")</f>
        <v>19</v>
      </c>
      <c r="B884" s="7">
        <f>IF(Data!B884=Entry2!B884,Data!B884,"ERROR")</f>
        <v>2023</v>
      </c>
      <c r="C884" s="17">
        <f>IF(Data!C884=Entry2!C884,Data!C884,"ERROR")</f>
        <v>45197</v>
      </c>
      <c r="D884" s="7" t="str">
        <f>IF(Data!D884=Entry2!D884,Data!D884,"ERROR")</f>
        <v>MP, TL</v>
      </c>
      <c r="E884" s="7" t="str">
        <f>IF(Data!E884=Entry2!E884,Data!E884,"ERROR")</f>
        <v>VB</v>
      </c>
      <c r="F884" s="7">
        <f>IF(Data!F884=Entry2!F884,Data!F884,"ERROR")</f>
        <v>1</v>
      </c>
      <c r="G884" s="7" t="str">
        <f>IF(Data!G884=Entry2!G884,Data!G884,"ERROR")</f>
        <v>LS</v>
      </c>
      <c r="H884" s="7">
        <f>IF(Data!H884=Entry2!H884,Data!H884,"ERROR")</f>
        <v>1</v>
      </c>
      <c r="I884" s="7">
        <f>IF(Data!I884=Entry2!I884,Data!I884,"ERROR")</f>
        <v>1</v>
      </c>
      <c r="J884" s="7">
        <f>IF(Data!J884=Entry2!J884,Data!J884,"ERROR")</f>
        <v>0</v>
      </c>
      <c r="K884" s="7" t="str">
        <f>IF(Data!K884=Entry2!K884,Data!K884,"ERROR")</f>
        <v>DEIFAS</v>
      </c>
      <c r="L884" s="7" t="str">
        <f>IF(Data!L884=Entry2!L884,Data!L884,"ERROR")</f>
        <v>ERROR</v>
      </c>
      <c r="M884" s="7">
        <f>IF(Data!N884=Entry2!M884,Data!N884,"ERROR")</f>
        <v>0</v>
      </c>
    </row>
    <row r="885" spans="1:13" ht="13.2" x14ac:dyDescent="0.25">
      <c r="A885" s="7">
        <f>IF(Data!A885=Entry2!A885,Data!A885,"ERROR")</f>
        <v>19</v>
      </c>
      <c r="B885" s="7">
        <f>IF(Data!B885=Entry2!B885,Data!B885,"ERROR")</f>
        <v>2023</v>
      </c>
      <c r="C885" s="17">
        <f>IF(Data!C885=Entry2!C885,Data!C885,"ERROR")</f>
        <v>45197</v>
      </c>
      <c r="D885" s="7" t="str">
        <f>IF(Data!D885=Entry2!D885,Data!D885,"ERROR")</f>
        <v>MP, TL</v>
      </c>
      <c r="E885" s="7" t="str">
        <f>IF(Data!E885=Entry2!E885,Data!E885,"ERROR")</f>
        <v>VB</v>
      </c>
      <c r="F885" s="7">
        <f>IF(Data!F885=Entry2!F885,Data!F885,"ERROR")</f>
        <v>1</v>
      </c>
      <c r="G885" s="7" t="str">
        <f>IF(Data!G885=Entry2!G885,Data!G885,"ERROR")</f>
        <v>LS</v>
      </c>
      <c r="H885" s="7">
        <f>IF(Data!H885=Entry2!H885,Data!H885,"ERROR")</f>
        <v>2</v>
      </c>
      <c r="I885" s="7">
        <f>IF(Data!I885=Entry2!I885,Data!I885,"ERROR")</f>
        <v>1</v>
      </c>
      <c r="J885" s="7">
        <f>IF(Data!J885=Entry2!J885,Data!J885,"ERROR")</f>
        <v>0.5</v>
      </c>
      <c r="K885" s="7" t="str">
        <f>IF(Data!K885=Entry2!K885,Data!K885,"ERROR")</f>
        <v>L</v>
      </c>
      <c r="L885" s="7" t="str">
        <f>IF(Data!L885=Entry2!L885,Data!L885,"ERROR")</f>
        <v>ERROR</v>
      </c>
      <c r="M885" s="7">
        <f>IF(Data!N885=Entry2!M885,Data!N885,"ERROR")</f>
        <v>0</v>
      </c>
    </row>
    <row r="886" spans="1:13" ht="13.2" x14ac:dyDescent="0.25">
      <c r="A886" s="7">
        <f>IF(Data!A886=Entry2!A886,Data!A886,"ERROR")</f>
        <v>19</v>
      </c>
      <c r="B886" s="7">
        <f>IF(Data!B886=Entry2!B886,Data!B886,"ERROR")</f>
        <v>2023</v>
      </c>
      <c r="C886" s="17">
        <f>IF(Data!C886=Entry2!C886,Data!C886,"ERROR")</f>
        <v>45197</v>
      </c>
      <c r="D886" s="7" t="str">
        <f>IF(Data!D886=Entry2!D886,Data!D886,"ERROR")</f>
        <v>MP, TL</v>
      </c>
      <c r="E886" s="7" t="str">
        <f>IF(Data!E886=Entry2!E886,Data!E886,"ERROR")</f>
        <v>VB</v>
      </c>
      <c r="F886" s="7">
        <f>IF(Data!F886=Entry2!F886,Data!F886,"ERROR")</f>
        <v>1</v>
      </c>
      <c r="G886" s="7" t="str">
        <f>IF(Data!G886=Entry2!G886,Data!G886,"ERROR")</f>
        <v>LS</v>
      </c>
      <c r="H886" s="7">
        <f>IF(Data!H886=Entry2!H886,Data!H886,"ERROR")</f>
        <v>3</v>
      </c>
      <c r="I886" s="7">
        <f>IF(Data!I886=Entry2!I886,Data!I886,"ERROR")</f>
        <v>1</v>
      </c>
      <c r="J886" s="7">
        <f>IF(Data!J886=Entry2!J886,Data!J886,"ERROR")</f>
        <v>1</v>
      </c>
      <c r="K886" s="7" t="str">
        <f>IF(Data!K886=Entry2!K886,Data!K886,"ERROR")</f>
        <v>L</v>
      </c>
      <c r="L886" s="7" t="str">
        <f>IF(Data!L886=Entry2!L886,Data!L886,"ERROR")</f>
        <v>ERROR</v>
      </c>
      <c r="M886" s="7">
        <f>IF(Data!N886=Entry2!M886,Data!N886,"ERROR")</f>
        <v>0</v>
      </c>
    </row>
    <row r="887" spans="1:13" ht="13.2" x14ac:dyDescent="0.25">
      <c r="A887" s="7">
        <f>IF(Data!A887=Entry2!A887,Data!A887,"ERROR")</f>
        <v>19</v>
      </c>
      <c r="B887" s="7">
        <f>IF(Data!B887=Entry2!B887,Data!B887,"ERROR")</f>
        <v>2023</v>
      </c>
      <c r="C887" s="17">
        <f>IF(Data!C887=Entry2!C887,Data!C887,"ERROR")</f>
        <v>45197</v>
      </c>
      <c r="D887" s="7" t="str">
        <f>IF(Data!D887=Entry2!D887,Data!D887,"ERROR")</f>
        <v>MP, TL</v>
      </c>
      <c r="E887" s="7" t="str">
        <f>IF(Data!E887=Entry2!E887,Data!E887,"ERROR")</f>
        <v>VB</v>
      </c>
      <c r="F887" s="7">
        <f>IF(Data!F887=Entry2!F887,Data!F887,"ERROR")</f>
        <v>1</v>
      </c>
      <c r="G887" s="7" t="str">
        <f>IF(Data!G887=Entry2!G887,Data!G887,"ERROR")</f>
        <v>LS</v>
      </c>
      <c r="H887" s="7">
        <f>IF(Data!H887=Entry2!H887,Data!H887,"ERROR")</f>
        <v>3</v>
      </c>
      <c r="I887" s="7">
        <f>IF(Data!I887=Entry2!I887,Data!I887,"ERROR")</f>
        <v>1</v>
      </c>
      <c r="J887" s="7">
        <f>IF(Data!J887=Entry2!J887,Data!J887,"ERROR")</f>
        <v>1</v>
      </c>
      <c r="K887" s="7" t="str">
        <f>IF(Data!K887=Entry2!K887,Data!K887,"ERROR")</f>
        <v>CENMEL</v>
      </c>
      <c r="L887" s="7" t="str">
        <f>IF(Data!L887=Entry2!L887,Data!L887,"ERROR")</f>
        <v>ERROR</v>
      </c>
      <c r="M887" s="7">
        <f>IF(Data!N887=Entry2!M887,Data!N887,"ERROR")</f>
        <v>0</v>
      </c>
    </row>
    <row r="888" spans="1:13" ht="13.2" x14ac:dyDescent="0.25">
      <c r="A888" s="7">
        <f>IF(Data!A888=Entry2!A888,Data!A888,"ERROR")</f>
        <v>19</v>
      </c>
      <c r="B888" s="7">
        <f>IF(Data!B888=Entry2!B888,Data!B888,"ERROR")</f>
        <v>2023</v>
      </c>
      <c r="C888" s="17">
        <f>IF(Data!C888=Entry2!C888,Data!C888,"ERROR")</f>
        <v>45197</v>
      </c>
      <c r="D888" s="7" t="str">
        <f>IF(Data!D888=Entry2!D888,Data!D888,"ERROR")</f>
        <v>MP, TL</v>
      </c>
      <c r="E888" s="7" t="str">
        <f>IF(Data!E888=Entry2!E888,Data!E888,"ERROR")</f>
        <v>VB</v>
      </c>
      <c r="F888" s="7">
        <f>IF(Data!F888=Entry2!F888,Data!F888,"ERROR")</f>
        <v>1</v>
      </c>
      <c r="G888" s="7" t="str">
        <f>IF(Data!G888=Entry2!G888,Data!G888,"ERROR")</f>
        <v>LS</v>
      </c>
      <c r="H888" s="7">
        <f>IF(Data!H888=Entry2!H888,Data!H888,"ERROR")</f>
        <v>3</v>
      </c>
      <c r="I888" s="7">
        <f>IF(Data!I888=Entry2!I888,Data!I888,"ERROR")</f>
        <v>1</v>
      </c>
      <c r="J888" s="7">
        <f>IF(Data!J888=Entry2!J888,Data!J888,"ERROR")</f>
        <v>1</v>
      </c>
      <c r="K888" s="7" t="str">
        <f>IF(Data!K888=Entry2!K888,Data!K888,"ERROR")</f>
        <v>OPULIT</v>
      </c>
      <c r="L888" s="7" t="str">
        <f>IF(Data!L888=Entry2!L888,Data!L888,"ERROR")</f>
        <v>ERROR</v>
      </c>
      <c r="M888" s="7">
        <f>IF(Data!N888=Entry2!M888,Data!N888,"ERROR")</f>
        <v>0</v>
      </c>
    </row>
    <row r="889" spans="1:13" ht="13.2" x14ac:dyDescent="0.25">
      <c r="A889" s="7">
        <f>IF(Data!A889=Entry2!A889,Data!A889,"ERROR")</f>
        <v>19</v>
      </c>
      <c r="B889" s="7">
        <f>IF(Data!B889=Entry2!B889,Data!B889,"ERROR")</f>
        <v>2023</v>
      </c>
      <c r="C889" s="17">
        <f>IF(Data!C889=Entry2!C889,Data!C889,"ERROR")</f>
        <v>45197</v>
      </c>
      <c r="D889" s="7" t="str">
        <f>IF(Data!D889=Entry2!D889,Data!D889,"ERROR")</f>
        <v>MP, TL</v>
      </c>
      <c r="E889" s="7" t="str">
        <f>IF(Data!E889=Entry2!E889,Data!E889,"ERROR")</f>
        <v>VB</v>
      </c>
      <c r="F889" s="7">
        <f>IF(Data!F889=Entry2!F889,Data!F889,"ERROR")</f>
        <v>1</v>
      </c>
      <c r="G889" s="7" t="str">
        <f>IF(Data!G889=Entry2!G889,Data!G889,"ERROR")</f>
        <v>LS</v>
      </c>
      <c r="H889" s="7">
        <f>IF(Data!H889=Entry2!H889,Data!H889,"ERROR")</f>
        <v>4</v>
      </c>
      <c r="I889" s="7">
        <f>IF(Data!I889=Entry2!I889,Data!I889,"ERROR")</f>
        <v>1</v>
      </c>
      <c r="J889" s="7">
        <f>IF(Data!J889=Entry2!J889,Data!J889,"ERROR")</f>
        <v>1.5</v>
      </c>
      <c r="K889" s="7" t="str">
        <f>IF(Data!K889=Entry2!K889,Data!K889,"ERROR")</f>
        <v>L</v>
      </c>
      <c r="L889" s="7" t="str">
        <f>IF(Data!L889=Entry2!L889,Data!L889,"ERROR")</f>
        <v>ERROR</v>
      </c>
      <c r="M889" s="7">
        <f>IF(Data!N889=Entry2!M889,Data!N889,"ERROR")</f>
        <v>0</v>
      </c>
    </row>
    <row r="890" spans="1:13" ht="13.2" x14ac:dyDescent="0.25">
      <c r="A890" s="7">
        <f>IF(Data!A890=Entry2!A890,Data!A890,"ERROR")</f>
        <v>19</v>
      </c>
      <c r="B890" s="7">
        <f>IF(Data!B890=Entry2!B890,Data!B890,"ERROR")</f>
        <v>2023</v>
      </c>
      <c r="C890" s="17">
        <f>IF(Data!C890=Entry2!C890,Data!C890,"ERROR")</f>
        <v>45197</v>
      </c>
      <c r="D890" s="7" t="str">
        <f>IF(Data!D890=Entry2!D890,Data!D890,"ERROR")</f>
        <v>MP, TL</v>
      </c>
      <c r="E890" s="7" t="str">
        <f>IF(Data!E890=Entry2!E890,Data!E890,"ERROR")</f>
        <v>VB</v>
      </c>
      <c r="F890" s="7">
        <f>IF(Data!F890=Entry2!F890,Data!F890,"ERROR")</f>
        <v>1</v>
      </c>
      <c r="G890" s="7" t="str">
        <f>IF(Data!G890=Entry2!G890,Data!G890,"ERROR")</f>
        <v>LS</v>
      </c>
      <c r="H890" s="7">
        <f>IF(Data!H890=Entry2!H890,Data!H890,"ERROR")</f>
        <v>4</v>
      </c>
      <c r="I890" s="7">
        <f>IF(Data!I890=Entry2!I890,Data!I890,"ERROR")</f>
        <v>1</v>
      </c>
      <c r="J890" s="7">
        <f>IF(Data!J890=Entry2!J890,Data!J890,"ERROR")</f>
        <v>1.5</v>
      </c>
      <c r="K890" s="7" t="str">
        <f>IF(Data!K890=Entry2!K890,Data!K890,"ERROR")</f>
        <v>CENMEL</v>
      </c>
      <c r="L890" s="7" t="str">
        <f>IF(Data!L890=Entry2!L890,Data!L890,"ERROR")</f>
        <v>ERROR</v>
      </c>
      <c r="M890" s="7">
        <f>IF(Data!N890=Entry2!M890,Data!N890,"ERROR")</f>
        <v>0</v>
      </c>
    </row>
    <row r="891" spans="1:13" ht="13.2" x14ac:dyDescent="0.25">
      <c r="A891" s="7">
        <f>IF(Data!A891=Entry2!A891,Data!A891,"ERROR")</f>
        <v>19</v>
      </c>
      <c r="B891" s="7">
        <f>IF(Data!B891=Entry2!B891,Data!B891,"ERROR")</f>
        <v>2023</v>
      </c>
      <c r="C891" s="17">
        <f>IF(Data!C891=Entry2!C891,Data!C891,"ERROR")</f>
        <v>45197</v>
      </c>
      <c r="D891" s="7" t="str">
        <f>IF(Data!D891=Entry2!D891,Data!D891,"ERROR")</f>
        <v>MP, TL</v>
      </c>
      <c r="E891" s="7" t="str">
        <f>IF(Data!E891=Entry2!E891,Data!E891,"ERROR")</f>
        <v>VB</v>
      </c>
      <c r="F891" s="7">
        <f>IF(Data!F891=Entry2!F891,Data!F891,"ERROR")</f>
        <v>1</v>
      </c>
      <c r="G891" s="7" t="str">
        <f>IF(Data!G891=Entry2!G891,Data!G891,"ERROR")</f>
        <v>LS</v>
      </c>
      <c r="H891" s="7">
        <f>IF(Data!H891=Entry2!H891,Data!H891,"ERROR")</f>
        <v>4</v>
      </c>
      <c r="I891" s="7">
        <f>IF(Data!I891=Entry2!I891,Data!I891,"ERROR")</f>
        <v>1</v>
      </c>
      <c r="J891" s="7">
        <f>IF(Data!J891=Entry2!J891,Data!J891,"ERROR")</f>
        <v>1.5</v>
      </c>
      <c r="K891" s="7" t="str">
        <f>IF(Data!K891=Entry2!K891,Data!K891,"ERROR")</f>
        <v>DEIFAS</v>
      </c>
      <c r="L891" s="7" t="str">
        <f>IF(Data!L891=Entry2!L891,Data!L891,"ERROR")</f>
        <v>ERROR</v>
      </c>
      <c r="M891" s="7">
        <f>IF(Data!N891=Entry2!M891,Data!N891,"ERROR")</f>
        <v>0</v>
      </c>
    </row>
    <row r="892" spans="1:13" ht="13.2" x14ac:dyDescent="0.25">
      <c r="A892" s="7">
        <f>IF(Data!A892=Entry2!A892,Data!A892,"ERROR")</f>
        <v>19</v>
      </c>
      <c r="B892" s="7">
        <f>IF(Data!B892=Entry2!B892,Data!B892,"ERROR")</f>
        <v>2023</v>
      </c>
      <c r="C892" s="17">
        <f>IF(Data!C892=Entry2!C892,Data!C892,"ERROR")</f>
        <v>45197</v>
      </c>
      <c r="D892" s="7" t="str">
        <f>IF(Data!D892=Entry2!D892,Data!D892,"ERROR")</f>
        <v>MP, TL</v>
      </c>
      <c r="E892" s="7" t="str">
        <f>IF(Data!E892=Entry2!E892,Data!E892,"ERROR")</f>
        <v>VB</v>
      </c>
      <c r="F892" s="7">
        <f>IF(Data!F892=Entry2!F892,Data!F892,"ERROR")</f>
        <v>1</v>
      </c>
      <c r="G892" s="7" t="str">
        <f>IF(Data!G892=Entry2!G892,Data!G892,"ERROR")</f>
        <v>LS</v>
      </c>
      <c r="H892" s="7">
        <f>IF(Data!H892=Entry2!H892,Data!H892,"ERROR")</f>
        <v>5</v>
      </c>
      <c r="I892" s="7">
        <f>IF(Data!I892=Entry2!I892,Data!I892,"ERROR")</f>
        <v>1</v>
      </c>
      <c r="J892" s="7">
        <f>IF(Data!J892=Entry2!J892,Data!J892,"ERROR")</f>
        <v>2</v>
      </c>
      <c r="K892" s="7" t="str">
        <f>IF(Data!K892=Entry2!K892,Data!K892,"ERROR")</f>
        <v>L</v>
      </c>
      <c r="L892" s="7" t="str">
        <f>IF(Data!L892=Entry2!L892,Data!L892,"ERROR")</f>
        <v>ERROR</v>
      </c>
      <c r="M892" s="7">
        <f>IF(Data!N892=Entry2!M892,Data!N892,"ERROR")</f>
        <v>0</v>
      </c>
    </row>
    <row r="893" spans="1:13" ht="13.2" x14ac:dyDescent="0.25">
      <c r="A893" s="7">
        <f>IF(Data!A893=Entry2!A893,Data!A893,"ERROR")</f>
        <v>19</v>
      </c>
      <c r="B893" s="7">
        <f>IF(Data!B893=Entry2!B893,Data!B893,"ERROR")</f>
        <v>2023</v>
      </c>
      <c r="C893" s="17">
        <f>IF(Data!C893=Entry2!C893,Data!C893,"ERROR")</f>
        <v>45197</v>
      </c>
      <c r="D893" s="7" t="str">
        <f>IF(Data!D893=Entry2!D893,Data!D893,"ERROR")</f>
        <v>MP, TL</v>
      </c>
      <c r="E893" s="7" t="str">
        <f>IF(Data!E893=Entry2!E893,Data!E893,"ERROR")</f>
        <v>VB</v>
      </c>
      <c r="F893" s="7">
        <f>IF(Data!F893=Entry2!F893,Data!F893,"ERROR")</f>
        <v>1</v>
      </c>
      <c r="G893" s="7" t="str">
        <f>IF(Data!G893=Entry2!G893,Data!G893,"ERROR")</f>
        <v>LS</v>
      </c>
      <c r="H893" s="7">
        <f>IF(Data!H893=Entry2!H893,Data!H893,"ERROR")</f>
        <v>5</v>
      </c>
      <c r="I893" s="7">
        <f>IF(Data!I893=Entry2!I893,Data!I893,"ERROR")</f>
        <v>1</v>
      </c>
      <c r="J893" s="7">
        <f>IF(Data!J893=Entry2!J893,Data!J893,"ERROR")</f>
        <v>2</v>
      </c>
      <c r="K893" s="7" t="str">
        <f>IF(Data!K893=Entry2!K893,Data!K893,"ERROR")</f>
        <v>DEIFAS</v>
      </c>
      <c r="L893" s="7" t="str">
        <f>IF(Data!L893=Entry2!L893,Data!L893,"ERROR")</f>
        <v>ERROR</v>
      </c>
      <c r="M893" s="7">
        <f>IF(Data!N893=Entry2!M893,Data!N893,"ERROR")</f>
        <v>0</v>
      </c>
    </row>
    <row r="894" spans="1:13" ht="13.2" x14ac:dyDescent="0.25">
      <c r="A894" s="7">
        <f>IF(Data!A894=Entry2!A894,Data!A894,"ERROR")</f>
        <v>19</v>
      </c>
      <c r="B894" s="7">
        <f>IF(Data!B894=Entry2!B894,Data!B894,"ERROR")</f>
        <v>2023</v>
      </c>
      <c r="C894" s="17">
        <f>IF(Data!C894=Entry2!C894,Data!C894,"ERROR")</f>
        <v>45197</v>
      </c>
      <c r="D894" s="7" t="str">
        <f>IF(Data!D894=Entry2!D894,Data!D894,"ERROR")</f>
        <v>MP, TL</v>
      </c>
      <c r="E894" s="7" t="str">
        <f>IF(Data!E894=Entry2!E894,Data!E894,"ERROR")</f>
        <v>VB</v>
      </c>
      <c r="F894" s="7">
        <f>IF(Data!F894=Entry2!F894,Data!F894,"ERROR")</f>
        <v>1</v>
      </c>
      <c r="G894" s="7" t="str">
        <f>IF(Data!G894=Entry2!G894,Data!G894,"ERROR")</f>
        <v>LS</v>
      </c>
      <c r="H894" s="7">
        <f>IF(Data!H894=Entry2!H894,Data!H894,"ERROR")</f>
        <v>6</v>
      </c>
      <c r="I894" s="7">
        <f>IF(Data!I894=Entry2!I894,Data!I894,"ERROR")</f>
        <v>1</v>
      </c>
      <c r="J894" s="7">
        <f>IF(Data!J894=Entry2!J894,Data!J894,"ERROR")</f>
        <v>2.5</v>
      </c>
      <c r="K894" s="7" t="str">
        <f>IF(Data!K894=Entry2!K894,Data!K894,"ERROR")</f>
        <v>L</v>
      </c>
      <c r="L894" s="7" t="str">
        <f>IF(Data!L894=Entry2!L894,Data!L894,"ERROR")</f>
        <v>ERROR</v>
      </c>
      <c r="M894" s="7">
        <f>IF(Data!N894=Entry2!M894,Data!N894,"ERROR")</f>
        <v>0</v>
      </c>
    </row>
    <row r="895" spans="1:13" ht="13.2" x14ac:dyDescent="0.25">
      <c r="A895" s="7">
        <f>IF(Data!A895=Entry2!A895,Data!A895,"ERROR")</f>
        <v>19</v>
      </c>
      <c r="B895" s="7">
        <f>IF(Data!B895=Entry2!B895,Data!B895,"ERROR")</f>
        <v>2023</v>
      </c>
      <c r="C895" s="17">
        <f>IF(Data!C895=Entry2!C895,Data!C895,"ERROR")</f>
        <v>45197</v>
      </c>
      <c r="D895" s="7" t="str">
        <f>IF(Data!D895=Entry2!D895,Data!D895,"ERROR")</f>
        <v>MP, TL</v>
      </c>
      <c r="E895" s="7" t="str">
        <f>IF(Data!E895=Entry2!E895,Data!E895,"ERROR")</f>
        <v>VB</v>
      </c>
      <c r="F895" s="7">
        <f>IF(Data!F895=Entry2!F895,Data!F895,"ERROR")</f>
        <v>1</v>
      </c>
      <c r="G895" s="7" t="str">
        <f>IF(Data!G895=Entry2!G895,Data!G895,"ERROR")</f>
        <v>LS</v>
      </c>
      <c r="H895" s="7">
        <f>IF(Data!H895=Entry2!H895,Data!H895,"ERROR")</f>
        <v>6</v>
      </c>
      <c r="I895" s="7">
        <f>IF(Data!I895=Entry2!I895,Data!I895,"ERROR")</f>
        <v>1</v>
      </c>
      <c r="J895" s="7">
        <f>IF(Data!J895=Entry2!J895,Data!J895,"ERROR")</f>
        <v>2.5</v>
      </c>
      <c r="K895" s="7" t="str">
        <f>IF(Data!K895=Entry2!K895,Data!K895,"ERROR")</f>
        <v>OPULIT</v>
      </c>
      <c r="L895" s="7" t="str">
        <f>IF(Data!L895=Entry2!L895,Data!L895,"ERROR")</f>
        <v>ERROR</v>
      </c>
      <c r="M895" s="7">
        <f>IF(Data!N895=Entry2!M895,Data!N895,"ERROR")</f>
        <v>0</v>
      </c>
    </row>
    <row r="896" spans="1:13" ht="13.2" x14ac:dyDescent="0.25">
      <c r="A896" s="7">
        <f>IF(Data!A896=Entry2!A896,Data!A896,"ERROR")</f>
        <v>19</v>
      </c>
      <c r="B896" s="7">
        <f>IF(Data!B896=Entry2!B896,Data!B896,"ERROR")</f>
        <v>2023</v>
      </c>
      <c r="C896" s="17">
        <f>IF(Data!C896=Entry2!C896,Data!C896,"ERROR")</f>
        <v>45197</v>
      </c>
      <c r="D896" s="7" t="str">
        <f>IF(Data!D896=Entry2!D896,Data!D896,"ERROR")</f>
        <v>MP, TL</v>
      </c>
      <c r="E896" s="7" t="str">
        <f>IF(Data!E896=Entry2!E896,Data!E896,"ERROR")</f>
        <v>VB</v>
      </c>
      <c r="F896" s="7">
        <f>IF(Data!F896=Entry2!F896,Data!F896,"ERROR")</f>
        <v>1</v>
      </c>
      <c r="G896" s="7" t="str">
        <f>IF(Data!G896=Entry2!G896,Data!G896,"ERROR")</f>
        <v>LS</v>
      </c>
      <c r="H896" s="7">
        <f>IF(Data!H896=Entry2!H896,Data!H896,"ERROR")</f>
        <v>6</v>
      </c>
      <c r="I896" s="7">
        <f>IF(Data!I896=Entry2!I896,Data!I896,"ERROR")</f>
        <v>1</v>
      </c>
      <c r="J896" s="7">
        <f>IF(Data!J896=Entry2!J896,Data!J896,"ERROR")</f>
        <v>2.5</v>
      </c>
      <c r="K896" s="7" t="str">
        <f>IF(Data!K896=Entry2!K896,Data!K896,"ERROR")</f>
        <v>DEIFAS</v>
      </c>
      <c r="L896" s="7" t="str">
        <f>IF(Data!L896=Entry2!L896,Data!L896,"ERROR")</f>
        <v>ERROR</v>
      </c>
      <c r="M896" s="7">
        <f>IF(Data!N896=Entry2!M896,Data!N896,"ERROR")</f>
        <v>0</v>
      </c>
    </row>
    <row r="897" spans="1:13" ht="13.2" x14ac:dyDescent="0.25">
      <c r="A897" s="7">
        <f>IF(Data!A897=Entry2!A897,Data!A897,"ERROR")</f>
        <v>19</v>
      </c>
      <c r="B897" s="7">
        <f>IF(Data!B897=Entry2!B897,Data!B897,"ERROR")</f>
        <v>2023</v>
      </c>
      <c r="C897" s="17">
        <f>IF(Data!C897=Entry2!C897,Data!C897,"ERROR")</f>
        <v>45197</v>
      </c>
      <c r="D897" s="7" t="str">
        <f>IF(Data!D897=Entry2!D897,Data!D897,"ERROR")</f>
        <v>MP, TL</v>
      </c>
      <c r="E897" s="7" t="str">
        <f>IF(Data!E897=Entry2!E897,Data!E897,"ERROR")</f>
        <v>VB</v>
      </c>
      <c r="F897" s="7">
        <f>IF(Data!F897=Entry2!F897,Data!F897,"ERROR")</f>
        <v>1</v>
      </c>
      <c r="G897" s="7" t="str">
        <f>IF(Data!G897=Entry2!G897,Data!G897,"ERROR")</f>
        <v>LS</v>
      </c>
      <c r="H897" s="7">
        <f>IF(Data!H897=Entry2!H897,Data!H897,"ERROR")</f>
        <v>7</v>
      </c>
      <c r="I897" s="7">
        <f>IF(Data!I897=Entry2!I897,Data!I897,"ERROR")</f>
        <v>1</v>
      </c>
      <c r="J897" s="7">
        <f>IF(Data!J897=Entry2!J897,Data!J897,"ERROR")</f>
        <v>3</v>
      </c>
      <c r="K897" s="7" t="str">
        <f>IF(Data!K897=Entry2!K897,Data!K897,"ERROR")</f>
        <v>L</v>
      </c>
      <c r="L897" s="7" t="str">
        <f>IF(Data!L897=Entry2!L897,Data!L897,"ERROR")</f>
        <v>ERROR</v>
      </c>
      <c r="M897" s="7">
        <f>IF(Data!N897=Entry2!M897,Data!N897,"ERROR")</f>
        <v>0</v>
      </c>
    </row>
    <row r="898" spans="1:13" ht="13.2" x14ac:dyDescent="0.25">
      <c r="A898" s="7">
        <f>IF(Data!A898=Entry2!A898,Data!A898,"ERROR")</f>
        <v>19</v>
      </c>
      <c r="B898" s="7">
        <f>IF(Data!B898=Entry2!B898,Data!B898,"ERROR")</f>
        <v>2023</v>
      </c>
      <c r="C898" s="17">
        <f>IF(Data!C898=Entry2!C898,Data!C898,"ERROR")</f>
        <v>45197</v>
      </c>
      <c r="D898" s="7" t="str">
        <f>IF(Data!D898=Entry2!D898,Data!D898,"ERROR")</f>
        <v>MP, TL</v>
      </c>
      <c r="E898" s="7" t="str">
        <f>IF(Data!E898=Entry2!E898,Data!E898,"ERROR")</f>
        <v>VB</v>
      </c>
      <c r="F898" s="7">
        <f>IF(Data!F898=Entry2!F898,Data!F898,"ERROR")</f>
        <v>1</v>
      </c>
      <c r="G898" s="7" t="str">
        <f>IF(Data!G898=Entry2!G898,Data!G898,"ERROR")</f>
        <v>LS</v>
      </c>
      <c r="H898" s="7">
        <f>IF(Data!H898=Entry2!H898,Data!H898,"ERROR")</f>
        <v>7</v>
      </c>
      <c r="I898" s="7">
        <f>IF(Data!I898=Entry2!I898,Data!I898,"ERROR")</f>
        <v>1</v>
      </c>
      <c r="J898" s="7">
        <f>IF(Data!J898=Entry2!J898,Data!J898,"ERROR")</f>
        <v>3</v>
      </c>
      <c r="K898" s="7" t="str">
        <f>IF(Data!K898=Entry2!K898,Data!K898,"ERROR")</f>
        <v>DEIFAS</v>
      </c>
      <c r="L898" s="7" t="str">
        <f>IF(Data!L898=Entry2!L898,Data!L898,"ERROR")</f>
        <v>ERROR</v>
      </c>
      <c r="M898" s="7">
        <f>IF(Data!N898=Entry2!M898,Data!N898,"ERROR")</f>
        <v>0</v>
      </c>
    </row>
    <row r="899" spans="1:13" ht="13.2" x14ac:dyDescent="0.25">
      <c r="A899" s="7">
        <f>IF(Data!A899=Entry2!A899,Data!A899,"ERROR")</f>
        <v>19</v>
      </c>
      <c r="B899" s="7">
        <f>IF(Data!B899=Entry2!B899,Data!B899,"ERROR")</f>
        <v>2023</v>
      </c>
      <c r="C899" s="17">
        <f>IF(Data!C899=Entry2!C899,Data!C899,"ERROR")</f>
        <v>45197</v>
      </c>
      <c r="D899" s="7" t="str">
        <f>IF(Data!D899=Entry2!D899,Data!D899,"ERROR")</f>
        <v>MP, TL</v>
      </c>
      <c r="E899" s="7" t="str">
        <f>IF(Data!E899=Entry2!E899,Data!E899,"ERROR")</f>
        <v>VB</v>
      </c>
      <c r="F899" s="7">
        <f>IF(Data!F899=Entry2!F899,Data!F899,"ERROR")</f>
        <v>1</v>
      </c>
      <c r="G899" s="7" t="str">
        <f>IF(Data!G899=Entry2!G899,Data!G899,"ERROR")</f>
        <v>LS</v>
      </c>
      <c r="H899" s="7">
        <f>IF(Data!H899=Entry2!H899,Data!H899,"ERROR")</f>
        <v>8</v>
      </c>
      <c r="I899" s="7">
        <f>IF(Data!I899=Entry2!I899,Data!I899,"ERROR")</f>
        <v>1</v>
      </c>
      <c r="J899" s="7">
        <f>IF(Data!J899=Entry2!J899,Data!J899,"ERROR")</f>
        <v>3.5</v>
      </c>
      <c r="K899" s="7" t="str">
        <f>IF(Data!K899=Entry2!K899,Data!K899,"ERROR")</f>
        <v>L</v>
      </c>
      <c r="L899" s="7" t="str">
        <f>IF(Data!L899=Entry2!L899,Data!L899,"ERROR")</f>
        <v>ERROR</v>
      </c>
      <c r="M899" s="7">
        <f>IF(Data!N899=Entry2!M899,Data!N899,"ERROR")</f>
        <v>0</v>
      </c>
    </row>
    <row r="900" spans="1:13" ht="13.2" x14ac:dyDescent="0.25">
      <c r="A900" s="7">
        <f>IF(Data!A900=Entry2!A900,Data!A900,"ERROR")</f>
        <v>19</v>
      </c>
      <c r="B900" s="7">
        <f>IF(Data!B900=Entry2!B900,Data!B900,"ERROR")</f>
        <v>2023</v>
      </c>
      <c r="C900" s="17">
        <f>IF(Data!C900=Entry2!C900,Data!C900,"ERROR")</f>
        <v>45197</v>
      </c>
      <c r="D900" s="7" t="str">
        <f>IF(Data!D900=Entry2!D900,Data!D900,"ERROR")</f>
        <v>MP, TL</v>
      </c>
      <c r="E900" s="7" t="str">
        <f>IF(Data!E900=Entry2!E900,Data!E900,"ERROR")</f>
        <v>VB</v>
      </c>
      <c r="F900" s="7">
        <f>IF(Data!F900=Entry2!F900,Data!F900,"ERROR")</f>
        <v>1</v>
      </c>
      <c r="G900" s="7" t="str">
        <f>IF(Data!G900=Entry2!G900,Data!G900,"ERROR")</f>
        <v>LS</v>
      </c>
      <c r="H900" s="7">
        <f>IF(Data!H900=Entry2!H900,Data!H900,"ERROR")</f>
        <v>8</v>
      </c>
      <c r="I900" s="7">
        <f>IF(Data!I900=Entry2!I900,Data!I900,"ERROR")</f>
        <v>1</v>
      </c>
      <c r="J900" s="7">
        <f>IF(Data!J900=Entry2!J900,Data!J900,"ERROR")</f>
        <v>3.5</v>
      </c>
      <c r="K900" s="7" t="str">
        <f>IF(Data!K900=Entry2!K900,Data!K900,"ERROR")</f>
        <v>DEIFAS</v>
      </c>
      <c r="L900" s="7" t="str">
        <f>IF(Data!L900=Entry2!L900,Data!L900,"ERROR")</f>
        <v>ERROR</v>
      </c>
      <c r="M900" s="7">
        <f>IF(Data!N900=Entry2!M900,Data!N900,"ERROR")</f>
        <v>0</v>
      </c>
    </row>
    <row r="901" spans="1:13" ht="13.2" x14ac:dyDescent="0.25">
      <c r="A901" s="7">
        <f>IF(Data!A901=Entry2!A901,Data!A901,"ERROR")</f>
        <v>19</v>
      </c>
      <c r="B901" s="7">
        <f>IF(Data!B901=Entry2!B901,Data!B901,"ERROR")</f>
        <v>2023</v>
      </c>
      <c r="C901" s="17">
        <f>IF(Data!C901=Entry2!C901,Data!C901,"ERROR")</f>
        <v>45197</v>
      </c>
      <c r="D901" s="7" t="str">
        <f>IF(Data!D901=Entry2!D901,Data!D901,"ERROR")</f>
        <v>MP, TL</v>
      </c>
      <c r="E901" s="7" t="str">
        <f>IF(Data!E901=Entry2!E901,Data!E901,"ERROR")</f>
        <v>VB</v>
      </c>
      <c r="F901" s="7">
        <f>IF(Data!F901=Entry2!F901,Data!F901,"ERROR")</f>
        <v>1</v>
      </c>
      <c r="G901" s="7" t="str">
        <f>IF(Data!G901=Entry2!G901,Data!G901,"ERROR")</f>
        <v>LS</v>
      </c>
      <c r="H901" s="7">
        <f>IF(Data!H901=Entry2!H901,Data!H901,"ERROR")</f>
        <v>9</v>
      </c>
      <c r="I901" s="7">
        <f>IF(Data!I901=Entry2!I901,Data!I901,"ERROR")</f>
        <v>1</v>
      </c>
      <c r="J901" s="7">
        <f>IF(Data!J901=Entry2!J901,Data!J901,"ERROR")</f>
        <v>4</v>
      </c>
      <c r="K901" s="7" t="str">
        <f>IF(Data!K901=Entry2!K901,Data!K901,"ERROR")</f>
        <v>L</v>
      </c>
      <c r="L901" s="7" t="str">
        <f>IF(Data!L901=Entry2!L901,Data!L901,"ERROR")</f>
        <v>ERROR</v>
      </c>
      <c r="M901" s="7">
        <f>IF(Data!N901=Entry2!M901,Data!N901,"ERROR")</f>
        <v>0</v>
      </c>
    </row>
    <row r="902" spans="1:13" ht="13.2" x14ac:dyDescent="0.25">
      <c r="A902" s="7">
        <f>IF(Data!A902=Entry2!A902,Data!A902,"ERROR")</f>
        <v>19</v>
      </c>
      <c r="B902" s="7">
        <f>IF(Data!B902=Entry2!B902,Data!B902,"ERROR")</f>
        <v>2023</v>
      </c>
      <c r="C902" s="17">
        <f>IF(Data!C902=Entry2!C902,Data!C902,"ERROR")</f>
        <v>45197</v>
      </c>
      <c r="D902" s="7" t="str">
        <f>IF(Data!D902=Entry2!D902,Data!D902,"ERROR")</f>
        <v>MP, TL</v>
      </c>
      <c r="E902" s="7" t="str">
        <f>IF(Data!E902=Entry2!E902,Data!E902,"ERROR")</f>
        <v>VB</v>
      </c>
      <c r="F902" s="7">
        <f>IF(Data!F902=Entry2!F902,Data!F902,"ERROR")</f>
        <v>1</v>
      </c>
      <c r="G902" s="7" t="str">
        <f>IF(Data!G902=Entry2!G902,Data!G902,"ERROR")</f>
        <v>LS</v>
      </c>
      <c r="H902" s="7">
        <f>IF(Data!H902=Entry2!H902,Data!H902,"ERROR")</f>
        <v>9</v>
      </c>
      <c r="I902" s="7">
        <f>IF(Data!I902=Entry2!I902,Data!I902,"ERROR")</f>
        <v>1</v>
      </c>
      <c r="J902" s="7">
        <f>IF(Data!J902=Entry2!J902,Data!J902,"ERROR")</f>
        <v>4</v>
      </c>
      <c r="K902" s="7" t="str">
        <f>IF(Data!K902=Entry2!K902,Data!K902,"ERROR")</f>
        <v>DEIFAS</v>
      </c>
      <c r="L902" s="7" t="str">
        <f>IF(Data!L902=Entry2!L902,Data!L902,"ERROR")</f>
        <v>ERROR</v>
      </c>
      <c r="M902" s="7">
        <f>IF(Data!N902=Entry2!M902,Data!N902,"ERROR")</f>
        <v>0</v>
      </c>
    </row>
    <row r="903" spans="1:13" ht="13.2" x14ac:dyDescent="0.25">
      <c r="A903" s="7">
        <f>IF(Data!A903=Entry2!A903,Data!A903,"ERROR")</f>
        <v>19</v>
      </c>
      <c r="B903" s="7">
        <f>IF(Data!B903=Entry2!B903,Data!B903,"ERROR")</f>
        <v>2023</v>
      </c>
      <c r="C903" s="17">
        <f>IF(Data!C903=Entry2!C903,Data!C903,"ERROR")</f>
        <v>45197</v>
      </c>
      <c r="D903" s="7" t="str">
        <f>IF(Data!D903=Entry2!D903,Data!D903,"ERROR")</f>
        <v>MP, TL</v>
      </c>
      <c r="E903" s="7" t="str">
        <f>IF(Data!E903=Entry2!E903,Data!E903,"ERROR")</f>
        <v>VB</v>
      </c>
      <c r="F903" s="7">
        <f>IF(Data!F903=Entry2!F903,Data!F903,"ERROR")</f>
        <v>1</v>
      </c>
      <c r="G903" s="7" t="str">
        <f>IF(Data!G903=Entry2!G903,Data!G903,"ERROR")</f>
        <v>LS</v>
      </c>
      <c r="H903" s="7">
        <f>IF(Data!H903=Entry2!H903,Data!H903,"ERROR")</f>
        <v>10</v>
      </c>
      <c r="I903" s="7">
        <f>IF(Data!I903=Entry2!I903,Data!I903,"ERROR")</f>
        <v>1</v>
      </c>
      <c r="J903" s="7">
        <f>IF(Data!J903=Entry2!J903,Data!J903,"ERROR")</f>
        <v>4.5</v>
      </c>
      <c r="K903" s="7" t="str">
        <f>IF(Data!K903=Entry2!K903,Data!K903,"ERROR")</f>
        <v>L</v>
      </c>
      <c r="L903" s="7" t="str">
        <f>IF(Data!L903=Entry2!L903,Data!L903,"ERROR")</f>
        <v>ERROR</v>
      </c>
      <c r="M903" s="7">
        <f>IF(Data!N903=Entry2!M903,Data!N903,"ERROR")</f>
        <v>0</v>
      </c>
    </row>
    <row r="904" spans="1:13" ht="13.2" x14ac:dyDescent="0.25">
      <c r="A904" s="7">
        <f>IF(Data!A904=Entry2!A904,Data!A904,"ERROR")</f>
        <v>19</v>
      </c>
      <c r="B904" s="7">
        <f>IF(Data!B904=Entry2!B904,Data!B904,"ERROR")</f>
        <v>2023</v>
      </c>
      <c r="C904" s="17">
        <f>IF(Data!C904=Entry2!C904,Data!C904,"ERROR")</f>
        <v>45197</v>
      </c>
      <c r="D904" s="7" t="str">
        <f>IF(Data!D904=Entry2!D904,Data!D904,"ERROR")</f>
        <v>MP, TL</v>
      </c>
      <c r="E904" s="7" t="str">
        <f>IF(Data!E904=Entry2!E904,Data!E904,"ERROR")</f>
        <v>VB</v>
      </c>
      <c r="F904" s="7">
        <f>IF(Data!F904=Entry2!F904,Data!F904,"ERROR")</f>
        <v>1</v>
      </c>
      <c r="G904" s="7" t="str">
        <f>IF(Data!G904=Entry2!G904,Data!G904,"ERROR")</f>
        <v>LS</v>
      </c>
      <c r="H904" s="7">
        <f>IF(Data!H904=Entry2!H904,Data!H904,"ERROR")</f>
        <v>10</v>
      </c>
      <c r="I904" s="7">
        <f>IF(Data!I904=Entry2!I904,Data!I904,"ERROR")</f>
        <v>1</v>
      </c>
      <c r="J904" s="7">
        <f>IF(Data!J904=Entry2!J904,Data!J904,"ERROR")</f>
        <v>4.5</v>
      </c>
      <c r="K904" s="7" t="str">
        <f>IF(Data!K904=Entry2!K904,Data!K904,"ERROR")</f>
        <v>DEIFAS</v>
      </c>
      <c r="L904" s="7" t="str">
        <f>IF(Data!L904=Entry2!L904,Data!L904,"ERROR")</f>
        <v>ERROR</v>
      </c>
      <c r="M904" s="7">
        <f>IF(Data!N904=Entry2!M904,Data!N904,"ERROR")</f>
        <v>0</v>
      </c>
    </row>
    <row r="905" spans="1:13" ht="13.2" x14ac:dyDescent="0.25">
      <c r="A905" s="7">
        <f>IF(Data!A905=Entry2!A905,Data!A905,"ERROR")</f>
        <v>19</v>
      </c>
      <c r="B905" s="7">
        <f>IF(Data!B905=Entry2!B905,Data!B905,"ERROR")</f>
        <v>2023</v>
      </c>
      <c r="C905" s="17">
        <f>IF(Data!C905=Entry2!C905,Data!C905,"ERROR")</f>
        <v>45197</v>
      </c>
      <c r="D905" s="7" t="str">
        <f>IF(Data!D905=Entry2!D905,Data!D905,"ERROR")</f>
        <v>MP, TL</v>
      </c>
      <c r="E905" s="7" t="str">
        <f>IF(Data!E905=Entry2!E905,Data!E905,"ERROR")</f>
        <v>VB</v>
      </c>
      <c r="F905" s="7">
        <f>IF(Data!F905=Entry2!F905,Data!F905,"ERROR")</f>
        <v>1</v>
      </c>
      <c r="G905" s="7" t="str">
        <f>IF(Data!G905=Entry2!G905,Data!G905,"ERROR")</f>
        <v>LS</v>
      </c>
      <c r="H905" s="7">
        <f>IF(Data!H905=Entry2!H905,Data!H905,"ERROR")</f>
        <v>11</v>
      </c>
      <c r="I905" s="7">
        <f>IF(Data!I905=Entry2!I905,Data!I905,"ERROR")</f>
        <v>1</v>
      </c>
      <c r="J905" s="7">
        <f>IF(Data!J905=Entry2!J905,Data!J905,"ERROR")</f>
        <v>5</v>
      </c>
      <c r="K905" s="7" t="str">
        <f>IF(Data!K905=Entry2!K905,Data!K905,"ERROR")</f>
        <v>L</v>
      </c>
      <c r="L905" s="7" t="str">
        <f>IF(Data!L905=Entry2!L905,Data!L905,"ERROR")</f>
        <v>ERROR</v>
      </c>
      <c r="M905" s="7">
        <f>IF(Data!N905=Entry2!M905,Data!N905,"ERROR")</f>
        <v>0</v>
      </c>
    </row>
    <row r="906" spans="1:13" ht="13.2" x14ac:dyDescent="0.25">
      <c r="A906" s="7">
        <f>IF(Data!A906=Entry2!A906,Data!A906,"ERROR")</f>
        <v>19</v>
      </c>
      <c r="B906" s="7">
        <f>IF(Data!B906=Entry2!B906,Data!B906,"ERROR")</f>
        <v>2023</v>
      </c>
      <c r="C906" s="17">
        <f>IF(Data!C906=Entry2!C906,Data!C906,"ERROR")</f>
        <v>45197</v>
      </c>
      <c r="D906" s="7" t="str">
        <f>IF(Data!D906=Entry2!D906,Data!D906,"ERROR")</f>
        <v>MP, TL</v>
      </c>
      <c r="E906" s="7" t="str">
        <f>IF(Data!E906=Entry2!E906,Data!E906,"ERROR")</f>
        <v>VB</v>
      </c>
      <c r="F906" s="7">
        <f>IF(Data!F906=Entry2!F906,Data!F906,"ERROR")</f>
        <v>1</v>
      </c>
      <c r="G906" s="7" t="str">
        <f>IF(Data!G906=Entry2!G906,Data!G906,"ERROR")</f>
        <v>LS</v>
      </c>
      <c r="H906" s="7">
        <f>IF(Data!H906=Entry2!H906,Data!H906,"ERROR")</f>
        <v>12</v>
      </c>
      <c r="I906" s="7">
        <f>IF(Data!I906=Entry2!I906,Data!I906,"ERROR")</f>
        <v>1</v>
      </c>
      <c r="J906" s="7">
        <f>IF(Data!J906=Entry2!J906,Data!J906,"ERROR")</f>
        <v>5.5</v>
      </c>
      <c r="K906" s="7" t="str">
        <f>IF(Data!K906=Entry2!K906,Data!K906,"ERROR")</f>
        <v>L</v>
      </c>
      <c r="L906" s="7" t="str">
        <f>IF(Data!L906=Entry2!L906,Data!L906,"ERROR")</f>
        <v>ERROR</v>
      </c>
      <c r="M906" s="7">
        <f>IF(Data!N906=Entry2!M906,Data!N906,"ERROR")</f>
        <v>0</v>
      </c>
    </row>
    <row r="907" spans="1:13" ht="13.2" x14ac:dyDescent="0.25">
      <c r="A907" s="7">
        <f>IF(Data!A907=Entry2!A907,Data!A907,"ERROR")</f>
        <v>19</v>
      </c>
      <c r="B907" s="7">
        <f>IF(Data!B907=Entry2!B907,Data!B907,"ERROR")</f>
        <v>2023</v>
      </c>
      <c r="C907" s="17">
        <f>IF(Data!C907=Entry2!C907,Data!C907,"ERROR")</f>
        <v>45197</v>
      </c>
      <c r="D907" s="7" t="str">
        <f>IF(Data!D907=Entry2!D907,Data!D907,"ERROR")</f>
        <v>MP, TL</v>
      </c>
      <c r="E907" s="7" t="str">
        <f>IF(Data!E907=Entry2!E907,Data!E907,"ERROR")</f>
        <v>VB</v>
      </c>
      <c r="F907" s="7">
        <f>IF(Data!F907=Entry2!F907,Data!F907,"ERROR")</f>
        <v>1</v>
      </c>
      <c r="G907" s="7" t="str">
        <f>IF(Data!G907=Entry2!G907,Data!G907,"ERROR")</f>
        <v>LS</v>
      </c>
      <c r="H907" s="7">
        <f>IF(Data!H907=Entry2!H907,Data!H907,"ERROR")</f>
        <v>13</v>
      </c>
      <c r="I907" s="7">
        <f>IF(Data!I907=Entry2!I907,Data!I907,"ERROR")</f>
        <v>1</v>
      </c>
      <c r="J907" s="7">
        <f>IF(Data!J907=Entry2!J907,Data!J907,"ERROR")</f>
        <v>6.5</v>
      </c>
      <c r="K907" s="7" t="str">
        <f>IF(Data!K907=Entry2!K907,Data!K907,"ERROR")</f>
        <v>L</v>
      </c>
      <c r="L907" s="7" t="str">
        <f>IF(Data!L907=Entry2!L907,Data!L907,"ERROR")</f>
        <v>ERROR</v>
      </c>
      <c r="M907" s="7">
        <f>IF(Data!N907=Entry2!M907,Data!N907,"ERROR")</f>
        <v>0</v>
      </c>
    </row>
    <row r="908" spans="1:13" ht="13.2" x14ac:dyDescent="0.25">
      <c r="A908" s="7">
        <f>IF(Data!A908=Entry2!A908,Data!A908,"ERROR")</f>
        <v>19</v>
      </c>
      <c r="B908" s="7">
        <f>IF(Data!B908=Entry2!B908,Data!B908,"ERROR")</f>
        <v>2023</v>
      </c>
      <c r="C908" s="17">
        <f>IF(Data!C908=Entry2!C908,Data!C908,"ERROR")</f>
        <v>45197</v>
      </c>
      <c r="D908" s="7" t="str">
        <f>IF(Data!D908=Entry2!D908,Data!D908,"ERROR")</f>
        <v>MP, TL</v>
      </c>
      <c r="E908" s="7" t="str">
        <f>IF(Data!E908=Entry2!E908,Data!E908,"ERROR")</f>
        <v>VB</v>
      </c>
      <c r="F908" s="7">
        <f>IF(Data!F908=Entry2!F908,Data!F908,"ERROR")</f>
        <v>1</v>
      </c>
      <c r="G908" s="7" t="str">
        <f>IF(Data!G908=Entry2!G908,Data!G908,"ERROR")</f>
        <v>LS</v>
      </c>
      <c r="H908" s="7">
        <f>IF(Data!H908=Entry2!H908,Data!H908,"ERROR")</f>
        <v>13</v>
      </c>
      <c r="I908" s="7">
        <f>IF(Data!I908=Entry2!I908,Data!I908,"ERROR")</f>
        <v>1</v>
      </c>
      <c r="J908" s="7">
        <f>IF(Data!J908=Entry2!J908,Data!J908,"ERROR")</f>
        <v>6.5</v>
      </c>
      <c r="K908" s="7" t="str">
        <f>IF(Data!K908=Entry2!K908,Data!K908,"ERROR")</f>
        <v>EROCIC</v>
      </c>
      <c r="L908" s="7" t="str">
        <f>IF(Data!L908=Entry2!L908,Data!L908,"ERROR")</f>
        <v>ERROR</v>
      </c>
      <c r="M908" s="7">
        <f>IF(Data!N908=Entry2!M908,Data!N908,"ERROR")</f>
        <v>0</v>
      </c>
    </row>
    <row r="909" spans="1:13" ht="13.2" x14ac:dyDescent="0.25">
      <c r="A909" s="7">
        <f>IF(Data!A909=Entry2!A909,Data!A909,"ERROR")</f>
        <v>19</v>
      </c>
      <c r="B909" s="7">
        <f>IF(Data!B909=Entry2!B909,Data!B909,"ERROR")</f>
        <v>2023</v>
      </c>
      <c r="C909" s="17">
        <f>IF(Data!C909=Entry2!C909,Data!C909,"ERROR")</f>
        <v>45197</v>
      </c>
      <c r="D909" s="7" t="str">
        <f>IF(Data!D909=Entry2!D909,Data!D909,"ERROR")</f>
        <v>MP, TL</v>
      </c>
      <c r="E909" s="7" t="str">
        <f>IF(Data!E909=Entry2!E909,Data!E909,"ERROR")</f>
        <v>VB</v>
      </c>
      <c r="F909" s="7">
        <f>IF(Data!F909=Entry2!F909,Data!F909,"ERROR")</f>
        <v>1</v>
      </c>
      <c r="G909" s="7" t="str">
        <f>IF(Data!G909=Entry2!G909,Data!G909,"ERROR")</f>
        <v>LS</v>
      </c>
      <c r="H909" s="7">
        <f>IF(Data!H909=Entry2!H909,Data!H909,"ERROR")</f>
        <v>13</v>
      </c>
      <c r="I909" s="7">
        <f>IF(Data!I909=Entry2!I909,Data!I909,"ERROR")</f>
        <v>1</v>
      </c>
      <c r="J909" s="7">
        <f>IF(Data!J909=Entry2!J909,Data!J909,"ERROR")</f>
        <v>6.5</v>
      </c>
      <c r="K909" s="7" t="str">
        <f>IF(Data!K909=Entry2!K909,Data!K909,"ERROR")</f>
        <v>NNG</v>
      </c>
      <c r="L909" s="7" t="str">
        <f>IF(Data!L909=Entry2!L909,Data!L909,"ERROR")</f>
        <v>ERROR</v>
      </c>
      <c r="M909" s="7">
        <f>IF(Data!N909=Entry2!M909,Data!N909,"ERROR")</f>
        <v>0</v>
      </c>
    </row>
    <row r="910" spans="1:13" ht="13.2" x14ac:dyDescent="0.25">
      <c r="A910" s="7">
        <f>IF(Data!A910=Entry2!A910,Data!A910,"ERROR")</f>
        <v>19</v>
      </c>
      <c r="B910" s="7">
        <f>IF(Data!B910=Entry2!B910,Data!B910,"ERROR")</f>
        <v>2023</v>
      </c>
      <c r="C910" s="17">
        <f>IF(Data!C910=Entry2!C910,Data!C910,"ERROR")</f>
        <v>45197</v>
      </c>
      <c r="D910" s="7" t="str">
        <f>IF(Data!D910=Entry2!D910,Data!D910,"ERROR")</f>
        <v>MP, TL</v>
      </c>
      <c r="E910" s="7" t="str">
        <f>IF(Data!E910=Entry2!E910,Data!E910,"ERROR")</f>
        <v>VB</v>
      </c>
      <c r="F910" s="7">
        <f>IF(Data!F910=Entry2!F910,Data!F910,"ERROR")</f>
        <v>1</v>
      </c>
      <c r="G910" s="7" t="str">
        <f>IF(Data!G910=Entry2!G910,Data!G910,"ERROR")</f>
        <v>LS</v>
      </c>
      <c r="H910" s="7">
        <f>IF(Data!H910=Entry2!H910,Data!H910,"ERROR")</f>
        <v>13</v>
      </c>
      <c r="I910" s="7">
        <f>IF(Data!I910=Entry2!I910,Data!I910,"ERROR")</f>
        <v>1</v>
      </c>
      <c r="J910" s="7">
        <f>IF(Data!J910=Entry2!J910,Data!J910,"ERROR")</f>
        <v>6.5</v>
      </c>
      <c r="K910" s="7" t="str">
        <f>IF(Data!K910=Entry2!K910,Data!K910,"ERROR")</f>
        <v>SONOLE</v>
      </c>
      <c r="L910" s="7" t="str">
        <f>IF(Data!L910=Entry2!L910,Data!L910,"ERROR")</f>
        <v>ERROR</v>
      </c>
      <c r="M910" s="7">
        <f>IF(Data!N910=Entry2!M910,Data!N910,"ERROR")</f>
        <v>0</v>
      </c>
    </row>
    <row r="911" spans="1:13" ht="13.2" x14ac:dyDescent="0.25">
      <c r="A911" s="7">
        <f>IF(Data!A911=Entry2!A911,Data!A911,"ERROR")</f>
        <v>19</v>
      </c>
      <c r="B911" s="7">
        <f>IF(Data!B911=Entry2!B911,Data!B911,"ERROR")</f>
        <v>2023</v>
      </c>
      <c r="C911" s="17">
        <f>IF(Data!C911=Entry2!C911,Data!C911,"ERROR")</f>
        <v>45197</v>
      </c>
      <c r="D911" s="7" t="str">
        <f>IF(Data!D911=Entry2!D911,Data!D911,"ERROR")</f>
        <v>MP, TL</v>
      </c>
      <c r="E911" s="7" t="str">
        <f>IF(Data!E911=Entry2!E911,Data!E911,"ERROR")</f>
        <v>VB</v>
      </c>
      <c r="F911" s="7">
        <f>IF(Data!F911=Entry2!F911,Data!F911,"ERROR")</f>
        <v>1</v>
      </c>
      <c r="G911" s="7" t="str">
        <f>IF(Data!G911=Entry2!G911,Data!G911,"ERROR")</f>
        <v>LS</v>
      </c>
      <c r="H911" s="7">
        <f>IF(Data!H911=Entry2!H911,Data!H911,"ERROR")</f>
        <v>13</v>
      </c>
      <c r="I911" s="7">
        <f>IF(Data!I911=Entry2!I911,Data!I911,"ERROR")</f>
        <v>1</v>
      </c>
      <c r="J911" s="7">
        <f>IF(Data!J911=Entry2!J911,Data!J911,"ERROR")</f>
        <v>6.5</v>
      </c>
      <c r="K911" s="7" t="str">
        <f>IF(Data!K911=Entry2!K911,Data!K911,"ERROR")</f>
        <v>OPULIT</v>
      </c>
      <c r="L911" s="7" t="str">
        <f>IF(Data!L911=Entry2!L911,Data!L911,"ERROR")</f>
        <v>ERROR</v>
      </c>
      <c r="M911" s="7">
        <f>IF(Data!N911=Entry2!M911,Data!N911,"ERROR")</f>
        <v>0</v>
      </c>
    </row>
    <row r="912" spans="1:13" ht="13.2" x14ac:dyDescent="0.25">
      <c r="A912" s="7">
        <f>IF(Data!A912=Entry2!A912,Data!A912,"ERROR")</f>
        <v>19</v>
      </c>
      <c r="B912" s="7">
        <f>IF(Data!B912=Entry2!B912,Data!B912,"ERROR")</f>
        <v>2023</v>
      </c>
      <c r="C912" s="17">
        <f>IF(Data!C912=Entry2!C912,Data!C912,"ERROR")</f>
        <v>45197</v>
      </c>
      <c r="D912" s="7" t="str">
        <f>IF(Data!D912=Entry2!D912,Data!D912,"ERROR")</f>
        <v>MP, TL</v>
      </c>
      <c r="E912" s="7" t="str">
        <f>IF(Data!E912=Entry2!E912,Data!E912,"ERROR")</f>
        <v>VB</v>
      </c>
      <c r="F912" s="7">
        <f>IF(Data!F912=Entry2!F912,Data!F912,"ERROR")</f>
        <v>1</v>
      </c>
      <c r="G912" s="7" t="str">
        <f>IF(Data!G912=Entry2!G912,Data!G912,"ERROR")</f>
        <v>LS</v>
      </c>
      <c r="H912" s="7">
        <f>IF(Data!H912=Entry2!H912,Data!H912,"ERROR")</f>
        <v>14</v>
      </c>
      <c r="I912" s="7">
        <f>IF(Data!I912=Entry2!I912,Data!I912,"ERROR")</f>
        <v>1</v>
      </c>
      <c r="J912" s="7">
        <f>IF(Data!J912=Entry2!J912,Data!J912,"ERROR")</f>
        <v>7</v>
      </c>
      <c r="K912" s="7" t="str">
        <f>IF(Data!K912=Entry2!K912,Data!K912,"ERROR")</f>
        <v>L</v>
      </c>
      <c r="L912" s="7" t="str">
        <f>IF(Data!L912=Entry2!L912,Data!L912,"ERROR")</f>
        <v>ERROR</v>
      </c>
      <c r="M912" s="7">
        <f>IF(Data!N912=Entry2!M912,Data!N912,"ERROR")</f>
        <v>0</v>
      </c>
    </row>
    <row r="913" spans="1:13" ht="13.2" x14ac:dyDescent="0.25">
      <c r="A913" s="7">
        <f>IF(Data!A913=Entry2!A913,Data!A913,"ERROR")</f>
        <v>19</v>
      </c>
      <c r="B913" s="7">
        <f>IF(Data!B913=Entry2!B913,Data!B913,"ERROR")</f>
        <v>2023</v>
      </c>
      <c r="C913" s="17">
        <f>IF(Data!C913=Entry2!C913,Data!C913,"ERROR")</f>
        <v>45197</v>
      </c>
      <c r="D913" s="7" t="str">
        <f>IF(Data!D913=Entry2!D913,Data!D913,"ERROR")</f>
        <v>MP, TL</v>
      </c>
      <c r="E913" s="7" t="str">
        <f>IF(Data!E913=Entry2!E913,Data!E913,"ERROR")</f>
        <v>VB</v>
      </c>
      <c r="F913" s="7">
        <f>IF(Data!F913=Entry2!F913,Data!F913,"ERROR")</f>
        <v>1</v>
      </c>
      <c r="G913" s="7" t="str">
        <f>IF(Data!G913=Entry2!G913,Data!G913,"ERROR")</f>
        <v>LS</v>
      </c>
      <c r="H913" s="7">
        <f>IF(Data!H913=Entry2!H913,Data!H913,"ERROR")</f>
        <v>15</v>
      </c>
      <c r="I913" s="7">
        <f>IF(Data!I913=Entry2!I913,Data!I913,"ERROR")</f>
        <v>1</v>
      </c>
      <c r="J913" s="7">
        <f>IF(Data!J913=Entry2!J913,Data!J913,"ERROR")</f>
        <v>7.5</v>
      </c>
      <c r="K913" s="7" t="str">
        <f>IF(Data!K913=Entry2!K913,Data!K913,"ERROR")</f>
        <v>L</v>
      </c>
      <c r="L913" s="7" t="str">
        <f>IF(Data!L913=Entry2!L913,Data!L913,"ERROR")</f>
        <v>ERROR</v>
      </c>
      <c r="M913" s="7">
        <f>IF(Data!N913=Entry2!M913,Data!N913,"ERROR")</f>
        <v>0</v>
      </c>
    </row>
    <row r="914" spans="1:13" ht="13.2" x14ac:dyDescent="0.25">
      <c r="A914" s="7">
        <f>IF(Data!A914=Entry2!A914,Data!A914,"ERROR")</f>
        <v>19</v>
      </c>
      <c r="B914" s="7">
        <f>IF(Data!B914=Entry2!B914,Data!B914,"ERROR")</f>
        <v>2023</v>
      </c>
      <c r="C914" s="17">
        <f>IF(Data!C914=Entry2!C914,Data!C914,"ERROR")</f>
        <v>45197</v>
      </c>
      <c r="D914" s="7" t="str">
        <f>IF(Data!D914=Entry2!D914,Data!D914,"ERROR")</f>
        <v>MP, TL</v>
      </c>
      <c r="E914" s="7" t="str">
        <f>IF(Data!E914=Entry2!E914,Data!E914,"ERROR")</f>
        <v>VB</v>
      </c>
      <c r="F914" s="7">
        <f>IF(Data!F914=Entry2!F914,Data!F914,"ERROR")</f>
        <v>1</v>
      </c>
      <c r="G914" s="7" t="str">
        <f>IF(Data!G914=Entry2!G914,Data!G914,"ERROR")</f>
        <v>LS</v>
      </c>
      <c r="H914" s="7">
        <f>IF(Data!H914=Entry2!H914,Data!H914,"ERROR")</f>
        <v>15</v>
      </c>
      <c r="I914" s="7">
        <f>IF(Data!I914=Entry2!I914,Data!I914,"ERROR")</f>
        <v>1</v>
      </c>
      <c r="J914" s="7">
        <f>IF(Data!J914=Entry2!J914,Data!J914,"ERROR")</f>
        <v>7.5</v>
      </c>
      <c r="K914" s="7" t="str">
        <f>IF(Data!K914=Entry2!K914,Data!K914,"ERROR")</f>
        <v>CENMEL</v>
      </c>
      <c r="L914" s="7" t="str">
        <f>IF(Data!L914=Entry2!L914,Data!L914,"ERROR")</f>
        <v>ERROR</v>
      </c>
      <c r="M914" s="7">
        <f>IF(Data!N914=Entry2!M914,Data!N914,"ERROR")</f>
        <v>0</v>
      </c>
    </row>
    <row r="915" spans="1:13" ht="13.2" x14ac:dyDescent="0.25">
      <c r="A915" s="7">
        <f>IF(Data!A915=Entry2!A915,Data!A915,"ERROR")</f>
        <v>19</v>
      </c>
      <c r="B915" s="7">
        <f>IF(Data!B915=Entry2!B915,Data!B915,"ERROR")</f>
        <v>2023</v>
      </c>
      <c r="C915" s="17">
        <f>IF(Data!C915=Entry2!C915,Data!C915,"ERROR")</f>
        <v>45197</v>
      </c>
      <c r="D915" s="7" t="str">
        <f>IF(Data!D915=Entry2!D915,Data!D915,"ERROR")</f>
        <v>MP, TL</v>
      </c>
      <c r="E915" s="7" t="str">
        <f>IF(Data!E915=Entry2!E915,Data!E915,"ERROR")</f>
        <v>VB</v>
      </c>
      <c r="F915" s="7">
        <f>IF(Data!F915=Entry2!F915,Data!F915,"ERROR")</f>
        <v>1</v>
      </c>
      <c r="G915" s="7" t="str">
        <f>IF(Data!G915=Entry2!G915,Data!G915,"ERROR")</f>
        <v>LS</v>
      </c>
      <c r="H915" s="7">
        <f>IF(Data!H915=Entry2!H915,Data!H915,"ERROR")</f>
        <v>15</v>
      </c>
      <c r="I915" s="7">
        <f>IF(Data!I915=Entry2!I915,Data!I915,"ERROR")</f>
        <v>1</v>
      </c>
      <c r="J915" s="7">
        <f>IF(Data!J915=Entry2!J915,Data!J915,"ERROR")</f>
        <v>7.5</v>
      </c>
      <c r="K915" s="7" t="str">
        <f>IF(Data!K915=Entry2!K915,Data!K915,"ERROR")</f>
        <v>CYLPRO</v>
      </c>
      <c r="L915" s="7" t="str">
        <f>IF(Data!L915=Entry2!L915,Data!L915,"ERROR")</f>
        <v>ERROR</v>
      </c>
      <c r="M915" s="7">
        <f>IF(Data!N915=Entry2!M915,Data!N915,"ERROR")</f>
        <v>0</v>
      </c>
    </row>
    <row r="916" spans="1:13" ht="13.2" x14ac:dyDescent="0.25">
      <c r="A916" s="7">
        <f>IF(Data!A916=Entry2!A916,Data!A916,"ERROR")</f>
        <v>19</v>
      </c>
      <c r="B916" s="7">
        <f>IF(Data!B916=Entry2!B916,Data!B916,"ERROR")</f>
        <v>2023</v>
      </c>
      <c r="C916" s="17">
        <f>IF(Data!C916=Entry2!C916,Data!C916,"ERROR")</f>
        <v>45197</v>
      </c>
      <c r="D916" s="7" t="str">
        <f>IF(Data!D916=Entry2!D916,Data!D916,"ERROR")</f>
        <v>MP, TL</v>
      </c>
      <c r="E916" s="7" t="str">
        <f>IF(Data!E916=Entry2!E916,Data!E916,"ERROR")</f>
        <v>VB</v>
      </c>
      <c r="F916" s="7">
        <f>IF(Data!F916=Entry2!F916,Data!F916,"ERROR")</f>
        <v>1</v>
      </c>
      <c r="G916" s="7" t="str">
        <f>IF(Data!G916=Entry2!G916,Data!G916,"ERROR")</f>
        <v>LS</v>
      </c>
      <c r="H916" s="7">
        <f>IF(Data!H916=Entry2!H916,Data!H916,"ERROR")</f>
        <v>1</v>
      </c>
      <c r="I916" s="7">
        <f>IF(Data!I916=Entry2!I916,Data!I916,"ERROR")</f>
        <v>2</v>
      </c>
      <c r="J916" s="7">
        <f>IF(Data!J916=Entry2!J916,Data!J916,"ERROR")</f>
        <v>0</v>
      </c>
      <c r="K916" s="7" t="str">
        <f>IF(Data!K916=Entry2!K916,Data!K916,"ERROR")</f>
        <v>L</v>
      </c>
      <c r="L916" s="7" t="str">
        <f>IF(Data!L916=Entry2!L916,Data!L916,"ERROR")</f>
        <v>ERROR</v>
      </c>
      <c r="M916" s="7">
        <f>IF(Data!N916=Entry2!M916,Data!N916,"ERROR")</f>
        <v>0</v>
      </c>
    </row>
    <row r="917" spans="1:13" ht="13.2" x14ac:dyDescent="0.25">
      <c r="A917" s="7">
        <f>IF(Data!A917=Entry2!A917,Data!A917,"ERROR")</f>
        <v>19</v>
      </c>
      <c r="B917" s="7">
        <f>IF(Data!B917=Entry2!B917,Data!B917,"ERROR")</f>
        <v>2023</v>
      </c>
      <c r="C917" s="17">
        <f>IF(Data!C917=Entry2!C917,Data!C917,"ERROR")</f>
        <v>45197</v>
      </c>
      <c r="D917" s="7" t="str">
        <f>IF(Data!D917=Entry2!D917,Data!D917,"ERROR")</f>
        <v>MP, TL</v>
      </c>
      <c r="E917" s="7" t="str">
        <f>IF(Data!E917=Entry2!E917,Data!E917,"ERROR")</f>
        <v>VB</v>
      </c>
      <c r="F917" s="7">
        <f>IF(Data!F917=Entry2!F917,Data!F917,"ERROR")</f>
        <v>1</v>
      </c>
      <c r="G917" s="7" t="str">
        <f>IF(Data!G917=Entry2!G917,Data!G917,"ERROR")</f>
        <v>LS</v>
      </c>
      <c r="H917" s="7">
        <f>IF(Data!H917=Entry2!H917,Data!H917,"ERROR")</f>
        <v>2</v>
      </c>
      <c r="I917" s="7">
        <f>IF(Data!I917=Entry2!I917,Data!I917,"ERROR")</f>
        <v>2</v>
      </c>
      <c r="J917" s="7">
        <f>IF(Data!J917=Entry2!J917,Data!J917,"ERROR")</f>
        <v>0.5</v>
      </c>
      <c r="K917" s="7" t="str">
        <f>IF(Data!K917=Entry2!K917,Data!K917,"ERROR")</f>
        <v>L</v>
      </c>
      <c r="L917" s="7" t="str">
        <f>IF(Data!L917=Entry2!L917,Data!L917,"ERROR")</f>
        <v>ERROR</v>
      </c>
      <c r="M917" s="7">
        <f>IF(Data!N917=Entry2!M917,Data!N917,"ERROR")</f>
        <v>0</v>
      </c>
    </row>
    <row r="918" spans="1:13" ht="13.2" x14ac:dyDescent="0.25">
      <c r="A918" s="7">
        <f>IF(Data!A918=Entry2!A918,Data!A918,"ERROR")</f>
        <v>19</v>
      </c>
      <c r="B918" s="7">
        <f>IF(Data!B918=Entry2!B918,Data!B918,"ERROR")</f>
        <v>2023</v>
      </c>
      <c r="C918" s="17">
        <f>IF(Data!C918=Entry2!C918,Data!C918,"ERROR")</f>
        <v>45197</v>
      </c>
      <c r="D918" s="7" t="str">
        <f>IF(Data!D918=Entry2!D918,Data!D918,"ERROR")</f>
        <v>MP, TL</v>
      </c>
      <c r="E918" s="7" t="str">
        <f>IF(Data!E918=Entry2!E918,Data!E918,"ERROR")</f>
        <v>VB</v>
      </c>
      <c r="F918" s="7">
        <f>IF(Data!F918=Entry2!F918,Data!F918,"ERROR")</f>
        <v>1</v>
      </c>
      <c r="G918" s="7" t="str">
        <f>IF(Data!G918=Entry2!G918,Data!G918,"ERROR")</f>
        <v>LS</v>
      </c>
      <c r="H918" s="7">
        <f>IF(Data!H918=Entry2!H918,Data!H918,"ERROR")</f>
        <v>3</v>
      </c>
      <c r="I918" s="7">
        <f>IF(Data!I918=Entry2!I918,Data!I918,"ERROR")</f>
        <v>2</v>
      </c>
      <c r="J918" s="7">
        <f>IF(Data!J918=Entry2!J918,Data!J918,"ERROR")</f>
        <v>1</v>
      </c>
      <c r="K918" s="7" t="str">
        <f>IF(Data!K918=Entry2!K918,Data!K918,"ERROR")</f>
        <v>B</v>
      </c>
      <c r="L918" s="7" t="str">
        <f>IF(Data!L918=Entry2!L918,Data!L918,"ERROR")</f>
        <v>ERROR</v>
      </c>
      <c r="M918" s="7">
        <f>IF(Data!N918=Entry2!M918,Data!N918,"ERROR")</f>
        <v>0</v>
      </c>
    </row>
    <row r="919" spans="1:13" ht="13.2" x14ac:dyDescent="0.25">
      <c r="A919" s="7">
        <f>IF(Data!A919=Entry2!A919,Data!A919,"ERROR")</f>
        <v>19</v>
      </c>
      <c r="B919" s="7">
        <f>IF(Data!B919=Entry2!B919,Data!B919,"ERROR")</f>
        <v>2023</v>
      </c>
      <c r="C919" s="17">
        <f>IF(Data!C919=Entry2!C919,Data!C919,"ERROR")</f>
        <v>45197</v>
      </c>
      <c r="D919" s="7" t="str">
        <f>IF(Data!D919=Entry2!D919,Data!D919,"ERROR")</f>
        <v>MP, TL</v>
      </c>
      <c r="E919" s="7" t="str">
        <f>IF(Data!E919=Entry2!E919,Data!E919,"ERROR")</f>
        <v>VB</v>
      </c>
      <c r="F919" s="7">
        <f>IF(Data!F919=Entry2!F919,Data!F919,"ERROR")</f>
        <v>1</v>
      </c>
      <c r="G919" s="7" t="str">
        <f>IF(Data!G919=Entry2!G919,Data!G919,"ERROR")</f>
        <v>LS</v>
      </c>
      <c r="H919" s="7">
        <f>IF(Data!H919=Entry2!H919,Data!H919,"ERROR")</f>
        <v>4</v>
      </c>
      <c r="I919" s="7">
        <f>IF(Data!I919=Entry2!I919,Data!I919,"ERROR")</f>
        <v>2</v>
      </c>
      <c r="J919" s="7">
        <f>IF(Data!J919=Entry2!J919,Data!J919,"ERROR")</f>
        <v>1.5</v>
      </c>
      <c r="K919" s="7" t="str">
        <f>IF(Data!K919=Entry2!K919,Data!K919,"ERROR")</f>
        <v>L</v>
      </c>
      <c r="L919" s="7" t="str">
        <f>IF(Data!L919=Entry2!L919,Data!L919,"ERROR")</f>
        <v>ERROR</v>
      </c>
      <c r="M919" s="7">
        <f>IF(Data!N919=Entry2!M919,Data!N919,"ERROR")</f>
        <v>0</v>
      </c>
    </row>
    <row r="920" spans="1:13" ht="13.2" x14ac:dyDescent="0.25">
      <c r="A920" s="7">
        <f>IF(Data!A920=Entry2!A920,Data!A920,"ERROR")</f>
        <v>19</v>
      </c>
      <c r="B920" s="7">
        <f>IF(Data!B920=Entry2!B920,Data!B920,"ERROR")</f>
        <v>2023</v>
      </c>
      <c r="C920" s="17">
        <f>IF(Data!C920=Entry2!C920,Data!C920,"ERROR")</f>
        <v>45197</v>
      </c>
      <c r="D920" s="7" t="str">
        <f>IF(Data!D920=Entry2!D920,Data!D920,"ERROR")</f>
        <v>MP, TL</v>
      </c>
      <c r="E920" s="7" t="str">
        <f>IF(Data!E920=Entry2!E920,Data!E920,"ERROR")</f>
        <v>VB</v>
      </c>
      <c r="F920" s="7">
        <f>IF(Data!F920=Entry2!F920,Data!F920,"ERROR")</f>
        <v>1</v>
      </c>
      <c r="G920" s="7" t="str">
        <f>IF(Data!G920=Entry2!G920,Data!G920,"ERROR")</f>
        <v>LS</v>
      </c>
      <c r="H920" s="7">
        <f>IF(Data!H920=Entry2!H920,Data!H920,"ERROR")</f>
        <v>4</v>
      </c>
      <c r="I920" s="7">
        <f>IF(Data!I920=Entry2!I920,Data!I920,"ERROR")</f>
        <v>2</v>
      </c>
      <c r="J920" s="7">
        <f>IF(Data!J920=Entry2!J920,Data!J920,"ERROR")</f>
        <v>1.5</v>
      </c>
      <c r="K920" s="7" t="str">
        <f>IF(Data!K920=Entry2!K920,Data!K920,"ERROR")</f>
        <v>OPULIT</v>
      </c>
      <c r="L920" s="7" t="str">
        <f>IF(Data!L920=Entry2!L920,Data!L920,"ERROR")</f>
        <v>ERROR</v>
      </c>
      <c r="M920" s="7">
        <f>IF(Data!N920=Entry2!M920,Data!N920,"ERROR")</f>
        <v>0</v>
      </c>
    </row>
    <row r="921" spans="1:13" ht="13.2" x14ac:dyDescent="0.25">
      <c r="A921" s="7">
        <f>IF(Data!A921=Entry2!A921,Data!A921,"ERROR")</f>
        <v>19</v>
      </c>
      <c r="B921" s="7">
        <f>IF(Data!B921=Entry2!B921,Data!B921,"ERROR")</f>
        <v>2023</v>
      </c>
      <c r="C921" s="17">
        <f>IF(Data!C921=Entry2!C921,Data!C921,"ERROR")</f>
        <v>45197</v>
      </c>
      <c r="D921" s="7" t="str">
        <f>IF(Data!D921=Entry2!D921,Data!D921,"ERROR")</f>
        <v>MP, TL</v>
      </c>
      <c r="E921" s="7" t="str">
        <f>IF(Data!E921=Entry2!E921,Data!E921,"ERROR")</f>
        <v>VB</v>
      </c>
      <c r="F921" s="7">
        <f>IF(Data!F921=Entry2!F921,Data!F921,"ERROR")</f>
        <v>1</v>
      </c>
      <c r="G921" s="7" t="str">
        <f>IF(Data!G921=Entry2!G921,Data!G921,"ERROR")</f>
        <v>LS</v>
      </c>
      <c r="H921" s="7">
        <f>IF(Data!H921=Entry2!H921,Data!H921,"ERROR")</f>
        <v>5</v>
      </c>
      <c r="I921" s="7">
        <f>IF(Data!I921=Entry2!I921,Data!I921,"ERROR")</f>
        <v>2</v>
      </c>
      <c r="J921" s="7">
        <f>IF(Data!J921=Entry2!J921,Data!J921,"ERROR")</f>
        <v>2.5</v>
      </c>
      <c r="K921" s="7" t="str">
        <f>IF(Data!K921=Entry2!K921,Data!K921,"ERROR")</f>
        <v>L</v>
      </c>
      <c r="L921" s="7" t="str">
        <f>IF(Data!L921=Entry2!L921,Data!L921,"ERROR")</f>
        <v>ERROR</v>
      </c>
      <c r="M921" s="7">
        <f>IF(Data!N921=Entry2!M921,Data!N921,"ERROR")</f>
        <v>0</v>
      </c>
    </row>
    <row r="922" spans="1:13" ht="13.2" x14ac:dyDescent="0.25">
      <c r="A922" s="7">
        <f>IF(Data!A922=Entry2!A922,Data!A922,"ERROR")</f>
        <v>19</v>
      </c>
      <c r="B922" s="7">
        <f>IF(Data!B922=Entry2!B922,Data!B922,"ERROR")</f>
        <v>2023</v>
      </c>
      <c r="C922" s="17">
        <f>IF(Data!C922=Entry2!C922,Data!C922,"ERROR")</f>
        <v>45197</v>
      </c>
      <c r="D922" s="7" t="str">
        <f>IF(Data!D922=Entry2!D922,Data!D922,"ERROR")</f>
        <v>MP, TL</v>
      </c>
      <c r="E922" s="7" t="str">
        <f>IF(Data!E922=Entry2!E922,Data!E922,"ERROR")</f>
        <v>VB</v>
      </c>
      <c r="F922" s="7">
        <f>IF(Data!F922=Entry2!F922,Data!F922,"ERROR")</f>
        <v>1</v>
      </c>
      <c r="G922" s="7" t="str">
        <f>IF(Data!G922=Entry2!G922,Data!G922,"ERROR")</f>
        <v>LS</v>
      </c>
      <c r="H922" s="7">
        <f>IF(Data!H922=Entry2!H922,Data!H922,"ERROR")</f>
        <v>5</v>
      </c>
      <c r="I922" s="7">
        <f>IF(Data!I922=Entry2!I922,Data!I922,"ERROR")</f>
        <v>2</v>
      </c>
      <c r="J922" s="7">
        <f>IF(Data!J922=Entry2!J922,Data!J922,"ERROR")</f>
        <v>2.5</v>
      </c>
      <c r="K922" s="7" t="str">
        <f>IF(Data!K922=Entry2!K922,Data!K922,"ERROR")</f>
        <v>CENMEL</v>
      </c>
      <c r="L922" s="7" t="str">
        <f>IF(Data!L922=Entry2!L922,Data!L922,"ERROR")</f>
        <v>ERROR</v>
      </c>
      <c r="M922" s="7">
        <f>IF(Data!N922=Entry2!M922,Data!N922,"ERROR")</f>
        <v>0</v>
      </c>
    </row>
    <row r="923" spans="1:13" ht="13.2" x14ac:dyDescent="0.25">
      <c r="A923" s="7">
        <f>IF(Data!A923=Entry2!A923,Data!A923,"ERROR")</f>
        <v>19</v>
      </c>
      <c r="B923" s="7">
        <f>IF(Data!B923=Entry2!B923,Data!B923,"ERROR")</f>
        <v>2023</v>
      </c>
      <c r="C923" s="17">
        <f>IF(Data!C923=Entry2!C923,Data!C923,"ERROR")</f>
        <v>45197</v>
      </c>
      <c r="D923" s="7" t="str">
        <f>IF(Data!D923=Entry2!D923,Data!D923,"ERROR")</f>
        <v>MP, TL</v>
      </c>
      <c r="E923" s="7" t="str">
        <f>IF(Data!E923=Entry2!E923,Data!E923,"ERROR")</f>
        <v>VB</v>
      </c>
      <c r="F923" s="7">
        <f>IF(Data!F923=Entry2!F923,Data!F923,"ERROR")</f>
        <v>1</v>
      </c>
      <c r="G923" s="7" t="str">
        <f>IF(Data!G923=Entry2!G923,Data!G923,"ERROR")</f>
        <v>LS</v>
      </c>
      <c r="H923" s="7">
        <f>IF(Data!H923=Entry2!H923,Data!H923,"ERROR")</f>
        <v>6</v>
      </c>
      <c r="I923" s="7">
        <f>IF(Data!I923=Entry2!I923,Data!I923,"ERROR")</f>
        <v>2</v>
      </c>
      <c r="J923" s="7">
        <f>IF(Data!J923=Entry2!J923,Data!J923,"ERROR")</f>
        <v>3</v>
      </c>
      <c r="K923" s="7" t="str">
        <f>IF(Data!K923=Entry2!K923,Data!K923,"ERROR")</f>
        <v>L</v>
      </c>
      <c r="L923" s="7" t="str">
        <f>IF(Data!L923=Entry2!L923,Data!L923,"ERROR")</f>
        <v>ERROR</v>
      </c>
      <c r="M923" s="7">
        <f>IF(Data!N923=Entry2!M923,Data!N923,"ERROR")</f>
        <v>0</v>
      </c>
    </row>
    <row r="924" spans="1:13" ht="13.2" x14ac:dyDescent="0.25">
      <c r="A924" s="7">
        <f>IF(Data!A924=Entry2!A924,Data!A924,"ERROR")</f>
        <v>19</v>
      </c>
      <c r="B924" s="7">
        <f>IF(Data!B924=Entry2!B924,Data!B924,"ERROR")</f>
        <v>2023</v>
      </c>
      <c r="C924" s="17">
        <f>IF(Data!C924=Entry2!C924,Data!C924,"ERROR")</f>
        <v>45197</v>
      </c>
      <c r="D924" s="7" t="str">
        <f>IF(Data!D924=Entry2!D924,Data!D924,"ERROR")</f>
        <v>MP, TL</v>
      </c>
      <c r="E924" s="7" t="str">
        <f>IF(Data!E924=Entry2!E924,Data!E924,"ERROR")</f>
        <v>VB</v>
      </c>
      <c r="F924" s="7">
        <f>IF(Data!F924=Entry2!F924,Data!F924,"ERROR")</f>
        <v>1</v>
      </c>
      <c r="G924" s="7" t="str">
        <f>IF(Data!G924=Entry2!G924,Data!G924,"ERROR")</f>
        <v>LS</v>
      </c>
      <c r="H924" s="7">
        <f>IF(Data!H924=Entry2!H924,Data!H924,"ERROR")</f>
        <v>6</v>
      </c>
      <c r="I924" s="7">
        <f>IF(Data!I924=Entry2!I924,Data!I924,"ERROR")</f>
        <v>2</v>
      </c>
      <c r="J924" s="7">
        <f>IF(Data!J924=Entry2!J924,Data!J924,"ERROR")</f>
        <v>3</v>
      </c>
      <c r="K924" s="7" t="str">
        <f>IF(Data!K924=Entry2!K924,Data!K924,"ERROR")</f>
        <v>DEIFAS</v>
      </c>
      <c r="L924" s="7" t="str">
        <f>IF(Data!L924=Entry2!L924,Data!L924,"ERROR")</f>
        <v>ERROR</v>
      </c>
      <c r="M924" s="7">
        <f>IF(Data!N924=Entry2!M924,Data!N924,"ERROR")</f>
        <v>0</v>
      </c>
    </row>
    <row r="925" spans="1:13" ht="13.2" x14ac:dyDescent="0.25">
      <c r="A925" s="7">
        <f>IF(Data!A925=Entry2!A925,Data!A925,"ERROR")</f>
        <v>19</v>
      </c>
      <c r="B925" s="7">
        <f>IF(Data!B925=Entry2!B925,Data!B925,"ERROR")</f>
        <v>2023</v>
      </c>
      <c r="C925" s="17">
        <f>IF(Data!C925=Entry2!C925,Data!C925,"ERROR")</f>
        <v>45197</v>
      </c>
      <c r="D925" s="7" t="str">
        <f>IF(Data!D925=Entry2!D925,Data!D925,"ERROR")</f>
        <v>MP, TL</v>
      </c>
      <c r="E925" s="7" t="str">
        <f>IF(Data!E925=Entry2!E925,Data!E925,"ERROR")</f>
        <v>VB</v>
      </c>
      <c r="F925" s="7">
        <f>IF(Data!F925=Entry2!F925,Data!F925,"ERROR")</f>
        <v>1</v>
      </c>
      <c r="G925" s="7" t="str">
        <f>IF(Data!G925=Entry2!G925,Data!G925,"ERROR")</f>
        <v>LS</v>
      </c>
      <c r="H925" s="7">
        <f>IF(Data!H925=Entry2!H925,Data!H925,"ERROR")</f>
        <v>6</v>
      </c>
      <c r="I925" s="7">
        <f>IF(Data!I925=Entry2!I925,Data!I925,"ERROR")</f>
        <v>2</v>
      </c>
      <c r="J925" s="7">
        <f>IF(Data!J925=Entry2!J925,Data!J925,"ERROR")</f>
        <v>3</v>
      </c>
      <c r="K925" s="7" t="str">
        <f>IF(Data!K925=Entry2!K925,Data!K925,"ERROR")</f>
        <v>CYLPRO</v>
      </c>
      <c r="L925" s="7" t="str">
        <f>IF(Data!L925=Entry2!L925,Data!L925,"ERROR")</f>
        <v>ERROR</v>
      </c>
      <c r="M925" s="7">
        <f>IF(Data!N925=Entry2!M925,Data!N925,"ERROR")</f>
        <v>0</v>
      </c>
    </row>
    <row r="926" spans="1:13" ht="13.2" x14ac:dyDescent="0.25">
      <c r="A926" s="7">
        <f>IF(Data!A926=Entry2!A926,Data!A926,"ERROR")</f>
        <v>19</v>
      </c>
      <c r="B926" s="7">
        <f>IF(Data!B926=Entry2!B926,Data!B926,"ERROR")</f>
        <v>2023</v>
      </c>
      <c r="C926" s="17">
        <f>IF(Data!C926=Entry2!C926,Data!C926,"ERROR")</f>
        <v>45197</v>
      </c>
      <c r="D926" s="7" t="str">
        <f>IF(Data!D926=Entry2!D926,Data!D926,"ERROR")</f>
        <v>MP, TL</v>
      </c>
      <c r="E926" s="7" t="str">
        <f>IF(Data!E926=Entry2!E926,Data!E926,"ERROR")</f>
        <v>VB</v>
      </c>
      <c r="F926" s="7">
        <f>IF(Data!F926=Entry2!F926,Data!F926,"ERROR")</f>
        <v>1</v>
      </c>
      <c r="G926" s="7" t="str">
        <f>IF(Data!G926=Entry2!G926,Data!G926,"ERROR")</f>
        <v>LS</v>
      </c>
      <c r="H926" s="7">
        <f>IF(Data!H926=Entry2!H926,Data!H926,"ERROR")</f>
        <v>7</v>
      </c>
      <c r="I926" s="7">
        <f>IF(Data!I926=Entry2!I926,Data!I926,"ERROR")</f>
        <v>2</v>
      </c>
      <c r="J926" s="7">
        <f>IF(Data!J926=Entry2!J926,Data!J926,"ERROR")</f>
        <v>3.5</v>
      </c>
      <c r="K926" s="7" t="str">
        <f>IF(Data!K926=Entry2!K926,Data!K926,"ERROR")</f>
        <v>L</v>
      </c>
      <c r="L926" s="7" t="str">
        <f>IF(Data!L926=Entry2!L926,Data!L926,"ERROR")</f>
        <v>ERROR</v>
      </c>
      <c r="M926" s="7">
        <f>IF(Data!N926=Entry2!M926,Data!N926,"ERROR")</f>
        <v>0</v>
      </c>
    </row>
    <row r="927" spans="1:13" ht="13.2" x14ac:dyDescent="0.25">
      <c r="A927" s="7">
        <f>IF(Data!A927=Entry2!A927,Data!A927,"ERROR")</f>
        <v>19</v>
      </c>
      <c r="B927" s="7">
        <f>IF(Data!B927=Entry2!B927,Data!B927,"ERROR")</f>
        <v>2023</v>
      </c>
      <c r="C927" s="17">
        <f>IF(Data!C927=Entry2!C927,Data!C927,"ERROR")</f>
        <v>45197</v>
      </c>
      <c r="D927" s="7" t="str">
        <f>IF(Data!D927=Entry2!D927,Data!D927,"ERROR")</f>
        <v>MP, TL</v>
      </c>
      <c r="E927" s="7" t="str">
        <f>IF(Data!E927=Entry2!E927,Data!E927,"ERROR")</f>
        <v>VB</v>
      </c>
      <c r="F927" s="7">
        <f>IF(Data!F927=Entry2!F927,Data!F927,"ERROR")</f>
        <v>1</v>
      </c>
      <c r="G927" s="7" t="str">
        <f>IF(Data!G927=Entry2!G927,Data!G927,"ERROR")</f>
        <v>LS</v>
      </c>
      <c r="H927" s="7">
        <f>IF(Data!H927=Entry2!H927,Data!H927,"ERROR")</f>
        <v>7</v>
      </c>
      <c r="I927" s="7">
        <f>IF(Data!I927=Entry2!I927,Data!I927,"ERROR")</f>
        <v>2</v>
      </c>
      <c r="J927" s="7">
        <f>IF(Data!J927=Entry2!J927,Data!J927,"ERROR")</f>
        <v>3.5</v>
      </c>
      <c r="K927" s="7" t="str">
        <f>IF(Data!K927=Entry2!K927,Data!K927,"ERROR")</f>
        <v>EROCIC</v>
      </c>
      <c r="L927" s="7" t="str">
        <f>IF(Data!L927=Entry2!L927,Data!L927,"ERROR")</f>
        <v>ERROR</v>
      </c>
      <c r="M927" s="7">
        <f>IF(Data!N927=Entry2!M927,Data!N927,"ERROR")</f>
        <v>0</v>
      </c>
    </row>
    <row r="928" spans="1:13" ht="13.2" x14ac:dyDescent="0.25">
      <c r="A928" s="7">
        <f>IF(Data!A928=Entry2!A928,Data!A928,"ERROR")</f>
        <v>19</v>
      </c>
      <c r="B928" s="7">
        <f>IF(Data!B928=Entry2!B928,Data!B928,"ERROR")</f>
        <v>2023</v>
      </c>
      <c r="C928" s="17">
        <f>IF(Data!C928=Entry2!C928,Data!C928,"ERROR")</f>
        <v>45197</v>
      </c>
      <c r="D928" s="7" t="str">
        <f>IF(Data!D928=Entry2!D928,Data!D928,"ERROR")</f>
        <v>MP, TL</v>
      </c>
      <c r="E928" s="7" t="str">
        <f>IF(Data!E928=Entry2!E928,Data!E928,"ERROR")</f>
        <v>VB</v>
      </c>
      <c r="F928" s="7">
        <f>IF(Data!F928=Entry2!F928,Data!F928,"ERROR")</f>
        <v>1</v>
      </c>
      <c r="G928" s="7" t="str">
        <f>IF(Data!G928=Entry2!G928,Data!G928,"ERROR")</f>
        <v>LS</v>
      </c>
      <c r="H928" s="7">
        <f>IF(Data!H928=Entry2!H928,Data!H928,"ERROR")</f>
        <v>8</v>
      </c>
      <c r="I928" s="7">
        <f>IF(Data!I928=Entry2!I928,Data!I928,"ERROR")</f>
        <v>2</v>
      </c>
      <c r="J928" s="7">
        <f>IF(Data!J928=Entry2!J928,Data!J928,"ERROR")</f>
        <v>4</v>
      </c>
      <c r="K928" s="7" t="str">
        <f>IF(Data!K928=Entry2!K928,Data!K928,"ERROR")</f>
        <v>L</v>
      </c>
      <c r="L928" s="7" t="str">
        <f>IF(Data!L928=Entry2!L928,Data!L928,"ERROR")</f>
        <v>ERROR</v>
      </c>
      <c r="M928" s="7">
        <f>IF(Data!N928=Entry2!M928,Data!N928,"ERROR")</f>
        <v>0</v>
      </c>
    </row>
    <row r="929" spans="1:13" ht="13.2" x14ac:dyDescent="0.25">
      <c r="A929" s="7">
        <f>IF(Data!A929=Entry2!A929,Data!A929,"ERROR")</f>
        <v>19</v>
      </c>
      <c r="B929" s="7">
        <f>IF(Data!B929=Entry2!B929,Data!B929,"ERROR")</f>
        <v>2023</v>
      </c>
      <c r="C929" s="17">
        <f>IF(Data!C929=Entry2!C929,Data!C929,"ERROR")</f>
        <v>45197</v>
      </c>
      <c r="D929" s="7" t="str">
        <f>IF(Data!D929=Entry2!D929,Data!D929,"ERROR")</f>
        <v>MP, TL</v>
      </c>
      <c r="E929" s="7" t="str">
        <f>IF(Data!E929=Entry2!E929,Data!E929,"ERROR")</f>
        <v>VB</v>
      </c>
      <c r="F929" s="7">
        <f>IF(Data!F929=Entry2!F929,Data!F929,"ERROR")</f>
        <v>1</v>
      </c>
      <c r="G929" s="7" t="str">
        <f>IF(Data!G929=Entry2!G929,Data!G929,"ERROR")</f>
        <v>LS</v>
      </c>
      <c r="H929" s="7">
        <f>IF(Data!H929=Entry2!H929,Data!H929,"ERROR")</f>
        <v>9</v>
      </c>
      <c r="I929" s="7">
        <f>IF(Data!I929=Entry2!I929,Data!I929,"ERROR")</f>
        <v>2</v>
      </c>
      <c r="J929" s="7">
        <f>IF(Data!J929=Entry2!J929,Data!J929,"ERROR")</f>
        <v>4.5</v>
      </c>
      <c r="K929" s="7" t="str">
        <f>IF(Data!K929=Entry2!K929,Data!K929,"ERROR")</f>
        <v>L</v>
      </c>
      <c r="L929" s="7" t="str">
        <f>IF(Data!L929=Entry2!L929,Data!L929,"ERROR")</f>
        <v>ERROR</v>
      </c>
      <c r="M929" s="7">
        <f>IF(Data!N929=Entry2!M929,Data!N929,"ERROR")</f>
        <v>0</v>
      </c>
    </row>
    <row r="930" spans="1:13" ht="13.2" x14ac:dyDescent="0.25">
      <c r="A930" s="7">
        <f>IF(Data!A930=Entry2!A930,Data!A930,"ERROR")</f>
        <v>19</v>
      </c>
      <c r="B930" s="7">
        <f>IF(Data!B930=Entry2!B930,Data!B930,"ERROR")</f>
        <v>2023</v>
      </c>
      <c r="C930" s="17">
        <f>IF(Data!C930=Entry2!C930,Data!C930,"ERROR")</f>
        <v>45197</v>
      </c>
      <c r="D930" s="7" t="str">
        <f>IF(Data!D930=Entry2!D930,Data!D930,"ERROR")</f>
        <v>MP, TL</v>
      </c>
      <c r="E930" s="7" t="str">
        <f>IF(Data!E930=Entry2!E930,Data!E930,"ERROR")</f>
        <v>VB</v>
      </c>
      <c r="F930" s="7">
        <f>IF(Data!F930=Entry2!F930,Data!F930,"ERROR")</f>
        <v>1</v>
      </c>
      <c r="G930" s="7" t="str">
        <f>IF(Data!G930=Entry2!G930,Data!G930,"ERROR")</f>
        <v>LS</v>
      </c>
      <c r="H930" s="7">
        <f>IF(Data!H930=Entry2!H930,Data!H930,"ERROR")</f>
        <v>9</v>
      </c>
      <c r="I930" s="7">
        <f>IF(Data!I930=Entry2!I930,Data!I930,"ERROR")</f>
        <v>2</v>
      </c>
      <c r="J930" s="7">
        <f>IF(Data!J930=Entry2!J930,Data!J930,"ERROR")</f>
        <v>4.5</v>
      </c>
      <c r="K930" s="7" t="str">
        <f>IF(Data!K930=Entry2!K930,Data!K930,"ERROR")</f>
        <v>DEIFAS</v>
      </c>
      <c r="L930" s="7" t="str">
        <f>IF(Data!L930=Entry2!L930,Data!L930,"ERROR")</f>
        <v>ERROR</v>
      </c>
      <c r="M930" s="7">
        <f>IF(Data!N930=Entry2!M930,Data!N930,"ERROR")</f>
        <v>0</v>
      </c>
    </row>
    <row r="931" spans="1:13" ht="13.2" x14ac:dyDescent="0.25">
      <c r="A931" s="7">
        <f>IF(Data!A931=Entry2!A931,Data!A931,"ERROR")</f>
        <v>19</v>
      </c>
      <c r="B931" s="7">
        <f>IF(Data!B931=Entry2!B931,Data!B931,"ERROR")</f>
        <v>2023</v>
      </c>
      <c r="C931" s="17">
        <f>IF(Data!C931=Entry2!C931,Data!C931,"ERROR")</f>
        <v>45197</v>
      </c>
      <c r="D931" s="7" t="str">
        <f>IF(Data!D931=Entry2!D931,Data!D931,"ERROR")</f>
        <v>MP, TL</v>
      </c>
      <c r="E931" s="7" t="str">
        <f>IF(Data!E931=Entry2!E931,Data!E931,"ERROR")</f>
        <v>VB</v>
      </c>
      <c r="F931" s="7">
        <f>IF(Data!F931=Entry2!F931,Data!F931,"ERROR")</f>
        <v>1</v>
      </c>
      <c r="G931" s="7" t="str">
        <f>IF(Data!G931=Entry2!G931,Data!G931,"ERROR")</f>
        <v>LS</v>
      </c>
      <c r="H931" s="7">
        <f>IF(Data!H931=Entry2!H931,Data!H931,"ERROR")</f>
        <v>10</v>
      </c>
      <c r="I931" s="7">
        <f>IF(Data!I931=Entry2!I931,Data!I931,"ERROR")</f>
        <v>2</v>
      </c>
      <c r="J931" s="7">
        <f>IF(Data!J931=Entry2!J931,Data!J931,"ERROR")</f>
        <v>5</v>
      </c>
      <c r="K931" s="7" t="str">
        <f>IF(Data!K931=Entry2!K931,Data!K931,"ERROR")</f>
        <v>L</v>
      </c>
      <c r="L931" s="7" t="str">
        <f>IF(Data!L931=Entry2!L931,Data!L931,"ERROR")</f>
        <v>ERROR</v>
      </c>
      <c r="M931" s="7">
        <f>IF(Data!N931=Entry2!M931,Data!N931,"ERROR")</f>
        <v>0</v>
      </c>
    </row>
    <row r="932" spans="1:13" ht="13.2" x14ac:dyDescent="0.25">
      <c r="A932" s="7">
        <f>IF(Data!A932=Entry2!A932,Data!A932,"ERROR")</f>
        <v>19</v>
      </c>
      <c r="B932" s="7">
        <f>IF(Data!B932=Entry2!B932,Data!B932,"ERROR")</f>
        <v>2023</v>
      </c>
      <c r="C932" s="17">
        <f>IF(Data!C932=Entry2!C932,Data!C932,"ERROR")</f>
        <v>45197</v>
      </c>
      <c r="D932" s="7" t="str">
        <f>IF(Data!D932=Entry2!D932,Data!D932,"ERROR")</f>
        <v>MP, TL</v>
      </c>
      <c r="E932" s="7" t="str">
        <f>IF(Data!E932=Entry2!E932,Data!E932,"ERROR")</f>
        <v>VB</v>
      </c>
      <c r="F932" s="7">
        <f>IF(Data!F932=Entry2!F932,Data!F932,"ERROR")</f>
        <v>1</v>
      </c>
      <c r="G932" s="7" t="str">
        <f>IF(Data!G932=Entry2!G932,Data!G932,"ERROR")</f>
        <v>LS</v>
      </c>
      <c r="H932" s="7">
        <f>IF(Data!H932=Entry2!H932,Data!H932,"ERROR")</f>
        <v>10</v>
      </c>
      <c r="I932" s="7">
        <f>IF(Data!I932=Entry2!I932,Data!I932,"ERROR")</f>
        <v>2</v>
      </c>
      <c r="J932" s="7">
        <f>IF(Data!J932=Entry2!J932,Data!J932,"ERROR")</f>
        <v>5</v>
      </c>
      <c r="K932" s="7" t="str">
        <f>IF(Data!K932=Entry2!K932,Data!K932,"ERROR")</f>
        <v>EROCIC</v>
      </c>
      <c r="L932" s="7" t="str">
        <f>IF(Data!L932=Entry2!L932,Data!L932,"ERROR")</f>
        <v>ERROR</v>
      </c>
      <c r="M932" s="7">
        <f>IF(Data!N932=Entry2!M932,Data!N932,"ERROR")</f>
        <v>0</v>
      </c>
    </row>
    <row r="933" spans="1:13" ht="13.2" x14ac:dyDescent="0.25">
      <c r="A933" s="7">
        <f>IF(Data!A933=Entry2!A933,Data!A933,"ERROR")</f>
        <v>19</v>
      </c>
      <c r="B933" s="7">
        <f>IF(Data!B933=Entry2!B933,Data!B933,"ERROR")</f>
        <v>2023</v>
      </c>
      <c r="C933" s="17">
        <f>IF(Data!C933=Entry2!C933,Data!C933,"ERROR")</f>
        <v>45197</v>
      </c>
      <c r="D933" s="7" t="str">
        <f>IF(Data!D933=Entry2!D933,Data!D933,"ERROR")</f>
        <v>MP, TL</v>
      </c>
      <c r="E933" s="7" t="str">
        <f>IF(Data!E933=Entry2!E933,Data!E933,"ERROR")</f>
        <v>VB</v>
      </c>
      <c r="F933" s="7">
        <f>IF(Data!F933=Entry2!F933,Data!F933,"ERROR")</f>
        <v>1</v>
      </c>
      <c r="G933" s="7" t="str">
        <f>IF(Data!G933=Entry2!G933,Data!G933,"ERROR")</f>
        <v>LS</v>
      </c>
      <c r="H933" s="7">
        <f>IF(Data!H933=Entry2!H933,Data!H933,"ERROR")</f>
        <v>10</v>
      </c>
      <c r="I933" s="7">
        <f>IF(Data!I933=Entry2!I933,Data!I933,"ERROR")</f>
        <v>2</v>
      </c>
      <c r="J933" s="7">
        <f>IF(Data!J933=Entry2!J933,Data!J933,"ERROR")</f>
        <v>5</v>
      </c>
      <c r="K933" s="7" t="str">
        <f>IF(Data!K933=Entry2!K933,Data!K933,"ERROR")</f>
        <v>DEIFAS</v>
      </c>
      <c r="L933" s="7" t="str">
        <f>IF(Data!L933=Entry2!L933,Data!L933,"ERROR")</f>
        <v>ERROR</v>
      </c>
      <c r="M933" s="7">
        <f>IF(Data!N933=Entry2!M933,Data!N933,"ERROR")</f>
        <v>0</v>
      </c>
    </row>
    <row r="934" spans="1:13" ht="13.2" x14ac:dyDescent="0.25">
      <c r="A934" s="7">
        <f>IF(Data!A934=Entry2!A934,Data!A934,"ERROR")</f>
        <v>19</v>
      </c>
      <c r="B934" s="7">
        <f>IF(Data!B934=Entry2!B934,Data!B934,"ERROR")</f>
        <v>2023</v>
      </c>
      <c r="C934" s="17">
        <f>IF(Data!C934=Entry2!C934,Data!C934,"ERROR")</f>
        <v>45197</v>
      </c>
      <c r="D934" s="7" t="str">
        <f>IF(Data!D934=Entry2!D934,Data!D934,"ERROR")</f>
        <v>MP, TL</v>
      </c>
      <c r="E934" s="7" t="str">
        <f>IF(Data!E934=Entry2!E934,Data!E934,"ERROR")</f>
        <v>VB</v>
      </c>
      <c r="F934" s="7">
        <f>IF(Data!F934=Entry2!F934,Data!F934,"ERROR")</f>
        <v>1</v>
      </c>
      <c r="G934" s="7" t="str">
        <f>IF(Data!G934=Entry2!G934,Data!G934,"ERROR")</f>
        <v>LS</v>
      </c>
      <c r="H934" s="7">
        <f>IF(Data!H934=Entry2!H934,Data!H934,"ERROR")</f>
        <v>11</v>
      </c>
      <c r="I934" s="7">
        <f>IF(Data!I934=Entry2!I934,Data!I934,"ERROR")</f>
        <v>2</v>
      </c>
      <c r="J934" s="7">
        <f>IF(Data!J934=Entry2!J934,Data!J934,"ERROR")</f>
        <v>5.5</v>
      </c>
      <c r="K934" s="7" t="str">
        <f>IF(Data!K934=Entry2!K934,Data!K934,"ERROR")</f>
        <v>B</v>
      </c>
      <c r="L934" s="7" t="str">
        <f>IF(Data!L934=Entry2!L934,Data!L934,"ERROR")</f>
        <v>ERROR</v>
      </c>
      <c r="M934" s="7">
        <f>IF(Data!N934=Entry2!M934,Data!N934,"ERROR")</f>
        <v>0</v>
      </c>
    </row>
    <row r="935" spans="1:13" ht="13.2" x14ac:dyDescent="0.25">
      <c r="A935" s="7">
        <f>IF(Data!A935=Entry2!A935,Data!A935,"ERROR")</f>
        <v>19</v>
      </c>
      <c r="B935" s="7">
        <f>IF(Data!B935=Entry2!B935,Data!B935,"ERROR")</f>
        <v>2023</v>
      </c>
      <c r="C935" s="17">
        <f>IF(Data!C935=Entry2!C935,Data!C935,"ERROR")</f>
        <v>45197</v>
      </c>
      <c r="D935" s="7" t="str">
        <f>IF(Data!D935=Entry2!D935,Data!D935,"ERROR")</f>
        <v>MP, TL</v>
      </c>
      <c r="E935" s="7" t="str">
        <f>IF(Data!E935=Entry2!E935,Data!E935,"ERROR")</f>
        <v>VB</v>
      </c>
      <c r="F935" s="7">
        <f>IF(Data!F935=Entry2!F935,Data!F935,"ERROR")</f>
        <v>1</v>
      </c>
      <c r="G935" s="7" t="str">
        <f>IF(Data!G935=Entry2!G935,Data!G935,"ERROR")</f>
        <v>LS</v>
      </c>
      <c r="H935" s="7">
        <f>IF(Data!H935=Entry2!H935,Data!H935,"ERROR")</f>
        <v>12</v>
      </c>
      <c r="I935" s="7">
        <f>IF(Data!I935=Entry2!I935,Data!I935,"ERROR")</f>
        <v>2</v>
      </c>
      <c r="J935" s="7">
        <f>IF(Data!J935=Entry2!J935,Data!J935,"ERROR")</f>
        <v>6</v>
      </c>
      <c r="K935" s="7" t="str">
        <f>IF(Data!K935=Entry2!K935,Data!K935,"ERROR")</f>
        <v>B</v>
      </c>
      <c r="L935" s="7" t="str">
        <f>IF(Data!L935=Entry2!L935,Data!L935,"ERROR")</f>
        <v>ERROR</v>
      </c>
      <c r="M935" s="7">
        <f>IF(Data!N935=Entry2!M935,Data!N935,"ERROR")</f>
        <v>0</v>
      </c>
    </row>
    <row r="936" spans="1:13" ht="13.2" x14ac:dyDescent="0.25">
      <c r="A936" s="7">
        <f>IF(Data!A936=Entry2!A936,Data!A936,"ERROR")</f>
        <v>19</v>
      </c>
      <c r="B936" s="7">
        <f>IF(Data!B936=Entry2!B936,Data!B936,"ERROR")</f>
        <v>2023</v>
      </c>
      <c r="C936" s="17">
        <f>IF(Data!C936=Entry2!C936,Data!C936,"ERROR")</f>
        <v>45197</v>
      </c>
      <c r="D936" s="7" t="str">
        <f>IF(Data!D936=Entry2!D936,Data!D936,"ERROR")</f>
        <v>MP, TL</v>
      </c>
      <c r="E936" s="7" t="str">
        <f>IF(Data!E936=Entry2!E936,Data!E936,"ERROR")</f>
        <v>VB</v>
      </c>
      <c r="F936" s="7">
        <f>IF(Data!F936=Entry2!F936,Data!F936,"ERROR")</f>
        <v>1</v>
      </c>
      <c r="G936" s="7" t="str">
        <f>IF(Data!G936=Entry2!G936,Data!G936,"ERROR")</f>
        <v>LS</v>
      </c>
      <c r="H936" s="7">
        <f>IF(Data!H936=Entry2!H936,Data!H936,"ERROR")</f>
        <v>12</v>
      </c>
      <c r="I936" s="7">
        <f>IF(Data!I936=Entry2!I936,Data!I936,"ERROR")</f>
        <v>2</v>
      </c>
      <c r="J936" s="7">
        <f>IF(Data!J936=Entry2!J936,Data!J936,"ERROR")</f>
        <v>6</v>
      </c>
      <c r="K936" s="7" t="str">
        <f>IF(Data!K936=Entry2!K936,Data!K936,"ERROR")</f>
        <v>OPULIT</v>
      </c>
      <c r="L936" s="7" t="str">
        <f>IF(Data!L936=Entry2!L936,Data!L936,"ERROR")</f>
        <v>ERROR</v>
      </c>
      <c r="M936" s="7">
        <f>IF(Data!N936=Entry2!M936,Data!N936,"ERROR")</f>
        <v>0</v>
      </c>
    </row>
    <row r="937" spans="1:13" ht="13.2" x14ac:dyDescent="0.25">
      <c r="A937" s="7">
        <f>IF(Data!A937=Entry2!A937,Data!A937,"ERROR")</f>
        <v>19</v>
      </c>
      <c r="B937" s="7">
        <f>IF(Data!B937=Entry2!B937,Data!B937,"ERROR")</f>
        <v>2023</v>
      </c>
      <c r="C937" s="17">
        <f>IF(Data!C937=Entry2!C937,Data!C937,"ERROR")</f>
        <v>45197</v>
      </c>
      <c r="D937" s="7" t="str">
        <f>IF(Data!D937=Entry2!D937,Data!D937,"ERROR")</f>
        <v>MP, TL</v>
      </c>
      <c r="E937" s="7" t="str">
        <f>IF(Data!E937=Entry2!E937,Data!E937,"ERROR")</f>
        <v>VB</v>
      </c>
      <c r="F937" s="7">
        <f>IF(Data!F937=Entry2!F937,Data!F937,"ERROR")</f>
        <v>1</v>
      </c>
      <c r="G937" s="7" t="str">
        <f>IF(Data!G937=Entry2!G937,Data!G937,"ERROR")</f>
        <v>LS</v>
      </c>
      <c r="H937" s="7">
        <f>IF(Data!H937=Entry2!H937,Data!H937,"ERROR")</f>
        <v>13</v>
      </c>
      <c r="I937" s="7">
        <f>IF(Data!I937=Entry2!I937,Data!I937,"ERROR")</f>
        <v>2</v>
      </c>
      <c r="J937" s="7">
        <f>IF(Data!J937=Entry2!J937,Data!J937,"ERROR")</f>
        <v>6.5</v>
      </c>
      <c r="K937" s="7" t="str">
        <f>IF(Data!K937=Entry2!K937,Data!K937,"ERROR")</f>
        <v>L</v>
      </c>
      <c r="L937" s="7" t="str">
        <f>IF(Data!L937=Entry2!L937,Data!L937,"ERROR")</f>
        <v>ERROR</v>
      </c>
      <c r="M937" s="7">
        <f>IF(Data!N937=Entry2!M937,Data!N937,"ERROR")</f>
        <v>0</v>
      </c>
    </row>
    <row r="938" spans="1:13" ht="13.2" x14ac:dyDescent="0.25">
      <c r="A938" s="7">
        <f>IF(Data!A938=Entry2!A938,Data!A938,"ERROR")</f>
        <v>19</v>
      </c>
      <c r="B938" s="7">
        <f>IF(Data!B938=Entry2!B938,Data!B938,"ERROR")</f>
        <v>2023</v>
      </c>
      <c r="C938" s="17">
        <f>IF(Data!C938=Entry2!C938,Data!C938,"ERROR")</f>
        <v>45197</v>
      </c>
      <c r="D938" s="7" t="str">
        <f>IF(Data!D938=Entry2!D938,Data!D938,"ERROR")</f>
        <v>MP, TL</v>
      </c>
      <c r="E938" s="7" t="str">
        <f>IF(Data!E938=Entry2!E938,Data!E938,"ERROR")</f>
        <v>VB</v>
      </c>
      <c r="F938" s="7">
        <f>IF(Data!F938=Entry2!F938,Data!F938,"ERROR")</f>
        <v>1</v>
      </c>
      <c r="G938" s="7" t="str">
        <f>IF(Data!G938=Entry2!G938,Data!G938,"ERROR")</f>
        <v>LS</v>
      </c>
      <c r="H938" s="7">
        <f>IF(Data!H938=Entry2!H938,Data!H938,"ERROR")</f>
        <v>13</v>
      </c>
      <c r="I938" s="7">
        <f>IF(Data!I938=Entry2!I938,Data!I938,"ERROR")</f>
        <v>2</v>
      </c>
      <c r="J938" s="7">
        <f>IF(Data!J938=Entry2!J938,Data!J938,"ERROR")</f>
        <v>6.5</v>
      </c>
      <c r="K938" s="7" t="str">
        <f>IF(Data!K938=Entry2!K938,Data!K938,"ERROR")</f>
        <v>EROCIC</v>
      </c>
      <c r="L938" s="7" t="str">
        <f>IF(Data!L938=Entry2!L938,Data!L938,"ERROR")</f>
        <v>ERROR</v>
      </c>
      <c r="M938" s="7">
        <f>IF(Data!N938=Entry2!M938,Data!N938,"ERROR")</f>
        <v>0</v>
      </c>
    </row>
    <row r="939" spans="1:13" ht="13.2" x14ac:dyDescent="0.25">
      <c r="A939" s="7">
        <f>IF(Data!A939=Entry2!A939,Data!A939,"ERROR")</f>
        <v>19</v>
      </c>
      <c r="B939" s="7">
        <f>IF(Data!B939=Entry2!B939,Data!B939,"ERROR")</f>
        <v>2023</v>
      </c>
      <c r="C939" s="17">
        <f>IF(Data!C939=Entry2!C939,Data!C939,"ERROR")</f>
        <v>45197</v>
      </c>
      <c r="D939" s="7" t="str">
        <f>IF(Data!D939=Entry2!D939,Data!D939,"ERROR")</f>
        <v>MP, TL</v>
      </c>
      <c r="E939" s="7" t="str">
        <f>IF(Data!E939=Entry2!E939,Data!E939,"ERROR")</f>
        <v>VB</v>
      </c>
      <c r="F939" s="7">
        <f>IF(Data!F939=Entry2!F939,Data!F939,"ERROR")</f>
        <v>1</v>
      </c>
      <c r="G939" s="7" t="str">
        <f>IF(Data!G939=Entry2!G939,Data!G939,"ERROR")</f>
        <v>LS</v>
      </c>
      <c r="H939" s="7">
        <f>IF(Data!H939=Entry2!H939,Data!H939,"ERROR")</f>
        <v>14</v>
      </c>
      <c r="I939" s="7">
        <f>IF(Data!I939=Entry2!I939,Data!I939,"ERROR")</f>
        <v>2</v>
      </c>
      <c r="J939" s="7">
        <f>IF(Data!J939=Entry2!J939,Data!J939,"ERROR")</f>
        <v>7</v>
      </c>
      <c r="K939" s="7" t="str">
        <f>IF(Data!K939=Entry2!K939,Data!K939,"ERROR")</f>
        <v>L</v>
      </c>
      <c r="L939" s="7" t="str">
        <f>IF(Data!L939=Entry2!L939,Data!L939,"ERROR")</f>
        <v>ERROR</v>
      </c>
      <c r="M939" s="7">
        <f>IF(Data!N939=Entry2!M939,Data!N939,"ERROR")</f>
        <v>0</v>
      </c>
    </row>
    <row r="940" spans="1:13" ht="13.2" x14ac:dyDescent="0.25">
      <c r="A940" s="7">
        <f>IF(Data!A940=Entry2!A940,Data!A940,"ERROR")</f>
        <v>19</v>
      </c>
      <c r="B940" s="7">
        <f>IF(Data!B940=Entry2!B940,Data!B940,"ERROR")</f>
        <v>2023</v>
      </c>
      <c r="C940" s="17">
        <f>IF(Data!C940=Entry2!C940,Data!C940,"ERROR")</f>
        <v>45197</v>
      </c>
      <c r="D940" s="7" t="str">
        <f>IF(Data!D940=Entry2!D940,Data!D940,"ERROR")</f>
        <v>MP, TL</v>
      </c>
      <c r="E940" s="7" t="str">
        <f>IF(Data!E940=Entry2!E940,Data!E940,"ERROR")</f>
        <v>VB</v>
      </c>
      <c r="F940" s="7">
        <f>IF(Data!F940=Entry2!F940,Data!F940,"ERROR")</f>
        <v>1</v>
      </c>
      <c r="G940" s="7" t="str">
        <f>IF(Data!G940=Entry2!G940,Data!G940,"ERROR")</f>
        <v>LS</v>
      </c>
      <c r="H940" s="7">
        <f>IF(Data!H940=Entry2!H940,Data!H940,"ERROR")</f>
        <v>14</v>
      </c>
      <c r="I940" s="7">
        <f>IF(Data!I940=Entry2!I940,Data!I940,"ERROR")</f>
        <v>2</v>
      </c>
      <c r="J940" s="7">
        <f>IF(Data!J940=Entry2!J940,Data!J940,"ERROR")</f>
        <v>7</v>
      </c>
      <c r="K940" s="7" t="str">
        <f>IF(Data!K940=Entry2!K940,Data!K940,"ERROR")</f>
        <v>CENMEL</v>
      </c>
      <c r="L940" s="7" t="str">
        <f>IF(Data!L940=Entry2!L940,Data!L940,"ERROR")</f>
        <v>ERROR</v>
      </c>
      <c r="M940" s="7">
        <f>IF(Data!N940=Entry2!M940,Data!N940,"ERROR")</f>
        <v>0</v>
      </c>
    </row>
    <row r="941" spans="1:13" ht="13.2" x14ac:dyDescent="0.25">
      <c r="A941" s="7">
        <f>IF(Data!A941=Entry2!A941,Data!A941,"ERROR")</f>
        <v>19</v>
      </c>
      <c r="B941" s="7">
        <f>IF(Data!B941=Entry2!B941,Data!B941,"ERROR")</f>
        <v>2023</v>
      </c>
      <c r="C941" s="17">
        <f>IF(Data!C941=Entry2!C941,Data!C941,"ERROR")</f>
        <v>45197</v>
      </c>
      <c r="D941" s="7" t="str">
        <f>IF(Data!D941=Entry2!D941,Data!D941,"ERROR")</f>
        <v>MP, TL</v>
      </c>
      <c r="E941" s="7" t="str">
        <f>IF(Data!E941=Entry2!E941,Data!E941,"ERROR")</f>
        <v>VB</v>
      </c>
      <c r="F941" s="7">
        <f>IF(Data!F941=Entry2!F941,Data!F941,"ERROR")</f>
        <v>1</v>
      </c>
      <c r="G941" s="7" t="str">
        <f>IF(Data!G941=Entry2!G941,Data!G941,"ERROR")</f>
        <v>LS</v>
      </c>
      <c r="H941" s="7">
        <f>IF(Data!H941=Entry2!H941,Data!H941,"ERROR")</f>
        <v>15</v>
      </c>
      <c r="I941" s="7">
        <f>IF(Data!I941=Entry2!I941,Data!I941,"ERROR")</f>
        <v>2</v>
      </c>
      <c r="J941" s="7">
        <f>IF(Data!J941=Entry2!J941,Data!J941,"ERROR")</f>
        <v>7.5</v>
      </c>
      <c r="K941" s="7" t="str">
        <f>IF(Data!K941=Entry2!K941,Data!K941,"ERROR")</f>
        <v>B</v>
      </c>
      <c r="L941" s="7" t="str">
        <f>IF(Data!L941=Entry2!L941,Data!L941,"ERROR")</f>
        <v>ERROR</v>
      </c>
      <c r="M941" s="7">
        <f>IF(Data!N941=Entry2!M941,Data!N941,"ERROR")</f>
        <v>0</v>
      </c>
    </row>
    <row r="942" spans="1:13" ht="13.2" x14ac:dyDescent="0.25">
      <c r="A942" s="7">
        <f>IF(Data!A942=Entry2!A942,Data!A942,"ERROR")</f>
        <v>20</v>
      </c>
      <c r="B942" s="7">
        <f>IF(Data!B942=Entry2!B942,Data!B942,"ERROR")</f>
        <v>2023</v>
      </c>
      <c r="C942" s="17">
        <f>IF(Data!C942=Entry2!C942,Data!C942,"ERROR")</f>
        <v>45197</v>
      </c>
      <c r="D942" s="7" t="str">
        <f>IF(Data!D942=Entry2!D942,Data!D942,"ERROR")</f>
        <v>MP, TL</v>
      </c>
      <c r="E942" s="7" t="str">
        <f>IF(Data!E942=Entry2!E942,Data!E942,"ERROR")</f>
        <v>VB</v>
      </c>
      <c r="F942" s="7">
        <f>IF(Data!F942=Entry2!F942,Data!F942,"ERROR")</f>
        <v>1</v>
      </c>
      <c r="G942" s="7" t="str">
        <f>IF(Data!G942=Entry2!G942,Data!G942,"ERROR")</f>
        <v>LU</v>
      </c>
      <c r="H942" s="7">
        <f>IF(Data!H942=Entry2!H942,Data!H942,"ERROR")</f>
        <v>1</v>
      </c>
      <c r="I942" s="7">
        <f>IF(Data!I942=Entry2!I942,Data!I942,"ERROR")</f>
        <v>1</v>
      </c>
      <c r="J942" s="7">
        <f>IF(Data!J942=Entry2!J942,Data!J942,"ERROR")</f>
        <v>0</v>
      </c>
      <c r="K942" s="7" t="str">
        <f>IF(Data!K942=Entry2!K942,Data!K942,"ERROR")</f>
        <v>B</v>
      </c>
      <c r="L942" s="7" t="str">
        <f>IF(Data!L942=Entry2!L942,Data!L942,"ERROR")</f>
        <v>ERROR</v>
      </c>
      <c r="M942" s="7">
        <f>IF(Data!N942=Entry2!M942,Data!N942,"ERROR")</f>
        <v>0</v>
      </c>
    </row>
    <row r="943" spans="1:13" ht="13.2" x14ac:dyDescent="0.25">
      <c r="A943" s="7">
        <f>IF(Data!A943=Entry2!A943,Data!A943,"ERROR")</f>
        <v>20</v>
      </c>
      <c r="B943" s="7">
        <f>IF(Data!B943=Entry2!B943,Data!B943,"ERROR")</f>
        <v>2023</v>
      </c>
      <c r="C943" s="17">
        <f>IF(Data!C943=Entry2!C943,Data!C943,"ERROR")</f>
        <v>45197</v>
      </c>
      <c r="D943" s="7" t="str">
        <f>IF(Data!D943=Entry2!D943,Data!D943,"ERROR")</f>
        <v>MP, TL</v>
      </c>
      <c r="E943" s="7" t="str">
        <f>IF(Data!E943=Entry2!E943,Data!E943,"ERROR")</f>
        <v>VB</v>
      </c>
      <c r="F943" s="7">
        <f>IF(Data!F943=Entry2!F943,Data!F943,"ERROR")</f>
        <v>1</v>
      </c>
      <c r="G943" s="7" t="str">
        <f>IF(Data!G943=Entry2!G943,Data!G943,"ERROR")</f>
        <v>LU</v>
      </c>
      <c r="H943" s="7">
        <f>IF(Data!H943=Entry2!H943,Data!H943,"ERROR")</f>
        <v>2</v>
      </c>
      <c r="I943" s="7">
        <f>IF(Data!I943=Entry2!I943,Data!I943,"ERROR")</f>
        <v>1</v>
      </c>
      <c r="J943" s="7">
        <f>IF(Data!J943=Entry2!J943,Data!J943,"ERROR")</f>
        <v>0.5</v>
      </c>
      <c r="K943" s="7" t="str">
        <f>IF(Data!K943=Entry2!K943,Data!K943,"ERROR")</f>
        <v>L</v>
      </c>
      <c r="L943" s="7" t="str">
        <f>IF(Data!L943=Entry2!L943,Data!L943,"ERROR")</f>
        <v>ERROR</v>
      </c>
      <c r="M943" s="7">
        <f>IF(Data!N943=Entry2!M943,Data!N943,"ERROR")</f>
        <v>0</v>
      </c>
    </row>
    <row r="944" spans="1:13" ht="13.2" x14ac:dyDescent="0.25">
      <c r="A944" s="7">
        <f>IF(Data!A944=Entry2!A944,Data!A944,"ERROR")</f>
        <v>20</v>
      </c>
      <c r="B944" s="7">
        <f>IF(Data!B944=Entry2!B944,Data!B944,"ERROR")</f>
        <v>2023</v>
      </c>
      <c r="C944" s="17">
        <f>IF(Data!C944=Entry2!C944,Data!C944,"ERROR")</f>
        <v>45197</v>
      </c>
      <c r="D944" s="7" t="str">
        <f>IF(Data!D944=Entry2!D944,Data!D944,"ERROR")</f>
        <v>MP, TL</v>
      </c>
      <c r="E944" s="7" t="str">
        <f>IF(Data!E944=Entry2!E944,Data!E944,"ERROR")</f>
        <v>VB</v>
      </c>
      <c r="F944" s="7">
        <f>IF(Data!F944=Entry2!F944,Data!F944,"ERROR")</f>
        <v>1</v>
      </c>
      <c r="G944" s="7" t="str">
        <f>IF(Data!G944=Entry2!G944,Data!G944,"ERROR")</f>
        <v>LU</v>
      </c>
      <c r="H944" s="7">
        <f>IF(Data!H944=Entry2!H944,Data!H944,"ERROR")</f>
        <v>3</v>
      </c>
      <c r="I944" s="7">
        <f>IF(Data!I944=Entry2!I944,Data!I944,"ERROR")</f>
        <v>1</v>
      </c>
      <c r="J944" s="7">
        <f>IF(Data!J944=Entry2!J944,Data!J944,"ERROR")</f>
        <v>1</v>
      </c>
      <c r="K944" s="7" t="str">
        <f>IF(Data!K944=Entry2!K944,Data!K944,"ERROR")</f>
        <v>L</v>
      </c>
      <c r="L944" s="7" t="str">
        <f>IF(Data!L944=Entry2!L944,Data!L944,"ERROR")</f>
        <v>ERROR</v>
      </c>
      <c r="M944" s="7">
        <f>IF(Data!N944=Entry2!M944,Data!N944,"ERROR")</f>
        <v>0</v>
      </c>
    </row>
    <row r="945" spans="1:13" ht="13.2" x14ac:dyDescent="0.25">
      <c r="A945" s="7">
        <f>IF(Data!A945=Entry2!A945,Data!A945,"ERROR")</f>
        <v>20</v>
      </c>
      <c r="B945" s="7">
        <f>IF(Data!B945=Entry2!B945,Data!B945,"ERROR")</f>
        <v>2023</v>
      </c>
      <c r="C945" s="17">
        <f>IF(Data!C945=Entry2!C945,Data!C945,"ERROR")</f>
        <v>45197</v>
      </c>
      <c r="D945" s="7" t="str">
        <f>IF(Data!D945=Entry2!D945,Data!D945,"ERROR")</f>
        <v>MP, TL</v>
      </c>
      <c r="E945" s="7" t="str">
        <f>IF(Data!E945=Entry2!E945,Data!E945,"ERROR")</f>
        <v>VB</v>
      </c>
      <c r="F945" s="7">
        <f>IF(Data!F945=Entry2!F945,Data!F945,"ERROR")</f>
        <v>1</v>
      </c>
      <c r="G945" s="7" t="str">
        <f>IF(Data!G945=Entry2!G945,Data!G945,"ERROR")</f>
        <v>LU</v>
      </c>
      <c r="H945" s="7">
        <f>IF(Data!H945=Entry2!H945,Data!H945,"ERROR")</f>
        <v>4</v>
      </c>
      <c r="I945" s="7">
        <f>IF(Data!I945=Entry2!I945,Data!I945,"ERROR")</f>
        <v>1</v>
      </c>
      <c r="J945" s="7">
        <f>IF(Data!J945=Entry2!J945,Data!J945,"ERROR")</f>
        <v>1.5</v>
      </c>
      <c r="K945" s="7" t="str">
        <f>IF(Data!K945=Entry2!K945,Data!K945,"ERROR")</f>
        <v>L</v>
      </c>
      <c r="L945" s="7" t="str">
        <f>IF(Data!L945=Entry2!L945,Data!L945,"ERROR")</f>
        <v>ERROR</v>
      </c>
      <c r="M945" s="7">
        <f>IF(Data!N945=Entry2!M945,Data!N945,"ERROR")</f>
        <v>0</v>
      </c>
    </row>
    <row r="946" spans="1:13" ht="13.2" x14ac:dyDescent="0.25">
      <c r="A946" s="7">
        <f>IF(Data!A946=Entry2!A946,Data!A946,"ERROR")</f>
        <v>20</v>
      </c>
      <c r="B946" s="7">
        <f>IF(Data!B946=Entry2!B946,Data!B946,"ERROR")</f>
        <v>2023</v>
      </c>
      <c r="C946" s="17">
        <f>IF(Data!C946=Entry2!C946,Data!C946,"ERROR")</f>
        <v>45197</v>
      </c>
      <c r="D946" s="7" t="str">
        <f>IF(Data!D946=Entry2!D946,Data!D946,"ERROR")</f>
        <v>MP, TL</v>
      </c>
      <c r="E946" s="7" t="str">
        <f>IF(Data!E946=Entry2!E946,Data!E946,"ERROR")</f>
        <v>VB</v>
      </c>
      <c r="F946" s="7">
        <f>IF(Data!F946=Entry2!F946,Data!F946,"ERROR")</f>
        <v>1</v>
      </c>
      <c r="G946" s="7" t="str">
        <f>IF(Data!G946=Entry2!G946,Data!G946,"ERROR")</f>
        <v>LU</v>
      </c>
      <c r="H946" s="7">
        <f>IF(Data!H946=Entry2!H946,Data!H946,"ERROR")</f>
        <v>5</v>
      </c>
      <c r="I946" s="7">
        <f>IF(Data!I946=Entry2!I946,Data!I946,"ERROR")</f>
        <v>1</v>
      </c>
      <c r="J946" s="7">
        <f>IF(Data!J946=Entry2!J946,Data!J946,"ERROR")</f>
        <v>2</v>
      </c>
      <c r="K946" s="7" t="str">
        <f>IF(Data!K946=Entry2!K946,Data!K946,"ERROR")</f>
        <v>L</v>
      </c>
      <c r="L946" s="7" t="str">
        <f>IF(Data!L946=Entry2!L946,Data!L946,"ERROR")</f>
        <v>ERROR</v>
      </c>
      <c r="M946" s="7">
        <f>IF(Data!N946=Entry2!M946,Data!N946,"ERROR")</f>
        <v>0</v>
      </c>
    </row>
    <row r="947" spans="1:13" ht="13.2" x14ac:dyDescent="0.25">
      <c r="A947" s="7">
        <f>IF(Data!A947=Entry2!A947,Data!A947,"ERROR")</f>
        <v>20</v>
      </c>
      <c r="B947" s="7">
        <f>IF(Data!B947=Entry2!B947,Data!B947,"ERROR")</f>
        <v>2023</v>
      </c>
      <c r="C947" s="17">
        <f>IF(Data!C947=Entry2!C947,Data!C947,"ERROR")</f>
        <v>45197</v>
      </c>
      <c r="D947" s="7" t="str">
        <f>IF(Data!D947=Entry2!D947,Data!D947,"ERROR")</f>
        <v>MP, TL</v>
      </c>
      <c r="E947" s="7" t="str">
        <f>IF(Data!E947=Entry2!E947,Data!E947,"ERROR")</f>
        <v>VB</v>
      </c>
      <c r="F947" s="7">
        <f>IF(Data!F947=Entry2!F947,Data!F947,"ERROR")</f>
        <v>1</v>
      </c>
      <c r="G947" s="7" t="str">
        <f>IF(Data!G947=Entry2!G947,Data!G947,"ERROR")</f>
        <v>LU</v>
      </c>
      <c r="H947" s="7">
        <f>IF(Data!H947=Entry2!H947,Data!H947,"ERROR")</f>
        <v>6</v>
      </c>
      <c r="I947" s="7">
        <f>IF(Data!I947=Entry2!I947,Data!I947,"ERROR")</f>
        <v>1</v>
      </c>
      <c r="J947" s="7">
        <f>IF(Data!J947=Entry2!J947,Data!J947,"ERROR")</f>
        <v>2.5</v>
      </c>
      <c r="K947" s="7" t="str">
        <f>IF(Data!K947=Entry2!K947,Data!K947,"ERROR")</f>
        <v>L</v>
      </c>
      <c r="L947" s="7" t="str">
        <f>IF(Data!L947=Entry2!L947,Data!L947,"ERROR")</f>
        <v>ERROR</v>
      </c>
      <c r="M947" s="7">
        <f>IF(Data!N947=Entry2!M947,Data!N947,"ERROR")</f>
        <v>0</v>
      </c>
    </row>
    <row r="948" spans="1:13" ht="13.2" x14ac:dyDescent="0.25">
      <c r="A948" s="7">
        <f>IF(Data!A948=Entry2!A948,Data!A948,"ERROR")</f>
        <v>20</v>
      </c>
      <c r="B948" s="7">
        <f>IF(Data!B948=Entry2!B948,Data!B948,"ERROR")</f>
        <v>2023</v>
      </c>
      <c r="C948" s="17">
        <f>IF(Data!C948=Entry2!C948,Data!C948,"ERROR")</f>
        <v>45197</v>
      </c>
      <c r="D948" s="7" t="str">
        <f>IF(Data!D948=Entry2!D948,Data!D948,"ERROR")</f>
        <v>MP, TL</v>
      </c>
      <c r="E948" s="7" t="str">
        <f>IF(Data!E948=Entry2!E948,Data!E948,"ERROR")</f>
        <v>VB</v>
      </c>
      <c r="F948" s="7">
        <f>IF(Data!F948=Entry2!F948,Data!F948,"ERROR")</f>
        <v>1</v>
      </c>
      <c r="G948" s="7" t="str">
        <f>IF(Data!G948=Entry2!G948,Data!G948,"ERROR")</f>
        <v>LU</v>
      </c>
      <c r="H948" s="7">
        <f>IF(Data!H948=Entry2!H948,Data!H948,"ERROR")</f>
        <v>7</v>
      </c>
      <c r="I948" s="7">
        <f>IF(Data!I948=Entry2!I948,Data!I948,"ERROR")</f>
        <v>1</v>
      </c>
      <c r="J948" s="7">
        <f>IF(Data!J948=Entry2!J948,Data!J948,"ERROR")</f>
        <v>3</v>
      </c>
      <c r="K948" s="7" t="str">
        <f>IF(Data!K948=Entry2!K948,Data!K948,"ERROR")</f>
        <v>L</v>
      </c>
      <c r="L948" s="7" t="str">
        <f>IF(Data!L948=Entry2!L948,Data!L948,"ERROR")</f>
        <v>ERROR</v>
      </c>
      <c r="M948" s="7">
        <f>IF(Data!N948=Entry2!M948,Data!N948,"ERROR")</f>
        <v>0</v>
      </c>
    </row>
    <row r="949" spans="1:13" ht="13.2" x14ac:dyDescent="0.25">
      <c r="A949" s="7">
        <f>IF(Data!A949=Entry2!A949,Data!A949,"ERROR")</f>
        <v>20</v>
      </c>
      <c r="B949" s="7">
        <f>IF(Data!B949=Entry2!B949,Data!B949,"ERROR")</f>
        <v>2023</v>
      </c>
      <c r="C949" s="17">
        <f>IF(Data!C949=Entry2!C949,Data!C949,"ERROR")</f>
        <v>45197</v>
      </c>
      <c r="D949" s="7" t="str">
        <f>IF(Data!D949=Entry2!D949,Data!D949,"ERROR")</f>
        <v>MP, TL</v>
      </c>
      <c r="E949" s="7" t="str">
        <f>IF(Data!E949=Entry2!E949,Data!E949,"ERROR")</f>
        <v>VB</v>
      </c>
      <c r="F949" s="7">
        <f>IF(Data!F949=Entry2!F949,Data!F949,"ERROR")</f>
        <v>1</v>
      </c>
      <c r="G949" s="7" t="str">
        <f>IF(Data!G949=Entry2!G949,Data!G949,"ERROR")</f>
        <v>LU</v>
      </c>
      <c r="H949" s="7">
        <f>IF(Data!H949=Entry2!H949,Data!H949,"ERROR")</f>
        <v>8</v>
      </c>
      <c r="I949" s="7">
        <f>IF(Data!I949=Entry2!I949,Data!I949,"ERROR")</f>
        <v>1</v>
      </c>
      <c r="J949" s="7">
        <f>IF(Data!J949=Entry2!J949,Data!J949,"ERROR")</f>
        <v>3.5</v>
      </c>
      <c r="K949" s="7" t="str">
        <f>IF(Data!K949=Entry2!K949,Data!K949,"ERROR")</f>
        <v>L</v>
      </c>
      <c r="L949" s="7" t="str">
        <f>IF(Data!L949=Entry2!L949,Data!L949,"ERROR")</f>
        <v>ERROR</v>
      </c>
      <c r="M949" s="7">
        <f>IF(Data!N949=Entry2!M949,Data!N949,"ERROR")</f>
        <v>0</v>
      </c>
    </row>
    <row r="950" spans="1:13" ht="13.2" x14ac:dyDescent="0.25">
      <c r="A950" s="7">
        <f>IF(Data!A950=Entry2!A950,Data!A950,"ERROR")</f>
        <v>20</v>
      </c>
      <c r="B950" s="7">
        <f>IF(Data!B950=Entry2!B950,Data!B950,"ERROR")</f>
        <v>2023</v>
      </c>
      <c r="C950" s="17">
        <f>IF(Data!C950=Entry2!C950,Data!C950,"ERROR")</f>
        <v>45197</v>
      </c>
      <c r="D950" s="7" t="str">
        <f>IF(Data!D950=Entry2!D950,Data!D950,"ERROR")</f>
        <v>MP, TL</v>
      </c>
      <c r="E950" s="7" t="str">
        <f>IF(Data!E950=Entry2!E950,Data!E950,"ERROR")</f>
        <v>VB</v>
      </c>
      <c r="F950" s="7">
        <f>IF(Data!F950=Entry2!F950,Data!F950,"ERROR")</f>
        <v>1</v>
      </c>
      <c r="G950" s="7" t="str">
        <f>IF(Data!G950=Entry2!G950,Data!G950,"ERROR")</f>
        <v>LU</v>
      </c>
      <c r="H950" s="7">
        <f>IF(Data!H950=Entry2!H950,Data!H950,"ERROR")</f>
        <v>8</v>
      </c>
      <c r="I950" s="7">
        <f>IF(Data!I950=Entry2!I950,Data!I950,"ERROR")</f>
        <v>1</v>
      </c>
      <c r="J950" s="7">
        <f>IF(Data!J950=Entry2!J950,Data!J950,"ERROR")</f>
        <v>3.5</v>
      </c>
      <c r="K950" s="7" t="str">
        <f>IF(Data!K950=Entry2!K950,Data!K950,"ERROR")</f>
        <v>DEIFAS</v>
      </c>
      <c r="L950" s="7" t="str">
        <f>IF(Data!L950=Entry2!L950,Data!L950,"ERROR")</f>
        <v>ERROR</v>
      </c>
      <c r="M950" s="7">
        <f>IF(Data!N950=Entry2!M950,Data!N950,"ERROR")</f>
        <v>0</v>
      </c>
    </row>
    <row r="951" spans="1:13" ht="13.2" x14ac:dyDescent="0.25">
      <c r="A951" s="7">
        <f>IF(Data!A951=Entry2!A951,Data!A951,"ERROR")</f>
        <v>20</v>
      </c>
      <c r="B951" s="7">
        <f>IF(Data!B951=Entry2!B951,Data!B951,"ERROR")</f>
        <v>2023</v>
      </c>
      <c r="C951" s="17">
        <f>IF(Data!C951=Entry2!C951,Data!C951,"ERROR")</f>
        <v>45197</v>
      </c>
      <c r="D951" s="7" t="str">
        <f>IF(Data!D951=Entry2!D951,Data!D951,"ERROR")</f>
        <v>MP, TL</v>
      </c>
      <c r="E951" s="7" t="str">
        <f>IF(Data!E951=Entry2!E951,Data!E951,"ERROR")</f>
        <v>VB</v>
      </c>
      <c r="F951" s="7">
        <f>IF(Data!F951=Entry2!F951,Data!F951,"ERROR")</f>
        <v>1</v>
      </c>
      <c r="G951" s="7" t="str">
        <f>IF(Data!G951=Entry2!G951,Data!G951,"ERROR")</f>
        <v>LU</v>
      </c>
      <c r="H951" s="7">
        <f>IF(Data!H951=Entry2!H951,Data!H951,"ERROR")</f>
        <v>9</v>
      </c>
      <c r="I951" s="7">
        <f>IF(Data!I951=Entry2!I951,Data!I951,"ERROR")</f>
        <v>1</v>
      </c>
      <c r="J951" s="7">
        <f>IF(Data!J951=Entry2!J951,Data!J951,"ERROR")</f>
        <v>4</v>
      </c>
      <c r="K951" s="7" t="str">
        <f>IF(Data!K951=Entry2!K951,Data!K951,"ERROR")</f>
        <v>L</v>
      </c>
      <c r="L951" s="7" t="str">
        <f>IF(Data!L951=Entry2!L951,Data!L951,"ERROR")</f>
        <v>ERROR</v>
      </c>
      <c r="M951" s="7">
        <f>IF(Data!N951=Entry2!M951,Data!N951,"ERROR")</f>
        <v>0</v>
      </c>
    </row>
    <row r="952" spans="1:13" ht="13.2" x14ac:dyDescent="0.25">
      <c r="A952" s="7">
        <f>IF(Data!A952=Entry2!A952,Data!A952,"ERROR")</f>
        <v>20</v>
      </c>
      <c r="B952" s="7">
        <f>IF(Data!B952=Entry2!B952,Data!B952,"ERROR")</f>
        <v>2023</v>
      </c>
      <c r="C952" s="17">
        <f>IF(Data!C952=Entry2!C952,Data!C952,"ERROR")</f>
        <v>45197</v>
      </c>
      <c r="D952" s="7" t="str">
        <f>IF(Data!D952=Entry2!D952,Data!D952,"ERROR")</f>
        <v>MP, TL</v>
      </c>
      <c r="E952" s="7" t="str">
        <f>IF(Data!E952=Entry2!E952,Data!E952,"ERROR")</f>
        <v>VB</v>
      </c>
      <c r="F952" s="7">
        <f>IF(Data!F952=Entry2!F952,Data!F952,"ERROR")</f>
        <v>1</v>
      </c>
      <c r="G952" s="7" t="str">
        <f>IF(Data!G952=Entry2!G952,Data!G952,"ERROR")</f>
        <v>LU</v>
      </c>
      <c r="H952" s="7">
        <f>IF(Data!H952=Entry2!H952,Data!H952,"ERROR")</f>
        <v>9</v>
      </c>
      <c r="I952" s="7">
        <f>IF(Data!I952=Entry2!I952,Data!I952,"ERROR")</f>
        <v>1</v>
      </c>
      <c r="J952" s="7">
        <f>IF(Data!J952=Entry2!J952,Data!J952,"ERROR")</f>
        <v>4</v>
      </c>
      <c r="K952" s="7" t="str">
        <f>IF(Data!K952=Entry2!K952,Data!K952,"ERROR")</f>
        <v>DEIFAS</v>
      </c>
      <c r="L952" s="7" t="str">
        <f>IF(Data!L952=Entry2!L952,Data!L952,"ERROR")</f>
        <v>ERROR</v>
      </c>
      <c r="M952" s="7">
        <f>IF(Data!N952=Entry2!M952,Data!N952,"ERROR")</f>
        <v>0</v>
      </c>
    </row>
    <row r="953" spans="1:13" ht="13.2" x14ac:dyDescent="0.25">
      <c r="A953" s="7">
        <f>IF(Data!A953=Entry2!A953,Data!A953,"ERROR")</f>
        <v>20</v>
      </c>
      <c r="B953" s="7">
        <f>IF(Data!B953=Entry2!B953,Data!B953,"ERROR")</f>
        <v>2023</v>
      </c>
      <c r="C953" s="17">
        <f>IF(Data!C953=Entry2!C953,Data!C953,"ERROR")</f>
        <v>45197</v>
      </c>
      <c r="D953" s="7" t="str">
        <f>IF(Data!D953=Entry2!D953,Data!D953,"ERROR")</f>
        <v>MP, TL</v>
      </c>
      <c r="E953" s="7" t="str">
        <f>IF(Data!E953=Entry2!E953,Data!E953,"ERROR")</f>
        <v>VB</v>
      </c>
      <c r="F953" s="7">
        <f>IF(Data!F953=Entry2!F953,Data!F953,"ERROR")</f>
        <v>1</v>
      </c>
      <c r="G953" s="7" t="str">
        <f>IF(Data!G953=Entry2!G953,Data!G953,"ERROR")</f>
        <v>LU</v>
      </c>
      <c r="H953" s="7">
        <f>IF(Data!H953=Entry2!H953,Data!H953,"ERROR")</f>
        <v>10</v>
      </c>
      <c r="I953" s="7">
        <f>IF(Data!I953=Entry2!I953,Data!I953,"ERROR")</f>
        <v>1</v>
      </c>
      <c r="J953" s="7">
        <f>IF(Data!J953=Entry2!J953,Data!J953,"ERROR")</f>
        <v>4.5</v>
      </c>
      <c r="K953" s="7" t="str">
        <f>IF(Data!K953=Entry2!K953,Data!K953,"ERROR")</f>
        <v>L</v>
      </c>
      <c r="L953" s="7" t="str">
        <f>IF(Data!L953=Entry2!L953,Data!L953,"ERROR")</f>
        <v>ERROR</v>
      </c>
      <c r="M953" s="7">
        <f>IF(Data!N953=Entry2!M953,Data!N953,"ERROR")</f>
        <v>0</v>
      </c>
    </row>
    <row r="954" spans="1:13" ht="13.2" x14ac:dyDescent="0.25">
      <c r="A954" s="7">
        <f>IF(Data!A954=Entry2!A954,Data!A954,"ERROR")</f>
        <v>20</v>
      </c>
      <c r="B954" s="7">
        <f>IF(Data!B954=Entry2!B954,Data!B954,"ERROR")</f>
        <v>2023</v>
      </c>
      <c r="C954" s="17">
        <f>IF(Data!C954=Entry2!C954,Data!C954,"ERROR")</f>
        <v>45197</v>
      </c>
      <c r="D954" s="7" t="str">
        <f>IF(Data!D954=Entry2!D954,Data!D954,"ERROR")</f>
        <v>MP, TL</v>
      </c>
      <c r="E954" s="7" t="str">
        <f>IF(Data!E954=Entry2!E954,Data!E954,"ERROR")</f>
        <v>VB</v>
      </c>
      <c r="F954" s="7">
        <f>IF(Data!F954=Entry2!F954,Data!F954,"ERROR")</f>
        <v>1</v>
      </c>
      <c r="G954" s="7" t="str">
        <f>IF(Data!G954=Entry2!G954,Data!G954,"ERROR")</f>
        <v>LU</v>
      </c>
      <c r="H954" s="7">
        <f>IF(Data!H954=Entry2!H954,Data!H954,"ERROR")</f>
        <v>10</v>
      </c>
      <c r="I954" s="7">
        <f>IF(Data!I954=Entry2!I954,Data!I954,"ERROR")</f>
        <v>1</v>
      </c>
      <c r="J954" s="7">
        <f>IF(Data!J954=Entry2!J954,Data!J954,"ERROR")</f>
        <v>4.5</v>
      </c>
      <c r="K954" s="7" t="str">
        <f>IF(Data!K954=Entry2!K954,Data!K954,"ERROR")</f>
        <v>DEIFAS</v>
      </c>
      <c r="L954" s="7" t="str">
        <f>IF(Data!L954=Entry2!L954,Data!L954,"ERROR")</f>
        <v>ERROR</v>
      </c>
      <c r="M954" s="7">
        <f>IF(Data!N954=Entry2!M954,Data!N954,"ERROR")</f>
        <v>0</v>
      </c>
    </row>
    <row r="955" spans="1:13" ht="13.2" x14ac:dyDescent="0.25">
      <c r="A955" s="7">
        <f>IF(Data!A955=Entry2!A955,Data!A955,"ERROR")</f>
        <v>20</v>
      </c>
      <c r="B955" s="7">
        <f>IF(Data!B955=Entry2!B955,Data!B955,"ERROR")</f>
        <v>2023</v>
      </c>
      <c r="C955" s="17">
        <f>IF(Data!C955=Entry2!C955,Data!C955,"ERROR")</f>
        <v>45197</v>
      </c>
      <c r="D955" s="7" t="str">
        <f>IF(Data!D955=Entry2!D955,Data!D955,"ERROR")</f>
        <v>MP, TL</v>
      </c>
      <c r="E955" s="7" t="str">
        <f>IF(Data!E955=Entry2!E955,Data!E955,"ERROR")</f>
        <v>VB</v>
      </c>
      <c r="F955" s="7">
        <f>IF(Data!F955=Entry2!F955,Data!F955,"ERROR")</f>
        <v>1</v>
      </c>
      <c r="G955" s="7" t="str">
        <f>IF(Data!G955=Entry2!G955,Data!G955,"ERROR")</f>
        <v>LU</v>
      </c>
      <c r="H955" s="7">
        <f>IF(Data!H955=Entry2!H955,Data!H955,"ERROR")</f>
        <v>11</v>
      </c>
      <c r="I955" s="7">
        <f>IF(Data!I955=Entry2!I955,Data!I955,"ERROR")</f>
        <v>1</v>
      </c>
      <c r="J955" s="7">
        <f>IF(Data!J955=Entry2!J955,Data!J955,"ERROR")</f>
        <v>5</v>
      </c>
      <c r="K955" s="7" t="str">
        <f>IF(Data!K955=Entry2!K955,Data!K955,"ERROR")</f>
        <v>L</v>
      </c>
      <c r="L955" s="7" t="str">
        <f>IF(Data!L955=Entry2!L955,Data!L955,"ERROR")</f>
        <v>ERROR</v>
      </c>
      <c r="M955" s="7">
        <f>IF(Data!N955=Entry2!M955,Data!N955,"ERROR")</f>
        <v>0</v>
      </c>
    </row>
    <row r="956" spans="1:13" ht="13.2" x14ac:dyDescent="0.25">
      <c r="A956" s="7">
        <f>IF(Data!A956=Entry2!A956,Data!A956,"ERROR")</f>
        <v>20</v>
      </c>
      <c r="B956" s="7">
        <f>IF(Data!B956=Entry2!B956,Data!B956,"ERROR")</f>
        <v>2023</v>
      </c>
      <c r="C956" s="17">
        <f>IF(Data!C956=Entry2!C956,Data!C956,"ERROR")</f>
        <v>45197</v>
      </c>
      <c r="D956" s="7" t="str">
        <f>IF(Data!D956=Entry2!D956,Data!D956,"ERROR")</f>
        <v>MP, TL</v>
      </c>
      <c r="E956" s="7" t="str">
        <f>IF(Data!E956=Entry2!E956,Data!E956,"ERROR")</f>
        <v>VB</v>
      </c>
      <c r="F956" s="7">
        <f>IF(Data!F956=Entry2!F956,Data!F956,"ERROR")</f>
        <v>1</v>
      </c>
      <c r="G956" s="7" t="str">
        <f>IF(Data!G956=Entry2!G956,Data!G956,"ERROR")</f>
        <v>LU</v>
      </c>
      <c r="H956" s="7">
        <f>IF(Data!H956=Entry2!H956,Data!H956,"ERROR")</f>
        <v>11</v>
      </c>
      <c r="I956" s="7">
        <f>IF(Data!I956=Entry2!I956,Data!I956,"ERROR")</f>
        <v>1</v>
      </c>
      <c r="J956" s="7">
        <f>IF(Data!J956=Entry2!J956,Data!J956,"ERROR")</f>
        <v>5</v>
      </c>
      <c r="K956" s="7" t="str">
        <f>IF(Data!K956=Entry2!K956,Data!K956,"ERROR")</f>
        <v>DEIFAS</v>
      </c>
      <c r="L956" s="7" t="str">
        <f>IF(Data!L956=Entry2!L956,Data!L956,"ERROR")</f>
        <v>ERROR</v>
      </c>
      <c r="M956" s="7">
        <f>IF(Data!N956=Entry2!M956,Data!N956,"ERROR")</f>
        <v>0</v>
      </c>
    </row>
    <row r="957" spans="1:13" ht="13.2" x14ac:dyDescent="0.25">
      <c r="A957" s="7">
        <f>IF(Data!A957=Entry2!A957,Data!A957,"ERROR")</f>
        <v>20</v>
      </c>
      <c r="B957" s="7">
        <f>IF(Data!B957=Entry2!B957,Data!B957,"ERROR")</f>
        <v>2023</v>
      </c>
      <c r="C957" s="17">
        <f>IF(Data!C957=Entry2!C957,Data!C957,"ERROR")</f>
        <v>45197</v>
      </c>
      <c r="D957" s="7" t="str">
        <f>IF(Data!D957=Entry2!D957,Data!D957,"ERROR")</f>
        <v>MP, TL</v>
      </c>
      <c r="E957" s="7" t="str">
        <f>IF(Data!E957=Entry2!E957,Data!E957,"ERROR")</f>
        <v>VB</v>
      </c>
      <c r="F957" s="7">
        <f>IF(Data!F957=Entry2!F957,Data!F957,"ERROR")</f>
        <v>1</v>
      </c>
      <c r="G957" s="7" t="str">
        <f>IF(Data!G957=Entry2!G957,Data!G957,"ERROR")</f>
        <v>LU</v>
      </c>
      <c r="H957" s="7">
        <f>IF(Data!H957=Entry2!H957,Data!H957,"ERROR")</f>
        <v>12</v>
      </c>
      <c r="I957" s="7">
        <f>IF(Data!I957=Entry2!I957,Data!I957,"ERROR")</f>
        <v>1</v>
      </c>
      <c r="J957" s="7">
        <f>IF(Data!J957=Entry2!J957,Data!J957,"ERROR")</f>
        <v>5.5</v>
      </c>
      <c r="K957" s="7" t="str">
        <f>IF(Data!K957=Entry2!K957,Data!K957,"ERROR")</f>
        <v>B</v>
      </c>
      <c r="L957" s="7" t="str">
        <f>IF(Data!L957=Entry2!L957,Data!L957,"ERROR")</f>
        <v>ERROR</v>
      </c>
      <c r="M957" s="7">
        <f>IF(Data!N957=Entry2!M957,Data!N957,"ERROR")</f>
        <v>0</v>
      </c>
    </row>
    <row r="958" spans="1:13" ht="13.2" x14ac:dyDescent="0.25">
      <c r="A958" s="7">
        <f>IF(Data!A958=Entry2!A958,Data!A958,"ERROR")</f>
        <v>20</v>
      </c>
      <c r="B958" s="7">
        <f>IF(Data!B958=Entry2!B958,Data!B958,"ERROR")</f>
        <v>2023</v>
      </c>
      <c r="C958" s="17">
        <f>IF(Data!C958=Entry2!C958,Data!C958,"ERROR")</f>
        <v>45197</v>
      </c>
      <c r="D958" s="7" t="str">
        <f>IF(Data!D958=Entry2!D958,Data!D958,"ERROR")</f>
        <v>MP, TL</v>
      </c>
      <c r="E958" s="7" t="str">
        <f>IF(Data!E958=Entry2!E958,Data!E958,"ERROR")</f>
        <v>VB</v>
      </c>
      <c r="F958" s="7">
        <f>IF(Data!F958=Entry2!F958,Data!F958,"ERROR")</f>
        <v>1</v>
      </c>
      <c r="G958" s="7" t="str">
        <f>IF(Data!G958=Entry2!G958,Data!G958,"ERROR")</f>
        <v>LU</v>
      </c>
      <c r="H958" s="7">
        <f>IF(Data!H958=Entry2!H958,Data!H958,"ERROR")</f>
        <v>13</v>
      </c>
      <c r="I958" s="7">
        <f>IF(Data!I958=Entry2!I958,Data!I958,"ERROR")</f>
        <v>1</v>
      </c>
      <c r="J958" s="7">
        <f>IF(Data!J958=Entry2!J958,Data!J958,"ERROR")</f>
        <v>6.5</v>
      </c>
      <c r="K958" s="7" t="str">
        <f>IF(Data!K958=Entry2!K958,Data!K958,"ERROR")</f>
        <v>L</v>
      </c>
      <c r="L958" s="7" t="str">
        <f>IF(Data!L958=Entry2!L958,Data!L958,"ERROR")</f>
        <v>ERROR</v>
      </c>
      <c r="M958" s="7">
        <f>IF(Data!N958=Entry2!M958,Data!N958,"ERROR")</f>
        <v>0</v>
      </c>
    </row>
    <row r="959" spans="1:13" ht="13.2" x14ac:dyDescent="0.25">
      <c r="A959" s="7">
        <f>IF(Data!A959=Entry2!A959,Data!A959,"ERROR")</f>
        <v>20</v>
      </c>
      <c r="B959" s="7">
        <f>IF(Data!B959=Entry2!B959,Data!B959,"ERROR")</f>
        <v>2023</v>
      </c>
      <c r="C959" s="17">
        <f>IF(Data!C959=Entry2!C959,Data!C959,"ERROR")</f>
        <v>45197</v>
      </c>
      <c r="D959" s="7" t="str">
        <f>IF(Data!D959=Entry2!D959,Data!D959,"ERROR")</f>
        <v>MP, TL</v>
      </c>
      <c r="E959" s="7" t="str">
        <f>IF(Data!E959=Entry2!E959,Data!E959,"ERROR")</f>
        <v>VB</v>
      </c>
      <c r="F959" s="7">
        <f>IF(Data!F959=Entry2!F959,Data!F959,"ERROR")</f>
        <v>1</v>
      </c>
      <c r="G959" s="7" t="str">
        <f>IF(Data!G959=Entry2!G959,Data!G959,"ERROR")</f>
        <v>LU</v>
      </c>
      <c r="H959" s="7">
        <f>IF(Data!H959=Entry2!H959,Data!H959,"ERROR")</f>
        <v>13</v>
      </c>
      <c r="I959" s="7">
        <f>IF(Data!I959=Entry2!I959,Data!I959,"ERROR")</f>
        <v>1</v>
      </c>
      <c r="J959" s="7">
        <f>IF(Data!J959=Entry2!J959,Data!J959,"ERROR")</f>
        <v>6.5</v>
      </c>
      <c r="K959" s="7" t="str">
        <f>IF(Data!K959=Entry2!K959,Data!K959,"ERROR")</f>
        <v>DEIFAS</v>
      </c>
      <c r="L959" s="7" t="str">
        <f>IF(Data!L959=Entry2!L959,Data!L959,"ERROR")</f>
        <v>ERROR</v>
      </c>
      <c r="M959" s="7">
        <f>IF(Data!N959=Entry2!M959,Data!N959,"ERROR")</f>
        <v>0</v>
      </c>
    </row>
    <row r="960" spans="1:13" ht="13.2" x14ac:dyDescent="0.25">
      <c r="A960" s="7">
        <f>IF(Data!A960=Entry2!A960,Data!A960,"ERROR")</f>
        <v>20</v>
      </c>
      <c r="B960" s="7">
        <f>IF(Data!B960=Entry2!B960,Data!B960,"ERROR")</f>
        <v>2023</v>
      </c>
      <c r="C960" s="17">
        <f>IF(Data!C960=Entry2!C960,Data!C960,"ERROR")</f>
        <v>45197</v>
      </c>
      <c r="D960" s="7" t="str">
        <f>IF(Data!D960=Entry2!D960,Data!D960,"ERROR")</f>
        <v>MP, TL</v>
      </c>
      <c r="E960" s="7" t="str">
        <f>IF(Data!E960=Entry2!E960,Data!E960,"ERROR")</f>
        <v>VB</v>
      </c>
      <c r="F960" s="7">
        <f>IF(Data!F960=Entry2!F960,Data!F960,"ERROR")</f>
        <v>1</v>
      </c>
      <c r="G960" s="7" t="str">
        <f>IF(Data!G960=Entry2!G960,Data!G960,"ERROR")</f>
        <v>LU</v>
      </c>
      <c r="H960" s="7">
        <f>IF(Data!H960=Entry2!H960,Data!H960,"ERROR")</f>
        <v>14</v>
      </c>
      <c r="I960" s="7">
        <f>IF(Data!I960=Entry2!I960,Data!I960,"ERROR")</f>
        <v>1</v>
      </c>
      <c r="J960" s="7">
        <f>IF(Data!J960=Entry2!J960,Data!J960,"ERROR")</f>
        <v>7</v>
      </c>
      <c r="K960" s="7" t="str">
        <f>IF(Data!K960=Entry2!K960,Data!K960,"ERROR")</f>
        <v>L</v>
      </c>
      <c r="L960" s="7" t="str">
        <f>IF(Data!L960=Entry2!L960,Data!L960,"ERROR")</f>
        <v>ERROR</v>
      </c>
      <c r="M960" s="7">
        <f>IF(Data!N960=Entry2!M960,Data!N960,"ERROR")</f>
        <v>0</v>
      </c>
    </row>
    <row r="961" spans="1:13" ht="13.2" x14ac:dyDescent="0.25">
      <c r="A961" s="7">
        <f>IF(Data!A961=Entry2!A961,Data!A961,"ERROR")</f>
        <v>20</v>
      </c>
      <c r="B961" s="7">
        <f>IF(Data!B961=Entry2!B961,Data!B961,"ERROR")</f>
        <v>2023</v>
      </c>
      <c r="C961" s="17">
        <f>IF(Data!C961=Entry2!C961,Data!C961,"ERROR")</f>
        <v>45197</v>
      </c>
      <c r="D961" s="7" t="str">
        <f>IF(Data!D961=Entry2!D961,Data!D961,"ERROR")</f>
        <v>MP, TL</v>
      </c>
      <c r="E961" s="7" t="str">
        <f>IF(Data!E961=Entry2!E961,Data!E961,"ERROR")</f>
        <v>VB</v>
      </c>
      <c r="F961" s="7">
        <f>IF(Data!F961=Entry2!F961,Data!F961,"ERROR")</f>
        <v>1</v>
      </c>
      <c r="G961" s="7" t="str">
        <f>IF(Data!G961=Entry2!G961,Data!G961,"ERROR")</f>
        <v>LU</v>
      </c>
      <c r="H961" s="7">
        <f>IF(Data!H961=Entry2!H961,Data!H961,"ERROR")</f>
        <v>14</v>
      </c>
      <c r="I961" s="7">
        <f>IF(Data!I961=Entry2!I961,Data!I961,"ERROR")</f>
        <v>1</v>
      </c>
      <c r="J961" s="7">
        <f>IF(Data!J961=Entry2!J961,Data!J961,"ERROR")</f>
        <v>7</v>
      </c>
      <c r="K961" s="7" t="str">
        <f>IF(Data!K961=Entry2!K961,Data!K961,"ERROR")</f>
        <v>DEIFAS</v>
      </c>
      <c r="L961" s="7" t="str">
        <f>IF(Data!L961=Entry2!L961,Data!L961,"ERROR")</f>
        <v>ERROR</v>
      </c>
      <c r="M961" s="7">
        <f>IF(Data!N961=Entry2!M961,Data!N961,"ERROR")</f>
        <v>0</v>
      </c>
    </row>
    <row r="962" spans="1:13" ht="13.2" x14ac:dyDescent="0.25">
      <c r="A962" s="7">
        <f>IF(Data!A962=Entry2!A962,Data!A962,"ERROR")</f>
        <v>20</v>
      </c>
      <c r="B962" s="7">
        <f>IF(Data!B962=Entry2!B962,Data!B962,"ERROR")</f>
        <v>2023</v>
      </c>
      <c r="C962" s="17">
        <f>IF(Data!C962=Entry2!C962,Data!C962,"ERROR")</f>
        <v>45197</v>
      </c>
      <c r="D962" s="7" t="str">
        <f>IF(Data!D962=Entry2!D962,Data!D962,"ERROR")</f>
        <v>MP, TL</v>
      </c>
      <c r="E962" s="7" t="str">
        <f>IF(Data!E962=Entry2!E962,Data!E962,"ERROR")</f>
        <v>VB</v>
      </c>
      <c r="F962" s="7">
        <f>IF(Data!F962=Entry2!F962,Data!F962,"ERROR")</f>
        <v>1</v>
      </c>
      <c r="G962" s="7" t="str">
        <f>IF(Data!G962=Entry2!G962,Data!G962,"ERROR")</f>
        <v>LU</v>
      </c>
      <c r="H962" s="7">
        <f>IF(Data!H962=Entry2!H962,Data!H962,"ERROR")</f>
        <v>15</v>
      </c>
      <c r="I962" s="7">
        <f>IF(Data!I962=Entry2!I962,Data!I962,"ERROR")</f>
        <v>1</v>
      </c>
      <c r="J962" s="7">
        <f>IF(Data!J962=Entry2!J962,Data!J962,"ERROR")</f>
        <v>7.5</v>
      </c>
      <c r="K962" s="7" t="str">
        <f>IF(Data!K962=Entry2!K962,Data!K962,"ERROR")</f>
        <v>B</v>
      </c>
      <c r="L962" s="7" t="str">
        <f>IF(Data!L962=Entry2!L962,Data!L962,"ERROR")</f>
        <v>ERROR</v>
      </c>
      <c r="M962" s="7">
        <f>IF(Data!N962=Entry2!M962,Data!N962,"ERROR")</f>
        <v>0</v>
      </c>
    </row>
    <row r="963" spans="1:13" ht="13.2" x14ac:dyDescent="0.25">
      <c r="A963" s="7">
        <f>IF(Data!A963=Entry2!A963,Data!A963,"ERROR")</f>
        <v>20</v>
      </c>
      <c r="B963" s="7">
        <f>IF(Data!B963=Entry2!B963,Data!B963,"ERROR")</f>
        <v>2023</v>
      </c>
      <c r="C963" s="17">
        <f>IF(Data!C963=Entry2!C963,Data!C963,"ERROR")</f>
        <v>45197</v>
      </c>
      <c r="D963" s="7" t="str">
        <f>IF(Data!D963=Entry2!D963,Data!D963,"ERROR")</f>
        <v>MP, TL</v>
      </c>
      <c r="E963" s="7" t="str">
        <f>IF(Data!E963=Entry2!E963,Data!E963,"ERROR")</f>
        <v>VB</v>
      </c>
      <c r="F963" s="7">
        <f>IF(Data!F963=Entry2!F963,Data!F963,"ERROR")</f>
        <v>1</v>
      </c>
      <c r="G963" s="7" t="str">
        <f>IF(Data!G963=Entry2!G963,Data!G963,"ERROR")</f>
        <v>LU</v>
      </c>
      <c r="H963" s="7">
        <f>IF(Data!H963=Entry2!H963,Data!H963,"ERROR")</f>
        <v>15</v>
      </c>
      <c r="I963" s="7">
        <f>IF(Data!I963=Entry2!I963,Data!I963,"ERROR")</f>
        <v>1</v>
      </c>
      <c r="J963" s="7">
        <f>IF(Data!J963=Entry2!J963,Data!J963,"ERROR")</f>
        <v>7.5</v>
      </c>
      <c r="K963" s="7" t="str">
        <f>IF(Data!K963=Entry2!K963,Data!K963,"ERROR")</f>
        <v>DEIFAS</v>
      </c>
      <c r="L963" s="7" t="str">
        <f>IF(Data!L963=Entry2!L963,Data!L963,"ERROR")</f>
        <v>ERROR</v>
      </c>
      <c r="M963" s="7">
        <f>IF(Data!N963=Entry2!M963,Data!N963,"ERROR")</f>
        <v>0</v>
      </c>
    </row>
    <row r="964" spans="1:13" ht="13.2" x14ac:dyDescent="0.25">
      <c r="A964" s="7">
        <f>IF(Data!A964=Entry2!A964,Data!A964,"ERROR")</f>
        <v>20</v>
      </c>
      <c r="B964" s="7">
        <f>IF(Data!B964=Entry2!B964,Data!B964,"ERROR")</f>
        <v>2023</v>
      </c>
      <c r="C964" s="17">
        <f>IF(Data!C964=Entry2!C964,Data!C964,"ERROR")</f>
        <v>45197</v>
      </c>
      <c r="D964" s="7" t="str">
        <f>IF(Data!D964=Entry2!D964,Data!D964,"ERROR")</f>
        <v>MP, TL</v>
      </c>
      <c r="E964" s="7" t="str">
        <f>IF(Data!E964=Entry2!E964,Data!E964,"ERROR")</f>
        <v>VB</v>
      </c>
      <c r="F964" s="7">
        <f>IF(Data!F964=Entry2!F964,Data!F964,"ERROR")</f>
        <v>1</v>
      </c>
      <c r="G964" s="7" t="str">
        <f>IF(Data!G964=Entry2!G964,Data!G964,"ERROR")</f>
        <v>LU</v>
      </c>
      <c r="H964" s="7">
        <f>IF(Data!H964=Entry2!H964,Data!H964,"ERROR")</f>
        <v>1</v>
      </c>
      <c r="I964" s="7">
        <f>IF(Data!I964=Entry2!I964,Data!I964,"ERROR")</f>
        <v>2</v>
      </c>
      <c r="J964" s="7">
        <f>IF(Data!J964=Entry2!J964,Data!J964,"ERROR")</f>
        <v>0</v>
      </c>
      <c r="K964" s="7" t="str">
        <f>IF(Data!K964=Entry2!K964,Data!K964,"ERROR")</f>
        <v>B</v>
      </c>
      <c r="L964" s="7" t="str">
        <f>IF(Data!L964=Entry2!L964,Data!L964,"ERROR")</f>
        <v>ERROR</v>
      </c>
      <c r="M964" s="7">
        <f>IF(Data!N964=Entry2!M964,Data!N964,"ERROR")</f>
        <v>0</v>
      </c>
    </row>
    <row r="965" spans="1:13" ht="13.2" x14ac:dyDescent="0.25">
      <c r="A965" s="7">
        <f>IF(Data!A965=Entry2!A965,Data!A965,"ERROR")</f>
        <v>20</v>
      </c>
      <c r="B965" s="7">
        <f>IF(Data!B965=Entry2!B965,Data!B965,"ERROR")</f>
        <v>2023</v>
      </c>
      <c r="C965" s="17">
        <f>IF(Data!C965=Entry2!C965,Data!C965,"ERROR")</f>
        <v>45197</v>
      </c>
      <c r="D965" s="7" t="str">
        <f>IF(Data!D965=Entry2!D965,Data!D965,"ERROR")</f>
        <v>MP, TL</v>
      </c>
      <c r="E965" s="7" t="str">
        <f>IF(Data!E965=Entry2!E965,Data!E965,"ERROR")</f>
        <v>VB</v>
      </c>
      <c r="F965" s="7">
        <f>IF(Data!F965=Entry2!F965,Data!F965,"ERROR")</f>
        <v>1</v>
      </c>
      <c r="G965" s="7" t="str">
        <f>IF(Data!G965=Entry2!G965,Data!G965,"ERROR")</f>
        <v>LU</v>
      </c>
      <c r="H965" s="7">
        <f>IF(Data!H965=Entry2!H965,Data!H965,"ERROR")</f>
        <v>2</v>
      </c>
      <c r="I965" s="7">
        <f>IF(Data!I965=Entry2!I965,Data!I965,"ERROR")</f>
        <v>2</v>
      </c>
      <c r="J965" s="7">
        <f>IF(Data!J965=Entry2!J965,Data!J965,"ERROR")</f>
        <v>0.5</v>
      </c>
      <c r="K965" s="7" t="str">
        <f>IF(Data!K965=Entry2!K965,Data!K965,"ERROR")</f>
        <v>B</v>
      </c>
      <c r="L965" s="7" t="str">
        <f>IF(Data!L965=Entry2!L965,Data!L965,"ERROR")</f>
        <v>ERROR</v>
      </c>
      <c r="M965" s="7">
        <f>IF(Data!N965=Entry2!M965,Data!N965,"ERROR")</f>
        <v>0</v>
      </c>
    </row>
    <row r="966" spans="1:13" ht="13.2" x14ac:dyDescent="0.25">
      <c r="A966" s="7">
        <f>IF(Data!A966=Entry2!A966,Data!A966,"ERROR")</f>
        <v>20</v>
      </c>
      <c r="B966" s="7">
        <f>IF(Data!B966=Entry2!B966,Data!B966,"ERROR")</f>
        <v>2023</v>
      </c>
      <c r="C966" s="17">
        <f>IF(Data!C966=Entry2!C966,Data!C966,"ERROR")</f>
        <v>45197</v>
      </c>
      <c r="D966" s="7" t="str">
        <f>IF(Data!D966=Entry2!D966,Data!D966,"ERROR")</f>
        <v>MP, TL</v>
      </c>
      <c r="E966" s="7" t="str">
        <f>IF(Data!E966=Entry2!E966,Data!E966,"ERROR")</f>
        <v>VB</v>
      </c>
      <c r="F966" s="7">
        <f>IF(Data!F966=Entry2!F966,Data!F966,"ERROR")</f>
        <v>1</v>
      </c>
      <c r="G966" s="7" t="str">
        <f>IF(Data!G966=Entry2!G966,Data!G966,"ERROR")</f>
        <v>LU</v>
      </c>
      <c r="H966" s="7">
        <f>IF(Data!H966=Entry2!H966,Data!H966,"ERROR")</f>
        <v>2</v>
      </c>
      <c r="I966" s="7">
        <f>IF(Data!I966=Entry2!I966,Data!I966,"ERROR")</f>
        <v>2</v>
      </c>
      <c r="J966" s="7">
        <f>IF(Data!J966=Entry2!J966,Data!J966,"ERROR")</f>
        <v>0.5</v>
      </c>
      <c r="K966" s="7" t="str">
        <f>IF(Data!K966=Entry2!K966,Data!K966,"ERROR")</f>
        <v>DEIFAS</v>
      </c>
      <c r="L966" s="7" t="str">
        <f>IF(Data!L966=Entry2!L966,Data!L966,"ERROR")</f>
        <v>ERROR</v>
      </c>
      <c r="M966" s="7">
        <f>IF(Data!N966=Entry2!M966,Data!N966,"ERROR")</f>
        <v>0</v>
      </c>
    </row>
    <row r="967" spans="1:13" ht="13.2" x14ac:dyDescent="0.25">
      <c r="A967" s="7">
        <f>IF(Data!A967=Entry2!A967,Data!A967,"ERROR")</f>
        <v>20</v>
      </c>
      <c r="B967" s="7">
        <f>IF(Data!B967=Entry2!B967,Data!B967,"ERROR")</f>
        <v>2023</v>
      </c>
      <c r="C967" s="17">
        <f>IF(Data!C967=Entry2!C967,Data!C967,"ERROR")</f>
        <v>45197</v>
      </c>
      <c r="D967" s="7" t="str">
        <f>IF(Data!D967=Entry2!D967,Data!D967,"ERROR")</f>
        <v>MP, TL</v>
      </c>
      <c r="E967" s="7" t="str">
        <f>IF(Data!E967=Entry2!E967,Data!E967,"ERROR")</f>
        <v>VB</v>
      </c>
      <c r="F967" s="7">
        <f>IF(Data!F967=Entry2!F967,Data!F967,"ERROR")</f>
        <v>1</v>
      </c>
      <c r="G967" s="7" t="str">
        <f>IF(Data!G967=Entry2!G967,Data!G967,"ERROR")</f>
        <v>LU</v>
      </c>
      <c r="H967" s="7">
        <f>IF(Data!H967=Entry2!H967,Data!H967,"ERROR")</f>
        <v>3</v>
      </c>
      <c r="I967" s="7">
        <f>IF(Data!I967=Entry2!I967,Data!I967,"ERROR")</f>
        <v>2</v>
      </c>
      <c r="J967" s="7">
        <f>IF(Data!J967=Entry2!J967,Data!J967,"ERROR")</f>
        <v>1</v>
      </c>
      <c r="K967" s="7" t="str">
        <f>IF(Data!K967=Entry2!K967,Data!K967,"ERROR")</f>
        <v>L</v>
      </c>
      <c r="L967" s="7" t="str">
        <f>IF(Data!L967=Entry2!L967,Data!L967,"ERROR")</f>
        <v>ERROR</v>
      </c>
      <c r="M967" s="7">
        <f>IF(Data!N967=Entry2!M967,Data!N967,"ERROR")</f>
        <v>0</v>
      </c>
    </row>
    <row r="968" spans="1:13" ht="13.2" x14ac:dyDescent="0.25">
      <c r="A968" s="7">
        <f>IF(Data!A968=Entry2!A968,Data!A968,"ERROR")</f>
        <v>20</v>
      </c>
      <c r="B968" s="7">
        <f>IF(Data!B968=Entry2!B968,Data!B968,"ERROR")</f>
        <v>2023</v>
      </c>
      <c r="C968" s="17">
        <f>IF(Data!C968=Entry2!C968,Data!C968,"ERROR")</f>
        <v>45197</v>
      </c>
      <c r="D968" s="7" t="str">
        <f>IF(Data!D968=Entry2!D968,Data!D968,"ERROR")</f>
        <v>MP, TL</v>
      </c>
      <c r="E968" s="7" t="str">
        <f>IF(Data!E968=Entry2!E968,Data!E968,"ERROR")</f>
        <v>VB</v>
      </c>
      <c r="F968" s="7">
        <f>IF(Data!F968=Entry2!F968,Data!F968,"ERROR")</f>
        <v>1</v>
      </c>
      <c r="G968" s="7" t="str">
        <f>IF(Data!G968=Entry2!G968,Data!G968,"ERROR")</f>
        <v>LU</v>
      </c>
      <c r="H968" s="7">
        <f>IF(Data!H968=Entry2!H968,Data!H968,"ERROR")</f>
        <v>3</v>
      </c>
      <c r="I968" s="7">
        <f>IF(Data!I968=Entry2!I968,Data!I968,"ERROR")</f>
        <v>2</v>
      </c>
      <c r="J968" s="7">
        <f>IF(Data!J968=Entry2!J968,Data!J968,"ERROR")</f>
        <v>1</v>
      </c>
      <c r="K968" s="7" t="str">
        <f>IF(Data!K968=Entry2!K968,Data!K968,"ERROR")</f>
        <v>SYLPRO</v>
      </c>
      <c r="L968" s="7" t="e">
        <f>IF(Data!L968=Entry2!L968,Data!L968,"ERROR")</f>
        <v>#N/A</v>
      </c>
      <c r="M968" s="7">
        <f>IF(Data!N968=Entry2!M968,Data!N968,"ERROR")</f>
        <v>0</v>
      </c>
    </row>
    <row r="969" spans="1:13" ht="13.2" x14ac:dyDescent="0.25">
      <c r="A969" s="7">
        <f>IF(Data!A969=Entry2!A969,Data!A969,"ERROR")</f>
        <v>20</v>
      </c>
      <c r="B969" s="7">
        <f>IF(Data!B969=Entry2!B969,Data!B969,"ERROR")</f>
        <v>2023</v>
      </c>
      <c r="C969" s="17">
        <f>IF(Data!C969=Entry2!C969,Data!C969,"ERROR")</f>
        <v>45197</v>
      </c>
      <c r="D969" s="7" t="str">
        <f>IF(Data!D969=Entry2!D969,Data!D969,"ERROR")</f>
        <v>MP, TL</v>
      </c>
      <c r="E969" s="7" t="str">
        <f>IF(Data!E969=Entry2!E969,Data!E969,"ERROR")</f>
        <v>VB</v>
      </c>
      <c r="F969" s="7">
        <f>IF(Data!F969=Entry2!F969,Data!F969,"ERROR")</f>
        <v>1</v>
      </c>
      <c r="G969" s="7" t="str">
        <f>IF(Data!G969=Entry2!G969,Data!G969,"ERROR")</f>
        <v>LU</v>
      </c>
      <c r="H969" s="7">
        <f>IF(Data!H969=Entry2!H969,Data!H969,"ERROR")</f>
        <v>3</v>
      </c>
      <c r="I969" s="7">
        <f>IF(Data!I969=Entry2!I969,Data!I969,"ERROR")</f>
        <v>2</v>
      </c>
      <c r="J969" s="7">
        <f>IF(Data!J969=Entry2!J969,Data!J969,"ERROR")</f>
        <v>1</v>
      </c>
      <c r="K969" s="7" t="str">
        <f>IF(Data!K969=Entry2!K969,Data!K969,"ERROR")</f>
        <v>DEIFAS</v>
      </c>
      <c r="L969" s="7" t="str">
        <f>IF(Data!L969=Entry2!L969,Data!L969,"ERROR")</f>
        <v>ERROR</v>
      </c>
      <c r="M969" s="7">
        <f>IF(Data!N969=Entry2!M969,Data!N969,"ERROR")</f>
        <v>0</v>
      </c>
    </row>
    <row r="970" spans="1:13" ht="13.2" x14ac:dyDescent="0.25">
      <c r="A970" s="7">
        <f>IF(Data!A970=Entry2!A970,Data!A970,"ERROR")</f>
        <v>20</v>
      </c>
      <c r="B970" s="7">
        <f>IF(Data!B970=Entry2!B970,Data!B970,"ERROR")</f>
        <v>2023</v>
      </c>
      <c r="C970" s="17">
        <f>IF(Data!C970=Entry2!C970,Data!C970,"ERROR")</f>
        <v>45197</v>
      </c>
      <c r="D970" s="7" t="str">
        <f>IF(Data!D970=Entry2!D970,Data!D970,"ERROR")</f>
        <v>MP, TL</v>
      </c>
      <c r="E970" s="7" t="str">
        <f>IF(Data!E970=Entry2!E970,Data!E970,"ERROR")</f>
        <v>VB</v>
      </c>
      <c r="F970" s="7">
        <f>IF(Data!F970=Entry2!F970,Data!F970,"ERROR")</f>
        <v>1</v>
      </c>
      <c r="G970" s="7" t="str">
        <f>IF(Data!G970=Entry2!G970,Data!G970,"ERROR")</f>
        <v>LU</v>
      </c>
      <c r="H970" s="7">
        <f>IF(Data!H970=Entry2!H970,Data!H970,"ERROR")</f>
        <v>4</v>
      </c>
      <c r="I970" s="7">
        <f>IF(Data!I970=Entry2!I970,Data!I970,"ERROR")</f>
        <v>2</v>
      </c>
      <c r="J970" s="7">
        <f>IF(Data!J970=Entry2!J970,Data!J970,"ERROR")</f>
        <v>1.5</v>
      </c>
      <c r="K970" s="7" t="str">
        <f>IF(Data!K970=Entry2!K970,Data!K970,"ERROR")</f>
        <v>L</v>
      </c>
      <c r="L970" s="7" t="str">
        <f>IF(Data!L970=Entry2!L970,Data!L970,"ERROR")</f>
        <v>ERROR</v>
      </c>
      <c r="M970" s="7">
        <f>IF(Data!N970=Entry2!M970,Data!N970,"ERROR")</f>
        <v>0</v>
      </c>
    </row>
    <row r="971" spans="1:13" ht="13.2" x14ac:dyDescent="0.25">
      <c r="A971" s="7">
        <f>IF(Data!A971=Entry2!A971,Data!A971,"ERROR")</f>
        <v>20</v>
      </c>
      <c r="B971" s="7">
        <f>IF(Data!B971=Entry2!B971,Data!B971,"ERROR")</f>
        <v>2023</v>
      </c>
      <c r="C971" s="17">
        <f>IF(Data!C971=Entry2!C971,Data!C971,"ERROR")</f>
        <v>45197</v>
      </c>
      <c r="D971" s="7" t="str">
        <f>IF(Data!D971=Entry2!D971,Data!D971,"ERROR")</f>
        <v>MP, TL</v>
      </c>
      <c r="E971" s="7" t="str">
        <f>IF(Data!E971=Entry2!E971,Data!E971,"ERROR")</f>
        <v>VB</v>
      </c>
      <c r="F971" s="7">
        <f>IF(Data!F971=Entry2!F971,Data!F971,"ERROR")</f>
        <v>1</v>
      </c>
      <c r="G971" s="7" t="str">
        <f>IF(Data!G971=Entry2!G971,Data!G971,"ERROR")</f>
        <v>LU</v>
      </c>
      <c r="H971" s="7">
        <f>IF(Data!H971=Entry2!H971,Data!H971,"ERROR")</f>
        <v>4</v>
      </c>
      <c r="I971" s="7">
        <f>IF(Data!I971=Entry2!I971,Data!I971,"ERROR")</f>
        <v>2</v>
      </c>
      <c r="J971" s="7">
        <f>IF(Data!J971=Entry2!J971,Data!J971,"ERROR")</f>
        <v>1.5</v>
      </c>
      <c r="K971" s="7" t="str">
        <f>IF(Data!K971=Entry2!K971,Data!K971,"ERROR")</f>
        <v>CENMEL</v>
      </c>
      <c r="L971" s="7" t="str">
        <f>IF(Data!L971=Entry2!L971,Data!L971,"ERROR")</f>
        <v>ERROR</v>
      </c>
      <c r="M971" s="7">
        <f>IF(Data!N971=Entry2!M971,Data!N971,"ERROR")</f>
        <v>0</v>
      </c>
    </row>
    <row r="972" spans="1:13" ht="13.2" x14ac:dyDescent="0.25">
      <c r="A972" s="7">
        <f>IF(Data!A972=Entry2!A972,Data!A972,"ERROR")</f>
        <v>20</v>
      </c>
      <c r="B972" s="7">
        <f>IF(Data!B972=Entry2!B972,Data!B972,"ERROR")</f>
        <v>2023</v>
      </c>
      <c r="C972" s="17">
        <f>IF(Data!C972=Entry2!C972,Data!C972,"ERROR")</f>
        <v>45197</v>
      </c>
      <c r="D972" s="7" t="str">
        <f>IF(Data!D972=Entry2!D972,Data!D972,"ERROR")</f>
        <v>MP, TL</v>
      </c>
      <c r="E972" s="7" t="str">
        <f>IF(Data!E972=Entry2!E972,Data!E972,"ERROR")</f>
        <v>VB</v>
      </c>
      <c r="F972" s="7">
        <f>IF(Data!F972=Entry2!F972,Data!F972,"ERROR")</f>
        <v>1</v>
      </c>
      <c r="G972" s="7" t="str">
        <f>IF(Data!G972=Entry2!G972,Data!G972,"ERROR")</f>
        <v>LU</v>
      </c>
      <c r="H972" s="7">
        <f>IF(Data!H972=Entry2!H972,Data!H972,"ERROR")</f>
        <v>5</v>
      </c>
      <c r="I972" s="7">
        <f>IF(Data!I972=Entry2!I972,Data!I972,"ERROR")</f>
        <v>2</v>
      </c>
      <c r="J972" s="7">
        <f>IF(Data!J972=Entry2!J972,Data!J972,"ERROR")</f>
        <v>2.5</v>
      </c>
      <c r="K972" s="7" t="str">
        <f>IF(Data!K972=Entry2!K972,Data!K972,"ERROR")</f>
        <v>L</v>
      </c>
      <c r="L972" s="7" t="str">
        <f>IF(Data!L972=Entry2!L972,Data!L972,"ERROR")</f>
        <v>ERROR</v>
      </c>
      <c r="M972" s="7">
        <f>IF(Data!N972=Entry2!M972,Data!N972,"ERROR")</f>
        <v>0</v>
      </c>
    </row>
    <row r="973" spans="1:13" ht="13.2" x14ac:dyDescent="0.25">
      <c r="A973" s="7">
        <f>IF(Data!A973=Entry2!A973,Data!A973,"ERROR")</f>
        <v>20</v>
      </c>
      <c r="B973" s="7">
        <f>IF(Data!B973=Entry2!B973,Data!B973,"ERROR")</f>
        <v>2023</v>
      </c>
      <c r="C973" s="17">
        <f>IF(Data!C973=Entry2!C973,Data!C973,"ERROR")</f>
        <v>45197</v>
      </c>
      <c r="D973" s="7" t="str">
        <f>IF(Data!D973=Entry2!D973,Data!D973,"ERROR")</f>
        <v>MP, TL</v>
      </c>
      <c r="E973" s="7" t="str">
        <f>IF(Data!E973=Entry2!E973,Data!E973,"ERROR")</f>
        <v>VB</v>
      </c>
      <c r="F973" s="7">
        <f>IF(Data!F973=Entry2!F973,Data!F973,"ERROR")</f>
        <v>1</v>
      </c>
      <c r="G973" s="7" t="str">
        <f>IF(Data!G973=Entry2!G973,Data!G973,"ERROR")</f>
        <v>LU</v>
      </c>
      <c r="H973" s="7">
        <f>IF(Data!H973=Entry2!H973,Data!H973,"ERROR")</f>
        <v>5</v>
      </c>
      <c r="I973" s="7">
        <f>IF(Data!I973=Entry2!I973,Data!I973,"ERROR")</f>
        <v>2</v>
      </c>
      <c r="J973" s="7">
        <f>IF(Data!J973=Entry2!J973,Data!J973,"ERROR")</f>
        <v>2.5</v>
      </c>
      <c r="K973" s="7" t="str">
        <f>IF(Data!K973=Entry2!K973,Data!K973,"ERROR")</f>
        <v>DEIFAS</v>
      </c>
      <c r="L973" s="7" t="str">
        <f>IF(Data!L973=Entry2!L973,Data!L973,"ERROR")</f>
        <v>ERROR</v>
      </c>
      <c r="M973" s="7">
        <f>IF(Data!N973=Entry2!M973,Data!N973,"ERROR")</f>
        <v>0</v>
      </c>
    </row>
    <row r="974" spans="1:13" ht="13.2" x14ac:dyDescent="0.25">
      <c r="A974" s="7">
        <f>IF(Data!A974=Entry2!A974,Data!A974,"ERROR")</f>
        <v>20</v>
      </c>
      <c r="B974" s="7">
        <f>IF(Data!B974=Entry2!B974,Data!B974,"ERROR")</f>
        <v>2023</v>
      </c>
      <c r="C974" s="17">
        <f>IF(Data!C974=Entry2!C974,Data!C974,"ERROR")</f>
        <v>45197</v>
      </c>
      <c r="D974" s="7" t="str">
        <f>IF(Data!D974=Entry2!D974,Data!D974,"ERROR")</f>
        <v>MP, TL</v>
      </c>
      <c r="E974" s="7" t="str">
        <f>IF(Data!E974=Entry2!E974,Data!E974,"ERROR")</f>
        <v>VB</v>
      </c>
      <c r="F974" s="7">
        <f>IF(Data!F974=Entry2!F974,Data!F974,"ERROR")</f>
        <v>1</v>
      </c>
      <c r="G974" s="7" t="str">
        <f>IF(Data!G974=Entry2!G974,Data!G974,"ERROR")</f>
        <v>LU</v>
      </c>
      <c r="H974" s="7">
        <f>IF(Data!H974=Entry2!H974,Data!H974,"ERROR")</f>
        <v>6</v>
      </c>
      <c r="I974" s="7">
        <f>IF(Data!I974=Entry2!I974,Data!I974,"ERROR")</f>
        <v>2</v>
      </c>
      <c r="J974" s="7">
        <f>IF(Data!J974=Entry2!J974,Data!J974,"ERROR")</f>
        <v>3</v>
      </c>
      <c r="K974" s="7" t="str">
        <f>IF(Data!K974=Entry2!K974,Data!K974,"ERROR")</f>
        <v>L</v>
      </c>
      <c r="L974" s="7" t="str">
        <f>IF(Data!L974=Entry2!L974,Data!L974,"ERROR")</f>
        <v>ERROR</v>
      </c>
      <c r="M974" s="7">
        <f>IF(Data!N974=Entry2!M974,Data!N974,"ERROR")</f>
        <v>0</v>
      </c>
    </row>
    <row r="975" spans="1:13" ht="13.2" x14ac:dyDescent="0.25">
      <c r="A975" s="7">
        <f>IF(Data!A975=Entry2!A975,Data!A975,"ERROR")</f>
        <v>20</v>
      </c>
      <c r="B975" s="7">
        <f>IF(Data!B975=Entry2!B975,Data!B975,"ERROR")</f>
        <v>2023</v>
      </c>
      <c r="C975" s="17">
        <f>IF(Data!C975=Entry2!C975,Data!C975,"ERROR")</f>
        <v>45197</v>
      </c>
      <c r="D975" s="7" t="str">
        <f>IF(Data!D975=Entry2!D975,Data!D975,"ERROR")</f>
        <v>MP, TL</v>
      </c>
      <c r="E975" s="7" t="str">
        <f>IF(Data!E975=Entry2!E975,Data!E975,"ERROR")</f>
        <v>VB</v>
      </c>
      <c r="F975" s="7">
        <f>IF(Data!F975=Entry2!F975,Data!F975,"ERROR")</f>
        <v>1</v>
      </c>
      <c r="G975" s="7" t="str">
        <f>IF(Data!G975=Entry2!G975,Data!G975,"ERROR")</f>
        <v>LU</v>
      </c>
      <c r="H975" s="7">
        <f>IF(Data!H975=Entry2!H975,Data!H975,"ERROR")</f>
        <v>6</v>
      </c>
      <c r="I975" s="7">
        <f>IF(Data!I975=Entry2!I975,Data!I975,"ERROR")</f>
        <v>2</v>
      </c>
      <c r="J975" s="7">
        <f>IF(Data!J975=Entry2!J975,Data!J975,"ERROR")</f>
        <v>3</v>
      </c>
      <c r="K975" s="7" t="str">
        <f>IF(Data!K975=Entry2!K975,Data!K975,"ERROR")</f>
        <v>DEIFAS</v>
      </c>
      <c r="L975" s="7" t="str">
        <f>IF(Data!L975=Entry2!L975,Data!L975,"ERROR")</f>
        <v>ERROR</v>
      </c>
      <c r="M975" s="7">
        <f>IF(Data!N975=Entry2!M975,Data!N975,"ERROR")</f>
        <v>0</v>
      </c>
    </row>
    <row r="976" spans="1:13" ht="13.2" x14ac:dyDescent="0.25">
      <c r="A976" s="7">
        <f>IF(Data!A976=Entry2!A976,Data!A976,"ERROR")</f>
        <v>20</v>
      </c>
      <c r="B976" s="7">
        <f>IF(Data!B976=Entry2!B976,Data!B976,"ERROR")</f>
        <v>2023</v>
      </c>
      <c r="C976" s="17">
        <f>IF(Data!C976=Entry2!C976,Data!C976,"ERROR")</f>
        <v>45197</v>
      </c>
      <c r="D976" s="7" t="str">
        <f>IF(Data!D976=Entry2!D976,Data!D976,"ERROR")</f>
        <v>MP, TL</v>
      </c>
      <c r="E976" s="7" t="str">
        <f>IF(Data!E976=Entry2!E976,Data!E976,"ERROR")</f>
        <v>VB</v>
      </c>
      <c r="F976" s="7">
        <f>IF(Data!F976=Entry2!F976,Data!F976,"ERROR")</f>
        <v>1</v>
      </c>
      <c r="G976" s="7" t="str">
        <f>IF(Data!G976=Entry2!G976,Data!G976,"ERROR")</f>
        <v>LU</v>
      </c>
      <c r="H976" s="7">
        <f>IF(Data!H976=Entry2!H976,Data!H976,"ERROR")</f>
        <v>7</v>
      </c>
      <c r="I976" s="7">
        <f>IF(Data!I976=Entry2!I976,Data!I976,"ERROR")</f>
        <v>2</v>
      </c>
      <c r="J976" s="7">
        <f>IF(Data!J976=Entry2!J976,Data!J976,"ERROR")</f>
        <v>3.5</v>
      </c>
      <c r="K976" s="7" t="str">
        <f>IF(Data!K976=Entry2!K976,Data!K976,"ERROR")</f>
        <v>L</v>
      </c>
      <c r="L976" s="7" t="str">
        <f>IF(Data!L976=Entry2!L976,Data!L976,"ERROR")</f>
        <v>ERROR</v>
      </c>
      <c r="M976" s="7">
        <f>IF(Data!N976=Entry2!M976,Data!N976,"ERROR")</f>
        <v>0</v>
      </c>
    </row>
    <row r="977" spans="1:13" ht="13.2" x14ac:dyDescent="0.25">
      <c r="A977" s="7">
        <f>IF(Data!A977=Entry2!A977,Data!A977,"ERROR")</f>
        <v>20</v>
      </c>
      <c r="B977" s="7">
        <f>IF(Data!B977=Entry2!B977,Data!B977,"ERROR")</f>
        <v>2023</v>
      </c>
      <c r="C977" s="17">
        <f>IF(Data!C977=Entry2!C977,Data!C977,"ERROR")</f>
        <v>45197</v>
      </c>
      <c r="D977" s="7" t="str">
        <f>IF(Data!D977=Entry2!D977,Data!D977,"ERROR")</f>
        <v>MP, TL</v>
      </c>
      <c r="E977" s="7" t="str">
        <f>IF(Data!E977=Entry2!E977,Data!E977,"ERROR")</f>
        <v>VB</v>
      </c>
      <c r="F977" s="7">
        <f>IF(Data!F977=Entry2!F977,Data!F977,"ERROR")</f>
        <v>1</v>
      </c>
      <c r="G977" s="7" t="str">
        <f>IF(Data!G977=Entry2!G977,Data!G977,"ERROR")</f>
        <v>LU</v>
      </c>
      <c r="H977" s="7">
        <f>IF(Data!H977=Entry2!H977,Data!H977,"ERROR")</f>
        <v>7</v>
      </c>
      <c r="I977" s="7">
        <f>IF(Data!I977=Entry2!I977,Data!I977,"ERROR")</f>
        <v>2</v>
      </c>
      <c r="J977" s="7">
        <f>IF(Data!J977=Entry2!J977,Data!J977,"ERROR")</f>
        <v>3.5</v>
      </c>
      <c r="K977" s="7" t="str">
        <f>IF(Data!K977=Entry2!K977,Data!K977,"ERROR")</f>
        <v>DEIFAS</v>
      </c>
      <c r="L977" s="7" t="str">
        <f>IF(Data!L977=Entry2!L977,Data!L977,"ERROR")</f>
        <v>ERROR</v>
      </c>
      <c r="M977" s="7">
        <f>IF(Data!N977=Entry2!M977,Data!N977,"ERROR")</f>
        <v>0</v>
      </c>
    </row>
    <row r="978" spans="1:13" ht="13.2" x14ac:dyDescent="0.25">
      <c r="A978" s="7">
        <f>IF(Data!A978=Entry2!A978,Data!A978,"ERROR")</f>
        <v>20</v>
      </c>
      <c r="B978" s="7">
        <f>IF(Data!B978=Entry2!B978,Data!B978,"ERROR")</f>
        <v>2023</v>
      </c>
      <c r="C978" s="17">
        <f>IF(Data!C978=Entry2!C978,Data!C978,"ERROR")</f>
        <v>45197</v>
      </c>
      <c r="D978" s="7" t="str">
        <f>IF(Data!D978=Entry2!D978,Data!D978,"ERROR")</f>
        <v>MP, TL</v>
      </c>
      <c r="E978" s="7" t="str">
        <f>IF(Data!E978=Entry2!E978,Data!E978,"ERROR")</f>
        <v>VB</v>
      </c>
      <c r="F978" s="7">
        <f>IF(Data!F978=Entry2!F978,Data!F978,"ERROR")</f>
        <v>1</v>
      </c>
      <c r="G978" s="7" t="str">
        <f>IF(Data!G978=Entry2!G978,Data!G978,"ERROR")</f>
        <v>LU</v>
      </c>
      <c r="H978" s="7">
        <f>IF(Data!H978=Entry2!H978,Data!H978,"ERROR")</f>
        <v>8</v>
      </c>
      <c r="I978" s="7">
        <f>IF(Data!I978=Entry2!I978,Data!I978,"ERROR")</f>
        <v>2</v>
      </c>
      <c r="J978" s="7">
        <f>IF(Data!J978=Entry2!J978,Data!J978,"ERROR")</f>
        <v>4</v>
      </c>
      <c r="K978" s="7" t="str">
        <f>IF(Data!K978=Entry2!K978,Data!K978,"ERROR")</f>
        <v>L</v>
      </c>
      <c r="L978" s="7" t="str">
        <f>IF(Data!L978=Entry2!L978,Data!L978,"ERROR")</f>
        <v>ERROR</v>
      </c>
      <c r="M978" s="7">
        <f>IF(Data!N978=Entry2!M978,Data!N978,"ERROR")</f>
        <v>0</v>
      </c>
    </row>
    <row r="979" spans="1:13" ht="13.2" hidden="1" x14ac:dyDescent="0.25">
      <c r="A979" s="7">
        <f>IF(Data!A1038=Entry2!A986,Data!A1038,"ERROR")</f>
        <v>0</v>
      </c>
      <c r="B979" s="7">
        <f>IF(Data!B1038=Entry2!B986,Data!B1038,"ERROR")</f>
        <v>0</v>
      </c>
      <c r="C979" s="7">
        <f>IF(Data!C1038=Entry2!C986,Data!C1038,"ERROR")</f>
        <v>0</v>
      </c>
      <c r="D979" s="7">
        <f>IF(Data!D1038=Entry2!D986,Data!D1038,"ERROR")</f>
        <v>0</v>
      </c>
      <c r="E979" s="7">
        <f>IF(Data!E1038=Entry2!E986,Data!E1038,"ERROR")</f>
        <v>0</v>
      </c>
      <c r="F979" s="7">
        <f>IF(Data!F1038=Entry2!F986,Data!F1038,"ERROR")</f>
        <v>0</v>
      </c>
      <c r="G979" s="7">
        <f>IF(Data!G1038=Entry2!G986,Data!G1038,"ERROR")</f>
        <v>0</v>
      </c>
      <c r="H979" s="7">
        <f>IF(Data!H1038=Entry2!H986,Data!H1038,"ERROR")</f>
        <v>0</v>
      </c>
      <c r="I979" s="7">
        <f>IF(Data!I1038=Entry2!I986,Data!I1038,"ERROR")</f>
        <v>0</v>
      </c>
      <c r="J979" s="7">
        <f>IF(Data!J1038=Entry2!J986,Data!J1038,"ERROR")</f>
        <v>0</v>
      </c>
      <c r="K979" s="7">
        <f>IF(Data!K1038=Entry2!K986,Data!K1038,"ERROR")</f>
        <v>0</v>
      </c>
      <c r="L979" s="7">
        <f>IF(Data!L1038=Entry2!L985,Data!L1038,"ERROR")</f>
        <v>0</v>
      </c>
      <c r="M979" s="7">
        <f>IF(Data!N1038=Entry2!M985,Data!N1038,"ERROR")</f>
        <v>0</v>
      </c>
    </row>
    <row r="980" spans="1:13" ht="13.2" hidden="1" x14ac:dyDescent="0.25"/>
    <row r="981" spans="1:13" ht="13.2" hidden="1" x14ac:dyDescent="0.25"/>
    <row r="982" spans="1:13" ht="13.2" hidden="1" x14ac:dyDescent="0.25"/>
    <row r="983" spans="1:13" ht="13.2" hidden="1" x14ac:dyDescent="0.25"/>
    <row r="984" spans="1:13" ht="13.2" hidden="1" x14ac:dyDescent="0.25"/>
    <row r="985" spans="1:13" ht="13.2" hidden="1" x14ac:dyDescent="0.25"/>
    <row r="986" spans="1:13" ht="13.2" hidden="1" x14ac:dyDescent="0.25"/>
    <row r="987" spans="1:13" ht="13.2" hidden="1" x14ac:dyDescent="0.25"/>
    <row r="988" spans="1:13" ht="13.2" hidden="1" x14ac:dyDescent="0.25"/>
    <row r="989" spans="1:13" ht="13.2" hidden="1" x14ac:dyDescent="0.25"/>
    <row r="990" spans="1:13" ht="13.2" hidden="1" x14ac:dyDescent="0.25"/>
    <row r="991" spans="1:13" ht="13.2" hidden="1" x14ac:dyDescent="0.25"/>
    <row r="992" spans="1:13" ht="13.2" hidden="1" x14ac:dyDescent="0.25"/>
    <row r="993" ht="13.2" hidden="1" x14ac:dyDescent="0.25"/>
    <row r="994" ht="13.2" hidden="1" x14ac:dyDescent="0.25"/>
    <row r="995" ht="13.2" hidden="1" x14ac:dyDescent="0.25"/>
    <row r="996" ht="13.2" hidden="1" x14ac:dyDescent="0.25"/>
    <row r="997" ht="13.2" hidden="1" x14ac:dyDescent="0.25"/>
    <row r="998" ht="13.2" hidden="1" x14ac:dyDescent="0.25"/>
    <row r="999" ht="13.2" hidden="1" x14ac:dyDescent="0.25"/>
    <row r="1000" ht="13.2" hidden="1" x14ac:dyDescent="0.25"/>
  </sheetData>
  <autoFilter ref="A1:Z1000" xr:uid="{00000000-0009-0000-0000-000002000000}">
    <filterColumn colId="4">
      <filters>
        <filter val="VB"/>
      </filters>
    </filterColumn>
  </autoFilter>
  <conditionalFormatting sqref="A1:Z1000">
    <cfRule type="cellIs" dxfId="0" priority="1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701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 x14ac:dyDescent="0.25"/>
  <cols>
    <col min="12" max="12" width="25.21875" hidden="1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25">
      <c r="A2" s="2" t="s">
        <v>13</v>
      </c>
      <c r="B2" s="2">
        <v>2023</v>
      </c>
      <c r="C2" s="2" t="s">
        <v>14</v>
      </c>
      <c r="D2" s="2" t="s">
        <v>15</v>
      </c>
      <c r="E2" s="2" t="s">
        <v>16</v>
      </c>
      <c r="F2" s="3">
        <v>43469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15.75" customHeight="1" x14ac:dyDescent="0.25">
      <c r="A3" s="5">
        <v>1</v>
      </c>
      <c r="B3" s="5">
        <v>2023</v>
      </c>
      <c r="C3" s="6">
        <v>45197</v>
      </c>
      <c r="D3" s="5" t="s">
        <v>24</v>
      </c>
      <c r="E3" s="5" t="s">
        <v>25</v>
      </c>
      <c r="F3" s="5">
        <v>1</v>
      </c>
      <c r="G3" s="5" t="s">
        <v>26</v>
      </c>
      <c r="H3" s="5">
        <v>1</v>
      </c>
      <c r="I3" s="5">
        <v>1</v>
      </c>
      <c r="J3" s="5">
        <v>0</v>
      </c>
      <c r="K3" s="5" t="s">
        <v>27</v>
      </c>
    </row>
    <row r="4" spans="1:13" ht="15.75" customHeight="1" x14ac:dyDescent="0.25">
      <c r="A4" s="5">
        <v>1</v>
      </c>
      <c r="B4" s="5">
        <v>2023</v>
      </c>
      <c r="C4" s="6">
        <v>45197</v>
      </c>
      <c r="D4" s="5" t="s">
        <v>24</v>
      </c>
      <c r="E4" s="5" t="s">
        <v>25</v>
      </c>
      <c r="F4" s="5">
        <v>1</v>
      </c>
      <c r="G4" s="5" t="s">
        <v>26</v>
      </c>
      <c r="H4" s="5">
        <v>1</v>
      </c>
      <c r="I4" s="5">
        <v>1</v>
      </c>
      <c r="J4" s="5">
        <v>0</v>
      </c>
      <c r="K4" s="5" t="s">
        <v>28</v>
      </c>
    </row>
    <row r="5" spans="1:13" ht="15.75" customHeight="1" x14ac:dyDescent="0.25">
      <c r="A5" s="5">
        <v>1</v>
      </c>
      <c r="B5" s="5">
        <v>2023</v>
      </c>
      <c r="C5" s="6">
        <v>45197</v>
      </c>
      <c r="D5" s="5" t="s">
        <v>24</v>
      </c>
      <c r="E5" s="5" t="s">
        <v>25</v>
      </c>
      <c r="F5" s="5">
        <v>1</v>
      </c>
      <c r="G5" s="5" t="s">
        <v>26</v>
      </c>
      <c r="H5" s="5">
        <v>2</v>
      </c>
      <c r="I5" s="5">
        <v>1</v>
      </c>
      <c r="J5" s="5">
        <v>1</v>
      </c>
      <c r="K5" s="5" t="s">
        <v>27</v>
      </c>
    </row>
    <row r="6" spans="1:13" ht="15.75" customHeight="1" x14ac:dyDescent="0.25">
      <c r="A6" s="5">
        <v>1</v>
      </c>
      <c r="B6" s="5">
        <v>2023</v>
      </c>
      <c r="C6" s="6">
        <v>45197</v>
      </c>
      <c r="D6" s="5" t="s">
        <v>24</v>
      </c>
      <c r="E6" s="5" t="s">
        <v>25</v>
      </c>
      <c r="F6" s="5">
        <v>1</v>
      </c>
      <c r="G6" s="5" t="s">
        <v>26</v>
      </c>
      <c r="H6" s="5">
        <v>2</v>
      </c>
      <c r="I6" s="5">
        <v>1</v>
      </c>
      <c r="J6" s="5">
        <v>1</v>
      </c>
      <c r="K6" s="5" t="s">
        <v>29</v>
      </c>
    </row>
    <row r="7" spans="1:13" ht="15.75" customHeight="1" x14ac:dyDescent="0.25">
      <c r="A7" s="5">
        <v>1</v>
      </c>
      <c r="B7" s="5">
        <v>2023</v>
      </c>
      <c r="C7" s="6">
        <v>45197</v>
      </c>
      <c r="D7" s="5" t="s">
        <v>24</v>
      </c>
      <c r="E7" s="5" t="s">
        <v>25</v>
      </c>
      <c r="F7" s="5">
        <v>1</v>
      </c>
      <c r="G7" s="5" t="s">
        <v>26</v>
      </c>
      <c r="H7" s="5">
        <v>2</v>
      </c>
      <c r="I7" s="5">
        <v>1</v>
      </c>
      <c r="J7" s="5">
        <v>1</v>
      </c>
      <c r="K7" s="5" t="s">
        <v>30</v>
      </c>
      <c r="M7" s="7" t="s">
        <v>31</v>
      </c>
    </row>
    <row r="8" spans="1:13" ht="15.75" customHeight="1" x14ac:dyDescent="0.25">
      <c r="A8" s="5">
        <v>1</v>
      </c>
      <c r="B8" s="5">
        <v>2023</v>
      </c>
      <c r="C8" s="6">
        <v>45197</v>
      </c>
      <c r="D8" s="5" t="s">
        <v>24</v>
      </c>
      <c r="E8" s="5" t="s">
        <v>25</v>
      </c>
      <c r="F8" s="5">
        <v>1</v>
      </c>
      <c r="G8" s="5" t="s">
        <v>26</v>
      </c>
      <c r="H8" s="5">
        <v>3</v>
      </c>
      <c r="I8" s="5">
        <v>1</v>
      </c>
      <c r="J8" s="5">
        <v>1.5</v>
      </c>
      <c r="K8" s="5" t="s">
        <v>32</v>
      </c>
    </row>
    <row r="9" spans="1:13" ht="15.75" customHeight="1" x14ac:dyDescent="0.25">
      <c r="A9" s="5">
        <v>1</v>
      </c>
      <c r="B9" s="5">
        <v>2023</v>
      </c>
      <c r="C9" s="6">
        <v>45197</v>
      </c>
      <c r="D9" s="5" t="s">
        <v>24</v>
      </c>
      <c r="E9" s="5" t="s">
        <v>25</v>
      </c>
      <c r="F9" s="5">
        <v>1</v>
      </c>
      <c r="G9" s="5" t="s">
        <v>26</v>
      </c>
      <c r="H9" s="5">
        <v>3</v>
      </c>
      <c r="I9" s="5">
        <v>1</v>
      </c>
      <c r="J9" s="5">
        <v>1.5</v>
      </c>
      <c r="K9" s="5" t="s">
        <v>28</v>
      </c>
    </row>
    <row r="10" spans="1:13" ht="15.75" customHeight="1" x14ac:dyDescent="0.25">
      <c r="A10" s="5">
        <v>1</v>
      </c>
      <c r="B10" s="5">
        <v>2023</v>
      </c>
      <c r="C10" s="6">
        <v>45197</v>
      </c>
      <c r="D10" s="5" t="s">
        <v>24</v>
      </c>
      <c r="E10" s="5" t="s">
        <v>25</v>
      </c>
      <c r="F10" s="5">
        <v>1</v>
      </c>
      <c r="G10" s="5" t="s">
        <v>26</v>
      </c>
      <c r="H10" s="5">
        <v>4</v>
      </c>
      <c r="I10" s="5">
        <v>1</v>
      </c>
      <c r="J10" s="5">
        <v>2</v>
      </c>
      <c r="K10" s="5" t="s">
        <v>27</v>
      </c>
    </row>
    <row r="11" spans="1:13" ht="15.75" customHeight="1" x14ac:dyDescent="0.25">
      <c r="A11" s="5">
        <v>1</v>
      </c>
      <c r="B11" s="5">
        <v>2023</v>
      </c>
      <c r="C11" s="6">
        <v>45197</v>
      </c>
      <c r="D11" s="5" t="s">
        <v>24</v>
      </c>
      <c r="E11" s="5" t="s">
        <v>25</v>
      </c>
      <c r="F11" s="5">
        <v>1</v>
      </c>
      <c r="G11" s="5" t="s">
        <v>26</v>
      </c>
      <c r="H11" s="5">
        <v>4</v>
      </c>
      <c r="I11" s="5">
        <v>1</v>
      </c>
      <c r="J11" s="5">
        <v>2</v>
      </c>
      <c r="K11" s="5" t="s">
        <v>28</v>
      </c>
    </row>
    <row r="12" spans="1:13" ht="15.75" customHeight="1" x14ac:dyDescent="0.25">
      <c r="A12" s="5">
        <v>1</v>
      </c>
      <c r="B12" s="5">
        <v>2023</v>
      </c>
      <c r="C12" s="6">
        <v>45197</v>
      </c>
      <c r="D12" s="5" t="s">
        <v>24</v>
      </c>
      <c r="E12" s="5" t="s">
        <v>25</v>
      </c>
      <c r="F12" s="5">
        <v>1</v>
      </c>
      <c r="G12" s="5" t="s">
        <v>26</v>
      </c>
      <c r="H12" s="5">
        <v>5</v>
      </c>
      <c r="I12" s="5">
        <v>1</v>
      </c>
      <c r="J12" s="5">
        <v>3</v>
      </c>
      <c r="K12" s="5" t="s">
        <v>32</v>
      </c>
      <c r="M12" s="5"/>
    </row>
    <row r="13" spans="1:13" ht="15.75" customHeight="1" x14ac:dyDescent="0.25">
      <c r="A13" s="5">
        <v>1</v>
      </c>
      <c r="B13" s="5">
        <v>2023</v>
      </c>
      <c r="C13" s="6">
        <v>45197</v>
      </c>
      <c r="D13" s="5" t="s">
        <v>24</v>
      </c>
      <c r="E13" s="5" t="s">
        <v>25</v>
      </c>
      <c r="F13" s="5">
        <v>1</v>
      </c>
      <c r="G13" s="5" t="s">
        <v>26</v>
      </c>
      <c r="H13" s="5">
        <v>6</v>
      </c>
      <c r="I13" s="5">
        <v>1</v>
      </c>
      <c r="J13" s="5">
        <v>3.5</v>
      </c>
      <c r="K13" s="5" t="s">
        <v>32</v>
      </c>
    </row>
    <row r="14" spans="1:13" ht="15.75" customHeight="1" x14ac:dyDescent="0.25">
      <c r="A14" s="5">
        <v>1</v>
      </c>
      <c r="B14" s="5">
        <v>2023</v>
      </c>
      <c r="C14" s="6">
        <v>45197</v>
      </c>
      <c r="D14" s="5" t="s">
        <v>24</v>
      </c>
      <c r="E14" s="5" t="s">
        <v>25</v>
      </c>
      <c r="F14" s="5">
        <v>1</v>
      </c>
      <c r="G14" s="5" t="s">
        <v>26</v>
      </c>
      <c r="H14" s="5">
        <v>6</v>
      </c>
      <c r="I14" s="5">
        <v>1</v>
      </c>
      <c r="J14" s="5">
        <v>3.5</v>
      </c>
      <c r="K14" s="5" t="s">
        <v>30</v>
      </c>
    </row>
    <row r="15" spans="1:13" ht="15.75" customHeight="1" x14ac:dyDescent="0.25">
      <c r="A15" s="5">
        <v>1</v>
      </c>
      <c r="B15" s="5">
        <v>2023</v>
      </c>
      <c r="C15" s="6">
        <v>45197</v>
      </c>
      <c r="D15" s="5" t="s">
        <v>24</v>
      </c>
      <c r="E15" s="5" t="s">
        <v>25</v>
      </c>
      <c r="F15" s="5">
        <v>1</v>
      </c>
      <c r="G15" s="5" t="s">
        <v>26</v>
      </c>
      <c r="H15" s="5">
        <v>6</v>
      </c>
      <c r="I15" s="5">
        <v>1</v>
      </c>
      <c r="J15" s="5">
        <v>3.5</v>
      </c>
      <c r="K15" s="5" t="s">
        <v>28</v>
      </c>
    </row>
    <row r="16" spans="1:13" ht="15.75" customHeight="1" x14ac:dyDescent="0.25">
      <c r="A16" s="5">
        <v>1</v>
      </c>
      <c r="B16" s="5">
        <v>2023</v>
      </c>
      <c r="C16" s="6">
        <v>45197</v>
      </c>
      <c r="D16" s="5" t="s">
        <v>24</v>
      </c>
      <c r="E16" s="5" t="s">
        <v>25</v>
      </c>
      <c r="F16" s="5">
        <v>1</v>
      </c>
      <c r="G16" s="5" t="s">
        <v>26</v>
      </c>
      <c r="H16" s="5">
        <v>7</v>
      </c>
      <c r="I16" s="5">
        <v>1</v>
      </c>
      <c r="J16" s="5">
        <v>4</v>
      </c>
      <c r="K16" s="5" t="s">
        <v>27</v>
      </c>
    </row>
    <row r="17" spans="1:11" ht="15.75" customHeight="1" x14ac:dyDescent="0.25">
      <c r="A17" s="5">
        <v>1</v>
      </c>
      <c r="B17" s="5">
        <v>2023</v>
      </c>
      <c r="C17" s="6">
        <v>45197</v>
      </c>
      <c r="D17" s="5" t="s">
        <v>24</v>
      </c>
      <c r="E17" s="5" t="s">
        <v>25</v>
      </c>
      <c r="F17" s="5">
        <v>1</v>
      </c>
      <c r="G17" s="5" t="s">
        <v>26</v>
      </c>
      <c r="H17" s="5">
        <v>8</v>
      </c>
      <c r="I17" s="5">
        <v>1</v>
      </c>
      <c r="J17" s="5">
        <v>5</v>
      </c>
      <c r="K17" s="5" t="s">
        <v>27</v>
      </c>
    </row>
    <row r="18" spans="1:11" ht="15.75" customHeight="1" x14ac:dyDescent="0.25">
      <c r="A18" s="5">
        <v>1</v>
      </c>
      <c r="B18" s="5">
        <v>2023</v>
      </c>
      <c r="C18" s="6">
        <v>45197</v>
      </c>
      <c r="D18" s="5" t="s">
        <v>24</v>
      </c>
      <c r="E18" s="5" t="s">
        <v>25</v>
      </c>
      <c r="F18" s="5">
        <v>1</v>
      </c>
      <c r="G18" s="5" t="s">
        <v>26</v>
      </c>
      <c r="H18" s="5">
        <v>9</v>
      </c>
      <c r="I18" s="5">
        <v>1</v>
      </c>
      <c r="J18" s="5">
        <v>7</v>
      </c>
      <c r="K18" s="5" t="s">
        <v>27</v>
      </c>
    </row>
    <row r="19" spans="1:11" ht="15.75" customHeight="1" x14ac:dyDescent="0.25">
      <c r="A19" s="5">
        <v>1</v>
      </c>
      <c r="B19" s="5">
        <v>2023</v>
      </c>
      <c r="C19" s="6">
        <v>45197</v>
      </c>
      <c r="D19" s="5" t="s">
        <v>24</v>
      </c>
      <c r="E19" s="5" t="s">
        <v>25</v>
      </c>
      <c r="F19" s="5">
        <v>1</v>
      </c>
      <c r="G19" s="5" t="s">
        <v>26</v>
      </c>
      <c r="H19" s="5">
        <v>9</v>
      </c>
      <c r="I19" s="5">
        <v>1</v>
      </c>
      <c r="J19" s="5">
        <v>7</v>
      </c>
      <c r="K19" s="5" t="s">
        <v>28</v>
      </c>
    </row>
    <row r="20" spans="1:11" ht="15.75" customHeight="1" x14ac:dyDescent="0.25">
      <c r="A20" s="5">
        <v>1</v>
      </c>
      <c r="B20" s="5">
        <v>2023</v>
      </c>
      <c r="C20" s="6">
        <v>45197</v>
      </c>
      <c r="D20" s="5" t="s">
        <v>24</v>
      </c>
      <c r="E20" s="5" t="s">
        <v>25</v>
      </c>
      <c r="F20" s="5">
        <v>1</v>
      </c>
      <c r="G20" s="5" t="s">
        <v>26</v>
      </c>
      <c r="H20" s="5">
        <v>10</v>
      </c>
      <c r="I20" s="5">
        <v>1</v>
      </c>
      <c r="J20" s="5">
        <v>8</v>
      </c>
      <c r="K20" s="5" t="s">
        <v>27</v>
      </c>
    </row>
    <row r="21" spans="1:11" ht="15.75" customHeight="1" x14ac:dyDescent="0.25">
      <c r="A21" s="5">
        <v>1</v>
      </c>
      <c r="B21" s="5">
        <v>2023</v>
      </c>
      <c r="C21" s="6">
        <v>45197</v>
      </c>
      <c r="D21" s="5" t="s">
        <v>24</v>
      </c>
      <c r="E21" s="5" t="s">
        <v>25</v>
      </c>
      <c r="F21" s="5">
        <v>1</v>
      </c>
      <c r="G21" s="5" t="s">
        <v>26</v>
      </c>
      <c r="H21" s="5">
        <v>10</v>
      </c>
      <c r="I21" s="5">
        <v>1</v>
      </c>
      <c r="J21" s="5">
        <v>8</v>
      </c>
      <c r="K21" s="5" t="s">
        <v>28</v>
      </c>
    </row>
    <row r="22" spans="1:11" ht="15.75" customHeight="1" x14ac:dyDescent="0.25">
      <c r="A22" s="5">
        <v>1</v>
      </c>
      <c r="B22" s="5">
        <v>2023</v>
      </c>
      <c r="C22" s="6">
        <v>45197</v>
      </c>
      <c r="D22" s="5" t="s">
        <v>24</v>
      </c>
      <c r="E22" s="5" t="s">
        <v>25</v>
      </c>
      <c r="F22" s="5">
        <v>1</v>
      </c>
      <c r="G22" s="5" t="s">
        <v>26</v>
      </c>
      <c r="H22" s="5">
        <v>11</v>
      </c>
      <c r="I22" s="5">
        <v>1</v>
      </c>
      <c r="J22" s="5">
        <v>8.5</v>
      </c>
      <c r="K22" s="5" t="s">
        <v>27</v>
      </c>
    </row>
    <row r="23" spans="1:11" ht="15.75" customHeight="1" x14ac:dyDescent="0.25">
      <c r="A23" s="5">
        <v>1</v>
      </c>
      <c r="B23" s="5">
        <v>2023</v>
      </c>
      <c r="C23" s="6">
        <v>45197</v>
      </c>
      <c r="D23" s="5" t="s">
        <v>24</v>
      </c>
      <c r="E23" s="5" t="s">
        <v>25</v>
      </c>
      <c r="F23" s="5">
        <v>1</v>
      </c>
      <c r="G23" s="5" t="s">
        <v>26</v>
      </c>
      <c r="H23" s="5">
        <v>11</v>
      </c>
      <c r="I23" s="5">
        <v>1</v>
      </c>
      <c r="J23" s="5">
        <v>8.5</v>
      </c>
      <c r="K23" s="5" t="s">
        <v>28</v>
      </c>
    </row>
    <row r="24" spans="1:11" ht="15.75" customHeight="1" x14ac:dyDescent="0.25">
      <c r="A24" s="5">
        <v>1</v>
      </c>
      <c r="B24" s="5">
        <v>2023</v>
      </c>
      <c r="C24" s="6">
        <v>45197</v>
      </c>
      <c r="D24" s="5" t="s">
        <v>24</v>
      </c>
      <c r="E24" s="5" t="s">
        <v>25</v>
      </c>
      <c r="F24" s="5">
        <v>1</v>
      </c>
      <c r="G24" s="5" t="s">
        <v>26</v>
      </c>
      <c r="H24" s="5">
        <v>12</v>
      </c>
      <c r="I24" s="5">
        <v>1</v>
      </c>
      <c r="J24" s="5">
        <v>9</v>
      </c>
      <c r="K24" s="5" t="s">
        <v>27</v>
      </c>
    </row>
    <row r="25" spans="1:11" ht="15.75" customHeight="1" x14ac:dyDescent="0.25">
      <c r="A25" s="5">
        <v>1</v>
      </c>
      <c r="B25" s="5">
        <v>2023</v>
      </c>
      <c r="C25" s="6">
        <v>45197</v>
      </c>
      <c r="D25" s="5" t="s">
        <v>24</v>
      </c>
      <c r="E25" s="5" t="s">
        <v>25</v>
      </c>
      <c r="F25" s="5">
        <v>1</v>
      </c>
      <c r="G25" s="5" t="s">
        <v>26</v>
      </c>
      <c r="H25" s="5">
        <v>12</v>
      </c>
      <c r="I25" s="5">
        <v>1</v>
      </c>
      <c r="J25" s="5">
        <v>9</v>
      </c>
      <c r="K25" s="5" t="s">
        <v>28</v>
      </c>
    </row>
    <row r="26" spans="1:11" ht="15.75" customHeight="1" x14ac:dyDescent="0.25">
      <c r="A26" s="5">
        <v>1</v>
      </c>
      <c r="B26" s="5">
        <v>2023</v>
      </c>
      <c r="C26" s="6">
        <v>45197</v>
      </c>
      <c r="D26" s="5" t="s">
        <v>24</v>
      </c>
      <c r="E26" s="5" t="s">
        <v>25</v>
      </c>
      <c r="F26" s="5">
        <v>1</v>
      </c>
      <c r="G26" s="5" t="s">
        <v>26</v>
      </c>
      <c r="H26" s="5">
        <v>13</v>
      </c>
      <c r="I26" s="5">
        <v>1</v>
      </c>
      <c r="J26" s="5">
        <v>10</v>
      </c>
      <c r="K26" s="5" t="s">
        <v>27</v>
      </c>
    </row>
    <row r="27" spans="1:11" ht="15.75" customHeight="1" x14ac:dyDescent="0.25">
      <c r="A27" s="5">
        <v>1</v>
      </c>
      <c r="B27" s="5">
        <v>2023</v>
      </c>
      <c r="C27" s="6">
        <v>45197</v>
      </c>
      <c r="D27" s="5" t="s">
        <v>24</v>
      </c>
      <c r="E27" s="5" t="s">
        <v>25</v>
      </c>
      <c r="F27" s="5">
        <v>1</v>
      </c>
      <c r="G27" s="5" t="s">
        <v>26</v>
      </c>
      <c r="H27" s="5">
        <v>13</v>
      </c>
      <c r="I27" s="5">
        <v>1</v>
      </c>
      <c r="J27" s="5">
        <v>10</v>
      </c>
      <c r="K27" s="5" t="s">
        <v>28</v>
      </c>
    </row>
    <row r="28" spans="1:11" ht="15.75" customHeight="1" x14ac:dyDescent="0.25">
      <c r="A28" s="5">
        <v>1</v>
      </c>
      <c r="B28" s="5">
        <v>2023</v>
      </c>
      <c r="C28" s="6">
        <v>45197</v>
      </c>
      <c r="D28" s="5" t="s">
        <v>24</v>
      </c>
      <c r="E28" s="5" t="s">
        <v>25</v>
      </c>
      <c r="F28" s="5">
        <v>1</v>
      </c>
      <c r="G28" s="5" t="s">
        <v>26</v>
      </c>
      <c r="H28" s="5">
        <v>14</v>
      </c>
      <c r="I28" s="5">
        <v>1</v>
      </c>
      <c r="J28" s="5">
        <v>11</v>
      </c>
      <c r="K28" s="5" t="s">
        <v>27</v>
      </c>
    </row>
    <row r="29" spans="1:11" ht="15.75" customHeight="1" x14ac:dyDescent="0.25">
      <c r="A29" s="5">
        <v>1</v>
      </c>
      <c r="B29" s="5">
        <v>2023</v>
      </c>
      <c r="C29" s="6">
        <v>45197</v>
      </c>
      <c r="D29" s="5" t="s">
        <v>24</v>
      </c>
      <c r="E29" s="5" t="s">
        <v>25</v>
      </c>
      <c r="F29" s="5">
        <v>1</v>
      </c>
      <c r="G29" s="5" t="s">
        <v>26</v>
      </c>
      <c r="H29" s="5">
        <v>15</v>
      </c>
      <c r="I29" s="5">
        <v>1</v>
      </c>
      <c r="J29" s="5">
        <v>12</v>
      </c>
      <c r="K29" s="5" t="s">
        <v>27</v>
      </c>
    </row>
    <row r="30" spans="1:11" ht="15.75" customHeight="1" x14ac:dyDescent="0.25">
      <c r="A30" s="5">
        <v>1</v>
      </c>
      <c r="B30" s="5">
        <v>2023</v>
      </c>
      <c r="C30" s="6">
        <v>45197</v>
      </c>
      <c r="D30" s="5" t="s">
        <v>24</v>
      </c>
      <c r="E30" s="5" t="s">
        <v>25</v>
      </c>
      <c r="F30" s="5">
        <v>1</v>
      </c>
      <c r="G30" s="5" t="s">
        <v>26</v>
      </c>
      <c r="H30" s="5">
        <v>1</v>
      </c>
      <c r="I30" s="5">
        <v>2</v>
      </c>
      <c r="J30" s="5">
        <v>0</v>
      </c>
      <c r="K30" s="5" t="s">
        <v>27</v>
      </c>
    </row>
    <row r="31" spans="1:11" ht="15.75" customHeight="1" x14ac:dyDescent="0.25">
      <c r="A31" s="5">
        <v>1</v>
      </c>
      <c r="B31" s="5">
        <v>2023</v>
      </c>
      <c r="C31" s="6">
        <v>45197</v>
      </c>
      <c r="D31" s="5" t="s">
        <v>24</v>
      </c>
      <c r="E31" s="5" t="s">
        <v>25</v>
      </c>
      <c r="F31" s="5">
        <v>1</v>
      </c>
      <c r="G31" s="5" t="s">
        <v>26</v>
      </c>
      <c r="H31" s="5">
        <v>1</v>
      </c>
      <c r="I31" s="5">
        <v>2</v>
      </c>
      <c r="J31" s="5">
        <v>0</v>
      </c>
      <c r="K31" s="5" t="s">
        <v>79</v>
      </c>
    </row>
    <row r="32" spans="1:11" ht="15.75" customHeight="1" x14ac:dyDescent="0.25">
      <c r="A32" s="5">
        <v>1</v>
      </c>
      <c r="B32" s="5">
        <v>2023</v>
      </c>
      <c r="C32" s="6">
        <v>45197</v>
      </c>
      <c r="D32" s="5" t="s">
        <v>24</v>
      </c>
      <c r="E32" s="5" t="s">
        <v>25</v>
      </c>
      <c r="F32" s="5">
        <v>1</v>
      </c>
      <c r="G32" s="5" t="s">
        <v>26</v>
      </c>
      <c r="H32" s="5">
        <v>2</v>
      </c>
      <c r="I32" s="5">
        <v>2</v>
      </c>
      <c r="J32" s="5">
        <v>1</v>
      </c>
      <c r="K32" s="5" t="s">
        <v>27</v>
      </c>
    </row>
    <row r="33" spans="1:11" ht="15.75" customHeight="1" x14ac:dyDescent="0.25">
      <c r="A33" s="5">
        <v>1</v>
      </c>
      <c r="B33" s="5">
        <v>2023</v>
      </c>
      <c r="C33" s="6">
        <v>45197</v>
      </c>
      <c r="D33" s="5" t="s">
        <v>24</v>
      </c>
      <c r="E33" s="5" t="s">
        <v>25</v>
      </c>
      <c r="F33" s="5">
        <v>1</v>
      </c>
      <c r="G33" s="5" t="s">
        <v>26</v>
      </c>
      <c r="H33" s="5">
        <v>2</v>
      </c>
      <c r="I33" s="5">
        <v>2</v>
      </c>
      <c r="J33" s="5">
        <v>1</v>
      </c>
      <c r="K33" s="5" t="s">
        <v>33</v>
      </c>
    </row>
    <row r="34" spans="1:11" ht="15.75" customHeight="1" x14ac:dyDescent="0.25">
      <c r="A34" s="5">
        <v>1</v>
      </c>
      <c r="B34" s="5">
        <v>2023</v>
      </c>
      <c r="C34" s="6">
        <v>45197</v>
      </c>
      <c r="D34" s="5" t="s">
        <v>24</v>
      </c>
      <c r="E34" s="5" t="s">
        <v>25</v>
      </c>
      <c r="F34" s="5">
        <v>1</v>
      </c>
      <c r="G34" s="5" t="s">
        <v>26</v>
      </c>
      <c r="H34" s="5">
        <v>2</v>
      </c>
      <c r="I34" s="5">
        <v>2</v>
      </c>
      <c r="J34" s="5">
        <v>1</v>
      </c>
      <c r="K34" s="5" t="s">
        <v>28</v>
      </c>
    </row>
    <row r="35" spans="1:11" ht="15.75" customHeight="1" x14ac:dyDescent="0.25">
      <c r="A35" s="5">
        <v>1</v>
      </c>
      <c r="B35" s="5">
        <v>2023</v>
      </c>
      <c r="C35" s="6">
        <v>45197</v>
      </c>
      <c r="D35" s="5" t="s">
        <v>24</v>
      </c>
      <c r="E35" s="5" t="s">
        <v>25</v>
      </c>
      <c r="F35" s="5">
        <v>1</v>
      </c>
      <c r="G35" s="5" t="s">
        <v>26</v>
      </c>
      <c r="H35" s="5">
        <v>3</v>
      </c>
      <c r="I35" s="5">
        <v>2</v>
      </c>
      <c r="J35" s="5">
        <v>1.5</v>
      </c>
      <c r="K35" s="5" t="s">
        <v>27</v>
      </c>
    </row>
    <row r="36" spans="1:11" ht="15.75" customHeight="1" x14ac:dyDescent="0.25">
      <c r="A36" s="5">
        <v>1</v>
      </c>
      <c r="B36" s="5">
        <v>2023</v>
      </c>
      <c r="C36" s="6">
        <v>45197</v>
      </c>
      <c r="D36" s="5" t="s">
        <v>24</v>
      </c>
      <c r="E36" s="5" t="s">
        <v>25</v>
      </c>
      <c r="F36" s="5">
        <v>1</v>
      </c>
      <c r="G36" s="5" t="s">
        <v>26</v>
      </c>
      <c r="H36" s="5">
        <v>3</v>
      </c>
      <c r="I36" s="5">
        <v>2</v>
      </c>
      <c r="J36" s="5">
        <v>1.5</v>
      </c>
      <c r="K36" s="5" t="s">
        <v>28</v>
      </c>
    </row>
    <row r="37" spans="1:11" ht="15.75" customHeight="1" x14ac:dyDescent="0.25">
      <c r="A37" s="5">
        <v>1</v>
      </c>
      <c r="B37" s="5">
        <v>2023</v>
      </c>
      <c r="C37" s="6">
        <v>45197</v>
      </c>
      <c r="D37" s="5" t="s">
        <v>24</v>
      </c>
      <c r="E37" s="5" t="s">
        <v>25</v>
      </c>
      <c r="F37" s="5">
        <v>1</v>
      </c>
      <c r="G37" s="5" t="s">
        <v>26</v>
      </c>
      <c r="H37" s="5">
        <v>4</v>
      </c>
      <c r="I37" s="5">
        <v>2</v>
      </c>
      <c r="J37" s="5">
        <v>2</v>
      </c>
      <c r="K37" s="5" t="s">
        <v>27</v>
      </c>
    </row>
    <row r="38" spans="1:11" ht="15.75" customHeight="1" x14ac:dyDescent="0.25">
      <c r="A38" s="5">
        <v>1</v>
      </c>
      <c r="B38" s="5">
        <v>2023</v>
      </c>
      <c r="C38" s="6">
        <v>45197</v>
      </c>
      <c r="D38" s="5" t="s">
        <v>24</v>
      </c>
      <c r="E38" s="5" t="s">
        <v>25</v>
      </c>
      <c r="F38" s="5">
        <v>1</v>
      </c>
      <c r="G38" s="5" t="s">
        <v>26</v>
      </c>
      <c r="H38" s="5">
        <v>4</v>
      </c>
      <c r="I38" s="5">
        <v>2</v>
      </c>
      <c r="J38" s="5">
        <v>2</v>
      </c>
      <c r="K38" s="5" t="s">
        <v>28</v>
      </c>
    </row>
    <row r="39" spans="1:11" ht="15.75" customHeight="1" x14ac:dyDescent="0.25">
      <c r="A39" s="5">
        <v>1</v>
      </c>
      <c r="B39" s="5">
        <v>2023</v>
      </c>
      <c r="C39" s="6">
        <v>45197</v>
      </c>
      <c r="D39" s="5" t="s">
        <v>24</v>
      </c>
      <c r="E39" s="5" t="s">
        <v>25</v>
      </c>
      <c r="F39" s="5">
        <v>1</v>
      </c>
      <c r="G39" s="5" t="s">
        <v>26</v>
      </c>
      <c r="H39" s="5">
        <v>5</v>
      </c>
      <c r="I39" s="5">
        <v>2</v>
      </c>
      <c r="J39" s="5">
        <v>3</v>
      </c>
      <c r="K39" s="5" t="s">
        <v>27</v>
      </c>
    </row>
    <row r="40" spans="1:11" ht="15.75" customHeight="1" x14ac:dyDescent="0.25">
      <c r="A40" s="5">
        <v>1</v>
      </c>
      <c r="B40" s="5">
        <v>2023</v>
      </c>
      <c r="C40" s="6">
        <v>45197</v>
      </c>
      <c r="D40" s="5" t="s">
        <v>24</v>
      </c>
      <c r="E40" s="5" t="s">
        <v>25</v>
      </c>
      <c r="F40" s="5">
        <v>1</v>
      </c>
      <c r="G40" s="5" t="s">
        <v>26</v>
      </c>
      <c r="H40" s="5">
        <v>5</v>
      </c>
      <c r="I40" s="5">
        <v>2</v>
      </c>
      <c r="J40" s="5">
        <v>3</v>
      </c>
      <c r="K40" s="5" t="s">
        <v>28</v>
      </c>
    </row>
    <row r="41" spans="1:11" ht="15.75" customHeight="1" x14ac:dyDescent="0.25">
      <c r="A41" s="5">
        <v>1</v>
      </c>
      <c r="B41" s="5">
        <v>2023</v>
      </c>
      <c r="C41" s="6">
        <v>45197</v>
      </c>
      <c r="D41" s="5" t="s">
        <v>24</v>
      </c>
      <c r="E41" s="5" t="s">
        <v>25</v>
      </c>
      <c r="F41" s="5">
        <v>1</v>
      </c>
      <c r="G41" s="5" t="s">
        <v>26</v>
      </c>
      <c r="H41" s="5">
        <v>6</v>
      </c>
      <c r="I41" s="5">
        <v>2</v>
      </c>
      <c r="J41" s="5">
        <v>3.5</v>
      </c>
      <c r="K41" s="5" t="s">
        <v>27</v>
      </c>
    </row>
    <row r="42" spans="1:11" ht="15.75" customHeight="1" x14ac:dyDescent="0.25">
      <c r="A42" s="5">
        <v>1</v>
      </c>
      <c r="B42" s="5">
        <v>2023</v>
      </c>
      <c r="C42" s="6">
        <v>45197</v>
      </c>
      <c r="D42" s="5" t="s">
        <v>24</v>
      </c>
      <c r="E42" s="5" t="s">
        <v>25</v>
      </c>
      <c r="F42" s="5">
        <v>1</v>
      </c>
      <c r="G42" s="5" t="s">
        <v>26</v>
      </c>
      <c r="H42" s="5">
        <v>7</v>
      </c>
      <c r="I42" s="5">
        <v>2</v>
      </c>
      <c r="J42" s="5">
        <v>4</v>
      </c>
      <c r="K42" s="5" t="s">
        <v>27</v>
      </c>
    </row>
    <row r="43" spans="1:11" ht="15.75" customHeight="1" x14ac:dyDescent="0.25">
      <c r="A43" s="5">
        <v>1</v>
      </c>
      <c r="B43" s="5">
        <v>2023</v>
      </c>
      <c r="C43" s="6">
        <v>45197</v>
      </c>
      <c r="D43" s="5" t="s">
        <v>24</v>
      </c>
      <c r="E43" s="5" t="s">
        <v>25</v>
      </c>
      <c r="F43" s="5">
        <v>1</v>
      </c>
      <c r="G43" s="5" t="s">
        <v>26</v>
      </c>
      <c r="H43" s="5">
        <v>8</v>
      </c>
      <c r="I43" s="5">
        <v>2</v>
      </c>
      <c r="J43" s="5">
        <v>5</v>
      </c>
      <c r="K43" s="5" t="s">
        <v>27</v>
      </c>
    </row>
    <row r="44" spans="1:11" ht="15.75" customHeight="1" x14ac:dyDescent="0.25">
      <c r="A44" s="5">
        <v>1</v>
      </c>
      <c r="B44" s="5">
        <v>2023</v>
      </c>
      <c r="C44" s="6">
        <v>45197</v>
      </c>
      <c r="D44" s="5" t="s">
        <v>24</v>
      </c>
      <c r="E44" s="5" t="s">
        <v>25</v>
      </c>
      <c r="F44" s="5">
        <v>1</v>
      </c>
      <c r="G44" s="5" t="s">
        <v>26</v>
      </c>
      <c r="H44" s="5">
        <v>8</v>
      </c>
      <c r="I44" s="5">
        <v>2</v>
      </c>
      <c r="J44" s="5">
        <v>5</v>
      </c>
      <c r="K44" s="5" t="s">
        <v>34</v>
      </c>
    </row>
    <row r="45" spans="1:11" ht="15.75" customHeight="1" x14ac:dyDescent="0.25">
      <c r="A45" s="5">
        <v>1</v>
      </c>
      <c r="B45" s="5">
        <v>2023</v>
      </c>
      <c r="C45" s="6">
        <v>45197</v>
      </c>
      <c r="D45" s="5" t="s">
        <v>24</v>
      </c>
      <c r="E45" s="5" t="s">
        <v>25</v>
      </c>
      <c r="F45" s="5">
        <v>1</v>
      </c>
      <c r="G45" s="5" t="s">
        <v>26</v>
      </c>
      <c r="H45" s="5">
        <v>9</v>
      </c>
      <c r="I45" s="5">
        <v>2</v>
      </c>
      <c r="J45" s="5">
        <v>7</v>
      </c>
      <c r="K45" s="5" t="s">
        <v>27</v>
      </c>
    </row>
    <row r="46" spans="1:11" ht="15.75" customHeight="1" x14ac:dyDescent="0.25">
      <c r="A46" s="5">
        <v>1</v>
      </c>
      <c r="B46" s="5">
        <v>2023</v>
      </c>
      <c r="C46" s="6">
        <v>45197</v>
      </c>
      <c r="D46" s="5" t="s">
        <v>24</v>
      </c>
      <c r="E46" s="5" t="s">
        <v>25</v>
      </c>
      <c r="F46" s="5">
        <v>1</v>
      </c>
      <c r="G46" s="5" t="s">
        <v>26</v>
      </c>
      <c r="H46" s="5">
        <v>9</v>
      </c>
      <c r="I46" s="5">
        <v>2</v>
      </c>
      <c r="J46" s="5">
        <v>7</v>
      </c>
      <c r="K46" s="5" t="s">
        <v>28</v>
      </c>
    </row>
    <row r="47" spans="1:11" ht="15.75" customHeight="1" x14ac:dyDescent="0.25">
      <c r="A47" s="5">
        <v>1</v>
      </c>
      <c r="B47" s="5">
        <v>2023</v>
      </c>
      <c r="C47" s="6">
        <v>45197</v>
      </c>
      <c r="D47" s="5" t="s">
        <v>24</v>
      </c>
      <c r="E47" s="5" t="s">
        <v>25</v>
      </c>
      <c r="F47" s="5">
        <v>1</v>
      </c>
      <c r="G47" s="5" t="s">
        <v>26</v>
      </c>
      <c r="H47" s="5">
        <v>10</v>
      </c>
      <c r="I47" s="5">
        <v>2</v>
      </c>
      <c r="J47" s="5">
        <v>8</v>
      </c>
      <c r="K47" s="5" t="s">
        <v>27</v>
      </c>
    </row>
    <row r="48" spans="1:11" ht="15.75" customHeight="1" x14ac:dyDescent="0.25">
      <c r="A48" s="5">
        <v>1</v>
      </c>
      <c r="B48" s="5">
        <v>2023</v>
      </c>
      <c r="C48" s="6">
        <v>45197</v>
      </c>
      <c r="D48" s="5" t="s">
        <v>24</v>
      </c>
      <c r="E48" s="5" t="s">
        <v>25</v>
      </c>
      <c r="F48" s="5">
        <v>1</v>
      </c>
      <c r="G48" s="5" t="s">
        <v>26</v>
      </c>
      <c r="H48" s="5">
        <v>11</v>
      </c>
      <c r="I48" s="5">
        <v>2</v>
      </c>
      <c r="J48" s="5">
        <v>8.5</v>
      </c>
      <c r="K48" s="5" t="s">
        <v>35</v>
      </c>
    </row>
    <row r="49" spans="1:13" ht="15.75" customHeight="1" x14ac:dyDescent="0.25">
      <c r="A49" s="5">
        <v>1</v>
      </c>
      <c r="B49" s="5">
        <v>2023</v>
      </c>
      <c r="C49" s="6">
        <v>45197</v>
      </c>
      <c r="D49" s="5" t="s">
        <v>24</v>
      </c>
      <c r="E49" s="5" t="s">
        <v>25</v>
      </c>
      <c r="F49" s="5">
        <v>1</v>
      </c>
      <c r="G49" s="5" t="s">
        <v>26</v>
      </c>
      <c r="H49" s="5">
        <v>12</v>
      </c>
      <c r="I49" s="5">
        <v>2</v>
      </c>
      <c r="J49" s="5">
        <v>9</v>
      </c>
      <c r="K49" s="5" t="s">
        <v>35</v>
      </c>
    </row>
    <row r="50" spans="1:13" ht="15.75" customHeight="1" x14ac:dyDescent="0.25">
      <c r="A50" s="5">
        <v>1</v>
      </c>
      <c r="B50" s="5">
        <v>2023</v>
      </c>
      <c r="C50" s="6">
        <v>45197</v>
      </c>
      <c r="D50" s="5" t="s">
        <v>24</v>
      </c>
      <c r="E50" s="5" t="s">
        <v>25</v>
      </c>
      <c r="F50" s="5">
        <v>1</v>
      </c>
      <c r="G50" s="5" t="s">
        <v>26</v>
      </c>
      <c r="H50" s="5">
        <v>13</v>
      </c>
      <c r="I50" s="5">
        <v>2</v>
      </c>
      <c r="J50" s="5">
        <v>10</v>
      </c>
      <c r="K50" s="5" t="s">
        <v>27</v>
      </c>
    </row>
    <row r="51" spans="1:13" ht="15.75" customHeight="1" x14ac:dyDescent="0.25">
      <c r="A51" s="5">
        <v>1</v>
      </c>
      <c r="B51" s="5">
        <v>2023</v>
      </c>
      <c r="C51" s="6">
        <v>45197</v>
      </c>
      <c r="D51" s="5" t="s">
        <v>24</v>
      </c>
      <c r="E51" s="5" t="s">
        <v>25</v>
      </c>
      <c r="F51" s="5">
        <v>1</v>
      </c>
      <c r="G51" s="5" t="s">
        <v>26</v>
      </c>
      <c r="H51" s="5">
        <v>14</v>
      </c>
      <c r="I51" s="5">
        <v>2</v>
      </c>
      <c r="J51" s="5">
        <v>11</v>
      </c>
      <c r="K51" s="5" t="s">
        <v>27</v>
      </c>
    </row>
    <row r="52" spans="1:13" ht="15.75" customHeight="1" x14ac:dyDescent="0.25">
      <c r="A52" s="5">
        <v>1</v>
      </c>
      <c r="B52" s="5">
        <v>2023</v>
      </c>
      <c r="C52" s="6">
        <v>45197</v>
      </c>
      <c r="D52" s="5" t="s">
        <v>24</v>
      </c>
      <c r="E52" s="5" t="s">
        <v>25</v>
      </c>
      <c r="F52" s="5">
        <v>1</v>
      </c>
      <c r="G52" s="5" t="s">
        <v>26</v>
      </c>
      <c r="H52" s="5">
        <v>15</v>
      </c>
      <c r="I52" s="5">
        <v>2</v>
      </c>
      <c r="J52" s="5">
        <v>12</v>
      </c>
      <c r="K52" s="5" t="s">
        <v>27</v>
      </c>
    </row>
    <row r="53" spans="1:13" ht="15.75" customHeight="1" x14ac:dyDescent="0.25">
      <c r="A53" s="5"/>
      <c r="B53" s="5"/>
      <c r="C53" s="6"/>
      <c r="D53" s="5"/>
      <c r="E53" s="5"/>
      <c r="F53" s="5"/>
      <c r="G53" s="5"/>
      <c r="H53" s="5"/>
      <c r="I53" s="5"/>
      <c r="J53" s="5"/>
      <c r="K53" s="5"/>
    </row>
    <row r="54" spans="1:13" ht="15.75" customHeight="1" x14ac:dyDescent="0.25">
      <c r="A54" s="5"/>
      <c r="B54" s="5"/>
      <c r="C54" s="6"/>
      <c r="D54" s="5"/>
      <c r="E54" s="5"/>
      <c r="F54" s="5"/>
      <c r="G54" s="5"/>
      <c r="H54" s="5"/>
      <c r="I54" s="5"/>
      <c r="J54" s="5"/>
      <c r="K54" s="5"/>
    </row>
    <row r="55" spans="1:13" ht="15.75" customHeight="1" x14ac:dyDescent="0.25">
      <c r="A55" s="5"/>
      <c r="B55" s="5"/>
      <c r="C55" s="6"/>
      <c r="D55" s="5"/>
      <c r="E55" s="5"/>
      <c r="F55" s="5"/>
      <c r="G55" s="5"/>
      <c r="H55" s="5"/>
      <c r="I55" s="5"/>
      <c r="J55" s="5"/>
      <c r="K55" s="5"/>
    </row>
    <row r="56" spans="1:13" ht="15.75" customHeight="1" x14ac:dyDescent="0.25">
      <c r="A56" s="5"/>
      <c r="B56" s="5"/>
      <c r="C56" s="6"/>
      <c r="D56" s="5"/>
      <c r="E56" s="5"/>
      <c r="F56" s="5"/>
      <c r="G56" s="5"/>
      <c r="H56" s="5"/>
      <c r="I56" s="5"/>
      <c r="J56" s="5"/>
      <c r="K56" s="5"/>
    </row>
    <row r="57" spans="1:13" ht="15.75" customHeight="1" x14ac:dyDescent="0.25">
      <c r="A57" s="5"/>
      <c r="B57" s="5"/>
      <c r="C57" s="6"/>
      <c r="D57" s="5"/>
      <c r="E57" s="5"/>
      <c r="F57" s="5"/>
      <c r="G57" s="5"/>
      <c r="H57" s="5"/>
      <c r="I57" s="5"/>
      <c r="J57" s="5"/>
      <c r="K57" s="5"/>
    </row>
    <row r="58" spans="1:13" ht="15.75" customHeight="1" x14ac:dyDescent="0.25">
      <c r="A58" s="5"/>
      <c r="B58" s="5"/>
      <c r="C58" s="6"/>
      <c r="D58" s="5"/>
      <c r="E58" s="5"/>
      <c r="F58" s="5"/>
      <c r="G58" s="5"/>
      <c r="H58" s="5"/>
      <c r="I58" s="5"/>
      <c r="J58" s="5"/>
      <c r="K58" s="5"/>
    </row>
    <row r="59" spans="1:13" ht="15.75" customHeight="1" x14ac:dyDescent="0.25">
      <c r="A59" s="5"/>
      <c r="B59" s="5"/>
      <c r="C59" s="6"/>
      <c r="D59" s="5"/>
      <c r="E59" s="5"/>
      <c r="F59" s="5"/>
      <c r="G59" s="5"/>
      <c r="H59" s="5"/>
      <c r="I59" s="5"/>
      <c r="J59" s="5"/>
      <c r="K59" s="5"/>
    </row>
    <row r="60" spans="1:13" ht="15.75" customHeight="1" x14ac:dyDescent="0.25">
      <c r="A60" s="5"/>
      <c r="B60" s="5"/>
      <c r="C60" s="6"/>
      <c r="D60" s="5"/>
      <c r="E60" s="5"/>
      <c r="F60" s="5"/>
      <c r="G60" s="5"/>
      <c r="H60" s="5"/>
      <c r="I60" s="5"/>
      <c r="J60" s="5"/>
      <c r="K60" s="5"/>
    </row>
    <row r="61" spans="1:13" ht="15.75" customHeight="1" x14ac:dyDescent="0.25">
      <c r="A61" s="5"/>
      <c r="B61" s="5"/>
      <c r="C61" s="6"/>
      <c r="D61" s="5"/>
      <c r="E61" s="5"/>
      <c r="F61" s="5"/>
      <c r="G61" s="5"/>
      <c r="H61" s="5"/>
      <c r="I61" s="5"/>
      <c r="J61" s="5"/>
      <c r="K61" s="5"/>
    </row>
    <row r="62" spans="1:13" ht="15.75" customHeight="1" x14ac:dyDescent="0.25">
      <c r="A62" s="5"/>
      <c r="B62" s="5"/>
      <c r="C62" s="6"/>
      <c r="D62" s="5"/>
      <c r="E62" s="5"/>
      <c r="F62" s="5"/>
      <c r="G62" s="5"/>
      <c r="H62" s="5"/>
      <c r="I62" s="5"/>
      <c r="J62" s="5"/>
      <c r="K62" s="5"/>
    </row>
    <row r="63" spans="1:13" ht="15.75" customHeight="1" x14ac:dyDescent="0.25">
      <c r="A63" s="5"/>
      <c r="B63" s="5"/>
      <c r="C63" s="6"/>
      <c r="D63" s="5"/>
      <c r="E63" s="5"/>
      <c r="F63" s="5"/>
      <c r="G63" s="5"/>
      <c r="H63" s="5"/>
      <c r="I63" s="5"/>
      <c r="J63" s="5"/>
      <c r="K63" s="5"/>
    </row>
    <row r="64" spans="1:13" ht="15.75" customHeight="1" x14ac:dyDescent="0.25">
      <c r="A64" s="5"/>
      <c r="B64" s="5"/>
      <c r="C64" s="6"/>
      <c r="D64" s="5"/>
      <c r="E64" s="5"/>
      <c r="F64" s="5"/>
      <c r="G64" s="5"/>
      <c r="H64" s="5"/>
      <c r="I64" s="5"/>
      <c r="J64" s="5"/>
      <c r="K64" s="5"/>
      <c r="M64" s="5"/>
    </row>
    <row r="65" spans="1:11" ht="15.75" customHeight="1" x14ac:dyDescent="0.25">
      <c r="A65" s="5"/>
      <c r="B65" s="5"/>
      <c r="C65" s="6"/>
      <c r="D65" s="5"/>
      <c r="E65" s="5"/>
      <c r="F65" s="5"/>
      <c r="G65" s="5"/>
      <c r="H65" s="5"/>
      <c r="I65" s="5"/>
      <c r="J65" s="5"/>
      <c r="K65" s="5"/>
    </row>
    <row r="66" spans="1:11" ht="15.75" customHeight="1" x14ac:dyDescent="0.25">
      <c r="A66" s="5"/>
      <c r="B66" s="5"/>
      <c r="C66" s="6"/>
      <c r="D66" s="5"/>
      <c r="E66" s="5"/>
      <c r="F66" s="5"/>
      <c r="G66" s="5"/>
      <c r="H66" s="5"/>
      <c r="I66" s="5"/>
      <c r="J66" s="5"/>
      <c r="K66" s="5"/>
    </row>
    <row r="67" spans="1:11" ht="15.75" customHeight="1" x14ac:dyDescent="0.25">
      <c r="A67" s="5"/>
      <c r="B67" s="5"/>
      <c r="C67" s="6"/>
      <c r="D67" s="5"/>
      <c r="E67" s="5"/>
      <c r="F67" s="5"/>
      <c r="G67" s="5"/>
      <c r="H67" s="5"/>
      <c r="I67" s="5"/>
      <c r="J67" s="5"/>
      <c r="K67" s="5"/>
    </row>
    <row r="68" spans="1:11" ht="15.75" customHeight="1" x14ac:dyDescent="0.25">
      <c r="A68" s="5"/>
      <c r="B68" s="5"/>
      <c r="C68" s="6"/>
      <c r="D68" s="5"/>
      <c r="E68" s="5"/>
      <c r="F68" s="5"/>
      <c r="G68" s="5"/>
      <c r="H68" s="5"/>
      <c r="I68" s="5"/>
      <c r="J68" s="5"/>
      <c r="K68" s="5"/>
    </row>
    <row r="69" spans="1:11" ht="15.75" customHeight="1" x14ac:dyDescent="0.25">
      <c r="A69" s="5"/>
      <c r="B69" s="5"/>
      <c r="C69" s="6"/>
      <c r="D69" s="5"/>
      <c r="E69" s="5"/>
      <c r="F69" s="5"/>
      <c r="G69" s="5"/>
      <c r="H69" s="5"/>
      <c r="I69" s="5"/>
      <c r="J69" s="5"/>
      <c r="K69" s="5"/>
    </row>
    <row r="70" spans="1:11" ht="15.75" customHeight="1" x14ac:dyDescent="0.25">
      <c r="A70" s="5"/>
      <c r="B70" s="5"/>
      <c r="C70" s="6"/>
      <c r="D70" s="5"/>
      <c r="E70" s="5"/>
      <c r="F70" s="5"/>
      <c r="G70" s="5"/>
      <c r="H70" s="5"/>
      <c r="I70" s="5"/>
      <c r="J70" s="5"/>
      <c r="K70" s="5"/>
    </row>
    <row r="71" spans="1:11" ht="15.75" customHeight="1" x14ac:dyDescent="0.25">
      <c r="A71" s="5"/>
      <c r="B71" s="5"/>
      <c r="C71" s="6"/>
      <c r="D71" s="5"/>
      <c r="E71" s="5"/>
      <c r="F71" s="5"/>
      <c r="G71" s="5"/>
      <c r="H71" s="5"/>
      <c r="I71" s="5"/>
      <c r="J71" s="5"/>
      <c r="K71" s="5"/>
    </row>
    <row r="72" spans="1:11" ht="15.75" customHeight="1" x14ac:dyDescent="0.25">
      <c r="A72" s="5"/>
      <c r="B72" s="5"/>
      <c r="C72" s="6"/>
      <c r="D72" s="5"/>
      <c r="E72" s="5"/>
      <c r="F72" s="5"/>
      <c r="G72" s="5"/>
      <c r="H72" s="5"/>
      <c r="I72" s="5"/>
      <c r="J72" s="5"/>
      <c r="K72" s="5"/>
    </row>
    <row r="73" spans="1:11" ht="15.75" customHeight="1" x14ac:dyDescent="0.25">
      <c r="A73" s="5"/>
      <c r="B73" s="5"/>
      <c r="C73" s="6"/>
      <c r="D73" s="5"/>
      <c r="E73" s="5"/>
      <c r="F73" s="5"/>
      <c r="G73" s="5"/>
      <c r="H73" s="5"/>
      <c r="I73" s="5"/>
      <c r="J73" s="5"/>
      <c r="K73" s="5"/>
    </row>
    <row r="74" spans="1:11" ht="15.75" customHeight="1" x14ac:dyDescent="0.25">
      <c r="A74" s="5"/>
      <c r="B74" s="5"/>
      <c r="C74" s="6"/>
      <c r="D74" s="5"/>
      <c r="E74" s="5"/>
      <c r="F74" s="5"/>
      <c r="G74" s="5"/>
      <c r="H74" s="5"/>
      <c r="I74" s="5"/>
      <c r="J74" s="5"/>
      <c r="K74" s="5"/>
    </row>
    <row r="75" spans="1:11" ht="15.75" customHeight="1" x14ac:dyDescent="0.25">
      <c r="A75" s="5"/>
      <c r="B75" s="5"/>
      <c r="C75" s="6"/>
      <c r="D75" s="5"/>
      <c r="E75" s="5"/>
      <c r="F75" s="5"/>
      <c r="G75" s="5"/>
      <c r="H75" s="5"/>
      <c r="I75" s="5"/>
      <c r="J75" s="5"/>
      <c r="K75" s="5"/>
    </row>
    <row r="76" spans="1:11" ht="15.75" customHeight="1" x14ac:dyDescent="0.25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</row>
    <row r="77" spans="1:11" ht="15.75" customHeight="1" x14ac:dyDescent="0.25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</row>
    <row r="78" spans="1:11" ht="15.75" customHeight="1" x14ac:dyDescent="0.25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</row>
    <row r="79" spans="1:11" ht="15.75" customHeight="1" x14ac:dyDescent="0.25">
      <c r="A79" s="5"/>
      <c r="B79" s="5"/>
      <c r="C79" s="6"/>
      <c r="D79" s="5"/>
      <c r="E79" s="5"/>
      <c r="F79" s="5"/>
      <c r="G79" s="5"/>
      <c r="H79" s="5"/>
      <c r="I79" s="5"/>
      <c r="J79" s="5"/>
      <c r="K79" s="5"/>
    </row>
    <row r="80" spans="1:11" ht="15.75" customHeight="1" x14ac:dyDescent="0.25">
      <c r="A80" s="5"/>
      <c r="B80" s="5"/>
      <c r="C80" s="6"/>
      <c r="D80" s="5"/>
      <c r="E80" s="5"/>
      <c r="F80" s="5"/>
      <c r="G80" s="5"/>
      <c r="H80" s="5"/>
      <c r="I80" s="5"/>
      <c r="J80" s="5"/>
      <c r="K80" s="5"/>
    </row>
    <row r="81" spans="1:11" ht="15.75" customHeight="1" x14ac:dyDescent="0.25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</row>
    <row r="82" spans="1:11" ht="15.75" customHeight="1" x14ac:dyDescent="0.25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</row>
    <row r="83" spans="1:11" ht="15.75" customHeight="1" x14ac:dyDescent="0.25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</row>
    <row r="84" spans="1:11" ht="15.75" customHeight="1" x14ac:dyDescent="0.25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</row>
    <row r="85" spans="1:11" ht="15.75" customHeight="1" x14ac:dyDescent="0.25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</row>
    <row r="86" spans="1:11" ht="15.75" customHeight="1" x14ac:dyDescent="0.25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</row>
    <row r="87" spans="1:11" ht="15.75" customHeight="1" x14ac:dyDescent="0.25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</row>
    <row r="88" spans="1:11" ht="15.75" customHeight="1" x14ac:dyDescent="0.25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</row>
    <row r="89" spans="1:11" ht="15.75" customHeight="1" x14ac:dyDescent="0.25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</row>
    <row r="90" spans="1:11" ht="15.75" customHeight="1" x14ac:dyDescent="0.25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</row>
    <row r="91" spans="1:11" ht="15.75" customHeight="1" x14ac:dyDescent="0.25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</row>
    <row r="92" spans="1:11" ht="15.75" customHeight="1" x14ac:dyDescent="0.25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</row>
    <row r="93" spans="1:11" ht="15.75" customHeight="1" x14ac:dyDescent="0.25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</row>
    <row r="94" spans="1:11" ht="15.75" customHeight="1" x14ac:dyDescent="0.25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</row>
    <row r="95" spans="1:11" ht="15.75" customHeight="1" x14ac:dyDescent="0.25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</row>
    <row r="96" spans="1:11" ht="15.75" customHeight="1" x14ac:dyDescent="0.25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</row>
    <row r="97" spans="1:11" ht="15.75" customHeight="1" x14ac:dyDescent="0.25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</row>
    <row r="98" spans="1:11" ht="15.75" customHeight="1" x14ac:dyDescent="0.25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</row>
    <row r="99" spans="1:11" ht="15.75" customHeight="1" x14ac:dyDescent="0.25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</row>
    <row r="100" spans="1:11" ht="15.75" customHeight="1" x14ac:dyDescent="0.25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</row>
    <row r="101" spans="1:11" ht="15.75" customHeight="1" x14ac:dyDescent="0.25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</row>
    <row r="102" spans="1:11" ht="15.75" customHeight="1" x14ac:dyDescent="0.25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</row>
    <row r="103" spans="1:11" ht="15.75" customHeight="1" x14ac:dyDescent="0.25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</row>
    <row r="104" spans="1:11" ht="15.75" customHeight="1" x14ac:dyDescent="0.25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</row>
    <row r="105" spans="1:11" ht="15.75" customHeight="1" x14ac:dyDescent="0.25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</row>
    <row r="106" spans="1:11" ht="15.75" customHeight="1" x14ac:dyDescent="0.25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</row>
    <row r="107" spans="1:11" ht="15.75" customHeight="1" x14ac:dyDescent="0.25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</row>
    <row r="108" spans="1:11" ht="15.75" customHeight="1" x14ac:dyDescent="0.25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</row>
    <row r="109" spans="1:11" ht="15.75" customHeight="1" x14ac:dyDescent="0.25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</row>
    <row r="110" spans="1:11" ht="15.75" customHeight="1" x14ac:dyDescent="0.25">
      <c r="A110" s="5"/>
      <c r="B110" s="5"/>
      <c r="C110" s="6"/>
      <c r="D110" s="5"/>
      <c r="E110" s="5"/>
      <c r="F110" s="5"/>
      <c r="G110" s="5"/>
      <c r="H110" s="8"/>
      <c r="I110" s="5"/>
      <c r="J110" s="5"/>
      <c r="K110" s="5"/>
    </row>
    <row r="111" spans="1:11" ht="15.75" customHeight="1" x14ac:dyDescent="0.25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</row>
    <row r="112" spans="1:11" ht="15.75" customHeight="1" x14ac:dyDescent="0.25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</row>
    <row r="113" spans="1:11" ht="15.75" customHeight="1" x14ac:dyDescent="0.25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</row>
    <row r="114" spans="1:11" ht="15.75" customHeight="1" x14ac:dyDescent="0.25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</row>
    <row r="115" spans="1:11" ht="15.75" customHeight="1" x14ac:dyDescent="0.25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</row>
    <row r="116" spans="1:11" ht="15.75" customHeight="1" x14ac:dyDescent="0.25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</row>
    <row r="117" spans="1:11" ht="15.75" customHeight="1" x14ac:dyDescent="0.25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</row>
    <row r="118" spans="1:11" ht="15.75" customHeight="1" x14ac:dyDescent="0.25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</row>
    <row r="119" spans="1:11" ht="15.75" customHeight="1" x14ac:dyDescent="0.25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</row>
    <row r="120" spans="1:11" ht="15.75" customHeight="1" x14ac:dyDescent="0.25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</row>
    <row r="121" spans="1:11" ht="15.75" customHeight="1" x14ac:dyDescent="0.25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</row>
    <row r="122" spans="1:11" ht="15.75" customHeight="1" x14ac:dyDescent="0.25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</row>
    <row r="123" spans="1:11" ht="15.75" customHeight="1" x14ac:dyDescent="0.25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</row>
    <row r="124" spans="1:11" ht="15.75" customHeight="1" x14ac:dyDescent="0.25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</row>
    <row r="125" spans="1:11" ht="15.75" customHeight="1" x14ac:dyDescent="0.25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</row>
    <row r="126" spans="1:11" ht="15.75" customHeight="1" x14ac:dyDescent="0.25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</row>
    <row r="127" spans="1:11" ht="15.75" customHeight="1" x14ac:dyDescent="0.25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</row>
    <row r="128" spans="1:11" ht="15.75" customHeight="1" x14ac:dyDescent="0.25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</row>
    <row r="129" spans="1:11" ht="15.75" customHeight="1" x14ac:dyDescent="0.25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</row>
    <row r="130" spans="1:11" ht="15.75" customHeight="1" x14ac:dyDescent="0.25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</row>
    <row r="131" spans="1:11" ht="15.75" customHeight="1" x14ac:dyDescent="0.25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</row>
    <row r="132" spans="1:11" ht="15.75" customHeight="1" x14ac:dyDescent="0.25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</row>
    <row r="133" spans="1:11" ht="15.75" customHeight="1" x14ac:dyDescent="0.25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</row>
    <row r="134" spans="1:11" ht="15.75" customHeight="1" x14ac:dyDescent="0.25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</row>
    <row r="135" spans="1:11" ht="15.75" customHeight="1" x14ac:dyDescent="0.25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</row>
    <row r="136" spans="1:11" ht="15.75" customHeight="1" x14ac:dyDescent="0.25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</row>
    <row r="137" spans="1:11" ht="15.75" customHeight="1" x14ac:dyDescent="0.25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</row>
    <row r="138" spans="1:11" ht="15.75" customHeight="1" x14ac:dyDescent="0.25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</row>
    <row r="139" spans="1:11" ht="15.75" customHeight="1" x14ac:dyDescent="0.25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</row>
    <row r="140" spans="1:11" ht="15.75" customHeight="1" x14ac:dyDescent="0.25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</row>
    <row r="141" spans="1:11" ht="15.75" customHeight="1" x14ac:dyDescent="0.25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</row>
    <row r="142" spans="1:11" ht="15.75" customHeight="1" x14ac:dyDescent="0.25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</row>
    <row r="143" spans="1:11" ht="15.75" customHeight="1" x14ac:dyDescent="0.25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</row>
    <row r="144" spans="1:11" ht="15.75" customHeight="1" x14ac:dyDescent="0.25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</row>
    <row r="145" spans="1:11" ht="15.75" customHeight="1" x14ac:dyDescent="0.25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</row>
    <row r="146" spans="1:11" ht="15.75" customHeight="1" x14ac:dyDescent="0.25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</row>
    <row r="147" spans="1:11" ht="15.75" customHeight="1" x14ac:dyDescent="0.25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</row>
    <row r="148" spans="1:11" ht="15.75" customHeight="1" x14ac:dyDescent="0.25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</row>
    <row r="149" spans="1:11" ht="15.75" customHeight="1" x14ac:dyDescent="0.25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</row>
    <row r="150" spans="1:11" ht="15.75" customHeight="1" x14ac:dyDescent="0.25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</row>
    <row r="151" spans="1:11" ht="15.75" customHeight="1" x14ac:dyDescent="0.25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</row>
    <row r="152" spans="1:11" ht="15.75" customHeight="1" x14ac:dyDescent="0.25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</row>
    <row r="153" spans="1:11" ht="15.75" customHeight="1" x14ac:dyDescent="0.25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</row>
    <row r="154" spans="1:11" ht="15.75" customHeight="1" x14ac:dyDescent="0.25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</row>
    <row r="155" spans="1:11" ht="15.75" customHeight="1" x14ac:dyDescent="0.25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</row>
    <row r="156" spans="1:11" ht="15.75" customHeight="1" x14ac:dyDescent="0.25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</row>
    <row r="157" spans="1:11" ht="15.75" customHeight="1" x14ac:dyDescent="0.25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</row>
    <row r="158" spans="1:11" ht="15.75" customHeight="1" x14ac:dyDescent="0.25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</row>
    <row r="159" spans="1:11" ht="15.75" customHeight="1" x14ac:dyDescent="0.25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</row>
    <row r="160" spans="1:11" ht="15.75" customHeight="1" x14ac:dyDescent="0.25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</row>
    <row r="161" spans="1:11" ht="15.75" customHeight="1" x14ac:dyDescent="0.25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</row>
    <row r="162" spans="1:11" ht="15.75" customHeight="1" x14ac:dyDescent="0.25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</row>
    <row r="163" spans="1:11" ht="15.75" customHeight="1" x14ac:dyDescent="0.25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</row>
    <row r="164" spans="1:11" ht="15.75" customHeight="1" x14ac:dyDescent="0.25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</row>
    <row r="165" spans="1:11" ht="15.75" customHeight="1" x14ac:dyDescent="0.25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</row>
    <row r="166" spans="1:11" ht="15.75" customHeight="1" x14ac:dyDescent="0.25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</row>
    <row r="167" spans="1:11" ht="15.75" customHeight="1" x14ac:dyDescent="0.25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</row>
    <row r="168" spans="1:11" ht="15.75" customHeight="1" x14ac:dyDescent="0.25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</row>
    <row r="169" spans="1:11" ht="15.75" customHeight="1" x14ac:dyDescent="0.25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</row>
    <row r="170" spans="1:11" ht="15.75" customHeight="1" x14ac:dyDescent="0.25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</row>
    <row r="171" spans="1:11" ht="15.75" customHeight="1" x14ac:dyDescent="0.25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</row>
    <row r="172" spans="1:11" ht="15.75" customHeight="1" x14ac:dyDescent="0.25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</row>
    <row r="173" spans="1:11" ht="15.75" customHeight="1" x14ac:dyDescent="0.25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</row>
    <row r="174" spans="1:11" ht="15.75" customHeight="1" x14ac:dyDescent="0.25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</row>
    <row r="175" spans="1:11" ht="15.75" customHeight="1" x14ac:dyDescent="0.25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</row>
    <row r="176" spans="1:11" ht="15.75" customHeight="1" x14ac:dyDescent="0.25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</row>
    <row r="177" spans="1:11" ht="15.75" customHeight="1" x14ac:dyDescent="0.25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</row>
    <row r="178" spans="1:11" ht="15.75" customHeight="1" x14ac:dyDescent="0.25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</row>
    <row r="179" spans="1:11" ht="15.75" customHeight="1" x14ac:dyDescent="0.25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</row>
    <row r="180" spans="1:11" ht="15.75" customHeight="1" x14ac:dyDescent="0.25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</row>
    <row r="181" spans="1:11" ht="15.75" customHeight="1" x14ac:dyDescent="0.25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</row>
    <row r="182" spans="1:11" ht="15.75" customHeight="1" x14ac:dyDescent="0.25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</row>
    <row r="183" spans="1:11" ht="15.75" customHeight="1" x14ac:dyDescent="0.25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</row>
    <row r="184" spans="1:11" ht="15.75" customHeight="1" x14ac:dyDescent="0.25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</row>
    <row r="185" spans="1:11" ht="15.75" customHeight="1" x14ac:dyDescent="0.25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</row>
    <row r="186" spans="1:11" ht="15.75" customHeight="1" x14ac:dyDescent="0.25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</row>
    <row r="187" spans="1:11" ht="15.75" customHeight="1" x14ac:dyDescent="0.25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</row>
    <row r="188" spans="1:11" ht="15.75" customHeight="1" x14ac:dyDescent="0.25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</row>
    <row r="189" spans="1:11" ht="15.75" customHeight="1" x14ac:dyDescent="0.25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</row>
    <row r="190" spans="1:11" ht="15.75" customHeight="1" x14ac:dyDescent="0.25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9"/>
    </row>
    <row r="191" spans="1:11" ht="15.75" customHeight="1" x14ac:dyDescent="0.25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</row>
    <row r="192" spans="1:11" ht="15.75" customHeight="1" x14ac:dyDescent="0.25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</row>
    <row r="193" spans="1:11" ht="15.75" customHeight="1" x14ac:dyDescent="0.25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</row>
    <row r="194" spans="1:11" ht="15.75" customHeight="1" x14ac:dyDescent="0.25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</row>
    <row r="195" spans="1:11" ht="15.75" customHeight="1" x14ac:dyDescent="0.25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</row>
    <row r="196" spans="1:11" ht="15.75" customHeight="1" x14ac:dyDescent="0.25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</row>
    <row r="197" spans="1:11" ht="15.75" customHeight="1" x14ac:dyDescent="0.25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</row>
    <row r="198" spans="1:11" ht="15.75" customHeight="1" x14ac:dyDescent="0.25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</row>
    <row r="199" spans="1:11" ht="15.75" customHeight="1" x14ac:dyDescent="0.25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</row>
    <row r="200" spans="1:11" ht="15.75" customHeight="1" x14ac:dyDescent="0.25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</row>
    <row r="201" spans="1:11" ht="15.75" customHeight="1" x14ac:dyDescent="0.25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</row>
    <row r="202" spans="1:11" ht="15.75" customHeight="1" x14ac:dyDescent="0.25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</row>
    <row r="203" spans="1:11" ht="15.75" customHeight="1" x14ac:dyDescent="0.25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10"/>
    </row>
    <row r="204" spans="1:11" ht="15.75" customHeight="1" x14ac:dyDescent="0.25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</row>
    <row r="205" spans="1:11" ht="15.75" customHeight="1" x14ac:dyDescent="0.25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</row>
    <row r="206" spans="1:11" ht="15.75" customHeight="1" x14ac:dyDescent="0.25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</row>
    <row r="207" spans="1:11" ht="15.75" customHeight="1" x14ac:dyDescent="0.25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</row>
    <row r="208" spans="1:11" ht="15.75" customHeight="1" x14ac:dyDescent="0.25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</row>
    <row r="209" spans="1:11" ht="15.75" customHeight="1" x14ac:dyDescent="0.25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</row>
    <row r="210" spans="1:11" ht="15.75" customHeight="1" x14ac:dyDescent="0.25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</row>
    <row r="211" spans="1:11" ht="15.75" customHeight="1" x14ac:dyDescent="0.25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</row>
    <row r="212" spans="1:11" ht="15.75" customHeight="1" x14ac:dyDescent="0.25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</row>
    <row r="213" spans="1:11" ht="15.75" customHeight="1" x14ac:dyDescent="0.25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</row>
    <row r="214" spans="1:11" ht="15.75" customHeight="1" x14ac:dyDescent="0.25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</row>
    <row r="215" spans="1:11" ht="15.75" customHeight="1" x14ac:dyDescent="0.25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</row>
    <row r="216" spans="1:11" ht="15.75" customHeight="1" x14ac:dyDescent="0.25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</row>
    <row r="217" spans="1:11" ht="15.75" customHeight="1" x14ac:dyDescent="0.25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</row>
    <row r="218" spans="1:11" ht="15.75" customHeight="1" x14ac:dyDescent="0.25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</row>
    <row r="219" spans="1:11" ht="15.75" customHeight="1" x14ac:dyDescent="0.25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</row>
    <row r="220" spans="1:11" ht="15.75" customHeight="1" x14ac:dyDescent="0.25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</row>
    <row r="221" spans="1:11" ht="15.75" customHeight="1" x14ac:dyDescent="0.25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</row>
    <row r="222" spans="1:11" ht="15.75" customHeight="1" x14ac:dyDescent="0.25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</row>
    <row r="223" spans="1:11" ht="15.75" customHeight="1" x14ac:dyDescent="0.25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</row>
    <row r="224" spans="1:11" ht="15.75" customHeight="1" x14ac:dyDescent="0.25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</row>
    <row r="225" spans="1:11" ht="15.75" customHeight="1" x14ac:dyDescent="0.25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</row>
    <row r="226" spans="1:11" ht="15.75" customHeight="1" x14ac:dyDescent="0.25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</row>
    <row r="227" spans="1:11" ht="15.75" customHeight="1" x14ac:dyDescent="0.25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</row>
    <row r="228" spans="1:11" ht="15.75" customHeight="1" x14ac:dyDescent="0.25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</row>
    <row r="229" spans="1:11" ht="15.75" customHeight="1" x14ac:dyDescent="0.25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</row>
    <row r="230" spans="1:11" ht="15.75" customHeight="1" x14ac:dyDescent="0.25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</row>
    <row r="231" spans="1:11" ht="15.75" customHeight="1" x14ac:dyDescent="0.25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</row>
    <row r="232" spans="1:11" ht="15.75" customHeight="1" x14ac:dyDescent="0.25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</row>
    <row r="233" spans="1:11" ht="15.75" customHeight="1" x14ac:dyDescent="0.25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</row>
    <row r="234" spans="1:11" ht="15.75" customHeight="1" x14ac:dyDescent="0.25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</row>
    <row r="235" spans="1:11" ht="15.75" customHeight="1" x14ac:dyDescent="0.25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</row>
    <row r="236" spans="1:11" ht="15.75" customHeight="1" x14ac:dyDescent="0.25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</row>
    <row r="237" spans="1:11" ht="15.75" customHeight="1" x14ac:dyDescent="0.25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</row>
    <row r="238" spans="1:11" ht="15.75" customHeight="1" x14ac:dyDescent="0.25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</row>
    <row r="239" spans="1:11" ht="15.75" customHeight="1" x14ac:dyDescent="0.25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</row>
    <row r="240" spans="1:11" ht="15.75" customHeight="1" x14ac:dyDescent="0.25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</row>
    <row r="241" spans="1:11" ht="15.75" customHeight="1" x14ac:dyDescent="0.25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</row>
    <row r="242" spans="1:11" ht="15.75" customHeight="1" x14ac:dyDescent="0.25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</row>
    <row r="243" spans="1:11" ht="15.75" customHeight="1" x14ac:dyDescent="0.25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</row>
    <row r="244" spans="1:11" ht="15.75" customHeight="1" x14ac:dyDescent="0.25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</row>
    <row r="245" spans="1:11" ht="15.75" customHeight="1" x14ac:dyDescent="0.25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</row>
    <row r="246" spans="1:11" ht="15.75" customHeight="1" x14ac:dyDescent="0.25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</row>
    <row r="247" spans="1:11" ht="15.75" customHeight="1" x14ac:dyDescent="0.25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</row>
    <row r="248" spans="1:11" ht="15.75" customHeight="1" x14ac:dyDescent="0.25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</row>
    <row r="249" spans="1:11" ht="15.75" customHeight="1" x14ac:dyDescent="0.25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</row>
    <row r="250" spans="1:11" ht="15.75" customHeight="1" x14ac:dyDescent="0.25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</row>
    <row r="251" spans="1:11" ht="15.75" customHeight="1" x14ac:dyDescent="0.25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</row>
    <row r="252" spans="1:11" ht="15.75" customHeight="1" x14ac:dyDescent="0.25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</row>
    <row r="253" spans="1:11" ht="15.75" customHeight="1" x14ac:dyDescent="0.25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</row>
    <row r="254" spans="1:11" ht="15.75" customHeight="1" x14ac:dyDescent="0.25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</row>
    <row r="255" spans="1:11" ht="15.75" customHeight="1" x14ac:dyDescent="0.25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</row>
    <row r="256" spans="1:11" ht="15.75" customHeight="1" x14ac:dyDescent="0.25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</row>
    <row r="257" spans="1:11" ht="15.75" customHeight="1" x14ac:dyDescent="0.25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</row>
    <row r="258" spans="1:11" ht="15.75" customHeight="1" x14ac:dyDescent="0.25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</row>
    <row r="259" spans="1:11" ht="15.75" customHeight="1" x14ac:dyDescent="0.25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</row>
    <row r="260" spans="1:11" ht="15.75" customHeight="1" x14ac:dyDescent="0.25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</row>
    <row r="261" spans="1:11" ht="15.75" customHeight="1" x14ac:dyDescent="0.25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</row>
    <row r="262" spans="1:11" ht="15.75" customHeight="1" x14ac:dyDescent="0.25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</row>
    <row r="263" spans="1:11" ht="15.75" customHeight="1" x14ac:dyDescent="0.25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</row>
    <row r="264" spans="1:11" ht="15.75" customHeight="1" x14ac:dyDescent="0.25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</row>
    <row r="265" spans="1:11" ht="15.75" customHeight="1" x14ac:dyDescent="0.25">
      <c r="A265" s="5"/>
      <c r="B265" s="5"/>
      <c r="C265" s="6"/>
      <c r="D265" s="5"/>
      <c r="E265" s="5"/>
      <c r="F265" s="5"/>
      <c r="G265" s="5"/>
      <c r="H265" s="11"/>
      <c r="I265" s="11"/>
      <c r="J265" s="11"/>
      <c r="K265" s="8"/>
    </row>
    <row r="266" spans="1:11" ht="15.75" customHeight="1" x14ac:dyDescent="0.25">
      <c r="A266" s="5"/>
      <c r="B266" s="5"/>
      <c r="C266" s="6"/>
      <c r="D266" s="5"/>
      <c r="E266" s="5"/>
      <c r="F266" s="5"/>
      <c r="G266" s="5"/>
      <c r="H266" s="11"/>
      <c r="I266" s="11"/>
      <c r="J266" s="11"/>
      <c r="K266" s="5"/>
    </row>
    <row r="267" spans="1:11" ht="15.75" customHeight="1" x14ac:dyDescent="0.25">
      <c r="A267" s="5"/>
      <c r="B267" s="5"/>
      <c r="C267" s="6"/>
      <c r="D267" s="5"/>
      <c r="E267" s="5"/>
      <c r="F267" s="5"/>
      <c r="G267" s="5"/>
      <c r="H267" s="11"/>
      <c r="I267" s="11"/>
      <c r="J267" s="11"/>
      <c r="K267" s="5"/>
    </row>
    <row r="268" spans="1:11" ht="15.75" customHeight="1" x14ac:dyDescent="0.25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</row>
    <row r="269" spans="1:11" ht="15.75" customHeight="1" x14ac:dyDescent="0.25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</row>
    <row r="270" spans="1:11" ht="15.75" customHeight="1" x14ac:dyDescent="0.25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</row>
    <row r="271" spans="1:11" ht="15.75" customHeight="1" x14ac:dyDescent="0.25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</row>
    <row r="272" spans="1:11" ht="15.75" customHeight="1" x14ac:dyDescent="0.25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</row>
    <row r="273" spans="1:11" ht="15.75" customHeight="1" x14ac:dyDescent="0.25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</row>
    <row r="274" spans="1:11" ht="15.75" customHeight="1" x14ac:dyDescent="0.25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</row>
    <row r="275" spans="1:11" ht="15.75" customHeight="1" x14ac:dyDescent="0.25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</row>
    <row r="276" spans="1:11" ht="15.75" customHeight="1" x14ac:dyDescent="0.25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</row>
    <row r="277" spans="1:11" ht="15.75" customHeight="1" x14ac:dyDescent="0.25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</row>
    <row r="278" spans="1:11" ht="15.75" customHeight="1" x14ac:dyDescent="0.25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</row>
    <row r="279" spans="1:11" ht="15.75" customHeight="1" x14ac:dyDescent="0.25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</row>
    <row r="280" spans="1:11" ht="15.75" customHeight="1" x14ac:dyDescent="0.25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</row>
    <row r="281" spans="1:11" ht="15.75" customHeight="1" x14ac:dyDescent="0.25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</row>
    <row r="282" spans="1:11" ht="15.75" customHeight="1" x14ac:dyDescent="0.25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</row>
    <row r="283" spans="1:11" ht="15.75" customHeight="1" x14ac:dyDescent="0.25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</row>
    <row r="284" spans="1:11" ht="15.75" customHeight="1" x14ac:dyDescent="0.25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</row>
    <row r="285" spans="1:11" ht="15.75" customHeight="1" x14ac:dyDescent="0.25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</row>
    <row r="286" spans="1:11" ht="15.75" customHeight="1" x14ac:dyDescent="0.25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</row>
    <row r="287" spans="1:11" ht="15.75" customHeight="1" x14ac:dyDescent="0.25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</row>
    <row r="288" spans="1:11" ht="15.75" customHeight="1" x14ac:dyDescent="0.25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</row>
    <row r="289" spans="1:11" ht="15.75" customHeight="1" x14ac:dyDescent="0.25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</row>
    <row r="290" spans="1:11" ht="15.75" customHeight="1" x14ac:dyDescent="0.25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</row>
    <row r="291" spans="1:11" ht="15.75" customHeight="1" x14ac:dyDescent="0.25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</row>
    <row r="292" spans="1:11" ht="15.75" customHeight="1" x14ac:dyDescent="0.25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</row>
    <row r="293" spans="1:11" ht="15.75" customHeight="1" x14ac:dyDescent="0.25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</row>
    <row r="294" spans="1:11" ht="15.75" customHeight="1" x14ac:dyDescent="0.25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</row>
    <row r="295" spans="1:11" ht="15.75" customHeight="1" x14ac:dyDescent="0.25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</row>
    <row r="296" spans="1:11" ht="15.75" customHeight="1" x14ac:dyDescent="0.25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</row>
    <row r="297" spans="1:11" ht="15.75" customHeight="1" x14ac:dyDescent="0.25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</row>
    <row r="298" spans="1:11" ht="15.75" customHeight="1" x14ac:dyDescent="0.25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</row>
    <row r="299" spans="1:11" ht="15.75" customHeight="1" x14ac:dyDescent="0.25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</row>
    <row r="300" spans="1:11" ht="15.75" customHeight="1" x14ac:dyDescent="0.25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</row>
    <row r="301" spans="1:11" ht="15.75" customHeight="1" x14ac:dyDescent="0.25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</row>
    <row r="302" spans="1:11" ht="15.75" customHeight="1" x14ac:dyDescent="0.25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</row>
    <row r="303" spans="1:11" ht="15.75" customHeight="1" x14ac:dyDescent="0.25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</row>
    <row r="304" spans="1:11" ht="15.75" customHeight="1" x14ac:dyDescent="0.25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</row>
    <row r="305" spans="1:11" ht="15.75" customHeight="1" x14ac:dyDescent="0.25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</row>
    <row r="306" spans="1:11" ht="15.75" customHeight="1" x14ac:dyDescent="0.25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</row>
    <row r="307" spans="1:11" ht="15.75" customHeight="1" x14ac:dyDescent="0.25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</row>
    <row r="308" spans="1:11" ht="15.75" customHeight="1" x14ac:dyDescent="0.25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</row>
    <row r="309" spans="1:11" ht="15.75" customHeight="1" x14ac:dyDescent="0.25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</row>
    <row r="310" spans="1:11" ht="15.75" customHeight="1" x14ac:dyDescent="0.25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5"/>
    </row>
    <row r="311" spans="1:11" ht="15.75" customHeight="1" x14ac:dyDescent="0.25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5"/>
    </row>
    <row r="312" spans="1:11" ht="15.75" customHeight="1" x14ac:dyDescent="0.25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5"/>
    </row>
    <row r="313" spans="1:11" ht="15.75" customHeight="1" x14ac:dyDescent="0.25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5"/>
    </row>
    <row r="314" spans="1:11" ht="15.75" customHeight="1" x14ac:dyDescent="0.25">
      <c r="A314" s="5"/>
      <c r="B314" s="5"/>
      <c r="C314" s="12"/>
      <c r="D314" s="5"/>
      <c r="E314" s="5"/>
      <c r="F314" s="5"/>
      <c r="G314" s="5"/>
      <c r="H314" s="5"/>
      <c r="I314" s="5"/>
      <c r="J314" s="5"/>
      <c r="K314" s="5"/>
    </row>
    <row r="315" spans="1:11" ht="15.75" customHeight="1" x14ac:dyDescent="0.25">
      <c r="A315" s="5"/>
      <c r="B315" s="5"/>
      <c r="C315" s="12"/>
      <c r="D315" s="5"/>
      <c r="E315" s="5"/>
      <c r="F315" s="5"/>
      <c r="G315" s="5"/>
      <c r="H315" s="5"/>
      <c r="I315" s="5"/>
      <c r="J315" s="5"/>
      <c r="K315" s="5"/>
    </row>
    <row r="316" spans="1:11" ht="15.75" customHeight="1" x14ac:dyDescent="0.25">
      <c r="A316" s="5"/>
      <c r="B316" s="5"/>
      <c r="C316" s="12"/>
      <c r="D316" s="5"/>
      <c r="E316" s="5"/>
      <c r="F316" s="5"/>
      <c r="G316" s="5"/>
      <c r="H316" s="5"/>
      <c r="I316" s="5"/>
      <c r="J316" s="5"/>
      <c r="K316" s="5"/>
    </row>
    <row r="317" spans="1:11" ht="15.75" customHeight="1" x14ac:dyDescent="0.25">
      <c r="A317" s="5"/>
      <c r="B317" s="5"/>
      <c r="C317" s="12"/>
      <c r="D317" s="5"/>
      <c r="E317" s="5"/>
      <c r="F317" s="5"/>
      <c r="G317" s="5"/>
      <c r="H317" s="5"/>
      <c r="I317" s="5"/>
      <c r="J317" s="5"/>
      <c r="K317" s="5"/>
    </row>
    <row r="318" spans="1:11" ht="15.75" customHeight="1" x14ac:dyDescent="0.25">
      <c r="A318" s="5"/>
      <c r="B318" s="5"/>
      <c r="C318" s="12"/>
      <c r="D318" s="5"/>
      <c r="E318" s="5"/>
      <c r="F318" s="5"/>
      <c r="G318" s="5"/>
      <c r="H318" s="5"/>
      <c r="I318" s="5"/>
      <c r="J318" s="5"/>
      <c r="K318" s="5"/>
    </row>
    <row r="319" spans="1:11" ht="15.75" customHeight="1" x14ac:dyDescent="0.25">
      <c r="A319" s="5"/>
      <c r="B319" s="5"/>
      <c r="C319" s="12"/>
      <c r="D319" s="5"/>
      <c r="E319" s="5"/>
      <c r="F319" s="5"/>
      <c r="G319" s="5"/>
      <c r="H319" s="5"/>
      <c r="I319" s="5"/>
      <c r="J319" s="5"/>
      <c r="K319" s="5"/>
    </row>
    <row r="320" spans="1:11" ht="15.75" customHeight="1" x14ac:dyDescent="0.25">
      <c r="A320" s="5"/>
      <c r="B320" s="5"/>
      <c r="C320" s="12"/>
      <c r="D320" s="5"/>
      <c r="E320" s="5"/>
      <c r="F320" s="5"/>
      <c r="G320" s="5"/>
      <c r="H320" s="5"/>
      <c r="I320" s="5"/>
      <c r="J320" s="5"/>
      <c r="K320" s="5"/>
    </row>
    <row r="321" spans="1:11" ht="15.75" customHeight="1" x14ac:dyDescent="0.25">
      <c r="A321" s="5"/>
      <c r="B321" s="5"/>
      <c r="C321" s="12"/>
      <c r="D321" s="5"/>
      <c r="E321" s="5"/>
      <c r="F321" s="5"/>
      <c r="G321" s="5"/>
      <c r="H321" s="5"/>
      <c r="I321" s="5"/>
      <c r="J321" s="5"/>
      <c r="K321" s="5"/>
    </row>
    <row r="322" spans="1:11" ht="15.75" customHeight="1" x14ac:dyDescent="0.25">
      <c r="A322" s="5"/>
      <c r="B322" s="5"/>
      <c r="C322" s="12"/>
      <c r="D322" s="5"/>
      <c r="E322" s="5"/>
      <c r="F322" s="5"/>
      <c r="G322" s="5"/>
      <c r="H322" s="5"/>
      <c r="I322" s="5"/>
      <c r="J322" s="5"/>
      <c r="K322" s="5"/>
    </row>
    <row r="323" spans="1:11" ht="15.75" customHeight="1" x14ac:dyDescent="0.25">
      <c r="A323" s="5"/>
      <c r="B323" s="5"/>
      <c r="C323" s="12"/>
      <c r="D323" s="5"/>
      <c r="E323" s="5"/>
      <c r="F323" s="5"/>
      <c r="G323" s="5"/>
      <c r="H323" s="5"/>
      <c r="I323" s="5"/>
      <c r="J323" s="5"/>
      <c r="K323" s="5"/>
    </row>
    <row r="324" spans="1:11" ht="15.75" customHeight="1" x14ac:dyDescent="0.25">
      <c r="A324" s="5"/>
      <c r="B324" s="5"/>
      <c r="C324" s="12"/>
      <c r="D324" s="5"/>
      <c r="E324" s="5"/>
      <c r="F324" s="5"/>
      <c r="G324" s="5"/>
      <c r="H324" s="5"/>
      <c r="I324" s="5"/>
      <c r="J324" s="5"/>
      <c r="K324" s="5"/>
    </row>
    <row r="325" spans="1:11" ht="15.75" customHeight="1" x14ac:dyDescent="0.25">
      <c r="A325" s="5"/>
      <c r="B325" s="5"/>
      <c r="C325" s="12"/>
      <c r="D325" s="5"/>
      <c r="E325" s="5"/>
      <c r="F325" s="5"/>
      <c r="G325" s="5"/>
      <c r="H325" s="5"/>
      <c r="I325" s="5"/>
      <c r="J325" s="5"/>
      <c r="K325" s="5"/>
    </row>
    <row r="326" spans="1:11" ht="15.75" customHeight="1" x14ac:dyDescent="0.25">
      <c r="A326" s="5"/>
      <c r="B326" s="5"/>
      <c r="C326" s="12"/>
      <c r="D326" s="5"/>
      <c r="E326" s="5"/>
      <c r="F326" s="5"/>
      <c r="G326" s="5"/>
      <c r="H326" s="5"/>
      <c r="I326" s="5"/>
      <c r="J326" s="5"/>
      <c r="K326" s="5"/>
    </row>
    <row r="327" spans="1:11" ht="15.75" customHeight="1" x14ac:dyDescent="0.25">
      <c r="A327" s="5"/>
      <c r="B327" s="5"/>
      <c r="C327" s="12"/>
      <c r="D327" s="5"/>
      <c r="E327" s="5"/>
      <c r="F327" s="5"/>
      <c r="G327" s="5"/>
      <c r="H327" s="5"/>
      <c r="I327" s="5"/>
      <c r="J327" s="5"/>
      <c r="K327" s="5"/>
    </row>
    <row r="328" spans="1:11" ht="15.75" customHeight="1" x14ac:dyDescent="0.25">
      <c r="A328" s="5"/>
      <c r="B328" s="5"/>
      <c r="C328" s="12"/>
      <c r="D328" s="5"/>
      <c r="E328" s="5"/>
      <c r="F328" s="5"/>
      <c r="G328" s="5"/>
      <c r="H328" s="5"/>
      <c r="I328" s="5"/>
      <c r="J328" s="5"/>
      <c r="K328" s="5"/>
    </row>
    <row r="329" spans="1:11" ht="15.75" customHeight="1" x14ac:dyDescent="0.25">
      <c r="A329" s="5"/>
      <c r="B329" s="5"/>
      <c r="C329" s="12"/>
      <c r="D329" s="5"/>
      <c r="E329" s="5"/>
      <c r="F329" s="5"/>
      <c r="G329" s="5"/>
      <c r="H329" s="5"/>
      <c r="I329" s="5"/>
      <c r="J329" s="5"/>
      <c r="K329" s="5"/>
    </row>
    <row r="330" spans="1:11" ht="15.75" customHeight="1" x14ac:dyDescent="0.25">
      <c r="A330" s="5"/>
      <c r="B330" s="5"/>
      <c r="C330" s="12"/>
      <c r="D330" s="5"/>
      <c r="E330" s="5"/>
      <c r="F330" s="5"/>
      <c r="G330" s="5"/>
      <c r="H330" s="5"/>
      <c r="I330" s="5"/>
      <c r="J330" s="5"/>
      <c r="K330" s="5"/>
    </row>
    <row r="331" spans="1:11" ht="15.75" customHeight="1" x14ac:dyDescent="0.25">
      <c r="A331" s="5"/>
      <c r="B331" s="5"/>
      <c r="C331" s="12"/>
      <c r="D331" s="5"/>
      <c r="E331" s="5"/>
      <c r="F331" s="5"/>
      <c r="G331" s="5"/>
      <c r="H331" s="5"/>
      <c r="I331" s="5"/>
      <c r="J331" s="5"/>
      <c r="K331" s="5"/>
    </row>
    <row r="332" spans="1:11" ht="15.75" customHeight="1" x14ac:dyDescent="0.25">
      <c r="A332" s="5"/>
      <c r="B332" s="5"/>
      <c r="C332" s="12"/>
      <c r="D332" s="5"/>
      <c r="E332" s="5"/>
      <c r="F332" s="5"/>
      <c r="G332" s="5"/>
      <c r="H332" s="5"/>
      <c r="I332" s="5"/>
      <c r="J332" s="5"/>
      <c r="K332" s="5"/>
    </row>
    <row r="333" spans="1:11" ht="15.75" customHeight="1" x14ac:dyDescent="0.25">
      <c r="A333" s="5"/>
      <c r="B333" s="5"/>
      <c r="C333" s="12"/>
      <c r="D333" s="5"/>
      <c r="E333" s="5"/>
      <c r="F333" s="5"/>
      <c r="G333" s="5"/>
      <c r="H333" s="5"/>
      <c r="I333" s="5"/>
      <c r="J333" s="5"/>
      <c r="K333" s="5"/>
    </row>
    <row r="334" spans="1:11" ht="15.75" customHeight="1" x14ac:dyDescent="0.25">
      <c r="A334" s="5"/>
      <c r="B334" s="5"/>
      <c r="C334" s="12"/>
      <c r="D334" s="5"/>
      <c r="E334" s="5"/>
      <c r="F334" s="5"/>
      <c r="G334" s="5"/>
      <c r="H334" s="5"/>
      <c r="I334" s="5"/>
      <c r="J334" s="5"/>
      <c r="K334" s="5"/>
    </row>
    <row r="335" spans="1:11" ht="15.75" customHeight="1" x14ac:dyDescent="0.25">
      <c r="A335" s="5"/>
      <c r="B335" s="5"/>
      <c r="C335" s="12"/>
      <c r="D335" s="5"/>
      <c r="E335" s="5"/>
      <c r="F335" s="5"/>
      <c r="G335" s="5"/>
      <c r="H335" s="5"/>
      <c r="I335" s="5"/>
      <c r="J335" s="5"/>
      <c r="K335" s="5"/>
    </row>
    <row r="336" spans="1:11" ht="15.75" customHeight="1" x14ac:dyDescent="0.25">
      <c r="A336" s="5"/>
      <c r="B336" s="5"/>
      <c r="C336" s="12"/>
      <c r="D336" s="5"/>
      <c r="E336" s="5"/>
      <c r="F336" s="5"/>
      <c r="G336" s="5"/>
      <c r="H336" s="5"/>
      <c r="I336" s="5"/>
      <c r="J336" s="5"/>
      <c r="K336" s="5"/>
    </row>
    <row r="337" spans="1:11" ht="15.75" customHeight="1" x14ac:dyDescent="0.25">
      <c r="A337" s="5"/>
      <c r="B337" s="5"/>
      <c r="C337" s="12"/>
      <c r="D337" s="5"/>
      <c r="E337" s="5"/>
      <c r="F337" s="5"/>
      <c r="G337" s="5"/>
      <c r="H337" s="5"/>
      <c r="I337" s="5"/>
      <c r="J337" s="5"/>
      <c r="K337" s="5"/>
    </row>
    <row r="338" spans="1:11" ht="15.75" customHeight="1" x14ac:dyDescent="0.25">
      <c r="A338" s="5"/>
      <c r="B338" s="5"/>
      <c r="C338" s="12"/>
      <c r="D338" s="5"/>
      <c r="E338" s="5"/>
      <c r="F338" s="5"/>
      <c r="G338" s="5"/>
      <c r="H338" s="5"/>
      <c r="I338" s="5"/>
      <c r="J338" s="5"/>
      <c r="K338" s="5"/>
    </row>
    <row r="339" spans="1:11" ht="15.75" customHeight="1" x14ac:dyDescent="0.25">
      <c r="A339" s="5"/>
      <c r="B339" s="5"/>
      <c r="C339" s="12"/>
      <c r="D339" s="5"/>
      <c r="E339" s="5"/>
      <c r="F339" s="5"/>
      <c r="G339" s="5"/>
      <c r="H339" s="5"/>
      <c r="I339" s="5"/>
      <c r="J339" s="5"/>
      <c r="K339" s="5"/>
    </row>
    <row r="340" spans="1:11" ht="15.75" customHeight="1" x14ac:dyDescent="0.25">
      <c r="A340" s="5"/>
      <c r="B340" s="5"/>
      <c r="C340" s="12"/>
      <c r="D340" s="5"/>
      <c r="E340" s="5"/>
      <c r="F340" s="5"/>
      <c r="G340" s="5"/>
      <c r="H340" s="5"/>
      <c r="I340" s="5"/>
      <c r="J340" s="5"/>
      <c r="K340" s="5"/>
    </row>
    <row r="341" spans="1:11" ht="15.75" customHeight="1" x14ac:dyDescent="0.25">
      <c r="A341" s="5"/>
      <c r="B341" s="5"/>
      <c r="C341" s="12"/>
      <c r="D341" s="5"/>
      <c r="E341" s="5"/>
      <c r="F341" s="5"/>
      <c r="G341" s="5"/>
      <c r="H341" s="5"/>
      <c r="I341" s="5"/>
      <c r="J341" s="5"/>
      <c r="K341" s="5"/>
    </row>
    <row r="342" spans="1:11" ht="15.75" customHeight="1" x14ac:dyDescent="0.25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5"/>
    </row>
    <row r="343" spans="1:11" ht="15.75" customHeight="1" x14ac:dyDescent="0.25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5"/>
    </row>
    <row r="344" spans="1:11" ht="15.75" customHeight="1" x14ac:dyDescent="0.25">
      <c r="A344" s="5"/>
      <c r="B344" s="5"/>
      <c r="C344" s="12"/>
      <c r="D344" s="5"/>
      <c r="E344" s="5"/>
      <c r="F344" s="5"/>
      <c r="G344" s="5"/>
      <c r="H344" s="5"/>
      <c r="I344" s="5"/>
      <c r="J344" s="5"/>
      <c r="K344" s="5"/>
    </row>
    <row r="345" spans="1:11" ht="15.75" customHeight="1" x14ac:dyDescent="0.25">
      <c r="A345" s="5"/>
      <c r="B345" s="5"/>
      <c r="C345" s="12"/>
      <c r="D345" s="5"/>
      <c r="E345" s="5"/>
      <c r="F345" s="5"/>
      <c r="G345" s="5"/>
      <c r="H345" s="5"/>
      <c r="I345" s="5"/>
      <c r="J345" s="5"/>
      <c r="K345" s="5"/>
    </row>
    <row r="346" spans="1:11" ht="15.75" customHeight="1" x14ac:dyDescent="0.25">
      <c r="A346" s="5"/>
      <c r="B346" s="5"/>
      <c r="C346" s="12"/>
      <c r="D346" s="5"/>
      <c r="E346" s="5"/>
      <c r="F346" s="5"/>
      <c r="G346" s="5"/>
      <c r="H346" s="5"/>
      <c r="I346" s="5"/>
      <c r="J346" s="5"/>
      <c r="K346" s="5"/>
    </row>
    <row r="347" spans="1:11" ht="15.75" customHeight="1" x14ac:dyDescent="0.25">
      <c r="A347" s="5"/>
      <c r="B347" s="5"/>
      <c r="C347" s="12"/>
      <c r="D347" s="5"/>
      <c r="E347" s="5"/>
      <c r="F347" s="5"/>
      <c r="G347" s="5"/>
      <c r="H347" s="5"/>
      <c r="I347" s="5"/>
      <c r="J347" s="5"/>
      <c r="K347" s="5"/>
    </row>
    <row r="348" spans="1:11" ht="15.75" customHeight="1" x14ac:dyDescent="0.25">
      <c r="A348" s="5"/>
      <c r="B348" s="5"/>
      <c r="C348" s="12"/>
      <c r="D348" s="5"/>
      <c r="E348" s="5"/>
      <c r="F348" s="5"/>
      <c r="G348" s="5"/>
      <c r="H348" s="5"/>
      <c r="I348" s="5"/>
      <c r="J348" s="5"/>
      <c r="K348" s="5"/>
    </row>
    <row r="349" spans="1:11" ht="15.75" customHeight="1" x14ac:dyDescent="0.25">
      <c r="A349" s="5"/>
      <c r="B349" s="5"/>
      <c r="C349" s="12"/>
      <c r="D349" s="5"/>
      <c r="E349" s="5"/>
      <c r="F349" s="5"/>
      <c r="G349" s="5"/>
      <c r="H349" s="5"/>
      <c r="I349" s="5"/>
      <c r="J349" s="5"/>
      <c r="K349" s="5"/>
    </row>
    <row r="350" spans="1:11" ht="15.75" customHeight="1" x14ac:dyDescent="0.25">
      <c r="A350" s="5"/>
      <c r="B350" s="5"/>
      <c r="C350" s="12"/>
      <c r="D350" s="5"/>
      <c r="E350" s="5"/>
      <c r="F350" s="5"/>
      <c r="G350" s="5"/>
      <c r="H350" s="5"/>
      <c r="I350" s="5"/>
      <c r="J350" s="5"/>
      <c r="K350" s="5"/>
    </row>
    <row r="351" spans="1:11" ht="15.75" customHeight="1" x14ac:dyDescent="0.25">
      <c r="A351" s="5"/>
      <c r="B351" s="5"/>
      <c r="C351" s="12"/>
      <c r="D351" s="5"/>
      <c r="E351" s="5"/>
      <c r="F351" s="5"/>
      <c r="G351" s="5"/>
      <c r="H351" s="5"/>
      <c r="I351" s="5"/>
      <c r="J351" s="5"/>
      <c r="K351" s="5"/>
    </row>
    <row r="352" spans="1:11" ht="15.75" customHeight="1" x14ac:dyDescent="0.25">
      <c r="A352" s="5"/>
      <c r="B352" s="5"/>
      <c r="C352" s="12"/>
      <c r="D352" s="5"/>
      <c r="E352" s="5"/>
      <c r="F352" s="5"/>
      <c r="G352" s="5"/>
      <c r="H352" s="5"/>
      <c r="I352" s="5"/>
      <c r="J352" s="5"/>
      <c r="K352" s="5"/>
    </row>
    <row r="353" spans="1:11" ht="15.75" customHeight="1" x14ac:dyDescent="0.25">
      <c r="A353" s="5"/>
      <c r="B353" s="5"/>
      <c r="C353" s="12"/>
      <c r="D353" s="5"/>
      <c r="E353" s="5"/>
      <c r="F353" s="5"/>
      <c r="G353" s="5"/>
      <c r="H353" s="5"/>
      <c r="I353" s="5"/>
      <c r="J353" s="5"/>
      <c r="K353" s="5"/>
    </row>
    <row r="354" spans="1:11" ht="15.75" customHeight="1" x14ac:dyDescent="0.25">
      <c r="A354" s="5"/>
      <c r="B354" s="5"/>
      <c r="C354" s="12"/>
      <c r="D354" s="5"/>
      <c r="E354" s="5"/>
      <c r="F354" s="5"/>
      <c r="G354" s="5"/>
      <c r="H354" s="5"/>
      <c r="I354" s="5"/>
      <c r="J354" s="5"/>
      <c r="K354" s="5"/>
    </row>
    <row r="355" spans="1:11" ht="15.75" customHeight="1" x14ac:dyDescent="0.25">
      <c r="A355" s="5"/>
      <c r="B355" s="5"/>
      <c r="C355" s="12"/>
      <c r="D355" s="5"/>
      <c r="E355" s="5"/>
      <c r="F355" s="5"/>
      <c r="G355" s="5"/>
      <c r="H355" s="5"/>
      <c r="I355" s="5"/>
      <c r="J355" s="5"/>
      <c r="K355" s="5"/>
    </row>
    <row r="356" spans="1:11" ht="15.75" customHeight="1" x14ac:dyDescent="0.25">
      <c r="A356" s="5"/>
      <c r="B356" s="5"/>
      <c r="C356" s="12"/>
      <c r="D356" s="5"/>
      <c r="E356" s="5"/>
      <c r="F356" s="5"/>
      <c r="G356" s="5"/>
      <c r="H356" s="5"/>
      <c r="I356" s="5"/>
      <c r="J356" s="5"/>
      <c r="K356" s="5"/>
    </row>
    <row r="357" spans="1:11" ht="15.75" customHeight="1" x14ac:dyDescent="0.25">
      <c r="A357" s="5"/>
      <c r="B357" s="5"/>
      <c r="C357" s="12"/>
      <c r="D357" s="5"/>
      <c r="E357" s="5"/>
      <c r="F357" s="5"/>
      <c r="G357" s="5"/>
      <c r="H357" s="5"/>
      <c r="I357" s="5"/>
      <c r="J357" s="5"/>
      <c r="K357" s="5"/>
    </row>
    <row r="358" spans="1:11" ht="15.75" customHeight="1" x14ac:dyDescent="0.25">
      <c r="A358" s="5"/>
      <c r="B358" s="5"/>
      <c r="C358" s="12"/>
      <c r="D358" s="5"/>
      <c r="E358" s="5"/>
      <c r="F358" s="5"/>
      <c r="G358" s="5"/>
      <c r="H358" s="5"/>
      <c r="I358" s="5"/>
      <c r="J358" s="5"/>
      <c r="K358" s="5"/>
    </row>
    <row r="359" spans="1:11" ht="15.75" customHeight="1" x14ac:dyDescent="0.25">
      <c r="A359" s="5"/>
      <c r="B359" s="5"/>
      <c r="C359" s="12"/>
      <c r="D359" s="5"/>
      <c r="E359" s="5"/>
      <c r="F359" s="5"/>
      <c r="G359" s="5"/>
      <c r="H359" s="5"/>
      <c r="I359" s="5"/>
      <c r="J359" s="5"/>
      <c r="K359" s="5"/>
    </row>
    <row r="360" spans="1:11" ht="15.75" customHeight="1" x14ac:dyDescent="0.25">
      <c r="A360" s="5"/>
      <c r="B360" s="5"/>
      <c r="C360" s="12"/>
      <c r="D360" s="5"/>
      <c r="E360" s="5"/>
      <c r="F360" s="5"/>
      <c r="G360" s="5"/>
      <c r="H360" s="5"/>
      <c r="I360" s="5"/>
      <c r="J360" s="5"/>
      <c r="K360" s="5"/>
    </row>
    <row r="361" spans="1:11" ht="15.75" customHeight="1" x14ac:dyDescent="0.25">
      <c r="A361" s="5"/>
      <c r="B361" s="5"/>
      <c r="C361" s="12"/>
      <c r="D361" s="5"/>
      <c r="E361" s="5"/>
      <c r="F361" s="5"/>
      <c r="G361" s="5"/>
      <c r="H361" s="5"/>
      <c r="I361" s="5"/>
      <c r="J361" s="5"/>
      <c r="K361" s="5"/>
    </row>
    <row r="362" spans="1:11" ht="15.75" customHeight="1" x14ac:dyDescent="0.25">
      <c r="A362" s="5"/>
      <c r="B362" s="5"/>
      <c r="C362" s="12"/>
      <c r="D362" s="5"/>
      <c r="E362" s="5"/>
      <c r="F362" s="5"/>
      <c r="G362" s="5"/>
      <c r="H362" s="5"/>
      <c r="I362" s="5"/>
      <c r="J362" s="5"/>
      <c r="K362" s="5"/>
    </row>
    <row r="363" spans="1:11" ht="15.75" customHeight="1" x14ac:dyDescent="0.25">
      <c r="A363" s="5"/>
      <c r="B363" s="5"/>
      <c r="C363" s="12"/>
      <c r="D363" s="5"/>
      <c r="E363" s="5"/>
      <c r="F363" s="5"/>
      <c r="G363" s="5"/>
      <c r="H363" s="5"/>
      <c r="I363" s="5"/>
      <c r="J363" s="5"/>
      <c r="K363" s="5"/>
    </row>
    <row r="364" spans="1:11" ht="15.75" customHeight="1" x14ac:dyDescent="0.25">
      <c r="A364" s="5"/>
      <c r="B364" s="5"/>
      <c r="C364" s="12"/>
      <c r="D364" s="5"/>
      <c r="E364" s="5"/>
      <c r="F364" s="5"/>
      <c r="G364" s="5"/>
      <c r="H364" s="5"/>
      <c r="I364" s="5"/>
      <c r="J364" s="5"/>
      <c r="K364" s="5"/>
    </row>
    <row r="365" spans="1:11" ht="15.75" customHeight="1" x14ac:dyDescent="0.25">
      <c r="A365" s="5"/>
      <c r="B365" s="5"/>
      <c r="C365" s="12"/>
      <c r="D365" s="5"/>
      <c r="E365" s="5"/>
      <c r="F365" s="5"/>
      <c r="G365" s="5"/>
      <c r="H365" s="5"/>
      <c r="I365" s="5"/>
      <c r="J365" s="5"/>
      <c r="K365" s="5"/>
    </row>
    <row r="366" spans="1:11" ht="15.75" customHeight="1" x14ac:dyDescent="0.25">
      <c r="A366" s="5"/>
      <c r="B366" s="5"/>
      <c r="C366" s="12"/>
      <c r="D366" s="5"/>
      <c r="E366" s="5"/>
      <c r="F366" s="5"/>
      <c r="G366" s="5"/>
      <c r="H366" s="5"/>
      <c r="I366" s="5"/>
      <c r="J366" s="5"/>
      <c r="K366" s="5"/>
    </row>
    <row r="367" spans="1:11" ht="15.75" customHeight="1" x14ac:dyDescent="0.25">
      <c r="A367" s="5"/>
      <c r="B367" s="5"/>
      <c r="C367" s="12"/>
      <c r="D367" s="5"/>
      <c r="E367" s="5"/>
      <c r="F367" s="5"/>
      <c r="G367" s="5"/>
      <c r="H367" s="5"/>
      <c r="I367" s="5"/>
      <c r="J367" s="5"/>
      <c r="K367" s="5"/>
    </row>
    <row r="368" spans="1:11" ht="15.75" customHeight="1" x14ac:dyDescent="0.25">
      <c r="A368" s="5"/>
      <c r="B368" s="5"/>
      <c r="C368" s="12"/>
      <c r="D368" s="5"/>
      <c r="E368" s="5"/>
      <c r="F368" s="5"/>
      <c r="G368" s="5"/>
      <c r="H368" s="5"/>
      <c r="I368" s="5"/>
      <c r="J368" s="5"/>
      <c r="K368" s="5"/>
    </row>
    <row r="369" spans="1:11" ht="15.75" customHeight="1" x14ac:dyDescent="0.25">
      <c r="A369" s="5"/>
      <c r="B369" s="5"/>
      <c r="C369" s="12"/>
      <c r="D369" s="5"/>
      <c r="E369" s="5"/>
      <c r="F369" s="5"/>
      <c r="G369" s="5"/>
      <c r="H369" s="5"/>
      <c r="I369" s="5"/>
      <c r="J369" s="5"/>
      <c r="K369" s="5"/>
    </row>
    <row r="370" spans="1:11" ht="15.75" customHeight="1" x14ac:dyDescent="0.25">
      <c r="A370" s="5"/>
      <c r="B370" s="5"/>
      <c r="C370" s="12"/>
      <c r="D370" s="5"/>
      <c r="E370" s="5"/>
      <c r="F370" s="5"/>
      <c r="G370" s="5"/>
      <c r="H370" s="5"/>
      <c r="I370" s="5"/>
      <c r="J370" s="5"/>
      <c r="K370" s="5"/>
    </row>
    <row r="371" spans="1:11" ht="15.75" customHeight="1" x14ac:dyDescent="0.25">
      <c r="A371" s="5"/>
      <c r="B371" s="5"/>
      <c r="C371" s="12"/>
      <c r="D371" s="5"/>
      <c r="E371" s="5"/>
      <c r="F371" s="5"/>
      <c r="G371" s="5"/>
      <c r="H371" s="5"/>
      <c r="I371" s="5"/>
      <c r="J371" s="5"/>
      <c r="K371" s="5"/>
    </row>
    <row r="372" spans="1:11" ht="15.75" customHeight="1" x14ac:dyDescent="0.25">
      <c r="A372" s="5"/>
      <c r="B372" s="5"/>
      <c r="C372" s="12"/>
      <c r="D372" s="5"/>
      <c r="E372" s="5"/>
      <c r="F372" s="5"/>
      <c r="G372" s="5"/>
      <c r="H372" s="5"/>
      <c r="I372" s="5"/>
      <c r="J372" s="5"/>
      <c r="K372" s="5"/>
    </row>
    <row r="373" spans="1:11" ht="15.75" customHeight="1" x14ac:dyDescent="0.25">
      <c r="A373" s="5"/>
      <c r="B373" s="5"/>
      <c r="C373" s="12"/>
      <c r="D373" s="5"/>
      <c r="E373" s="5"/>
      <c r="F373" s="5"/>
      <c r="G373" s="5"/>
      <c r="H373" s="5"/>
      <c r="I373" s="5"/>
      <c r="J373" s="5"/>
      <c r="K373" s="5"/>
    </row>
    <row r="374" spans="1:11" ht="15.75" customHeight="1" x14ac:dyDescent="0.25">
      <c r="A374" s="5"/>
      <c r="B374" s="5"/>
      <c r="C374" s="12"/>
      <c r="D374" s="5"/>
      <c r="E374" s="5"/>
      <c r="F374" s="5"/>
      <c r="G374" s="5"/>
      <c r="H374" s="5"/>
      <c r="I374" s="5"/>
      <c r="J374" s="5"/>
      <c r="K374" s="5"/>
    </row>
    <row r="375" spans="1:11" ht="15.75" customHeight="1" x14ac:dyDescent="0.25">
      <c r="A375" s="5"/>
      <c r="B375" s="5"/>
      <c r="C375" s="12"/>
      <c r="D375" s="5"/>
      <c r="E375" s="5"/>
      <c r="F375" s="5"/>
      <c r="G375" s="5"/>
      <c r="H375" s="5"/>
      <c r="I375" s="5"/>
      <c r="J375" s="5"/>
      <c r="K375" s="5"/>
    </row>
    <row r="376" spans="1:11" ht="15.75" customHeight="1" x14ac:dyDescent="0.25">
      <c r="A376" s="5"/>
      <c r="B376" s="5"/>
      <c r="C376" s="12"/>
      <c r="D376" s="5"/>
      <c r="E376" s="5"/>
      <c r="F376" s="5"/>
      <c r="G376" s="5"/>
      <c r="H376" s="5"/>
      <c r="I376" s="5"/>
      <c r="J376" s="5"/>
      <c r="K376" s="5"/>
    </row>
    <row r="377" spans="1:11" ht="15.75" customHeight="1" x14ac:dyDescent="0.25">
      <c r="A377" s="5"/>
      <c r="B377" s="5"/>
      <c r="C377" s="12"/>
      <c r="D377" s="5"/>
      <c r="E377" s="5"/>
      <c r="F377" s="5"/>
      <c r="G377" s="5"/>
      <c r="H377" s="5"/>
      <c r="I377" s="5"/>
      <c r="J377" s="5"/>
      <c r="K377" s="5"/>
    </row>
    <row r="378" spans="1:11" ht="15.75" customHeight="1" x14ac:dyDescent="0.25">
      <c r="A378" s="5"/>
      <c r="B378" s="5"/>
      <c r="C378" s="12"/>
      <c r="D378" s="5"/>
      <c r="E378" s="5"/>
      <c r="F378" s="5"/>
      <c r="G378" s="5"/>
      <c r="H378" s="5"/>
      <c r="I378" s="5"/>
      <c r="J378" s="5"/>
      <c r="K378" s="5"/>
    </row>
    <row r="379" spans="1:11" ht="15.75" customHeight="1" x14ac:dyDescent="0.25">
      <c r="A379" s="5"/>
      <c r="B379" s="5"/>
      <c r="C379" s="12"/>
      <c r="D379" s="5"/>
      <c r="E379" s="5"/>
      <c r="F379" s="5"/>
      <c r="G379" s="5"/>
      <c r="H379" s="5"/>
      <c r="I379" s="5"/>
      <c r="J379" s="5"/>
      <c r="K379" s="5"/>
    </row>
    <row r="380" spans="1:11" ht="15.75" customHeight="1" x14ac:dyDescent="0.25">
      <c r="A380" s="5"/>
      <c r="B380" s="5"/>
      <c r="C380" s="12"/>
      <c r="D380" s="5"/>
      <c r="E380" s="5"/>
      <c r="F380" s="5"/>
      <c r="G380" s="5"/>
      <c r="H380" s="5"/>
      <c r="I380" s="5"/>
      <c r="J380" s="5"/>
      <c r="K380" s="5"/>
    </row>
    <row r="381" spans="1:11" ht="15.75" customHeight="1" x14ac:dyDescent="0.25">
      <c r="A381" s="5"/>
      <c r="B381" s="5"/>
      <c r="C381" s="12"/>
      <c r="D381" s="5"/>
      <c r="E381" s="5"/>
      <c r="F381" s="5"/>
      <c r="G381" s="5"/>
      <c r="H381" s="5"/>
      <c r="I381" s="5"/>
      <c r="J381" s="5"/>
      <c r="K381" s="5"/>
    </row>
    <row r="382" spans="1:11" ht="15.75" customHeight="1" x14ac:dyDescent="0.25">
      <c r="A382" s="5"/>
      <c r="B382" s="5"/>
      <c r="C382" s="12"/>
      <c r="D382" s="5"/>
      <c r="E382" s="5"/>
      <c r="F382" s="5"/>
      <c r="G382" s="5"/>
      <c r="H382" s="5"/>
      <c r="I382" s="5"/>
      <c r="J382" s="5"/>
      <c r="K382" s="5"/>
    </row>
    <row r="383" spans="1:11" ht="15.75" customHeight="1" x14ac:dyDescent="0.25">
      <c r="A383" s="5"/>
      <c r="B383" s="5"/>
      <c r="C383" s="12"/>
      <c r="D383" s="5"/>
      <c r="E383" s="5"/>
      <c r="F383" s="5"/>
      <c r="G383" s="5"/>
      <c r="H383" s="5"/>
      <c r="I383" s="5"/>
      <c r="J383" s="5"/>
      <c r="K383" s="5"/>
    </row>
    <row r="384" spans="1:11" ht="15.75" customHeight="1" x14ac:dyDescent="0.25">
      <c r="A384" s="5"/>
      <c r="B384" s="5"/>
      <c r="C384" s="12"/>
      <c r="D384" s="5"/>
      <c r="E384" s="5"/>
      <c r="F384" s="5"/>
      <c r="G384" s="5"/>
      <c r="H384" s="5"/>
      <c r="I384" s="5"/>
      <c r="J384" s="5"/>
      <c r="K384" s="5"/>
    </row>
    <row r="385" spans="1:11" ht="15.75" customHeight="1" x14ac:dyDescent="0.25">
      <c r="A385" s="5"/>
      <c r="B385" s="5"/>
      <c r="C385" s="12"/>
      <c r="D385" s="5"/>
      <c r="E385" s="5"/>
      <c r="F385" s="5"/>
      <c r="G385" s="5"/>
      <c r="H385" s="5"/>
      <c r="I385" s="5"/>
      <c r="J385" s="5"/>
      <c r="K385" s="5"/>
    </row>
    <row r="386" spans="1:11" ht="15.75" customHeight="1" x14ac:dyDescent="0.25">
      <c r="A386" s="5"/>
      <c r="B386" s="5"/>
      <c r="C386" s="12"/>
      <c r="D386" s="5"/>
      <c r="E386" s="5"/>
      <c r="F386" s="5"/>
      <c r="G386" s="5"/>
      <c r="H386" s="5"/>
      <c r="I386" s="5"/>
      <c r="J386" s="5"/>
      <c r="K386" s="5"/>
    </row>
    <row r="387" spans="1:11" ht="15.75" customHeight="1" x14ac:dyDescent="0.25">
      <c r="A387" s="5"/>
      <c r="B387" s="5"/>
      <c r="C387" s="12"/>
      <c r="D387" s="5"/>
      <c r="E387" s="5"/>
      <c r="F387" s="5"/>
      <c r="G387" s="5"/>
      <c r="H387" s="5"/>
      <c r="I387" s="5"/>
      <c r="J387" s="5"/>
      <c r="K387" s="5"/>
    </row>
    <row r="388" spans="1:11" ht="15.75" customHeight="1" x14ac:dyDescent="0.25">
      <c r="A388" s="5"/>
      <c r="B388" s="5"/>
      <c r="C388" s="12"/>
      <c r="D388" s="5"/>
      <c r="E388" s="5"/>
      <c r="F388" s="5"/>
      <c r="G388" s="5"/>
      <c r="H388" s="5"/>
      <c r="I388" s="5"/>
      <c r="J388" s="5"/>
      <c r="K388" s="5"/>
    </row>
    <row r="389" spans="1:11" ht="15.75" customHeight="1" x14ac:dyDescent="0.25">
      <c r="A389" s="5"/>
      <c r="B389" s="5"/>
      <c r="C389" s="12"/>
      <c r="D389" s="5"/>
      <c r="E389" s="5"/>
      <c r="F389" s="5"/>
      <c r="G389" s="5"/>
      <c r="H389" s="5"/>
      <c r="I389" s="5"/>
      <c r="J389" s="5"/>
      <c r="K389" s="5"/>
    </row>
    <row r="390" spans="1:11" ht="15.75" customHeight="1" x14ac:dyDescent="0.25">
      <c r="A390" s="5"/>
      <c r="B390" s="5"/>
      <c r="C390" s="12"/>
      <c r="D390" s="5"/>
      <c r="E390" s="5"/>
      <c r="F390" s="5"/>
      <c r="G390" s="5"/>
      <c r="H390" s="5"/>
      <c r="I390" s="5"/>
      <c r="J390" s="5"/>
      <c r="K390" s="5"/>
    </row>
    <row r="391" spans="1:11" ht="15.75" customHeight="1" x14ac:dyDescent="0.25">
      <c r="A391" s="5"/>
      <c r="B391" s="5"/>
      <c r="C391" s="12"/>
      <c r="D391" s="5"/>
      <c r="E391" s="5"/>
      <c r="F391" s="5"/>
      <c r="G391" s="5"/>
      <c r="H391" s="5"/>
      <c r="I391" s="5"/>
      <c r="J391" s="5"/>
      <c r="K391" s="5"/>
    </row>
    <row r="392" spans="1:11" ht="15.75" customHeight="1" x14ac:dyDescent="0.25">
      <c r="A392" s="5"/>
      <c r="B392" s="5"/>
      <c r="C392" s="12"/>
      <c r="D392" s="5"/>
      <c r="E392" s="5"/>
      <c r="F392" s="5"/>
      <c r="G392" s="5"/>
      <c r="H392" s="5"/>
      <c r="I392" s="5"/>
      <c r="J392" s="5"/>
      <c r="K392" s="5"/>
    </row>
    <row r="393" spans="1:11" ht="15.75" customHeight="1" x14ac:dyDescent="0.25">
      <c r="A393" s="5"/>
      <c r="B393" s="5"/>
      <c r="C393" s="12"/>
      <c r="D393" s="5"/>
      <c r="E393" s="5"/>
      <c r="F393" s="5"/>
      <c r="G393" s="5"/>
      <c r="H393" s="5"/>
      <c r="I393" s="5"/>
      <c r="J393" s="5"/>
      <c r="K393" s="5"/>
    </row>
    <row r="394" spans="1:11" ht="15.75" customHeight="1" x14ac:dyDescent="0.25">
      <c r="A394" s="5"/>
      <c r="B394" s="5"/>
      <c r="C394" s="12"/>
      <c r="D394" s="5"/>
      <c r="E394" s="5"/>
      <c r="F394" s="5"/>
      <c r="G394" s="5"/>
      <c r="H394" s="5"/>
      <c r="I394" s="5"/>
      <c r="J394" s="5"/>
      <c r="K394" s="5"/>
    </row>
    <row r="395" spans="1:11" ht="15.75" customHeight="1" x14ac:dyDescent="0.25">
      <c r="A395" s="5"/>
      <c r="B395" s="5"/>
      <c r="C395" s="12"/>
      <c r="D395" s="5"/>
      <c r="E395" s="5"/>
      <c r="F395" s="5"/>
      <c r="G395" s="5"/>
      <c r="H395" s="5"/>
      <c r="I395" s="5"/>
      <c r="J395" s="5"/>
      <c r="K395" s="8"/>
    </row>
    <row r="396" spans="1:11" ht="15.75" customHeight="1" x14ac:dyDescent="0.25">
      <c r="A396" s="5"/>
      <c r="B396" s="5"/>
      <c r="C396" s="12"/>
      <c r="D396" s="5"/>
      <c r="E396" s="5"/>
      <c r="F396" s="5"/>
      <c r="G396" s="5"/>
      <c r="H396" s="5"/>
      <c r="I396" s="5"/>
      <c r="J396" s="5"/>
      <c r="K396" s="8"/>
    </row>
    <row r="397" spans="1:11" ht="15.75" customHeight="1" x14ac:dyDescent="0.25">
      <c r="A397" s="5"/>
      <c r="B397" s="5"/>
      <c r="C397" s="12"/>
      <c r="D397" s="5"/>
      <c r="E397" s="5"/>
      <c r="F397" s="5"/>
      <c r="G397" s="5"/>
      <c r="H397" s="8"/>
      <c r="I397" s="5"/>
      <c r="J397" s="5"/>
      <c r="K397" s="8"/>
    </row>
    <row r="398" spans="1:11" ht="15.75" customHeight="1" x14ac:dyDescent="0.25">
      <c r="A398" s="5"/>
      <c r="B398" s="5"/>
      <c r="C398" s="12"/>
      <c r="D398" s="5"/>
      <c r="E398" s="5"/>
      <c r="F398" s="5"/>
      <c r="G398" s="5"/>
      <c r="H398" s="5"/>
      <c r="I398" s="5"/>
      <c r="J398" s="5"/>
      <c r="K398" s="8"/>
    </row>
    <row r="399" spans="1:11" ht="15.75" customHeight="1" x14ac:dyDescent="0.25">
      <c r="A399" s="5"/>
      <c r="B399" s="5"/>
      <c r="C399" s="12"/>
      <c r="D399" s="5"/>
      <c r="E399" s="5"/>
      <c r="F399" s="5"/>
      <c r="G399" s="5"/>
      <c r="H399" s="5"/>
      <c r="I399" s="5"/>
      <c r="J399" s="5"/>
      <c r="K399" s="8"/>
    </row>
    <row r="400" spans="1:11" ht="15.75" customHeight="1" x14ac:dyDescent="0.25">
      <c r="A400" s="5"/>
      <c r="B400" s="5"/>
      <c r="C400" s="12"/>
      <c r="D400" s="5"/>
      <c r="E400" s="5"/>
      <c r="F400" s="5"/>
      <c r="G400" s="5"/>
      <c r="H400" s="5"/>
      <c r="I400" s="5"/>
      <c r="J400" s="5"/>
      <c r="K400" s="8"/>
    </row>
    <row r="401" spans="1:11" ht="15.75" customHeight="1" x14ac:dyDescent="0.25">
      <c r="A401" s="5"/>
      <c r="B401" s="5"/>
      <c r="C401" s="12"/>
      <c r="D401" s="5"/>
      <c r="E401" s="5"/>
      <c r="F401" s="5"/>
      <c r="G401" s="5"/>
      <c r="H401" s="5"/>
      <c r="I401" s="5"/>
      <c r="J401" s="5"/>
      <c r="K401" s="8"/>
    </row>
    <row r="402" spans="1:11" ht="15.75" customHeight="1" x14ac:dyDescent="0.25">
      <c r="A402" s="5"/>
      <c r="B402" s="5"/>
      <c r="C402" s="12"/>
      <c r="D402" s="5"/>
      <c r="E402" s="5"/>
      <c r="F402" s="5"/>
      <c r="G402" s="5"/>
      <c r="H402" s="5"/>
      <c r="I402" s="5"/>
      <c r="J402" s="5"/>
      <c r="K402" s="8"/>
    </row>
    <row r="403" spans="1:11" ht="15.75" customHeight="1" x14ac:dyDescent="0.25">
      <c r="A403" s="5"/>
      <c r="B403" s="5"/>
      <c r="C403" s="12"/>
      <c r="D403" s="5"/>
      <c r="E403" s="5"/>
      <c r="F403" s="5"/>
      <c r="G403" s="5"/>
      <c r="H403" s="5"/>
      <c r="I403" s="5"/>
      <c r="J403" s="5"/>
      <c r="K403" s="8"/>
    </row>
    <row r="404" spans="1:11" ht="15.75" customHeight="1" x14ac:dyDescent="0.25">
      <c r="A404" s="5"/>
      <c r="B404" s="5"/>
      <c r="C404" s="12"/>
      <c r="D404" s="5"/>
      <c r="E404" s="5"/>
      <c r="F404" s="5"/>
      <c r="G404" s="5"/>
      <c r="H404" s="5"/>
      <c r="I404" s="5"/>
      <c r="J404" s="5"/>
      <c r="K404" s="8"/>
    </row>
    <row r="405" spans="1:11" ht="15.75" customHeight="1" x14ac:dyDescent="0.25">
      <c r="A405" s="5"/>
      <c r="B405" s="5"/>
      <c r="C405" s="12"/>
      <c r="D405" s="5"/>
      <c r="E405" s="5"/>
      <c r="F405" s="5"/>
      <c r="G405" s="5"/>
      <c r="H405" s="5"/>
      <c r="I405" s="5"/>
      <c r="J405" s="5"/>
      <c r="K405" s="8"/>
    </row>
    <row r="406" spans="1:11" ht="15.75" customHeight="1" x14ac:dyDescent="0.25">
      <c r="A406" s="5"/>
      <c r="B406" s="5"/>
      <c r="C406" s="12"/>
      <c r="D406" s="5"/>
      <c r="E406" s="5"/>
      <c r="F406" s="5"/>
      <c r="G406" s="5"/>
      <c r="H406" s="5"/>
      <c r="I406" s="5"/>
      <c r="J406" s="5"/>
      <c r="K406" s="8"/>
    </row>
    <row r="407" spans="1:11" ht="15.75" customHeight="1" x14ac:dyDescent="0.25">
      <c r="A407" s="5"/>
      <c r="B407" s="5"/>
      <c r="C407" s="12"/>
      <c r="D407" s="5"/>
      <c r="E407" s="5"/>
      <c r="F407" s="5"/>
      <c r="G407" s="5"/>
      <c r="H407" s="5"/>
      <c r="I407" s="5"/>
      <c r="J407" s="5"/>
      <c r="K407" s="8"/>
    </row>
    <row r="408" spans="1:11" ht="15.75" customHeight="1" x14ac:dyDescent="0.25">
      <c r="A408" s="5"/>
      <c r="B408" s="5"/>
      <c r="C408" s="12"/>
      <c r="D408" s="5"/>
      <c r="E408" s="5"/>
      <c r="F408" s="5"/>
      <c r="G408" s="5"/>
      <c r="H408" s="5"/>
      <c r="I408" s="5"/>
      <c r="J408" s="5"/>
      <c r="K408" s="8"/>
    </row>
    <row r="409" spans="1:11" ht="15.75" customHeight="1" x14ac:dyDescent="0.25">
      <c r="A409" s="5"/>
      <c r="B409" s="5"/>
      <c r="C409" s="12"/>
      <c r="D409" s="5"/>
      <c r="E409" s="5"/>
      <c r="F409" s="5"/>
      <c r="G409" s="5"/>
      <c r="H409" s="5"/>
      <c r="I409" s="5"/>
      <c r="J409" s="5"/>
      <c r="K409" s="8"/>
    </row>
    <row r="410" spans="1:11" ht="15.75" customHeight="1" x14ac:dyDescent="0.25">
      <c r="A410" s="5"/>
      <c r="B410" s="5"/>
      <c r="C410" s="12"/>
      <c r="D410" s="5"/>
      <c r="E410" s="5"/>
      <c r="F410" s="5"/>
      <c r="G410" s="5"/>
      <c r="H410" s="5"/>
      <c r="I410" s="5"/>
      <c r="J410" s="5"/>
      <c r="K410" s="8"/>
    </row>
    <row r="411" spans="1:11" ht="15.75" customHeight="1" x14ac:dyDescent="0.25">
      <c r="A411" s="5"/>
      <c r="B411" s="5"/>
      <c r="C411" s="12"/>
      <c r="D411" s="5"/>
      <c r="E411" s="5"/>
      <c r="F411" s="5"/>
      <c r="G411" s="5"/>
      <c r="H411" s="5"/>
      <c r="I411" s="5"/>
      <c r="J411" s="5"/>
      <c r="K411" s="8"/>
    </row>
    <row r="412" spans="1:11" ht="15.75" customHeight="1" x14ac:dyDescent="0.25">
      <c r="A412" s="5"/>
      <c r="B412" s="5"/>
      <c r="C412" s="12"/>
      <c r="D412" s="5"/>
      <c r="E412" s="5"/>
      <c r="F412" s="5"/>
      <c r="G412" s="5"/>
      <c r="H412" s="5"/>
      <c r="I412" s="5"/>
      <c r="J412" s="5"/>
      <c r="K412" s="8"/>
    </row>
    <row r="413" spans="1:11" ht="15.75" customHeight="1" x14ac:dyDescent="0.25">
      <c r="A413" s="5"/>
      <c r="B413" s="5"/>
      <c r="C413" s="12"/>
      <c r="D413" s="5"/>
      <c r="E413" s="5"/>
      <c r="F413" s="5"/>
      <c r="G413" s="5"/>
      <c r="H413" s="5"/>
      <c r="I413" s="5"/>
      <c r="J413" s="5"/>
      <c r="K413" s="8"/>
    </row>
    <row r="414" spans="1:11" ht="15.75" customHeight="1" x14ac:dyDescent="0.25">
      <c r="A414" s="5"/>
      <c r="B414" s="5"/>
      <c r="C414" s="12"/>
      <c r="D414" s="5"/>
      <c r="E414" s="5"/>
      <c r="F414" s="5"/>
      <c r="G414" s="5"/>
      <c r="H414" s="5"/>
      <c r="I414" s="5"/>
      <c r="J414" s="5"/>
      <c r="K414" s="8"/>
    </row>
    <row r="415" spans="1:11" ht="15.75" customHeight="1" x14ac:dyDescent="0.25">
      <c r="A415" s="5"/>
      <c r="B415" s="5"/>
      <c r="C415" s="12"/>
      <c r="D415" s="5"/>
      <c r="E415" s="5"/>
      <c r="F415" s="5"/>
      <c r="G415" s="5"/>
      <c r="H415" s="5"/>
      <c r="I415" s="5"/>
      <c r="J415" s="5"/>
      <c r="K415" s="8"/>
    </row>
    <row r="416" spans="1:11" ht="15.75" customHeight="1" x14ac:dyDescent="0.25">
      <c r="A416" s="5"/>
      <c r="B416" s="5"/>
      <c r="C416" s="12"/>
      <c r="D416" s="5"/>
      <c r="E416" s="5"/>
      <c r="F416" s="5"/>
      <c r="G416" s="5"/>
      <c r="H416" s="5"/>
      <c r="I416" s="5"/>
      <c r="J416" s="5"/>
      <c r="K416" s="8"/>
    </row>
    <row r="417" spans="1:11" ht="15.75" customHeight="1" x14ac:dyDescent="0.25">
      <c r="A417" s="5"/>
      <c r="B417" s="5"/>
      <c r="C417" s="12"/>
      <c r="D417" s="5"/>
      <c r="E417" s="5"/>
      <c r="F417" s="5"/>
      <c r="G417" s="5"/>
      <c r="H417" s="5"/>
      <c r="I417" s="5"/>
      <c r="J417" s="5"/>
      <c r="K417" s="8"/>
    </row>
    <row r="418" spans="1:11" ht="15.75" customHeight="1" x14ac:dyDescent="0.25">
      <c r="A418" s="5"/>
      <c r="B418" s="5"/>
      <c r="C418" s="12"/>
      <c r="D418" s="5"/>
      <c r="E418" s="5"/>
      <c r="F418" s="5"/>
      <c r="G418" s="5"/>
      <c r="H418" s="5"/>
      <c r="I418" s="5"/>
      <c r="J418" s="5"/>
      <c r="K418" s="8"/>
    </row>
    <row r="419" spans="1:11" ht="15.75" customHeight="1" x14ac:dyDescent="0.25">
      <c r="A419" s="5"/>
      <c r="B419" s="5"/>
      <c r="C419" s="12"/>
      <c r="D419" s="5"/>
      <c r="E419" s="5"/>
      <c r="F419" s="5"/>
      <c r="G419" s="5"/>
      <c r="H419" s="5"/>
      <c r="I419" s="5"/>
      <c r="J419" s="5"/>
      <c r="K419" s="8"/>
    </row>
    <row r="420" spans="1:11" ht="15.75" customHeight="1" x14ac:dyDescent="0.25">
      <c r="A420" s="5"/>
      <c r="B420" s="5"/>
      <c r="C420" s="12"/>
      <c r="D420" s="5"/>
      <c r="E420" s="5"/>
      <c r="F420" s="5"/>
      <c r="G420" s="5"/>
      <c r="H420" s="5"/>
      <c r="I420" s="5"/>
      <c r="J420" s="5"/>
      <c r="K420" s="8"/>
    </row>
    <row r="421" spans="1:11" ht="15.75" customHeight="1" x14ac:dyDescent="0.25">
      <c r="A421" s="5"/>
      <c r="B421" s="5"/>
      <c r="C421" s="12"/>
      <c r="D421" s="5"/>
      <c r="E421" s="5"/>
      <c r="F421" s="5"/>
      <c r="G421" s="5"/>
      <c r="H421" s="5"/>
      <c r="I421" s="5"/>
      <c r="J421" s="5"/>
      <c r="K421" s="8"/>
    </row>
    <row r="422" spans="1:11" ht="15.75" customHeight="1" x14ac:dyDescent="0.25">
      <c r="A422" s="5"/>
      <c r="B422" s="5"/>
      <c r="C422" s="12"/>
      <c r="D422" s="5"/>
      <c r="E422" s="5"/>
      <c r="F422" s="5"/>
      <c r="G422" s="5"/>
      <c r="H422" s="5"/>
      <c r="I422" s="5"/>
      <c r="J422" s="5"/>
      <c r="K422" s="8"/>
    </row>
    <row r="423" spans="1:11" ht="15.75" customHeight="1" x14ac:dyDescent="0.25">
      <c r="A423" s="5"/>
      <c r="B423" s="5"/>
      <c r="C423" s="12"/>
      <c r="D423" s="5"/>
      <c r="E423" s="5"/>
      <c r="F423" s="5"/>
      <c r="G423" s="5"/>
      <c r="H423" s="5"/>
      <c r="I423" s="5"/>
      <c r="J423" s="5"/>
      <c r="K423" s="8"/>
    </row>
    <row r="424" spans="1:11" ht="15.75" customHeight="1" x14ac:dyDescent="0.25">
      <c r="A424" s="5"/>
      <c r="B424" s="5"/>
      <c r="C424" s="12"/>
      <c r="D424" s="5"/>
      <c r="E424" s="5"/>
      <c r="F424" s="5"/>
      <c r="G424" s="5"/>
      <c r="H424" s="5"/>
      <c r="I424" s="5"/>
      <c r="J424" s="5"/>
      <c r="K424" s="8"/>
    </row>
    <row r="425" spans="1:11" ht="15.75" customHeight="1" x14ac:dyDescent="0.25">
      <c r="A425" s="5"/>
      <c r="B425" s="5"/>
      <c r="C425" s="12"/>
      <c r="D425" s="5"/>
      <c r="E425" s="5"/>
      <c r="F425" s="5"/>
      <c r="G425" s="5"/>
      <c r="H425" s="5"/>
      <c r="I425" s="5"/>
      <c r="J425" s="5"/>
      <c r="K425" s="5"/>
    </row>
    <row r="426" spans="1:11" ht="15.75" customHeight="1" x14ac:dyDescent="0.25">
      <c r="A426" s="5"/>
      <c r="B426" s="5"/>
      <c r="C426" s="12"/>
      <c r="D426" s="5"/>
      <c r="E426" s="5"/>
      <c r="F426" s="5"/>
      <c r="G426" s="5"/>
      <c r="H426" s="5"/>
      <c r="I426" s="5"/>
      <c r="J426" s="5"/>
      <c r="K426" s="8"/>
    </row>
    <row r="427" spans="1:11" ht="15.75" customHeight="1" x14ac:dyDescent="0.25">
      <c r="A427" s="5"/>
      <c r="B427" s="5"/>
      <c r="C427" s="12"/>
      <c r="D427" s="5"/>
      <c r="E427" s="5"/>
      <c r="F427" s="5"/>
      <c r="G427" s="5"/>
      <c r="H427" s="5"/>
      <c r="I427" s="5"/>
      <c r="J427" s="5"/>
      <c r="K427" s="5"/>
    </row>
    <row r="428" spans="1:11" ht="15.75" customHeight="1" x14ac:dyDescent="0.25">
      <c r="A428" s="5"/>
      <c r="B428" s="5"/>
      <c r="C428" s="12"/>
      <c r="D428" s="5"/>
      <c r="E428" s="5"/>
      <c r="F428" s="5"/>
      <c r="G428" s="5"/>
      <c r="H428" s="5"/>
      <c r="I428" s="5"/>
      <c r="J428" s="5"/>
      <c r="K428" s="5"/>
    </row>
    <row r="429" spans="1:11" ht="15.75" customHeight="1" x14ac:dyDescent="0.25">
      <c r="A429" s="5"/>
      <c r="B429" s="5"/>
      <c r="C429" s="12"/>
      <c r="D429" s="5"/>
      <c r="E429" s="5"/>
      <c r="F429" s="5"/>
      <c r="G429" s="5"/>
      <c r="H429" s="5"/>
      <c r="I429" s="5"/>
      <c r="J429" s="5"/>
      <c r="K429" s="5"/>
    </row>
    <row r="430" spans="1:11" ht="15.75" customHeight="1" x14ac:dyDescent="0.25">
      <c r="A430" s="5"/>
      <c r="B430" s="5"/>
      <c r="C430" s="12"/>
      <c r="D430" s="5"/>
      <c r="E430" s="5"/>
      <c r="F430" s="5"/>
      <c r="G430" s="5"/>
      <c r="H430" s="5"/>
      <c r="I430" s="5"/>
      <c r="J430" s="5"/>
      <c r="K430" s="5"/>
    </row>
    <row r="431" spans="1:11" ht="15.75" customHeight="1" x14ac:dyDescent="0.25">
      <c r="A431" s="5"/>
      <c r="B431" s="5"/>
      <c r="C431" s="12"/>
      <c r="D431" s="5"/>
      <c r="E431" s="5"/>
      <c r="F431" s="5"/>
      <c r="G431" s="5"/>
      <c r="H431" s="5"/>
      <c r="I431" s="5"/>
      <c r="J431" s="5"/>
      <c r="K431" s="5"/>
    </row>
    <row r="432" spans="1:11" ht="15.75" customHeight="1" x14ac:dyDescent="0.25">
      <c r="A432" s="5"/>
      <c r="B432" s="5"/>
      <c r="C432" s="12"/>
      <c r="D432" s="5"/>
      <c r="E432" s="5"/>
      <c r="F432" s="5"/>
      <c r="G432" s="5"/>
      <c r="H432" s="5"/>
      <c r="I432" s="5"/>
      <c r="J432" s="5"/>
      <c r="K432" s="5"/>
    </row>
    <row r="433" spans="1:11" ht="15.75" customHeight="1" x14ac:dyDescent="0.25">
      <c r="A433" s="5"/>
      <c r="B433" s="5"/>
      <c r="C433" s="12"/>
      <c r="D433" s="5"/>
      <c r="E433" s="5"/>
      <c r="F433" s="5"/>
      <c r="G433" s="5"/>
      <c r="H433" s="5"/>
      <c r="I433" s="5"/>
      <c r="J433" s="5"/>
      <c r="K433" s="5"/>
    </row>
    <row r="434" spans="1:11" ht="15.75" customHeight="1" x14ac:dyDescent="0.25">
      <c r="A434" s="5"/>
      <c r="B434" s="5"/>
      <c r="C434" s="12"/>
      <c r="D434" s="5"/>
      <c r="E434" s="5"/>
      <c r="F434" s="5"/>
      <c r="G434" s="5"/>
      <c r="H434" s="5"/>
      <c r="I434" s="5"/>
      <c r="J434" s="5"/>
      <c r="K434" s="5"/>
    </row>
    <row r="435" spans="1:11" ht="15.75" customHeight="1" x14ac:dyDescent="0.25">
      <c r="A435" s="5"/>
      <c r="B435" s="5"/>
      <c r="C435" s="12"/>
      <c r="D435" s="5"/>
      <c r="E435" s="5"/>
      <c r="F435" s="5"/>
      <c r="G435" s="5"/>
      <c r="H435" s="5"/>
      <c r="I435" s="5"/>
      <c r="J435" s="5"/>
      <c r="K435" s="5"/>
    </row>
    <row r="436" spans="1:11" ht="15.75" customHeight="1" x14ac:dyDescent="0.25">
      <c r="A436" s="5"/>
      <c r="B436" s="5"/>
      <c r="C436" s="12"/>
      <c r="D436" s="5"/>
      <c r="E436" s="5"/>
      <c r="F436" s="5"/>
      <c r="G436" s="5"/>
      <c r="H436" s="5"/>
      <c r="I436" s="5"/>
      <c r="J436" s="5"/>
      <c r="K436" s="5"/>
    </row>
    <row r="437" spans="1:11" ht="15.75" customHeight="1" x14ac:dyDescent="0.25">
      <c r="A437" s="5"/>
      <c r="B437" s="5"/>
      <c r="C437" s="12"/>
      <c r="D437" s="5"/>
      <c r="E437" s="5"/>
      <c r="F437" s="5"/>
      <c r="G437" s="5"/>
      <c r="H437" s="5"/>
      <c r="I437" s="5"/>
      <c r="J437" s="5"/>
      <c r="K437" s="5"/>
    </row>
    <row r="438" spans="1:11" ht="15.75" customHeight="1" x14ac:dyDescent="0.25">
      <c r="A438" s="5"/>
      <c r="B438" s="5"/>
      <c r="C438" s="12"/>
      <c r="D438" s="5"/>
      <c r="E438" s="5"/>
      <c r="F438" s="5"/>
      <c r="G438" s="5"/>
      <c r="H438" s="5"/>
      <c r="I438" s="5"/>
      <c r="J438" s="5"/>
      <c r="K438" s="5"/>
    </row>
    <row r="439" spans="1:11" ht="15.75" customHeight="1" x14ac:dyDescent="0.25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</row>
    <row r="440" spans="1:11" ht="15.75" customHeight="1" x14ac:dyDescent="0.25">
      <c r="A440" s="5"/>
      <c r="B440" s="5"/>
      <c r="C440" s="13"/>
      <c r="D440" s="5"/>
      <c r="E440" s="5"/>
      <c r="F440" s="5"/>
      <c r="G440" s="5"/>
      <c r="H440" s="5"/>
      <c r="I440" s="5"/>
      <c r="J440" s="5"/>
      <c r="K440" s="5"/>
    </row>
    <row r="441" spans="1:11" ht="15.75" customHeight="1" x14ac:dyDescent="0.25">
      <c r="A441" s="5"/>
      <c r="B441" s="5"/>
      <c r="C441" s="13"/>
      <c r="D441" s="14"/>
      <c r="E441" s="5"/>
      <c r="F441" s="5"/>
      <c r="G441" s="5"/>
      <c r="H441" s="5"/>
      <c r="I441" s="5"/>
      <c r="J441" s="5"/>
      <c r="K441" s="5"/>
    </row>
    <row r="442" spans="1:11" ht="15.75" customHeight="1" x14ac:dyDescent="0.25">
      <c r="A442" s="5"/>
      <c r="B442" s="5"/>
      <c r="C442" s="13"/>
      <c r="D442" s="14"/>
      <c r="E442" s="5"/>
      <c r="F442" s="5"/>
      <c r="G442" s="5"/>
      <c r="H442" s="5"/>
      <c r="I442" s="5"/>
      <c r="J442" s="5"/>
      <c r="K442" s="5"/>
    </row>
    <row r="443" spans="1:11" ht="15.75" customHeight="1" x14ac:dyDescent="0.25">
      <c r="A443" s="5"/>
      <c r="B443" s="5"/>
      <c r="C443" s="13"/>
      <c r="D443" s="14"/>
      <c r="E443" s="5"/>
      <c r="F443" s="5"/>
      <c r="G443" s="5"/>
      <c r="H443" s="5"/>
      <c r="I443" s="5"/>
      <c r="J443" s="5"/>
      <c r="K443" s="5"/>
    </row>
    <row r="444" spans="1:11" ht="15.75" customHeight="1" x14ac:dyDescent="0.25">
      <c r="A444" s="5"/>
      <c r="B444" s="5"/>
      <c r="C444" s="13"/>
      <c r="D444" s="5"/>
      <c r="E444" s="5"/>
      <c r="F444" s="5"/>
      <c r="G444" s="5"/>
      <c r="H444" s="5"/>
      <c r="I444" s="5"/>
      <c r="J444" s="5"/>
      <c r="K444" s="5"/>
    </row>
    <row r="445" spans="1:11" ht="15.75" customHeight="1" x14ac:dyDescent="0.25">
      <c r="A445" s="5"/>
      <c r="B445" s="5"/>
      <c r="C445" s="13"/>
      <c r="D445" s="5"/>
      <c r="E445" s="5"/>
      <c r="F445" s="5"/>
      <c r="G445" s="5"/>
      <c r="H445" s="5"/>
      <c r="I445" s="5"/>
      <c r="J445" s="5"/>
      <c r="K445" s="5"/>
    </row>
    <row r="446" spans="1:11" ht="15.75" customHeight="1" x14ac:dyDescent="0.25">
      <c r="A446" s="5"/>
      <c r="B446" s="5"/>
      <c r="C446" s="13"/>
      <c r="D446" s="14"/>
      <c r="E446" s="5"/>
      <c r="F446" s="5"/>
      <c r="G446" s="5"/>
      <c r="H446" s="5"/>
      <c r="I446" s="5"/>
      <c r="J446" s="5"/>
      <c r="K446" s="5"/>
    </row>
    <row r="447" spans="1:11" ht="15.75" customHeight="1" x14ac:dyDescent="0.25">
      <c r="A447" s="5"/>
      <c r="B447" s="5"/>
      <c r="C447" s="13"/>
      <c r="D447" s="14"/>
      <c r="E447" s="5"/>
      <c r="F447" s="5"/>
      <c r="G447" s="5"/>
      <c r="H447" s="5"/>
      <c r="I447" s="5"/>
      <c r="J447" s="5"/>
      <c r="K447" s="5"/>
    </row>
    <row r="448" spans="1:11" ht="15.75" customHeight="1" x14ac:dyDescent="0.25">
      <c r="A448" s="5"/>
      <c r="B448" s="5"/>
      <c r="C448" s="13"/>
      <c r="D448" s="14"/>
      <c r="E448" s="5"/>
      <c r="F448" s="5"/>
      <c r="G448" s="5"/>
      <c r="H448" s="5"/>
      <c r="I448" s="5"/>
      <c r="J448" s="5"/>
      <c r="K448" s="5"/>
    </row>
    <row r="449" spans="1:11" ht="15.75" customHeight="1" x14ac:dyDescent="0.25">
      <c r="A449" s="5"/>
      <c r="B449" s="5"/>
      <c r="C449" s="13"/>
      <c r="D449" s="5"/>
      <c r="E449" s="5"/>
      <c r="F449" s="5"/>
      <c r="G449" s="5"/>
      <c r="H449" s="5"/>
      <c r="I449" s="5"/>
      <c r="J449" s="5"/>
      <c r="K449" s="5"/>
    </row>
    <row r="450" spans="1:11" ht="15.75" customHeight="1" x14ac:dyDescent="0.25">
      <c r="A450" s="5"/>
      <c r="B450" s="5"/>
      <c r="C450" s="13"/>
      <c r="D450" s="5"/>
      <c r="E450" s="5"/>
      <c r="F450" s="5"/>
      <c r="G450" s="5"/>
      <c r="H450" s="5"/>
      <c r="I450" s="5"/>
      <c r="J450" s="5"/>
      <c r="K450" s="5"/>
    </row>
    <row r="451" spans="1:11" ht="15.75" customHeight="1" x14ac:dyDescent="0.25">
      <c r="A451" s="5"/>
      <c r="B451" s="5"/>
      <c r="C451" s="13"/>
      <c r="D451" s="14"/>
      <c r="E451" s="5"/>
      <c r="F451" s="5"/>
      <c r="G451" s="5"/>
      <c r="H451" s="5"/>
      <c r="I451" s="5"/>
      <c r="J451" s="5"/>
      <c r="K451" s="5"/>
    </row>
    <row r="452" spans="1:11" ht="15.75" customHeight="1" x14ac:dyDescent="0.25">
      <c r="A452" s="5"/>
      <c r="B452" s="5"/>
      <c r="C452" s="13"/>
      <c r="D452" s="14"/>
      <c r="E452" s="5"/>
      <c r="F452" s="5"/>
      <c r="G452" s="5"/>
      <c r="H452" s="5"/>
      <c r="I452" s="5"/>
      <c r="J452" s="5"/>
      <c r="K452" s="5"/>
    </row>
    <row r="453" spans="1:11" ht="15.75" customHeight="1" x14ac:dyDescent="0.25">
      <c r="A453" s="5"/>
      <c r="B453" s="5"/>
      <c r="C453" s="13"/>
      <c r="D453" s="14"/>
      <c r="E453" s="5"/>
      <c r="F453" s="5"/>
      <c r="G453" s="5"/>
      <c r="H453" s="5"/>
      <c r="I453" s="5"/>
      <c r="J453" s="5"/>
      <c r="K453" s="5"/>
    </row>
    <row r="454" spans="1:11" ht="15.75" customHeight="1" x14ac:dyDescent="0.25">
      <c r="A454" s="5"/>
      <c r="B454" s="5"/>
      <c r="C454" s="13"/>
      <c r="D454" s="5"/>
      <c r="E454" s="5"/>
      <c r="F454" s="5"/>
      <c r="G454" s="5"/>
      <c r="H454" s="5"/>
      <c r="I454" s="5"/>
      <c r="J454" s="5"/>
      <c r="K454" s="5"/>
    </row>
    <row r="455" spans="1:11" ht="15.75" customHeight="1" x14ac:dyDescent="0.25">
      <c r="A455" s="5"/>
      <c r="B455" s="5"/>
      <c r="C455" s="13"/>
      <c r="D455" s="5"/>
      <c r="E455" s="5"/>
      <c r="F455" s="5"/>
      <c r="G455" s="5"/>
      <c r="H455" s="5"/>
      <c r="I455" s="5"/>
      <c r="J455" s="5"/>
      <c r="K455" s="5"/>
    </row>
    <row r="456" spans="1:11" ht="15.75" customHeight="1" x14ac:dyDescent="0.25">
      <c r="A456" s="5"/>
      <c r="B456" s="5"/>
      <c r="C456" s="13"/>
      <c r="D456" s="14"/>
      <c r="E456" s="5"/>
      <c r="F456" s="5"/>
      <c r="G456" s="5"/>
      <c r="H456" s="5"/>
      <c r="I456" s="5"/>
      <c r="J456" s="5"/>
      <c r="K456" s="5"/>
    </row>
    <row r="457" spans="1:11" ht="15.75" customHeight="1" x14ac:dyDescent="0.25">
      <c r="A457" s="5"/>
      <c r="B457" s="5"/>
      <c r="C457" s="13"/>
      <c r="D457" s="14"/>
      <c r="E457" s="5"/>
      <c r="F457" s="5"/>
      <c r="G457" s="5"/>
      <c r="H457" s="5"/>
      <c r="I457" s="5"/>
      <c r="J457" s="5"/>
      <c r="K457" s="5"/>
    </row>
    <row r="458" spans="1:11" ht="15.75" customHeight="1" x14ac:dyDescent="0.25">
      <c r="A458" s="5"/>
      <c r="B458" s="5"/>
      <c r="C458" s="13"/>
      <c r="D458" s="14"/>
      <c r="E458" s="5"/>
      <c r="F458" s="5"/>
      <c r="G458" s="5"/>
      <c r="H458" s="5"/>
      <c r="I458" s="5"/>
      <c r="J458" s="5"/>
      <c r="K458" s="5"/>
    </row>
    <row r="459" spans="1:11" ht="15.75" customHeight="1" x14ac:dyDescent="0.25">
      <c r="A459" s="5"/>
      <c r="B459" s="5"/>
      <c r="C459" s="13"/>
      <c r="D459" s="5"/>
      <c r="E459" s="5"/>
      <c r="F459" s="5"/>
      <c r="G459" s="5"/>
      <c r="H459" s="5"/>
      <c r="I459" s="5"/>
      <c r="J459" s="5"/>
      <c r="K459" s="5"/>
    </row>
    <row r="460" spans="1:11" ht="15.75" customHeight="1" x14ac:dyDescent="0.25">
      <c r="A460" s="5"/>
      <c r="B460" s="5"/>
      <c r="C460" s="13"/>
      <c r="D460" s="5"/>
      <c r="E460" s="5"/>
      <c r="F460" s="5"/>
      <c r="G460" s="5"/>
      <c r="H460" s="5"/>
      <c r="I460" s="5"/>
      <c r="J460" s="5"/>
      <c r="K460" s="5"/>
    </row>
    <row r="461" spans="1:11" ht="15.75" customHeight="1" x14ac:dyDescent="0.25">
      <c r="A461" s="5"/>
      <c r="B461" s="5"/>
      <c r="C461" s="13"/>
      <c r="D461" s="14"/>
      <c r="E461" s="5"/>
      <c r="F461" s="5"/>
      <c r="G461" s="5"/>
      <c r="H461" s="11"/>
      <c r="I461" s="11"/>
      <c r="J461" s="11"/>
      <c r="K461" s="8"/>
    </row>
    <row r="462" spans="1:11" ht="15.75" customHeight="1" x14ac:dyDescent="0.25">
      <c r="A462" s="5"/>
      <c r="B462" s="5"/>
      <c r="C462" s="13"/>
      <c r="D462" s="14"/>
      <c r="E462" s="5"/>
      <c r="F462" s="5"/>
      <c r="G462" s="5"/>
      <c r="H462" s="11"/>
      <c r="I462" s="11"/>
      <c r="J462" s="11"/>
      <c r="K462" s="8"/>
    </row>
    <row r="463" spans="1:11" ht="15.75" customHeight="1" x14ac:dyDescent="0.25">
      <c r="A463" s="5"/>
      <c r="B463" s="5"/>
      <c r="C463" s="13"/>
      <c r="D463" s="14"/>
      <c r="E463" s="5"/>
      <c r="F463" s="5"/>
      <c r="G463" s="5"/>
      <c r="H463" s="11"/>
      <c r="I463" s="11"/>
      <c r="J463" s="11"/>
      <c r="K463" s="8"/>
    </row>
    <row r="464" spans="1:11" ht="15.75" customHeight="1" x14ac:dyDescent="0.25">
      <c r="A464" s="5"/>
      <c r="B464" s="5"/>
      <c r="C464" s="13"/>
      <c r="D464" s="14"/>
      <c r="E464" s="5"/>
      <c r="F464" s="5"/>
      <c r="G464" s="5"/>
      <c r="H464" s="11"/>
      <c r="I464" s="11"/>
      <c r="J464" s="11"/>
      <c r="K464" s="8"/>
    </row>
    <row r="465" spans="1:11" ht="15.75" customHeight="1" x14ac:dyDescent="0.25">
      <c r="A465" s="5"/>
      <c r="B465" s="5"/>
      <c r="C465" s="13"/>
      <c r="D465" s="5"/>
      <c r="E465" s="5"/>
      <c r="F465" s="5"/>
      <c r="G465" s="5"/>
      <c r="H465" s="5"/>
      <c r="I465" s="5"/>
      <c r="J465" s="5"/>
      <c r="K465" s="5"/>
    </row>
    <row r="466" spans="1:11" ht="15.75" customHeight="1" x14ac:dyDescent="0.25">
      <c r="A466" s="5"/>
      <c r="B466" s="5"/>
      <c r="C466" s="13"/>
      <c r="D466" s="5"/>
      <c r="E466" s="5"/>
      <c r="F466" s="5"/>
      <c r="G466" s="5"/>
      <c r="H466" s="5"/>
      <c r="I466" s="5"/>
      <c r="J466" s="5"/>
      <c r="K466" s="5"/>
    </row>
    <row r="467" spans="1:11" ht="15.75" customHeight="1" x14ac:dyDescent="0.25">
      <c r="A467" s="5"/>
      <c r="B467" s="5"/>
      <c r="C467" s="13"/>
      <c r="D467" s="14"/>
      <c r="E467" s="5"/>
      <c r="F467" s="5"/>
      <c r="G467" s="5"/>
      <c r="H467" s="5"/>
      <c r="I467" s="5"/>
      <c r="J467" s="5"/>
      <c r="K467" s="5"/>
    </row>
    <row r="468" spans="1:11" ht="15.75" customHeight="1" x14ac:dyDescent="0.25">
      <c r="A468" s="5"/>
      <c r="B468" s="5"/>
      <c r="C468" s="13"/>
      <c r="D468" s="14"/>
      <c r="E468" s="5"/>
      <c r="F468" s="5"/>
      <c r="G468" s="5"/>
      <c r="H468" s="5"/>
      <c r="I468" s="5"/>
      <c r="J468" s="5"/>
      <c r="K468" s="5"/>
    </row>
    <row r="469" spans="1:11" ht="15.75" customHeight="1" x14ac:dyDescent="0.25">
      <c r="A469" s="5"/>
      <c r="B469" s="5"/>
      <c r="C469" s="13"/>
      <c r="D469" s="14"/>
      <c r="E469" s="5"/>
      <c r="F469" s="5"/>
      <c r="G469" s="5"/>
      <c r="H469" s="5"/>
      <c r="I469" s="5"/>
      <c r="J469" s="5"/>
      <c r="K469" s="5"/>
    </row>
    <row r="470" spans="1:11" ht="15.75" customHeight="1" x14ac:dyDescent="0.25">
      <c r="A470" s="5"/>
      <c r="B470" s="5"/>
      <c r="C470" s="13"/>
      <c r="D470" s="5"/>
      <c r="E470" s="5"/>
      <c r="F470" s="5"/>
      <c r="G470" s="5"/>
      <c r="H470" s="5"/>
      <c r="I470" s="5"/>
      <c r="J470" s="5"/>
      <c r="K470" s="5"/>
    </row>
    <row r="471" spans="1:11" ht="15.75" customHeight="1" x14ac:dyDescent="0.25">
      <c r="A471" s="5"/>
      <c r="B471" s="5"/>
      <c r="C471" s="13"/>
      <c r="D471" s="5"/>
      <c r="E471" s="5"/>
      <c r="F471" s="5"/>
      <c r="G471" s="5"/>
      <c r="H471" s="5"/>
      <c r="I471" s="5"/>
      <c r="J471" s="5"/>
      <c r="K471" s="5"/>
    </row>
    <row r="472" spans="1:11" ht="15.75" customHeight="1" x14ac:dyDescent="0.25">
      <c r="A472" s="5"/>
      <c r="B472" s="5"/>
      <c r="C472" s="13"/>
      <c r="D472" s="14"/>
      <c r="E472" s="5"/>
      <c r="F472" s="5"/>
      <c r="G472" s="5"/>
      <c r="H472" s="5"/>
      <c r="I472" s="5"/>
      <c r="J472" s="5"/>
      <c r="K472" s="5"/>
    </row>
    <row r="473" spans="1:11" ht="15.75" customHeight="1" x14ac:dyDescent="0.25">
      <c r="A473" s="5"/>
      <c r="B473" s="5"/>
      <c r="C473" s="13"/>
      <c r="D473" s="14"/>
      <c r="E473" s="5"/>
      <c r="F473" s="5"/>
      <c r="G473" s="5"/>
      <c r="H473" s="5"/>
      <c r="I473" s="5"/>
      <c r="J473" s="5"/>
      <c r="K473" s="5"/>
    </row>
    <row r="474" spans="1:11" ht="15.75" customHeight="1" x14ac:dyDescent="0.25">
      <c r="A474" s="5"/>
      <c r="B474" s="5"/>
      <c r="C474" s="13"/>
      <c r="D474" s="14"/>
      <c r="E474" s="5"/>
      <c r="F474" s="5"/>
      <c r="G474" s="5"/>
      <c r="H474" s="5"/>
      <c r="I474" s="5"/>
      <c r="J474" s="5"/>
      <c r="K474" s="5"/>
    </row>
    <row r="475" spans="1:11" ht="15.75" customHeight="1" x14ac:dyDescent="0.25">
      <c r="A475" s="5"/>
      <c r="B475" s="5"/>
      <c r="C475" s="13"/>
      <c r="D475" s="14"/>
      <c r="E475" s="5"/>
      <c r="F475" s="5"/>
      <c r="G475" s="5"/>
      <c r="H475" s="5"/>
      <c r="I475" s="5"/>
      <c r="J475" s="5"/>
      <c r="K475" s="5"/>
    </row>
    <row r="476" spans="1:11" ht="15.75" customHeight="1" x14ac:dyDescent="0.25">
      <c r="A476" s="5"/>
      <c r="B476" s="5"/>
      <c r="C476" s="13"/>
      <c r="D476" s="14"/>
      <c r="E476" s="5"/>
      <c r="F476" s="5"/>
      <c r="G476" s="5"/>
      <c r="H476" s="5"/>
      <c r="I476" s="5"/>
      <c r="J476" s="5"/>
      <c r="K476" s="5"/>
    </row>
    <row r="477" spans="1:11" ht="15.75" customHeight="1" x14ac:dyDescent="0.25">
      <c r="A477" s="5"/>
      <c r="B477" s="5"/>
      <c r="C477" s="13"/>
      <c r="D477" s="5"/>
      <c r="E477" s="5"/>
      <c r="F477" s="5"/>
      <c r="G477" s="5"/>
      <c r="H477" s="5"/>
      <c r="I477" s="5"/>
      <c r="J477" s="5"/>
      <c r="K477" s="5"/>
    </row>
    <row r="478" spans="1:11" ht="15.75" customHeight="1" x14ac:dyDescent="0.25">
      <c r="A478" s="5"/>
      <c r="B478" s="5"/>
      <c r="C478" s="13"/>
      <c r="D478" s="5"/>
      <c r="E478" s="5"/>
      <c r="F478" s="5"/>
      <c r="G478" s="5"/>
      <c r="H478" s="5"/>
      <c r="I478" s="5"/>
      <c r="J478" s="5"/>
      <c r="K478" s="5"/>
    </row>
    <row r="479" spans="1:11" ht="15.75" customHeight="1" x14ac:dyDescent="0.25">
      <c r="A479" s="5"/>
      <c r="B479" s="5"/>
      <c r="C479" s="13"/>
      <c r="D479" s="14"/>
      <c r="E479" s="5"/>
      <c r="F479" s="5"/>
      <c r="G479" s="5"/>
      <c r="H479" s="5"/>
      <c r="I479" s="5"/>
      <c r="J479" s="5"/>
      <c r="K479" s="5"/>
    </row>
    <row r="480" spans="1:11" ht="15.75" customHeight="1" x14ac:dyDescent="0.25">
      <c r="A480" s="5"/>
      <c r="B480" s="5"/>
      <c r="C480" s="13"/>
      <c r="D480" s="14"/>
      <c r="E480" s="5"/>
      <c r="F480" s="5"/>
      <c r="G480" s="5"/>
      <c r="H480" s="5"/>
      <c r="I480" s="5"/>
      <c r="J480" s="5"/>
      <c r="K480" s="5"/>
    </row>
    <row r="481" spans="1:11" ht="15.75" customHeight="1" x14ac:dyDescent="0.25">
      <c r="A481" s="5"/>
      <c r="B481" s="5"/>
      <c r="C481" s="13"/>
      <c r="D481" s="14"/>
      <c r="E481" s="5"/>
      <c r="F481" s="5"/>
      <c r="G481" s="5"/>
      <c r="H481" s="5"/>
      <c r="I481" s="5"/>
      <c r="J481" s="5"/>
      <c r="K481" s="5"/>
    </row>
    <row r="482" spans="1:11" ht="15.75" customHeight="1" x14ac:dyDescent="0.25">
      <c r="A482" s="5"/>
      <c r="B482" s="5"/>
      <c r="C482" s="13"/>
      <c r="D482" s="5"/>
      <c r="E482" s="5"/>
      <c r="F482" s="5"/>
      <c r="G482" s="5"/>
      <c r="H482" s="5"/>
      <c r="I482" s="5"/>
      <c r="J482" s="5"/>
      <c r="K482" s="5"/>
    </row>
    <row r="483" spans="1:11" ht="15.75" customHeight="1" x14ac:dyDescent="0.25">
      <c r="A483" s="5"/>
      <c r="B483" s="5"/>
      <c r="C483" s="13"/>
      <c r="D483" s="5"/>
      <c r="E483" s="5"/>
      <c r="F483" s="5"/>
      <c r="G483" s="5"/>
      <c r="H483" s="5"/>
      <c r="I483" s="5"/>
      <c r="J483" s="5"/>
      <c r="K483" s="5"/>
    </row>
    <row r="484" spans="1:11" ht="15.75" customHeight="1" x14ac:dyDescent="0.25">
      <c r="A484" s="5"/>
      <c r="B484" s="5"/>
      <c r="C484" s="13"/>
      <c r="D484" s="14"/>
      <c r="E484" s="5"/>
      <c r="F484" s="5"/>
      <c r="G484" s="5"/>
      <c r="H484" s="5"/>
      <c r="I484" s="5"/>
      <c r="J484" s="5"/>
      <c r="K484" s="5"/>
    </row>
    <row r="485" spans="1:11" ht="15.75" customHeight="1" x14ac:dyDescent="0.25">
      <c r="A485" s="5"/>
      <c r="B485" s="5"/>
      <c r="C485" s="13"/>
      <c r="D485" s="14"/>
      <c r="E485" s="5"/>
      <c r="F485" s="5"/>
      <c r="G485" s="5"/>
      <c r="H485" s="5"/>
      <c r="I485" s="5"/>
      <c r="J485" s="5"/>
      <c r="K485" s="5"/>
    </row>
    <row r="486" spans="1:11" ht="15.75" customHeight="1" x14ac:dyDescent="0.25">
      <c r="A486" s="5"/>
      <c r="B486" s="5"/>
      <c r="C486" s="13"/>
      <c r="D486" s="14"/>
      <c r="E486" s="5"/>
      <c r="F486" s="5"/>
      <c r="G486" s="5"/>
      <c r="H486" s="5"/>
      <c r="I486" s="5"/>
      <c r="J486" s="5"/>
      <c r="K486" s="5"/>
    </row>
    <row r="487" spans="1:11" ht="15.75" customHeight="1" x14ac:dyDescent="0.25">
      <c r="A487" s="5"/>
      <c r="B487" s="5"/>
      <c r="C487" s="13"/>
      <c r="D487" s="14"/>
      <c r="E487" s="5"/>
      <c r="F487" s="5"/>
      <c r="G487" s="5"/>
      <c r="H487" s="5"/>
      <c r="I487" s="5"/>
      <c r="J487" s="5"/>
      <c r="K487" s="5"/>
    </row>
    <row r="488" spans="1:11" ht="15.75" customHeight="1" x14ac:dyDescent="0.25">
      <c r="A488" s="5"/>
      <c r="B488" s="5"/>
      <c r="C488" s="13"/>
      <c r="D488" s="5"/>
      <c r="E488" s="5"/>
      <c r="F488" s="5"/>
      <c r="G488" s="5"/>
      <c r="H488" s="5"/>
      <c r="I488" s="5"/>
      <c r="J488" s="5"/>
      <c r="K488" s="5"/>
    </row>
    <row r="489" spans="1:11" ht="15.75" customHeight="1" x14ac:dyDescent="0.25">
      <c r="A489" s="5"/>
      <c r="B489" s="5"/>
      <c r="C489" s="13"/>
      <c r="D489" s="5"/>
      <c r="E489" s="5"/>
      <c r="F489" s="5"/>
      <c r="G489" s="5"/>
      <c r="H489" s="5"/>
      <c r="I489" s="5"/>
      <c r="J489" s="5"/>
      <c r="K489" s="5"/>
    </row>
    <row r="490" spans="1:11" ht="15.75" customHeight="1" x14ac:dyDescent="0.25">
      <c r="A490" s="5"/>
      <c r="B490" s="5"/>
      <c r="C490" s="13"/>
      <c r="D490" s="14"/>
      <c r="E490" s="5"/>
      <c r="F490" s="5"/>
      <c r="G490" s="5"/>
      <c r="H490" s="5"/>
      <c r="I490" s="5"/>
      <c r="J490" s="5"/>
      <c r="K490" s="5"/>
    </row>
    <row r="491" spans="1:11" ht="15.75" customHeight="1" x14ac:dyDescent="0.25">
      <c r="A491" s="5"/>
      <c r="B491" s="5"/>
      <c r="C491" s="13"/>
      <c r="D491" s="14"/>
      <c r="E491" s="5"/>
      <c r="F491" s="5"/>
      <c r="G491" s="5"/>
      <c r="H491" s="5"/>
      <c r="I491" s="5"/>
      <c r="J491" s="5"/>
      <c r="K491" s="5"/>
    </row>
    <row r="492" spans="1:11" ht="15.75" customHeight="1" x14ac:dyDescent="0.25">
      <c r="A492" s="5"/>
      <c r="B492" s="5"/>
      <c r="C492" s="13"/>
      <c r="D492" s="14"/>
      <c r="E492" s="5"/>
      <c r="F492" s="5"/>
      <c r="G492" s="5"/>
      <c r="H492" s="5"/>
      <c r="I492" s="5"/>
      <c r="J492" s="5"/>
      <c r="K492" s="5"/>
    </row>
    <row r="493" spans="1:11" ht="15.75" customHeight="1" x14ac:dyDescent="0.25">
      <c r="A493" s="5"/>
      <c r="B493" s="5"/>
      <c r="C493" s="13"/>
      <c r="D493" s="5"/>
      <c r="E493" s="5"/>
      <c r="F493" s="5"/>
      <c r="G493" s="5"/>
      <c r="H493" s="5"/>
      <c r="I493" s="5"/>
      <c r="J493" s="5"/>
      <c r="K493" s="5"/>
    </row>
    <row r="494" spans="1:11" ht="15.75" customHeight="1" x14ac:dyDescent="0.25">
      <c r="A494" s="5"/>
      <c r="B494" s="5"/>
      <c r="C494" s="13"/>
      <c r="D494" s="5"/>
      <c r="E494" s="5"/>
      <c r="F494" s="5"/>
      <c r="G494" s="5"/>
      <c r="H494" s="5"/>
      <c r="I494" s="5"/>
      <c r="J494" s="5"/>
      <c r="K494" s="5"/>
    </row>
    <row r="495" spans="1:11" ht="15.75" customHeight="1" x14ac:dyDescent="0.25">
      <c r="A495" s="5"/>
      <c r="B495" s="5"/>
      <c r="C495" s="13"/>
      <c r="D495" s="14"/>
      <c r="E495" s="5"/>
      <c r="F495" s="5"/>
      <c r="G495" s="5"/>
      <c r="H495" s="5"/>
      <c r="I495" s="5"/>
      <c r="J495" s="5"/>
      <c r="K495" s="5"/>
    </row>
    <row r="496" spans="1:11" ht="15.75" customHeight="1" x14ac:dyDescent="0.25">
      <c r="A496" s="5"/>
      <c r="B496" s="5"/>
      <c r="C496" s="13"/>
      <c r="D496" s="14"/>
      <c r="E496" s="5"/>
      <c r="F496" s="5"/>
      <c r="G496" s="5"/>
      <c r="H496" s="5"/>
      <c r="I496" s="5"/>
      <c r="J496" s="5"/>
      <c r="K496" s="5"/>
    </row>
    <row r="497" spans="1:11" ht="15.75" customHeight="1" x14ac:dyDescent="0.25">
      <c r="A497" s="5"/>
      <c r="B497" s="5"/>
      <c r="C497" s="13"/>
      <c r="D497" s="14"/>
      <c r="E497" s="5"/>
      <c r="F497" s="5"/>
      <c r="G497" s="5"/>
      <c r="H497" s="5"/>
      <c r="I497" s="5"/>
      <c r="J497" s="5"/>
      <c r="K497" s="5"/>
    </row>
    <row r="498" spans="1:11" ht="15.75" customHeight="1" x14ac:dyDescent="0.25">
      <c r="A498" s="5"/>
      <c r="B498" s="5"/>
      <c r="C498" s="13"/>
      <c r="D498" s="14"/>
      <c r="E498" s="5"/>
      <c r="F498" s="5"/>
      <c r="G498" s="5"/>
      <c r="H498" s="5"/>
      <c r="I498" s="5"/>
      <c r="J498" s="5"/>
      <c r="K498" s="5"/>
    </row>
    <row r="499" spans="1:11" ht="15.75" customHeight="1" x14ac:dyDescent="0.25">
      <c r="A499" s="5"/>
      <c r="B499" s="5"/>
      <c r="C499" s="13"/>
      <c r="D499" s="14"/>
      <c r="E499" s="5"/>
      <c r="F499" s="5"/>
      <c r="G499" s="5"/>
      <c r="H499" s="5"/>
      <c r="I499" s="5"/>
      <c r="J499" s="5"/>
      <c r="K499" s="5"/>
    </row>
    <row r="500" spans="1:11" ht="15.75" customHeight="1" x14ac:dyDescent="0.25">
      <c r="A500" s="5"/>
      <c r="B500" s="5"/>
      <c r="C500" s="13"/>
      <c r="D500" s="14"/>
      <c r="E500" s="5"/>
      <c r="F500" s="5"/>
      <c r="G500" s="5"/>
      <c r="H500" s="5"/>
      <c r="I500" s="5"/>
      <c r="J500" s="5"/>
      <c r="K500" s="5"/>
    </row>
    <row r="501" spans="1:11" ht="15.75" customHeight="1" x14ac:dyDescent="0.25">
      <c r="A501" s="5"/>
      <c r="B501" s="5"/>
      <c r="C501" s="13"/>
      <c r="D501" s="14"/>
      <c r="E501" s="5"/>
      <c r="F501" s="5"/>
      <c r="G501" s="5"/>
      <c r="H501" s="5"/>
      <c r="I501" s="5"/>
      <c r="J501" s="5"/>
      <c r="K501" s="5"/>
    </row>
    <row r="502" spans="1:11" ht="15.75" customHeight="1" x14ac:dyDescent="0.25">
      <c r="A502" s="5"/>
      <c r="B502" s="5"/>
      <c r="C502" s="13"/>
      <c r="D502" s="14"/>
      <c r="E502" s="5"/>
      <c r="F502" s="5"/>
      <c r="G502" s="5"/>
      <c r="H502" s="5"/>
      <c r="I502" s="5"/>
      <c r="J502" s="5"/>
      <c r="K502" s="5"/>
    </row>
    <row r="503" spans="1:11" ht="15.75" customHeight="1" x14ac:dyDescent="0.25">
      <c r="A503" s="5"/>
      <c r="B503" s="5"/>
      <c r="C503" s="13"/>
      <c r="D503" s="5"/>
      <c r="E503" s="5"/>
      <c r="F503" s="5"/>
      <c r="G503" s="5"/>
      <c r="H503" s="5"/>
      <c r="I503" s="5"/>
      <c r="J503" s="5"/>
      <c r="K503" s="5"/>
    </row>
    <row r="504" spans="1:11" ht="15.75" customHeight="1" x14ac:dyDescent="0.25">
      <c r="A504" s="5"/>
      <c r="B504" s="5"/>
      <c r="C504" s="13"/>
      <c r="D504" s="5"/>
      <c r="E504" s="5"/>
      <c r="F504" s="5"/>
      <c r="G504" s="5"/>
      <c r="H504" s="5"/>
      <c r="I504" s="5"/>
      <c r="J504" s="5"/>
      <c r="K504" s="5"/>
    </row>
    <row r="505" spans="1:11" ht="15.75" customHeight="1" x14ac:dyDescent="0.25">
      <c r="A505" s="5"/>
      <c r="B505" s="5"/>
      <c r="C505" s="13"/>
      <c r="D505" s="14"/>
      <c r="E505" s="5"/>
      <c r="F505" s="5"/>
      <c r="G505" s="5"/>
      <c r="H505" s="5"/>
      <c r="I505" s="5"/>
      <c r="J505" s="5"/>
      <c r="K505" s="5"/>
    </row>
    <row r="506" spans="1:11" ht="15.75" customHeight="1" x14ac:dyDescent="0.25">
      <c r="A506" s="5"/>
      <c r="B506" s="5"/>
      <c r="C506" s="13"/>
      <c r="D506" s="14"/>
      <c r="E506" s="5"/>
      <c r="F506" s="5"/>
      <c r="G506" s="5"/>
      <c r="H506" s="5"/>
      <c r="I506" s="5"/>
      <c r="J506" s="5"/>
      <c r="K506" s="5"/>
    </row>
    <row r="507" spans="1:11" ht="15.75" customHeight="1" x14ac:dyDescent="0.25">
      <c r="A507" s="5"/>
      <c r="B507" s="5"/>
      <c r="C507" s="13"/>
      <c r="D507" s="14"/>
      <c r="E507" s="5"/>
      <c r="F507" s="5"/>
      <c r="G507" s="5"/>
      <c r="H507" s="5"/>
      <c r="I507" s="5"/>
      <c r="J507" s="5"/>
      <c r="K507" s="5"/>
    </row>
    <row r="508" spans="1:11" ht="15.75" customHeight="1" x14ac:dyDescent="0.25">
      <c r="A508" s="5"/>
      <c r="B508" s="5"/>
      <c r="C508" s="13"/>
      <c r="D508" s="5"/>
      <c r="E508" s="5"/>
      <c r="F508" s="5"/>
      <c r="G508" s="5"/>
      <c r="H508" s="5"/>
      <c r="I508" s="5"/>
      <c r="J508" s="5"/>
      <c r="K508" s="5"/>
    </row>
    <row r="509" spans="1:11" ht="15.75" customHeight="1" x14ac:dyDescent="0.25">
      <c r="A509" s="5"/>
      <c r="B509" s="5"/>
      <c r="C509" s="13"/>
      <c r="D509" s="5"/>
      <c r="E509" s="5"/>
      <c r="F509" s="5"/>
      <c r="G509" s="5"/>
      <c r="H509" s="5"/>
      <c r="I509" s="5"/>
      <c r="J509" s="5"/>
      <c r="K509" s="5"/>
    </row>
    <row r="510" spans="1:11" ht="15.75" customHeight="1" x14ac:dyDescent="0.25">
      <c r="A510" s="5"/>
      <c r="B510" s="5"/>
      <c r="C510" s="13"/>
      <c r="D510" s="14"/>
      <c r="E510" s="5"/>
      <c r="F510" s="5"/>
      <c r="G510" s="5"/>
      <c r="H510" s="5"/>
      <c r="I510" s="5"/>
      <c r="J510" s="5"/>
      <c r="K510" s="5"/>
    </row>
    <row r="511" spans="1:11" ht="15.75" customHeight="1" x14ac:dyDescent="0.25">
      <c r="A511" s="5"/>
      <c r="B511" s="5"/>
      <c r="C511" s="13"/>
      <c r="D511" s="5"/>
      <c r="E511" s="5"/>
      <c r="F511" s="5"/>
      <c r="G511" s="5"/>
      <c r="H511" s="5"/>
      <c r="I511" s="5"/>
      <c r="J511" s="5"/>
      <c r="K511" s="5"/>
    </row>
    <row r="512" spans="1:11" ht="15.75" customHeight="1" x14ac:dyDescent="0.25">
      <c r="A512" s="5"/>
      <c r="B512" s="5"/>
      <c r="C512" s="13"/>
      <c r="D512" s="5"/>
      <c r="E512" s="5"/>
      <c r="F512" s="5"/>
      <c r="G512" s="5"/>
      <c r="H512" s="5"/>
      <c r="I512" s="5"/>
      <c r="J512" s="5"/>
      <c r="K512" s="5"/>
    </row>
    <row r="513" spans="1:11" ht="15.75" customHeight="1" x14ac:dyDescent="0.25">
      <c r="A513" s="5"/>
      <c r="B513" s="5"/>
      <c r="C513" s="13"/>
      <c r="D513" s="14"/>
      <c r="E513" s="5"/>
      <c r="F513" s="5"/>
      <c r="G513" s="5"/>
      <c r="H513" s="5"/>
      <c r="I513" s="5"/>
      <c r="J513" s="5"/>
      <c r="K513" s="5"/>
    </row>
    <row r="514" spans="1:11" ht="15.75" customHeight="1" x14ac:dyDescent="0.25">
      <c r="A514" s="5"/>
      <c r="B514" s="5"/>
      <c r="C514" s="13"/>
      <c r="D514" s="14"/>
      <c r="E514" s="5"/>
      <c r="F514" s="5"/>
      <c r="G514" s="5"/>
      <c r="H514" s="5"/>
      <c r="I514" s="5"/>
      <c r="J514" s="5"/>
      <c r="K514" s="5"/>
    </row>
    <row r="515" spans="1:11" ht="15.75" customHeight="1" x14ac:dyDescent="0.25">
      <c r="A515" s="5"/>
      <c r="B515" s="5"/>
      <c r="C515" s="13"/>
      <c r="D515" s="14"/>
      <c r="E515" s="5"/>
      <c r="F515" s="5"/>
      <c r="G515" s="5"/>
      <c r="H515" s="5"/>
      <c r="I515" s="5"/>
      <c r="J515" s="5"/>
      <c r="K515" s="5"/>
    </row>
    <row r="516" spans="1:11" ht="15.75" customHeight="1" x14ac:dyDescent="0.25">
      <c r="A516" s="5"/>
      <c r="B516" s="5"/>
      <c r="C516" s="13"/>
      <c r="D516" s="5"/>
      <c r="E516" s="5"/>
      <c r="F516" s="5"/>
      <c r="G516" s="5"/>
      <c r="H516" s="5"/>
      <c r="I516" s="5"/>
      <c r="J516" s="5"/>
      <c r="K516" s="5"/>
    </row>
    <row r="517" spans="1:11" ht="15.75" customHeight="1" x14ac:dyDescent="0.25">
      <c r="A517" s="5"/>
      <c r="B517" s="5"/>
      <c r="C517" s="13"/>
      <c r="D517" s="5"/>
      <c r="E517" s="5"/>
      <c r="F517" s="5"/>
      <c r="G517" s="5"/>
      <c r="H517" s="5"/>
      <c r="I517" s="5"/>
      <c r="J517" s="5"/>
      <c r="K517" s="5"/>
    </row>
    <row r="518" spans="1:11" ht="15.75" customHeight="1" x14ac:dyDescent="0.25">
      <c r="A518" s="5"/>
      <c r="B518" s="5"/>
      <c r="C518" s="13"/>
      <c r="D518" s="14"/>
      <c r="E518" s="5"/>
      <c r="F518" s="5"/>
      <c r="G518" s="5"/>
      <c r="H518" s="5"/>
      <c r="I518" s="5"/>
      <c r="J518" s="5"/>
      <c r="K518" s="5"/>
    </row>
    <row r="519" spans="1:11" ht="15.75" customHeight="1" x14ac:dyDescent="0.25">
      <c r="A519" s="5"/>
      <c r="B519" s="5"/>
      <c r="C519" s="13"/>
      <c r="D519" s="14"/>
      <c r="E519" s="5"/>
      <c r="F519" s="5"/>
      <c r="G519" s="5"/>
      <c r="H519" s="5"/>
      <c r="I519" s="5"/>
      <c r="J519" s="5"/>
      <c r="K519" s="5"/>
    </row>
    <row r="520" spans="1:11" ht="15.75" customHeight="1" x14ac:dyDescent="0.25">
      <c r="A520" s="5"/>
      <c r="B520" s="5"/>
      <c r="C520" s="13"/>
      <c r="D520" s="14"/>
      <c r="E520" s="5"/>
      <c r="F520" s="5"/>
      <c r="G520" s="5"/>
      <c r="H520" s="5"/>
      <c r="I520" s="5"/>
      <c r="J520" s="5"/>
      <c r="K520" s="5"/>
    </row>
    <row r="521" spans="1:11" ht="15.75" customHeight="1" x14ac:dyDescent="0.25">
      <c r="A521" s="5"/>
      <c r="B521" s="5"/>
      <c r="C521" s="13"/>
      <c r="D521" s="14"/>
      <c r="E521" s="5"/>
      <c r="F521" s="5"/>
      <c r="G521" s="5"/>
      <c r="H521" s="5"/>
      <c r="I521" s="5"/>
      <c r="J521" s="5"/>
      <c r="K521" s="5"/>
    </row>
    <row r="522" spans="1:11" ht="15.75" customHeight="1" x14ac:dyDescent="0.25">
      <c r="A522" s="5"/>
      <c r="B522" s="5"/>
      <c r="C522" s="13"/>
      <c r="D522" s="14"/>
      <c r="E522" s="5"/>
      <c r="F522" s="5"/>
      <c r="G522" s="5"/>
      <c r="H522" s="5"/>
      <c r="I522" s="5"/>
      <c r="J522" s="5"/>
      <c r="K522" s="5"/>
    </row>
    <row r="523" spans="1:11" ht="15.75" customHeight="1" x14ac:dyDescent="0.25">
      <c r="A523" s="5"/>
      <c r="B523" s="5"/>
      <c r="C523" s="13"/>
      <c r="D523" s="14"/>
      <c r="E523" s="5"/>
      <c r="F523" s="5"/>
      <c r="G523" s="5"/>
      <c r="H523" s="5"/>
      <c r="I523" s="5"/>
      <c r="J523" s="5"/>
      <c r="K523" s="5"/>
    </row>
    <row r="524" spans="1:11" ht="15.75" customHeight="1" x14ac:dyDescent="0.25">
      <c r="A524" s="5"/>
      <c r="B524" s="5"/>
      <c r="C524" s="13"/>
      <c r="D524" s="14"/>
      <c r="E524" s="5"/>
      <c r="F524" s="5"/>
      <c r="G524" s="5"/>
      <c r="H524" s="5"/>
      <c r="I524" s="5"/>
      <c r="J524" s="5"/>
      <c r="K524" s="5"/>
    </row>
    <row r="525" spans="1:11" ht="15.75" customHeight="1" x14ac:dyDescent="0.25">
      <c r="A525" s="5"/>
      <c r="B525" s="5"/>
      <c r="C525" s="13"/>
      <c r="D525" s="14"/>
      <c r="E525" s="5"/>
      <c r="F525" s="5"/>
      <c r="G525" s="5"/>
      <c r="H525" s="5"/>
      <c r="I525" s="5"/>
      <c r="J525" s="5"/>
      <c r="K525" s="5"/>
    </row>
    <row r="526" spans="1:11" ht="15.75" customHeight="1" x14ac:dyDescent="0.25">
      <c r="A526" s="5"/>
      <c r="B526" s="5"/>
      <c r="C526" s="13"/>
      <c r="D526" s="5"/>
      <c r="E526" s="5"/>
      <c r="F526" s="5"/>
      <c r="G526" s="5"/>
      <c r="H526" s="5"/>
      <c r="I526" s="5"/>
      <c r="J526" s="5"/>
      <c r="K526" s="5"/>
    </row>
    <row r="527" spans="1:11" ht="15.75" customHeight="1" x14ac:dyDescent="0.25">
      <c r="A527" s="5"/>
      <c r="B527" s="5"/>
      <c r="C527" s="13"/>
      <c r="D527" s="5"/>
      <c r="E527" s="5"/>
      <c r="F527" s="5"/>
      <c r="G527" s="5"/>
      <c r="H527" s="5"/>
      <c r="I527" s="5"/>
      <c r="J527" s="5"/>
      <c r="K527" s="5"/>
    </row>
    <row r="528" spans="1:11" ht="15.75" customHeight="1" x14ac:dyDescent="0.25">
      <c r="A528" s="5"/>
      <c r="B528" s="5"/>
      <c r="C528" s="13"/>
      <c r="D528" s="14"/>
      <c r="E528" s="5"/>
      <c r="F528" s="5"/>
      <c r="G528" s="5"/>
      <c r="H528" s="5"/>
      <c r="I528" s="5"/>
      <c r="J528" s="5"/>
      <c r="K528" s="5"/>
    </row>
    <row r="529" spans="1:11" ht="15.75" customHeight="1" x14ac:dyDescent="0.25">
      <c r="A529" s="5"/>
      <c r="B529" s="5"/>
      <c r="C529" s="13"/>
      <c r="D529" s="14"/>
      <c r="E529" s="5"/>
      <c r="F529" s="5"/>
      <c r="G529" s="5"/>
      <c r="H529" s="5"/>
      <c r="I529" s="5"/>
      <c r="J529" s="5"/>
      <c r="K529" s="5"/>
    </row>
    <row r="530" spans="1:11" ht="15.75" customHeight="1" x14ac:dyDescent="0.25">
      <c r="A530" s="5"/>
      <c r="B530" s="5"/>
      <c r="C530" s="13"/>
      <c r="D530" s="14"/>
      <c r="E530" s="5"/>
      <c r="F530" s="5"/>
      <c r="G530" s="5"/>
      <c r="H530" s="5"/>
      <c r="I530" s="5"/>
      <c r="J530" s="5"/>
      <c r="K530" s="5"/>
    </row>
    <row r="531" spans="1:11" ht="15.75" customHeight="1" x14ac:dyDescent="0.25">
      <c r="A531" s="5"/>
      <c r="B531" s="5"/>
      <c r="C531" s="13"/>
      <c r="D531" s="5"/>
      <c r="E531" s="5"/>
      <c r="F531" s="5"/>
      <c r="G531" s="5"/>
      <c r="H531" s="5"/>
      <c r="I531" s="5"/>
      <c r="J531" s="5"/>
      <c r="K531" s="5"/>
    </row>
    <row r="532" spans="1:11" ht="15.75" customHeight="1" x14ac:dyDescent="0.25">
      <c r="A532" s="5"/>
      <c r="B532" s="5"/>
      <c r="C532" s="13"/>
      <c r="D532" s="5"/>
      <c r="E532" s="5"/>
      <c r="F532" s="5"/>
      <c r="G532" s="5"/>
      <c r="H532" s="5"/>
      <c r="I532" s="5"/>
      <c r="J532" s="5"/>
      <c r="K532" s="5"/>
    </row>
    <row r="533" spans="1:11" ht="15.75" customHeight="1" x14ac:dyDescent="0.25">
      <c r="A533" s="5"/>
      <c r="B533" s="5"/>
      <c r="C533" s="13"/>
      <c r="D533" s="14"/>
      <c r="E533" s="5"/>
      <c r="F533" s="5"/>
      <c r="G533" s="5"/>
      <c r="H533" s="5"/>
      <c r="I533" s="5"/>
      <c r="J533" s="5"/>
      <c r="K533" s="5"/>
    </row>
    <row r="534" spans="1:11" ht="15.75" customHeight="1" x14ac:dyDescent="0.25">
      <c r="A534" s="5"/>
      <c r="B534" s="5"/>
      <c r="C534" s="13"/>
      <c r="D534" s="5"/>
      <c r="E534" s="5"/>
      <c r="F534" s="5"/>
      <c r="G534" s="5"/>
      <c r="H534" s="5"/>
      <c r="I534" s="5"/>
      <c r="J534" s="5"/>
      <c r="K534" s="5"/>
    </row>
    <row r="535" spans="1:11" ht="15.75" customHeight="1" x14ac:dyDescent="0.25">
      <c r="A535" s="5"/>
      <c r="B535" s="5"/>
      <c r="C535" s="13"/>
      <c r="D535" s="5"/>
      <c r="E535" s="5"/>
      <c r="F535" s="5"/>
      <c r="G535" s="5"/>
      <c r="H535" s="5"/>
      <c r="I535" s="5"/>
      <c r="J535" s="5"/>
      <c r="K535" s="5"/>
    </row>
    <row r="536" spans="1:11" ht="15.75" customHeight="1" x14ac:dyDescent="0.25">
      <c r="A536" s="5"/>
      <c r="B536" s="5"/>
      <c r="C536" s="13"/>
      <c r="D536" s="14"/>
      <c r="E536" s="5"/>
      <c r="F536" s="5"/>
      <c r="G536" s="5"/>
      <c r="H536" s="5"/>
      <c r="I536" s="5"/>
      <c r="J536" s="5"/>
      <c r="K536" s="5"/>
    </row>
    <row r="537" spans="1:11" ht="15.75" customHeight="1" x14ac:dyDescent="0.25">
      <c r="A537" s="5"/>
      <c r="B537" s="5"/>
      <c r="C537" s="13"/>
      <c r="D537" s="14"/>
      <c r="E537" s="5"/>
      <c r="F537" s="5"/>
      <c r="G537" s="5"/>
      <c r="H537" s="5"/>
      <c r="I537" s="5"/>
      <c r="J537" s="5"/>
      <c r="K537" s="5"/>
    </row>
    <row r="538" spans="1:11" ht="15.75" customHeight="1" x14ac:dyDescent="0.25">
      <c r="A538" s="5"/>
      <c r="B538" s="5"/>
      <c r="C538" s="13"/>
      <c r="D538" s="14"/>
      <c r="E538" s="5"/>
      <c r="F538" s="5"/>
      <c r="G538" s="5"/>
      <c r="H538" s="5"/>
      <c r="I538" s="5"/>
      <c r="J538" s="5"/>
      <c r="K538" s="5"/>
    </row>
    <row r="539" spans="1:11" ht="15.75" customHeight="1" x14ac:dyDescent="0.25">
      <c r="A539" s="5"/>
      <c r="B539" s="5"/>
      <c r="C539" s="13"/>
      <c r="D539" s="5"/>
      <c r="E539" s="5"/>
      <c r="F539" s="5"/>
      <c r="G539" s="5"/>
      <c r="H539" s="5"/>
      <c r="I539" s="5"/>
      <c r="J539" s="5"/>
      <c r="K539" s="5"/>
    </row>
    <row r="540" spans="1:11" ht="15.75" customHeight="1" x14ac:dyDescent="0.25">
      <c r="A540" s="5"/>
      <c r="B540" s="5"/>
      <c r="C540" s="13"/>
      <c r="D540" s="5"/>
      <c r="E540" s="5"/>
      <c r="F540" s="5"/>
      <c r="G540" s="5"/>
      <c r="H540" s="5"/>
      <c r="I540" s="5"/>
      <c r="J540" s="5"/>
      <c r="K540" s="5"/>
    </row>
    <row r="541" spans="1:11" ht="15.75" customHeight="1" x14ac:dyDescent="0.25">
      <c r="A541" s="5"/>
      <c r="B541" s="5"/>
      <c r="C541" s="13"/>
      <c r="D541" s="14"/>
      <c r="E541" s="5"/>
      <c r="F541" s="5"/>
      <c r="G541" s="5"/>
      <c r="H541" s="5"/>
      <c r="I541" s="5"/>
      <c r="J541" s="5"/>
      <c r="K541" s="5"/>
    </row>
    <row r="542" spans="1:11" ht="15.75" customHeight="1" x14ac:dyDescent="0.25">
      <c r="A542" s="5"/>
      <c r="B542" s="5"/>
      <c r="C542" s="13"/>
      <c r="D542" s="14"/>
      <c r="E542" s="5"/>
      <c r="F542" s="5"/>
      <c r="G542" s="5"/>
      <c r="H542" s="5"/>
      <c r="I542" s="5"/>
      <c r="J542" s="5"/>
      <c r="K542" s="5"/>
    </row>
    <row r="543" spans="1:11" ht="15.75" customHeight="1" x14ac:dyDescent="0.25">
      <c r="A543" s="5"/>
      <c r="B543" s="5"/>
      <c r="C543" s="13"/>
      <c r="D543" s="14"/>
      <c r="E543" s="5"/>
      <c r="F543" s="5"/>
      <c r="G543" s="5"/>
      <c r="H543" s="5"/>
      <c r="I543" s="5"/>
      <c r="J543" s="5"/>
      <c r="K543" s="5"/>
    </row>
    <row r="544" spans="1:11" ht="15.75" customHeight="1" x14ac:dyDescent="0.25">
      <c r="A544" s="5"/>
      <c r="B544" s="5"/>
      <c r="C544" s="13"/>
      <c r="D544" s="14"/>
      <c r="E544" s="5"/>
      <c r="F544" s="5"/>
      <c r="G544" s="5"/>
      <c r="H544" s="5"/>
      <c r="I544" s="5"/>
      <c r="J544" s="5"/>
      <c r="K544" s="5"/>
    </row>
    <row r="545" spans="1:11" ht="15.75" customHeight="1" x14ac:dyDescent="0.25">
      <c r="A545" s="5"/>
      <c r="B545" s="5"/>
      <c r="C545" s="13"/>
      <c r="D545" s="14"/>
      <c r="E545" s="5"/>
      <c r="F545" s="5"/>
      <c r="G545" s="5"/>
      <c r="H545" s="5"/>
      <c r="I545" s="5"/>
      <c r="J545" s="5"/>
      <c r="K545" s="5"/>
    </row>
    <row r="546" spans="1:11" ht="15.75" customHeight="1" x14ac:dyDescent="0.25">
      <c r="A546" s="5"/>
      <c r="B546" s="5"/>
      <c r="C546" s="13"/>
      <c r="D546" s="5"/>
      <c r="E546" s="5"/>
      <c r="F546" s="5"/>
      <c r="G546" s="5"/>
      <c r="H546" s="5"/>
      <c r="I546" s="5"/>
      <c r="J546" s="5"/>
      <c r="K546" s="5"/>
    </row>
    <row r="547" spans="1:11" ht="15.75" customHeight="1" x14ac:dyDescent="0.25">
      <c r="A547" s="5"/>
      <c r="B547" s="5"/>
      <c r="C547" s="13"/>
      <c r="D547" s="5"/>
      <c r="E547" s="5"/>
      <c r="F547" s="5"/>
      <c r="G547" s="5"/>
      <c r="H547" s="5"/>
      <c r="I547" s="5"/>
      <c r="J547" s="5"/>
      <c r="K547" s="5"/>
    </row>
    <row r="548" spans="1:11" ht="15.75" customHeight="1" x14ac:dyDescent="0.25">
      <c r="A548" s="5"/>
      <c r="B548" s="5"/>
      <c r="C548" s="13"/>
      <c r="D548" s="14"/>
      <c r="E548" s="5"/>
      <c r="F548" s="5"/>
      <c r="G548" s="5"/>
      <c r="H548" s="5"/>
      <c r="I548" s="5"/>
      <c r="J548" s="5"/>
      <c r="K548" s="5"/>
    </row>
    <row r="549" spans="1:11" ht="15.75" customHeight="1" x14ac:dyDescent="0.25">
      <c r="A549" s="5"/>
      <c r="B549" s="5"/>
      <c r="C549" s="13"/>
      <c r="D549" s="14"/>
      <c r="E549" s="5"/>
      <c r="F549" s="5"/>
      <c r="G549" s="5"/>
      <c r="H549" s="5"/>
      <c r="I549" s="5"/>
      <c r="J549" s="5"/>
      <c r="K549" s="5"/>
    </row>
    <row r="550" spans="1:11" ht="15.75" customHeight="1" x14ac:dyDescent="0.25">
      <c r="A550" s="5"/>
      <c r="B550" s="5"/>
      <c r="C550" s="13"/>
      <c r="D550" s="14"/>
      <c r="E550" s="5"/>
      <c r="F550" s="5"/>
      <c r="G550" s="5"/>
      <c r="H550" s="5"/>
      <c r="I550" s="5"/>
      <c r="J550" s="5"/>
      <c r="K550" s="5"/>
    </row>
    <row r="551" spans="1:11" ht="15.75" customHeight="1" x14ac:dyDescent="0.25">
      <c r="A551" s="5"/>
      <c r="B551" s="5"/>
      <c r="C551" s="13"/>
      <c r="D551" s="5"/>
      <c r="E551" s="5"/>
      <c r="F551" s="5"/>
      <c r="G551" s="5"/>
      <c r="H551" s="5"/>
      <c r="I551" s="5"/>
      <c r="J551" s="5"/>
      <c r="K551" s="5"/>
    </row>
    <row r="552" spans="1:11" ht="15.75" customHeight="1" x14ac:dyDescent="0.25">
      <c r="A552" s="5"/>
      <c r="B552" s="5"/>
      <c r="C552" s="13"/>
      <c r="D552" s="5"/>
      <c r="E552" s="5"/>
      <c r="F552" s="5"/>
      <c r="G552" s="5"/>
      <c r="H552" s="5"/>
      <c r="I552" s="5"/>
      <c r="J552" s="5"/>
      <c r="K552" s="5"/>
    </row>
    <row r="553" spans="1:11" ht="15.75" customHeight="1" x14ac:dyDescent="0.25">
      <c r="A553" s="5"/>
      <c r="B553" s="5"/>
      <c r="C553" s="13"/>
      <c r="D553" s="14"/>
      <c r="E553" s="5"/>
      <c r="F553" s="5"/>
      <c r="G553" s="5"/>
      <c r="H553" s="5"/>
      <c r="I553" s="5"/>
      <c r="J553" s="5"/>
      <c r="K553" s="5"/>
    </row>
    <row r="554" spans="1:11" ht="15.75" customHeight="1" x14ac:dyDescent="0.25">
      <c r="A554" s="5"/>
      <c r="B554" s="5"/>
      <c r="C554" s="13"/>
      <c r="D554" s="5"/>
      <c r="E554" s="5"/>
      <c r="F554" s="5"/>
      <c r="G554" s="5"/>
      <c r="H554" s="5"/>
      <c r="I554" s="5"/>
      <c r="J554" s="5"/>
      <c r="K554" s="5"/>
    </row>
    <row r="555" spans="1:11" ht="15.75" customHeight="1" x14ac:dyDescent="0.25">
      <c r="A555" s="5"/>
      <c r="B555" s="5"/>
      <c r="C555" s="13"/>
      <c r="D555" s="5"/>
      <c r="E555" s="5"/>
      <c r="F555" s="5"/>
      <c r="G555" s="5"/>
      <c r="H555" s="5"/>
      <c r="I555" s="5"/>
      <c r="J555" s="5"/>
      <c r="K555" s="5"/>
    </row>
    <row r="556" spans="1:11" ht="15.75" customHeight="1" x14ac:dyDescent="0.25">
      <c r="A556" s="5"/>
      <c r="B556" s="5"/>
      <c r="C556" s="13"/>
      <c r="D556" s="14"/>
      <c r="E556" s="5"/>
      <c r="F556" s="5"/>
      <c r="G556" s="5"/>
      <c r="H556" s="5"/>
      <c r="I556" s="5"/>
      <c r="J556" s="5"/>
      <c r="K556" s="5"/>
    </row>
    <row r="557" spans="1:11" ht="15.75" customHeight="1" x14ac:dyDescent="0.25">
      <c r="A557" s="5"/>
      <c r="B557" s="5"/>
      <c r="C557" s="13"/>
      <c r="D557" s="14"/>
      <c r="E557" s="5"/>
      <c r="F557" s="5"/>
      <c r="G557" s="5"/>
      <c r="H557" s="5"/>
      <c r="I557" s="5"/>
      <c r="J557" s="5"/>
      <c r="K557" s="5"/>
    </row>
    <row r="558" spans="1:11" ht="15.75" customHeight="1" x14ac:dyDescent="0.25">
      <c r="A558" s="5"/>
      <c r="B558" s="5"/>
      <c r="C558" s="13"/>
      <c r="D558" s="14"/>
      <c r="E558" s="5"/>
      <c r="F558" s="5"/>
      <c r="G558" s="5"/>
      <c r="H558" s="5"/>
      <c r="I558" s="5"/>
      <c r="J558" s="5"/>
      <c r="K558" s="5"/>
    </row>
    <row r="559" spans="1:11" ht="15.75" customHeight="1" x14ac:dyDescent="0.25">
      <c r="A559" s="5"/>
      <c r="B559" s="5"/>
      <c r="C559" s="13"/>
      <c r="D559" s="5"/>
      <c r="E559" s="5"/>
      <c r="F559" s="5"/>
      <c r="G559" s="5"/>
      <c r="H559" s="5"/>
      <c r="I559" s="5"/>
      <c r="J559" s="5"/>
      <c r="K559" s="5"/>
    </row>
    <row r="560" spans="1:11" ht="15.75" customHeight="1" x14ac:dyDescent="0.25">
      <c r="A560" s="5"/>
      <c r="B560" s="5"/>
      <c r="C560" s="13"/>
      <c r="D560" s="5"/>
      <c r="E560" s="5"/>
      <c r="F560" s="5"/>
      <c r="G560" s="5"/>
      <c r="H560" s="5"/>
      <c r="I560" s="5"/>
      <c r="J560" s="5"/>
      <c r="K560" s="5"/>
    </row>
    <row r="561" spans="1:11" ht="15.75" customHeight="1" x14ac:dyDescent="0.25">
      <c r="A561" s="5"/>
      <c r="B561" s="5"/>
      <c r="C561" s="13"/>
      <c r="D561" s="14"/>
      <c r="E561" s="5"/>
      <c r="F561" s="5"/>
      <c r="G561" s="5"/>
      <c r="H561" s="5"/>
      <c r="I561" s="5"/>
      <c r="J561" s="5"/>
      <c r="K561" s="5"/>
    </row>
    <row r="562" spans="1:11" ht="15.75" customHeight="1" x14ac:dyDescent="0.25">
      <c r="A562" s="5"/>
      <c r="B562" s="5"/>
      <c r="C562" s="13"/>
      <c r="D562" s="5"/>
      <c r="E562" s="5"/>
      <c r="F562" s="5"/>
      <c r="G562" s="5"/>
      <c r="H562" s="5"/>
      <c r="I562" s="5"/>
      <c r="J562" s="5"/>
      <c r="K562" s="5"/>
    </row>
    <row r="563" spans="1:11" ht="15.75" customHeight="1" x14ac:dyDescent="0.25">
      <c r="A563" s="5"/>
      <c r="B563" s="5"/>
      <c r="C563" s="13"/>
      <c r="D563" s="5"/>
      <c r="E563" s="5"/>
      <c r="F563" s="5"/>
      <c r="G563" s="5"/>
      <c r="H563" s="5"/>
      <c r="I563" s="5"/>
      <c r="J563" s="5"/>
      <c r="K563" s="5"/>
    </row>
    <row r="564" spans="1:11" ht="15.75" customHeight="1" x14ac:dyDescent="0.25">
      <c r="A564" s="5"/>
      <c r="B564" s="5"/>
      <c r="C564" s="13"/>
      <c r="D564" s="14"/>
      <c r="E564" s="5"/>
      <c r="F564" s="5"/>
      <c r="G564" s="5"/>
      <c r="H564" s="5"/>
      <c r="I564" s="5"/>
      <c r="J564" s="5"/>
      <c r="K564" s="5"/>
    </row>
    <row r="565" spans="1:11" ht="15.75" customHeight="1" x14ac:dyDescent="0.25">
      <c r="A565" s="5"/>
      <c r="B565" s="5"/>
      <c r="C565" s="13"/>
      <c r="D565" s="14"/>
      <c r="E565" s="5"/>
      <c r="F565" s="5"/>
      <c r="G565" s="5"/>
      <c r="H565" s="5"/>
      <c r="I565" s="5"/>
      <c r="J565" s="5"/>
      <c r="K565" s="5"/>
    </row>
    <row r="566" spans="1:11" ht="15.75" customHeight="1" x14ac:dyDescent="0.25">
      <c r="A566" s="5"/>
      <c r="B566" s="5"/>
      <c r="C566" s="13"/>
      <c r="D566" s="14"/>
      <c r="E566" s="5"/>
      <c r="F566" s="5"/>
      <c r="G566" s="5"/>
      <c r="H566" s="5"/>
      <c r="I566" s="5"/>
      <c r="J566" s="5"/>
      <c r="K566" s="5"/>
    </row>
    <row r="567" spans="1:11" ht="15.75" customHeight="1" x14ac:dyDescent="0.25">
      <c r="A567" s="5"/>
      <c r="B567" s="5"/>
      <c r="C567" s="13"/>
      <c r="D567" s="5"/>
      <c r="E567" s="5"/>
      <c r="F567" s="5"/>
      <c r="G567" s="5"/>
      <c r="H567" s="5"/>
      <c r="I567" s="5"/>
      <c r="J567" s="5"/>
      <c r="K567" s="5"/>
    </row>
    <row r="568" spans="1:11" ht="15.75" customHeight="1" x14ac:dyDescent="0.25">
      <c r="A568" s="5"/>
      <c r="B568" s="5"/>
      <c r="C568" s="13"/>
      <c r="D568" s="5"/>
      <c r="E568" s="5"/>
      <c r="F568" s="5"/>
      <c r="G568" s="5"/>
      <c r="H568" s="5"/>
      <c r="I568" s="5"/>
      <c r="J568" s="5"/>
      <c r="K568" s="5"/>
    </row>
    <row r="569" spans="1:11" ht="15.75" customHeight="1" x14ac:dyDescent="0.25">
      <c r="A569" s="5"/>
      <c r="B569" s="5"/>
      <c r="C569" s="13"/>
      <c r="D569" s="14"/>
      <c r="E569" s="5"/>
      <c r="F569" s="5"/>
      <c r="G569" s="5"/>
      <c r="H569" s="5"/>
      <c r="I569" s="5"/>
      <c r="J569" s="5"/>
      <c r="K569" s="5"/>
    </row>
    <row r="570" spans="1:11" ht="15.75" customHeight="1" x14ac:dyDescent="0.25">
      <c r="A570" s="5"/>
      <c r="B570" s="5"/>
      <c r="C570" s="13"/>
      <c r="D570" s="14"/>
      <c r="E570" s="5"/>
      <c r="F570" s="5"/>
      <c r="G570" s="5"/>
      <c r="H570" s="5"/>
      <c r="I570" s="5"/>
      <c r="J570" s="5"/>
      <c r="K570" s="5"/>
    </row>
    <row r="571" spans="1:11" ht="15.75" customHeight="1" x14ac:dyDescent="0.25">
      <c r="A571" s="5"/>
      <c r="B571" s="5"/>
      <c r="C571" s="13"/>
      <c r="D571" s="14"/>
      <c r="E571" s="5"/>
      <c r="F571" s="5"/>
      <c r="G571" s="5"/>
      <c r="H571" s="5"/>
      <c r="I571" s="5"/>
      <c r="J571" s="5"/>
      <c r="K571" s="5"/>
    </row>
    <row r="572" spans="1:11" ht="15.75" customHeight="1" x14ac:dyDescent="0.25">
      <c r="A572" s="5"/>
      <c r="B572" s="5"/>
      <c r="C572" s="13"/>
      <c r="D572" s="14"/>
      <c r="E572" s="5"/>
      <c r="F572" s="5"/>
      <c r="G572" s="5"/>
      <c r="H572" s="5"/>
      <c r="I572" s="5"/>
      <c r="J572" s="5"/>
      <c r="K572" s="5"/>
    </row>
    <row r="573" spans="1:11" ht="15.75" customHeight="1" x14ac:dyDescent="0.25">
      <c r="A573" s="5"/>
      <c r="B573" s="5"/>
      <c r="C573" s="13"/>
      <c r="D573" s="14"/>
      <c r="E573" s="5"/>
      <c r="F573" s="5"/>
      <c r="G573" s="5"/>
      <c r="H573" s="5"/>
      <c r="I573" s="5"/>
      <c r="J573" s="5"/>
      <c r="K573" s="5"/>
    </row>
    <row r="574" spans="1:11" ht="15.75" customHeight="1" x14ac:dyDescent="0.25">
      <c r="A574" s="5"/>
      <c r="B574" s="5"/>
      <c r="C574" s="13"/>
      <c r="D574" s="5"/>
      <c r="E574" s="5"/>
      <c r="F574" s="5"/>
      <c r="G574" s="5"/>
      <c r="H574" s="5"/>
      <c r="I574" s="5"/>
      <c r="J574" s="5"/>
      <c r="K574" s="5"/>
    </row>
    <row r="575" spans="1:11" ht="15.75" customHeight="1" x14ac:dyDescent="0.25">
      <c r="A575" s="5"/>
      <c r="B575" s="5"/>
      <c r="C575" s="13"/>
      <c r="D575" s="5"/>
      <c r="E575" s="5"/>
      <c r="F575" s="5"/>
      <c r="G575" s="5"/>
      <c r="H575" s="5"/>
      <c r="I575" s="5"/>
      <c r="J575" s="5"/>
      <c r="K575" s="5"/>
    </row>
    <row r="576" spans="1:11" ht="15.75" customHeight="1" x14ac:dyDescent="0.25">
      <c r="A576" s="5"/>
      <c r="B576" s="5"/>
      <c r="C576" s="13"/>
      <c r="D576" s="14"/>
      <c r="E576" s="5"/>
      <c r="F576" s="5"/>
      <c r="G576" s="5"/>
      <c r="H576" s="5"/>
      <c r="I576" s="5"/>
      <c r="J576" s="5"/>
      <c r="K576" s="5"/>
    </row>
    <row r="577" spans="1:11" ht="15.75" customHeight="1" x14ac:dyDescent="0.25">
      <c r="A577" s="5"/>
      <c r="B577" s="5"/>
      <c r="C577" s="13"/>
      <c r="D577" s="14"/>
      <c r="E577" s="5"/>
      <c r="F577" s="5"/>
      <c r="G577" s="5"/>
      <c r="H577" s="5"/>
      <c r="I577" s="5"/>
      <c r="J577" s="5"/>
      <c r="K577" s="5"/>
    </row>
    <row r="578" spans="1:11" ht="15.75" customHeight="1" x14ac:dyDescent="0.25">
      <c r="A578" s="5"/>
      <c r="B578" s="5"/>
      <c r="C578" s="13"/>
      <c r="D578" s="14"/>
      <c r="E578" s="5"/>
      <c r="F578" s="5"/>
      <c r="G578" s="5"/>
      <c r="H578" s="5"/>
      <c r="I578" s="5"/>
      <c r="J578" s="5"/>
      <c r="K578" s="5"/>
    </row>
    <row r="579" spans="1:11" ht="15.75" customHeight="1" x14ac:dyDescent="0.25">
      <c r="A579" s="5"/>
      <c r="B579" s="5"/>
      <c r="C579" s="13"/>
      <c r="D579" s="5"/>
      <c r="E579" s="5"/>
      <c r="F579" s="5"/>
      <c r="G579" s="5"/>
      <c r="H579" s="5"/>
      <c r="I579" s="5"/>
      <c r="J579" s="5"/>
      <c r="K579" s="5"/>
    </row>
    <row r="580" spans="1:11" ht="15.75" customHeight="1" x14ac:dyDescent="0.25">
      <c r="A580" s="5"/>
      <c r="B580" s="5"/>
      <c r="C580" s="13"/>
      <c r="D580" s="5"/>
      <c r="E580" s="5"/>
      <c r="F580" s="5"/>
      <c r="G580" s="5"/>
      <c r="H580" s="5"/>
      <c r="I580" s="5"/>
      <c r="J580" s="5"/>
      <c r="K580" s="5"/>
    </row>
    <row r="581" spans="1:11" ht="15.75" customHeight="1" x14ac:dyDescent="0.25">
      <c r="A581" s="5"/>
      <c r="B581" s="5"/>
      <c r="C581" s="13"/>
      <c r="D581" s="14"/>
      <c r="E581" s="5"/>
      <c r="F581" s="5"/>
      <c r="G581" s="5"/>
      <c r="H581" s="5"/>
      <c r="I581" s="5"/>
      <c r="J581" s="5"/>
      <c r="K581" s="5"/>
    </row>
    <row r="582" spans="1:11" ht="15.75" customHeight="1" x14ac:dyDescent="0.25">
      <c r="A582" s="5"/>
      <c r="B582" s="5"/>
      <c r="C582" s="13"/>
      <c r="D582" s="5"/>
      <c r="E582" s="5"/>
      <c r="F582" s="5"/>
      <c r="G582" s="5"/>
      <c r="H582" s="5"/>
      <c r="I582" s="5"/>
      <c r="J582" s="5"/>
      <c r="K582" s="5"/>
    </row>
    <row r="583" spans="1:11" ht="15.75" customHeight="1" x14ac:dyDescent="0.25">
      <c r="A583" s="5"/>
      <c r="B583" s="5"/>
      <c r="C583" s="13"/>
      <c r="D583" s="5"/>
      <c r="E583" s="5"/>
      <c r="F583" s="5"/>
      <c r="G583" s="5"/>
      <c r="H583" s="5"/>
      <c r="I583" s="5"/>
      <c r="J583" s="5"/>
      <c r="K583" s="5"/>
    </row>
    <row r="584" spans="1:11" ht="15.75" customHeight="1" x14ac:dyDescent="0.25">
      <c r="A584" s="5"/>
      <c r="B584" s="5"/>
      <c r="C584" s="13"/>
      <c r="D584" s="14"/>
      <c r="E584" s="5"/>
      <c r="F584" s="5"/>
      <c r="G584" s="5"/>
      <c r="H584" s="5"/>
      <c r="I584" s="5"/>
      <c r="J584" s="5"/>
      <c r="K584" s="5"/>
    </row>
    <row r="585" spans="1:11" ht="15.75" customHeight="1" x14ac:dyDescent="0.25">
      <c r="A585" s="5"/>
      <c r="B585" s="5"/>
      <c r="C585" s="13"/>
      <c r="D585" s="14"/>
      <c r="E585" s="5"/>
      <c r="F585" s="5"/>
      <c r="G585" s="5"/>
      <c r="H585" s="5"/>
      <c r="I585" s="5"/>
      <c r="J585" s="5"/>
      <c r="K585" s="5"/>
    </row>
    <row r="586" spans="1:11" ht="15.75" customHeight="1" x14ac:dyDescent="0.25">
      <c r="A586" s="5"/>
      <c r="B586" s="5"/>
      <c r="C586" s="13"/>
      <c r="D586" s="14"/>
      <c r="E586" s="5"/>
      <c r="F586" s="5"/>
      <c r="G586" s="5"/>
      <c r="H586" s="5"/>
      <c r="I586" s="5"/>
      <c r="J586" s="5"/>
      <c r="K586" s="5"/>
    </row>
    <row r="587" spans="1:11" ht="15.75" customHeight="1" x14ac:dyDescent="0.25">
      <c r="A587" s="5"/>
      <c r="B587" s="5"/>
      <c r="C587" s="13"/>
      <c r="D587" s="14"/>
      <c r="E587" s="5"/>
      <c r="F587" s="5"/>
      <c r="G587" s="5"/>
      <c r="H587" s="5"/>
      <c r="I587" s="5"/>
      <c r="J587" s="5"/>
      <c r="K587" s="8"/>
    </row>
    <row r="588" spans="1:11" ht="15.75" customHeight="1" x14ac:dyDescent="0.25">
      <c r="A588" s="5"/>
      <c r="B588" s="5"/>
      <c r="C588" s="13"/>
      <c r="D588" s="5"/>
      <c r="E588" s="5"/>
      <c r="F588" s="5"/>
      <c r="G588" s="5"/>
      <c r="H588" s="5"/>
      <c r="I588" s="5"/>
      <c r="J588" s="5"/>
      <c r="K588" s="5"/>
    </row>
    <row r="589" spans="1:11" ht="15.75" customHeight="1" x14ac:dyDescent="0.25">
      <c r="A589" s="5"/>
      <c r="B589" s="5"/>
      <c r="C589" s="13"/>
      <c r="D589" s="5"/>
      <c r="E589" s="5"/>
      <c r="F589" s="5"/>
      <c r="G589" s="5"/>
      <c r="H589" s="5"/>
      <c r="I589" s="5"/>
      <c r="J589" s="5"/>
      <c r="K589" s="5"/>
    </row>
    <row r="590" spans="1:11" ht="15.75" customHeight="1" x14ac:dyDescent="0.25">
      <c r="A590" s="5"/>
      <c r="B590" s="5"/>
      <c r="C590" s="13"/>
      <c r="D590" s="14"/>
      <c r="E590" s="5"/>
      <c r="F590" s="5"/>
      <c r="G590" s="5"/>
      <c r="H590" s="5"/>
      <c r="I590" s="5"/>
      <c r="J590" s="5"/>
      <c r="K590" s="5"/>
    </row>
    <row r="591" spans="1:11" ht="15.75" customHeight="1" x14ac:dyDescent="0.25">
      <c r="A591" s="5"/>
      <c r="B591" s="5"/>
      <c r="C591" s="13"/>
      <c r="D591" s="14"/>
      <c r="E591" s="5"/>
      <c r="F591" s="5"/>
      <c r="G591" s="5"/>
      <c r="H591" s="5"/>
      <c r="I591" s="5"/>
      <c r="J591" s="5"/>
      <c r="K591" s="5"/>
    </row>
    <row r="592" spans="1:11" ht="15.75" customHeight="1" x14ac:dyDescent="0.25">
      <c r="A592" s="5"/>
      <c r="B592" s="5"/>
      <c r="C592" s="13"/>
      <c r="D592" s="14"/>
      <c r="E592" s="5"/>
      <c r="F592" s="5"/>
      <c r="G592" s="5"/>
      <c r="H592" s="5"/>
      <c r="I592" s="5"/>
      <c r="J592" s="5"/>
      <c r="K592" s="5"/>
    </row>
    <row r="593" spans="1:11" ht="15.75" customHeight="1" x14ac:dyDescent="0.25">
      <c r="A593" s="5"/>
      <c r="B593" s="5"/>
      <c r="C593" s="13"/>
      <c r="D593" s="14"/>
      <c r="E593" s="5"/>
      <c r="F593" s="5"/>
      <c r="G593" s="5"/>
      <c r="H593" s="5"/>
      <c r="I593" s="5"/>
      <c r="J593" s="5"/>
      <c r="K593" s="5"/>
    </row>
    <row r="594" spans="1:11" ht="15.75" customHeight="1" x14ac:dyDescent="0.25">
      <c r="A594" s="5"/>
      <c r="B594" s="5"/>
      <c r="C594" s="13"/>
      <c r="D594" s="14"/>
      <c r="E594" s="5"/>
      <c r="F594" s="5"/>
      <c r="G594" s="5"/>
      <c r="H594" s="5"/>
      <c r="I594" s="5"/>
      <c r="J594" s="5"/>
      <c r="K594" s="5"/>
    </row>
    <row r="595" spans="1:11" ht="15.75" customHeight="1" x14ac:dyDescent="0.25">
      <c r="A595" s="5"/>
      <c r="B595" s="5"/>
      <c r="C595" s="13"/>
      <c r="D595" s="5"/>
      <c r="E595" s="5"/>
      <c r="F595" s="5"/>
      <c r="G595" s="5"/>
      <c r="H595" s="5"/>
      <c r="I595" s="5"/>
      <c r="J595" s="5"/>
      <c r="K595" s="5"/>
    </row>
    <row r="596" spans="1:11" ht="15.75" customHeight="1" x14ac:dyDescent="0.25">
      <c r="A596" s="5"/>
      <c r="B596" s="5"/>
      <c r="C596" s="13"/>
      <c r="D596" s="5"/>
      <c r="E596" s="5"/>
      <c r="F596" s="5"/>
      <c r="G596" s="5"/>
      <c r="H596" s="5"/>
      <c r="I596" s="5"/>
      <c r="J596" s="5"/>
      <c r="K596" s="5"/>
    </row>
    <row r="597" spans="1:11" ht="15.75" customHeight="1" x14ac:dyDescent="0.25">
      <c r="A597" s="5"/>
      <c r="B597" s="5"/>
      <c r="C597" s="13"/>
      <c r="D597" s="14"/>
      <c r="E597" s="5"/>
      <c r="F597" s="5"/>
      <c r="G597" s="5"/>
      <c r="H597" s="5"/>
      <c r="I597" s="5"/>
      <c r="J597" s="5"/>
      <c r="K597" s="5"/>
    </row>
    <row r="598" spans="1:11" ht="15.75" customHeight="1" x14ac:dyDescent="0.25">
      <c r="A598" s="5"/>
      <c r="B598" s="5"/>
      <c r="C598" s="13"/>
      <c r="D598" s="14"/>
      <c r="E598" s="5"/>
      <c r="F598" s="5"/>
      <c r="G598" s="5"/>
      <c r="H598" s="5"/>
      <c r="I598" s="5"/>
      <c r="J598" s="5"/>
      <c r="K598" s="5"/>
    </row>
    <row r="599" spans="1:11" ht="15.75" customHeight="1" x14ac:dyDescent="0.25">
      <c r="A599" s="5"/>
      <c r="B599" s="5"/>
      <c r="C599" s="13"/>
      <c r="D599" s="14"/>
      <c r="E599" s="5"/>
      <c r="F599" s="5"/>
      <c r="G599" s="5"/>
      <c r="H599" s="5"/>
      <c r="I599" s="5"/>
      <c r="J599" s="5"/>
      <c r="K599" s="5"/>
    </row>
    <row r="600" spans="1:11" ht="15.75" customHeight="1" x14ac:dyDescent="0.25">
      <c r="A600" s="5"/>
      <c r="B600" s="5"/>
      <c r="C600" s="13"/>
      <c r="D600" s="14"/>
      <c r="E600" s="5"/>
      <c r="F600" s="5"/>
      <c r="G600" s="5"/>
      <c r="H600" s="5"/>
      <c r="I600" s="5"/>
      <c r="J600" s="5"/>
      <c r="K600" s="5"/>
    </row>
    <row r="601" spans="1:11" ht="15.75" customHeight="1" x14ac:dyDescent="0.25">
      <c r="A601" s="5"/>
      <c r="B601" s="5"/>
      <c r="C601" s="13"/>
      <c r="D601" s="14"/>
      <c r="E601" s="5"/>
      <c r="F601" s="5"/>
      <c r="G601" s="5"/>
      <c r="H601" s="5"/>
      <c r="I601" s="5"/>
      <c r="J601" s="5"/>
      <c r="K601" s="5"/>
    </row>
    <row r="602" spans="1:11" ht="15.75" customHeight="1" x14ac:dyDescent="0.25">
      <c r="A602" s="5"/>
      <c r="B602" s="5"/>
      <c r="C602" s="13"/>
      <c r="D602" s="14"/>
      <c r="E602" s="5"/>
      <c r="F602" s="5"/>
      <c r="G602" s="5"/>
      <c r="H602" s="5"/>
      <c r="I602" s="5"/>
      <c r="J602" s="5"/>
      <c r="K602" s="5"/>
    </row>
    <row r="603" spans="1:11" ht="15.75" customHeight="1" x14ac:dyDescent="0.25">
      <c r="A603" s="5"/>
      <c r="B603" s="5"/>
      <c r="C603" s="13"/>
      <c r="D603" s="14"/>
      <c r="E603" s="5"/>
      <c r="F603" s="5"/>
      <c r="G603" s="5"/>
      <c r="H603" s="5"/>
      <c r="I603" s="5"/>
      <c r="J603" s="5"/>
      <c r="K603" s="5"/>
    </row>
    <row r="604" spans="1:11" ht="15.75" customHeight="1" x14ac:dyDescent="0.25">
      <c r="A604" s="5"/>
      <c r="B604" s="5"/>
      <c r="C604" s="13"/>
      <c r="D604" s="14"/>
      <c r="E604" s="5"/>
      <c r="F604" s="5"/>
      <c r="G604" s="5"/>
      <c r="H604" s="5"/>
      <c r="I604" s="5"/>
      <c r="J604" s="5"/>
      <c r="K604" s="5"/>
    </row>
    <row r="605" spans="1:11" ht="15.75" customHeight="1" x14ac:dyDescent="0.25">
      <c r="A605" s="5"/>
      <c r="B605" s="5"/>
      <c r="C605" s="13"/>
      <c r="D605" s="14"/>
      <c r="E605" s="5"/>
      <c r="F605" s="5"/>
      <c r="G605" s="5"/>
      <c r="H605" s="5"/>
      <c r="I605" s="5"/>
      <c r="J605" s="5"/>
      <c r="K605" s="5"/>
    </row>
    <row r="606" spans="1:11" ht="15.75" customHeight="1" x14ac:dyDescent="0.25">
      <c r="A606" s="5"/>
      <c r="B606" s="5"/>
      <c r="C606" s="13"/>
      <c r="D606" s="14"/>
      <c r="E606" s="5"/>
      <c r="F606" s="5"/>
      <c r="G606" s="5"/>
      <c r="H606" s="5"/>
      <c r="I606" s="5"/>
      <c r="J606" s="5"/>
      <c r="K606" s="5"/>
    </row>
    <row r="607" spans="1:11" ht="15.75" customHeight="1" x14ac:dyDescent="0.25">
      <c r="A607" s="5"/>
      <c r="B607" s="5"/>
      <c r="C607" s="13"/>
      <c r="D607" s="14"/>
      <c r="E607" s="5"/>
      <c r="F607" s="5"/>
      <c r="G607" s="5"/>
      <c r="H607" s="5"/>
      <c r="I607" s="5"/>
      <c r="J607" s="5"/>
      <c r="K607" s="5"/>
    </row>
    <row r="608" spans="1:11" ht="15.75" customHeight="1" x14ac:dyDescent="0.25">
      <c r="A608" s="5"/>
      <c r="B608" s="5"/>
      <c r="C608" s="6"/>
      <c r="D608" s="14"/>
      <c r="E608" s="5"/>
      <c r="F608" s="5"/>
      <c r="G608" s="5"/>
      <c r="H608" s="5"/>
      <c r="I608" s="5"/>
      <c r="J608" s="5"/>
      <c r="K608" s="5"/>
    </row>
    <row r="609" spans="1:11" ht="15.75" customHeight="1" x14ac:dyDescent="0.25">
      <c r="A609" s="5"/>
      <c r="B609" s="5"/>
      <c r="C609" s="6"/>
      <c r="D609" s="14"/>
      <c r="E609" s="5"/>
      <c r="F609" s="5"/>
      <c r="G609" s="5"/>
      <c r="H609" s="5"/>
      <c r="I609" s="5"/>
      <c r="J609" s="5"/>
      <c r="K609" s="5"/>
    </row>
    <row r="610" spans="1:11" ht="15.75" customHeight="1" x14ac:dyDescent="0.25">
      <c r="A610" s="5"/>
      <c r="B610" s="5"/>
      <c r="C610" s="6"/>
      <c r="D610" s="14"/>
      <c r="E610" s="5"/>
      <c r="F610" s="5"/>
      <c r="G610" s="5"/>
      <c r="H610" s="5"/>
      <c r="I610" s="5"/>
      <c r="J610" s="5"/>
      <c r="K610" s="5"/>
    </row>
    <row r="611" spans="1:11" ht="15.75" customHeight="1" x14ac:dyDescent="0.25">
      <c r="A611" s="5"/>
      <c r="B611" s="5"/>
      <c r="C611" s="6"/>
      <c r="D611" s="14"/>
      <c r="E611" s="5"/>
      <c r="F611" s="5"/>
      <c r="G611" s="5"/>
      <c r="H611" s="5"/>
      <c r="I611" s="5"/>
      <c r="J611" s="5"/>
      <c r="K611" s="5"/>
    </row>
    <row r="612" spans="1:11" ht="15.75" customHeight="1" x14ac:dyDescent="0.25">
      <c r="A612" s="5"/>
      <c r="B612" s="5"/>
      <c r="C612" s="6"/>
      <c r="D612" s="14"/>
      <c r="E612" s="5"/>
      <c r="F612" s="5"/>
      <c r="G612" s="5"/>
      <c r="H612" s="5"/>
      <c r="I612" s="5"/>
      <c r="J612" s="5"/>
      <c r="K612" s="5"/>
    </row>
    <row r="613" spans="1:11" ht="15.75" customHeight="1" x14ac:dyDescent="0.25">
      <c r="A613" s="5"/>
      <c r="B613" s="5"/>
      <c r="C613" s="6"/>
      <c r="D613" s="14"/>
      <c r="E613" s="5"/>
      <c r="F613" s="5"/>
      <c r="G613" s="5"/>
      <c r="H613" s="5"/>
      <c r="I613" s="5"/>
      <c r="J613" s="5"/>
      <c r="K613" s="5"/>
    </row>
    <row r="614" spans="1:11" ht="15.75" customHeight="1" x14ac:dyDescent="0.25">
      <c r="A614" s="5"/>
      <c r="B614" s="5"/>
      <c r="C614" s="6"/>
      <c r="D614" s="14"/>
      <c r="E614" s="5"/>
      <c r="F614" s="5"/>
      <c r="G614" s="5"/>
      <c r="H614" s="5"/>
      <c r="I614" s="5"/>
      <c r="J614" s="5"/>
      <c r="K614" s="5"/>
    </row>
    <row r="615" spans="1:11" ht="15.75" customHeight="1" x14ac:dyDescent="0.25">
      <c r="A615" s="5"/>
      <c r="B615" s="5"/>
      <c r="C615" s="6"/>
      <c r="D615" s="14"/>
      <c r="E615" s="5"/>
      <c r="F615" s="5"/>
      <c r="G615" s="5"/>
      <c r="H615" s="5"/>
      <c r="I615" s="5"/>
      <c r="J615" s="5"/>
      <c r="K615" s="5"/>
    </row>
    <row r="616" spans="1:11" ht="15.75" customHeight="1" x14ac:dyDescent="0.25">
      <c r="A616" s="5"/>
      <c r="B616" s="5"/>
      <c r="C616" s="6"/>
      <c r="D616" s="14"/>
      <c r="E616" s="5"/>
      <c r="F616" s="5"/>
      <c r="G616" s="5"/>
      <c r="H616" s="5"/>
      <c r="I616" s="5"/>
      <c r="J616" s="5"/>
      <c r="K616" s="5"/>
    </row>
    <row r="617" spans="1:11" ht="15.75" customHeight="1" x14ac:dyDescent="0.25">
      <c r="A617" s="5"/>
      <c r="B617" s="5"/>
      <c r="C617" s="6"/>
      <c r="D617" s="14"/>
      <c r="E617" s="5"/>
      <c r="F617" s="5"/>
      <c r="G617" s="5"/>
      <c r="H617" s="5"/>
      <c r="I617" s="5"/>
      <c r="J617" s="5"/>
      <c r="K617" s="5"/>
    </row>
    <row r="618" spans="1:11" ht="15.75" customHeight="1" x14ac:dyDescent="0.25">
      <c r="A618" s="5"/>
      <c r="B618" s="5"/>
      <c r="C618" s="6"/>
      <c r="D618" s="14"/>
      <c r="E618" s="5"/>
      <c r="F618" s="5"/>
      <c r="G618" s="5"/>
      <c r="H618" s="5"/>
      <c r="I618" s="5"/>
      <c r="J618" s="5"/>
      <c r="K618" s="5"/>
    </row>
    <row r="619" spans="1:11" ht="15.75" customHeight="1" x14ac:dyDescent="0.25">
      <c r="A619" s="5"/>
      <c r="B619" s="5"/>
      <c r="C619" s="6"/>
      <c r="D619" s="14"/>
      <c r="E619" s="5"/>
      <c r="F619" s="5"/>
      <c r="G619" s="5"/>
      <c r="H619" s="5"/>
      <c r="I619" s="5"/>
      <c r="J619" s="5"/>
      <c r="K619" s="5"/>
    </row>
    <row r="620" spans="1:11" ht="15.75" customHeight="1" x14ac:dyDescent="0.25">
      <c r="A620" s="5"/>
      <c r="B620" s="5"/>
      <c r="C620" s="6"/>
      <c r="D620" s="14"/>
      <c r="E620" s="5"/>
      <c r="F620" s="5"/>
      <c r="G620" s="5"/>
      <c r="H620" s="5"/>
      <c r="I620" s="5"/>
      <c r="J620" s="5"/>
      <c r="K620" s="5"/>
    </row>
    <row r="621" spans="1:11" ht="15.75" customHeight="1" x14ac:dyDescent="0.25">
      <c r="A621" s="5"/>
      <c r="B621" s="5"/>
      <c r="C621" s="6"/>
      <c r="D621" s="14"/>
      <c r="E621" s="5"/>
      <c r="F621" s="5"/>
      <c r="G621" s="5"/>
      <c r="H621" s="5"/>
      <c r="I621" s="5"/>
      <c r="J621" s="5"/>
      <c r="K621" s="5"/>
    </row>
    <row r="622" spans="1:11" ht="15.75" customHeight="1" x14ac:dyDescent="0.25">
      <c r="A622" s="5"/>
      <c r="B622" s="5"/>
      <c r="C622" s="6"/>
      <c r="D622" s="14"/>
      <c r="E622" s="5"/>
      <c r="F622" s="5"/>
      <c r="G622" s="5"/>
      <c r="H622" s="5"/>
      <c r="I622" s="5"/>
      <c r="J622" s="5"/>
      <c r="K622" s="5"/>
    </row>
    <row r="623" spans="1:11" ht="15.75" customHeight="1" x14ac:dyDescent="0.25">
      <c r="A623" s="5"/>
      <c r="B623" s="5"/>
      <c r="C623" s="6"/>
      <c r="D623" s="14"/>
      <c r="E623" s="5"/>
      <c r="F623" s="5"/>
      <c r="G623" s="5"/>
      <c r="H623" s="5"/>
      <c r="I623" s="5"/>
      <c r="J623" s="5"/>
      <c r="K623" s="5"/>
    </row>
    <row r="624" spans="1:11" ht="15.75" customHeight="1" x14ac:dyDescent="0.25">
      <c r="A624" s="5"/>
      <c r="B624" s="5"/>
      <c r="C624" s="6"/>
      <c r="D624" s="14"/>
      <c r="E624" s="5"/>
      <c r="F624" s="5"/>
      <c r="G624" s="5"/>
      <c r="H624" s="5"/>
      <c r="I624" s="5"/>
      <c r="J624" s="5"/>
      <c r="K624" s="5"/>
    </row>
    <row r="625" spans="1:11" ht="15.75" customHeight="1" x14ac:dyDescent="0.25">
      <c r="A625" s="5"/>
      <c r="B625" s="5"/>
      <c r="C625" s="6"/>
      <c r="D625" s="14"/>
      <c r="E625" s="5"/>
      <c r="F625" s="5"/>
      <c r="G625" s="5"/>
      <c r="H625" s="5"/>
      <c r="I625" s="5"/>
      <c r="J625" s="5"/>
      <c r="K625" s="5"/>
    </row>
    <row r="626" spans="1:11" ht="15.75" customHeight="1" x14ac:dyDescent="0.25">
      <c r="A626" s="5"/>
      <c r="B626" s="5"/>
      <c r="C626" s="6"/>
      <c r="D626" s="14"/>
      <c r="E626" s="5"/>
      <c r="F626" s="5"/>
      <c r="G626" s="5"/>
      <c r="H626" s="5"/>
      <c r="I626" s="5"/>
      <c r="J626" s="5"/>
      <c r="K626" s="5"/>
    </row>
    <row r="627" spans="1:11" ht="15.75" customHeight="1" x14ac:dyDescent="0.25">
      <c r="A627" s="5"/>
      <c r="B627" s="5"/>
      <c r="C627" s="6"/>
      <c r="D627" s="14"/>
      <c r="E627" s="5"/>
      <c r="F627" s="5"/>
      <c r="G627" s="5"/>
      <c r="H627" s="5"/>
      <c r="I627" s="5"/>
      <c r="J627" s="5"/>
      <c r="K627" s="5"/>
    </row>
    <row r="628" spans="1:11" ht="15.75" customHeight="1" x14ac:dyDescent="0.25">
      <c r="A628" s="5"/>
      <c r="B628" s="5"/>
      <c r="C628" s="6"/>
      <c r="D628" s="14"/>
      <c r="E628" s="5"/>
      <c r="F628" s="5"/>
      <c r="G628" s="5"/>
      <c r="H628" s="5"/>
      <c r="I628" s="5"/>
      <c r="J628" s="5"/>
      <c r="K628" s="5"/>
    </row>
    <row r="629" spans="1:11" ht="15.75" customHeight="1" x14ac:dyDescent="0.25">
      <c r="A629" s="5"/>
      <c r="B629" s="5"/>
      <c r="C629" s="6"/>
      <c r="D629" s="14"/>
      <c r="E629" s="5"/>
      <c r="F629" s="5"/>
      <c r="G629" s="5"/>
      <c r="H629" s="5"/>
      <c r="I629" s="5"/>
      <c r="J629" s="5"/>
      <c r="K629" s="5"/>
    </row>
    <row r="630" spans="1:11" ht="15.75" customHeight="1" x14ac:dyDescent="0.25">
      <c r="A630" s="5"/>
      <c r="B630" s="5"/>
      <c r="C630" s="6"/>
      <c r="D630" s="14"/>
      <c r="E630" s="5"/>
      <c r="F630" s="5"/>
      <c r="G630" s="5"/>
      <c r="H630" s="5"/>
      <c r="I630" s="5"/>
      <c r="J630" s="5"/>
      <c r="K630" s="5"/>
    </row>
    <row r="631" spans="1:11" ht="15.75" customHeight="1" x14ac:dyDescent="0.25">
      <c r="A631" s="5"/>
      <c r="B631" s="5"/>
      <c r="C631" s="6"/>
      <c r="D631" s="14"/>
      <c r="E631" s="5"/>
      <c r="F631" s="5"/>
      <c r="G631" s="5"/>
      <c r="H631" s="5"/>
      <c r="I631" s="5"/>
      <c r="J631" s="5"/>
      <c r="K631" s="5"/>
    </row>
    <row r="632" spans="1:11" ht="15.75" customHeight="1" x14ac:dyDescent="0.25">
      <c r="A632" s="5"/>
      <c r="B632" s="5"/>
      <c r="C632" s="6"/>
      <c r="D632" s="14"/>
      <c r="E632" s="5"/>
      <c r="F632" s="5"/>
      <c r="G632" s="5"/>
      <c r="H632" s="5"/>
      <c r="I632" s="5"/>
      <c r="J632" s="5"/>
      <c r="K632" s="5"/>
    </row>
    <row r="633" spans="1:11" ht="15.75" customHeight="1" x14ac:dyDescent="0.25">
      <c r="A633" s="5"/>
      <c r="B633" s="5"/>
      <c r="C633" s="6"/>
      <c r="D633" s="14"/>
      <c r="E633" s="5"/>
      <c r="F633" s="5"/>
      <c r="G633" s="5"/>
      <c r="H633" s="5"/>
      <c r="I633" s="5"/>
      <c r="J633" s="5"/>
      <c r="K633" s="5"/>
    </row>
    <row r="634" spans="1:11" ht="15.75" customHeight="1" x14ac:dyDescent="0.25">
      <c r="A634" s="5"/>
      <c r="B634" s="5"/>
      <c r="C634" s="6"/>
      <c r="D634" s="14"/>
      <c r="E634" s="5"/>
      <c r="F634" s="5"/>
      <c r="G634" s="5"/>
      <c r="H634" s="5"/>
      <c r="I634" s="5"/>
      <c r="J634" s="5"/>
      <c r="K634" s="5"/>
    </row>
    <row r="635" spans="1:11" ht="15.75" customHeight="1" x14ac:dyDescent="0.25">
      <c r="A635" s="5"/>
      <c r="B635" s="5"/>
      <c r="C635" s="6"/>
      <c r="D635" s="14"/>
      <c r="E635" s="5"/>
      <c r="F635" s="5"/>
      <c r="G635" s="5"/>
      <c r="H635" s="5"/>
      <c r="I635" s="5"/>
      <c r="J635" s="5"/>
      <c r="K635" s="5"/>
    </row>
    <row r="636" spans="1:11" ht="15.75" customHeight="1" x14ac:dyDescent="0.25">
      <c r="A636" s="5"/>
      <c r="B636" s="5"/>
      <c r="C636" s="6"/>
      <c r="D636" s="14"/>
      <c r="E636" s="5"/>
      <c r="F636" s="5"/>
      <c r="G636" s="5"/>
      <c r="H636" s="5"/>
      <c r="I636" s="5"/>
      <c r="J636" s="5"/>
      <c r="K636" s="5"/>
    </row>
    <row r="637" spans="1:11" ht="15.75" customHeight="1" x14ac:dyDescent="0.25">
      <c r="A637" s="5"/>
      <c r="B637" s="5"/>
      <c r="C637" s="6"/>
      <c r="D637" s="14"/>
      <c r="E637" s="5"/>
      <c r="F637" s="5"/>
      <c r="G637" s="5"/>
      <c r="H637" s="5"/>
      <c r="I637" s="5"/>
      <c r="J637" s="5"/>
      <c r="K637" s="5"/>
    </row>
    <row r="638" spans="1:11" ht="15.75" customHeight="1" x14ac:dyDescent="0.25">
      <c r="A638" s="5"/>
      <c r="B638" s="5"/>
      <c r="C638" s="6"/>
      <c r="D638" s="14"/>
      <c r="E638" s="5"/>
      <c r="F638" s="5"/>
      <c r="G638" s="5"/>
      <c r="H638" s="5"/>
      <c r="I638" s="5"/>
      <c r="J638" s="5"/>
      <c r="K638" s="5"/>
    </row>
    <row r="639" spans="1:11" ht="15.75" customHeight="1" x14ac:dyDescent="0.25">
      <c r="A639" s="5"/>
      <c r="B639" s="5"/>
      <c r="C639" s="6"/>
      <c r="D639" s="14"/>
      <c r="E639" s="5"/>
      <c r="F639" s="5"/>
      <c r="G639" s="5"/>
      <c r="H639" s="5"/>
      <c r="I639" s="5"/>
      <c r="J639" s="5"/>
      <c r="K639" s="5"/>
    </row>
    <row r="640" spans="1:11" ht="15.75" customHeight="1" x14ac:dyDescent="0.25">
      <c r="A640" s="5"/>
      <c r="B640" s="5"/>
      <c r="C640" s="6"/>
      <c r="D640" s="14"/>
      <c r="E640" s="5"/>
      <c r="F640" s="5"/>
      <c r="G640" s="5"/>
      <c r="H640" s="5"/>
      <c r="I640" s="5"/>
      <c r="J640" s="5"/>
      <c r="K640" s="5"/>
    </row>
    <row r="641" spans="1:11" ht="15.75" customHeight="1" x14ac:dyDescent="0.25">
      <c r="A641" s="5"/>
      <c r="B641" s="5"/>
      <c r="C641" s="6"/>
      <c r="D641" s="14"/>
      <c r="E641" s="5"/>
      <c r="F641" s="5"/>
      <c r="G641" s="5"/>
      <c r="H641" s="5"/>
      <c r="I641" s="5"/>
      <c r="J641" s="5"/>
      <c r="K641" s="5"/>
    </row>
    <row r="642" spans="1:11" ht="15.75" customHeight="1" x14ac:dyDescent="0.25">
      <c r="A642" s="5"/>
      <c r="B642" s="5"/>
      <c r="C642" s="6"/>
      <c r="D642" s="14"/>
      <c r="E642" s="5"/>
      <c r="F642" s="5"/>
      <c r="G642" s="5"/>
      <c r="H642" s="5"/>
      <c r="I642" s="5"/>
      <c r="J642" s="5"/>
      <c r="K642" s="5"/>
    </row>
    <row r="643" spans="1:11" ht="15.75" customHeight="1" x14ac:dyDescent="0.25">
      <c r="A643" s="5"/>
      <c r="B643" s="5"/>
      <c r="C643" s="6"/>
      <c r="D643" s="14"/>
      <c r="E643" s="5"/>
      <c r="F643" s="5"/>
      <c r="G643" s="5"/>
      <c r="H643" s="5"/>
      <c r="I643" s="5"/>
      <c r="J643" s="5"/>
      <c r="K643" s="5"/>
    </row>
    <row r="644" spans="1:11" ht="15.75" customHeight="1" x14ac:dyDescent="0.25">
      <c r="A644" s="5"/>
      <c r="B644" s="5"/>
      <c r="C644" s="6"/>
      <c r="D644" s="14"/>
      <c r="E644" s="5"/>
      <c r="F644" s="5"/>
      <c r="G644" s="5"/>
      <c r="H644" s="5"/>
      <c r="I644" s="5"/>
      <c r="J644" s="5"/>
      <c r="K644" s="5"/>
    </row>
    <row r="645" spans="1:11" ht="15.75" customHeight="1" x14ac:dyDescent="0.25">
      <c r="A645" s="5"/>
      <c r="B645" s="5"/>
      <c r="C645" s="6"/>
      <c r="D645" s="14"/>
      <c r="E645" s="5"/>
      <c r="F645" s="5"/>
      <c r="G645" s="5"/>
      <c r="H645" s="5"/>
      <c r="I645" s="5"/>
      <c r="J645" s="5"/>
      <c r="K645" s="5"/>
    </row>
    <row r="646" spans="1:11" ht="15.75" customHeight="1" x14ac:dyDescent="0.25">
      <c r="A646" s="5"/>
      <c r="B646" s="5"/>
      <c r="C646" s="6"/>
      <c r="D646" s="14"/>
      <c r="E646" s="5"/>
      <c r="F646" s="5"/>
      <c r="G646" s="5"/>
      <c r="H646" s="5"/>
      <c r="I646" s="5"/>
      <c r="J646" s="5"/>
      <c r="K646" s="5"/>
    </row>
    <row r="647" spans="1:11" ht="15.75" customHeight="1" x14ac:dyDescent="0.25">
      <c r="A647" s="5"/>
      <c r="B647" s="5"/>
      <c r="C647" s="6"/>
      <c r="D647" s="14"/>
      <c r="E647" s="5"/>
      <c r="F647" s="5"/>
      <c r="G647" s="5"/>
      <c r="H647" s="5"/>
      <c r="I647" s="5"/>
      <c r="J647" s="5"/>
      <c r="K647" s="5"/>
    </row>
    <row r="648" spans="1:11" ht="15.75" customHeight="1" x14ac:dyDescent="0.25">
      <c r="A648" s="5"/>
      <c r="B648" s="5"/>
      <c r="C648" s="6"/>
      <c r="D648" s="14"/>
      <c r="E648" s="5"/>
      <c r="F648" s="5"/>
      <c r="G648" s="5"/>
      <c r="H648" s="5"/>
      <c r="I648" s="5"/>
      <c r="J648" s="5"/>
      <c r="K648" s="5"/>
    </row>
    <row r="649" spans="1:11" ht="15.75" customHeight="1" x14ac:dyDescent="0.25">
      <c r="A649" s="5"/>
      <c r="B649" s="5"/>
      <c r="C649" s="6"/>
      <c r="D649" s="14"/>
      <c r="E649" s="5"/>
      <c r="F649" s="5"/>
      <c r="G649" s="5"/>
      <c r="H649" s="5"/>
      <c r="I649" s="5"/>
      <c r="J649" s="5"/>
      <c r="K649" s="5"/>
    </row>
    <row r="650" spans="1:11" ht="15.75" customHeight="1" x14ac:dyDescent="0.25">
      <c r="A650" s="5"/>
      <c r="B650" s="5"/>
      <c r="C650" s="6"/>
      <c r="D650" s="14"/>
      <c r="E650" s="5"/>
      <c r="F650" s="5"/>
      <c r="G650" s="5"/>
      <c r="H650" s="5"/>
      <c r="I650" s="5"/>
      <c r="J650" s="5"/>
      <c r="K650" s="5"/>
    </row>
    <row r="651" spans="1:11" ht="15.75" customHeight="1" x14ac:dyDescent="0.25">
      <c r="A651" s="5"/>
      <c r="B651" s="5"/>
      <c r="C651" s="6"/>
      <c r="D651" s="14"/>
      <c r="E651" s="5"/>
      <c r="F651" s="5"/>
      <c r="G651" s="5"/>
      <c r="H651" s="5"/>
      <c r="I651" s="5"/>
      <c r="J651" s="5"/>
      <c r="K651" s="5"/>
    </row>
    <row r="652" spans="1:11" ht="15.75" customHeight="1" x14ac:dyDescent="0.25">
      <c r="A652" s="5"/>
      <c r="B652" s="5"/>
      <c r="C652" s="6"/>
      <c r="D652" s="14"/>
      <c r="E652" s="5"/>
      <c r="F652" s="5"/>
      <c r="G652" s="5"/>
      <c r="H652" s="5"/>
      <c r="I652" s="5"/>
      <c r="J652" s="5"/>
      <c r="K652" s="5"/>
    </row>
    <row r="653" spans="1:11" ht="15.75" customHeight="1" x14ac:dyDescent="0.25">
      <c r="A653" s="5"/>
      <c r="B653" s="5"/>
      <c r="C653" s="6"/>
      <c r="D653" s="14"/>
      <c r="E653" s="5"/>
      <c r="F653" s="5"/>
      <c r="G653" s="5"/>
      <c r="H653" s="5"/>
      <c r="I653" s="5"/>
      <c r="J653" s="5"/>
      <c r="K653" s="5"/>
    </row>
    <row r="654" spans="1:11" ht="15.75" customHeight="1" x14ac:dyDescent="0.25">
      <c r="A654" s="5"/>
      <c r="B654" s="5"/>
      <c r="C654" s="6"/>
      <c r="D654" s="14"/>
      <c r="E654" s="5"/>
      <c r="F654" s="5"/>
      <c r="G654" s="5"/>
      <c r="H654" s="5"/>
      <c r="I654" s="5"/>
      <c r="J654" s="5"/>
      <c r="K654" s="5"/>
    </row>
    <row r="655" spans="1:11" ht="15.75" customHeight="1" x14ac:dyDescent="0.25">
      <c r="A655" s="5"/>
      <c r="B655" s="5"/>
      <c r="C655" s="6"/>
      <c r="D655" s="14"/>
      <c r="E655" s="5"/>
      <c r="F655" s="5"/>
      <c r="G655" s="5"/>
      <c r="H655" s="5"/>
      <c r="I655" s="5"/>
      <c r="J655" s="5"/>
      <c r="K655" s="5"/>
    </row>
    <row r="656" spans="1:11" ht="15.75" customHeight="1" x14ac:dyDescent="0.25">
      <c r="A656" s="5"/>
      <c r="B656" s="5"/>
      <c r="C656" s="6"/>
      <c r="D656" s="14"/>
      <c r="E656" s="5"/>
      <c r="F656" s="5"/>
      <c r="G656" s="5"/>
      <c r="H656" s="5"/>
      <c r="I656" s="5"/>
      <c r="J656" s="5"/>
      <c r="K656" s="5"/>
    </row>
    <row r="657" spans="1:11" ht="15.75" customHeight="1" x14ac:dyDescent="0.25">
      <c r="A657" s="5"/>
      <c r="B657" s="5"/>
      <c r="C657" s="6"/>
      <c r="D657" s="14"/>
      <c r="E657" s="5"/>
      <c r="F657" s="5"/>
      <c r="G657" s="5"/>
      <c r="H657" s="5"/>
      <c r="I657" s="5"/>
      <c r="J657" s="5"/>
      <c r="K657" s="5"/>
    </row>
    <row r="658" spans="1:11" ht="15.75" customHeight="1" x14ac:dyDescent="0.25">
      <c r="A658" s="5"/>
      <c r="B658" s="5"/>
      <c r="C658" s="6"/>
      <c r="D658" s="14"/>
      <c r="E658" s="5"/>
      <c r="F658" s="5"/>
      <c r="G658" s="5"/>
      <c r="H658" s="5"/>
      <c r="I658" s="5"/>
      <c r="J658" s="5"/>
      <c r="K658" s="5"/>
    </row>
    <row r="659" spans="1:11" ht="15.75" customHeight="1" x14ac:dyDescent="0.25">
      <c r="A659" s="5"/>
      <c r="B659" s="5"/>
      <c r="C659" s="6"/>
      <c r="D659" s="14"/>
      <c r="E659" s="5"/>
      <c r="F659" s="5"/>
      <c r="G659" s="5"/>
      <c r="H659" s="5"/>
      <c r="I659" s="5"/>
      <c r="J659" s="5"/>
      <c r="K659" s="5"/>
    </row>
    <row r="660" spans="1:11" ht="15.75" customHeight="1" x14ac:dyDescent="0.25">
      <c r="A660" s="5"/>
      <c r="B660" s="5"/>
      <c r="C660" s="6"/>
      <c r="D660" s="14"/>
      <c r="E660" s="5"/>
      <c r="F660" s="5"/>
      <c r="G660" s="5"/>
      <c r="H660" s="5"/>
      <c r="I660" s="5"/>
      <c r="J660" s="5"/>
      <c r="K660" s="5"/>
    </row>
    <row r="661" spans="1:11" ht="15.75" customHeight="1" x14ac:dyDescent="0.25">
      <c r="A661" s="5"/>
      <c r="B661" s="5"/>
      <c r="C661" s="6"/>
      <c r="D661" s="14"/>
      <c r="E661" s="5"/>
      <c r="F661" s="5"/>
      <c r="G661" s="5"/>
      <c r="H661" s="5"/>
      <c r="I661" s="5"/>
      <c r="J661" s="5"/>
      <c r="K661" s="5"/>
    </row>
    <row r="662" spans="1:11" ht="15.75" customHeight="1" x14ac:dyDescent="0.25">
      <c r="A662" s="5"/>
      <c r="B662" s="5"/>
      <c r="C662" s="6"/>
      <c r="D662" s="14"/>
      <c r="E662" s="5"/>
      <c r="F662" s="5"/>
      <c r="G662" s="5"/>
      <c r="H662" s="5"/>
      <c r="I662" s="5"/>
      <c r="J662" s="5"/>
      <c r="K662" s="5"/>
    </row>
    <row r="663" spans="1:11" ht="15.75" customHeight="1" x14ac:dyDescent="0.25">
      <c r="A663" s="5"/>
      <c r="B663" s="5"/>
      <c r="C663" s="6"/>
      <c r="D663" s="14"/>
      <c r="E663" s="5"/>
      <c r="F663" s="5"/>
      <c r="G663" s="5"/>
      <c r="H663" s="5"/>
      <c r="I663" s="5"/>
      <c r="J663" s="5"/>
      <c r="K663" s="5"/>
    </row>
    <row r="664" spans="1:11" ht="15.75" customHeight="1" x14ac:dyDescent="0.25">
      <c r="A664" s="5"/>
      <c r="B664" s="5"/>
      <c r="C664" s="6"/>
      <c r="D664" s="14"/>
      <c r="E664" s="5"/>
      <c r="F664" s="5"/>
      <c r="G664" s="5"/>
      <c r="H664" s="5"/>
      <c r="I664" s="5"/>
      <c r="J664" s="5"/>
      <c r="K664" s="5"/>
    </row>
    <row r="665" spans="1:11" ht="15.75" customHeight="1" x14ac:dyDescent="0.25">
      <c r="A665" s="5"/>
      <c r="B665" s="5"/>
      <c r="C665" s="6"/>
      <c r="D665" s="14"/>
      <c r="E665" s="5"/>
      <c r="F665" s="5"/>
      <c r="G665" s="5"/>
      <c r="H665" s="5"/>
      <c r="I665" s="5"/>
      <c r="J665" s="5"/>
      <c r="K665" s="5"/>
    </row>
    <row r="666" spans="1:11" ht="15.75" customHeight="1" x14ac:dyDescent="0.25">
      <c r="A666" s="5"/>
      <c r="B666" s="5"/>
      <c r="C666" s="6"/>
      <c r="D666" s="14"/>
      <c r="E666" s="5"/>
      <c r="F666" s="5"/>
      <c r="G666" s="5"/>
      <c r="H666" s="5"/>
      <c r="I666" s="5"/>
      <c r="J666" s="5"/>
      <c r="K666" s="5"/>
    </row>
    <row r="667" spans="1:11" ht="15.75" customHeight="1" x14ac:dyDescent="0.25">
      <c r="A667" s="5"/>
      <c r="B667" s="5"/>
      <c r="C667" s="6"/>
      <c r="D667" s="14"/>
      <c r="E667" s="5"/>
      <c r="F667" s="5"/>
      <c r="G667" s="5"/>
      <c r="H667" s="5"/>
      <c r="I667" s="5"/>
      <c r="J667" s="5"/>
      <c r="K667" s="5"/>
    </row>
    <row r="668" spans="1:11" ht="15.75" customHeight="1" x14ac:dyDescent="0.25">
      <c r="A668" s="5"/>
      <c r="B668" s="5"/>
      <c r="C668" s="6"/>
      <c r="D668" s="14"/>
      <c r="E668" s="5"/>
      <c r="F668" s="5"/>
      <c r="G668" s="5"/>
      <c r="H668" s="5"/>
      <c r="I668" s="5"/>
      <c r="J668" s="5"/>
      <c r="K668" s="5"/>
    </row>
    <row r="669" spans="1:11" ht="15.75" customHeight="1" x14ac:dyDescent="0.25">
      <c r="A669" s="5"/>
      <c r="B669" s="5"/>
      <c r="C669" s="6"/>
      <c r="D669" s="14"/>
      <c r="E669" s="5"/>
      <c r="F669" s="5"/>
      <c r="G669" s="5"/>
      <c r="H669" s="5"/>
      <c r="I669" s="5"/>
      <c r="J669" s="5"/>
      <c r="K669" s="5"/>
    </row>
    <row r="670" spans="1:11" ht="15.75" customHeight="1" x14ac:dyDescent="0.25">
      <c r="A670" s="5"/>
      <c r="B670" s="5"/>
      <c r="C670" s="6"/>
      <c r="D670" s="14"/>
      <c r="E670" s="5"/>
      <c r="F670" s="5"/>
      <c r="G670" s="5"/>
      <c r="H670" s="5"/>
      <c r="I670" s="5"/>
      <c r="J670" s="5"/>
      <c r="K670" s="5"/>
    </row>
    <row r="671" spans="1:11" ht="15.75" customHeight="1" x14ac:dyDescent="0.25">
      <c r="A671" s="5"/>
      <c r="B671" s="5"/>
      <c r="C671" s="6"/>
      <c r="D671" s="14"/>
      <c r="E671" s="5"/>
      <c r="F671" s="5"/>
      <c r="G671" s="5"/>
      <c r="H671" s="5"/>
      <c r="I671" s="5"/>
      <c r="J671" s="5"/>
      <c r="K671" s="5"/>
    </row>
    <row r="672" spans="1:11" ht="15.75" customHeight="1" x14ac:dyDescent="0.25">
      <c r="A672" s="5"/>
      <c r="B672" s="5"/>
      <c r="C672" s="6"/>
      <c r="D672" s="14"/>
      <c r="E672" s="5"/>
      <c r="F672" s="5"/>
      <c r="G672" s="5"/>
      <c r="H672" s="5"/>
      <c r="I672" s="5"/>
      <c r="J672" s="5"/>
      <c r="K672" s="5"/>
    </row>
    <row r="673" spans="1:11" ht="15.75" customHeight="1" x14ac:dyDescent="0.25">
      <c r="A673" s="5"/>
      <c r="B673" s="5"/>
      <c r="C673" s="6"/>
      <c r="D673" s="14"/>
      <c r="E673" s="5"/>
      <c r="F673" s="5"/>
      <c r="G673" s="5"/>
      <c r="H673" s="5"/>
      <c r="I673" s="5"/>
      <c r="J673" s="5"/>
      <c r="K673" s="5"/>
    </row>
    <row r="674" spans="1:11" ht="15.75" customHeight="1" x14ac:dyDescent="0.25">
      <c r="A674" s="5"/>
      <c r="B674" s="5"/>
      <c r="C674" s="6"/>
      <c r="D674" s="14"/>
      <c r="E674" s="5"/>
      <c r="F674" s="5"/>
      <c r="G674" s="5"/>
      <c r="H674" s="5"/>
      <c r="I674" s="5"/>
      <c r="J674" s="5"/>
      <c r="K674" s="5"/>
    </row>
    <row r="675" spans="1:11" ht="15.75" customHeight="1" x14ac:dyDescent="0.25">
      <c r="A675" s="5"/>
      <c r="B675" s="5"/>
      <c r="C675" s="6"/>
      <c r="D675" s="14"/>
      <c r="E675" s="5"/>
      <c r="F675" s="5"/>
      <c r="G675" s="5"/>
      <c r="H675" s="5"/>
      <c r="I675" s="5"/>
      <c r="J675" s="5"/>
      <c r="K675" s="5"/>
    </row>
    <row r="676" spans="1:11" ht="15.75" customHeight="1" x14ac:dyDescent="0.25">
      <c r="A676" s="5"/>
      <c r="B676" s="5"/>
      <c r="C676" s="6"/>
      <c r="D676" s="14"/>
      <c r="E676" s="5"/>
      <c r="F676" s="5"/>
      <c r="G676" s="5"/>
      <c r="H676" s="5"/>
      <c r="I676" s="5"/>
      <c r="J676" s="5"/>
      <c r="K676" s="5"/>
    </row>
    <row r="677" spans="1:11" ht="15.75" customHeight="1" x14ac:dyDescent="0.25">
      <c r="A677" s="5"/>
      <c r="B677" s="5"/>
      <c r="C677" s="6"/>
      <c r="D677" s="14"/>
      <c r="E677" s="5"/>
      <c r="F677" s="5"/>
      <c r="G677" s="5"/>
      <c r="H677" s="5"/>
      <c r="I677" s="5"/>
      <c r="J677" s="5"/>
      <c r="K677" s="5"/>
    </row>
    <row r="678" spans="1:11" ht="15.75" customHeight="1" x14ac:dyDescent="0.25">
      <c r="A678" s="5"/>
      <c r="B678" s="5"/>
      <c r="C678" s="6"/>
      <c r="D678" s="14"/>
      <c r="E678" s="5"/>
      <c r="F678" s="5"/>
      <c r="G678" s="5"/>
      <c r="H678" s="5"/>
      <c r="I678" s="5"/>
      <c r="J678" s="5"/>
      <c r="K678" s="5"/>
    </row>
    <row r="679" spans="1:11" ht="15.75" customHeight="1" x14ac:dyDescent="0.25">
      <c r="A679" s="5"/>
      <c r="B679" s="5"/>
      <c r="C679" s="6"/>
      <c r="D679" s="14"/>
      <c r="E679" s="5"/>
      <c r="F679" s="5"/>
      <c r="G679" s="5"/>
      <c r="H679" s="5"/>
      <c r="I679" s="5"/>
      <c r="J679" s="5"/>
      <c r="K679" s="5"/>
    </row>
    <row r="680" spans="1:11" ht="15.75" customHeight="1" x14ac:dyDescent="0.25">
      <c r="A680" s="5"/>
      <c r="B680" s="5"/>
      <c r="C680" s="6"/>
      <c r="D680" s="14"/>
      <c r="E680" s="5"/>
      <c r="F680" s="5"/>
      <c r="G680" s="5"/>
      <c r="H680" s="5"/>
      <c r="I680" s="5"/>
      <c r="J680" s="5"/>
      <c r="K680" s="5"/>
    </row>
    <row r="681" spans="1:11" ht="15.75" customHeight="1" x14ac:dyDescent="0.25">
      <c r="A681" s="5"/>
      <c r="B681" s="5"/>
      <c r="C681" s="6"/>
      <c r="D681" s="14"/>
      <c r="E681" s="5"/>
      <c r="F681" s="5"/>
      <c r="G681" s="5"/>
      <c r="H681" s="5"/>
      <c r="I681" s="5"/>
      <c r="J681" s="5"/>
      <c r="K681" s="5"/>
    </row>
    <row r="682" spans="1:11" ht="15.75" customHeight="1" x14ac:dyDescent="0.25">
      <c r="A682" s="5"/>
      <c r="B682" s="5"/>
      <c r="C682" s="6"/>
      <c r="D682" s="14"/>
      <c r="E682" s="5"/>
      <c r="F682" s="5"/>
      <c r="G682" s="5"/>
      <c r="H682" s="5"/>
      <c r="I682" s="5"/>
      <c r="J682" s="5"/>
      <c r="K682" s="5"/>
    </row>
    <row r="683" spans="1:11" ht="15.75" customHeight="1" x14ac:dyDescent="0.25">
      <c r="A683" s="5"/>
      <c r="B683" s="5"/>
      <c r="C683" s="6"/>
      <c r="D683" s="14"/>
      <c r="E683" s="5"/>
      <c r="F683" s="5"/>
      <c r="G683" s="5"/>
      <c r="H683" s="5"/>
      <c r="I683" s="5"/>
      <c r="J683" s="5"/>
      <c r="K683" s="5"/>
    </row>
    <row r="684" spans="1:11" ht="15.75" customHeight="1" x14ac:dyDescent="0.25">
      <c r="A684" s="5"/>
      <c r="B684" s="5"/>
      <c r="C684" s="6"/>
      <c r="D684" s="14"/>
      <c r="E684" s="5"/>
      <c r="F684" s="5"/>
      <c r="G684" s="5"/>
      <c r="H684" s="5"/>
      <c r="I684" s="5"/>
      <c r="J684" s="5"/>
      <c r="K684" s="5"/>
    </row>
    <row r="685" spans="1:11" ht="15.75" customHeight="1" x14ac:dyDescent="0.25">
      <c r="A685" s="5"/>
      <c r="B685" s="5"/>
      <c r="C685" s="6"/>
      <c r="D685" s="14"/>
      <c r="E685" s="5"/>
      <c r="F685" s="5"/>
      <c r="G685" s="5"/>
      <c r="H685" s="5"/>
      <c r="I685" s="5"/>
      <c r="J685" s="5"/>
      <c r="K685" s="5"/>
    </row>
    <row r="686" spans="1:11" ht="15.75" customHeight="1" x14ac:dyDescent="0.25">
      <c r="A686" s="5"/>
      <c r="B686" s="5"/>
      <c r="C686" s="6"/>
      <c r="D686" s="14"/>
      <c r="E686" s="5"/>
      <c r="F686" s="5"/>
      <c r="G686" s="5"/>
      <c r="H686" s="5"/>
      <c r="I686" s="5"/>
      <c r="J686" s="5"/>
      <c r="K686" s="5"/>
    </row>
    <row r="687" spans="1:11" ht="15.75" customHeight="1" x14ac:dyDescent="0.25">
      <c r="A687" s="5"/>
      <c r="B687" s="5"/>
      <c r="C687" s="6"/>
      <c r="D687" s="14"/>
      <c r="E687" s="5"/>
      <c r="F687" s="5"/>
      <c r="G687" s="5"/>
      <c r="H687" s="5"/>
      <c r="I687" s="5"/>
      <c r="J687" s="5"/>
      <c r="K687" s="5"/>
    </row>
    <row r="688" spans="1:11" ht="15.75" customHeight="1" x14ac:dyDescent="0.25">
      <c r="A688" s="5"/>
      <c r="B688" s="5"/>
      <c r="C688" s="6"/>
      <c r="D688" s="14"/>
      <c r="E688" s="5"/>
      <c r="F688" s="5"/>
      <c r="G688" s="5"/>
      <c r="H688" s="5"/>
      <c r="I688" s="5"/>
      <c r="J688" s="5"/>
      <c r="K688" s="5"/>
    </row>
    <row r="689" spans="1:11" ht="15.75" customHeight="1" x14ac:dyDescent="0.25">
      <c r="A689" s="5"/>
      <c r="B689" s="5"/>
      <c r="C689" s="6"/>
      <c r="D689" s="14"/>
      <c r="E689" s="5"/>
      <c r="F689" s="5"/>
      <c r="G689" s="5"/>
      <c r="H689" s="5"/>
      <c r="I689" s="5"/>
      <c r="J689" s="5"/>
      <c r="K689" s="5"/>
    </row>
    <row r="690" spans="1:11" ht="15.75" customHeight="1" x14ac:dyDescent="0.25">
      <c r="A690" s="5"/>
      <c r="B690" s="5"/>
      <c r="C690" s="6"/>
      <c r="D690" s="14"/>
      <c r="E690" s="5"/>
      <c r="F690" s="5"/>
      <c r="G690" s="5"/>
      <c r="H690" s="5"/>
      <c r="I690" s="5"/>
      <c r="J690" s="5"/>
      <c r="K690" s="5"/>
    </row>
    <row r="691" spans="1:11" ht="15.75" customHeight="1" x14ac:dyDescent="0.25">
      <c r="A691" s="5"/>
      <c r="B691" s="5"/>
      <c r="C691" s="6"/>
      <c r="D691" s="14"/>
      <c r="E691" s="5"/>
      <c r="F691" s="5"/>
      <c r="G691" s="5"/>
      <c r="H691" s="5"/>
      <c r="I691" s="5"/>
      <c r="J691" s="5"/>
      <c r="K691" s="5"/>
    </row>
    <row r="692" spans="1:11" ht="15.75" customHeight="1" x14ac:dyDescent="0.25">
      <c r="A692" s="5"/>
      <c r="B692" s="5"/>
      <c r="C692" s="6"/>
      <c r="D692" s="14"/>
      <c r="E692" s="5"/>
      <c r="F692" s="5"/>
      <c r="G692" s="5"/>
      <c r="H692" s="5"/>
      <c r="I692" s="5"/>
      <c r="J692" s="5"/>
      <c r="K692" s="5"/>
    </row>
    <row r="693" spans="1:11" ht="15.75" customHeight="1" x14ac:dyDescent="0.25">
      <c r="A693" s="5"/>
      <c r="B693" s="5"/>
      <c r="C693" s="6"/>
      <c r="D693" s="14"/>
      <c r="E693" s="5"/>
      <c r="F693" s="5"/>
      <c r="G693" s="5"/>
      <c r="H693" s="5"/>
      <c r="I693" s="5"/>
      <c r="J693" s="5"/>
      <c r="K693" s="5"/>
    </row>
    <row r="694" spans="1:11" ht="15.75" customHeight="1" x14ac:dyDescent="0.25">
      <c r="A694" s="5"/>
      <c r="B694" s="5"/>
      <c r="C694" s="6"/>
      <c r="D694" s="14"/>
      <c r="E694" s="5"/>
      <c r="F694" s="5"/>
      <c r="G694" s="5"/>
      <c r="H694" s="5"/>
      <c r="I694" s="5"/>
      <c r="J694" s="5"/>
      <c r="K694" s="5"/>
    </row>
    <row r="695" spans="1:11" ht="15.75" customHeight="1" x14ac:dyDescent="0.25">
      <c r="A695" s="5"/>
      <c r="B695" s="5"/>
      <c r="C695" s="6"/>
      <c r="D695" s="14"/>
      <c r="E695" s="5"/>
      <c r="F695" s="5"/>
      <c r="G695" s="5"/>
      <c r="H695" s="5"/>
      <c r="I695" s="5"/>
      <c r="J695" s="5"/>
      <c r="K695" s="5"/>
    </row>
    <row r="696" spans="1:11" ht="15.75" customHeight="1" x14ac:dyDescent="0.25">
      <c r="A696" s="5"/>
      <c r="B696" s="5"/>
      <c r="C696" s="6"/>
      <c r="D696" s="14"/>
      <c r="E696" s="5"/>
      <c r="F696" s="5"/>
      <c r="G696" s="5"/>
      <c r="H696" s="5"/>
      <c r="I696" s="5"/>
      <c r="J696" s="5"/>
      <c r="K696" s="5"/>
    </row>
    <row r="697" spans="1:11" ht="15.75" customHeight="1" x14ac:dyDescent="0.25">
      <c r="A697" s="5"/>
      <c r="B697" s="5"/>
      <c r="C697" s="6"/>
      <c r="D697" s="14"/>
      <c r="E697" s="5"/>
      <c r="F697" s="5"/>
      <c r="G697" s="5"/>
      <c r="H697" s="5"/>
      <c r="I697" s="5"/>
      <c r="J697" s="5"/>
      <c r="K697" s="5"/>
    </row>
    <row r="698" spans="1:11" ht="15.75" customHeight="1" x14ac:dyDescent="0.25">
      <c r="A698" s="5"/>
      <c r="B698" s="5"/>
      <c r="C698" s="6"/>
      <c r="D698" s="14"/>
      <c r="E698" s="5"/>
      <c r="F698" s="5"/>
      <c r="G698" s="5"/>
      <c r="H698" s="5"/>
      <c r="I698" s="5"/>
      <c r="J698" s="5"/>
      <c r="K698" s="5"/>
    </row>
    <row r="699" spans="1:11" ht="15.75" customHeight="1" x14ac:dyDescent="0.25">
      <c r="A699" s="5"/>
      <c r="B699" s="5"/>
      <c r="C699" s="6"/>
      <c r="D699" s="14"/>
      <c r="E699" s="5"/>
      <c r="F699" s="5"/>
      <c r="G699" s="5"/>
      <c r="H699" s="5"/>
      <c r="I699" s="5"/>
      <c r="J699" s="5"/>
      <c r="K699" s="5"/>
    </row>
    <row r="700" spans="1:11" ht="15.75" customHeight="1" x14ac:dyDescent="0.25">
      <c r="A700" s="5"/>
      <c r="B700" s="5"/>
      <c r="C700" s="6"/>
      <c r="D700" s="14"/>
      <c r="E700" s="5"/>
      <c r="F700" s="5"/>
      <c r="G700" s="5"/>
      <c r="H700" s="5"/>
      <c r="I700" s="5"/>
      <c r="J700" s="5"/>
      <c r="K700" s="5"/>
    </row>
    <row r="701" spans="1:11" ht="15.75" customHeight="1" x14ac:dyDescent="0.25">
      <c r="A701" s="5"/>
      <c r="B701" s="5"/>
      <c r="C701" s="6"/>
      <c r="D701" s="14"/>
      <c r="E701" s="5"/>
      <c r="F701" s="5"/>
      <c r="G701" s="5"/>
      <c r="H701" s="5"/>
      <c r="I701" s="5"/>
      <c r="J701" s="5"/>
      <c r="K701" s="5"/>
    </row>
    <row r="702" spans="1:11" ht="15.75" customHeight="1" x14ac:dyDescent="0.25">
      <c r="A702" s="5"/>
      <c r="B702" s="5"/>
      <c r="C702" s="6"/>
      <c r="D702" s="14"/>
      <c r="E702" s="5"/>
      <c r="F702" s="5"/>
      <c r="G702" s="5"/>
      <c r="H702" s="5"/>
      <c r="I702" s="5"/>
      <c r="J702" s="5"/>
      <c r="K702" s="5"/>
    </row>
    <row r="703" spans="1:11" ht="15.75" customHeight="1" x14ac:dyDescent="0.25">
      <c r="A703" s="5"/>
      <c r="B703" s="5"/>
      <c r="C703" s="6"/>
      <c r="D703" s="14"/>
      <c r="E703" s="5"/>
      <c r="F703" s="5"/>
      <c r="G703" s="5"/>
      <c r="H703" s="5"/>
      <c r="I703" s="5"/>
      <c r="J703" s="5"/>
      <c r="K703" s="5"/>
    </row>
    <row r="704" spans="1:11" ht="15.75" customHeight="1" x14ac:dyDescent="0.25">
      <c r="A704" s="5"/>
      <c r="B704" s="5"/>
      <c r="C704" s="6"/>
      <c r="D704" s="14"/>
      <c r="E704" s="5"/>
      <c r="F704" s="5"/>
      <c r="G704" s="5"/>
      <c r="H704" s="5"/>
      <c r="I704" s="5"/>
      <c r="J704" s="5"/>
      <c r="K704" s="5"/>
    </row>
    <row r="705" spans="1:11" ht="15.75" customHeight="1" x14ac:dyDescent="0.25">
      <c r="A705" s="5"/>
      <c r="B705" s="5"/>
      <c r="C705" s="6"/>
      <c r="D705" s="14"/>
      <c r="E705" s="5"/>
      <c r="F705" s="5"/>
      <c r="G705" s="5"/>
      <c r="H705" s="5"/>
      <c r="I705" s="5"/>
      <c r="J705" s="5"/>
      <c r="K705" s="5"/>
    </row>
    <row r="706" spans="1:11" ht="15.75" customHeight="1" x14ac:dyDescent="0.25">
      <c r="A706" s="5"/>
      <c r="B706" s="5"/>
      <c r="C706" s="6"/>
      <c r="D706" s="14"/>
      <c r="E706" s="5"/>
      <c r="F706" s="5"/>
      <c r="G706" s="5"/>
      <c r="H706" s="5"/>
      <c r="I706" s="5"/>
      <c r="J706" s="5"/>
      <c r="K706" s="5"/>
    </row>
    <row r="707" spans="1:11" ht="15.75" customHeight="1" x14ac:dyDescent="0.25">
      <c r="A707" s="5"/>
      <c r="B707" s="5"/>
      <c r="C707" s="6"/>
      <c r="D707" s="14"/>
      <c r="E707" s="5"/>
      <c r="F707" s="5"/>
      <c r="G707" s="5"/>
      <c r="H707" s="5"/>
      <c r="I707" s="5"/>
      <c r="J707" s="5"/>
      <c r="K707" s="5"/>
    </row>
    <row r="708" spans="1:11" ht="15.75" customHeight="1" x14ac:dyDescent="0.25">
      <c r="A708" s="5"/>
      <c r="B708" s="5"/>
      <c r="C708" s="6"/>
      <c r="D708" s="14"/>
      <c r="E708" s="5"/>
      <c r="F708" s="5"/>
      <c r="G708" s="5"/>
      <c r="H708" s="5"/>
      <c r="I708" s="5"/>
      <c r="J708" s="5"/>
      <c r="K708" s="5"/>
    </row>
    <row r="709" spans="1:11" ht="15.75" customHeight="1" x14ac:dyDescent="0.25">
      <c r="A709" s="5"/>
      <c r="B709" s="5"/>
      <c r="C709" s="6"/>
      <c r="D709" s="14"/>
      <c r="E709" s="5"/>
      <c r="F709" s="5"/>
      <c r="G709" s="5"/>
      <c r="H709" s="5"/>
      <c r="I709" s="5"/>
      <c r="J709" s="5"/>
      <c r="K709" s="5"/>
    </row>
    <row r="710" spans="1:11" ht="15.75" customHeight="1" x14ac:dyDescent="0.25">
      <c r="A710" s="5"/>
      <c r="B710" s="5"/>
      <c r="C710" s="6"/>
      <c r="D710" s="14"/>
      <c r="E710" s="5"/>
      <c r="F710" s="5"/>
      <c r="G710" s="5"/>
      <c r="H710" s="5"/>
      <c r="I710" s="5"/>
      <c r="J710" s="5"/>
      <c r="K710" s="5"/>
    </row>
    <row r="711" spans="1:11" ht="15.75" customHeight="1" x14ac:dyDescent="0.25">
      <c r="A711" s="5"/>
      <c r="B711" s="5"/>
      <c r="C711" s="6"/>
      <c r="D711" s="14"/>
      <c r="E711" s="5"/>
      <c r="F711" s="5"/>
      <c r="G711" s="5"/>
      <c r="H711" s="5"/>
      <c r="I711" s="5"/>
      <c r="J711" s="5"/>
      <c r="K711" s="5"/>
    </row>
    <row r="712" spans="1:11" ht="15.75" customHeight="1" x14ac:dyDescent="0.25">
      <c r="A712" s="5"/>
      <c r="B712" s="5"/>
      <c r="C712" s="6"/>
      <c r="D712" s="14"/>
      <c r="E712" s="5"/>
      <c r="F712" s="5"/>
      <c r="G712" s="5"/>
      <c r="H712" s="5"/>
      <c r="I712" s="5"/>
      <c r="J712" s="5"/>
      <c r="K712" s="5"/>
    </row>
    <row r="713" spans="1:11" ht="15.75" customHeight="1" x14ac:dyDescent="0.25">
      <c r="A713" s="5"/>
      <c r="B713" s="5"/>
      <c r="C713" s="6"/>
      <c r="D713" s="14"/>
      <c r="E713" s="5"/>
      <c r="F713" s="5"/>
      <c r="G713" s="5"/>
      <c r="H713" s="5"/>
      <c r="I713" s="5"/>
      <c r="J713" s="5"/>
      <c r="K713" s="5"/>
    </row>
    <row r="714" spans="1:11" ht="15.75" customHeight="1" x14ac:dyDescent="0.25">
      <c r="A714" s="5"/>
      <c r="B714" s="5"/>
      <c r="C714" s="6"/>
      <c r="D714" s="14"/>
      <c r="E714" s="5"/>
      <c r="F714" s="5"/>
      <c r="G714" s="5"/>
      <c r="H714" s="5"/>
      <c r="I714" s="5"/>
      <c r="J714" s="5"/>
      <c r="K714" s="5"/>
    </row>
    <row r="715" spans="1:11" ht="15.75" customHeight="1" x14ac:dyDescent="0.25">
      <c r="A715" s="5"/>
      <c r="B715" s="5"/>
      <c r="C715" s="6"/>
      <c r="D715" s="14"/>
      <c r="E715" s="5"/>
      <c r="F715" s="5"/>
      <c r="G715" s="5"/>
      <c r="H715" s="5"/>
      <c r="I715" s="5"/>
      <c r="J715" s="5"/>
      <c r="K715" s="5"/>
    </row>
    <row r="716" spans="1:11" ht="15.75" customHeight="1" x14ac:dyDescent="0.25">
      <c r="A716" s="5"/>
      <c r="B716" s="5"/>
      <c r="C716" s="6"/>
      <c r="D716" s="14"/>
      <c r="E716" s="5"/>
      <c r="F716" s="5"/>
      <c r="G716" s="5"/>
      <c r="H716" s="5"/>
      <c r="I716" s="5"/>
      <c r="J716" s="5"/>
      <c r="K716" s="5"/>
    </row>
    <row r="717" spans="1:11" ht="15.75" customHeight="1" x14ac:dyDescent="0.25">
      <c r="A717" s="5"/>
      <c r="B717" s="5"/>
      <c r="C717" s="6"/>
      <c r="D717" s="14"/>
      <c r="E717" s="5"/>
      <c r="F717" s="5"/>
      <c r="G717" s="5"/>
      <c r="H717" s="5"/>
      <c r="I717" s="5"/>
      <c r="J717" s="5"/>
      <c r="K717" s="5"/>
    </row>
    <row r="718" spans="1:11" ht="15.75" customHeight="1" x14ac:dyDescent="0.25">
      <c r="A718" s="5"/>
      <c r="B718" s="5"/>
      <c r="C718" s="6"/>
      <c r="D718" s="5"/>
      <c r="E718" s="5"/>
      <c r="F718" s="5"/>
      <c r="G718" s="5"/>
      <c r="H718" s="5"/>
      <c r="I718" s="5"/>
      <c r="J718" s="5"/>
      <c r="K718" s="5"/>
    </row>
    <row r="719" spans="1:11" ht="15.75" customHeight="1" x14ac:dyDescent="0.25">
      <c r="A719" s="5"/>
      <c r="B719" s="5"/>
      <c r="C719" s="6"/>
      <c r="D719" s="5"/>
      <c r="E719" s="5"/>
      <c r="F719" s="5"/>
      <c r="G719" s="5"/>
      <c r="H719" s="5"/>
      <c r="I719" s="5"/>
      <c r="J719" s="5"/>
      <c r="K719" s="5"/>
    </row>
    <row r="720" spans="1:11" ht="15.75" customHeight="1" x14ac:dyDescent="0.25">
      <c r="A720" s="5"/>
      <c r="B720" s="5"/>
      <c r="C720" s="6"/>
      <c r="D720" s="5"/>
      <c r="E720" s="5"/>
      <c r="F720" s="5"/>
      <c r="G720" s="5"/>
      <c r="H720" s="5"/>
      <c r="I720" s="5"/>
      <c r="J720" s="5"/>
      <c r="K720" s="5"/>
    </row>
    <row r="721" spans="1:11" ht="15.75" customHeight="1" x14ac:dyDescent="0.25">
      <c r="A721" s="5"/>
      <c r="B721" s="5"/>
      <c r="C721" s="6"/>
      <c r="D721" s="5"/>
      <c r="E721" s="5"/>
      <c r="F721" s="5"/>
      <c r="G721" s="5"/>
      <c r="H721" s="5"/>
      <c r="I721" s="5"/>
      <c r="J721" s="5"/>
      <c r="K721" s="5"/>
    </row>
    <row r="722" spans="1:11" ht="15.75" customHeight="1" x14ac:dyDescent="0.25">
      <c r="A722" s="5"/>
      <c r="B722" s="5"/>
      <c r="C722" s="6"/>
      <c r="D722" s="5"/>
      <c r="E722" s="5"/>
      <c r="F722" s="5"/>
      <c r="G722" s="5"/>
      <c r="H722" s="5"/>
      <c r="I722" s="5"/>
      <c r="J722" s="5"/>
      <c r="K722" s="5"/>
    </row>
    <row r="723" spans="1:11" ht="15.75" customHeight="1" x14ac:dyDescent="0.25">
      <c r="A723" s="5"/>
      <c r="B723" s="5"/>
      <c r="C723" s="6"/>
      <c r="D723" s="5"/>
      <c r="E723" s="5"/>
      <c r="F723" s="5"/>
      <c r="G723" s="5"/>
      <c r="H723" s="5"/>
      <c r="I723" s="5"/>
      <c r="J723" s="5"/>
      <c r="K723" s="5"/>
    </row>
    <row r="724" spans="1:11" ht="15.75" customHeight="1" x14ac:dyDescent="0.25">
      <c r="A724" s="5"/>
      <c r="B724" s="5"/>
      <c r="C724" s="6"/>
      <c r="D724" s="5"/>
      <c r="E724" s="5"/>
      <c r="F724" s="5"/>
      <c r="G724" s="5"/>
      <c r="H724" s="5"/>
      <c r="I724" s="5"/>
      <c r="J724" s="5"/>
      <c r="K724" s="5"/>
    </row>
    <row r="725" spans="1:11" ht="15.75" customHeight="1" x14ac:dyDescent="0.25">
      <c r="A725" s="5"/>
      <c r="B725" s="5"/>
      <c r="C725" s="6"/>
      <c r="D725" s="5"/>
      <c r="E725" s="5"/>
      <c r="F725" s="5"/>
      <c r="G725" s="5"/>
      <c r="H725" s="5"/>
      <c r="I725" s="5"/>
      <c r="J725" s="5"/>
      <c r="K725" s="5"/>
    </row>
    <row r="726" spans="1:11" ht="15.75" customHeight="1" x14ac:dyDescent="0.25">
      <c r="A726" s="5"/>
      <c r="B726" s="5"/>
      <c r="C726" s="6"/>
      <c r="D726" s="5"/>
      <c r="E726" s="5"/>
      <c r="F726" s="5"/>
      <c r="G726" s="5"/>
      <c r="H726" s="5"/>
      <c r="I726" s="5"/>
      <c r="J726" s="5"/>
      <c r="K726" s="5"/>
    </row>
    <row r="727" spans="1:11" ht="15.75" customHeight="1" x14ac:dyDescent="0.25">
      <c r="A727" s="5"/>
      <c r="B727" s="5"/>
      <c r="C727" s="6"/>
      <c r="D727" s="5"/>
      <c r="E727" s="5"/>
      <c r="F727" s="5"/>
      <c r="G727" s="5"/>
      <c r="H727" s="5"/>
      <c r="I727" s="5"/>
      <c r="J727" s="5"/>
      <c r="K727" s="5"/>
    </row>
    <row r="728" spans="1:11" ht="15.75" customHeight="1" x14ac:dyDescent="0.25">
      <c r="A728" s="5"/>
      <c r="B728" s="5"/>
      <c r="C728" s="6"/>
      <c r="D728" s="5"/>
      <c r="E728" s="5"/>
      <c r="F728" s="5"/>
      <c r="G728" s="5"/>
      <c r="H728" s="5"/>
      <c r="I728" s="5"/>
      <c r="J728" s="5"/>
      <c r="K728" s="5"/>
    </row>
    <row r="729" spans="1:11" ht="15.75" customHeight="1" x14ac:dyDescent="0.25">
      <c r="A729" s="5"/>
      <c r="B729" s="5"/>
      <c r="C729" s="6"/>
      <c r="D729" s="5"/>
      <c r="E729" s="5"/>
      <c r="F729" s="5"/>
      <c r="G729" s="5"/>
      <c r="H729" s="5"/>
      <c r="I729" s="5"/>
      <c r="J729" s="5"/>
      <c r="K729" s="5"/>
    </row>
    <row r="730" spans="1:11" ht="15.75" customHeight="1" x14ac:dyDescent="0.25">
      <c r="A730" s="5"/>
      <c r="B730" s="5"/>
      <c r="C730" s="6"/>
      <c r="D730" s="5"/>
      <c r="E730" s="5"/>
      <c r="F730" s="5"/>
      <c r="G730" s="5"/>
      <c r="H730" s="5"/>
      <c r="I730" s="5"/>
      <c r="J730" s="5"/>
      <c r="K730" s="5"/>
    </row>
    <row r="731" spans="1:11" ht="15.75" customHeight="1" x14ac:dyDescent="0.25">
      <c r="A731" s="5"/>
      <c r="B731" s="5"/>
      <c r="C731" s="6"/>
      <c r="D731" s="5"/>
      <c r="E731" s="5"/>
      <c r="F731" s="5"/>
      <c r="G731" s="5"/>
      <c r="H731" s="5"/>
      <c r="I731" s="5"/>
      <c r="J731" s="5"/>
      <c r="K731" s="5"/>
    </row>
    <row r="732" spans="1:11" ht="15.75" customHeight="1" x14ac:dyDescent="0.25">
      <c r="A732" s="5"/>
      <c r="B732" s="5"/>
      <c r="C732" s="6"/>
      <c r="D732" s="5"/>
      <c r="E732" s="5"/>
      <c r="F732" s="5"/>
      <c r="G732" s="5"/>
      <c r="H732" s="5"/>
      <c r="I732" s="5"/>
      <c r="J732" s="5"/>
      <c r="K732" s="5"/>
    </row>
    <row r="733" spans="1:11" ht="15.75" customHeight="1" x14ac:dyDescent="0.25">
      <c r="A733" s="5"/>
      <c r="B733" s="5"/>
      <c r="C733" s="6"/>
      <c r="D733" s="5"/>
      <c r="E733" s="5"/>
      <c r="F733" s="5"/>
      <c r="G733" s="5"/>
      <c r="H733" s="5"/>
      <c r="I733" s="5"/>
      <c r="J733" s="5"/>
      <c r="K733" s="5"/>
    </row>
    <row r="734" spans="1:11" ht="15.75" customHeight="1" x14ac:dyDescent="0.25">
      <c r="A734" s="5"/>
      <c r="B734" s="5"/>
      <c r="C734" s="6"/>
      <c r="D734" s="5"/>
      <c r="E734" s="5"/>
      <c r="F734" s="5"/>
      <c r="G734" s="5"/>
      <c r="H734" s="5"/>
      <c r="I734" s="5"/>
      <c r="J734" s="5"/>
      <c r="K734" s="5"/>
    </row>
    <row r="735" spans="1:11" ht="15.75" customHeight="1" x14ac:dyDescent="0.25">
      <c r="A735" s="5"/>
      <c r="B735" s="5"/>
      <c r="C735" s="6"/>
      <c r="D735" s="5"/>
      <c r="E735" s="5"/>
      <c r="F735" s="5"/>
      <c r="G735" s="5"/>
      <c r="H735" s="5"/>
      <c r="I735" s="5"/>
      <c r="J735" s="5"/>
      <c r="K735" s="5"/>
    </row>
    <row r="736" spans="1:11" ht="15.75" customHeight="1" x14ac:dyDescent="0.25">
      <c r="A736" s="5"/>
      <c r="B736" s="5"/>
      <c r="C736" s="6"/>
      <c r="D736" s="5"/>
      <c r="E736" s="5"/>
      <c r="F736" s="5"/>
      <c r="G736" s="5"/>
      <c r="H736" s="5"/>
      <c r="I736" s="5"/>
      <c r="J736" s="5"/>
      <c r="K736" s="5"/>
    </row>
    <row r="737" spans="1:11" ht="15.75" customHeight="1" x14ac:dyDescent="0.25">
      <c r="A737" s="5"/>
      <c r="B737" s="5"/>
      <c r="C737" s="6"/>
      <c r="D737" s="5"/>
      <c r="E737" s="5"/>
      <c r="F737" s="5"/>
      <c r="G737" s="5"/>
      <c r="H737" s="5"/>
      <c r="I737" s="5"/>
      <c r="J737" s="5"/>
      <c r="K737" s="5"/>
    </row>
    <row r="738" spans="1:11" ht="15.75" customHeight="1" x14ac:dyDescent="0.25">
      <c r="A738" s="5"/>
      <c r="B738" s="5"/>
      <c r="C738" s="6"/>
      <c r="D738" s="5"/>
      <c r="E738" s="5"/>
      <c r="F738" s="5"/>
      <c r="G738" s="5"/>
      <c r="H738" s="5"/>
      <c r="I738" s="5"/>
      <c r="J738" s="5"/>
      <c r="K738" s="5"/>
    </row>
    <row r="739" spans="1:11" ht="15.75" customHeight="1" x14ac:dyDescent="0.25">
      <c r="A739" s="5"/>
      <c r="B739" s="5"/>
      <c r="C739" s="6"/>
      <c r="D739" s="5"/>
      <c r="E739" s="5"/>
      <c r="F739" s="5"/>
      <c r="G739" s="5"/>
      <c r="H739" s="5"/>
      <c r="I739" s="5"/>
      <c r="J739" s="5"/>
      <c r="K739" s="5"/>
    </row>
    <row r="740" spans="1:11" ht="15.75" customHeight="1" x14ac:dyDescent="0.25">
      <c r="A740" s="5"/>
      <c r="B740" s="5"/>
      <c r="C740" s="6"/>
      <c r="D740" s="5"/>
      <c r="E740" s="5"/>
      <c r="F740" s="5"/>
      <c r="G740" s="5"/>
      <c r="H740" s="5"/>
      <c r="I740" s="5"/>
      <c r="J740" s="5"/>
      <c r="K740" s="5"/>
    </row>
    <row r="741" spans="1:11" ht="15.75" customHeight="1" x14ac:dyDescent="0.25">
      <c r="A741" s="5"/>
      <c r="B741" s="5"/>
      <c r="C741" s="6"/>
      <c r="D741" s="5"/>
      <c r="E741" s="5"/>
      <c r="F741" s="5"/>
      <c r="G741" s="5"/>
      <c r="H741" s="5"/>
      <c r="I741" s="5"/>
      <c r="J741" s="5"/>
      <c r="K741" s="5"/>
    </row>
    <row r="742" spans="1:11" ht="15.75" customHeight="1" x14ac:dyDescent="0.25">
      <c r="A742" s="5"/>
      <c r="B742" s="5"/>
      <c r="C742" s="6"/>
      <c r="D742" s="5"/>
      <c r="E742" s="5"/>
      <c r="F742" s="5"/>
      <c r="G742" s="5"/>
      <c r="H742" s="5"/>
      <c r="I742" s="5"/>
      <c r="J742" s="5"/>
      <c r="K742" s="5"/>
    </row>
    <row r="743" spans="1:11" ht="15.75" customHeight="1" x14ac:dyDescent="0.25">
      <c r="A743" s="5"/>
      <c r="B743" s="5"/>
      <c r="C743" s="6"/>
      <c r="D743" s="5"/>
      <c r="E743" s="5"/>
      <c r="F743" s="5"/>
      <c r="G743" s="5"/>
      <c r="H743" s="5"/>
      <c r="I743" s="5"/>
      <c r="J743" s="5"/>
      <c r="K743" s="5"/>
    </row>
    <row r="744" spans="1:11" ht="15.75" customHeight="1" x14ac:dyDescent="0.25">
      <c r="A744" s="5"/>
      <c r="B744" s="5"/>
      <c r="C744" s="6"/>
      <c r="D744" s="5"/>
      <c r="E744" s="5"/>
      <c r="F744" s="5"/>
      <c r="G744" s="5"/>
      <c r="H744" s="5"/>
      <c r="I744" s="5"/>
      <c r="J744" s="5"/>
      <c r="K744" s="5"/>
    </row>
    <row r="745" spans="1:11" ht="15.75" customHeight="1" x14ac:dyDescent="0.25">
      <c r="A745" s="5"/>
      <c r="B745" s="5"/>
      <c r="C745" s="6"/>
      <c r="D745" s="5"/>
      <c r="E745" s="5"/>
      <c r="F745" s="5"/>
      <c r="G745" s="5"/>
      <c r="H745" s="5"/>
      <c r="I745" s="5"/>
      <c r="J745" s="5"/>
      <c r="K745" s="5"/>
    </row>
    <row r="746" spans="1:11" ht="15.75" customHeight="1" x14ac:dyDescent="0.25">
      <c r="A746" s="5"/>
      <c r="B746" s="5"/>
      <c r="C746" s="6"/>
      <c r="D746" s="5"/>
      <c r="E746" s="5"/>
      <c r="F746" s="5"/>
      <c r="G746" s="5"/>
      <c r="H746" s="5"/>
      <c r="I746" s="5"/>
      <c r="J746" s="5"/>
      <c r="K746" s="5"/>
    </row>
    <row r="747" spans="1:11" ht="15.75" customHeight="1" x14ac:dyDescent="0.25">
      <c r="A747" s="5"/>
      <c r="B747" s="5"/>
      <c r="C747" s="6"/>
      <c r="D747" s="5"/>
      <c r="E747" s="5"/>
      <c r="F747" s="5"/>
      <c r="G747" s="5"/>
      <c r="H747" s="5"/>
      <c r="I747" s="5"/>
      <c r="J747" s="5"/>
      <c r="K747" s="5"/>
    </row>
    <row r="748" spans="1:11" ht="15.75" customHeight="1" x14ac:dyDescent="0.25">
      <c r="A748" s="5"/>
      <c r="B748" s="5"/>
      <c r="C748" s="6"/>
      <c r="D748" s="5"/>
      <c r="E748" s="5"/>
      <c r="F748" s="5"/>
      <c r="G748" s="5"/>
      <c r="H748" s="5"/>
      <c r="I748" s="5"/>
      <c r="J748" s="5"/>
      <c r="K748" s="5"/>
    </row>
    <row r="749" spans="1:11" ht="15.75" customHeight="1" x14ac:dyDescent="0.25">
      <c r="A749" s="5"/>
      <c r="B749" s="5"/>
      <c r="C749" s="6"/>
      <c r="D749" s="5"/>
      <c r="E749" s="5"/>
      <c r="F749" s="5"/>
      <c r="G749" s="5"/>
      <c r="H749" s="5"/>
      <c r="I749" s="5"/>
      <c r="J749" s="5"/>
      <c r="K749" s="5"/>
    </row>
    <row r="750" spans="1:11" ht="15.75" customHeight="1" x14ac:dyDescent="0.25">
      <c r="A750" s="5"/>
      <c r="B750" s="5"/>
      <c r="C750" s="6"/>
      <c r="D750" s="5"/>
      <c r="E750" s="5"/>
      <c r="F750" s="5"/>
      <c r="G750" s="5"/>
      <c r="H750" s="5"/>
      <c r="I750" s="5"/>
      <c r="J750" s="5"/>
      <c r="K750" s="5"/>
    </row>
    <row r="751" spans="1:11" ht="15.75" customHeight="1" x14ac:dyDescent="0.25">
      <c r="A751" s="5"/>
      <c r="B751" s="5"/>
      <c r="C751" s="6"/>
      <c r="D751" s="5"/>
      <c r="E751" s="5"/>
      <c r="F751" s="5"/>
      <c r="G751" s="5"/>
      <c r="H751" s="5"/>
      <c r="I751" s="5"/>
      <c r="J751" s="5"/>
      <c r="K751" s="5"/>
    </row>
    <row r="752" spans="1:11" ht="15.75" customHeight="1" x14ac:dyDescent="0.25">
      <c r="A752" s="5"/>
      <c r="B752" s="5"/>
      <c r="C752" s="6"/>
      <c r="D752" s="5"/>
      <c r="E752" s="5"/>
      <c r="F752" s="5"/>
      <c r="G752" s="5"/>
      <c r="H752" s="5"/>
      <c r="I752" s="5"/>
      <c r="J752" s="5"/>
      <c r="K752" s="5"/>
    </row>
    <row r="753" spans="1:11" ht="15.75" customHeight="1" x14ac:dyDescent="0.25">
      <c r="A753" s="5"/>
      <c r="B753" s="5"/>
      <c r="C753" s="6"/>
      <c r="D753" s="5"/>
      <c r="E753" s="5"/>
      <c r="F753" s="5"/>
      <c r="G753" s="5"/>
      <c r="H753" s="5"/>
      <c r="I753" s="5"/>
      <c r="J753" s="5"/>
      <c r="K753" s="5"/>
    </row>
    <row r="754" spans="1:11" ht="15.75" customHeight="1" x14ac:dyDescent="0.25">
      <c r="A754" s="5"/>
      <c r="B754" s="5"/>
      <c r="C754" s="6"/>
      <c r="D754" s="5"/>
      <c r="E754" s="5"/>
      <c r="F754" s="5"/>
      <c r="G754" s="5"/>
      <c r="H754" s="5"/>
      <c r="I754" s="5"/>
      <c r="J754" s="5"/>
      <c r="K754" s="5"/>
    </row>
    <row r="755" spans="1:11" ht="15.75" customHeight="1" x14ac:dyDescent="0.25">
      <c r="A755" s="5"/>
      <c r="B755" s="5"/>
      <c r="C755" s="6"/>
      <c r="D755" s="5"/>
      <c r="E755" s="5"/>
      <c r="F755" s="5"/>
      <c r="G755" s="5"/>
      <c r="H755" s="5"/>
      <c r="I755" s="5"/>
      <c r="J755" s="5"/>
      <c r="K755" s="5"/>
    </row>
    <row r="756" spans="1:11" ht="15.75" customHeight="1" x14ac:dyDescent="0.25">
      <c r="A756" s="5"/>
      <c r="B756" s="5"/>
      <c r="C756" s="6"/>
      <c r="D756" s="5"/>
      <c r="E756" s="5"/>
      <c r="F756" s="5"/>
      <c r="G756" s="5"/>
      <c r="H756" s="5"/>
      <c r="I756" s="5"/>
      <c r="J756" s="5"/>
      <c r="K756" s="5"/>
    </row>
    <row r="757" spans="1:11" ht="15.75" customHeight="1" x14ac:dyDescent="0.25">
      <c r="A757" s="5"/>
      <c r="B757" s="5"/>
      <c r="C757" s="6"/>
      <c r="D757" s="5"/>
      <c r="E757" s="5"/>
      <c r="F757" s="5"/>
      <c r="G757" s="5"/>
      <c r="H757" s="5"/>
      <c r="I757" s="5"/>
      <c r="J757" s="5"/>
      <c r="K757" s="5"/>
    </row>
    <row r="758" spans="1:11" ht="15.75" customHeight="1" x14ac:dyDescent="0.25">
      <c r="A758" s="5"/>
      <c r="B758" s="5"/>
      <c r="C758" s="6"/>
      <c r="D758" s="5"/>
      <c r="E758" s="5"/>
      <c r="F758" s="5"/>
      <c r="G758" s="5"/>
      <c r="H758" s="5"/>
      <c r="I758" s="5"/>
      <c r="J758" s="5"/>
      <c r="K758" s="5"/>
    </row>
    <row r="759" spans="1:11" ht="15.75" customHeight="1" x14ac:dyDescent="0.25">
      <c r="A759" s="5"/>
      <c r="B759" s="5"/>
      <c r="C759" s="6"/>
      <c r="D759" s="5"/>
      <c r="E759" s="5"/>
      <c r="F759" s="5"/>
      <c r="G759" s="5"/>
      <c r="H759" s="5"/>
      <c r="I759" s="5"/>
      <c r="J759" s="5"/>
      <c r="K759" s="5"/>
    </row>
    <row r="760" spans="1:11" ht="15.75" customHeight="1" x14ac:dyDescent="0.25">
      <c r="A760" s="5"/>
      <c r="B760" s="5"/>
      <c r="C760" s="6"/>
      <c r="D760" s="5"/>
      <c r="E760" s="5"/>
      <c r="F760" s="5"/>
      <c r="G760" s="5"/>
      <c r="H760" s="5"/>
      <c r="I760" s="5"/>
      <c r="J760" s="5"/>
      <c r="K760" s="5"/>
    </row>
    <row r="761" spans="1:11" ht="15.75" customHeight="1" x14ac:dyDescent="0.25">
      <c r="A761" s="5"/>
      <c r="B761" s="5"/>
      <c r="C761" s="6"/>
      <c r="D761" s="5"/>
      <c r="E761" s="5"/>
      <c r="F761" s="5"/>
      <c r="G761" s="5"/>
      <c r="H761" s="5"/>
      <c r="I761" s="5"/>
      <c r="J761" s="5"/>
      <c r="K761" s="5"/>
    </row>
    <row r="762" spans="1:11" ht="15.75" customHeight="1" x14ac:dyDescent="0.25">
      <c r="A762" s="5"/>
      <c r="B762" s="5"/>
      <c r="C762" s="6"/>
      <c r="D762" s="5"/>
      <c r="E762" s="5"/>
      <c r="F762" s="5"/>
      <c r="G762" s="5"/>
      <c r="H762" s="5"/>
      <c r="I762" s="5"/>
      <c r="J762" s="5"/>
      <c r="K762" s="5"/>
    </row>
    <row r="763" spans="1:11" ht="15.75" customHeight="1" x14ac:dyDescent="0.25">
      <c r="A763" s="5"/>
      <c r="B763" s="5"/>
      <c r="C763" s="6"/>
      <c r="D763" s="5"/>
      <c r="E763" s="5"/>
      <c r="F763" s="5"/>
      <c r="G763" s="5"/>
      <c r="H763" s="5"/>
      <c r="I763" s="5"/>
      <c r="J763" s="5"/>
      <c r="K763" s="5"/>
    </row>
    <row r="764" spans="1:11" ht="15.75" customHeight="1" x14ac:dyDescent="0.25">
      <c r="A764" s="5"/>
      <c r="B764" s="5"/>
      <c r="C764" s="6"/>
      <c r="D764" s="5"/>
      <c r="E764" s="5"/>
      <c r="F764" s="5"/>
      <c r="G764" s="5"/>
      <c r="H764" s="5"/>
      <c r="I764" s="5"/>
      <c r="J764" s="5"/>
      <c r="K764" s="5"/>
    </row>
    <row r="765" spans="1:11" ht="15.75" customHeight="1" x14ac:dyDescent="0.25">
      <c r="A765" s="5"/>
      <c r="B765" s="5"/>
      <c r="C765" s="6"/>
      <c r="D765" s="5"/>
      <c r="E765" s="5"/>
      <c r="F765" s="5"/>
      <c r="G765" s="5"/>
      <c r="H765" s="5"/>
      <c r="I765" s="5"/>
      <c r="J765" s="5"/>
      <c r="K765" s="5"/>
    </row>
    <row r="766" spans="1:11" ht="15.75" customHeight="1" x14ac:dyDescent="0.25">
      <c r="A766" s="5"/>
      <c r="B766" s="5"/>
      <c r="C766" s="6"/>
      <c r="D766" s="5"/>
      <c r="E766" s="5"/>
      <c r="F766" s="5"/>
      <c r="G766" s="5"/>
      <c r="H766" s="5"/>
      <c r="I766" s="5"/>
      <c r="J766" s="5"/>
      <c r="K766" s="5"/>
    </row>
    <row r="767" spans="1:11" ht="15.75" customHeight="1" x14ac:dyDescent="0.25">
      <c r="A767" s="5"/>
      <c r="B767" s="5"/>
      <c r="C767" s="6"/>
      <c r="D767" s="5"/>
      <c r="E767" s="5"/>
      <c r="F767" s="5"/>
      <c r="G767" s="5"/>
      <c r="H767" s="5"/>
      <c r="I767" s="5"/>
      <c r="J767" s="5"/>
      <c r="K767" s="5"/>
    </row>
    <row r="768" spans="1:11" ht="15.75" customHeight="1" x14ac:dyDescent="0.25">
      <c r="A768" s="5"/>
      <c r="B768" s="5"/>
      <c r="C768" s="6"/>
      <c r="D768" s="5"/>
      <c r="E768" s="5"/>
      <c r="F768" s="5"/>
      <c r="G768" s="5"/>
      <c r="H768" s="5"/>
      <c r="I768" s="5"/>
      <c r="J768" s="5"/>
      <c r="K768" s="5"/>
    </row>
    <row r="769" spans="1:11" ht="15.75" customHeight="1" x14ac:dyDescent="0.25">
      <c r="A769" s="5"/>
      <c r="B769" s="5"/>
      <c r="C769" s="6"/>
      <c r="D769" s="5"/>
      <c r="E769" s="5"/>
      <c r="F769" s="5"/>
      <c r="G769" s="5"/>
      <c r="H769" s="5"/>
      <c r="I769" s="5"/>
      <c r="J769" s="5"/>
      <c r="K769" s="5"/>
    </row>
    <row r="770" spans="1:11" ht="15.75" customHeight="1" x14ac:dyDescent="0.25">
      <c r="A770" s="5"/>
      <c r="B770" s="5"/>
      <c r="C770" s="6"/>
      <c r="D770" s="5"/>
      <c r="E770" s="5"/>
      <c r="F770" s="5"/>
      <c r="G770" s="5"/>
      <c r="H770" s="5"/>
      <c r="I770" s="5"/>
      <c r="J770" s="5"/>
      <c r="K770" s="5"/>
    </row>
    <row r="771" spans="1:11" ht="15.75" customHeight="1" x14ac:dyDescent="0.25">
      <c r="A771" s="5"/>
      <c r="B771" s="5"/>
      <c r="C771" s="6"/>
      <c r="D771" s="5"/>
      <c r="E771" s="5"/>
      <c r="F771" s="5"/>
      <c r="G771" s="5"/>
      <c r="H771" s="5"/>
      <c r="I771" s="5"/>
      <c r="J771" s="5"/>
      <c r="K771" s="5"/>
    </row>
    <row r="772" spans="1:11" ht="15.75" customHeight="1" x14ac:dyDescent="0.25">
      <c r="A772" s="5"/>
      <c r="B772" s="5"/>
      <c r="C772" s="6"/>
      <c r="D772" s="5"/>
      <c r="E772" s="5"/>
      <c r="F772" s="5"/>
      <c r="G772" s="5"/>
      <c r="H772" s="5"/>
      <c r="I772" s="5"/>
      <c r="J772" s="5"/>
      <c r="K772" s="5"/>
    </row>
    <row r="773" spans="1:11" ht="15.75" customHeight="1" x14ac:dyDescent="0.25">
      <c r="A773" s="5"/>
      <c r="B773" s="5"/>
      <c r="C773" s="6"/>
      <c r="D773" s="5"/>
      <c r="E773" s="5"/>
      <c r="F773" s="5"/>
      <c r="G773" s="5"/>
      <c r="H773" s="5"/>
      <c r="I773" s="5"/>
      <c r="J773" s="5"/>
      <c r="K773" s="5"/>
    </row>
    <row r="774" spans="1:11" ht="15.75" customHeight="1" x14ac:dyDescent="0.25">
      <c r="A774" s="5"/>
      <c r="B774" s="5"/>
      <c r="C774" s="6"/>
      <c r="D774" s="5"/>
      <c r="E774" s="5"/>
      <c r="F774" s="5"/>
      <c r="G774" s="5"/>
      <c r="H774" s="5"/>
      <c r="I774" s="5"/>
      <c r="J774" s="5"/>
      <c r="K774" s="5"/>
    </row>
    <row r="775" spans="1:11" ht="15.75" customHeight="1" x14ac:dyDescent="0.25">
      <c r="A775" s="5"/>
      <c r="B775" s="5"/>
      <c r="C775" s="6"/>
      <c r="D775" s="5"/>
      <c r="E775" s="5"/>
      <c r="F775" s="5"/>
      <c r="G775" s="5"/>
      <c r="H775" s="5"/>
      <c r="I775" s="5"/>
      <c r="J775" s="5"/>
      <c r="K775" s="5"/>
    </row>
    <row r="776" spans="1:11" ht="15.75" customHeight="1" x14ac:dyDescent="0.25">
      <c r="A776" s="5"/>
      <c r="B776" s="5"/>
      <c r="C776" s="6"/>
      <c r="D776" s="5"/>
      <c r="E776" s="5"/>
      <c r="F776" s="5"/>
      <c r="G776" s="5"/>
      <c r="H776" s="5"/>
      <c r="I776" s="5"/>
      <c r="J776" s="5"/>
      <c r="K776" s="5"/>
    </row>
    <row r="777" spans="1:11" ht="15.75" customHeight="1" x14ac:dyDescent="0.25">
      <c r="A777" s="5"/>
      <c r="B777" s="5"/>
      <c r="C777" s="6"/>
      <c r="D777" s="5"/>
      <c r="E777" s="5"/>
      <c r="F777" s="5"/>
      <c r="G777" s="5"/>
      <c r="H777" s="5"/>
      <c r="I777" s="5"/>
      <c r="J777" s="5"/>
      <c r="K777" s="5"/>
    </row>
    <row r="778" spans="1:11" ht="15.75" customHeight="1" x14ac:dyDescent="0.25">
      <c r="A778" s="5"/>
      <c r="B778" s="5"/>
      <c r="C778" s="6"/>
      <c r="D778" s="5"/>
      <c r="E778" s="5"/>
      <c r="F778" s="5"/>
      <c r="G778" s="5"/>
      <c r="H778" s="5"/>
      <c r="I778" s="5"/>
      <c r="J778" s="5"/>
      <c r="K778" s="5"/>
    </row>
    <row r="779" spans="1:11" ht="15.75" customHeight="1" x14ac:dyDescent="0.25">
      <c r="A779" s="5"/>
      <c r="B779" s="5"/>
      <c r="C779" s="6"/>
      <c r="D779" s="5"/>
      <c r="E779" s="5"/>
      <c r="F779" s="5"/>
      <c r="G779" s="5"/>
      <c r="H779" s="5"/>
      <c r="I779" s="5"/>
      <c r="J779" s="5"/>
      <c r="K779" s="5"/>
    </row>
    <row r="780" spans="1:11" ht="15.75" customHeight="1" x14ac:dyDescent="0.25">
      <c r="A780" s="5"/>
      <c r="B780" s="5"/>
      <c r="C780" s="6"/>
      <c r="D780" s="5"/>
      <c r="E780" s="5"/>
      <c r="F780" s="5"/>
      <c r="G780" s="5"/>
      <c r="H780" s="5"/>
      <c r="I780" s="5"/>
      <c r="J780" s="5"/>
      <c r="K780" s="5"/>
    </row>
    <row r="781" spans="1:11" ht="15.75" customHeight="1" x14ac:dyDescent="0.25">
      <c r="A781" s="5"/>
      <c r="B781" s="5"/>
      <c r="C781" s="6"/>
      <c r="D781" s="5"/>
      <c r="E781" s="5"/>
      <c r="F781" s="5"/>
      <c r="G781" s="5"/>
      <c r="H781" s="5"/>
      <c r="I781" s="5"/>
      <c r="J781" s="5"/>
      <c r="K781" s="5"/>
    </row>
    <row r="782" spans="1:11" ht="15.75" customHeight="1" x14ac:dyDescent="0.25">
      <c r="A782" s="5"/>
      <c r="B782" s="5"/>
      <c r="C782" s="6"/>
      <c r="D782" s="5"/>
      <c r="E782" s="5"/>
      <c r="F782" s="5"/>
      <c r="G782" s="5"/>
      <c r="H782" s="5"/>
      <c r="I782" s="5"/>
      <c r="J782" s="5"/>
      <c r="K782" s="5"/>
    </row>
    <row r="783" spans="1:11" ht="15.75" customHeight="1" x14ac:dyDescent="0.25">
      <c r="A783" s="5"/>
      <c r="B783" s="5"/>
      <c r="C783" s="6"/>
      <c r="D783" s="5"/>
      <c r="E783" s="5"/>
      <c r="F783" s="5"/>
      <c r="G783" s="5"/>
      <c r="H783" s="5"/>
      <c r="I783" s="5"/>
      <c r="J783" s="5"/>
      <c r="K783" s="5"/>
    </row>
    <row r="784" spans="1:11" ht="15.75" customHeight="1" x14ac:dyDescent="0.25">
      <c r="A784" s="5"/>
      <c r="B784" s="5"/>
      <c r="C784" s="6"/>
      <c r="D784" s="5"/>
      <c r="E784" s="5"/>
      <c r="F784" s="5"/>
      <c r="G784" s="5"/>
      <c r="H784" s="5"/>
      <c r="I784" s="5"/>
      <c r="J784" s="5"/>
      <c r="K784" s="5"/>
    </row>
    <row r="785" spans="1:11" ht="15.75" customHeight="1" x14ac:dyDescent="0.25">
      <c r="A785" s="5"/>
      <c r="B785" s="5"/>
      <c r="C785" s="6"/>
      <c r="D785" s="5"/>
      <c r="E785" s="5"/>
      <c r="F785" s="5"/>
      <c r="G785" s="5"/>
      <c r="H785" s="5"/>
      <c r="I785" s="5"/>
      <c r="J785" s="5"/>
      <c r="K785" s="5"/>
    </row>
    <row r="786" spans="1:11" ht="15.75" customHeight="1" x14ac:dyDescent="0.25">
      <c r="A786" s="5"/>
      <c r="B786" s="5"/>
      <c r="C786" s="6"/>
      <c r="D786" s="5"/>
      <c r="E786" s="5"/>
      <c r="F786" s="5"/>
      <c r="G786" s="5"/>
      <c r="H786" s="5"/>
      <c r="I786" s="5"/>
      <c r="J786" s="5"/>
      <c r="K786" s="5"/>
    </row>
    <row r="787" spans="1:11" ht="15.75" customHeight="1" x14ac:dyDescent="0.25">
      <c r="A787" s="5"/>
      <c r="B787" s="5"/>
      <c r="C787" s="6"/>
      <c r="D787" s="5"/>
      <c r="E787" s="5"/>
      <c r="F787" s="5"/>
      <c r="G787" s="5"/>
      <c r="H787" s="5"/>
      <c r="I787" s="5"/>
      <c r="J787" s="5"/>
      <c r="K787" s="5"/>
    </row>
    <row r="788" spans="1:11" ht="15.75" customHeight="1" x14ac:dyDescent="0.25">
      <c r="A788" s="5"/>
      <c r="B788" s="5"/>
      <c r="C788" s="6"/>
      <c r="D788" s="5"/>
      <c r="E788" s="5"/>
      <c r="F788" s="5"/>
      <c r="G788" s="5"/>
      <c r="H788" s="5"/>
      <c r="I788" s="5"/>
      <c r="J788" s="5"/>
      <c r="K788" s="5"/>
    </row>
    <row r="789" spans="1:11" ht="15.75" customHeight="1" x14ac:dyDescent="0.25">
      <c r="A789" s="5"/>
      <c r="B789" s="5"/>
      <c r="C789" s="6"/>
      <c r="D789" s="5"/>
      <c r="E789" s="5"/>
      <c r="F789" s="5"/>
      <c r="G789" s="5"/>
      <c r="H789" s="5"/>
      <c r="I789" s="5"/>
      <c r="J789" s="5"/>
      <c r="K789" s="5"/>
    </row>
    <row r="790" spans="1:11" ht="15.75" customHeight="1" x14ac:dyDescent="0.25">
      <c r="A790" s="5"/>
      <c r="B790" s="5"/>
      <c r="C790" s="6"/>
      <c r="D790" s="5"/>
      <c r="E790" s="5"/>
      <c r="F790" s="5"/>
      <c r="G790" s="5"/>
      <c r="H790" s="5"/>
      <c r="I790" s="5"/>
      <c r="J790" s="5"/>
      <c r="K790" s="5"/>
    </row>
    <row r="791" spans="1:11" ht="15.75" customHeight="1" x14ac:dyDescent="0.25">
      <c r="A791" s="5"/>
      <c r="B791" s="5"/>
      <c r="C791" s="6"/>
      <c r="D791" s="5"/>
      <c r="E791" s="5"/>
      <c r="F791" s="5"/>
      <c r="G791" s="5"/>
      <c r="H791" s="5"/>
      <c r="I791" s="5"/>
      <c r="J791" s="5"/>
      <c r="K791" s="5"/>
    </row>
    <row r="792" spans="1:11" ht="15.75" customHeight="1" x14ac:dyDescent="0.25">
      <c r="A792" s="5"/>
      <c r="B792" s="5"/>
      <c r="C792" s="6"/>
      <c r="D792" s="5"/>
      <c r="E792" s="5"/>
      <c r="F792" s="5"/>
      <c r="G792" s="5"/>
      <c r="H792" s="5"/>
      <c r="I792" s="5"/>
      <c r="J792" s="5"/>
      <c r="K792" s="5"/>
    </row>
    <row r="793" spans="1:11" ht="15.75" customHeight="1" x14ac:dyDescent="0.25">
      <c r="A793" s="5"/>
      <c r="B793" s="5"/>
      <c r="C793" s="6"/>
      <c r="D793" s="5"/>
      <c r="E793" s="5"/>
      <c r="F793" s="5"/>
      <c r="G793" s="5"/>
      <c r="H793" s="5"/>
      <c r="I793" s="5"/>
      <c r="J793" s="5"/>
      <c r="K793" s="5"/>
    </row>
    <row r="794" spans="1:11" ht="15.75" customHeight="1" x14ac:dyDescent="0.25">
      <c r="A794" s="5"/>
      <c r="B794" s="5"/>
      <c r="C794" s="6"/>
      <c r="D794" s="5"/>
      <c r="E794" s="5"/>
      <c r="F794" s="5"/>
      <c r="G794" s="5"/>
      <c r="H794" s="5"/>
      <c r="I794" s="5"/>
      <c r="J794" s="5"/>
      <c r="K794" s="5"/>
    </row>
    <row r="795" spans="1:11" ht="15.75" customHeight="1" x14ac:dyDescent="0.25">
      <c r="A795" s="5"/>
      <c r="B795" s="5"/>
      <c r="C795" s="6"/>
      <c r="D795" s="5"/>
      <c r="E795" s="5"/>
      <c r="F795" s="5"/>
      <c r="G795" s="5"/>
      <c r="H795" s="5"/>
      <c r="I795" s="5"/>
      <c r="J795" s="5"/>
      <c r="K795" s="5"/>
    </row>
    <row r="796" spans="1:11" ht="15.75" customHeight="1" x14ac:dyDescent="0.25">
      <c r="A796" s="5"/>
      <c r="B796" s="5"/>
      <c r="C796" s="6"/>
      <c r="D796" s="5"/>
      <c r="E796" s="5"/>
      <c r="F796" s="5"/>
      <c r="G796" s="5"/>
      <c r="H796" s="5"/>
      <c r="I796" s="5"/>
      <c r="J796" s="5"/>
      <c r="K796" s="5"/>
    </row>
    <row r="797" spans="1:11" ht="15.75" customHeight="1" x14ac:dyDescent="0.25">
      <c r="A797" s="5"/>
      <c r="B797" s="5"/>
      <c r="C797" s="6"/>
      <c r="D797" s="5"/>
      <c r="E797" s="5"/>
      <c r="F797" s="5"/>
      <c r="G797" s="5"/>
      <c r="H797" s="5"/>
      <c r="I797" s="5"/>
      <c r="J797" s="5"/>
      <c r="K797" s="5"/>
    </row>
    <row r="798" spans="1:11" ht="15.75" customHeight="1" x14ac:dyDescent="0.25">
      <c r="A798" s="5"/>
      <c r="B798" s="5"/>
      <c r="C798" s="6"/>
      <c r="D798" s="5"/>
      <c r="E798" s="5"/>
      <c r="F798" s="5"/>
      <c r="G798" s="5"/>
      <c r="H798" s="5"/>
      <c r="I798" s="5"/>
      <c r="J798" s="5"/>
      <c r="K798" s="5"/>
    </row>
    <row r="799" spans="1:11" ht="15.75" customHeight="1" x14ac:dyDescent="0.25">
      <c r="A799" s="5"/>
      <c r="B799" s="5"/>
      <c r="C799" s="6"/>
      <c r="D799" s="5"/>
      <c r="E799" s="5"/>
      <c r="F799" s="5"/>
      <c r="G799" s="5"/>
      <c r="H799" s="5"/>
      <c r="I799" s="5"/>
      <c r="J799" s="5"/>
      <c r="K799" s="5"/>
    </row>
    <row r="800" spans="1:11" ht="15.75" customHeight="1" x14ac:dyDescent="0.25">
      <c r="A800" s="5"/>
      <c r="B800" s="5"/>
      <c r="C800" s="6"/>
      <c r="D800" s="5"/>
      <c r="E800" s="5"/>
      <c r="F800" s="5"/>
      <c r="G800" s="5"/>
      <c r="H800" s="5"/>
      <c r="I800" s="5"/>
      <c r="J800" s="5"/>
      <c r="K800" s="5"/>
    </row>
    <row r="801" spans="1:11" ht="15.75" customHeight="1" x14ac:dyDescent="0.25">
      <c r="A801" s="5"/>
      <c r="B801" s="5"/>
      <c r="C801" s="6"/>
      <c r="D801" s="5"/>
      <c r="E801" s="5"/>
      <c r="F801" s="5"/>
      <c r="G801" s="5"/>
      <c r="H801" s="5"/>
      <c r="I801" s="5"/>
      <c r="J801" s="5"/>
      <c r="K801" s="5"/>
    </row>
    <row r="802" spans="1:11" ht="15.75" customHeight="1" x14ac:dyDescent="0.25">
      <c r="A802" s="5"/>
      <c r="B802" s="5"/>
      <c r="C802" s="6"/>
      <c r="D802" s="5"/>
      <c r="E802" s="5"/>
      <c r="F802" s="5"/>
      <c r="G802" s="5"/>
      <c r="H802" s="5"/>
      <c r="I802" s="5"/>
      <c r="J802" s="5"/>
      <c r="K802" s="5"/>
    </row>
    <row r="803" spans="1:11" ht="15.75" customHeight="1" x14ac:dyDescent="0.25">
      <c r="A803" s="5"/>
      <c r="B803" s="5"/>
      <c r="C803" s="6"/>
      <c r="D803" s="5"/>
      <c r="E803" s="5"/>
      <c r="F803" s="5"/>
      <c r="G803" s="5"/>
      <c r="H803" s="5"/>
      <c r="I803" s="5"/>
      <c r="J803" s="5"/>
      <c r="K803" s="5"/>
    </row>
    <row r="804" spans="1:11" ht="15.75" customHeight="1" x14ac:dyDescent="0.25">
      <c r="A804" s="5"/>
      <c r="B804" s="5"/>
      <c r="C804" s="6"/>
      <c r="D804" s="5"/>
      <c r="E804" s="5"/>
      <c r="F804" s="5"/>
      <c r="G804" s="5"/>
      <c r="H804" s="5"/>
      <c r="I804" s="5"/>
      <c r="J804" s="5"/>
      <c r="K804" s="5"/>
    </row>
    <row r="805" spans="1:11" ht="15.75" customHeight="1" x14ac:dyDescent="0.25">
      <c r="A805" s="5"/>
      <c r="B805" s="5"/>
      <c r="C805" s="6"/>
      <c r="D805" s="5"/>
      <c r="E805" s="5"/>
      <c r="F805" s="5"/>
      <c r="G805" s="5"/>
      <c r="H805" s="5"/>
      <c r="I805" s="5"/>
      <c r="J805" s="5"/>
      <c r="K805" s="5"/>
    </row>
    <row r="806" spans="1:11" ht="15.75" customHeight="1" x14ac:dyDescent="0.25">
      <c r="A806" s="5"/>
      <c r="B806" s="5"/>
      <c r="C806" s="6"/>
      <c r="D806" s="5"/>
      <c r="E806" s="5"/>
      <c r="F806" s="5"/>
      <c r="G806" s="5"/>
      <c r="H806" s="5"/>
      <c r="I806" s="5"/>
      <c r="J806" s="5"/>
      <c r="K806" s="5"/>
    </row>
    <row r="807" spans="1:11" ht="15.75" customHeight="1" x14ac:dyDescent="0.25">
      <c r="A807" s="5"/>
      <c r="B807" s="5"/>
      <c r="C807" s="6"/>
      <c r="D807" s="5"/>
      <c r="E807" s="5"/>
      <c r="F807" s="5"/>
      <c r="G807" s="5"/>
      <c r="H807" s="5"/>
      <c r="I807" s="5"/>
      <c r="J807" s="5"/>
      <c r="K807" s="5"/>
    </row>
    <row r="808" spans="1:11" ht="15.75" customHeight="1" x14ac:dyDescent="0.25">
      <c r="A808" s="5"/>
      <c r="B808" s="5"/>
      <c r="C808" s="6"/>
      <c r="D808" s="5"/>
      <c r="E808" s="5"/>
      <c r="F808" s="5"/>
      <c r="G808" s="5"/>
      <c r="H808" s="5"/>
      <c r="I808" s="5"/>
      <c r="J808" s="5"/>
      <c r="K808" s="5"/>
    </row>
    <row r="809" spans="1:11" ht="15.75" customHeight="1" x14ac:dyDescent="0.25">
      <c r="A809" s="5"/>
      <c r="B809" s="5"/>
      <c r="C809" s="6"/>
      <c r="D809" s="5"/>
      <c r="E809" s="5"/>
      <c r="F809" s="5"/>
      <c r="G809" s="5"/>
      <c r="H809" s="5"/>
      <c r="I809" s="5"/>
      <c r="J809" s="5"/>
      <c r="K809" s="5"/>
    </row>
    <row r="810" spans="1:11" ht="15.75" customHeight="1" x14ac:dyDescent="0.25">
      <c r="A810" s="5"/>
      <c r="B810" s="5"/>
      <c r="C810" s="6"/>
      <c r="D810" s="5"/>
      <c r="E810" s="5"/>
      <c r="F810" s="5"/>
      <c r="G810" s="5"/>
      <c r="H810" s="5"/>
      <c r="I810" s="5"/>
      <c r="J810" s="5"/>
      <c r="K810" s="5"/>
    </row>
    <row r="811" spans="1:11" ht="15.75" customHeight="1" x14ac:dyDescent="0.25">
      <c r="A811" s="5"/>
      <c r="B811" s="5"/>
      <c r="C811" s="6"/>
      <c r="D811" s="5"/>
      <c r="E811" s="5"/>
      <c r="F811" s="5"/>
      <c r="G811" s="5"/>
      <c r="H811" s="5"/>
      <c r="I811" s="5"/>
      <c r="J811" s="5"/>
      <c r="K811" s="8"/>
    </row>
    <row r="812" spans="1:11" ht="15.75" customHeight="1" x14ac:dyDescent="0.25">
      <c r="A812" s="5"/>
      <c r="B812" s="5"/>
      <c r="C812" s="6"/>
      <c r="D812" s="5"/>
      <c r="E812" s="5"/>
      <c r="F812" s="5"/>
      <c r="G812" s="5"/>
      <c r="H812" s="5"/>
      <c r="I812" s="5"/>
      <c r="J812" s="5"/>
      <c r="K812" s="5"/>
    </row>
    <row r="813" spans="1:11" ht="15.75" customHeight="1" x14ac:dyDescent="0.25">
      <c r="A813" s="5"/>
      <c r="B813" s="5"/>
      <c r="C813" s="6"/>
      <c r="D813" s="5"/>
      <c r="E813" s="5"/>
      <c r="F813" s="5"/>
      <c r="G813" s="5"/>
      <c r="H813" s="5"/>
      <c r="I813" s="5"/>
      <c r="J813" s="5"/>
      <c r="K813" s="5"/>
    </row>
    <row r="814" spans="1:11" ht="15.75" customHeight="1" x14ac:dyDescent="0.25">
      <c r="A814" s="5"/>
      <c r="B814" s="5"/>
      <c r="C814" s="6"/>
      <c r="D814" s="5"/>
      <c r="E814" s="5"/>
      <c r="F814" s="5"/>
      <c r="G814" s="5"/>
      <c r="H814" s="5"/>
      <c r="I814" s="5"/>
      <c r="J814" s="5"/>
      <c r="K814" s="5"/>
    </row>
    <row r="815" spans="1:11" ht="15.75" customHeight="1" x14ac:dyDescent="0.25">
      <c r="A815" s="5"/>
      <c r="B815" s="5"/>
      <c r="C815" s="6"/>
      <c r="D815" s="5"/>
      <c r="E815" s="5"/>
      <c r="F815" s="5"/>
      <c r="G815" s="5"/>
      <c r="H815" s="5"/>
      <c r="I815" s="5"/>
      <c r="J815" s="5"/>
      <c r="K815" s="5"/>
    </row>
    <row r="816" spans="1:11" ht="15.75" customHeight="1" x14ac:dyDescent="0.25">
      <c r="A816" s="5"/>
      <c r="B816" s="5"/>
      <c r="C816" s="6"/>
      <c r="D816" s="5"/>
      <c r="E816" s="5"/>
      <c r="F816" s="5"/>
      <c r="G816" s="5"/>
      <c r="H816" s="5"/>
      <c r="I816" s="5"/>
      <c r="J816" s="5"/>
      <c r="K816" s="5"/>
    </row>
    <row r="817" spans="1:11" ht="15.75" customHeight="1" x14ac:dyDescent="0.25">
      <c r="A817" s="5"/>
      <c r="B817" s="5"/>
      <c r="C817" s="6"/>
      <c r="D817" s="5"/>
      <c r="E817" s="5"/>
      <c r="F817" s="5"/>
      <c r="G817" s="5"/>
      <c r="H817" s="5"/>
      <c r="I817" s="5"/>
      <c r="J817" s="5"/>
      <c r="K817" s="5"/>
    </row>
    <row r="818" spans="1:11" ht="15.75" customHeight="1" x14ac:dyDescent="0.25">
      <c r="A818" s="5"/>
      <c r="B818" s="5"/>
      <c r="C818" s="6"/>
      <c r="D818" s="5"/>
      <c r="E818" s="5"/>
      <c r="F818" s="5"/>
      <c r="G818" s="5"/>
      <c r="H818" s="5"/>
      <c r="I818" s="5"/>
      <c r="J818" s="5"/>
      <c r="K818" s="5"/>
    </row>
    <row r="819" spans="1:11" ht="15.75" customHeight="1" x14ac:dyDescent="0.25">
      <c r="A819" s="5"/>
      <c r="B819" s="5"/>
      <c r="C819" s="6"/>
      <c r="D819" s="5"/>
      <c r="E819" s="5"/>
      <c r="F819" s="5"/>
      <c r="G819" s="5"/>
      <c r="H819" s="5"/>
      <c r="I819" s="5"/>
      <c r="J819" s="5"/>
      <c r="K819" s="5"/>
    </row>
    <row r="820" spans="1:11" ht="15.75" customHeight="1" x14ac:dyDescent="0.25">
      <c r="A820" s="5"/>
      <c r="B820" s="5"/>
      <c r="C820" s="6"/>
      <c r="D820" s="5"/>
      <c r="E820" s="5"/>
      <c r="F820" s="5"/>
      <c r="G820" s="5"/>
      <c r="H820" s="5"/>
      <c r="I820" s="5"/>
      <c r="J820" s="5"/>
      <c r="K820" s="5"/>
    </row>
    <row r="821" spans="1:11" ht="15.75" customHeight="1" x14ac:dyDescent="0.25">
      <c r="A821" s="5"/>
      <c r="B821" s="5"/>
      <c r="C821" s="6"/>
      <c r="D821" s="5"/>
      <c r="E821" s="5"/>
      <c r="F821" s="5"/>
      <c r="G821" s="5"/>
      <c r="H821" s="5"/>
      <c r="I821" s="5"/>
      <c r="J821" s="5"/>
      <c r="K821" s="5"/>
    </row>
    <row r="822" spans="1:11" ht="15.75" customHeight="1" x14ac:dyDescent="0.25">
      <c r="A822" s="5"/>
      <c r="B822" s="5"/>
      <c r="C822" s="6"/>
      <c r="D822" s="5"/>
      <c r="E822" s="5"/>
      <c r="F822" s="5"/>
      <c r="G822" s="5"/>
      <c r="H822" s="5"/>
      <c r="I822" s="5"/>
      <c r="J822" s="5"/>
      <c r="K822" s="5"/>
    </row>
    <row r="823" spans="1:11" ht="15.75" customHeight="1" x14ac:dyDescent="0.25">
      <c r="A823" s="5"/>
      <c r="B823" s="5"/>
      <c r="C823" s="6"/>
      <c r="D823" s="5"/>
      <c r="E823" s="5"/>
      <c r="F823" s="5"/>
      <c r="G823" s="5"/>
      <c r="H823" s="5"/>
      <c r="I823" s="5"/>
      <c r="J823" s="5"/>
      <c r="K823" s="5"/>
    </row>
    <row r="824" spans="1:11" ht="15.75" customHeight="1" x14ac:dyDescent="0.25">
      <c r="A824" s="5"/>
      <c r="B824" s="5"/>
      <c r="C824" s="6"/>
      <c r="D824" s="5"/>
      <c r="E824" s="5"/>
      <c r="F824" s="5"/>
      <c r="G824" s="5"/>
      <c r="H824" s="5"/>
      <c r="I824" s="5"/>
      <c r="J824" s="5"/>
      <c r="K824" s="5"/>
    </row>
    <row r="825" spans="1:11" ht="15.75" customHeight="1" x14ac:dyDescent="0.25">
      <c r="A825" s="5"/>
      <c r="B825" s="5"/>
      <c r="C825" s="6"/>
      <c r="D825" s="5"/>
      <c r="E825" s="5"/>
      <c r="F825" s="5"/>
      <c r="G825" s="5"/>
      <c r="H825" s="5"/>
      <c r="I825" s="5"/>
      <c r="J825" s="5"/>
      <c r="K825" s="5"/>
    </row>
    <row r="826" spans="1:11" ht="15.75" customHeight="1" x14ac:dyDescent="0.25">
      <c r="A826" s="5"/>
      <c r="B826" s="5"/>
      <c r="C826" s="6"/>
      <c r="D826" s="5"/>
      <c r="E826" s="5"/>
      <c r="F826" s="5"/>
      <c r="G826" s="5"/>
      <c r="H826" s="5"/>
      <c r="I826" s="5"/>
      <c r="J826" s="5"/>
      <c r="K826" s="5"/>
    </row>
    <row r="827" spans="1:11" ht="15.75" customHeight="1" x14ac:dyDescent="0.25">
      <c r="A827" s="5"/>
      <c r="B827" s="5"/>
      <c r="C827" s="6"/>
      <c r="D827" s="5"/>
      <c r="E827" s="5"/>
      <c r="F827" s="5"/>
      <c r="G827" s="5"/>
      <c r="H827" s="5"/>
      <c r="I827" s="5"/>
      <c r="J827" s="5"/>
      <c r="K827" s="5"/>
    </row>
    <row r="828" spans="1:11" ht="15.75" customHeight="1" x14ac:dyDescent="0.25">
      <c r="A828" s="5"/>
      <c r="B828" s="5"/>
      <c r="C828" s="6"/>
      <c r="D828" s="5"/>
      <c r="E828" s="5"/>
      <c r="F828" s="5"/>
      <c r="G828" s="5"/>
      <c r="H828" s="5"/>
      <c r="I828" s="5"/>
      <c r="J828" s="5"/>
      <c r="K828" s="5"/>
    </row>
    <row r="829" spans="1:11" ht="15.75" customHeight="1" x14ac:dyDescent="0.25">
      <c r="A829" s="5"/>
      <c r="B829" s="5"/>
      <c r="C829" s="6"/>
      <c r="D829" s="5"/>
      <c r="E829" s="5"/>
      <c r="F829" s="5"/>
      <c r="G829" s="5"/>
      <c r="H829" s="5"/>
      <c r="I829" s="5"/>
      <c r="J829" s="5"/>
      <c r="K829" s="5"/>
    </row>
    <row r="830" spans="1:11" ht="15.75" customHeight="1" x14ac:dyDescent="0.25">
      <c r="A830" s="5"/>
      <c r="B830" s="5"/>
      <c r="C830" s="6"/>
      <c r="D830" s="5"/>
      <c r="E830" s="5"/>
      <c r="F830" s="5"/>
      <c r="G830" s="5"/>
      <c r="H830" s="5"/>
      <c r="I830" s="5"/>
      <c r="J830" s="5"/>
      <c r="K830" s="5"/>
    </row>
    <row r="831" spans="1:11" ht="15.75" customHeight="1" x14ac:dyDescent="0.25">
      <c r="A831" s="5"/>
      <c r="B831" s="5"/>
      <c r="C831" s="6"/>
      <c r="D831" s="5"/>
      <c r="E831" s="5"/>
      <c r="F831" s="5"/>
      <c r="G831" s="5"/>
      <c r="H831" s="5"/>
      <c r="I831" s="5"/>
      <c r="J831" s="5"/>
      <c r="K831" s="5"/>
    </row>
    <row r="832" spans="1:11" ht="15.75" customHeight="1" x14ac:dyDescent="0.25">
      <c r="A832" s="5"/>
      <c r="B832" s="5"/>
      <c r="C832" s="6"/>
      <c r="D832" s="5"/>
      <c r="E832" s="5"/>
      <c r="F832" s="5"/>
      <c r="G832" s="5"/>
      <c r="H832" s="5"/>
      <c r="I832" s="5"/>
      <c r="J832" s="5"/>
      <c r="K832" s="5"/>
    </row>
    <row r="833" spans="1:11" ht="15.75" customHeight="1" x14ac:dyDescent="0.25">
      <c r="A833" s="5"/>
      <c r="B833" s="5"/>
      <c r="C833" s="6"/>
      <c r="D833" s="5"/>
      <c r="E833" s="5"/>
      <c r="F833" s="5"/>
      <c r="G833" s="5"/>
      <c r="H833" s="5"/>
      <c r="I833" s="5"/>
      <c r="J833" s="5"/>
      <c r="K833" s="5"/>
    </row>
    <row r="834" spans="1:11" ht="15.75" customHeight="1" x14ac:dyDescent="0.25">
      <c r="A834" s="5"/>
      <c r="B834" s="5"/>
      <c r="C834" s="6"/>
      <c r="D834" s="5"/>
      <c r="E834" s="5"/>
      <c r="F834" s="5"/>
      <c r="G834" s="5"/>
      <c r="H834" s="5"/>
      <c r="I834" s="5"/>
      <c r="J834" s="5"/>
      <c r="K834" s="5"/>
    </row>
    <row r="835" spans="1:11" ht="15.75" customHeight="1" x14ac:dyDescent="0.25">
      <c r="A835" s="5"/>
      <c r="B835" s="5"/>
      <c r="C835" s="6"/>
      <c r="D835" s="5"/>
      <c r="E835" s="5"/>
      <c r="F835" s="5"/>
      <c r="G835" s="5"/>
      <c r="H835" s="5"/>
      <c r="I835" s="5"/>
      <c r="J835" s="5"/>
      <c r="K835" s="5"/>
    </row>
    <row r="836" spans="1:11" ht="15.75" customHeight="1" x14ac:dyDescent="0.25">
      <c r="A836" s="5"/>
      <c r="B836" s="5"/>
      <c r="C836" s="6"/>
      <c r="D836" s="5"/>
      <c r="E836" s="5"/>
      <c r="F836" s="5"/>
      <c r="G836" s="5"/>
      <c r="H836" s="5"/>
      <c r="I836" s="5"/>
      <c r="J836" s="5"/>
      <c r="K836" s="5"/>
    </row>
    <row r="837" spans="1:11" ht="15.75" customHeight="1" x14ac:dyDescent="0.25">
      <c r="A837" s="5"/>
      <c r="B837" s="5"/>
      <c r="C837" s="6"/>
      <c r="D837" s="5"/>
      <c r="E837" s="5"/>
      <c r="F837" s="5"/>
      <c r="G837" s="5"/>
      <c r="H837" s="5"/>
      <c r="I837" s="5"/>
      <c r="J837" s="5"/>
      <c r="K837" s="5"/>
    </row>
    <row r="838" spans="1:11" ht="15.75" customHeight="1" x14ac:dyDescent="0.25">
      <c r="A838" s="5"/>
      <c r="B838" s="5"/>
      <c r="C838" s="6"/>
      <c r="D838" s="5"/>
      <c r="E838" s="5"/>
      <c r="F838" s="5"/>
      <c r="G838" s="5"/>
      <c r="H838" s="5"/>
      <c r="I838" s="5"/>
      <c r="J838" s="5"/>
      <c r="K838" s="5"/>
    </row>
    <row r="839" spans="1:11" ht="15.75" customHeight="1" x14ac:dyDescent="0.25">
      <c r="A839" s="5"/>
      <c r="B839" s="5"/>
      <c r="C839" s="6"/>
      <c r="D839" s="5"/>
      <c r="E839" s="5"/>
      <c r="F839" s="5"/>
      <c r="G839" s="5"/>
      <c r="H839" s="5"/>
      <c r="I839" s="5"/>
      <c r="J839" s="5"/>
      <c r="K839" s="5"/>
    </row>
    <row r="840" spans="1:11" ht="15.75" customHeight="1" x14ac:dyDescent="0.25">
      <c r="A840" s="5"/>
      <c r="B840" s="5"/>
      <c r="C840" s="6"/>
      <c r="D840" s="5"/>
      <c r="E840" s="5"/>
      <c r="F840" s="5"/>
      <c r="G840" s="5"/>
      <c r="H840" s="5"/>
      <c r="I840" s="5"/>
      <c r="J840" s="5"/>
      <c r="K840" s="5"/>
    </row>
    <row r="841" spans="1:11" ht="15.75" customHeight="1" x14ac:dyDescent="0.25">
      <c r="A841" s="5"/>
      <c r="B841" s="5"/>
      <c r="C841" s="6"/>
      <c r="D841" s="5"/>
      <c r="E841" s="5"/>
      <c r="F841" s="5"/>
      <c r="G841" s="5"/>
      <c r="H841" s="5"/>
      <c r="I841" s="5"/>
      <c r="J841" s="5"/>
      <c r="K841" s="5"/>
    </row>
    <row r="842" spans="1:11" ht="15.75" customHeight="1" x14ac:dyDescent="0.25">
      <c r="A842" s="5"/>
      <c r="B842" s="5"/>
      <c r="C842" s="6"/>
      <c r="D842" s="5"/>
      <c r="E842" s="5"/>
      <c r="F842" s="5"/>
      <c r="G842" s="5"/>
      <c r="H842" s="5"/>
      <c r="I842" s="5"/>
      <c r="J842" s="5"/>
      <c r="K842" s="5"/>
    </row>
    <row r="843" spans="1:11" ht="15.75" customHeight="1" x14ac:dyDescent="0.25">
      <c r="A843" s="5"/>
      <c r="B843" s="5"/>
      <c r="C843" s="6"/>
      <c r="D843" s="5"/>
      <c r="E843" s="5"/>
      <c r="F843" s="5"/>
      <c r="G843" s="5"/>
      <c r="H843" s="5"/>
      <c r="I843" s="5"/>
      <c r="J843" s="5"/>
      <c r="K843" s="5"/>
    </row>
    <row r="844" spans="1:11" ht="15.75" customHeight="1" x14ac:dyDescent="0.25">
      <c r="A844" s="5"/>
      <c r="B844" s="5"/>
      <c r="C844" s="6"/>
      <c r="D844" s="5"/>
      <c r="E844" s="5"/>
      <c r="F844" s="5"/>
      <c r="G844" s="5"/>
      <c r="H844" s="5"/>
      <c r="I844" s="5"/>
      <c r="J844" s="5"/>
      <c r="K844" s="5"/>
    </row>
    <row r="845" spans="1:11" ht="15.75" customHeight="1" x14ac:dyDescent="0.25">
      <c r="A845" s="5"/>
      <c r="B845" s="5"/>
      <c r="C845" s="6"/>
      <c r="D845" s="5"/>
      <c r="E845" s="5"/>
      <c r="F845" s="5"/>
      <c r="G845" s="5"/>
      <c r="H845" s="5"/>
      <c r="I845" s="5"/>
      <c r="J845" s="5"/>
      <c r="K845" s="5"/>
    </row>
    <row r="846" spans="1:11" ht="15.75" customHeight="1" x14ac:dyDescent="0.25">
      <c r="A846" s="5"/>
      <c r="B846" s="5"/>
      <c r="C846" s="6"/>
      <c r="D846" s="5"/>
      <c r="E846" s="5"/>
      <c r="F846" s="5"/>
      <c r="G846" s="5"/>
      <c r="H846" s="5"/>
      <c r="I846" s="5"/>
      <c r="J846" s="5"/>
      <c r="K846" s="5"/>
    </row>
    <row r="847" spans="1:11" ht="15.75" customHeight="1" x14ac:dyDescent="0.25">
      <c r="A847" s="5"/>
      <c r="B847" s="5"/>
      <c r="C847" s="6"/>
      <c r="D847" s="5"/>
      <c r="E847" s="5"/>
      <c r="F847" s="5"/>
      <c r="G847" s="5"/>
      <c r="H847" s="5"/>
      <c r="I847" s="5"/>
      <c r="J847" s="5"/>
      <c r="K847" s="5"/>
    </row>
    <row r="848" spans="1:11" ht="15.75" customHeight="1" x14ac:dyDescent="0.25">
      <c r="A848" s="5"/>
      <c r="B848" s="5"/>
      <c r="C848" s="6"/>
      <c r="D848" s="5"/>
      <c r="E848" s="5"/>
      <c r="F848" s="5"/>
      <c r="G848" s="5"/>
      <c r="H848" s="5"/>
      <c r="I848" s="5"/>
      <c r="J848" s="5"/>
      <c r="K848" s="5"/>
    </row>
    <row r="849" spans="1:11" ht="15.75" customHeight="1" x14ac:dyDescent="0.25">
      <c r="A849" s="5"/>
      <c r="B849" s="5"/>
      <c r="C849" s="6"/>
      <c r="D849" s="5"/>
      <c r="E849" s="5"/>
      <c r="F849" s="5"/>
      <c r="G849" s="5"/>
      <c r="H849" s="5"/>
      <c r="I849" s="5"/>
      <c r="J849" s="5"/>
      <c r="K849" s="5"/>
    </row>
    <row r="850" spans="1:11" ht="15.75" customHeight="1" x14ac:dyDescent="0.25">
      <c r="A850" s="5"/>
      <c r="B850" s="5"/>
      <c r="C850" s="16"/>
      <c r="D850" s="5"/>
      <c r="E850" s="5"/>
      <c r="F850" s="5"/>
      <c r="G850" s="5"/>
      <c r="H850" s="5"/>
      <c r="I850" s="5"/>
      <c r="J850" s="5"/>
      <c r="K850" s="5"/>
    </row>
    <row r="851" spans="1:11" ht="15.75" customHeight="1" x14ac:dyDescent="0.25">
      <c r="A851" s="5"/>
      <c r="B851" s="5"/>
      <c r="C851" s="16"/>
      <c r="D851" s="5"/>
      <c r="E851" s="5"/>
      <c r="F851" s="5"/>
      <c r="G851" s="5"/>
      <c r="H851" s="5"/>
      <c r="I851" s="5"/>
      <c r="J851" s="5"/>
      <c r="K851" s="5"/>
    </row>
    <row r="852" spans="1:11" ht="15.75" customHeight="1" x14ac:dyDescent="0.25">
      <c r="A852" s="5"/>
      <c r="B852" s="5"/>
      <c r="C852" s="16"/>
      <c r="D852" s="5"/>
      <c r="E852" s="5"/>
      <c r="F852" s="5"/>
      <c r="G852" s="5"/>
      <c r="H852" s="5"/>
      <c r="I852" s="5"/>
      <c r="J852" s="5"/>
      <c r="K852" s="5"/>
    </row>
    <row r="853" spans="1:11" ht="15.75" customHeight="1" x14ac:dyDescent="0.25">
      <c r="A853" s="5"/>
      <c r="B853" s="5"/>
      <c r="C853" s="16"/>
      <c r="D853" s="5"/>
      <c r="E853" s="5"/>
      <c r="F853" s="5"/>
      <c r="G853" s="5"/>
      <c r="H853" s="5"/>
      <c r="I853" s="5"/>
      <c r="J853" s="5"/>
      <c r="K853" s="5"/>
    </row>
    <row r="854" spans="1:11" ht="15.75" customHeight="1" x14ac:dyDescent="0.25">
      <c r="A854" s="5"/>
      <c r="B854" s="5"/>
      <c r="C854" s="16"/>
      <c r="D854" s="5"/>
      <c r="E854" s="5"/>
      <c r="F854" s="5"/>
      <c r="G854" s="5"/>
      <c r="H854" s="5"/>
      <c r="I854" s="5"/>
      <c r="J854" s="5"/>
      <c r="K854" s="5"/>
    </row>
    <row r="855" spans="1:11" ht="15.75" customHeight="1" x14ac:dyDescent="0.25">
      <c r="A855" s="5"/>
      <c r="B855" s="5"/>
      <c r="C855" s="16"/>
      <c r="D855" s="5"/>
      <c r="E855" s="5"/>
      <c r="F855" s="5"/>
      <c r="G855" s="5"/>
      <c r="H855" s="5"/>
      <c r="I855" s="5"/>
      <c r="J855" s="5"/>
      <c r="K855" s="5"/>
    </row>
    <row r="856" spans="1:11" ht="15.75" customHeight="1" x14ac:dyDescent="0.25">
      <c r="A856" s="5"/>
      <c r="B856" s="5"/>
      <c r="C856" s="16"/>
      <c r="D856" s="5"/>
      <c r="E856" s="5"/>
      <c r="F856" s="5"/>
      <c r="G856" s="5"/>
      <c r="H856" s="5"/>
      <c r="I856" s="5"/>
      <c r="J856" s="5"/>
      <c r="K856" s="5"/>
    </row>
    <row r="857" spans="1:11" ht="15.75" customHeight="1" x14ac:dyDescent="0.25">
      <c r="A857" s="5"/>
      <c r="B857" s="5"/>
      <c r="C857" s="16"/>
      <c r="D857" s="5"/>
      <c r="E857" s="5"/>
      <c r="F857" s="5"/>
      <c r="G857" s="5"/>
      <c r="H857" s="5"/>
      <c r="I857" s="5"/>
      <c r="J857" s="5"/>
      <c r="K857" s="5"/>
    </row>
    <row r="858" spans="1:11" ht="15.75" customHeight="1" x14ac:dyDescent="0.25">
      <c r="A858" s="5"/>
      <c r="B858" s="5"/>
      <c r="C858" s="16"/>
      <c r="D858" s="5"/>
      <c r="E858" s="5"/>
      <c r="F858" s="5"/>
      <c r="G858" s="5"/>
      <c r="H858" s="5"/>
      <c r="I858" s="5"/>
      <c r="J858" s="5"/>
      <c r="K858" s="5"/>
    </row>
    <row r="859" spans="1:11" ht="15.75" customHeight="1" x14ac:dyDescent="0.25">
      <c r="A859" s="5"/>
      <c r="B859" s="5"/>
      <c r="C859" s="16"/>
      <c r="D859" s="5"/>
      <c r="E859" s="5"/>
      <c r="F859" s="5"/>
      <c r="G859" s="5"/>
      <c r="H859" s="5"/>
      <c r="I859" s="5"/>
      <c r="J859" s="5"/>
      <c r="K859" s="5"/>
    </row>
    <row r="860" spans="1:11" ht="15.75" customHeight="1" x14ac:dyDescent="0.25">
      <c r="A860" s="5"/>
      <c r="B860" s="5"/>
      <c r="C860" s="16"/>
      <c r="D860" s="5"/>
      <c r="E860" s="5"/>
      <c r="F860" s="5"/>
      <c r="G860" s="5"/>
      <c r="H860" s="5"/>
      <c r="I860" s="5"/>
      <c r="J860" s="5"/>
      <c r="K860" s="5"/>
    </row>
    <row r="861" spans="1:11" ht="15.75" customHeight="1" x14ac:dyDescent="0.25">
      <c r="A861" s="5"/>
      <c r="B861" s="5"/>
      <c r="C861" s="16"/>
      <c r="D861" s="5"/>
      <c r="E861" s="5"/>
      <c r="F861" s="5"/>
      <c r="G861" s="5"/>
      <c r="H861" s="5"/>
      <c r="I861" s="5"/>
      <c r="J861" s="5"/>
      <c r="K861" s="5"/>
    </row>
    <row r="862" spans="1:11" ht="15.75" customHeight="1" x14ac:dyDescent="0.25">
      <c r="A862" s="5"/>
      <c r="B862" s="5"/>
      <c r="C862" s="16"/>
      <c r="D862" s="5"/>
      <c r="E862" s="5"/>
      <c r="F862" s="5"/>
      <c r="G862" s="5"/>
      <c r="H862" s="5"/>
      <c r="I862" s="5"/>
      <c r="J862" s="5"/>
      <c r="K862" s="5"/>
    </row>
    <row r="863" spans="1:11" ht="15.75" customHeight="1" x14ac:dyDescent="0.25">
      <c r="A863" s="5"/>
      <c r="B863" s="5"/>
      <c r="C863" s="16"/>
      <c r="D863" s="5"/>
      <c r="E863" s="5"/>
      <c r="F863" s="5"/>
      <c r="G863" s="5"/>
      <c r="H863" s="5"/>
      <c r="I863" s="5"/>
      <c r="J863" s="5"/>
      <c r="K863" s="5"/>
    </row>
    <row r="864" spans="1:11" ht="15.75" customHeight="1" x14ac:dyDescent="0.25">
      <c r="A864" s="5"/>
      <c r="B864" s="5"/>
      <c r="C864" s="16"/>
      <c r="D864" s="5"/>
      <c r="E864" s="5"/>
      <c r="F864" s="5"/>
      <c r="G864" s="5"/>
      <c r="H864" s="5"/>
      <c r="I864" s="5"/>
      <c r="J864" s="5"/>
      <c r="K864" s="5"/>
    </row>
    <row r="865" spans="1:11" ht="15.75" customHeight="1" x14ac:dyDescent="0.25">
      <c r="A865" s="5"/>
      <c r="B865" s="5"/>
      <c r="C865" s="16"/>
      <c r="D865" s="5"/>
      <c r="E865" s="5"/>
      <c r="F865" s="5"/>
      <c r="G865" s="5"/>
      <c r="H865" s="5"/>
      <c r="I865" s="5"/>
      <c r="J865" s="5"/>
      <c r="K865" s="5"/>
    </row>
    <row r="866" spans="1:11" ht="15.75" customHeight="1" x14ac:dyDescent="0.25">
      <c r="A866" s="5"/>
      <c r="B866" s="5"/>
      <c r="C866" s="16"/>
      <c r="D866" s="5"/>
      <c r="E866" s="5"/>
      <c r="F866" s="5"/>
      <c r="G866" s="5"/>
      <c r="H866" s="5"/>
      <c r="I866" s="5"/>
      <c r="J866" s="5"/>
      <c r="K866" s="5"/>
    </row>
    <row r="867" spans="1:11" ht="15.75" customHeight="1" x14ac:dyDescent="0.25">
      <c r="A867" s="5"/>
      <c r="B867" s="5"/>
      <c r="C867" s="16"/>
      <c r="D867" s="5"/>
      <c r="E867" s="5"/>
      <c r="F867" s="5"/>
      <c r="G867" s="5"/>
      <c r="H867" s="5"/>
      <c r="I867" s="5"/>
      <c r="J867" s="5"/>
      <c r="K867" s="5"/>
    </row>
    <row r="868" spans="1:11" ht="15.75" customHeight="1" x14ac:dyDescent="0.25">
      <c r="A868" s="5"/>
      <c r="B868" s="5"/>
      <c r="C868" s="16"/>
      <c r="D868" s="5"/>
      <c r="E868" s="5"/>
      <c r="F868" s="5"/>
      <c r="G868" s="5"/>
      <c r="H868" s="5"/>
      <c r="I868" s="5"/>
      <c r="J868" s="5"/>
      <c r="K868" s="5"/>
    </row>
    <row r="869" spans="1:11" ht="15.75" customHeight="1" x14ac:dyDescent="0.25">
      <c r="A869" s="5"/>
      <c r="B869" s="5"/>
      <c r="C869" s="16"/>
      <c r="D869" s="5"/>
      <c r="E869" s="5"/>
      <c r="F869" s="5"/>
      <c r="G869" s="5"/>
      <c r="H869" s="5"/>
      <c r="I869" s="5"/>
      <c r="J869" s="5"/>
      <c r="K869" s="5"/>
    </row>
    <row r="870" spans="1:11" ht="15.75" customHeight="1" x14ac:dyDescent="0.25">
      <c r="A870" s="5"/>
      <c r="B870" s="5"/>
      <c r="C870" s="16"/>
      <c r="D870" s="5"/>
      <c r="E870" s="5"/>
      <c r="F870" s="5"/>
      <c r="G870" s="5"/>
      <c r="H870" s="5"/>
      <c r="I870" s="5"/>
      <c r="J870" s="5"/>
      <c r="K870" s="5"/>
    </row>
    <row r="871" spans="1:11" ht="15.75" customHeight="1" x14ac:dyDescent="0.25">
      <c r="A871" s="5"/>
      <c r="B871" s="5"/>
      <c r="C871" s="16"/>
      <c r="D871" s="5"/>
      <c r="E871" s="5"/>
      <c r="F871" s="5"/>
      <c r="G871" s="5"/>
      <c r="H871" s="5"/>
      <c r="I871" s="5"/>
      <c r="J871" s="5"/>
      <c r="K871" s="5"/>
    </row>
    <row r="872" spans="1:11" ht="15.75" customHeight="1" x14ac:dyDescent="0.25">
      <c r="A872" s="5"/>
      <c r="B872" s="5"/>
      <c r="C872" s="16"/>
      <c r="D872" s="5"/>
      <c r="E872" s="5"/>
      <c r="F872" s="5"/>
      <c r="G872" s="5"/>
      <c r="H872" s="5"/>
      <c r="I872" s="5"/>
      <c r="J872" s="5"/>
      <c r="K872" s="5"/>
    </row>
    <row r="873" spans="1:11" ht="15.75" customHeight="1" x14ac:dyDescent="0.25">
      <c r="A873" s="5"/>
      <c r="B873" s="5"/>
      <c r="C873" s="16"/>
      <c r="D873" s="5"/>
      <c r="E873" s="5"/>
      <c r="F873" s="5"/>
      <c r="G873" s="5"/>
      <c r="H873" s="5"/>
      <c r="I873" s="5"/>
      <c r="J873" s="5"/>
      <c r="K873" s="5"/>
    </row>
    <row r="874" spans="1:11" ht="15.75" customHeight="1" x14ac:dyDescent="0.25">
      <c r="A874" s="5"/>
      <c r="B874" s="5"/>
      <c r="C874" s="16"/>
      <c r="D874" s="5"/>
      <c r="E874" s="5"/>
      <c r="F874" s="5"/>
      <c r="G874" s="5"/>
      <c r="H874" s="5"/>
      <c r="I874" s="5"/>
      <c r="J874" s="5"/>
      <c r="K874" s="5"/>
    </row>
    <row r="875" spans="1:11" ht="15.75" customHeight="1" x14ac:dyDescent="0.25">
      <c r="A875" s="5"/>
      <c r="B875" s="5"/>
      <c r="C875" s="16"/>
      <c r="D875" s="5"/>
      <c r="E875" s="5"/>
      <c r="F875" s="5"/>
      <c r="G875" s="5"/>
      <c r="H875" s="5"/>
      <c r="I875" s="5"/>
      <c r="J875" s="5"/>
      <c r="K875" s="5"/>
    </row>
    <row r="876" spans="1:11" ht="15.75" customHeight="1" x14ac:dyDescent="0.25">
      <c r="A876" s="5"/>
      <c r="B876" s="5"/>
      <c r="C876" s="16"/>
      <c r="D876" s="5"/>
      <c r="E876" s="5"/>
      <c r="F876" s="5"/>
      <c r="G876" s="5"/>
      <c r="H876" s="5"/>
      <c r="I876" s="5"/>
      <c r="J876" s="5"/>
      <c r="K876" s="5"/>
    </row>
    <row r="877" spans="1:11" ht="15.75" customHeight="1" x14ac:dyDescent="0.25">
      <c r="B877" s="5"/>
      <c r="C877" s="16"/>
      <c r="D877" s="5"/>
      <c r="E877" s="5"/>
      <c r="F877" s="5"/>
      <c r="G877" s="5"/>
      <c r="H877" s="8"/>
      <c r="I877" s="8"/>
      <c r="J877" s="8"/>
      <c r="K877" s="8"/>
    </row>
    <row r="878" spans="1:11" ht="15.75" customHeight="1" x14ac:dyDescent="0.25">
      <c r="B878" s="5"/>
      <c r="C878" s="16"/>
      <c r="D878" s="5"/>
      <c r="E878" s="5"/>
      <c r="F878" s="5"/>
      <c r="G878" s="5"/>
      <c r="H878" s="8"/>
      <c r="I878" s="8"/>
      <c r="J878" s="8"/>
      <c r="K878" s="8"/>
    </row>
    <row r="879" spans="1:11" ht="15.75" customHeight="1" x14ac:dyDescent="0.25">
      <c r="B879" s="5"/>
      <c r="C879" s="16"/>
      <c r="D879" s="5"/>
      <c r="E879" s="5"/>
      <c r="F879" s="5"/>
      <c r="G879" s="5"/>
      <c r="H879" s="8"/>
      <c r="I879" s="8"/>
      <c r="J879" s="8"/>
      <c r="K879" s="8"/>
    </row>
    <row r="880" spans="1:11" ht="15.75" customHeight="1" x14ac:dyDescent="0.25">
      <c r="B880" s="5"/>
      <c r="C880" s="16"/>
      <c r="D880" s="5"/>
      <c r="E880" s="5"/>
      <c r="F880" s="5"/>
      <c r="G880" s="5"/>
      <c r="H880" s="8"/>
      <c r="I880" s="8"/>
      <c r="J880" s="8"/>
      <c r="K880" s="8"/>
    </row>
    <row r="881" spans="2:11" ht="15.75" customHeight="1" x14ac:dyDescent="0.25">
      <c r="B881" s="5"/>
      <c r="C881" s="16"/>
      <c r="D881" s="5"/>
      <c r="E881" s="5"/>
      <c r="F881" s="5"/>
      <c r="G881" s="5"/>
      <c r="H881" s="8"/>
      <c r="I881" s="8"/>
      <c r="J881" s="8"/>
      <c r="K881" s="8"/>
    </row>
    <row r="882" spans="2:11" ht="15.75" customHeight="1" x14ac:dyDescent="0.25">
      <c r="B882" s="5"/>
      <c r="C882" s="16"/>
      <c r="D882" s="5"/>
      <c r="E882" s="5"/>
      <c r="F882" s="5"/>
      <c r="G882" s="5"/>
      <c r="H882" s="8"/>
      <c r="I882" s="8"/>
      <c r="J882" s="8"/>
      <c r="K882" s="8"/>
    </row>
    <row r="883" spans="2:11" ht="15.75" customHeight="1" x14ac:dyDescent="0.25">
      <c r="B883" s="5"/>
      <c r="C883" s="16"/>
      <c r="D883" s="5"/>
      <c r="E883" s="5"/>
      <c r="F883" s="5"/>
      <c r="G883" s="5"/>
      <c r="H883" s="8"/>
      <c r="I883" s="8"/>
      <c r="J883" s="8"/>
      <c r="K883" s="8"/>
    </row>
    <row r="884" spans="2:11" ht="15.75" customHeight="1" x14ac:dyDescent="0.25">
      <c r="B884" s="5"/>
      <c r="C884" s="16"/>
      <c r="D884" s="5"/>
      <c r="E884" s="5"/>
      <c r="F884" s="5"/>
      <c r="G884" s="5"/>
      <c r="H884" s="8"/>
      <c r="I884" s="8"/>
      <c r="J884" s="8"/>
      <c r="K884" s="8"/>
    </row>
    <row r="885" spans="2:11" ht="15.75" customHeight="1" x14ac:dyDescent="0.25">
      <c r="B885" s="5"/>
      <c r="C885" s="16"/>
      <c r="D885" s="5"/>
      <c r="E885" s="5"/>
      <c r="F885" s="5"/>
      <c r="G885" s="5"/>
      <c r="H885" s="8"/>
      <c r="I885" s="8"/>
      <c r="J885" s="8"/>
      <c r="K885" s="8"/>
    </row>
    <row r="886" spans="2:11" ht="15.75" customHeight="1" x14ac:dyDescent="0.25">
      <c r="B886" s="5"/>
      <c r="C886" s="16"/>
      <c r="D886" s="5"/>
      <c r="E886" s="5"/>
      <c r="F886" s="5"/>
      <c r="G886" s="5"/>
      <c r="H886" s="8"/>
      <c r="I886" s="8"/>
      <c r="J886" s="8"/>
      <c r="K886" s="8"/>
    </row>
    <row r="887" spans="2:11" ht="15.75" customHeight="1" x14ac:dyDescent="0.25">
      <c r="B887" s="5"/>
      <c r="C887" s="16"/>
      <c r="D887" s="5"/>
      <c r="E887" s="5"/>
      <c r="F887" s="5"/>
      <c r="G887" s="5"/>
      <c r="H887" s="8"/>
      <c r="I887" s="8"/>
      <c r="J887" s="8"/>
      <c r="K887" s="8"/>
    </row>
    <row r="888" spans="2:11" ht="15.75" customHeight="1" x14ac:dyDescent="0.25">
      <c r="B888" s="5"/>
      <c r="C888" s="16"/>
      <c r="D888" s="5"/>
      <c r="E888" s="5"/>
      <c r="F888" s="5"/>
      <c r="G888" s="5"/>
      <c r="H888" s="8"/>
      <c r="I888" s="8"/>
      <c r="J888" s="8"/>
      <c r="K888" s="8"/>
    </row>
    <row r="889" spans="2:11" ht="15.75" customHeight="1" x14ac:dyDescent="0.25">
      <c r="B889" s="5"/>
      <c r="C889" s="16"/>
      <c r="D889" s="5"/>
      <c r="E889" s="5"/>
      <c r="F889" s="5"/>
      <c r="G889" s="5"/>
      <c r="H889" s="8"/>
      <c r="I889" s="8"/>
      <c r="J889" s="8"/>
      <c r="K889" s="8"/>
    </row>
    <row r="890" spans="2:11" ht="15.75" customHeight="1" x14ac:dyDescent="0.25">
      <c r="B890" s="5"/>
      <c r="C890" s="16"/>
      <c r="D890" s="5"/>
      <c r="E890" s="5"/>
      <c r="F890" s="5"/>
      <c r="G890" s="5"/>
      <c r="H890" s="8"/>
      <c r="I890" s="8"/>
      <c r="J890" s="8"/>
      <c r="K890" s="8"/>
    </row>
    <row r="891" spans="2:11" ht="15.75" customHeight="1" x14ac:dyDescent="0.25"/>
    <row r="892" spans="2:11" ht="15.75" customHeight="1" x14ac:dyDescent="0.25"/>
    <row r="893" spans="2:11" ht="15.75" customHeight="1" x14ac:dyDescent="0.25"/>
    <row r="894" spans="2:11" ht="15.75" customHeight="1" x14ac:dyDescent="0.25"/>
    <row r="895" spans="2:11" ht="15.75" customHeight="1" x14ac:dyDescent="0.25"/>
    <row r="896" spans="2:11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  <row r="1139" ht="15.75" customHeight="1" x14ac:dyDescent="0.25"/>
    <row r="1140" ht="15.7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5.75" customHeight="1" x14ac:dyDescent="0.25"/>
    <row r="1145" ht="15.75" customHeight="1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  <row r="1159" ht="15.75" customHeight="1" x14ac:dyDescent="0.25"/>
    <row r="1160" ht="15.75" customHeight="1" x14ac:dyDescent="0.25"/>
    <row r="1161" ht="15.75" customHeight="1" x14ac:dyDescent="0.25"/>
    <row r="1162" ht="15.7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5.75" customHeight="1" x14ac:dyDescent="0.25"/>
    <row r="1199" ht="15.75" customHeight="1" x14ac:dyDescent="0.25"/>
    <row r="1200" ht="15.75" customHeight="1" x14ac:dyDescent="0.25"/>
    <row r="1201" ht="15.75" customHeight="1" x14ac:dyDescent="0.25"/>
    <row r="1202" ht="15.75" customHeight="1" x14ac:dyDescent="0.25"/>
    <row r="1203" ht="15.75" customHeight="1" x14ac:dyDescent="0.25"/>
    <row r="1204" ht="15.75" customHeight="1" x14ac:dyDescent="0.25"/>
    <row r="1205" ht="15.7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5.75" customHeight="1" x14ac:dyDescent="0.25"/>
    <row r="1210" ht="15.75" customHeight="1" x14ac:dyDescent="0.25"/>
    <row r="1211" ht="15.75" customHeight="1" x14ac:dyDescent="0.25"/>
    <row r="1212" ht="15.75" customHeight="1" x14ac:dyDescent="0.25"/>
    <row r="1213" ht="15.75" customHeight="1" x14ac:dyDescent="0.25"/>
    <row r="1214" ht="15.75" customHeight="1" x14ac:dyDescent="0.25"/>
    <row r="1215" ht="15.75" customHeight="1" x14ac:dyDescent="0.25"/>
    <row r="1216" ht="15.7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5.75" customHeight="1" x14ac:dyDescent="0.25"/>
    <row r="1221" ht="15.75" customHeight="1" x14ac:dyDescent="0.25"/>
    <row r="1222" ht="15.75" customHeight="1" x14ac:dyDescent="0.25"/>
    <row r="1223" ht="15.75" customHeight="1" x14ac:dyDescent="0.25"/>
    <row r="1224" ht="15.75" customHeight="1" x14ac:dyDescent="0.25"/>
    <row r="1225" ht="15.75" customHeight="1" x14ac:dyDescent="0.25"/>
    <row r="1226" ht="15.75" customHeight="1" x14ac:dyDescent="0.25"/>
    <row r="1227" ht="15.7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5.75" customHeight="1" x14ac:dyDescent="0.25"/>
    <row r="1264" ht="15.75" customHeight="1" x14ac:dyDescent="0.25"/>
    <row r="1265" ht="15.75" customHeight="1" x14ac:dyDescent="0.25"/>
    <row r="1266" ht="15.75" customHeight="1" x14ac:dyDescent="0.25"/>
    <row r="1267" ht="15.75" customHeight="1" x14ac:dyDescent="0.25"/>
    <row r="1268" ht="15.75" customHeight="1" x14ac:dyDescent="0.25"/>
    <row r="1269" ht="15.75" customHeight="1" x14ac:dyDescent="0.25"/>
    <row r="1270" ht="15.7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5.75" customHeight="1" x14ac:dyDescent="0.25"/>
    <row r="1275" ht="15.75" customHeight="1" x14ac:dyDescent="0.25"/>
    <row r="1276" ht="15.75" customHeight="1" x14ac:dyDescent="0.25"/>
    <row r="1277" ht="15.75" customHeight="1" x14ac:dyDescent="0.25"/>
    <row r="1278" ht="15.75" customHeight="1" x14ac:dyDescent="0.25"/>
    <row r="1279" ht="15.75" customHeight="1" x14ac:dyDescent="0.25"/>
    <row r="1280" ht="15.75" customHeight="1" x14ac:dyDescent="0.25"/>
    <row r="1281" ht="15.7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5.75" customHeight="1" x14ac:dyDescent="0.25"/>
    <row r="1286" ht="15.75" customHeight="1" x14ac:dyDescent="0.25"/>
    <row r="1287" ht="15.75" customHeight="1" x14ac:dyDescent="0.25"/>
    <row r="1288" ht="15.75" customHeight="1" x14ac:dyDescent="0.25"/>
    <row r="1289" ht="15.75" customHeight="1" x14ac:dyDescent="0.25"/>
    <row r="1290" ht="15.75" customHeight="1" x14ac:dyDescent="0.25"/>
    <row r="1291" ht="15.75" customHeight="1" x14ac:dyDescent="0.25"/>
    <row r="1292" ht="15.7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  <row r="1306" ht="15.75" customHeight="1" x14ac:dyDescent="0.25"/>
    <row r="1307" ht="15.75" customHeight="1" x14ac:dyDescent="0.25"/>
    <row r="1308" ht="15.75" customHeight="1" x14ac:dyDescent="0.25"/>
    <row r="1309" ht="15.75" customHeight="1" x14ac:dyDescent="0.25"/>
    <row r="1310" ht="15.75" customHeight="1" x14ac:dyDescent="0.25"/>
    <row r="1311" ht="15.75" customHeight="1" x14ac:dyDescent="0.25"/>
    <row r="1312" ht="15.75" customHeight="1" x14ac:dyDescent="0.25"/>
    <row r="1313" ht="15.75" customHeight="1" x14ac:dyDescent="0.25"/>
    <row r="1314" ht="15.75" customHeight="1" x14ac:dyDescent="0.25"/>
    <row r="1315" ht="15.75" customHeight="1" x14ac:dyDescent="0.25"/>
    <row r="1316" ht="15.75" customHeight="1" x14ac:dyDescent="0.25"/>
    <row r="1317" ht="15.75" customHeight="1" x14ac:dyDescent="0.25"/>
    <row r="1318" ht="15.75" customHeight="1" x14ac:dyDescent="0.25"/>
    <row r="1319" ht="15.75" customHeight="1" x14ac:dyDescent="0.25"/>
    <row r="1320" ht="15.75" customHeight="1" x14ac:dyDescent="0.25"/>
    <row r="1321" ht="15.75" customHeight="1" x14ac:dyDescent="0.25"/>
    <row r="1322" ht="15.75" customHeight="1" x14ac:dyDescent="0.25"/>
    <row r="1323" ht="15.75" customHeight="1" x14ac:dyDescent="0.25"/>
    <row r="1324" ht="15.75" customHeight="1" x14ac:dyDescent="0.25"/>
    <row r="1325" ht="15.75" customHeight="1" x14ac:dyDescent="0.25"/>
    <row r="1326" ht="15.75" customHeight="1" x14ac:dyDescent="0.25"/>
    <row r="1327" ht="15.75" customHeight="1" x14ac:dyDescent="0.25"/>
    <row r="1328" ht="15.75" customHeight="1" x14ac:dyDescent="0.25"/>
    <row r="1329" ht="15.75" customHeight="1" x14ac:dyDescent="0.25"/>
    <row r="1330" ht="15.75" customHeight="1" x14ac:dyDescent="0.25"/>
    <row r="1331" ht="15.75" customHeight="1" x14ac:dyDescent="0.25"/>
    <row r="1332" ht="15.75" customHeight="1" x14ac:dyDescent="0.25"/>
    <row r="1333" ht="15.75" customHeight="1" x14ac:dyDescent="0.25"/>
    <row r="1334" ht="15.75" customHeight="1" x14ac:dyDescent="0.25"/>
    <row r="1335" ht="15.75" customHeight="1" x14ac:dyDescent="0.25"/>
    <row r="1336" ht="15.75" customHeight="1" x14ac:dyDescent="0.25"/>
    <row r="1337" ht="15.75" customHeight="1" x14ac:dyDescent="0.25"/>
    <row r="1338" ht="15.75" customHeight="1" x14ac:dyDescent="0.25"/>
    <row r="1339" ht="15.75" customHeight="1" x14ac:dyDescent="0.25"/>
    <row r="1340" ht="15.75" customHeight="1" x14ac:dyDescent="0.25"/>
    <row r="1341" ht="15.75" customHeight="1" x14ac:dyDescent="0.25"/>
    <row r="1342" ht="15.75" customHeight="1" x14ac:dyDescent="0.25"/>
    <row r="1343" ht="15.75" customHeight="1" x14ac:dyDescent="0.25"/>
    <row r="1344" ht="15.75" customHeight="1" x14ac:dyDescent="0.25"/>
    <row r="1345" ht="15.75" customHeight="1" x14ac:dyDescent="0.25"/>
    <row r="1346" ht="15.75" customHeight="1" x14ac:dyDescent="0.25"/>
    <row r="1347" ht="15.75" customHeight="1" x14ac:dyDescent="0.25"/>
    <row r="1348" ht="15.75" customHeight="1" x14ac:dyDescent="0.25"/>
    <row r="1349" ht="15.75" customHeight="1" x14ac:dyDescent="0.25"/>
    <row r="1350" ht="15.75" customHeight="1" x14ac:dyDescent="0.25"/>
    <row r="1351" ht="15.75" customHeight="1" x14ac:dyDescent="0.25"/>
    <row r="1352" ht="15.75" customHeight="1" x14ac:dyDescent="0.25"/>
    <row r="1353" ht="15.75" customHeight="1" x14ac:dyDescent="0.25"/>
    <row r="1354" ht="15.75" customHeight="1" x14ac:dyDescent="0.25"/>
    <row r="1355" ht="15.75" customHeight="1" x14ac:dyDescent="0.25"/>
    <row r="1356" ht="15.75" customHeight="1" x14ac:dyDescent="0.25"/>
    <row r="1357" ht="15.75" customHeight="1" x14ac:dyDescent="0.25"/>
    <row r="1358" ht="15.75" customHeight="1" x14ac:dyDescent="0.25"/>
    <row r="1359" ht="15.75" customHeight="1" x14ac:dyDescent="0.25"/>
    <row r="1360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</sheetData>
  <autoFilter ref="A1:M170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2"/>
  <sheetViews>
    <sheetView workbookViewId="0"/>
  </sheetViews>
  <sheetFormatPr defaultColWidth="12.6640625" defaultRowHeight="15" customHeight="1" x14ac:dyDescent="0.25"/>
  <cols>
    <col min="1" max="1" width="7.6640625" customWidth="1"/>
    <col min="2" max="2" width="27.21875" customWidth="1"/>
    <col min="3" max="6" width="7.6640625" customWidth="1"/>
  </cols>
  <sheetData>
    <row r="1" spans="1:2" ht="12.75" customHeight="1" x14ac:dyDescent="0.25">
      <c r="A1" s="8" t="s">
        <v>80</v>
      </c>
      <c r="B1" s="8"/>
    </row>
    <row r="2" spans="1:2" ht="12.75" customHeight="1" x14ac:dyDescent="0.25">
      <c r="A2" s="8" t="s">
        <v>35</v>
      </c>
      <c r="B2" s="8" t="s">
        <v>81</v>
      </c>
    </row>
    <row r="3" spans="1:2" ht="12.75" customHeight="1" x14ac:dyDescent="0.25">
      <c r="A3" s="8" t="s">
        <v>67</v>
      </c>
      <c r="B3" s="8" t="s">
        <v>82</v>
      </c>
    </row>
    <row r="4" spans="1:2" ht="12.75" customHeight="1" x14ac:dyDescent="0.25">
      <c r="A4" s="8" t="s">
        <v>83</v>
      </c>
      <c r="B4" s="8" t="s">
        <v>84</v>
      </c>
    </row>
    <row r="5" spans="1:2" ht="12.75" customHeight="1" x14ac:dyDescent="0.25">
      <c r="A5" s="8" t="s">
        <v>33</v>
      </c>
      <c r="B5" s="8" t="s">
        <v>85</v>
      </c>
    </row>
    <row r="6" spans="1:2" ht="12.75" customHeight="1" x14ac:dyDescent="0.25">
      <c r="A6" s="8" t="s">
        <v>56</v>
      </c>
      <c r="B6" s="8" t="s">
        <v>86</v>
      </c>
    </row>
    <row r="7" spans="1:2" ht="12.75" customHeight="1" x14ac:dyDescent="0.25">
      <c r="A7" s="8" t="s">
        <v>87</v>
      </c>
      <c r="B7" s="8" t="s">
        <v>88</v>
      </c>
    </row>
    <row r="8" spans="1:2" ht="12.75" customHeight="1" x14ac:dyDescent="0.25">
      <c r="A8" s="8" t="s">
        <v>27</v>
      </c>
      <c r="B8" s="8" t="s">
        <v>89</v>
      </c>
    </row>
    <row r="9" spans="1:2" ht="12.75" customHeight="1" x14ac:dyDescent="0.25">
      <c r="A9" s="8" t="s">
        <v>44</v>
      </c>
      <c r="B9" s="8" t="s">
        <v>90</v>
      </c>
    </row>
    <row r="10" spans="1:2" ht="12.75" customHeight="1" x14ac:dyDescent="0.25">
      <c r="A10" s="8" t="s">
        <v>91</v>
      </c>
      <c r="B10" s="8" t="s">
        <v>92</v>
      </c>
    </row>
    <row r="11" spans="1:2" ht="12.75" customHeight="1" x14ac:dyDescent="0.25">
      <c r="A11" s="8" t="s">
        <v>29</v>
      </c>
      <c r="B11" s="8" t="s">
        <v>93</v>
      </c>
    </row>
    <row r="12" spans="1:2" ht="12.75" customHeight="1" x14ac:dyDescent="0.25">
      <c r="A12" s="8" t="s">
        <v>61</v>
      </c>
      <c r="B12" s="8" t="s">
        <v>94</v>
      </c>
    </row>
    <row r="13" spans="1:2" ht="12.75" customHeight="1" x14ac:dyDescent="0.25">
      <c r="A13" s="8" t="s">
        <v>32</v>
      </c>
      <c r="B13" s="8" t="s">
        <v>95</v>
      </c>
    </row>
    <row r="14" spans="1:2" ht="12.75" customHeight="1" x14ac:dyDescent="0.25">
      <c r="A14" s="8" t="s">
        <v>58</v>
      </c>
      <c r="B14" s="8" t="s">
        <v>96</v>
      </c>
    </row>
    <row r="15" spans="1:2" ht="12.75" customHeight="1" x14ac:dyDescent="0.25">
      <c r="A15" s="8" t="s">
        <v>28</v>
      </c>
      <c r="B15" s="8" t="s">
        <v>97</v>
      </c>
    </row>
    <row r="16" spans="1:2" ht="12.75" customHeight="1" x14ac:dyDescent="0.25">
      <c r="A16" s="8" t="s">
        <v>49</v>
      </c>
      <c r="B16" s="8" t="s">
        <v>98</v>
      </c>
    </row>
    <row r="17" spans="1:2" ht="12.75" customHeight="1" x14ac:dyDescent="0.25">
      <c r="A17" s="8" t="s">
        <v>99</v>
      </c>
      <c r="B17" s="8" t="s">
        <v>100</v>
      </c>
    </row>
    <row r="18" spans="1:2" ht="12.75" customHeight="1" x14ac:dyDescent="0.25"/>
    <row r="19" spans="1:2" ht="12.75" customHeight="1" x14ac:dyDescent="0.25"/>
    <row r="20" spans="1:2" ht="12.75" customHeight="1" x14ac:dyDescent="0.25"/>
    <row r="21" spans="1:2" ht="12.75" customHeight="1" x14ac:dyDescent="0.25"/>
    <row r="22" spans="1:2" ht="12.75" customHeight="1" x14ac:dyDescent="0.25"/>
    <row r="23" spans="1:2" ht="12.75" customHeight="1" x14ac:dyDescent="0.25"/>
    <row r="24" spans="1:2" ht="12.75" customHeight="1" x14ac:dyDescent="0.25"/>
    <row r="25" spans="1:2" ht="12.75" customHeight="1" x14ac:dyDescent="0.25"/>
    <row r="26" spans="1:2" ht="12.75" customHeight="1" x14ac:dyDescent="0.25"/>
    <row r="27" spans="1:2" ht="12.75" customHeight="1" x14ac:dyDescent="0.25"/>
    <row r="28" spans="1:2" ht="12.75" customHeight="1" x14ac:dyDescent="0.25"/>
    <row r="29" spans="1:2" ht="12.75" customHeight="1" x14ac:dyDescent="0.25"/>
    <row r="30" spans="1:2" ht="12.75" customHeight="1" x14ac:dyDescent="0.25"/>
    <row r="31" spans="1:2" ht="12.75" customHeight="1" x14ac:dyDescent="0.25"/>
    <row r="32" spans="1: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60"/>
  <sheetViews>
    <sheetView workbookViewId="0"/>
  </sheetViews>
  <sheetFormatPr defaultColWidth="12.6640625" defaultRowHeight="15" customHeight="1" x14ac:dyDescent="0.25"/>
  <sheetData>
    <row r="1" spans="1:6" ht="15" customHeight="1" x14ac:dyDescent="0.3">
      <c r="A1" s="20" t="s">
        <v>101</v>
      </c>
      <c r="B1" s="20" t="s">
        <v>102</v>
      </c>
      <c r="C1" s="21" t="s">
        <v>103</v>
      </c>
      <c r="D1" s="20" t="s">
        <v>104</v>
      </c>
      <c r="E1" s="22" t="s">
        <v>105</v>
      </c>
      <c r="F1" s="20" t="s">
        <v>106</v>
      </c>
    </row>
    <row r="2" spans="1:6" ht="14.4" x14ac:dyDescent="0.25">
      <c r="A2" s="23" t="s">
        <v>107</v>
      </c>
      <c r="B2" s="23" t="s">
        <v>107</v>
      </c>
      <c r="C2" s="24" t="s">
        <v>107</v>
      </c>
      <c r="D2" s="23" t="s">
        <v>107</v>
      </c>
      <c r="E2" s="25" t="s">
        <v>107</v>
      </c>
      <c r="F2" s="23" t="s">
        <v>107</v>
      </c>
    </row>
    <row r="3" spans="1:6" ht="27.6" x14ac:dyDescent="0.25">
      <c r="A3" s="26" t="s">
        <v>108</v>
      </c>
      <c r="B3" s="26" t="s">
        <v>109</v>
      </c>
      <c r="C3" s="27" t="s">
        <v>110</v>
      </c>
      <c r="D3" s="26" t="s">
        <v>111</v>
      </c>
      <c r="E3" s="27" t="s">
        <v>107</v>
      </c>
      <c r="F3" s="26" t="s">
        <v>112</v>
      </c>
    </row>
    <row r="4" spans="1:6" ht="41.4" x14ac:dyDescent="0.25">
      <c r="A4" s="26" t="s">
        <v>113</v>
      </c>
      <c r="B4" s="26" t="s">
        <v>114</v>
      </c>
      <c r="C4" s="27" t="s">
        <v>110</v>
      </c>
      <c r="D4" s="26" t="s">
        <v>115</v>
      </c>
      <c r="E4" s="27" t="s">
        <v>116</v>
      </c>
      <c r="F4" s="26" t="s">
        <v>117</v>
      </c>
    </row>
    <row r="5" spans="1:6" ht="41.4" x14ac:dyDescent="0.25">
      <c r="A5" s="26" t="s">
        <v>118</v>
      </c>
      <c r="B5" s="26" t="s">
        <v>119</v>
      </c>
      <c r="C5" s="27" t="s">
        <v>110</v>
      </c>
      <c r="D5" s="26" t="s">
        <v>120</v>
      </c>
      <c r="E5" s="27" t="s">
        <v>121</v>
      </c>
      <c r="F5" s="26" t="s">
        <v>117</v>
      </c>
    </row>
    <row r="6" spans="1:6" ht="27.6" x14ac:dyDescent="0.25">
      <c r="A6" s="26" t="s">
        <v>122</v>
      </c>
      <c r="B6" s="26" t="s">
        <v>123</v>
      </c>
      <c r="C6" s="27" t="s">
        <v>110</v>
      </c>
      <c r="D6" s="26" t="s">
        <v>124</v>
      </c>
      <c r="E6" s="27" t="s">
        <v>125</v>
      </c>
      <c r="F6" s="26" t="s">
        <v>117</v>
      </c>
    </row>
    <row r="7" spans="1:6" ht="41.4" x14ac:dyDescent="0.25">
      <c r="A7" s="26" t="s">
        <v>126</v>
      </c>
      <c r="B7" s="26" t="s">
        <v>127</v>
      </c>
      <c r="C7" s="27" t="s">
        <v>110</v>
      </c>
      <c r="D7" s="26" t="s">
        <v>128</v>
      </c>
      <c r="E7" s="27" t="s">
        <v>129</v>
      </c>
      <c r="F7" s="26" t="s">
        <v>117</v>
      </c>
    </row>
    <row r="8" spans="1:6" ht="27.6" x14ac:dyDescent="0.25">
      <c r="A8" s="26" t="s">
        <v>130</v>
      </c>
      <c r="B8" s="26" t="s">
        <v>131</v>
      </c>
      <c r="C8" s="27" t="s">
        <v>110</v>
      </c>
      <c r="D8" s="26" t="s">
        <v>132</v>
      </c>
      <c r="E8" s="28"/>
      <c r="F8" s="26" t="s">
        <v>117</v>
      </c>
    </row>
    <row r="9" spans="1:6" ht="27.6" x14ac:dyDescent="0.25">
      <c r="A9" s="26" t="s">
        <v>133</v>
      </c>
      <c r="B9" s="26" t="s">
        <v>134</v>
      </c>
      <c r="C9" s="27" t="s">
        <v>110</v>
      </c>
      <c r="D9" s="26" t="s">
        <v>135</v>
      </c>
      <c r="E9" s="27" t="s">
        <v>107</v>
      </c>
      <c r="F9" s="26" t="s">
        <v>117</v>
      </c>
    </row>
    <row r="10" spans="1:6" ht="27.6" x14ac:dyDescent="0.25">
      <c r="A10" s="26" t="s">
        <v>136</v>
      </c>
      <c r="B10" s="26" t="s">
        <v>137</v>
      </c>
      <c r="C10" s="27" t="s">
        <v>110</v>
      </c>
      <c r="D10" s="26" t="s">
        <v>138</v>
      </c>
      <c r="E10" s="27" t="s">
        <v>139</v>
      </c>
      <c r="F10" s="26" t="s">
        <v>117</v>
      </c>
    </row>
    <row r="11" spans="1:6" ht="27.6" x14ac:dyDescent="0.25">
      <c r="A11" s="26" t="s">
        <v>140</v>
      </c>
      <c r="B11" s="26" t="s">
        <v>141</v>
      </c>
      <c r="C11" s="27" t="s">
        <v>110</v>
      </c>
      <c r="D11" s="28"/>
      <c r="E11" s="28"/>
      <c r="F11" s="26" t="s">
        <v>117</v>
      </c>
    </row>
    <row r="12" spans="1:6" ht="27.6" x14ac:dyDescent="0.25">
      <c r="A12" s="26" t="s">
        <v>142</v>
      </c>
      <c r="B12" s="26" t="s">
        <v>143</v>
      </c>
      <c r="C12" s="27" t="s">
        <v>110</v>
      </c>
      <c r="D12" s="26" t="s">
        <v>144</v>
      </c>
      <c r="E12" s="27" t="s">
        <v>107</v>
      </c>
      <c r="F12" s="26" t="s">
        <v>112</v>
      </c>
    </row>
    <row r="13" spans="1:6" ht="27.6" x14ac:dyDescent="0.25">
      <c r="A13" s="26" t="s">
        <v>145</v>
      </c>
      <c r="B13" s="26" t="s">
        <v>146</v>
      </c>
      <c r="C13" s="27" t="s">
        <v>110</v>
      </c>
      <c r="D13" s="26" t="s">
        <v>147</v>
      </c>
      <c r="E13" s="27" t="s">
        <v>107</v>
      </c>
      <c r="F13" s="26" t="s">
        <v>148</v>
      </c>
    </row>
    <row r="14" spans="1:6" ht="41.4" x14ac:dyDescent="0.25">
      <c r="A14" s="26" t="s">
        <v>149</v>
      </c>
      <c r="B14" s="26" t="s">
        <v>150</v>
      </c>
      <c r="C14" s="27" t="s">
        <v>110</v>
      </c>
      <c r="D14" s="26" t="s">
        <v>151</v>
      </c>
      <c r="E14" s="28"/>
      <c r="F14" s="26" t="s">
        <v>112</v>
      </c>
    </row>
    <row r="15" spans="1:6" ht="27.6" x14ac:dyDescent="0.25">
      <c r="A15" s="26" t="s">
        <v>152</v>
      </c>
      <c r="B15" s="26" t="s">
        <v>153</v>
      </c>
      <c r="C15" s="27" t="s">
        <v>110</v>
      </c>
      <c r="D15" s="28"/>
      <c r="E15" s="28"/>
      <c r="F15" s="26" t="s">
        <v>112</v>
      </c>
    </row>
    <row r="16" spans="1:6" ht="27.6" x14ac:dyDescent="0.25">
      <c r="A16" s="26" t="s">
        <v>154</v>
      </c>
      <c r="B16" s="26" t="s">
        <v>155</v>
      </c>
      <c r="C16" s="27" t="s">
        <v>110</v>
      </c>
      <c r="D16" s="26" t="s">
        <v>156</v>
      </c>
      <c r="E16" s="27" t="s">
        <v>107</v>
      </c>
      <c r="F16" s="26" t="s">
        <v>157</v>
      </c>
    </row>
    <row r="17" spans="1:6" ht="27.6" x14ac:dyDescent="0.25">
      <c r="A17" s="26" t="s">
        <v>158</v>
      </c>
      <c r="B17" s="26" t="s">
        <v>159</v>
      </c>
      <c r="C17" s="27" t="s">
        <v>110</v>
      </c>
      <c r="D17" s="26" t="s">
        <v>160</v>
      </c>
      <c r="E17" s="28"/>
      <c r="F17" s="26" t="s">
        <v>161</v>
      </c>
    </row>
    <row r="18" spans="1:6" ht="27.6" x14ac:dyDescent="0.25">
      <c r="A18" s="26" t="s">
        <v>162</v>
      </c>
      <c r="B18" s="26" t="s">
        <v>163</v>
      </c>
      <c r="C18" s="27" t="s">
        <v>110</v>
      </c>
      <c r="D18" s="26" t="s">
        <v>164</v>
      </c>
      <c r="E18" s="28"/>
      <c r="F18" s="26" t="s">
        <v>165</v>
      </c>
    </row>
    <row r="19" spans="1:6" ht="27.6" x14ac:dyDescent="0.25">
      <c r="A19" s="26" t="s">
        <v>166</v>
      </c>
      <c r="B19" s="26" t="s">
        <v>167</v>
      </c>
      <c r="C19" s="27" t="s">
        <v>110</v>
      </c>
      <c r="D19" s="26" t="s">
        <v>160</v>
      </c>
      <c r="E19" s="28"/>
      <c r="F19" s="26" t="s">
        <v>161</v>
      </c>
    </row>
    <row r="20" spans="1:6" ht="13.8" x14ac:dyDescent="0.25">
      <c r="A20" s="26" t="s">
        <v>168</v>
      </c>
      <c r="B20" s="26" t="s">
        <v>169</v>
      </c>
      <c r="C20" s="27" t="s">
        <v>110</v>
      </c>
      <c r="D20" s="26" t="s">
        <v>160</v>
      </c>
      <c r="E20" s="28"/>
      <c r="F20" s="26" t="s">
        <v>161</v>
      </c>
    </row>
    <row r="21" spans="1:6" ht="13.8" x14ac:dyDescent="0.25">
      <c r="A21" s="26" t="s">
        <v>170</v>
      </c>
      <c r="B21" s="26" t="s">
        <v>171</v>
      </c>
      <c r="C21" s="27" t="s">
        <v>110</v>
      </c>
      <c r="D21" s="26" t="s">
        <v>160</v>
      </c>
      <c r="E21" s="28"/>
      <c r="F21" s="26" t="s">
        <v>161</v>
      </c>
    </row>
    <row r="22" spans="1:6" ht="27.6" x14ac:dyDescent="0.25">
      <c r="A22" s="23" t="s">
        <v>80</v>
      </c>
      <c r="B22" s="23" t="s">
        <v>172</v>
      </c>
      <c r="C22" s="25" t="s">
        <v>173</v>
      </c>
      <c r="D22" s="23" t="s">
        <v>174</v>
      </c>
      <c r="E22" s="25" t="s">
        <v>107</v>
      </c>
      <c r="F22" s="23" t="s">
        <v>175</v>
      </c>
    </row>
    <row r="23" spans="1:6" ht="27.6" x14ac:dyDescent="0.25">
      <c r="A23" s="26" t="s">
        <v>176</v>
      </c>
      <c r="B23" s="26" t="s">
        <v>177</v>
      </c>
      <c r="C23" s="27" t="s">
        <v>110</v>
      </c>
      <c r="D23" s="26" t="s">
        <v>178</v>
      </c>
      <c r="E23" s="27" t="s">
        <v>107</v>
      </c>
      <c r="F23" s="26" t="s">
        <v>112</v>
      </c>
    </row>
    <row r="24" spans="1:6" ht="41.4" x14ac:dyDescent="0.25">
      <c r="A24" s="26" t="s">
        <v>179</v>
      </c>
      <c r="B24" s="26" t="s">
        <v>180</v>
      </c>
      <c r="C24" s="27" t="s">
        <v>110</v>
      </c>
      <c r="D24" s="26" t="s">
        <v>181</v>
      </c>
      <c r="E24" s="28"/>
      <c r="F24" s="26" t="s">
        <v>112</v>
      </c>
    </row>
    <row r="25" spans="1:6" ht="27.6" x14ac:dyDescent="0.25">
      <c r="A25" s="26" t="s">
        <v>182</v>
      </c>
      <c r="B25" s="26" t="s">
        <v>183</v>
      </c>
      <c r="C25" s="27" t="s">
        <v>110</v>
      </c>
      <c r="D25" s="26" t="s">
        <v>178</v>
      </c>
      <c r="E25" s="27" t="s">
        <v>107</v>
      </c>
      <c r="F25" s="26" t="s">
        <v>112</v>
      </c>
    </row>
    <row r="26" spans="1:6" ht="27.6" x14ac:dyDescent="0.25">
      <c r="A26" s="26" t="s">
        <v>184</v>
      </c>
      <c r="B26" s="26" t="s">
        <v>185</v>
      </c>
      <c r="C26" s="27" t="s">
        <v>110</v>
      </c>
      <c r="D26" s="26" t="s">
        <v>186</v>
      </c>
      <c r="E26" s="27" t="s">
        <v>107</v>
      </c>
      <c r="F26" s="26" t="s">
        <v>117</v>
      </c>
    </row>
    <row r="27" spans="1:6" ht="27.6" x14ac:dyDescent="0.25">
      <c r="A27" s="26" t="s">
        <v>187</v>
      </c>
      <c r="B27" s="26" t="s">
        <v>188</v>
      </c>
      <c r="C27" s="27" t="s">
        <v>110</v>
      </c>
      <c r="D27" s="26" t="s">
        <v>189</v>
      </c>
      <c r="E27" s="27" t="s">
        <v>107</v>
      </c>
      <c r="F27" s="26" t="s">
        <v>117</v>
      </c>
    </row>
    <row r="28" spans="1:6" ht="27.6" x14ac:dyDescent="0.25">
      <c r="A28" s="26" t="s">
        <v>190</v>
      </c>
      <c r="B28" s="26" t="s">
        <v>191</v>
      </c>
      <c r="C28" s="27" t="s">
        <v>110</v>
      </c>
      <c r="D28" s="26" t="s">
        <v>192</v>
      </c>
      <c r="E28" s="27" t="s">
        <v>107</v>
      </c>
      <c r="F28" s="26" t="s">
        <v>193</v>
      </c>
    </row>
    <row r="29" spans="1:6" ht="27.6" x14ac:dyDescent="0.25">
      <c r="A29" s="26" t="s">
        <v>194</v>
      </c>
      <c r="B29" s="26" t="s">
        <v>195</v>
      </c>
      <c r="C29" s="27" t="s">
        <v>110</v>
      </c>
      <c r="D29" s="26" t="s">
        <v>196</v>
      </c>
      <c r="E29" s="27" t="s">
        <v>107</v>
      </c>
      <c r="F29" s="26" t="s">
        <v>193</v>
      </c>
    </row>
    <row r="30" spans="1:6" ht="27.6" x14ac:dyDescent="0.25">
      <c r="A30" s="26" t="s">
        <v>197</v>
      </c>
      <c r="B30" s="26" t="s">
        <v>198</v>
      </c>
      <c r="C30" s="27" t="s">
        <v>110</v>
      </c>
      <c r="D30" s="26" t="s">
        <v>199</v>
      </c>
      <c r="E30" s="28"/>
      <c r="F30" s="26" t="s">
        <v>193</v>
      </c>
    </row>
    <row r="31" spans="1:6" ht="27.6" x14ac:dyDescent="0.25">
      <c r="A31" s="23" t="s">
        <v>47</v>
      </c>
      <c r="B31" s="23" t="s">
        <v>200</v>
      </c>
      <c r="C31" s="25" t="s">
        <v>173</v>
      </c>
      <c r="D31" s="23" t="s">
        <v>201</v>
      </c>
      <c r="E31" s="25" t="s">
        <v>107</v>
      </c>
      <c r="F31" s="23" t="s">
        <v>202</v>
      </c>
    </row>
    <row r="32" spans="1:6" ht="27.6" x14ac:dyDescent="0.25">
      <c r="A32" s="26" t="s">
        <v>203</v>
      </c>
      <c r="B32" s="26" t="s">
        <v>204</v>
      </c>
      <c r="C32" s="27" t="s">
        <v>110</v>
      </c>
      <c r="D32" s="26" t="s">
        <v>205</v>
      </c>
      <c r="E32" s="27" t="s">
        <v>107</v>
      </c>
      <c r="F32" s="26" t="s">
        <v>206</v>
      </c>
    </row>
    <row r="33" spans="1:6" ht="27.6" x14ac:dyDescent="0.25">
      <c r="A33" s="23" t="s">
        <v>207</v>
      </c>
      <c r="B33" s="23" t="s">
        <v>208</v>
      </c>
      <c r="C33" s="25" t="s">
        <v>173</v>
      </c>
      <c r="D33" s="23" t="s">
        <v>209</v>
      </c>
      <c r="E33" s="25" t="s">
        <v>107</v>
      </c>
      <c r="F33" s="23" t="s">
        <v>210</v>
      </c>
    </row>
    <row r="34" spans="1:6" ht="27.6" x14ac:dyDescent="0.25">
      <c r="A34" s="26" t="s">
        <v>211</v>
      </c>
      <c r="B34" s="26" t="s">
        <v>212</v>
      </c>
      <c r="C34" s="27" t="s">
        <v>110</v>
      </c>
      <c r="D34" s="26" t="s">
        <v>213</v>
      </c>
      <c r="E34" s="27" t="s">
        <v>107</v>
      </c>
      <c r="F34" s="26" t="s">
        <v>214</v>
      </c>
    </row>
    <row r="35" spans="1:6" ht="27.6" x14ac:dyDescent="0.25">
      <c r="A35" s="26" t="s">
        <v>215</v>
      </c>
      <c r="B35" s="26" t="s">
        <v>216</v>
      </c>
      <c r="C35" s="27" t="s">
        <v>110</v>
      </c>
      <c r="D35" s="26" t="s">
        <v>217</v>
      </c>
      <c r="E35" s="27" t="s">
        <v>107</v>
      </c>
      <c r="F35" s="26" t="s">
        <v>214</v>
      </c>
    </row>
    <row r="36" spans="1:6" ht="27.6" x14ac:dyDescent="0.25">
      <c r="A36" s="26" t="s">
        <v>218</v>
      </c>
      <c r="B36" s="26" t="s">
        <v>219</v>
      </c>
      <c r="C36" s="27" t="s">
        <v>110</v>
      </c>
      <c r="D36" s="26" t="s">
        <v>220</v>
      </c>
      <c r="E36" s="27" t="s">
        <v>107</v>
      </c>
      <c r="F36" s="26" t="s">
        <v>214</v>
      </c>
    </row>
    <row r="37" spans="1:6" ht="27.6" x14ac:dyDescent="0.25">
      <c r="A37" s="26" t="s">
        <v>221</v>
      </c>
      <c r="B37" s="26" t="s">
        <v>222</v>
      </c>
      <c r="C37" s="27" t="s">
        <v>110</v>
      </c>
      <c r="D37" s="26" t="s">
        <v>223</v>
      </c>
      <c r="E37" s="27" t="s">
        <v>107</v>
      </c>
      <c r="F37" s="26" t="s">
        <v>210</v>
      </c>
    </row>
    <row r="38" spans="1:6" ht="27.6" x14ac:dyDescent="0.25">
      <c r="A38" s="23" t="s">
        <v>224</v>
      </c>
      <c r="B38" s="23" t="s">
        <v>225</v>
      </c>
      <c r="C38" s="25" t="s">
        <v>173</v>
      </c>
      <c r="D38" s="23" t="s">
        <v>226</v>
      </c>
      <c r="E38" s="25" t="s">
        <v>107</v>
      </c>
      <c r="F38" s="23" t="s">
        <v>210</v>
      </c>
    </row>
    <row r="39" spans="1:6" ht="27.6" x14ac:dyDescent="0.25">
      <c r="A39" s="26" t="s">
        <v>227</v>
      </c>
      <c r="B39" s="26" t="s">
        <v>228</v>
      </c>
      <c r="C39" s="27" t="s">
        <v>110</v>
      </c>
      <c r="D39" s="26" t="s">
        <v>229</v>
      </c>
      <c r="E39" s="27" t="s">
        <v>107</v>
      </c>
      <c r="F39" s="26" t="s">
        <v>230</v>
      </c>
    </row>
    <row r="40" spans="1:6" ht="27.6" x14ac:dyDescent="0.25">
      <c r="A40" s="23" t="s">
        <v>231</v>
      </c>
      <c r="B40" s="23" t="s">
        <v>232</v>
      </c>
      <c r="C40" s="25" t="s">
        <v>173</v>
      </c>
      <c r="D40" s="23" t="s">
        <v>233</v>
      </c>
      <c r="E40" s="25" t="s">
        <v>107</v>
      </c>
      <c r="F40" s="23" t="s">
        <v>230</v>
      </c>
    </row>
    <row r="41" spans="1:6" ht="27.6" x14ac:dyDescent="0.25">
      <c r="A41" s="26" t="s">
        <v>234</v>
      </c>
      <c r="B41" s="26" t="s">
        <v>235</v>
      </c>
      <c r="C41" s="27" t="s">
        <v>110</v>
      </c>
      <c r="D41" s="26" t="s">
        <v>236</v>
      </c>
      <c r="E41" s="28"/>
      <c r="F41" s="26" t="s">
        <v>157</v>
      </c>
    </row>
    <row r="42" spans="1:6" ht="27.6" x14ac:dyDescent="0.25">
      <c r="A42" s="26" t="s">
        <v>237</v>
      </c>
      <c r="B42" s="26" t="s">
        <v>238</v>
      </c>
      <c r="C42" s="27" t="s">
        <v>110</v>
      </c>
      <c r="D42" s="26" t="s">
        <v>236</v>
      </c>
      <c r="E42" s="28"/>
      <c r="F42" s="26" t="s">
        <v>157</v>
      </c>
    </row>
    <row r="43" spans="1:6" ht="27.6" x14ac:dyDescent="0.25">
      <c r="A43" s="26" t="s">
        <v>239</v>
      </c>
      <c r="B43" s="26" t="s">
        <v>240</v>
      </c>
      <c r="C43" s="27" t="s">
        <v>110</v>
      </c>
      <c r="D43" s="26" t="s">
        <v>236</v>
      </c>
      <c r="E43" s="28"/>
      <c r="F43" s="26" t="s">
        <v>157</v>
      </c>
    </row>
    <row r="44" spans="1:6" ht="27.6" x14ac:dyDescent="0.25">
      <c r="A44" s="26" t="s">
        <v>241</v>
      </c>
      <c r="B44" s="26" t="s">
        <v>242</v>
      </c>
      <c r="C44" s="27" t="s">
        <v>110</v>
      </c>
      <c r="D44" s="26" t="s">
        <v>243</v>
      </c>
      <c r="E44" s="27" t="s">
        <v>107</v>
      </c>
      <c r="F44" s="26" t="s">
        <v>112</v>
      </c>
    </row>
    <row r="45" spans="1:6" ht="41.4" x14ac:dyDescent="0.25">
      <c r="A45" s="26" t="s">
        <v>244</v>
      </c>
      <c r="B45" s="26" t="s">
        <v>245</v>
      </c>
      <c r="C45" s="27" t="s">
        <v>110</v>
      </c>
      <c r="D45" s="26" t="s">
        <v>243</v>
      </c>
      <c r="E45" s="27" t="s">
        <v>107</v>
      </c>
      <c r="F45" s="26" t="s">
        <v>112</v>
      </c>
    </row>
    <row r="46" spans="1:6" ht="41.4" x14ac:dyDescent="0.25">
      <c r="A46" s="26" t="s">
        <v>246</v>
      </c>
      <c r="B46" s="26" t="s">
        <v>247</v>
      </c>
      <c r="C46" s="27" t="s">
        <v>110</v>
      </c>
      <c r="D46" s="26" t="s">
        <v>243</v>
      </c>
      <c r="E46" s="27" t="s">
        <v>107</v>
      </c>
      <c r="F46" s="26" t="s">
        <v>112</v>
      </c>
    </row>
    <row r="47" spans="1:6" ht="27.6" x14ac:dyDescent="0.25">
      <c r="A47" s="26" t="s">
        <v>248</v>
      </c>
      <c r="B47" s="26" t="s">
        <v>249</v>
      </c>
      <c r="C47" s="27" t="s">
        <v>110</v>
      </c>
      <c r="D47" s="26" t="s">
        <v>250</v>
      </c>
      <c r="E47" s="27" t="s">
        <v>107</v>
      </c>
      <c r="F47" s="26" t="s">
        <v>112</v>
      </c>
    </row>
    <row r="48" spans="1:6" ht="27.6" x14ac:dyDescent="0.25">
      <c r="A48" s="26" t="s">
        <v>251</v>
      </c>
      <c r="B48" s="26" t="s">
        <v>252</v>
      </c>
      <c r="C48" s="27" t="s">
        <v>110</v>
      </c>
      <c r="D48" s="26" t="s">
        <v>253</v>
      </c>
      <c r="E48" s="27" t="s">
        <v>107</v>
      </c>
      <c r="F48" s="26" t="s">
        <v>112</v>
      </c>
    </row>
    <row r="49" spans="1:6" ht="27.6" x14ac:dyDescent="0.25">
      <c r="A49" s="26" t="s">
        <v>254</v>
      </c>
      <c r="B49" s="26" t="s">
        <v>255</v>
      </c>
      <c r="C49" s="27" t="s">
        <v>110</v>
      </c>
      <c r="D49" s="28"/>
      <c r="E49" s="28"/>
      <c r="F49" s="26" t="s">
        <v>112</v>
      </c>
    </row>
    <row r="50" spans="1:6" ht="13.8" x14ac:dyDescent="0.3">
      <c r="A50" s="29" t="s">
        <v>256</v>
      </c>
      <c r="B50" s="29" t="s">
        <v>257</v>
      </c>
      <c r="C50" s="25" t="s">
        <v>173</v>
      </c>
      <c r="D50" s="29" t="s">
        <v>258</v>
      </c>
      <c r="E50" s="30" t="s">
        <v>107</v>
      </c>
      <c r="F50" s="29" t="s">
        <v>157</v>
      </c>
    </row>
    <row r="51" spans="1:6" ht="27.6" x14ac:dyDescent="0.25">
      <c r="A51" s="26" t="s">
        <v>259</v>
      </c>
      <c r="B51" s="26" t="s">
        <v>260</v>
      </c>
      <c r="C51" s="27" t="s">
        <v>110</v>
      </c>
      <c r="D51" s="26" t="s">
        <v>261</v>
      </c>
      <c r="E51" s="27" t="s">
        <v>107</v>
      </c>
      <c r="F51" s="26" t="s">
        <v>230</v>
      </c>
    </row>
    <row r="52" spans="1:6" ht="27.6" x14ac:dyDescent="0.25">
      <c r="A52" s="26" t="s">
        <v>262</v>
      </c>
      <c r="B52" s="26" t="s">
        <v>263</v>
      </c>
      <c r="C52" s="27" t="s">
        <v>110</v>
      </c>
      <c r="D52" s="26" t="s">
        <v>264</v>
      </c>
      <c r="E52" s="27" t="s">
        <v>107</v>
      </c>
      <c r="F52" s="26" t="s">
        <v>230</v>
      </c>
    </row>
    <row r="53" spans="1:6" ht="27.6" x14ac:dyDescent="0.25">
      <c r="A53" s="26" t="s">
        <v>265</v>
      </c>
      <c r="B53" s="26" t="s">
        <v>266</v>
      </c>
      <c r="C53" s="27" t="s">
        <v>110</v>
      </c>
      <c r="D53" s="26" t="s">
        <v>267</v>
      </c>
      <c r="E53" s="27" t="s">
        <v>107</v>
      </c>
      <c r="F53" s="26" t="s">
        <v>117</v>
      </c>
    </row>
    <row r="54" spans="1:6" ht="27.6" x14ac:dyDescent="0.25">
      <c r="A54" s="26" t="s">
        <v>268</v>
      </c>
      <c r="B54" s="26" t="s">
        <v>269</v>
      </c>
      <c r="C54" s="27" t="s">
        <v>110</v>
      </c>
      <c r="D54" s="26" t="s">
        <v>270</v>
      </c>
      <c r="E54" s="27" t="s">
        <v>107</v>
      </c>
      <c r="F54" s="26" t="s">
        <v>117</v>
      </c>
    </row>
    <row r="55" spans="1:6" ht="41.4" x14ac:dyDescent="0.25">
      <c r="A55" s="26" t="s">
        <v>271</v>
      </c>
      <c r="B55" s="26" t="s">
        <v>272</v>
      </c>
      <c r="C55" s="27" t="s">
        <v>110</v>
      </c>
      <c r="D55" s="26" t="s">
        <v>273</v>
      </c>
      <c r="E55" s="27" t="s">
        <v>107</v>
      </c>
      <c r="F55" s="26" t="s">
        <v>274</v>
      </c>
    </row>
    <row r="56" spans="1:6" ht="27.6" x14ac:dyDescent="0.25">
      <c r="A56" s="26" t="s">
        <v>275</v>
      </c>
      <c r="B56" s="26" t="s">
        <v>276</v>
      </c>
      <c r="C56" s="27" t="s">
        <v>110</v>
      </c>
      <c r="D56" s="26" t="s">
        <v>277</v>
      </c>
      <c r="E56" s="27" t="s">
        <v>107</v>
      </c>
      <c r="F56" s="26" t="s">
        <v>278</v>
      </c>
    </row>
    <row r="57" spans="1:6" ht="27.6" x14ac:dyDescent="0.25">
      <c r="A57" s="26" t="s">
        <v>279</v>
      </c>
      <c r="B57" s="26" t="s">
        <v>280</v>
      </c>
      <c r="C57" s="27" t="s">
        <v>110</v>
      </c>
      <c r="D57" s="26" t="s">
        <v>281</v>
      </c>
      <c r="E57" s="27" t="s">
        <v>107</v>
      </c>
      <c r="F57" s="26" t="s">
        <v>278</v>
      </c>
    </row>
    <row r="58" spans="1:6" ht="27.6" x14ac:dyDescent="0.25">
      <c r="A58" s="23" t="s">
        <v>282</v>
      </c>
      <c r="B58" s="23" t="s">
        <v>283</v>
      </c>
      <c r="C58" s="25" t="s">
        <v>173</v>
      </c>
      <c r="D58" s="23" t="s">
        <v>284</v>
      </c>
      <c r="E58" s="25" t="s">
        <v>107</v>
      </c>
      <c r="F58" s="23" t="s">
        <v>278</v>
      </c>
    </row>
    <row r="59" spans="1:6" ht="13.8" x14ac:dyDescent="0.3">
      <c r="A59" s="23" t="s">
        <v>285</v>
      </c>
      <c r="B59" s="30" t="s">
        <v>286</v>
      </c>
      <c r="C59" s="25" t="s">
        <v>173</v>
      </c>
      <c r="D59" s="23" t="s">
        <v>287</v>
      </c>
      <c r="E59" s="25" t="s">
        <v>107</v>
      </c>
      <c r="F59" s="23" t="s">
        <v>157</v>
      </c>
    </row>
    <row r="60" spans="1:6" ht="13.8" x14ac:dyDescent="0.3">
      <c r="A60" s="23" t="s">
        <v>288</v>
      </c>
      <c r="B60" s="30" t="s">
        <v>289</v>
      </c>
      <c r="C60" s="25" t="s">
        <v>173</v>
      </c>
      <c r="D60" s="23" t="s">
        <v>287</v>
      </c>
      <c r="E60" s="25" t="s">
        <v>107</v>
      </c>
      <c r="F60" s="23" t="s">
        <v>157</v>
      </c>
    </row>
    <row r="61" spans="1:6" ht="13.8" x14ac:dyDescent="0.25">
      <c r="A61" s="23" t="s">
        <v>290</v>
      </c>
      <c r="B61" s="23" t="s">
        <v>291</v>
      </c>
      <c r="C61" s="25" t="s">
        <v>173</v>
      </c>
      <c r="D61" s="23" t="s">
        <v>287</v>
      </c>
      <c r="E61" s="25" t="s">
        <v>292</v>
      </c>
      <c r="F61" s="23" t="s">
        <v>157</v>
      </c>
    </row>
    <row r="62" spans="1:6" ht="13.8" x14ac:dyDescent="0.25">
      <c r="A62" s="23" t="s">
        <v>35</v>
      </c>
      <c r="B62" s="23" t="s">
        <v>293</v>
      </c>
      <c r="C62" s="25" t="s">
        <v>294</v>
      </c>
      <c r="D62" s="23" t="s">
        <v>107</v>
      </c>
      <c r="E62" s="25" t="s">
        <v>107</v>
      </c>
      <c r="F62" s="23" t="s">
        <v>107</v>
      </c>
    </row>
    <row r="63" spans="1:6" ht="27.6" x14ac:dyDescent="0.25">
      <c r="A63" s="26" t="s">
        <v>57</v>
      </c>
      <c r="B63" s="26" t="s">
        <v>295</v>
      </c>
      <c r="C63" s="27" t="s">
        <v>110</v>
      </c>
      <c r="D63" s="26" t="s">
        <v>296</v>
      </c>
      <c r="E63" s="27" t="s">
        <v>107</v>
      </c>
      <c r="F63" s="26" t="s">
        <v>112</v>
      </c>
    </row>
    <row r="64" spans="1:6" ht="27.6" x14ac:dyDescent="0.25">
      <c r="A64" s="26" t="s">
        <v>297</v>
      </c>
      <c r="B64" s="26" t="s">
        <v>298</v>
      </c>
      <c r="C64" s="27" t="s">
        <v>110</v>
      </c>
      <c r="D64" s="26" t="s">
        <v>299</v>
      </c>
      <c r="E64" s="27" t="s">
        <v>107</v>
      </c>
      <c r="F64" s="26" t="s">
        <v>112</v>
      </c>
    </row>
    <row r="65" spans="1:6" ht="27.6" x14ac:dyDescent="0.25">
      <c r="A65" s="26" t="s">
        <v>300</v>
      </c>
      <c r="B65" s="26" t="s">
        <v>301</v>
      </c>
      <c r="C65" s="27" t="s">
        <v>110</v>
      </c>
      <c r="D65" s="26" t="s">
        <v>302</v>
      </c>
      <c r="E65" s="27" t="s">
        <v>107</v>
      </c>
      <c r="F65" s="26" t="s">
        <v>112</v>
      </c>
    </row>
    <row r="66" spans="1:6" ht="27.6" x14ac:dyDescent="0.25">
      <c r="A66" s="26" t="s">
        <v>303</v>
      </c>
      <c r="B66" s="26" t="s">
        <v>304</v>
      </c>
      <c r="C66" s="27" t="s">
        <v>110</v>
      </c>
      <c r="D66" s="26" t="s">
        <v>305</v>
      </c>
      <c r="E66" s="27" t="s">
        <v>107</v>
      </c>
      <c r="F66" s="26" t="s">
        <v>112</v>
      </c>
    </row>
    <row r="67" spans="1:6" ht="27.6" x14ac:dyDescent="0.25">
      <c r="A67" s="26" t="s">
        <v>306</v>
      </c>
      <c r="B67" s="26" t="s">
        <v>307</v>
      </c>
      <c r="C67" s="27" t="s">
        <v>110</v>
      </c>
      <c r="D67" s="28"/>
      <c r="E67" s="28"/>
      <c r="F67" s="26" t="s">
        <v>112</v>
      </c>
    </row>
    <row r="68" spans="1:6" ht="13.8" x14ac:dyDescent="0.25">
      <c r="A68" s="26" t="s">
        <v>308</v>
      </c>
      <c r="B68" s="26" t="s">
        <v>309</v>
      </c>
      <c r="C68" s="27" t="s">
        <v>110</v>
      </c>
      <c r="D68" s="26" t="s">
        <v>310</v>
      </c>
      <c r="E68" s="27" t="s">
        <v>107</v>
      </c>
      <c r="F68" s="26" t="s">
        <v>112</v>
      </c>
    </row>
    <row r="69" spans="1:6" ht="27.6" x14ac:dyDescent="0.25">
      <c r="A69" s="26" t="s">
        <v>311</v>
      </c>
      <c r="B69" s="26" t="s">
        <v>312</v>
      </c>
      <c r="C69" s="27" t="s">
        <v>110</v>
      </c>
      <c r="D69" s="26" t="s">
        <v>313</v>
      </c>
      <c r="E69" s="27" t="s">
        <v>107</v>
      </c>
      <c r="F69" s="26" t="s">
        <v>314</v>
      </c>
    </row>
    <row r="70" spans="1:6" ht="27.6" x14ac:dyDescent="0.25">
      <c r="A70" s="26" t="s">
        <v>315</v>
      </c>
      <c r="B70" s="26" t="s">
        <v>316</v>
      </c>
      <c r="C70" s="27" t="s">
        <v>110</v>
      </c>
      <c r="D70" s="28"/>
      <c r="E70" s="28"/>
      <c r="F70" s="26" t="s">
        <v>274</v>
      </c>
    </row>
    <row r="71" spans="1:6" ht="27.6" x14ac:dyDescent="0.25">
      <c r="A71" s="26" t="s">
        <v>317</v>
      </c>
      <c r="B71" s="26" t="s">
        <v>318</v>
      </c>
      <c r="C71" s="27" t="s">
        <v>110</v>
      </c>
      <c r="D71" s="26" t="s">
        <v>319</v>
      </c>
      <c r="E71" s="28"/>
      <c r="F71" s="26" t="s">
        <v>210</v>
      </c>
    </row>
    <row r="72" spans="1:6" ht="27.6" x14ac:dyDescent="0.25">
      <c r="A72" s="23" t="s">
        <v>320</v>
      </c>
      <c r="B72" s="23" t="s">
        <v>321</v>
      </c>
      <c r="C72" s="25" t="s">
        <v>173</v>
      </c>
      <c r="D72" s="23" t="s">
        <v>322</v>
      </c>
      <c r="E72" s="25" t="s">
        <v>107</v>
      </c>
      <c r="F72" s="23" t="s">
        <v>157</v>
      </c>
    </row>
    <row r="73" spans="1:6" ht="41.4" x14ac:dyDescent="0.25">
      <c r="A73" s="23" t="s">
        <v>323</v>
      </c>
      <c r="B73" s="23" t="s">
        <v>324</v>
      </c>
      <c r="C73" s="25" t="s">
        <v>173</v>
      </c>
      <c r="D73" s="23" t="s">
        <v>325</v>
      </c>
      <c r="E73" s="25" t="s">
        <v>323</v>
      </c>
      <c r="F73" s="23" t="s">
        <v>274</v>
      </c>
    </row>
    <row r="74" spans="1:6" ht="13.8" x14ac:dyDescent="0.25">
      <c r="A74" s="23" t="s">
        <v>55</v>
      </c>
      <c r="B74" s="23" t="s">
        <v>326</v>
      </c>
      <c r="C74" s="25" t="s">
        <v>173</v>
      </c>
      <c r="D74" s="23" t="s">
        <v>327</v>
      </c>
      <c r="E74" s="25" t="s">
        <v>107</v>
      </c>
      <c r="F74" s="23" t="s">
        <v>274</v>
      </c>
    </row>
    <row r="75" spans="1:6" ht="13.8" x14ac:dyDescent="0.25">
      <c r="A75" s="23" t="s">
        <v>328</v>
      </c>
      <c r="B75" s="23" t="s">
        <v>329</v>
      </c>
      <c r="C75" s="25" t="s">
        <v>173</v>
      </c>
      <c r="D75" s="31"/>
      <c r="E75" s="31"/>
      <c r="F75" s="23" t="s">
        <v>274</v>
      </c>
    </row>
    <row r="76" spans="1:6" ht="27.6" x14ac:dyDescent="0.25">
      <c r="A76" s="23" t="s">
        <v>330</v>
      </c>
      <c r="B76" s="23" t="s">
        <v>331</v>
      </c>
      <c r="C76" s="25" t="s">
        <v>173</v>
      </c>
      <c r="D76" s="23" t="s">
        <v>332</v>
      </c>
      <c r="E76" s="25" t="s">
        <v>107</v>
      </c>
      <c r="F76" s="23" t="s">
        <v>274</v>
      </c>
    </row>
    <row r="77" spans="1:6" ht="27.6" x14ac:dyDescent="0.25">
      <c r="A77" s="26" t="s">
        <v>333</v>
      </c>
      <c r="B77" s="26" t="s">
        <v>334</v>
      </c>
      <c r="C77" s="27" t="s">
        <v>110</v>
      </c>
      <c r="D77" s="26" t="s">
        <v>335</v>
      </c>
      <c r="E77" s="27" t="s">
        <v>107</v>
      </c>
      <c r="F77" s="26" t="s">
        <v>112</v>
      </c>
    </row>
    <row r="78" spans="1:6" ht="27.6" x14ac:dyDescent="0.25">
      <c r="A78" s="26" t="s">
        <v>336</v>
      </c>
      <c r="B78" s="26" t="s">
        <v>337</v>
      </c>
      <c r="C78" s="27" t="s">
        <v>110</v>
      </c>
      <c r="D78" s="26" t="s">
        <v>338</v>
      </c>
      <c r="E78" s="27" t="s">
        <v>107</v>
      </c>
      <c r="F78" s="26" t="s">
        <v>157</v>
      </c>
    </row>
    <row r="79" spans="1:6" ht="27.6" x14ac:dyDescent="0.25">
      <c r="A79" s="23" t="s">
        <v>339</v>
      </c>
      <c r="B79" s="23" t="s">
        <v>340</v>
      </c>
      <c r="C79" s="25" t="s">
        <v>173</v>
      </c>
      <c r="D79" s="23" t="s">
        <v>341</v>
      </c>
      <c r="E79" s="25" t="s">
        <v>107</v>
      </c>
      <c r="F79" s="23" t="s">
        <v>157</v>
      </c>
    </row>
    <row r="80" spans="1:6" ht="27.6" x14ac:dyDescent="0.25">
      <c r="A80" s="23" t="s">
        <v>342</v>
      </c>
      <c r="B80" s="23" t="s">
        <v>343</v>
      </c>
      <c r="C80" s="25" t="s">
        <v>173</v>
      </c>
      <c r="D80" s="23" t="s">
        <v>344</v>
      </c>
      <c r="E80" s="25" t="s">
        <v>107</v>
      </c>
      <c r="F80" s="23" t="s">
        <v>157</v>
      </c>
    </row>
    <row r="81" spans="1:6" ht="27.6" x14ac:dyDescent="0.25">
      <c r="A81" s="23" t="s">
        <v>345</v>
      </c>
      <c r="B81" s="23" t="s">
        <v>346</v>
      </c>
      <c r="C81" s="25" t="s">
        <v>173</v>
      </c>
      <c r="D81" s="23" t="s">
        <v>347</v>
      </c>
      <c r="E81" s="25" t="s">
        <v>107</v>
      </c>
      <c r="F81" s="23" t="s">
        <v>157</v>
      </c>
    </row>
    <row r="82" spans="1:6" ht="27.6" x14ac:dyDescent="0.25">
      <c r="A82" s="23" t="s">
        <v>348</v>
      </c>
      <c r="B82" s="23" t="s">
        <v>349</v>
      </c>
      <c r="C82" s="25" t="s">
        <v>173</v>
      </c>
      <c r="D82" s="23" t="s">
        <v>350</v>
      </c>
      <c r="E82" s="25" t="s">
        <v>351</v>
      </c>
      <c r="F82" s="23" t="s">
        <v>157</v>
      </c>
    </row>
    <row r="83" spans="1:6" ht="41.4" x14ac:dyDescent="0.25">
      <c r="A83" s="23" t="s">
        <v>352</v>
      </c>
      <c r="B83" s="23" t="s">
        <v>353</v>
      </c>
      <c r="C83" s="25" t="s">
        <v>173</v>
      </c>
      <c r="D83" s="23" t="s">
        <v>354</v>
      </c>
      <c r="E83" s="31"/>
      <c r="F83" s="23" t="s">
        <v>157</v>
      </c>
    </row>
    <row r="84" spans="1:6" ht="27.6" x14ac:dyDescent="0.25">
      <c r="A84" s="23" t="s">
        <v>355</v>
      </c>
      <c r="B84" s="23" t="s">
        <v>356</v>
      </c>
      <c r="C84" s="25" t="s">
        <v>173</v>
      </c>
      <c r="D84" s="31"/>
      <c r="E84" s="31"/>
      <c r="F84" s="31"/>
    </row>
    <row r="85" spans="1:6" ht="27.6" x14ac:dyDescent="0.25">
      <c r="A85" s="23" t="s">
        <v>67</v>
      </c>
      <c r="B85" s="23" t="s">
        <v>357</v>
      </c>
      <c r="C85" s="25" t="s">
        <v>294</v>
      </c>
      <c r="D85" s="23" t="s">
        <v>107</v>
      </c>
      <c r="E85" s="25" t="s">
        <v>107</v>
      </c>
      <c r="F85" s="23" t="s">
        <v>107</v>
      </c>
    </row>
    <row r="86" spans="1:6" ht="27.6" x14ac:dyDescent="0.25">
      <c r="A86" s="26" t="s">
        <v>358</v>
      </c>
      <c r="B86" s="26" t="s">
        <v>359</v>
      </c>
      <c r="C86" s="27" t="s">
        <v>110</v>
      </c>
      <c r="D86" s="26" t="s">
        <v>360</v>
      </c>
      <c r="E86" s="28"/>
      <c r="F86" s="26" t="s">
        <v>361</v>
      </c>
    </row>
    <row r="87" spans="1:6" ht="27.6" x14ac:dyDescent="0.25">
      <c r="A87" s="26" t="s">
        <v>362</v>
      </c>
      <c r="B87" s="26" t="s">
        <v>363</v>
      </c>
      <c r="C87" s="27" t="s">
        <v>110</v>
      </c>
      <c r="D87" s="26" t="s">
        <v>364</v>
      </c>
      <c r="E87" s="27" t="s">
        <v>107</v>
      </c>
      <c r="F87" s="26" t="s">
        <v>365</v>
      </c>
    </row>
    <row r="88" spans="1:6" ht="27.6" x14ac:dyDescent="0.25">
      <c r="A88" s="26" t="s">
        <v>366</v>
      </c>
      <c r="B88" s="26" t="s">
        <v>367</v>
      </c>
      <c r="C88" s="27" t="s">
        <v>110</v>
      </c>
      <c r="D88" s="26" t="s">
        <v>368</v>
      </c>
      <c r="E88" s="27" t="s">
        <v>107</v>
      </c>
      <c r="F88" s="26" t="s">
        <v>361</v>
      </c>
    </row>
    <row r="89" spans="1:6" ht="27.6" x14ac:dyDescent="0.25">
      <c r="A89" s="26" t="s">
        <v>83</v>
      </c>
      <c r="B89" s="26" t="s">
        <v>84</v>
      </c>
      <c r="C89" s="27" t="s">
        <v>110</v>
      </c>
      <c r="D89" s="26" t="s">
        <v>369</v>
      </c>
      <c r="E89" s="27" t="s">
        <v>107</v>
      </c>
      <c r="F89" s="26" t="s">
        <v>370</v>
      </c>
    </row>
    <row r="90" spans="1:6" ht="27.6" x14ac:dyDescent="0.25">
      <c r="A90" s="26" t="s">
        <v>371</v>
      </c>
      <c r="B90" s="26" t="s">
        <v>372</v>
      </c>
      <c r="C90" s="27" t="s">
        <v>110</v>
      </c>
      <c r="D90" s="26" t="s">
        <v>373</v>
      </c>
      <c r="E90" s="28"/>
      <c r="F90" s="26" t="s">
        <v>370</v>
      </c>
    </row>
    <row r="91" spans="1:6" ht="27.6" x14ac:dyDescent="0.25">
      <c r="A91" s="26" t="s">
        <v>374</v>
      </c>
      <c r="B91" s="26" t="s">
        <v>375</v>
      </c>
      <c r="C91" s="27" t="s">
        <v>110</v>
      </c>
      <c r="D91" s="26" t="s">
        <v>364</v>
      </c>
      <c r="E91" s="27" t="s">
        <v>107</v>
      </c>
      <c r="F91" s="26" t="s">
        <v>365</v>
      </c>
    </row>
    <row r="92" spans="1:6" ht="27.6" x14ac:dyDescent="0.25">
      <c r="A92" s="26" t="s">
        <v>376</v>
      </c>
      <c r="B92" s="26" t="s">
        <v>377</v>
      </c>
      <c r="C92" s="27" t="s">
        <v>110</v>
      </c>
      <c r="D92" s="28"/>
      <c r="E92" s="28"/>
      <c r="F92" s="28"/>
    </row>
    <row r="93" spans="1:6" ht="41.4" x14ac:dyDescent="0.25">
      <c r="A93" s="26" t="s">
        <v>378</v>
      </c>
      <c r="B93" s="26" t="s">
        <v>379</v>
      </c>
      <c r="C93" s="27" t="s">
        <v>110</v>
      </c>
      <c r="D93" s="28"/>
      <c r="E93" s="28"/>
      <c r="F93" s="28"/>
    </row>
    <row r="94" spans="1:6" ht="41.4" x14ac:dyDescent="0.25">
      <c r="A94" s="26" t="s">
        <v>380</v>
      </c>
      <c r="B94" s="26" t="s">
        <v>381</v>
      </c>
      <c r="C94" s="27" t="s">
        <v>110</v>
      </c>
      <c r="D94" s="26" t="s">
        <v>364</v>
      </c>
      <c r="E94" s="27" t="s">
        <v>107</v>
      </c>
      <c r="F94" s="26" t="s">
        <v>365</v>
      </c>
    </row>
    <row r="95" spans="1:6" ht="41.4" x14ac:dyDescent="0.25">
      <c r="A95" s="26" t="s">
        <v>382</v>
      </c>
      <c r="B95" s="26" t="s">
        <v>379</v>
      </c>
      <c r="C95" s="27" t="s">
        <v>110</v>
      </c>
      <c r="D95" s="26" t="s">
        <v>364</v>
      </c>
      <c r="E95" s="27" t="s">
        <v>107</v>
      </c>
      <c r="F95" s="26" t="s">
        <v>365</v>
      </c>
    </row>
    <row r="96" spans="1:6" ht="27.6" x14ac:dyDescent="0.25">
      <c r="A96" s="26" t="s">
        <v>383</v>
      </c>
      <c r="B96" s="26" t="s">
        <v>384</v>
      </c>
      <c r="C96" s="27" t="s">
        <v>110</v>
      </c>
      <c r="D96" s="26" t="s">
        <v>385</v>
      </c>
      <c r="E96" s="27" t="s">
        <v>107</v>
      </c>
      <c r="F96" s="26" t="s">
        <v>386</v>
      </c>
    </row>
    <row r="97" spans="1:6" ht="27.6" x14ac:dyDescent="0.25">
      <c r="A97" s="26" t="s">
        <v>387</v>
      </c>
      <c r="B97" s="26" t="s">
        <v>384</v>
      </c>
      <c r="C97" s="27" t="s">
        <v>110</v>
      </c>
      <c r="D97" s="26" t="s">
        <v>385</v>
      </c>
      <c r="E97" s="27" t="s">
        <v>107</v>
      </c>
      <c r="F97" s="26" t="s">
        <v>386</v>
      </c>
    </row>
    <row r="98" spans="1:6" ht="27.6" x14ac:dyDescent="0.25">
      <c r="A98" s="26" t="s">
        <v>388</v>
      </c>
      <c r="B98" s="26" t="s">
        <v>389</v>
      </c>
      <c r="C98" s="27" t="s">
        <v>110</v>
      </c>
      <c r="D98" s="28"/>
      <c r="E98" s="28"/>
      <c r="F98" s="26" t="s">
        <v>386</v>
      </c>
    </row>
    <row r="99" spans="1:6" ht="27.6" x14ac:dyDescent="0.25">
      <c r="A99" s="26" t="s">
        <v>390</v>
      </c>
      <c r="B99" s="26" t="s">
        <v>391</v>
      </c>
      <c r="C99" s="27" t="s">
        <v>110</v>
      </c>
      <c r="D99" s="26" t="s">
        <v>392</v>
      </c>
      <c r="E99" s="28"/>
      <c r="F99" s="26" t="s">
        <v>386</v>
      </c>
    </row>
    <row r="100" spans="1:6" ht="27.6" x14ac:dyDescent="0.25">
      <c r="A100" s="26" t="s">
        <v>393</v>
      </c>
      <c r="B100" s="26" t="s">
        <v>394</v>
      </c>
      <c r="C100" s="27" t="s">
        <v>110</v>
      </c>
      <c r="D100" s="26" t="s">
        <v>385</v>
      </c>
      <c r="E100" s="27" t="s">
        <v>107</v>
      </c>
      <c r="F100" s="26" t="s">
        <v>386</v>
      </c>
    </row>
    <row r="101" spans="1:6" ht="27.6" x14ac:dyDescent="0.25">
      <c r="A101" s="26" t="s">
        <v>395</v>
      </c>
      <c r="B101" s="26" t="s">
        <v>396</v>
      </c>
      <c r="C101" s="27" t="s">
        <v>110</v>
      </c>
      <c r="D101" s="26" t="s">
        <v>385</v>
      </c>
      <c r="E101" s="27" t="s">
        <v>107</v>
      </c>
      <c r="F101" s="26" t="s">
        <v>386</v>
      </c>
    </row>
    <row r="102" spans="1:6" ht="27.6" x14ac:dyDescent="0.25">
      <c r="A102" s="23" t="s">
        <v>397</v>
      </c>
      <c r="B102" s="23" t="s">
        <v>398</v>
      </c>
      <c r="C102" s="25" t="s">
        <v>173</v>
      </c>
      <c r="D102" s="23" t="s">
        <v>399</v>
      </c>
      <c r="E102" s="25" t="s">
        <v>107</v>
      </c>
      <c r="F102" s="23" t="s">
        <v>274</v>
      </c>
    </row>
    <row r="103" spans="1:6" ht="27.6" x14ac:dyDescent="0.25">
      <c r="A103" s="26" t="s">
        <v>400</v>
      </c>
      <c r="B103" s="26" t="s">
        <v>401</v>
      </c>
      <c r="C103" s="27" t="s">
        <v>110</v>
      </c>
      <c r="D103" s="26" t="s">
        <v>402</v>
      </c>
      <c r="E103" s="27" t="s">
        <v>107</v>
      </c>
      <c r="F103" s="26" t="s">
        <v>274</v>
      </c>
    </row>
    <row r="104" spans="1:6" ht="27.6" x14ac:dyDescent="0.25">
      <c r="A104" s="23" t="s">
        <v>403</v>
      </c>
      <c r="B104" s="23" t="s">
        <v>404</v>
      </c>
      <c r="C104" s="25" t="s">
        <v>173</v>
      </c>
      <c r="D104" s="23" t="s">
        <v>405</v>
      </c>
      <c r="E104" s="25" t="s">
        <v>406</v>
      </c>
      <c r="F104" s="23" t="s">
        <v>407</v>
      </c>
    </row>
    <row r="105" spans="1:6" ht="27.6" x14ac:dyDescent="0.25">
      <c r="A105" s="26" t="s">
        <v>408</v>
      </c>
      <c r="B105" s="26" t="s">
        <v>409</v>
      </c>
      <c r="C105" s="27" t="s">
        <v>110</v>
      </c>
      <c r="D105" s="26" t="s">
        <v>410</v>
      </c>
      <c r="E105" s="27" t="s">
        <v>107</v>
      </c>
      <c r="F105" s="26" t="s">
        <v>411</v>
      </c>
    </row>
    <row r="106" spans="1:6" ht="27.6" x14ac:dyDescent="0.25">
      <c r="A106" s="23" t="s">
        <v>412</v>
      </c>
      <c r="B106" s="23" t="s">
        <v>413</v>
      </c>
      <c r="C106" s="25" t="s">
        <v>173</v>
      </c>
      <c r="D106" s="23" t="s">
        <v>414</v>
      </c>
      <c r="E106" s="25" t="s">
        <v>107</v>
      </c>
      <c r="F106" s="23" t="s">
        <v>112</v>
      </c>
    </row>
    <row r="107" spans="1:6" ht="27.6" x14ac:dyDescent="0.25">
      <c r="A107" s="26" t="s">
        <v>415</v>
      </c>
      <c r="B107" s="26" t="s">
        <v>416</v>
      </c>
      <c r="C107" s="27" t="s">
        <v>110</v>
      </c>
      <c r="D107" s="26" t="s">
        <v>417</v>
      </c>
      <c r="E107" s="28"/>
      <c r="F107" s="26" t="s">
        <v>418</v>
      </c>
    </row>
    <row r="108" spans="1:6" ht="13.8" x14ac:dyDescent="0.25">
      <c r="A108" s="26" t="s">
        <v>419</v>
      </c>
      <c r="B108" s="26" t="s">
        <v>420</v>
      </c>
      <c r="C108" s="27" t="s">
        <v>110</v>
      </c>
      <c r="D108" s="26" t="s">
        <v>421</v>
      </c>
      <c r="E108" s="27" t="s">
        <v>107</v>
      </c>
      <c r="F108" s="26" t="s">
        <v>411</v>
      </c>
    </row>
    <row r="109" spans="1:6" ht="27.6" x14ac:dyDescent="0.25">
      <c r="A109" s="26" t="s">
        <v>422</v>
      </c>
      <c r="B109" s="26" t="s">
        <v>423</v>
      </c>
      <c r="C109" s="27" t="s">
        <v>110</v>
      </c>
      <c r="D109" s="26" t="s">
        <v>424</v>
      </c>
      <c r="E109" s="28"/>
      <c r="F109" s="26" t="s">
        <v>411</v>
      </c>
    </row>
    <row r="110" spans="1:6" ht="27.6" x14ac:dyDescent="0.25">
      <c r="A110" s="26" t="s">
        <v>425</v>
      </c>
      <c r="B110" s="26" t="s">
        <v>426</v>
      </c>
      <c r="C110" s="27" t="s">
        <v>110</v>
      </c>
      <c r="D110" s="26" t="s">
        <v>427</v>
      </c>
      <c r="E110" s="27" t="s">
        <v>107</v>
      </c>
      <c r="F110" s="26" t="s">
        <v>428</v>
      </c>
    </row>
    <row r="111" spans="1:6" ht="27.6" x14ac:dyDescent="0.25">
      <c r="A111" s="26" t="s">
        <v>429</v>
      </c>
      <c r="B111" s="26" t="s">
        <v>430</v>
      </c>
      <c r="C111" s="27" t="s">
        <v>110</v>
      </c>
      <c r="D111" s="28"/>
      <c r="E111" s="28"/>
      <c r="F111" s="26" t="s">
        <v>428</v>
      </c>
    </row>
    <row r="112" spans="1:6" ht="27.6" x14ac:dyDescent="0.25">
      <c r="A112" s="26" t="s">
        <v>431</v>
      </c>
      <c r="B112" s="26" t="s">
        <v>432</v>
      </c>
      <c r="C112" s="27" t="s">
        <v>110</v>
      </c>
      <c r="D112" s="26" t="s">
        <v>433</v>
      </c>
      <c r="E112" s="27" t="s">
        <v>107</v>
      </c>
      <c r="F112" s="26" t="s">
        <v>428</v>
      </c>
    </row>
    <row r="113" spans="1:6" ht="27.6" x14ac:dyDescent="0.25">
      <c r="A113" s="26" t="s">
        <v>434</v>
      </c>
      <c r="B113" s="26" t="s">
        <v>435</v>
      </c>
      <c r="C113" s="27" t="s">
        <v>110</v>
      </c>
      <c r="D113" s="26" t="s">
        <v>436</v>
      </c>
      <c r="E113" s="27" t="s">
        <v>107</v>
      </c>
      <c r="F113" s="26" t="s">
        <v>428</v>
      </c>
    </row>
    <row r="114" spans="1:6" ht="27.6" x14ac:dyDescent="0.3">
      <c r="A114" s="26" t="s">
        <v>437</v>
      </c>
      <c r="B114" s="26" t="s">
        <v>438</v>
      </c>
      <c r="C114" s="27" t="s">
        <v>110</v>
      </c>
      <c r="D114" s="26" t="s">
        <v>439</v>
      </c>
      <c r="E114" s="32" t="s">
        <v>107</v>
      </c>
      <c r="F114" s="26" t="s">
        <v>274</v>
      </c>
    </row>
    <row r="115" spans="1:6" ht="27.6" x14ac:dyDescent="0.25">
      <c r="A115" s="26" t="s">
        <v>440</v>
      </c>
      <c r="B115" s="26" t="s">
        <v>441</v>
      </c>
      <c r="C115" s="27" t="s">
        <v>110</v>
      </c>
      <c r="D115" s="26" t="s">
        <v>442</v>
      </c>
      <c r="E115" s="27" t="s">
        <v>107</v>
      </c>
      <c r="F115" s="26" t="s">
        <v>443</v>
      </c>
    </row>
    <row r="116" spans="1:6" ht="27.6" x14ac:dyDescent="0.25">
      <c r="A116" s="26" t="s">
        <v>444</v>
      </c>
      <c r="B116" s="26" t="s">
        <v>445</v>
      </c>
      <c r="C116" s="27" t="s">
        <v>110</v>
      </c>
      <c r="D116" s="28"/>
      <c r="E116" s="28"/>
      <c r="F116" s="26" t="s">
        <v>443</v>
      </c>
    </row>
    <row r="117" spans="1:6" ht="27.6" x14ac:dyDescent="0.25">
      <c r="A117" s="26" t="s">
        <v>446</v>
      </c>
      <c r="B117" s="26" t="s">
        <v>447</v>
      </c>
      <c r="C117" s="27" t="s">
        <v>110</v>
      </c>
      <c r="D117" s="28"/>
      <c r="E117" s="28"/>
      <c r="F117" s="26" t="s">
        <v>443</v>
      </c>
    </row>
    <row r="118" spans="1:6" ht="27.6" x14ac:dyDescent="0.25">
      <c r="A118" s="26" t="s">
        <v>448</v>
      </c>
      <c r="B118" s="26" t="s">
        <v>449</v>
      </c>
      <c r="C118" s="27" t="s">
        <v>110</v>
      </c>
      <c r="D118" s="26" t="s">
        <v>450</v>
      </c>
      <c r="E118" s="27" t="s">
        <v>107</v>
      </c>
      <c r="F118" s="26" t="s">
        <v>443</v>
      </c>
    </row>
    <row r="119" spans="1:6" ht="27.6" x14ac:dyDescent="0.25">
      <c r="A119" s="26" t="s">
        <v>451</v>
      </c>
      <c r="B119" s="26" t="s">
        <v>452</v>
      </c>
      <c r="C119" s="27" t="s">
        <v>110</v>
      </c>
      <c r="D119" s="26" t="s">
        <v>453</v>
      </c>
      <c r="E119" s="27" t="s">
        <v>107</v>
      </c>
      <c r="F119" s="26" t="s">
        <v>443</v>
      </c>
    </row>
    <row r="120" spans="1:6" ht="27.6" x14ac:dyDescent="0.25">
      <c r="A120" s="26" t="s">
        <v>454</v>
      </c>
      <c r="B120" s="26" t="s">
        <v>455</v>
      </c>
      <c r="C120" s="27" t="s">
        <v>110</v>
      </c>
      <c r="D120" s="28"/>
      <c r="E120" s="33"/>
      <c r="F120" s="26" t="s">
        <v>443</v>
      </c>
    </row>
    <row r="121" spans="1:6" ht="27.6" x14ac:dyDescent="0.25">
      <c r="A121" s="26" t="s">
        <v>456</v>
      </c>
      <c r="B121" s="26" t="s">
        <v>457</v>
      </c>
      <c r="C121" s="27" t="s">
        <v>110</v>
      </c>
      <c r="D121" s="28"/>
      <c r="E121" s="27" t="s">
        <v>107</v>
      </c>
      <c r="F121" s="26" t="s">
        <v>443</v>
      </c>
    </row>
    <row r="122" spans="1:6" ht="27.6" x14ac:dyDescent="0.25">
      <c r="A122" s="26" t="s">
        <v>458</v>
      </c>
      <c r="B122" s="26" t="s">
        <v>459</v>
      </c>
      <c r="C122" s="27" t="s">
        <v>110</v>
      </c>
      <c r="D122" s="28"/>
      <c r="E122" s="28"/>
      <c r="F122" s="26" t="s">
        <v>443</v>
      </c>
    </row>
    <row r="123" spans="1:6" ht="27.6" x14ac:dyDescent="0.25">
      <c r="A123" s="23" t="s">
        <v>460</v>
      </c>
      <c r="B123" s="23" t="s">
        <v>461</v>
      </c>
      <c r="C123" s="25" t="s">
        <v>173</v>
      </c>
      <c r="D123" s="31"/>
      <c r="E123" s="31"/>
      <c r="F123" s="23" t="s">
        <v>112</v>
      </c>
    </row>
    <row r="124" spans="1:6" ht="27.6" x14ac:dyDescent="0.25">
      <c r="A124" s="23" t="s">
        <v>34</v>
      </c>
      <c r="B124" s="23" t="s">
        <v>462</v>
      </c>
      <c r="C124" s="25" t="s">
        <v>173</v>
      </c>
      <c r="D124" s="23" t="s">
        <v>463</v>
      </c>
      <c r="E124" s="25" t="s">
        <v>107</v>
      </c>
      <c r="F124" s="23" t="s">
        <v>112</v>
      </c>
    </row>
    <row r="125" spans="1:6" ht="27.6" x14ac:dyDescent="0.25">
      <c r="A125" s="26" t="s">
        <v>464</v>
      </c>
      <c r="B125" s="26" t="s">
        <v>465</v>
      </c>
      <c r="C125" s="27" t="s">
        <v>110</v>
      </c>
      <c r="D125" s="26" t="s">
        <v>466</v>
      </c>
      <c r="E125" s="27" t="s">
        <v>107</v>
      </c>
      <c r="F125" s="26" t="s">
        <v>148</v>
      </c>
    </row>
    <row r="126" spans="1:6" ht="27.6" x14ac:dyDescent="0.25">
      <c r="A126" s="23" t="s">
        <v>467</v>
      </c>
      <c r="B126" s="23" t="s">
        <v>468</v>
      </c>
      <c r="C126" s="25" t="s">
        <v>173</v>
      </c>
      <c r="D126" s="23" t="s">
        <v>469</v>
      </c>
      <c r="E126" s="31"/>
      <c r="F126" s="23" t="s">
        <v>418</v>
      </c>
    </row>
    <row r="127" spans="1:6" ht="27.6" x14ac:dyDescent="0.25">
      <c r="A127" s="26" t="s">
        <v>470</v>
      </c>
      <c r="B127" s="26" t="s">
        <v>471</v>
      </c>
      <c r="C127" s="27" t="s">
        <v>110</v>
      </c>
      <c r="D127" s="26" t="s">
        <v>472</v>
      </c>
      <c r="E127" s="27" t="s">
        <v>107</v>
      </c>
      <c r="F127" s="26" t="s">
        <v>473</v>
      </c>
    </row>
    <row r="128" spans="1:6" ht="27.6" x14ac:dyDescent="0.25">
      <c r="A128" s="26" t="s">
        <v>474</v>
      </c>
      <c r="B128" s="26" t="s">
        <v>475</v>
      </c>
      <c r="C128" s="27" t="s">
        <v>110</v>
      </c>
      <c r="D128" s="26" t="s">
        <v>476</v>
      </c>
      <c r="E128" s="27" t="s">
        <v>107</v>
      </c>
      <c r="F128" s="26" t="s">
        <v>112</v>
      </c>
    </row>
    <row r="129" spans="1:6" ht="27.6" x14ac:dyDescent="0.25">
      <c r="A129" s="26" t="s">
        <v>477</v>
      </c>
      <c r="B129" s="26" t="s">
        <v>478</v>
      </c>
      <c r="C129" s="27" t="s">
        <v>110</v>
      </c>
      <c r="D129" s="26" t="s">
        <v>479</v>
      </c>
      <c r="E129" s="27" t="s">
        <v>107</v>
      </c>
      <c r="F129" s="26" t="s">
        <v>112</v>
      </c>
    </row>
    <row r="130" spans="1:6" ht="27.6" x14ac:dyDescent="0.25">
      <c r="A130" s="26" t="s">
        <v>480</v>
      </c>
      <c r="B130" s="26" t="s">
        <v>481</v>
      </c>
      <c r="C130" s="27" t="s">
        <v>110</v>
      </c>
      <c r="D130" s="26" t="s">
        <v>482</v>
      </c>
      <c r="E130" s="27" t="s">
        <v>107</v>
      </c>
      <c r="F130" s="26" t="s">
        <v>473</v>
      </c>
    </row>
    <row r="131" spans="1:6" ht="27.6" x14ac:dyDescent="0.25">
      <c r="A131" s="23" t="s">
        <v>483</v>
      </c>
      <c r="B131" s="23" t="s">
        <v>484</v>
      </c>
      <c r="C131" s="25" t="s">
        <v>173</v>
      </c>
      <c r="D131" s="23" t="s">
        <v>485</v>
      </c>
      <c r="E131" s="25" t="s">
        <v>107</v>
      </c>
      <c r="F131" s="23" t="s">
        <v>278</v>
      </c>
    </row>
    <row r="132" spans="1:6" ht="27.6" x14ac:dyDescent="0.25">
      <c r="A132" s="26" t="s">
        <v>486</v>
      </c>
      <c r="B132" s="26" t="s">
        <v>487</v>
      </c>
      <c r="C132" s="27" t="s">
        <v>110</v>
      </c>
      <c r="D132" s="26" t="s">
        <v>488</v>
      </c>
      <c r="E132" s="27" t="s">
        <v>107</v>
      </c>
      <c r="F132" s="26" t="s">
        <v>278</v>
      </c>
    </row>
    <row r="133" spans="1:6" ht="27.6" x14ac:dyDescent="0.25">
      <c r="A133" s="23" t="s">
        <v>489</v>
      </c>
      <c r="B133" s="23" t="s">
        <v>490</v>
      </c>
      <c r="C133" s="25" t="s">
        <v>173</v>
      </c>
      <c r="D133" s="31"/>
      <c r="E133" s="31"/>
      <c r="F133" s="23" t="s">
        <v>278</v>
      </c>
    </row>
    <row r="134" spans="1:6" ht="27.6" x14ac:dyDescent="0.25">
      <c r="A134" s="23" t="s">
        <v>491</v>
      </c>
      <c r="B134" s="23" t="s">
        <v>492</v>
      </c>
      <c r="C134" s="25" t="s">
        <v>173</v>
      </c>
      <c r="D134" s="31"/>
      <c r="E134" s="31"/>
      <c r="F134" s="23" t="s">
        <v>278</v>
      </c>
    </row>
    <row r="135" spans="1:6" ht="27.6" x14ac:dyDescent="0.25">
      <c r="A135" s="23" t="s">
        <v>493</v>
      </c>
      <c r="B135" s="23" t="s">
        <v>494</v>
      </c>
      <c r="C135" s="25" t="s">
        <v>173</v>
      </c>
      <c r="D135" s="23" t="s">
        <v>495</v>
      </c>
      <c r="E135" s="25" t="s">
        <v>107</v>
      </c>
      <c r="F135" s="23" t="s">
        <v>278</v>
      </c>
    </row>
    <row r="136" spans="1:6" ht="27.6" x14ac:dyDescent="0.25">
      <c r="A136" s="26" t="s">
        <v>496</v>
      </c>
      <c r="B136" s="26" t="s">
        <v>497</v>
      </c>
      <c r="C136" s="27" t="s">
        <v>110</v>
      </c>
      <c r="D136" s="28"/>
      <c r="E136" s="28"/>
      <c r="F136" s="26" t="s">
        <v>498</v>
      </c>
    </row>
    <row r="137" spans="1:6" ht="27.6" x14ac:dyDescent="0.25">
      <c r="A137" s="26" t="s">
        <v>499</v>
      </c>
      <c r="B137" s="26" t="s">
        <v>500</v>
      </c>
      <c r="C137" s="27" t="s">
        <v>110</v>
      </c>
      <c r="D137" s="26" t="s">
        <v>501</v>
      </c>
      <c r="E137" s="28"/>
      <c r="F137" s="26" t="s">
        <v>502</v>
      </c>
    </row>
    <row r="138" spans="1:6" ht="27.6" x14ac:dyDescent="0.25">
      <c r="A138" s="26" t="s">
        <v>503</v>
      </c>
      <c r="B138" s="26" t="s">
        <v>504</v>
      </c>
      <c r="C138" s="27" t="s">
        <v>110</v>
      </c>
      <c r="D138" s="26" t="s">
        <v>505</v>
      </c>
      <c r="E138" s="27" t="s">
        <v>107</v>
      </c>
      <c r="F138" s="26" t="s">
        <v>502</v>
      </c>
    </row>
    <row r="139" spans="1:6" ht="27.6" x14ac:dyDescent="0.25">
      <c r="A139" s="26" t="s">
        <v>506</v>
      </c>
      <c r="B139" s="26" t="s">
        <v>507</v>
      </c>
      <c r="C139" s="27" t="s">
        <v>110</v>
      </c>
      <c r="D139" s="26" t="s">
        <v>508</v>
      </c>
      <c r="E139" s="28"/>
      <c r="F139" s="26" t="s">
        <v>509</v>
      </c>
    </row>
    <row r="140" spans="1:6" ht="27.6" x14ac:dyDescent="0.25">
      <c r="A140" s="26" t="s">
        <v>510</v>
      </c>
      <c r="B140" s="26" t="s">
        <v>511</v>
      </c>
      <c r="C140" s="27" t="s">
        <v>110</v>
      </c>
      <c r="D140" s="26" t="s">
        <v>508</v>
      </c>
      <c r="E140" s="28"/>
      <c r="F140" s="26" t="s">
        <v>509</v>
      </c>
    </row>
    <row r="141" spans="1:6" ht="27.6" x14ac:dyDescent="0.25">
      <c r="A141" s="26" t="s">
        <v>512</v>
      </c>
      <c r="B141" s="26" t="s">
        <v>513</v>
      </c>
      <c r="C141" s="27" t="s">
        <v>110</v>
      </c>
      <c r="D141" s="26" t="s">
        <v>508</v>
      </c>
      <c r="E141" s="28"/>
      <c r="F141" s="26" t="s">
        <v>509</v>
      </c>
    </row>
    <row r="142" spans="1:6" ht="27.6" x14ac:dyDescent="0.25">
      <c r="A142" s="26" t="s">
        <v>514</v>
      </c>
      <c r="B142" s="26" t="s">
        <v>515</v>
      </c>
      <c r="C142" s="27" t="s">
        <v>110</v>
      </c>
      <c r="D142" s="26" t="s">
        <v>516</v>
      </c>
      <c r="E142" s="27" t="s">
        <v>107</v>
      </c>
      <c r="F142" s="26" t="s">
        <v>112</v>
      </c>
    </row>
    <row r="143" spans="1:6" ht="41.4" x14ac:dyDescent="0.25">
      <c r="A143" s="26" t="s">
        <v>517</v>
      </c>
      <c r="B143" s="26" t="s">
        <v>518</v>
      </c>
      <c r="C143" s="27" t="s">
        <v>110</v>
      </c>
      <c r="D143" s="26" t="s">
        <v>516</v>
      </c>
      <c r="E143" s="27" t="s">
        <v>107</v>
      </c>
      <c r="F143" s="26" t="s">
        <v>112</v>
      </c>
    </row>
    <row r="144" spans="1:6" ht="55.2" x14ac:dyDescent="0.25">
      <c r="A144" s="26" t="s">
        <v>519</v>
      </c>
      <c r="B144" s="26" t="s">
        <v>520</v>
      </c>
      <c r="C144" s="27" t="s">
        <v>110</v>
      </c>
      <c r="D144" s="26" t="s">
        <v>516</v>
      </c>
      <c r="E144" s="27" t="s">
        <v>107</v>
      </c>
      <c r="F144" s="26" t="s">
        <v>112</v>
      </c>
    </row>
    <row r="145" spans="1:6" ht="13.8" x14ac:dyDescent="0.3">
      <c r="A145" s="23" t="s">
        <v>521</v>
      </c>
      <c r="B145" s="30" t="s">
        <v>522</v>
      </c>
      <c r="C145" s="25" t="s">
        <v>173</v>
      </c>
      <c r="D145" s="23" t="s">
        <v>523</v>
      </c>
      <c r="E145" s="30" t="s">
        <v>107</v>
      </c>
      <c r="F145" s="23" t="s">
        <v>112</v>
      </c>
    </row>
    <row r="146" spans="1:6" ht="27.6" x14ac:dyDescent="0.25">
      <c r="A146" s="26" t="s">
        <v>524</v>
      </c>
      <c r="B146" s="26" t="s">
        <v>525</v>
      </c>
      <c r="C146" s="27" t="s">
        <v>110</v>
      </c>
      <c r="D146" s="26" t="s">
        <v>526</v>
      </c>
      <c r="E146" s="27" t="s">
        <v>107</v>
      </c>
      <c r="F146" s="26" t="s">
        <v>386</v>
      </c>
    </row>
    <row r="147" spans="1:6" ht="27.6" x14ac:dyDescent="0.25">
      <c r="A147" s="26" t="s">
        <v>527</v>
      </c>
      <c r="B147" s="26" t="s">
        <v>528</v>
      </c>
      <c r="C147" s="27" t="s">
        <v>110</v>
      </c>
      <c r="D147" s="26" t="s">
        <v>529</v>
      </c>
      <c r="E147" s="27" t="s">
        <v>107</v>
      </c>
      <c r="F147" s="26" t="s">
        <v>361</v>
      </c>
    </row>
    <row r="148" spans="1:6" ht="27.6" x14ac:dyDescent="0.25">
      <c r="A148" s="26" t="s">
        <v>530</v>
      </c>
      <c r="B148" s="26" t="s">
        <v>531</v>
      </c>
      <c r="C148" s="27" t="s">
        <v>110</v>
      </c>
      <c r="D148" s="26" t="s">
        <v>532</v>
      </c>
      <c r="E148" s="27" t="s">
        <v>107</v>
      </c>
      <c r="F148" s="26" t="s">
        <v>361</v>
      </c>
    </row>
    <row r="149" spans="1:6" ht="27.6" x14ac:dyDescent="0.25">
      <c r="A149" s="27" t="s">
        <v>533</v>
      </c>
      <c r="B149" s="26" t="s">
        <v>534</v>
      </c>
      <c r="C149" s="27" t="s">
        <v>110</v>
      </c>
      <c r="D149" s="26" t="s">
        <v>535</v>
      </c>
      <c r="E149" s="27" t="s">
        <v>107</v>
      </c>
      <c r="F149" s="26" t="s">
        <v>386</v>
      </c>
    </row>
    <row r="150" spans="1:6" ht="27.6" x14ac:dyDescent="0.25">
      <c r="A150" s="27" t="s">
        <v>536</v>
      </c>
      <c r="B150" s="26" t="s">
        <v>537</v>
      </c>
      <c r="C150" s="27" t="s">
        <v>110</v>
      </c>
      <c r="D150" s="26" t="s">
        <v>538</v>
      </c>
      <c r="E150" s="27" t="s">
        <v>107</v>
      </c>
      <c r="F150" s="26" t="s">
        <v>539</v>
      </c>
    </row>
    <row r="151" spans="1:6" ht="27.6" x14ac:dyDescent="0.25">
      <c r="A151" s="27" t="s">
        <v>540</v>
      </c>
      <c r="B151" s="26" t="s">
        <v>541</v>
      </c>
      <c r="C151" s="27" t="s">
        <v>110</v>
      </c>
      <c r="D151" s="26" t="s">
        <v>538</v>
      </c>
      <c r="E151" s="27" t="s">
        <v>107</v>
      </c>
      <c r="F151" s="26" t="s">
        <v>539</v>
      </c>
    </row>
    <row r="152" spans="1:6" ht="27.6" x14ac:dyDescent="0.25">
      <c r="A152" s="27" t="s">
        <v>542</v>
      </c>
      <c r="B152" s="26" t="s">
        <v>543</v>
      </c>
      <c r="C152" s="27" t="s">
        <v>110</v>
      </c>
      <c r="D152" s="26" t="s">
        <v>544</v>
      </c>
      <c r="E152" s="28"/>
      <c r="F152" s="26" t="s">
        <v>545</v>
      </c>
    </row>
    <row r="153" spans="1:6" ht="13.8" x14ac:dyDescent="0.3">
      <c r="A153" s="25" t="s">
        <v>546</v>
      </c>
      <c r="B153" s="23" t="s">
        <v>547</v>
      </c>
      <c r="C153" s="25" t="s">
        <v>107</v>
      </c>
      <c r="D153" s="23" t="s">
        <v>107</v>
      </c>
      <c r="E153" s="30" t="s">
        <v>107</v>
      </c>
      <c r="F153" s="23" t="s">
        <v>107</v>
      </c>
    </row>
    <row r="154" spans="1:6" ht="27.6" x14ac:dyDescent="0.25">
      <c r="A154" s="27" t="s">
        <v>548</v>
      </c>
      <c r="B154" s="26" t="s">
        <v>549</v>
      </c>
      <c r="C154" s="27" t="s">
        <v>110</v>
      </c>
      <c r="D154" s="26" t="s">
        <v>550</v>
      </c>
      <c r="E154" s="27" t="s">
        <v>107</v>
      </c>
      <c r="F154" s="26" t="s">
        <v>214</v>
      </c>
    </row>
    <row r="155" spans="1:6" ht="13.8" x14ac:dyDescent="0.3">
      <c r="A155" s="29" t="s">
        <v>64</v>
      </c>
      <c r="B155" s="30" t="s">
        <v>551</v>
      </c>
      <c r="C155" s="25" t="s">
        <v>173</v>
      </c>
      <c r="D155" s="30" t="s">
        <v>552</v>
      </c>
      <c r="E155" s="30" t="s">
        <v>107</v>
      </c>
      <c r="F155" s="29" t="s">
        <v>370</v>
      </c>
    </row>
    <row r="156" spans="1:6" ht="13.8" x14ac:dyDescent="0.3">
      <c r="A156" s="34" t="s">
        <v>553</v>
      </c>
      <c r="B156" s="32" t="s">
        <v>554</v>
      </c>
      <c r="C156" s="27" t="s">
        <v>110</v>
      </c>
      <c r="D156" s="26" t="s">
        <v>555</v>
      </c>
      <c r="E156" s="32" t="s">
        <v>107</v>
      </c>
      <c r="F156" s="34" t="s">
        <v>112</v>
      </c>
    </row>
    <row r="157" spans="1:6" ht="27.6" x14ac:dyDescent="0.3">
      <c r="A157" s="29" t="s">
        <v>556</v>
      </c>
      <c r="B157" s="30" t="s">
        <v>557</v>
      </c>
      <c r="C157" s="25" t="s">
        <v>173</v>
      </c>
      <c r="D157" s="23" t="s">
        <v>558</v>
      </c>
      <c r="E157" s="30" t="s">
        <v>107</v>
      </c>
      <c r="F157" s="29" t="s">
        <v>210</v>
      </c>
    </row>
    <row r="158" spans="1:6" ht="27.6" x14ac:dyDescent="0.25">
      <c r="A158" s="26" t="s">
        <v>559</v>
      </c>
      <c r="B158" s="26" t="s">
        <v>560</v>
      </c>
      <c r="C158" s="27" t="s">
        <v>110</v>
      </c>
      <c r="D158" s="26" t="s">
        <v>561</v>
      </c>
      <c r="E158" s="27" t="s">
        <v>107</v>
      </c>
      <c r="F158" s="26" t="s">
        <v>370</v>
      </c>
    </row>
    <row r="159" spans="1:6" ht="13.8" x14ac:dyDescent="0.25">
      <c r="A159" s="23" t="s">
        <v>562</v>
      </c>
      <c r="B159" s="23" t="s">
        <v>563</v>
      </c>
      <c r="C159" s="25" t="s">
        <v>173</v>
      </c>
      <c r="D159" s="23" t="s">
        <v>564</v>
      </c>
      <c r="E159" s="25" t="s">
        <v>565</v>
      </c>
      <c r="F159" s="23" t="s">
        <v>112</v>
      </c>
    </row>
    <row r="160" spans="1:6" ht="27.6" x14ac:dyDescent="0.25">
      <c r="A160" s="26" t="s">
        <v>566</v>
      </c>
      <c r="B160" s="26" t="s">
        <v>567</v>
      </c>
      <c r="C160" s="27" t="s">
        <v>110</v>
      </c>
      <c r="D160" s="26" t="s">
        <v>568</v>
      </c>
      <c r="E160" s="27" t="s">
        <v>569</v>
      </c>
      <c r="F160" s="26" t="s">
        <v>112</v>
      </c>
    </row>
    <row r="161" spans="1:6" ht="27.6" x14ac:dyDescent="0.25">
      <c r="A161" s="26" t="s">
        <v>570</v>
      </c>
      <c r="B161" s="26" t="s">
        <v>571</v>
      </c>
      <c r="C161" s="27" t="s">
        <v>110</v>
      </c>
      <c r="D161" s="26" t="s">
        <v>572</v>
      </c>
      <c r="E161" s="27" t="s">
        <v>107</v>
      </c>
      <c r="F161" s="26" t="s">
        <v>428</v>
      </c>
    </row>
    <row r="162" spans="1:6" ht="27.6" x14ac:dyDescent="0.3">
      <c r="A162" s="29" t="s">
        <v>573</v>
      </c>
      <c r="B162" s="29" t="s">
        <v>574</v>
      </c>
      <c r="C162" s="25" t="s">
        <v>173</v>
      </c>
      <c r="D162" s="29" t="s">
        <v>575</v>
      </c>
      <c r="E162" s="30" t="s">
        <v>107</v>
      </c>
      <c r="F162" s="23" t="s">
        <v>157</v>
      </c>
    </row>
    <row r="163" spans="1:6" ht="27.6" x14ac:dyDescent="0.3">
      <c r="A163" s="29" t="s">
        <v>576</v>
      </c>
      <c r="B163" s="29" t="s">
        <v>577</v>
      </c>
      <c r="C163" s="25" t="s">
        <v>173</v>
      </c>
      <c r="D163" s="29" t="s">
        <v>578</v>
      </c>
      <c r="E163" s="8"/>
      <c r="F163" s="23" t="s">
        <v>112</v>
      </c>
    </row>
    <row r="164" spans="1:6" ht="27.6" x14ac:dyDescent="0.25">
      <c r="A164" s="26" t="s">
        <v>579</v>
      </c>
      <c r="B164" s="26" t="s">
        <v>580</v>
      </c>
      <c r="C164" s="27" t="s">
        <v>110</v>
      </c>
      <c r="D164" s="26" t="s">
        <v>581</v>
      </c>
      <c r="E164" s="27" t="s">
        <v>107</v>
      </c>
      <c r="F164" s="26" t="s">
        <v>582</v>
      </c>
    </row>
    <row r="165" spans="1:6" ht="27.6" x14ac:dyDescent="0.25">
      <c r="A165" s="26" t="s">
        <v>583</v>
      </c>
      <c r="B165" s="26" t="s">
        <v>584</v>
      </c>
      <c r="C165" s="27" t="s">
        <v>110</v>
      </c>
      <c r="D165" s="26" t="s">
        <v>585</v>
      </c>
      <c r="E165" s="27" t="s">
        <v>107</v>
      </c>
      <c r="F165" s="26" t="s">
        <v>473</v>
      </c>
    </row>
    <row r="166" spans="1:6" ht="27.6" x14ac:dyDescent="0.25">
      <c r="A166" s="26" t="s">
        <v>43</v>
      </c>
      <c r="B166" s="26" t="s">
        <v>586</v>
      </c>
      <c r="C166" s="27" t="s">
        <v>110</v>
      </c>
      <c r="D166" s="26" t="s">
        <v>587</v>
      </c>
      <c r="E166" s="27" t="s">
        <v>107</v>
      </c>
      <c r="F166" s="26" t="s">
        <v>473</v>
      </c>
    </row>
    <row r="167" spans="1:6" ht="27.6" x14ac:dyDescent="0.25">
      <c r="A167" s="26" t="s">
        <v>588</v>
      </c>
      <c r="B167" s="26" t="s">
        <v>589</v>
      </c>
      <c r="C167" s="27" t="s">
        <v>110</v>
      </c>
      <c r="D167" s="28"/>
      <c r="E167" s="28"/>
      <c r="F167" s="26" t="s">
        <v>193</v>
      </c>
    </row>
    <row r="168" spans="1:6" ht="27.6" x14ac:dyDescent="0.25">
      <c r="A168" s="26" t="s">
        <v>590</v>
      </c>
      <c r="B168" s="26" t="s">
        <v>591</v>
      </c>
      <c r="C168" s="27" t="s">
        <v>110</v>
      </c>
      <c r="D168" s="26" t="s">
        <v>592</v>
      </c>
      <c r="E168" s="27" t="s">
        <v>107</v>
      </c>
      <c r="F168" s="26" t="s">
        <v>193</v>
      </c>
    </row>
    <row r="169" spans="1:6" ht="27.6" x14ac:dyDescent="0.25">
      <c r="A169" s="26" t="s">
        <v>593</v>
      </c>
      <c r="B169" s="26" t="s">
        <v>594</v>
      </c>
      <c r="C169" s="27" t="s">
        <v>110</v>
      </c>
      <c r="D169" s="28"/>
      <c r="E169" s="28"/>
      <c r="F169" s="26" t="s">
        <v>193</v>
      </c>
    </row>
    <row r="170" spans="1:6" ht="41.4" x14ac:dyDescent="0.25">
      <c r="A170" s="26" t="s">
        <v>595</v>
      </c>
      <c r="B170" s="26" t="s">
        <v>596</v>
      </c>
      <c r="C170" s="27" t="s">
        <v>110</v>
      </c>
      <c r="D170" s="26" t="s">
        <v>597</v>
      </c>
      <c r="E170" s="28"/>
      <c r="F170" s="26" t="s">
        <v>193</v>
      </c>
    </row>
    <row r="171" spans="1:6" ht="27.6" x14ac:dyDescent="0.25">
      <c r="A171" s="26" t="s">
        <v>598</v>
      </c>
      <c r="B171" s="26" t="s">
        <v>599</v>
      </c>
      <c r="C171" s="27" t="s">
        <v>110</v>
      </c>
      <c r="D171" s="28"/>
      <c r="E171" s="28"/>
      <c r="F171" s="28"/>
    </row>
    <row r="172" spans="1:6" ht="27.6" x14ac:dyDescent="0.25">
      <c r="A172" s="26" t="s">
        <v>600</v>
      </c>
      <c r="B172" s="26" t="s">
        <v>601</v>
      </c>
      <c r="C172" s="27" t="s">
        <v>110</v>
      </c>
      <c r="D172" s="26" t="s">
        <v>602</v>
      </c>
      <c r="E172" s="27" t="s">
        <v>107</v>
      </c>
      <c r="F172" s="26" t="s">
        <v>193</v>
      </c>
    </row>
    <row r="173" spans="1:6" ht="55.2" x14ac:dyDescent="0.25">
      <c r="A173" s="26" t="s">
        <v>603</v>
      </c>
      <c r="B173" s="26" t="s">
        <v>604</v>
      </c>
      <c r="C173" s="27" t="s">
        <v>110</v>
      </c>
      <c r="D173" s="26" t="s">
        <v>147</v>
      </c>
      <c r="E173" s="28"/>
      <c r="F173" s="26" t="s">
        <v>148</v>
      </c>
    </row>
    <row r="174" spans="1:6" ht="55.2" x14ac:dyDescent="0.25">
      <c r="A174" s="26" t="s">
        <v>605</v>
      </c>
      <c r="B174" s="26" t="s">
        <v>606</v>
      </c>
      <c r="C174" s="27" t="s">
        <v>110</v>
      </c>
      <c r="D174" s="26" t="s">
        <v>607</v>
      </c>
      <c r="E174" s="28"/>
      <c r="F174" s="26" t="s">
        <v>112</v>
      </c>
    </row>
    <row r="175" spans="1:6" ht="55.2" x14ac:dyDescent="0.25">
      <c r="A175" s="26" t="s">
        <v>608</v>
      </c>
      <c r="B175" s="26" t="s">
        <v>609</v>
      </c>
      <c r="C175" s="27" t="s">
        <v>110</v>
      </c>
      <c r="D175" s="26" t="s">
        <v>610</v>
      </c>
      <c r="E175" s="28"/>
      <c r="F175" s="26" t="s">
        <v>509</v>
      </c>
    </row>
    <row r="176" spans="1:6" ht="55.2" x14ac:dyDescent="0.3">
      <c r="A176" s="30" t="s">
        <v>611</v>
      </c>
      <c r="B176" s="26" t="s">
        <v>612</v>
      </c>
      <c r="C176" s="27" t="s">
        <v>110</v>
      </c>
      <c r="D176" s="28"/>
      <c r="E176" s="28"/>
      <c r="F176" s="28"/>
    </row>
    <row r="177" spans="1:6" ht="55.2" x14ac:dyDescent="0.3">
      <c r="A177" s="30" t="s">
        <v>613</v>
      </c>
      <c r="B177" s="26" t="s">
        <v>614</v>
      </c>
      <c r="C177" s="27" t="s">
        <v>110</v>
      </c>
      <c r="D177" s="28"/>
      <c r="E177" s="28"/>
      <c r="F177" s="28"/>
    </row>
    <row r="178" spans="1:6" ht="55.2" x14ac:dyDescent="0.25">
      <c r="A178" s="26" t="s">
        <v>615</v>
      </c>
      <c r="B178" s="26" t="s">
        <v>616</v>
      </c>
      <c r="C178" s="27" t="s">
        <v>110</v>
      </c>
      <c r="D178" s="28"/>
      <c r="E178" s="28"/>
      <c r="F178" s="28"/>
    </row>
    <row r="179" spans="1:6" ht="41.4" x14ac:dyDescent="0.25">
      <c r="A179" s="26" t="s">
        <v>617</v>
      </c>
      <c r="B179" s="26" t="s">
        <v>618</v>
      </c>
      <c r="C179" s="27" t="s">
        <v>110</v>
      </c>
      <c r="D179" s="26" t="s">
        <v>619</v>
      </c>
      <c r="E179" s="28"/>
      <c r="F179" s="26" t="s">
        <v>620</v>
      </c>
    </row>
    <row r="180" spans="1:6" ht="41.4" x14ac:dyDescent="0.25">
      <c r="A180" s="26" t="s">
        <v>621</v>
      </c>
      <c r="B180" s="26" t="s">
        <v>622</v>
      </c>
      <c r="C180" s="27" t="s">
        <v>110</v>
      </c>
      <c r="D180" s="26" t="s">
        <v>623</v>
      </c>
      <c r="E180" s="28"/>
      <c r="F180" s="26" t="s">
        <v>620</v>
      </c>
    </row>
    <row r="181" spans="1:6" ht="69" x14ac:dyDescent="0.25">
      <c r="A181" s="26" t="s">
        <v>624</v>
      </c>
      <c r="B181" s="26" t="s">
        <v>625</v>
      </c>
      <c r="C181" s="27" t="s">
        <v>110</v>
      </c>
      <c r="D181" s="28"/>
      <c r="E181" s="28"/>
      <c r="F181" s="28"/>
    </row>
    <row r="182" spans="1:6" ht="27.6" x14ac:dyDescent="0.25">
      <c r="A182" s="26" t="s">
        <v>626</v>
      </c>
      <c r="B182" s="26" t="s">
        <v>627</v>
      </c>
      <c r="C182" s="27" t="s">
        <v>110</v>
      </c>
      <c r="D182" s="26" t="s">
        <v>628</v>
      </c>
      <c r="E182" s="27" t="s">
        <v>107</v>
      </c>
      <c r="F182" s="26" t="s">
        <v>629</v>
      </c>
    </row>
    <row r="183" spans="1:6" ht="13.8" x14ac:dyDescent="0.3">
      <c r="A183" s="35" t="s">
        <v>630</v>
      </c>
      <c r="B183" s="30" t="s">
        <v>631</v>
      </c>
      <c r="C183" s="36"/>
      <c r="D183" s="36"/>
      <c r="E183" s="36"/>
      <c r="F183" s="36"/>
    </row>
    <row r="184" spans="1:6" ht="13.8" x14ac:dyDescent="0.3">
      <c r="A184" s="26" t="s">
        <v>632</v>
      </c>
      <c r="B184" s="37" t="s">
        <v>633</v>
      </c>
      <c r="C184" s="27" t="s">
        <v>110</v>
      </c>
      <c r="D184" s="28"/>
      <c r="E184" s="28"/>
      <c r="F184" s="28"/>
    </row>
    <row r="185" spans="1:6" ht="27.6" x14ac:dyDescent="0.25">
      <c r="A185" s="26" t="s">
        <v>634</v>
      </c>
      <c r="B185" s="26" t="s">
        <v>635</v>
      </c>
      <c r="C185" s="27" t="s">
        <v>110</v>
      </c>
      <c r="D185" s="26" t="s">
        <v>636</v>
      </c>
      <c r="E185" s="27" t="s">
        <v>107</v>
      </c>
      <c r="F185" s="26" t="s">
        <v>370</v>
      </c>
    </row>
    <row r="186" spans="1:6" ht="27.6" x14ac:dyDescent="0.25">
      <c r="A186" s="38" t="s">
        <v>637</v>
      </c>
      <c r="B186" s="26" t="s">
        <v>638</v>
      </c>
      <c r="C186" s="27" t="s">
        <v>110</v>
      </c>
      <c r="D186" s="26" t="s">
        <v>639</v>
      </c>
      <c r="E186" s="27" t="s">
        <v>640</v>
      </c>
      <c r="F186" s="26" t="s">
        <v>370</v>
      </c>
    </row>
    <row r="187" spans="1:6" ht="27.6" x14ac:dyDescent="0.25">
      <c r="A187" s="38" t="s">
        <v>641</v>
      </c>
      <c r="B187" s="26" t="s">
        <v>642</v>
      </c>
      <c r="C187" s="27" t="s">
        <v>110</v>
      </c>
      <c r="D187" s="26" t="s">
        <v>643</v>
      </c>
      <c r="E187" s="27" t="s">
        <v>107</v>
      </c>
      <c r="F187" s="26" t="s">
        <v>370</v>
      </c>
    </row>
    <row r="188" spans="1:6" ht="27.6" x14ac:dyDescent="0.25">
      <c r="A188" s="26" t="s">
        <v>644</v>
      </c>
      <c r="B188" s="26" t="s">
        <v>645</v>
      </c>
      <c r="C188" s="27" t="s">
        <v>110</v>
      </c>
      <c r="D188" s="26" t="s">
        <v>646</v>
      </c>
      <c r="E188" s="28"/>
      <c r="F188" s="26" t="s">
        <v>647</v>
      </c>
    </row>
    <row r="189" spans="1:6" ht="27.6" x14ac:dyDescent="0.25">
      <c r="A189" s="26" t="s">
        <v>648</v>
      </c>
      <c r="B189" s="26" t="s">
        <v>649</v>
      </c>
      <c r="C189" s="27" t="s">
        <v>110</v>
      </c>
      <c r="D189" s="26" t="s">
        <v>650</v>
      </c>
      <c r="E189" s="28"/>
      <c r="F189" s="26" t="s">
        <v>647</v>
      </c>
    </row>
    <row r="190" spans="1:6" ht="27.6" x14ac:dyDescent="0.25">
      <c r="A190" s="39" t="s">
        <v>33</v>
      </c>
      <c r="B190" s="39" t="s">
        <v>85</v>
      </c>
      <c r="C190" s="40" t="s">
        <v>110</v>
      </c>
      <c r="D190" s="39" t="s">
        <v>651</v>
      </c>
      <c r="E190" s="40" t="s">
        <v>107</v>
      </c>
      <c r="F190" s="39" t="s">
        <v>647</v>
      </c>
    </row>
    <row r="191" spans="1:6" ht="27.6" x14ac:dyDescent="0.25">
      <c r="A191" s="23" t="s">
        <v>652</v>
      </c>
      <c r="B191" s="23" t="s">
        <v>653</v>
      </c>
      <c r="C191" s="25" t="s">
        <v>173</v>
      </c>
      <c r="D191" s="23" t="s">
        <v>654</v>
      </c>
      <c r="E191" s="25" t="s">
        <v>107</v>
      </c>
      <c r="F191" s="23" t="s">
        <v>112</v>
      </c>
    </row>
    <row r="192" spans="1:6" ht="27.6" x14ac:dyDescent="0.25">
      <c r="A192" s="23" t="s">
        <v>655</v>
      </c>
      <c r="B192" s="23" t="s">
        <v>656</v>
      </c>
      <c r="C192" s="25" t="s">
        <v>173</v>
      </c>
      <c r="D192" s="23" t="s">
        <v>657</v>
      </c>
      <c r="E192" s="25" t="s">
        <v>107</v>
      </c>
      <c r="F192" s="23" t="s">
        <v>157</v>
      </c>
    </row>
    <row r="193" spans="1:6" ht="27.6" x14ac:dyDescent="0.25">
      <c r="A193" s="35" t="s">
        <v>658</v>
      </c>
      <c r="B193" s="35" t="s">
        <v>659</v>
      </c>
      <c r="C193" s="41" t="s">
        <v>173</v>
      </c>
      <c r="D193" s="35" t="s">
        <v>660</v>
      </c>
      <c r="E193" s="41" t="s">
        <v>107</v>
      </c>
      <c r="F193" s="35" t="s">
        <v>411</v>
      </c>
    </row>
    <row r="194" spans="1:6" ht="27.6" x14ac:dyDescent="0.25">
      <c r="A194" s="42" t="s">
        <v>661</v>
      </c>
      <c r="B194" s="42" t="s">
        <v>662</v>
      </c>
      <c r="C194" s="43" t="s">
        <v>663</v>
      </c>
      <c r="D194" s="42" t="s">
        <v>664</v>
      </c>
      <c r="E194" s="43" t="s">
        <v>107</v>
      </c>
      <c r="F194" s="42" t="s">
        <v>112</v>
      </c>
    </row>
    <row r="195" spans="1:6" ht="41.4" x14ac:dyDescent="0.25">
      <c r="A195" s="42" t="s">
        <v>665</v>
      </c>
      <c r="B195" s="42" t="s">
        <v>666</v>
      </c>
      <c r="C195" s="43" t="s">
        <v>663</v>
      </c>
      <c r="D195" s="42" t="s">
        <v>107</v>
      </c>
      <c r="E195" s="43" t="s">
        <v>116</v>
      </c>
      <c r="F195" s="42" t="s">
        <v>117</v>
      </c>
    </row>
    <row r="196" spans="1:6" ht="41.4" x14ac:dyDescent="0.25">
      <c r="A196" s="42" t="s">
        <v>667</v>
      </c>
      <c r="B196" s="42" t="s">
        <v>668</v>
      </c>
      <c r="C196" s="43" t="s">
        <v>663</v>
      </c>
      <c r="D196" s="42" t="s">
        <v>120</v>
      </c>
      <c r="E196" s="43" t="s">
        <v>121</v>
      </c>
      <c r="F196" s="42" t="s">
        <v>117</v>
      </c>
    </row>
    <row r="197" spans="1:6" ht="41.4" x14ac:dyDescent="0.25">
      <c r="A197" s="42" t="s">
        <v>669</v>
      </c>
      <c r="B197" s="42" t="s">
        <v>670</v>
      </c>
      <c r="C197" s="43" t="s">
        <v>663</v>
      </c>
      <c r="D197" s="42" t="s">
        <v>671</v>
      </c>
      <c r="E197" s="43" t="s">
        <v>129</v>
      </c>
      <c r="F197" s="42" t="s">
        <v>117</v>
      </c>
    </row>
    <row r="198" spans="1:6" ht="41.4" x14ac:dyDescent="0.25">
      <c r="A198" s="42" t="s">
        <v>672</v>
      </c>
      <c r="B198" s="42" t="s">
        <v>673</v>
      </c>
      <c r="C198" s="43" t="s">
        <v>663</v>
      </c>
      <c r="D198" s="42" t="s">
        <v>107</v>
      </c>
      <c r="E198" s="43" t="s">
        <v>107</v>
      </c>
      <c r="F198" s="42" t="s">
        <v>117</v>
      </c>
    </row>
    <row r="199" spans="1:6" ht="41.4" x14ac:dyDescent="0.25">
      <c r="A199" s="42" t="s">
        <v>674</v>
      </c>
      <c r="B199" s="42" t="s">
        <v>675</v>
      </c>
      <c r="C199" s="43" t="s">
        <v>663</v>
      </c>
      <c r="D199" s="42" t="s">
        <v>107</v>
      </c>
      <c r="E199" s="43" t="s">
        <v>139</v>
      </c>
      <c r="F199" s="42" t="s">
        <v>117</v>
      </c>
    </row>
    <row r="200" spans="1:6" ht="41.4" x14ac:dyDescent="0.25">
      <c r="A200" s="44" t="s">
        <v>676</v>
      </c>
      <c r="B200" s="42" t="s">
        <v>677</v>
      </c>
      <c r="C200" s="43" t="s">
        <v>663</v>
      </c>
      <c r="D200" s="42" t="s">
        <v>147</v>
      </c>
      <c r="E200" s="43" t="s">
        <v>107</v>
      </c>
      <c r="F200" s="42" t="s">
        <v>148</v>
      </c>
    </row>
    <row r="201" spans="1:6" ht="27.6" x14ac:dyDescent="0.25">
      <c r="A201" s="42" t="s">
        <v>678</v>
      </c>
      <c r="B201" s="42" t="s">
        <v>679</v>
      </c>
      <c r="C201" s="43" t="s">
        <v>663</v>
      </c>
      <c r="D201" s="42" t="s">
        <v>107</v>
      </c>
      <c r="E201" s="43" t="s">
        <v>107</v>
      </c>
      <c r="F201" s="42" t="s">
        <v>157</v>
      </c>
    </row>
    <row r="202" spans="1:6" ht="41.4" x14ac:dyDescent="0.25">
      <c r="A202" s="42" t="s">
        <v>680</v>
      </c>
      <c r="B202" s="42" t="s">
        <v>681</v>
      </c>
      <c r="C202" s="43" t="s">
        <v>682</v>
      </c>
      <c r="D202" s="42" t="s">
        <v>174</v>
      </c>
      <c r="E202" s="43" t="s">
        <v>107</v>
      </c>
      <c r="F202" s="42" t="s">
        <v>175</v>
      </c>
    </row>
    <row r="203" spans="1:6" ht="27.6" x14ac:dyDescent="0.25">
      <c r="A203" s="42" t="s">
        <v>683</v>
      </c>
      <c r="B203" s="42" t="s">
        <v>684</v>
      </c>
      <c r="C203" s="43" t="s">
        <v>663</v>
      </c>
      <c r="D203" s="42" t="s">
        <v>178</v>
      </c>
      <c r="E203" s="43" t="s">
        <v>107</v>
      </c>
      <c r="F203" s="42" t="s">
        <v>112</v>
      </c>
    </row>
    <row r="204" spans="1:6" ht="27.6" x14ac:dyDescent="0.25">
      <c r="A204" s="42" t="s">
        <v>685</v>
      </c>
      <c r="B204" s="42" t="s">
        <v>686</v>
      </c>
      <c r="C204" s="43" t="s">
        <v>663</v>
      </c>
      <c r="D204" s="42" t="s">
        <v>178</v>
      </c>
      <c r="E204" s="43" t="s">
        <v>107</v>
      </c>
      <c r="F204" s="42" t="s">
        <v>112</v>
      </c>
    </row>
    <row r="205" spans="1:6" ht="27.6" x14ac:dyDescent="0.25">
      <c r="A205" s="42" t="s">
        <v>687</v>
      </c>
      <c r="B205" s="42" t="s">
        <v>688</v>
      </c>
      <c r="C205" s="43" t="s">
        <v>663</v>
      </c>
      <c r="D205" s="42" t="s">
        <v>186</v>
      </c>
      <c r="E205" s="43" t="s">
        <v>107</v>
      </c>
      <c r="F205" s="42" t="s">
        <v>117</v>
      </c>
    </row>
    <row r="206" spans="1:6" ht="27.6" x14ac:dyDescent="0.25">
      <c r="A206" s="42" t="s">
        <v>689</v>
      </c>
      <c r="B206" s="42" t="s">
        <v>690</v>
      </c>
      <c r="C206" s="43" t="s">
        <v>663</v>
      </c>
      <c r="D206" s="42" t="s">
        <v>189</v>
      </c>
      <c r="E206" s="43" t="s">
        <v>107</v>
      </c>
      <c r="F206" s="42" t="s">
        <v>117</v>
      </c>
    </row>
    <row r="207" spans="1:6" ht="41.4" x14ac:dyDescent="0.25">
      <c r="A207" s="42" t="s">
        <v>691</v>
      </c>
      <c r="B207" s="42" t="s">
        <v>692</v>
      </c>
      <c r="C207" s="43" t="s">
        <v>663</v>
      </c>
      <c r="D207" s="42" t="s">
        <v>192</v>
      </c>
      <c r="E207" s="43" t="s">
        <v>107</v>
      </c>
      <c r="F207" s="42" t="s">
        <v>193</v>
      </c>
    </row>
    <row r="208" spans="1:6" ht="55.2" x14ac:dyDescent="0.25">
      <c r="A208" s="42" t="s">
        <v>693</v>
      </c>
      <c r="B208" s="42" t="s">
        <v>694</v>
      </c>
      <c r="C208" s="43" t="s">
        <v>663</v>
      </c>
      <c r="D208" s="42" t="s">
        <v>196</v>
      </c>
      <c r="E208" s="43" t="s">
        <v>107</v>
      </c>
      <c r="F208" s="42" t="s">
        <v>193</v>
      </c>
    </row>
    <row r="209" spans="1:6" ht="27.6" x14ac:dyDescent="0.25">
      <c r="A209" s="42" t="s">
        <v>695</v>
      </c>
      <c r="B209" s="42" t="s">
        <v>696</v>
      </c>
      <c r="C209" s="43" t="s">
        <v>682</v>
      </c>
      <c r="D209" s="42" t="s">
        <v>201</v>
      </c>
      <c r="E209" s="43" t="s">
        <v>107</v>
      </c>
      <c r="F209" s="42" t="s">
        <v>202</v>
      </c>
    </row>
    <row r="210" spans="1:6" ht="41.4" x14ac:dyDescent="0.25">
      <c r="A210" s="42" t="s">
        <v>697</v>
      </c>
      <c r="B210" s="42" t="s">
        <v>698</v>
      </c>
      <c r="C210" s="43" t="s">
        <v>663</v>
      </c>
      <c r="D210" s="42" t="s">
        <v>205</v>
      </c>
      <c r="E210" s="43" t="s">
        <v>107</v>
      </c>
      <c r="F210" s="42" t="s">
        <v>206</v>
      </c>
    </row>
    <row r="211" spans="1:6" ht="41.4" x14ac:dyDescent="0.25">
      <c r="A211" s="42" t="s">
        <v>699</v>
      </c>
      <c r="B211" s="42" t="s">
        <v>700</v>
      </c>
      <c r="C211" s="43" t="s">
        <v>682</v>
      </c>
      <c r="D211" s="42" t="s">
        <v>209</v>
      </c>
      <c r="E211" s="43" t="s">
        <v>107</v>
      </c>
      <c r="F211" s="42" t="s">
        <v>210</v>
      </c>
    </row>
    <row r="212" spans="1:6" ht="41.4" x14ac:dyDescent="0.25">
      <c r="A212" s="42" t="s">
        <v>701</v>
      </c>
      <c r="B212" s="42" t="s">
        <v>702</v>
      </c>
      <c r="C212" s="43" t="s">
        <v>663</v>
      </c>
      <c r="D212" s="42" t="s">
        <v>213</v>
      </c>
      <c r="E212" s="43" t="s">
        <v>107</v>
      </c>
      <c r="F212" s="42" t="s">
        <v>703</v>
      </c>
    </row>
    <row r="213" spans="1:6" ht="41.4" x14ac:dyDescent="0.25">
      <c r="A213" s="42" t="s">
        <v>704</v>
      </c>
      <c r="B213" s="42" t="s">
        <v>705</v>
      </c>
      <c r="C213" s="43" t="s">
        <v>663</v>
      </c>
      <c r="D213" s="42" t="s">
        <v>107</v>
      </c>
      <c r="E213" s="43" t="s">
        <v>107</v>
      </c>
      <c r="F213" s="42" t="s">
        <v>703</v>
      </c>
    </row>
    <row r="214" spans="1:6" ht="41.4" x14ac:dyDescent="0.25">
      <c r="A214" s="42" t="s">
        <v>706</v>
      </c>
      <c r="B214" s="42" t="s">
        <v>707</v>
      </c>
      <c r="C214" s="43" t="s">
        <v>663</v>
      </c>
      <c r="D214" s="42" t="s">
        <v>107</v>
      </c>
      <c r="E214" s="43" t="s">
        <v>107</v>
      </c>
      <c r="F214" s="42" t="s">
        <v>703</v>
      </c>
    </row>
    <row r="215" spans="1:6" ht="41.4" x14ac:dyDescent="0.25">
      <c r="A215" s="42" t="s">
        <v>708</v>
      </c>
      <c r="B215" s="42" t="s">
        <v>709</v>
      </c>
      <c r="C215" s="43" t="s">
        <v>663</v>
      </c>
      <c r="D215" s="42" t="s">
        <v>223</v>
      </c>
      <c r="E215" s="43" t="s">
        <v>107</v>
      </c>
      <c r="F215" s="42" t="s">
        <v>210</v>
      </c>
    </row>
    <row r="216" spans="1:6" ht="27.6" x14ac:dyDescent="0.25">
      <c r="A216" s="42" t="s">
        <v>710</v>
      </c>
      <c r="B216" s="42" t="s">
        <v>711</v>
      </c>
      <c r="C216" s="43" t="s">
        <v>682</v>
      </c>
      <c r="D216" s="42" t="s">
        <v>226</v>
      </c>
      <c r="E216" s="43" t="s">
        <v>107</v>
      </c>
      <c r="F216" s="42" t="s">
        <v>210</v>
      </c>
    </row>
    <row r="217" spans="1:6" ht="41.4" x14ac:dyDescent="0.25">
      <c r="A217" s="42" t="s">
        <v>712</v>
      </c>
      <c r="B217" s="42" t="s">
        <v>713</v>
      </c>
      <c r="C217" s="43" t="s">
        <v>663</v>
      </c>
      <c r="D217" s="42" t="s">
        <v>229</v>
      </c>
      <c r="E217" s="43" t="s">
        <v>107</v>
      </c>
      <c r="F217" s="42" t="s">
        <v>230</v>
      </c>
    </row>
    <row r="218" spans="1:6" ht="27.6" x14ac:dyDescent="0.25">
      <c r="A218" s="42" t="s">
        <v>714</v>
      </c>
      <c r="B218" s="42" t="s">
        <v>715</v>
      </c>
      <c r="C218" s="43" t="s">
        <v>682</v>
      </c>
      <c r="D218" s="42" t="s">
        <v>233</v>
      </c>
      <c r="E218" s="43" t="s">
        <v>107</v>
      </c>
      <c r="F218" s="42" t="s">
        <v>230</v>
      </c>
    </row>
    <row r="219" spans="1:6" ht="27.6" x14ac:dyDescent="0.25">
      <c r="A219" s="42" t="s">
        <v>716</v>
      </c>
      <c r="B219" s="42" t="s">
        <v>717</v>
      </c>
      <c r="C219" s="43" t="s">
        <v>663</v>
      </c>
      <c r="D219" s="42" t="s">
        <v>243</v>
      </c>
      <c r="E219" s="43" t="s">
        <v>107</v>
      </c>
      <c r="F219" s="42" t="s">
        <v>112</v>
      </c>
    </row>
    <row r="220" spans="1:6" ht="27.6" x14ac:dyDescent="0.25">
      <c r="A220" s="42" t="s">
        <v>718</v>
      </c>
      <c r="B220" s="42" t="s">
        <v>719</v>
      </c>
      <c r="C220" s="43" t="s">
        <v>663</v>
      </c>
      <c r="D220" s="42" t="s">
        <v>250</v>
      </c>
      <c r="E220" s="43" t="s">
        <v>107</v>
      </c>
      <c r="F220" s="42" t="s">
        <v>112</v>
      </c>
    </row>
    <row r="221" spans="1:6" ht="27.6" x14ac:dyDescent="0.25">
      <c r="A221" s="42" t="s">
        <v>720</v>
      </c>
      <c r="B221" s="42" t="s">
        <v>721</v>
      </c>
      <c r="C221" s="43" t="s">
        <v>663</v>
      </c>
      <c r="D221" s="42" t="s">
        <v>253</v>
      </c>
      <c r="E221" s="43" t="s">
        <v>107</v>
      </c>
      <c r="F221" s="42" t="s">
        <v>112</v>
      </c>
    </row>
    <row r="222" spans="1:6" ht="27.6" x14ac:dyDescent="0.3">
      <c r="A222" s="45" t="s">
        <v>722</v>
      </c>
      <c r="B222" s="45" t="s">
        <v>723</v>
      </c>
      <c r="C222" s="43" t="s">
        <v>682</v>
      </c>
      <c r="D222" s="45" t="s">
        <v>258</v>
      </c>
      <c r="E222" s="46" t="s">
        <v>107</v>
      </c>
      <c r="F222" s="45" t="s">
        <v>157</v>
      </c>
    </row>
    <row r="223" spans="1:6" ht="27.6" x14ac:dyDescent="0.25">
      <c r="A223" s="42" t="s">
        <v>724</v>
      </c>
      <c r="B223" s="42" t="s">
        <v>725</v>
      </c>
      <c r="C223" s="43" t="s">
        <v>663</v>
      </c>
      <c r="D223" s="42" t="s">
        <v>261</v>
      </c>
      <c r="E223" s="43" t="s">
        <v>107</v>
      </c>
      <c r="F223" s="42" t="s">
        <v>230</v>
      </c>
    </row>
    <row r="224" spans="1:6" ht="27.6" x14ac:dyDescent="0.25">
      <c r="A224" s="42" t="s">
        <v>726</v>
      </c>
      <c r="B224" s="42" t="s">
        <v>727</v>
      </c>
      <c r="C224" s="43" t="s">
        <v>663</v>
      </c>
      <c r="D224" s="42" t="s">
        <v>264</v>
      </c>
      <c r="E224" s="43" t="s">
        <v>107</v>
      </c>
      <c r="F224" s="42" t="s">
        <v>230</v>
      </c>
    </row>
    <row r="225" spans="1:6" ht="41.4" x14ac:dyDescent="0.25">
      <c r="A225" s="42" t="s">
        <v>728</v>
      </c>
      <c r="B225" s="42" t="s">
        <v>729</v>
      </c>
      <c r="C225" s="43" t="s">
        <v>663</v>
      </c>
      <c r="D225" s="42" t="s">
        <v>267</v>
      </c>
      <c r="E225" s="43" t="s">
        <v>107</v>
      </c>
      <c r="F225" s="42" t="s">
        <v>117</v>
      </c>
    </row>
    <row r="226" spans="1:6" ht="41.4" x14ac:dyDescent="0.25">
      <c r="A226" s="42" t="s">
        <v>730</v>
      </c>
      <c r="B226" s="42" t="s">
        <v>731</v>
      </c>
      <c r="C226" s="43" t="s">
        <v>663</v>
      </c>
      <c r="D226" s="42" t="s">
        <v>270</v>
      </c>
      <c r="E226" s="43" t="s">
        <v>107</v>
      </c>
      <c r="F226" s="42" t="s">
        <v>117</v>
      </c>
    </row>
    <row r="227" spans="1:6" ht="41.4" x14ac:dyDescent="0.25">
      <c r="A227" s="42" t="s">
        <v>732</v>
      </c>
      <c r="B227" s="42" t="s">
        <v>733</v>
      </c>
      <c r="C227" s="43" t="s">
        <v>663</v>
      </c>
      <c r="D227" s="42" t="s">
        <v>107</v>
      </c>
      <c r="E227" s="43" t="s">
        <v>107</v>
      </c>
      <c r="F227" s="42" t="s">
        <v>274</v>
      </c>
    </row>
    <row r="228" spans="1:6" ht="27.6" x14ac:dyDescent="0.25">
      <c r="A228" s="42" t="s">
        <v>734</v>
      </c>
      <c r="B228" s="42" t="s">
        <v>735</v>
      </c>
      <c r="C228" s="43" t="s">
        <v>663</v>
      </c>
      <c r="D228" s="42" t="s">
        <v>277</v>
      </c>
      <c r="E228" s="43" t="s">
        <v>107</v>
      </c>
      <c r="F228" s="42" t="s">
        <v>736</v>
      </c>
    </row>
    <row r="229" spans="1:6" ht="27.6" x14ac:dyDescent="0.25">
      <c r="A229" s="42" t="s">
        <v>737</v>
      </c>
      <c r="B229" s="42" t="s">
        <v>738</v>
      </c>
      <c r="C229" s="43" t="s">
        <v>663</v>
      </c>
      <c r="D229" s="42" t="s">
        <v>281</v>
      </c>
      <c r="E229" s="43" t="s">
        <v>107</v>
      </c>
      <c r="F229" s="42" t="s">
        <v>736</v>
      </c>
    </row>
    <row r="230" spans="1:6" ht="27.6" x14ac:dyDescent="0.25">
      <c r="A230" s="42" t="s">
        <v>739</v>
      </c>
      <c r="B230" s="42" t="s">
        <v>740</v>
      </c>
      <c r="C230" s="43" t="s">
        <v>682</v>
      </c>
      <c r="D230" s="42" t="s">
        <v>284</v>
      </c>
      <c r="E230" s="43" t="s">
        <v>107</v>
      </c>
      <c r="F230" s="42" t="s">
        <v>278</v>
      </c>
    </row>
    <row r="231" spans="1:6" ht="13.8" x14ac:dyDescent="0.3">
      <c r="A231" s="42" t="s">
        <v>741</v>
      </c>
      <c r="B231" s="46" t="s">
        <v>742</v>
      </c>
      <c r="C231" s="43" t="s">
        <v>682</v>
      </c>
      <c r="D231" s="42" t="s">
        <v>287</v>
      </c>
      <c r="E231" s="43" t="s">
        <v>107</v>
      </c>
      <c r="F231" s="42" t="s">
        <v>157</v>
      </c>
    </row>
    <row r="232" spans="1:6" ht="13.8" x14ac:dyDescent="0.3">
      <c r="A232" s="42" t="s">
        <v>743</v>
      </c>
      <c r="B232" s="46" t="s">
        <v>744</v>
      </c>
      <c r="C232" s="43" t="s">
        <v>682</v>
      </c>
      <c r="D232" s="42" t="s">
        <v>287</v>
      </c>
      <c r="E232" s="43" t="s">
        <v>107</v>
      </c>
      <c r="F232" s="42" t="s">
        <v>157</v>
      </c>
    </row>
    <row r="233" spans="1:6" ht="27.6" x14ac:dyDescent="0.25">
      <c r="A233" s="42" t="s">
        <v>745</v>
      </c>
      <c r="B233" s="42" t="s">
        <v>746</v>
      </c>
      <c r="C233" s="43" t="s">
        <v>682</v>
      </c>
      <c r="D233" s="42" t="s">
        <v>287</v>
      </c>
      <c r="E233" s="43" t="s">
        <v>292</v>
      </c>
      <c r="F233" s="42" t="s">
        <v>157</v>
      </c>
    </row>
    <row r="234" spans="1:6" ht="27.6" x14ac:dyDescent="0.25">
      <c r="A234" s="42" t="s">
        <v>747</v>
      </c>
      <c r="B234" s="42" t="s">
        <v>748</v>
      </c>
      <c r="C234" s="43" t="s">
        <v>663</v>
      </c>
      <c r="D234" s="42" t="s">
        <v>296</v>
      </c>
      <c r="E234" s="43" t="s">
        <v>107</v>
      </c>
      <c r="F234" s="42" t="s">
        <v>112</v>
      </c>
    </row>
    <row r="235" spans="1:6" ht="27.6" x14ac:dyDescent="0.25">
      <c r="A235" s="42" t="s">
        <v>749</v>
      </c>
      <c r="B235" s="42" t="s">
        <v>750</v>
      </c>
      <c r="C235" s="43" t="s">
        <v>663</v>
      </c>
      <c r="D235" s="42" t="s">
        <v>299</v>
      </c>
      <c r="E235" s="43" t="s">
        <v>107</v>
      </c>
      <c r="F235" s="42" t="s">
        <v>112</v>
      </c>
    </row>
    <row r="236" spans="1:6" ht="27.6" x14ac:dyDescent="0.25">
      <c r="A236" s="42" t="s">
        <v>751</v>
      </c>
      <c r="B236" s="42" t="s">
        <v>752</v>
      </c>
      <c r="C236" s="43" t="s">
        <v>663</v>
      </c>
      <c r="D236" s="42" t="s">
        <v>302</v>
      </c>
      <c r="E236" s="43" t="s">
        <v>107</v>
      </c>
      <c r="F236" s="42" t="s">
        <v>112</v>
      </c>
    </row>
    <row r="237" spans="1:6" ht="27.6" x14ac:dyDescent="0.25">
      <c r="A237" s="42" t="s">
        <v>753</v>
      </c>
      <c r="B237" s="42" t="s">
        <v>754</v>
      </c>
      <c r="C237" s="43" t="s">
        <v>663</v>
      </c>
      <c r="D237" s="42" t="s">
        <v>305</v>
      </c>
      <c r="E237" s="43" t="s">
        <v>107</v>
      </c>
      <c r="F237" s="42" t="s">
        <v>112</v>
      </c>
    </row>
    <row r="238" spans="1:6" ht="27.6" x14ac:dyDescent="0.25">
      <c r="A238" s="42" t="s">
        <v>755</v>
      </c>
      <c r="B238" s="42" t="s">
        <v>756</v>
      </c>
      <c r="C238" s="43" t="s">
        <v>663</v>
      </c>
      <c r="D238" s="42" t="s">
        <v>310</v>
      </c>
      <c r="E238" s="43" t="s">
        <v>107</v>
      </c>
      <c r="F238" s="42" t="s">
        <v>112</v>
      </c>
    </row>
    <row r="239" spans="1:6" ht="41.4" x14ac:dyDescent="0.25">
      <c r="A239" s="42" t="s">
        <v>757</v>
      </c>
      <c r="B239" s="42" t="s">
        <v>758</v>
      </c>
      <c r="C239" s="43" t="s">
        <v>663</v>
      </c>
      <c r="D239" s="42" t="s">
        <v>313</v>
      </c>
      <c r="E239" s="43" t="s">
        <v>107</v>
      </c>
      <c r="F239" s="42" t="s">
        <v>314</v>
      </c>
    </row>
    <row r="240" spans="1:6" ht="41.4" x14ac:dyDescent="0.25">
      <c r="A240" s="42" t="s">
        <v>759</v>
      </c>
      <c r="B240" s="42" t="s">
        <v>760</v>
      </c>
      <c r="C240" s="43" t="s">
        <v>682</v>
      </c>
      <c r="D240" s="42" t="s">
        <v>322</v>
      </c>
      <c r="E240" s="43" t="s">
        <v>107</v>
      </c>
      <c r="F240" s="42" t="s">
        <v>157</v>
      </c>
    </row>
    <row r="241" spans="1:6" ht="27.6" x14ac:dyDescent="0.25">
      <c r="A241" s="42" t="s">
        <v>761</v>
      </c>
      <c r="B241" s="42" t="s">
        <v>762</v>
      </c>
      <c r="C241" s="43" t="s">
        <v>682</v>
      </c>
      <c r="D241" s="42" t="s">
        <v>327</v>
      </c>
      <c r="E241" s="43" t="s">
        <v>107</v>
      </c>
      <c r="F241" s="42" t="s">
        <v>274</v>
      </c>
    </row>
    <row r="242" spans="1:6" ht="27.6" x14ac:dyDescent="0.25">
      <c r="A242" s="42" t="s">
        <v>763</v>
      </c>
      <c r="B242" s="42" t="s">
        <v>764</v>
      </c>
      <c r="C242" s="43" t="s">
        <v>682</v>
      </c>
      <c r="D242" s="42" t="s">
        <v>332</v>
      </c>
      <c r="E242" s="43" t="s">
        <v>107</v>
      </c>
      <c r="F242" s="42" t="s">
        <v>274</v>
      </c>
    </row>
    <row r="243" spans="1:6" ht="27.6" x14ac:dyDescent="0.25">
      <c r="A243" s="42" t="s">
        <v>765</v>
      </c>
      <c r="B243" s="42" t="s">
        <v>766</v>
      </c>
      <c r="C243" s="43" t="s">
        <v>663</v>
      </c>
      <c r="D243" s="42" t="s">
        <v>335</v>
      </c>
      <c r="E243" s="43" t="s">
        <v>107</v>
      </c>
      <c r="F243" s="42" t="s">
        <v>112</v>
      </c>
    </row>
    <row r="244" spans="1:6" ht="27.6" x14ac:dyDescent="0.25">
      <c r="A244" s="42" t="s">
        <v>767</v>
      </c>
      <c r="B244" s="42" t="s">
        <v>768</v>
      </c>
      <c r="C244" s="43" t="s">
        <v>663</v>
      </c>
      <c r="D244" s="42" t="s">
        <v>338</v>
      </c>
      <c r="E244" s="43" t="s">
        <v>107</v>
      </c>
      <c r="F244" s="42" t="s">
        <v>157</v>
      </c>
    </row>
    <row r="245" spans="1:6" ht="27.6" x14ac:dyDescent="0.25">
      <c r="A245" s="42" t="s">
        <v>769</v>
      </c>
      <c r="B245" s="42" t="s">
        <v>770</v>
      </c>
      <c r="C245" s="43" t="s">
        <v>682</v>
      </c>
      <c r="D245" s="42" t="s">
        <v>341</v>
      </c>
      <c r="E245" s="43" t="s">
        <v>107</v>
      </c>
      <c r="F245" s="42" t="s">
        <v>157</v>
      </c>
    </row>
    <row r="246" spans="1:6" ht="27.6" x14ac:dyDescent="0.25">
      <c r="A246" s="42" t="s">
        <v>771</v>
      </c>
      <c r="B246" s="42" t="s">
        <v>772</v>
      </c>
      <c r="C246" s="43" t="s">
        <v>682</v>
      </c>
      <c r="D246" s="42" t="s">
        <v>344</v>
      </c>
      <c r="E246" s="43" t="s">
        <v>107</v>
      </c>
      <c r="F246" s="42" t="s">
        <v>157</v>
      </c>
    </row>
    <row r="247" spans="1:6" ht="27.6" x14ac:dyDescent="0.25">
      <c r="A247" s="42" t="s">
        <v>773</v>
      </c>
      <c r="B247" s="42" t="s">
        <v>774</v>
      </c>
      <c r="C247" s="43" t="s">
        <v>682</v>
      </c>
      <c r="D247" s="42" t="s">
        <v>347</v>
      </c>
      <c r="E247" s="43" t="s">
        <v>107</v>
      </c>
      <c r="F247" s="42" t="s">
        <v>157</v>
      </c>
    </row>
    <row r="248" spans="1:6" ht="27.6" x14ac:dyDescent="0.25">
      <c r="A248" s="42" t="s">
        <v>775</v>
      </c>
      <c r="B248" s="42" t="s">
        <v>776</v>
      </c>
      <c r="C248" s="43" t="s">
        <v>682</v>
      </c>
      <c r="D248" s="42" t="s">
        <v>350</v>
      </c>
      <c r="E248" s="43" t="s">
        <v>351</v>
      </c>
      <c r="F248" s="42" t="s">
        <v>157</v>
      </c>
    </row>
    <row r="249" spans="1:6" ht="41.4" x14ac:dyDescent="0.25">
      <c r="A249" s="42" t="s">
        <v>777</v>
      </c>
      <c r="B249" s="42" t="s">
        <v>778</v>
      </c>
      <c r="C249" s="43" t="s">
        <v>663</v>
      </c>
      <c r="D249" s="42" t="s">
        <v>364</v>
      </c>
      <c r="E249" s="43" t="s">
        <v>107</v>
      </c>
      <c r="F249" s="42" t="s">
        <v>365</v>
      </c>
    </row>
    <row r="250" spans="1:6" ht="41.4" x14ac:dyDescent="0.25">
      <c r="A250" s="42" t="s">
        <v>779</v>
      </c>
      <c r="B250" s="42" t="s">
        <v>780</v>
      </c>
      <c r="C250" s="43" t="s">
        <v>663</v>
      </c>
      <c r="D250" s="42" t="s">
        <v>368</v>
      </c>
      <c r="E250" s="43" t="s">
        <v>107</v>
      </c>
      <c r="F250" s="42" t="s">
        <v>361</v>
      </c>
    </row>
    <row r="251" spans="1:6" ht="41.4" x14ac:dyDescent="0.25">
      <c r="A251" s="42" t="s">
        <v>781</v>
      </c>
      <c r="B251" s="42" t="s">
        <v>782</v>
      </c>
      <c r="C251" s="43" t="s">
        <v>663</v>
      </c>
      <c r="D251" s="42" t="s">
        <v>369</v>
      </c>
      <c r="E251" s="43" t="s">
        <v>107</v>
      </c>
      <c r="F251" s="42" t="s">
        <v>370</v>
      </c>
    </row>
    <row r="252" spans="1:6" ht="41.4" x14ac:dyDescent="0.25">
      <c r="A252" s="42" t="s">
        <v>783</v>
      </c>
      <c r="B252" s="42" t="s">
        <v>784</v>
      </c>
      <c r="C252" s="43" t="s">
        <v>663</v>
      </c>
      <c r="D252" s="42" t="s">
        <v>364</v>
      </c>
      <c r="E252" s="43" t="s">
        <v>107</v>
      </c>
      <c r="F252" s="42" t="s">
        <v>365</v>
      </c>
    </row>
    <row r="253" spans="1:6" ht="55.2" x14ac:dyDescent="0.25">
      <c r="A253" s="42" t="s">
        <v>785</v>
      </c>
      <c r="B253" s="42" t="s">
        <v>786</v>
      </c>
      <c r="C253" s="43" t="s">
        <v>663</v>
      </c>
      <c r="D253" s="42" t="s">
        <v>364</v>
      </c>
      <c r="E253" s="43" t="s">
        <v>107</v>
      </c>
      <c r="F253" s="42" t="s">
        <v>365</v>
      </c>
    </row>
    <row r="254" spans="1:6" ht="55.2" x14ac:dyDescent="0.25">
      <c r="A254" s="42" t="s">
        <v>787</v>
      </c>
      <c r="B254" s="42" t="s">
        <v>788</v>
      </c>
      <c r="C254" s="43" t="s">
        <v>663</v>
      </c>
      <c r="D254" s="42" t="s">
        <v>364</v>
      </c>
      <c r="E254" s="43" t="s">
        <v>107</v>
      </c>
      <c r="F254" s="42" t="s">
        <v>365</v>
      </c>
    </row>
    <row r="255" spans="1:6" ht="41.4" x14ac:dyDescent="0.25">
      <c r="A255" s="42" t="s">
        <v>789</v>
      </c>
      <c r="B255" s="42" t="s">
        <v>790</v>
      </c>
      <c r="C255" s="43" t="s">
        <v>663</v>
      </c>
      <c r="D255" s="42" t="s">
        <v>107</v>
      </c>
      <c r="E255" s="43" t="s">
        <v>107</v>
      </c>
      <c r="F255" s="42" t="s">
        <v>386</v>
      </c>
    </row>
    <row r="256" spans="1:6" ht="41.4" x14ac:dyDescent="0.25">
      <c r="A256" s="42" t="s">
        <v>791</v>
      </c>
      <c r="B256" s="42" t="s">
        <v>792</v>
      </c>
      <c r="C256" s="43" t="s">
        <v>663</v>
      </c>
      <c r="D256" s="42" t="s">
        <v>107</v>
      </c>
      <c r="E256" s="43" t="s">
        <v>107</v>
      </c>
      <c r="F256" s="42" t="s">
        <v>386</v>
      </c>
    </row>
    <row r="257" spans="1:6" ht="41.4" x14ac:dyDescent="0.25">
      <c r="A257" s="42" t="s">
        <v>793</v>
      </c>
      <c r="B257" s="42" t="s">
        <v>794</v>
      </c>
      <c r="C257" s="43" t="s">
        <v>663</v>
      </c>
      <c r="D257" s="42" t="s">
        <v>107</v>
      </c>
      <c r="E257" s="43" t="s">
        <v>107</v>
      </c>
      <c r="F257" s="42" t="s">
        <v>386</v>
      </c>
    </row>
    <row r="258" spans="1:6" ht="27.6" x14ac:dyDescent="0.25">
      <c r="A258" s="42" t="s">
        <v>795</v>
      </c>
      <c r="B258" s="42" t="s">
        <v>796</v>
      </c>
      <c r="C258" s="43" t="s">
        <v>682</v>
      </c>
      <c r="D258" s="42" t="s">
        <v>399</v>
      </c>
      <c r="E258" s="43" t="s">
        <v>107</v>
      </c>
      <c r="F258" s="42" t="s">
        <v>274</v>
      </c>
    </row>
    <row r="259" spans="1:6" ht="41.4" x14ac:dyDescent="0.25">
      <c r="A259" s="42" t="s">
        <v>797</v>
      </c>
      <c r="B259" s="42" t="s">
        <v>798</v>
      </c>
      <c r="C259" s="43" t="s">
        <v>663</v>
      </c>
      <c r="D259" s="42" t="s">
        <v>402</v>
      </c>
      <c r="E259" s="43" t="s">
        <v>107</v>
      </c>
      <c r="F259" s="42" t="s">
        <v>274</v>
      </c>
    </row>
    <row r="260" spans="1:6" ht="41.4" x14ac:dyDescent="0.25">
      <c r="A260" s="42" t="s">
        <v>799</v>
      </c>
      <c r="B260" s="42" t="s">
        <v>800</v>
      </c>
      <c r="C260" s="43" t="s">
        <v>682</v>
      </c>
      <c r="D260" s="42" t="s">
        <v>405</v>
      </c>
      <c r="E260" s="43" t="s">
        <v>406</v>
      </c>
      <c r="F260" s="42" t="s">
        <v>407</v>
      </c>
    </row>
    <row r="261" spans="1:6" ht="27.6" x14ac:dyDescent="0.25">
      <c r="A261" s="42" t="s">
        <v>801</v>
      </c>
      <c r="B261" s="42" t="s">
        <v>802</v>
      </c>
      <c r="C261" s="43" t="s">
        <v>682</v>
      </c>
      <c r="D261" s="42" t="s">
        <v>414</v>
      </c>
      <c r="E261" s="43" t="s">
        <v>107</v>
      </c>
      <c r="F261" s="42" t="s">
        <v>112</v>
      </c>
    </row>
    <row r="262" spans="1:6" ht="27.6" x14ac:dyDescent="0.25">
      <c r="A262" s="42" t="s">
        <v>803</v>
      </c>
      <c r="B262" s="42" t="s">
        <v>804</v>
      </c>
      <c r="C262" s="43" t="s">
        <v>663</v>
      </c>
      <c r="D262" s="42" t="s">
        <v>427</v>
      </c>
      <c r="E262" s="43" t="s">
        <v>107</v>
      </c>
      <c r="F262" s="42" t="s">
        <v>428</v>
      </c>
    </row>
    <row r="263" spans="1:6" ht="27.6" x14ac:dyDescent="0.25">
      <c r="A263" s="42" t="s">
        <v>805</v>
      </c>
      <c r="B263" s="42" t="s">
        <v>806</v>
      </c>
      <c r="C263" s="43" t="s">
        <v>663</v>
      </c>
      <c r="D263" s="42" t="s">
        <v>433</v>
      </c>
      <c r="E263" s="43" t="s">
        <v>107</v>
      </c>
      <c r="F263" s="42" t="s">
        <v>428</v>
      </c>
    </row>
    <row r="264" spans="1:6" ht="27.6" x14ac:dyDescent="0.25">
      <c r="A264" s="42" t="s">
        <v>807</v>
      </c>
      <c r="B264" s="42" t="s">
        <v>808</v>
      </c>
      <c r="C264" s="43" t="s">
        <v>663</v>
      </c>
      <c r="D264" s="42" t="s">
        <v>436</v>
      </c>
      <c r="E264" s="43" t="s">
        <v>107</v>
      </c>
      <c r="F264" s="42" t="s">
        <v>428</v>
      </c>
    </row>
    <row r="265" spans="1:6" ht="41.4" x14ac:dyDescent="0.25">
      <c r="A265" s="42" t="s">
        <v>809</v>
      </c>
      <c r="B265" s="42" t="s">
        <v>810</v>
      </c>
      <c r="C265" s="43" t="s">
        <v>663</v>
      </c>
      <c r="D265" s="42" t="s">
        <v>107</v>
      </c>
      <c r="E265" s="43" t="s">
        <v>107</v>
      </c>
      <c r="F265" s="42" t="s">
        <v>443</v>
      </c>
    </row>
    <row r="266" spans="1:6" ht="41.4" x14ac:dyDescent="0.25">
      <c r="A266" s="42" t="s">
        <v>811</v>
      </c>
      <c r="B266" s="42" t="s">
        <v>812</v>
      </c>
      <c r="C266" s="43" t="s">
        <v>663</v>
      </c>
      <c r="D266" s="42" t="s">
        <v>450</v>
      </c>
      <c r="E266" s="43" t="s">
        <v>107</v>
      </c>
      <c r="F266" s="42" t="s">
        <v>443</v>
      </c>
    </row>
    <row r="267" spans="1:6" ht="41.4" x14ac:dyDescent="0.25">
      <c r="A267" s="42" t="s">
        <v>813</v>
      </c>
      <c r="B267" s="42" t="s">
        <v>814</v>
      </c>
      <c r="C267" s="43" t="s">
        <v>663</v>
      </c>
      <c r="D267" s="42" t="s">
        <v>107</v>
      </c>
      <c r="E267" s="43" t="s">
        <v>107</v>
      </c>
      <c r="F267" s="42" t="s">
        <v>443</v>
      </c>
    </row>
    <row r="268" spans="1:6" ht="41.4" x14ac:dyDescent="0.25">
      <c r="A268" s="42" t="s">
        <v>815</v>
      </c>
      <c r="B268" s="42" t="s">
        <v>816</v>
      </c>
      <c r="C268" s="43" t="s">
        <v>682</v>
      </c>
      <c r="D268" s="42" t="s">
        <v>463</v>
      </c>
      <c r="E268" s="43" t="s">
        <v>107</v>
      </c>
      <c r="F268" s="42" t="s">
        <v>112</v>
      </c>
    </row>
    <row r="269" spans="1:6" ht="41.4" x14ac:dyDescent="0.25">
      <c r="A269" s="42" t="s">
        <v>817</v>
      </c>
      <c r="B269" s="42" t="s">
        <v>818</v>
      </c>
      <c r="C269" s="43" t="s">
        <v>663</v>
      </c>
      <c r="D269" s="42" t="s">
        <v>466</v>
      </c>
      <c r="E269" s="43" t="s">
        <v>107</v>
      </c>
      <c r="F269" s="42" t="s">
        <v>148</v>
      </c>
    </row>
    <row r="270" spans="1:6" ht="41.4" x14ac:dyDescent="0.25">
      <c r="A270" s="42" t="s">
        <v>819</v>
      </c>
      <c r="B270" s="42" t="s">
        <v>820</v>
      </c>
      <c r="C270" s="43" t="s">
        <v>663</v>
      </c>
      <c r="D270" s="42" t="s">
        <v>472</v>
      </c>
      <c r="E270" s="43" t="s">
        <v>107</v>
      </c>
      <c r="F270" s="42" t="s">
        <v>821</v>
      </c>
    </row>
    <row r="271" spans="1:6" ht="41.4" x14ac:dyDescent="0.25">
      <c r="A271" s="42" t="s">
        <v>822</v>
      </c>
      <c r="B271" s="42" t="s">
        <v>823</v>
      </c>
      <c r="C271" s="43" t="s">
        <v>663</v>
      </c>
      <c r="D271" s="42" t="s">
        <v>476</v>
      </c>
      <c r="E271" s="43" t="s">
        <v>107</v>
      </c>
      <c r="F271" s="42" t="s">
        <v>112</v>
      </c>
    </row>
    <row r="272" spans="1:6" ht="41.4" x14ac:dyDescent="0.25">
      <c r="A272" s="42" t="s">
        <v>824</v>
      </c>
      <c r="B272" s="42" t="s">
        <v>825</v>
      </c>
      <c r="C272" s="43" t="s">
        <v>663</v>
      </c>
      <c r="D272" s="42" t="s">
        <v>479</v>
      </c>
      <c r="E272" s="43" t="s">
        <v>107</v>
      </c>
      <c r="F272" s="42" t="s">
        <v>112</v>
      </c>
    </row>
    <row r="273" spans="1:6" ht="41.4" x14ac:dyDescent="0.25">
      <c r="A273" s="42" t="s">
        <v>826</v>
      </c>
      <c r="B273" s="42" t="s">
        <v>827</v>
      </c>
      <c r="C273" s="43" t="s">
        <v>663</v>
      </c>
      <c r="D273" s="42" t="s">
        <v>482</v>
      </c>
      <c r="E273" s="43" t="s">
        <v>107</v>
      </c>
      <c r="F273" s="42" t="s">
        <v>821</v>
      </c>
    </row>
    <row r="274" spans="1:6" ht="41.4" x14ac:dyDescent="0.25">
      <c r="A274" s="42" t="s">
        <v>828</v>
      </c>
      <c r="B274" s="42" t="s">
        <v>829</v>
      </c>
      <c r="C274" s="43" t="s">
        <v>663</v>
      </c>
      <c r="D274" s="42" t="s">
        <v>488</v>
      </c>
      <c r="E274" s="43" t="s">
        <v>107</v>
      </c>
      <c r="F274" s="42" t="s">
        <v>278</v>
      </c>
    </row>
    <row r="275" spans="1:6" ht="41.4" x14ac:dyDescent="0.25">
      <c r="A275" s="42" t="s">
        <v>830</v>
      </c>
      <c r="B275" s="42" t="s">
        <v>831</v>
      </c>
      <c r="C275" s="43" t="s">
        <v>663</v>
      </c>
      <c r="D275" s="42" t="s">
        <v>505</v>
      </c>
      <c r="E275" s="43" t="s">
        <v>107</v>
      </c>
      <c r="F275" s="42" t="s">
        <v>502</v>
      </c>
    </row>
    <row r="276" spans="1:6" ht="41.4" x14ac:dyDescent="0.25">
      <c r="A276" s="42" t="s">
        <v>832</v>
      </c>
      <c r="B276" s="42" t="s">
        <v>833</v>
      </c>
      <c r="C276" s="43" t="s">
        <v>663</v>
      </c>
      <c r="D276" s="42" t="s">
        <v>516</v>
      </c>
      <c r="E276" s="43" t="s">
        <v>107</v>
      </c>
      <c r="F276" s="42" t="s">
        <v>112</v>
      </c>
    </row>
    <row r="277" spans="1:6" ht="55.2" x14ac:dyDescent="0.25">
      <c r="A277" s="42" t="s">
        <v>834</v>
      </c>
      <c r="B277" s="42" t="s">
        <v>835</v>
      </c>
      <c r="C277" s="43" t="s">
        <v>663</v>
      </c>
      <c r="D277" s="42" t="s">
        <v>516</v>
      </c>
      <c r="E277" s="43" t="s">
        <v>107</v>
      </c>
      <c r="F277" s="42" t="s">
        <v>112</v>
      </c>
    </row>
    <row r="278" spans="1:6" ht="27.6" x14ac:dyDescent="0.25">
      <c r="A278" s="42" t="s">
        <v>836</v>
      </c>
      <c r="B278" s="42" t="s">
        <v>837</v>
      </c>
      <c r="C278" s="43" t="s">
        <v>663</v>
      </c>
      <c r="D278" s="42" t="s">
        <v>516</v>
      </c>
      <c r="E278" s="43" t="s">
        <v>107</v>
      </c>
      <c r="F278" s="42" t="s">
        <v>112</v>
      </c>
    </row>
    <row r="279" spans="1:6" ht="13.8" x14ac:dyDescent="0.3">
      <c r="A279" s="42" t="s">
        <v>838</v>
      </c>
      <c r="B279" s="46" t="s">
        <v>839</v>
      </c>
      <c r="C279" s="43" t="s">
        <v>682</v>
      </c>
      <c r="D279" s="42" t="s">
        <v>523</v>
      </c>
      <c r="E279" s="46" t="s">
        <v>107</v>
      </c>
      <c r="F279" s="42" t="s">
        <v>112</v>
      </c>
    </row>
    <row r="280" spans="1:6" ht="27.6" x14ac:dyDescent="0.25">
      <c r="A280" s="42" t="s">
        <v>840</v>
      </c>
      <c r="B280" s="42" t="s">
        <v>841</v>
      </c>
      <c r="C280" s="43" t="s">
        <v>663</v>
      </c>
      <c r="D280" s="42" t="s">
        <v>526</v>
      </c>
      <c r="E280" s="43" t="s">
        <v>107</v>
      </c>
      <c r="F280" s="42" t="s">
        <v>386</v>
      </c>
    </row>
    <row r="281" spans="1:6" ht="27.6" x14ac:dyDescent="0.25">
      <c r="A281" s="43" t="s">
        <v>842</v>
      </c>
      <c r="B281" s="42" t="s">
        <v>843</v>
      </c>
      <c r="C281" s="43" t="s">
        <v>663</v>
      </c>
      <c r="D281" s="42" t="s">
        <v>107</v>
      </c>
      <c r="E281" s="43" t="s">
        <v>107</v>
      </c>
      <c r="F281" s="42" t="s">
        <v>539</v>
      </c>
    </row>
    <row r="282" spans="1:6" ht="27.6" x14ac:dyDescent="0.25">
      <c r="A282" s="42" t="s">
        <v>844</v>
      </c>
      <c r="B282" s="42" t="s">
        <v>845</v>
      </c>
      <c r="C282" s="43" t="s">
        <v>663</v>
      </c>
      <c r="D282" s="42" t="s">
        <v>529</v>
      </c>
      <c r="E282" s="43" t="s">
        <v>107</v>
      </c>
      <c r="F282" s="42" t="s">
        <v>361</v>
      </c>
    </row>
    <row r="283" spans="1:6" ht="27.6" x14ac:dyDescent="0.25">
      <c r="A283" s="42" t="s">
        <v>846</v>
      </c>
      <c r="B283" s="42" t="s">
        <v>847</v>
      </c>
      <c r="C283" s="43" t="s">
        <v>663</v>
      </c>
      <c r="D283" s="42" t="s">
        <v>532</v>
      </c>
      <c r="E283" s="43" t="s">
        <v>107</v>
      </c>
      <c r="F283" s="42" t="s">
        <v>361</v>
      </c>
    </row>
    <row r="284" spans="1:6" ht="27.6" x14ac:dyDescent="0.25">
      <c r="A284" s="43" t="s">
        <v>848</v>
      </c>
      <c r="B284" s="42" t="s">
        <v>849</v>
      </c>
      <c r="C284" s="43" t="s">
        <v>663</v>
      </c>
      <c r="D284" s="42" t="s">
        <v>535</v>
      </c>
      <c r="E284" s="43" t="s">
        <v>107</v>
      </c>
      <c r="F284" s="42" t="s">
        <v>386</v>
      </c>
    </row>
    <row r="285" spans="1:6" ht="27.6" x14ac:dyDescent="0.25">
      <c r="A285" s="43" t="s">
        <v>850</v>
      </c>
      <c r="B285" s="42" t="s">
        <v>851</v>
      </c>
      <c r="C285" s="43" t="s">
        <v>663</v>
      </c>
      <c r="D285" s="42" t="s">
        <v>107</v>
      </c>
      <c r="E285" s="43" t="s">
        <v>107</v>
      </c>
      <c r="F285" s="42" t="s">
        <v>539</v>
      </c>
    </row>
    <row r="286" spans="1:6" ht="27.6" x14ac:dyDescent="0.25">
      <c r="A286" s="43" t="s">
        <v>852</v>
      </c>
      <c r="B286" s="42" t="s">
        <v>853</v>
      </c>
      <c r="C286" s="43" t="s">
        <v>663</v>
      </c>
      <c r="D286" s="42" t="s">
        <v>550</v>
      </c>
      <c r="E286" s="43" t="s">
        <v>107</v>
      </c>
      <c r="F286" s="42" t="s">
        <v>214</v>
      </c>
    </row>
    <row r="287" spans="1:6" ht="13.8" x14ac:dyDescent="0.3">
      <c r="A287" s="45" t="s">
        <v>854</v>
      </c>
      <c r="B287" s="46" t="s">
        <v>855</v>
      </c>
      <c r="C287" s="43" t="s">
        <v>682</v>
      </c>
      <c r="D287" s="46" t="s">
        <v>552</v>
      </c>
      <c r="E287" s="46" t="s">
        <v>107</v>
      </c>
      <c r="F287" s="45" t="s">
        <v>370</v>
      </c>
    </row>
    <row r="288" spans="1:6" ht="13.8" x14ac:dyDescent="0.3">
      <c r="A288" s="45" t="s">
        <v>856</v>
      </c>
      <c r="B288" s="46" t="s">
        <v>857</v>
      </c>
      <c r="C288" s="43" t="s">
        <v>682</v>
      </c>
      <c r="D288" s="42" t="s">
        <v>555</v>
      </c>
      <c r="E288" s="46" t="s">
        <v>107</v>
      </c>
      <c r="F288" s="45" t="s">
        <v>112</v>
      </c>
    </row>
    <row r="289" spans="1:6" ht="27.6" x14ac:dyDescent="0.3">
      <c r="A289" s="45" t="s">
        <v>858</v>
      </c>
      <c r="B289" s="46" t="s">
        <v>859</v>
      </c>
      <c r="C289" s="43" t="s">
        <v>682</v>
      </c>
      <c r="D289" s="42" t="s">
        <v>558</v>
      </c>
      <c r="E289" s="46" t="s">
        <v>107</v>
      </c>
      <c r="F289" s="45" t="s">
        <v>210</v>
      </c>
    </row>
    <row r="290" spans="1:6" ht="41.4" x14ac:dyDescent="0.25">
      <c r="A290" s="42" t="s">
        <v>860</v>
      </c>
      <c r="B290" s="42" t="s">
        <v>861</v>
      </c>
      <c r="C290" s="43" t="s">
        <v>663</v>
      </c>
      <c r="D290" s="42" t="s">
        <v>561</v>
      </c>
      <c r="E290" s="43" t="s">
        <v>107</v>
      </c>
      <c r="F290" s="42" t="s">
        <v>370</v>
      </c>
    </row>
    <row r="291" spans="1:6" ht="27.6" x14ac:dyDescent="0.25">
      <c r="A291" s="42" t="s">
        <v>862</v>
      </c>
      <c r="B291" s="42" t="s">
        <v>863</v>
      </c>
      <c r="C291" s="43" t="s">
        <v>682</v>
      </c>
      <c r="D291" s="42" t="s">
        <v>564</v>
      </c>
      <c r="E291" s="43" t="s">
        <v>565</v>
      </c>
      <c r="F291" s="42" t="s">
        <v>112</v>
      </c>
    </row>
    <row r="292" spans="1:6" ht="41.4" x14ac:dyDescent="0.25">
      <c r="A292" s="42" t="s">
        <v>864</v>
      </c>
      <c r="B292" s="42" t="s">
        <v>865</v>
      </c>
      <c r="C292" s="43" t="s">
        <v>663</v>
      </c>
      <c r="D292" s="42" t="s">
        <v>568</v>
      </c>
      <c r="E292" s="43" t="s">
        <v>569</v>
      </c>
      <c r="F292" s="42" t="s">
        <v>112</v>
      </c>
    </row>
    <row r="293" spans="1:6" ht="41.4" x14ac:dyDescent="0.25">
      <c r="A293" s="42" t="s">
        <v>866</v>
      </c>
      <c r="B293" s="42" t="s">
        <v>867</v>
      </c>
      <c r="C293" s="43" t="s">
        <v>663</v>
      </c>
      <c r="D293" s="42" t="s">
        <v>572</v>
      </c>
      <c r="E293" s="43" t="s">
        <v>107</v>
      </c>
      <c r="F293" s="42" t="s">
        <v>428</v>
      </c>
    </row>
    <row r="294" spans="1:6" ht="41.4" x14ac:dyDescent="0.3">
      <c r="A294" s="45" t="s">
        <v>868</v>
      </c>
      <c r="B294" s="45" t="s">
        <v>869</v>
      </c>
      <c r="C294" s="43" t="s">
        <v>682</v>
      </c>
      <c r="D294" s="45" t="s">
        <v>575</v>
      </c>
      <c r="E294" s="46" t="s">
        <v>107</v>
      </c>
      <c r="F294" s="42" t="s">
        <v>157</v>
      </c>
    </row>
    <row r="295" spans="1:6" ht="27.6" x14ac:dyDescent="0.25">
      <c r="A295" s="42" t="s">
        <v>870</v>
      </c>
      <c r="B295" s="42" t="s">
        <v>871</v>
      </c>
      <c r="C295" s="43" t="s">
        <v>663</v>
      </c>
      <c r="D295" s="42" t="s">
        <v>581</v>
      </c>
      <c r="E295" s="43" t="s">
        <v>107</v>
      </c>
      <c r="F295" s="42" t="s">
        <v>582</v>
      </c>
    </row>
    <row r="296" spans="1:6" ht="27.6" x14ac:dyDescent="0.25">
      <c r="A296" s="42" t="s">
        <v>872</v>
      </c>
      <c r="B296" s="42" t="s">
        <v>873</v>
      </c>
      <c r="C296" s="43" t="s">
        <v>663</v>
      </c>
      <c r="D296" s="42" t="s">
        <v>107</v>
      </c>
      <c r="E296" s="43" t="s">
        <v>107</v>
      </c>
      <c r="F296" s="42" t="s">
        <v>821</v>
      </c>
    </row>
    <row r="297" spans="1:6" ht="27.6" x14ac:dyDescent="0.25">
      <c r="A297" s="42" t="s">
        <v>874</v>
      </c>
      <c r="B297" s="42" t="s">
        <v>875</v>
      </c>
      <c r="C297" s="43" t="s">
        <v>663</v>
      </c>
      <c r="D297" s="42" t="s">
        <v>876</v>
      </c>
      <c r="E297" s="43" t="s">
        <v>107</v>
      </c>
      <c r="F297" s="42" t="s">
        <v>821</v>
      </c>
    </row>
    <row r="298" spans="1:6" ht="41.4" x14ac:dyDescent="0.25">
      <c r="A298" s="42" t="s">
        <v>877</v>
      </c>
      <c r="B298" s="42" t="s">
        <v>878</v>
      </c>
      <c r="C298" s="43" t="s">
        <v>663</v>
      </c>
      <c r="D298" s="42" t="s">
        <v>592</v>
      </c>
      <c r="E298" s="43" t="s">
        <v>107</v>
      </c>
      <c r="F298" s="42" t="s">
        <v>193</v>
      </c>
    </row>
    <row r="299" spans="1:6" ht="41.4" x14ac:dyDescent="0.25">
      <c r="A299" s="42" t="s">
        <v>879</v>
      </c>
      <c r="B299" s="42" t="s">
        <v>880</v>
      </c>
      <c r="C299" s="43" t="s">
        <v>663</v>
      </c>
      <c r="D299" s="42" t="s">
        <v>107</v>
      </c>
      <c r="E299" s="43" t="s">
        <v>107</v>
      </c>
      <c r="F299" s="42" t="s">
        <v>193</v>
      </c>
    </row>
    <row r="300" spans="1:6" ht="27.6" x14ac:dyDescent="0.25">
      <c r="A300" s="42" t="s">
        <v>881</v>
      </c>
      <c r="B300" s="42" t="s">
        <v>882</v>
      </c>
      <c r="C300" s="43" t="s">
        <v>663</v>
      </c>
      <c r="D300" s="42" t="s">
        <v>628</v>
      </c>
      <c r="E300" s="43" t="s">
        <v>107</v>
      </c>
      <c r="F300" s="42" t="s">
        <v>629</v>
      </c>
    </row>
    <row r="301" spans="1:6" ht="27.6" x14ac:dyDescent="0.25">
      <c r="A301" s="42" t="s">
        <v>883</v>
      </c>
      <c r="B301" s="42" t="s">
        <v>884</v>
      </c>
      <c r="C301" s="43" t="s">
        <v>663</v>
      </c>
      <c r="D301" s="42" t="s">
        <v>636</v>
      </c>
      <c r="E301" s="43" t="s">
        <v>107</v>
      </c>
      <c r="F301" s="42" t="s">
        <v>370</v>
      </c>
    </row>
    <row r="302" spans="1:6" ht="27.6" x14ac:dyDescent="0.25">
      <c r="A302" s="42" t="s">
        <v>885</v>
      </c>
      <c r="B302" s="42" t="s">
        <v>886</v>
      </c>
      <c r="C302" s="43" t="s">
        <v>663</v>
      </c>
      <c r="D302" s="42" t="s">
        <v>639</v>
      </c>
      <c r="E302" s="43" t="s">
        <v>640</v>
      </c>
      <c r="F302" s="42" t="s">
        <v>370</v>
      </c>
    </row>
    <row r="303" spans="1:6" ht="27.6" x14ac:dyDescent="0.25">
      <c r="A303" s="42" t="s">
        <v>887</v>
      </c>
      <c r="B303" s="42" t="s">
        <v>888</v>
      </c>
      <c r="C303" s="43" t="s">
        <v>663</v>
      </c>
      <c r="D303" s="42" t="s">
        <v>643</v>
      </c>
      <c r="E303" s="43" t="s">
        <v>107</v>
      </c>
      <c r="F303" s="42" t="s">
        <v>370</v>
      </c>
    </row>
    <row r="304" spans="1:6" ht="41.4" x14ac:dyDescent="0.25">
      <c r="A304" s="42" t="s">
        <v>889</v>
      </c>
      <c r="B304" s="42" t="s">
        <v>890</v>
      </c>
      <c r="C304" s="43" t="s">
        <v>663</v>
      </c>
      <c r="D304" s="42" t="s">
        <v>651</v>
      </c>
      <c r="E304" s="43" t="s">
        <v>107</v>
      </c>
      <c r="F304" s="42" t="s">
        <v>647</v>
      </c>
    </row>
    <row r="305" spans="1:6" ht="27.6" x14ac:dyDescent="0.25">
      <c r="A305" s="42" t="s">
        <v>891</v>
      </c>
      <c r="B305" s="42" t="s">
        <v>892</v>
      </c>
      <c r="C305" s="43" t="s">
        <v>682</v>
      </c>
      <c r="D305" s="42" t="s">
        <v>654</v>
      </c>
      <c r="E305" s="43" t="s">
        <v>107</v>
      </c>
      <c r="F305" s="42" t="s">
        <v>112</v>
      </c>
    </row>
    <row r="306" spans="1:6" ht="27.6" x14ac:dyDescent="0.25">
      <c r="A306" s="42" t="s">
        <v>893</v>
      </c>
      <c r="B306" s="42" t="s">
        <v>894</v>
      </c>
      <c r="C306" s="43" t="s">
        <v>682</v>
      </c>
      <c r="D306" s="42" t="s">
        <v>657</v>
      </c>
      <c r="E306" s="43" t="s">
        <v>107</v>
      </c>
      <c r="F306" s="42" t="s">
        <v>157</v>
      </c>
    </row>
    <row r="307" spans="1:6" ht="27.6" x14ac:dyDescent="0.25">
      <c r="A307" s="42" t="s">
        <v>895</v>
      </c>
      <c r="B307" s="42" t="s">
        <v>896</v>
      </c>
      <c r="C307" s="43" t="s">
        <v>682</v>
      </c>
      <c r="D307" s="42" t="s">
        <v>660</v>
      </c>
      <c r="E307" s="43" t="s">
        <v>107</v>
      </c>
      <c r="F307" s="42" t="s">
        <v>411</v>
      </c>
    </row>
    <row r="308" spans="1:6" ht="27.6" x14ac:dyDescent="0.25">
      <c r="A308" s="42" t="s">
        <v>897</v>
      </c>
      <c r="B308" s="42" t="s">
        <v>898</v>
      </c>
      <c r="C308" s="43" t="s">
        <v>682</v>
      </c>
      <c r="D308" s="42" t="s">
        <v>899</v>
      </c>
      <c r="E308" s="43" t="s">
        <v>107</v>
      </c>
      <c r="F308" s="42" t="s">
        <v>900</v>
      </c>
    </row>
    <row r="309" spans="1:6" ht="27.6" x14ac:dyDescent="0.25">
      <c r="A309" s="42" t="s">
        <v>901</v>
      </c>
      <c r="B309" s="42" t="s">
        <v>902</v>
      </c>
      <c r="C309" s="43" t="s">
        <v>663</v>
      </c>
      <c r="D309" s="42" t="s">
        <v>899</v>
      </c>
      <c r="E309" s="43" t="s">
        <v>107</v>
      </c>
      <c r="F309" s="42" t="s">
        <v>900</v>
      </c>
    </row>
    <row r="310" spans="1:6" ht="27.6" x14ac:dyDescent="0.25">
      <c r="A310" s="42" t="s">
        <v>903</v>
      </c>
      <c r="B310" s="42" t="s">
        <v>904</v>
      </c>
      <c r="C310" s="43" t="s">
        <v>663</v>
      </c>
      <c r="D310" s="42" t="s">
        <v>905</v>
      </c>
      <c r="E310" s="43" t="s">
        <v>107</v>
      </c>
      <c r="F310" s="42" t="s">
        <v>210</v>
      </c>
    </row>
    <row r="311" spans="1:6" ht="41.4" x14ac:dyDescent="0.25">
      <c r="A311" s="42" t="s">
        <v>906</v>
      </c>
      <c r="B311" s="42" t="s">
        <v>907</v>
      </c>
      <c r="C311" s="43" t="s">
        <v>663</v>
      </c>
      <c r="D311" s="42" t="s">
        <v>908</v>
      </c>
      <c r="E311" s="43" t="s">
        <v>909</v>
      </c>
      <c r="F311" s="42" t="s">
        <v>112</v>
      </c>
    </row>
    <row r="312" spans="1:6" ht="41.4" x14ac:dyDescent="0.25">
      <c r="A312" s="42" t="s">
        <v>910</v>
      </c>
      <c r="B312" s="42" t="s">
        <v>911</v>
      </c>
      <c r="C312" s="43" t="s">
        <v>663</v>
      </c>
      <c r="D312" s="42" t="s">
        <v>912</v>
      </c>
      <c r="E312" s="43" t="s">
        <v>107</v>
      </c>
      <c r="F312" s="42" t="s">
        <v>112</v>
      </c>
    </row>
    <row r="313" spans="1:6" ht="41.4" x14ac:dyDescent="0.25">
      <c r="A313" s="42" t="s">
        <v>913</v>
      </c>
      <c r="B313" s="42" t="s">
        <v>914</v>
      </c>
      <c r="C313" s="43" t="s">
        <v>663</v>
      </c>
      <c r="D313" s="42" t="s">
        <v>915</v>
      </c>
      <c r="E313" s="43" t="s">
        <v>107</v>
      </c>
      <c r="F313" s="42" t="s">
        <v>112</v>
      </c>
    </row>
    <row r="314" spans="1:6" ht="27.6" x14ac:dyDescent="0.25">
      <c r="A314" s="42" t="s">
        <v>916</v>
      </c>
      <c r="B314" s="42" t="s">
        <v>917</v>
      </c>
      <c r="C314" s="43" t="s">
        <v>663</v>
      </c>
      <c r="D314" s="42" t="s">
        <v>912</v>
      </c>
      <c r="E314" s="43" t="s">
        <v>107</v>
      </c>
      <c r="F314" s="42" t="s">
        <v>112</v>
      </c>
    </row>
    <row r="315" spans="1:6" ht="41.4" x14ac:dyDescent="0.25">
      <c r="A315" s="42" t="s">
        <v>918</v>
      </c>
      <c r="B315" s="42" t="s">
        <v>919</v>
      </c>
      <c r="C315" s="43" t="s">
        <v>663</v>
      </c>
      <c r="D315" s="42" t="s">
        <v>920</v>
      </c>
      <c r="E315" s="43" t="s">
        <v>107</v>
      </c>
      <c r="F315" s="42" t="s">
        <v>539</v>
      </c>
    </row>
    <row r="316" spans="1:6" ht="41.4" x14ac:dyDescent="0.25">
      <c r="A316" s="47" t="s">
        <v>921</v>
      </c>
      <c r="B316" s="47" t="s">
        <v>922</v>
      </c>
      <c r="C316" s="48" t="s">
        <v>663</v>
      </c>
      <c r="D316" s="47" t="s">
        <v>923</v>
      </c>
      <c r="E316" s="48" t="s">
        <v>107</v>
      </c>
      <c r="F316" s="47" t="s">
        <v>539</v>
      </c>
    </row>
    <row r="317" spans="1:6" ht="41.4" x14ac:dyDescent="0.25">
      <c r="A317" s="35" t="s">
        <v>924</v>
      </c>
      <c r="B317" s="35" t="s">
        <v>925</v>
      </c>
      <c r="C317" s="41" t="s">
        <v>110</v>
      </c>
      <c r="D317" s="36"/>
      <c r="E317" s="36"/>
      <c r="F317" s="36"/>
    </row>
    <row r="318" spans="1:6" ht="41.4" x14ac:dyDescent="0.25">
      <c r="A318" s="42" t="s">
        <v>926</v>
      </c>
      <c r="B318" s="42" t="s">
        <v>927</v>
      </c>
      <c r="C318" s="43" t="s">
        <v>663</v>
      </c>
      <c r="D318" s="42" t="s">
        <v>928</v>
      </c>
      <c r="E318" s="43" t="s">
        <v>107</v>
      </c>
      <c r="F318" s="42" t="s">
        <v>365</v>
      </c>
    </row>
    <row r="319" spans="1:6" ht="27.6" x14ac:dyDescent="0.25">
      <c r="A319" s="42" t="s">
        <v>929</v>
      </c>
      <c r="B319" s="42" t="s">
        <v>930</v>
      </c>
      <c r="C319" s="43" t="s">
        <v>663</v>
      </c>
      <c r="D319" s="42" t="s">
        <v>931</v>
      </c>
      <c r="E319" s="43" t="s">
        <v>107</v>
      </c>
      <c r="F319" s="42" t="s">
        <v>157</v>
      </c>
    </row>
    <row r="320" spans="1:6" ht="27.6" x14ac:dyDescent="0.25">
      <c r="A320" s="42" t="s">
        <v>932</v>
      </c>
      <c r="B320" s="42" t="s">
        <v>933</v>
      </c>
      <c r="C320" s="43" t="s">
        <v>663</v>
      </c>
      <c r="D320" s="42" t="s">
        <v>934</v>
      </c>
      <c r="E320" s="43" t="s">
        <v>107</v>
      </c>
      <c r="F320" s="42" t="s">
        <v>582</v>
      </c>
    </row>
    <row r="321" spans="1:6" ht="27.6" x14ac:dyDescent="0.25">
      <c r="A321" s="42" t="s">
        <v>935</v>
      </c>
      <c r="B321" s="42" t="s">
        <v>936</v>
      </c>
      <c r="C321" s="43" t="s">
        <v>663</v>
      </c>
      <c r="D321" s="42" t="s">
        <v>107</v>
      </c>
      <c r="E321" s="43" t="s">
        <v>107</v>
      </c>
      <c r="F321" s="42" t="s">
        <v>582</v>
      </c>
    </row>
    <row r="322" spans="1:6" ht="27.6" x14ac:dyDescent="0.25">
      <c r="A322" s="42" t="s">
        <v>937</v>
      </c>
      <c r="B322" s="42" t="s">
        <v>938</v>
      </c>
      <c r="C322" s="43" t="s">
        <v>663</v>
      </c>
      <c r="D322" s="42" t="s">
        <v>939</v>
      </c>
      <c r="E322" s="43" t="s">
        <v>107</v>
      </c>
      <c r="F322" s="42" t="s">
        <v>582</v>
      </c>
    </row>
    <row r="323" spans="1:6" ht="27.6" x14ac:dyDescent="0.25">
      <c r="A323" s="42" t="s">
        <v>940</v>
      </c>
      <c r="B323" s="42" t="s">
        <v>941</v>
      </c>
      <c r="C323" s="43" t="s">
        <v>663</v>
      </c>
      <c r="D323" s="42" t="s">
        <v>942</v>
      </c>
      <c r="E323" s="43" t="s">
        <v>943</v>
      </c>
      <c r="F323" s="42" t="s">
        <v>157</v>
      </c>
    </row>
    <row r="324" spans="1:6" ht="27.6" x14ac:dyDescent="0.25">
      <c r="A324" s="42" t="s">
        <v>944</v>
      </c>
      <c r="B324" s="42" t="s">
        <v>945</v>
      </c>
      <c r="C324" s="43" t="s">
        <v>663</v>
      </c>
      <c r="D324" s="42" t="s">
        <v>946</v>
      </c>
      <c r="E324" s="43" t="s">
        <v>107</v>
      </c>
      <c r="F324" s="42" t="s">
        <v>157</v>
      </c>
    </row>
    <row r="325" spans="1:6" ht="41.4" x14ac:dyDescent="0.25">
      <c r="A325" s="42" t="s">
        <v>947</v>
      </c>
      <c r="B325" s="42" t="s">
        <v>948</v>
      </c>
      <c r="C325" s="43" t="s">
        <v>663</v>
      </c>
      <c r="D325" s="42" t="s">
        <v>949</v>
      </c>
      <c r="E325" s="43" t="s">
        <v>107</v>
      </c>
      <c r="F325" s="42" t="s">
        <v>193</v>
      </c>
    </row>
    <row r="326" spans="1:6" ht="27.6" x14ac:dyDescent="0.25">
      <c r="A326" s="42" t="s">
        <v>950</v>
      </c>
      <c r="B326" s="42" t="s">
        <v>951</v>
      </c>
      <c r="C326" s="43" t="s">
        <v>663</v>
      </c>
      <c r="D326" s="42" t="s">
        <v>952</v>
      </c>
      <c r="E326" s="43" t="s">
        <v>107</v>
      </c>
      <c r="F326" s="42" t="s">
        <v>112</v>
      </c>
    </row>
    <row r="327" spans="1:6" ht="27.6" x14ac:dyDescent="0.25">
      <c r="A327" s="42" t="s">
        <v>953</v>
      </c>
      <c r="B327" s="42" t="s">
        <v>954</v>
      </c>
      <c r="C327" s="43" t="s">
        <v>663</v>
      </c>
      <c r="D327" s="42" t="s">
        <v>955</v>
      </c>
      <c r="E327" s="43" t="s">
        <v>107</v>
      </c>
      <c r="F327" s="42" t="s">
        <v>112</v>
      </c>
    </row>
    <row r="328" spans="1:6" ht="55.2" x14ac:dyDescent="0.25">
      <c r="A328" s="42" t="s">
        <v>956</v>
      </c>
      <c r="B328" s="42" t="s">
        <v>957</v>
      </c>
      <c r="C328" s="43" t="s">
        <v>663</v>
      </c>
      <c r="D328" s="42" t="s">
        <v>958</v>
      </c>
      <c r="E328" s="43" t="s">
        <v>107</v>
      </c>
      <c r="F328" s="42" t="s">
        <v>386</v>
      </c>
    </row>
    <row r="329" spans="1:6" ht="55.2" x14ac:dyDescent="0.25">
      <c r="A329" s="42" t="s">
        <v>959</v>
      </c>
      <c r="B329" s="42" t="s">
        <v>960</v>
      </c>
      <c r="C329" s="43" t="s">
        <v>663</v>
      </c>
      <c r="D329" s="42" t="s">
        <v>958</v>
      </c>
      <c r="E329" s="43" t="s">
        <v>107</v>
      </c>
      <c r="F329" s="42" t="s">
        <v>386</v>
      </c>
    </row>
    <row r="330" spans="1:6" ht="41.4" x14ac:dyDescent="0.25">
      <c r="A330" s="42" t="s">
        <v>961</v>
      </c>
      <c r="B330" s="42" t="s">
        <v>962</v>
      </c>
      <c r="C330" s="43" t="s">
        <v>663</v>
      </c>
      <c r="D330" s="42" t="s">
        <v>958</v>
      </c>
      <c r="E330" s="43" t="s">
        <v>107</v>
      </c>
      <c r="F330" s="42" t="s">
        <v>386</v>
      </c>
    </row>
    <row r="331" spans="1:6" ht="41.4" x14ac:dyDescent="0.25">
      <c r="A331" s="42" t="s">
        <v>963</v>
      </c>
      <c r="B331" s="42" t="s">
        <v>964</v>
      </c>
      <c r="C331" s="43" t="s">
        <v>663</v>
      </c>
      <c r="D331" s="42" t="s">
        <v>965</v>
      </c>
      <c r="E331" s="43" t="s">
        <v>107</v>
      </c>
      <c r="F331" s="42" t="s">
        <v>386</v>
      </c>
    </row>
    <row r="332" spans="1:6" ht="41.4" x14ac:dyDescent="0.25">
      <c r="A332" s="42" t="s">
        <v>966</v>
      </c>
      <c r="B332" s="42" t="s">
        <v>967</v>
      </c>
      <c r="C332" s="43" t="s">
        <v>663</v>
      </c>
      <c r="D332" s="42" t="s">
        <v>968</v>
      </c>
      <c r="E332" s="43" t="s">
        <v>107</v>
      </c>
      <c r="F332" s="42" t="s">
        <v>112</v>
      </c>
    </row>
    <row r="333" spans="1:6" ht="41.4" x14ac:dyDescent="0.25">
      <c r="A333" s="42" t="s">
        <v>969</v>
      </c>
      <c r="B333" s="42" t="s">
        <v>970</v>
      </c>
      <c r="C333" s="43" t="s">
        <v>663</v>
      </c>
      <c r="D333" s="42" t="s">
        <v>971</v>
      </c>
      <c r="E333" s="43" t="s">
        <v>107</v>
      </c>
      <c r="F333" s="42" t="s">
        <v>193</v>
      </c>
    </row>
    <row r="334" spans="1:6" ht="41.4" x14ac:dyDescent="0.25">
      <c r="A334" s="42" t="s">
        <v>972</v>
      </c>
      <c r="B334" s="42" t="s">
        <v>973</v>
      </c>
      <c r="C334" s="43" t="s">
        <v>663</v>
      </c>
      <c r="D334" s="42" t="s">
        <v>974</v>
      </c>
      <c r="E334" s="43" t="s">
        <v>107</v>
      </c>
      <c r="F334" s="42" t="s">
        <v>509</v>
      </c>
    </row>
    <row r="335" spans="1:6" ht="55.2" x14ac:dyDescent="0.25">
      <c r="A335" s="42" t="s">
        <v>975</v>
      </c>
      <c r="B335" s="42" t="s">
        <v>976</v>
      </c>
      <c r="C335" s="43" t="s">
        <v>663</v>
      </c>
      <c r="D335" s="42" t="s">
        <v>107</v>
      </c>
      <c r="E335" s="43" t="s">
        <v>107</v>
      </c>
      <c r="F335" s="42" t="s">
        <v>509</v>
      </c>
    </row>
    <row r="336" spans="1:6" ht="41.4" x14ac:dyDescent="0.25">
      <c r="A336" s="42" t="s">
        <v>977</v>
      </c>
      <c r="B336" s="42" t="s">
        <v>978</v>
      </c>
      <c r="C336" s="43" t="s">
        <v>663</v>
      </c>
      <c r="D336" s="42" t="s">
        <v>979</v>
      </c>
      <c r="E336" s="43" t="s">
        <v>107</v>
      </c>
      <c r="F336" s="42" t="s">
        <v>509</v>
      </c>
    </row>
    <row r="337" spans="1:6" ht="41.4" x14ac:dyDescent="0.25">
      <c r="A337" s="42" t="s">
        <v>980</v>
      </c>
      <c r="B337" s="42" t="s">
        <v>981</v>
      </c>
      <c r="C337" s="43" t="s">
        <v>663</v>
      </c>
      <c r="D337" s="42" t="s">
        <v>982</v>
      </c>
      <c r="E337" s="43" t="s">
        <v>107</v>
      </c>
      <c r="F337" s="42" t="s">
        <v>112</v>
      </c>
    </row>
    <row r="338" spans="1:6" ht="41.4" x14ac:dyDescent="0.25">
      <c r="A338" s="42" t="s">
        <v>983</v>
      </c>
      <c r="B338" s="42" t="s">
        <v>984</v>
      </c>
      <c r="C338" s="43" t="s">
        <v>663</v>
      </c>
      <c r="D338" s="42" t="s">
        <v>985</v>
      </c>
      <c r="E338" s="43" t="s">
        <v>107</v>
      </c>
      <c r="F338" s="42" t="s">
        <v>112</v>
      </c>
    </row>
    <row r="339" spans="1:6" ht="41.4" x14ac:dyDescent="0.25">
      <c r="A339" s="42" t="s">
        <v>986</v>
      </c>
      <c r="B339" s="42" t="s">
        <v>987</v>
      </c>
      <c r="C339" s="43" t="s">
        <v>663</v>
      </c>
      <c r="D339" s="42" t="s">
        <v>988</v>
      </c>
      <c r="E339" s="43" t="s">
        <v>107</v>
      </c>
      <c r="F339" s="42" t="s">
        <v>165</v>
      </c>
    </row>
    <row r="340" spans="1:6" ht="27.6" x14ac:dyDescent="0.3">
      <c r="A340" s="42" t="s">
        <v>989</v>
      </c>
      <c r="B340" s="46" t="s">
        <v>990</v>
      </c>
      <c r="C340" s="43" t="s">
        <v>682</v>
      </c>
      <c r="D340" s="42" t="s">
        <v>991</v>
      </c>
      <c r="E340" s="43" t="s">
        <v>107</v>
      </c>
      <c r="F340" s="42" t="s">
        <v>992</v>
      </c>
    </row>
    <row r="341" spans="1:6" ht="27.6" x14ac:dyDescent="0.3">
      <c r="A341" s="42" t="s">
        <v>993</v>
      </c>
      <c r="B341" s="46" t="s">
        <v>994</v>
      </c>
      <c r="C341" s="43" t="s">
        <v>682</v>
      </c>
      <c r="D341" s="42" t="s">
        <v>995</v>
      </c>
      <c r="E341" s="43" t="s">
        <v>107</v>
      </c>
      <c r="F341" s="42" t="s">
        <v>992</v>
      </c>
    </row>
    <row r="342" spans="1:6" ht="27.6" x14ac:dyDescent="0.3">
      <c r="A342" s="42" t="s">
        <v>996</v>
      </c>
      <c r="B342" s="46" t="s">
        <v>997</v>
      </c>
      <c r="C342" s="43" t="s">
        <v>682</v>
      </c>
      <c r="D342" s="42" t="s">
        <v>998</v>
      </c>
      <c r="E342" s="43" t="s">
        <v>107</v>
      </c>
      <c r="F342" s="42" t="s">
        <v>992</v>
      </c>
    </row>
    <row r="343" spans="1:6" ht="27.6" x14ac:dyDescent="0.3">
      <c r="A343" s="42" t="s">
        <v>999</v>
      </c>
      <c r="B343" s="46" t="s">
        <v>1000</v>
      </c>
      <c r="C343" s="43" t="s">
        <v>682</v>
      </c>
      <c r="D343" s="42" t="s">
        <v>1001</v>
      </c>
      <c r="E343" s="43" t="s">
        <v>107</v>
      </c>
      <c r="F343" s="42" t="s">
        <v>992</v>
      </c>
    </row>
    <row r="344" spans="1:6" ht="27.6" x14ac:dyDescent="0.25">
      <c r="A344" s="42" t="s">
        <v>1002</v>
      </c>
      <c r="B344" s="42" t="s">
        <v>1003</v>
      </c>
      <c r="C344" s="43" t="s">
        <v>682</v>
      </c>
      <c r="D344" s="42" t="s">
        <v>1004</v>
      </c>
      <c r="E344" s="43" t="s">
        <v>107</v>
      </c>
      <c r="F344" s="42" t="s">
        <v>992</v>
      </c>
    </row>
    <row r="345" spans="1:6" ht="41.4" x14ac:dyDescent="0.25">
      <c r="A345" s="42" t="s">
        <v>1005</v>
      </c>
      <c r="B345" s="42" t="s">
        <v>1006</v>
      </c>
      <c r="C345" s="43" t="s">
        <v>663</v>
      </c>
      <c r="D345" s="42" t="s">
        <v>1007</v>
      </c>
      <c r="E345" s="43" t="s">
        <v>107</v>
      </c>
      <c r="F345" s="42" t="s">
        <v>1008</v>
      </c>
    </row>
    <row r="346" spans="1:6" ht="41.4" x14ac:dyDescent="0.25">
      <c r="A346" s="42" t="s">
        <v>1009</v>
      </c>
      <c r="B346" s="42" t="s">
        <v>1010</v>
      </c>
      <c r="C346" s="43" t="s">
        <v>663</v>
      </c>
      <c r="D346" s="42" t="s">
        <v>1011</v>
      </c>
      <c r="E346" s="43" t="s">
        <v>107</v>
      </c>
      <c r="F346" s="42" t="s">
        <v>193</v>
      </c>
    </row>
    <row r="347" spans="1:6" ht="27.6" x14ac:dyDescent="0.25">
      <c r="A347" s="42" t="s">
        <v>1012</v>
      </c>
      <c r="B347" s="42" t="s">
        <v>1013</v>
      </c>
      <c r="C347" s="43" t="s">
        <v>663</v>
      </c>
      <c r="D347" s="42" t="s">
        <v>1014</v>
      </c>
      <c r="E347" s="43" t="s">
        <v>107</v>
      </c>
      <c r="F347" s="42" t="s">
        <v>386</v>
      </c>
    </row>
    <row r="348" spans="1:6" ht="41.4" x14ac:dyDescent="0.25">
      <c r="A348" s="42" t="s">
        <v>1015</v>
      </c>
      <c r="B348" s="42" t="s">
        <v>1016</v>
      </c>
      <c r="C348" s="43" t="s">
        <v>682</v>
      </c>
      <c r="D348" s="42" t="s">
        <v>1017</v>
      </c>
      <c r="E348" s="43" t="s">
        <v>107</v>
      </c>
      <c r="F348" s="42" t="s">
        <v>473</v>
      </c>
    </row>
    <row r="349" spans="1:6" ht="41.4" x14ac:dyDescent="0.25">
      <c r="A349" s="42" t="s">
        <v>1018</v>
      </c>
      <c r="B349" s="42" t="s">
        <v>1019</v>
      </c>
      <c r="C349" s="43" t="s">
        <v>682</v>
      </c>
      <c r="D349" s="42" t="s">
        <v>1020</v>
      </c>
      <c r="E349" s="43" t="s">
        <v>107</v>
      </c>
      <c r="F349" s="42" t="s">
        <v>210</v>
      </c>
    </row>
    <row r="350" spans="1:6" ht="13.8" x14ac:dyDescent="0.3">
      <c r="A350" s="42" t="s">
        <v>1021</v>
      </c>
      <c r="B350" s="46" t="s">
        <v>1022</v>
      </c>
      <c r="C350" s="43" t="s">
        <v>663</v>
      </c>
      <c r="D350" s="42" t="s">
        <v>1023</v>
      </c>
      <c r="E350" s="43" t="s">
        <v>107</v>
      </c>
      <c r="F350" s="42" t="s">
        <v>365</v>
      </c>
    </row>
    <row r="351" spans="1:6" ht="41.4" x14ac:dyDescent="0.25">
      <c r="A351" s="42" t="s">
        <v>1024</v>
      </c>
      <c r="B351" s="42" t="s">
        <v>1025</v>
      </c>
      <c r="C351" s="43" t="s">
        <v>663</v>
      </c>
      <c r="D351" s="42" t="s">
        <v>1026</v>
      </c>
      <c r="E351" s="43" t="s">
        <v>107</v>
      </c>
      <c r="F351" s="42" t="s">
        <v>1027</v>
      </c>
    </row>
    <row r="352" spans="1:6" ht="27.6" x14ac:dyDescent="0.25">
      <c r="A352" s="42" t="s">
        <v>1028</v>
      </c>
      <c r="B352" s="42" t="s">
        <v>1029</v>
      </c>
      <c r="C352" s="43" t="s">
        <v>663</v>
      </c>
      <c r="D352" s="42" t="s">
        <v>1030</v>
      </c>
      <c r="E352" s="43" t="s">
        <v>107</v>
      </c>
      <c r="F352" s="42" t="s">
        <v>1031</v>
      </c>
    </row>
    <row r="353" spans="1:6" ht="27.6" x14ac:dyDescent="0.25">
      <c r="A353" s="42" t="s">
        <v>1032</v>
      </c>
      <c r="B353" s="42" t="s">
        <v>1033</v>
      </c>
      <c r="C353" s="43" t="s">
        <v>663</v>
      </c>
      <c r="D353" s="42" t="s">
        <v>1034</v>
      </c>
      <c r="E353" s="43" t="s">
        <v>1035</v>
      </c>
      <c r="F353" s="42" t="s">
        <v>1031</v>
      </c>
    </row>
    <row r="354" spans="1:6" ht="27.6" x14ac:dyDescent="0.25">
      <c r="A354" s="42" t="s">
        <v>1036</v>
      </c>
      <c r="B354" s="42" t="s">
        <v>1037</v>
      </c>
      <c r="C354" s="43" t="s">
        <v>682</v>
      </c>
      <c r="D354" s="42" t="s">
        <v>1038</v>
      </c>
      <c r="E354" s="43" t="s">
        <v>107</v>
      </c>
      <c r="F354" s="42" t="s">
        <v>112</v>
      </c>
    </row>
    <row r="355" spans="1:6" ht="41.4" x14ac:dyDescent="0.25">
      <c r="A355" s="42" t="s">
        <v>1039</v>
      </c>
      <c r="B355" s="42" t="s">
        <v>1040</v>
      </c>
      <c r="C355" s="43" t="s">
        <v>682</v>
      </c>
      <c r="D355" s="42" t="s">
        <v>1041</v>
      </c>
      <c r="E355" s="43" t="s">
        <v>107</v>
      </c>
      <c r="F355" s="42" t="s">
        <v>992</v>
      </c>
    </row>
    <row r="356" spans="1:6" ht="27.6" x14ac:dyDescent="0.25">
      <c r="A356" s="42" t="s">
        <v>1042</v>
      </c>
      <c r="B356" s="42" t="s">
        <v>1043</v>
      </c>
      <c r="C356" s="43" t="s">
        <v>663</v>
      </c>
      <c r="D356" s="42" t="s">
        <v>107</v>
      </c>
      <c r="E356" s="43" t="s">
        <v>107</v>
      </c>
      <c r="F356" s="42" t="s">
        <v>165</v>
      </c>
    </row>
    <row r="357" spans="1:6" ht="27.6" x14ac:dyDescent="0.25">
      <c r="A357" s="42" t="s">
        <v>1044</v>
      </c>
      <c r="B357" s="42" t="s">
        <v>1045</v>
      </c>
      <c r="C357" s="43" t="s">
        <v>682</v>
      </c>
      <c r="D357" s="42" t="s">
        <v>1046</v>
      </c>
      <c r="E357" s="43" t="s">
        <v>107</v>
      </c>
      <c r="F357" s="42" t="s">
        <v>112</v>
      </c>
    </row>
    <row r="358" spans="1:6" ht="27.6" x14ac:dyDescent="0.25">
      <c r="A358" s="42" t="s">
        <v>1047</v>
      </c>
      <c r="B358" s="42" t="s">
        <v>1048</v>
      </c>
      <c r="C358" s="43" t="s">
        <v>663</v>
      </c>
      <c r="D358" s="42" t="s">
        <v>1049</v>
      </c>
      <c r="E358" s="43" t="s">
        <v>107</v>
      </c>
      <c r="F358" s="42" t="s">
        <v>112</v>
      </c>
    </row>
    <row r="359" spans="1:6" ht="41.4" x14ac:dyDescent="0.25">
      <c r="A359" s="42" t="s">
        <v>1050</v>
      </c>
      <c r="B359" s="42" t="s">
        <v>1051</v>
      </c>
      <c r="C359" s="43" t="s">
        <v>663</v>
      </c>
      <c r="D359" s="42" t="s">
        <v>1052</v>
      </c>
      <c r="E359" s="43" t="s">
        <v>107</v>
      </c>
      <c r="F359" s="42" t="s">
        <v>112</v>
      </c>
    </row>
    <row r="360" spans="1:6" ht="41.4" x14ac:dyDescent="0.25">
      <c r="A360" s="42" t="s">
        <v>1053</v>
      </c>
      <c r="B360" s="42" t="s">
        <v>1054</v>
      </c>
      <c r="C360" s="43" t="s">
        <v>663</v>
      </c>
      <c r="D360" s="42" t="s">
        <v>1055</v>
      </c>
      <c r="E360" s="43" t="s">
        <v>107</v>
      </c>
      <c r="F360" s="42" t="s">
        <v>193</v>
      </c>
    </row>
    <row r="361" spans="1:6" ht="27.6" x14ac:dyDescent="0.25">
      <c r="A361" s="42" t="s">
        <v>1056</v>
      </c>
      <c r="B361" s="42" t="s">
        <v>1057</v>
      </c>
      <c r="C361" s="43" t="s">
        <v>663</v>
      </c>
      <c r="D361" s="42" t="s">
        <v>1058</v>
      </c>
      <c r="E361" s="43" t="s">
        <v>107</v>
      </c>
      <c r="F361" s="42" t="s">
        <v>112</v>
      </c>
    </row>
    <row r="362" spans="1:6" ht="41.4" x14ac:dyDescent="0.25">
      <c r="A362" s="42" t="s">
        <v>1059</v>
      </c>
      <c r="B362" s="42" t="s">
        <v>1060</v>
      </c>
      <c r="C362" s="43" t="s">
        <v>682</v>
      </c>
      <c r="D362" s="42" t="s">
        <v>1061</v>
      </c>
      <c r="E362" s="43" t="s">
        <v>107</v>
      </c>
      <c r="F362" s="42" t="s">
        <v>112</v>
      </c>
    </row>
    <row r="363" spans="1:6" ht="41.4" x14ac:dyDescent="0.25">
      <c r="A363" s="42" t="s">
        <v>1062</v>
      </c>
      <c r="B363" s="42" t="s">
        <v>1063</v>
      </c>
      <c r="C363" s="43" t="s">
        <v>663</v>
      </c>
      <c r="D363" s="42" t="s">
        <v>1064</v>
      </c>
      <c r="E363" s="43" t="s">
        <v>107</v>
      </c>
      <c r="F363" s="42" t="s">
        <v>112</v>
      </c>
    </row>
    <row r="364" spans="1:6" ht="41.4" x14ac:dyDescent="0.25">
      <c r="A364" s="42" t="s">
        <v>1065</v>
      </c>
      <c r="B364" s="42" t="s">
        <v>1066</v>
      </c>
      <c r="C364" s="43" t="s">
        <v>663</v>
      </c>
      <c r="D364" s="42" t="s">
        <v>1067</v>
      </c>
      <c r="E364" s="43" t="s">
        <v>107</v>
      </c>
      <c r="F364" s="42" t="s">
        <v>193</v>
      </c>
    </row>
    <row r="365" spans="1:6" ht="41.4" x14ac:dyDescent="0.25">
      <c r="A365" s="42" t="s">
        <v>1068</v>
      </c>
      <c r="B365" s="42" t="s">
        <v>1069</v>
      </c>
      <c r="C365" s="43" t="s">
        <v>663</v>
      </c>
      <c r="D365" s="42" t="s">
        <v>1070</v>
      </c>
      <c r="E365" s="43" t="s">
        <v>107</v>
      </c>
      <c r="F365" s="42" t="s">
        <v>112</v>
      </c>
    </row>
    <row r="366" spans="1:6" ht="41.4" x14ac:dyDescent="0.25">
      <c r="A366" s="42" t="s">
        <v>1071</v>
      </c>
      <c r="B366" s="42" t="s">
        <v>1072</v>
      </c>
      <c r="C366" s="43" t="s">
        <v>663</v>
      </c>
      <c r="D366" s="42" t="s">
        <v>1073</v>
      </c>
      <c r="E366" s="43" t="s">
        <v>107</v>
      </c>
      <c r="F366" s="42" t="s">
        <v>1074</v>
      </c>
    </row>
    <row r="367" spans="1:6" ht="41.4" x14ac:dyDescent="0.25">
      <c r="A367" s="42" t="s">
        <v>1075</v>
      </c>
      <c r="B367" s="42" t="s">
        <v>1076</v>
      </c>
      <c r="C367" s="43" t="s">
        <v>663</v>
      </c>
      <c r="D367" s="42" t="s">
        <v>1077</v>
      </c>
      <c r="E367" s="43" t="s">
        <v>107</v>
      </c>
      <c r="F367" s="42" t="s">
        <v>1078</v>
      </c>
    </row>
    <row r="368" spans="1:6" ht="41.4" x14ac:dyDescent="0.25">
      <c r="A368" s="42" t="s">
        <v>1079</v>
      </c>
      <c r="B368" s="42" t="s">
        <v>1080</v>
      </c>
      <c r="C368" s="43" t="s">
        <v>663</v>
      </c>
      <c r="D368" s="42" t="s">
        <v>1081</v>
      </c>
      <c r="E368" s="43" t="s">
        <v>1082</v>
      </c>
      <c r="F368" s="42" t="s">
        <v>502</v>
      </c>
    </row>
    <row r="369" spans="1:6" ht="41.4" x14ac:dyDescent="0.25">
      <c r="A369" s="42" t="s">
        <v>1083</v>
      </c>
      <c r="B369" s="42" t="s">
        <v>1084</v>
      </c>
      <c r="C369" s="43" t="s">
        <v>663</v>
      </c>
      <c r="D369" s="42" t="s">
        <v>1085</v>
      </c>
      <c r="E369" s="43" t="s">
        <v>107</v>
      </c>
      <c r="F369" s="42" t="s">
        <v>148</v>
      </c>
    </row>
    <row r="370" spans="1:6" ht="41.4" x14ac:dyDescent="0.25">
      <c r="A370" s="42" t="s">
        <v>1086</v>
      </c>
      <c r="B370" s="42" t="s">
        <v>1087</v>
      </c>
      <c r="C370" s="43" t="s">
        <v>663</v>
      </c>
      <c r="D370" s="42" t="s">
        <v>1088</v>
      </c>
      <c r="E370" s="43" t="s">
        <v>107</v>
      </c>
      <c r="F370" s="42" t="s">
        <v>112</v>
      </c>
    </row>
    <row r="371" spans="1:6" ht="41.4" x14ac:dyDescent="0.25">
      <c r="A371" s="42" t="s">
        <v>1089</v>
      </c>
      <c r="B371" s="42" t="s">
        <v>1090</v>
      </c>
      <c r="C371" s="43" t="s">
        <v>682</v>
      </c>
      <c r="D371" s="42" t="s">
        <v>325</v>
      </c>
      <c r="E371" s="43" t="s">
        <v>323</v>
      </c>
      <c r="F371" s="42" t="s">
        <v>274</v>
      </c>
    </row>
    <row r="372" spans="1:6" ht="27.6" x14ac:dyDescent="0.25">
      <c r="A372" s="42" t="s">
        <v>1091</v>
      </c>
      <c r="B372" s="42" t="s">
        <v>1092</v>
      </c>
      <c r="C372" s="43" t="s">
        <v>682</v>
      </c>
      <c r="D372" s="42" t="s">
        <v>1093</v>
      </c>
      <c r="E372" s="43" t="s">
        <v>107</v>
      </c>
      <c r="F372" s="42" t="s">
        <v>157</v>
      </c>
    </row>
    <row r="373" spans="1:6" ht="41.4" x14ac:dyDescent="0.25">
      <c r="A373" s="42" t="s">
        <v>1094</v>
      </c>
      <c r="B373" s="42" t="s">
        <v>1095</v>
      </c>
      <c r="C373" s="43" t="s">
        <v>682</v>
      </c>
      <c r="D373" s="42" t="s">
        <v>1096</v>
      </c>
      <c r="E373" s="43" t="s">
        <v>107</v>
      </c>
      <c r="F373" s="42" t="s">
        <v>112</v>
      </c>
    </row>
    <row r="374" spans="1:6" ht="27.6" x14ac:dyDescent="0.25">
      <c r="A374" s="42" t="s">
        <v>1097</v>
      </c>
      <c r="B374" s="42" t="s">
        <v>1098</v>
      </c>
      <c r="C374" s="43" t="s">
        <v>663</v>
      </c>
      <c r="D374" s="42" t="s">
        <v>1099</v>
      </c>
      <c r="E374" s="43" t="s">
        <v>107</v>
      </c>
      <c r="F374" s="42" t="s">
        <v>112</v>
      </c>
    </row>
    <row r="375" spans="1:6" ht="27.6" x14ac:dyDescent="0.25">
      <c r="A375" s="42" t="s">
        <v>1100</v>
      </c>
      <c r="B375" s="42" t="s">
        <v>1101</v>
      </c>
      <c r="C375" s="43" t="s">
        <v>663</v>
      </c>
      <c r="D375" s="42" t="s">
        <v>1102</v>
      </c>
      <c r="E375" s="43" t="s">
        <v>107</v>
      </c>
      <c r="F375" s="42" t="s">
        <v>1103</v>
      </c>
    </row>
    <row r="376" spans="1:6" ht="27.6" x14ac:dyDescent="0.25">
      <c r="A376" s="42" t="s">
        <v>1104</v>
      </c>
      <c r="B376" s="42" t="s">
        <v>1105</v>
      </c>
      <c r="C376" s="43" t="s">
        <v>663</v>
      </c>
      <c r="D376" s="42" t="s">
        <v>107</v>
      </c>
      <c r="E376" s="43" t="s">
        <v>107</v>
      </c>
      <c r="F376" s="42" t="s">
        <v>1106</v>
      </c>
    </row>
    <row r="377" spans="1:6" ht="27.6" x14ac:dyDescent="0.25">
      <c r="A377" s="42" t="s">
        <v>1107</v>
      </c>
      <c r="B377" s="42" t="s">
        <v>1108</v>
      </c>
      <c r="C377" s="43" t="s">
        <v>663</v>
      </c>
      <c r="D377" s="42" t="s">
        <v>1109</v>
      </c>
      <c r="E377" s="43" t="s">
        <v>107</v>
      </c>
      <c r="F377" s="42" t="s">
        <v>214</v>
      </c>
    </row>
    <row r="378" spans="1:6" ht="27.6" x14ac:dyDescent="0.25">
      <c r="A378" s="42" t="s">
        <v>1110</v>
      </c>
      <c r="B378" s="42" t="s">
        <v>1111</v>
      </c>
      <c r="C378" s="43" t="s">
        <v>663</v>
      </c>
      <c r="D378" s="42" t="s">
        <v>1112</v>
      </c>
      <c r="E378" s="43" t="s">
        <v>107</v>
      </c>
      <c r="F378" s="42" t="s">
        <v>703</v>
      </c>
    </row>
    <row r="379" spans="1:6" ht="27.6" x14ac:dyDescent="0.25">
      <c r="A379" s="42" t="s">
        <v>1113</v>
      </c>
      <c r="B379" s="42" t="s">
        <v>1114</v>
      </c>
      <c r="C379" s="43" t="s">
        <v>682</v>
      </c>
      <c r="D379" s="42" t="s">
        <v>1115</v>
      </c>
      <c r="E379" s="43" t="s">
        <v>107</v>
      </c>
      <c r="F379" s="42" t="s">
        <v>112</v>
      </c>
    </row>
    <row r="380" spans="1:6" ht="13.8" x14ac:dyDescent="0.3">
      <c r="A380" s="45" t="s">
        <v>1116</v>
      </c>
      <c r="B380" s="46" t="s">
        <v>1117</v>
      </c>
      <c r="C380" s="43" t="s">
        <v>663</v>
      </c>
      <c r="D380" s="42" t="s">
        <v>107</v>
      </c>
      <c r="E380" s="46" t="s">
        <v>1118</v>
      </c>
      <c r="F380" s="45" t="s">
        <v>112</v>
      </c>
    </row>
    <row r="381" spans="1:6" ht="27.6" x14ac:dyDescent="0.25">
      <c r="A381" s="42" t="s">
        <v>1119</v>
      </c>
      <c r="B381" s="42" t="s">
        <v>1120</v>
      </c>
      <c r="C381" s="43" t="s">
        <v>682</v>
      </c>
      <c r="D381" s="42" t="s">
        <v>1121</v>
      </c>
      <c r="E381" s="43" t="s">
        <v>107</v>
      </c>
      <c r="F381" s="42" t="s">
        <v>620</v>
      </c>
    </row>
    <row r="382" spans="1:6" ht="13.8" x14ac:dyDescent="0.3">
      <c r="A382" s="45" t="s">
        <v>1122</v>
      </c>
      <c r="B382" s="46" t="s">
        <v>1123</v>
      </c>
      <c r="C382" s="43" t="s">
        <v>682</v>
      </c>
      <c r="D382" s="46" t="s">
        <v>1124</v>
      </c>
      <c r="E382" s="46" t="s">
        <v>107</v>
      </c>
      <c r="F382" s="45" t="s">
        <v>157</v>
      </c>
    </row>
    <row r="383" spans="1:6" ht="27.6" x14ac:dyDescent="0.25">
      <c r="A383" s="42" t="s">
        <v>1125</v>
      </c>
      <c r="B383" s="42" t="s">
        <v>1126</v>
      </c>
      <c r="C383" s="43" t="s">
        <v>663</v>
      </c>
      <c r="D383" s="42" t="s">
        <v>1127</v>
      </c>
      <c r="E383" s="43" t="s">
        <v>107</v>
      </c>
      <c r="F383" s="42" t="s">
        <v>112</v>
      </c>
    </row>
    <row r="384" spans="1:6" ht="27.6" x14ac:dyDescent="0.25">
      <c r="A384" s="42" t="s">
        <v>1128</v>
      </c>
      <c r="B384" s="42" t="s">
        <v>1129</v>
      </c>
      <c r="C384" s="43" t="s">
        <v>663</v>
      </c>
      <c r="D384" s="42" t="s">
        <v>1130</v>
      </c>
      <c r="E384" s="43" t="s">
        <v>107</v>
      </c>
      <c r="F384" s="42" t="s">
        <v>112</v>
      </c>
    </row>
    <row r="385" spans="1:6" ht="27.6" x14ac:dyDescent="0.25">
      <c r="A385" s="42" t="s">
        <v>1131</v>
      </c>
      <c r="B385" s="42" t="s">
        <v>1132</v>
      </c>
      <c r="C385" s="43" t="s">
        <v>663</v>
      </c>
      <c r="D385" s="42" t="s">
        <v>1133</v>
      </c>
      <c r="E385" s="43" t="s">
        <v>107</v>
      </c>
      <c r="F385" s="42" t="s">
        <v>117</v>
      </c>
    </row>
    <row r="386" spans="1:6" ht="27.6" x14ac:dyDescent="0.25">
      <c r="A386" s="42" t="s">
        <v>1134</v>
      </c>
      <c r="B386" s="42" t="s">
        <v>1135</v>
      </c>
      <c r="C386" s="43" t="s">
        <v>663</v>
      </c>
      <c r="D386" s="42" t="s">
        <v>1136</v>
      </c>
      <c r="E386" s="43" t="s">
        <v>107</v>
      </c>
      <c r="F386" s="42" t="s">
        <v>112</v>
      </c>
    </row>
    <row r="387" spans="1:6" ht="41.4" x14ac:dyDescent="0.25">
      <c r="A387" s="42" t="s">
        <v>1137</v>
      </c>
      <c r="B387" s="42" t="s">
        <v>1138</v>
      </c>
      <c r="C387" s="43" t="s">
        <v>663</v>
      </c>
      <c r="D387" s="42" t="s">
        <v>1139</v>
      </c>
      <c r="E387" s="42" t="s">
        <v>107</v>
      </c>
      <c r="F387" s="42" t="s">
        <v>165</v>
      </c>
    </row>
    <row r="388" spans="1:6" ht="27.6" x14ac:dyDescent="0.25">
      <c r="A388" s="42" t="s">
        <v>1140</v>
      </c>
      <c r="B388" s="42" t="s">
        <v>1141</v>
      </c>
      <c r="C388" s="43" t="s">
        <v>682</v>
      </c>
      <c r="D388" s="42" t="s">
        <v>1142</v>
      </c>
      <c r="E388" s="43" t="s">
        <v>107</v>
      </c>
      <c r="F388" s="42" t="s">
        <v>274</v>
      </c>
    </row>
    <row r="389" spans="1:6" ht="41.4" x14ac:dyDescent="0.25">
      <c r="A389" s="42" t="s">
        <v>1143</v>
      </c>
      <c r="B389" s="42" t="s">
        <v>1144</v>
      </c>
      <c r="C389" s="43" t="s">
        <v>663</v>
      </c>
      <c r="D389" s="42" t="s">
        <v>1145</v>
      </c>
      <c r="E389" s="42" t="s">
        <v>107</v>
      </c>
      <c r="F389" s="42" t="s">
        <v>165</v>
      </c>
    </row>
    <row r="390" spans="1:6" ht="27.6" x14ac:dyDescent="0.25">
      <c r="A390" s="42" t="s">
        <v>1146</v>
      </c>
      <c r="B390" s="42" t="s">
        <v>1147</v>
      </c>
      <c r="C390" s="43" t="s">
        <v>663</v>
      </c>
      <c r="D390" s="42" t="s">
        <v>1148</v>
      </c>
      <c r="E390" s="43" t="s">
        <v>107</v>
      </c>
      <c r="F390" s="42" t="s">
        <v>274</v>
      </c>
    </row>
    <row r="391" spans="1:6" ht="41.4" x14ac:dyDescent="0.25">
      <c r="A391" s="42" t="s">
        <v>1149</v>
      </c>
      <c r="B391" s="42" t="s">
        <v>1150</v>
      </c>
      <c r="C391" s="43" t="s">
        <v>663</v>
      </c>
      <c r="D391" s="42" t="s">
        <v>1151</v>
      </c>
      <c r="E391" s="43" t="s">
        <v>107</v>
      </c>
      <c r="F391" s="42" t="s">
        <v>112</v>
      </c>
    </row>
    <row r="392" spans="1:6" ht="41.4" x14ac:dyDescent="0.25">
      <c r="A392" s="42" t="s">
        <v>1152</v>
      </c>
      <c r="B392" s="42" t="s">
        <v>1153</v>
      </c>
      <c r="C392" s="43" t="s">
        <v>663</v>
      </c>
      <c r="D392" s="42" t="s">
        <v>1154</v>
      </c>
      <c r="E392" s="42" t="s">
        <v>1155</v>
      </c>
      <c r="F392" s="42" t="s">
        <v>165</v>
      </c>
    </row>
    <row r="393" spans="1:6" ht="41.4" x14ac:dyDescent="0.25">
      <c r="A393" s="42" t="s">
        <v>1156</v>
      </c>
      <c r="B393" s="42" t="s">
        <v>1157</v>
      </c>
      <c r="C393" s="43" t="s">
        <v>663</v>
      </c>
      <c r="D393" s="42" t="s">
        <v>1158</v>
      </c>
      <c r="E393" s="43" t="s">
        <v>107</v>
      </c>
      <c r="F393" s="42" t="s">
        <v>165</v>
      </c>
    </row>
    <row r="394" spans="1:6" ht="27.6" x14ac:dyDescent="0.25">
      <c r="A394" s="42" t="s">
        <v>1159</v>
      </c>
      <c r="B394" s="42" t="s">
        <v>1160</v>
      </c>
      <c r="C394" s="43" t="s">
        <v>663</v>
      </c>
      <c r="D394" s="42" t="s">
        <v>1161</v>
      </c>
      <c r="E394" s="43" t="s">
        <v>107</v>
      </c>
      <c r="F394" s="42" t="s">
        <v>112</v>
      </c>
    </row>
    <row r="395" spans="1:6" ht="27.6" x14ac:dyDescent="0.3">
      <c r="A395" s="45" t="s">
        <v>1162</v>
      </c>
      <c r="B395" s="42" t="s">
        <v>1163</v>
      </c>
      <c r="C395" s="43" t="s">
        <v>682</v>
      </c>
      <c r="D395" s="42" t="s">
        <v>107</v>
      </c>
      <c r="E395" s="43" t="s">
        <v>1164</v>
      </c>
      <c r="F395" s="42" t="s">
        <v>112</v>
      </c>
    </row>
    <row r="396" spans="1:6" ht="27.6" x14ac:dyDescent="0.3">
      <c r="A396" s="45" t="s">
        <v>1165</v>
      </c>
      <c r="B396" s="45" t="s">
        <v>1166</v>
      </c>
      <c r="C396" s="43" t="s">
        <v>682</v>
      </c>
      <c r="D396" s="45" t="s">
        <v>107</v>
      </c>
      <c r="E396" s="46" t="s">
        <v>1167</v>
      </c>
      <c r="F396" s="42" t="s">
        <v>157</v>
      </c>
    </row>
    <row r="397" spans="1:6" ht="27.6" x14ac:dyDescent="0.3">
      <c r="A397" s="45" t="s">
        <v>1168</v>
      </c>
      <c r="B397" s="45" t="s">
        <v>1169</v>
      </c>
      <c r="C397" s="43" t="s">
        <v>663</v>
      </c>
      <c r="D397" s="45" t="s">
        <v>1170</v>
      </c>
      <c r="E397" s="46" t="s">
        <v>107</v>
      </c>
      <c r="F397" s="42" t="s">
        <v>1171</v>
      </c>
    </row>
    <row r="398" spans="1:6" ht="41.4" x14ac:dyDescent="0.25">
      <c r="A398" s="42" t="s">
        <v>1172</v>
      </c>
      <c r="B398" s="42" t="s">
        <v>670</v>
      </c>
      <c r="C398" s="43" t="s">
        <v>663</v>
      </c>
      <c r="D398" s="42" t="s">
        <v>107</v>
      </c>
      <c r="E398" s="43" t="s">
        <v>129</v>
      </c>
      <c r="F398" s="42" t="s">
        <v>117</v>
      </c>
    </row>
    <row r="399" spans="1:6" ht="41.4" x14ac:dyDescent="0.25">
      <c r="A399" s="42" t="s">
        <v>1173</v>
      </c>
      <c r="B399" s="42" t="s">
        <v>666</v>
      </c>
      <c r="C399" s="43" t="s">
        <v>663</v>
      </c>
      <c r="D399" s="42" t="s">
        <v>107</v>
      </c>
      <c r="E399" s="43" t="s">
        <v>116</v>
      </c>
      <c r="F399" s="42" t="s">
        <v>117</v>
      </c>
    </row>
    <row r="400" spans="1:6" ht="41.4" x14ac:dyDescent="0.25">
      <c r="A400" s="42" t="s">
        <v>1174</v>
      </c>
      <c r="B400" s="42" t="s">
        <v>668</v>
      </c>
      <c r="C400" s="43" t="s">
        <v>663</v>
      </c>
      <c r="D400" s="42" t="s">
        <v>107</v>
      </c>
      <c r="E400" s="43" t="s">
        <v>121</v>
      </c>
      <c r="F400" s="42" t="s">
        <v>117</v>
      </c>
    </row>
    <row r="401" spans="1:6" ht="41.4" x14ac:dyDescent="0.25">
      <c r="A401" s="42" t="s">
        <v>1175</v>
      </c>
      <c r="B401" s="42" t="s">
        <v>675</v>
      </c>
      <c r="C401" s="43" t="s">
        <v>663</v>
      </c>
      <c r="D401" s="42" t="s">
        <v>107</v>
      </c>
      <c r="E401" s="43" t="s">
        <v>139</v>
      </c>
      <c r="F401" s="42" t="s">
        <v>117</v>
      </c>
    </row>
    <row r="402" spans="1:6" ht="27.6" x14ac:dyDescent="0.3">
      <c r="A402" s="45" t="s">
        <v>1176</v>
      </c>
      <c r="B402" s="45" t="s">
        <v>1177</v>
      </c>
      <c r="C402" s="43" t="s">
        <v>663</v>
      </c>
      <c r="D402" s="45" t="s">
        <v>1178</v>
      </c>
      <c r="E402" s="46" t="s">
        <v>107</v>
      </c>
      <c r="F402" s="42" t="s">
        <v>117</v>
      </c>
    </row>
    <row r="403" spans="1:6" ht="27.6" x14ac:dyDescent="0.25">
      <c r="A403" s="42" t="s">
        <v>1179</v>
      </c>
      <c r="B403" s="42" t="s">
        <v>1180</v>
      </c>
      <c r="C403" s="43" t="s">
        <v>663</v>
      </c>
      <c r="D403" s="42" t="s">
        <v>1181</v>
      </c>
      <c r="E403" s="43" t="s">
        <v>107</v>
      </c>
      <c r="F403" s="42" t="s">
        <v>117</v>
      </c>
    </row>
    <row r="404" spans="1:6" ht="27.6" x14ac:dyDescent="0.25">
      <c r="A404" s="42" t="s">
        <v>1182</v>
      </c>
      <c r="B404" s="42" t="s">
        <v>1183</v>
      </c>
      <c r="C404" s="43" t="s">
        <v>663</v>
      </c>
      <c r="D404" s="42" t="s">
        <v>1184</v>
      </c>
      <c r="E404" s="43" t="s">
        <v>107</v>
      </c>
      <c r="F404" s="42" t="s">
        <v>117</v>
      </c>
    </row>
    <row r="405" spans="1:6" ht="27.6" x14ac:dyDescent="0.25">
      <c r="A405" s="42" t="s">
        <v>1185</v>
      </c>
      <c r="B405" s="42" t="s">
        <v>1186</v>
      </c>
      <c r="C405" s="43" t="s">
        <v>663</v>
      </c>
      <c r="D405" s="42" t="s">
        <v>1178</v>
      </c>
      <c r="E405" s="43" t="s">
        <v>1187</v>
      </c>
      <c r="F405" s="42" t="s">
        <v>117</v>
      </c>
    </row>
    <row r="406" spans="1:6" ht="27.6" x14ac:dyDescent="0.25">
      <c r="A406" s="42" t="s">
        <v>1188</v>
      </c>
      <c r="B406" s="42" t="s">
        <v>1189</v>
      </c>
      <c r="C406" s="43" t="s">
        <v>663</v>
      </c>
      <c r="D406" s="42" t="s">
        <v>1190</v>
      </c>
      <c r="E406" s="43" t="s">
        <v>107</v>
      </c>
      <c r="F406" s="42" t="s">
        <v>117</v>
      </c>
    </row>
    <row r="407" spans="1:6" ht="27.6" x14ac:dyDescent="0.25">
      <c r="A407" s="42" t="s">
        <v>1191</v>
      </c>
      <c r="B407" s="42" t="s">
        <v>1192</v>
      </c>
      <c r="C407" s="43" t="s">
        <v>663</v>
      </c>
      <c r="D407" s="42" t="s">
        <v>107</v>
      </c>
      <c r="E407" s="43" t="s">
        <v>107</v>
      </c>
      <c r="F407" s="42" t="s">
        <v>117</v>
      </c>
    </row>
    <row r="408" spans="1:6" ht="27.6" x14ac:dyDescent="0.25">
      <c r="A408" s="42" t="s">
        <v>1193</v>
      </c>
      <c r="B408" s="42" t="s">
        <v>1194</v>
      </c>
      <c r="C408" s="43" t="s">
        <v>663</v>
      </c>
      <c r="D408" s="42" t="s">
        <v>1195</v>
      </c>
      <c r="E408" s="43" t="s">
        <v>107</v>
      </c>
      <c r="F408" s="42" t="s">
        <v>117</v>
      </c>
    </row>
    <row r="409" spans="1:6" ht="27.6" x14ac:dyDescent="0.25">
      <c r="A409" s="42" t="s">
        <v>1196</v>
      </c>
      <c r="B409" s="42" t="s">
        <v>1197</v>
      </c>
      <c r="C409" s="43" t="s">
        <v>663</v>
      </c>
      <c r="D409" s="42" t="s">
        <v>1198</v>
      </c>
      <c r="E409" s="43" t="s">
        <v>107</v>
      </c>
      <c r="F409" s="42" t="s">
        <v>117</v>
      </c>
    </row>
    <row r="410" spans="1:6" ht="41.4" x14ac:dyDescent="0.25">
      <c r="A410" s="42" t="s">
        <v>1199</v>
      </c>
      <c r="B410" s="42" t="s">
        <v>1200</v>
      </c>
      <c r="C410" s="43" t="s">
        <v>663</v>
      </c>
      <c r="D410" s="42" t="s">
        <v>1201</v>
      </c>
      <c r="E410" s="43" t="s">
        <v>107</v>
      </c>
      <c r="F410" s="42" t="s">
        <v>1202</v>
      </c>
    </row>
    <row r="411" spans="1:6" ht="27.6" x14ac:dyDescent="0.25">
      <c r="A411" s="42" t="s">
        <v>1203</v>
      </c>
      <c r="B411" s="42" t="s">
        <v>1204</v>
      </c>
      <c r="C411" s="43" t="s">
        <v>663</v>
      </c>
      <c r="D411" s="42" t="s">
        <v>1205</v>
      </c>
      <c r="E411" s="43" t="s">
        <v>107</v>
      </c>
      <c r="F411" s="42" t="s">
        <v>1206</v>
      </c>
    </row>
    <row r="412" spans="1:6" ht="27.6" x14ac:dyDescent="0.25">
      <c r="A412" s="42" t="s">
        <v>1207</v>
      </c>
      <c r="B412" s="42" t="s">
        <v>1208</v>
      </c>
      <c r="C412" s="43" t="s">
        <v>682</v>
      </c>
      <c r="D412" s="42" t="s">
        <v>1209</v>
      </c>
      <c r="E412" s="43" t="s">
        <v>107</v>
      </c>
      <c r="F412" s="42" t="s">
        <v>1202</v>
      </c>
    </row>
    <row r="413" spans="1:6" ht="41.4" x14ac:dyDescent="0.25">
      <c r="A413" s="42" t="s">
        <v>1210</v>
      </c>
      <c r="B413" s="42" t="s">
        <v>1211</v>
      </c>
      <c r="C413" s="43" t="s">
        <v>663</v>
      </c>
      <c r="D413" s="42" t="s">
        <v>1212</v>
      </c>
      <c r="E413" s="43" t="s">
        <v>107</v>
      </c>
      <c r="F413" s="42" t="s">
        <v>112</v>
      </c>
    </row>
    <row r="414" spans="1:6" ht="27.6" x14ac:dyDescent="0.25">
      <c r="A414" s="42" t="s">
        <v>1213</v>
      </c>
      <c r="B414" s="42" t="s">
        <v>1214</v>
      </c>
      <c r="C414" s="43" t="s">
        <v>663</v>
      </c>
      <c r="D414" s="42" t="s">
        <v>1215</v>
      </c>
      <c r="E414" s="43" t="s">
        <v>107</v>
      </c>
      <c r="F414" s="42" t="s">
        <v>629</v>
      </c>
    </row>
    <row r="415" spans="1:6" ht="41.4" x14ac:dyDescent="0.25">
      <c r="A415" s="42" t="s">
        <v>1216</v>
      </c>
      <c r="B415" s="42" t="s">
        <v>1217</v>
      </c>
      <c r="C415" s="43" t="s">
        <v>682</v>
      </c>
      <c r="D415" s="42" t="s">
        <v>1218</v>
      </c>
      <c r="E415" s="43" t="s">
        <v>107</v>
      </c>
      <c r="F415" s="42" t="s">
        <v>620</v>
      </c>
    </row>
    <row r="416" spans="1:6" ht="41.4" x14ac:dyDescent="0.25">
      <c r="A416" s="42" t="s">
        <v>1219</v>
      </c>
      <c r="B416" s="42" t="s">
        <v>1220</v>
      </c>
      <c r="C416" s="43" t="s">
        <v>682</v>
      </c>
      <c r="D416" s="42" t="s">
        <v>1221</v>
      </c>
      <c r="E416" s="43" t="s">
        <v>107</v>
      </c>
      <c r="F416" s="42" t="s">
        <v>117</v>
      </c>
    </row>
    <row r="417" spans="1:6" ht="27.6" x14ac:dyDescent="0.25">
      <c r="A417" s="42" t="s">
        <v>1222</v>
      </c>
      <c r="B417" s="42" t="s">
        <v>1223</v>
      </c>
      <c r="C417" s="43" t="s">
        <v>682</v>
      </c>
      <c r="D417" s="42" t="s">
        <v>1224</v>
      </c>
      <c r="E417" s="43" t="s">
        <v>107</v>
      </c>
      <c r="F417" s="42" t="s">
        <v>117</v>
      </c>
    </row>
    <row r="418" spans="1:6" ht="27.6" x14ac:dyDescent="0.25">
      <c r="A418" s="42" t="s">
        <v>1225</v>
      </c>
      <c r="B418" s="42" t="s">
        <v>1226</v>
      </c>
      <c r="C418" s="43" t="s">
        <v>663</v>
      </c>
      <c r="D418" s="42" t="s">
        <v>107</v>
      </c>
      <c r="E418" s="43" t="s">
        <v>107</v>
      </c>
      <c r="F418" s="42" t="s">
        <v>157</v>
      </c>
    </row>
    <row r="419" spans="1:6" ht="27.6" x14ac:dyDescent="0.25">
      <c r="A419" s="42" t="s">
        <v>1227</v>
      </c>
      <c r="B419" s="42" t="s">
        <v>1228</v>
      </c>
      <c r="C419" s="43" t="s">
        <v>682</v>
      </c>
      <c r="D419" s="42" t="s">
        <v>1229</v>
      </c>
      <c r="E419" s="43" t="s">
        <v>107</v>
      </c>
      <c r="F419" s="42" t="s">
        <v>117</v>
      </c>
    </row>
    <row r="420" spans="1:6" ht="27.6" x14ac:dyDescent="0.25">
      <c r="A420" s="42" t="s">
        <v>1230</v>
      </c>
      <c r="B420" s="42" t="s">
        <v>1231</v>
      </c>
      <c r="C420" s="43" t="s">
        <v>682</v>
      </c>
      <c r="D420" s="42" t="s">
        <v>1232</v>
      </c>
      <c r="E420" s="43" t="s">
        <v>107</v>
      </c>
      <c r="F420" s="42" t="s">
        <v>620</v>
      </c>
    </row>
    <row r="421" spans="1:6" ht="27.6" x14ac:dyDescent="0.25">
      <c r="A421" s="42" t="s">
        <v>1233</v>
      </c>
      <c r="B421" s="42" t="s">
        <v>1234</v>
      </c>
      <c r="C421" s="43" t="s">
        <v>663</v>
      </c>
      <c r="D421" s="42" t="s">
        <v>1235</v>
      </c>
      <c r="E421" s="43" t="s">
        <v>1236</v>
      </c>
      <c r="F421" s="42" t="s">
        <v>1237</v>
      </c>
    </row>
    <row r="422" spans="1:6" ht="27.6" x14ac:dyDescent="0.25">
      <c r="A422" s="42" t="s">
        <v>1238</v>
      </c>
      <c r="B422" s="42" t="s">
        <v>1239</v>
      </c>
      <c r="C422" s="43" t="s">
        <v>663</v>
      </c>
      <c r="D422" s="42" t="s">
        <v>1240</v>
      </c>
      <c r="E422" s="43" t="s">
        <v>1241</v>
      </c>
      <c r="F422" s="42" t="s">
        <v>1237</v>
      </c>
    </row>
    <row r="423" spans="1:6" ht="27.6" x14ac:dyDescent="0.25">
      <c r="A423" s="42" t="s">
        <v>1242</v>
      </c>
      <c r="B423" s="42" t="s">
        <v>1243</v>
      </c>
      <c r="C423" s="43" t="s">
        <v>663</v>
      </c>
      <c r="D423" s="42" t="s">
        <v>1244</v>
      </c>
      <c r="E423" s="43" t="s">
        <v>1245</v>
      </c>
      <c r="F423" s="42" t="s">
        <v>1246</v>
      </c>
    </row>
    <row r="424" spans="1:6" ht="41.4" x14ac:dyDescent="0.25">
      <c r="A424" s="42" t="s">
        <v>1247</v>
      </c>
      <c r="B424" s="42" t="s">
        <v>1248</v>
      </c>
      <c r="C424" s="43" t="s">
        <v>663</v>
      </c>
      <c r="D424" s="42" t="s">
        <v>1249</v>
      </c>
      <c r="E424" s="43" t="s">
        <v>107</v>
      </c>
      <c r="F424" s="42" t="s">
        <v>274</v>
      </c>
    </row>
    <row r="425" spans="1:6" ht="27.6" x14ac:dyDescent="0.25">
      <c r="A425" s="42" t="s">
        <v>1250</v>
      </c>
      <c r="B425" s="42" t="s">
        <v>1251</v>
      </c>
      <c r="C425" s="43" t="s">
        <v>663</v>
      </c>
      <c r="D425" s="42" t="s">
        <v>107</v>
      </c>
      <c r="E425" s="43" t="s">
        <v>107</v>
      </c>
      <c r="F425" s="42" t="s">
        <v>107</v>
      </c>
    </row>
    <row r="426" spans="1:6" ht="27.6" x14ac:dyDescent="0.25">
      <c r="A426" s="42" t="s">
        <v>1250</v>
      </c>
      <c r="B426" s="42" t="s">
        <v>1252</v>
      </c>
      <c r="C426" s="43" t="s">
        <v>663</v>
      </c>
      <c r="D426" s="42" t="s">
        <v>107</v>
      </c>
      <c r="E426" s="43" t="s">
        <v>107</v>
      </c>
      <c r="F426" s="42" t="s">
        <v>107</v>
      </c>
    </row>
    <row r="427" spans="1:6" ht="41.4" x14ac:dyDescent="0.25">
      <c r="A427" s="42" t="s">
        <v>1253</v>
      </c>
      <c r="B427" s="42" t="s">
        <v>1254</v>
      </c>
      <c r="C427" s="43" t="s">
        <v>663</v>
      </c>
      <c r="D427" s="42" t="s">
        <v>1255</v>
      </c>
      <c r="E427" s="43" t="s">
        <v>107</v>
      </c>
      <c r="F427" s="42" t="s">
        <v>193</v>
      </c>
    </row>
    <row r="428" spans="1:6" ht="27.6" x14ac:dyDescent="0.25">
      <c r="A428" s="42" t="s">
        <v>1256</v>
      </c>
      <c r="B428" s="42" t="s">
        <v>1257</v>
      </c>
      <c r="C428" s="43" t="s">
        <v>682</v>
      </c>
      <c r="D428" s="42" t="s">
        <v>1258</v>
      </c>
      <c r="E428" s="43" t="s">
        <v>107</v>
      </c>
      <c r="F428" s="42" t="s">
        <v>900</v>
      </c>
    </row>
    <row r="429" spans="1:6" ht="27.6" x14ac:dyDescent="0.3">
      <c r="A429" s="42" t="s">
        <v>1259</v>
      </c>
      <c r="B429" s="42" t="s">
        <v>1260</v>
      </c>
      <c r="C429" s="43" t="s">
        <v>663</v>
      </c>
      <c r="D429" s="42" t="s">
        <v>1261</v>
      </c>
      <c r="E429" s="46" t="s">
        <v>107</v>
      </c>
      <c r="F429" s="42" t="s">
        <v>900</v>
      </c>
    </row>
    <row r="430" spans="1:6" ht="27.6" x14ac:dyDescent="0.3">
      <c r="A430" s="42" t="s">
        <v>1262</v>
      </c>
      <c r="B430" s="42" t="s">
        <v>1263</v>
      </c>
      <c r="C430" s="43" t="s">
        <v>682</v>
      </c>
      <c r="D430" s="42" t="s">
        <v>107</v>
      </c>
      <c r="E430" s="46" t="s">
        <v>107</v>
      </c>
      <c r="F430" s="42" t="s">
        <v>107</v>
      </c>
    </row>
    <row r="431" spans="1:6" ht="27.6" x14ac:dyDescent="0.3">
      <c r="A431" s="42" t="s">
        <v>1264</v>
      </c>
      <c r="B431" s="42" t="s">
        <v>1265</v>
      </c>
      <c r="C431" s="43" t="s">
        <v>682</v>
      </c>
      <c r="D431" s="42" t="s">
        <v>107</v>
      </c>
      <c r="E431" s="46" t="s">
        <v>107</v>
      </c>
      <c r="F431" s="42" t="s">
        <v>157</v>
      </c>
    </row>
    <row r="432" spans="1:6" ht="27.6" x14ac:dyDescent="0.25">
      <c r="A432" s="42" t="s">
        <v>1266</v>
      </c>
      <c r="B432" s="42" t="s">
        <v>1267</v>
      </c>
      <c r="C432" s="43" t="s">
        <v>663</v>
      </c>
      <c r="D432" s="42" t="s">
        <v>1268</v>
      </c>
      <c r="E432" s="43" t="s">
        <v>107</v>
      </c>
      <c r="F432" s="42" t="s">
        <v>365</v>
      </c>
    </row>
    <row r="433" spans="1:6" ht="41.4" x14ac:dyDescent="0.25">
      <c r="A433" s="42" t="s">
        <v>1269</v>
      </c>
      <c r="B433" s="42" t="s">
        <v>1270</v>
      </c>
      <c r="C433" s="43" t="s">
        <v>663</v>
      </c>
      <c r="D433" s="42" t="s">
        <v>1271</v>
      </c>
      <c r="E433" s="43" t="s">
        <v>107</v>
      </c>
      <c r="F433" s="42" t="s">
        <v>214</v>
      </c>
    </row>
    <row r="434" spans="1:6" ht="41.4" x14ac:dyDescent="0.25">
      <c r="A434" s="42" t="s">
        <v>1272</v>
      </c>
      <c r="B434" s="42" t="s">
        <v>1273</v>
      </c>
      <c r="C434" s="43" t="s">
        <v>663</v>
      </c>
      <c r="D434" s="42" t="s">
        <v>1274</v>
      </c>
      <c r="E434" s="43" t="s">
        <v>107</v>
      </c>
      <c r="F434" s="42" t="s">
        <v>386</v>
      </c>
    </row>
    <row r="435" spans="1:6" ht="27.6" x14ac:dyDescent="0.25">
      <c r="A435" s="42" t="s">
        <v>1275</v>
      </c>
      <c r="B435" s="42" t="s">
        <v>1276</v>
      </c>
      <c r="C435" s="43" t="s">
        <v>663</v>
      </c>
      <c r="D435" s="42" t="s">
        <v>1277</v>
      </c>
      <c r="E435" s="43" t="s">
        <v>107</v>
      </c>
      <c r="F435" s="42" t="s">
        <v>647</v>
      </c>
    </row>
    <row r="436" spans="1:6" ht="41.4" x14ac:dyDescent="0.25">
      <c r="A436" s="42" t="s">
        <v>1278</v>
      </c>
      <c r="B436" s="42" t="s">
        <v>1279</v>
      </c>
      <c r="C436" s="43" t="s">
        <v>663</v>
      </c>
      <c r="D436" s="42" t="s">
        <v>1280</v>
      </c>
      <c r="E436" s="43" t="s">
        <v>107</v>
      </c>
      <c r="F436" s="42" t="s">
        <v>112</v>
      </c>
    </row>
    <row r="437" spans="1:6" ht="13.8" x14ac:dyDescent="0.3">
      <c r="A437" s="42" t="s">
        <v>1281</v>
      </c>
      <c r="B437" s="46" t="s">
        <v>1282</v>
      </c>
      <c r="C437" s="43" t="s">
        <v>682</v>
      </c>
      <c r="D437" s="42" t="s">
        <v>1283</v>
      </c>
      <c r="E437" s="43" t="s">
        <v>107</v>
      </c>
      <c r="F437" s="42" t="s">
        <v>1284</v>
      </c>
    </row>
    <row r="438" spans="1:6" ht="41.4" x14ac:dyDescent="0.25">
      <c r="A438" s="42" t="s">
        <v>1285</v>
      </c>
      <c r="B438" s="42" t="s">
        <v>1286</v>
      </c>
      <c r="C438" s="43" t="s">
        <v>663</v>
      </c>
      <c r="D438" s="42" t="s">
        <v>1287</v>
      </c>
      <c r="E438" s="43" t="s">
        <v>107</v>
      </c>
      <c r="F438" s="42" t="s">
        <v>214</v>
      </c>
    </row>
    <row r="439" spans="1:6" ht="41.4" x14ac:dyDescent="0.25">
      <c r="A439" s="42" t="s">
        <v>1288</v>
      </c>
      <c r="B439" s="42" t="s">
        <v>1289</v>
      </c>
      <c r="C439" s="43" t="s">
        <v>663</v>
      </c>
      <c r="D439" s="42" t="s">
        <v>1290</v>
      </c>
      <c r="E439" s="43" t="s">
        <v>107</v>
      </c>
      <c r="F439" s="42" t="s">
        <v>214</v>
      </c>
    </row>
    <row r="440" spans="1:6" ht="27.6" x14ac:dyDescent="0.25">
      <c r="A440" s="42" t="s">
        <v>1291</v>
      </c>
      <c r="B440" s="42" t="s">
        <v>1292</v>
      </c>
      <c r="C440" s="43" t="s">
        <v>663</v>
      </c>
      <c r="D440" s="42" t="s">
        <v>1293</v>
      </c>
      <c r="E440" s="43" t="s">
        <v>1294</v>
      </c>
      <c r="F440" s="42" t="s">
        <v>1295</v>
      </c>
    </row>
    <row r="441" spans="1:6" ht="27.6" x14ac:dyDescent="0.25">
      <c r="A441" s="42" t="s">
        <v>1296</v>
      </c>
      <c r="B441" s="42" t="s">
        <v>1297</v>
      </c>
      <c r="C441" s="43" t="s">
        <v>663</v>
      </c>
      <c r="D441" s="42" t="s">
        <v>1298</v>
      </c>
      <c r="E441" s="43" t="s">
        <v>107</v>
      </c>
      <c r="F441" s="42" t="s">
        <v>193</v>
      </c>
    </row>
    <row r="442" spans="1:6" ht="27.6" x14ac:dyDescent="0.25">
      <c r="A442" s="42" t="s">
        <v>1299</v>
      </c>
      <c r="B442" s="42" t="s">
        <v>1300</v>
      </c>
      <c r="C442" s="43" t="s">
        <v>663</v>
      </c>
      <c r="D442" s="42" t="s">
        <v>1301</v>
      </c>
      <c r="E442" s="43" t="s">
        <v>107</v>
      </c>
      <c r="F442" s="42" t="s">
        <v>193</v>
      </c>
    </row>
    <row r="443" spans="1:6" ht="27.6" x14ac:dyDescent="0.25">
      <c r="A443" s="42" t="s">
        <v>1302</v>
      </c>
      <c r="B443" s="42" t="s">
        <v>1303</v>
      </c>
      <c r="C443" s="43" t="s">
        <v>663</v>
      </c>
      <c r="D443" s="42" t="s">
        <v>1304</v>
      </c>
      <c r="E443" s="43" t="s">
        <v>107</v>
      </c>
      <c r="F443" s="42" t="s">
        <v>193</v>
      </c>
    </row>
    <row r="444" spans="1:6" ht="27.6" x14ac:dyDescent="0.3">
      <c r="A444" s="42" t="s">
        <v>1305</v>
      </c>
      <c r="B444" s="42" t="s">
        <v>1306</v>
      </c>
      <c r="C444" s="43" t="s">
        <v>663</v>
      </c>
      <c r="D444" s="45" t="s">
        <v>1307</v>
      </c>
      <c r="E444" s="43" t="s">
        <v>107</v>
      </c>
      <c r="F444" s="42" t="s">
        <v>193</v>
      </c>
    </row>
    <row r="445" spans="1:6" ht="27.6" x14ac:dyDescent="0.25">
      <c r="A445" s="42" t="s">
        <v>1308</v>
      </c>
      <c r="B445" s="42" t="s">
        <v>1309</v>
      </c>
      <c r="C445" s="43" t="s">
        <v>663</v>
      </c>
      <c r="D445" s="42" t="s">
        <v>107</v>
      </c>
      <c r="E445" s="43" t="s">
        <v>107</v>
      </c>
      <c r="F445" s="42" t="s">
        <v>193</v>
      </c>
    </row>
    <row r="446" spans="1:6" ht="27.6" x14ac:dyDescent="0.25">
      <c r="A446" s="42" t="s">
        <v>1310</v>
      </c>
      <c r="B446" s="42" t="s">
        <v>1311</v>
      </c>
      <c r="C446" s="43" t="s">
        <v>663</v>
      </c>
      <c r="D446" s="42" t="s">
        <v>1312</v>
      </c>
      <c r="E446" s="43" t="s">
        <v>107</v>
      </c>
      <c r="F446" s="42" t="s">
        <v>193</v>
      </c>
    </row>
    <row r="447" spans="1:6" ht="41.4" x14ac:dyDescent="0.25">
      <c r="A447" s="42" t="s">
        <v>1313</v>
      </c>
      <c r="B447" s="42" t="s">
        <v>1314</v>
      </c>
      <c r="C447" s="43" t="s">
        <v>663</v>
      </c>
      <c r="D447" s="42" t="s">
        <v>1315</v>
      </c>
      <c r="E447" s="43" t="s">
        <v>107</v>
      </c>
      <c r="F447" s="42" t="s">
        <v>193</v>
      </c>
    </row>
    <row r="448" spans="1:6" ht="27.6" x14ac:dyDescent="0.25">
      <c r="A448" s="42" t="s">
        <v>1316</v>
      </c>
      <c r="B448" s="42" t="s">
        <v>1317</v>
      </c>
      <c r="C448" s="43" t="s">
        <v>663</v>
      </c>
      <c r="D448" s="42" t="s">
        <v>1318</v>
      </c>
      <c r="E448" s="43" t="s">
        <v>107</v>
      </c>
      <c r="F448" s="42" t="s">
        <v>1319</v>
      </c>
    </row>
    <row r="449" spans="1:6" ht="27.6" x14ac:dyDescent="0.25">
      <c r="A449" s="42" t="s">
        <v>1320</v>
      </c>
      <c r="B449" s="42" t="s">
        <v>1321</v>
      </c>
      <c r="C449" s="43" t="s">
        <v>682</v>
      </c>
      <c r="D449" s="42" t="s">
        <v>1322</v>
      </c>
      <c r="E449" s="43" t="s">
        <v>107</v>
      </c>
      <c r="F449" s="42" t="s">
        <v>112</v>
      </c>
    </row>
    <row r="450" spans="1:6" ht="41.4" x14ac:dyDescent="0.25">
      <c r="A450" s="42" t="s">
        <v>1323</v>
      </c>
      <c r="B450" s="42" t="s">
        <v>1324</v>
      </c>
      <c r="C450" s="43" t="s">
        <v>663</v>
      </c>
      <c r="D450" s="42" t="s">
        <v>1325</v>
      </c>
      <c r="E450" s="43" t="s">
        <v>107</v>
      </c>
      <c r="F450" s="42" t="s">
        <v>117</v>
      </c>
    </row>
    <row r="451" spans="1:6" ht="41.4" x14ac:dyDescent="0.25">
      <c r="A451" s="42" t="s">
        <v>1326</v>
      </c>
      <c r="B451" s="42" t="s">
        <v>1327</v>
      </c>
      <c r="C451" s="43" t="s">
        <v>663</v>
      </c>
      <c r="D451" s="42" t="s">
        <v>1328</v>
      </c>
      <c r="E451" s="43" t="s">
        <v>107</v>
      </c>
      <c r="F451" s="42" t="s">
        <v>193</v>
      </c>
    </row>
    <row r="452" spans="1:6" ht="27.6" x14ac:dyDescent="0.25">
      <c r="A452" s="42" t="s">
        <v>1329</v>
      </c>
      <c r="B452" s="42" t="s">
        <v>1330</v>
      </c>
      <c r="C452" s="43" t="s">
        <v>663</v>
      </c>
      <c r="D452" s="42" t="s">
        <v>1331</v>
      </c>
      <c r="E452" s="43" t="s">
        <v>107</v>
      </c>
      <c r="F452" s="42" t="s">
        <v>214</v>
      </c>
    </row>
    <row r="453" spans="1:6" ht="13.8" x14ac:dyDescent="0.3">
      <c r="A453" s="42" t="s">
        <v>1332</v>
      </c>
      <c r="B453" s="46" t="s">
        <v>1333</v>
      </c>
      <c r="C453" s="43" t="s">
        <v>682</v>
      </c>
      <c r="D453" s="46" t="s">
        <v>1334</v>
      </c>
      <c r="E453" s="46" t="s">
        <v>107</v>
      </c>
      <c r="F453" s="42" t="s">
        <v>214</v>
      </c>
    </row>
    <row r="454" spans="1:6" ht="27.6" x14ac:dyDescent="0.3">
      <c r="A454" s="42" t="s">
        <v>1335</v>
      </c>
      <c r="B454" s="46" t="s">
        <v>1336</v>
      </c>
      <c r="C454" s="43" t="s">
        <v>682</v>
      </c>
      <c r="D454" s="42" t="s">
        <v>1337</v>
      </c>
      <c r="E454" s="46" t="s">
        <v>107</v>
      </c>
      <c r="F454" s="42" t="s">
        <v>214</v>
      </c>
    </row>
    <row r="455" spans="1:6" ht="41.4" x14ac:dyDescent="0.25">
      <c r="A455" s="42" t="s">
        <v>1338</v>
      </c>
      <c r="B455" s="42" t="s">
        <v>1339</v>
      </c>
      <c r="C455" s="43" t="s">
        <v>663</v>
      </c>
      <c r="D455" s="42" t="s">
        <v>1340</v>
      </c>
      <c r="E455" s="43" t="s">
        <v>107</v>
      </c>
      <c r="F455" s="42" t="s">
        <v>193</v>
      </c>
    </row>
    <row r="456" spans="1:6" ht="27.6" x14ac:dyDescent="0.25">
      <c r="A456" s="42" t="s">
        <v>1341</v>
      </c>
      <c r="B456" s="42" t="s">
        <v>1342</v>
      </c>
      <c r="C456" s="43" t="s">
        <v>663</v>
      </c>
      <c r="D456" s="42" t="s">
        <v>1343</v>
      </c>
      <c r="E456" s="43" t="s">
        <v>107</v>
      </c>
      <c r="F456" s="42" t="s">
        <v>1344</v>
      </c>
    </row>
    <row r="457" spans="1:6" ht="41.4" x14ac:dyDescent="0.25">
      <c r="A457" s="42" t="s">
        <v>1345</v>
      </c>
      <c r="B457" s="42" t="s">
        <v>1346</v>
      </c>
      <c r="C457" s="43" t="s">
        <v>663</v>
      </c>
      <c r="D457" s="42" t="s">
        <v>107</v>
      </c>
      <c r="E457" s="43" t="s">
        <v>107</v>
      </c>
      <c r="F457" s="42" t="s">
        <v>193</v>
      </c>
    </row>
    <row r="458" spans="1:6" ht="27.6" x14ac:dyDescent="0.25">
      <c r="A458" s="42" t="s">
        <v>1347</v>
      </c>
      <c r="B458" s="42" t="s">
        <v>1348</v>
      </c>
      <c r="C458" s="43" t="s">
        <v>663</v>
      </c>
      <c r="D458" s="42" t="s">
        <v>1349</v>
      </c>
      <c r="E458" s="43" t="s">
        <v>107</v>
      </c>
      <c r="F458" s="42" t="s">
        <v>112</v>
      </c>
    </row>
    <row r="459" spans="1:6" ht="55.2" x14ac:dyDescent="0.25">
      <c r="A459" s="42" t="s">
        <v>1350</v>
      </c>
      <c r="B459" s="42" t="s">
        <v>1351</v>
      </c>
      <c r="C459" s="43" t="s">
        <v>663</v>
      </c>
      <c r="D459" s="42" t="s">
        <v>107</v>
      </c>
      <c r="E459" s="43" t="s">
        <v>107</v>
      </c>
      <c r="F459" s="42" t="s">
        <v>112</v>
      </c>
    </row>
    <row r="460" spans="1:6" ht="41.4" x14ac:dyDescent="0.25">
      <c r="A460" s="42" t="s">
        <v>1352</v>
      </c>
      <c r="B460" s="42" t="s">
        <v>1353</v>
      </c>
      <c r="C460" s="43" t="s">
        <v>663</v>
      </c>
      <c r="D460" s="42" t="s">
        <v>1354</v>
      </c>
      <c r="E460" s="43" t="s">
        <v>107</v>
      </c>
      <c r="F460" s="42" t="s">
        <v>112</v>
      </c>
    </row>
    <row r="461" spans="1:6" ht="41.4" x14ac:dyDescent="0.25">
      <c r="A461" s="42" t="s">
        <v>1355</v>
      </c>
      <c r="B461" s="42" t="s">
        <v>1356</v>
      </c>
      <c r="C461" s="43" t="s">
        <v>663</v>
      </c>
      <c r="D461" s="42" t="s">
        <v>107</v>
      </c>
      <c r="E461" s="43" t="s">
        <v>107</v>
      </c>
      <c r="F461" s="42" t="s">
        <v>112</v>
      </c>
    </row>
    <row r="462" spans="1:6" ht="55.2" x14ac:dyDescent="0.25">
      <c r="A462" s="42" t="s">
        <v>1357</v>
      </c>
      <c r="B462" s="42" t="s">
        <v>1358</v>
      </c>
      <c r="C462" s="43" t="s">
        <v>663</v>
      </c>
      <c r="D462" s="42" t="s">
        <v>107</v>
      </c>
      <c r="E462" s="43" t="s">
        <v>107</v>
      </c>
      <c r="F462" s="42" t="s">
        <v>112</v>
      </c>
    </row>
    <row r="463" spans="1:6" ht="69" x14ac:dyDescent="0.25">
      <c r="A463" s="42" t="s">
        <v>1359</v>
      </c>
      <c r="B463" s="42" t="s">
        <v>1360</v>
      </c>
      <c r="C463" s="43" t="s">
        <v>663</v>
      </c>
      <c r="D463" s="42" t="s">
        <v>107</v>
      </c>
      <c r="E463" s="43" t="s">
        <v>107</v>
      </c>
      <c r="F463" s="42" t="s">
        <v>112</v>
      </c>
    </row>
    <row r="464" spans="1:6" ht="55.2" x14ac:dyDescent="0.25">
      <c r="A464" s="42" t="s">
        <v>1361</v>
      </c>
      <c r="B464" s="42" t="s">
        <v>1362</v>
      </c>
      <c r="C464" s="43" t="s">
        <v>663</v>
      </c>
      <c r="D464" s="42" t="s">
        <v>107</v>
      </c>
      <c r="E464" s="43" t="s">
        <v>107</v>
      </c>
      <c r="F464" s="42" t="s">
        <v>112</v>
      </c>
    </row>
    <row r="465" spans="1:6" ht="41.4" x14ac:dyDescent="0.25">
      <c r="A465" s="42" t="s">
        <v>1363</v>
      </c>
      <c r="B465" s="42" t="s">
        <v>1364</v>
      </c>
      <c r="C465" s="43" t="s">
        <v>663</v>
      </c>
      <c r="D465" s="42" t="s">
        <v>1365</v>
      </c>
      <c r="E465" s="43" t="s">
        <v>107</v>
      </c>
      <c r="F465" s="42" t="s">
        <v>509</v>
      </c>
    </row>
    <row r="466" spans="1:6" ht="13.8" x14ac:dyDescent="0.3">
      <c r="A466" s="42" t="s">
        <v>1366</v>
      </c>
      <c r="B466" s="46" t="s">
        <v>1367</v>
      </c>
      <c r="C466" s="43" t="s">
        <v>682</v>
      </c>
      <c r="D466" s="46" t="s">
        <v>1368</v>
      </c>
      <c r="E466" s="46" t="s">
        <v>107</v>
      </c>
      <c r="F466" s="42" t="s">
        <v>112</v>
      </c>
    </row>
    <row r="467" spans="1:6" ht="27.6" x14ac:dyDescent="0.25">
      <c r="A467" s="42" t="s">
        <v>1369</v>
      </c>
      <c r="B467" s="42" t="s">
        <v>1370</v>
      </c>
      <c r="C467" s="43" t="s">
        <v>663</v>
      </c>
      <c r="D467" s="42" t="s">
        <v>1371</v>
      </c>
      <c r="E467" s="43" t="s">
        <v>107</v>
      </c>
      <c r="F467" s="42" t="s">
        <v>1372</v>
      </c>
    </row>
    <row r="468" spans="1:6" ht="27.6" x14ac:dyDescent="0.25">
      <c r="A468" s="42" t="s">
        <v>1373</v>
      </c>
      <c r="B468" s="42" t="s">
        <v>1374</v>
      </c>
      <c r="C468" s="43" t="s">
        <v>663</v>
      </c>
      <c r="D468" s="42" t="s">
        <v>1375</v>
      </c>
      <c r="E468" s="43" t="s">
        <v>107</v>
      </c>
      <c r="F468" s="42" t="s">
        <v>1372</v>
      </c>
    </row>
    <row r="469" spans="1:6" ht="41.4" x14ac:dyDescent="0.25">
      <c r="A469" s="42" t="s">
        <v>1376</v>
      </c>
      <c r="B469" s="42" t="s">
        <v>1377</v>
      </c>
      <c r="C469" s="43" t="s">
        <v>663</v>
      </c>
      <c r="D469" s="42" t="s">
        <v>1378</v>
      </c>
      <c r="E469" s="43" t="s">
        <v>107</v>
      </c>
      <c r="F469" s="42" t="s">
        <v>112</v>
      </c>
    </row>
    <row r="470" spans="1:6" ht="41.4" x14ac:dyDescent="0.25">
      <c r="A470" s="42" t="s">
        <v>1379</v>
      </c>
      <c r="B470" s="42" t="s">
        <v>1380</v>
      </c>
      <c r="C470" s="43" t="s">
        <v>663</v>
      </c>
      <c r="D470" s="42" t="s">
        <v>1381</v>
      </c>
      <c r="E470" s="43" t="s">
        <v>107</v>
      </c>
      <c r="F470" s="42" t="s">
        <v>539</v>
      </c>
    </row>
    <row r="471" spans="1:6" ht="13.8" x14ac:dyDescent="0.3">
      <c r="A471" s="42" t="s">
        <v>1382</v>
      </c>
      <c r="B471" s="46" t="s">
        <v>1383</v>
      </c>
      <c r="C471" s="43" t="s">
        <v>682</v>
      </c>
      <c r="D471" s="42" t="s">
        <v>1384</v>
      </c>
      <c r="E471" s="46" t="s">
        <v>107</v>
      </c>
      <c r="F471" s="42" t="s">
        <v>274</v>
      </c>
    </row>
    <row r="472" spans="1:6" ht="27.6" x14ac:dyDescent="0.25">
      <c r="A472" s="42" t="s">
        <v>1385</v>
      </c>
      <c r="B472" s="42" t="s">
        <v>1386</v>
      </c>
      <c r="C472" s="43" t="s">
        <v>663</v>
      </c>
      <c r="D472" s="42" t="s">
        <v>1387</v>
      </c>
      <c r="E472" s="43" t="s">
        <v>107</v>
      </c>
      <c r="F472" s="42" t="s">
        <v>443</v>
      </c>
    </row>
    <row r="473" spans="1:6" ht="27.6" x14ac:dyDescent="0.25">
      <c r="A473" s="42" t="s">
        <v>1388</v>
      </c>
      <c r="B473" s="42" t="s">
        <v>1389</v>
      </c>
      <c r="C473" s="43" t="s">
        <v>663</v>
      </c>
      <c r="D473" s="42" t="s">
        <v>1390</v>
      </c>
      <c r="E473" s="43" t="s">
        <v>107</v>
      </c>
      <c r="F473" s="42" t="s">
        <v>1206</v>
      </c>
    </row>
    <row r="474" spans="1:6" ht="27.6" x14ac:dyDescent="0.25">
      <c r="A474" s="42" t="s">
        <v>1391</v>
      </c>
      <c r="B474" s="42" t="s">
        <v>1392</v>
      </c>
      <c r="C474" s="43" t="s">
        <v>663</v>
      </c>
      <c r="D474" s="42" t="s">
        <v>1393</v>
      </c>
      <c r="E474" s="43" t="s">
        <v>107</v>
      </c>
      <c r="F474" s="42" t="s">
        <v>1206</v>
      </c>
    </row>
    <row r="475" spans="1:6" ht="41.4" x14ac:dyDescent="0.25">
      <c r="A475" s="42" t="s">
        <v>1394</v>
      </c>
      <c r="B475" s="42" t="s">
        <v>1395</v>
      </c>
      <c r="C475" s="43" t="s">
        <v>663</v>
      </c>
      <c r="D475" s="42" t="s">
        <v>1396</v>
      </c>
      <c r="E475" s="43" t="s">
        <v>107</v>
      </c>
      <c r="F475" s="42" t="s">
        <v>1319</v>
      </c>
    </row>
    <row r="476" spans="1:6" ht="27.6" x14ac:dyDescent="0.25">
      <c r="A476" s="42" t="s">
        <v>1397</v>
      </c>
      <c r="B476" s="42" t="s">
        <v>1398</v>
      </c>
      <c r="C476" s="43" t="s">
        <v>682</v>
      </c>
      <c r="D476" s="42" t="s">
        <v>1399</v>
      </c>
      <c r="E476" s="43" t="s">
        <v>107</v>
      </c>
      <c r="F476" s="42" t="s">
        <v>473</v>
      </c>
    </row>
    <row r="477" spans="1:6" ht="27.6" x14ac:dyDescent="0.25">
      <c r="A477" s="42" t="s">
        <v>1400</v>
      </c>
      <c r="B477" s="42" t="s">
        <v>1401</v>
      </c>
      <c r="C477" s="43" t="s">
        <v>663</v>
      </c>
      <c r="D477" s="42" t="s">
        <v>1402</v>
      </c>
      <c r="E477" s="43" t="s">
        <v>107</v>
      </c>
      <c r="F477" s="42" t="s">
        <v>1008</v>
      </c>
    </row>
    <row r="478" spans="1:6" ht="27.6" x14ac:dyDescent="0.25">
      <c r="A478" s="42" t="s">
        <v>1403</v>
      </c>
      <c r="B478" s="42" t="s">
        <v>1404</v>
      </c>
      <c r="C478" s="43" t="s">
        <v>663</v>
      </c>
      <c r="D478" s="42" t="s">
        <v>1405</v>
      </c>
      <c r="E478" s="43" t="s">
        <v>107</v>
      </c>
      <c r="F478" s="42" t="s">
        <v>148</v>
      </c>
    </row>
    <row r="479" spans="1:6" ht="27.6" x14ac:dyDescent="0.3">
      <c r="A479" s="42" t="s">
        <v>1406</v>
      </c>
      <c r="B479" s="42" t="s">
        <v>1407</v>
      </c>
      <c r="C479" s="43" t="s">
        <v>663</v>
      </c>
      <c r="D479" s="42" t="s">
        <v>1408</v>
      </c>
      <c r="E479" s="46" t="s">
        <v>107</v>
      </c>
      <c r="F479" s="42" t="s">
        <v>148</v>
      </c>
    </row>
    <row r="480" spans="1:6" ht="27.6" x14ac:dyDescent="0.3">
      <c r="A480" s="42" t="s">
        <v>1409</v>
      </c>
      <c r="B480" s="42" t="s">
        <v>1410</v>
      </c>
      <c r="C480" s="43" t="s">
        <v>682</v>
      </c>
      <c r="D480" s="42" t="s">
        <v>1411</v>
      </c>
      <c r="E480" s="46" t="s">
        <v>107</v>
      </c>
      <c r="F480" s="42" t="s">
        <v>509</v>
      </c>
    </row>
    <row r="481" spans="1:6" ht="27.6" x14ac:dyDescent="0.3">
      <c r="A481" s="42" t="s">
        <v>1412</v>
      </c>
      <c r="B481" s="42" t="s">
        <v>1413</v>
      </c>
      <c r="C481" s="43" t="s">
        <v>682</v>
      </c>
      <c r="D481" s="46" t="s">
        <v>107</v>
      </c>
      <c r="E481" s="46" t="s">
        <v>107</v>
      </c>
      <c r="F481" s="42" t="s">
        <v>509</v>
      </c>
    </row>
    <row r="482" spans="1:6" ht="41.4" x14ac:dyDescent="0.3">
      <c r="A482" s="42" t="s">
        <v>1414</v>
      </c>
      <c r="B482" s="42" t="s">
        <v>1415</v>
      </c>
      <c r="C482" s="43" t="s">
        <v>663</v>
      </c>
      <c r="D482" s="42" t="s">
        <v>107</v>
      </c>
      <c r="E482" s="46" t="s">
        <v>107</v>
      </c>
      <c r="F482" s="42" t="s">
        <v>107</v>
      </c>
    </row>
    <row r="483" spans="1:6" ht="27.6" x14ac:dyDescent="0.25">
      <c r="A483" s="42" t="s">
        <v>1416</v>
      </c>
      <c r="B483" s="42" t="s">
        <v>1417</v>
      </c>
      <c r="C483" s="43" t="s">
        <v>663</v>
      </c>
      <c r="D483" s="42" t="s">
        <v>1418</v>
      </c>
      <c r="E483" s="43" t="s">
        <v>107</v>
      </c>
      <c r="F483" s="42" t="s">
        <v>620</v>
      </c>
    </row>
    <row r="484" spans="1:6" ht="27.6" x14ac:dyDescent="0.25">
      <c r="A484" s="42" t="s">
        <v>1419</v>
      </c>
      <c r="B484" s="42" t="s">
        <v>1420</v>
      </c>
      <c r="C484" s="43" t="s">
        <v>663</v>
      </c>
      <c r="D484" s="42" t="s">
        <v>1421</v>
      </c>
      <c r="E484" s="43" t="s">
        <v>107</v>
      </c>
      <c r="F484" s="42" t="s">
        <v>620</v>
      </c>
    </row>
    <row r="485" spans="1:6" ht="27.6" x14ac:dyDescent="0.25">
      <c r="A485" s="42" t="s">
        <v>1422</v>
      </c>
      <c r="B485" s="42" t="s">
        <v>1423</v>
      </c>
      <c r="C485" s="43" t="s">
        <v>663</v>
      </c>
      <c r="D485" s="42" t="s">
        <v>1424</v>
      </c>
      <c r="E485" s="43" t="s">
        <v>107</v>
      </c>
      <c r="F485" s="42" t="s">
        <v>1425</v>
      </c>
    </row>
    <row r="486" spans="1:6" ht="27.6" x14ac:dyDescent="0.25">
      <c r="A486" s="42" t="s">
        <v>1426</v>
      </c>
      <c r="B486" s="42" t="s">
        <v>1427</v>
      </c>
      <c r="C486" s="43" t="s">
        <v>663</v>
      </c>
      <c r="D486" s="42" t="s">
        <v>1428</v>
      </c>
      <c r="E486" s="43" t="s">
        <v>107</v>
      </c>
      <c r="F486" s="42" t="s">
        <v>1425</v>
      </c>
    </row>
    <row r="487" spans="1:6" ht="27.6" x14ac:dyDescent="0.25">
      <c r="A487" s="42" t="s">
        <v>1429</v>
      </c>
      <c r="B487" s="42" t="s">
        <v>1430</v>
      </c>
      <c r="C487" s="43" t="s">
        <v>663</v>
      </c>
      <c r="D487" s="42" t="s">
        <v>1431</v>
      </c>
      <c r="E487" s="43" t="s">
        <v>107</v>
      </c>
      <c r="F487" s="42" t="s">
        <v>1425</v>
      </c>
    </row>
    <row r="488" spans="1:6" ht="27.6" x14ac:dyDescent="0.25">
      <c r="A488" s="42" t="s">
        <v>1432</v>
      </c>
      <c r="B488" s="42" t="s">
        <v>1433</v>
      </c>
      <c r="C488" s="43" t="s">
        <v>663</v>
      </c>
      <c r="D488" s="42" t="s">
        <v>1434</v>
      </c>
      <c r="E488" s="43" t="s">
        <v>107</v>
      </c>
      <c r="F488" s="42" t="s">
        <v>1425</v>
      </c>
    </row>
    <row r="489" spans="1:6" ht="27.6" x14ac:dyDescent="0.25">
      <c r="A489" s="42" t="s">
        <v>1435</v>
      </c>
      <c r="B489" s="42" t="s">
        <v>1436</v>
      </c>
      <c r="C489" s="43" t="s">
        <v>663</v>
      </c>
      <c r="D489" s="42" t="s">
        <v>1437</v>
      </c>
      <c r="E489" s="43" t="s">
        <v>107</v>
      </c>
      <c r="F489" s="42" t="s">
        <v>1425</v>
      </c>
    </row>
    <row r="490" spans="1:6" ht="27.6" x14ac:dyDescent="0.25">
      <c r="A490" s="42" t="s">
        <v>1438</v>
      </c>
      <c r="B490" s="42" t="s">
        <v>1439</v>
      </c>
      <c r="C490" s="43" t="s">
        <v>663</v>
      </c>
      <c r="D490" s="42" t="s">
        <v>1440</v>
      </c>
      <c r="E490" s="43" t="s">
        <v>107</v>
      </c>
      <c r="F490" s="42" t="s">
        <v>620</v>
      </c>
    </row>
    <row r="491" spans="1:6" ht="27.6" x14ac:dyDescent="0.25">
      <c r="A491" s="42" t="s">
        <v>1441</v>
      </c>
      <c r="B491" s="42" t="s">
        <v>1442</v>
      </c>
      <c r="C491" s="43" t="s">
        <v>663</v>
      </c>
      <c r="D491" s="42" t="s">
        <v>1443</v>
      </c>
      <c r="E491" s="43" t="s">
        <v>107</v>
      </c>
      <c r="F491" s="42" t="s">
        <v>620</v>
      </c>
    </row>
    <row r="492" spans="1:6" ht="27.6" x14ac:dyDescent="0.25">
      <c r="A492" s="42" t="s">
        <v>1444</v>
      </c>
      <c r="B492" s="42" t="s">
        <v>1445</v>
      </c>
      <c r="C492" s="43" t="s">
        <v>663</v>
      </c>
      <c r="D492" s="42" t="s">
        <v>1446</v>
      </c>
      <c r="E492" s="43" t="s">
        <v>107</v>
      </c>
      <c r="F492" s="42" t="s">
        <v>620</v>
      </c>
    </row>
    <row r="493" spans="1:6" ht="27.6" x14ac:dyDescent="0.25">
      <c r="A493" s="42" t="s">
        <v>1447</v>
      </c>
      <c r="B493" s="42" t="s">
        <v>1448</v>
      </c>
      <c r="C493" s="43" t="s">
        <v>682</v>
      </c>
      <c r="D493" s="42" t="s">
        <v>1449</v>
      </c>
      <c r="E493" s="43" t="s">
        <v>107</v>
      </c>
      <c r="F493" s="42" t="s">
        <v>278</v>
      </c>
    </row>
    <row r="494" spans="1:6" ht="41.4" x14ac:dyDescent="0.25">
      <c r="A494" s="42" t="s">
        <v>1450</v>
      </c>
      <c r="B494" s="42" t="s">
        <v>1451</v>
      </c>
      <c r="C494" s="43" t="s">
        <v>663</v>
      </c>
      <c r="D494" s="42" t="s">
        <v>1452</v>
      </c>
      <c r="E494" s="43" t="s">
        <v>1453</v>
      </c>
      <c r="F494" s="42" t="s">
        <v>1454</v>
      </c>
    </row>
    <row r="495" spans="1:6" ht="27.6" x14ac:dyDescent="0.25">
      <c r="A495" s="42" t="s">
        <v>1455</v>
      </c>
      <c r="B495" s="42" t="s">
        <v>1456</v>
      </c>
      <c r="C495" s="43" t="s">
        <v>663</v>
      </c>
      <c r="D495" s="42" t="s">
        <v>1457</v>
      </c>
      <c r="E495" s="43" t="s">
        <v>107</v>
      </c>
      <c r="F495" s="42" t="s">
        <v>210</v>
      </c>
    </row>
    <row r="496" spans="1:6" ht="13.8" x14ac:dyDescent="0.3">
      <c r="A496" s="42" t="s">
        <v>1458</v>
      </c>
      <c r="B496" s="46" t="s">
        <v>1459</v>
      </c>
      <c r="C496" s="43" t="s">
        <v>663</v>
      </c>
      <c r="D496" s="42" t="s">
        <v>1460</v>
      </c>
      <c r="E496" s="43" t="s">
        <v>107</v>
      </c>
      <c r="F496" s="42" t="s">
        <v>210</v>
      </c>
    </row>
    <row r="497" spans="1:6" ht="13.8" x14ac:dyDescent="0.3">
      <c r="A497" s="42" t="s">
        <v>1461</v>
      </c>
      <c r="B497" s="46" t="s">
        <v>1462</v>
      </c>
      <c r="C497" s="43" t="s">
        <v>663</v>
      </c>
      <c r="D497" s="42" t="s">
        <v>1463</v>
      </c>
      <c r="E497" s="43" t="s">
        <v>107</v>
      </c>
      <c r="F497" s="42" t="s">
        <v>210</v>
      </c>
    </row>
    <row r="498" spans="1:6" ht="13.8" x14ac:dyDescent="0.3">
      <c r="A498" s="45" t="s">
        <v>1464</v>
      </c>
      <c r="B498" s="46" t="s">
        <v>1465</v>
      </c>
      <c r="C498" s="43" t="s">
        <v>682</v>
      </c>
      <c r="D498" s="46" t="s">
        <v>107</v>
      </c>
      <c r="E498" s="46" t="s">
        <v>107</v>
      </c>
      <c r="F498" s="45" t="s">
        <v>157</v>
      </c>
    </row>
    <row r="499" spans="1:6" ht="41.4" x14ac:dyDescent="0.25">
      <c r="A499" s="42" t="s">
        <v>1466</v>
      </c>
      <c r="B499" s="42" t="s">
        <v>1467</v>
      </c>
      <c r="C499" s="43" t="s">
        <v>663</v>
      </c>
      <c r="D499" s="42" t="s">
        <v>1468</v>
      </c>
      <c r="E499" s="43" t="s">
        <v>107</v>
      </c>
      <c r="F499" s="42" t="s">
        <v>703</v>
      </c>
    </row>
    <row r="500" spans="1:6" ht="27.6" x14ac:dyDescent="0.25">
      <c r="A500" s="42" t="s">
        <v>1469</v>
      </c>
      <c r="B500" s="42" t="s">
        <v>1470</v>
      </c>
      <c r="C500" s="43" t="s">
        <v>682</v>
      </c>
      <c r="D500" s="42" t="s">
        <v>107</v>
      </c>
      <c r="E500" s="43" t="s">
        <v>107</v>
      </c>
      <c r="F500" s="42" t="s">
        <v>112</v>
      </c>
    </row>
    <row r="501" spans="1:6" ht="13.8" x14ac:dyDescent="0.25">
      <c r="A501" s="42" t="s">
        <v>1471</v>
      </c>
      <c r="B501" s="42" t="s">
        <v>1472</v>
      </c>
      <c r="C501" s="49"/>
      <c r="D501" s="49"/>
      <c r="E501" s="49"/>
      <c r="F501" s="49"/>
    </row>
    <row r="502" spans="1:6" ht="27.6" x14ac:dyDescent="0.25">
      <c r="A502" s="42" t="s">
        <v>1473</v>
      </c>
      <c r="B502" s="42" t="s">
        <v>1474</v>
      </c>
      <c r="C502" s="43" t="s">
        <v>663</v>
      </c>
      <c r="D502" s="42" t="s">
        <v>1475</v>
      </c>
      <c r="E502" s="43" t="s">
        <v>107</v>
      </c>
      <c r="F502" s="42" t="s">
        <v>1202</v>
      </c>
    </row>
    <row r="503" spans="1:6" ht="27.6" x14ac:dyDescent="0.3">
      <c r="A503" s="42" t="s">
        <v>1476</v>
      </c>
      <c r="B503" s="46" t="s">
        <v>1477</v>
      </c>
      <c r="C503" s="43" t="s">
        <v>682</v>
      </c>
      <c r="D503" s="42" t="s">
        <v>107</v>
      </c>
      <c r="E503" s="43" t="s">
        <v>107</v>
      </c>
      <c r="F503" s="42" t="s">
        <v>418</v>
      </c>
    </row>
    <row r="504" spans="1:6" ht="27.6" x14ac:dyDescent="0.3">
      <c r="A504" s="42" t="s">
        <v>1478</v>
      </c>
      <c r="B504" s="46" t="s">
        <v>1479</v>
      </c>
      <c r="C504" s="43" t="s">
        <v>663</v>
      </c>
      <c r="D504" s="42" t="s">
        <v>1480</v>
      </c>
      <c r="E504" s="43" t="s">
        <v>107</v>
      </c>
      <c r="F504" s="42" t="s">
        <v>418</v>
      </c>
    </row>
    <row r="505" spans="1:6" ht="27.6" x14ac:dyDescent="0.25">
      <c r="A505" s="42" t="s">
        <v>1481</v>
      </c>
      <c r="B505" s="42" t="s">
        <v>1482</v>
      </c>
      <c r="C505" s="43" t="s">
        <v>682</v>
      </c>
      <c r="D505" s="42" t="s">
        <v>1483</v>
      </c>
      <c r="E505" s="43" t="s">
        <v>107</v>
      </c>
      <c r="F505" s="42" t="s">
        <v>112</v>
      </c>
    </row>
    <row r="506" spans="1:6" ht="41.4" x14ac:dyDescent="0.25">
      <c r="A506" s="42" t="s">
        <v>1484</v>
      </c>
      <c r="B506" s="42" t="s">
        <v>1485</v>
      </c>
      <c r="C506" s="43" t="s">
        <v>663</v>
      </c>
      <c r="D506" s="42" t="s">
        <v>1486</v>
      </c>
      <c r="E506" s="43" t="s">
        <v>107</v>
      </c>
      <c r="F506" s="42" t="s">
        <v>1487</v>
      </c>
    </row>
    <row r="507" spans="1:6" ht="13.8" x14ac:dyDescent="0.3">
      <c r="A507" s="42" t="s">
        <v>1488</v>
      </c>
      <c r="B507" s="46" t="s">
        <v>1489</v>
      </c>
      <c r="C507" s="43" t="s">
        <v>682</v>
      </c>
      <c r="D507" s="46" t="s">
        <v>1490</v>
      </c>
      <c r="E507" s="46" t="s">
        <v>107</v>
      </c>
      <c r="F507" s="42" t="s">
        <v>274</v>
      </c>
    </row>
    <row r="508" spans="1:6" ht="13.8" x14ac:dyDescent="0.3">
      <c r="A508" s="42" t="s">
        <v>1491</v>
      </c>
      <c r="B508" s="46" t="s">
        <v>1492</v>
      </c>
      <c r="C508" s="43" t="s">
        <v>682</v>
      </c>
      <c r="D508" s="46" t="s">
        <v>1493</v>
      </c>
      <c r="E508" s="46" t="s">
        <v>107</v>
      </c>
      <c r="F508" s="42" t="s">
        <v>274</v>
      </c>
    </row>
    <row r="509" spans="1:6" ht="13.8" x14ac:dyDescent="0.3">
      <c r="A509" s="42" t="s">
        <v>1494</v>
      </c>
      <c r="B509" s="46" t="s">
        <v>1495</v>
      </c>
      <c r="C509" s="43" t="s">
        <v>663</v>
      </c>
      <c r="D509" s="46" t="s">
        <v>1496</v>
      </c>
      <c r="E509" s="46" t="s">
        <v>107</v>
      </c>
      <c r="F509" s="42" t="s">
        <v>900</v>
      </c>
    </row>
    <row r="510" spans="1:6" ht="27.6" x14ac:dyDescent="0.25">
      <c r="A510" s="42" t="s">
        <v>1497</v>
      </c>
      <c r="B510" s="42" t="s">
        <v>1498</v>
      </c>
      <c r="C510" s="43" t="s">
        <v>663</v>
      </c>
      <c r="D510" s="42" t="s">
        <v>1499</v>
      </c>
      <c r="E510" s="43" t="s">
        <v>107</v>
      </c>
      <c r="F510" s="42" t="s">
        <v>900</v>
      </c>
    </row>
    <row r="511" spans="1:6" ht="27.6" x14ac:dyDescent="0.3">
      <c r="A511" s="45" t="s">
        <v>1500</v>
      </c>
      <c r="B511" s="42" t="s">
        <v>1501</v>
      </c>
      <c r="C511" s="43" t="s">
        <v>682</v>
      </c>
      <c r="D511" s="42" t="s">
        <v>1502</v>
      </c>
      <c r="E511" s="43" t="s">
        <v>107</v>
      </c>
      <c r="F511" s="42" t="s">
        <v>900</v>
      </c>
    </row>
    <row r="512" spans="1:6" ht="27.6" x14ac:dyDescent="0.25">
      <c r="A512" s="42" t="s">
        <v>1503</v>
      </c>
      <c r="B512" s="42" t="s">
        <v>1504</v>
      </c>
      <c r="C512" s="43" t="s">
        <v>663</v>
      </c>
      <c r="D512" s="42" t="s">
        <v>1499</v>
      </c>
      <c r="E512" s="43" t="s">
        <v>1505</v>
      </c>
      <c r="F512" s="42" t="s">
        <v>900</v>
      </c>
    </row>
    <row r="513" spans="1:6" ht="27.6" x14ac:dyDescent="0.25">
      <c r="A513" s="42" t="s">
        <v>1506</v>
      </c>
      <c r="B513" s="42" t="s">
        <v>1507</v>
      </c>
      <c r="C513" s="43" t="s">
        <v>663</v>
      </c>
      <c r="D513" s="42" t="s">
        <v>1508</v>
      </c>
      <c r="E513" s="43" t="s">
        <v>107</v>
      </c>
      <c r="F513" s="42" t="s">
        <v>900</v>
      </c>
    </row>
    <row r="514" spans="1:6" ht="41.4" x14ac:dyDescent="0.25">
      <c r="A514" s="42" t="s">
        <v>1509</v>
      </c>
      <c r="B514" s="42" t="s">
        <v>1510</v>
      </c>
      <c r="C514" s="43" t="s">
        <v>663</v>
      </c>
      <c r="D514" s="42" t="s">
        <v>1511</v>
      </c>
      <c r="E514" s="43" t="s">
        <v>1512</v>
      </c>
      <c r="F514" s="42" t="s">
        <v>112</v>
      </c>
    </row>
    <row r="515" spans="1:6" ht="27.6" x14ac:dyDescent="0.25">
      <c r="A515" s="42" t="s">
        <v>1513</v>
      </c>
      <c r="B515" s="42" t="s">
        <v>1514</v>
      </c>
      <c r="C515" s="43" t="s">
        <v>663</v>
      </c>
      <c r="D515" s="42" t="s">
        <v>1515</v>
      </c>
      <c r="E515" s="43" t="s">
        <v>107</v>
      </c>
      <c r="F515" s="42" t="s">
        <v>900</v>
      </c>
    </row>
    <row r="516" spans="1:6" ht="27.6" x14ac:dyDescent="0.25">
      <c r="A516" s="42" t="s">
        <v>1516</v>
      </c>
      <c r="B516" s="42" t="s">
        <v>1517</v>
      </c>
      <c r="C516" s="43" t="s">
        <v>682</v>
      </c>
      <c r="D516" s="42" t="s">
        <v>1518</v>
      </c>
      <c r="E516" s="43" t="s">
        <v>107</v>
      </c>
      <c r="F516" s="42" t="s">
        <v>112</v>
      </c>
    </row>
    <row r="517" spans="1:6" ht="27.6" x14ac:dyDescent="0.25">
      <c r="A517" s="42" t="s">
        <v>1519</v>
      </c>
      <c r="B517" s="42" t="s">
        <v>1520</v>
      </c>
      <c r="C517" s="43" t="s">
        <v>682</v>
      </c>
      <c r="D517" s="42" t="s">
        <v>1521</v>
      </c>
      <c r="E517" s="43" t="s">
        <v>107</v>
      </c>
      <c r="F517" s="42" t="s">
        <v>112</v>
      </c>
    </row>
    <row r="518" spans="1:6" ht="27.6" x14ac:dyDescent="0.25">
      <c r="A518" s="42" t="s">
        <v>1522</v>
      </c>
      <c r="B518" s="42" t="s">
        <v>1523</v>
      </c>
      <c r="C518" s="43" t="s">
        <v>682</v>
      </c>
      <c r="D518" s="42" t="s">
        <v>1521</v>
      </c>
      <c r="E518" s="43" t="s">
        <v>1524</v>
      </c>
      <c r="F518" s="42" t="s">
        <v>112</v>
      </c>
    </row>
    <row r="519" spans="1:6" ht="27.6" x14ac:dyDescent="0.25">
      <c r="A519" s="42" t="s">
        <v>1525</v>
      </c>
      <c r="B519" s="42" t="s">
        <v>1526</v>
      </c>
      <c r="C519" s="43" t="s">
        <v>682</v>
      </c>
      <c r="D519" s="42" t="s">
        <v>1527</v>
      </c>
      <c r="E519" s="43" t="s">
        <v>107</v>
      </c>
      <c r="F519" s="42" t="s">
        <v>117</v>
      </c>
    </row>
    <row r="520" spans="1:6" ht="27.6" x14ac:dyDescent="0.25">
      <c r="A520" s="42" t="s">
        <v>1528</v>
      </c>
      <c r="B520" s="42" t="s">
        <v>1529</v>
      </c>
      <c r="C520" s="43" t="s">
        <v>663</v>
      </c>
      <c r="D520" s="42" t="s">
        <v>1530</v>
      </c>
      <c r="E520" s="43" t="s">
        <v>1531</v>
      </c>
      <c r="F520" s="42" t="s">
        <v>620</v>
      </c>
    </row>
    <row r="521" spans="1:6" ht="41.4" x14ac:dyDescent="0.25">
      <c r="A521" s="42" t="s">
        <v>1532</v>
      </c>
      <c r="B521" s="42" t="s">
        <v>1533</v>
      </c>
      <c r="C521" s="43" t="s">
        <v>663</v>
      </c>
      <c r="D521" s="42" t="s">
        <v>1530</v>
      </c>
      <c r="E521" s="43" t="s">
        <v>107</v>
      </c>
      <c r="F521" s="42" t="s">
        <v>620</v>
      </c>
    </row>
    <row r="522" spans="1:6" ht="41.4" x14ac:dyDescent="0.25">
      <c r="A522" s="42" t="s">
        <v>1534</v>
      </c>
      <c r="B522" s="42" t="s">
        <v>1535</v>
      </c>
      <c r="C522" s="43" t="s">
        <v>663</v>
      </c>
      <c r="D522" s="42" t="s">
        <v>1536</v>
      </c>
      <c r="E522" s="43" t="s">
        <v>107</v>
      </c>
      <c r="F522" s="42" t="s">
        <v>112</v>
      </c>
    </row>
    <row r="523" spans="1:6" ht="27.6" x14ac:dyDescent="0.3">
      <c r="A523" s="42" t="s">
        <v>1537</v>
      </c>
      <c r="B523" s="46" t="s">
        <v>1538</v>
      </c>
      <c r="C523" s="43" t="s">
        <v>663</v>
      </c>
      <c r="D523" s="42" t="s">
        <v>1539</v>
      </c>
      <c r="E523" s="43" t="s">
        <v>107</v>
      </c>
      <c r="F523" s="42" t="s">
        <v>112</v>
      </c>
    </row>
    <row r="524" spans="1:6" ht="41.4" x14ac:dyDescent="0.25">
      <c r="A524" s="42" t="s">
        <v>1540</v>
      </c>
      <c r="B524" s="42" t="s">
        <v>1541</v>
      </c>
      <c r="C524" s="43" t="s">
        <v>663</v>
      </c>
      <c r="D524" s="42" t="s">
        <v>1542</v>
      </c>
      <c r="E524" s="43" t="s">
        <v>107</v>
      </c>
      <c r="F524" s="42" t="s">
        <v>112</v>
      </c>
    </row>
    <row r="525" spans="1:6" ht="27.6" x14ac:dyDescent="0.25">
      <c r="A525" s="42" t="s">
        <v>1543</v>
      </c>
      <c r="B525" s="42" t="s">
        <v>1544</v>
      </c>
      <c r="C525" s="43" t="s">
        <v>682</v>
      </c>
      <c r="D525" s="42" t="s">
        <v>1545</v>
      </c>
      <c r="E525" s="43" t="s">
        <v>107</v>
      </c>
      <c r="F525" s="42" t="s">
        <v>418</v>
      </c>
    </row>
    <row r="526" spans="1:6" ht="27.6" x14ac:dyDescent="0.3">
      <c r="A526" s="42" t="s">
        <v>1546</v>
      </c>
      <c r="B526" s="46" t="s">
        <v>1547</v>
      </c>
      <c r="C526" s="43" t="s">
        <v>663</v>
      </c>
      <c r="D526" s="42" t="s">
        <v>1548</v>
      </c>
      <c r="E526" s="43" t="s">
        <v>107</v>
      </c>
      <c r="F526" s="42" t="s">
        <v>112</v>
      </c>
    </row>
    <row r="527" spans="1:6" ht="41.4" x14ac:dyDescent="0.25">
      <c r="A527" s="42" t="s">
        <v>1546</v>
      </c>
      <c r="B527" s="42" t="s">
        <v>1547</v>
      </c>
      <c r="C527" s="43" t="s">
        <v>663</v>
      </c>
      <c r="D527" s="42" t="s">
        <v>1536</v>
      </c>
      <c r="E527" s="43" t="s">
        <v>1549</v>
      </c>
      <c r="F527" s="42" t="s">
        <v>112</v>
      </c>
    </row>
    <row r="528" spans="1:6" ht="27.6" x14ac:dyDescent="0.25">
      <c r="A528" s="42" t="s">
        <v>1550</v>
      </c>
      <c r="B528" s="42" t="s">
        <v>1551</v>
      </c>
      <c r="C528" s="43" t="s">
        <v>663</v>
      </c>
      <c r="D528" s="42" t="s">
        <v>1552</v>
      </c>
      <c r="E528" s="43" t="s">
        <v>1553</v>
      </c>
      <c r="F528" s="42" t="s">
        <v>157</v>
      </c>
    </row>
    <row r="529" spans="1:6" ht="13.8" x14ac:dyDescent="0.3">
      <c r="A529" s="42" t="s">
        <v>1554</v>
      </c>
      <c r="B529" s="46" t="s">
        <v>1555</v>
      </c>
      <c r="C529" s="43" t="s">
        <v>682</v>
      </c>
      <c r="D529" s="42" t="s">
        <v>1556</v>
      </c>
      <c r="E529" s="46" t="s">
        <v>107</v>
      </c>
      <c r="F529" s="42" t="s">
        <v>157</v>
      </c>
    </row>
    <row r="530" spans="1:6" ht="27.6" x14ac:dyDescent="0.25">
      <c r="A530" s="42" t="s">
        <v>1557</v>
      </c>
      <c r="B530" s="42" t="s">
        <v>1558</v>
      </c>
      <c r="C530" s="43" t="s">
        <v>663</v>
      </c>
      <c r="D530" s="42" t="s">
        <v>1559</v>
      </c>
      <c r="E530" s="43" t="s">
        <v>1560</v>
      </c>
      <c r="F530" s="42" t="s">
        <v>157</v>
      </c>
    </row>
    <row r="531" spans="1:6" ht="27.6" x14ac:dyDescent="0.25">
      <c r="A531" s="42" t="s">
        <v>1561</v>
      </c>
      <c r="B531" s="42" t="s">
        <v>1562</v>
      </c>
      <c r="C531" s="43" t="s">
        <v>682</v>
      </c>
      <c r="D531" s="42" t="s">
        <v>1563</v>
      </c>
      <c r="E531" s="43" t="s">
        <v>107</v>
      </c>
      <c r="F531" s="42" t="s">
        <v>1564</v>
      </c>
    </row>
    <row r="532" spans="1:6" ht="13.8" x14ac:dyDescent="0.3">
      <c r="A532" s="42" t="s">
        <v>1565</v>
      </c>
      <c r="B532" s="46" t="s">
        <v>1566</v>
      </c>
      <c r="C532" s="43" t="s">
        <v>663</v>
      </c>
      <c r="D532" s="42" t="s">
        <v>1567</v>
      </c>
      <c r="E532" s="43" t="s">
        <v>107</v>
      </c>
      <c r="F532" s="42" t="s">
        <v>274</v>
      </c>
    </row>
    <row r="533" spans="1:6" ht="13.8" x14ac:dyDescent="0.3">
      <c r="A533" s="42" t="s">
        <v>1568</v>
      </c>
      <c r="B533" s="46" t="s">
        <v>1569</v>
      </c>
      <c r="C533" s="43" t="s">
        <v>663</v>
      </c>
      <c r="D533" s="42" t="s">
        <v>1567</v>
      </c>
      <c r="E533" s="43" t="s">
        <v>107</v>
      </c>
      <c r="F533" s="42" t="s">
        <v>274</v>
      </c>
    </row>
    <row r="534" spans="1:6" ht="41.4" x14ac:dyDescent="0.25">
      <c r="A534" s="42" t="s">
        <v>1570</v>
      </c>
      <c r="B534" s="42" t="s">
        <v>1571</v>
      </c>
      <c r="C534" s="43" t="s">
        <v>663</v>
      </c>
      <c r="D534" s="42" t="s">
        <v>1572</v>
      </c>
      <c r="E534" s="43" t="s">
        <v>107</v>
      </c>
      <c r="F534" s="42" t="s">
        <v>1206</v>
      </c>
    </row>
    <row r="535" spans="1:6" ht="13.8" x14ac:dyDescent="0.25">
      <c r="A535" s="42" t="s">
        <v>1573</v>
      </c>
      <c r="B535" s="42" t="s">
        <v>1574</v>
      </c>
      <c r="C535" s="49"/>
      <c r="D535" s="49"/>
      <c r="E535" s="49"/>
      <c r="F535" s="49"/>
    </row>
    <row r="536" spans="1:6" ht="41.4" x14ac:dyDescent="0.25">
      <c r="A536" s="42" t="s">
        <v>1575</v>
      </c>
      <c r="B536" s="42" t="s">
        <v>1576</v>
      </c>
      <c r="C536" s="43" t="s">
        <v>663</v>
      </c>
      <c r="D536" s="42" t="s">
        <v>1577</v>
      </c>
      <c r="E536" s="43" t="s">
        <v>107</v>
      </c>
      <c r="F536" s="42" t="s">
        <v>620</v>
      </c>
    </row>
    <row r="537" spans="1:6" ht="41.4" x14ac:dyDescent="0.25">
      <c r="A537" s="42" t="s">
        <v>1578</v>
      </c>
      <c r="B537" s="42" t="s">
        <v>1579</v>
      </c>
      <c r="C537" s="43" t="s">
        <v>663</v>
      </c>
      <c r="D537" s="42" t="s">
        <v>1580</v>
      </c>
      <c r="E537" s="43" t="s">
        <v>107</v>
      </c>
      <c r="F537" s="42" t="s">
        <v>620</v>
      </c>
    </row>
    <row r="538" spans="1:6" ht="27.6" x14ac:dyDescent="0.25">
      <c r="A538" s="42" t="s">
        <v>1581</v>
      </c>
      <c r="B538" s="42" t="s">
        <v>1582</v>
      </c>
      <c r="C538" s="43" t="s">
        <v>663</v>
      </c>
      <c r="D538" s="42" t="s">
        <v>107</v>
      </c>
      <c r="E538" s="43" t="s">
        <v>107</v>
      </c>
      <c r="F538" s="42" t="s">
        <v>117</v>
      </c>
    </row>
    <row r="539" spans="1:6" ht="27.6" x14ac:dyDescent="0.25">
      <c r="A539" s="42" t="s">
        <v>1583</v>
      </c>
      <c r="B539" s="42" t="s">
        <v>1584</v>
      </c>
      <c r="C539" s="43" t="s">
        <v>663</v>
      </c>
      <c r="D539" s="42" t="s">
        <v>1585</v>
      </c>
      <c r="E539" s="43" t="s">
        <v>107</v>
      </c>
      <c r="F539" s="42" t="s">
        <v>1586</v>
      </c>
    </row>
    <row r="540" spans="1:6" ht="27.6" x14ac:dyDescent="0.25">
      <c r="A540" s="42" t="s">
        <v>1587</v>
      </c>
      <c r="B540" s="42" t="s">
        <v>1588</v>
      </c>
      <c r="C540" s="43" t="s">
        <v>663</v>
      </c>
      <c r="D540" s="42" t="s">
        <v>1589</v>
      </c>
      <c r="E540" s="43" t="s">
        <v>107</v>
      </c>
      <c r="F540" s="42" t="s">
        <v>1586</v>
      </c>
    </row>
    <row r="541" spans="1:6" ht="27.6" x14ac:dyDescent="0.25">
      <c r="A541" s="42" t="s">
        <v>1590</v>
      </c>
      <c r="B541" s="42" t="s">
        <v>1591</v>
      </c>
      <c r="C541" s="43" t="s">
        <v>663</v>
      </c>
      <c r="D541" s="42" t="s">
        <v>1592</v>
      </c>
      <c r="E541" s="43" t="s">
        <v>107</v>
      </c>
      <c r="F541" s="42" t="s">
        <v>1586</v>
      </c>
    </row>
    <row r="542" spans="1:6" ht="27.6" x14ac:dyDescent="0.25">
      <c r="A542" s="42" t="s">
        <v>1593</v>
      </c>
      <c r="B542" s="42" t="s">
        <v>1594</v>
      </c>
      <c r="C542" s="43" t="s">
        <v>682</v>
      </c>
      <c r="D542" s="42" t="s">
        <v>1595</v>
      </c>
      <c r="E542" s="43" t="s">
        <v>107</v>
      </c>
      <c r="F542" s="42" t="s">
        <v>1596</v>
      </c>
    </row>
    <row r="543" spans="1:6" ht="27.6" x14ac:dyDescent="0.25">
      <c r="A543" s="42" t="s">
        <v>1597</v>
      </c>
      <c r="B543" s="42" t="s">
        <v>1598</v>
      </c>
      <c r="C543" s="43" t="s">
        <v>107</v>
      </c>
      <c r="D543" s="42" t="s">
        <v>107</v>
      </c>
      <c r="E543" s="43" t="s">
        <v>107</v>
      </c>
      <c r="F543" s="42" t="s">
        <v>107</v>
      </c>
    </row>
    <row r="544" spans="1:6" ht="27.6" x14ac:dyDescent="0.25">
      <c r="A544" s="42" t="s">
        <v>1599</v>
      </c>
      <c r="B544" s="42" t="s">
        <v>1600</v>
      </c>
      <c r="C544" s="43" t="s">
        <v>682</v>
      </c>
      <c r="D544" s="42" t="s">
        <v>107</v>
      </c>
      <c r="E544" s="43" t="s">
        <v>107</v>
      </c>
      <c r="F544" s="42" t="s">
        <v>157</v>
      </c>
    </row>
    <row r="545" spans="1:6" ht="27.6" x14ac:dyDescent="0.25">
      <c r="A545" s="42" t="s">
        <v>1601</v>
      </c>
      <c r="B545" s="42" t="s">
        <v>1602</v>
      </c>
      <c r="C545" s="43" t="s">
        <v>107</v>
      </c>
      <c r="D545" s="42" t="s">
        <v>107</v>
      </c>
      <c r="E545" s="43" t="s">
        <v>107</v>
      </c>
      <c r="F545" s="42" t="s">
        <v>107</v>
      </c>
    </row>
    <row r="546" spans="1:6" ht="41.4" x14ac:dyDescent="0.25">
      <c r="A546" s="42" t="s">
        <v>1603</v>
      </c>
      <c r="B546" s="42" t="s">
        <v>1604</v>
      </c>
      <c r="C546" s="43" t="s">
        <v>663</v>
      </c>
      <c r="D546" s="42" t="s">
        <v>1605</v>
      </c>
      <c r="E546" s="43" t="s">
        <v>1606</v>
      </c>
      <c r="F546" s="42" t="s">
        <v>112</v>
      </c>
    </row>
    <row r="547" spans="1:6" ht="27.6" x14ac:dyDescent="0.25">
      <c r="A547" s="42" t="s">
        <v>1607</v>
      </c>
      <c r="B547" s="42" t="s">
        <v>1608</v>
      </c>
      <c r="C547" s="43" t="s">
        <v>663</v>
      </c>
      <c r="D547" s="42" t="s">
        <v>1609</v>
      </c>
      <c r="E547" s="43" t="s">
        <v>107</v>
      </c>
      <c r="F547" s="42" t="s">
        <v>1610</v>
      </c>
    </row>
    <row r="548" spans="1:6" ht="27.6" x14ac:dyDescent="0.25">
      <c r="A548" s="42" t="s">
        <v>1611</v>
      </c>
      <c r="B548" s="42" t="s">
        <v>1612</v>
      </c>
      <c r="C548" s="43" t="s">
        <v>682</v>
      </c>
      <c r="D548" s="42" t="s">
        <v>1609</v>
      </c>
      <c r="E548" s="43" t="s">
        <v>107</v>
      </c>
      <c r="F548" s="42" t="s">
        <v>1610</v>
      </c>
    </row>
    <row r="549" spans="1:6" ht="27.6" x14ac:dyDescent="0.25">
      <c r="A549" s="42" t="s">
        <v>1613</v>
      </c>
      <c r="B549" s="42" t="s">
        <v>1614</v>
      </c>
      <c r="C549" s="43" t="s">
        <v>663</v>
      </c>
      <c r="D549" s="42" t="s">
        <v>1615</v>
      </c>
      <c r="E549" s="43" t="s">
        <v>107</v>
      </c>
      <c r="F549" s="42" t="s">
        <v>1616</v>
      </c>
    </row>
    <row r="550" spans="1:6" ht="41.4" x14ac:dyDescent="0.25">
      <c r="A550" s="42" t="s">
        <v>1617</v>
      </c>
      <c r="B550" s="42" t="s">
        <v>1618</v>
      </c>
      <c r="C550" s="43" t="s">
        <v>682</v>
      </c>
      <c r="D550" s="42" t="s">
        <v>1619</v>
      </c>
      <c r="E550" s="43" t="s">
        <v>107</v>
      </c>
      <c r="F550" s="42" t="s">
        <v>703</v>
      </c>
    </row>
    <row r="551" spans="1:6" ht="27.6" x14ac:dyDescent="0.25">
      <c r="A551" s="42" t="s">
        <v>1620</v>
      </c>
      <c r="B551" s="42" t="s">
        <v>1621</v>
      </c>
      <c r="C551" s="43" t="s">
        <v>682</v>
      </c>
      <c r="D551" s="42" t="s">
        <v>1622</v>
      </c>
      <c r="E551" s="43" t="s">
        <v>107</v>
      </c>
      <c r="F551" s="42" t="s">
        <v>117</v>
      </c>
    </row>
    <row r="552" spans="1:6" ht="27.6" x14ac:dyDescent="0.25">
      <c r="A552" s="42" t="s">
        <v>1623</v>
      </c>
      <c r="B552" s="42" t="s">
        <v>1624</v>
      </c>
      <c r="C552" s="43" t="s">
        <v>663</v>
      </c>
      <c r="D552" s="42" t="s">
        <v>1625</v>
      </c>
      <c r="E552" s="43" t="s">
        <v>107</v>
      </c>
      <c r="F552" s="42" t="s">
        <v>1626</v>
      </c>
    </row>
    <row r="553" spans="1:6" ht="27.6" x14ac:dyDescent="0.25">
      <c r="A553" s="42" t="s">
        <v>1627</v>
      </c>
      <c r="B553" s="42" t="s">
        <v>1628</v>
      </c>
      <c r="C553" s="43" t="s">
        <v>682</v>
      </c>
      <c r="D553" s="42" t="s">
        <v>1629</v>
      </c>
      <c r="E553" s="43" t="s">
        <v>1630</v>
      </c>
      <c r="F553" s="42" t="s">
        <v>157</v>
      </c>
    </row>
    <row r="554" spans="1:6" ht="41.4" x14ac:dyDescent="0.25">
      <c r="A554" s="42" t="s">
        <v>1631</v>
      </c>
      <c r="B554" s="42" t="s">
        <v>1632</v>
      </c>
      <c r="C554" s="43" t="s">
        <v>663</v>
      </c>
      <c r="D554" s="42" t="s">
        <v>1633</v>
      </c>
      <c r="E554" s="43" t="s">
        <v>107</v>
      </c>
      <c r="F554" s="42" t="s">
        <v>112</v>
      </c>
    </row>
    <row r="555" spans="1:6" ht="27.6" x14ac:dyDescent="0.3">
      <c r="A555" s="47" t="s">
        <v>1634</v>
      </c>
      <c r="B555" s="50" t="s">
        <v>1635</v>
      </c>
      <c r="C555" s="48" t="s">
        <v>663</v>
      </c>
      <c r="D555" s="47" t="s">
        <v>1636</v>
      </c>
      <c r="E555" s="50" t="s">
        <v>107</v>
      </c>
      <c r="F555" s="47" t="s">
        <v>1637</v>
      </c>
    </row>
    <row r="556" spans="1:6" ht="27.6" x14ac:dyDescent="0.25">
      <c r="A556" s="35" t="s">
        <v>1638</v>
      </c>
      <c r="B556" s="35" t="s">
        <v>1639</v>
      </c>
      <c r="C556" s="41" t="s">
        <v>173</v>
      </c>
      <c r="D556" s="35" t="s">
        <v>899</v>
      </c>
      <c r="E556" s="41" t="s">
        <v>107</v>
      </c>
      <c r="F556" s="35" t="s">
        <v>900</v>
      </c>
    </row>
    <row r="557" spans="1:6" ht="13.8" x14ac:dyDescent="0.25">
      <c r="A557" s="26" t="s">
        <v>1640</v>
      </c>
      <c r="B557" s="26" t="s">
        <v>1641</v>
      </c>
      <c r="C557" s="27" t="s">
        <v>110</v>
      </c>
      <c r="D557" s="26" t="s">
        <v>899</v>
      </c>
      <c r="E557" s="27" t="s">
        <v>107</v>
      </c>
      <c r="F557" s="26" t="s">
        <v>900</v>
      </c>
    </row>
    <row r="558" spans="1:6" ht="27.6" x14ac:dyDescent="0.25">
      <c r="A558" s="26" t="s">
        <v>1642</v>
      </c>
      <c r="B558" s="26" t="s">
        <v>1643</v>
      </c>
      <c r="C558" s="27" t="s">
        <v>110</v>
      </c>
      <c r="D558" s="26" t="s">
        <v>905</v>
      </c>
      <c r="E558" s="27" t="s">
        <v>107</v>
      </c>
      <c r="F558" s="26" t="s">
        <v>210</v>
      </c>
    </row>
    <row r="559" spans="1:6" ht="69" x14ac:dyDescent="0.25">
      <c r="A559" s="26" t="s">
        <v>1644</v>
      </c>
      <c r="B559" s="26" t="s">
        <v>1645</v>
      </c>
      <c r="C559" s="27" t="s">
        <v>663</v>
      </c>
      <c r="D559" s="28"/>
      <c r="E559" s="28"/>
      <c r="F559" s="26" t="s">
        <v>148</v>
      </c>
    </row>
    <row r="560" spans="1:6" ht="69" x14ac:dyDescent="0.25">
      <c r="A560" s="39" t="s">
        <v>1646</v>
      </c>
      <c r="B560" s="39" t="s">
        <v>1647</v>
      </c>
      <c r="C560" s="40" t="s">
        <v>663</v>
      </c>
      <c r="D560" s="51"/>
      <c r="E560" s="51"/>
      <c r="F560" s="39" t="s">
        <v>509</v>
      </c>
    </row>
    <row r="561" spans="1:6" ht="69" x14ac:dyDescent="0.3">
      <c r="A561" s="30" t="s">
        <v>1648</v>
      </c>
      <c r="B561" s="23" t="s">
        <v>1649</v>
      </c>
      <c r="C561" s="25" t="s">
        <v>663</v>
      </c>
      <c r="D561" s="31"/>
      <c r="E561" s="31"/>
      <c r="F561" s="31"/>
    </row>
    <row r="562" spans="1:6" ht="69" x14ac:dyDescent="0.3">
      <c r="A562" s="30" t="s">
        <v>1650</v>
      </c>
      <c r="B562" s="23" t="s">
        <v>1651</v>
      </c>
      <c r="C562" s="25" t="s">
        <v>663</v>
      </c>
      <c r="D562" s="31"/>
      <c r="E562" s="31"/>
      <c r="F562" s="31"/>
    </row>
    <row r="563" spans="1:6" ht="69" x14ac:dyDescent="0.3">
      <c r="A563" s="30" t="s">
        <v>1652</v>
      </c>
      <c r="B563" s="23" t="s">
        <v>1653</v>
      </c>
      <c r="C563" s="25" t="s">
        <v>663</v>
      </c>
      <c r="D563" s="31"/>
      <c r="E563" s="31"/>
      <c r="F563" s="31"/>
    </row>
    <row r="564" spans="1:6" ht="55.2" x14ac:dyDescent="0.3">
      <c r="A564" s="30" t="s">
        <v>1654</v>
      </c>
      <c r="B564" s="23" t="s">
        <v>1655</v>
      </c>
      <c r="C564" s="25" t="s">
        <v>663</v>
      </c>
      <c r="D564" s="31"/>
      <c r="E564" s="31"/>
      <c r="F564" s="23" t="s">
        <v>620</v>
      </c>
    </row>
    <row r="565" spans="1:6" ht="55.2" x14ac:dyDescent="0.25">
      <c r="A565" s="23" t="s">
        <v>1656</v>
      </c>
      <c r="B565" s="23" t="s">
        <v>1657</v>
      </c>
      <c r="C565" s="25" t="s">
        <v>663</v>
      </c>
      <c r="D565" s="31"/>
      <c r="E565" s="31"/>
      <c r="F565" s="23" t="s">
        <v>620</v>
      </c>
    </row>
    <row r="566" spans="1:6" ht="82.8" x14ac:dyDescent="0.3">
      <c r="A566" s="37" t="s">
        <v>1658</v>
      </c>
      <c r="B566" s="35" t="s">
        <v>1659</v>
      </c>
      <c r="C566" s="41" t="s">
        <v>663</v>
      </c>
      <c r="D566" s="36"/>
      <c r="E566" s="36"/>
      <c r="F566" s="36"/>
    </row>
    <row r="567" spans="1:6" ht="27.6" x14ac:dyDescent="0.25">
      <c r="A567" s="26" t="s">
        <v>48</v>
      </c>
      <c r="B567" s="26" t="s">
        <v>1660</v>
      </c>
      <c r="C567" s="27" t="s">
        <v>110</v>
      </c>
      <c r="D567" s="26" t="s">
        <v>908</v>
      </c>
      <c r="E567" s="27" t="s">
        <v>909</v>
      </c>
      <c r="F567" s="26" t="s">
        <v>112</v>
      </c>
    </row>
    <row r="568" spans="1:6" ht="27.6" x14ac:dyDescent="0.25">
      <c r="A568" s="26" t="s">
        <v>1661</v>
      </c>
      <c r="B568" s="26" t="s">
        <v>1662</v>
      </c>
      <c r="C568" s="27" t="s">
        <v>110</v>
      </c>
      <c r="D568" s="26" t="s">
        <v>912</v>
      </c>
      <c r="E568" s="27" t="s">
        <v>107</v>
      </c>
      <c r="F568" s="26" t="s">
        <v>112</v>
      </c>
    </row>
    <row r="569" spans="1:6" ht="27.6" x14ac:dyDescent="0.25">
      <c r="A569" s="26" t="s">
        <v>1663</v>
      </c>
      <c r="B569" s="26" t="s">
        <v>1664</v>
      </c>
      <c r="C569" s="27" t="s">
        <v>110</v>
      </c>
      <c r="D569" s="26" t="s">
        <v>915</v>
      </c>
      <c r="E569" s="27" t="s">
        <v>107</v>
      </c>
      <c r="F569" s="26" t="s">
        <v>112</v>
      </c>
    </row>
    <row r="570" spans="1:6" ht="27.6" x14ac:dyDescent="0.25">
      <c r="A570" s="38" t="s">
        <v>1665</v>
      </c>
      <c r="B570" s="26" t="s">
        <v>1666</v>
      </c>
      <c r="C570" s="27" t="s">
        <v>110</v>
      </c>
      <c r="D570" s="26" t="s">
        <v>912</v>
      </c>
      <c r="E570" s="27" t="s">
        <v>107</v>
      </c>
      <c r="F570" s="26" t="s">
        <v>112</v>
      </c>
    </row>
    <row r="571" spans="1:6" ht="27.6" x14ac:dyDescent="0.25">
      <c r="A571" s="26" t="s">
        <v>1667</v>
      </c>
      <c r="B571" s="26" t="s">
        <v>1668</v>
      </c>
      <c r="C571" s="27" t="s">
        <v>110</v>
      </c>
      <c r="D571" s="26" t="s">
        <v>920</v>
      </c>
      <c r="E571" s="27" t="s">
        <v>107</v>
      </c>
      <c r="F571" s="26" t="s">
        <v>539</v>
      </c>
    </row>
    <row r="572" spans="1:6" ht="27.6" x14ac:dyDescent="0.25">
      <c r="A572" s="26" t="s">
        <v>1669</v>
      </c>
      <c r="B572" s="26" t="s">
        <v>1670</v>
      </c>
      <c r="C572" s="27" t="s">
        <v>110</v>
      </c>
      <c r="D572" s="26" t="s">
        <v>923</v>
      </c>
      <c r="E572" s="27" t="s">
        <v>107</v>
      </c>
      <c r="F572" s="26" t="s">
        <v>539</v>
      </c>
    </row>
    <row r="573" spans="1:6" ht="27.6" x14ac:dyDescent="0.25">
      <c r="A573" s="26" t="s">
        <v>1671</v>
      </c>
      <c r="B573" s="26" t="s">
        <v>1672</v>
      </c>
      <c r="C573" s="27" t="s">
        <v>110</v>
      </c>
      <c r="D573" s="26" t="s">
        <v>1673</v>
      </c>
      <c r="E573" s="27" t="s">
        <v>107</v>
      </c>
      <c r="F573" s="26" t="s">
        <v>1008</v>
      </c>
    </row>
    <row r="574" spans="1:6" ht="27.6" x14ac:dyDescent="0.25">
      <c r="A574" s="26" t="s">
        <v>1674</v>
      </c>
      <c r="B574" s="26" t="s">
        <v>1675</v>
      </c>
      <c r="C574" s="27" t="s">
        <v>110</v>
      </c>
      <c r="D574" s="26" t="s">
        <v>1676</v>
      </c>
      <c r="E574" s="28"/>
      <c r="F574" s="26" t="s">
        <v>274</v>
      </c>
    </row>
    <row r="575" spans="1:6" ht="27.6" x14ac:dyDescent="0.25">
      <c r="A575" s="26" t="s">
        <v>1677</v>
      </c>
      <c r="B575" s="26" t="s">
        <v>1678</v>
      </c>
      <c r="C575" s="27" t="s">
        <v>110</v>
      </c>
      <c r="D575" s="26" t="s">
        <v>928</v>
      </c>
      <c r="E575" s="27" t="s">
        <v>107</v>
      </c>
      <c r="F575" s="26" t="s">
        <v>365</v>
      </c>
    </row>
    <row r="576" spans="1:6" ht="27.6" x14ac:dyDescent="0.25">
      <c r="A576" s="26" t="s">
        <v>1679</v>
      </c>
      <c r="B576" s="26" t="s">
        <v>1680</v>
      </c>
      <c r="C576" s="27" t="s">
        <v>110</v>
      </c>
      <c r="D576" s="26" t="s">
        <v>1681</v>
      </c>
      <c r="E576" s="28"/>
      <c r="F576" s="26" t="s">
        <v>370</v>
      </c>
    </row>
    <row r="577" spans="1:6" ht="27.6" x14ac:dyDescent="0.25">
      <c r="A577" s="26" t="s">
        <v>1682</v>
      </c>
      <c r="B577" s="26" t="s">
        <v>1683</v>
      </c>
      <c r="C577" s="27" t="s">
        <v>110</v>
      </c>
      <c r="D577" s="26" t="s">
        <v>1235</v>
      </c>
      <c r="E577" s="28"/>
      <c r="F577" s="26" t="s">
        <v>1237</v>
      </c>
    </row>
    <row r="578" spans="1:6" ht="27.6" x14ac:dyDescent="0.25">
      <c r="A578" s="26" t="s">
        <v>1684</v>
      </c>
      <c r="B578" s="26" t="s">
        <v>1683</v>
      </c>
      <c r="C578" s="27" t="s">
        <v>110</v>
      </c>
      <c r="D578" s="26" t="s">
        <v>1235</v>
      </c>
      <c r="E578" s="27" t="s">
        <v>1236</v>
      </c>
      <c r="F578" s="26" t="s">
        <v>1237</v>
      </c>
    </row>
    <row r="579" spans="1:6" ht="27.6" x14ac:dyDescent="0.25">
      <c r="A579" s="26" t="s">
        <v>1685</v>
      </c>
      <c r="B579" s="26" t="s">
        <v>1686</v>
      </c>
      <c r="C579" s="27" t="s">
        <v>110</v>
      </c>
      <c r="D579" s="26" t="s">
        <v>1687</v>
      </c>
      <c r="E579" s="28"/>
      <c r="F579" s="26" t="s">
        <v>157</v>
      </c>
    </row>
    <row r="580" spans="1:6" ht="27.6" x14ac:dyDescent="0.25">
      <c r="A580" s="26" t="s">
        <v>1688</v>
      </c>
      <c r="B580" s="26" t="s">
        <v>1689</v>
      </c>
      <c r="C580" s="27" t="s">
        <v>110</v>
      </c>
      <c r="D580" s="26" t="s">
        <v>931</v>
      </c>
      <c r="E580" s="27" t="s">
        <v>107</v>
      </c>
      <c r="F580" s="26" t="s">
        <v>157</v>
      </c>
    </row>
    <row r="581" spans="1:6" ht="27.6" x14ac:dyDescent="0.25">
      <c r="A581" s="39" t="s">
        <v>1690</v>
      </c>
      <c r="B581" s="39" t="s">
        <v>1691</v>
      </c>
      <c r="C581" s="40" t="s">
        <v>110</v>
      </c>
      <c r="D581" s="39" t="s">
        <v>1692</v>
      </c>
      <c r="E581" s="51"/>
      <c r="F581" s="39" t="s">
        <v>202</v>
      </c>
    </row>
    <row r="582" spans="1:6" ht="55.2" x14ac:dyDescent="0.25">
      <c r="A582" s="23" t="s">
        <v>1693</v>
      </c>
      <c r="B582" s="23" t="s">
        <v>1694</v>
      </c>
      <c r="C582" s="25" t="s">
        <v>110</v>
      </c>
      <c r="D582" s="31"/>
      <c r="E582" s="31"/>
      <c r="F582" s="31"/>
    </row>
    <row r="583" spans="1:6" ht="55.2" x14ac:dyDescent="0.25">
      <c r="A583" s="23" t="s">
        <v>1693</v>
      </c>
      <c r="B583" s="23" t="s">
        <v>1694</v>
      </c>
      <c r="C583" s="25" t="s">
        <v>110</v>
      </c>
      <c r="D583" s="23" t="s">
        <v>147</v>
      </c>
      <c r="E583" s="31"/>
      <c r="F583" s="23" t="s">
        <v>148</v>
      </c>
    </row>
    <row r="584" spans="1:6" ht="55.2" x14ac:dyDescent="0.25">
      <c r="A584" s="23" t="s">
        <v>1695</v>
      </c>
      <c r="B584" s="23" t="s">
        <v>1696</v>
      </c>
      <c r="C584" s="25" t="s">
        <v>110</v>
      </c>
      <c r="D584" s="31"/>
      <c r="E584" s="31"/>
      <c r="F584" s="31"/>
    </row>
    <row r="585" spans="1:6" ht="55.2" x14ac:dyDescent="0.25">
      <c r="A585" s="23" t="s">
        <v>1695</v>
      </c>
      <c r="B585" s="23" t="s">
        <v>1696</v>
      </c>
      <c r="C585" s="25" t="s">
        <v>110</v>
      </c>
      <c r="D585" s="23" t="s">
        <v>243</v>
      </c>
      <c r="E585" s="31"/>
      <c r="F585" s="23" t="s">
        <v>112</v>
      </c>
    </row>
    <row r="586" spans="1:6" ht="55.2" x14ac:dyDescent="0.25">
      <c r="A586" s="23" t="s">
        <v>1697</v>
      </c>
      <c r="B586" s="23" t="s">
        <v>1698</v>
      </c>
      <c r="C586" s="25" t="s">
        <v>110</v>
      </c>
      <c r="D586" s="31"/>
      <c r="E586" s="31"/>
      <c r="F586" s="23" t="s">
        <v>443</v>
      </c>
    </row>
    <row r="587" spans="1:6" ht="55.2" x14ac:dyDescent="0.25">
      <c r="A587" s="23" t="s">
        <v>1699</v>
      </c>
      <c r="B587" s="23" t="s">
        <v>1700</v>
      </c>
      <c r="C587" s="25" t="s">
        <v>110</v>
      </c>
      <c r="D587" s="31"/>
      <c r="E587" s="31"/>
      <c r="F587" s="31"/>
    </row>
    <row r="588" spans="1:6" ht="41.4" x14ac:dyDescent="0.25">
      <c r="A588" s="23" t="s">
        <v>1701</v>
      </c>
      <c r="B588" s="23" t="s">
        <v>1702</v>
      </c>
      <c r="C588" s="25" t="s">
        <v>110</v>
      </c>
      <c r="D588" s="23" t="s">
        <v>1703</v>
      </c>
      <c r="E588" s="31"/>
      <c r="F588" s="23" t="s">
        <v>112</v>
      </c>
    </row>
    <row r="589" spans="1:6" ht="55.2" x14ac:dyDescent="0.25">
      <c r="A589" s="23" t="s">
        <v>1704</v>
      </c>
      <c r="B589" s="23" t="s">
        <v>1705</v>
      </c>
      <c r="C589" s="25" t="s">
        <v>110</v>
      </c>
      <c r="D589" s="23" t="s">
        <v>979</v>
      </c>
      <c r="E589" s="31"/>
      <c r="F589" s="23" t="s">
        <v>509</v>
      </c>
    </row>
    <row r="590" spans="1:6" ht="55.2" x14ac:dyDescent="0.25">
      <c r="A590" s="23" t="s">
        <v>1706</v>
      </c>
      <c r="B590" s="23" t="s">
        <v>1707</v>
      </c>
      <c r="C590" s="25" t="s">
        <v>110</v>
      </c>
      <c r="D590" s="31"/>
      <c r="E590" s="31"/>
      <c r="F590" s="31"/>
    </row>
    <row r="591" spans="1:6" ht="41.4" x14ac:dyDescent="0.25">
      <c r="A591" s="23" t="s">
        <v>1708</v>
      </c>
      <c r="B591" s="23" t="s">
        <v>1709</v>
      </c>
      <c r="C591" s="25" t="s">
        <v>110</v>
      </c>
      <c r="D591" s="31"/>
      <c r="E591" s="31"/>
      <c r="F591" s="31"/>
    </row>
    <row r="592" spans="1:6" ht="55.2" x14ac:dyDescent="0.25">
      <c r="A592" s="23" t="s">
        <v>1710</v>
      </c>
      <c r="B592" s="23" t="s">
        <v>1711</v>
      </c>
      <c r="C592" s="25" t="s">
        <v>110</v>
      </c>
      <c r="D592" s="31"/>
      <c r="E592" s="31"/>
      <c r="F592" s="23" t="s">
        <v>1202</v>
      </c>
    </row>
    <row r="593" spans="1:6" ht="55.2" x14ac:dyDescent="0.25">
      <c r="A593" s="23" t="s">
        <v>1712</v>
      </c>
      <c r="B593" s="23" t="s">
        <v>1713</v>
      </c>
      <c r="C593" s="25" t="s">
        <v>110</v>
      </c>
      <c r="D593" s="31"/>
      <c r="E593" s="31"/>
      <c r="F593" s="31"/>
    </row>
    <row r="594" spans="1:6" ht="55.2" x14ac:dyDescent="0.25">
      <c r="A594" s="23" t="s">
        <v>1712</v>
      </c>
      <c r="B594" s="23" t="s">
        <v>1714</v>
      </c>
      <c r="C594" s="25" t="s">
        <v>110</v>
      </c>
      <c r="D594" s="31"/>
      <c r="E594" s="31"/>
      <c r="F594" s="23" t="s">
        <v>1206</v>
      </c>
    </row>
    <row r="595" spans="1:6" ht="41.4" x14ac:dyDescent="0.25">
      <c r="A595" s="23" t="s">
        <v>1715</v>
      </c>
      <c r="B595" s="23" t="s">
        <v>1716</v>
      </c>
      <c r="C595" s="25" t="s">
        <v>110</v>
      </c>
      <c r="D595" s="23" t="s">
        <v>1717</v>
      </c>
      <c r="E595" s="31"/>
      <c r="F595" s="23" t="s">
        <v>1237</v>
      </c>
    </row>
    <row r="596" spans="1:6" ht="41.4" x14ac:dyDescent="0.25">
      <c r="A596" s="23" t="s">
        <v>1718</v>
      </c>
      <c r="B596" s="23" t="s">
        <v>1719</v>
      </c>
      <c r="C596" s="25" t="s">
        <v>110</v>
      </c>
      <c r="D596" s="23" t="s">
        <v>1371</v>
      </c>
      <c r="E596" s="31"/>
      <c r="F596" s="23" t="s">
        <v>1372</v>
      </c>
    </row>
    <row r="597" spans="1:6" ht="41.4" x14ac:dyDescent="0.25">
      <c r="A597" s="23" t="s">
        <v>1720</v>
      </c>
      <c r="B597" s="23" t="s">
        <v>1721</v>
      </c>
      <c r="C597" s="25" t="s">
        <v>110</v>
      </c>
      <c r="D597" s="31"/>
      <c r="E597" s="31"/>
      <c r="F597" s="31"/>
    </row>
    <row r="598" spans="1:6" ht="41.4" x14ac:dyDescent="0.25">
      <c r="A598" s="23" t="s">
        <v>1722</v>
      </c>
      <c r="B598" s="23" t="s">
        <v>1723</v>
      </c>
      <c r="C598" s="25" t="s">
        <v>110</v>
      </c>
      <c r="D598" s="23" t="s">
        <v>1390</v>
      </c>
      <c r="E598" s="31"/>
      <c r="F598" s="23" t="s">
        <v>1206</v>
      </c>
    </row>
    <row r="599" spans="1:6" ht="41.4" x14ac:dyDescent="0.25">
      <c r="A599" s="23" t="s">
        <v>1724</v>
      </c>
      <c r="B599" s="23" t="s">
        <v>1725</v>
      </c>
      <c r="C599" s="25" t="s">
        <v>110</v>
      </c>
      <c r="D599" s="31"/>
      <c r="E599" s="31"/>
      <c r="F599" s="23" t="s">
        <v>620</v>
      </c>
    </row>
    <row r="600" spans="1:6" ht="41.4" x14ac:dyDescent="0.25">
      <c r="A600" s="35" t="s">
        <v>1726</v>
      </c>
      <c r="B600" s="35" t="s">
        <v>1727</v>
      </c>
      <c r="C600" s="41" t="s">
        <v>110</v>
      </c>
      <c r="D600" s="36"/>
      <c r="E600" s="36"/>
      <c r="F600" s="36"/>
    </row>
    <row r="601" spans="1:6" ht="27.6" x14ac:dyDescent="0.25">
      <c r="A601" s="26" t="s">
        <v>1728</v>
      </c>
      <c r="B601" s="26" t="s">
        <v>1729</v>
      </c>
      <c r="C601" s="27" t="s">
        <v>110</v>
      </c>
      <c r="D601" s="26" t="s">
        <v>934</v>
      </c>
      <c r="E601" s="27" t="s">
        <v>107</v>
      </c>
      <c r="F601" s="26" t="s">
        <v>582</v>
      </c>
    </row>
    <row r="602" spans="1:6" ht="41.4" x14ac:dyDescent="0.25">
      <c r="A602" s="26" t="s">
        <v>1730</v>
      </c>
      <c r="B602" s="26" t="s">
        <v>1731</v>
      </c>
      <c r="C602" s="27" t="s">
        <v>110</v>
      </c>
      <c r="D602" s="26" t="s">
        <v>1732</v>
      </c>
      <c r="E602" s="27" t="s">
        <v>107</v>
      </c>
      <c r="F602" s="26" t="s">
        <v>582</v>
      </c>
    </row>
    <row r="603" spans="1:6" ht="27.6" x14ac:dyDescent="0.25">
      <c r="A603" s="26" t="s">
        <v>1733</v>
      </c>
      <c r="B603" s="26" t="s">
        <v>1734</v>
      </c>
      <c r="C603" s="27" t="s">
        <v>110</v>
      </c>
      <c r="D603" s="26" t="s">
        <v>939</v>
      </c>
      <c r="E603" s="27" t="s">
        <v>107</v>
      </c>
      <c r="F603" s="26" t="s">
        <v>582</v>
      </c>
    </row>
    <row r="604" spans="1:6" ht="27.6" x14ac:dyDescent="0.25">
      <c r="A604" s="39" t="s">
        <v>1735</v>
      </c>
      <c r="B604" s="39" t="s">
        <v>1736</v>
      </c>
      <c r="C604" s="40" t="s">
        <v>110</v>
      </c>
      <c r="D604" s="39" t="s">
        <v>1737</v>
      </c>
      <c r="E604" s="51"/>
      <c r="F604" s="39" t="s">
        <v>582</v>
      </c>
    </row>
    <row r="605" spans="1:6" ht="27.6" x14ac:dyDescent="0.25">
      <c r="A605" s="23" t="s">
        <v>1738</v>
      </c>
      <c r="B605" s="23" t="s">
        <v>1739</v>
      </c>
      <c r="C605" s="25" t="s">
        <v>173</v>
      </c>
      <c r="D605" s="23" t="s">
        <v>1740</v>
      </c>
      <c r="E605" s="25" t="s">
        <v>107</v>
      </c>
      <c r="F605" s="23" t="s">
        <v>278</v>
      </c>
    </row>
    <row r="606" spans="1:6" ht="27.6" x14ac:dyDescent="0.25">
      <c r="A606" s="35" t="s">
        <v>1741</v>
      </c>
      <c r="B606" s="35" t="s">
        <v>1742</v>
      </c>
      <c r="C606" s="41" t="s">
        <v>173</v>
      </c>
      <c r="D606" s="35" t="s">
        <v>1743</v>
      </c>
      <c r="E606" s="36"/>
      <c r="F606" s="35" t="s">
        <v>157</v>
      </c>
    </row>
    <row r="607" spans="1:6" ht="27.6" x14ac:dyDescent="0.25">
      <c r="A607" s="26" t="s">
        <v>1744</v>
      </c>
      <c r="B607" s="26" t="s">
        <v>1745</v>
      </c>
      <c r="C607" s="27" t="s">
        <v>110</v>
      </c>
      <c r="D607" s="26" t="s">
        <v>1746</v>
      </c>
      <c r="E607" s="28"/>
      <c r="F607" s="26" t="s">
        <v>1008</v>
      </c>
    </row>
    <row r="608" spans="1:6" ht="27.6" x14ac:dyDescent="0.25">
      <c r="A608" s="26" t="s">
        <v>1747</v>
      </c>
      <c r="B608" s="26" t="s">
        <v>1748</v>
      </c>
      <c r="C608" s="27" t="s">
        <v>110</v>
      </c>
      <c r="D608" s="26" t="s">
        <v>1749</v>
      </c>
      <c r="E608" s="28"/>
      <c r="F608" s="26" t="s">
        <v>411</v>
      </c>
    </row>
    <row r="609" spans="1:6" ht="27.6" x14ac:dyDescent="0.25">
      <c r="A609" s="26" t="s">
        <v>1750</v>
      </c>
      <c r="B609" s="26" t="s">
        <v>1751</v>
      </c>
      <c r="C609" s="27" t="s">
        <v>110</v>
      </c>
      <c r="D609" s="26" t="s">
        <v>942</v>
      </c>
      <c r="E609" s="27" t="s">
        <v>943</v>
      </c>
      <c r="F609" s="26" t="s">
        <v>157</v>
      </c>
    </row>
    <row r="610" spans="1:6" ht="27.6" x14ac:dyDescent="0.25">
      <c r="A610" s="26" t="s">
        <v>1752</v>
      </c>
      <c r="B610" s="26" t="s">
        <v>1753</v>
      </c>
      <c r="C610" s="27" t="s">
        <v>110</v>
      </c>
      <c r="D610" s="26" t="s">
        <v>946</v>
      </c>
      <c r="E610" s="27" t="s">
        <v>107</v>
      </c>
      <c r="F610" s="26" t="s">
        <v>157</v>
      </c>
    </row>
    <row r="611" spans="1:6" ht="27.6" x14ac:dyDescent="0.25">
      <c r="A611" s="26" t="s">
        <v>1754</v>
      </c>
      <c r="B611" s="26" t="s">
        <v>1755</v>
      </c>
      <c r="C611" s="27" t="s">
        <v>110</v>
      </c>
      <c r="D611" s="26" t="s">
        <v>949</v>
      </c>
      <c r="E611" s="27" t="s">
        <v>107</v>
      </c>
      <c r="F611" s="26" t="s">
        <v>193</v>
      </c>
    </row>
    <row r="612" spans="1:6" ht="27.6" x14ac:dyDescent="0.25">
      <c r="A612" s="26" t="s">
        <v>1756</v>
      </c>
      <c r="B612" s="26" t="s">
        <v>1757</v>
      </c>
      <c r="C612" s="27" t="s">
        <v>110</v>
      </c>
      <c r="D612" s="26" t="s">
        <v>952</v>
      </c>
      <c r="E612" s="27" t="s">
        <v>107</v>
      </c>
      <c r="F612" s="26" t="s">
        <v>112</v>
      </c>
    </row>
    <row r="613" spans="1:6" ht="27.6" x14ac:dyDescent="0.25">
      <c r="A613" s="26" t="s">
        <v>1758</v>
      </c>
      <c r="B613" s="26" t="s">
        <v>1759</v>
      </c>
      <c r="C613" s="27" t="s">
        <v>110</v>
      </c>
      <c r="D613" s="26" t="s">
        <v>955</v>
      </c>
      <c r="E613" s="27" t="s">
        <v>107</v>
      </c>
      <c r="F613" s="26" t="s">
        <v>112</v>
      </c>
    </row>
    <row r="614" spans="1:6" ht="27.6" x14ac:dyDescent="0.25">
      <c r="A614" s="26" t="s">
        <v>1760</v>
      </c>
      <c r="B614" s="26" t="s">
        <v>1761</v>
      </c>
      <c r="C614" s="27" t="s">
        <v>110</v>
      </c>
      <c r="D614" s="26" t="s">
        <v>958</v>
      </c>
      <c r="E614" s="27" t="s">
        <v>107</v>
      </c>
      <c r="F614" s="26" t="s">
        <v>386</v>
      </c>
    </row>
    <row r="615" spans="1:6" ht="41.4" x14ac:dyDescent="0.25">
      <c r="A615" s="26" t="s">
        <v>1762</v>
      </c>
      <c r="B615" s="26" t="s">
        <v>1763</v>
      </c>
      <c r="C615" s="27" t="s">
        <v>110</v>
      </c>
      <c r="D615" s="26" t="s">
        <v>958</v>
      </c>
      <c r="E615" s="27" t="s">
        <v>107</v>
      </c>
      <c r="F615" s="26" t="s">
        <v>386</v>
      </c>
    </row>
    <row r="616" spans="1:6" ht="41.4" x14ac:dyDescent="0.25">
      <c r="A616" s="26" t="s">
        <v>1764</v>
      </c>
      <c r="B616" s="26" t="s">
        <v>1765</v>
      </c>
      <c r="C616" s="27" t="s">
        <v>110</v>
      </c>
      <c r="D616" s="26" t="s">
        <v>958</v>
      </c>
      <c r="E616" s="27" t="s">
        <v>107</v>
      </c>
      <c r="F616" s="26" t="s">
        <v>386</v>
      </c>
    </row>
    <row r="617" spans="1:6" ht="27.6" x14ac:dyDescent="0.25">
      <c r="A617" s="26" t="s">
        <v>1766</v>
      </c>
      <c r="B617" s="26" t="s">
        <v>1767</v>
      </c>
      <c r="C617" s="27" t="s">
        <v>110</v>
      </c>
      <c r="D617" s="26" t="s">
        <v>965</v>
      </c>
      <c r="E617" s="27" t="s">
        <v>107</v>
      </c>
      <c r="F617" s="26" t="s">
        <v>386</v>
      </c>
    </row>
    <row r="618" spans="1:6" ht="27.6" x14ac:dyDescent="0.25">
      <c r="A618" s="52" t="s">
        <v>1768</v>
      </c>
      <c r="B618" s="52" t="s">
        <v>1769</v>
      </c>
      <c r="C618" s="53" t="s">
        <v>173</v>
      </c>
      <c r="D618" s="54"/>
      <c r="E618" s="54"/>
      <c r="F618" s="52" t="s">
        <v>112</v>
      </c>
    </row>
    <row r="619" spans="1:6" ht="27.6" x14ac:dyDescent="0.25">
      <c r="A619" s="26" t="s">
        <v>1770</v>
      </c>
      <c r="B619" s="26" t="s">
        <v>1771</v>
      </c>
      <c r="C619" s="27" t="s">
        <v>110</v>
      </c>
      <c r="D619" s="26" t="s">
        <v>564</v>
      </c>
      <c r="E619" s="28"/>
      <c r="F619" s="26" t="s">
        <v>112</v>
      </c>
    </row>
    <row r="620" spans="1:6" ht="27.6" x14ac:dyDescent="0.25">
      <c r="A620" s="26" t="s">
        <v>1772</v>
      </c>
      <c r="B620" s="26" t="s">
        <v>1773</v>
      </c>
      <c r="C620" s="27" t="s">
        <v>110</v>
      </c>
      <c r="D620" s="26" t="s">
        <v>968</v>
      </c>
      <c r="E620" s="27" t="s">
        <v>107</v>
      </c>
      <c r="F620" s="26" t="s">
        <v>112</v>
      </c>
    </row>
    <row r="621" spans="1:6" ht="27.6" x14ac:dyDescent="0.25">
      <c r="A621" s="26" t="s">
        <v>1774</v>
      </c>
      <c r="B621" s="26" t="s">
        <v>1775</v>
      </c>
      <c r="C621" s="27" t="s">
        <v>110</v>
      </c>
      <c r="D621" s="26" t="s">
        <v>971</v>
      </c>
      <c r="E621" s="27" t="s">
        <v>107</v>
      </c>
      <c r="F621" s="26" t="s">
        <v>193</v>
      </c>
    </row>
    <row r="622" spans="1:6" ht="27.6" x14ac:dyDescent="0.25">
      <c r="A622" s="26" t="s">
        <v>1776</v>
      </c>
      <c r="B622" s="26" t="s">
        <v>1777</v>
      </c>
      <c r="C622" s="27" t="s">
        <v>110</v>
      </c>
      <c r="D622" s="26" t="s">
        <v>974</v>
      </c>
      <c r="E622" s="27" t="s">
        <v>107</v>
      </c>
      <c r="F622" s="26" t="s">
        <v>509</v>
      </c>
    </row>
    <row r="623" spans="1:6" ht="27.6" x14ac:dyDescent="0.25">
      <c r="A623" s="26" t="s">
        <v>56</v>
      </c>
      <c r="B623" s="26" t="s">
        <v>86</v>
      </c>
      <c r="C623" s="27" t="s">
        <v>110</v>
      </c>
      <c r="D623" s="26" t="s">
        <v>979</v>
      </c>
      <c r="E623" s="27" t="s">
        <v>107</v>
      </c>
      <c r="F623" s="26" t="s">
        <v>509</v>
      </c>
    </row>
    <row r="624" spans="1:6" ht="41.4" x14ac:dyDescent="0.25">
      <c r="A624" s="26" t="s">
        <v>1778</v>
      </c>
      <c r="B624" s="26" t="s">
        <v>1779</v>
      </c>
      <c r="C624" s="27" t="s">
        <v>110</v>
      </c>
      <c r="D624" s="26" t="s">
        <v>979</v>
      </c>
      <c r="E624" s="27" t="s">
        <v>107</v>
      </c>
      <c r="F624" s="26" t="s">
        <v>509</v>
      </c>
    </row>
    <row r="625" spans="1:6" ht="27.6" x14ac:dyDescent="0.25">
      <c r="A625" s="26" t="s">
        <v>1780</v>
      </c>
      <c r="B625" s="26" t="s">
        <v>1781</v>
      </c>
      <c r="C625" s="27" t="s">
        <v>110</v>
      </c>
      <c r="D625" s="28"/>
      <c r="E625" s="28"/>
      <c r="F625" s="26" t="s">
        <v>165</v>
      </c>
    </row>
    <row r="626" spans="1:6" ht="27.6" x14ac:dyDescent="0.25">
      <c r="A626" s="26" t="s">
        <v>1782</v>
      </c>
      <c r="B626" s="26" t="s">
        <v>1783</v>
      </c>
      <c r="C626" s="27" t="s">
        <v>110</v>
      </c>
      <c r="D626" s="26" t="s">
        <v>1784</v>
      </c>
      <c r="E626" s="27" t="s">
        <v>107</v>
      </c>
      <c r="F626" s="26" t="s">
        <v>112</v>
      </c>
    </row>
    <row r="627" spans="1:6" ht="27.6" x14ac:dyDescent="0.25">
      <c r="A627" s="26" t="s">
        <v>1785</v>
      </c>
      <c r="B627" s="26" t="s">
        <v>1786</v>
      </c>
      <c r="C627" s="27" t="s">
        <v>110</v>
      </c>
      <c r="D627" s="26" t="s">
        <v>982</v>
      </c>
      <c r="E627" s="27" t="s">
        <v>107</v>
      </c>
      <c r="F627" s="26" t="s">
        <v>112</v>
      </c>
    </row>
    <row r="628" spans="1:6" ht="27.6" x14ac:dyDescent="0.25">
      <c r="A628" s="26" t="s">
        <v>1787</v>
      </c>
      <c r="B628" s="26" t="s">
        <v>1788</v>
      </c>
      <c r="C628" s="27" t="s">
        <v>110</v>
      </c>
      <c r="D628" s="26" t="s">
        <v>985</v>
      </c>
      <c r="E628" s="27" t="s">
        <v>107</v>
      </c>
      <c r="F628" s="26" t="s">
        <v>112</v>
      </c>
    </row>
    <row r="629" spans="1:6" ht="27.6" x14ac:dyDescent="0.25">
      <c r="A629" s="39" t="s">
        <v>1789</v>
      </c>
      <c r="B629" s="39" t="s">
        <v>1790</v>
      </c>
      <c r="C629" s="40" t="s">
        <v>110</v>
      </c>
      <c r="D629" s="39" t="s">
        <v>988</v>
      </c>
      <c r="E629" s="40" t="s">
        <v>107</v>
      </c>
      <c r="F629" s="39" t="s">
        <v>165</v>
      </c>
    </row>
    <row r="630" spans="1:6" ht="27.6" x14ac:dyDescent="0.3">
      <c r="A630" s="23" t="s">
        <v>1791</v>
      </c>
      <c r="B630" s="30" t="s">
        <v>1792</v>
      </c>
      <c r="C630" s="25" t="s">
        <v>173</v>
      </c>
      <c r="D630" s="23" t="s">
        <v>991</v>
      </c>
      <c r="E630" s="25" t="s">
        <v>107</v>
      </c>
      <c r="F630" s="23" t="s">
        <v>992</v>
      </c>
    </row>
    <row r="631" spans="1:6" ht="27.6" x14ac:dyDescent="0.3">
      <c r="A631" s="23" t="s">
        <v>1793</v>
      </c>
      <c r="B631" s="30" t="s">
        <v>1794</v>
      </c>
      <c r="C631" s="25" t="s">
        <v>173</v>
      </c>
      <c r="D631" s="23" t="s">
        <v>995</v>
      </c>
      <c r="E631" s="25" t="s">
        <v>107</v>
      </c>
      <c r="F631" s="23" t="s">
        <v>992</v>
      </c>
    </row>
    <row r="632" spans="1:6" ht="27.6" x14ac:dyDescent="0.3">
      <c r="A632" s="23" t="s">
        <v>54</v>
      </c>
      <c r="B632" s="30" t="s">
        <v>1795</v>
      </c>
      <c r="C632" s="25" t="s">
        <v>173</v>
      </c>
      <c r="D632" s="23" t="s">
        <v>998</v>
      </c>
      <c r="E632" s="25" t="s">
        <v>107</v>
      </c>
      <c r="F632" s="23" t="s">
        <v>992</v>
      </c>
    </row>
    <row r="633" spans="1:6" ht="27.6" x14ac:dyDescent="0.3">
      <c r="A633" s="23" t="s">
        <v>73</v>
      </c>
      <c r="B633" s="30" t="s">
        <v>1796</v>
      </c>
      <c r="C633" s="25" t="s">
        <v>173</v>
      </c>
      <c r="D633" s="23" t="s">
        <v>1001</v>
      </c>
      <c r="E633" s="25" t="s">
        <v>107</v>
      </c>
      <c r="F633" s="23" t="s">
        <v>992</v>
      </c>
    </row>
    <row r="634" spans="1:6" ht="27.6" x14ac:dyDescent="0.25">
      <c r="A634" s="35" t="s">
        <v>1797</v>
      </c>
      <c r="B634" s="35" t="s">
        <v>1798</v>
      </c>
      <c r="C634" s="41" t="s">
        <v>173</v>
      </c>
      <c r="D634" s="35" t="s">
        <v>1004</v>
      </c>
      <c r="E634" s="41" t="s">
        <v>107</v>
      </c>
      <c r="F634" s="35" t="s">
        <v>992</v>
      </c>
    </row>
    <row r="635" spans="1:6" ht="27.6" x14ac:dyDescent="0.25">
      <c r="A635" s="26" t="s">
        <v>1799</v>
      </c>
      <c r="B635" s="26" t="s">
        <v>1800</v>
      </c>
      <c r="C635" s="27" t="s">
        <v>110</v>
      </c>
      <c r="D635" s="26" t="s">
        <v>1801</v>
      </c>
      <c r="E635" s="28"/>
      <c r="F635" s="26" t="s">
        <v>274</v>
      </c>
    </row>
    <row r="636" spans="1:6" ht="27.6" x14ac:dyDescent="0.25">
      <c r="A636" s="26" t="s">
        <v>1802</v>
      </c>
      <c r="B636" s="26" t="s">
        <v>1803</v>
      </c>
      <c r="C636" s="27" t="s">
        <v>110</v>
      </c>
      <c r="D636" s="26" t="s">
        <v>1007</v>
      </c>
      <c r="E636" s="27" t="s">
        <v>107</v>
      </c>
      <c r="F636" s="26" t="s">
        <v>1008</v>
      </c>
    </row>
    <row r="637" spans="1:6" ht="41.4" x14ac:dyDescent="0.25">
      <c r="A637" s="26" t="s">
        <v>1804</v>
      </c>
      <c r="B637" s="26" t="s">
        <v>1805</v>
      </c>
      <c r="C637" s="27" t="s">
        <v>110</v>
      </c>
      <c r="D637" s="26" t="s">
        <v>1011</v>
      </c>
      <c r="E637" s="27" t="s">
        <v>107</v>
      </c>
      <c r="F637" s="26" t="s">
        <v>193</v>
      </c>
    </row>
    <row r="638" spans="1:6" ht="27.6" x14ac:dyDescent="0.25">
      <c r="A638" s="39" t="s">
        <v>1806</v>
      </c>
      <c r="B638" s="39" t="s">
        <v>1807</v>
      </c>
      <c r="C638" s="40" t="s">
        <v>110</v>
      </c>
      <c r="D638" s="39" t="s">
        <v>1014</v>
      </c>
      <c r="E638" s="40" t="s">
        <v>107</v>
      </c>
      <c r="F638" s="39" t="s">
        <v>386</v>
      </c>
    </row>
    <row r="639" spans="1:6" ht="27.6" x14ac:dyDescent="0.25">
      <c r="A639" s="35" t="s">
        <v>1808</v>
      </c>
      <c r="B639" s="35" t="s">
        <v>1809</v>
      </c>
      <c r="C639" s="41" t="s">
        <v>110</v>
      </c>
      <c r="D639" s="35" t="s">
        <v>1810</v>
      </c>
      <c r="E639" s="36"/>
      <c r="F639" s="35" t="s">
        <v>473</v>
      </c>
    </row>
    <row r="640" spans="1:6" ht="27.6" x14ac:dyDescent="0.25">
      <c r="A640" s="39" t="s">
        <v>1811</v>
      </c>
      <c r="B640" s="39" t="s">
        <v>1812</v>
      </c>
      <c r="C640" s="40" t="s">
        <v>110</v>
      </c>
      <c r="D640" s="39" t="s">
        <v>1813</v>
      </c>
      <c r="E640" s="51"/>
      <c r="F640" s="39" t="s">
        <v>473</v>
      </c>
    </row>
    <row r="641" spans="1:6" ht="27.6" x14ac:dyDescent="0.25">
      <c r="A641" s="23" t="s">
        <v>1814</v>
      </c>
      <c r="B641" s="23" t="s">
        <v>1815</v>
      </c>
      <c r="C641" s="25" t="s">
        <v>173</v>
      </c>
      <c r="D641" s="23" t="s">
        <v>1017</v>
      </c>
      <c r="E641" s="25" t="s">
        <v>107</v>
      </c>
      <c r="F641" s="23" t="s">
        <v>473</v>
      </c>
    </row>
    <row r="642" spans="1:6" ht="27.6" x14ac:dyDescent="0.25">
      <c r="A642" s="35" t="s">
        <v>87</v>
      </c>
      <c r="B642" s="35" t="s">
        <v>88</v>
      </c>
      <c r="C642" s="41" t="s">
        <v>294</v>
      </c>
      <c r="D642" s="35" t="s">
        <v>107</v>
      </c>
      <c r="E642" s="41" t="s">
        <v>107</v>
      </c>
      <c r="F642" s="35" t="s">
        <v>107</v>
      </c>
    </row>
    <row r="643" spans="1:6" ht="27.6" x14ac:dyDescent="0.25">
      <c r="A643" s="26" t="s">
        <v>1816</v>
      </c>
      <c r="B643" s="26" t="s">
        <v>1817</v>
      </c>
      <c r="C643" s="27" t="s">
        <v>110</v>
      </c>
      <c r="D643" s="26" t="s">
        <v>1818</v>
      </c>
      <c r="E643" s="28"/>
      <c r="F643" s="26" t="s">
        <v>647</v>
      </c>
    </row>
    <row r="644" spans="1:6" ht="27.6" x14ac:dyDescent="0.25">
      <c r="A644" s="39" t="s">
        <v>1819</v>
      </c>
      <c r="B644" s="39" t="s">
        <v>1820</v>
      </c>
      <c r="C644" s="40" t="s">
        <v>173</v>
      </c>
      <c r="D644" s="39" t="s">
        <v>1821</v>
      </c>
      <c r="E644" s="51"/>
      <c r="F644" s="39" t="s">
        <v>157</v>
      </c>
    </row>
    <row r="645" spans="1:6" ht="27.6" x14ac:dyDescent="0.25">
      <c r="A645" s="23" t="s">
        <v>1822</v>
      </c>
      <c r="B645" s="23" t="s">
        <v>1630</v>
      </c>
      <c r="C645" s="25" t="s">
        <v>173</v>
      </c>
      <c r="D645" s="23" t="s">
        <v>1629</v>
      </c>
      <c r="E645" s="25" t="s">
        <v>1823</v>
      </c>
      <c r="F645" s="23" t="s">
        <v>157</v>
      </c>
    </row>
    <row r="646" spans="1:6" ht="27.6" x14ac:dyDescent="0.3">
      <c r="A646" s="29" t="s">
        <v>1824</v>
      </c>
      <c r="B646" s="29" t="s">
        <v>1825</v>
      </c>
      <c r="C646" s="25" t="s">
        <v>173</v>
      </c>
      <c r="D646" s="29" t="s">
        <v>1826</v>
      </c>
      <c r="E646" s="30" t="s">
        <v>1827</v>
      </c>
      <c r="F646" s="23" t="s">
        <v>157</v>
      </c>
    </row>
    <row r="647" spans="1:6" ht="27.6" x14ac:dyDescent="0.3">
      <c r="A647" s="29" t="s">
        <v>1828</v>
      </c>
      <c r="B647" s="23" t="s">
        <v>1829</v>
      </c>
      <c r="C647" s="25" t="s">
        <v>173</v>
      </c>
      <c r="D647" s="23" t="s">
        <v>1830</v>
      </c>
      <c r="E647" s="25" t="s">
        <v>1164</v>
      </c>
      <c r="F647" s="23" t="s">
        <v>112</v>
      </c>
    </row>
    <row r="648" spans="1:6" ht="27.6" x14ac:dyDescent="0.25">
      <c r="A648" s="35" t="s">
        <v>1831</v>
      </c>
      <c r="B648" s="35" t="s">
        <v>1832</v>
      </c>
      <c r="C648" s="41" t="s">
        <v>173</v>
      </c>
      <c r="D648" s="35" t="s">
        <v>1020</v>
      </c>
      <c r="E648" s="41" t="s">
        <v>107</v>
      </c>
      <c r="F648" s="35" t="s">
        <v>210</v>
      </c>
    </row>
    <row r="649" spans="1:6" ht="13.8" x14ac:dyDescent="0.25">
      <c r="A649" s="26" t="s">
        <v>1833</v>
      </c>
      <c r="B649" s="26" t="s">
        <v>1834</v>
      </c>
      <c r="C649" s="27" t="s">
        <v>110</v>
      </c>
      <c r="D649" s="28"/>
      <c r="E649" s="28"/>
      <c r="F649" s="26" t="s">
        <v>1637</v>
      </c>
    </row>
    <row r="650" spans="1:6" ht="27.6" x14ac:dyDescent="0.25">
      <c r="A650" s="26" t="s">
        <v>1835</v>
      </c>
      <c r="B650" s="26" t="s">
        <v>1836</v>
      </c>
      <c r="C650" s="27" t="s">
        <v>110</v>
      </c>
      <c r="D650" s="26" t="s">
        <v>1837</v>
      </c>
      <c r="E650" s="27" t="s">
        <v>107</v>
      </c>
      <c r="F650" s="26" t="s">
        <v>1838</v>
      </c>
    </row>
    <row r="651" spans="1:6" ht="13.8" x14ac:dyDescent="0.3">
      <c r="A651" s="26" t="s">
        <v>1839</v>
      </c>
      <c r="B651" s="32" t="s">
        <v>1840</v>
      </c>
      <c r="C651" s="27" t="s">
        <v>110</v>
      </c>
      <c r="D651" s="26" t="s">
        <v>1023</v>
      </c>
      <c r="E651" s="27" t="s">
        <v>107</v>
      </c>
      <c r="F651" s="26" t="s">
        <v>365</v>
      </c>
    </row>
    <row r="652" spans="1:6" ht="27.6" x14ac:dyDescent="0.25">
      <c r="A652" s="26" t="s">
        <v>1841</v>
      </c>
      <c r="B652" s="26" t="s">
        <v>1842</v>
      </c>
      <c r="C652" s="27" t="s">
        <v>110</v>
      </c>
      <c r="D652" s="26" t="s">
        <v>1026</v>
      </c>
      <c r="E652" s="27" t="s">
        <v>107</v>
      </c>
      <c r="F652" s="26" t="s">
        <v>230</v>
      </c>
    </row>
    <row r="653" spans="1:6" ht="27.6" x14ac:dyDescent="0.25">
      <c r="A653" s="26" t="s">
        <v>1843</v>
      </c>
      <c r="B653" s="26" t="s">
        <v>1844</v>
      </c>
      <c r="C653" s="27" t="s">
        <v>110</v>
      </c>
      <c r="D653" s="26" t="s">
        <v>1845</v>
      </c>
      <c r="E653" s="28"/>
      <c r="F653" s="26" t="s">
        <v>1031</v>
      </c>
    </row>
    <row r="654" spans="1:6" ht="27.6" x14ac:dyDescent="0.25">
      <c r="A654" s="26" t="s">
        <v>1846</v>
      </c>
      <c r="B654" s="26" t="s">
        <v>1847</v>
      </c>
      <c r="C654" s="27" t="s">
        <v>110</v>
      </c>
      <c r="D654" s="26" t="s">
        <v>1030</v>
      </c>
      <c r="E654" s="27" t="s">
        <v>107</v>
      </c>
      <c r="F654" s="26" t="s">
        <v>1031</v>
      </c>
    </row>
    <row r="655" spans="1:6" ht="27.6" x14ac:dyDescent="0.25">
      <c r="A655" s="26" t="s">
        <v>1848</v>
      </c>
      <c r="B655" s="26" t="s">
        <v>1849</v>
      </c>
      <c r="C655" s="27" t="s">
        <v>110</v>
      </c>
      <c r="D655" s="26" t="s">
        <v>1034</v>
      </c>
      <c r="E655" s="27" t="s">
        <v>1035</v>
      </c>
      <c r="F655" s="26" t="s">
        <v>1031</v>
      </c>
    </row>
    <row r="656" spans="1:6" ht="27.6" x14ac:dyDescent="0.25">
      <c r="A656" s="39" t="s">
        <v>1850</v>
      </c>
      <c r="B656" s="39" t="s">
        <v>1851</v>
      </c>
      <c r="C656" s="40" t="s">
        <v>110</v>
      </c>
      <c r="D656" s="39" t="s">
        <v>1852</v>
      </c>
      <c r="E656" s="51"/>
      <c r="F656" s="39" t="s">
        <v>1031</v>
      </c>
    </row>
    <row r="657" spans="1:6" ht="27.6" x14ac:dyDescent="0.25">
      <c r="A657" s="35" t="s">
        <v>1853</v>
      </c>
      <c r="B657" s="35" t="s">
        <v>1854</v>
      </c>
      <c r="C657" s="41" t="s">
        <v>173</v>
      </c>
      <c r="D657" s="35" t="s">
        <v>1855</v>
      </c>
      <c r="E657" s="41" t="s">
        <v>107</v>
      </c>
      <c r="F657" s="35" t="s">
        <v>1031</v>
      </c>
    </row>
    <row r="658" spans="1:6" ht="13.8" x14ac:dyDescent="0.25">
      <c r="A658" s="39" t="s">
        <v>1856</v>
      </c>
      <c r="B658" s="39" t="s">
        <v>1857</v>
      </c>
      <c r="C658" s="40" t="s">
        <v>110</v>
      </c>
      <c r="D658" s="51"/>
      <c r="E658" s="51"/>
      <c r="F658" s="51"/>
    </row>
    <row r="659" spans="1:6" ht="27.6" x14ac:dyDescent="0.25">
      <c r="A659" s="23" t="s">
        <v>1858</v>
      </c>
      <c r="B659" s="23" t="s">
        <v>1859</v>
      </c>
      <c r="C659" s="25" t="s">
        <v>173</v>
      </c>
      <c r="D659" s="23" t="s">
        <v>1860</v>
      </c>
      <c r="E659" s="31"/>
      <c r="F659" s="23" t="s">
        <v>157</v>
      </c>
    </row>
    <row r="660" spans="1:6" ht="27.6" x14ac:dyDescent="0.25">
      <c r="A660" s="23" t="s">
        <v>1861</v>
      </c>
      <c r="B660" s="23" t="s">
        <v>1862</v>
      </c>
      <c r="C660" s="25" t="s">
        <v>173</v>
      </c>
      <c r="D660" s="23" t="s">
        <v>1038</v>
      </c>
      <c r="E660" s="25" t="s">
        <v>107</v>
      </c>
      <c r="F660" s="23" t="s">
        <v>112</v>
      </c>
    </row>
    <row r="661" spans="1:6" ht="27.6" x14ac:dyDescent="0.25">
      <c r="A661" s="23" t="s">
        <v>1863</v>
      </c>
      <c r="B661" s="23" t="s">
        <v>1864</v>
      </c>
      <c r="C661" s="25" t="s">
        <v>173</v>
      </c>
      <c r="D661" s="23" t="s">
        <v>1865</v>
      </c>
      <c r="E661" s="31"/>
      <c r="F661" s="23" t="s">
        <v>992</v>
      </c>
    </row>
    <row r="662" spans="1:6" ht="27.6" x14ac:dyDescent="0.25">
      <c r="A662" s="35" t="s">
        <v>1866</v>
      </c>
      <c r="B662" s="35" t="s">
        <v>1867</v>
      </c>
      <c r="C662" s="41" t="s">
        <v>173</v>
      </c>
      <c r="D662" s="35" t="s">
        <v>1041</v>
      </c>
      <c r="E662" s="41" t="s">
        <v>107</v>
      </c>
      <c r="F662" s="35" t="s">
        <v>992</v>
      </c>
    </row>
    <row r="663" spans="1:6" ht="27.6" x14ac:dyDescent="0.25">
      <c r="A663" s="26" t="s">
        <v>1868</v>
      </c>
      <c r="B663" s="26" t="s">
        <v>1869</v>
      </c>
      <c r="C663" s="27" t="s">
        <v>110</v>
      </c>
      <c r="D663" s="26" t="s">
        <v>1870</v>
      </c>
      <c r="E663" s="27" t="s">
        <v>107</v>
      </c>
      <c r="F663" s="26" t="s">
        <v>165</v>
      </c>
    </row>
    <row r="664" spans="1:6" ht="13.8" x14ac:dyDescent="0.3">
      <c r="A664" s="35" t="s">
        <v>1871</v>
      </c>
      <c r="B664" s="37" t="s">
        <v>1872</v>
      </c>
      <c r="C664" s="41" t="s">
        <v>110</v>
      </c>
      <c r="D664" s="36"/>
      <c r="E664" s="36"/>
      <c r="F664" s="36"/>
    </row>
    <row r="665" spans="1:6" ht="13.8" x14ac:dyDescent="0.25">
      <c r="A665" s="26" t="s">
        <v>1873</v>
      </c>
      <c r="B665" s="26" t="s">
        <v>1874</v>
      </c>
      <c r="C665" s="27" t="s">
        <v>110</v>
      </c>
      <c r="D665" s="28"/>
      <c r="E665" s="28"/>
      <c r="F665" s="26" t="s">
        <v>165</v>
      </c>
    </row>
    <row r="666" spans="1:6" ht="13.8" x14ac:dyDescent="0.25">
      <c r="A666" s="26" t="s">
        <v>1875</v>
      </c>
      <c r="B666" s="26" t="s">
        <v>1876</v>
      </c>
      <c r="C666" s="27" t="s">
        <v>110</v>
      </c>
      <c r="D666" s="28"/>
      <c r="E666" s="28"/>
      <c r="F666" s="26" t="s">
        <v>165</v>
      </c>
    </row>
    <row r="667" spans="1:6" ht="13.8" x14ac:dyDescent="0.25">
      <c r="A667" s="39" t="s">
        <v>1877</v>
      </c>
      <c r="B667" s="39" t="s">
        <v>1878</v>
      </c>
      <c r="C667" s="40" t="s">
        <v>110</v>
      </c>
      <c r="D667" s="51"/>
      <c r="E667" s="51"/>
      <c r="F667" s="39" t="s">
        <v>165</v>
      </c>
    </row>
    <row r="668" spans="1:6" ht="13.8" x14ac:dyDescent="0.25">
      <c r="A668" s="26" t="s">
        <v>1879</v>
      </c>
      <c r="B668" s="26" t="s">
        <v>1880</v>
      </c>
      <c r="C668" s="27" t="s">
        <v>110</v>
      </c>
      <c r="D668" s="28"/>
      <c r="E668" s="28"/>
      <c r="F668" s="26" t="s">
        <v>165</v>
      </c>
    </row>
    <row r="669" spans="1:6" ht="27.6" x14ac:dyDescent="0.25">
      <c r="A669" s="23" t="s">
        <v>1881</v>
      </c>
      <c r="B669" s="23" t="s">
        <v>1882</v>
      </c>
      <c r="C669" s="25" t="s">
        <v>173</v>
      </c>
      <c r="D669" s="23" t="s">
        <v>1046</v>
      </c>
      <c r="E669" s="25" t="s">
        <v>107</v>
      </c>
      <c r="F669" s="23" t="s">
        <v>112</v>
      </c>
    </row>
    <row r="670" spans="1:6" ht="27.6" x14ac:dyDescent="0.25">
      <c r="A670" s="26" t="s">
        <v>1883</v>
      </c>
      <c r="B670" s="26" t="s">
        <v>1884</v>
      </c>
      <c r="C670" s="27" t="s">
        <v>110</v>
      </c>
      <c r="D670" s="28"/>
      <c r="E670" s="28"/>
      <c r="F670" s="26" t="s">
        <v>112</v>
      </c>
    </row>
    <row r="671" spans="1:6" ht="27.6" x14ac:dyDescent="0.25">
      <c r="A671" s="35" t="s">
        <v>1885</v>
      </c>
      <c r="B671" s="35" t="s">
        <v>1886</v>
      </c>
      <c r="C671" s="41" t="s">
        <v>173</v>
      </c>
      <c r="D671" s="35" t="s">
        <v>1887</v>
      </c>
      <c r="E671" s="41" t="s">
        <v>107</v>
      </c>
      <c r="F671" s="35" t="s">
        <v>112</v>
      </c>
    </row>
    <row r="672" spans="1:6" ht="27.6" x14ac:dyDescent="0.25">
      <c r="A672" s="26" t="s">
        <v>1888</v>
      </c>
      <c r="B672" s="26" t="s">
        <v>1889</v>
      </c>
      <c r="C672" s="27" t="s">
        <v>110</v>
      </c>
      <c r="D672" s="26" t="s">
        <v>1049</v>
      </c>
      <c r="E672" s="27" t="s">
        <v>107</v>
      </c>
      <c r="F672" s="26" t="s">
        <v>112</v>
      </c>
    </row>
    <row r="673" spans="1:6" ht="27.6" x14ac:dyDescent="0.25">
      <c r="A673" s="26" t="s">
        <v>1890</v>
      </c>
      <c r="B673" s="26" t="s">
        <v>1891</v>
      </c>
      <c r="C673" s="27" t="s">
        <v>110</v>
      </c>
      <c r="D673" s="26" t="s">
        <v>1052</v>
      </c>
      <c r="E673" s="27" t="s">
        <v>107</v>
      </c>
      <c r="F673" s="26" t="s">
        <v>112</v>
      </c>
    </row>
    <row r="674" spans="1:6" ht="27.6" x14ac:dyDescent="0.25">
      <c r="A674" s="26" t="s">
        <v>1892</v>
      </c>
      <c r="B674" s="26" t="s">
        <v>1893</v>
      </c>
      <c r="C674" s="27" t="s">
        <v>110</v>
      </c>
      <c r="D674" s="28"/>
      <c r="E674" s="28"/>
      <c r="F674" s="26" t="s">
        <v>112</v>
      </c>
    </row>
    <row r="675" spans="1:6" ht="27.6" x14ac:dyDescent="0.25">
      <c r="A675" s="39" t="s">
        <v>1894</v>
      </c>
      <c r="B675" s="39" t="s">
        <v>1895</v>
      </c>
      <c r="C675" s="40" t="s">
        <v>110</v>
      </c>
      <c r="D675" s="39" t="s">
        <v>1055</v>
      </c>
      <c r="E675" s="40" t="s">
        <v>107</v>
      </c>
      <c r="F675" s="39" t="s">
        <v>193</v>
      </c>
    </row>
    <row r="676" spans="1:6" ht="27.6" x14ac:dyDescent="0.25">
      <c r="A676" s="26" t="s">
        <v>1896</v>
      </c>
      <c r="B676" s="26" t="s">
        <v>1897</v>
      </c>
      <c r="C676" s="27" t="s">
        <v>110</v>
      </c>
      <c r="D676" s="26" t="s">
        <v>1058</v>
      </c>
      <c r="E676" s="27" t="s">
        <v>107</v>
      </c>
      <c r="F676" s="26" t="s">
        <v>112</v>
      </c>
    </row>
    <row r="677" spans="1:6" ht="27.6" x14ac:dyDescent="0.25">
      <c r="A677" s="35" t="s">
        <v>1898</v>
      </c>
      <c r="B677" s="35" t="s">
        <v>1899</v>
      </c>
      <c r="C677" s="41" t="s">
        <v>173</v>
      </c>
      <c r="D677" s="35" t="s">
        <v>1061</v>
      </c>
      <c r="E677" s="41" t="s">
        <v>107</v>
      </c>
      <c r="F677" s="35" t="s">
        <v>112</v>
      </c>
    </row>
    <row r="678" spans="1:6" ht="27.6" x14ac:dyDescent="0.25">
      <c r="A678" s="39" t="s">
        <v>1900</v>
      </c>
      <c r="B678" s="39" t="s">
        <v>1901</v>
      </c>
      <c r="C678" s="40" t="s">
        <v>110</v>
      </c>
      <c r="D678" s="39" t="s">
        <v>1064</v>
      </c>
      <c r="E678" s="40" t="s">
        <v>107</v>
      </c>
      <c r="F678" s="39" t="s">
        <v>112</v>
      </c>
    </row>
    <row r="679" spans="1:6" ht="27.6" x14ac:dyDescent="0.25">
      <c r="A679" s="26" t="s">
        <v>1902</v>
      </c>
      <c r="B679" s="26" t="s">
        <v>1903</v>
      </c>
      <c r="C679" s="27" t="s">
        <v>110</v>
      </c>
      <c r="D679" s="26" t="s">
        <v>1067</v>
      </c>
      <c r="E679" s="27" t="s">
        <v>107</v>
      </c>
      <c r="F679" s="26" t="s">
        <v>193</v>
      </c>
    </row>
    <row r="680" spans="1:6" ht="27.6" x14ac:dyDescent="0.25">
      <c r="A680" s="35" t="s">
        <v>1904</v>
      </c>
      <c r="B680" s="35" t="s">
        <v>1905</v>
      </c>
      <c r="C680" s="41" t="s">
        <v>173</v>
      </c>
      <c r="D680" s="35" t="s">
        <v>1322</v>
      </c>
      <c r="E680" s="35" t="s">
        <v>1906</v>
      </c>
      <c r="F680" s="35" t="s">
        <v>112</v>
      </c>
    </row>
    <row r="681" spans="1:6" ht="27.6" x14ac:dyDescent="0.25">
      <c r="A681" s="26" t="s">
        <v>1907</v>
      </c>
      <c r="B681" s="26" t="s">
        <v>1908</v>
      </c>
      <c r="C681" s="27" t="s">
        <v>110</v>
      </c>
      <c r="D681" s="26" t="s">
        <v>1070</v>
      </c>
      <c r="E681" s="27" t="s">
        <v>107</v>
      </c>
      <c r="F681" s="26" t="s">
        <v>112</v>
      </c>
    </row>
    <row r="682" spans="1:6" ht="27.6" x14ac:dyDescent="0.25">
      <c r="A682" s="26" t="s">
        <v>1909</v>
      </c>
      <c r="B682" s="26" t="s">
        <v>1910</v>
      </c>
      <c r="C682" s="27" t="s">
        <v>110</v>
      </c>
      <c r="D682" s="26" t="s">
        <v>1073</v>
      </c>
      <c r="E682" s="27" t="s">
        <v>107</v>
      </c>
      <c r="F682" s="26" t="s">
        <v>1074</v>
      </c>
    </row>
    <row r="683" spans="1:6" ht="27.6" x14ac:dyDescent="0.25">
      <c r="A683" s="26" t="s">
        <v>1911</v>
      </c>
      <c r="B683" s="26" t="s">
        <v>1912</v>
      </c>
      <c r="C683" s="27" t="s">
        <v>110</v>
      </c>
      <c r="D683" s="26" t="s">
        <v>1077</v>
      </c>
      <c r="E683" s="27" t="s">
        <v>107</v>
      </c>
      <c r="F683" s="26" t="s">
        <v>1078</v>
      </c>
    </row>
    <row r="684" spans="1:6" ht="27.6" x14ac:dyDescent="0.25">
      <c r="A684" s="26" t="s">
        <v>1913</v>
      </c>
      <c r="B684" s="26" t="s">
        <v>1914</v>
      </c>
      <c r="C684" s="27" t="s">
        <v>110</v>
      </c>
      <c r="D684" s="26" t="s">
        <v>1081</v>
      </c>
      <c r="E684" s="27" t="s">
        <v>1082</v>
      </c>
      <c r="F684" s="26" t="s">
        <v>502</v>
      </c>
    </row>
    <row r="685" spans="1:6" ht="27.6" x14ac:dyDescent="0.25">
      <c r="A685" s="39" t="s">
        <v>1915</v>
      </c>
      <c r="B685" s="39" t="s">
        <v>1916</v>
      </c>
      <c r="C685" s="40" t="s">
        <v>110</v>
      </c>
      <c r="D685" s="39" t="s">
        <v>1085</v>
      </c>
      <c r="E685" s="40" t="s">
        <v>107</v>
      </c>
      <c r="F685" s="39" t="s">
        <v>148</v>
      </c>
    </row>
    <row r="686" spans="1:6" ht="27.6" x14ac:dyDescent="0.25">
      <c r="A686" s="39" t="s">
        <v>1917</v>
      </c>
      <c r="B686" s="39" t="s">
        <v>1918</v>
      </c>
      <c r="C686" s="40" t="s">
        <v>110</v>
      </c>
      <c r="D686" s="39" t="s">
        <v>1088</v>
      </c>
      <c r="E686" s="40" t="s">
        <v>107</v>
      </c>
      <c r="F686" s="39" t="s">
        <v>112</v>
      </c>
    </row>
    <row r="687" spans="1:6" ht="41.4" x14ac:dyDescent="0.25">
      <c r="A687" s="23" t="s">
        <v>1919</v>
      </c>
      <c r="B687" s="23" t="s">
        <v>324</v>
      </c>
      <c r="C687" s="25" t="s">
        <v>173</v>
      </c>
      <c r="D687" s="23" t="s">
        <v>325</v>
      </c>
      <c r="E687" s="25" t="s">
        <v>323</v>
      </c>
      <c r="F687" s="23" t="s">
        <v>274</v>
      </c>
    </row>
    <row r="688" spans="1:6" ht="27.6" x14ac:dyDescent="0.25">
      <c r="A688" s="23" t="s">
        <v>1920</v>
      </c>
      <c r="B688" s="23" t="s">
        <v>1921</v>
      </c>
      <c r="C688" s="25" t="s">
        <v>173</v>
      </c>
      <c r="D688" s="23" t="s">
        <v>1093</v>
      </c>
      <c r="E688" s="25" t="s">
        <v>107</v>
      </c>
      <c r="F688" s="23" t="s">
        <v>157</v>
      </c>
    </row>
    <row r="689" spans="1:6" ht="27.6" x14ac:dyDescent="0.25">
      <c r="A689" s="23" t="s">
        <v>1922</v>
      </c>
      <c r="B689" s="23" t="s">
        <v>1923</v>
      </c>
      <c r="C689" s="25" t="s">
        <v>173</v>
      </c>
      <c r="D689" s="31"/>
      <c r="E689" s="31"/>
      <c r="F689" s="23" t="s">
        <v>274</v>
      </c>
    </row>
    <row r="690" spans="1:6" ht="27.6" x14ac:dyDescent="0.25">
      <c r="A690" s="35" t="s">
        <v>1924</v>
      </c>
      <c r="B690" s="35" t="s">
        <v>1925</v>
      </c>
      <c r="C690" s="41" t="s">
        <v>173</v>
      </c>
      <c r="D690" s="35" t="s">
        <v>1096</v>
      </c>
      <c r="E690" s="41" t="s">
        <v>107</v>
      </c>
      <c r="F690" s="35" t="s">
        <v>112</v>
      </c>
    </row>
    <row r="691" spans="1:6" ht="27.6" x14ac:dyDescent="0.25">
      <c r="A691" s="35" t="s">
        <v>1926</v>
      </c>
      <c r="B691" s="35" t="s">
        <v>1927</v>
      </c>
      <c r="C691" s="41" t="s">
        <v>173</v>
      </c>
      <c r="D691" s="35" t="s">
        <v>1928</v>
      </c>
      <c r="E691" s="36"/>
      <c r="F691" s="35" t="s">
        <v>112</v>
      </c>
    </row>
    <row r="692" spans="1:6" ht="27.6" x14ac:dyDescent="0.25">
      <c r="A692" s="26" t="s">
        <v>1929</v>
      </c>
      <c r="B692" s="26" t="s">
        <v>1930</v>
      </c>
      <c r="C692" s="27" t="s">
        <v>110</v>
      </c>
      <c r="D692" s="28"/>
      <c r="E692" s="28"/>
      <c r="F692" s="26" t="s">
        <v>112</v>
      </c>
    </row>
    <row r="693" spans="1:6" ht="27.6" x14ac:dyDescent="0.25">
      <c r="A693" s="26" t="s">
        <v>1931</v>
      </c>
      <c r="B693" s="26" t="s">
        <v>1932</v>
      </c>
      <c r="C693" s="27" t="s">
        <v>110</v>
      </c>
      <c r="D693" s="26" t="s">
        <v>1293</v>
      </c>
      <c r="E693" s="27" t="s">
        <v>1294</v>
      </c>
      <c r="F693" s="26" t="s">
        <v>1295</v>
      </c>
    </row>
    <row r="694" spans="1:6" ht="27.6" x14ac:dyDescent="0.25">
      <c r="A694" s="26" t="s">
        <v>1933</v>
      </c>
      <c r="B694" s="26" t="s">
        <v>1934</v>
      </c>
      <c r="C694" s="27" t="s">
        <v>110</v>
      </c>
      <c r="D694" s="26" t="s">
        <v>1099</v>
      </c>
      <c r="E694" s="27" t="s">
        <v>107</v>
      </c>
      <c r="F694" s="26" t="s">
        <v>112</v>
      </c>
    </row>
    <row r="695" spans="1:6" ht="27.6" x14ac:dyDescent="0.25">
      <c r="A695" s="26" t="s">
        <v>1935</v>
      </c>
      <c r="B695" s="26" t="s">
        <v>1936</v>
      </c>
      <c r="C695" s="27" t="s">
        <v>110</v>
      </c>
      <c r="D695" s="26" t="s">
        <v>1102</v>
      </c>
      <c r="E695" s="27" t="s">
        <v>107</v>
      </c>
      <c r="F695" s="26" t="s">
        <v>1103</v>
      </c>
    </row>
    <row r="696" spans="1:6" ht="13.8" x14ac:dyDescent="0.25">
      <c r="A696" s="26" t="s">
        <v>1937</v>
      </c>
      <c r="B696" s="26" t="s">
        <v>1938</v>
      </c>
      <c r="C696" s="27" t="s">
        <v>110</v>
      </c>
      <c r="D696" s="26" t="s">
        <v>1939</v>
      </c>
      <c r="E696" s="27" t="s">
        <v>107</v>
      </c>
      <c r="F696" s="26" t="s">
        <v>1106</v>
      </c>
    </row>
    <row r="697" spans="1:6" ht="13.8" x14ac:dyDescent="0.25">
      <c r="A697" s="26" t="s">
        <v>1940</v>
      </c>
      <c r="B697" s="26" t="s">
        <v>1941</v>
      </c>
      <c r="C697" s="27" t="s">
        <v>110</v>
      </c>
      <c r="D697" s="26" t="s">
        <v>1942</v>
      </c>
      <c r="E697" s="27" t="s">
        <v>107</v>
      </c>
      <c r="F697" s="26" t="s">
        <v>1106</v>
      </c>
    </row>
    <row r="698" spans="1:6" ht="27.6" x14ac:dyDescent="0.25">
      <c r="A698" s="26" t="s">
        <v>1943</v>
      </c>
      <c r="B698" s="26" t="s">
        <v>1944</v>
      </c>
      <c r="C698" s="27" t="s">
        <v>110</v>
      </c>
      <c r="D698" s="28"/>
      <c r="E698" s="28"/>
      <c r="F698" s="26" t="s">
        <v>1106</v>
      </c>
    </row>
    <row r="699" spans="1:6" ht="27.6" x14ac:dyDescent="0.25">
      <c r="A699" s="26" t="s">
        <v>1945</v>
      </c>
      <c r="B699" s="26" t="s">
        <v>1946</v>
      </c>
      <c r="C699" s="27" t="s">
        <v>110</v>
      </c>
      <c r="D699" s="28"/>
      <c r="E699" s="28"/>
      <c r="F699" s="26" t="s">
        <v>1106</v>
      </c>
    </row>
    <row r="700" spans="1:6" ht="13.8" x14ac:dyDescent="0.25">
      <c r="A700" s="26" t="s">
        <v>1947</v>
      </c>
      <c r="B700" s="26" t="s">
        <v>1948</v>
      </c>
      <c r="C700" s="27" t="s">
        <v>110</v>
      </c>
      <c r="D700" s="26" t="s">
        <v>1949</v>
      </c>
      <c r="E700" s="27" t="s">
        <v>107</v>
      </c>
      <c r="F700" s="26" t="s">
        <v>1106</v>
      </c>
    </row>
    <row r="701" spans="1:6" ht="27.6" x14ac:dyDescent="0.25">
      <c r="A701" s="26" t="s">
        <v>1950</v>
      </c>
      <c r="B701" s="26" t="s">
        <v>1951</v>
      </c>
      <c r="C701" s="27" t="s">
        <v>110</v>
      </c>
      <c r="D701" s="26" t="s">
        <v>1952</v>
      </c>
      <c r="E701" s="27" t="s">
        <v>107</v>
      </c>
      <c r="F701" s="26" t="s">
        <v>1106</v>
      </c>
    </row>
    <row r="702" spans="1:6" ht="27.6" x14ac:dyDescent="0.25">
      <c r="A702" s="39" t="s">
        <v>1953</v>
      </c>
      <c r="B702" s="39" t="s">
        <v>1954</v>
      </c>
      <c r="C702" s="40" t="s">
        <v>110</v>
      </c>
      <c r="D702" s="39" t="s">
        <v>1109</v>
      </c>
      <c r="E702" s="40" t="s">
        <v>107</v>
      </c>
      <c r="F702" s="39" t="s">
        <v>214</v>
      </c>
    </row>
    <row r="703" spans="1:6" ht="27.6" x14ac:dyDescent="0.25">
      <c r="A703" s="39" t="s">
        <v>1955</v>
      </c>
      <c r="B703" s="39" t="s">
        <v>1956</v>
      </c>
      <c r="C703" s="40" t="s">
        <v>110</v>
      </c>
      <c r="D703" s="39" t="s">
        <v>1112</v>
      </c>
      <c r="E703" s="40" t="s">
        <v>107</v>
      </c>
      <c r="F703" s="39" t="s">
        <v>214</v>
      </c>
    </row>
    <row r="704" spans="1:6" ht="13.8" x14ac:dyDescent="0.25">
      <c r="A704" s="35" t="s">
        <v>27</v>
      </c>
      <c r="B704" s="35" t="s">
        <v>89</v>
      </c>
      <c r="C704" s="41" t="s">
        <v>294</v>
      </c>
      <c r="D704" s="35" t="s">
        <v>107</v>
      </c>
      <c r="E704" s="41" t="s">
        <v>107</v>
      </c>
      <c r="F704" s="35" t="s">
        <v>107</v>
      </c>
    </row>
    <row r="705" spans="1:6" ht="27.6" x14ac:dyDescent="0.25">
      <c r="A705" s="23" t="s">
        <v>1957</v>
      </c>
      <c r="B705" s="23" t="s">
        <v>1958</v>
      </c>
      <c r="C705" s="25" t="s">
        <v>173</v>
      </c>
      <c r="D705" s="23" t="s">
        <v>1115</v>
      </c>
      <c r="E705" s="25" t="s">
        <v>107</v>
      </c>
      <c r="F705" s="23" t="s">
        <v>112</v>
      </c>
    </row>
    <row r="706" spans="1:6" ht="13.8" x14ac:dyDescent="0.3">
      <c r="A706" s="55" t="s">
        <v>44</v>
      </c>
      <c r="B706" s="56" t="s">
        <v>90</v>
      </c>
      <c r="C706" s="40" t="s">
        <v>110</v>
      </c>
      <c r="D706" s="39" t="s">
        <v>555</v>
      </c>
      <c r="E706" s="56" t="s">
        <v>1118</v>
      </c>
      <c r="F706" s="55" t="s">
        <v>112</v>
      </c>
    </row>
    <row r="707" spans="1:6" ht="27.6" x14ac:dyDescent="0.25">
      <c r="A707" s="35" t="s">
        <v>1959</v>
      </c>
      <c r="B707" s="35" t="s">
        <v>1960</v>
      </c>
      <c r="C707" s="41" t="s">
        <v>173</v>
      </c>
      <c r="D707" s="35" t="s">
        <v>1121</v>
      </c>
      <c r="E707" s="41" t="s">
        <v>107</v>
      </c>
      <c r="F707" s="35" t="s">
        <v>620</v>
      </c>
    </row>
    <row r="708" spans="1:6" ht="13.8" x14ac:dyDescent="0.3">
      <c r="A708" s="57" t="s">
        <v>1961</v>
      </c>
      <c r="B708" s="37" t="s">
        <v>1962</v>
      </c>
      <c r="C708" s="41" t="s">
        <v>173</v>
      </c>
      <c r="D708" s="37" t="s">
        <v>1124</v>
      </c>
      <c r="E708" s="41" t="s">
        <v>107</v>
      </c>
      <c r="F708" s="57" t="s">
        <v>157</v>
      </c>
    </row>
    <row r="709" spans="1:6" ht="27.6" x14ac:dyDescent="0.25">
      <c r="A709" s="26" t="s">
        <v>1963</v>
      </c>
      <c r="B709" s="26" t="s">
        <v>1964</v>
      </c>
      <c r="C709" s="27" t="s">
        <v>110</v>
      </c>
      <c r="D709" s="28"/>
      <c r="E709" s="28"/>
      <c r="F709" s="26" t="s">
        <v>112</v>
      </c>
    </row>
    <row r="710" spans="1:6" ht="27.6" x14ac:dyDescent="0.25">
      <c r="A710" s="26" t="s">
        <v>1965</v>
      </c>
      <c r="B710" s="26" t="s">
        <v>1966</v>
      </c>
      <c r="C710" s="27" t="s">
        <v>110</v>
      </c>
      <c r="D710" s="28"/>
      <c r="E710" s="28"/>
      <c r="F710" s="26" t="s">
        <v>112</v>
      </c>
    </row>
    <row r="711" spans="1:6" ht="27.6" x14ac:dyDescent="0.25">
      <c r="A711" s="26" t="s">
        <v>1967</v>
      </c>
      <c r="B711" s="26" t="s">
        <v>1968</v>
      </c>
      <c r="C711" s="27" t="s">
        <v>110</v>
      </c>
      <c r="D711" s="26" t="s">
        <v>1127</v>
      </c>
      <c r="E711" s="27" t="s">
        <v>107</v>
      </c>
      <c r="F711" s="26" t="s">
        <v>112</v>
      </c>
    </row>
    <row r="712" spans="1:6" ht="27.6" x14ac:dyDescent="0.25">
      <c r="A712" s="26" t="s">
        <v>1969</v>
      </c>
      <c r="B712" s="26" t="s">
        <v>1970</v>
      </c>
      <c r="C712" s="27" t="s">
        <v>110</v>
      </c>
      <c r="D712" s="26" t="s">
        <v>1130</v>
      </c>
      <c r="E712" s="27" t="s">
        <v>107</v>
      </c>
      <c r="F712" s="26" t="s">
        <v>112</v>
      </c>
    </row>
    <row r="713" spans="1:6" ht="27.6" x14ac:dyDescent="0.25">
      <c r="A713" s="26" t="s">
        <v>1971</v>
      </c>
      <c r="B713" s="26" t="s">
        <v>1972</v>
      </c>
      <c r="C713" s="27" t="s">
        <v>110</v>
      </c>
      <c r="D713" s="26" t="s">
        <v>1133</v>
      </c>
      <c r="E713" s="27" t="s">
        <v>107</v>
      </c>
      <c r="F713" s="26" t="s">
        <v>117</v>
      </c>
    </row>
    <row r="714" spans="1:6" ht="27.6" x14ac:dyDescent="0.25">
      <c r="A714" s="26" t="s">
        <v>1973</v>
      </c>
      <c r="B714" s="26" t="s">
        <v>1974</v>
      </c>
      <c r="C714" s="27" t="s">
        <v>110</v>
      </c>
      <c r="D714" s="26" t="s">
        <v>1136</v>
      </c>
      <c r="E714" s="27" t="s">
        <v>107</v>
      </c>
      <c r="F714" s="26" t="s">
        <v>112</v>
      </c>
    </row>
    <row r="715" spans="1:6" ht="27.6" x14ac:dyDescent="0.25">
      <c r="A715" s="26" t="s">
        <v>1975</v>
      </c>
      <c r="B715" s="26" t="s">
        <v>1976</v>
      </c>
      <c r="C715" s="27" t="s">
        <v>110</v>
      </c>
      <c r="D715" s="26" t="s">
        <v>1139</v>
      </c>
      <c r="E715" s="26" t="s">
        <v>107</v>
      </c>
      <c r="F715" s="26" t="s">
        <v>165</v>
      </c>
    </row>
    <row r="716" spans="1:6" ht="27.6" x14ac:dyDescent="0.25">
      <c r="A716" s="39" t="s">
        <v>1977</v>
      </c>
      <c r="B716" s="39" t="s">
        <v>1978</v>
      </c>
      <c r="C716" s="40" t="s">
        <v>110</v>
      </c>
      <c r="D716" s="39" t="s">
        <v>1979</v>
      </c>
      <c r="E716" s="51"/>
      <c r="F716" s="39" t="s">
        <v>112</v>
      </c>
    </row>
    <row r="717" spans="1:6" ht="27.6" x14ac:dyDescent="0.25">
      <c r="A717" s="26" t="s">
        <v>1980</v>
      </c>
      <c r="B717" s="26" t="s">
        <v>1981</v>
      </c>
      <c r="C717" s="27" t="s">
        <v>110</v>
      </c>
      <c r="D717" s="28"/>
      <c r="E717" s="28"/>
      <c r="F717" s="26" t="s">
        <v>274</v>
      </c>
    </row>
    <row r="718" spans="1:6" ht="27.6" x14ac:dyDescent="0.25">
      <c r="A718" s="35" t="s">
        <v>1982</v>
      </c>
      <c r="B718" s="35" t="s">
        <v>1983</v>
      </c>
      <c r="C718" s="41" t="s">
        <v>173</v>
      </c>
      <c r="D718" s="35" t="s">
        <v>1142</v>
      </c>
      <c r="E718" s="41" t="s">
        <v>107</v>
      </c>
      <c r="F718" s="35" t="s">
        <v>274</v>
      </c>
    </row>
    <row r="719" spans="1:6" ht="27.6" x14ac:dyDescent="0.25">
      <c r="A719" s="26" t="s">
        <v>1984</v>
      </c>
      <c r="B719" s="26" t="s">
        <v>1985</v>
      </c>
      <c r="C719" s="27" t="s">
        <v>110</v>
      </c>
      <c r="D719" s="26" t="s">
        <v>1145</v>
      </c>
      <c r="E719" s="26" t="s">
        <v>107</v>
      </c>
      <c r="F719" s="26" t="s">
        <v>165</v>
      </c>
    </row>
    <row r="720" spans="1:6" ht="27.6" x14ac:dyDescent="0.25">
      <c r="A720" s="26" t="s">
        <v>1986</v>
      </c>
      <c r="B720" s="26" t="s">
        <v>1987</v>
      </c>
      <c r="C720" s="27" t="s">
        <v>110</v>
      </c>
      <c r="D720" s="26" t="s">
        <v>1988</v>
      </c>
      <c r="E720" s="28"/>
      <c r="F720" s="26" t="s">
        <v>112</v>
      </c>
    </row>
    <row r="721" spans="1:6" ht="27.6" x14ac:dyDescent="0.25">
      <c r="A721" s="26" t="s">
        <v>1989</v>
      </c>
      <c r="B721" s="26" t="s">
        <v>1990</v>
      </c>
      <c r="C721" s="27" t="s">
        <v>110</v>
      </c>
      <c r="D721" s="26" t="s">
        <v>1148</v>
      </c>
      <c r="E721" s="27" t="s">
        <v>107</v>
      </c>
      <c r="F721" s="26" t="s">
        <v>274</v>
      </c>
    </row>
    <row r="722" spans="1:6" ht="27.6" x14ac:dyDescent="0.25">
      <c r="A722" s="26" t="s">
        <v>1991</v>
      </c>
      <c r="B722" s="26" t="s">
        <v>1992</v>
      </c>
      <c r="C722" s="27" t="s">
        <v>110</v>
      </c>
      <c r="D722" s="28"/>
      <c r="E722" s="28"/>
      <c r="F722" s="26" t="s">
        <v>274</v>
      </c>
    </row>
    <row r="723" spans="1:6" ht="27.6" x14ac:dyDescent="0.25">
      <c r="A723" s="26" t="s">
        <v>1993</v>
      </c>
      <c r="B723" s="26" t="s">
        <v>1994</v>
      </c>
      <c r="C723" s="27" t="s">
        <v>110</v>
      </c>
      <c r="D723" s="28"/>
      <c r="E723" s="28"/>
      <c r="F723" s="26" t="s">
        <v>274</v>
      </c>
    </row>
    <row r="724" spans="1:6" ht="27.6" x14ac:dyDescent="0.25">
      <c r="A724" s="26" t="s">
        <v>1995</v>
      </c>
      <c r="B724" s="26" t="s">
        <v>1996</v>
      </c>
      <c r="C724" s="27" t="s">
        <v>110</v>
      </c>
      <c r="D724" s="26" t="s">
        <v>1151</v>
      </c>
      <c r="E724" s="27" t="s">
        <v>107</v>
      </c>
      <c r="F724" s="26" t="s">
        <v>112</v>
      </c>
    </row>
    <row r="725" spans="1:6" ht="27.6" x14ac:dyDescent="0.25">
      <c r="A725" s="26" t="s">
        <v>1997</v>
      </c>
      <c r="B725" s="26" t="s">
        <v>567</v>
      </c>
      <c r="C725" s="27" t="s">
        <v>110</v>
      </c>
      <c r="D725" s="26" t="s">
        <v>568</v>
      </c>
      <c r="E725" s="27" t="s">
        <v>569</v>
      </c>
      <c r="F725" s="26" t="s">
        <v>112</v>
      </c>
    </row>
    <row r="726" spans="1:6" ht="27.6" x14ac:dyDescent="0.25">
      <c r="A726" s="39" t="s">
        <v>1998</v>
      </c>
      <c r="B726" s="39" t="s">
        <v>1751</v>
      </c>
      <c r="C726" s="40" t="s">
        <v>110</v>
      </c>
      <c r="D726" s="39" t="s">
        <v>942</v>
      </c>
      <c r="E726" s="40" t="s">
        <v>943</v>
      </c>
      <c r="F726" s="39" t="s">
        <v>157</v>
      </c>
    </row>
    <row r="727" spans="1:6" ht="55.2" x14ac:dyDescent="0.25">
      <c r="A727" s="39" t="s">
        <v>1999</v>
      </c>
      <c r="B727" s="39" t="s">
        <v>2000</v>
      </c>
      <c r="C727" s="40" t="s">
        <v>110</v>
      </c>
      <c r="D727" s="39" t="s">
        <v>2001</v>
      </c>
      <c r="E727" s="40" t="s">
        <v>107</v>
      </c>
      <c r="F727" s="39" t="s">
        <v>2002</v>
      </c>
    </row>
    <row r="728" spans="1:6" ht="27.6" x14ac:dyDescent="0.25">
      <c r="A728" s="23" t="s">
        <v>2003</v>
      </c>
      <c r="B728" s="23" t="s">
        <v>2004</v>
      </c>
      <c r="C728" s="25" t="s">
        <v>173</v>
      </c>
      <c r="D728" s="23" t="s">
        <v>2005</v>
      </c>
      <c r="E728" s="25" t="s">
        <v>107</v>
      </c>
      <c r="F728" s="23" t="s">
        <v>2002</v>
      </c>
    </row>
    <row r="729" spans="1:6" ht="27.6" x14ac:dyDescent="0.25">
      <c r="A729" s="35" t="s">
        <v>2006</v>
      </c>
      <c r="B729" s="35" t="s">
        <v>2007</v>
      </c>
      <c r="C729" s="41" t="s">
        <v>173</v>
      </c>
      <c r="D729" s="35" t="s">
        <v>2008</v>
      </c>
      <c r="E729" s="41" t="s">
        <v>107</v>
      </c>
      <c r="F729" s="35" t="s">
        <v>2002</v>
      </c>
    </row>
    <row r="730" spans="1:6" ht="27.6" x14ac:dyDescent="0.25">
      <c r="A730" s="35" t="s">
        <v>2009</v>
      </c>
      <c r="B730" s="35" t="s">
        <v>2010</v>
      </c>
      <c r="C730" s="41" t="s">
        <v>173</v>
      </c>
      <c r="D730" s="35" t="s">
        <v>2011</v>
      </c>
      <c r="E730" s="41" t="s">
        <v>107</v>
      </c>
      <c r="F730" s="35" t="s">
        <v>2002</v>
      </c>
    </row>
    <row r="731" spans="1:6" ht="27.6" x14ac:dyDescent="0.25">
      <c r="A731" s="39" t="s">
        <v>2012</v>
      </c>
      <c r="B731" s="39" t="s">
        <v>2013</v>
      </c>
      <c r="C731" s="40" t="s">
        <v>110</v>
      </c>
      <c r="D731" s="39" t="s">
        <v>1154</v>
      </c>
      <c r="E731" s="39" t="s">
        <v>1155</v>
      </c>
      <c r="F731" s="39" t="s">
        <v>165</v>
      </c>
    </row>
    <row r="732" spans="1:6" ht="27.6" x14ac:dyDescent="0.25">
      <c r="A732" s="39" t="s">
        <v>2014</v>
      </c>
      <c r="B732" s="39" t="s">
        <v>2015</v>
      </c>
      <c r="C732" s="40" t="s">
        <v>110</v>
      </c>
      <c r="D732" s="39" t="s">
        <v>1158</v>
      </c>
      <c r="E732" s="40" t="s">
        <v>107</v>
      </c>
      <c r="F732" s="39" t="s">
        <v>165</v>
      </c>
    </row>
    <row r="733" spans="1:6" ht="27.6" x14ac:dyDescent="0.25">
      <c r="A733" s="35" t="s">
        <v>2016</v>
      </c>
      <c r="B733" s="35" t="s">
        <v>2017</v>
      </c>
      <c r="C733" s="41" t="s">
        <v>173</v>
      </c>
      <c r="D733" s="35" t="s">
        <v>2018</v>
      </c>
      <c r="E733" s="41" t="s">
        <v>107</v>
      </c>
      <c r="F733" s="35" t="s">
        <v>2002</v>
      </c>
    </row>
    <row r="734" spans="1:6" ht="27.6" x14ac:dyDescent="0.25">
      <c r="A734" s="35" t="s">
        <v>2019</v>
      </c>
      <c r="B734" s="35" t="s">
        <v>2020</v>
      </c>
      <c r="C734" s="41" t="s">
        <v>110</v>
      </c>
      <c r="D734" s="35" t="s">
        <v>1161</v>
      </c>
      <c r="E734" s="41" t="s">
        <v>2021</v>
      </c>
      <c r="F734" s="35" t="s">
        <v>112</v>
      </c>
    </row>
    <row r="735" spans="1:6" ht="27.6" x14ac:dyDescent="0.25">
      <c r="A735" s="39" t="s">
        <v>2022</v>
      </c>
      <c r="B735" s="39" t="s">
        <v>2023</v>
      </c>
      <c r="C735" s="40" t="s">
        <v>110</v>
      </c>
      <c r="D735" s="51"/>
      <c r="E735" s="51"/>
      <c r="F735" s="39" t="s">
        <v>112</v>
      </c>
    </row>
    <row r="736" spans="1:6" ht="27.6" x14ac:dyDescent="0.25">
      <c r="A736" s="39" t="s">
        <v>2024</v>
      </c>
      <c r="B736" s="39" t="s">
        <v>2025</v>
      </c>
      <c r="C736" s="40" t="s">
        <v>110</v>
      </c>
      <c r="D736" s="39" t="s">
        <v>1161</v>
      </c>
      <c r="E736" s="40" t="s">
        <v>2026</v>
      </c>
      <c r="F736" s="39" t="s">
        <v>112</v>
      </c>
    </row>
    <row r="737" spans="1:6" ht="27.6" x14ac:dyDescent="0.3">
      <c r="A737" s="29" t="s">
        <v>2027</v>
      </c>
      <c r="B737" s="23" t="s">
        <v>1829</v>
      </c>
      <c r="C737" s="25" t="s">
        <v>173</v>
      </c>
      <c r="D737" s="23" t="s">
        <v>1830</v>
      </c>
      <c r="E737" s="25" t="s">
        <v>1164</v>
      </c>
      <c r="F737" s="23" t="s">
        <v>112</v>
      </c>
    </row>
    <row r="738" spans="1:6" ht="13.8" x14ac:dyDescent="0.25">
      <c r="A738" s="23" t="s">
        <v>2028</v>
      </c>
      <c r="B738" s="23" t="s">
        <v>2029</v>
      </c>
      <c r="C738" s="25" t="s">
        <v>107</v>
      </c>
      <c r="D738" s="31"/>
      <c r="E738" s="31"/>
      <c r="F738" s="23" t="s">
        <v>112</v>
      </c>
    </row>
    <row r="739" spans="1:6" ht="27.6" x14ac:dyDescent="0.3">
      <c r="A739" s="57" t="s">
        <v>2030</v>
      </c>
      <c r="B739" s="57" t="s">
        <v>1825</v>
      </c>
      <c r="C739" s="41" t="s">
        <v>173</v>
      </c>
      <c r="D739" s="57" t="s">
        <v>1826</v>
      </c>
      <c r="E739" s="37" t="s">
        <v>1827</v>
      </c>
      <c r="F739" s="35" t="s">
        <v>157</v>
      </c>
    </row>
    <row r="740" spans="1:6" ht="27.6" x14ac:dyDescent="0.3">
      <c r="A740" s="57" t="s">
        <v>2031</v>
      </c>
      <c r="B740" s="57" t="s">
        <v>1825</v>
      </c>
      <c r="C740" s="41" t="s">
        <v>173</v>
      </c>
      <c r="D740" s="57" t="s">
        <v>1826</v>
      </c>
      <c r="E740" s="37" t="s">
        <v>2032</v>
      </c>
      <c r="F740" s="35" t="s">
        <v>157</v>
      </c>
    </row>
    <row r="741" spans="1:6" ht="27.6" x14ac:dyDescent="0.25">
      <c r="A741" s="26" t="s">
        <v>2033</v>
      </c>
      <c r="B741" s="26" t="s">
        <v>2034</v>
      </c>
      <c r="C741" s="27" t="s">
        <v>110</v>
      </c>
      <c r="D741" s="28"/>
      <c r="E741" s="28"/>
      <c r="F741" s="26" t="s">
        <v>210</v>
      </c>
    </row>
    <row r="742" spans="1:6" ht="27.6" x14ac:dyDescent="0.25">
      <c r="A742" s="26" t="s">
        <v>2035</v>
      </c>
      <c r="B742" s="26" t="s">
        <v>2036</v>
      </c>
      <c r="C742" s="27" t="s">
        <v>110</v>
      </c>
      <c r="D742" s="26" t="s">
        <v>2037</v>
      </c>
      <c r="E742" s="28"/>
      <c r="F742" s="26" t="s">
        <v>210</v>
      </c>
    </row>
    <row r="743" spans="1:6" ht="27.6" x14ac:dyDescent="0.25">
      <c r="A743" s="26" t="s">
        <v>2038</v>
      </c>
      <c r="B743" s="26" t="s">
        <v>2039</v>
      </c>
      <c r="C743" s="27" t="s">
        <v>110</v>
      </c>
      <c r="D743" s="28"/>
      <c r="E743" s="28"/>
      <c r="F743" s="26" t="s">
        <v>210</v>
      </c>
    </row>
    <row r="744" spans="1:6" ht="27.6" x14ac:dyDescent="0.25">
      <c r="A744" s="26" t="s">
        <v>2040</v>
      </c>
      <c r="B744" s="26" t="s">
        <v>2041</v>
      </c>
      <c r="C744" s="27" t="s">
        <v>110</v>
      </c>
      <c r="D744" s="28"/>
      <c r="E744" s="28"/>
      <c r="F744" s="26" t="s">
        <v>210</v>
      </c>
    </row>
    <row r="745" spans="1:6" ht="27.6" x14ac:dyDescent="0.3">
      <c r="A745" s="34" t="s">
        <v>2042</v>
      </c>
      <c r="B745" s="34" t="s">
        <v>2043</v>
      </c>
      <c r="C745" s="27" t="s">
        <v>110</v>
      </c>
      <c r="D745" s="34" t="s">
        <v>1170</v>
      </c>
      <c r="E745" s="32" t="s">
        <v>107</v>
      </c>
      <c r="F745" s="26" t="s">
        <v>1171</v>
      </c>
    </row>
    <row r="746" spans="1:6" ht="41.4" x14ac:dyDescent="0.25">
      <c r="A746" s="26" t="s">
        <v>2044</v>
      </c>
      <c r="B746" s="26" t="s">
        <v>127</v>
      </c>
      <c r="C746" s="27" t="s">
        <v>110</v>
      </c>
      <c r="D746" s="26" t="s">
        <v>128</v>
      </c>
      <c r="E746" s="27" t="s">
        <v>107</v>
      </c>
      <c r="F746" s="26" t="s">
        <v>117</v>
      </c>
    </row>
    <row r="747" spans="1:6" ht="41.4" x14ac:dyDescent="0.25">
      <c r="A747" s="26" t="s">
        <v>2045</v>
      </c>
      <c r="B747" s="26" t="s">
        <v>114</v>
      </c>
      <c r="C747" s="27" t="s">
        <v>110</v>
      </c>
      <c r="D747" s="26" t="s">
        <v>115</v>
      </c>
      <c r="E747" s="27" t="s">
        <v>107</v>
      </c>
      <c r="F747" s="26" t="s">
        <v>117</v>
      </c>
    </row>
    <row r="748" spans="1:6" ht="27.6" x14ac:dyDescent="0.25">
      <c r="A748" s="26" t="s">
        <v>2046</v>
      </c>
      <c r="B748" s="26" t="s">
        <v>119</v>
      </c>
      <c r="C748" s="27" t="s">
        <v>110</v>
      </c>
      <c r="D748" s="26" t="s">
        <v>2047</v>
      </c>
      <c r="E748" s="27" t="s">
        <v>107</v>
      </c>
      <c r="F748" s="26" t="s">
        <v>117</v>
      </c>
    </row>
    <row r="749" spans="1:6" ht="27.6" x14ac:dyDescent="0.25">
      <c r="A749" s="26" t="s">
        <v>2048</v>
      </c>
      <c r="B749" s="26" t="s">
        <v>134</v>
      </c>
      <c r="C749" s="27" t="s">
        <v>110</v>
      </c>
      <c r="D749" s="26" t="s">
        <v>135</v>
      </c>
      <c r="E749" s="27" t="s">
        <v>107</v>
      </c>
      <c r="F749" s="26" t="s">
        <v>117</v>
      </c>
    </row>
    <row r="750" spans="1:6" ht="27.6" x14ac:dyDescent="0.25">
      <c r="A750" s="26" t="s">
        <v>2049</v>
      </c>
      <c r="B750" s="26" t="s">
        <v>137</v>
      </c>
      <c r="C750" s="27" t="s">
        <v>110</v>
      </c>
      <c r="D750" s="26" t="s">
        <v>138</v>
      </c>
      <c r="E750" s="27" t="s">
        <v>107</v>
      </c>
      <c r="F750" s="26" t="s">
        <v>117</v>
      </c>
    </row>
    <row r="751" spans="1:6" ht="27.6" x14ac:dyDescent="0.3">
      <c r="A751" s="34" t="s">
        <v>2050</v>
      </c>
      <c r="B751" s="34" t="s">
        <v>2051</v>
      </c>
      <c r="C751" s="27" t="s">
        <v>110</v>
      </c>
      <c r="D751" s="34" t="s">
        <v>1178</v>
      </c>
      <c r="E751" s="32" t="s">
        <v>107</v>
      </c>
      <c r="F751" s="26" t="s">
        <v>117</v>
      </c>
    </row>
    <row r="752" spans="1:6" ht="27.6" x14ac:dyDescent="0.25">
      <c r="A752" s="26" t="s">
        <v>2052</v>
      </c>
      <c r="B752" s="26" t="s">
        <v>2053</v>
      </c>
      <c r="C752" s="27" t="s">
        <v>110</v>
      </c>
      <c r="D752" s="26" t="s">
        <v>1181</v>
      </c>
      <c r="E752" s="27" t="s">
        <v>107</v>
      </c>
      <c r="F752" s="26" t="s">
        <v>117</v>
      </c>
    </row>
    <row r="753" spans="1:6" ht="27.6" x14ac:dyDescent="0.25">
      <c r="A753" s="26" t="s">
        <v>2054</v>
      </c>
      <c r="B753" s="26" t="s">
        <v>2055</v>
      </c>
      <c r="C753" s="27" t="s">
        <v>110</v>
      </c>
      <c r="D753" s="28"/>
      <c r="E753" s="28"/>
      <c r="F753" s="26" t="s">
        <v>117</v>
      </c>
    </row>
    <row r="754" spans="1:6" ht="27.6" x14ac:dyDescent="0.25">
      <c r="A754" s="26" t="s">
        <v>2056</v>
      </c>
      <c r="B754" s="26" t="s">
        <v>2057</v>
      </c>
      <c r="C754" s="27" t="s">
        <v>110</v>
      </c>
      <c r="D754" s="26" t="s">
        <v>1184</v>
      </c>
      <c r="E754" s="27" t="s">
        <v>107</v>
      </c>
      <c r="F754" s="26" t="s">
        <v>117</v>
      </c>
    </row>
    <row r="755" spans="1:6" ht="27.6" x14ac:dyDescent="0.25">
      <c r="A755" s="26" t="s">
        <v>2058</v>
      </c>
      <c r="B755" s="26" t="s">
        <v>2059</v>
      </c>
      <c r="C755" s="27" t="s">
        <v>110</v>
      </c>
      <c r="D755" s="26" t="s">
        <v>2060</v>
      </c>
      <c r="E755" s="28"/>
      <c r="F755" s="26" t="s">
        <v>117</v>
      </c>
    </row>
    <row r="756" spans="1:6" ht="27.6" x14ac:dyDescent="0.25">
      <c r="A756" s="26" t="s">
        <v>2061</v>
      </c>
      <c r="B756" s="26" t="s">
        <v>2062</v>
      </c>
      <c r="C756" s="27" t="s">
        <v>110</v>
      </c>
      <c r="D756" s="26" t="s">
        <v>1178</v>
      </c>
      <c r="E756" s="27" t="s">
        <v>1187</v>
      </c>
      <c r="F756" s="26" t="s">
        <v>117</v>
      </c>
    </row>
    <row r="757" spans="1:6" ht="27.6" x14ac:dyDescent="0.25">
      <c r="A757" s="26" t="s">
        <v>2063</v>
      </c>
      <c r="B757" s="26" t="s">
        <v>2064</v>
      </c>
      <c r="C757" s="27" t="s">
        <v>110</v>
      </c>
      <c r="D757" s="26" t="s">
        <v>1190</v>
      </c>
      <c r="E757" s="27" t="s">
        <v>107</v>
      </c>
      <c r="F757" s="26" t="s">
        <v>117</v>
      </c>
    </row>
    <row r="758" spans="1:6" ht="27.6" x14ac:dyDescent="0.25">
      <c r="A758" s="26" t="s">
        <v>2065</v>
      </c>
      <c r="B758" s="26" t="s">
        <v>2066</v>
      </c>
      <c r="C758" s="27" t="s">
        <v>110</v>
      </c>
      <c r="D758" s="26" t="s">
        <v>2067</v>
      </c>
      <c r="E758" s="27" t="s">
        <v>107</v>
      </c>
      <c r="F758" s="26" t="s">
        <v>117</v>
      </c>
    </row>
    <row r="759" spans="1:6" ht="27.6" x14ac:dyDescent="0.25">
      <c r="A759" s="26" t="s">
        <v>2068</v>
      </c>
      <c r="B759" s="26" t="s">
        <v>2069</v>
      </c>
      <c r="C759" s="27" t="s">
        <v>110</v>
      </c>
      <c r="D759" s="28"/>
      <c r="E759" s="28"/>
      <c r="F759" s="26" t="s">
        <v>117</v>
      </c>
    </row>
    <row r="760" spans="1:6" ht="27.6" x14ac:dyDescent="0.25">
      <c r="A760" s="26" t="s">
        <v>2070</v>
      </c>
      <c r="B760" s="26" t="s">
        <v>2071</v>
      </c>
      <c r="C760" s="27" t="s">
        <v>110</v>
      </c>
      <c r="D760" s="26" t="s">
        <v>1195</v>
      </c>
      <c r="E760" s="27" t="s">
        <v>107</v>
      </c>
      <c r="F760" s="26" t="s">
        <v>117</v>
      </c>
    </row>
    <row r="761" spans="1:6" ht="27.6" x14ac:dyDescent="0.25">
      <c r="A761" s="39" t="s">
        <v>2072</v>
      </c>
      <c r="B761" s="39" t="s">
        <v>2073</v>
      </c>
      <c r="C761" s="40" t="s">
        <v>110</v>
      </c>
      <c r="D761" s="39" t="s">
        <v>1198</v>
      </c>
      <c r="E761" s="40" t="s">
        <v>107</v>
      </c>
      <c r="F761" s="39" t="s">
        <v>117</v>
      </c>
    </row>
    <row r="762" spans="1:6" ht="27.6" x14ac:dyDescent="0.25">
      <c r="A762" s="39" t="s">
        <v>2074</v>
      </c>
      <c r="B762" s="39" t="s">
        <v>2075</v>
      </c>
      <c r="C762" s="40" t="s">
        <v>110</v>
      </c>
      <c r="D762" s="39" t="s">
        <v>2076</v>
      </c>
      <c r="E762" s="51"/>
      <c r="F762" s="39" t="s">
        <v>900</v>
      </c>
    </row>
    <row r="763" spans="1:6" ht="13.8" x14ac:dyDescent="0.25">
      <c r="A763" s="35" t="s">
        <v>91</v>
      </c>
      <c r="B763" s="35" t="s">
        <v>92</v>
      </c>
      <c r="C763" s="41" t="s">
        <v>294</v>
      </c>
      <c r="D763" s="35" t="s">
        <v>107</v>
      </c>
      <c r="E763" s="41" t="s">
        <v>107</v>
      </c>
      <c r="F763" s="35" t="s">
        <v>107</v>
      </c>
    </row>
    <row r="764" spans="1:6" ht="13.8" x14ac:dyDescent="0.3">
      <c r="A764" s="35" t="s">
        <v>2077</v>
      </c>
      <c r="B764" s="37" t="s">
        <v>2078</v>
      </c>
      <c r="C764" s="41" t="s">
        <v>110</v>
      </c>
      <c r="D764" s="36"/>
      <c r="E764" s="36"/>
      <c r="F764" s="36"/>
    </row>
    <row r="765" spans="1:6" ht="27.6" x14ac:dyDescent="0.25">
      <c r="A765" s="35" t="s">
        <v>2079</v>
      </c>
      <c r="B765" s="35" t="s">
        <v>2080</v>
      </c>
      <c r="C765" s="41" t="s">
        <v>173</v>
      </c>
      <c r="D765" s="35" t="s">
        <v>2081</v>
      </c>
      <c r="E765" s="41" t="s">
        <v>107</v>
      </c>
      <c r="F765" s="35" t="s">
        <v>407</v>
      </c>
    </row>
    <row r="766" spans="1:6" ht="27.6" x14ac:dyDescent="0.25">
      <c r="A766" s="26" t="s">
        <v>2082</v>
      </c>
      <c r="B766" s="26" t="s">
        <v>2083</v>
      </c>
      <c r="C766" s="27" t="s">
        <v>110</v>
      </c>
      <c r="D766" s="26" t="s">
        <v>1201</v>
      </c>
      <c r="E766" s="27" t="s">
        <v>107</v>
      </c>
      <c r="F766" s="26" t="s">
        <v>1202</v>
      </c>
    </row>
    <row r="767" spans="1:6" ht="27.6" x14ac:dyDescent="0.25">
      <c r="A767" s="39" t="s">
        <v>42</v>
      </c>
      <c r="B767" s="39" t="s">
        <v>2084</v>
      </c>
      <c r="C767" s="40" t="s">
        <v>110</v>
      </c>
      <c r="D767" s="39" t="s">
        <v>1205</v>
      </c>
      <c r="E767" s="40" t="s">
        <v>107</v>
      </c>
      <c r="F767" s="39" t="s">
        <v>1206</v>
      </c>
    </row>
    <row r="768" spans="1:6" ht="41.4" x14ac:dyDescent="0.25">
      <c r="A768" s="26" t="s">
        <v>2085</v>
      </c>
      <c r="B768" s="26" t="s">
        <v>2086</v>
      </c>
      <c r="C768" s="27" t="s">
        <v>110</v>
      </c>
      <c r="D768" s="26" t="s">
        <v>1205</v>
      </c>
      <c r="E768" s="27" t="s">
        <v>107</v>
      </c>
      <c r="F768" s="26" t="s">
        <v>1206</v>
      </c>
    </row>
    <row r="769" spans="1:6" ht="41.4" x14ac:dyDescent="0.25">
      <c r="A769" s="26" t="s">
        <v>2087</v>
      </c>
      <c r="B769" s="26" t="s">
        <v>2088</v>
      </c>
      <c r="C769" s="27" t="s">
        <v>110</v>
      </c>
      <c r="D769" s="26" t="s">
        <v>1205</v>
      </c>
      <c r="E769" s="27" t="s">
        <v>107</v>
      </c>
      <c r="F769" s="26" t="s">
        <v>1206</v>
      </c>
    </row>
    <row r="770" spans="1:6" ht="27.6" x14ac:dyDescent="0.25">
      <c r="A770" s="35" t="s">
        <v>2089</v>
      </c>
      <c r="B770" s="35" t="s">
        <v>2090</v>
      </c>
      <c r="C770" s="41" t="s">
        <v>173</v>
      </c>
      <c r="D770" s="35" t="s">
        <v>1209</v>
      </c>
      <c r="E770" s="41" t="s">
        <v>107</v>
      </c>
      <c r="F770" s="35" t="s">
        <v>1202</v>
      </c>
    </row>
    <row r="771" spans="1:6" ht="27.6" x14ac:dyDescent="0.25">
      <c r="A771" s="39" t="s">
        <v>2091</v>
      </c>
      <c r="B771" s="39" t="s">
        <v>2092</v>
      </c>
      <c r="C771" s="40" t="s">
        <v>110</v>
      </c>
      <c r="D771" s="39" t="s">
        <v>1212</v>
      </c>
      <c r="E771" s="40" t="s">
        <v>107</v>
      </c>
      <c r="F771" s="39" t="s">
        <v>112</v>
      </c>
    </row>
    <row r="772" spans="1:6" ht="13.8" x14ac:dyDescent="0.3">
      <c r="A772" s="23" t="s">
        <v>2093</v>
      </c>
      <c r="B772" s="30" t="s">
        <v>2094</v>
      </c>
      <c r="C772" s="25" t="s">
        <v>110</v>
      </c>
      <c r="D772" s="31"/>
      <c r="E772" s="31"/>
      <c r="F772" s="31"/>
    </row>
    <row r="773" spans="1:6" ht="27.6" x14ac:dyDescent="0.25">
      <c r="A773" s="39" t="s">
        <v>2095</v>
      </c>
      <c r="B773" s="39" t="s">
        <v>2096</v>
      </c>
      <c r="C773" s="40" t="s">
        <v>110</v>
      </c>
      <c r="D773" s="39" t="s">
        <v>1215</v>
      </c>
      <c r="E773" s="40" t="s">
        <v>107</v>
      </c>
      <c r="F773" s="39" t="s">
        <v>629</v>
      </c>
    </row>
    <row r="774" spans="1:6" ht="27.6" x14ac:dyDescent="0.25">
      <c r="A774" s="39" t="s">
        <v>2097</v>
      </c>
      <c r="B774" s="39" t="s">
        <v>2098</v>
      </c>
      <c r="C774" s="40" t="s">
        <v>110</v>
      </c>
      <c r="D774" s="39" t="s">
        <v>2099</v>
      </c>
      <c r="E774" s="51"/>
      <c r="F774" s="39" t="s">
        <v>2100</v>
      </c>
    </row>
    <row r="775" spans="1:6" ht="27.6" x14ac:dyDescent="0.25">
      <c r="A775" s="23" t="s">
        <v>2101</v>
      </c>
      <c r="B775" s="23" t="s">
        <v>2102</v>
      </c>
      <c r="C775" s="25" t="s">
        <v>173</v>
      </c>
      <c r="D775" s="23" t="s">
        <v>1218</v>
      </c>
      <c r="E775" s="25" t="s">
        <v>107</v>
      </c>
      <c r="F775" s="23" t="s">
        <v>620</v>
      </c>
    </row>
    <row r="776" spans="1:6" ht="27.6" x14ac:dyDescent="0.25">
      <c r="A776" s="23" t="s">
        <v>2103</v>
      </c>
      <c r="B776" s="23" t="s">
        <v>2104</v>
      </c>
      <c r="C776" s="25" t="s">
        <v>173</v>
      </c>
      <c r="D776" s="23" t="s">
        <v>2105</v>
      </c>
      <c r="E776" s="25" t="s">
        <v>107</v>
      </c>
      <c r="F776" s="23" t="s">
        <v>112</v>
      </c>
    </row>
    <row r="777" spans="1:6" ht="27.6" x14ac:dyDescent="0.25">
      <c r="A777" s="35" t="s">
        <v>2106</v>
      </c>
      <c r="B777" s="35" t="s">
        <v>2107</v>
      </c>
      <c r="C777" s="41" t="s">
        <v>173</v>
      </c>
      <c r="D777" s="35" t="s">
        <v>1221</v>
      </c>
      <c r="E777" s="41" t="s">
        <v>107</v>
      </c>
      <c r="F777" s="35" t="s">
        <v>117</v>
      </c>
    </row>
    <row r="778" spans="1:6" ht="27.6" x14ac:dyDescent="0.25">
      <c r="A778" s="23" t="s">
        <v>2108</v>
      </c>
      <c r="B778" s="23" t="s">
        <v>2109</v>
      </c>
      <c r="C778" s="25" t="s">
        <v>173</v>
      </c>
      <c r="D778" s="23" t="s">
        <v>2110</v>
      </c>
      <c r="E778" s="31"/>
      <c r="F778" s="23" t="s">
        <v>117</v>
      </c>
    </row>
    <row r="779" spans="1:6" ht="27.6" x14ac:dyDescent="0.25">
      <c r="A779" s="23" t="s">
        <v>2111</v>
      </c>
      <c r="B779" s="23" t="s">
        <v>2112</v>
      </c>
      <c r="C779" s="31"/>
      <c r="D779" s="31"/>
      <c r="E779" s="31"/>
      <c r="F779" s="31"/>
    </row>
    <row r="780" spans="1:6" ht="27.6" x14ac:dyDescent="0.25">
      <c r="A780" s="23" t="s">
        <v>2113</v>
      </c>
      <c r="B780" s="23" t="s">
        <v>2114</v>
      </c>
      <c r="C780" s="25" t="s">
        <v>173</v>
      </c>
      <c r="D780" s="23" t="s">
        <v>1224</v>
      </c>
      <c r="E780" s="25" t="s">
        <v>107</v>
      </c>
      <c r="F780" s="23" t="s">
        <v>117</v>
      </c>
    </row>
    <row r="781" spans="1:6" ht="27.6" x14ac:dyDescent="0.25">
      <c r="A781" s="39" t="s">
        <v>2115</v>
      </c>
      <c r="B781" s="39" t="s">
        <v>2116</v>
      </c>
      <c r="C781" s="40" t="s">
        <v>110</v>
      </c>
      <c r="D781" s="39" t="s">
        <v>2117</v>
      </c>
      <c r="E781" s="40" t="s">
        <v>107</v>
      </c>
      <c r="F781" s="39" t="s">
        <v>157</v>
      </c>
    </row>
    <row r="782" spans="1:6" ht="27.6" x14ac:dyDescent="0.25">
      <c r="A782" s="23" t="s">
        <v>2118</v>
      </c>
      <c r="B782" s="23" t="s">
        <v>2119</v>
      </c>
      <c r="C782" s="25" t="s">
        <v>173</v>
      </c>
      <c r="D782" s="23" t="s">
        <v>1229</v>
      </c>
      <c r="E782" s="25" t="s">
        <v>107</v>
      </c>
      <c r="F782" s="23" t="s">
        <v>117</v>
      </c>
    </row>
    <row r="783" spans="1:6" ht="27.6" x14ac:dyDescent="0.25">
      <c r="A783" s="23" t="s">
        <v>2120</v>
      </c>
      <c r="B783" s="23" t="s">
        <v>2121</v>
      </c>
      <c r="C783" s="25" t="s">
        <v>173</v>
      </c>
      <c r="D783" s="31"/>
      <c r="E783" s="31"/>
      <c r="F783" s="23" t="s">
        <v>117</v>
      </c>
    </row>
    <row r="784" spans="1:6" ht="27.6" x14ac:dyDescent="0.25">
      <c r="A784" s="35" t="s">
        <v>2122</v>
      </c>
      <c r="B784" s="35" t="s">
        <v>2123</v>
      </c>
      <c r="C784" s="36"/>
      <c r="D784" s="36"/>
      <c r="E784" s="36"/>
      <c r="F784" s="36"/>
    </row>
    <row r="785" spans="1:6" ht="27.6" x14ac:dyDescent="0.25">
      <c r="A785" s="35" t="s">
        <v>2124</v>
      </c>
      <c r="B785" s="35" t="s">
        <v>2125</v>
      </c>
      <c r="C785" s="41" t="s">
        <v>173</v>
      </c>
      <c r="D785" s="35" t="s">
        <v>1232</v>
      </c>
      <c r="E785" s="41" t="s">
        <v>107</v>
      </c>
      <c r="F785" s="35" t="s">
        <v>620</v>
      </c>
    </row>
    <row r="786" spans="1:6" ht="41.4" x14ac:dyDescent="0.25">
      <c r="A786" s="35" t="s">
        <v>2126</v>
      </c>
      <c r="B786" s="35" t="s">
        <v>2127</v>
      </c>
      <c r="C786" s="41" t="s">
        <v>173</v>
      </c>
      <c r="D786" s="35" t="s">
        <v>2128</v>
      </c>
      <c r="E786" s="41" t="s">
        <v>107</v>
      </c>
      <c r="F786" s="35" t="s">
        <v>407</v>
      </c>
    </row>
    <row r="787" spans="1:6" ht="41.4" x14ac:dyDescent="0.25">
      <c r="A787" s="35" t="s">
        <v>2129</v>
      </c>
      <c r="B787" s="35" t="s">
        <v>2130</v>
      </c>
      <c r="C787" s="41" t="s">
        <v>173</v>
      </c>
      <c r="D787" s="35" t="s">
        <v>2131</v>
      </c>
      <c r="E787" s="41" t="s">
        <v>107</v>
      </c>
      <c r="F787" s="35" t="s">
        <v>407</v>
      </c>
    </row>
    <row r="788" spans="1:6" ht="27.6" x14ac:dyDescent="0.25">
      <c r="A788" s="26" t="s">
        <v>2132</v>
      </c>
      <c r="B788" s="26" t="s">
        <v>2133</v>
      </c>
      <c r="C788" s="27" t="s">
        <v>110</v>
      </c>
      <c r="D788" s="26" t="s">
        <v>2134</v>
      </c>
      <c r="E788" s="28"/>
      <c r="F788" s="26" t="s">
        <v>112</v>
      </c>
    </row>
    <row r="789" spans="1:6" ht="27.6" x14ac:dyDescent="0.25">
      <c r="A789" s="26" t="s">
        <v>2135</v>
      </c>
      <c r="B789" s="26" t="s">
        <v>2136</v>
      </c>
      <c r="C789" s="27" t="s">
        <v>110</v>
      </c>
      <c r="D789" s="26" t="s">
        <v>2137</v>
      </c>
      <c r="E789" s="28"/>
      <c r="F789" s="26" t="s">
        <v>112</v>
      </c>
    </row>
    <row r="790" spans="1:6" ht="27.6" x14ac:dyDescent="0.25">
      <c r="A790" s="26" t="s">
        <v>2138</v>
      </c>
      <c r="B790" s="26" t="s">
        <v>1606</v>
      </c>
      <c r="C790" s="27" t="s">
        <v>110</v>
      </c>
      <c r="D790" s="26" t="s">
        <v>2137</v>
      </c>
      <c r="E790" s="28"/>
      <c r="F790" s="26" t="s">
        <v>112</v>
      </c>
    </row>
    <row r="791" spans="1:6" ht="27.6" x14ac:dyDescent="0.25">
      <c r="A791" s="26" t="s">
        <v>2139</v>
      </c>
      <c r="B791" s="26" t="s">
        <v>1683</v>
      </c>
      <c r="C791" s="27" t="s">
        <v>110</v>
      </c>
      <c r="D791" s="26" t="s">
        <v>1235</v>
      </c>
      <c r="E791" s="27" t="s">
        <v>1236</v>
      </c>
      <c r="F791" s="26" t="s">
        <v>1237</v>
      </c>
    </row>
    <row r="792" spans="1:6" ht="27.6" x14ac:dyDescent="0.25">
      <c r="A792" s="26" t="s">
        <v>2140</v>
      </c>
      <c r="B792" s="26" t="s">
        <v>2141</v>
      </c>
      <c r="C792" s="27" t="s">
        <v>110</v>
      </c>
      <c r="D792" s="26" t="s">
        <v>1240</v>
      </c>
      <c r="E792" s="27" t="s">
        <v>1241</v>
      </c>
      <c r="F792" s="26" t="s">
        <v>1237</v>
      </c>
    </row>
    <row r="793" spans="1:6" ht="27.6" x14ac:dyDescent="0.25">
      <c r="A793" s="26" t="s">
        <v>2142</v>
      </c>
      <c r="B793" s="26" t="s">
        <v>2143</v>
      </c>
      <c r="C793" s="27" t="s">
        <v>110</v>
      </c>
      <c r="D793" s="26" t="s">
        <v>1244</v>
      </c>
      <c r="E793" s="27" t="s">
        <v>1245</v>
      </c>
      <c r="F793" s="26" t="s">
        <v>1246</v>
      </c>
    </row>
    <row r="794" spans="1:6" ht="27.6" x14ac:dyDescent="0.25">
      <c r="A794" s="26" t="s">
        <v>2144</v>
      </c>
      <c r="B794" s="26" t="s">
        <v>2143</v>
      </c>
      <c r="C794" s="27" t="s">
        <v>110</v>
      </c>
      <c r="D794" s="26" t="s">
        <v>1244</v>
      </c>
      <c r="E794" s="27" t="s">
        <v>1245</v>
      </c>
      <c r="F794" s="26" t="s">
        <v>1246</v>
      </c>
    </row>
    <row r="795" spans="1:6" ht="27.6" x14ac:dyDescent="0.25">
      <c r="A795" s="26" t="s">
        <v>2145</v>
      </c>
      <c r="B795" s="26" t="s">
        <v>2146</v>
      </c>
      <c r="C795" s="27" t="s">
        <v>110</v>
      </c>
      <c r="D795" s="28"/>
      <c r="E795" s="28"/>
      <c r="F795" s="26" t="s">
        <v>620</v>
      </c>
    </row>
    <row r="796" spans="1:6" ht="27.6" x14ac:dyDescent="0.25">
      <c r="A796" s="26" t="s">
        <v>2147</v>
      </c>
      <c r="B796" s="26" t="s">
        <v>2148</v>
      </c>
      <c r="C796" s="27" t="s">
        <v>110</v>
      </c>
      <c r="D796" s="26" t="s">
        <v>2149</v>
      </c>
      <c r="E796" s="27" t="s">
        <v>107</v>
      </c>
      <c r="F796" s="26" t="s">
        <v>157</v>
      </c>
    </row>
    <row r="797" spans="1:6" ht="27.6" x14ac:dyDescent="0.25">
      <c r="A797" s="26" t="s">
        <v>2150</v>
      </c>
      <c r="B797" s="26" t="s">
        <v>2151</v>
      </c>
      <c r="C797" s="27" t="s">
        <v>110</v>
      </c>
      <c r="D797" s="28"/>
      <c r="E797" s="28"/>
      <c r="F797" s="26" t="s">
        <v>157</v>
      </c>
    </row>
    <row r="798" spans="1:6" ht="27.6" x14ac:dyDescent="0.25">
      <c r="A798" s="26" t="s">
        <v>2152</v>
      </c>
      <c r="B798" s="26" t="s">
        <v>2153</v>
      </c>
      <c r="C798" s="27" t="s">
        <v>110</v>
      </c>
      <c r="D798" s="28"/>
      <c r="E798" s="28"/>
      <c r="F798" s="26" t="s">
        <v>157</v>
      </c>
    </row>
    <row r="799" spans="1:6" ht="27.6" x14ac:dyDescent="0.25">
      <c r="A799" s="26" t="s">
        <v>2154</v>
      </c>
      <c r="B799" s="26" t="s">
        <v>2155</v>
      </c>
      <c r="C799" s="27" t="s">
        <v>110</v>
      </c>
      <c r="D799" s="28"/>
      <c r="E799" s="28"/>
      <c r="F799" s="26" t="s">
        <v>314</v>
      </c>
    </row>
    <row r="800" spans="1:6" ht="27.6" x14ac:dyDescent="0.25">
      <c r="A800" s="26" t="s">
        <v>2156</v>
      </c>
      <c r="B800" s="26" t="s">
        <v>2157</v>
      </c>
      <c r="C800" s="27" t="s">
        <v>110</v>
      </c>
      <c r="D800" s="26" t="s">
        <v>1552</v>
      </c>
      <c r="E800" s="27" t="s">
        <v>1553</v>
      </c>
      <c r="F800" s="26" t="s">
        <v>157</v>
      </c>
    </row>
    <row r="801" spans="1:6" ht="27.6" x14ac:dyDescent="0.25">
      <c r="A801" s="26" t="s">
        <v>2158</v>
      </c>
      <c r="B801" s="26" t="s">
        <v>2159</v>
      </c>
      <c r="C801" s="27" t="s">
        <v>110</v>
      </c>
      <c r="D801" s="26" t="s">
        <v>1249</v>
      </c>
      <c r="E801" s="27" t="s">
        <v>107</v>
      </c>
      <c r="F801" s="26" t="s">
        <v>274</v>
      </c>
    </row>
    <row r="802" spans="1:6" ht="27.6" x14ac:dyDescent="0.25">
      <c r="A802" s="26" t="s">
        <v>2160</v>
      </c>
      <c r="B802" s="26" t="s">
        <v>2161</v>
      </c>
      <c r="C802" s="27" t="s">
        <v>110</v>
      </c>
      <c r="D802" s="26" t="s">
        <v>1559</v>
      </c>
      <c r="E802" s="27" t="s">
        <v>1560</v>
      </c>
      <c r="F802" s="26" t="s">
        <v>157</v>
      </c>
    </row>
    <row r="803" spans="1:6" ht="27.6" x14ac:dyDescent="0.25">
      <c r="A803" s="26" t="s">
        <v>2162</v>
      </c>
      <c r="B803" s="26" t="s">
        <v>2163</v>
      </c>
      <c r="C803" s="27" t="s">
        <v>110</v>
      </c>
      <c r="D803" s="28"/>
      <c r="E803" s="28"/>
      <c r="F803" s="26" t="s">
        <v>165</v>
      </c>
    </row>
    <row r="804" spans="1:6" ht="27.6" x14ac:dyDescent="0.25">
      <c r="A804" s="39" t="s">
        <v>2162</v>
      </c>
      <c r="B804" s="39" t="s">
        <v>2164</v>
      </c>
      <c r="C804" s="40" t="s">
        <v>110</v>
      </c>
      <c r="D804" s="51"/>
      <c r="E804" s="51"/>
      <c r="F804" s="39" t="s">
        <v>165</v>
      </c>
    </row>
    <row r="805" spans="1:6" ht="27.6" x14ac:dyDescent="0.25">
      <c r="A805" s="26" t="s">
        <v>2162</v>
      </c>
      <c r="B805" s="26" t="s">
        <v>2165</v>
      </c>
      <c r="C805" s="27" t="s">
        <v>110</v>
      </c>
      <c r="D805" s="28"/>
      <c r="E805" s="28"/>
      <c r="F805" s="26" t="s">
        <v>165</v>
      </c>
    </row>
    <row r="806" spans="1:6" ht="27.6" x14ac:dyDescent="0.25">
      <c r="A806" s="39" t="s">
        <v>2166</v>
      </c>
      <c r="B806" s="39" t="s">
        <v>2167</v>
      </c>
      <c r="C806" s="40" t="s">
        <v>110</v>
      </c>
      <c r="D806" s="39" t="s">
        <v>1255</v>
      </c>
      <c r="E806" s="40" t="s">
        <v>107</v>
      </c>
      <c r="F806" s="39" t="s">
        <v>193</v>
      </c>
    </row>
    <row r="807" spans="1:6" ht="27.6" x14ac:dyDescent="0.25">
      <c r="A807" s="39" t="s">
        <v>2168</v>
      </c>
      <c r="B807" s="39" t="s">
        <v>2169</v>
      </c>
      <c r="C807" s="40" t="s">
        <v>110</v>
      </c>
      <c r="D807" s="39" t="s">
        <v>2170</v>
      </c>
      <c r="E807" s="51"/>
      <c r="F807" s="39" t="s">
        <v>2171</v>
      </c>
    </row>
    <row r="808" spans="1:6" ht="27.6" x14ac:dyDescent="0.25">
      <c r="A808" s="23" t="s">
        <v>2172</v>
      </c>
      <c r="B808" s="23" t="s">
        <v>2173</v>
      </c>
      <c r="C808" s="25" t="s">
        <v>173</v>
      </c>
      <c r="D808" s="23" t="s">
        <v>1258</v>
      </c>
      <c r="E808" s="25" t="s">
        <v>107</v>
      </c>
      <c r="F808" s="23" t="s">
        <v>900</v>
      </c>
    </row>
    <row r="809" spans="1:6" ht="27.6" x14ac:dyDescent="0.3">
      <c r="A809" s="39" t="s">
        <v>2174</v>
      </c>
      <c r="B809" s="39" t="s">
        <v>2175</v>
      </c>
      <c r="C809" s="40" t="s">
        <v>110</v>
      </c>
      <c r="D809" s="39" t="s">
        <v>1261</v>
      </c>
      <c r="E809" s="56" t="s">
        <v>107</v>
      </c>
      <c r="F809" s="39" t="s">
        <v>900</v>
      </c>
    </row>
    <row r="810" spans="1:6" ht="27.6" x14ac:dyDescent="0.25">
      <c r="A810" s="35" t="s">
        <v>2176</v>
      </c>
      <c r="B810" s="35" t="s">
        <v>2177</v>
      </c>
      <c r="C810" s="41" t="s">
        <v>173</v>
      </c>
      <c r="D810" s="35" t="s">
        <v>107</v>
      </c>
      <c r="E810" s="41" t="s">
        <v>107</v>
      </c>
      <c r="F810" s="35" t="s">
        <v>107</v>
      </c>
    </row>
    <row r="811" spans="1:6" ht="27.6" x14ac:dyDescent="0.25">
      <c r="A811" s="23" t="s">
        <v>30</v>
      </c>
      <c r="B811" s="23" t="s">
        <v>2178</v>
      </c>
      <c r="C811" s="25" t="s">
        <v>173</v>
      </c>
      <c r="D811" s="23" t="s">
        <v>107</v>
      </c>
      <c r="E811" s="25" t="s">
        <v>107</v>
      </c>
      <c r="F811" s="23" t="s">
        <v>157</v>
      </c>
    </row>
    <row r="812" spans="1:6" ht="27.6" x14ac:dyDescent="0.25">
      <c r="A812" s="23" t="s">
        <v>2179</v>
      </c>
      <c r="B812" s="23" t="s">
        <v>2180</v>
      </c>
      <c r="C812" s="25" t="s">
        <v>107</v>
      </c>
      <c r="D812" s="23" t="s">
        <v>107</v>
      </c>
      <c r="E812" s="25" t="s">
        <v>107</v>
      </c>
      <c r="F812" s="23" t="s">
        <v>107</v>
      </c>
    </row>
    <row r="813" spans="1:6" ht="13.8" x14ac:dyDescent="0.25">
      <c r="A813" s="23" t="s">
        <v>2181</v>
      </c>
      <c r="B813" s="23" t="s">
        <v>107</v>
      </c>
      <c r="C813" s="25" t="s">
        <v>107</v>
      </c>
      <c r="D813" s="23" t="s">
        <v>107</v>
      </c>
      <c r="E813" s="25" t="s">
        <v>107</v>
      </c>
      <c r="F813" s="23" t="s">
        <v>107</v>
      </c>
    </row>
    <row r="814" spans="1:6" ht="27.6" x14ac:dyDescent="0.25">
      <c r="A814" s="26" t="s">
        <v>2182</v>
      </c>
      <c r="B814" s="26" t="s">
        <v>2183</v>
      </c>
      <c r="C814" s="27" t="s">
        <v>110</v>
      </c>
      <c r="D814" s="26" t="s">
        <v>1268</v>
      </c>
      <c r="E814" s="27" t="s">
        <v>107</v>
      </c>
      <c r="F814" s="26" t="s">
        <v>2184</v>
      </c>
    </row>
    <row r="815" spans="1:6" ht="27.6" x14ac:dyDescent="0.25">
      <c r="A815" s="35" t="s">
        <v>2185</v>
      </c>
      <c r="B815" s="35" t="s">
        <v>2186</v>
      </c>
      <c r="C815" s="41" t="s">
        <v>2187</v>
      </c>
      <c r="D815" s="35" t="s">
        <v>107</v>
      </c>
      <c r="E815" s="41" t="s">
        <v>107</v>
      </c>
      <c r="F815" s="35" t="s">
        <v>107</v>
      </c>
    </row>
    <row r="816" spans="1:6" ht="27.6" x14ac:dyDescent="0.25">
      <c r="A816" s="35" t="s">
        <v>2188</v>
      </c>
      <c r="B816" s="35" t="s">
        <v>2189</v>
      </c>
      <c r="C816" s="41" t="s">
        <v>2190</v>
      </c>
      <c r="D816" s="35" t="s">
        <v>107</v>
      </c>
      <c r="E816" s="41" t="s">
        <v>107</v>
      </c>
      <c r="F816" s="35" t="s">
        <v>107</v>
      </c>
    </row>
    <row r="817" spans="1:6" ht="13.8" x14ac:dyDescent="0.25">
      <c r="A817" s="23" t="s">
        <v>2191</v>
      </c>
      <c r="B817" s="23" t="s">
        <v>107</v>
      </c>
      <c r="C817" s="25" t="s">
        <v>107</v>
      </c>
      <c r="D817" s="23" t="s">
        <v>107</v>
      </c>
      <c r="E817" s="25" t="s">
        <v>107</v>
      </c>
      <c r="F817" s="23" t="s">
        <v>107</v>
      </c>
    </row>
    <row r="818" spans="1:6" ht="27.6" x14ac:dyDescent="0.25">
      <c r="A818" s="26" t="s">
        <v>2192</v>
      </c>
      <c r="B818" s="26" t="s">
        <v>2193</v>
      </c>
      <c r="C818" s="27" t="s">
        <v>110</v>
      </c>
      <c r="D818" s="26" t="s">
        <v>1271</v>
      </c>
      <c r="E818" s="27" t="s">
        <v>107</v>
      </c>
      <c r="F818" s="26" t="s">
        <v>214</v>
      </c>
    </row>
    <row r="819" spans="1:6" ht="27.6" x14ac:dyDescent="0.25">
      <c r="A819" s="26" t="s">
        <v>2194</v>
      </c>
      <c r="B819" s="26" t="s">
        <v>2195</v>
      </c>
      <c r="C819" s="27" t="s">
        <v>110</v>
      </c>
      <c r="D819" s="26" t="s">
        <v>1274</v>
      </c>
      <c r="E819" s="27" t="s">
        <v>107</v>
      </c>
      <c r="F819" s="26" t="s">
        <v>386</v>
      </c>
    </row>
    <row r="820" spans="1:6" ht="27.6" x14ac:dyDescent="0.25">
      <c r="A820" s="26" t="s">
        <v>2196</v>
      </c>
      <c r="B820" s="26" t="s">
        <v>2197</v>
      </c>
      <c r="C820" s="27" t="s">
        <v>110</v>
      </c>
      <c r="D820" s="28"/>
      <c r="E820" s="28"/>
      <c r="F820" s="26" t="s">
        <v>210</v>
      </c>
    </row>
    <row r="821" spans="1:6" ht="27.6" x14ac:dyDescent="0.25">
      <c r="A821" s="35" t="s">
        <v>2198</v>
      </c>
      <c r="B821" s="35" t="s">
        <v>2199</v>
      </c>
      <c r="C821" s="41" t="s">
        <v>173</v>
      </c>
      <c r="D821" s="35" t="s">
        <v>2200</v>
      </c>
      <c r="E821" s="41" t="s">
        <v>107</v>
      </c>
      <c r="F821" s="35" t="s">
        <v>107</v>
      </c>
    </row>
    <row r="822" spans="1:6" ht="27.6" x14ac:dyDescent="0.25">
      <c r="A822" s="26" t="s">
        <v>2201</v>
      </c>
      <c r="B822" s="39" t="s">
        <v>2202</v>
      </c>
      <c r="C822" s="27" t="s">
        <v>110</v>
      </c>
      <c r="D822" s="28"/>
      <c r="E822" s="28"/>
      <c r="F822" s="26" t="s">
        <v>2203</v>
      </c>
    </row>
    <row r="823" spans="1:6" ht="27.6" x14ac:dyDescent="0.25">
      <c r="A823" s="26" t="s">
        <v>29</v>
      </c>
      <c r="B823" s="26" t="s">
        <v>93</v>
      </c>
      <c r="C823" s="27" t="s">
        <v>110</v>
      </c>
      <c r="D823" s="26" t="s">
        <v>1277</v>
      </c>
      <c r="E823" s="27" t="s">
        <v>107</v>
      </c>
      <c r="F823" s="26" t="s">
        <v>647</v>
      </c>
    </row>
    <row r="824" spans="1:6" ht="27.6" x14ac:dyDescent="0.25">
      <c r="A824" s="39" t="s">
        <v>2204</v>
      </c>
      <c r="B824" s="39" t="s">
        <v>2205</v>
      </c>
      <c r="C824" s="40" t="s">
        <v>110</v>
      </c>
      <c r="D824" s="39" t="s">
        <v>2206</v>
      </c>
      <c r="E824" s="51"/>
      <c r="F824" s="39" t="s">
        <v>647</v>
      </c>
    </row>
    <row r="825" spans="1:6" ht="27.6" x14ac:dyDescent="0.25">
      <c r="A825" s="26" t="s">
        <v>2207</v>
      </c>
      <c r="B825" s="26" t="s">
        <v>2208</v>
      </c>
      <c r="C825" s="27" t="s">
        <v>110</v>
      </c>
      <c r="D825" s="26" t="s">
        <v>1280</v>
      </c>
      <c r="E825" s="27" t="s">
        <v>107</v>
      </c>
      <c r="F825" s="26" t="s">
        <v>112</v>
      </c>
    </row>
    <row r="826" spans="1:6" ht="13.8" x14ac:dyDescent="0.3">
      <c r="A826" s="26" t="s">
        <v>2209</v>
      </c>
      <c r="B826" s="37" t="s">
        <v>2210</v>
      </c>
      <c r="C826" s="27" t="s">
        <v>110</v>
      </c>
      <c r="D826" s="28"/>
      <c r="E826" s="28"/>
      <c r="F826" s="28"/>
    </row>
    <row r="827" spans="1:6" ht="27.6" x14ac:dyDescent="0.25">
      <c r="A827" s="26" t="s">
        <v>2211</v>
      </c>
      <c r="B827" s="26" t="s">
        <v>2212</v>
      </c>
      <c r="C827" s="27" t="s">
        <v>110</v>
      </c>
      <c r="D827" s="28"/>
      <c r="E827" s="28"/>
      <c r="F827" s="26" t="s">
        <v>1284</v>
      </c>
    </row>
    <row r="828" spans="1:6" ht="13.8" x14ac:dyDescent="0.3">
      <c r="A828" s="35" t="s">
        <v>2213</v>
      </c>
      <c r="B828" s="37" t="s">
        <v>2214</v>
      </c>
      <c r="C828" s="41" t="s">
        <v>173</v>
      </c>
      <c r="D828" s="35" t="s">
        <v>1283</v>
      </c>
      <c r="E828" s="41" t="s">
        <v>107</v>
      </c>
      <c r="F828" s="35" t="s">
        <v>1284</v>
      </c>
    </row>
    <row r="829" spans="1:6" ht="13.8" x14ac:dyDescent="0.25">
      <c r="A829" s="26" t="s">
        <v>2215</v>
      </c>
      <c r="B829" s="26" t="s">
        <v>2216</v>
      </c>
      <c r="C829" s="27" t="s">
        <v>107</v>
      </c>
      <c r="D829" s="28"/>
      <c r="E829" s="28"/>
      <c r="F829" s="26" t="s">
        <v>1284</v>
      </c>
    </row>
    <row r="830" spans="1:6" ht="27.6" x14ac:dyDescent="0.25">
      <c r="A830" s="26" t="s">
        <v>2217</v>
      </c>
      <c r="B830" s="26" t="s">
        <v>2218</v>
      </c>
      <c r="C830" s="27" t="s">
        <v>110</v>
      </c>
      <c r="D830" s="26" t="s">
        <v>2219</v>
      </c>
      <c r="E830" s="27" t="s">
        <v>107</v>
      </c>
      <c r="F830" s="26" t="s">
        <v>2220</v>
      </c>
    </row>
    <row r="831" spans="1:6" ht="27.6" x14ac:dyDescent="0.25">
      <c r="A831" s="26" t="s">
        <v>2221</v>
      </c>
      <c r="B831" s="26" t="s">
        <v>2222</v>
      </c>
      <c r="C831" s="27" t="s">
        <v>110</v>
      </c>
      <c r="D831" s="26" t="s">
        <v>2223</v>
      </c>
      <c r="E831" s="27" t="s">
        <v>107</v>
      </c>
      <c r="F831" s="26" t="s">
        <v>157</v>
      </c>
    </row>
    <row r="832" spans="1:6" ht="27.6" x14ac:dyDescent="0.25">
      <c r="A832" s="26" t="s">
        <v>2224</v>
      </c>
      <c r="B832" s="26" t="s">
        <v>2225</v>
      </c>
      <c r="C832" s="27" t="s">
        <v>110</v>
      </c>
      <c r="D832" s="26" t="s">
        <v>2226</v>
      </c>
      <c r="E832" s="28"/>
      <c r="F832" s="26" t="s">
        <v>193</v>
      </c>
    </row>
    <row r="833" spans="1:6" ht="41.4" x14ac:dyDescent="0.25">
      <c r="A833" s="39" t="s">
        <v>2227</v>
      </c>
      <c r="B833" s="39" t="s">
        <v>2228</v>
      </c>
      <c r="C833" s="40" t="s">
        <v>110</v>
      </c>
      <c r="D833" s="39" t="s">
        <v>2229</v>
      </c>
      <c r="E833" s="51"/>
      <c r="F833" s="39" t="s">
        <v>498</v>
      </c>
    </row>
    <row r="834" spans="1:6" ht="27.6" x14ac:dyDescent="0.25">
      <c r="A834" s="26" t="s">
        <v>2230</v>
      </c>
      <c r="B834" s="26" t="s">
        <v>2231</v>
      </c>
      <c r="C834" s="27" t="s">
        <v>110</v>
      </c>
      <c r="D834" s="26" t="s">
        <v>2232</v>
      </c>
      <c r="E834" s="28"/>
      <c r="F834" s="26" t="s">
        <v>498</v>
      </c>
    </row>
    <row r="835" spans="1:6" ht="27.6" x14ac:dyDescent="0.25">
      <c r="A835" s="26" t="s">
        <v>2233</v>
      </c>
      <c r="B835" s="26" t="s">
        <v>2234</v>
      </c>
      <c r="C835" s="27" t="s">
        <v>110</v>
      </c>
      <c r="D835" s="28"/>
      <c r="E835" s="28"/>
      <c r="F835" s="26" t="s">
        <v>112</v>
      </c>
    </row>
    <row r="836" spans="1:6" ht="41.4" x14ac:dyDescent="0.25">
      <c r="A836" s="26" t="s">
        <v>2235</v>
      </c>
      <c r="B836" s="26" t="s">
        <v>2236</v>
      </c>
      <c r="C836" s="27" t="s">
        <v>110</v>
      </c>
      <c r="D836" s="26" t="s">
        <v>2237</v>
      </c>
      <c r="E836" s="28"/>
      <c r="F836" s="26" t="s">
        <v>214</v>
      </c>
    </row>
    <row r="837" spans="1:6" ht="27.6" x14ac:dyDescent="0.25">
      <c r="A837" s="35" t="s">
        <v>2238</v>
      </c>
      <c r="B837" s="35" t="s">
        <v>2239</v>
      </c>
      <c r="C837" s="41" t="s">
        <v>173</v>
      </c>
      <c r="D837" s="36"/>
      <c r="E837" s="36"/>
      <c r="F837" s="35" t="s">
        <v>157</v>
      </c>
    </row>
    <row r="838" spans="1:6" ht="27.6" x14ac:dyDescent="0.25">
      <c r="A838" s="39" t="s">
        <v>2240</v>
      </c>
      <c r="B838" s="39" t="s">
        <v>2241</v>
      </c>
      <c r="C838" s="40" t="s">
        <v>110</v>
      </c>
      <c r="D838" s="39" t="s">
        <v>1287</v>
      </c>
      <c r="E838" s="40" t="s">
        <v>107</v>
      </c>
      <c r="F838" s="39" t="s">
        <v>214</v>
      </c>
    </row>
    <row r="839" spans="1:6" ht="27.6" x14ac:dyDescent="0.25">
      <c r="A839" s="26" t="s">
        <v>2242</v>
      </c>
      <c r="B839" s="26" t="s">
        <v>2243</v>
      </c>
      <c r="C839" s="27" t="s">
        <v>110</v>
      </c>
      <c r="D839" s="26" t="s">
        <v>1290</v>
      </c>
      <c r="E839" s="27" t="s">
        <v>107</v>
      </c>
      <c r="F839" s="26" t="s">
        <v>214</v>
      </c>
    </row>
    <row r="840" spans="1:6" ht="27.6" x14ac:dyDescent="0.25">
      <c r="A840" s="26" t="s">
        <v>2244</v>
      </c>
      <c r="B840" s="26" t="s">
        <v>2245</v>
      </c>
      <c r="C840" s="27" t="s">
        <v>110</v>
      </c>
      <c r="D840" s="26" t="s">
        <v>2246</v>
      </c>
      <c r="E840" s="28"/>
      <c r="F840" s="26" t="s">
        <v>498</v>
      </c>
    </row>
    <row r="841" spans="1:6" ht="27.6" x14ac:dyDescent="0.25">
      <c r="A841" s="26" t="s">
        <v>2247</v>
      </c>
      <c r="B841" s="26" t="s">
        <v>1932</v>
      </c>
      <c r="C841" s="27" t="s">
        <v>110</v>
      </c>
      <c r="D841" s="26" t="s">
        <v>1293</v>
      </c>
      <c r="E841" s="27" t="s">
        <v>1294</v>
      </c>
      <c r="F841" s="26" t="s">
        <v>1295</v>
      </c>
    </row>
    <row r="842" spans="1:6" ht="27.6" x14ac:dyDescent="0.25">
      <c r="A842" s="35" t="s">
        <v>2248</v>
      </c>
      <c r="B842" s="35" t="s">
        <v>2249</v>
      </c>
      <c r="C842" s="41" t="s">
        <v>173</v>
      </c>
      <c r="D842" s="35" t="s">
        <v>2250</v>
      </c>
      <c r="E842" s="36"/>
      <c r="F842" s="35" t="s">
        <v>157</v>
      </c>
    </row>
    <row r="843" spans="1:6" ht="27.6" x14ac:dyDescent="0.25">
      <c r="A843" s="26" t="s">
        <v>2251</v>
      </c>
      <c r="B843" s="26" t="s">
        <v>2252</v>
      </c>
      <c r="C843" s="27" t="s">
        <v>110</v>
      </c>
      <c r="D843" s="26" t="s">
        <v>1298</v>
      </c>
      <c r="E843" s="27" t="s">
        <v>107</v>
      </c>
      <c r="F843" s="26" t="s">
        <v>193</v>
      </c>
    </row>
    <row r="844" spans="1:6" ht="27.6" x14ac:dyDescent="0.25">
      <c r="A844" s="26" t="s">
        <v>2253</v>
      </c>
      <c r="B844" s="26" t="s">
        <v>2254</v>
      </c>
      <c r="C844" s="27" t="s">
        <v>110</v>
      </c>
      <c r="D844" s="26" t="s">
        <v>1301</v>
      </c>
      <c r="E844" s="27" t="s">
        <v>107</v>
      </c>
      <c r="F844" s="26" t="s">
        <v>193</v>
      </c>
    </row>
    <row r="845" spans="1:6" ht="27.6" x14ac:dyDescent="0.25">
      <c r="A845" s="26" t="s">
        <v>2255</v>
      </c>
      <c r="B845" s="26" t="s">
        <v>2256</v>
      </c>
      <c r="C845" s="27" t="s">
        <v>110</v>
      </c>
      <c r="D845" s="26" t="s">
        <v>1304</v>
      </c>
      <c r="E845" s="27" t="s">
        <v>107</v>
      </c>
      <c r="F845" s="26" t="s">
        <v>193</v>
      </c>
    </row>
    <row r="846" spans="1:6" ht="27.6" x14ac:dyDescent="0.3">
      <c r="A846" s="26" t="s">
        <v>2257</v>
      </c>
      <c r="B846" s="26" t="s">
        <v>2258</v>
      </c>
      <c r="C846" s="27" t="s">
        <v>110</v>
      </c>
      <c r="D846" s="34" t="s">
        <v>1307</v>
      </c>
      <c r="E846" s="27" t="s">
        <v>107</v>
      </c>
      <c r="F846" s="26" t="s">
        <v>193</v>
      </c>
    </row>
    <row r="847" spans="1:6" ht="27.6" x14ac:dyDescent="0.25">
      <c r="A847" s="26" t="s">
        <v>2259</v>
      </c>
      <c r="B847" s="26" t="s">
        <v>2260</v>
      </c>
      <c r="C847" s="27" t="s">
        <v>110</v>
      </c>
      <c r="D847" s="26" t="s">
        <v>2261</v>
      </c>
      <c r="E847" s="27" t="s">
        <v>107</v>
      </c>
      <c r="F847" s="26" t="s">
        <v>193</v>
      </c>
    </row>
    <row r="848" spans="1:6" ht="27.6" x14ac:dyDescent="0.25">
      <c r="A848" s="26" t="s">
        <v>2262</v>
      </c>
      <c r="B848" s="26" t="s">
        <v>2263</v>
      </c>
      <c r="C848" s="27" t="s">
        <v>110</v>
      </c>
      <c r="D848" s="26" t="s">
        <v>1312</v>
      </c>
      <c r="E848" s="27" t="s">
        <v>107</v>
      </c>
      <c r="F848" s="26" t="s">
        <v>193</v>
      </c>
    </row>
    <row r="849" spans="1:6" ht="27.6" x14ac:dyDescent="0.25">
      <c r="A849" s="26" t="s">
        <v>2264</v>
      </c>
      <c r="B849" s="26" t="s">
        <v>2265</v>
      </c>
      <c r="C849" s="27" t="s">
        <v>110</v>
      </c>
      <c r="D849" s="26" t="s">
        <v>107</v>
      </c>
      <c r="E849" s="27" t="s">
        <v>107</v>
      </c>
      <c r="F849" s="26" t="s">
        <v>193</v>
      </c>
    </row>
    <row r="850" spans="1:6" ht="27.6" x14ac:dyDescent="0.25">
      <c r="A850" s="26" t="s">
        <v>2266</v>
      </c>
      <c r="B850" s="26" t="s">
        <v>2267</v>
      </c>
      <c r="C850" s="27" t="s">
        <v>110</v>
      </c>
      <c r="D850" s="26" t="s">
        <v>1315</v>
      </c>
      <c r="E850" s="27" t="s">
        <v>107</v>
      </c>
      <c r="F850" s="26" t="s">
        <v>193</v>
      </c>
    </row>
    <row r="851" spans="1:6" ht="27.6" x14ac:dyDescent="0.25">
      <c r="A851" s="39" t="s">
        <v>2268</v>
      </c>
      <c r="B851" s="39" t="s">
        <v>2269</v>
      </c>
      <c r="C851" s="40" t="s">
        <v>110</v>
      </c>
      <c r="D851" s="39" t="s">
        <v>2270</v>
      </c>
      <c r="E851" s="40" t="s">
        <v>107</v>
      </c>
      <c r="F851" s="39" t="s">
        <v>2271</v>
      </c>
    </row>
    <row r="852" spans="1:6" ht="41.4" x14ac:dyDescent="0.25">
      <c r="A852" s="26" t="s">
        <v>2272</v>
      </c>
      <c r="B852" s="26" t="s">
        <v>2273</v>
      </c>
      <c r="C852" s="27" t="s">
        <v>110</v>
      </c>
      <c r="D852" s="26" t="s">
        <v>2274</v>
      </c>
      <c r="E852" s="27" t="s">
        <v>107</v>
      </c>
      <c r="F852" s="26" t="s">
        <v>2271</v>
      </c>
    </row>
    <row r="853" spans="1:6" ht="41.4" x14ac:dyDescent="0.25">
      <c r="A853" s="26" t="s">
        <v>2275</v>
      </c>
      <c r="B853" s="26" t="s">
        <v>2276</v>
      </c>
      <c r="C853" s="27" t="s">
        <v>110</v>
      </c>
      <c r="D853" s="26" t="s">
        <v>2277</v>
      </c>
      <c r="E853" s="27" t="s">
        <v>107</v>
      </c>
      <c r="F853" s="26" t="s">
        <v>2271</v>
      </c>
    </row>
    <row r="854" spans="1:6" ht="27.6" x14ac:dyDescent="0.25">
      <c r="A854" s="26" t="s">
        <v>2278</v>
      </c>
      <c r="B854" s="26" t="s">
        <v>2279</v>
      </c>
      <c r="C854" s="27" t="s">
        <v>110</v>
      </c>
      <c r="D854" s="28"/>
      <c r="E854" s="28"/>
      <c r="F854" s="26" t="s">
        <v>193</v>
      </c>
    </row>
    <row r="855" spans="1:6" ht="27.6" x14ac:dyDescent="0.25">
      <c r="A855" s="35" t="s">
        <v>2280</v>
      </c>
      <c r="B855" s="35" t="s">
        <v>1905</v>
      </c>
      <c r="C855" s="41" t="s">
        <v>173</v>
      </c>
      <c r="D855" s="35" t="s">
        <v>1322</v>
      </c>
      <c r="E855" s="35" t="s">
        <v>1906</v>
      </c>
      <c r="F855" s="35" t="s">
        <v>112</v>
      </c>
    </row>
    <row r="856" spans="1:6" ht="27.6" x14ac:dyDescent="0.25">
      <c r="A856" s="26" t="s">
        <v>2281</v>
      </c>
      <c r="B856" s="26" t="s">
        <v>2282</v>
      </c>
      <c r="C856" s="27" t="s">
        <v>110</v>
      </c>
      <c r="D856" s="26" t="s">
        <v>1325</v>
      </c>
      <c r="E856" s="27" t="s">
        <v>107</v>
      </c>
      <c r="F856" s="26" t="s">
        <v>117</v>
      </c>
    </row>
    <row r="857" spans="1:6" ht="27.6" x14ac:dyDescent="0.25">
      <c r="A857" s="39" t="s">
        <v>2283</v>
      </c>
      <c r="B857" s="39" t="s">
        <v>2284</v>
      </c>
      <c r="C857" s="40" t="s">
        <v>110</v>
      </c>
      <c r="D857" s="39" t="s">
        <v>2285</v>
      </c>
      <c r="E857" s="58"/>
      <c r="F857" s="39" t="s">
        <v>1008</v>
      </c>
    </row>
    <row r="858" spans="1:6" ht="27.6" x14ac:dyDescent="0.25">
      <c r="A858" s="39" t="s">
        <v>2286</v>
      </c>
      <c r="B858" s="39" t="s">
        <v>2287</v>
      </c>
      <c r="C858" s="40" t="s">
        <v>110</v>
      </c>
      <c r="D858" s="39" t="s">
        <v>2288</v>
      </c>
      <c r="E858" s="58"/>
      <c r="F858" s="39" t="s">
        <v>193</v>
      </c>
    </row>
    <row r="859" spans="1:6" ht="27.6" x14ac:dyDescent="0.25">
      <c r="A859" s="26" t="s">
        <v>2289</v>
      </c>
      <c r="B859" s="26" t="s">
        <v>2290</v>
      </c>
      <c r="C859" s="27" t="s">
        <v>110</v>
      </c>
      <c r="D859" s="26" t="s">
        <v>1328</v>
      </c>
      <c r="E859" s="27" t="s">
        <v>107</v>
      </c>
      <c r="F859" s="26" t="s">
        <v>193</v>
      </c>
    </row>
    <row r="860" spans="1:6" ht="27.6" x14ac:dyDescent="0.25">
      <c r="A860" s="26" t="s">
        <v>2291</v>
      </c>
      <c r="B860" s="26" t="s">
        <v>2292</v>
      </c>
      <c r="C860" s="27" t="s">
        <v>110</v>
      </c>
      <c r="D860" s="26" t="s">
        <v>1331</v>
      </c>
      <c r="E860" s="27" t="s">
        <v>107</v>
      </c>
      <c r="F860" s="26" t="s">
        <v>214</v>
      </c>
    </row>
    <row r="861" spans="1:6" ht="13.8" x14ac:dyDescent="0.3">
      <c r="A861" s="35" t="s">
        <v>2293</v>
      </c>
      <c r="B861" s="37" t="s">
        <v>2294</v>
      </c>
      <c r="C861" s="41" t="s">
        <v>173</v>
      </c>
      <c r="D861" s="37" t="s">
        <v>1334</v>
      </c>
      <c r="E861" s="37" t="s">
        <v>107</v>
      </c>
      <c r="F861" s="35" t="s">
        <v>214</v>
      </c>
    </row>
    <row r="862" spans="1:6" ht="27.6" x14ac:dyDescent="0.3">
      <c r="A862" s="35" t="s">
        <v>2295</v>
      </c>
      <c r="B862" s="37" t="s">
        <v>2296</v>
      </c>
      <c r="C862" s="41" t="s">
        <v>173</v>
      </c>
      <c r="D862" s="35" t="s">
        <v>1337</v>
      </c>
      <c r="E862" s="37" t="s">
        <v>107</v>
      </c>
      <c r="F862" s="35" t="s">
        <v>214</v>
      </c>
    </row>
    <row r="863" spans="1:6" ht="27.6" x14ac:dyDescent="0.25">
      <c r="A863" s="26" t="s">
        <v>2297</v>
      </c>
      <c r="B863" s="26" t="s">
        <v>2298</v>
      </c>
      <c r="C863" s="27" t="s">
        <v>110</v>
      </c>
      <c r="D863" s="26" t="s">
        <v>1340</v>
      </c>
      <c r="E863" s="27" t="s">
        <v>107</v>
      </c>
      <c r="F863" s="26" t="s">
        <v>193</v>
      </c>
    </row>
    <row r="864" spans="1:6" ht="13.8" x14ac:dyDescent="0.25">
      <c r="A864" s="26" t="s">
        <v>2299</v>
      </c>
      <c r="B864" s="26" t="s">
        <v>2300</v>
      </c>
      <c r="C864" s="27" t="s">
        <v>110</v>
      </c>
      <c r="D864" s="28"/>
      <c r="E864" s="33"/>
      <c r="F864" s="26" t="s">
        <v>214</v>
      </c>
    </row>
    <row r="865" spans="1:6" ht="27.6" x14ac:dyDescent="0.25">
      <c r="A865" s="39" t="s">
        <v>2301</v>
      </c>
      <c r="B865" s="39" t="s">
        <v>2302</v>
      </c>
      <c r="C865" s="40" t="s">
        <v>110</v>
      </c>
      <c r="D865" s="39" t="s">
        <v>2303</v>
      </c>
      <c r="E865" s="51"/>
      <c r="F865" s="39" t="s">
        <v>214</v>
      </c>
    </row>
    <row r="866" spans="1:6" ht="27.6" x14ac:dyDescent="0.25">
      <c r="A866" s="26" t="s">
        <v>2304</v>
      </c>
      <c r="B866" s="26" t="s">
        <v>2305</v>
      </c>
      <c r="C866" s="27" t="s">
        <v>110</v>
      </c>
      <c r="D866" s="26" t="s">
        <v>1343</v>
      </c>
      <c r="E866" s="27" t="s">
        <v>107</v>
      </c>
      <c r="F866" s="26" t="s">
        <v>1344</v>
      </c>
    </row>
    <row r="867" spans="1:6" ht="27.6" x14ac:dyDescent="0.25">
      <c r="A867" s="26" t="s">
        <v>2306</v>
      </c>
      <c r="B867" s="26" t="s">
        <v>2307</v>
      </c>
      <c r="C867" s="27" t="s">
        <v>110</v>
      </c>
      <c r="D867" s="26" t="s">
        <v>2308</v>
      </c>
      <c r="E867" s="27" t="s">
        <v>107</v>
      </c>
      <c r="F867" s="26" t="s">
        <v>193</v>
      </c>
    </row>
    <row r="868" spans="1:6" ht="27.6" x14ac:dyDescent="0.25">
      <c r="A868" s="39" t="s">
        <v>2309</v>
      </c>
      <c r="B868" s="39" t="s">
        <v>2310</v>
      </c>
      <c r="C868" s="40" t="s">
        <v>110</v>
      </c>
      <c r="D868" s="39" t="s">
        <v>1349</v>
      </c>
      <c r="E868" s="40" t="s">
        <v>107</v>
      </c>
      <c r="F868" s="39" t="s">
        <v>112</v>
      </c>
    </row>
    <row r="869" spans="1:6" ht="13.8" x14ac:dyDescent="0.25">
      <c r="A869" s="35" t="s">
        <v>2311</v>
      </c>
      <c r="B869" s="35" t="s">
        <v>2312</v>
      </c>
      <c r="C869" s="41" t="s">
        <v>173</v>
      </c>
      <c r="D869" s="36"/>
      <c r="E869" s="36"/>
      <c r="F869" s="35" t="s">
        <v>157</v>
      </c>
    </row>
    <row r="870" spans="1:6" ht="13.8" x14ac:dyDescent="0.25">
      <c r="A870" s="26" t="s">
        <v>2313</v>
      </c>
      <c r="B870" s="26" t="s">
        <v>2314</v>
      </c>
      <c r="C870" s="27" t="s">
        <v>110</v>
      </c>
      <c r="D870" s="28"/>
      <c r="E870" s="28"/>
      <c r="F870" s="26" t="s">
        <v>157</v>
      </c>
    </row>
    <row r="871" spans="1:6" ht="13.8" x14ac:dyDescent="0.25">
      <c r="A871" s="39" t="s">
        <v>2315</v>
      </c>
      <c r="B871" s="39" t="s">
        <v>2316</v>
      </c>
      <c r="C871" s="40" t="s">
        <v>107</v>
      </c>
      <c r="D871" s="51"/>
      <c r="E871" s="51"/>
      <c r="F871" s="39" t="s">
        <v>157</v>
      </c>
    </row>
    <row r="872" spans="1:6" ht="27.6" x14ac:dyDescent="0.25">
      <c r="A872" s="23" t="s">
        <v>2317</v>
      </c>
      <c r="B872" s="23" t="s">
        <v>2318</v>
      </c>
      <c r="C872" s="25" t="s">
        <v>173</v>
      </c>
      <c r="D872" s="23" t="s">
        <v>2319</v>
      </c>
      <c r="E872" s="25" t="s">
        <v>107</v>
      </c>
      <c r="F872" s="23" t="s">
        <v>509</v>
      </c>
    </row>
    <row r="873" spans="1:6" ht="27.6" x14ac:dyDescent="0.25">
      <c r="A873" s="39" t="s">
        <v>2320</v>
      </c>
      <c r="B873" s="39" t="s">
        <v>2321</v>
      </c>
      <c r="C873" s="40" t="s">
        <v>110</v>
      </c>
      <c r="D873" s="51"/>
      <c r="E873" s="51"/>
      <c r="F873" s="39" t="s">
        <v>2322</v>
      </c>
    </row>
    <row r="874" spans="1:6" ht="27.6" x14ac:dyDescent="0.25">
      <c r="A874" s="26" t="s">
        <v>2323</v>
      </c>
      <c r="B874" s="26" t="s">
        <v>2324</v>
      </c>
      <c r="C874" s="27" t="s">
        <v>110</v>
      </c>
      <c r="D874" s="28"/>
      <c r="E874" s="28"/>
      <c r="F874" s="26" t="s">
        <v>418</v>
      </c>
    </row>
    <row r="875" spans="1:6" ht="27.6" x14ac:dyDescent="0.25">
      <c r="A875" s="23" t="s">
        <v>2325</v>
      </c>
      <c r="B875" s="23" t="s">
        <v>2326</v>
      </c>
      <c r="C875" s="25" t="s">
        <v>173</v>
      </c>
      <c r="D875" s="23" t="s">
        <v>2327</v>
      </c>
      <c r="E875" s="25" t="s">
        <v>107</v>
      </c>
      <c r="F875" s="23" t="s">
        <v>157</v>
      </c>
    </row>
    <row r="876" spans="1:6" ht="27.6" x14ac:dyDescent="0.25">
      <c r="A876" s="35" t="s">
        <v>2328</v>
      </c>
      <c r="B876" s="35" t="s">
        <v>2329</v>
      </c>
      <c r="C876" s="41" t="s">
        <v>173</v>
      </c>
      <c r="D876" s="36"/>
      <c r="E876" s="36"/>
      <c r="F876" s="35" t="s">
        <v>418</v>
      </c>
    </row>
    <row r="877" spans="1:6" ht="27.6" x14ac:dyDescent="0.25">
      <c r="A877" s="35" t="s">
        <v>2330</v>
      </c>
      <c r="B877" s="35" t="s">
        <v>2331</v>
      </c>
      <c r="C877" s="41" t="s">
        <v>173</v>
      </c>
      <c r="D877" s="35" t="s">
        <v>2327</v>
      </c>
      <c r="E877" s="41" t="s">
        <v>107</v>
      </c>
      <c r="F877" s="35" t="s">
        <v>157</v>
      </c>
    </row>
    <row r="878" spans="1:6" ht="27.6" x14ac:dyDescent="0.25">
      <c r="A878" s="26" t="s">
        <v>2332</v>
      </c>
      <c r="B878" s="26" t="s">
        <v>2333</v>
      </c>
      <c r="C878" s="27" t="s">
        <v>110</v>
      </c>
      <c r="D878" s="26" t="s">
        <v>2334</v>
      </c>
      <c r="E878" s="28"/>
      <c r="F878" s="26" t="s">
        <v>112</v>
      </c>
    </row>
    <row r="879" spans="1:6" ht="27.6" x14ac:dyDescent="0.25">
      <c r="A879" s="35" t="s">
        <v>2335</v>
      </c>
      <c r="B879" s="35" t="s">
        <v>2336</v>
      </c>
      <c r="C879" s="41" t="s">
        <v>173</v>
      </c>
      <c r="D879" s="35" t="s">
        <v>2337</v>
      </c>
      <c r="E879" s="41" t="s">
        <v>107</v>
      </c>
      <c r="F879" s="35" t="s">
        <v>2338</v>
      </c>
    </row>
    <row r="880" spans="1:6" ht="27.6" x14ac:dyDescent="0.25">
      <c r="A880" s="26" t="s">
        <v>2339</v>
      </c>
      <c r="B880" s="26" t="s">
        <v>2340</v>
      </c>
      <c r="C880" s="27" t="s">
        <v>110</v>
      </c>
      <c r="D880" s="26" t="s">
        <v>2341</v>
      </c>
      <c r="E880" s="28"/>
      <c r="F880" s="26" t="s">
        <v>148</v>
      </c>
    </row>
    <row r="881" spans="1:6" ht="41.4" x14ac:dyDescent="0.25">
      <c r="A881" s="39" t="s">
        <v>2342</v>
      </c>
      <c r="B881" s="39" t="s">
        <v>2343</v>
      </c>
      <c r="C881" s="40" t="s">
        <v>110</v>
      </c>
      <c r="D881" s="39" t="s">
        <v>2344</v>
      </c>
      <c r="E881" s="40" t="s">
        <v>107</v>
      </c>
      <c r="F881" s="39" t="s">
        <v>112</v>
      </c>
    </row>
    <row r="882" spans="1:6" ht="27.6" x14ac:dyDescent="0.25">
      <c r="A882" s="26" t="s">
        <v>2345</v>
      </c>
      <c r="B882" s="26" t="s">
        <v>2346</v>
      </c>
      <c r="C882" s="27" t="s">
        <v>110</v>
      </c>
      <c r="D882" s="26" t="s">
        <v>1354</v>
      </c>
      <c r="E882" s="27" t="s">
        <v>107</v>
      </c>
      <c r="F882" s="26" t="s">
        <v>112</v>
      </c>
    </row>
    <row r="883" spans="1:6" ht="27.6" x14ac:dyDescent="0.25">
      <c r="A883" s="26" t="s">
        <v>2347</v>
      </c>
      <c r="B883" s="26" t="s">
        <v>2348</v>
      </c>
      <c r="C883" s="27" t="s">
        <v>110</v>
      </c>
      <c r="D883" s="26" t="s">
        <v>1354</v>
      </c>
      <c r="E883" s="27" t="s">
        <v>107</v>
      </c>
      <c r="F883" s="26" t="s">
        <v>112</v>
      </c>
    </row>
    <row r="884" spans="1:6" ht="41.4" x14ac:dyDescent="0.25">
      <c r="A884" s="26" t="s">
        <v>61</v>
      </c>
      <c r="B884" s="26" t="s">
        <v>2349</v>
      </c>
      <c r="C884" s="27" t="s">
        <v>110</v>
      </c>
      <c r="D884" s="26" t="s">
        <v>2350</v>
      </c>
      <c r="E884" s="27" t="s">
        <v>107</v>
      </c>
      <c r="F884" s="26" t="s">
        <v>112</v>
      </c>
    </row>
    <row r="885" spans="1:6" ht="41.4" x14ac:dyDescent="0.25">
      <c r="A885" s="35" t="s">
        <v>2351</v>
      </c>
      <c r="B885" s="35" t="s">
        <v>2352</v>
      </c>
      <c r="C885" s="41" t="s">
        <v>173</v>
      </c>
      <c r="D885" s="35" t="s">
        <v>2353</v>
      </c>
      <c r="E885" s="41" t="s">
        <v>107</v>
      </c>
      <c r="F885" s="35" t="s">
        <v>112</v>
      </c>
    </row>
    <row r="886" spans="1:6" ht="55.2" x14ac:dyDescent="0.25">
      <c r="A886" s="26" t="s">
        <v>2354</v>
      </c>
      <c r="B886" s="26" t="s">
        <v>2355</v>
      </c>
      <c r="C886" s="27" t="s">
        <v>110</v>
      </c>
      <c r="D886" s="26" t="s">
        <v>2356</v>
      </c>
      <c r="E886" s="27" t="s">
        <v>107</v>
      </c>
      <c r="F886" s="26" t="s">
        <v>112</v>
      </c>
    </row>
    <row r="887" spans="1:6" ht="41.4" x14ac:dyDescent="0.25">
      <c r="A887" s="26" t="s">
        <v>2357</v>
      </c>
      <c r="B887" s="26" t="s">
        <v>2358</v>
      </c>
      <c r="C887" s="27" t="s">
        <v>110</v>
      </c>
      <c r="D887" s="26" t="s">
        <v>2359</v>
      </c>
      <c r="E887" s="27" t="s">
        <v>107</v>
      </c>
      <c r="F887" s="26" t="s">
        <v>112</v>
      </c>
    </row>
    <row r="888" spans="1:6" ht="27.6" x14ac:dyDescent="0.25">
      <c r="A888" s="26" t="s">
        <v>2360</v>
      </c>
      <c r="B888" s="26" t="s">
        <v>2361</v>
      </c>
      <c r="C888" s="27" t="s">
        <v>110</v>
      </c>
      <c r="D888" s="28"/>
      <c r="E888" s="28"/>
      <c r="F888" s="26" t="s">
        <v>112</v>
      </c>
    </row>
    <row r="889" spans="1:6" ht="41.4" x14ac:dyDescent="0.25">
      <c r="A889" s="26" t="s">
        <v>2362</v>
      </c>
      <c r="B889" s="26" t="s">
        <v>2363</v>
      </c>
      <c r="C889" s="27" t="s">
        <v>110</v>
      </c>
      <c r="D889" s="28"/>
      <c r="E889" s="28"/>
      <c r="F889" s="26" t="s">
        <v>112</v>
      </c>
    </row>
    <row r="890" spans="1:6" ht="27.6" x14ac:dyDescent="0.25">
      <c r="A890" s="39" t="s">
        <v>2364</v>
      </c>
      <c r="B890" s="39" t="s">
        <v>2365</v>
      </c>
      <c r="C890" s="40" t="s">
        <v>110</v>
      </c>
      <c r="D890" s="39" t="s">
        <v>2366</v>
      </c>
      <c r="E890" s="51"/>
      <c r="F890" s="39" t="s">
        <v>112</v>
      </c>
    </row>
    <row r="891" spans="1:6" ht="27.6" x14ac:dyDescent="0.25">
      <c r="A891" s="26" t="s">
        <v>2367</v>
      </c>
      <c r="B891" s="26" t="s">
        <v>2368</v>
      </c>
      <c r="C891" s="27" t="s">
        <v>110</v>
      </c>
      <c r="D891" s="26" t="s">
        <v>2366</v>
      </c>
      <c r="E891" s="28"/>
      <c r="F891" s="26" t="s">
        <v>112</v>
      </c>
    </row>
    <row r="892" spans="1:6" ht="27.6" x14ac:dyDescent="0.25">
      <c r="A892" s="26" t="s">
        <v>2369</v>
      </c>
      <c r="B892" s="26" t="s">
        <v>2370</v>
      </c>
      <c r="C892" s="27" t="s">
        <v>110</v>
      </c>
      <c r="D892" s="26" t="s">
        <v>2366</v>
      </c>
      <c r="E892" s="28"/>
      <c r="F892" s="26" t="s">
        <v>112</v>
      </c>
    </row>
    <row r="893" spans="1:6" ht="27.6" x14ac:dyDescent="0.25">
      <c r="A893" s="26" t="s">
        <v>2371</v>
      </c>
      <c r="B893" s="26" t="s">
        <v>2372</v>
      </c>
      <c r="C893" s="27" t="s">
        <v>110</v>
      </c>
      <c r="D893" s="26" t="s">
        <v>1365</v>
      </c>
      <c r="E893" s="27" t="s">
        <v>107</v>
      </c>
      <c r="F893" s="26" t="s">
        <v>509</v>
      </c>
    </row>
    <row r="894" spans="1:6" ht="13.8" x14ac:dyDescent="0.3">
      <c r="A894" s="35" t="s">
        <v>2373</v>
      </c>
      <c r="B894" s="37" t="s">
        <v>2374</v>
      </c>
      <c r="C894" s="41" t="s">
        <v>173</v>
      </c>
      <c r="D894" s="37" t="s">
        <v>1368</v>
      </c>
      <c r="E894" s="41" t="s">
        <v>107</v>
      </c>
      <c r="F894" s="35" t="s">
        <v>112</v>
      </c>
    </row>
    <row r="895" spans="1:6" ht="27.6" x14ac:dyDescent="0.25">
      <c r="A895" s="39" t="s">
        <v>2375</v>
      </c>
      <c r="B895" s="39" t="s">
        <v>2376</v>
      </c>
      <c r="C895" s="40" t="s">
        <v>110</v>
      </c>
      <c r="D895" s="39" t="s">
        <v>1371</v>
      </c>
      <c r="E895" s="40" t="s">
        <v>107</v>
      </c>
      <c r="F895" s="39" t="s">
        <v>1372</v>
      </c>
    </row>
    <row r="896" spans="1:6" ht="27.6" x14ac:dyDescent="0.25">
      <c r="A896" s="26" t="s">
        <v>2377</v>
      </c>
      <c r="B896" s="26" t="s">
        <v>2378</v>
      </c>
      <c r="C896" s="27" t="s">
        <v>110</v>
      </c>
      <c r="D896" s="26" t="s">
        <v>1375</v>
      </c>
      <c r="E896" s="27" t="s">
        <v>107</v>
      </c>
      <c r="F896" s="26" t="s">
        <v>1372</v>
      </c>
    </row>
    <row r="897" spans="1:6" ht="27.6" x14ac:dyDescent="0.25">
      <c r="A897" s="26" t="s">
        <v>2379</v>
      </c>
      <c r="B897" s="26" t="s">
        <v>2380</v>
      </c>
      <c r="C897" s="27" t="s">
        <v>110</v>
      </c>
      <c r="D897" s="28"/>
      <c r="E897" s="28"/>
      <c r="F897" s="26" t="s">
        <v>1372</v>
      </c>
    </row>
    <row r="898" spans="1:6" ht="27.6" x14ac:dyDescent="0.25">
      <c r="A898" s="39" t="s">
        <v>2381</v>
      </c>
      <c r="B898" s="39" t="s">
        <v>2382</v>
      </c>
      <c r="C898" s="40" t="s">
        <v>110</v>
      </c>
      <c r="D898" s="51"/>
      <c r="E898" s="51"/>
      <c r="F898" s="39" t="s">
        <v>1372</v>
      </c>
    </row>
    <row r="899" spans="1:6" ht="13.8" x14ac:dyDescent="0.25">
      <c r="A899" s="35" t="s">
        <v>32</v>
      </c>
      <c r="B899" s="35" t="s">
        <v>95</v>
      </c>
      <c r="C899" s="41" t="s">
        <v>294</v>
      </c>
      <c r="D899" s="35" t="s">
        <v>107</v>
      </c>
      <c r="E899" s="41" t="s">
        <v>107</v>
      </c>
      <c r="F899" s="35" t="s">
        <v>107</v>
      </c>
    </row>
    <row r="900" spans="1:6" ht="27.6" x14ac:dyDescent="0.25">
      <c r="A900" s="26" t="s">
        <v>2383</v>
      </c>
      <c r="B900" s="26" t="s">
        <v>2384</v>
      </c>
      <c r="C900" s="27" t="s">
        <v>110</v>
      </c>
      <c r="D900" s="26" t="s">
        <v>1378</v>
      </c>
      <c r="E900" s="27" t="s">
        <v>107</v>
      </c>
      <c r="F900" s="26" t="s">
        <v>112</v>
      </c>
    </row>
    <row r="901" spans="1:6" ht="27.6" x14ac:dyDescent="0.25">
      <c r="A901" s="26" t="s">
        <v>2385</v>
      </c>
      <c r="B901" s="26" t="s">
        <v>2386</v>
      </c>
      <c r="C901" s="27" t="s">
        <v>110</v>
      </c>
      <c r="D901" s="26" t="s">
        <v>1381</v>
      </c>
      <c r="E901" s="27" t="s">
        <v>107</v>
      </c>
      <c r="F901" s="26" t="s">
        <v>539</v>
      </c>
    </row>
    <row r="902" spans="1:6" ht="13.8" x14ac:dyDescent="0.3">
      <c r="A902" s="35" t="s">
        <v>2387</v>
      </c>
      <c r="B902" s="37" t="s">
        <v>2388</v>
      </c>
      <c r="C902" s="41" t="s">
        <v>173</v>
      </c>
      <c r="D902" s="35" t="s">
        <v>1384</v>
      </c>
      <c r="E902" s="41" t="s">
        <v>107</v>
      </c>
      <c r="F902" s="35" t="s">
        <v>274</v>
      </c>
    </row>
    <row r="903" spans="1:6" ht="13.8" x14ac:dyDescent="0.3">
      <c r="A903" s="26" t="s">
        <v>2389</v>
      </c>
      <c r="B903" s="32" t="s">
        <v>2390</v>
      </c>
      <c r="C903" s="27" t="s">
        <v>110</v>
      </c>
      <c r="D903" s="26" t="s">
        <v>2391</v>
      </c>
      <c r="E903" s="28"/>
      <c r="F903" s="26" t="s">
        <v>443</v>
      </c>
    </row>
    <row r="904" spans="1:6" ht="27.6" x14ac:dyDescent="0.25">
      <c r="A904" s="26" t="s">
        <v>2392</v>
      </c>
      <c r="B904" s="26" t="s">
        <v>2393</v>
      </c>
      <c r="C904" s="27" t="s">
        <v>110</v>
      </c>
      <c r="D904" s="26" t="s">
        <v>1387</v>
      </c>
      <c r="E904" s="27" t="s">
        <v>107</v>
      </c>
      <c r="F904" s="26" t="s">
        <v>443</v>
      </c>
    </row>
    <row r="905" spans="1:6" ht="27.6" x14ac:dyDescent="0.25">
      <c r="A905" s="39" t="s">
        <v>2394</v>
      </c>
      <c r="B905" s="39" t="s">
        <v>2395</v>
      </c>
      <c r="C905" s="40" t="s">
        <v>110</v>
      </c>
      <c r="D905" s="39" t="s">
        <v>1390</v>
      </c>
      <c r="E905" s="40" t="s">
        <v>107</v>
      </c>
      <c r="F905" s="39" t="s">
        <v>1206</v>
      </c>
    </row>
    <row r="906" spans="1:6" ht="13.8" x14ac:dyDescent="0.25">
      <c r="A906" s="26" t="s">
        <v>2396</v>
      </c>
      <c r="B906" s="26" t="s">
        <v>2397</v>
      </c>
      <c r="C906" s="27" t="s">
        <v>110</v>
      </c>
      <c r="D906" s="26" t="s">
        <v>1393</v>
      </c>
      <c r="E906" s="27" t="s">
        <v>107</v>
      </c>
      <c r="F906" s="26" t="s">
        <v>1206</v>
      </c>
    </row>
    <row r="907" spans="1:6" ht="27.6" x14ac:dyDescent="0.25">
      <c r="A907" s="26" t="s">
        <v>2398</v>
      </c>
      <c r="B907" s="26" t="s">
        <v>2399</v>
      </c>
      <c r="C907" s="27" t="s">
        <v>110</v>
      </c>
      <c r="D907" s="26" t="s">
        <v>1318</v>
      </c>
      <c r="E907" s="27" t="s">
        <v>107</v>
      </c>
      <c r="F907" s="26" t="s">
        <v>1319</v>
      </c>
    </row>
    <row r="908" spans="1:6" ht="41.4" x14ac:dyDescent="0.25">
      <c r="A908" s="26" t="s">
        <v>2400</v>
      </c>
      <c r="B908" s="26" t="s">
        <v>2401</v>
      </c>
      <c r="C908" s="27" t="s">
        <v>110</v>
      </c>
      <c r="D908" s="26" t="s">
        <v>1396</v>
      </c>
      <c r="E908" s="27" t="s">
        <v>107</v>
      </c>
      <c r="F908" s="26" t="s">
        <v>1319</v>
      </c>
    </row>
    <row r="909" spans="1:6" ht="27.6" x14ac:dyDescent="0.25">
      <c r="A909" s="23" t="s">
        <v>2402</v>
      </c>
      <c r="B909" s="23" t="s">
        <v>2403</v>
      </c>
      <c r="C909" s="25" t="s">
        <v>173</v>
      </c>
      <c r="D909" s="23" t="s">
        <v>1399</v>
      </c>
      <c r="E909" s="25" t="s">
        <v>107</v>
      </c>
      <c r="F909" s="23" t="s">
        <v>473</v>
      </c>
    </row>
    <row r="910" spans="1:6" ht="27.6" x14ac:dyDescent="0.25">
      <c r="A910" s="39" t="s">
        <v>2404</v>
      </c>
      <c r="B910" s="39" t="s">
        <v>2405</v>
      </c>
      <c r="C910" s="40" t="s">
        <v>110</v>
      </c>
      <c r="D910" s="39" t="s">
        <v>1402</v>
      </c>
      <c r="E910" s="40" t="s">
        <v>107</v>
      </c>
      <c r="F910" s="39" t="s">
        <v>1008</v>
      </c>
    </row>
    <row r="911" spans="1:6" ht="27.6" x14ac:dyDescent="0.25">
      <c r="A911" s="26" t="s">
        <v>2406</v>
      </c>
      <c r="B911" s="26" t="s">
        <v>2407</v>
      </c>
      <c r="C911" s="27" t="s">
        <v>110</v>
      </c>
      <c r="D911" s="26" t="s">
        <v>1405</v>
      </c>
      <c r="E911" s="27" t="s">
        <v>107</v>
      </c>
      <c r="F911" s="26" t="s">
        <v>148</v>
      </c>
    </row>
    <row r="912" spans="1:6" ht="27.6" x14ac:dyDescent="0.3">
      <c r="A912" s="39" t="s">
        <v>2408</v>
      </c>
      <c r="B912" s="39" t="s">
        <v>2409</v>
      </c>
      <c r="C912" s="40" t="s">
        <v>110</v>
      </c>
      <c r="D912" s="39" t="s">
        <v>1408</v>
      </c>
      <c r="E912" s="56" t="s">
        <v>107</v>
      </c>
      <c r="F912" s="39" t="s">
        <v>148</v>
      </c>
    </row>
    <row r="913" spans="1:6" ht="13.8" x14ac:dyDescent="0.25">
      <c r="A913" s="23" t="s">
        <v>2410</v>
      </c>
      <c r="B913" s="23" t="s">
        <v>2411</v>
      </c>
      <c r="C913" s="25" t="s">
        <v>173</v>
      </c>
      <c r="D913" s="23" t="s">
        <v>1411</v>
      </c>
      <c r="E913" s="25" t="s">
        <v>107</v>
      </c>
      <c r="F913" s="23" t="s">
        <v>509</v>
      </c>
    </row>
    <row r="914" spans="1:6" ht="27.6" x14ac:dyDescent="0.25">
      <c r="A914" s="35" t="s">
        <v>2412</v>
      </c>
      <c r="B914" s="35" t="s">
        <v>2413</v>
      </c>
      <c r="C914" s="41" t="s">
        <v>173</v>
      </c>
      <c r="D914" s="35" t="s">
        <v>2414</v>
      </c>
      <c r="E914" s="41" t="s">
        <v>107</v>
      </c>
      <c r="F914" s="35" t="s">
        <v>509</v>
      </c>
    </row>
    <row r="915" spans="1:6" ht="41.4" x14ac:dyDescent="0.3">
      <c r="A915" s="26" t="s">
        <v>2415</v>
      </c>
      <c r="B915" s="26" t="s">
        <v>2416</v>
      </c>
      <c r="C915" s="27" t="s">
        <v>110</v>
      </c>
      <c r="D915" s="26" t="s">
        <v>2417</v>
      </c>
      <c r="E915" s="32" t="s">
        <v>107</v>
      </c>
      <c r="F915" s="26" t="s">
        <v>509</v>
      </c>
    </row>
    <row r="916" spans="1:6" ht="13.8" x14ac:dyDescent="0.25">
      <c r="A916" s="35" t="s">
        <v>58</v>
      </c>
      <c r="B916" s="35" t="s">
        <v>96</v>
      </c>
      <c r="C916" s="41" t="s">
        <v>294</v>
      </c>
      <c r="D916" s="35" t="s">
        <v>107</v>
      </c>
      <c r="E916" s="41" t="s">
        <v>107</v>
      </c>
      <c r="F916" s="35" t="s">
        <v>107</v>
      </c>
    </row>
    <row r="917" spans="1:6" ht="13.8" x14ac:dyDescent="0.25">
      <c r="A917" s="35" t="s">
        <v>2418</v>
      </c>
      <c r="B917" s="35" t="s">
        <v>2419</v>
      </c>
      <c r="C917" s="41" t="s">
        <v>294</v>
      </c>
      <c r="D917" s="36"/>
      <c r="E917" s="36"/>
      <c r="F917" s="36"/>
    </row>
    <row r="918" spans="1:6" ht="13.8" x14ac:dyDescent="0.25">
      <c r="A918" s="26" t="s">
        <v>2420</v>
      </c>
      <c r="B918" s="26" t="s">
        <v>2421</v>
      </c>
      <c r="C918" s="27" t="s">
        <v>110</v>
      </c>
      <c r="D918" s="26" t="s">
        <v>1418</v>
      </c>
      <c r="E918" s="27" t="s">
        <v>107</v>
      </c>
      <c r="F918" s="26" t="s">
        <v>620</v>
      </c>
    </row>
    <row r="919" spans="1:6" ht="27.6" x14ac:dyDescent="0.25">
      <c r="A919" s="26" t="s">
        <v>2422</v>
      </c>
      <c r="B919" s="26" t="s">
        <v>2423</v>
      </c>
      <c r="C919" s="27" t="s">
        <v>110</v>
      </c>
      <c r="D919" s="26" t="s">
        <v>2424</v>
      </c>
      <c r="E919" s="27" t="s">
        <v>107</v>
      </c>
      <c r="F919" s="26" t="s">
        <v>620</v>
      </c>
    </row>
    <row r="920" spans="1:6" ht="27.6" x14ac:dyDescent="0.25">
      <c r="A920" s="26" t="s">
        <v>2425</v>
      </c>
      <c r="B920" s="26" t="s">
        <v>2426</v>
      </c>
      <c r="C920" s="27" t="s">
        <v>110</v>
      </c>
      <c r="D920" s="28"/>
      <c r="E920" s="28"/>
      <c r="F920" s="26" t="s">
        <v>165</v>
      </c>
    </row>
    <row r="921" spans="1:6" ht="27.6" x14ac:dyDescent="0.25">
      <c r="A921" s="26" t="s">
        <v>2427</v>
      </c>
      <c r="B921" s="26" t="s">
        <v>2428</v>
      </c>
      <c r="C921" s="27" t="s">
        <v>110</v>
      </c>
      <c r="D921" s="26" t="s">
        <v>2429</v>
      </c>
      <c r="E921" s="28"/>
      <c r="F921" s="26" t="s">
        <v>620</v>
      </c>
    </row>
    <row r="922" spans="1:6" ht="27.6" x14ac:dyDescent="0.25">
      <c r="A922" s="26" t="s">
        <v>2430</v>
      </c>
      <c r="B922" s="26" t="s">
        <v>2431</v>
      </c>
      <c r="C922" s="27" t="s">
        <v>110</v>
      </c>
      <c r="D922" s="26" t="s">
        <v>1421</v>
      </c>
      <c r="E922" s="27" t="s">
        <v>107</v>
      </c>
      <c r="F922" s="26" t="s">
        <v>620</v>
      </c>
    </row>
    <row r="923" spans="1:6" ht="13.8" x14ac:dyDescent="0.25">
      <c r="A923" s="26" t="s">
        <v>2432</v>
      </c>
      <c r="B923" s="26" t="s">
        <v>2433</v>
      </c>
      <c r="C923" s="27" t="s">
        <v>110</v>
      </c>
      <c r="D923" s="26" t="s">
        <v>1424</v>
      </c>
      <c r="E923" s="27" t="s">
        <v>107</v>
      </c>
      <c r="F923" s="26" t="s">
        <v>1425</v>
      </c>
    </row>
    <row r="924" spans="1:6" ht="27.6" x14ac:dyDescent="0.25">
      <c r="A924" s="26" t="s">
        <v>2434</v>
      </c>
      <c r="B924" s="26" t="s">
        <v>2435</v>
      </c>
      <c r="C924" s="27" t="s">
        <v>110</v>
      </c>
      <c r="D924" s="26" t="s">
        <v>1428</v>
      </c>
      <c r="E924" s="27" t="s">
        <v>107</v>
      </c>
      <c r="F924" s="26" t="s">
        <v>1425</v>
      </c>
    </row>
    <row r="925" spans="1:6" ht="13.8" x14ac:dyDescent="0.25">
      <c r="A925" s="26" t="s">
        <v>2436</v>
      </c>
      <c r="B925" s="26" t="s">
        <v>2437</v>
      </c>
      <c r="C925" s="27" t="s">
        <v>110</v>
      </c>
      <c r="D925" s="26" t="s">
        <v>1431</v>
      </c>
      <c r="E925" s="27" t="s">
        <v>107</v>
      </c>
      <c r="F925" s="26" t="s">
        <v>1425</v>
      </c>
    </row>
    <row r="926" spans="1:6" ht="13.8" x14ac:dyDescent="0.25">
      <c r="A926" s="26" t="s">
        <v>2438</v>
      </c>
      <c r="B926" s="26" t="s">
        <v>2439</v>
      </c>
      <c r="C926" s="27" t="s">
        <v>110</v>
      </c>
      <c r="D926" s="26" t="s">
        <v>1434</v>
      </c>
      <c r="E926" s="27" t="s">
        <v>107</v>
      </c>
      <c r="F926" s="26" t="s">
        <v>1425</v>
      </c>
    </row>
    <row r="927" spans="1:6" ht="13.8" x14ac:dyDescent="0.25">
      <c r="A927" s="26" t="s">
        <v>2440</v>
      </c>
      <c r="B927" s="26" t="s">
        <v>2441</v>
      </c>
      <c r="C927" s="27" t="s">
        <v>110</v>
      </c>
      <c r="D927" s="26" t="s">
        <v>1437</v>
      </c>
      <c r="E927" s="27" t="s">
        <v>107</v>
      </c>
      <c r="F927" s="26" t="s">
        <v>1425</v>
      </c>
    </row>
    <row r="928" spans="1:6" ht="27.6" x14ac:dyDescent="0.25">
      <c r="A928" s="26" t="s">
        <v>2442</v>
      </c>
      <c r="B928" s="26" t="s">
        <v>2443</v>
      </c>
      <c r="C928" s="27" t="s">
        <v>110</v>
      </c>
      <c r="D928" s="26" t="s">
        <v>1440</v>
      </c>
      <c r="E928" s="27" t="s">
        <v>107</v>
      </c>
      <c r="F928" s="26" t="s">
        <v>620</v>
      </c>
    </row>
    <row r="929" spans="1:6" ht="13.8" x14ac:dyDescent="0.25">
      <c r="A929" s="39" t="s">
        <v>2444</v>
      </c>
      <c r="B929" s="39" t="s">
        <v>2445</v>
      </c>
      <c r="C929" s="40" t="s">
        <v>110</v>
      </c>
      <c r="D929" s="39" t="s">
        <v>1443</v>
      </c>
      <c r="E929" s="40" t="s">
        <v>107</v>
      </c>
      <c r="F929" s="39" t="s">
        <v>620</v>
      </c>
    </row>
    <row r="930" spans="1:6" ht="27.6" x14ac:dyDescent="0.25">
      <c r="A930" s="26" t="s">
        <v>2446</v>
      </c>
      <c r="B930" s="26" t="s">
        <v>2447</v>
      </c>
      <c r="C930" s="27" t="s">
        <v>110</v>
      </c>
      <c r="D930" s="26" t="s">
        <v>1443</v>
      </c>
      <c r="E930" s="27" t="s">
        <v>107</v>
      </c>
      <c r="F930" s="26" t="s">
        <v>620</v>
      </c>
    </row>
    <row r="931" spans="1:6" ht="27.6" x14ac:dyDescent="0.25">
      <c r="A931" s="26" t="s">
        <v>2448</v>
      </c>
      <c r="B931" s="26" t="s">
        <v>2449</v>
      </c>
      <c r="C931" s="27" t="s">
        <v>110</v>
      </c>
      <c r="D931" s="26" t="s">
        <v>1443</v>
      </c>
      <c r="E931" s="27" t="s">
        <v>107</v>
      </c>
      <c r="F931" s="26" t="s">
        <v>620</v>
      </c>
    </row>
    <row r="932" spans="1:6" ht="27.6" x14ac:dyDescent="0.25">
      <c r="A932" s="26" t="s">
        <v>2450</v>
      </c>
      <c r="B932" s="26" t="s">
        <v>2451</v>
      </c>
      <c r="C932" s="27" t="s">
        <v>110</v>
      </c>
      <c r="D932" s="26" t="s">
        <v>1446</v>
      </c>
      <c r="E932" s="27" t="s">
        <v>107</v>
      </c>
      <c r="F932" s="26" t="s">
        <v>620</v>
      </c>
    </row>
    <row r="933" spans="1:6" ht="27.6" x14ac:dyDescent="0.25">
      <c r="A933" s="35" t="s">
        <v>2452</v>
      </c>
      <c r="B933" s="35" t="s">
        <v>2453</v>
      </c>
      <c r="C933" s="41" t="s">
        <v>173</v>
      </c>
      <c r="D933" s="35" t="s">
        <v>1449</v>
      </c>
      <c r="E933" s="41" t="s">
        <v>107</v>
      </c>
      <c r="F933" s="35" t="s">
        <v>278</v>
      </c>
    </row>
    <row r="934" spans="1:6" ht="41.4" x14ac:dyDescent="0.25">
      <c r="A934" s="26" t="s">
        <v>2454</v>
      </c>
      <c r="B934" s="26" t="s">
        <v>2455</v>
      </c>
      <c r="C934" s="27" t="s">
        <v>110</v>
      </c>
      <c r="D934" s="26" t="s">
        <v>1452</v>
      </c>
      <c r="E934" s="27" t="s">
        <v>1453</v>
      </c>
      <c r="F934" s="26" t="s">
        <v>1454</v>
      </c>
    </row>
    <row r="935" spans="1:6" ht="41.4" x14ac:dyDescent="0.25">
      <c r="A935" s="26" t="s">
        <v>2456</v>
      </c>
      <c r="B935" s="26" t="s">
        <v>2455</v>
      </c>
      <c r="C935" s="27" t="s">
        <v>110</v>
      </c>
      <c r="D935" s="26" t="s">
        <v>1452</v>
      </c>
      <c r="E935" s="27" t="s">
        <v>1453</v>
      </c>
      <c r="F935" s="26" t="s">
        <v>1454</v>
      </c>
    </row>
    <row r="936" spans="1:6" ht="27.6" x14ac:dyDescent="0.25">
      <c r="A936" s="26" t="s">
        <v>2457</v>
      </c>
      <c r="B936" s="26" t="s">
        <v>2458</v>
      </c>
      <c r="C936" s="27" t="s">
        <v>110</v>
      </c>
      <c r="D936" s="26" t="s">
        <v>1457</v>
      </c>
      <c r="E936" s="27" t="s">
        <v>107</v>
      </c>
      <c r="F936" s="26" t="s">
        <v>210</v>
      </c>
    </row>
    <row r="937" spans="1:6" ht="13.8" x14ac:dyDescent="0.3">
      <c r="A937" s="39" t="s">
        <v>2459</v>
      </c>
      <c r="B937" s="56" t="s">
        <v>2460</v>
      </c>
      <c r="C937" s="40" t="s">
        <v>110</v>
      </c>
      <c r="D937" s="39" t="s">
        <v>1460</v>
      </c>
      <c r="E937" s="40" t="s">
        <v>107</v>
      </c>
      <c r="F937" s="39" t="s">
        <v>210</v>
      </c>
    </row>
    <row r="938" spans="1:6" ht="13.8" x14ac:dyDescent="0.3">
      <c r="A938" s="26" t="s">
        <v>2461</v>
      </c>
      <c r="B938" s="32" t="s">
        <v>2462</v>
      </c>
      <c r="C938" s="27" t="s">
        <v>110</v>
      </c>
      <c r="D938" s="26" t="s">
        <v>1463</v>
      </c>
      <c r="E938" s="27" t="s">
        <v>107</v>
      </c>
      <c r="F938" s="26" t="s">
        <v>210</v>
      </c>
    </row>
    <row r="939" spans="1:6" ht="27.6" x14ac:dyDescent="0.3">
      <c r="A939" s="26" t="s">
        <v>2463</v>
      </c>
      <c r="B939" s="32" t="s">
        <v>2464</v>
      </c>
      <c r="C939" s="27" t="s">
        <v>110</v>
      </c>
      <c r="D939" s="26" t="s">
        <v>2465</v>
      </c>
      <c r="E939" s="27" t="s">
        <v>107</v>
      </c>
      <c r="F939" s="26" t="s">
        <v>107</v>
      </c>
    </row>
    <row r="940" spans="1:6" ht="13.8" x14ac:dyDescent="0.3">
      <c r="A940" s="26" t="s">
        <v>2466</v>
      </c>
      <c r="B940" s="32" t="s">
        <v>2467</v>
      </c>
      <c r="C940" s="27" t="s">
        <v>110</v>
      </c>
      <c r="D940" s="28"/>
      <c r="E940" s="28"/>
      <c r="F940" s="26" t="s">
        <v>210</v>
      </c>
    </row>
    <row r="941" spans="1:6" ht="27.6" x14ac:dyDescent="0.3">
      <c r="A941" s="57" t="s">
        <v>2468</v>
      </c>
      <c r="B941" s="37" t="s">
        <v>2469</v>
      </c>
      <c r="C941" s="41" t="s">
        <v>173</v>
      </c>
      <c r="D941" s="35" t="s">
        <v>2470</v>
      </c>
      <c r="E941" s="37" t="s">
        <v>107</v>
      </c>
      <c r="F941" s="57" t="s">
        <v>157</v>
      </c>
    </row>
    <row r="942" spans="1:6" ht="13.8" x14ac:dyDescent="0.3">
      <c r="A942" s="34" t="s">
        <v>2471</v>
      </c>
      <c r="B942" s="32" t="s">
        <v>2472</v>
      </c>
      <c r="C942" s="27" t="s">
        <v>110</v>
      </c>
      <c r="D942" s="28"/>
      <c r="E942" s="33"/>
      <c r="F942" s="34" t="s">
        <v>411</v>
      </c>
    </row>
    <row r="943" spans="1:6" ht="27.6" x14ac:dyDescent="0.25">
      <c r="A943" s="26" t="s">
        <v>2473</v>
      </c>
      <c r="B943" s="26" t="s">
        <v>2474</v>
      </c>
      <c r="C943" s="27" t="s">
        <v>110</v>
      </c>
      <c r="D943" s="26" t="s">
        <v>1468</v>
      </c>
      <c r="E943" s="27" t="s">
        <v>107</v>
      </c>
      <c r="F943" s="26" t="s">
        <v>703</v>
      </c>
    </row>
    <row r="944" spans="1:6" ht="27.6" x14ac:dyDescent="0.25">
      <c r="A944" s="26" t="s">
        <v>2475</v>
      </c>
      <c r="B944" s="26" t="s">
        <v>2476</v>
      </c>
      <c r="C944" s="27" t="s">
        <v>110</v>
      </c>
      <c r="D944" s="26" t="s">
        <v>2477</v>
      </c>
      <c r="E944" s="28"/>
      <c r="F944" s="26" t="s">
        <v>620</v>
      </c>
    </row>
    <row r="945" spans="1:6" ht="27.6" x14ac:dyDescent="0.25">
      <c r="A945" s="39" t="s">
        <v>2478</v>
      </c>
      <c r="B945" s="39" t="s">
        <v>2479</v>
      </c>
      <c r="C945" s="40" t="s">
        <v>110</v>
      </c>
      <c r="D945" s="39" t="s">
        <v>2480</v>
      </c>
      <c r="E945" s="51"/>
      <c r="F945" s="39" t="s">
        <v>2481</v>
      </c>
    </row>
    <row r="946" spans="1:6" ht="27.6" x14ac:dyDescent="0.25">
      <c r="A946" s="26" t="s">
        <v>2482</v>
      </c>
      <c r="B946" s="26" t="s">
        <v>2483</v>
      </c>
      <c r="C946" s="27" t="s">
        <v>110</v>
      </c>
      <c r="D946" s="26" t="s">
        <v>2480</v>
      </c>
      <c r="E946" s="28"/>
      <c r="F946" s="26" t="s">
        <v>2481</v>
      </c>
    </row>
    <row r="947" spans="1:6" ht="27.6" x14ac:dyDescent="0.25">
      <c r="A947" s="26" t="s">
        <v>2484</v>
      </c>
      <c r="B947" s="26" t="s">
        <v>2485</v>
      </c>
      <c r="C947" s="27" t="s">
        <v>110</v>
      </c>
      <c r="D947" s="28"/>
      <c r="E947" s="28"/>
      <c r="F947" s="26" t="s">
        <v>112</v>
      </c>
    </row>
    <row r="948" spans="1:6" ht="27.6" x14ac:dyDescent="0.25">
      <c r="A948" s="26" t="s">
        <v>2486</v>
      </c>
      <c r="B948" s="26" t="s">
        <v>2487</v>
      </c>
      <c r="C948" s="27" t="s">
        <v>107</v>
      </c>
      <c r="D948" s="28"/>
      <c r="E948" s="28"/>
      <c r="F948" s="26" t="s">
        <v>112</v>
      </c>
    </row>
    <row r="949" spans="1:6" ht="27.6" x14ac:dyDescent="0.25">
      <c r="A949" s="23" t="s">
        <v>2488</v>
      </c>
      <c r="B949" s="23" t="s">
        <v>2489</v>
      </c>
      <c r="C949" s="25" t="s">
        <v>173</v>
      </c>
      <c r="D949" s="25" t="s">
        <v>2490</v>
      </c>
      <c r="E949" s="25" t="s">
        <v>107</v>
      </c>
      <c r="F949" s="23" t="s">
        <v>112</v>
      </c>
    </row>
    <row r="950" spans="1:6" ht="27.6" x14ac:dyDescent="0.25">
      <c r="A950" s="26" t="s">
        <v>2491</v>
      </c>
      <c r="B950" s="26" t="s">
        <v>631</v>
      </c>
      <c r="C950" s="28"/>
      <c r="D950" s="28"/>
      <c r="E950" s="28"/>
      <c r="F950" s="28"/>
    </row>
    <row r="951" spans="1:6" ht="27.6" x14ac:dyDescent="0.25">
      <c r="A951" s="39" t="s">
        <v>2492</v>
      </c>
      <c r="B951" s="39" t="s">
        <v>2493</v>
      </c>
      <c r="C951" s="40" t="s">
        <v>110</v>
      </c>
      <c r="D951" s="39" t="s">
        <v>1475</v>
      </c>
      <c r="E951" s="40" t="s">
        <v>107</v>
      </c>
      <c r="F951" s="39" t="s">
        <v>1202</v>
      </c>
    </row>
    <row r="952" spans="1:6" ht="27.6" x14ac:dyDescent="0.25">
      <c r="A952" s="26" t="s">
        <v>2494</v>
      </c>
      <c r="B952" s="26" t="s">
        <v>2495</v>
      </c>
      <c r="C952" s="27" t="s">
        <v>110</v>
      </c>
      <c r="D952" s="26" t="s">
        <v>1475</v>
      </c>
      <c r="E952" s="27" t="s">
        <v>107</v>
      </c>
      <c r="F952" s="26" t="s">
        <v>1202</v>
      </c>
    </row>
    <row r="953" spans="1:6" ht="27.6" x14ac:dyDescent="0.3">
      <c r="A953" s="35" t="s">
        <v>2496</v>
      </c>
      <c r="B953" s="37" t="s">
        <v>2497</v>
      </c>
      <c r="C953" s="41" t="s">
        <v>173</v>
      </c>
      <c r="D953" s="35" t="s">
        <v>2498</v>
      </c>
      <c r="E953" s="41" t="s">
        <v>107</v>
      </c>
      <c r="F953" s="35" t="s">
        <v>418</v>
      </c>
    </row>
    <row r="954" spans="1:6" ht="27.6" x14ac:dyDescent="0.3">
      <c r="A954" s="39" t="s">
        <v>2499</v>
      </c>
      <c r="B954" s="56" t="s">
        <v>2500</v>
      </c>
      <c r="C954" s="40" t="s">
        <v>110</v>
      </c>
      <c r="D954" s="39" t="s">
        <v>1480</v>
      </c>
      <c r="E954" s="40" t="s">
        <v>107</v>
      </c>
      <c r="F954" s="39" t="s">
        <v>418</v>
      </c>
    </row>
    <row r="955" spans="1:6" ht="27.6" x14ac:dyDescent="0.25">
      <c r="A955" s="23" t="s">
        <v>2501</v>
      </c>
      <c r="B955" s="23" t="s">
        <v>2502</v>
      </c>
      <c r="C955" s="25" t="s">
        <v>173</v>
      </c>
      <c r="D955" s="23" t="s">
        <v>1483</v>
      </c>
      <c r="E955" s="25" t="s">
        <v>107</v>
      </c>
      <c r="F955" s="23" t="s">
        <v>112</v>
      </c>
    </row>
    <row r="956" spans="1:6" ht="27.6" x14ac:dyDescent="0.25">
      <c r="A956" s="39" t="s">
        <v>2503</v>
      </c>
      <c r="B956" s="39" t="s">
        <v>2504</v>
      </c>
      <c r="C956" s="40" t="s">
        <v>110</v>
      </c>
      <c r="D956" s="39" t="s">
        <v>2505</v>
      </c>
      <c r="E956" s="51"/>
      <c r="F956" s="39" t="s">
        <v>2506</v>
      </c>
    </row>
    <row r="957" spans="1:6" ht="27.6" x14ac:dyDescent="0.25">
      <c r="A957" s="26" t="s">
        <v>2507</v>
      </c>
      <c r="B957" s="26" t="s">
        <v>2508</v>
      </c>
      <c r="C957" s="27" t="s">
        <v>110</v>
      </c>
      <c r="D957" s="26" t="s">
        <v>1486</v>
      </c>
      <c r="E957" s="27" t="s">
        <v>107</v>
      </c>
      <c r="F957" s="26" t="s">
        <v>1487</v>
      </c>
    </row>
    <row r="958" spans="1:6" ht="13.8" x14ac:dyDescent="0.3">
      <c r="A958" s="35" t="s">
        <v>2509</v>
      </c>
      <c r="B958" s="37" t="s">
        <v>2510</v>
      </c>
      <c r="C958" s="41" t="s">
        <v>173</v>
      </c>
      <c r="D958" s="37" t="s">
        <v>1490</v>
      </c>
      <c r="E958" s="41" t="s">
        <v>107</v>
      </c>
      <c r="F958" s="35" t="s">
        <v>274</v>
      </c>
    </row>
    <row r="959" spans="1:6" ht="13.8" x14ac:dyDescent="0.3">
      <c r="A959" s="35" t="s">
        <v>2511</v>
      </c>
      <c r="B959" s="37" t="s">
        <v>2512</v>
      </c>
      <c r="C959" s="41" t="s">
        <v>173</v>
      </c>
      <c r="D959" s="37" t="s">
        <v>1493</v>
      </c>
      <c r="E959" s="41" t="s">
        <v>107</v>
      </c>
      <c r="F959" s="35" t="s">
        <v>274</v>
      </c>
    </row>
    <row r="960" spans="1:6" ht="13.8" x14ac:dyDescent="0.3">
      <c r="A960" s="23" t="s">
        <v>2513</v>
      </c>
      <c r="B960" s="30" t="s">
        <v>2514</v>
      </c>
      <c r="C960" s="25" t="s">
        <v>173</v>
      </c>
      <c r="D960" s="8"/>
      <c r="E960" s="31"/>
      <c r="F960" s="23" t="s">
        <v>274</v>
      </c>
    </row>
    <row r="961" spans="1:6" ht="13.8" x14ac:dyDescent="0.3">
      <c r="A961" s="26" t="s">
        <v>2515</v>
      </c>
      <c r="B961" s="32" t="s">
        <v>2516</v>
      </c>
      <c r="C961" s="27" t="s">
        <v>110</v>
      </c>
      <c r="D961" s="32" t="s">
        <v>1496</v>
      </c>
      <c r="E961" s="32" t="s">
        <v>107</v>
      </c>
      <c r="F961" s="26" t="s">
        <v>900</v>
      </c>
    </row>
    <row r="962" spans="1:6" ht="41.4" x14ac:dyDescent="0.25">
      <c r="A962" s="26" t="s">
        <v>2517</v>
      </c>
      <c r="B962" s="26" t="s">
        <v>2518</v>
      </c>
      <c r="C962" s="27" t="s">
        <v>110</v>
      </c>
      <c r="D962" s="26" t="s">
        <v>1511</v>
      </c>
      <c r="E962" s="27" t="s">
        <v>1512</v>
      </c>
      <c r="F962" s="26" t="s">
        <v>112</v>
      </c>
    </row>
    <row r="963" spans="1:6" ht="27.6" x14ac:dyDescent="0.25">
      <c r="A963" s="26" t="s">
        <v>2519</v>
      </c>
      <c r="B963" s="26" t="s">
        <v>2520</v>
      </c>
      <c r="C963" s="27" t="s">
        <v>110</v>
      </c>
      <c r="D963" s="26" t="s">
        <v>1499</v>
      </c>
      <c r="E963" s="27" t="s">
        <v>107</v>
      </c>
      <c r="F963" s="26" t="s">
        <v>900</v>
      </c>
    </row>
    <row r="964" spans="1:6" ht="27.6" x14ac:dyDescent="0.3">
      <c r="A964" s="57" t="s">
        <v>2521</v>
      </c>
      <c r="B964" s="35" t="s">
        <v>2522</v>
      </c>
      <c r="C964" s="41" t="s">
        <v>173</v>
      </c>
      <c r="D964" s="35" t="s">
        <v>1502</v>
      </c>
      <c r="E964" s="41" t="s">
        <v>107</v>
      </c>
      <c r="F964" s="35" t="s">
        <v>900</v>
      </c>
    </row>
    <row r="965" spans="1:6" ht="27.6" x14ac:dyDescent="0.25">
      <c r="A965" s="39" t="s">
        <v>2523</v>
      </c>
      <c r="B965" s="39" t="s">
        <v>2524</v>
      </c>
      <c r="C965" s="40" t="s">
        <v>110</v>
      </c>
      <c r="D965" s="39" t="s">
        <v>1499</v>
      </c>
      <c r="E965" s="40" t="s">
        <v>107</v>
      </c>
      <c r="F965" s="39" t="s">
        <v>900</v>
      </c>
    </row>
    <row r="966" spans="1:6" ht="27.6" x14ac:dyDescent="0.25">
      <c r="A966" s="39" t="s">
        <v>2525</v>
      </c>
      <c r="B966" s="39" t="s">
        <v>2526</v>
      </c>
      <c r="C966" s="40" t="s">
        <v>110</v>
      </c>
      <c r="D966" s="39" t="s">
        <v>1508</v>
      </c>
      <c r="E966" s="40" t="s">
        <v>107</v>
      </c>
      <c r="F966" s="39" t="s">
        <v>900</v>
      </c>
    </row>
    <row r="967" spans="1:6" ht="41.4" x14ac:dyDescent="0.25">
      <c r="A967" s="39" t="s">
        <v>2527</v>
      </c>
      <c r="B967" s="39" t="s">
        <v>2518</v>
      </c>
      <c r="C967" s="40" t="s">
        <v>110</v>
      </c>
      <c r="D967" s="39" t="s">
        <v>1511</v>
      </c>
      <c r="E967" s="40" t="s">
        <v>1512</v>
      </c>
      <c r="F967" s="39" t="s">
        <v>112</v>
      </c>
    </row>
    <row r="968" spans="1:6" ht="27.6" x14ac:dyDescent="0.25">
      <c r="A968" s="39" t="s">
        <v>2528</v>
      </c>
      <c r="B968" s="39" t="s">
        <v>2529</v>
      </c>
      <c r="C968" s="40" t="s">
        <v>110</v>
      </c>
      <c r="D968" s="39" t="s">
        <v>1515</v>
      </c>
      <c r="E968" s="40" t="s">
        <v>107</v>
      </c>
      <c r="F968" s="39" t="s">
        <v>900</v>
      </c>
    </row>
    <row r="969" spans="1:6" ht="27.6" x14ac:dyDescent="0.25">
      <c r="A969" s="23" t="s">
        <v>2530</v>
      </c>
      <c r="B969" s="23" t="s">
        <v>2531</v>
      </c>
      <c r="C969" s="25" t="s">
        <v>173</v>
      </c>
      <c r="D969" s="23" t="s">
        <v>1518</v>
      </c>
      <c r="E969" s="25" t="s">
        <v>107</v>
      </c>
      <c r="F969" s="23" t="s">
        <v>112</v>
      </c>
    </row>
    <row r="970" spans="1:6" ht="27.6" x14ac:dyDescent="0.25">
      <c r="A970" s="23" t="s">
        <v>74</v>
      </c>
      <c r="B970" s="23" t="s">
        <v>2532</v>
      </c>
      <c r="C970" s="25" t="s">
        <v>173</v>
      </c>
      <c r="D970" s="23" t="s">
        <v>1521</v>
      </c>
      <c r="E970" s="25" t="s">
        <v>107</v>
      </c>
      <c r="F970" s="23" t="s">
        <v>112</v>
      </c>
    </row>
    <row r="971" spans="1:6" ht="27.6" x14ac:dyDescent="0.25">
      <c r="A971" s="23" t="s">
        <v>2533</v>
      </c>
      <c r="B971" s="23" t="s">
        <v>2534</v>
      </c>
      <c r="C971" s="25" t="s">
        <v>173</v>
      </c>
      <c r="D971" s="23" t="s">
        <v>1521</v>
      </c>
      <c r="E971" s="25" t="s">
        <v>107</v>
      </c>
      <c r="F971" s="23" t="s">
        <v>112</v>
      </c>
    </row>
    <row r="972" spans="1:6" ht="27.6" x14ac:dyDescent="0.25">
      <c r="A972" s="35" t="s">
        <v>2535</v>
      </c>
      <c r="B972" s="35" t="s">
        <v>2536</v>
      </c>
      <c r="C972" s="41" t="s">
        <v>173</v>
      </c>
      <c r="D972" s="35" t="s">
        <v>1527</v>
      </c>
      <c r="E972" s="41" t="s">
        <v>107</v>
      </c>
      <c r="F972" s="35" t="s">
        <v>117</v>
      </c>
    </row>
    <row r="973" spans="1:6" ht="27.6" x14ac:dyDescent="0.25">
      <c r="A973" s="35" t="s">
        <v>2537</v>
      </c>
      <c r="B973" s="35" t="s">
        <v>2538</v>
      </c>
      <c r="C973" s="41" t="s">
        <v>173</v>
      </c>
      <c r="D973" s="35" t="s">
        <v>2539</v>
      </c>
      <c r="E973" s="36"/>
      <c r="F973" s="35" t="s">
        <v>418</v>
      </c>
    </row>
    <row r="974" spans="1:6" ht="27.6" x14ac:dyDescent="0.25">
      <c r="A974" s="35" t="s">
        <v>2540</v>
      </c>
      <c r="B974" s="35" t="s">
        <v>2541</v>
      </c>
      <c r="C974" s="41" t="s">
        <v>107</v>
      </c>
      <c r="D974" s="36"/>
      <c r="E974" s="36"/>
      <c r="F974" s="35" t="s">
        <v>418</v>
      </c>
    </row>
    <row r="975" spans="1:6" ht="13.8" x14ac:dyDescent="0.25">
      <c r="A975" s="35" t="s">
        <v>2542</v>
      </c>
      <c r="B975" s="35" t="s">
        <v>96</v>
      </c>
      <c r="C975" s="41" t="s">
        <v>294</v>
      </c>
      <c r="D975" s="35" t="s">
        <v>107</v>
      </c>
      <c r="E975" s="41" t="s">
        <v>107</v>
      </c>
      <c r="F975" s="35" t="s">
        <v>107</v>
      </c>
    </row>
    <row r="976" spans="1:6" ht="27.6" x14ac:dyDescent="0.25">
      <c r="A976" s="26" t="s">
        <v>2543</v>
      </c>
      <c r="B976" s="26" t="s">
        <v>2544</v>
      </c>
      <c r="C976" s="27" t="s">
        <v>110</v>
      </c>
      <c r="D976" s="26" t="s">
        <v>1530</v>
      </c>
      <c r="E976" s="27" t="s">
        <v>1531</v>
      </c>
      <c r="F976" s="26" t="s">
        <v>620</v>
      </c>
    </row>
    <row r="977" spans="1:6" ht="27.6" x14ac:dyDescent="0.25">
      <c r="A977" s="39" t="s">
        <v>2545</v>
      </c>
      <c r="B977" s="39" t="s">
        <v>2546</v>
      </c>
      <c r="C977" s="40" t="s">
        <v>110</v>
      </c>
      <c r="D977" s="39" t="s">
        <v>1530</v>
      </c>
      <c r="E977" s="40" t="s">
        <v>107</v>
      </c>
      <c r="F977" s="39" t="s">
        <v>620</v>
      </c>
    </row>
    <row r="978" spans="1:6" ht="27.6" x14ac:dyDescent="0.25">
      <c r="A978" s="26" t="s">
        <v>28</v>
      </c>
      <c r="B978" s="26" t="s">
        <v>97</v>
      </c>
      <c r="C978" s="27" t="s">
        <v>110</v>
      </c>
      <c r="D978" s="26" t="s">
        <v>1536</v>
      </c>
      <c r="E978" s="27" t="s">
        <v>107</v>
      </c>
      <c r="F978" s="26" t="s">
        <v>112</v>
      </c>
    </row>
    <row r="979" spans="1:6" ht="27.6" x14ac:dyDescent="0.3">
      <c r="A979" s="39" t="s">
        <v>2547</v>
      </c>
      <c r="B979" s="56" t="s">
        <v>2548</v>
      </c>
      <c r="C979" s="40" t="s">
        <v>110</v>
      </c>
      <c r="D979" s="39" t="s">
        <v>1539</v>
      </c>
      <c r="E979" s="40" t="s">
        <v>107</v>
      </c>
      <c r="F979" s="39" t="s">
        <v>112</v>
      </c>
    </row>
    <row r="980" spans="1:6" ht="27.6" x14ac:dyDescent="0.25">
      <c r="A980" s="39" t="s">
        <v>2549</v>
      </c>
      <c r="B980" s="39" t="s">
        <v>2550</v>
      </c>
      <c r="C980" s="40" t="s">
        <v>110</v>
      </c>
      <c r="D980" s="39" t="s">
        <v>1542</v>
      </c>
      <c r="E980" s="40" t="s">
        <v>107</v>
      </c>
      <c r="F980" s="39" t="s">
        <v>112</v>
      </c>
    </row>
    <row r="981" spans="1:6" ht="27.6" x14ac:dyDescent="0.25">
      <c r="A981" s="35" t="s">
        <v>2551</v>
      </c>
      <c r="B981" s="35" t="s">
        <v>2552</v>
      </c>
      <c r="C981" s="41" t="s">
        <v>173</v>
      </c>
      <c r="D981" s="35" t="s">
        <v>1545</v>
      </c>
      <c r="E981" s="41" t="s">
        <v>107</v>
      </c>
      <c r="F981" s="35" t="s">
        <v>418</v>
      </c>
    </row>
    <row r="982" spans="1:6" ht="27.6" x14ac:dyDescent="0.25">
      <c r="A982" s="26" t="s">
        <v>2553</v>
      </c>
      <c r="B982" s="26" t="s">
        <v>2554</v>
      </c>
      <c r="C982" s="27" t="s">
        <v>110</v>
      </c>
      <c r="D982" s="28"/>
      <c r="E982" s="28"/>
      <c r="F982" s="26" t="s">
        <v>418</v>
      </c>
    </row>
    <row r="983" spans="1:6" ht="27.6" x14ac:dyDescent="0.25">
      <c r="A983" s="35" t="s">
        <v>2555</v>
      </c>
      <c r="B983" s="35" t="s">
        <v>2556</v>
      </c>
      <c r="C983" s="41" t="s">
        <v>173</v>
      </c>
      <c r="D983" s="36"/>
      <c r="E983" s="36"/>
      <c r="F983" s="35" t="s">
        <v>418</v>
      </c>
    </row>
    <row r="984" spans="1:6" ht="27.6" x14ac:dyDescent="0.25">
      <c r="A984" s="35" t="s">
        <v>2557</v>
      </c>
      <c r="B984" s="35" t="s">
        <v>2558</v>
      </c>
      <c r="C984" s="41" t="s">
        <v>107</v>
      </c>
      <c r="D984" s="36"/>
      <c r="E984" s="36"/>
      <c r="F984" s="35" t="s">
        <v>418</v>
      </c>
    </row>
    <row r="985" spans="1:6" ht="27.6" x14ac:dyDescent="0.3">
      <c r="A985" s="26" t="s">
        <v>2559</v>
      </c>
      <c r="B985" s="32" t="s">
        <v>2560</v>
      </c>
      <c r="C985" s="27" t="s">
        <v>110</v>
      </c>
      <c r="D985" s="26" t="s">
        <v>1548</v>
      </c>
      <c r="E985" s="27" t="s">
        <v>107</v>
      </c>
      <c r="F985" s="26" t="s">
        <v>112</v>
      </c>
    </row>
    <row r="986" spans="1:6" ht="27.6" x14ac:dyDescent="0.25">
      <c r="A986" s="39" t="s">
        <v>2561</v>
      </c>
      <c r="B986" s="39" t="s">
        <v>2562</v>
      </c>
      <c r="C986" s="40" t="s">
        <v>110</v>
      </c>
      <c r="D986" s="39" t="s">
        <v>2563</v>
      </c>
      <c r="E986" s="51"/>
      <c r="F986" s="39" t="s">
        <v>157</v>
      </c>
    </row>
    <row r="987" spans="1:6" ht="27.6" x14ac:dyDescent="0.3">
      <c r="A987" s="26" t="s">
        <v>2564</v>
      </c>
      <c r="B987" s="32" t="s">
        <v>2565</v>
      </c>
      <c r="C987" s="27" t="s">
        <v>110</v>
      </c>
      <c r="D987" s="26" t="s">
        <v>2566</v>
      </c>
      <c r="E987" s="28"/>
      <c r="F987" s="26" t="s">
        <v>157</v>
      </c>
    </row>
    <row r="988" spans="1:6" ht="13.8" x14ac:dyDescent="0.25">
      <c r="A988" s="26" t="s">
        <v>2567</v>
      </c>
      <c r="B988" s="26" t="s">
        <v>2568</v>
      </c>
      <c r="C988" s="27" t="s">
        <v>110</v>
      </c>
      <c r="D988" s="28"/>
      <c r="E988" s="28"/>
      <c r="F988" s="26" t="s">
        <v>157</v>
      </c>
    </row>
    <row r="989" spans="1:6" ht="27.6" x14ac:dyDescent="0.25">
      <c r="A989" s="26" t="s">
        <v>2569</v>
      </c>
      <c r="B989" s="26" t="s">
        <v>2157</v>
      </c>
      <c r="C989" s="27" t="s">
        <v>110</v>
      </c>
      <c r="D989" s="26" t="s">
        <v>1552</v>
      </c>
      <c r="E989" s="27" t="s">
        <v>1553</v>
      </c>
      <c r="F989" s="26" t="s">
        <v>157</v>
      </c>
    </row>
    <row r="990" spans="1:6" ht="13.8" x14ac:dyDescent="0.3">
      <c r="A990" s="35" t="s">
        <v>2570</v>
      </c>
      <c r="B990" s="37" t="s">
        <v>2571</v>
      </c>
      <c r="C990" s="41" t="s">
        <v>173</v>
      </c>
      <c r="D990" s="35" t="s">
        <v>1556</v>
      </c>
      <c r="E990" s="41" t="s">
        <v>107</v>
      </c>
      <c r="F990" s="35" t="s">
        <v>157</v>
      </c>
    </row>
    <row r="991" spans="1:6" ht="27.6" x14ac:dyDescent="0.25">
      <c r="A991" s="39" t="s">
        <v>66</v>
      </c>
      <c r="B991" s="39" t="s">
        <v>2161</v>
      </c>
      <c r="C991" s="40" t="s">
        <v>110</v>
      </c>
      <c r="D991" s="39" t="s">
        <v>1559</v>
      </c>
      <c r="E991" s="40" t="s">
        <v>1560</v>
      </c>
      <c r="F991" s="39" t="s">
        <v>157</v>
      </c>
    </row>
    <row r="992" spans="1:6" ht="27.6" x14ac:dyDescent="0.25">
      <c r="A992" s="39" t="s">
        <v>2572</v>
      </c>
      <c r="B992" s="39" t="s">
        <v>2573</v>
      </c>
      <c r="C992" s="40" t="s">
        <v>110</v>
      </c>
      <c r="D992" s="39" t="s">
        <v>2574</v>
      </c>
      <c r="E992" s="51"/>
      <c r="F992" s="39" t="s">
        <v>157</v>
      </c>
    </row>
    <row r="993" spans="1:6" ht="13.8" x14ac:dyDescent="0.25">
      <c r="A993" s="26" t="s">
        <v>2575</v>
      </c>
      <c r="B993" s="26" t="s">
        <v>2576</v>
      </c>
      <c r="C993" s="28"/>
      <c r="D993" s="28"/>
      <c r="E993" s="28"/>
      <c r="F993" s="26" t="s">
        <v>157</v>
      </c>
    </row>
    <row r="994" spans="1:6" ht="27.6" x14ac:dyDescent="0.25">
      <c r="A994" s="26" t="s">
        <v>2577</v>
      </c>
      <c r="B994" s="26" t="s">
        <v>2578</v>
      </c>
      <c r="C994" s="27" t="s">
        <v>110</v>
      </c>
      <c r="D994" s="28"/>
      <c r="E994" s="28"/>
      <c r="F994" s="26" t="s">
        <v>112</v>
      </c>
    </row>
    <row r="995" spans="1:6" ht="27.6" x14ac:dyDescent="0.25">
      <c r="A995" s="23" t="s">
        <v>2579</v>
      </c>
      <c r="B995" s="23" t="s">
        <v>2580</v>
      </c>
      <c r="C995" s="25" t="s">
        <v>173</v>
      </c>
      <c r="D995" s="23" t="s">
        <v>1563</v>
      </c>
      <c r="E995" s="25" t="s">
        <v>107</v>
      </c>
      <c r="F995" s="23" t="s">
        <v>1564</v>
      </c>
    </row>
    <row r="996" spans="1:6" ht="27.6" x14ac:dyDescent="0.25">
      <c r="A996" s="35" t="s">
        <v>2581</v>
      </c>
      <c r="B996" s="35" t="s">
        <v>2582</v>
      </c>
      <c r="C996" s="41" t="s">
        <v>173</v>
      </c>
      <c r="D996" s="35" t="s">
        <v>2583</v>
      </c>
      <c r="E996" s="36"/>
      <c r="F996" s="35" t="s">
        <v>112</v>
      </c>
    </row>
    <row r="997" spans="1:6" ht="27.6" x14ac:dyDescent="0.25">
      <c r="A997" s="26" t="s">
        <v>2584</v>
      </c>
      <c r="B997" s="26" t="s">
        <v>2585</v>
      </c>
      <c r="C997" s="27" t="s">
        <v>110</v>
      </c>
      <c r="D997" s="28"/>
      <c r="E997" s="28"/>
      <c r="F997" s="26" t="s">
        <v>210</v>
      </c>
    </row>
    <row r="998" spans="1:6" ht="27.6" x14ac:dyDescent="0.25">
      <c r="A998" s="26" t="s">
        <v>2586</v>
      </c>
      <c r="B998" s="26" t="s">
        <v>2587</v>
      </c>
      <c r="C998" s="27" t="s">
        <v>110</v>
      </c>
      <c r="D998" s="28"/>
      <c r="E998" s="28"/>
      <c r="F998" s="28"/>
    </row>
    <row r="999" spans="1:6" ht="13.8" x14ac:dyDescent="0.3">
      <c r="A999" s="35" t="s">
        <v>2588</v>
      </c>
      <c r="B999" s="37" t="s">
        <v>631</v>
      </c>
      <c r="C999" s="36"/>
      <c r="D999" s="36"/>
      <c r="E999" s="36"/>
      <c r="F999" s="36"/>
    </row>
    <row r="1000" spans="1:6" ht="13.8" x14ac:dyDescent="0.25">
      <c r="A1000" s="35" t="s">
        <v>49</v>
      </c>
      <c r="B1000" s="35" t="s">
        <v>98</v>
      </c>
      <c r="C1000" s="41" t="s">
        <v>294</v>
      </c>
      <c r="D1000" s="35" t="s">
        <v>107</v>
      </c>
      <c r="E1000" s="41" t="s">
        <v>107</v>
      </c>
      <c r="F1000" s="35" t="s">
        <v>107</v>
      </c>
    </row>
    <row r="1001" spans="1:6" ht="13.8" x14ac:dyDescent="0.3">
      <c r="A1001" s="26" t="s">
        <v>2589</v>
      </c>
      <c r="B1001" s="32" t="s">
        <v>2590</v>
      </c>
      <c r="C1001" s="27" t="s">
        <v>110</v>
      </c>
      <c r="D1001" s="26" t="s">
        <v>1567</v>
      </c>
      <c r="E1001" s="27" t="s">
        <v>107</v>
      </c>
      <c r="F1001" s="26" t="s">
        <v>274</v>
      </c>
    </row>
    <row r="1002" spans="1:6" ht="13.8" x14ac:dyDescent="0.3">
      <c r="A1002" s="26" t="s">
        <v>2591</v>
      </c>
      <c r="B1002" s="32" t="s">
        <v>2592</v>
      </c>
      <c r="C1002" s="27" t="s">
        <v>110</v>
      </c>
      <c r="D1002" s="26" t="s">
        <v>1567</v>
      </c>
      <c r="E1002" s="27" t="s">
        <v>107</v>
      </c>
      <c r="F1002" s="26" t="s">
        <v>274</v>
      </c>
    </row>
    <row r="1003" spans="1:6" ht="27.6" x14ac:dyDescent="0.25">
      <c r="A1003" s="26" t="s">
        <v>2593</v>
      </c>
      <c r="B1003" s="26" t="s">
        <v>2594</v>
      </c>
      <c r="C1003" s="27" t="s">
        <v>110</v>
      </c>
      <c r="D1003" s="26" t="s">
        <v>1572</v>
      </c>
      <c r="E1003" s="27" t="s">
        <v>107</v>
      </c>
      <c r="F1003" s="26" t="s">
        <v>1206</v>
      </c>
    </row>
    <row r="1004" spans="1:6" ht="27.6" x14ac:dyDescent="0.25">
      <c r="A1004" s="26" t="s">
        <v>2595</v>
      </c>
      <c r="B1004" s="26" t="s">
        <v>2596</v>
      </c>
      <c r="C1004" s="27" t="s">
        <v>110</v>
      </c>
      <c r="D1004" s="26" t="s">
        <v>2597</v>
      </c>
      <c r="E1004" s="27" t="s">
        <v>2598</v>
      </c>
      <c r="F1004" s="26" t="s">
        <v>2599</v>
      </c>
    </row>
    <row r="1005" spans="1:6" ht="41.4" x14ac:dyDescent="0.25">
      <c r="A1005" s="26" t="s">
        <v>2600</v>
      </c>
      <c r="B1005" s="26" t="s">
        <v>2601</v>
      </c>
      <c r="C1005" s="27" t="s">
        <v>110</v>
      </c>
      <c r="D1005" s="26" t="s">
        <v>2602</v>
      </c>
      <c r="E1005" s="28"/>
      <c r="F1005" s="26" t="s">
        <v>117</v>
      </c>
    </row>
    <row r="1006" spans="1:6" ht="27.6" x14ac:dyDescent="0.25">
      <c r="A1006" s="26" t="s">
        <v>2603</v>
      </c>
      <c r="B1006" s="26" t="s">
        <v>2604</v>
      </c>
      <c r="C1006" s="27" t="s">
        <v>110</v>
      </c>
      <c r="D1006" s="28"/>
      <c r="E1006" s="28"/>
      <c r="F1006" s="26" t="s">
        <v>117</v>
      </c>
    </row>
    <row r="1007" spans="1:6" ht="27.6" x14ac:dyDescent="0.25">
      <c r="A1007" s="26" t="s">
        <v>2605</v>
      </c>
      <c r="B1007" s="26" t="s">
        <v>2606</v>
      </c>
      <c r="C1007" s="27" t="s">
        <v>110</v>
      </c>
      <c r="D1007" s="26" t="s">
        <v>1577</v>
      </c>
      <c r="E1007" s="27" t="s">
        <v>107</v>
      </c>
      <c r="F1007" s="26" t="s">
        <v>620</v>
      </c>
    </row>
    <row r="1008" spans="1:6" ht="27.6" x14ac:dyDescent="0.25">
      <c r="A1008" s="26" t="s">
        <v>2607</v>
      </c>
      <c r="B1008" s="26" t="s">
        <v>2608</v>
      </c>
      <c r="C1008" s="27" t="s">
        <v>110</v>
      </c>
      <c r="D1008" s="26" t="s">
        <v>1580</v>
      </c>
      <c r="E1008" s="27" t="s">
        <v>107</v>
      </c>
      <c r="F1008" s="26" t="s">
        <v>620</v>
      </c>
    </row>
    <row r="1009" spans="1:6" ht="41.4" x14ac:dyDescent="0.25">
      <c r="A1009" s="26" t="s">
        <v>2609</v>
      </c>
      <c r="B1009" s="26" t="s">
        <v>2610</v>
      </c>
      <c r="C1009" s="27" t="s">
        <v>110</v>
      </c>
      <c r="D1009" s="28"/>
      <c r="E1009" s="28"/>
      <c r="F1009" s="26" t="s">
        <v>117</v>
      </c>
    </row>
    <row r="1010" spans="1:6" ht="27.6" x14ac:dyDescent="0.25">
      <c r="A1010" s="26" t="s">
        <v>2611</v>
      </c>
      <c r="B1010" s="26" t="s">
        <v>2612</v>
      </c>
      <c r="C1010" s="27" t="s">
        <v>173</v>
      </c>
      <c r="D1010" s="26" t="s">
        <v>2613</v>
      </c>
      <c r="E1010" s="28"/>
      <c r="F1010" s="26" t="s">
        <v>117</v>
      </c>
    </row>
    <row r="1011" spans="1:6" ht="27.6" x14ac:dyDescent="0.25">
      <c r="A1011" s="26" t="s">
        <v>2614</v>
      </c>
      <c r="B1011" s="26" t="s">
        <v>2615</v>
      </c>
      <c r="C1011" s="27" t="s">
        <v>110</v>
      </c>
      <c r="D1011" s="26" t="s">
        <v>2616</v>
      </c>
      <c r="E1011" s="27" t="s">
        <v>107</v>
      </c>
      <c r="F1011" s="26" t="s">
        <v>117</v>
      </c>
    </row>
    <row r="1012" spans="1:6" ht="27.6" x14ac:dyDescent="0.25">
      <c r="A1012" s="26" t="s">
        <v>2617</v>
      </c>
      <c r="B1012" s="26" t="s">
        <v>2618</v>
      </c>
      <c r="C1012" s="27" t="s">
        <v>110</v>
      </c>
      <c r="D1012" s="28"/>
      <c r="E1012" s="28"/>
      <c r="F1012" s="26" t="s">
        <v>117</v>
      </c>
    </row>
    <row r="1013" spans="1:6" ht="27.6" x14ac:dyDescent="0.25">
      <c r="A1013" s="39" t="s">
        <v>2619</v>
      </c>
      <c r="B1013" s="39" t="s">
        <v>2620</v>
      </c>
      <c r="C1013" s="40" t="s">
        <v>110</v>
      </c>
      <c r="D1013" s="51"/>
      <c r="E1013" s="51"/>
      <c r="F1013" s="39" t="s">
        <v>117</v>
      </c>
    </row>
    <row r="1014" spans="1:6" ht="27.6" x14ac:dyDescent="0.25">
      <c r="A1014" s="26" t="s">
        <v>2621</v>
      </c>
      <c r="B1014" s="26" t="s">
        <v>2622</v>
      </c>
      <c r="C1014" s="27" t="s">
        <v>110</v>
      </c>
      <c r="D1014" s="26" t="s">
        <v>2623</v>
      </c>
      <c r="E1014" s="28"/>
      <c r="F1014" s="26" t="s">
        <v>117</v>
      </c>
    </row>
    <row r="1015" spans="1:6" ht="27.6" x14ac:dyDescent="0.25">
      <c r="A1015" s="26" t="s">
        <v>2624</v>
      </c>
      <c r="B1015" s="26" t="s">
        <v>2625</v>
      </c>
      <c r="C1015" s="27" t="s">
        <v>110</v>
      </c>
      <c r="D1015" s="26" t="s">
        <v>1585</v>
      </c>
      <c r="E1015" s="27" t="s">
        <v>107</v>
      </c>
      <c r="F1015" s="26" t="s">
        <v>1586</v>
      </c>
    </row>
    <row r="1016" spans="1:6" ht="27.6" x14ac:dyDescent="0.25">
      <c r="A1016" s="26" t="s">
        <v>2626</v>
      </c>
      <c r="B1016" s="26" t="s">
        <v>2627</v>
      </c>
      <c r="C1016" s="27" t="s">
        <v>110</v>
      </c>
      <c r="D1016" s="26" t="s">
        <v>1589</v>
      </c>
      <c r="E1016" s="27" t="s">
        <v>107</v>
      </c>
      <c r="F1016" s="26" t="s">
        <v>1586</v>
      </c>
    </row>
    <row r="1017" spans="1:6" ht="27.6" x14ac:dyDescent="0.25">
      <c r="A1017" s="26" t="s">
        <v>2628</v>
      </c>
      <c r="B1017" s="26" t="s">
        <v>631</v>
      </c>
      <c r="C1017" s="28"/>
      <c r="D1017" s="28"/>
      <c r="E1017" s="28"/>
      <c r="F1017" s="28"/>
    </row>
    <row r="1018" spans="1:6" ht="27.6" x14ac:dyDescent="0.25">
      <c r="A1018" s="23" t="s">
        <v>2629</v>
      </c>
      <c r="B1018" s="23" t="s">
        <v>2630</v>
      </c>
      <c r="C1018" s="25" t="s">
        <v>173</v>
      </c>
      <c r="D1018" s="23" t="s">
        <v>1595</v>
      </c>
      <c r="E1018" s="25" t="s">
        <v>107</v>
      </c>
      <c r="F1018" s="23" t="s">
        <v>1596</v>
      </c>
    </row>
    <row r="1019" spans="1:6" ht="41.4" x14ac:dyDescent="0.25">
      <c r="A1019" s="39" t="s">
        <v>2631</v>
      </c>
      <c r="B1019" s="39" t="s">
        <v>631</v>
      </c>
      <c r="C1019" s="51"/>
      <c r="D1019" s="51"/>
      <c r="E1019" s="51"/>
      <c r="F1019" s="51"/>
    </row>
    <row r="1020" spans="1:6" ht="27.6" x14ac:dyDescent="0.25">
      <c r="A1020" s="39" t="s">
        <v>2632</v>
      </c>
      <c r="B1020" s="39" t="s">
        <v>631</v>
      </c>
      <c r="C1020" s="51"/>
      <c r="D1020" s="51"/>
      <c r="E1020" s="51"/>
      <c r="F1020" s="51"/>
    </row>
    <row r="1021" spans="1:6" ht="13.8" x14ac:dyDescent="0.3">
      <c r="A1021" s="23" t="s">
        <v>2633</v>
      </c>
      <c r="B1021" s="30" t="s">
        <v>631</v>
      </c>
      <c r="C1021" s="31"/>
      <c r="D1021" s="31"/>
      <c r="E1021" s="31"/>
      <c r="F1021" s="31"/>
    </row>
    <row r="1022" spans="1:6" ht="27.6" x14ac:dyDescent="0.25">
      <c r="A1022" s="39" t="s">
        <v>2634</v>
      </c>
      <c r="B1022" s="39" t="s">
        <v>631</v>
      </c>
      <c r="C1022" s="51"/>
      <c r="D1022" s="51"/>
      <c r="E1022" s="51"/>
      <c r="F1022" s="51"/>
    </row>
    <row r="1023" spans="1:6" ht="27.6" x14ac:dyDescent="0.25">
      <c r="A1023" s="26" t="s">
        <v>2635</v>
      </c>
      <c r="B1023" s="26" t="s">
        <v>631</v>
      </c>
      <c r="C1023" s="28"/>
      <c r="D1023" s="28"/>
      <c r="E1023" s="28"/>
      <c r="F1023" s="28"/>
    </row>
    <row r="1024" spans="1:6" ht="13.8" x14ac:dyDescent="0.25">
      <c r="A1024" s="35" t="s">
        <v>2636</v>
      </c>
      <c r="B1024" s="35" t="s">
        <v>2637</v>
      </c>
      <c r="C1024" s="41" t="s">
        <v>107</v>
      </c>
      <c r="D1024" s="35" t="s">
        <v>107</v>
      </c>
      <c r="E1024" s="41" t="s">
        <v>107</v>
      </c>
      <c r="F1024" s="35" t="s">
        <v>107</v>
      </c>
    </row>
    <row r="1025" spans="1:6" ht="27.6" x14ac:dyDescent="0.25">
      <c r="A1025" s="35" t="s">
        <v>2638</v>
      </c>
      <c r="B1025" s="35" t="s">
        <v>2639</v>
      </c>
      <c r="C1025" s="36"/>
      <c r="D1025" s="36"/>
      <c r="E1025" s="36"/>
      <c r="F1025" s="36"/>
    </row>
    <row r="1026" spans="1:6" ht="27.6" x14ac:dyDescent="0.25">
      <c r="A1026" s="35" t="s">
        <v>2640</v>
      </c>
      <c r="B1026" s="35" t="s">
        <v>2641</v>
      </c>
      <c r="C1026" s="41" t="s">
        <v>173</v>
      </c>
      <c r="D1026" s="35" t="s">
        <v>107</v>
      </c>
      <c r="E1026" s="41" t="s">
        <v>107</v>
      </c>
      <c r="F1026" s="35" t="s">
        <v>157</v>
      </c>
    </row>
    <row r="1027" spans="1:6" ht="27.6" x14ac:dyDescent="0.25">
      <c r="A1027" s="35" t="s">
        <v>2642</v>
      </c>
      <c r="B1027" s="35" t="s">
        <v>2643</v>
      </c>
      <c r="C1027" s="36"/>
      <c r="D1027" s="36"/>
      <c r="E1027" s="36"/>
      <c r="F1027" s="36"/>
    </row>
    <row r="1028" spans="1:6" ht="27.6" x14ac:dyDescent="0.25">
      <c r="A1028" s="35" t="s">
        <v>2644</v>
      </c>
      <c r="B1028" s="35" t="s">
        <v>2645</v>
      </c>
      <c r="C1028" s="41" t="s">
        <v>107</v>
      </c>
      <c r="D1028" s="35" t="s">
        <v>107</v>
      </c>
      <c r="E1028" s="41" t="s">
        <v>107</v>
      </c>
      <c r="F1028" s="35" t="s">
        <v>107</v>
      </c>
    </row>
    <row r="1029" spans="1:6" ht="27.6" x14ac:dyDescent="0.25">
      <c r="A1029" s="26" t="s">
        <v>2646</v>
      </c>
      <c r="B1029" s="26" t="s">
        <v>631</v>
      </c>
      <c r="C1029" s="28"/>
      <c r="D1029" s="28"/>
      <c r="E1029" s="28"/>
      <c r="F1029" s="28"/>
    </row>
    <row r="1030" spans="1:6" ht="69" x14ac:dyDescent="0.25">
      <c r="A1030" s="26" t="s">
        <v>2647</v>
      </c>
      <c r="B1030" s="26" t="s">
        <v>631</v>
      </c>
      <c r="C1030" s="28"/>
      <c r="D1030" s="28"/>
      <c r="E1030" s="28"/>
      <c r="F1030" s="28"/>
    </row>
    <row r="1031" spans="1:6" ht="41.4" x14ac:dyDescent="0.25">
      <c r="A1031" s="26" t="s">
        <v>2648</v>
      </c>
      <c r="B1031" s="26" t="s">
        <v>631</v>
      </c>
      <c r="C1031" s="28"/>
      <c r="D1031" s="28"/>
      <c r="E1031" s="28"/>
      <c r="F1031" s="28"/>
    </row>
    <row r="1032" spans="1:6" ht="55.2" x14ac:dyDescent="0.25">
      <c r="A1032" s="26" t="s">
        <v>2649</v>
      </c>
      <c r="B1032" s="26" t="s">
        <v>631</v>
      </c>
      <c r="C1032" s="28"/>
      <c r="D1032" s="28"/>
      <c r="E1032" s="28"/>
      <c r="F1032" s="28"/>
    </row>
    <row r="1033" spans="1:6" ht="27.6" x14ac:dyDescent="0.25">
      <c r="A1033" s="26" t="s">
        <v>2650</v>
      </c>
      <c r="B1033" s="26" t="s">
        <v>631</v>
      </c>
      <c r="C1033" s="28"/>
      <c r="D1033" s="28"/>
      <c r="E1033" s="28"/>
      <c r="F1033" s="28"/>
    </row>
    <row r="1034" spans="1:6" ht="27.6" x14ac:dyDescent="0.25">
      <c r="A1034" s="39" t="s">
        <v>2651</v>
      </c>
      <c r="B1034" s="39" t="s">
        <v>631</v>
      </c>
      <c r="C1034" s="51"/>
      <c r="D1034" s="51"/>
      <c r="E1034" s="51"/>
      <c r="F1034" s="51"/>
    </row>
    <row r="1035" spans="1:6" ht="27.6" x14ac:dyDescent="0.25">
      <c r="A1035" s="39" t="s">
        <v>2652</v>
      </c>
      <c r="B1035" s="39" t="s">
        <v>631</v>
      </c>
      <c r="C1035" s="51"/>
      <c r="D1035" s="51"/>
      <c r="E1035" s="51"/>
      <c r="F1035" s="51"/>
    </row>
    <row r="1036" spans="1:6" ht="27.6" x14ac:dyDescent="0.25">
      <c r="A1036" s="26" t="s">
        <v>2653</v>
      </c>
      <c r="B1036" s="26" t="s">
        <v>2654</v>
      </c>
      <c r="C1036" s="27" t="s">
        <v>110</v>
      </c>
      <c r="D1036" s="26" t="s">
        <v>107</v>
      </c>
      <c r="E1036" s="27" t="s">
        <v>107</v>
      </c>
      <c r="F1036" s="26" t="s">
        <v>107</v>
      </c>
    </row>
    <row r="1037" spans="1:6" ht="13.8" x14ac:dyDescent="0.25">
      <c r="A1037" s="39" t="s">
        <v>2655</v>
      </c>
      <c r="B1037" s="39" t="s">
        <v>2656</v>
      </c>
      <c r="C1037" s="40" t="s">
        <v>110</v>
      </c>
      <c r="D1037" s="39" t="s">
        <v>107</v>
      </c>
      <c r="E1037" s="40" t="s">
        <v>107</v>
      </c>
      <c r="F1037" s="39" t="s">
        <v>107</v>
      </c>
    </row>
    <row r="1038" spans="1:6" ht="27.6" x14ac:dyDescent="0.25">
      <c r="A1038" s="39" t="s">
        <v>2657</v>
      </c>
      <c r="B1038" s="39" t="s">
        <v>2658</v>
      </c>
      <c r="C1038" s="40" t="s">
        <v>110</v>
      </c>
      <c r="D1038" s="39" t="s">
        <v>1605</v>
      </c>
      <c r="E1038" s="40" t="s">
        <v>1606</v>
      </c>
      <c r="F1038" s="39" t="s">
        <v>112</v>
      </c>
    </row>
    <row r="1039" spans="1:6" ht="13.8" x14ac:dyDescent="0.25">
      <c r="A1039" s="26" t="s">
        <v>2659</v>
      </c>
      <c r="B1039" s="26" t="s">
        <v>2660</v>
      </c>
      <c r="C1039" s="27" t="s">
        <v>110</v>
      </c>
      <c r="D1039" s="26" t="s">
        <v>1609</v>
      </c>
      <c r="E1039" s="27" t="s">
        <v>107</v>
      </c>
      <c r="F1039" s="26" t="s">
        <v>1610</v>
      </c>
    </row>
    <row r="1040" spans="1:6" ht="13.8" x14ac:dyDescent="0.25">
      <c r="A1040" s="23" t="s">
        <v>2661</v>
      </c>
      <c r="B1040" s="23" t="s">
        <v>2662</v>
      </c>
      <c r="C1040" s="25" t="s">
        <v>173</v>
      </c>
      <c r="D1040" s="23" t="s">
        <v>1609</v>
      </c>
      <c r="E1040" s="25" t="s">
        <v>107</v>
      </c>
      <c r="F1040" s="23" t="s">
        <v>1610</v>
      </c>
    </row>
    <row r="1041" spans="1:6" ht="41.4" x14ac:dyDescent="0.25">
      <c r="A1041" s="23" t="s">
        <v>2663</v>
      </c>
      <c r="B1041" s="23" t="s">
        <v>2664</v>
      </c>
      <c r="C1041" s="25" t="s">
        <v>173</v>
      </c>
      <c r="D1041" s="23" t="s">
        <v>2665</v>
      </c>
      <c r="E1041" s="25" t="s">
        <v>107</v>
      </c>
      <c r="F1041" s="23" t="s">
        <v>214</v>
      </c>
    </row>
    <row r="1042" spans="1:6" ht="27.6" x14ac:dyDescent="0.25">
      <c r="A1042" s="26" t="s">
        <v>2666</v>
      </c>
      <c r="B1042" s="26" t="s">
        <v>2667</v>
      </c>
      <c r="C1042" s="27" t="s">
        <v>110</v>
      </c>
      <c r="D1042" s="26" t="s">
        <v>1615</v>
      </c>
      <c r="E1042" s="27" t="s">
        <v>107</v>
      </c>
      <c r="F1042" s="26" t="s">
        <v>1616</v>
      </c>
    </row>
    <row r="1043" spans="1:6" ht="27.6" x14ac:dyDescent="0.25">
      <c r="A1043" s="35" t="s">
        <v>2668</v>
      </c>
      <c r="B1043" s="35" t="s">
        <v>2669</v>
      </c>
      <c r="C1043" s="41" t="s">
        <v>173</v>
      </c>
      <c r="D1043" s="35" t="s">
        <v>1619</v>
      </c>
      <c r="E1043" s="41" t="s">
        <v>107</v>
      </c>
      <c r="F1043" s="35" t="s">
        <v>703</v>
      </c>
    </row>
    <row r="1044" spans="1:6" ht="41.4" x14ac:dyDescent="0.25">
      <c r="A1044" s="35" t="s">
        <v>2670</v>
      </c>
      <c r="B1044" s="35" t="s">
        <v>2671</v>
      </c>
      <c r="C1044" s="41" t="s">
        <v>110</v>
      </c>
      <c r="D1044" s="35" t="s">
        <v>2672</v>
      </c>
      <c r="E1044" s="36"/>
      <c r="F1044" s="35" t="s">
        <v>117</v>
      </c>
    </row>
    <row r="1045" spans="1:6" ht="27.6" x14ac:dyDescent="0.25">
      <c r="A1045" s="26" t="s">
        <v>2673</v>
      </c>
      <c r="B1045" s="26" t="s">
        <v>2674</v>
      </c>
      <c r="C1045" s="27" t="s">
        <v>110</v>
      </c>
      <c r="D1045" s="28"/>
      <c r="E1045" s="28"/>
      <c r="F1045" s="26" t="s">
        <v>117</v>
      </c>
    </row>
    <row r="1046" spans="1:6" ht="13.8" x14ac:dyDescent="0.25">
      <c r="A1046" s="23" t="s">
        <v>2675</v>
      </c>
      <c r="B1046" s="23" t="s">
        <v>2676</v>
      </c>
      <c r="C1046" s="25" t="s">
        <v>173</v>
      </c>
      <c r="D1046" s="23" t="s">
        <v>1622</v>
      </c>
      <c r="E1046" s="25" t="s">
        <v>107</v>
      </c>
      <c r="F1046" s="23" t="s">
        <v>117</v>
      </c>
    </row>
    <row r="1047" spans="1:6" ht="13.8" x14ac:dyDescent="0.25">
      <c r="A1047" s="23" t="s">
        <v>2677</v>
      </c>
      <c r="B1047" s="23" t="s">
        <v>2678</v>
      </c>
      <c r="C1047" s="25" t="s">
        <v>173</v>
      </c>
      <c r="D1047" s="23" t="s">
        <v>2679</v>
      </c>
      <c r="E1047" s="25" t="s">
        <v>107</v>
      </c>
      <c r="F1047" s="23" t="s">
        <v>230</v>
      </c>
    </row>
    <row r="1048" spans="1:6" ht="27.6" x14ac:dyDescent="0.25">
      <c r="A1048" s="39" t="s">
        <v>2680</v>
      </c>
      <c r="B1048" s="39" t="s">
        <v>2681</v>
      </c>
      <c r="C1048" s="40" t="s">
        <v>110</v>
      </c>
      <c r="D1048" s="39" t="s">
        <v>1625</v>
      </c>
      <c r="E1048" s="40" t="s">
        <v>107</v>
      </c>
      <c r="F1048" s="39" t="s">
        <v>1626</v>
      </c>
    </row>
    <row r="1049" spans="1:6" ht="13.8" x14ac:dyDescent="0.25">
      <c r="A1049" s="26" t="s">
        <v>2682</v>
      </c>
      <c r="B1049" s="26" t="s">
        <v>2683</v>
      </c>
      <c r="C1049" s="27" t="s">
        <v>110</v>
      </c>
      <c r="D1049" s="28"/>
      <c r="E1049" s="28"/>
      <c r="F1049" s="26" t="s">
        <v>1626</v>
      </c>
    </row>
    <row r="1050" spans="1:6" ht="13.8" x14ac:dyDescent="0.25">
      <c r="A1050" s="26" t="s">
        <v>2684</v>
      </c>
      <c r="B1050" s="26" t="s">
        <v>2685</v>
      </c>
      <c r="C1050" s="27" t="s">
        <v>110</v>
      </c>
      <c r="D1050" s="28"/>
      <c r="E1050" s="28"/>
      <c r="F1050" s="26" t="s">
        <v>1626</v>
      </c>
    </row>
    <row r="1051" spans="1:6" ht="27.6" x14ac:dyDescent="0.25">
      <c r="A1051" s="26" t="s">
        <v>2686</v>
      </c>
      <c r="B1051" s="26" t="s">
        <v>2687</v>
      </c>
      <c r="C1051" s="27" t="s">
        <v>110</v>
      </c>
      <c r="D1051" s="26" t="s">
        <v>2688</v>
      </c>
      <c r="E1051" s="27" t="s">
        <v>107</v>
      </c>
      <c r="F1051" s="26" t="s">
        <v>2689</v>
      </c>
    </row>
    <row r="1052" spans="1:6" ht="27.6" x14ac:dyDescent="0.25">
      <c r="A1052" s="35" t="s">
        <v>2690</v>
      </c>
      <c r="B1052" s="35" t="s">
        <v>1630</v>
      </c>
      <c r="C1052" s="41" t="s">
        <v>173</v>
      </c>
      <c r="D1052" s="35" t="s">
        <v>1629</v>
      </c>
      <c r="E1052" s="41" t="s">
        <v>1823</v>
      </c>
      <c r="F1052" s="35" t="s">
        <v>157</v>
      </c>
    </row>
    <row r="1053" spans="1:6" ht="27.6" x14ac:dyDescent="0.25">
      <c r="A1053" s="35" t="s">
        <v>99</v>
      </c>
      <c r="B1053" s="35" t="s">
        <v>2691</v>
      </c>
      <c r="C1053" s="41" t="s">
        <v>294</v>
      </c>
      <c r="D1053" s="35" t="s">
        <v>107</v>
      </c>
      <c r="E1053" s="41" t="s">
        <v>107</v>
      </c>
      <c r="F1053" s="35" t="s">
        <v>107</v>
      </c>
    </row>
    <row r="1054" spans="1:6" ht="13.8" x14ac:dyDescent="0.25">
      <c r="A1054" s="23" t="s">
        <v>2692</v>
      </c>
      <c r="B1054" s="23" t="s">
        <v>2693</v>
      </c>
      <c r="C1054" s="25" t="s">
        <v>294</v>
      </c>
      <c r="D1054" s="23" t="s">
        <v>107</v>
      </c>
      <c r="E1054" s="25" t="s">
        <v>107</v>
      </c>
      <c r="F1054" s="23" t="s">
        <v>107</v>
      </c>
    </row>
    <row r="1055" spans="1:6" ht="27.6" x14ac:dyDescent="0.25">
      <c r="A1055" s="39" t="s">
        <v>2694</v>
      </c>
      <c r="B1055" s="39" t="s">
        <v>2695</v>
      </c>
      <c r="C1055" s="40" t="s">
        <v>110</v>
      </c>
      <c r="D1055" s="39" t="s">
        <v>1633</v>
      </c>
      <c r="E1055" s="40" t="s">
        <v>107</v>
      </c>
      <c r="F1055" s="39" t="s">
        <v>112</v>
      </c>
    </row>
    <row r="1056" spans="1:6" ht="27.6" x14ac:dyDescent="0.25">
      <c r="A1056" s="39" t="s">
        <v>2696</v>
      </c>
      <c r="B1056" s="39" t="s">
        <v>2697</v>
      </c>
      <c r="C1056" s="40" t="s">
        <v>110</v>
      </c>
      <c r="D1056" s="39" t="s">
        <v>2698</v>
      </c>
      <c r="E1056" s="51"/>
      <c r="F1056" s="39" t="s">
        <v>2699</v>
      </c>
    </row>
    <row r="1057" spans="1:6" ht="13.8" x14ac:dyDescent="0.3">
      <c r="A1057" s="23" t="s">
        <v>2700</v>
      </c>
      <c r="B1057" s="30" t="s">
        <v>631</v>
      </c>
      <c r="C1057" s="31"/>
      <c r="D1057" s="31"/>
      <c r="E1057" s="31"/>
      <c r="F1057" s="31"/>
    </row>
    <row r="1058" spans="1:6" ht="27.6" x14ac:dyDescent="0.25">
      <c r="A1058" s="39" t="s">
        <v>2701</v>
      </c>
      <c r="B1058" s="39" t="s">
        <v>2702</v>
      </c>
      <c r="C1058" s="40" t="s">
        <v>110</v>
      </c>
      <c r="D1058" s="39" t="s">
        <v>2703</v>
      </c>
      <c r="E1058" s="51"/>
      <c r="F1058" s="39" t="s">
        <v>502</v>
      </c>
    </row>
    <row r="1059" spans="1:6" ht="27.6" x14ac:dyDescent="0.25">
      <c r="A1059" s="39" t="s">
        <v>2704</v>
      </c>
      <c r="B1059" s="39" t="s">
        <v>1914</v>
      </c>
      <c r="C1059" s="40" t="s">
        <v>110</v>
      </c>
      <c r="D1059" s="39" t="s">
        <v>1081</v>
      </c>
      <c r="E1059" s="40" t="s">
        <v>1082</v>
      </c>
      <c r="F1059" s="39" t="s">
        <v>502</v>
      </c>
    </row>
    <row r="1060" spans="1:6" ht="27.6" x14ac:dyDescent="0.3">
      <c r="A1060" s="39" t="s">
        <v>2705</v>
      </c>
      <c r="B1060" s="56" t="s">
        <v>2706</v>
      </c>
      <c r="C1060" s="40" t="s">
        <v>110</v>
      </c>
      <c r="D1060" s="39" t="s">
        <v>1636</v>
      </c>
      <c r="E1060" s="40" t="s">
        <v>107</v>
      </c>
      <c r="F1060" s="39" t="s">
        <v>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Entry2</vt:lpstr>
      <vt:lpstr>Data Validation</vt:lpstr>
      <vt:lpstr>Example Data</vt:lpstr>
      <vt:lpstr>Species List</vt:lpstr>
      <vt:lpstr>Alphabetical by species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Lillywhite</cp:lastModifiedBy>
  <dcterms:modified xsi:type="dcterms:W3CDTF">2026-10-27T01:17:59Z</dcterms:modified>
</cp:coreProperties>
</file>